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mc:AlternateContent xmlns:mc="http://schemas.openxmlformats.org/markup-compatibility/2006">
    <mc:Choice Requires="x15">
      <x15ac:absPath xmlns:x15ac="http://schemas.microsoft.com/office/spreadsheetml/2010/11/ac" url="\\192.168.3.211\mko\Кредитный дела 2026\Январь\№195 BRS\"/>
    </mc:Choice>
  </mc:AlternateContent>
  <bookViews>
    <workbookView xWindow="0" yWindow="0" windowWidth="14250" windowHeight="11700" tabRatio="915" activeTab="9"/>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2" r:id="rId11"/>
    <sheet name="garov_ariza" sheetId="31" r:id="rId12"/>
    <sheet name="muqova" sheetId="9" r:id="rId13"/>
    <sheet name="mijoz_anketasi" sheetId="4" r:id="rId14"/>
    <sheet name="majburiyatnoma" sheetId="24" r:id="rId15"/>
    <sheet name="kredit_ariza" sheetId="2" r:id="rId16"/>
    <sheet name="Письмо" sheetId="20" state="hidden" r:id="rId17"/>
    <sheet name="akt_monitoring_1" sheetId="27" r:id="rId18"/>
    <sheet name="akt_monitoring_2" sheetId="26" r:id="rId19"/>
    <sheet name="akt_monitoring_3" sheetId="28" r:id="rId20"/>
    <sheet name="akt_monitoring_4" sheetId="29" r:id="rId21"/>
    <sheet name="notarius" sheetId="33" r:id="rId22"/>
    <sheet name="Анкета 2" sheetId="22" r:id="rId23"/>
  </sheets>
  <externalReferences>
    <externalReference r:id="rId24"/>
    <externalReference r:id="rId25"/>
  </externalReferences>
  <definedNames>
    <definedName name="mos">'[1]Общие данные'!$C$23:$D$23</definedName>
    <definedName name="mulk">'[1]Общие данные'!$C$24:$W$24</definedName>
    <definedName name="_xlnm.Print_Area" localSheetId="17">akt_monitoring_1!$A$1:$H$34</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0">ariza!$A$1:$D$24</definedName>
    <definedName name="_xlnm.Print_Area" localSheetId="3">bayonnoma!$A$1:$E$53</definedName>
    <definedName name="_xlnm.Print_Area" localSheetId="2">buyruq!$A$1:$E$29</definedName>
    <definedName name="_xlnm.Print_Area" localSheetId="8">dalolatnoma!$A$2:$E$72</definedName>
    <definedName name="_xlnm.Print_Area" localSheetId="11">garov_ariza!$A$5:$C$26</definedName>
    <definedName name="_xlnm.Print_Area" localSheetId="9">grafik!$A$1:$F$80</definedName>
    <definedName name="_xlnm.Print_Area" localSheetId="15">kredit_ariza!$A$1:$D$46</definedName>
    <definedName name="_xlnm.Print_Area" localSheetId="13">mijoz_anketasi!$A$1:$F$36</definedName>
    <definedName name="_xlnm.Print_Area" localSheetId="12">muqova!$A$1:$G$41</definedName>
    <definedName name="_xlnm.Print_Area" localSheetId="21">notarius!$A$1:$D$31</definedName>
    <definedName name="_xlnm.Print_Area" localSheetId="1">shartnoma!$A$1:$B$133</definedName>
    <definedName name="_xlnm.Print_Area" localSheetId="7">xulosa!$A$1:$E$70</definedName>
    <definedName name="_xlnm.Print_Area" localSheetId="6">'График аннуитет.'!$A$1:$F$75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 i="32" l="1"/>
  <c r="A20" i="32"/>
  <c r="A41" i="23"/>
  <c r="C44" i="1"/>
  <c r="C19" i="1"/>
  <c r="B21" i="1" s="1"/>
  <c r="B155" i="1"/>
  <c r="B27" i="1"/>
  <c r="B9" i="1"/>
  <c r="B11" i="1" s="1"/>
  <c r="B13" i="1" s="1"/>
  <c r="B8" i="1"/>
  <c r="B10" i="1" s="1"/>
  <c r="B12" i="1" s="1"/>
  <c r="A19" i="31"/>
  <c r="D61" i="7"/>
  <c r="B143" i="1" l="1"/>
  <c r="B144" i="1" s="1"/>
  <c r="B145" i="1" s="1"/>
  <c r="B34" i="1"/>
  <c r="B156" i="1" l="1"/>
  <c r="B76" i="1" l="1"/>
  <c r="C23" i="31" l="1"/>
  <c r="A23" i="31"/>
  <c r="C8" i="31"/>
  <c r="A7" i="3"/>
  <c r="C7" i="31"/>
  <c r="A71" i="16"/>
  <c r="D55" i="3"/>
  <c r="A55" i="3"/>
  <c r="A128" i="19"/>
  <c r="A126" i="19"/>
  <c r="A28" i="31" l="1"/>
  <c r="A29" i="31"/>
  <c r="A30" i="31" s="1"/>
  <c r="A32" i="31" s="1"/>
  <c r="A26" i="31"/>
  <c r="A20" i="31" l="1"/>
  <c r="B64" i="7" s="1"/>
  <c r="A16" i="33" l="1"/>
  <c r="A15" i="33"/>
  <c r="A14" i="33"/>
  <c r="A13" i="33"/>
  <c r="D12" i="33"/>
  <c r="C12" i="33"/>
  <c r="B12" i="33"/>
  <c r="A12" i="33"/>
  <c r="D11" i="33"/>
  <c r="C11" i="33"/>
  <c r="B11" i="33"/>
  <c r="A9" i="33"/>
  <c r="A7" i="33"/>
  <c r="A6" i="33"/>
  <c r="C19" i="31" l="1"/>
  <c r="C6" i="31" l="1"/>
  <c r="A15" i="31"/>
  <c r="C10" i="31"/>
  <c r="C9" i="31"/>
  <c r="C87" i="1" l="1"/>
  <c r="B87" i="1"/>
  <c r="B83" i="1"/>
  <c r="H31" i="26" l="1"/>
  <c r="H31" i="27"/>
  <c r="H27" i="27"/>
  <c r="A27" i="27"/>
  <c r="D43" i="2"/>
  <c r="A43" i="2"/>
  <c r="E52" i="7"/>
  <c r="D59" i="3"/>
  <c r="D63" i="3"/>
  <c r="A63" i="3"/>
  <c r="A59" i="3"/>
  <c r="D49" i="23"/>
  <c r="D45" i="23"/>
  <c r="A45" i="23"/>
  <c r="A49" i="23"/>
  <c r="A72" i="16" l="1"/>
  <c r="H9" i="23"/>
  <c r="A122" i="19"/>
  <c r="A123" i="19"/>
  <c r="A16" i="32"/>
  <c r="B11" i="32"/>
  <c r="B12" i="32"/>
  <c r="B13" i="32"/>
  <c r="B14" i="32"/>
  <c r="B10" i="32"/>
  <c r="A11" i="32"/>
  <c r="A12" i="32"/>
  <c r="A13" i="32"/>
  <c r="A14" i="32"/>
  <c r="A10" i="32"/>
  <c r="C5" i="32"/>
  <c r="C4" i="32"/>
  <c r="B134" i="1" l="1"/>
  <c r="B77" i="1" l="1"/>
  <c r="A23" i="8"/>
  <c r="A14" i="23"/>
  <c r="A33" i="23"/>
  <c r="A29" i="2"/>
  <c r="A48" i="7" l="1"/>
  <c r="A9" i="32"/>
  <c r="B65" i="1"/>
  <c r="A7" i="23" s="1"/>
  <c r="B126" i="19"/>
  <c r="A52" i="7"/>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C123" i="1"/>
  <c r="C129" i="1" s="1"/>
  <c r="C121" i="1"/>
  <c r="C127" i="1" s="1"/>
  <c r="C120" i="1"/>
  <c r="C126" i="1" s="1"/>
  <c r="C119" i="1"/>
  <c r="C125" i="1" s="1"/>
  <c r="C118" i="1"/>
  <c r="C124" i="1" s="1"/>
  <c r="D59" i="7"/>
  <c r="A62" i="7"/>
  <c r="A61" i="7"/>
  <c r="F61" i="7"/>
  <c r="A25" i="7"/>
  <c r="A23" i="7"/>
  <c r="A14" i="31" l="1"/>
  <c r="A45" i="15"/>
  <c r="A54" i="12"/>
  <c r="A75" i="1"/>
  <c r="A34" i="23"/>
  <c r="A9" i="26"/>
  <c r="A9" i="29" s="1"/>
  <c r="A46" i="15" l="1"/>
  <c r="A55" i="12"/>
  <c r="A9" i="27"/>
  <c r="A9" i="28"/>
  <c r="I133" i="1"/>
  <c r="A47" i="3"/>
  <c r="A35" i="3"/>
  <c r="E30" i="3"/>
  <c r="A30" i="3"/>
  <c r="A33" i="3"/>
  <c r="A47" i="15" l="1"/>
  <c r="D29" i="7"/>
  <c r="D30" i="3" s="1"/>
  <c r="F137" i="1"/>
  <c r="E140" i="1"/>
  <c r="E137" i="1"/>
  <c r="D20" i="7"/>
  <c r="E20" i="7"/>
  <c r="G9" i="26" s="1"/>
  <c r="B20" i="7"/>
  <c r="A48" i="15" l="1"/>
  <c r="G9" i="28"/>
  <c r="G9" i="27"/>
  <c r="G9" i="29"/>
  <c r="B29" i="7"/>
  <c r="B30" i="3" s="1"/>
  <c r="C9" i="26"/>
  <c r="C29" i="7"/>
  <c r="C30" i="3" s="1"/>
  <c r="E9" i="26"/>
  <c r="A49" i="15" l="1"/>
  <c r="E9" i="29"/>
  <c r="E9" i="28"/>
  <c r="E9" i="27"/>
  <c r="C9" i="29"/>
  <c r="C9" i="28"/>
  <c r="C9" i="27"/>
  <c r="A50" i="15" l="1"/>
  <c r="H27" i="29"/>
  <c r="H27" i="28"/>
  <c r="A22" i="26"/>
  <c r="H27" i="26"/>
  <c r="A52" i="3"/>
  <c r="A36" i="3"/>
  <c r="A1" i="3"/>
  <c r="D15" i="23"/>
  <c r="E15" i="23" s="1"/>
  <c r="A1" i="23"/>
  <c r="D70" i="16"/>
  <c r="A51" i="15" l="1"/>
  <c r="A117" i="1"/>
  <c r="A116" i="1"/>
  <c r="A115" i="1"/>
  <c r="A114" i="1"/>
  <c r="C22" i="1"/>
  <c r="A16" i="23"/>
  <c r="A69" i="16"/>
  <c r="A52" i="15" l="1"/>
  <c r="B49" i="1"/>
  <c r="B59" i="1" s="1"/>
  <c r="A53" i="15" l="1"/>
  <c r="A16" i="4"/>
  <c r="A17" i="4"/>
  <c r="A7" i="24"/>
  <c r="B119" i="19"/>
  <c r="B123" i="1"/>
  <c r="B129" i="1" s="1"/>
  <c r="A24" i="7" s="1"/>
  <c r="A34" i="3" s="1"/>
  <c r="B121" i="1"/>
  <c r="B120" i="1"/>
  <c r="B119" i="1"/>
  <c r="B118" i="1"/>
  <c r="A54" i="15" l="1"/>
  <c r="B45" i="1"/>
  <c r="B58" i="1"/>
  <c r="A51" i="7"/>
  <c r="D2" i="2"/>
  <c r="C77" i="1"/>
  <c r="A55" i="15" l="1"/>
  <c r="A31" i="2"/>
  <c r="A31" i="4"/>
  <c r="H79" i="19"/>
  <c r="A79" i="19" s="1"/>
  <c r="H21" i="19"/>
  <c r="A74" i="19"/>
  <c r="H70" i="19"/>
  <c r="A70" i="19" s="1"/>
  <c r="A57" i="19"/>
  <c r="A5" i="23"/>
  <c r="A15" i="19"/>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18" i="23"/>
  <c r="D64" i="1"/>
  <c r="A22" i="19" s="1"/>
  <c r="A1" i="1"/>
  <c r="A80" i="1"/>
  <c r="A86" i="1"/>
  <c r="A2" i="1"/>
  <c r="A82" i="1"/>
  <c r="A87" i="1"/>
  <c r="A76" i="1"/>
  <c r="A83" i="1"/>
  <c r="A90" i="1"/>
  <c r="A79" i="1"/>
  <c r="A85" i="1"/>
  <c r="C31" i="19" l="1"/>
  <c r="A23" i="19"/>
  <c r="E31" i="19"/>
  <c r="D31" i="19" s="1"/>
  <c r="A59" i="16"/>
  <c r="A13" i="2"/>
  <c r="A16" i="2"/>
  <c r="A21" i="2"/>
  <c r="A11" i="23"/>
  <c r="A4" i="2"/>
  <c r="B26" i="9"/>
  <c r="A20" i="23"/>
  <c r="A14" i="19"/>
  <c r="A15" i="2"/>
  <c r="A22" i="23"/>
  <c r="A19" i="23"/>
  <c r="A42" i="19"/>
  <c r="A21" i="23"/>
  <c r="B25" i="9"/>
  <c r="A21" i="19"/>
  <c r="A13" i="19"/>
  <c r="A14" i="2"/>
  <c r="A26" i="3"/>
  <c r="A63" i="19"/>
  <c r="A11" i="19"/>
  <c r="B124" i="1"/>
  <c r="A22" i="7" s="1"/>
  <c r="B125" i="1"/>
  <c r="A31" i="19" l="1"/>
  <c r="A16" i="8"/>
  <c r="A32" i="3"/>
  <c r="H7" i="23"/>
  <c r="A2" i="23" s="1"/>
  <c r="B127" i="1" l="1"/>
  <c r="B126" i="1"/>
  <c r="A120" i="19" l="1"/>
  <c r="A65" i="16" s="1"/>
  <c r="A30" i="4"/>
  <c r="B122" i="19"/>
  <c r="D67" i="16" s="1"/>
  <c r="A15" i="4"/>
  <c r="A14" i="4"/>
  <c r="A13" i="4"/>
  <c r="C8" i="15"/>
  <c r="J12" i="15"/>
  <c r="A10" i="4" l="1"/>
  <c r="A9" i="4" s="1"/>
  <c r="D71" i="16"/>
  <c r="B124" i="19"/>
  <c r="D69" i="16" s="1"/>
  <c r="B123" i="19"/>
  <c r="D68" i="16" s="1"/>
  <c r="D64" i="16"/>
  <c r="B117" i="19"/>
  <c r="D63" i="16" s="1"/>
  <c r="A68" i="16" l="1"/>
  <c r="A67" i="16"/>
  <c r="A121" i="19"/>
  <c r="A66" i="16" s="1"/>
  <c r="A119" i="19"/>
  <c r="A64" i="16" s="1"/>
  <c r="B24" i="9" l="1"/>
  <c r="B2" i="9"/>
  <c r="A22" i="29"/>
  <c r="A22" i="28"/>
  <c r="H5" i="29"/>
  <c r="H5" i="28"/>
  <c r="H5" i="27"/>
  <c r="A22" i="27"/>
  <c r="H22" i="26"/>
  <c r="D2" i="1"/>
  <c r="H5" i="26" s="1"/>
  <c r="A35" i="2"/>
  <c r="A29" i="4"/>
  <c r="A28" i="4"/>
  <c r="A20" i="4"/>
  <c r="A7" i="4"/>
  <c r="A11" i="24"/>
  <c r="A14" i="7"/>
  <c r="A13" i="7"/>
  <c r="A2" i="7"/>
  <c r="A8" i="3"/>
  <c r="A5" i="3"/>
  <c r="A4" i="3"/>
  <c r="A9" i="8"/>
  <c r="A8" i="8"/>
  <c r="A7" i="8"/>
  <c r="A12" i="2"/>
  <c r="A11" i="2"/>
  <c r="A7" i="2"/>
  <c r="B175" i="1"/>
  <c r="H133" i="1"/>
  <c r="I132" i="1"/>
  <c r="F132" i="1" s="1"/>
  <c r="H132" i="1"/>
  <c r="C132" i="1"/>
  <c r="B140" i="1"/>
  <c r="E21" i="7" s="1"/>
  <c r="B137" i="1"/>
  <c r="D21" i="7" s="1"/>
  <c r="E10" i="26" s="1"/>
  <c r="B21" i="7"/>
  <c r="C10" i="26" s="1"/>
  <c r="G10" i="26" l="1"/>
  <c r="D30" i="7"/>
  <c r="D31" i="3" s="1"/>
  <c r="E10" i="28"/>
  <c r="E10" i="27"/>
  <c r="E10" i="29"/>
  <c r="C10" i="28"/>
  <c r="C10" i="27"/>
  <c r="C10" i="29"/>
  <c r="C133" i="1"/>
  <c r="A17" i="7" s="1"/>
  <c r="A21" i="7"/>
  <c r="A10" i="26" s="1"/>
  <c r="C144" i="1"/>
  <c r="A6" i="2"/>
  <c r="E30" i="7"/>
  <c r="E31" i="3" s="1"/>
  <c r="A15" i="7"/>
  <c r="E132" i="1"/>
  <c r="A27" i="3"/>
  <c r="A20" i="3"/>
  <c r="A27" i="2"/>
  <c r="A28" i="2"/>
  <c r="F133" i="1"/>
  <c r="E133" i="1"/>
  <c r="A6" i="8"/>
  <c r="A24" i="2" l="1"/>
  <c r="A28" i="3"/>
  <c r="A15" i="8"/>
  <c r="G10" i="28"/>
  <c r="G10" i="29"/>
  <c r="G10" i="27"/>
  <c r="A14" i="8"/>
  <c r="A25" i="2"/>
  <c r="A16" i="7"/>
  <c r="A18" i="7" s="1"/>
  <c r="A19" i="7" s="1"/>
  <c r="A29" i="3"/>
  <c r="A25" i="23" s="1"/>
  <c r="A37" i="3"/>
  <c r="A21" i="4" l="1"/>
  <c r="A10" i="2"/>
  <c r="A9" i="2"/>
  <c r="A19" i="4"/>
  <c r="B66" i="1" l="1"/>
  <c r="A1" i="19" s="1"/>
  <c r="H31" i="29"/>
  <c r="H31" i="28"/>
  <c r="H22" i="29"/>
  <c r="H22" i="28"/>
  <c r="H22" i="27"/>
  <c r="D56" i="7" l="1"/>
  <c r="A56" i="7"/>
  <c r="A132" i="19"/>
  <c r="B109" i="1"/>
  <c r="R131" i="1" l="1"/>
  <c r="R132" i="1" s="1"/>
  <c r="N133" i="1" s="1"/>
  <c r="Q131" i="1"/>
  <c r="Q132" i="1" s="1"/>
  <c r="N132" i="1" s="1"/>
  <c r="B24" i="4" l="1"/>
  <c r="B67" i="1" l="1"/>
  <c r="C79" i="1" s="1"/>
  <c r="C80" i="1" s="1"/>
  <c r="C81" i="1" s="1"/>
  <c r="B80" i="1" s="1"/>
  <c r="B81" i="1" s="1"/>
  <c r="A13" i="31" s="1"/>
  <c r="B152" i="1" l="1"/>
  <c r="B150" i="1"/>
  <c r="C18" i="1" l="1"/>
  <c r="B20" i="1" l="1"/>
  <c r="B121" i="19" s="1"/>
  <c r="C20" i="1"/>
  <c r="A5" i="19" s="1"/>
  <c r="C122" i="1" l="1"/>
  <c r="C128" i="1" s="1"/>
  <c r="C6" i="32"/>
  <c r="B122" i="1"/>
  <c r="B128" i="1" s="1"/>
  <c r="D65" i="16"/>
  <c r="A8" i="2"/>
  <c r="B26" i="23"/>
  <c r="C26" i="23"/>
  <c r="D26" i="23"/>
  <c r="E26" i="23"/>
  <c r="A26"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3" i="1"/>
  <c r="D49" i="7" l="1"/>
  <c r="E33" i="7"/>
  <c r="A38" i="20"/>
  <c r="A37" i="20"/>
  <c r="B19" i="20"/>
  <c r="C19" i="20"/>
  <c r="D19" i="20"/>
  <c r="E19" i="20"/>
  <c r="A19" i="20"/>
  <c r="L5" i="15" l="1"/>
  <c r="I8" i="15" l="1"/>
  <c r="E20" i="20"/>
  <c r="B26" i="4"/>
  <c r="B27" i="4" s="1"/>
  <c r="A33" i="20" l="1"/>
  <c r="A6" i="3" l="1"/>
  <c r="C21" i="1"/>
  <c r="B8" i="15"/>
  <c r="C5" i="22"/>
  <c r="A33" i="22" s="1"/>
  <c r="R43" i="15" l="1"/>
  <c r="O43" i="15" s="1"/>
  <c r="P43" i="15" s="1"/>
  <c r="Q43" i="15" s="1"/>
  <c r="B43" i="15" s="1"/>
  <c r="R44" i="15"/>
  <c r="R45" i="15"/>
  <c r="R46" i="15"/>
  <c r="R47" i="15"/>
  <c r="O47" i="15" s="1"/>
  <c r="P47" i="15" s="1"/>
  <c r="Q47" i="15" s="1"/>
  <c r="B47" i="15" s="1"/>
  <c r="R48" i="15"/>
  <c r="O48" i="15" s="1"/>
  <c r="P48" i="15" s="1"/>
  <c r="Q48" i="15" s="1"/>
  <c r="B48" i="15" s="1"/>
  <c r="R49" i="15"/>
  <c r="R50" i="15"/>
  <c r="R51" i="15"/>
  <c r="R52" i="15"/>
  <c r="R53" i="15"/>
  <c r="R54" i="15"/>
  <c r="R55" i="15"/>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s="1"/>
  <c r="O53" i="15"/>
  <c r="P53" i="15" s="1"/>
  <c r="Q53" i="15" s="1"/>
  <c r="B53" i="15" s="1"/>
  <c r="O52" i="15"/>
  <c r="P52" i="15" s="1"/>
  <c r="Q52" i="15" s="1"/>
  <c r="B52" i="15" s="1"/>
  <c r="O51" i="15"/>
  <c r="P51" i="15" s="1"/>
  <c r="Q51" i="15" s="1"/>
  <c r="B51" i="15" s="1"/>
  <c r="O50" i="15"/>
  <c r="P50" i="15" s="1"/>
  <c r="Q50" i="15" s="1"/>
  <c r="B50" i="15" s="1"/>
  <c r="O49" i="15"/>
  <c r="P49" i="15" s="1"/>
  <c r="Q49" i="15" s="1"/>
  <c r="B49" i="15" s="1"/>
  <c r="B48" i="12"/>
  <c r="G48" i="15"/>
  <c r="H48" i="15"/>
  <c r="B47" i="12"/>
  <c r="H47" i="15"/>
  <c r="O46" i="15"/>
  <c r="P46" i="15" s="1"/>
  <c r="Q46" i="15" s="1"/>
  <c r="B46" i="15" s="1"/>
  <c r="O45" i="15"/>
  <c r="P45" i="15" s="1"/>
  <c r="Q45" i="15" s="1"/>
  <c r="B45" i="15" s="1"/>
  <c r="O44" i="15"/>
  <c r="P44" i="15" s="1"/>
  <c r="Q44" i="15" s="1"/>
  <c r="B44" i="15" s="1"/>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9" i="12" l="1"/>
  <c r="H49" i="15"/>
  <c r="G49" i="15"/>
  <c r="B50" i="12"/>
  <c r="H50" i="15"/>
  <c r="G50" i="15"/>
  <c r="B45" i="12"/>
  <c r="H45" i="15"/>
  <c r="G45" i="15"/>
  <c r="B53" i="12"/>
  <c r="G53" i="15"/>
  <c r="H53" i="15"/>
  <c r="B46" i="12"/>
  <c r="H46" i="15"/>
  <c r="G46" i="15"/>
  <c r="G47" i="15"/>
  <c r="B52" i="12"/>
  <c r="H52" i="15"/>
  <c r="G52" i="15"/>
  <c r="B44" i="12"/>
  <c r="G44" i="12" s="1"/>
  <c r="H44" i="15"/>
  <c r="G44" i="15"/>
  <c r="B49" i="16"/>
  <c r="G48" i="12"/>
  <c r="H48" i="12"/>
  <c r="B51" i="12"/>
  <c r="H51" i="15"/>
  <c r="G51" i="15"/>
  <c r="B54" i="12"/>
  <c r="G54" i="15"/>
  <c r="H54" i="15"/>
  <c r="H47" i="12"/>
  <c r="B48" i="16"/>
  <c r="B55" i="12"/>
  <c r="H55" i="15"/>
  <c r="G55" i="15"/>
  <c r="B44" i="16"/>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B55" i="16" l="1"/>
  <c r="H54" i="12"/>
  <c r="G54" i="12"/>
  <c r="H46" i="12"/>
  <c r="G46" i="12"/>
  <c r="B47" i="16"/>
  <c r="B52" i="16"/>
  <c r="G51" i="12"/>
  <c r="H51" i="12"/>
  <c r="H53" i="12"/>
  <c r="G53" i="12"/>
  <c r="B54" i="16"/>
  <c r="B45" i="16"/>
  <c r="H44" i="12"/>
  <c r="H50" i="12"/>
  <c r="B51" i="16"/>
  <c r="G50" i="12"/>
  <c r="B46" i="16"/>
  <c r="G45" i="12"/>
  <c r="H45" i="12"/>
  <c r="G55" i="12"/>
  <c r="B56" i="16"/>
  <c r="H55" i="12"/>
  <c r="G47" i="12"/>
  <c r="G52" i="12"/>
  <c r="B53" i="16"/>
  <c r="H52" i="12"/>
  <c r="B50" i="16"/>
  <c r="H49" i="12"/>
  <c r="G49" i="12"/>
  <c r="G32" i="12"/>
  <c r="B32" i="16"/>
  <c r="H41" i="12"/>
  <c r="G41" i="12"/>
  <c r="G42" i="12"/>
  <c r="G10" i="15"/>
  <c r="H10" i="15"/>
  <c r="H9" i="15"/>
  <c r="G13" i="15"/>
  <c r="G12" i="15"/>
  <c r="H12" i="15"/>
  <c r="H11" i="15"/>
  <c r="G11" i="15"/>
  <c r="I67" i="1"/>
  <c r="G67" i="1"/>
  <c r="A117" i="19" l="1"/>
  <c r="A63" i="16" s="1"/>
  <c r="F67" i="1" l="1"/>
  <c r="E67" i="1"/>
  <c r="A20" i="2" s="1"/>
  <c r="C67" i="1"/>
  <c r="C65" i="1"/>
  <c r="C66" i="1" l="1"/>
  <c r="I66" i="1"/>
  <c r="G66" i="1"/>
  <c r="D67" i="1"/>
  <c r="B151"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6" i="1"/>
  <c r="A2" i="8" s="1"/>
  <c r="B149" i="1"/>
  <c r="E4" i="7" s="1"/>
  <c r="A39" i="20"/>
  <c r="B40" i="9"/>
  <c r="A19" i="2"/>
  <c r="D72" i="15"/>
  <c r="A70" i="15"/>
  <c r="A68" i="15"/>
  <c r="D64" i="15"/>
  <c r="D60" i="15"/>
  <c r="A60" i="15"/>
  <c r="A23" i="23" l="1"/>
  <c r="A12" i="8"/>
  <c r="A7" i="7"/>
  <c r="A10" i="7"/>
  <c r="A26" i="7"/>
  <c r="A15" i="3"/>
  <c r="H27" i="15"/>
  <c r="G27" i="15"/>
  <c r="G28" i="15"/>
  <c r="H28" i="15"/>
  <c r="G30" i="15"/>
  <c r="G31" i="15"/>
  <c r="H30" i="15"/>
  <c r="G29" i="15"/>
  <c r="H29" i="15"/>
  <c r="G26" i="15"/>
  <c r="H26" i="15"/>
  <c r="H24" i="15"/>
  <c r="G24" i="15"/>
  <c r="G25" i="15"/>
  <c r="A6" i="7" l="1"/>
  <c r="F2" i="15"/>
  <c r="B62" i="1" l="1"/>
  <c r="D67" i="15" l="1"/>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C149" i="1"/>
  <c r="A35" i="20"/>
  <c r="A34" i="20"/>
  <c r="A9" i="20" l="1"/>
  <c r="N130" i="1"/>
  <c r="E44" i="7"/>
  <c r="E31" i="20" s="1"/>
  <c r="A23" i="2" l="1"/>
  <c r="D72" i="12"/>
  <c r="A70" i="12"/>
  <c r="A68" i="12"/>
  <c r="D64" i="12"/>
  <c r="D60" i="12"/>
  <c r="A60" i="12"/>
  <c r="C8" i="12"/>
  <c r="C9" i="16" s="1"/>
  <c r="A32" i="20"/>
  <c r="A25" i="19" l="1"/>
  <c r="A24" i="19" l="1"/>
  <c r="B12" i="9"/>
  <c r="A10" i="8"/>
  <c r="E17" i="8"/>
  <c r="E11" i="20" s="1"/>
  <c r="D17" i="8"/>
  <c r="D11" i="20" s="1"/>
  <c r="C17" i="8"/>
  <c r="C11" i="20" s="1"/>
  <c r="B17" i="8"/>
  <c r="B11" i="20" s="1"/>
  <c r="A17" i="8"/>
  <c r="A11" i="20" s="1"/>
  <c r="D60" i="7"/>
  <c r="D27" i="23"/>
  <c r="C30" i="7"/>
  <c r="B30" i="7"/>
  <c r="A30" i="7"/>
  <c r="C27" i="23" l="1"/>
  <c r="C31" i="3"/>
  <c r="A27" i="23"/>
  <c r="A31" i="3"/>
  <c r="B27" i="23"/>
  <c r="B31" i="3"/>
  <c r="A31" i="23"/>
  <c r="A14" i="26"/>
  <c r="A14" i="29"/>
  <c r="A14" i="28"/>
  <c r="A14" i="27"/>
  <c r="A29" i="23"/>
  <c r="A12" i="27"/>
  <c r="A12" i="29"/>
  <c r="A12" i="28"/>
  <c r="A12" i="26"/>
  <c r="D18" i="8"/>
  <c r="D12" i="20" s="1"/>
  <c r="C18" i="8"/>
  <c r="C12" i="20" s="1"/>
  <c r="B18" i="8"/>
  <c r="B12" i="20" s="1"/>
  <c r="A22" i="8"/>
  <c r="A16" i="20" s="1"/>
  <c r="A18" i="8"/>
  <c r="A12" i="20" s="1"/>
  <c r="A20" i="8"/>
  <c r="A14" i="20" s="1"/>
  <c r="D35" i="4"/>
  <c r="D27" i="4"/>
  <c r="C27" i="4"/>
  <c r="A14" i="3"/>
  <c r="A41" i="3" s="1"/>
  <c r="A11" i="4"/>
  <c r="A8" i="4"/>
  <c r="A6" i="4"/>
  <c r="A5" i="4"/>
  <c r="A4" i="4"/>
  <c r="A40" i="2"/>
  <c r="A17" i="3"/>
  <c r="A44" i="3" s="1"/>
  <c r="A12" i="3"/>
  <c r="A63" i="15" l="1"/>
  <c r="A67" i="15"/>
  <c r="A72" i="15"/>
  <c r="D74" i="15"/>
  <c r="A62" i="15"/>
  <c r="A66" i="15"/>
  <c r="A65" i="15"/>
  <c r="A64" i="15"/>
  <c r="D63" i="15"/>
  <c r="D70" i="15"/>
  <c r="D62" i="15"/>
  <c r="A72" i="12"/>
  <c r="A66" i="12"/>
  <c r="A63" i="12"/>
  <c r="A67" i="12"/>
  <c r="A64" i="12"/>
  <c r="A13" i="3"/>
  <c r="A40" i="3" s="1"/>
  <c r="A65" i="12"/>
  <c r="D68" i="12"/>
  <c r="D66" i="12"/>
  <c r="D67" i="12"/>
  <c r="D63" i="12"/>
  <c r="D70" i="12"/>
  <c r="D62" i="12"/>
  <c r="A62" i="12"/>
  <c r="A39" i="3"/>
  <c r="A42" i="3"/>
  <c r="A11" i="8"/>
  <c r="A16" i="3"/>
  <c r="A43" i="3" s="1"/>
  <c r="A13" i="8"/>
  <c r="A11" i="3"/>
  <c r="A38" i="3" s="1"/>
  <c r="A26" i="2"/>
  <c r="A22" i="2" s="1"/>
  <c r="A15" i="27" l="1"/>
  <c r="A15" i="26"/>
  <c r="A15" i="29"/>
  <c r="A15" i="28"/>
  <c r="A30" i="23"/>
  <c r="A13" i="27"/>
  <c r="A13" i="28"/>
  <c r="A13" i="29"/>
  <c r="A13" i="26"/>
  <c r="A28" i="23"/>
  <c r="A11" i="29"/>
  <c r="A11" i="28"/>
  <c r="A11" i="27"/>
  <c r="A11" i="26"/>
  <c r="E27" i="23"/>
  <c r="A21" i="8"/>
  <c r="A15" i="20" s="1"/>
  <c r="A19" i="8"/>
  <c r="A13" i="20" s="1"/>
  <c r="E18" i="8"/>
  <c r="E12" i="20" s="1"/>
  <c r="A18" i="3"/>
  <c r="A13" i="23" s="1"/>
  <c r="F2" i="12"/>
  <c r="A45"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I13" i="15" s="1"/>
  <c r="I14" i="15" s="1"/>
  <c r="I15" i="15" s="1"/>
  <c r="I16" i="15" s="1"/>
  <c r="I17" i="15" s="1"/>
  <c r="I18" i="15" s="1"/>
  <c r="L9" i="15" l="1"/>
  <c r="E9" i="15" s="1"/>
  <c r="D10" i="15"/>
  <c r="J14" i="15"/>
  <c r="K14" i="15" s="1"/>
  <c r="J13" i="15"/>
  <c r="K13" i="15" s="1"/>
  <c r="J17" i="15"/>
  <c r="K17" i="15" s="1"/>
  <c r="J16" i="15"/>
  <c r="K16" i="15" s="1"/>
  <c r="L10" i="15"/>
  <c r="E10" i="15" s="1"/>
  <c r="J15" i="15"/>
  <c r="K15" i="15" s="1"/>
  <c r="J18" i="15"/>
  <c r="K18" i="15" s="1"/>
  <c r="J19" i="15"/>
  <c r="K19" i="15" s="1"/>
  <c r="I19" i="15" s="1"/>
  <c r="M9" i="15" l="1"/>
  <c r="F9" i="15" s="1"/>
  <c r="C11" i="15"/>
  <c r="D11" i="15" s="1"/>
  <c r="I20" i="15"/>
  <c r="I21" i="15" s="1"/>
  <c r="J20" i="15"/>
  <c r="K20"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I44" i="15" l="1"/>
  <c r="J44" i="15"/>
  <c r="K44" i="15" s="1"/>
  <c r="D22" i="15"/>
  <c r="C23" i="15" s="1"/>
  <c r="L23" i="15" s="1"/>
  <c r="E23" i="15" s="1"/>
  <c r="M21" i="15"/>
  <c r="F21" i="15" s="1"/>
  <c r="I45" i="15" l="1"/>
  <c r="J45" i="15"/>
  <c r="K45" i="15" s="1"/>
  <c r="M22" i="15"/>
  <c r="F22" i="15" s="1"/>
  <c r="D23" i="15"/>
  <c r="C24" i="15" s="1"/>
  <c r="L24" i="15" s="1"/>
  <c r="E24" i="15" s="1"/>
  <c r="I46" i="15" l="1"/>
  <c r="J46" i="15"/>
  <c r="K46" i="15" s="1"/>
  <c r="M23" i="15"/>
  <c r="F23" i="15" s="1"/>
  <c r="D24" i="15"/>
  <c r="J47" i="15" l="1"/>
  <c r="K47" i="15" s="1"/>
  <c r="I47" i="15" s="1"/>
  <c r="C25" i="15"/>
  <c r="M24" i="15"/>
  <c r="F24" i="15" s="1"/>
  <c r="I48" i="15" l="1"/>
  <c r="J48" i="15"/>
  <c r="K48" i="15" s="1"/>
  <c r="L25" i="15"/>
  <c r="E25" i="15" s="1"/>
  <c r="I49" i="15" l="1"/>
  <c r="J49" i="15"/>
  <c r="K49" i="15" s="1"/>
  <c r="D25" i="15"/>
  <c r="I50" i="15" l="1"/>
  <c r="J50" i="15"/>
  <c r="K50" i="15" s="1"/>
  <c r="C26" i="15"/>
  <c r="M25" i="15"/>
  <c r="F25" i="15" s="1"/>
  <c r="I51" i="15" l="1"/>
  <c r="J51" i="15"/>
  <c r="K51" i="15" s="1"/>
  <c r="L26" i="15"/>
  <c r="D26" i="15" s="1"/>
  <c r="I52" i="15" l="1"/>
  <c r="J52" i="15"/>
  <c r="K52" i="15" s="1"/>
  <c r="E26" i="15"/>
  <c r="M26" i="15" s="1"/>
  <c r="F26" i="15" s="1"/>
  <c r="C27" i="15"/>
  <c r="I53" i="15" l="1"/>
  <c r="J53" i="15"/>
  <c r="K53" i="15" s="1"/>
  <c r="L27" i="15"/>
  <c r="D27" i="15" s="1"/>
  <c r="J54" i="15" l="1"/>
  <c r="K54" i="15" s="1"/>
  <c r="I54" i="15"/>
  <c r="J55" i="15" s="1"/>
  <c r="K55" i="15" s="1"/>
  <c r="I55" i="15" s="1"/>
  <c r="E27" i="15"/>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l="1"/>
  <c r="E43" i="15" s="1"/>
  <c r="M42" i="15"/>
  <c r="F42" i="15" s="1"/>
  <c r="D43" i="15" l="1"/>
  <c r="M43" i="15" s="1"/>
  <c r="F43" i="15" s="1"/>
  <c r="C44" i="15" l="1"/>
  <c r="L44" i="15" s="1"/>
  <c r="D44" i="15" s="1"/>
  <c r="C45" i="15" l="1"/>
  <c r="E44" i="15"/>
  <c r="L45" i="15" l="1"/>
  <c r="D45" i="15" s="1"/>
  <c r="M44" i="15"/>
  <c r="F44" i="15" s="1"/>
  <c r="C46" i="15" l="1"/>
  <c r="E45" i="15"/>
  <c r="L46" i="15" l="1"/>
  <c r="D46" i="15" s="1"/>
  <c r="C47" i="15" s="1"/>
  <c r="M45" i="15"/>
  <c r="F45" i="15" s="1"/>
  <c r="L47" i="15" l="1"/>
  <c r="D47" i="15" s="1"/>
  <c r="C48" i="15" s="1"/>
  <c r="E46" i="15"/>
  <c r="M46" i="15" l="1"/>
  <c r="F46" i="15" s="1"/>
  <c r="L48" i="15"/>
  <c r="D48" i="15" s="1"/>
  <c r="C49" i="15" s="1"/>
  <c r="E47" i="15"/>
  <c r="M47" i="15" l="1"/>
  <c r="F47" i="15" s="1"/>
  <c r="E48" i="15"/>
  <c r="M48" i="15" s="1"/>
  <c r="F48" i="15" s="1"/>
  <c r="L49" i="15"/>
  <c r="D49" i="15" s="1"/>
  <c r="C50" i="15" s="1"/>
  <c r="L50" i="15" l="1"/>
  <c r="D50" i="15" s="1"/>
  <c r="C51" i="15" s="1"/>
  <c r="E49" i="15"/>
  <c r="E50" i="15" l="1"/>
  <c r="M50" i="15" s="1"/>
  <c r="F50" i="15" s="1"/>
  <c r="M49" i="15"/>
  <c r="F49" i="15" s="1"/>
  <c r="L51" i="15"/>
  <c r="E51" i="15" s="1"/>
  <c r="D51" i="15" l="1"/>
  <c r="C52" i="15" s="1"/>
  <c r="L52" i="15" s="1"/>
  <c r="D52" i="15" s="1"/>
  <c r="C53" i="15" s="1"/>
  <c r="M51" i="15" l="1"/>
  <c r="F51" i="15" s="1"/>
  <c r="E52" i="15"/>
  <c r="M52" i="15" s="1"/>
  <c r="F52" i="15" s="1"/>
  <c r="L53" i="15"/>
  <c r="E53" i="15" s="1"/>
  <c r="D53" i="15" l="1"/>
  <c r="M53" i="15" s="1"/>
  <c r="F53" i="15" s="1"/>
  <c r="C54" i="15" l="1"/>
  <c r="L54" i="15" s="1"/>
  <c r="D54" i="15" s="1"/>
  <c r="C55" i="15" s="1"/>
  <c r="L55" i="15" l="1"/>
  <c r="E55" i="15" s="1"/>
  <c r="E54" i="15"/>
  <c r="D55" i="15" l="1"/>
  <c r="M55" i="15" s="1"/>
  <c r="F55" i="15" s="1"/>
  <c r="E56" i="15"/>
  <c r="M54" i="15"/>
  <c r="F54" i="15" s="1"/>
  <c r="D56" i="15" l="1"/>
  <c r="F56" i="15"/>
  <c r="A10" i="27" l="1"/>
  <c r="A10" i="28"/>
  <c r="A10" i="29"/>
  <c r="F9" i="16" l="1"/>
  <c r="F10" i="16" l="1"/>
  <c r="D9" i="16"/>
  <c r="C10" i="16" l="1"/>
  <c r="F11" i="16"/>
  <c r="F12" i="16" l="1"/>
  <c r="E10" i="16"/>
  <c r="F13" i="16" l="1"/>
  <c r="D10" i="16"/>
  <c r="C11" i="16" l="1"/>
  <c r="F14" i="16"/>
  <c r="F15" i="16" l="1"/>
  <c r="E11" i="16"/>
  <c r="D11" i="16" l="1"/>
  <c r="F16" i="16"/>
  <c r="C12" i="16" l="1"/>
  <c r="F17" i="16"/>
  <c r="F18" i="16" l="1"/>
  <c r="E12" i="16"/>
  <c r="D12" i="16" l="1"/>
  <c r="F19" i="16"/>
  <c r="F20" i="16" l="1"/>
  <c r="C13" i="16"/>
  <c r="F21" i="16" l="1"/>
  <c r="E13" i="16"/>
  <c r="F22" i="16" l="1"/>
  <c r="D13" i="16"/>
  <c r="C14" i="16" l="1"/>
  <c r="F23" i="16"/>
  <c r="F24" i="16" l="1"/>
  <c r="E14" i="16"/>
  <c r="F25" i="16" l="1"/>
  <c r="D14" i="16"/>
  <c r="C15" i="16" l="1"/>
  <c r="F26" i="16"/>
  <c r="B91" i="1" s="1"/>
  <c r="F8" i="12" l="1"/>
  <c r="A24" i="3"/>
  <c r="A23" i="3"/>
  <c r="F27" i="16"/>
  <c r="E15" i="16"/>
  <c r="A22" i="3" l="1"/>
  <c r="D8" i="12"/>
  <c r="C9" i="12" s="1"/>
  <c r="F9" i="12"/>
  <c r="D15" i="16"/>
  <c r="F28" i="16"/>
  <c r="F10" i="12" l="1"/>
  <c r="E9" i="12"/>
  <c r="D9" i="12" s="1"/>
  <c r="C10" i="12" s="1"/>
  <c r="F29" i="16"/>
  <c r="C16" i="16"/>
  <c r="E10" i="12" l="1"/>
  <c r="D10" i="12" s="1"/>
  <c r="C11" i="12" s="1"/>
  <c r="F11" i="12"/>
  <c r="E16" i="16"/>
  <c r="F30" i="16"/>
  <c r="E11" i="12" l="1"/>
  <c r="D11" i="12" s="1"/>
  <c r="C12" i="12" s="1"/>
  <c r="F12" i="12"/>
  <c r="F31" i="16"/>
  <c r="D16" i="16"/>
  <c r="E12" i="12" l="1"/>
  <c r="D12" i="12" s="1"/>
  <c r="C13" i="12" s="1"/>
  <c r="F13" i="12"/>
  <c r="C17" i="16"/>
  <c r="E13" i="12" l="1"/>
  <c r="D13" i="12" s="1"/>
  <c r="C14" i="12" s="1"/>
  <c r="F14" i="12"/>
  <c r="E17" i="16"/>
  <c r="E14" i="12" l="1"/>
  <c r="D14" i="12" s="1"/>
  <c r="C15" i="12" s="1"/>
  <c r="F15" i="12"/>
  <c r="D17" i="16"/>
  <c r="E15" i="12" l="1"/>
  <c r="D15" i="12" s="1"/>
  <c r="C16" i="12" s="1"/>
  <c r="F16" i="12"/>
  <c r="C18" i="16"/>
  <c r="E16" i="12" l="1"/>
  <c r="D16" i="12" s="1"/>
  <c r="C17" i="12" s="1"/>
  <c r="E17" i="12" s="1"/>
  <c r="F17" i="12"/>
  <c r="F18" i="12" s="1"/>
  <c r="F19" i="12" s="1"/>
  <c r="F20" i="12" s="1"/>
  <c r="F21" i="12" s="1"/>
  <c r="F22" i="12" s="1"/>
  <c r="F23" i="12" s="1"/>
  <c r="F24" i="12" s="1"/>
  <c r="F25" i="12" s="1"/>
  <c r="F26" i="12" s="1"/>
  <c r="F27" i="12" s="1"/>
  <c r="F28" i="12" s="1"/>
  <c r="F29" i="12" s="1"/>
  <c r="F30" i="12" s="1"/>
  <c r="E18" i="16"/>
  <c r="D17" i="12" l="1"/>
  <c r="D18" i="16"/>
  <c r="C18" i="12"/>
  <c r="E18" i="12" l="1"/>
  <c r="C19" i="16"/>
  <c r="E19" i="16" l="1"/>
  <c r="D18" i="12"/>
  <c r="D19" i="16" l="1"/>
  <c r="C19" i="12"/>
  <c r="E19" i="12" l="1"/>
  <c r="C20" i="16"/>
  <c r="E20" i="16" l="1"/>
  <c r="C63" i="1" s="1"/>
  <c r="C60" i="1" s="1"/>
  <c r="D19" i="12"/>
  <c r="D20" i="16" l="1"/>
  <c r="C20" i="12"/>
  <c r="E20" i="12" l="1"/>
  <c r="C21" i="16"/>
  <c r="E21" i="16" l="1"/>
  <c r="D20" i="12"/>
  <c r="D21" i="16" l="1"/>
  <c r="C21" i="12"/>
  <c r="C22" i="16" l="1"/>
  <c r="E21" i="12"/>
  <c r="E22" i="16" l="1"/>
  <c r="D21" i="12"/>
  <c r="D22" i="16" l="1"/>
  <c r="C22" i="12"/>
  <c r="C23" i="16" l="1"/>
  <c r="E22" i="12"/>
  <c r="E23" i="16" l="1"/>
  <c r="D22" i="12"/>
  <c r="D23" i="16" l="1"/>
  <c r="C23" i="12"/>
  <c r="C24" i="16" l="1"/>
  <c r="E23" i="12"/>
  <c r="E24" i="16" l="1"/>
  <c r="D23" i="12"/>
  <c r="D24" i="16" l="1"/>
  <c r="C24" i="12"/>
  <c r="E24" i="12" l="1"/>
  <c r="C25" i="16"/>
  <c r="E25" i="16" l="1"/>
  <c r="D24" i="12"/>
  <c r="D25" i="16" l="1"/>
  <c r="C25" i="12"/>
  <c r="C26" i="16" l="1"/>
  <c r="E25" i="12"/>
  <c r="E26" i="16" l="1"/>
  <c r="D25" i="12"/>
  <c r="D26" i="16" l="1"/>
  <c r="C26" i="12"/>
  <c r="C27" i="16" l="1"/>
  <c r="E26" i="12"/>
  <c r="E27" i="16" l="1"/>
  <c r="D26" i="12"/>
  <c r="D27" i="16" l="1"/>
  <c r="C27" i="12"/>
  <c r="E27" i="12" l="1"/>
  <c r="C28" i="16"/>
  <c r="E28" i="16" l="1"/>
  <c r="D27" i="12"/>
  <c r="D28" i="16" l="1"/>
  <c r="C28" i="12"/>
  <c r="E28" i="12" l="1"/>
  <c r="C29" i="16"/>
  <c r="E29" i="16" l="1"/>
  <c r="D28" i="12"/>
  <c r="D29" i="16" l="1"/>
  <c r="C29" i="12"/>
  <c r="E29" i="12" l="1"/>
  <c r="C30" i="16"/>
  <c r="E30" i="16" l="1"/>
  <c r="D29" i="12"/>
  <c r="D30" i="16" l="1"/>
  <c r="C30" i="12"/>
  <c r="C31" i="16" l="1"/>
  <c r="E30" i="12"/>
  <c r="E31" i="16" l="1"/>
  <c r="D30" i="12"/>
  <c r="D31" i="16" l="1"/>
  <c r="C31" i="12"/>
  <c r="E31" i="12" l="1"/>
  <c r="C32" i="16"/>
  <c r="E32" i="16" l="1"/>
  <c r="D32" i="16" l="1"/>
  <c r="C33" i="16" l="1"/>
  <c r="E33" i="16" l="1"/>
  <c r="D33" i="16" l="1"/>
  <c r="C34" i="16" l="1"/>
  <c r="E34" i="16" l="1"/>
  <c r="D34" i="16" l="1"/>
  <c r="C35" i="16" l="1"/>
  <c r="E35" i="16" l="1"/>
  <c r="D35" i="16" l="1"/>
  <c r="C36" i="16" l="1"/>
  <c r="E36" i="16" l="1"/>
  <c r="D36" i="16" l="1"/>
  <c r="C37" i="16" l="1"/>
  <c r="E37" i="16" l="1"/>
  <c r="D37" i="16" l="1"/>
  <c r="C38" i="16" l="1"/>
  <c r="D38" i="16" l="1"/>
  <c r="C39" i="16" l="1"/>
  <c r="F39" i="16"/>
  <c r="D39" i="16" l="1"/>
  <c r="C40" i="16" l="1"/>
  <c r="E40" i="16" l="1"/>
  <c r="D40" i="16" l="1"/>
  <c r="C41" i="16" l="1"/>
  <c r="E41" i="16" l="1"/>
  <c r="D41" i="16" l="1"/>
  <c r="C42" i="16" l="1"/>
  <c r="E42" i="16" l="1"/>
  <c r="D42" i="16" l="1"/>
  <c r="C43" i="16" l="1"/>
  <c r="E43" i="16" l="1"/>
  <c r="D43" i="16" l="1"/>
  <c r="C44" i="16" l="1"/>
  <c r="E44" i="16" l="1"/>
  <c r="D44" i="16" l="1"/>
  <c r="C45" i="16" l="1"/>
  <c r="E45" i="16" l="1"/>
  <c r="D45" i="16" l="1"/>
  <c r="C46" i="16" l="1"/>
  <c r="E46" i="16" l="1"/>
  <c r="D46" i="16" l="1"/>
  <c r="C47" i="16" l="1"/>
  <c r="E47" i="16" l="1"/>
  <c r="D47" i="16" l="1"/>
  <c r="C48" i="16" l="1"/>
  <c r="E48" i="16" l="1"/>
  <c r="D48" i="16" l="1"/>
  <c r="C49" i="16" l="1"/>
  <c r="E49" i="16" l="1"/>
  <c r="D49" i="16" l="1"/>
  <c r="C50" i="16" l="1"/>
  <c r="E50" i="16" l="1"/>
  <c r="D50" i="16" l="1"/>
  <c r="C51" i="16" l="1"/>
  <c r="E51" i="16" l="1"/>
  <c r="D51" i="16" l="1"/>
  <c r="C52" i="16" l="1"/>
  <c r="E52" i="16" l="1"/>
  <c r="D52" i="16" l="1"/>
  <c r="C53" i="16" l="1"/>
  <c r="E53" i="16" l="1"/>
  <c r="D53" i="16" l="1"/>
  <c r="C54" i="16" l="1"/>
  <c r="E54" i="16" l="1"/>
  <c r="D54" i="16" l="1"/>
  <c r="C55" i="16" l="1"/>
  <c r="E55" i="16" l="1"/>
  <c r="D55" i="16" l="1"/>
  <c r="C56" i="16" l="1"/>
  <c r="D56" i="16" l="1"/>
  <c r="D57" i="16" s="1"/>
  <c r="E56" i="16"/>
  <c r="F56" i="16" l="1"/>
  <c r="F32" i="16" l="1"/>
  <c r="F33" i="16"/>
  <c r="F34" i="16"/>
  <c r="F35" i="16"/>
  <c r="F36" i="16"/>
  <c r="F37" i="16"/>
  <c r="F38" i="16"/>
  <c r="F40" i="16"/>
  <c r="F41" i="16"/>
  <c r="F42" i="16"/>
  <c r="F43" i="16"/>
  <c r="F44" i="16"/>
  <c r="F45" i="16"/>
  <c r="F46" i="16"/>
  <c r="F47" i="16"/>
  <c r="F48" i="16"/>
  <c r="F49" i="16"/>
  <c r="F50" i="16"/>
  <c r="F51" i="16"/>
  <c r="F52" i="16"/>
  <c r="F53" i="16"/>
  <c r="F54" i="16"/>
  <c r="F55" i="16"/>
  <c r="E38" i="16"/>
  <c r="E39" i="16"/>
  <c r="F31" i="12"/>
  <c r="D31" i="12" s="1"/>
  <c r="C32" i="12" s="1"/>
  <c r="E57" i="16" l="1"/>
  <c r="F32" i="12"/>
  <c r="F33" i="12" s="1"/>
  <c r="F34" i="12" s="1"/>
  <c r="F35" i="12" s="1"/>
  <c r="F36" i="12" s="1"/>
  <c r="F37" i="12" s="1"/>
  <c r="F38" i="12" s="1"/>
  <c r="F39" i="12" s="1"/>
  <c r="F40" i="12" s="1"/>
  <c r="F41" i="12" s="1"/>
  <c r="F42" i="12" s="1"/>
  <c r="F43" i="12" s="1"/>
  <c r="F44" i="12" s="1"/>
  <c r="F45" i="12" s="1"/>
  <c r="F46" i="12" s="1"/>
  <c r="F47" i="12" s="1"/>
  <c r="F48" i="12" s="1"/>
  <c r="F49" i="12" s="1"/>
  <c r="F50" i="12" s="1"/>
  <c r="F51" i="12" s="1"/>
  <c r="F52" i="12" s="1"/>
  <c r="F53" i="12" s="1"/>
  <c r="F57" i="16"/>
  <c r="E32" i="12"/>
  <c r="D32" i="12" s="1"/>
  <c r="C33" i="12" l="1"/>
  <c r="F54" i="12"/>
  <c r="E33" i="12" l="1"/>
  <c r="D33" i="12" l="1"/>
  <c r="C34" i="12" l="1"/>
  <c r="E34" i="12" l="1"/>
  <c r="D34" i="12" l="1"/>
  <c r="C35" i="12" l="1"/>
  <c r="E35" i="12" l="1"/>
  <c r="D35" i="12" l="1"/>
  <c r="C36" i="12" l="1"/>
  <c r="E36" i="12" l="1"/>
  <c r="D36" i="12" s="1"/>
  <c r="C37" i="12" l="1"/>
  <c r="E37" i="12" l="1"/>
  <c r="D37" i="12" s="1"/>
  <c r="C38" i="12" s="1"/>
  <c r="E38" i="12" l="1"/>
  <c r="D38" i="12" s="1"/>
  <c r="C39" i="12" s="1"/>
  <c r="E39" i="12" l="1"/>
  <c r="D39" i="12" s="1"/>
  <c r="C40" i="12" s="1"/>
  <c r="E40" i="12" l="1"/>
  <c r="D40" i="12" s="1"/>
  <c r="C41" i="12" s="1"/>
  <c r="E41" i="12" l="1"/>
  <c r="D41" i="12" s="1"/>
  <c r="C42" i="12" s="1"/>
  <c r="E42" i="12" l="1"/>
  <c r="D42" i="12" s="1"/>
  <c r="C43" i="12" s="1"/>
  <c r="E43" i="12" l="1"/>
  <c r="D43" i="12" s="1"/>
  <c r="C44" i="12" s="1"/>
  <c r="E44" i="12" l="1"/>
  <c r="D44" i="12" s="1"/>
  <c r="C45" i="12" s="1"/>
  <c r="E45" i="12" l="1"/>
  <c r="D45" i="12" s="1"/>
  <c r="C46" i="12" s="1"/>
  <c r="E46" i="12" l="1"/>
  <c r="D46" i="12" s="1"/>
  <c r="C47" i="12" s="1"/>
  <c r="E47" i="12" l="1"/>
  <c r="D47" i="12" s="1"/>
  <c r="C48" i="12" s="1"/>
  <c r="E48" i="12" l="1"/>
  <c r="D48" i="12" s="1"/>
  <c r="C49" i="12" s="1"/>
  <c r="E49" i="12" l="1"/>
  <c r="D49" i="12" s="1"/>
  <c r="C50" i="12" s="1"/>
  <c r="E50" i="12" l="1"/>
  <c r="D50" i="12" s="1"/>
  <c r="C51" i="12" s="1"/>
  <c r="E51" i="12" l="1"/>
  <c r="D51" i="12" s="1"/>
  <c r="C52" i="12" s="1"/>
  <c r="E52" i="12" l="1"/>
  <c r="D52" i="12" s="1"/>
  <c r="C53" i="12" s="1"/>
  <c r="E53" i="12" l="1"/>
  <c r="D53" i="12" s="1"/>
  <c r="C54" i="12" s="1"/>
  <c r="E54" i="12" l="1"/>
  <c r="D54" i="12" s="1"/>
  <c r="C55" i="12" s="1"/>
  <c r="E55" i="12" l="1"/>
  <c r="E56" i="12" s="1"/>
  <c r="D55" i="12"/>
  <c r="F55" i="12" l="1"/>
  <c r="F56" i="12" s="1"/>
  <c r="D56" i="12"/>
</calcChain>
</file>

<file path=xl/sharedStrings.xml><?xml version="1.0" encoding="utf-8"?>
<sst xmlns="http://schemas.openxmlformats.org/spreadsheetml/2006/main" count="626" uniqueCount="463">
  <si>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</si>
  <si>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</si>
  <si>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</si>
  <si>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</si>
  <si>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</si>
  <si>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</si>
  <si>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</si>
  <si>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</si>
  <si>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</si>
  <si>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</si>
  <si>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</si>
  <si>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</si>
  <si>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</si>
  <si>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</si>
  <si>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</si>
  <si>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</si>
  <si>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</si>
  <si>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</si>
  <si>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</si>
  <si>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</si>
  <si>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</si>
  <si>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</si>
  <si>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июля</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</si>
  <si>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</si>
  <si>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</si>
  <si>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</si>
  <si>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</si>
  <si>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</si>
  <si>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</si>
  <si>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</si>
  <si>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</si>
  <si>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</si>
  <si>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</si>
  <si>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</si>
  <si>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</si>
  <si>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</si>
  <si>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</si>
  <si>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</si>
  <si>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</si>
  <si>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</si>
  <si>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</si>
  <si>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</si>
  <si>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</si>
  <si>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</si>
  <si>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</si>
  <si>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</si>
  <si>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</si>
  <si>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</si>
  <si>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</si>
  <si>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</si>
  <si>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</si>
  <si>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</si>
  <si>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</si>
  <si>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</si>
  <si>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</si>
  <si>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</si>
  <si>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</si>
  <si>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</si>
  <si>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</si>
  <si>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</si>
  <si>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</si>
  <si>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</si>
  <si>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</si>
  <si>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</si>
  <si>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</si>
  <si>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</si>
  <si>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</si>
  <si>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</si>
  <si>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</si>
  <si>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</si>
  <si>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</si>
  <si>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</si>
  <si>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</si>
  <si>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</si>
  <si>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</si>
  <si>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</si>
  <si>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</si>
  <si>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</si>
  <si>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</si>
  <si>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</si>
  <si>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</si>
  <si>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</si>
  <si>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</si>
  <si>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</si>
  <si>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</si>
  <si>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</si>
  <si>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</si>
  <si>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</si>
  <si>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</si>
  <si>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</si>
  <si>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</si>
  <si>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</si>
  <si>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</si>
  <si>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</si>
  <si>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</si>
  <si>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</si>
  <si>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</si>
  <si>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</si>
  <si>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</si>
  <si>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</si>
  <si>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</si>
  <si>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</si>
  <si>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</si>
  <si>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</si>
  <si>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</si>
  <si>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</si>
  <si>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</si>
  <si>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</si>
  <si>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</si>
  <si>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</si>
  <si>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</si>
  <si>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</si>
  <si>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</si>
  <si>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</si>
  <si>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</si>
  <si>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</si>
  <si>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</si>
  <si>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</si>
  <si>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</si>
  <si>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</si>
  <si>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</si>
  <si>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</si>
  <si>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</si>
  <si>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</si>
  <si>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</si>
  <si>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</si>
  <si>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</si>
  <si>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</si>
  <si>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</si>
  <si>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</si>
  <si>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</si>
  <si>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</si>
  <si>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</si>
  <si>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</si>
  <si>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</si>
  <si>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</si>
  <si>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</si>
  <si>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</si>
  <si>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</si>
  <si>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</si>
  <si>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</si>
  <si>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</si>
  <si>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</si>
  <si>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</si>
  <si>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</si>
  <si>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</si>
  <si>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</si>
  <si>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</si>
  <si>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</si>
  <si>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</si>
  <si>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</si>
  <si>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</si>
  <si>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</si>
  <si>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</si>
  <si>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</si>
  <si>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</si>
  <si>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</si>
  <si>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</si>
  <si>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</si>
  <si>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</si>
  <si>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</si>
  <si>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</si>
  <si>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</si>
  <si>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</si>
  <si>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</si>
  <si>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</si>
  <si>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</si>
  <si>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</si>
  <si>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</si>
  <si>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</si>
  <si>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</si>
  <si>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</si>
  <si>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</si>
  <si>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</si>
  <si>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</si>
  <si>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</si>
  <si>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</si>
  <si>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</si>
  <si>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</si>
  <si>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</si>
  <si>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</si>
  <si>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</si>
  <si>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</si>
  <si>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</si>
  <si>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</si>
  <si>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</si>
  <si>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</si>
  <si>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</si>
  <si>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</si>
  <si>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</si>
  <si>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</si>
  <si>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</si>
  <si>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</si>
  <si>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</si>
  <si>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</si>
  <si>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</si>
  <si>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</si>
  <si>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</si>
  <si>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</si>
  <si>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</si>
  <si>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</si>
  <si>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</si>
  <si>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</si>
  <si>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</si>
  <si>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</si>
  <si>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</si>
  <si>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</si>
  <si>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</si>
  <si>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</si>
  <si>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</si>
  <si>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</si>
  <si>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</si>
  <si>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</si>
  <si>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</si>
  <si>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</si>
  <si>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</si>
  <si>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</si>
  <si>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</si>
  <si>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</si>
  <si>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</si>
  <si>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</si>
  <si>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</si>
  <si>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</si>
  <si>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</si>
  <si>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</si>
  <si>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</si>
  <si>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</si>
  <si>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</si>
  <si>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</si>
  <si>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</si>
  <si>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</si>
  <si>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</si>
  <si>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</si>
  <si>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</si>
  <si>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</si>
  <si>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</si>
  <si>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</si>
  <si>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</si>
  <si>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</si>
  <si>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</si>
  <si>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</si>
  <si>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</si>
  <si>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</si>
  <si>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</si>
  <si>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</si>
  <si>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</si>
  <si>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</si>
  <si>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</si>
  <si>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</si>
  <si>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</si>
  <si>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</si>
  <si>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</si>
  <si>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</si>
  <si>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</si>
  <si>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</si>
  <si>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</si>
  <si>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</si>
  <si>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</si>
  <si>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</si>
  <si>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</si>
  <si>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</si>
  <si>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</si>
  <si>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</si>
  <si>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</si>
  <si>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</si>
  <si>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</si>
  <si>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</si>
  <si>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</si>
  <si>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</si>
  <si>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</si>
  <si>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</si>
  <si>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</si>
  <si>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</si>
  <si>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</si>
  <si>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</si>
  <si>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</si>
  <si>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</si>
  <si>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</si>
  <si>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</si>
  <si>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</si>
  <si>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</si>
  <si>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</si>
  <si>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</si>
  <si>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</si>
  <si>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</si>
  <si>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</si>
  <si>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</si>
  <si>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</si>
  <si>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</si>
  <si>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</si>
  <si>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</si>
  <si>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</si>
  <si>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</si>
  <si>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</si>
  <si>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</si>
  <si>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</si>
  <si>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</si>
  <si>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</si>
  <si>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</si>
  <si>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</si>
  <si>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</si>
  <si>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</si>
  <si>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</si>
  <si>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</si>
  <si>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</si>
  <si>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</si>
  <si>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</si>
  <si>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</si>
  <si>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</si>
  <si>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</si>
  <si>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</si>
  <si>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</si>
  <si>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</si>
  <si>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</si>
  <si>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</si>
  <si>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</si>
  <si>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</si>
  <si>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</si>
  <si>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</si>
  <si>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</si>
  <si>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</si>
  <si>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</si>
  <si>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</si>
  <si>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</si>
  <si>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</si>
  <si>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</si>
  <si>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</si>
  <si>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</si>
  <si>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</si>
  <si>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</si>
  <si>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</si>
  <si>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</si>
  <si>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</si>
  <si>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</si>
  <si>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</si>
  <si>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</si>
  <si>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</si>
  <si>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</si>
  <si>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</si>
  <si>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</si>
  <si>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</si>
  <si>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</si>
  <si>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</si>
  <si>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</si>
  <si>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</si>
  <si>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</si>
  <si>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</si>
  <si>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</si>
  <si>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</si>
  <si>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</si>
  <si>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</si>
  <si>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</si>
  <si>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</si>
  <si>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</si>
  <si>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</si>
  <si>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</si>
  <si>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</si>
  <si>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</si>
  <si>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</si>
  <si>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</si>
  <si>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</si>
  <si>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</si>
  <si>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</si>
  <si>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</si>
  <si>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</si>
  <si>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</si>
  <si>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</si>
  <si>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</si>
  <si>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</si>
  <si>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</si>
  <si>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 kadastr raqami</t>
  </si>
  <si>
    <t>Foydalanishga topshirilgan yili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</si>
  <si>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</si>
  <si>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Процент годовой</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</si>
  <si>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</si>
  <si>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</si>
  <si>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</si>
  <si>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</si>
  <si>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5. Mikroqarz bo‘yicha ta'minot:</t>
  </si>
  <si>
    <t>ARIZA</t>
  </si>
  <si>
    <t>Mijoz plastik kartasi parametrlari</t>
  </si>
  <si>
    <t>Bank nomi:</t>
  </si>
  <si>
    <t>H/r:</t>
  </si>
  <si>
    <t>MFO:</t>
  </si>
  <si>
    <t>STIR:</t>
  </si>
  <si>
    <t>Karta raqami:</t>
  </si>
  <si>
    <t>________________</t>
  </si>
  <si>
    <t>N. Abduraximov</t>
  </si>
  <si>
    <t>sana</t>
  </si>
  <si>
    <t>_______________</t>
  </si>
  <si>
    <t>Imzolaganlar ro'yxati:</t>
  </si>
  <si>
    <t>55</t>
  </si>
  <si>
    <t>105</t>
  </si>
  <si>
    <t>dan</t>
  </si>
  <si>
    <t>Sana:</t>
  </si>
  <si>
    <t>“CLEVER MIKROMOLIYA TASHKILOTI” MChJ</t>
  </si>
  <si>
    <t>Toshkent sh, Olmazor tumani, Sag’bon ko’chasi 30-tup., 6-uy</t>
  </si>
  <si>
    <t>h/r: 2021 6000 7050 6838 0001, STIR: 306 365 847, MFO: 01042,</t>
  </si>
  <si>
    <t>“Kapitalbank” AKB Sergeli filiali</t>
  </si>
  <si>
    <t>O‘zbekiston Respublikasi</t>
  </si>
  <si>
    <t>Notarial idoralariga</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</si>
  <si>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</si>
  <si>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</si>
  <si>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TASHKILOTI» MChJ rahbari</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</si>
  <si>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</si>
  <si>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</si>
  <si>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</si>
  <si>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№20216000105068380006</t>
  </si>
  <si>
    <t>№01183</t>
  </si>
  <si>
    <t>bir yuz besh</t>
  </si>
  <si>
    <t>Toshkent sh., "ANOR BANK"</t>
  </si>
  <si>
    <t>sanasidan</t>
  </si>
  <si>
    <t xml:space="preserve">Kreditlash bo’limi boshlig’i </t>
  </si>
  <si>
    <t>Mikroqarz shartnomasining bir nusxasini oldim ______________</t>
  </si>
  <si>
    <t>Ajratilayotgan qarzning sug'urta hisobidan qoplanadigan taminot qismi</t>
  </si>
  <si>
    <t>D.Axmedov</t>
  </si>
  <si>
    <t>J.Sadiriddinzoda</t>
  </si>
  <si>
    <t>Buxoro filiali boshlig'i</t>
  </si>
  <si>
    <t>A.Xudayberdiyev</t>
  </si>
  <si>
    <t>Xudayberdiyev Alijon Ravshanovich</t>
  </si>
  <si>
    <t>АО "TRUST INSURANCE"</t>
  </si>
  <si>
    <t>B. Ismoilov</t>
  </si>
  <si>
    <t>B. Ismoilovga</t>
  </si>
  <si>
    <t>Mijoz quyidagi majburiyatlarga ega: TOSHKЕNT Sh., AT XALK BANKI BOSH AMALIYOTLAR BOSHKARMASI 6 685 866.00 SO'M. BUXORO Sh., "IPAK YULI" AIT BANKI BUXORO FILIALI 84 559 143.00 SO'M.  Ayni paytda muddati o'tgan qarzdorligi mavjud emas. O‘rtacha oylik to‘lov 3 467 660.02 so‘mni tashkil qiladi</t>
  </si>
  <si>
    <t>YENGIL SEDAN</t>
  </si>
  <si>
    <t>RAKAMSIZ</t>
  </si>
  <si>
    <t>XAMRAYEVA XUSHVAXT GAYBULLAYEVNA</t>
  </si>
  <si>
    <t>XAMRAYEVA X.G.</t>
  </si>
  <si>
    <t>09.03.1962 y</t>
  </si>
  <si>
    <t>AB 5708016</t>
  </si>
  <si>
    <t>BUXORO VILOYATI BUXORO SHAHAR IIB</t>
  </si>
  <si>
    <t>BUXORO VILOYATI BUXORO SHAHRI RUXSHOBOD KO'CHASI</t>
  </si>
  <si>
    <t>91 409 21 05  UZI</t>
  </si>
  <si>
    <t>AMIRON TO'YXONA</t>
  </si>
  <si>
    <t>BUXORO SHAHRI</t>
  </si>
  <si>
    <t>99 330 32 62 O'G'LI</t>
  </si>
  <si>
    <t>50 003 06 46 O'G'LI</t>
  </si>
  <si>
    <t>BUXORO VILOYATI BUXORO SHAHRI BOG'ISHAMOL KO'CHASI 1/7-UY 1-XONA</t>
  </si>
  <si>
    <t>POSHSHAXANOVA NOZIMA ISMOILOVNA</t>
  </si>
  <si>
    <t>POSHSHAXANOVA N.I.</t>
  </si>
  <si>
    <t>TURDIYEVA DURDONA XIKMATOVNA</t>
  </si>
  <si>
    <t>2026023772000213</t>
  </si>
  <si>
    <t>18.05.1989 y</t>
  </si>
  <si>
    <t>AD 7831291</t>
  </si>
  <si>
    <t>TOSHKENT SHAHAR YASHNOBOD TUMANI DAVLAT XIZMATLARIMARKAZI  tomonidan 11.07.2024 yilda berilgan</t>
  </si>
  <si>
    <t>NAMANGAN VILOYATI CHORTOQ TUMANI ALIXON SHFY ALIXON MFY ROXAT KO'CHASI 31-UY</t>
  </si>
  <si>
    <t xml:space="preserve">BUXORO VILOYATI RO' VA IOB </t>
  </si>
  <si>
    <t>AAG  0885005    03.02.2023</t>
  </si>
  <si>
    <t>CHEVROLET SPARK</t>
  </si>
  <si>
    <t>50P697RA</t>
  </si>
  <si>
    <t>XWBMA48N1JA528481</t>
  </si>
  <si>
    <t>B12D211181167HB9X0266</t>
  </si>
  <si>
    <t>OQ BELO DIMCHATIY</t>
  </si>
  <si>
    <t>2018</t>
  </si>
  <si>
    <t>Kapital bank</t>
  </si>
  <si>
    <t>2312 0000 5000 0115 8013</t>
  </si>
  <si>
    <t>01158</t>
  </si>
  <si>
    <t>207275139</t>
  </si>
  <si>
    <t>5614 6822 1670 4793</t>
  </si>
  <si>
    <t>№195-BRS</t>
  </si>
  <si>
    <t>23.01.2026</t>
  </si>
  <si>
    <t>«CLEVER MIKROMOLIYA TASHKILOTI» MChJ ijrochi direktori</t>
  </si>
  <si>
    <t>ijrochi direktori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</si>
</sst>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 _₽_-;\-* #,##0.00\ _₽_-;_-* &quot;-&quot;??\ _₽_-;_-@_-"/>
    <numFmt numFmtId="164" formatCode="_-* #,##0_-;\-* #,##0_-;_-* &quot;-&quot;_-;_-@_-"/>
    <numFmt numFmtId="165" formatCode="_-* #,##0.00_-;\-* #,##0.00_-;_-* &quot;-&quot;??_-;_-@_-"/>
    <numFmt numFmtId="166" formatCode="[$-F800]dddd\,\ mmmm\ dd\,\ yyyy"/>
    <numFmt numFmtId="167" formatCode="_-* #,##0.0000\ _₽_-;\-* #,##0.0000\ _₽_-;_-* &quot;-&quot;??\ _₽_-;_-@_-"/>
    <numFmt numFmtId="168" formatCode="_-* #,##0.000\ _₽_-;\-* #,##0.000\ _₽_-;_-* &quot;-&quot;??\ _₽_-;_-@_-"/>
    <numFmt numFmtId="169" formatCode="ddd"/>
    <numFmt numFmtId="170" formatCode="dd\.mm\.yyyy"/>
    <numFmt numFmtId="171" formatCode="_-* #\ ##0.00\ _₽_-;\-* #\ ##0.00\ _₽_-;_-* &quot;-&quot;??\ _₽_-;_-@_-"/>
    <numFmt numFmtId="172" formatCode="_-* #\ ##0.00_-;\-* #\ ##0.00_-;_-* &quot;-&quot;??_-;_-@_-"/>
  </numFmts>
  <fonts count="7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b/>
      <u/>
      <sz val="12"/>
      <name val="Times New Roman"/>
      <family val="1"/>
      <charset val="204"/>
    </font>
    <font>
      <b/>
      <sz val="12"/>
      <name val="Times New Roman"/>
      <family val="1"/>
      <charset val="204"/>
    </font>
    <font>
      <sz val="11"/>
      <color theme="1"/>
      <name val="Arial"/>
      <family val="2"/>
      <charset val="204"/>
    </font>
    <font>
      <sz val="22"/>
      <color rgb="FFFF0000"/>
      <name val="Arial"/>
      <family val="2"/>
      <charset val="204"/>
    </font>
    <font>
      <sz val="12"/>
      <color theme="0"/>
      <name val="Times New Roman"/>
      <family val="1"/>
      <charset val="204"/>
    </font>
    <font>
      <sz val="9"/>
      <color theme="1"/>
      <name val="Times New Roman"/>
      <family val="1"/>
      <charset val="204"/>
    </font>
    <font>
      <sz val="11"/>
      <color rgb="FF8C0101"/>
      <name val="Times New Roman"/>
      <family val="1"/>
      <charset val="204"/>
    </font>
    <font>
      <sz val="11"/>
      <color theme="1"/>
      <name val="Calibri"/>
      <family val="2"/>
      <charset val="204"/>
      <scheme val="minor"/>
    </font>
    <font>
      <sz val="11"/>
      <color theme="1"/>
      <name val="Calibri"/>
      <family val="2"/>
      <charset val="204"/>
      <scheme val="minor"/>
    </font>
    <font>
      <sz val="11"/>
      <name val="Calibri"/>
      <family val="2"/>
      <charset val="204"/>
    </font>
    <font>
      <sz val="11"/>
      <color theme="1"/>
      <name val="Arial"/>
      <charset val="204"/>
    </font>
    <font>
      <b/>
      <sz val="14"/>
      <color theme="1"/>
      <name val="Arial"/>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s>
  <cellStyleXfs count="8651">
    <xf numFmtId="0" fontId="0"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6" fillId="0" borderId="0">
      <alignment vertical="center"/>
    </xf>
    <xf numFmtId="0" fontId="56" fillId="0" borderId="0">
      <alignment vertical="center"/>
    </xf>
    <xf numFmtId="165" fontId="1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9"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4"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5" fillId="0" borderId="0"/>
    <xf numFmtId="0" fontId="66" fillId="0" borderId="0"/>
    <xf numFmtId="172" fontId="65" fillId="0" borderId="0" applyFont="0" applyFill="0" applyBorder="0" applyAlignment="0" applyProtection="0"/>
    <xf numFmtId="172" fontId="65" fillId="0" borderId="0" applyFont="0" applyFill="0" applyBorder="0" applyAlignment="0" applyProtection="0"/>
    <xf numFmtId="0" fontId="66" fillId="0" borderId="0"/>
    <xf numFmtId="172" fontId="65" fillId="0" borderId="0" applyFont="0" applyFill="0" applyBorder="0" applyAlignment="0" applyProtection="0"/>
    <xf numFmtId="172" fontId="65" fillId="0" borderId="0" applyFont="0" applyFill="0" applyBorder="0" applyAlignment="0" applyProtection="0"/>
    <xf numFmtId="0" fontId="67" fillId="0" borderId="0">
      <alignment vertical="center"/>
    </xf>
    <xf numFmtId="0" fontId="66" fillId="0" borderId="0"/>
    <xf numFmtId="172" fontId="65" fillId="0" borderId="0" applyFont="0" applyFill="0" applyBorder="0" applyAlignment="0" applyProtection="0"/>
    <xf numFmtId="0" fontId="66" fillId="0" borderId="0"/>
    <xf numFmtId="0" fontId="66" fillId="0" borderId="0"/>
    <xf numFmtId="0" fontId="66" fillId="0" borderId="0"/>
    <xf numFmtId="0" fontId="66" fillId="0" borderId="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0" fontId="67" fillId="0" borderId="0">
      <alignment vertical="center"/>
    </xf>
    <xf numFmtId="172" fontId="65" fillId="0" borderId="0" applyFont="0" applyFill="0" applyBorder="0" applyAlignment="0" applyProtection="0"/>
    <xf numFmtId="0" fontId="66" fillId="0" borderId="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172" fontId="65" fillId="0" borderId="0" applyFont="0" applyFill="0" applyBorder="0" applyAlignment="0" applyProtection="0"/>
    <xf numFmtId="9" fontId="65"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4" fontId="1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4" fontId="1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2" fontId="2" fillId="0" borderId="0" applyFont="0" applyFill="0" applyBorder="0" applyAlignment="0" applyProtection="0"/>
    <xf numFmtId="172" fontId="2" fillId="0" borderId="0" applyFont="0" applyFill="0" applyBorder="0" applyAlignment="0" applyProtection="0"/>
    <xf numFmtId="0" fontId="2" fillId="0" borderId="0"/>
    <xf numFmtId="172" fontId="2" fillId="0" borderId="0" applyFont="0" applyFill="0" applyBorder="0" applyAlignment="0" applyProtection="0"/>
    <xf numFmtId="172" fontId="2" fillId="0" borderId="0" applyFont="0" applyFill="0" applyBorder="0" applyAlignment="0" applyProtection="0"/>
    <xf numFmtId="0" fontId="56" fillId="0" borderId="0">
      <alignment vertical="center"/>
    </xf>
    <xf numFmtId="0" fontId="2" fillId="0" borderId="0"/>
    <xf numFmtId="172" fontId="2" fillId="0" borderId="0" applyFont="0" applyFill="0" applyBorder="0" applyAlignment="0" applyProtection="0"/>
    <xf numFmtId="0" fontId="2" fillId="0" borderId="0"/>
    <xf numFmtId="0" fontId="2" fillId="0" borderId="0"/>
    <xf numFmtId="0" fontId="2" fillId="0" borderId="0"/>
    <xf numFmtId="0" fontId="2" fillId="0" borderId="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0" fontId="56" fillId="0" borderId="0">
      <alignment vertical="center"/>
    </xf>
    <xf numFmtId="172" fontId="2" fillId="0" borderId="0" applyFont="0" applyFill="0" applyBorder="0" applyAlignment="0" applyProtection="0"/>
    <xf numFmtId="0" fontId="2" fillId="0" borderId="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9" fontId="2"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4"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9" fontId="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cellStyleXfs>
  <cellXfs count="391">
    <xf numFmtId="0" fontId="0" fillId="0" borderId="0" xfId="0"/>
    <xf numFmtId="0" fontId="12" fillId="0" borderId="1" xfId="0" applyFont="1" applyBorder="1" applyAlignment="1">
      <alignment vertical="center" wrapText="1"/>
    </xf>
    <xf numFmtId="49" fontId="12" fillId="0" borderId="1" xfId="0" applyNumberFormat="1" applyFont="1" applyBorder="1" applyAlignment="1">
      <alignment vertical="center" wrapText="1"/>
    </xf>
    <xf numFmtId="0" fontId="13" fillId="2" borderId="1" xfId="0" applyFont="1" applyFill="1" applyBorder="1" applyAlignment="1">
      <alignment vertical="center" wrapText="1"/>
    </xf>
    <xf numFmtId="166" fontId="12" fillId="0" borderId="1" xfId="0" applyNumberFormat="1" applyFont="1" applyBorder="1" applyAlignment="1">
      <alignment vertical="center" wrapText="1"/>
    </xf>
    <xf numFmtId="165" fontId="12" fillId="0" borderId="1" xfId="1" applyFont="1" applyBorder="1" applyAlignment="1">
      <alignment vertical="center" wrapText="1"/>
    </xf>
    <xf numFmtId="0" fontId="14" fillId="0" borderId="0" xfId="0" applyFont="1"/>
    <xf numFmtId="0" fontId="16" fillId="2" borderId="1" xfId="0" applyFont="1" applyFill="1" applyBorder="1" applyAlignment="1">
      <alignment horizontal="left" vertical="center" wrapText="1"/>
    </xf>
    <xf numFmtId="0" fontId="16" fillId="2" borderId="1" xfId="0" applyFont="1" applyFill="1" applyBorder="1" applyAlignment="1">
      <alignment horizontal="center" vertical="center" wrapText="1"/>
    </xf>
    <xf numFmtId="0" fontId="18" fillId="0" borderId="0" xfId="0" applyFont="1" applyAlignment="1" applyProtection="1">
      <alignment horizontal="center" vertical="top"/>
      <protection hidden="1"/>
    </xf>
    <xf numFmtId="0" fontId="18" fillId="0" borderId="0" xfId="0" applyFont="1" applyAlignment="1" applyProtection="1">
      <alignment horizontal="center" vertical="center"/>
      <protection hidden="1"/>
    </xf>
    <xf numFmtId="0" fontId="15" fillId="0" borderId="0" xfId="0" applyFont="1"/>
    <xf numFmtId="0" fontId="15" fillId="0" borderId="0" xfId="0" applyFont="1" applyAlignment="1">
      <alignment horizontal="right"/>
    </xf>
    <xf numFmtId="0" fontId="19" fillId="0" borderId="0" xfId="0" applyFont="1"/>
    <xf numFmtId="0" fontId="19" fillId="0" borderId="0" xfId="0" applyFont="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xf numFmtId="0" fontId="19" fillId="0" borderId="0" xfId="0" applyFont="1" applyAlignment="1">
      <alignment horizontal="justify" vertical="top" wrapText="1"/>
    </xf>
    <xf numFmtId="0" fontId="19" fillId="0" borderId="0" xfId="0" applyFont="1" applyAlignment="1">
      <alignment wrapText="1"/>
    </xf>
    <xf numFmtId="0" fontId="19" fillId="0" borderId="0" xfId="0" applyFont="1" applyAlignment="1">
      <alignment vertical="top" wrapText="1"/>
    </xf>
    <xf numFmtId="0" fontId="19" fillId="0" borderId="0" xfId="0" applyFont="1" applyAlignment="1">
      <alignment vertical="center" wrapText="1"/>
    </xf>
    <xf numFmtId="0" fontId="22" fillId="0" borderId="0" xfId="0" applyFont="1"/>
    <xf numFmtId="0" fontId="21" fillId="0" borderId="1" xfId="0" applyFont="1" applyBorder="1" applyAlignment="1">
      <alignment horizontal="center" vertical="center" wrapText="1"/>
    </xf>
    <xf numFmtId="0" fontId="21" fillId="0" borderId="0" xfId="0" applyFont="1" applyAlignment="1">
      <alignment horizontal="center" vertical="center" wrapText="1"/>
    </xf>
    <xf numFmtId="0" fontId="22" fillId="0" borderId="1" xfId="0" applyFont="1" applyBorder="1" applyAlignment="1">
      <alignment horizontal="center" vertical="top" wrapText="1"/>
    </xf>
    <xf numFmtId="165" fontId="22" fillId="0" borderId="1" xfId="1" applyFont="1" applyBorder="1" applyAlignment="1">
      <alignment horizontal="center" vertical="top" wrapText="1"/>
    </xf>
    <xf numFmtId="0" fontId="21" fillId="0" borderId="1" xfId="0" applyFont="1" applyBorder="1" applyAlignment="1">
      <alignment horizontal="center" vertical="top" wrapText="1"/>
    </xf>
    <xf numFmtId="165" fontId="21" fillId="0" borderId="1" xfId="0" applyNumberFormat="1" applyFont="1" applyBorder="1" applyAlignment="1">
      <alignment horizontal="center" vertical="top" wrapText="1"/>
    </xf>
    <xf numFmtId="0" fontId="21" fillId="0" borderId="0" xfId="0" applyFont="1"/>
    <xf numFmtId="0" fontId="14" fillId="0" borderId="0" xfId="0" applyFont="1" applyAlignment="1">
      <alignment horizontal="left"/>
    </xf>
    <xf numFmtId="14" fontId="19" fillId="0" borderId="1" xfId="0" applyNumberFormat="1" applyFont="1" applyBorder="1"/>
    <xf numFmtId="165" fontId="19" fillId="0" borderId="1" xfId="1" applyFont="1" applyBorder="1"/>
    <xf numFmtId="14" fontId="19" fillId="0" borderId="0" xfId="0" applyNumberFormat="1" applyFont="1"/>
    <xf numFmtId="165" fontId="19" fillId="0" borderId="0" xfId="1" applyFont="1" applyBorder="1"/>
    <xf numFmtId="0" fontId="20" fillId="0" borderId="0" xfId="0" applyFont="1"/>
    <xf numFmtId="0" fontId="20" fillId="0" borderId="0" xfId="0" applyFont="1" applyAlignment="1">
      <alignment horizontal="right"/>
    </xf>
    <xf numFmtId="0" fontId="20" fillId="0" borderId="1" xfId="0" applyFont="1" applyBorder="1" applyAlignment="1">
      <alignment horizontal="center" vertical="center" wrapText="1"/>
    </xf>
    <xf numFmtId="0" fontId="20" fillId="0" borderId="0" xfId="0" applyFont="1" applyAlignment="1">
      <alignment horizontal="center"/>
    </xf>
    <xf numFmtId="0" fontId="27" fillId="0" borderId="0" xfId="0" applyFont="1" applyAlignment="1">
      <alignment horizontal="center" wrapText="1"/>
    </xf>
    <xf numFmtId="0" fontId="19" fillId="0" borderId="0" xfId="0" applyFont="1" applyAlignment="1">
      <alignment horizontal="center" wrapText="1"/>
    </xf>
    <xf numFmtId="0" fontId="26" fillId="0" borderId="0" xfId="0" applyFont="1" applyAlignment="1">
      <alignment horizontal="center" wrapText="1"/>
    </xf>
    <xf numFmtId="0" fontId="19" fillId="0" borderId="8" xfId="0" applyFont="1" applyBorder="1" applyAlignment="1">
      <alignment horizontal="center" wrapText="1"/>
    </xf>
    <xf numFmtId="0" fontId="19" fillId="0" borderId="9" xfId="0" applyFont="1" applyBorder="1" applyAlignment="1">
      <alignment horizontal="center" wrapText="1"/>
    </xf>
    <xf numFmtId="0" fontId="20" fillId="0" borderId="1" xfId="0" applyFont="1" applyBorder="1"/>
    <xf numFmtId="14" fontId="20" fillId="0" borderId="1" xfId="0" applyNumberFormat="1" applyFont="1" applyBorder="1"/>
    <xf numFmtId="165" fontId="20" fillId="0" borderId="1" xfId="1" applyFont="1" applyBorder="1"/>
    <xf numFmtId="0" fontId="12" fillId="4" borderId="1" xfId="0" applyFont="1" applyFill="1" applyBorder="1" applyAlignment="1">
      <alignment vertical="center" wrapText="1"/>
    </xf>
    <xf numFmtId="0" fontId="20" fillId="0" borderId="0" xfId="0" applyFont="1" applyAlignment="1">
      <alignment horizontal="center" vertical="center" wrapText="1"/>
    </xf>
    <xf numFmtId="165" fontId="32" fillId="0" borderId="1" xfId="1" applyFont="1" applyBorder="1"/>
    <xf numFmtId="165" fontId="12" fillId="4" borderId="1" xfId="1" applyFont="1" applyFill="1" applyBorder="1" applyAlignment="1">
      <alignment vertical="center" wrapText="1"/>
    </xf>
    <xf numFmtId="0" fontId="19" fillId="0" borderId="0" xfId="0" applyFont="1" applyAlignment="1">
      <alignment horizontal="left" vertical="top" wrapText="1"/>
    </xf>
    <xf numFmtId="0" fontId="19" fillId="0" borderId="8" xfId="0" applyFont="1" applyBorder="1" applyAlignment="1">
      <alignment wrapText="1"/>
    </xf>
    <xf numFmtId="0" fontId="19" fillId="0" borderId="9" xfId="0" applyFont="1" applyBorder="1" applyAlignment="1">
      <alignment wrapText="1"/>
    </xf>
    <xf numFmtId="166" fontId="31" fillId="2" borderId="1" xfId="0" applyNumberFormat="1" applyFont="1" applyFill="1" applyBorder="1" applyAlignment="1">
      <alignment vertical="center" wrapText="1"/>
    </xf>
    <xf numFmtId="166" fontId="12" fillId="2" borderId="1" xfId="0" applyNumberFormat="1" applyFont="1" applyFill="1" applyBorder="1" applyAlignment="1">
      <alignment vertical="center" wrapText="1"/>
    </xf>
    <xf numFmtId="0" fontId="12"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5" fillId="4" borderId="1" xfId="0" applyFont="1" applyFill="1" applyBorder="1"/>
    <xf numFmtId="0" fontId="15" fillId="0" borderId="0" xfId="0" applyFont="1" applyAlignment="1">
      <alignment horizontal="center" vertical="center" wrapText="1"/>
    </xf>
    <xf numFmtId="0" fontId="15" fillId="0" borderId="0" xfId="0" applyFont="1" applyAlignment="1">
      <alignment horizontal="center"/>
    </xf>
    <xf numFmtId="0" fontId="14" fillId="0" borderId="0" xfId="0" applyFont="1" applyAlignment="1">
      <alignment horizontal="center" vertical="center"/>
    </xf>
    <xf numFmtId="165" fontId="12" fillId="4" borderId="3" xfId="1" applyFont="1" applyFill="1" applyBorder="1" applyAlignment="1">
      <alignment vertical="center" wrapText="1"/>
    </xf>
    <xf numFmtId="0" fontId="13" fillId="2" borderId="1" xfId="0" applyFont="1" applyFill="1" applyBorder="1" applyAlignment="1">
      <alignment horizontal="right" vertical="center" wrapText="1"/>
    </xf>
    <xf numFmtId="0" fontId="14" fillId="0" borderId="0" xfId="0" applyFont="1" applyAlignment="1">
      <alignment vertical="top" wrapText="1"/>
    </xf>
    <xf numFmtId="0" fontId="15" fillId="0" borderId="0" xfId="0" applyFont="1" applyAlignment="1">
      <alignment horizontal="center" wrapText="1"/>
    </xf>
    <xf numFmtId="0" fontId="14" fillId="0" borderId="0" xfId="0" applyFont="1" applyAlignment="1">
      <alignment vertical="top"/>
    </xf>
    <xf numFmtId="0" fontId="12" fillId="6" borderId="1" xfId="0" applyFont="1" applyFill="1" applyBorder="1" applyAlignment="1">
      <alignment vertical="center" wrapText="1"/>
    </xf>
    <xf numFmtId="166" fontId="12" fillId="2" borderId="1" xfId="0" applyNumberFormat="1" applyFont="1" applyFill="1" applyBorder="1" applyAlignment="1">
      <alignment horizontal="left" vertical="center" wrapText="1"/>
    </xf>
    <xf numFmtId="14" fontId="12" fillId="6" borderId="1" xfId="0" applyNumberFormat="1" applyFont="1" applyFill="1" applyBorder="1" applyAlignment="1">
      <alignment vertical="center" wrapText="1"/>
    </xf>
    <xf numFmtId="166" fontId="12" fillId="6" borderId="1" xfId="0" applyNumberFormat="1" applyFont="1" applyFill="1" applyBorder="1" applyAlignment="1">
      <alignment vertical="center" wrapText="1"/>
    </xf>
    <xf numFmtId="9" fontId="12" fillId="7" borderId="1" xfId="0" applyNumberFormat="1" applyFont="1" applyFill="1" applyBorder="1" applyAlignment="1">
      <alignment vertical="center" wrapText="1"/>
    </xf>
    <xf numFmtId="49" fontId="12" fillId="7" borderId="1" xfId="1" applyNumberFormat="1" applyFont="1" applyFill="1" applyBorder="1" applyAlignment="1">
      <alignment vertical="center" wrapText="1"/>
    </xf>
    <xf numFmtId="40" fontId="12" fillId="7" borderId="1" xfId="1" applyNumberFormat="1" applyFont="1" applyFill="1" applyBorder="1" applyAlignment="1">
      <alignment vertical="center" wrapText="1"/>
    </xf>
    <xf numFmtId="0" fontId="13" fillId="2" borderId="1" xfId="0" applyFont="1" applyFill="1" applyBorder="1" applyAlignment="1">
      <alignment horizontal="center" vertical="center" wrapText="1"/>
    </xf>
    <xf numFmtId="49" fontId="12" fillId="4" borderId="1" xfId="0" applyNumberFormat="1" applyFont="1" applyFill="1" applyBorder="1" applyAlignment="1">
      <alignment horizontal="left" vertical="center" wrapText="1"/>
    </xf>
    <xf numFmtId="0" fontId="38" fillId="0" borderId="0" xfId="0" applyFont="1"/>
    <xf numFmtId="0" fontId="32" fillId="0" borderId="0" xfId="0" applyFont="1"/>
    <xf numFmtId="0" fontId="38" fillId="0" borderId="0" xfId="0" applyFont="1" applyAlignment="1">
      <alignment horizontal="right"/>
    </xf>
    <xf numFmtId="43" fontId="32" fillId="0" borderId="0" xfId="0" applyNumberFormat="1" applyFont="1"/>
    <xf numFmtId="167" fontId="32" fillId="0" borderId="0" xfId="0" applyNumberFormat="1" applyFont="1"/>
    <xf numFmtId="0" fontId="32" fillId="0" borderId="1" xfId="0" applyFont="1" applyBorder="1" applyAlignment="1">
      <alignment horizontal="center" vertical="center" wrapText="1"/>
    </xf>
    <xf numFmtId="0" fontId="32" fillId="0" borderId="0" xfId="0" applyFont="1" applyAlignment="1">
      <alignment horizontal="center" vertical="center" wrapText="1"/>
    </xf>
    <xf numFmtId="0" fontId="32" fillId="0" borderId="1" xfId="0" applyFont="1" applyBorder="1"/>
    <xf numFmtId="14" fontId="32" fillId="0" borderId="1" xfId="0" applyNumberFormat="1" applyFont="1" applyBorder="1"/>
    <xf numFmtId="168" fontId="32" fillId="0" borderId="0" xfId="0" applyNumberFormat="1" applyFont="1"/>
    <xf numFmtId="0" fontId="38" fillId="0" borderId="1" xfId="0" applyFont="1" applyBorder="1"/>
    <xf numFmtId="14" fontId="38" fillId="0" borderId="1" xfId="0" applyNumberFormat="1" applyFont="1" applyBorder="1"/>
    <xf numFmtId="165" fontId="38" fillId="0" borderId="1" xfId="1" applyFont="1" applyBorder="1"/>
    <xf numFmtId="14" fontId="32" fillId="0" borderId="0" xfId="0" applyNumberFormat="1" applyFont="1"/>
    <xf numFmtId="165" fontId="32" fillId="0" borderId="0" xfId="1" applyFont="1" applyBorder="1"/>
    <xf numFmtId="14" fontId="31" fillId="5" borderId="0" xfId="0" applyNumberFormat="1" applyFont="1" applyFill="1"/>
    <xf numFmtId="0" fontId="31" fillId="5" borderId="0" xfId="0" applyFont="1" applyFill="1"/>
    <xf numFmtId="0" fontId="31" fillId="0" borderId="0" xfId="0" applyFont="1"/>
    <xf numFmtId="169" fontId="41" fillId="5" borderId="0" xfId="0" applyNumberFormat="1" applyFont="1" applyFill="1"/>
    <xf numFmtId="0" fontId="31" fillId="4" borderId="0" xfId="0" applyFont="1" applyFill="1"/>
    <xf numFmtId="1" fontId="31" fillId="5" borderId="0" xfId="0" applyNumberFormat="1" applyFont="1" applyFill="1"/>
    <xf numFmtId="49" fontId="32" fillId="0" borderId="0" xfId="0" applyNumberFormat="1" applyFont="1" applyAlignment="1">
      <alignment horizontal="right"/>
    </xf>
    <xf numFmtId="0" fontId="42" fillId="0" borderId="0" xfId="0" applyFont="1" applyAlignment="1">
      <alignment vertical="center"/>
    </xf>
    <xf numFmtId="0" fontId="43" fillId="0" borderId="0" xfId="0" applyFont="1" applyAlignment="1">
      <alignment horizontal="right" vertical="center"/>
    </xf>
    <xf numFmtId="0" fontId="43" fillId="0" borderId="0" xfId="0" applyFont="1" applyAlignment="1">
      <alignment horizontal="right" vertical="center" wrapText="1"/>
    </xf>
    <xf numFmtId="165" fontId="19" fillId="0" borderId="1" xfId="1" applyFont="1" applyBorder="1" applyAlignment="1">
      <alignment horizontal="center" vertical="top" wrapText="1"/>
    </xf>
    <xf numFmtId="0" fontId="44" fillId="7" borderId="1" xfId="0" applyFont="1" applyFill="1" applyBorder="1"/>
    <xf numFmtId="0" fontId="44" fillId="0" borderId="0" xfId="0" applyFont="1"/>
    <xf numFmtId="0" fontId="0" fillId="4" borderId="1" xfId="0" applyFill="1" applyBorder="1"/>
    <xf numFmtId="14" fontId="0" fillId="4" borderId="1" xfId="0" applyNumberFormat="1" applyFill="1" applyBorder="1"/>
    <xf numFmtId="165" fontId="0" fillId="4" borderId="1" xfId="1" applyFont="1" applyFill="1" applyBorder="1"/>
    <xf numFmtId="0" fontId="31" fillId="4" borderId="1" xfId="0" applyFont="1" applyFill="1" applyBorder="1"/>
    <xf numFmtId="0" fontId="44" fillId="7" borderId="1" xfId="0" applyFont="1" applyFill="1" applyBorder="1" applyAlignment="1">
      <alignment horizontal="center" vertical="center" wrapText="1"/>
    </xf>
    <xf numFmtId="0" fontId="0" fillId="0" borderId="0" xfId="0" applyAlignment="1">
      <alignment horizontal="center" vertical="center" wrapText="1"/>
    </xf>
    <xf numFmtId="43" fontId="0" fillId="0" borderId="0" xfId="0" applyNumberFormat="1"/>
    <xf numFmtId="0" fontId="33" fillId="0" borderId="0" xfId="0" applyFont="1" applyAlignment="1">
      <alignment horizontal="right"/>
    </xf>
    <xf numFmtId="0" fontId="33" fillId="0" borderId="0" xfId="0" applyFont="1" applyAlignment="1">
      <alignment horizontal="justify"/>
    </xf>
    <xf numFmtId="0" fontId="33" fillId="0" borderId="0" xfId="0" applyFont="1" applyAlignment="1">
      <alignment horizontal="justify" vertical="center"/>
    </xf>
    <xf numFmtId="0" fontId="33" fillId="0" borderId="1" xfId="0" applyFont="1" applyBorder="1" applyAlignment="1">
      <alignment horizontal="justify"/>
    </xf>
    <xf numFmtId="0" fontId="33" fillId="0" borderId="0" xfId="0" applyFont="1" applyAlignment="1">
      <alignment horizontal="justify" vertical="center" wrapText="1"/>
    </xf>
    <xf numFmtId="0" fontId="33" fillId="0" borderId="0" xfId="0" applyFont="1" applyAlignment="1">
      <alignment horizontal="left"/>
    </xf>
    <xf numFmtId="0" fontId="33" fillId="0" borderId="11" xfId="0" applyFont="1" applyBorder="1" applyAlignment="1">
      <alignment horizontal="center"/>
    </xf>
    <xf numFmtId="0" fontId="33" fillId="0" borderId="0" xfId="0" applyFont="1" applyAlignment="1">
      <alignment horizontal="center"/>
    </xf>
    <xf numFmtId="0" fontId="12" fillId="3" borderId="1" xfId="0" applyFont="1" applyFill="1" applyBorder="1" applyAlignment="1">
      <alignment horizontal="center" vertical="center" wrapText="1"/>
    </xf>
    <xf numFmtId="0" fontId="19" fillId="0" borderId="0" xfId="0" applyFont="1" applyAlignment="1">
      <alignment vertical="top"/>
    </xf>
    <xf numFmtId="0" fontId="20" fillId="0" borderId="0" xfId="0" applyFont="1" applyAlignment="1">
      <alignment horizontal="left" vertical="center" wrapText="1"/>
    </xf>
    <xf numFmtId="0" fontId="20" fillId="0" borderId="0" xfId="0" applyFont="1" applyAlignment="1">
      <alignment horizontal="right" vertical="center" wrapText="1"/>
    </xf>
    <xf numFmtId="0" fontId="0" fillId="0" borderId="0" xfId="0" applyAlignment="1">
      <alignment horizontal="left" vertical="center"/>
    </xf>
    <xf numFmtId="0" fontId="19" fillId="0" borderId="0" xfId="0" applyFont="1" applyAlignment="1">
      <alignment horizontal="left" vertical="center" wrapText="1"/>
    </xf>
    <xf numFmtId="0" fontId="19" fillId="0" borderId="0" xfId="0" applyFont="1" applyAlignment="1">
      <alignment horizontal="right"/>
    </xf>
    <xf numFmtId="0" fontId="13" fillId="6" borderId="1" xfId="0" applyFont="1" applyFill="1" applyBorder="1" applyAlignment="1">
      <alignment horizontal="left" vertical="center" wrapText="1"/>
    </xf>
    <xf numFmtId="0" fontId="13" fillId="6" borderId="1" xfId="0" applyFont="1" applyFill="1" applyBorder="1" applyAlignment="1">
      <alignment vertical="center" wrapText="1"/>
    </xf>
    <xf numFmtId="0" fontId="16" fillId="4" borderId="1" xfId="0" applyFont="1" applyFill="1" applyBorder="1" applyAlignment="1">
      <alignment horizontal="center" vertical="center" wrapText="1"/>
    </xf>
    <xf numFmtId="0" fontId="22" fillId="0" borderId="0" xfId="0" applyFont="1" applyAlignment="1">
      <alignment wrapText="1"/>
    </xf>
    <xf numFmtId="166" fontId="22" fillId="0" borderId="0" xfId="0" applyNumberFormat="1" applyFont="1"/>
    <xf numFmtId="0" fontId="21" fillId="0" borderId="0" xfId="0" applyFont="1" applyAlignment="1">
      <alignment vertical="center" wrapText="1"/>
    </xf>
    <xf numFmtId="0" fontId="21" fillId="0" borderId="0" xfId="0" applyFont="1" applyAlignment="1">
      <alignment horizontal="left"/>
    </xf>
    <xf numFmtId="0" fontId="15" fillId="0" borderId="0" xfId="0" applyFont="1" applyAlignment="1">
      <alignment horizontal="left"/>
    </xf>
    <xf numFmtId="0" fontId="12" fillId="4" borderId="3" xfId="0" applyFont="1" applyFill="1" applyBorder="1" applyAlignment="1">
      <alignment vertical="center" wrapText="1"/>
    </xf>
    <xf numFmtId="0" fontId="22" fillId="0" borderId="0" xfId="0" applyFont="1" applyAlignment="1">
      <alignment horizontal="center" vertical="top" wrapText="1"/>
    </xf>
    <xf numFmtId="0" fontId="46" fillId="2" borderId="1" xfId="0" applyFont="1" applyFill="1" applyBorder="1" applyAlignment="1">
      <alignment vertical="center" wrapText="1"/>
    </xf>
    <xf numFmtId="0" fontId="12" fillId="9" borderId="1" xfId="0" applyFont="1" applyFill="1" applyBorder="1" applyAlignment="1">
      <alignment vertical="center" wrapText="1"/>
    </xf>
    <xf numFmtId="0" fontId="10" fillId="0" borderId="0" xfId="0" applyFont="1"/>
    <xf numFmtId="0" fontId="47" fillId="0" borderId="0" xfId="0" applyFont="1" applyAlignment="1">
      <alignment vertical="center"/>
    </xf>
    <xf numFmtId="0" fontId="48" fillId="0" borderId="0" xfId="0" applyFont="1" applyAlignment="1">
      <alignment wrapText="1"/>
    </xf>
    <xf numFmtId="0" fontId="14" fillId="0" borderId="0" xfId="0" applyFont="1" applyAlignment="1">
      <alignment wrapText="1"/>
    </xf>
    <xf numFmtId="0" fontId="50" fillId="0" borderId="0" xfId="0" applyFont="1"/>
    <xf numFmtId="0" fontId="15" fillId="0" borderId="0" xfId="0" applyFont="1" applyAlignment="1">
      <alignment horizontal="left" vertical="center" wrapText="1"/>
    </xf>
    <xf numFmtId="0" fontId="14" fillId="0" borderId="0" xfId="0" applyFont="1" applyAlignment="1">
      <alignment horizontal="left" vertical="top" wrapText="1"/>
    </xf>
    <xf numFmtId="0" fontId="36" fillId="0" borderId="0" xfId="0" applyFont="1" applyAlignment="1">
      <alignment horizontal="left"/>
    </xf>
    <xf numFmtId="0" fontId="15" fillId="0" borderId="0" xfId="0" applyFont="1" applyAlignment="1">
      <alignment horizontal="left" vertical="top" wrapText="1"/>
    </xf>
    <xf numFmtId="49" fontId="14" fillId="0" borderId="0" xfId="0" applyNumberFormat="1" applyFont="1" applyAlignment="1">
      <alignment horizontal="left" vertical="top" wrapText="1"/>
    </xf>
    <xf numFmtId="0" fontId="12" fillId="5" borderId="1" xfId="0" applyFont="1" applyFill="1" applyBorder="1" applyAlignment="1">
      <alignment vertical="center" wrapText="1"/>
    </xf>
    <xf numFmtId="0" fontId="19" fillId="0" borderId="0" xfId="0" applyFont="1" applyAlignment="1">
      <alignment horizontal="left"/>
    </xf>
    <xf numFmtId="14" fontId="12" fillId="3" borderId="1" xfId="0" applyNumberFormat="1" applyFont="1" applyFill="1" applyBorder="1" applyAlignment="1">
      <alignment horizontal="center" vertical="center" wrapText="1"/>
    </xf>
    <xf numFmtId="0" fontId="52" fillId="2" borderId="1" xfId="0" applyFont="1" applyFill="1" applyBorder="1" applyAlignment="1">
      <alignment horizontal="left" vertical="center" wrapText="1"/>
    </xf>
    <xf numFmtId="0" fontId="52" fillId="2" borderId="1" xfId="0" applyFont="1" applyFill="1" applyBorder="1" applyAlignment="1">
      <alignment vertical="center" wrapText="1"/>
    </xf>
    <xf numFmtId="0" fontId="34"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52" fillId="10" borderId="2" xfId="0" applyFont="1" applyFill="1" applyBorder="1" applyAlignment="1">
      <alignment horizontal="left" vertical="center" wrapText="1"/>
    </xf>
    <xf numFmtId="0" fontId="52" fillId="10" borderId="24" xfId="0" applyFont="1" applyFill="1" applyBorder="1" applyAlignment="1">
      <alignment horizontal="left" vertical="center" wrapText="1"/>
    </xf>
    <xf numFmtId="165" fontId="54" fillId="4" borderId="1" xfId="1" applyFont="1" applyFill="1" applyBorder="1" applyAlignment="1">
      <alignment vertical="center" wrapText="1"/>
    </xf>
    <xf numFmtId="0" fontId="19" fillId="11" borderId="0" xfId="0" applyFont="1" applyFill="1"/>
    <xf numFmtId="0" fontId="12" fillId="10" borderId="0" xfId="0" applyFont="1" applyFill="1"/>
    <xf numFmtId="0" fontId="13" fillId="10" borderId="0" xfId="0" applyFont="1" applyFill="1" applyAlignment="1">
      <alignment vertical="center" wrapText="1"/>
    </xf>
    <xf numFmtId="49" fontId="12" fillId="10" borderId="0" xfId="0" applyNumberFormat="1" applyFont="1" applyFill="1"/>
    <xf numFmtId="0" fontId="12" fillId="10" borderId="0" xfId="0" applyFont="1" applyFill="1" applyAlignment="1">
      <alignment vertical="center" wrapText="1"/>
    </xf>
    <xf numFmtId="49" fontId="34" fillId="4" borderId="1" xfId="0" applyNumberFormat="1" applyFont="1" applyFill="1" applyBorder="1" applyAlignment="1">
      <alignment vertical="center" wrapText="1"/>
    </xf>
    <xf numFmtId="0" fontId="13" fillId="2" borderId="13" xfId="0" applyFont="1" applyFill="1" applyBorder="1" applyAlignment="1">
      <alignment vertical="center" wrapText="1"/>
    </xf>
    <xf numFmtId="0" fontId="12" fillId="0" borderId="13" xfId="0" applyFont="1" applyBorder="1" applyAlignment="1">
      <alignment vertical="center" wrapText="1"/>
    </xf>
    <xf numFmtId="0" fontId="51" fillId="12" borderId="25" xfId="0" applyFont="1" applyFill="1" applyBorder="1" applyAlignment="1">
      <alignment vertical="center" wrapText="1"/>
    </xf>
    <xf numFmtId="0" fontId="51" fillId="12" borderId="27" xfId="0" applyFont="1" applyFill="1" applyBorder="1" applyAlignment="1">
      <alignment vertical="center" wrapText="1"/>
    </xf>
    <xf numFmtId="165" fontId="12" fillId="12" borderId="28" xfId="1" applyFont="1" applyFill="1" applyBorder="1" applyAlignment="1">
      <alignment vertical="center" wrapText="1"/>
    </xf>
    <xf numFmtId="0" fontId="13" fillId="12" borderId="29" xfId="0" applyFont="1" applyFill="1" applyBorder="1" applyAlignment="1">
      <alignment vertical="center" wrapText="1"/>
    </xf>
    <xf numFmtId="165" fontId="12" fillId="12" borderId="30" xfId="1" applyFont="1" applyFill="1" applyBorder="1" applyAlignment="1">
      <alignment vertical="center" wrapText="1"/>
    </xf>
    <xf numFmtId="0" fontId="20" fillId="0" borderId="0" xfId="0" applyFont="1" applyAlignment="1">
      <alignment horizontal="left" wrapText="1"/>
    </xf>
    <xf numFmtId="0" fontId="14" fillId="0" borderId="0" xfId="0" applyFont="1" applyAlignment="1">
      <alignment vertical="center" wrapText="1"/>
    </xf>
    <xf numFmtId="0" fontId="13" fillId="2" borderId="1" xfId="0" applyFont="1" applyFill="1" applyBorder="1" applyAlignment="1">
      <alignment horizontal="left" vertical="center" wrapText="1"/>
    </xf>
    <xf numFmtId="0" fontId="58" fillId="0" borderId="0" xfId="0" applyFont="1" applyAlignment="1" applyProtection="1">
      <alignment horizontal="center" vertical="center"/>
      <protection hidden="1"/>
    </xf>
    <xf numFmtId="0" fontId="59" fillId="0" borderId="0" xfId="0" applyFont="1" applyAlignment="1" applyProtection="1">
      <alignment horizontal="center" vertical="center"/>
      <protection hidden="1"/>
    </xf>
    <xf numFmtId="0" fontId="23" fillId="0" borderId="0" xfId="0" applyFont="1" applyAlignment="1">
      <alignment horizontal="center"/>
    </xf>
    <xf numFmtId="0" fontId="14" fillId="0" borderId="0" xfId="0" applyFont="1" applyAlignment="1">
      <alignment horizontal="left" vertical="center" wrapText="1"/>
    </xf>
    <xf numFmtId="0" fontId="14" fillId="0" borderId="0" xfId="0" applyFont="1" applyAlignment="1">
      <alignment horizontal="center"/>
    </xf>
    <xf numFmtId="0" fontId="61" fillId="4" borderId="1" xfId="0" applyFont="1" applyFill="1" applyBorder="1" applyAlignment="1">
      <alignment vertical="center" wrapText="1"/>
    </xf>
    <xf numFmtId="0" fontId="60" fillId="0" borderId="1" xfId="0" applyFont="1" applyBorder="1" applyAlignment="1">
      <alignment vertical="center" wrapText="1"/>
    </xf>
    <xf numFmtId="171" fontId="60" fillId="0" borderId="1" xfId="0" applyNumberFormat="1" applyFont="1" applyBorder="1" applyAlignment="1">
      <alignment vertical="center" wrapText="1"/>
    </xf>
    <xf numFmtId="165" fontId="60" fillId="4" borderId="1" xfId="1" applyFont="1" applyFill="1" applyBorder="1" applyAlignment="1">
      <alignment vertical="center" wrapText="1"/>
    </xf>
    <xf numFmtId="171" fontId="60" fillId="4" borderId="1" xfId="0" applyNumberFormat="1" applyFont="1" applyFill="1" applyBorder="1" applyAlignment="1">
      <alignment vertical="center" wrapText="1"/>
    </xf>
    <xf numFmtId="0" fontId="14" fillId="5" borderId="0" xfId="0" applyFont="1" applyFill="1"/>
    <xf numFmtId="0" fontId="20" fillId="0" borderId="0" xfId="0" applyFont="1" applyAlignment="1">
      <alignment horizontal="left"/>
    </xf>
    <xf numFmtId="0" fontId="20" fillId="0" borderId="0" xfId="0" applyFont="1" applyAlignment="1">
      <alignment wrapText="1"/>
    </xf>
    <xf numFmtId="0" fontId="20" fillId="0" borderId="0" xfId="0" applyFont="1" applyAlignment="1">
      <alignment vertical="top" wrapText="1"/>
    </xf>
    <xf numFmtId="0" fontId="15" fillId="0" borderId="0" xfId="0" applyFont="1" applyAlignment="1">
      <alignment wrapText="1"/>
    </xf>
    <xf numFmtId="0" fontId="21" fillId="0" borderId="0" xfId="0" applyFont="1" applyAlignment="1">
      <alignment vertical="center"/>
    </xf>
    <xf numFmtId="0" fontId="17" fillId="0" borderId="0" xfId="0" applyFont="1" applyAlignment="1" applyProtection="1">
      <alignment horizontal="center" vertical="center"/>
      <protection hidden="1"/>
    </xf>
    <xf numFmtId="0" fontId="15" fillId="0" borderId="0" xfId="0" applyFont="1" applyAlignment="1">
      <alignment horizontal="center" vertical="center"/>
    </xf>
    <xf numFmtId="0" fontId="15" fillId="0" borderId="0" xfId="0" applyFont="1" applyAlignment="1">
      <alignment horizontal="right" wrapText="1"/>
    </xf>
    <xf numFmtId="0" fontId="62" fillId="0" borderId="0" xfId="0" applyFont="1"/>
    <xf numFmtId="0" fontId="14" fillId="0" borderId="0" xfId="0" applyFont="1" applyAlignment="1">
      <alignment horizontal="right"/>
    </xf>
    <xf numFmtId="49" fontId="14" fillId="0" borderId="0" xfId="0" applyNumberFormat="1" applyFont="1" applyAlignment="1">
      <alignment horizontal="right"/>
    </xf>
    <xf numFmtId="0" fontId="14" fillId="0" borderId="0" xfId="0" applyFont="1" applyAlignment="1">
      <alignment horizontal="left" wrapText="1"/>
    </xf>
    <xf numFmtId="0" fontId="14" fillId="5" borderId="0" xfId="0" applyFont="1" applyFill="1" applyAlignment="1">
      <alignment horizontal="left" wrapText="1"/>
    </xf>
    <xf numFmtId="0" fontId="14" fillId="5" borderId="0" xfId="0" applyFont="1" applyFill="1" applyAlignment="1">
      <alignment horizontal="left" vertical="center" wrapText="1"/>
    </xf>
    <xf numFmtId="0" fontId="12" fillId="10" borderId="1" xfId="0" applyFont="1" applyFill="1" applyBorder="1"/>
    <xf numFmtId="0" fontId="12" fillId="10" borderId="1" xfId="0" applyFont="1" applyFill="1" applyBorder="1" applyAlignment="1">
      <alignment wrapText="1"/>
    </xf>
    <xf numFmtId="10" fontId="34" fillId="10" borderId="0" xfId="287" applyNumberFormat="1" applyFont="1" applyFill="1" applyAlignment="1">
      <alignment horizontal="center"/>
    </xf>
    <xf numFmtId="0" fontId="34" fillId="10" borderId="0" xfId="0" applyFont="1" applyFill="1" applyAlignment="1">
      <alignment horizontal="center"/>
    </xf>
    <xf numFmtId="0" fontId="34" fillId="10" borderId="0" xfId="0" applyFont="1" applyFill="1"/>
    <xf numFmtId="165" fontId="12" fillId="10" borderId="0" xfId="0" applyNumberFormat="1" applyFont="1" applyFill="1"/>
    <xf numFmtId="14" fontId="12" fillId="10" borderId="0" xfId="0" applyNumberFormat="1" applyFont="1" applyFill="1"/>
    <xf numFmtId="0" fontId="57" fillId="10" borderId="16" xfId="0" applyFont="1" applyFill="1" applyBorder="1"/>
    <xf numFmtId="43" fontId="12" fillId="10" borderId="3" xfId="0" applyNumberFormat="1" applyFont="1" applyFill="1" applyBorder="1" applyAlignment="1">
      <alignment horizontal="left" vertical="top" wrapText="1"/>
    </xf>
    <xf numFmtId="169" fontId="13" fillId="10" borderId="0" xfId="0" applyNumberFormat="1" applyFont="1" applyFill="1"/>
    <xf numFmtId="0" fontId="12" fillId="10" borderId="19" xfId="0" applyFont="1" applyFill="1" applyBorder="1"/>
    <xf numFmtId="0" fontId="12" fillId="10" borderId="20" xfId="0" applyFont="1" applyFill="1" applyBorder="1"/>
    <xf numFmtId="0" fontId="16" fillId="10" borderId="1" xfId="0" applyFont="1" applyFill="1" applyBorder="1" applyAlignment="1">
      <alignment horizontal="center" vertical="center" wrapText="1"/>
    </xf>
    <xf numFmtId="0" fontId="12" fillId="10" borderId="1" xfId="0" applyFont="1" applyFill="1" applyBorder="1" applyAlignment="1">
      <alignment horizontal="center" vertical="center"/>
    </xf>
    <xf numFmtId="0" fontId="12" fillId="10" borderId="1" xfId="0" applyFont="1" applyFill="1" applyBorder="1" applyAlignment="1">
      <alignment horizontal="center" vertical="center" wrapText="1"/>
    </xf>
    <xf numFmtId="0" fontId="12" fillId="10" borderId="1" xfId="0" applyFont="1" applyFill="1" applyBorder="1" applyAlignment="1">
      <alignment horizontal="left" vertical="center"/>
    </xf>
    <xf numFmtId="0" fontId="12" fillId="10" borderId="1" xfId="0" applyFont="1" applyFill="1" applyBorder="1" applyAlignment="1">
      <alignment horizontal="left" vertical="center" wrapText="1"/>
    </xf>
    <xf numFmtId="0" fontId="12" fillId="10" borderId="1" xfId="0" applyFont="1" applyFill="1" applyBorder="1" applyAlignment="1">
      <alignment vertical="center" wrapText="1"/>
    </xf>
    <xf numFmtId="0" fontId="13" fillId="10" borderId="0" xfId="0" applyFont="1" applyFill="1" applyAlignment="1">
      <alignment vertical="center"/>
    </xf>
    <xf numFmtId="0" fontId="12" fillId="10" borderId="13" xfId="0" applyFont="1" applyFill="1" applyBorder="1" applyAlignment="1">
      <alignment vertical="center"/>
    </xf>
    <xf numFmtId="0" fontId="12" fillId="10" borderId="15" xfId="0" applyFont="1" applyFill="1" applyBorder="1" applyAlignment="1">
      <alignment vertical="center"/>
    </xf>
    <xf numFmtId="14" fontId="12" fillId="10" borderId="1" xfId="0" applyNumberFormat="1" applyFont="1" applyFill="1" applyBorder="1"/>
    <xf numFmtId="0" fontId="13" fillId="10" borderId="0" xfId="0" applyFont="1" applyFill="1"/>
    <xf numFmtId="49" fontId="12" fillId="10" borderId="1" xfId="0" applyNumberFormat="1" applyFont="1" applyFill="1" applyBorder="1"/>
    <xf numFmtId="0" fontId="13" fillId="10" borderId="0" xfId="0" applyFont="1" applyFill="1" applyAlignment="1">
      <alignment wrapText="1"/>
    </xf>
    <xf numFmtId="43" fontId="12" fillId="10" borderId="1" xfId="0" applyNumberFormat="1" applyFont="1" applyFill="1" applyBorder="1" applyAlignment="1">
      <alignment vertical="center" wrapText="1"/>
    </xf>
    <xf numFmtId="43" fontId="12" fillId="10" borderId="0" xfId="0" applyNumberFormat="1" applyFont="1" applyFill="1" applyAlignment="1">
      <alignment vertical="center" wrapText="1"/>
    </xf>
    <xf numFmtId="0" fontId="19" fillId="0" borderId="0" xfId="0" applyFont="1" applyAlignment="1">
      <alignment vertical="center"/>
    </xf>
    <xf numFmtId="0" fontId="19" fillId="0" borderId="0" xfId="0" applyFont="1" applyAlignment="1">
      <alignment horizontal="right" vertical="center"/>
    </xf>
    <xf numFmtId="0" fontId="20" fillId="0" borderId="0" xfId="0" applyFont="1" applyAlignment="1">
      <alignment vertical="center"/>
    </xf>
    <xf numFmtId="0" fontId="63" fillId="4" borderId="0" xfId="0" applyFont="1" applyFill="1"/>
    <xf numFmtId="0" fontId="63" fillId="4" borderId="0" xfId="0" applyFont="1" applyFill="1" applyAlignment="1">
      <alignment vertical="center"/>
    </xf>
    <xf numFmtId="0" fontId="6" fillId="7" borderId="1" xfId="0" applyFont="1" applyFill="1" applyBorder="1" applyAlignment="1">
      <alignment vertical="center" wrapText="1"/>
    </xf>
    <xf numFmtId="0" fontId="6" fillId="10" borderId="0" xfId="0" applyFont="1" applyFill="1"/>
    <xf numFmtId="0" fontId="6" fillId="0" borderId="1" xfId="0" applyFont="1" applyBorder="1" applyAlignment="1">
      <alignment vertical="center" wrapText="1"/>
    </xf>
    <xf numFmtId="14" fontId="14" fillId="0" borderId="0" xfId="0" applyNumberFormat="1" applyFont="1"/>
    <xf numFmtId="0" fontId="3" fillId="4" borderId="1" xfId="0" applyFont="1" applyFill="1" applyBorder="1" applyAlignment="1">
      <alignment vertical="center" wrapText="1"/>
    </xf>
    <xf numFmtId="49" fontId="3" fillId="4" borderId="1" xfId="0" applyNumberFormat="1" applyFont="1" applyFill="1" applyBorder="1" applyAlignment="1">
      <alignment vertical="center" wrapText="1"/>
    </xf>
    <xf numFmtId="0" fontId="3" fillId="0" borderId="1" xfId="0" applyFont="1" applyBorder="1" applyAlignment="1">
      <alignment vertical="center" wrapText="1"/>
    </xf>
    <xf numFmtId="0" fontId="13" fillId="3" borderId="31" xfId="0" applyFont="1" applyFill="1" applyBorder="1" applyAlignment="1">
      <alignment vertical="center" wrapText="1"/>
    </xf>
    <xf numFmtId="4" fontId="12" fillId="3" borderId="19" xfId="0" applyNumberFormat="1" applyFont="1" applyFill="1" applyBorder="1" applyAlignment="1">
      <alignment vertical="center" wrapText="1"/>
    </xf>
    <xf numFmtId="0" fontId="3" fillId="4" borderId="1" xfId="0" applyFont="1" applyFill="1" applyBorder="1" applyAlignment="1">
      <alignment horizontal="left" vertical="center" wrapText="1"/>
    </xf>
    <xf numFmtId="49" fontId="3" fillId="4" borderId="1" xfId="0" applyNumberFormat="1" applyFont="1" applyFill="1" applyBorder="1" applyAlignment="1">
      <alignment horizontal="left" vertical="center" wrapText="1"/>
    </xf>
    <xf numFmtId="11" fontId="3" fillId="4" borderId="1" xfId="0" applyNumberFormat="1" applyFont="1" applyFill="1" applyBorder="1" applyAlignment="1">
      <alignment vertical="center" wrapText="1"/>
    </xf>
    <xf numFmtId="0" fontId="68" fillId="4" borderId="1" xfId="0" applyFont="1" applyFill="1" applyBorder="1" applyAlignment="1">
      <alignment vertical="center" wrapText="1"/>
    </xf>
    <xf numFmtId="0" fontId="69" fillId="4" borderId="1" xfId="0" applyFont="1" applyFill="1" applyBorder="1" applyAlignment="1">
      <alignment horizontal="center" vertical="center" wrapText="1"/>
    </xf>
    <xf numFmtId="49" fontId="69" fillId="4" borderId="1" xfId="0" applyNumberFormat="1" applyFont="1" applyFill="1" applyBorder="1" applyAlignment="1">
      <alignment horizontal="center" vertical="center" wrapText="1"/>
    </xf>
    <xf numFmtId="170" fontId="69" fillId="4" borderId="1" xfId="0" applyNumberFormat="1" applyFont="1" applyFill="1" applyBorder="1" applyAlignment="1">
      <alignment horizontal="center" vertical="center" wrapText="1"/>
    </xf>
    <xf numFmtId="0" fontId="69" fillId="2" borderId="1" xfId="0" applyFont="1" applyFill="1" applyBorder="1" applyAlignment="1">
      <alignment horizontal="center" vertical="center" wrapText="1"/>
    </xf>
    <xf numFmtId="165" fontId="19" fillId="0" borderId="0" xfId="1" applyFont="1"/>
    <xf numFmtId="0" fontId="3" fillId="12" borderId="26" xfId="0" applyFont="1" applyFill="1" applyBorder="1" applyAlignment="1">
      <alignment vertical="center" wrapText="1"/>
    </xf>
    <xf numFmtId="0" fontId="3" fillId="6" borderId="1" xfId="0" applyFont="1" applyFill="1" applyBorder="1" applyAlignment="1">
      <alignment vertical="center" wrapText="1"/>
    </xf>
    <xf numFmtId="170" fontId="3" fillId="4" borderId="1" xfId="0" applyNumberFormat="1" applyFont="1" applyFill="1" applyBorder="1" applyAlignment="1">
      <alignment horizontal="left" vertical="top" wrapText="1"/>
    </xf>
    <xf numFmtId="170" fontId="3" fillId="4" borderId="1" xfId="0" applyNumberFormat="1" applyFont="1" applyFill="1" applyBorder="1" applyAlignment="1">
      <alignment vertical="center" wrapText="1"/>
    </xf>
    <xf numFmtId="165" fontId="12" fillId="3" borderId="3" xfId="1" applyFont="1" applyFill="1" applyBorder="1" applyAlignment="1">
      <alignment vertical="center" wrapText="1"/>
    </xf>
    <xf numFmtId="0" fontId="13" fillId="4" borderId="1" xfId="0" applyFont="1" applyFill="1" applyBorder="1" applyAlignment="1">
      <alignment horizontal="left" vertical="center" wrapText="1"/>
    </xf>
    <xf numFmtId="165" fontId="3" fillId="4" borderId="1" xfId="1" applyFont="1" applyFill="1" applyBorder="1" applyAlignment="1">
      <alignment vertical="center" wrapText="1"/>
    </xf>
    <xf numFmtId="14" fontId="69" fillId="2" borderId="1" xfId="0" applyNumberFormat="1" applyFont="1" applyFill="1" applyBorder="1" applyAlignment="1">
      <alignment horizontal="center" vertical="center" wrapText="1"/>
    </xf>
    <xf numFmtId="14" fontId="3" fillId="2" borderId="1" xfId="0" applyNumberFormat="1" applyFont="1" applyFill="1" applyBorder="1" applyAlignment="1">
      <alignment vertical="center" wrapText="1"/>
    </xf>
    <xf numFmtId="0" fontId="20" fillId="0" borderId="0" xfId="0" applyFont="1" applyAlignment="1">
      <alignment horizontal="left" vertical="center" wrapText="1"/>
    </xf>
    <xf numFmtId="0" fontId="13" fillId="2" borderId="15"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5" fillId="0" borderId="0" xfId="0" applyFont="1" applyAlignment="1">
      <alignment horizontal="center" vertical="center"/>
    </xf>
    <xf numFmtId="0" fontId="14" fillId="5" borderId="0" xfId="0" applyFont="1" applyFill="1" applyAlignment="1">
      <alignment horizontal="left" vertical="top" wrapText="1"/>
    </xf>
    <xf numFmtId="0" fontId="33" fillId="5" borderId="0" xfId="0" applyFont="1" applyFill="1" applyAlignment="1">
      <alignment horizontal="left" vertical="top" wrapText="1"/>
    </xf>
    <xf numFmtId="0" fontId="14" fillId="0" borderId="0" xfId="0" applyFont="1" applyAlignment="1">
      <alignment horizontal="left" vertical="top" wrapText="1"/>
    </xf>
    <xf numFmtId="49" fontId="14" fillId="0" borderId="0" xfId="0" applyNumberFormat="1" applyFont="1" applyAlignment="1">
      <alignment horizontal="left" vertical="top" wrapText="1"/>
    </xf>
    <xf numFmtId="0" fontId="15" fillId="0" borderId="0" xfId="0" applyFont="1" applyAlignment="1">
      <alignment horizontal="center" vertical="center" wrapText="1"/>
    </xf>
    <xf numFmtId="0" fontId="14" fillId="0" borderId="0" xfId="0" applyFont="1" applyAlignment="1">
      <alignment vertical="top" wrapText="1"/>
    </xf>
    <xf numFmtId="0" fontId="36" fillId="0" borderId="0" xfId="0" applyFont="1" applyAlignment="1">
      <alignment horizontal="center" vertical="top" wrapText="1"/>
    </xf>
    <xf numFmtId="0" fontId="15" fillId="0" borderId="0" xfId="0" applyFont="1" applyAlignment="1">
      <alignment horizontal="center" vertical="top" wrapText="1"/>
    </xf>
    <xf numFmtId="0" fontId="36" fillId="0" borderId="0" xfId="0" applyFont="1" applyAlignment="1">
      <alignment horizontal="left"/>
    </xf>
    <xf numFmtId="0" fontId="15" fillId="0" borderId="0" xfId="0" applyFont="1" applyAlignment="1">
      <alignment horizontal="center"/>
    </xf>
    <xf numFmtId="0" fontId="15" fillId="0" borderId="0" xfId="0" applyFont="1" applyAlignment="1">
      <alignment horizontal="center" wrapText="1"/>
    </xf>
    <xf numFmtId="0" fontId="15" fillId="0" borderId="0" xfId="0" applyFont="1" applyAlignment="1">
      <alignment horizontal="right" vertical="center" wrapText="1"/>
    </xf>
    <xf numFmtId="0" fontId="19" fillId="0" borderId="0" xfId="0" applyFont="1" applyAlignment="1">
      <alignment horizontal="justify" vertical="top" wrapText="1"/>
    </xf>
    <xf numFmtId="0" fontId="19" fillId="0" borderId="0" xfId="0" applyFont="1" applyAlignment="1">
      <alignment horizontal="left" vertical="top" wrapText="1"/>
    </xf>
    <xf numFmtId="0" fontId="20" fillId="0" borderId="0" xfId="0" applyFont="1" applyAlignment="1">
      <alignment horizontal="center" vertical="top" wrapText="1"/>
    </xf>
    <xf numFmtId="0" fontId="19" fillId="0" borderId="0" xfId="0" applyFont="1" applyAlignment="1">
      <alignment horizontal="left" vertical="center" wrapText="1"/>
    </xf>
    <xf numFmtId="0" fontId="49" fillId="0" borderId="0" xfId="0" applyFont="1" applyAlignment="1">
      <alignment horizontal="justify" vertical="top" wrapText="1"/>
    </xf>
    <xf numFmtId="0" fontId="20" fillId="0" borderId="0" xfId="0" applyFont="1" applyAlignment="1">
      <alignment horizontal="left" vertical="center" wrapText="1"/>
    </xf>
    <xf numFmtId="0" fontId="20" fillId="0" borderId="0" xfId="0" applyFont="1" applyAlignment="1">
      <alignment horizontal="center" vertical="center" wrapText="1"/>
    </xf>
    <xf numFmtId="0" fontId="38" fillId="0" borderId="0" xfId="0" applyFont="1" applyAlignment="1">
      <alignment horizontal="center" vertical="center" wrapText="1"/>
    </xf>
    <xf numFmtId="0" fontId="32" fillId="0" borderId="0" xfId="0" applyFont="1" applyAlignment="1">
      <alignment horizontal="center"/>
    </xf>
    <xf numFmtId="0" fontId="32" fillId="0" borderId="0" xfId="0" applyFont="1" applyAlignment="1">
      <alignment horizontal="center" vertical="top" wrapText="1"/>
    </xf>
    <xf numFmtId="0" fontId="32" fillId="0" borderId="0" xfId="0" applyFont="1" applyAlignment="1">
      <alignment horizontal="left" wrapText="1"/>
    </xf>
    <xf numFmtId="0" fontId="40" fillId="0" borderId="0" xfId="0" applyFont="1" applyAlignment="1">
      <alignment horizontal="center" vertical="top" wrapText="1"/>
    </xf>
    <xf numFmtId="0" fontId="32" fillId="0" borderId="0" xfId="0" applyFont="1" applyAlignment="1">
      <alignment horizontal="center" wrapText="1"/>
    </xf>
    <xf numFmtId="0" fontId="38" fillId="0" borderId="0" xfId="0" applyFont="1" applyAlignment="1">
      <alignment horizontal="center" vertical="top" wrapText="1"/>
    </xf>
    <xf numFmtId="0" fontId="32" fillId="0" borderId="0" xfId="0" applyFont="1" applyAlignment="1">
      <alignment horizontal="justify" vertical="top" wrapText="1"/>
    </xf>
    <xf numFmtId="0" fontId="39" fillId="0" borderId="0" xfId="0" applyFont="1" applyAlignment="1">
      <alignment horizontal="center" vertical="center" wrapText="1"/>
    </xf>
    <xf numFmtId="0" fontId="38" fillId="0" borderId="0" xfId="0" applyFont="1" applyAlignment="1">
      <alignment horizontal="center" wrapText="1"/>
    </xf>
    <xf numFmtId="0" fontId="38" fillId="0" borderId="0" xfId="0" applyFont="1" applyAlignment="1">
      <alignment horizontal="right"/>
    </xf>
    <xf numFmtId="0" fontId="38" fillId="0" borderId="0" xfId="0" applyFont="1" applyAlignment="1">
      <alignment horizontal="center"/>
    </xf>
    <xf numFmtId="0" fontId="32" fillId="0" borderId="1" xfId="0" applyFont="1" applyBorder="1" applyAlignment="1">
      <alignment horizontal="center" vertical="center"/>
    </xf>
    <xf numFmtId="0" fontId="32" fillId="0" borderId="1" xfId="0" applyFont="1" applyBorder="1" applyAlignment="1">
      <alignment horizontal="center" vertical="center" wrapText="1"/>
    </xf>
    <xf numFmtId="0" fontId="32" fillId="0" borderId="1" xfId="0" applyFont="1" applyBorder="1" applyAlignment="1">
      <alignment horizontal="center"/>
    </xf>
    <xf numFmtId="0" fontId="19" fillId="0" borderId="0" xfId="0" applyFont="1" applyAlignment="1">
      <alignment horizontal="center"/>
    </xf>
    <xf numFmtId="0" fontId="19" fillId="0" borderId="0" xfId="0" applyFont="1" applyAlignment="1">
      <alignment horizontal="center" vertical="top" wrapText="1"/>
    </xf>
    <xf numFmtId="0" fontId="19" fillId="0" borderId="0" xfId="0" applyFont="1" applyAlignment="1">
      <alignment horizontal="left" wrapText="1"/>
    </xf>
    <xf numFmtId="0" fontId="24" fillId="0" borderId="0" xfId="0" applyFont="1" applyAlignment="1">
      <alignment horizontal="center" vertical="top" wrapText="1"/>
    </xf>
    <xf numFmtId="0" fontId="19" fillId="0" borderId="0" xfId="0" applyFont="1" applyAlignment="1">
      <alignment horizontal="center" wrapText="1"/>
    </xf>
    <xf numFmtId="0" fontId="25" fillId="0" borderId="0" xfId="0" applyFont="1" applyAlignment="1">
      <alignment horizontal="center" vertical="center" wrapText="1"/>
    </xf>
    <xf numFmtId="0" fontId="20" fillId="0" borderId="0" xfId="0" applyFont="1" applyAlignment="1">
      <alignment horizontal="center" wrapText="1"/>
    </xf>
    <xf numFmtId="0" fontId="20" fillId="0" borderId="0" xfId="0" applyFont="1" applyAlignment="1">
      <alignment horizontal="right"/>
    </xf>
    <xf numFmtId="0" fontId="20" fillId="0" borderId="0" xfId="0" applyFont="1" applyAlignment="1">
      <alignment horizontal="center"/>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19" fillId="0" borderId="1" xfId="0" applyFont="1" applyBorder="1" applyAlignment="1">
      <alignment horizontal="center"/>
    </xf>
    <xf numFmtId="0" fontId="20" fillId="0" borderId="0" xfId="0" applyFont="1" applyAlignment="1">
      <alignment horizontal="left" vertical="top" wrapText="1"/>
    </xf>
    <xf numFmtId="0" fontId="38" fillId="0" borderId="0" xfId="0" applyFont="1" applyAlignment="1">
      <alignment horizontal="left" vertical="center" wrapText="1"/>
    </xf>
    <xf numFmtId="0" fontId="30" fillId="0" borderId="0" xfId="0" applyFont="1" applyAlignment="1">
      <alignment horizontal="right" vertical="top"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2" xfId="0" applyFont="1" applyBorder="1" applyAlignment="1">
      <alignment horizontal="center" vertical="center" wrapText="1"/>
    </xf>
    <xf numFmtId="0" fontId="55" fillId="0" borderId="0" xfId="0" applyFont="1" applyAlignment="1">
      <alignment horizontal="center" wrapText="1"/>
    </xf>
    <xf numFmtId="0" fontId="20" fillId="0" borderId="0" xfId="0" applyFont="1" applyAlignment="1">
      <alignment horizontal="right" vertical="top" wrapText="1"/>
    </xf>
    <xf numFmtId="0" fontId="20" fillId="0" borderId="0" xfId="0" applyFont="1" applyAlignment="1">
      <alignment horizontal="right" vertical="center" wrapText="1"/>
    </xf>
    <xf numFmtId="0" fontId="14" fillId="0" borderId="0" xfId="0" applyFont="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lignment horizontal="right" vertical="center"/>
    </xf>
    <xf numFmtId="0" fontId="14" fillId="0" borderId="0" xfId="0" applyFont="1" applyAlignment="1">
      <alignment horizontal="justify" vertical="top" wrapText="1"/>
    </xf>
    <xf numFmtId="0" fontId="14" fillId="8" borderId="0" xfId="0" applyFont="1" applyFill="1" applyAlignment="1">
      <alignment horizontal="justify" vertical="top" wrapText="1"/>
    </xf>
    <xf numFmtId="0" fontId="14" fillId="0" borderId="0" xfId="0" applyFont="1" applyAlignment="1">
      <alignment horizontal="center" vertical="center" wrapText="1"/>
    </xf>
    <xf numFmtId="0" fontId="20" fillId="0" borderId="10" xfId="0" applyFont="1" applyBorder="1" applyAlignment="1">
      <alignment horizontal="center" wrapText="1"/>
    </xf>
    <xf numFmtId="0" fontId="20" fillId="0" borderId="11" xfId="0" applyFont="1" applyBorder="1" applyAlignment="1">
      <alignment horizontal="center" wrapText="1"/>
    </xf>
    <xf numFmtId="0" fontId="20" fillId="0" borderId="12" xfId="0" applyFont="1" applyBorder="1" applyAlignment="1">
      <alignment horizontal="center" wrapText="1"/>
    </xf>
    <xf numFmtId="0" fontId="19" fillId="0" borderId="8" xfId="0" applyFont="1" applyBorder="1" applyAlignment="1">
      <alignment horizontal="center" wrapText="1"/>
    </xf>
    <xf numFmtId="0" fontId="19" fillId="0" borderId="9" xfId="0" applyFont="1" applyBorder="1" applyAlignment="1">
      <alignment horizontal="center" wrapText="1"/>
    </xf>
    <xf numFmtId="0" fontId="20" fillId="0" borderId="8" xfId="0" applyFont="1" applyBorder="1" applyAlignment="1">
      <alignment horizontal="left" wrapText="1"/>
    </xf>
    <xf numFmtId="0" fontId="20" fillId="0" borderId="0" xfId="0" applyFont="1" applyAlignment="1">
      <alignment horizontal="left" wrapText="1"/>
    </xf>
    <xf numFmtId="0" fontId="20" fillId="0" borderId="9" xfId="0" applyFont="1" applyBorder="1" applyAlignment="1">
      <alignment horizontal="left" wrapText="1"/>
    </xf>
    <xf numFmtId="0" fontId="28" fillId="0" borderId="8" xfId="0" applyFont="1" applyBorder="1" applyAlignment="1">
      <alignment horizontal="center" wrapText="1"/>
    </xf>
    <xf numFmtId="0" fontId="28" fillId="0" borderId="0" xfId="0" applyFont="1" applyAlignment="1">
      <alignment horizontal="center" wrapText="1"/>
    </xf>
    <xf numFmtId="0" fontId="28" fillId="0" borderId="9" xfId="0" applyFont="1" applyBorder="1" applyAlignment="1">
      <alignment horizontal="center" wrapText="1"/>
    </xf>
    <xf numFmtId="0" fontId="29" fillId="0" borderId="5" xfId="0" applyFont="1" applyBorder="1" applyAlignment="1">
      <alignment horizontal="center" wrapText="1"/>
    </xf>
    <xf numFmtId="0" fontId="29" fillId="0" borderId="6" xfId="0" applyFont="1" applyBorder="1" applyAlignment="1">
      <alignment horizontal="center" wrapText="1"/>
    </xf>
    <xf numFmtId="0" fontId="29" fillId="0" borderId="7" xfId="0" applyFont="1" applyBorder="1" applyAlignment="1">
      <alignment horizontal="center" wrapText="1"/>
    </xf>
    <xf numFmtId="0" fontId="37" fillId="0" borderId="8" xfId="0" applyFont="1" applyBorder="1" applyAlignment="1">
      <alignment horizontal="center" wrapText="1"/>
    </xf>
    <xf numFmtId="0" fontId="37" fillId="0" borderId="0" xfId="0" applyFont="1" applyAlignment="1">
      <alignment horizontal="center" wrapText="1"/>
    </xf>
    <xf numFmtId="0" fontId="37" fillId="0" borderId="9" xfId="0" applyFont="1" applyBorder="1" applyAlignment="1">
      <alignment horizontal="center" wrapText="1"/>
    </xf>
    <xf numFmtId="0" fontId="22" fillId="0" borderId="0" xfId="0" applyFont="1" applyAlignment="1">
      <alignment horizontal="justify" vertical="top" wrapText="1"/>
    </xf>
    <xf numFmtId="0" fontId="21" fillId="0" borderId="0" xfId="0" applyFont="1" applyAlignment="1">
      <alignment horizontal="center" vertical="top" wrapText="1"/>
    </xf>
    <xf numFmtId="0" fontId="22" fillId="0" borderId="0" xfId="0" applyFont="1" applyAlignment="1">
      <alignment horizontal="left" vertical="top" wrapText="1"/>
    </xf>
    <xf numFmtId="0" fontId="22" fillId="0" borderId="0" xfId="0" applyFont="1" applyAlignment="1">
      <alignment horizontal="center" vertical="top" wrapText="1"/>
    </xf>
    <xf numFmtId="0" fontId="22" fillId="0" borderId="4" xfId="0" applyFont="1" applyBorder="1" applyAlignment="1">
      <alignment horizontal="center" vertical="top" wrapText="1"/>
    </xf>
    <xf numFmtId="49" fontId="22" fillId="0" borderId="0" xfId="0" applyNumberFormat="1" applyFont="1" applyAlignment="1">
      <alignment horizontal="center" vertical="center" wrapText="1"/>
    </xf>
    <xf numFmtId="0" fontId="19" fillId="0" borderId="0" xfId="0" applyFont="1" applyAlignment="1">
      <alignment horizontal="center" vertical="center"/>
    </xf>
    <xf numFmtId="49" fontId="19" fillId="0" borderId="0" xfId="0" applyNumberFormat="1" applyFont="1" applyAlignment="1">
      <alignment horizontal="justify" vertical="top" wrapText="1"/>
    </xf>
    <xf numFmtId="0" fontId="15" fillId="0" borderId="0" xfId="0" applyFont="1" applyAlignment="1">
      <alignment horizontal="right" vertical="top" wrapText="1"/>
    </xf>
    <xf numFmtId="0" fontId="14" fillId="0" borderId="0" xfId="0" applyFont="1" applyAlignment="1">
      <alignment horizontal="justify" wrapText="1"/>
    </xf>
    <xf numFmtId="0" fontId="43" fillId="0" borderId="0" xfId="0" applyFont="1" applyAlignment="1">
      <alignment vertical="center" wrapText="1"/>
    </xf>
    <xf numFmtId="0" fontId="42" fillId="0" borderId="0" xfId="0" applyFont="1" applyAlignment="1">
      <alignment horizontal="justify" vertical="center" wrapText="1"/>
    </xf>
    <xf numFmtId="0" fontId="19" fillId="0" borderId="0" xfId="0" applyFont="1" applyAlignment="1">
      <alignment vertical="top" wrapText="1"/>
    </xf>
    <xf numFmtId="0" fontId="43" fillId="0" borderId="0" xfId="0" applyFont="1" applyAlignment="1">
      <alignment horizontal="justify" vertical="center" wrapText="1"/>
    </xf>
    <xf numFmtId="0" fontId="42" fillId="0" borderId="0" xfId="0" applyFont="1" applyAlignment="1">
      <alignment horizontal="justify" vertical="top" wrapText="1"/>
    </xf>
    <xf numFmtId="0" fontId="19" fillId="0" borderId="0" xfId="0" applyFont="1" applyAlignment="1">
      <alignment horizontal="left"/>
    </xf>
    <xf numFmtId="0" fontId="21" fillId="8" borderId="3"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21" fillId="0" borderId="0" xfId="0" applyFont="1" applyAlignment="1">
      <alignment horizontal="center" wrapText="1"/>
    </xf>
    <xf numFmtId="0" fontId="22" fillId="0" borderId="0" xfId="0" applyFont="1" applyAlignment="1">
      <alignment horizontal="left"/>
    </xf>
    <xf numFmtId="0" fontId="45" fillId="0" borderId="0" xfId="0" applyFont="1" applyAlignment="1">
      <alignment horizontal="left" vertical="center" wrapText="1" readingOrder="1"/>
    </xf>
    <xf numFmtId="0" fontId="22" fillId="0" borderId="0" xfId="0" applyFont="1" applyAlignment="1">
      <alignment horizontal="justify" vertical="top" wrapText="1" readingOrder="1"/>
    </xf>
    <xf numFmtId="0" fontId="21" fillId="0" borderId="4" xfId="0" applyFont="1" applyBorder="1" applyAlignment="1">
      <alignment horizontal="left" vertical="top"/>
    </xf>
    <xf numFmtId="0" fontId="22" fillId="0" borderId="0" xfId="0" applyFont="1" applyAlignment="1">
      <alignment horizontal="left" wrapText="1"/>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2" xfId="0" applyFont="1" applyBorder="1" applyAlignment="1">
      <alignment horizontal="center" vertical="center" wrapText="1"/>
    </xf>
    <xf numFmtId="0" fontId="19" fillId="0" borderId="17" xfId="0" applyFont="1" applyBorder="1" applyAlignment="1">
      <alignment horizontal="left" vertical="center"/>
    </xf>
    <xf numFmtId="0" fontId="19" fillId="0" borderId="0" xfId="0" applyFont="1" applyAlignment="1">
      <alignment horizontal="left" vertical="center"/>
    </xf>
    <xf numFmtId="0" fontId="33" fillId="0" borderId="0" xfId="0" applyFont="1" applyAlignment="1">
      <alignment horizontal="justify" vertical="center" wrapText="1"/>
    </xf>
    <xf numFmtId="0" fontId="33" fillId="0" borderId="1" xfId="0" applyFont="1" applyBorder="1" applyAlignment="1">
      <alignment horizontal="justify" vertical="center" wrapText="1"/>
    </xf>
    <xf numFmtId="0" fontId="33" fillId="0" borderId="17" xfId="0" applyFont="1" applyBorder="1" applyAlignment="1">
      <alignment horizontal="justify" vertical="center" wrapText="1"/>
    </xf>
    <xf numFmtId="0" fontId="33" fillId="0" borderId="11" xfId="0" applyFont="1" applyBorder="1" applyAlignment="1">
      <alignment horizontal="justify"/>
    </xf>
    <xf numFmtId="0" fontId="33" fillId="0" borderId="0" xfId="0" applyFont="1" applyAlignment="1">
      <alignment horizontal="center"/>
    </xf>
    <xf numFmtId="0" fontId="33" fillId="0" borderId="3" xfId="0" applyFont="1" applyBorder="1" applyAlignment="1">
      <alignment horizontal="justify" vertical="center" wrapText="1"/>
    </xf>
    <xf numFmtId="0" fontId="33" fillId="0" borderId="18" xfId="0" applyFont="1" applyBorder="1" applyAlignment="1">
      <alignment horizontal="justify" vertical="center" wrapText="1"/>
    </xf>
    <xf numFmtId="0" fontId="33" fillId="0" borderId="2" xfId="0" applyFont="1" applyBorder="1" applyAlignment="1">
      <alignment horizontal="justify" vertical="center" wrapText="1"/>
    </xf>
    <xf numFmtId="0" fontId="33" fillId="0" borderId="3" xfId="0" applyFont="1" applyBorder="1" applyAlignment="1">
      <alignment horizontal="justify" vertical="center"/>
    </xf>
    <xf numFmtId="0" fontId="33" fillId="0" borderId="2" xfId="0" applyFont="1" applyBorder="1" applyAlignment="1">
      <alignment horizontal="justify" vertical="center"/>
    </xf>
    <xf numFmtId="0" fontId="33" fillId="0" borderId="21" xfId="0" applyFont="1" applyBorder="1" applyAlignment="1">
      <alignment horizontal="justify" vertical="center"/>
    </xf>
    <xf numFmtId="0" fontId="33" fillId="0" borderId="17" xfId="0" applyFont="1" applyBorder="1" applyAlignment="1">
      <alignment horizontal="justify" vertical="center"/>
    </xf>
    <xf numFmtId="0" fontId="33" fillId="0" borderId="22" xfId="0" applyFont="1" applyBorder="1" applyAlignment="1">
      <alignment horizontal="justify" vertical="center"/>
    </xf>
    <xf numFmtId="0" fontId="33" fillId="0" borderId="20" xfId="0" applyFont="1" applyBorder="1" applyAlignment="1">
      <alignment horizontal="justify" vertical="center"/>
    </xf>
    <xf numFmtId="0" fontId="33" fillId="0" borderId="4" xfId="0" applyFont="1" applyBorder="1" applyAlignment="1">
      <alignment horizontal="justify" vertical="center"/>
    </xf>
    <xf numFmtId="0" fontId="33" fillId="0" borderId="23" xfId="0" applyFont="1" applyBorder="1" applyAlignment="1">
      <alignment horizontal="justify" vertical="center"/>
    </xf>
  </cellXfs>
  <cellStyles count="8651">
    <cellStyle name="Обычный" xfId="0" builtinId="0"/>
    <cellStyle name="Обычный 10" xfId="72"/>
    <cellStyle name="Обычный 10 10" xfId="4326"/>
    <cellStyle name="Обычный 10 11" xfId="6113"/>
    <cellStyle name="Обычный 10 2" xfId="208"/>
    <cellStyle name="Обычный 10 2 2" xfId="1306"/>
    <cellStyle name="Обычный 10 2 2 2" xfId="1416"/>
    <cellStyle name="Обычный 10 2 2 2 2" xfId="3200"/>
    <cellStyle name="Обычный 10 2 2 2 3" xfId="4844"/>
    <cellStyle name="Обычный 10 2 2 2 4" xfId="7456"/>
    <cellStyle name="Обычный 10 2 2 3" xfId="3090"/>
    <cellStyle name="Обычный 10 2 2 4" xfId="4734"/>
    <cellStyle name="Обычный 10 2 2 5" xfId="7346"/>
    <cellStyle name="Обычный 10 2 3" xfId="1400"/>
    <cellStyle name="Обычный 10 2 3 2" xfId="3184"/>
    <cellStyle name="Обычный 10 2 3 3" xfId="4828"/>
    <cellStyle name="Обычный 10 2 3 4" xfId="7440"/>
    <cellStyle name="Обычный 10 2 4" xfId="2537"/>
    <cellStyle name="Обычный 10 2 4 2" xfId="4182"/>
    <cellStyle name="Обычный 10 2 4 3" xfId="5965"/>
    <cellStyle name="Обычный 10 2 4 4" xfId="8575"/>
    <cellStyle name="Обычный 10 2 5" xfId="1041"/>
    <cellStyle name="Обычный 10 2 5 2" xfId="7081"/>
    <cellStyle name="Обычный 10 2 6" xfId="629"/>
    <cellStyle name="Обычный 10 2 6 2" xfId="6669"/>
    <cellStyle name="Обычный 10 2 7" xfId="2818"/>
    <cellStyle name="Обычный 10 2 8" xfId="4462"/>
    <cellStyle name="Обычный 10 2 9" xfId="6249"/>
    <cellStyle name="Обычный 10 3" xfId="357"/>
    <cellStyle name="Обычный 10 3 2" xfId="1408"/>
    <cellStyle name="Обычный 10 3 2 2" xfId="3192"/>
    <cellStyle name="Обычный 10 3 2 3" xfId="4836"/>
    <cellStyle name="Обычный 10 3 2 4" xfId="7448"/>
    <cellStyle name="Обычный 10 3 3" xfId="777"/>
    <cellStyle name="Обычный 10 3 3 2" xfId="6817"/>
    <cellStyle name="Обычный 10 3 4" xfId="2954"/>
    <cellStyle name="Обычный 10 3 5" xfId="4598"/>
    <cellStyle name="Обычный 10 3 6" xfId="6397"/>
    <cellStyle name="Обычный 10 4" xfId="1426"/>
    <cellStyle name="Обычный 10 4 2" xfId="1880"/>
    <cellStyle name="Обычный 10 4 2 2" xfId="3525"/>
    <cellStyle name="Обычный 10 4 2 3" xfId="5308"/>
    <cellStyle name="Обычный 10 4 2 4" xfId="7918"/>
    <cellStyle name="Обычный 10 4 3" xfId="4854"/>
    <cellStyle name="Обычный 10 4 4" xfId="7465"/>
    <cellStyle name="Обычный 10 5" xfId="1392"/>
    <cellStyle name="Обычный 10 5 2" xfId="3176"/>
    <cellStyle name="Обычный 10 5 3" xfId="4820"/>
    <cellStyle name="Обычный 10 5 4" xfId="7432"/>
    <cellStyle name="Обычный 10 6" xfId="2401"/>
    <cellStyle name="Обычный 10 6 2" xfId="4046"/>
    <cellStyle name="Обычный 10 6 3" xfId="5829"/>
    <cellStyle name="Обычный 10 6 4" xfId="8439"/>
    <cellStyle name="Обычный 10 7" xfId="1628"/>
    <cellStyle name="Обычный 10 7 2" xfId="3273"/>
    <cellStyle name="Обычный 10 7 3" xfId="5056"/>
    <cellStyle name="Обычный 10 7 4" xfId="7666"/>
    <cellStyle name="Обычный 10 8" xfId="493"/>
    <cellStyle name="Обычный 10 8 2" xfId="6533"/>
    <cellStyle name="Обычный 10 9" xfId="2682"/>
    <cellStyle name="Обычный 11" xfId="73"/>
    <cellStyle name="Обычный 11 10" xfId="4327"/>
    <cellStyle name="Обычный 11 11" xfId="6114"/>
    <cellStyle name="Обычный 11 2" xfId="209"/>
    <cellStyle name="Обычный 11 2 2" xfId="1307"/>
    <cellStyle name="Обычный 11 2 2 2" xfId="1417"/>
    <cellStyle name="Обычный 11 2 2 2 2" xfId="3201"/>
    <cellStyle name="Обычный 11 2 2 2 3" xfId="4845"/>
    <cellStyle name="Обычный 11 2 2 2 4" xfId="7457"/>
    <cellStyle name="Обычный 11 2 2 3" xfId="3091"/>
    <cellStyle name="Обычный 11 2 2 4" xfId="4735"/>
    <cellStyle name="Обычный 11 2 2 5" xfId="7347"/>
    <cellStyle name="Обычный 11 2 3" xfId="1401"/>
    <cellStyle name="Обычный 11 2 3 2" xfId="3185"/>
    <cellStyle name="Обычный 11 2 3 3" xfId="4829"/>
    <cellStyle name="Обычный 11 2 3 4" xfId="7441"/>
    <cellStyle name="Обычный 11 2 4" xfId="2538"/>
    <cellStyle name="Обычный 11 2 4 2" xfId="4183"/>
    <cellStyle name="Обычный 11 2 4 3" xfId="5966"/>
    <cellStyle name="Обычный 11 2 4 4" xfId="8576"/>
    <cellStyle name="Обычный 11 2 5" xfId="1042"/>
    <cellStyle name="Обычный 11 2 5 2" xfId="7082"/>
    <cellStyle name="Обычный 11 2 6" xfId="630"/>
    <cellStyle name="Обычный 11 2 6 2" xfId="6670"/>
    <cellStyle name="Обычный 11 2 7" xfId="2819"/>
    <cellStyle name="Обычный 11 2 8" xfId="4463"/>
    <cellStyle name="Обычный 11 2 9" xfId="6250"/>
    <cellStyle name="Обычный 11 3" xfId="358"/>
    <cellStyle name="Обычный 11 3 2" xfId="1409"/>
    <cellStyle name="Обычный 11 3 2 2" xfId="3193"/>
    <cellStyle name="Обычный 11 3 2 3" xfId="4837"/>
    <cellStyle name="Обычный 11 3 2 4" xfId="7449"/>
    <cellStyle name="Обычный 11 3 3" xfId="778"/>
    <cellStyle name="Обычный 11 3 3 2" xfId="6818"/>
    <cellStyle name="Обычный 11 3 4" xfId="2955"/>
    <cellStyle name="Обычный 11 3 5" xfId="4599"/>
    <cellStyle name="Обычный 11 3 6" xfId="6398"/>
    <cellStyle name="Обычный 11 4" xfId="1442"/>
    <cellStyle name="Обычный 11 4 2" xfId="1881"/>
    <cellStyle name="Обычный 11 4 2 2" xfId="3526"/>
    <cellStyle name="Обычный 11 4 2 3" xfId="5309"/>
    <cellStyle name="Обычный 11 4 2 4" xfId="7919"/>
    <cellStyle name="Обычный 11 4 3" xfId="4870"/>
    <cellStyle name="Обычный 11 4 4" xfId="7480"/>
    <cellStyle name="Обычный 11 5" xfId="1393"/>
    <cellStyle name="Обычный 11 5 2" xfId="3177"/>
    <cellStyle name="Обычный 11 5 3" xfId="4821"/>
    <cellStyle name="Обычный 11 5 4" xfId="7433"/>
    <cellStyle name="Обычный 11 6" xfId="2402"/>
    <cellStyle name="Обычный 11 6 2" xfId="4047"/>
    <cellStyle name="Обычный 11 6 3" xfId="5830"/>
    <cellStyle name="Обычный 11 6 4" xfId="8440"/>
    <cellStyle name="Обычный 11 7" xfId="1629"/>
    <cellStyle name="Обычный 11 7 2" xfId="3274"/>
    <cellStyle name="Обычный 11 7 3" xfId="5057"/>
    <cellStyle name="Обычный 11 7 4" xfId="7667"/>
    <cellStyle name="Обычный 11 8" xfId="494"/>
    <cellStyle name="Обычный 11 8 2" xfId="6534"/>
    <cellStyle name="Обычный 11 9" xfId="2683"/>
    <cellStyle name="Обычный 12" xfId="1418"/>
    <cellStyle name="Обычный 12 2" xfId="4846"/>
    <cellStyle name="Обычный 12 3" xfId="7458"/>
    <cellStyle name="Обычный 2" xfId="63"/>
    <cellStyle name="Обычный 2 2" xfId="1440"/>
    <cellStyle name="Обычный 2 2 2" xfId="4868"/>
    <cellStyle name="Обычный 3" xfId="64"/>
    <cellStyle name="Обычный 3 2" xfId="1425"/>
    <cellStyle name="Обычный 3 2 2" xfId="4853"/>
    <cellStyle name="Обычный 4" xfId="66"/>
    <cellStyle name="Обычный 4 10" xfId="4320"/>
    <cellStyle name="Обычный 4 11" xfId="6107"/>
    <cellStyle name="Обычный 4 2" xfId="202"/>
    <cellStyle name="Обычный 4 2 2" xfId="1300"/>
    <cellStyle name="Обычный 4 2 2 2" xfId="1410"/>
    <cellStyle name="Обычный 4 2 2 2 2" xfId="3194"/>
    <cellStyle name="Обычный 4 2 2 2 3" xfId="4838"/>
    <cellStyle name="Обычный 4 2 2 2 4" xfId="7450"/>
    <cellStyle name="Обычный 4 2 2 3" xfId="3084"/>
    <cellStyle name="Обычный 4 2 2 4" xfId="4728"/>
    <cellStyle name="Обычный 4 2 2 5" xfId="7340"/>
    <cellStyle name="Обычный 4 2 3" xfId="1394"/>
    <cellStyle name="Обычный 4 2 3 2" xfId="3178"/>
    <cellStyle name="Обычный 4 2 3 3" xfId="4822"/>
    <cellStyle name="Обычный 4 2 3 4" xfId="7434"/>
    <cellStyle name="Обычный 4 2 4" xfId="2531"/>
    <cellStyle name="Обычный 4 2 4 2" xfId="4176"/>
    <cellStyle name="Обычный 4 2 4 3" xfId="5959"/>
    <cellStyle name="Обычный 4 2 4 4" xfId="8569"/>
    <cellStyle name="Обычный 4 2 5" xfId="1035"/>
    <cellStyle name="Обычный 4 2 5 2" xfId="7075"/>
    <cellStyle name="Обычный 4 2 6" xfId="623"/>
    <cellStyle name="Обычный 4 2 6 2" xfId="6663"/>
    <cellStyle name="Обычный 4 2 7" xfId="2812"/>
    <cellStyle name="Обычный 4 2 8" xfId="4456"/>
    <cellStyle name="Обычный 4 2 9" xfId="6243"/>
    <cellStyle name="Обычный 4 3" xfId="351"/>
    <cellStyle name="Обычный 4 3 2" xfId="1402"/>
    <cellStyle name="Обычный 4 3 2 2" xfId="3186"/>
    <cellStyle name="Обычный 4 3 2 3" xfId="4830"/>
    <cellStyle name="Обычный 4 3 2 4" xfId="7442"/>
    <cellStyle name="Обычный 4 3 3" xfId="771"/>
    <cellStyle name="Обычный 4 3 3 2" xfId="6811"/>
    <cellStyle name="Обычный 4 3 4" xfId="2948"/>
    <cellStyle name="Обычный 4 3 5" xfId="4592"/>
    <cellStyle name="Обычный 4 3 6" xfId="6391"/>
    <cellStyle name="Обычный 4 4" xfId="1419"/>
    <cellStyle name="Обычный 4 4 2" xfId="1874"/>
    <cellStyle name="Обычный 4 4 2 2" xfId="3519"/>
    <cellStyle name="Обычный 4 4 2 3" xfId="5302"/>
    <cellStyle name="Обычный 4 4 2 4" xfId="7912"/>
    <cellStyle name="Обычный 4 4 3" xfId="4847"/>
    <cellStyle name="Обычный 4 4 4" xfId="7459"/>
    <cellStyle name="Обычный 4 5" xfId="1386"/>
    <cellStyle name="Обычный 4 5 2" xfId="3170"/>
    <cellStyle name="Обычный 4 5 3" xfId="4814"/>
    <cellStyle name="Обычный 4 5 4" xfId="7426"/>
    <cellStyle name="Обычный 4 6" xfId="2395"/>
    <cellStyle name="Обычный 4 6 2" xfId="4040"/>
    <cellStyle name="Обычный 4 6 3" xfId="5823"/>
    <cellStyle name="Обычный 4 6 4" xfId="8433"/>
    <cellStyle name="Обычный 4 7" xfId="1622"/>
    <cellStyle name="Обычный 4 7 2" xfId="3267"/>
    <cellStyle name="Обычный 4 7 3" xfId="5050"/>
    <cellStyle name="Обычный 4 7 4" xfId="7660"/>
    <cellStyle name="Обычный 4 8" xfId="487"/>
    <cellStyle name="Обычный 4 8 2" xfId="6527"/>
    <cellStyle name="Обычный 4 9" xfId="2676"/>
    <cellStyle name="Обычный 5" xfId="67"/>
    <cellStyle name="Обычный 5 10" xfId="4321"/>
    <cellStyle name="Обычный 5 11" xfId="6108"/>
    <cellStyle name="Обычный 5 2" xfId="203"/>
    <cellStyle name="Обычный 5 2 2" xfId="1301"/>
    <cellStyle name="Обычный 5 2 2 2" xfId="1411"/>
    <cellStyle name="Обычный 5 2 2 2 2" xfId="3195"/>
    <cellStyle name="Обычный 5 2 2 2 3" xfId="4839"/>
    <cellStyle name="Обычный 5 2 2 2 4" xfId="7451"/>
    <cellStyle name="Обычный 5 2 2 3" xfId="3085"/>
    <cellStyle name="Обычный 5 2 2 4" xfId="4729"/>
    <cellStyle name="Обычный 5 2 2 5" xfId="7341"/>
    <cellStyle name="Обычный 5 2 3" xfId="1395"/>
    <cellStyle name="Обычный 5 2 3 2" xfId="3179"/>
    <cellStyle name="Обычный 5 2 3 3" xfId="4823"/>
    <cellStyle name="Обычный 5 2 3 4" xfId="7435"/>
    <cellStyle name="Обычный 5 2 4" xfId="2532"/>
    <cellStyle name="Обычный 5 2 4 2" xfId="4177"/>
    <cellStyle name="Обычный 5 2 4 3" xfId="5960"/>
    <cellStyle name="Обычный 5 2 4 4" xfId="8570"/>
    <cellStyle name="Обычный 5 2 5" xfId="1036"/>
    <cellStyle name="Обычный 5 2 5 2" xfId="7076"/>
    <cellStyle name="Обычный 5 2 6" xfId="624"/>
    <cellStyle name="Обычный 5 2 6 2" xfId="6664"/>
    <cellStyle name="Обычный 5 2 7" xfId="2813"/>
    <cellStyle name="Обычный 5 2 8" xfId="4457"/>
    <cellStyle name="Обычный 5 2 9" xfId="6244"/>
    <cellStyle name="Обычный 5 3" xfId="352"/>
    <cellStyle name="Обычный 5 3 2" xfId="1403"/>
    <cellStyle name="Обычный 5 3 2 2" xfId="3187"/>
    <cellStyle name="Обычный 5 3 2 3" xfId="4831"/>
    <cellStyle name="Обычный 5 3 2 4" xfId="7443"/>
    <cellStyle name="Обычный 5 3 3" xfId="772"/>
    <cellStyle name="Обычный 5 3 3 2" xfId="6812"/>
    <cellStyle name="Обычный 5 3 4" xfId="2949"/>
    <cellStyle name="Обычный 5 3 5" xfId="4593"/>
    <cellStyle name="Обычный 5 3 6" xfId="6392"/>
    <cellStyle name="Обычный 5 4" xfId="1422"/>
    <cellStyle name="Обычный 5 4 2" xfId="1875"/>
    <cellStyle name="Обычный 5 4 2 2" xfId="3520"/>
    <cellStyle name="Обычный 5 4 2 3" xfId="5303"/>
    <cellStyle name="Обычный 5 4 2 4" xfId="7913"/>
    <cellStyle name="Обычный 5 4 3" xfId="4850"/>
    <cellStyle name="Обычный 5 4 4" xfId="7462"/>
    <cellStyle name="Обычный 5 5" xfId="1387"/>
    <cellStyle name="Обычный 5 5 2" xfId="3171"/>
    <cellStyle name="Обычный 5 5 3" xfId="4815"/>
    <cellStyle name="Обычный 5 5 4" xfId="7427"/>
    <cellStyle name="Обычный 5 6" xfId="2396"/>
    <cellStyle name="Обычный 5 6 2" xfId="4041"/>
    <cellStyle name="Обычный 5 6 3" xfId="5824"/>
    <cellStyle name="Обычный 5 6 4" xfId="8434"/>
    <cellStyle name="Обычный 5 7" xfId="1623"/>
    <cellStyle name="Обычный 5 7 2" xfId="3268"/>
    <cellStyle name="Обычный 5 7 3" xfId="5051"/>
    <cellStyle name="Обычный 5 7 4" xfId="7661"/>
    <cellStyle name="Обычный 5 8" xfId="488"/>
    <cellStyle name="Обычный 5 8 2" xfId="6528"/>
    <cellStyle name="Обычный 5 9" xfId="2677"/>
    <cellStyle name="Обычный 6" xfId="68"/>
    <cellStyle name="Обычный 6 10" xfId="4322"/>
    <cellStyle name="Обычный 6 11" xfId="6109"/>
    <cellStyle name="Обычный 6 2" xfId="204"/>
    <cellStyle name="Обычный 6 2 2" xfId="1302"/>
    <cellStyle name="Обычный 6 2 2 2" xfId="1412"/>
    <cellStyle name="Обычный 6 2 2 2 2" xfId="3196"/>
    <cellStyle name="Обычный 6 2 2 2 3" xfId="4840"/>
    <cellStyle name="Обычный 6 2 2 2 4" xfId="7452"/>
    <cellStyle name="Обычный 6 2 2 3" xfId="3086"/>
    <cellStyle name="Обычный 6 2 2 4" xfId="4730"/>
    <cellStyle name="Обычный 6 2 2 5" xfId="7342"/>
    <cellStyle name="Обычный 6 2 3" xfId="1396"/>
    <cellStyle name="Обычный 6 2 3 2" xfId="3180"/>
    <cellStyle name="Обычный 6 2 3 3" xfId="4824"/>
    <cellStyle name="Обычный 6 2 3 4" xfId="7436"/>
    <cellStyle name="Обычный 6 2 4" xfId="2533"/>
    <cellStyle name="Обычный 6 2 4 2" xfId="4178"/>
    <cellStyle name="Обычный 6 2 4 3" xfId="5961"/>
    <cellStyle name="Обычный 6 2 4 4" xfId="8571"/>
    <cellStyle name="Обычный 6 2 5" xfId="1037"/>
    <cellStyle name="Обычный 6 2 5 2" xfId="7077"/>
    <cellStyle name="Обычный 6 2 6" xfId="625"/>
    <cellStyle name="Обычный 6 2 6 2" xfId="6665"/>
    <cellStyle name="Обычный 6 2 7" xfId="2814"/>
    <cellStyle name="Обычный 6 2 8" xfId="4458"/>
    <cellStyle name="Обычный 6 2 9" xfId="6245"/>
    <cellStyle name="Обычный 6 3" xfId="353"/>
    <cellStyle name="Обычный 6 3 2" xfId="1404"/>
    <cellStyle name="Обычный 6 3 2 2" xfId="3188"/>
    <cellStyle name="Обычный 6 3 2 3" xfId="4832"/>
    <cellStyle name="Обычный 6 3 2 4" xfId="7444"/>
    <cellStyle name="Обычный 6 3 3" xfId="773"/>
    <cellStyle name="Обычный 6 3 3 2" xfId="6813"/>
    <cellStyle name="Обычный 6 3 4" xfId="2950"/>
    <cellStyle name="Обычный 6 3 5" xfId="4594"/>
    <cellStyle name="Обычный 6 3 6" xfId="6393"/>
    <cellStyle name="Обычный 6 4" xfId="1428"/>
    <cellStyle name="Обычный 6 4 2" xfId="1876"/>
    <cellStyle name="Обычный 6 4 2 2" xfId="3521"/>
    <cellStyle name="Обычный 6 4 2 3" xfId="5304"/>
    <cellStyle name="Обычный 6 4 2 4" xfId="7914"/>
    <cellStyle name="Обычный 6 4 3" xfId="4856"/>
    <cellStyle name="Обычный 6 4 4" xfId="7467"/>
    <cellStyle name="Обычный 6 5" xfId="1388"/>
    <cellStyle name="Обычный 6 5 2" xfId="3172"/>
    <cellStyle name="Обычный 6 5 3" xfId="4816"/>
    <cellStyle name="Обычный 6 5 4" xfId="7428"/>
    <cellStyle name="Обычный 6 6" xfId="2397"/>
    <cellStyle name="Обычный 6 6 2" xfId="4042"/>
    <cellStyle name="Обычный 6 6 3" xfId="5825"/>
    <cellStyle name="Обычный 6 6 4" xfId="8435"/>
    <cellStyle name="Обычный 6 7" xfId="1624"/>
    <cellStyle name="Обычный 6 7 2" xfId="3269"/>
    <cellStyle name="Обычный 6 7 3" xfId="5052"/>
    <cellStyle name="Обычный 6 7 4" xfId="7662"/>
    <cellStyle name="Обычный 6 8" xfId="489"/>
    <cellStyle name="Обычный 6 8 2" xfId="6529"/>
    <cellStyle name="Обычный 6 9" xfId="2678"/>
    <cellStyle name="Обычный 7" xfId="69"/>
    <cellStyle name="Обычный 7 10" xfId="4323"/>
    <cellStyle name="Обычный 7 11" xfId="6110"/>
    <cellStyle name="Обычный 7 2" xfId="205"/>
    <cellStyle name="Обычный 7 2 2" xfId="1303"/>
    <cellStyle name="Обычный 7 2 2 2" xfId="1413"/>
    <cellStyle name="Обычный 7 2 2 2 2" xfId="3197"/>
    <cellStyle name="Обычный 7 2 2 2 3" xfId="4841"/>
    <cellStyle name="Обычный 7 2 2 2 4" xfId="7453"/>
    <cellStyle name="Обычный 7 2 2 3" xfId="3087"/>
    <cellStyle name="Обычный 7 2 2 4" xfId="4731"/>
    <cellStyle name="Обычный 7 2 2 5" xfId="7343"/>
    <cellStyle name="Обычный 7 2 3" xfId="1397"/>
    <cellStyle name="Обычный 7 2 3 2" xfId="3181"/>
    <cellStyle name="Обычный 7 2 3 3" xfId="4825"/>
    <cellStyle name="Обычный 7 2 3 4" xfId="7437"/>
    <cellStyle name="Обычный 7 2 4" xfId="2534"/>
    <cellStyle name="Обычный 7 2 4 2" xfId="4179"/>
    <cellStyle name="Обычный 7 2 4 3" xfId="5962"/>
    <cellStyle name="Обычный 7 2 4 4" xfId="8572"/>
    <cellStyle name="Обычный 7 2 5" xfId="1038"/>
    <cellStyle name="Обычный 7 2 5 2" xfId="7078"/>
    <cellStyle name="Обычный 7 2 6" xfId="626"/>
    <cellStyle name="Обычный 7 2 6 2" xfId="6666"/>
    <cellStyle name="Обычный 7 2 7" xfId="2815"/>
    <cellStyle name="Обычный 7 2 8" xfId="4459"/>
    <cellStyle name="Обычный 7 2 9" xfId="6246"/>
    <cellStyle name="Обычный 7 3" xfId="354"/>
    <cellStyle name="Обычный 7 3 2" xfId="1405"/>
    <cellStyle name="Обычный 7 3 2 2" xfId="3189"/>
    <cellStyle name="Обычный 7 3 2 3" xfId="4833"/>
    <cellStyle name="Обычный 7 3 2 4" xfId="7445"/>
    <cellStyle name="Обычный 7 3 3" xfId="774"/>
    <cellStyle name="Обычный 7 3 3 2" xfId="6814"/>
    <cellStyle name="Обычный 7 3 4" xfId="2951"/>
    <cellStyle name="Обычный 7 3 5" xfId="4595"/>
    <cellStyle name="Обычный 7 3 6" xfId="6394"/>
    <cellStyle name="Обычный 7 4" xfId="1429"/>
    <cellStyle name="Обычный 7 4 2" xfId="1877"/>
    <cellStyle name="Обычный 7 4 2 2" xfId="3522"/>
    <cellStyle name="Обычный 7 4 2 3" xfId="5305"/>
    <cellStyle name="Обычный 7 4 2 4" xfId="7915"/>
    <cellStyle name="Обычный 7 4 3" xfId="4857"/>
    <cellStyle name="Обычный 7 4 4" xfId="7468"/>
    <cellStyle name="Обычный 7 5" xfId="1389"/>
    <cellStyle name="Обычный 7 5 2" xfId="3173"/>
    <cellStyle name="Обычный 7 5 3" xfId="4817"/>
    <cellStyle name="Обычный 7 5 4" xfId="7429"/>
    <cellStyle name="Обычный 7 6" xfId="2398"/>
    <cellStyle name="Обычный 7 6 2" xfId="4043"/>
    <cellStyle name="Обычный 7 6 3" xfId="5826"/>
    <cellStyle name="Обычный 7 6 4" xfId="8436"/>
    <cellStyle name="Обычный 7 7" xfId="1625"/>
    <cellStyle name="Обычный 7 7 2" xfId="3270"/>
    <cellStyle name="Обычный 7 7 3" xfId="5053"/>
    <cellStyle name="Обычный 7 7 4" xfId="7663"/>
    <cellStyle name="Обычный 7 8" xfId="490"/>
    <cellStyle name="Обычный 7 8 2" xfId="6530"/>
    <cellStyle name="Обычный 7 9" xfId="2679"/>
    <cellStyle name="Обычный 8" xfId="70"/>
    <cellStyle name="Обычный 8 10" xfId="4324"/>
    <cellStyle name="Обычный 8 11" xfId="6111"/>
    <cellStyle name="Обычный 8 2" xfId="206"/>
    <cellStyle name="Обычный 8 2 2" xfId="1304"/>
    <cellStyle name="Обычный 8 2 2 2" xfId="1414"/>
    <cellStyle name="Обычный 8 2 2 2 2" xfId="3198"/>
    <cellStyle name="Обычный 8 2 2 2 3" xfId="4842"/>
    <cellStyle name="Обычный 8 2 2 2 4" xfId="7454"/>
    <cellStyle name="Обычный 8 2 2 3" xfId="3088"/>
    <cellStyle name="Обычный 8 2 2 4" xfId="4732"/>
    <cellStyle name="Обычный 8 2 2 5" xfId="7344"/>
    <cellStyle name="Обычный 8 2 3" xfId="1398"/>
    <cellStyle name="Обычный 8 2 3 2" xfId="3182"/>
    <cellStyle name="Обычный 8 2 3 3" xfId="4826"/>
    <cellStyle name="Обычный 8 2 3 4" xfId="7438"/>
    <cellStyle name="Обычный 8 2 4" xfId="2535"/>
    <cellStyle name="Обычный 8 2 4 2" xfId="4180"/>
    <cellStyle name="Обычный 8 2 4 3" xfId="5963"/>
    <cellStyle name="Обычный 8 2 4 4" xfId="8573"/>
    <cellStyle name="Обычный 8 2 5" xfId="1039"/>
    <cellStyle name="Обычный 8 2 5 2" xfId="7079"/>
    <cellStyle name="Обычный 8 2 6" xfId="627"/>
    <cellStyle name="Обычный 8 2 6 2" xfId="6667"/>
    <cellStyle name="Обычный 8 2 7" xfId="2816"/>
    <cellStyle name="Обычный 8 2 8" xfId="4460"/>
    <cellStyle name="Обычный 8 2 9" xfId="6247"/>
    <cellStyle name="Обычный 8 3" xfId="355"/>
    <cellStyle name="Обычный 8 3 2" xfId="1406"/>
    <cellStyle name="Обычный 8 3 2 2" xfId="3190"/>
    <cellStyle name="Обычный 8 3 2 3" xfId="4834"/>
    <cellStyle name="Обычный 8 3 2 4" xfId="7446"/>
    <cellStyle name="Обычный 8 3 3" xfId="775"/>
    <cellStyle name="Обычный 8 3 3 2" xfId="6815"/>
    <cellStyle name="Обычный 8 3 4" xfId="2952"/>
    <cellStyle name="Обычный 8 3 5" xfId="4596"/>
    <cellStyle name="Обычный 8 3 6" xfId="6395"/>
    <cellStyle name="Обычный 8 4" xfId="1430"/>
    <cellStyle name="Обычный 8 4 2" xfId="1878"/>
    <cellStyle name="Обычный 8 4 2 2" xfId="3523"/>
    <cellStyle name="Обычный 8 4 2 3" xfId="5306"/>
    <cellStyle name="Обычный 8 4 2 4" xfId="7916"/>
    <cellStyle name="Обычный 8 4 3" xfId="4858"/>
    <cellStyle name="Обычный 8 4 4" xfId="7469"/>
    <cellStyle name="Обычный 8 5" xfId="1390"/>
    <cellStyle name="Обычный 8 5 2" xfId="3174"/>
    <cellStyle name="Обычный 8 5 3" xfId="4818"/>
    <cellStyle name="Обычный 8 5 4" xfId="7430"/>
    <cellStyle name="Обычный 8 6" xfId="2399"/>
    <cellStyle name="Обычный 8 6 2" xfId="4044"/>
    <cellStyle name="Обычный 8 6 3" xfId="5827"/>
    <cellStyle name="Обычный 8 6 4" xfId="8437"/>
    <cellStyle name="Обычный 8 7" xfId="1626"/>
    <cellStyle name="Обычный 8 7 2" xfId="3271"/>
    <cellStyle name="Обычный 8 7 3" xfId="5054"/>
    <cellStyle name="Обычный 8 7 4" xfId="7664"/>
    <cellStyle name="Обычный 8 8" xfId="491"/>
    <cellStyle name="Обычный 8 8 2" xfId="6531"/>
    <cellStyle name="Обычный 8 9" xfId="2680"/>
    <cellStyle name="Обычный 9" xfId="71"/>
    <cellStyle name="Обычный 9 10" xfId="4325"/>
    <cellStyle name="Обычный 9 11" xfId="6112"/>
    <cellStyle name="Обычный 9 2" xfId="207"/>
    <cellStyle name="Обычный 9 2 2" xfId="1305"/>
    <cellStyle name="Обычный 9 2 2 2" xfId="1415"/>
    <cellStyle name="Обычный 9 2 2 2 2" xfId="3199"/>
    <cellStyle name="Обычный 9 2 2 2 3" xfId="4843"/>
    <cellStyle name="Обычный 9 2 2 2 4" xfId="7455"/>
    <cellStyle name="Обычный 9 2 2 3" xfId="3089"/>
    <cellStyle name="Обычный 9 2 2 4" xfId="4733"/>
    <cellStyle name="Обычный 9 2 2 5" xfId="7345"/>
    <cellStyle name="Обычный 9 2 3" xfId="1399"/>
    <cellStyle name="Обычный 9 2 3 2" xfId="3183"/>
    <cellStyle name="Обычный 9 2 3 3" xfId="4827"/>
    <cellStyle name="Обычный 9 2 3 4" xfId="7439"/>
    <cellStyle name="Обычный 9 2 4" xfId="2536"/>
    <cellStyle name="Обычный 9 2 4 2" xfId="4181"/>
    <cellStyle name="Обычный 9 2 4 3" xfId="5964"/>
    <cellStyle name="Обычный 9 2 4 4" xfId="8574"/>
    <cellStyle name="Обычный 9 2 5" xfId="1040"/>
    <cellStyle name="Обычный 9 2 5 2" xfId="7080"/>
    <cellStyle name="Обычный 9 2 6" xfId="628"/>
    <cellStyle name="Обычный 9 2 6 2" xfId="6668"/>
    <cellStyle name="Обычный 9 2 7" xfId="2817"/>
    <cellStyle name="Обычный 9 2 8" xfId="4461"/>
    <cellStyle name="Обычный 9 2 9" xfId="6248"/>
    <cellStyle name="Обычный 9 3" xfId="356"/>
    <cellStyle name="Обычный 9 3 2" xfId="1407"/>
    <cellStyle name="Обычный 9 3 2 2" xfId="3191"/>
    <cellStyle name="Обычный 9 3 2 3" xfId="4835"/>
    <cellStyle name="Обычный 9 3 2 4" xfId="7447"/>
    <cellStyle name="Обычный 9 3 3" xfId="776"/>
    <cellStyle name="Обычный 9 3 3 2" xfId="6816"/>
    <cellStyle name="Обычный 9 3 4" xfId="2953"/>
    <cellStyle name="Обычный 9 3 5" xfId="4597"/>
    <cellStyle name="Обычный 9 3 6" xfId="6396"/>
    <cellStyle name="Обычный 9 4" xfId="1431"/>
    <cellStyle name="Обычный 9 4 2" xfId="1879"/>
    <cellStyle name="Обычный 9 4 2 2" xfId="3524"/>
    <cellStyle name="Обычный 9 4 2 3" xfId="5307"/>
    <cellStyle name="Обычный 9 4 2 4" xfId="7917"/>
    <cellStyle name="Обычный 9 4 3" xfId="4859"/>
    <cellStyle name="Обычный 9 4 4" xfId="7470"/>
    <cellStyle name="Обычный 9 5" xfId="1391"/>
    <cellStyle name="Обычный 9 5 2" xfId="3175"/>
    <cellStyle name="Обычный 9 5 3" xfId="4819"/>
    <cellStyle name="Обычный 9 5 4" xfId="7431"/>
    <cellStyle name="Обычный 9 6" xfId="2400"/>
    <cellStyle name="Обычный 9 6 2" xfId="4045"/>
    <cellStyle name="Обычный 9 6 3" xfId="5828"/>
    <cellStyle name="Обычный 9 6 4" xfId="8438"/>
    <cellStyle name="Обычный 9 7" xfId="1627"/>
    <cellStyle name="Обычный 9 7 2" xfId="3272"/>
    <cellStyle name="Обычный 9 7 3" xfId="5055"/>
    <cellStyle name="Обычный 9 7 4" xfId="7665"/>
    <cellStyle name="Обычный 9 8" xfId="492"/>
    <cellStyle name="Обычный 9 8 2" xfId="6532"/>
    <cellStyle name="Обычный 9 9" xfId="2681"/>
    <cellStyle name="Процентный" xfId="287" builtinId="5"/>
    <cellStyle name="Процентный 2" xfId="1557"/>
    <cellStyle name="Процентный 2 2" xfId="4985"/>
    <cellStyle name="Процентный 2 3" xfId="7595"/>
    <cellStyle name="Финансовый" xfId="1" builtinId="3"/>
    <cellStyle name="Финансовый [0] 2" xfId="1385"/>
    <cellStyle name="Финансовый [0] 2 2" xfId="3169"/>
    <cellStyle name="Финансовый [0] 2 3" xfId="4813"/>
    <cellStyle name="Финансовый [0] 2 4" xfId="7425"/>
    <cellStyle name="Финансовый 10" xfId="125"/>
    <cellStyle name="Финансовый 10 10" xfId="2735"/>
    <cellStyle name="Финансовый 10 11" xfId="4379"/>
    <cellStyle name="Финансовый 10 12" xfId="6166"/>
    <cellStyle name="Финансовый 10 2" xfId="261"/>
    <cellStyle name="Финансовый 10 2 2" xfId="1359"/>
    <cellStyle name="Финансовый 10 2 2 2" xfId="2317"/>
    <cellStyle name="Финансовый 10 2 2 2 2" xfId="3962"/>
    <cellStyle name="Финансовый 10 2 2 2 3" xfId="5745"/>
    <cellStyle name="Финансовый 10 2 2 2 4" xfId="8355"/>
    <cellStyle name="Финансовый 10 2 2 3" xfId="3143"/>
    <cellStyle name="Финансовый 10 2 2 4" xfId="4787"/>
    <cellStyle name="Финансовый 10 2 2 5" xfId="7399"/>
    <cellStyle name="Финансовый 10 2 3" xfId="2061"/>
    <cellStyle name="Финансовый 10 2 3 2" xfId="3706"/>
    <cellStyle name="Финансовый 10 2 3 3" xfId="5489"/>
    <cellStyle name="Финансовый 10 2 3 4" xfId="8099"/>
    <cellStyle name="Финансовый 10 2 4" xfId="2590"/>
    <cellStyle name="Финансовый 10 2 4 2" xfId="4235"/>
    <cellStyle name="Финансовый 10 2 4 3" xfId="6018"/>
    <cellStyle name="Финансовый 10 2 4 4" xfId="8628"/>
    <cellStyle name="Финансовый 10 2 5" xfId="1094"/>
    <cellStyle name="Финансовый 10 2 5 2" xfId="7134"/>
    <cellStyle name="Финансовый 10 2 6" xfId="682"/>
    <cellStyle name="Финансовый 10 2 6 2" xfId="6722"/>
    <cellStyle name="Финансовый 10 2 7" xfId="2871"/>
    <cellStyle name="Финансовый 10 2 8" xfId="4515"/>
    <cellStyle name="Финансовый 10 2 9" xfId="6302"/>
    <cellStyle name="Финансовый 10 3" xfId="410"/>
    <cellStyle name="Финансовый 10 3 2" xfId="2189"/>
    <cellStyle name="Финансовый 10 3 2 2" xfId="3834"/>
    <cellStyle name="Финансовый 10 3 2 3" xfId="5617"/>
    <cellStyle name="Финансовый 10 3 2 4" xfId="8227"/>
    <cellStyle name="Финансовый 10 3 3" xfId="1223"/>
    <cellStyle name="Финансовый 10 3 3 2" xfId="7263"/>
    <cellStyle name="Финансовый 10 3 4" xfId="830"/>
    <cellStyle name="Финансовый 10 3 4 2" xfId="6870"/>
    <cellStyle name="Финансовый 10 3 5" xfId="3007"/>
    <cellStyle name="Финансовый 10 3 6" xfId="4651"/>
    <cellStyle name="Финансовый 10 3 7" xfId="6450"/>
    <cellStyle name="Финансовый 10 4" xfId="1444"/>
    <cellStyle name="Финансовый 10 4 2" xfId="1933"/>
    <cellStyle name="Финансовый 10 4 2 2" xfId="3578"/>
    <cellStyle name="Финансовый 10 4 2 3" xfId="5361"/>
    <cellStyle name="Финансовый 10 4 2 4" xfId="7971"/>
    <cellStyle name="Финансовый 10 4 3" xfId="4872"/>
    <cellStyle name="Финансовый 10 4 4" xfId="7482"/>
    <cellStyle name="Финансовый 10 5" xfId="1809"/>
    <cellStyle name="Финансовый 10 5 2" xfId="3454"/>
    <cellStyle name="Финансовый 10 5 3" xfId="5237"/>
    <cellStyle name="Финансовый 10 5 4" xfId="7847"/>
    <cellStyle name="Финансовый 10 6" xfId="2454"/>
    <cellStyle name="Финансовый 10 6 2" xfId="4099"/>
    <cellStyle name="Финансовый 10 6 3" xfId="5882"/>
    <cellStyle name="Финансовый 10 6 4" xfId="8492"/>
    <cellStyle name="Финансовый 10 7" xfId="1681"/>
    <cellStyle name="Финансовый 10 7 2" xfId="3326"/>
    <cellStyle name="Финансовый 10 7 3" xfId="5109"/>
    <cellStyle name="Финансовый 10 7 4" xfId="7719"/>
    <cellStyle name="Финансовый 10 8" xfId="958"/>
    <cellStyle name="Финансовый 10 8 2" xfId="6998"/>
    <cellStyle name="Финансовый 10 9" xfId="546"/>
    <cellStyle name="Финансовый 10 9 2" xfId="6586"/>
    <cellStyle name="Финансовый 11" xfId="61"/>
    <cellStyle name="Финансовый 11 10" xfId="2673"/>
    <cellStyle name="Финансовый 11 11" xfId="4316"/>
    <cellStyle name="Финансовый 11 12" xfId="6104"/>
    <cellStyle name="Финансовый 11 2" xfId="199"/>
    <cellStyle name="Финансовый 11 2 2" xfId="1297"/>
    <cellStyle name="Финансовый 11 2 2 2" xfId="2263"/>
    <cellStyle name="Финансовый 11 2 2 2 2" xfId="3908"/>
    <cellStyle name="Финансовый 11 2 2 2 3" xfId="5691"/>
    <cellStyle name="Финансовый 11 2 2 2 4" xfId="8301"/>
    <cellStyle name="Финансовый 11 2 2 3" xfId="3081"/>
    <cellStyle name="Финансовый 11 2 2 4" xfId="4725"/>
    <cellStyle name="Финансовый 11 2 2 5" xfId="7337"/>
    <cellStyle name="Финансовый 11 2 3" xfId="2007"/>
    <cellStyle name="Финансовый 11 2 3 2" xfId="3652"/>
    <cellStyle name="Финансовый 11 2 3 3" xfId="5435"/>
    <cellStyle name="Финансовый 11 2 3 4" xfId="8045"/>
    <cellStyle name="Финансовый 11 2 4" xfId="2528"/>
    <cellStyle name="Финансовый 11 2 4 2" xfId="4173"/>
    <cellStyle name="Финансовый 11 2 4 3" xfId="5956"/>
    <cellStyle name="Финансовый 11 2 4 4" xfId="8566"/>
    <cellStyle name="Финансовый 11 2 5" xfId="1032"/>
    <cellStyle name="Финансовый 11 2 5 2" xfId="7072"/>
    <cellStyle name="Финансовый 11 2 6" xfId="620"/>
    <cellStyle name="Финансовый 11 2 6 2" xfId="6660"/>
    <cellStyle name="Финансовый 11 2 7" xfId="2809"/>
    <cellStyle name="Финансовый 11 2 8" xfId="4453"/>
    <cellStyle name="Финансовый 11 2 9" xfId="6240"/>
    <cellStyle name="Финансовый 11 3" xfId="348"/>
    <cellStyle name="Финансовый 11 3 2" xfId="2135"/>
    <cellStyle name="Финансовый 11 3 2 2" xfId="3780"/>
    <cellStyle name="Финансовый 11 3 2 3" xfId="5563"/>
    <cellStyle name="Финансовый 11 3 2 4" xfId="8173"/>
    <cellStyle name="Финансовый 11 3 3" xfId="1168"/>
    <cellStyle name="Финансовый 11 3 3 2" xfId="7208"/>
    <cellStyle name="Финансовый 11 3 4" xfId="768"/>
    <cellStyle name="Финансовый 11 3 4 2" xfId="6808"/>
    <cellStyle name="Финансовый 11 3 5" xfId="2945"/>
    <cellStyle name="Финансовый 11 3 6" xfId="4589"/>
    <cellStyle name="Финансовый 11 3 7" xfId="6388"/>
    <cellStyle name="Финансовый 11 4" xfId="1436"/>
    <cellStyle name="Финансовый 11 4 2" xfId="1871"/>
    <cellStyle name="Финансовый 11 4 2 2" xfId="3516"/>
    <cellStyle name="Финансовый 11 4 2 3" xfId="5299"/>
    <cellStyle name="Финансовый 11 4 2 4" xfId="7909"/>
    <cellStyle name="Финансовый 11 4 3" xfId="4864"/>
    <cellStyle name="Финансовый 11 4 4" xfId="7475"/>
    <cellStyle name="Финансовый 11 5" xfId="1755"/>
    <cellStyle name="Финансовый 11 5 2" xfId="3400"/>
    <cellStyle name="Финансовый 11 5 3" xfId="5183"/>
    <cellStyle name="Финансовый 11 5 4" xfId="7793"/>
    <cellStyle name="Финансовый 11 6" xfId="2391"/>
    <cellStyle name="Финансовый 11 6 2" xfId="4036"/>
    <cellStyle name="Финансовый 11 6 3" xfId="5819"/>
    <cellStyle name="Финансовый 11 6 4" xfId="8429"/>
    <cellStyle name="Финансовый 11 7" xfId="1618"/>
    <cellStyle name="Финансовый 11 7 2" xfId="3263"/>
    <cellStyle name="Финансовый 11 7 3" xfId="5046"/>
    <cellStyle name="Финансовый 11 7 4" xfId="7656"/>
    <cellStyle name="Финансовый 11 8" xfId="904"/>
    <cellStyle name="Финансовый 11 8 2" xfId="6944"/>
    <cellStyle name="Финансовый 11 9" xfId="484"/>
    <cellStyle name="Финансовый 11 9 2" xfId="6524"/>
    <cellStyle name="Финансовый 12" xfId="49"/>
    <cellStyle name="Финансовый 12 10" xfId="2661"/>
    <cellStyle name="Финансовый 12 11" xfId="4304"/>
    <cellStyle name="Финансовый 12 12" xfId="6092"/>
    <cellStyle name="Финансовый 12 2" xfId="187"/>
    <cellStyle name="Финансовый 12 2 2" xfId="1285"/>
    <cellStyle name="Финансовый 12 2 2 2" xfId="2251"/>
    <cellStyle name="Финансовый 12 2 2 2 2" xfId="3896"/>
    <cellStyle name="Финансовый 12 2 2 2 3" xfId="5679"/>
    <cellStyle name="Финансовый 12 2 2 2 4" xfId="8289"/>
    <cellStyle name="Финансовый 12 2 2 3" xfId="3069"/>
    <cellStyle name="Финансовый 12 2 2 4" xfId="4713"/>
    <cellStyle name="Финансовый 12 2 2 5" xfId="7325"/>
    <cellStyle name="Финансовый 12 2 3" xfId="1995"/>
    <cellStyle name="Финансовый 12 2 3 2" xfId="3640"/>
    <cellStyle name="Финансовый 12 2 3 3" xfId="5423"/>
    <cellStyle name="Финансовый 12 2 3 4" xfId="8033"/>
    <cellStyle name="Финансовый 12 2 4" xfId="2516"/>
    <cellStyle name="Финансовый 12 2 4 2" xfId="4161"/>
    <cellStyle name="Финансовый 12 2 4 3" xfId="5944"/>
    <cellStyle name="Финансовый 12 2 4 4" xfId="8554"/>
    <cellStyle name="Финансовый 12 2 5" xfId="1020"/>
    <cellStyle name="Финансовый 12 2 5 2" xfId="7060"/>
    <cellStyle name="Финансовый 12 2 6" xfId="608"/>
    <cellStyle name="Финансовый 12 2 6 2" xfId="6648"/>
    <cellStyle name="Финансовый 12 2 7" xfId="2797"/>
    <cellStyle name="Финансовый 12 2 8" xfId="4441"/>
    <cellStyle name="Финансовый 12 2 9" xfId="6228"/>
    <cellStyle name="Финансовый 12 3" xfId="336"/>
    <cellStyle name="Финансовый 12 3 2" xfId="2123"/>
    <cellStyle name="Финансовый 12 3 2 2" xfId="3768"/>
    <cellStyle name="Финансовый 12 3 2 3" xfId="5551"/>
    <cellStyle name="Финансовый 12 3 2 4" xfId="8161"/>
    <cellStyle name="Финансовый 12 3 3" xfId="1156"/>
    <cellStyle name="Финансовый 12 3 3 2" xfId="7196"/>
    <cellStyle name="Финансовый 12 3 4" xfId="756"/>
    <cellStyle name="Финансовый 12 3 4 2" xfId="6796"/>
    <cellStyle name="Финансовый 12 3 5" xfId="2933"/>
    <cellStyle name="Финансовый 12 3 6" xfId="4577"/>
    <cellStyle name="Финансовый 12 3 7" xfId="6376"/>
    <cellStyle name="Финансовый 12 4" xfId="1438"/>
    <cellStyle name="Финансовый 12 4 2" xfId="1859"/>
    <cellStyle name="Финансовый 12 4 2 2" xfId="3504"/>
    <cellStyle name="Финансовый 12 4 2 3" xfId="5287"/>
    <cellStyle name="Финансовый 12 4 2 4" xfId="7897"/>
    <cellStyle name="Финансовый 12 4 3" xfId="4866"/>
    <cellStyle name="Финансовый 12 4 4" xfId="7477"/>
    <cellStyle name="Финансовый 12 5" xfId="1743"/>
    <cellStyle name="Финансовый 12 5 2" xfId="3388"/>
    <cellStyle name="Финансовый 12 5 3" xfId="5171"/>
    <cellStyle name="Финансовый 12 5 4" xfId="7781"/>
    <cellStyle name="Финансовый 12 6" xfId="2379"/>
    <cellStyle name="Финансовый 12 6 2" xfId="4024"/>
    <cellStyle name="Финансовый 12 6 3" xfId="5807"/>
    <cellStyle name="Финансовый 12 6 4" xfId="8417"/>
    <cellStyle name="Финансовый 12 7" xfId="1606"/>
    <cellStyle name="Финансовый 12 7 2" xfId="3251"/>
    <cellStyle name="Финансовый 12 7 3" xfId="5034"/>
    <cellStyle name="Финансовый 12 7 4" xfId="7644"/>
    <cellStyle name="Финансовый 12 8" xfId="892"/>
    <cellStyle name="Финансовый 12 8 2" xfId="6932"/>
    <cellStyle name="Финансовый 12 9" xfId="472"/>
    <cellStyle name="Финансовый 12 9 2" xfId="6512"/>
    <cellStyle name="Финансовый 13" xfId="127"/>
    <cellStyle name="Финансовый 13 10" xfId="2737"/>
    <cellStyle name="Финансовый 13 11" xfId="4381"/>
    <cellStyle name="Финансовый 13 12" xfId="6168"/>
    <cellStyle name="Финансовый 13 2" xfId="263"/>
    <cellStyle name="Финансовый 13 2 2" xfId="1361"/>
    <cellStyle name="Финансовый 13 2 2 2" xfId="2319"/>
    <cellStyle name="Финансовый 13 2 2 2 2" xfId="3964"/>
    <cellStyle name="Финансовый 13 2 2 2 3" xfId="5747"/>
    <cellStyle name="Финансовый 13 2 2 2 4" xfId="8357"/>
    <cellStyle name="Финансовый 13 2 2 3" xfId="3145"/>
    <cellStyle name="Финансовый 13 2 2 4" xfId="4789"/>
    <cellStyle name="Финансовый 13 2 2 5" xfId="7401"/>
    <cellStyle name="Финансовый 13 2 3" xfId="2063"/>
    <cellStyle name="Финансовый 13 2 3 2" xfId="3708"/>
    <cellStyle name="Финансовый 13 2 3 3" xfId="5491"/>
    <cellStyle name="Финансовый 13 2 3 4" xfId="8101"/>
    <cellStyle name="Финансовый 13 2 4" xfId="2592"/>
    <cellStyle name="Финансовый 13 2 4 2" xfId="4237"/>
    <cellStyle name="Финансовый 13 2 4 3" xfId="6020"/>
    <cellStyle name="Финансовый 13 2 4 4" xfId="8630"/>
    <cellStyle name="Финансовый 13 2 5" xfId="1096"/>
    <cellStyle name="Финансовый 13 2 5 2" xfId="7136"/>
    <cellStyle name="Финансовый 13 2 6" xfId="684"/>
    <cellStyle name="Финансовый 13 2 6 2" xfId="6724"/>
    <cellStyle name="Финансовый 13 2 7" xfId="2873"/>
    <cellStyle name="Финансовый 13 2 8" xfId="4517"/>
    <cellStyle name="Финансовый 13 2 9" xfId="6304"/>
    <cellStyle name="Финансовый 13 3" xfId="412"/>
    <cellStyle name="Финансовый 13 3 2" xfId="2191"/>
    <cellStyle name="Финансовый 13 3 2 2" xfId="3836"/>
    <cellStyle name="Финансовый 13 3 2 3" xfId="5619"/>
    <cellStyle name="Финансовый 13 3 2 4" xfId="8229"/>
    <cellStyle name="Финансовый 13 3 3" xfId="1225"/>
    <cellStyle name="Финансовый 13 3 3 2" xfId="7265"/>
    <cellStyle name="Финансовый 13 3 4" xfId="832"/>
    <cellStyle name="Финансовый 13 3 4 2" xfId="6872"/>
    <cellStyle name="Финансовый 13 3 5" xfId="3009"/>
    <cellStyle name="Финансовый 13 3 6" xfId="4653"/>
    <cellStyle name="Финансовый 13 3 7" xfId="6452"/>
    <cellStyle name="Финансовый 13 4" xfId="1439"/>
    <cellStyle name="Финансовый 13 4 2" xfId="1935"/>
    <cellStyle name="Финансовый 13 4 2 2" xfId="3580"/>
    <cellStyle name="Финансовый 13 4 2 3" xfId="5363"/>
    <cellStyle name="Финансовый 13 4 2 4" xfId="7973"/>
    <cellStyle name="Финансовый 13 4 3" xfId="4867"/>
    <cellStyle name="Финансовый 13 4 4" xfId="7478"/>
    <cellStyle name="Финансовый 13 5" xfId="1811"/>
    <cellStyle name="Финансовый 13 5 2" xfId="3456"/>
    <cellStyle name="Финансовый 13 5 3" xfId="5239"/>
    <cellStyle name="Финансовый 13 5 4" xfId="7849"/>
    <cellStyle name="Финансовый 13 6" xfId="2456"/>
    <cellStyle name="Финансовый 13 6 2" xfId="4101"/>
    <cellStyle name="Финансовый 13 6 3" xfId="5884"/>
    <cellStyle name="Финансовый 13 6 4" xfId="8494"/>
    <cellStyle name="Финансовый 13 7" xfId="1683"/>
    <cellStyle name="Финансовый 13 7 2" xfId="3328"/>
    <cellStyle name="Финансовый 13 7 3" xfId="5111"/>
    <cellStyle name="Финансовый 13 7 4" xfId="7721"/>
    <cellStyle name="Финансовый 13 8" xfId="960"/>
    <cellStyle name="Финансовый 13 8 2" xfId="7000"/>
    <cellStyle name="Финансовый 13 9" xfId="548"/>
    <cellStyle name="Финансовый 13 9 2" xfId="6588"/>
    <cellStyle name="Финансовый 14" xfId="25"/>
    <cellStyle name="Финансовый 14 10" xfId="2637"/>
    <cellStyle name="Финансовый 14 11" xfId="4280"/>
    <cellStyle name="Финансовый 14 12" xfId="6068"/>
    <cellStyle name="Финансовый 14 2" xfId="163"/>
    <cellStyle name="Финансовый 14 2 2" xfId="1261"/>
    <cellStyle name="Финансовый 14 2 2 2" xfId="2227"/>
    <cellStyle name="Финансовый 14 2 2 2 2" xfId="3872"/>
    <cellStyle name="Финансовый 14 2 2 2 3" xfId="5655"/>
    <cellStyle name="Финансовый 14 2 2 2 4" xfId="8265"/>
    <cellStyle name="Финансовый 14 2 2 3" xfId="3045"/>
    <cellStyle name="Финансовый 14 2 2 4" xfId="4689"/>
    <cellStyle name="Финансовый 14 2 2 5" xfId="7301"/>
    <cellStyle name="Финансовый 14 2 3" xfId="1971"/>
    <cellStyle name="Финансовый 14 2 3 2" xfId="3616"/>
    <cellStyle name="Финансовый 14 2 3 3" xfId="5399"/>
    <cellStyle name="Финансовый 14 2 3 4" xfId="8009"/>
    <cellStyle name="Финансовый 14 2 4" xfId="2492"/>
    <cellStyle name="Финансовый 14 2 4 2" xfId="4137"/>
    <cellStyle name="Финансовый 14 2 4 3" xfId="5920"/>
    <cellStyle name="Финансовый 14 2 4 4" xfId="8530"/>
    <cellStyle name="Финансовый 14 2 5" xfId="996"/>
    <cellStyle name="Финансовый 14 2 5 2" xfId="7036"/>
    <cellStyle name="Финансовый 14 2 6" xfId="584"/>
    <cellStyle name="Финансовый 14 2 6 2" xfId="6624"/>
    <cellStyle name="Финансовый 14 2 7" xfId="2773"/>
    <cellStyle name="Финансовый 14 2 8" xfId="4417"/>
    <cellStyle name="Финансовый 14 2 9" xfId="6204"/>
    <cellStyle name="Финансовый 14 3" xfId="312"/>
    <cellStyle name="Финансовый 14 3 2" xfId="2099"/>
    <cellStyle name="Финансовый 14 3 2 2" xfId="3744"/>
    <cellStyle name="Финансовый 14 3 2 3" xfId="5527"/>
    <cellStyle name="Финансовый 14 3 2 4" xfId="8137"/>
    <cellStyle name="Финансовый 14 3 3" xfId="1132"/>
    <cellStyle name="Финансовый 14 3 3 2" xfId="7172"/>
    <cellStyle name="Финансовый 14 3 4" xfId="732"/>
    <cellStyle name="Финансовый 14 3 4 2" xfId="6772"/>
    <cellStyle name="Финансовый 14 3 5" xfId="2909"/>
    <cellStyle name="Финансовый 14 3 6" xfId="4553"/>
    <cellStyle name="Финансовый 14 3 7" xfId="6352"/>
    <cellStyle name="Финансовый 14 4" xfId="1441"/>
    <cellStyle name="Финансовый 14 4 2" xfId="1835"/>
    <cellStyle name="Финансовый 14 4 2 2" xfId="3480"/>
    <cellStyle name="Финансовый 14 4 2 3" xfId="5263"/>
    <cellStyle name="Финансовый 14 4 2 4" xfId="7873"/>
    <cellStyle name="Финансовый 14 4 3" xfId="4869"/>
    <cellStyle name="Финансовый 14 4 4" xfId="7479"/>
    <cellStyle name="Финансовый 14 5" xfId="1719"/>
    <cellStyle name="Финансовый 14 5 2" xfId="3364"/>
    <cellStyle name="Финансовый 14 5 3" xfId="5147"/>
    <cellStyle name="Финансовый 14 5 4" xfId="7757"/>
    <cellStyle name="Финансовый 14 6" xfId="2355"/>
    <cellStyle name="Финансовый 14 6 2" xfId="4000"/>
    <cellStyle name="Финансовый 14 6 3" xfId="5783"/>
    <cellStyle name="Финансовый 14 6 4" xfId="8393"/>
    <cellStyle name="Финансовый 14 7" xfId="1582"/>
    <cellStyle name="Финансовый 14 7 2" xfId="3227"/>
    <cellStyle name="Финансовый 14 7 3" xfId="5010"/>
    <cellStyle name="Финансовый 14 7 4" xfId="7620"/>
    <cellStyle name="Финансовый 14 8" xfId="868"/>
    <cellStyle name="Финансовый 14 8 2" xfId="6908"/>
    <cellStyle name="Финансовый 14 9" xfId="448"/>
    <cellStyle name="Финансовый 14 9 2" xfId="6488"/>
    <cellStyle name="Финансовый 15" xfId="13"/>
    <cellStyle name="Финансовый 15 10" xfId="2625"/>
    <cellStyle name="Финансовый 15 11" xfId="4268"/>
    <cellStyle name="Финансовый 15 12" xfId="6056"/>
    <cellStyle name="Финансовый 15 2" xfId="151"/>
    <cellStyle name="Финансовый 15 2 2" xfId="1249"/>
    <cellStyle name="Финансовый 15 2 2 2" xfId="2215"/>
    <cellStyle name="Финансовый 15 2 2 2 2" xfId="3860"/>
    <cellStyle name="Финансовый 15 2 2 2 3" xfId="5643"/>
    <cellStyle name="Финансовый 15 2 2 2 4" xfId="8253"/>
    <cellStyle name="Финансовый 15 2 2 3" xfId="3033"/>
    <cellStyle name="Финансовый 15 2 2 4" xfId="4677"/>
    <cellStyle name="Финансовый 15 2 2 5" xfId="7289"/>
    <cellStyle name="Финансовый 15 2 3" xfId="1959"/>
    <cellStyle name="Финансовый 15 2 3 2" xfId="3604"/>
    <cellStyle name="Финансовый 15 2 3 3" xfId="5387"/>
    <cellStyle name="Финансовый 15 2 3 4" xfId="7997"/>
    <cellStyle name="Финансовый 15 2 4" xfId="2480"/>
    <cellStyle name="Финансовый 15 2 4 2" xfId="4125"/>
    <cellStyle name="Финансовый 15 2 4 3" xfId="5908"/>
    <cellStyle name="Финансовый 15 2 4 4" xfId="8518"/>
    <cellStyle name="Финансовый 15 2 5" xfId="984"/>
    <cellStyle name="Финансовый 15 2 5 2" xfId="7024"/>
    <cellStyle name="Финансовый 15 2 6" xfId="572"/>
    <cellStyle name="Финансовый 15 2 6 2" xfId="6612"/>
    <cellStyle name="Финансовый 15 2 7" xfId="2761"/>
    <cellStyle name="Финансовый 15 2 8" xfId="4405"/>
    <cellStyle name="Финансовый 15 2 9" xfId="6192"/>
    <cellStyle name="Финансовый 15 3" xfId="300"/>
    <cellStyle name="Финансовый 15 3 2" xfId="2087"/>
    <cellStyle name="Финансовый 15 3 2 2" xfId="3732"/>
    <cellStyle name="Финансовый 15 3 2 3" xfId="5515"/>
    <cellStyle name="Финансовый 15 3 2 4" xfId="8125"/>
    <cellStyle name="Финансовый 15 3 3" xfId="1120"/>
    <cellStyle name="Финансовый 15 3 3 2" xfId="7160"/>
    <cellStyle name="Финансовый 15 3 4" xfId="720"/>
    <cellStyle name="Финансовый 15 3 4 2" xfId="6760"/>
    <cellStyle name="Финансовый 15 3 5" xfId="2897"/>
    <cellStyle name="Финансовый 15 3 6" xfId="4541"/>
    <cellStyle name="Финансовый 15 3 7" xfId="6340"/>
    <cellStyle name="Финансовый 15 4" xfId="1435"/>
    <cellStyle name="Финансовый 15 4 2" xfId="1823"/>
    <cellStyle name="Финансовый 15 4 2 2" xfId="3468"/>
    <cellStyle name="Финансовый 15 4 2 3" xfId="5251"/>
    <cellStyle name="Финансовый 15 4 2 4" xfId="7861"/>
    <cellStyle name="Финансовый 15 4 3" xfId="4863"/>
    <cellStyle name="Финансовый 15 4 4" xfId="7474"/>
    <cellStyle name="Финансовый 15 5" xfId="1707"/>
    <cellStyle name="Финансовый 15 5 2" xfId="3352"/>
    <cellStyle name="Финансовый 15 5 3" xfId="5135"/>
    <cellStyle name="Финансовый 15 5 4" xfId="7745"/>
    <cellStyle name="Финансовый 15 6" xfId="2343"/>
    <cellStyle name="Финансовый 15 6 2" xfId="3988"/>
    <cellStyle name="Финансовый 15 6 3" xfId="5771"/>
    <cellStyle name="Финансовый 15 6 4" xfId="8381"/>
    <cellStyle name="Финансовый 15 7" xfId="1570"/>
    <cellStyle name="Финансовый 15 7 2" xfId="3215"/>
    <cellStyle name="Финансовый 15 7 3" xfId="4998"/>
    <cellStyle name="Финансовый 15 7 4" xfId="7608"/>
    <cellStyle name="Финансовый 15 8" xfId="856"/>
    <cellStyle name="Финансовый 15 8 2" xfId="6896"/>
    <cellStyle name="Финансовый 15 9" xfId="436"/>
    <cellStyle name="Финансовый 15 9 2" xfId="6476"/>
    <cellStyle name="Финансовый 16" xfId="139"/>
    <cellStyle name="Финансовый 16 2" xfId="1237"/>
    <cellStyle name="Финансовый 16 2 2" xfId="2203"/>
    <cellStyle name="Финансовый 16 2 2 2" xfId="3848"/>
    <cellStyle name="Финансовый 16 2 2 3" xfId="5631"/>
    <cellStyle name="Финансовый 16 2 2 4" xfId="8241"/>
    <cellStyle name="Финансовый 16 2 3" xfId="3021"/>
    <cellStyle name="Финансовый 16 2 4" xfId="4665"/>
    <cellStyle name="Финансовый 16 2 5" xfId="7277"/>
    <cellStyle name="Финансовый 16 3" xfId="1947"/>
    <cellStyle name="Финансовый 16 3 2" xfId="3592"/>
    <cellStyle name="Финансовый 16 3 3" xfId="5375"/>
    <cellStyle name="Финансовый 16 3 4" xfId="7985"/>
    <cellStyle name="Финансовый 16 4" xfId="2468"/>
    <cellStyle name="Финансовый 16 4 2" xfId="4113"/>
    <cellStyle name="Финансовый 16 4 3" xfId="5896"/>
    <cellStyle name="Финансовый 16 4 4" xfId="8506"/>
    <cellStyle name="Финансовый 16 5" xfId="972"/>
    <cellStyle name="Финансовый 16 5 2" xfId="7012"/>
    <cellStyle name="Финансовый 16 6" xfId="560"/>
    <cellStyle name="Финансовый 16 6 2" xfId="6600"/>
    <cellStyle name="Финансовый 16 7" xfId="2749"/>
    <cellStyle name="Финансовый 16 8" xfId="4393"/>
    <cellStyle name="Финансовый 16 9" xfId="6180"/>
    <cellStyle name="Финансовый 17" xfId="275"/>
    <cellStyle name="Финансовый 17 2" xfId="2075"/>
    <cellStyle name="Финансовый 17 2 2" xfId="3720"/>
    <cellStyle name="Финансовый 17 2 3" xfId="5503"/>
    <cellStyle name="Финансовый 17 2 4" xfId="8113"/>
    <cellStyle name="Финансовый 17 3" xfId="1373"/>
    <cellStyle name="Финансовый 17 3 2" xfId="7413"/>
    <cellStyle name="Финансовый 17 4" xfId="696"/>
    <cellStyle name="Финансовый 17 4 2" xfId="6736"/>
    <cellStyle name="Финансовый 17 5" xfId="3157"/>
    <cellStyle name="Финансовый 17 6" xfId="4801"/>
    <cellStyle name="Финансовый 17 7" xfId="6316"/>
    <cellStyle name="Финансовый 18" xfId="288"/>
    <cellStyle name="Финансовый 18 2" xfId="1108"/>
    <cellStyle name="Финансовый 18 2 2" xfId="7148"/>
    <cellStyle name="Финансовый 18 3" xfId="708"/>
    <cellStyle name="Финансовый 18 3 2" xfId="6748"/>
    <cellStyle name="Финансовый 18 4" xfId="2885"/>
    <cellStyle name="Финансовый 18 5" xfId="4529"/>
    <cellStyle name="Финансовый 18 6" xfId="6328"/>
    <cellStyle name="Финансовый 19" xfId="1421"/>
    <cellStyle name="Финансовый 19 2" xfId="1695"/>
    <cellStyle name="Финансовый 19 2 2" xfId="3340"/>
    <cellStyle name="Финансовый 19 2 3" xfId="5123"/>
    <cellStyle name="Финансовый 19 2 4" xfId="7733"/>
    <cellStyle name="Финансовый 19 3" xfId="4849"/>
    <cellStyle name="Финансовый 19 4" xfId="7461"/>
    <cellStyle name="Финансовый 2" xfId="2"/>
    <cellStyle name="Финансовый 2 10" xfId="62"/>
    <cellStyle name="Финансовый 2 10 10" xfId="2674"/>
    <cellStyle name="Финансовый 2 10 11" xfId="4317"/>
    <cellStyle name="Финансовый 2 10 12" xfId="6105"/>
    <cellStyle name="Финансовый 2 10 2" xfId="200"/>
    <cellStyle name="Финансовый 2 10 2 2" xfId="1298"/>
    <cellStyle name="Финансовый 2 10 2 2 2" xfId="2264"/>
    <cellStyle name="Финансовый 2 10 2 2 2 2" xfId="3909"/>
    <cellStyle name="Финансовый 2 10 2 2 2 3" xfId="5692"/>
    <cellStyle name="Финансовый 2 10 2 2 2 4" xfId="8302"/>
    <cellStyle name="Финансовый 2 10 2 2 3" xfId="3082"/>
    <cellStyle name="Финансовый 2 10 2 2 4" xfId="4726"/>
    <cellStyle name="Финансовый 2 10 2 2 5" xfId="7338"/>
    <cellStyle name="Финансовый 2 10 2 3" xfId="2008"/>
    <cellStyle name="Финансовый 2 10 2 3 2" xfId="3653"/>
    <cellStyle name="Финансовый 2 10 2 3 3" xfId="5436"/>
    <cellStyle name="Финансовый 2 10 2 3 4" xfId="8046"/>
    <cellStyle name="Финансовый 2 10 2 4" xfId="2529"/>
    <cellStyle name="Финансовый 2 10 2 4 2" xfId="4174"/>
    <cellStyle name="Финансовый 2 10 2 4 3" xfId="5957"/>
    <cellStyle name="Финансовый 2 10 2 4 4" xfId="8567"/>
    <cellStyle name="Финансовый 2 10 2 5" xfId="1033"/>
    <cellStyle name="Финансовый 2 10 2 5 2" xfId="7073"/>
    <cellStyle name="Финансовый 2 10 2 6" xfId="621"/>
    <cellStyle name="Финансовый 2 10 2 6 2" xfId="6661"/>
    <cellStyle name="Финансовый 2 10 2 7" xfId="2810"/>
    <cellStyle name="Финансовый 2 10 2 8" xfId="4454"/>
    <cellStyle name="Финансовый 2 10 2 9" xfId="6241"/>
    <cellStyle name="Финансовый 2 10 3" xfId="349"/>
    <cellStyle name="Финансовый 2 10 3 2" xfId="2136"/>
    <cellStyle name="Финансовый 2 10 3 2 2" xfId="3781"/>
    <cellStyle name="Финансовый 2 10 3 2 3" xfId="5564"/>
    <cellStyle name="Финансовый 2 10 3 2 4" xfId="8174"/>
    <cellStyle name="Финансовый 2 10 3 3" xfId="1169"/>
    <cellStyle name="Финансовый 2 10 3 3 2" xfId="7209"/>
    <cellStyle name="Финансовый 2 10 3 4" xfId="769"/>
    <cellStyle name="Финансовый 2 10 3 4 2" xfId="6809"/>
    <cellStyle name="Финансовый 2 10 3 5" xfId="2946"/>
    <cellStyle name="Финансовый 2 10 3 6" xfId="4590"/>
    <cellStyle name="Финансовый 2 10 3 7" xfId="6389"/>
    <cellStyle name="Финансовый 2 10 4" xfId="1448"/>
    <cellStyle name="Финансовый 2 10 4 2" xfId="1872"/>
    <cellStyle name="Финансовый 2 10 4 2 2" xfId="3517"/>
    <cellStyle name="Финансовый 2 10 4 2 3" xfId="5300"/>
    <cellStyle name="Финансовый 2 10 4 2 4" xfId="7910"/>
    <cellStyle name="Финансовый 2 10 4 3" xfId="4876"/>
    <cellStyle name="Финансовый 2 10 4 4" xfId="7486"/>
    <cellStyle name="Финансовый 2 10 5" xfId="1756"/>
    <cellStyle name="Финансовый 2 10 5 2" xfId="3401"/>
    <cellStyle name="Финансовый 2 10 5 3" xfId="5184"/>
    <cellStyle name="Финансовый 2 10 5 4" xfId="7794"/>
    <cellStyle name="Финансовый 2 10 6" xfId="2392"/>
    <cellStyle name="Финансовый 2 10 6 2" xfId="4037"/>
    <cellStyle name="Финансовый 2 10 6 3" xfId="5820"/>
    <cellStyle name="Финансовый 2 10 6 4" xfId="8430"/>
    <cellStyle name="Финансовый 2 10 7" xfId="1619"/>
    <cellStyle name="Финансовый 2 10 7 2" xfId="3264"/>
    <cellStyle name="Финансовый 2 10 7 3" xfId="5047"/>
    <cellStyle name="Финансовый 2 10 7 4" xfId="7657"/>
    <cellStyle name="Финансовый 2 10 8" xfId="905"/>
    <cellStyle name="Финансовый 2 10 8 2" xfId="6945"/>
    <cellStyle name="Финансовый 2 10 9" xfId="485"/>
    <cellStyle name="Финансовый 2 10 9 2" xfId="6525"/>
    <cellStyle name="Финансовый 2 11" xfId="50"/>
    <cellStyle name="Финансовый 2 11 10" xfId="2662"/>
    <cellStyle name="Финансовый 2 11 11" xfId="4305"/>
    <cellStyle name="Финансовый 2 11 12" xfId="6093"/>
    <cellStyle name="Финансовый 2 11 2" xfId="188"/>
    <cellStyle name="Финансовый 2 11 2 2" xfId="1286"/>
    <cellStyle name="Финансовый 2 11 2 2 2" xfId="2252"/>
    <cellStyle name="Финансовый 2 11 2 2 2 2" xfId="3897"/>
    <cellStyle name="Финансовый 2 11 2 2 2 3" xfId="5680"/>
    <cellStyle name="Финансовый 2 11 2 2 2 4" xfId="8290"/>
    <cellStyle name="Финансовый 2 11 2 2 3" xfId="3070"/>
    <cellStyle name="Финансовый 2 11 2 2 4" xfId="4714"/>
    <cellStyle name="Финансовый 2 11 2 2 5" xfId="7326"/>
    <cellStyle name="Финансовый 2 11 2 3" xfId="1996"/>
    <cellStyle name="Финансовый 2 11 2 3 2" xfId="3641"/>
    <cellStyle name="Финансовый 2 11 2 3 3" xfId="5424"/>
    <cellStyle name="Финансовый 2 11 2 3 4" xfId="8034"/>
    <cellStyle name="Финансовый 2 11 2 4" xfId="2517"/>
    <cellStyle name="Финансовый 2 11 2 4 2" xfId="4162"/>
    <cellStyle name="Финансовый 2 11 2 4 3" xfId="5945"/>
    <cellStyle name="Финансовый 2 11 2 4 4" xfId="8555"/>
    <cellStyle name="Финансовый 2 11 2 5" xfId="1021"/>
    <cellStyle name="Финансовый 2 11 2 5 2" xfId="7061"/>
    <cellStyle name="Финансовый 2 11 2 6" xfId="609"/>
    <cellStyle name="Финансовый 2 11 2 6 2" xfId="6649"/>
    <cellStyle name="Финансовый 2 11 2 7" xfId="2798"/>
    <cellStyle name="Финансовый 2 11 2 8" xfId="4442"/>
    <cellStyle name="Финансовый 2 11 2 9" xfId="6229"/>
    <cellStyle name="Финансовый 2 11 3" xfId="337"/>
    <cellStyle name="Финансовый 2 11 3 2" xfId="2124"/>
    <cellStyle name="Финансовый 2 11 3 2 2" xfId="3769"/>
    <cellStyle name="Финансовый 2 11 3 2 3" xfId="5552"/>
    <cellStyle name="Финансовый 2 11 3 2 4" xfId="8162"/>
    <cellStyle name="Финансовый 2 11 3 3" xfId="1157"/>
    <cellStyle name="Финансовый 2 11 3 3 2" xfId="7197"/>
    <cellStyle name="Финансовый 2 11 3 4" xfId="757"/>
    <cellStyle name="Финансовый 2 11 3 4 2" xfId="6797"/>
    <cellStyle name="Финансовый 2 11 3 5" xfId="2934"/>
    <cellStyle name="Финансовый 2 11 3 6" xfId="4578"/>
    <cellStyle name="Финансовый 2 11 3 7" xfId="6377"/>
    <cellStyle name="Финансовый 2 11 4" xfId="1434"/>
    <cellStyle name="Финансовый 2 11 4 2" xfId="1860"/>
    <cellStyle name="Финансовый 2 11 4 2 2" xfId="3505"/>
    <cellStyle name="Финансовый 2 11 4 2 3" xfId="5288"/>
    <cellStyle name="Финансовый 2 11 4 2 4" xfId="7898"/>
    <cellStyle name="Финансовый 2 11 4 3" xfId="4862"/>
    <cellStyle name="Финансовый 2 11 4 4" xfId="7473"/>
    <cellStyle name="Финансовый 2 11 5" xfId="1744"/>
    <cellStyle name="Финансовый 2 11 5 2" xfId="3389"/>
    <cellStyle name="Финансовый 2 11 5 3" xfId="5172"/>
    <cellStyle name="Финансовый 2 11 5 4" xfId="7782"/>
    <cellStyle name="Финансовый 2 11 6" xfId="2380"/>
    <cellStyle name="Финансовый 2 11 6 2" xfId="4025"/>
    <cellStyle name="Финансовый 2 11 6 3" xfId="5808"/>
    <cellStyle name="Финансовый 2 11 6 4" xfId="8418"/>
    <cellStyle name="Финансовый 2 11 7" xfId="1607"/>
    <cellStyle name="Финансовый 2 11 7 2" xfId="3252"/>
    <cellStyle name="Финансовый 2 11 7 3" xfId="5035"/>
    <cellStyle name="Финансовый 2 11 7 4" xfId="7645"/>
    <cellStyle name="Финансовый 2 11 8" xfId="893"/>
    <cellStyle name="Финансовый 2 11 8 2" xfId="6933"/>
    <cellStyle name="Финансовый 2 11 9" xfId="473"/>
    <cellStyle name="Финансовый 2 11 9 2" xfId="6513"/>
    <cellStyle name="Финансовый 2 12" xfId="128"/>
    <cellStyle name="Финансовый 2 12 10" xfId="2738"/>
    <cellStyle name="Финансовый 2 12 11" xfId="4382"/>
    <cellStyle name="Финансовый 2 12 12" xfId="6169"/>
    <cellStyle name="Финансовый 2 12 2" xfId="264"/>
    <cellStyle name="Финансовый 2 12 2 2" xfId="1362"/>
    <cellStyle name="Финансовый 2 12 2 2 2" xfId="2320"/>
    <cellStyle name="Финансовый 2 12 2 2 2 2" xfId="3965"/>
    <cellStyle name="Финансовый 2 12 2 2 2 3" xfId="5748"/>
    <cellStyle name="Финансовый 2 12 2 2 2 4" xfId="8358"/>
    <cellStyle name="Финансовый 2 12 2 2 3" xfId="3146"/>
    <cellStyle name="Финансовый 2 12 2 2 4" xfId="4790"/>
    <cellStyle name="Финансовый 2 12 2 2 5" xfId="7402"/>
    <cellStyle name="Финансовый 2 12 2 3" xfId="2064"/>
    <cellStyle name="Финансовый 2 12 2 3 2" xfId="3709"/>
    <cellStyle name="Финансовый 2 12 2 3 3" xfId="5492"/>
    <cellStyle name="Финансовый 2 12 2 3 4" xfId="8102"/>
    <cellStyle name="Финансовый 2 12 2 4" xfId="2593"/>
    <cellStyle name="Финансовый 2 12 2 4 2" xfId="4238"/>
    <cellStyle name="Финансовый 2 12 2 4 3" xfId="6021"/>
    <cellStyle name="Финансовый 2 12 2 4 4" xfId="8631"/>
    <cellStyle name="Финансовый 2 12 2 5" xfId="1097"/>
    <cellStyle name="Финансовый 2 12 2 5 2" xfId="7137"/>
    <cellStyle name="Финансовый 2 12 2 6" xfId="685"/>
    <cellStyle name="Финансовый 2 12 2 6 2" xfId="6725"/>
    <cellStyle name="Финансовый 2 12 2 7" xfId="2874"/>
    <cellStyle name="Финансовый 2 12 2 8" xfId="4518"/>
    <cellStyle name="Финансовый 2 12 2 9" xfId="6305"/>
    <cellStyle name="Финансовый 2 12 3" xfId="413"/>
    <cellStyle name="Финансовый 2 12 3 2" xfId="2192"/>
    <cellStyle name="Финансовый 2 12 3 2 2" xfId="3837"/>
    <cellStyle name="Финансовый 2 12 3 2 3" xfId="5620"/>
    <cellStyle name="Финансовый 2 12 3 2 4" xfId="8230"/>
    <cellStyle name="Финансовый 2 12 3 3" xfId="1226"/>
    <cellStyle name="Финансовый 2 12 3 3 2" xfId="7266"/>
    <cellStyle name="Финансовый 2 12 3 4" xfId="833"/>
    <cellStyle name="Финансовый 2 12 3 4 2" xfId="6873"/>
    <cellStyle name="Финансовый 2 12 3 5" xfId="3010"/>
    <cellStyle name="Финансовый 2 12 3 6" xfId="4654"/>
    <cellStyle name="Финансовый 2 12 3 7" xfId="6453"/>
    <cellStyle name="Финансовый 2 12 4" xfId="1450"/>
    <cellStyle name="Финансовый 2 12 4 2" xfId="1936"/>
    <cellStyle name="Финансовый 2 12 4 2 2" xfId="3581"/>
    <cellStyle name="Финансовый 2 12 4 2 3" xfId="5364"/>
    <cellStyle name="Финансовый 2 12 4 2 4" xfId="7974"/>
    <cellStyle name="Финансовый 2 12 4 3" xfId="4878"/>
    <cellStyle name="Финансовый 2 12 4 4" xfId="7488"/>
    <cellStyle name="Финансовый 2 12 5" xfId="1812"/>
    <cellStyle name="Финансовый 2 12 5 2" xfId="3457"/>
    <cellStyle name="Финансовый 2 12 5 3" xfId="5240"/>
    <cellStyle name="Финансовый 2 12 5 4" xfId="7850"/>
    <cellStyle name="Финансовый 2 12 6" xfId="2457"/>
    <cellStyle name="Финансовый 2 12 6 2" xfId="4102"/>
    <cellStyle name="Финансовый 2 12 6 3" xfId="5885"/>
    <cellStyle name="Финансовый 2 12 6 4" xfId="8495"/>
    <cellStyle name="Финансовый 2 12 7" xfId="1684"/>
    <cellStyle name="Финансовый 2 12 7 2" xfId="3329"/>
    <cellStyle name="Финансовый 2 12 7 3" xfId="5112"/>
    <cellStyle name="Финансовый 2 12 7 4" xfId="7722"/>
    <cellStyle name="Финансовый 2 12 8" xfId="961"/>
    <cellStyle name="Финансовый 2 12 8 2" xfId="7001"/>
    <cellStyle name="Финансовый 2 12 9" xfId="549"/>
    <cellStyle name="Финансовый 2 12 9 2" xfId="6589"/>
    <cellStyle name="Финансовый 2 13" xfId="26"/>
    <cellStyle name="Финансовый 2 13 10" xfId="2638"/>
    <cellStyle name="Финансовый 2 13 11" xfId="4281"/>
    <cellStyle name="Финансовый 2 13 12" xfId="6069"/>
    <cellStyle name="Финансовый 2 13 2" xfId="164"/>
    <cellStyle name="Финансовый 2 13 2 2" xfId="1262"/>
    <cellStyle name="Финансовый 2 13 2 2 2" xfId="2228"/>
    <cellStyle name="Финансовый 2 13 2 2 2 2" xfId="3873"/>
    <cellStyle name="Финансовый 2 13 2 2 2 3" xfId="5656"/>
    <cellStyle name="Финансовый 2 13 2 2 2 4" xfId="8266"/>
    <cellStyle name="Финансовый 2 13 2 2 3" xfId="3046"/>
    <cellStyle name="Финансовый 2 13 2 2 4" xfId="4690"/>
    <cellStyle name="Финансовый 2 13 2 2 5" xfId="7302"/>
    <cellStyle name="Финансовый 2 13 2 3" xfId="1972"/>
    <cellStyle name="Финансовый 2 13 2 3 2" xfId="3617"/>
    <cellStyle name="Финансовый 2 13 2 3 3" xfId="5400"/>
    <cellStyle name="Финансовый 2 13 2 3 4" xfId="8010"/>
    <cellStyle name="Финансовый 2 13 2 4" xfId="2493"/>
    <cellStyle name="Финансовый 2 13 2 4 2" xfId="4138"/>
    <cellStyle name="Финансовый 2 13 2 4 3" xfId="5921"/>
    <cellStyle name="Финансовый 2 13 2 4 4" xfId="8531"/>
    <cellStyle name="Финансовый 2 13 2 5" xfId="997"/>
    <cellStyle name="Финансовый 2 13 2 5 2" xfId="7037"/>
    <cellStyle name="Финансовый 2 13 2 6" xfId="585"/>
    <cellStyle name="Финансовый 2 13 2 6 2" xfId="6625"/>
    <cellStyle name="Финансовый 2 13 2 7" xfId="2774"/>
    <cellStyle name="Финансовый 2 13 2 8" xfId="4418"/>
    <cellStyle name="Финансовый 2 13 2 9" xfId="6205"/>
    <cellStyle name="Финансовый 2 13 3" xfId="313"/>
    <cellStyle name="Финансовый 2 13 3 2" xfId="2100"/>
    <cellStyle name="Финансовый 2 13 3 2 2" xfId="3745"/>
    <cellStyle name="Финансовый 2 13 3 2 3" xfId="5528"/>
    <cellStyle name="Финансовый 2 13 3 2 4" xfId="8138"/>
    <cellStyle name="Финансовый 2 13 3 3" xfId="1133"/>
    <cellStyle name="Финансовый 2 13 3 3 2" xfId="7173"/>
    <cellStyle name="Финансовый 2 13 3 4" xfId="733"/>
    <cellStyle name="Финансовый 2 13 3 4 2" xfId="6773"/>
    <cellStyle name="Финансовый 2 13 3 5" xfId="2910"/>
    <cellStyle name="Финансовый 2 13 3 6" xfId="4554"/>
    <cellStyle name="Финансовый 2 13 3 7" xfId="6353"/>
    <cellStyle name="Финансовый 2 13 4" xfId="1451"/>
    <cellStyle name="Финансовый 2 13 4 2" xfId="1836"/>
    <cellStyle name="Финансовый 2 13 4 2 2" xfId="3481"/>
    <cellStyle name="Финансовый 2 13 4 2 3" xfId="5264"/>
    <cellStyle name="Финансовый 2 13 4 2 4" xfId="7874"/>
    <cellStyle name="Финансовый 2 13 4 3" xfId="4879"/>
    <cellStyle name="Финансовый 2 13 4 4" xfId="7489"/>
    <cellStyle name="Финансовый 2 13 5" xfId="1720"/>
    <cellStyle name="Финансовый 2 13 5 2" xfId="3365"/>
    <cellStyle name="Финансовый 2 13 5 3" xfId="5148"/>
    <cellStyle name="Финансовый 2 13 5 4" xfId="7758"/>
    <cellStyle name="Финансовый 2 13 6" xfId="2356"/>
    <cellStyle name="Финансовый 2 13 6 2" xfId="4001"/>
    <cellStyle name="Финансовый 2 13 6 3" xfId="5784"/>
    <cellStyle name="Финансовый 2 13 6 4" xfId="8394"/>
    <cellStyle name="Финансовый 2 13 7" xfId="1583"/>
    <cellStyle name="Финансовый 2 13 7 2" xfId="3228"/>
    <cellStyle name="Финансовый 2 13 7 3" xfId="5011"/>
    <cellStyle name="Финансовый 2 13 7 4" xfId="7621"/>
    <cellStyle name="Финансовый 2 13 8" xfId="869"/>
    <cellStyle name="Финансовый 2 13 8 2" xfId="6909"/>
    <cellStyle name="Финансовый 2 13 9" xfId="449"/>
    <cellStyle name="Финансовый 2 13 9 2" xfId="6489"/>
    <cellStyle name="Финансовый 2 14" xfId="14"/>
    <cellStyle name="Финансовый 2 14 10" xfId="2626"/>
    <cellStyle name="Финансовый 2 14 11" xfId="4269"/>
    <cellStyle name="Финансовый 2 14 12" xfId="6057"/>
    <cellStyle name="Финансовый 2 14 2" xfId="152"/>
    <cellStyle name="Финансовый 2 14 2 2" xfId="1250"/>
    <cellStyle name="Финансовый 2 14 2 2 2" xfId="2216"/>
    <cellStyle name="Финансовый 2 14 2 2 2 2" xfId="3861"/>
    <cellStyle name="Финансовый 2 14 2 2 2 3" xfId="5644"/>
    <cellStyle name="Финансовый 2 14 2 2 2 4" xfId="8254"/>
    <cellStyle name="Финансовый 2 14 2 2 3" xfId="3034"/>
    <cellStyle name="Финансовый 2 14 2 2 4" xfId="4678"/>
    <cellStyle name="Финансовый 2 14 2 2 5" xfId="7290"/>
    <cellStyle name="Финансовый 2 14 2 3" xfId="1960"/>
    <cellStyle name="Финансовый 2 14 2 3 2" xfId="3605"/>
    <cellStyle name="Финансовый 2 14 2 3 3" xfId="5388"/>
    <cellStyle name="Финансовый 2 14 2 3 4" xfId="7998"/>
    <cellStyle name="Финансовый 2 14 2 4" xfId="2481"/>
    <cellStyle name="Финансовый 2 14 2 4 2" xfId="4126"/>
    <cellStyle name="Финансовый 2 14 2 4 3" xfId="5909"/>
    <cellStyle name="Финансовый 2 14 2 4 4" xfId="8519"/>
    <cellStyle name="Финансовый 2 14 2 5" xfId="985"/>
    <cellStyle name="Финансовый 2 14 2 5 2" xfId="7025"/>
    <cellStyle name="Финансовый 2 14 2 6" xfId="573"/>
    <cellStyle name="Финансовый 2 14 2 6 2" xfId="6613"/>
    <cellStyle name="Финансовый 2 14 2 7" xfId="2762"/>
    <cellStyle name="Финансовый 2 14 2 8" xfId="4406"/>
    <cellStyle name="Финансовый 2 14 2 9" xfId="6193"/>
    <cellStyle name="Финансовый 2 14 3" xfId="301"/>
    <cellStyle name="Финансовый 2 14 3 2" xfId="2088"/>
    <cellStyle name="Финансовый 2 14 3 2 2" xfId="3733"/>
    <cellStyle name="Финансовый 2 14 3 2 3" xfId="5516"/>
    <cellStyle name="Финансовый 2 14 3 2 4" xfId="8126"/>
    <cellStyle name="Финансовый 2 14 3 3" xfId="1121"/>
    <cellStyle name="Финансовый 2 14 3 3 2" xfId="7161"/>
    <cellStyle name="Финансовый 2 14 3 4" xfId="721"/>
    <cellStyle name="Финансовый 2 14 3 4 2" xfId="6761"/>
    <cellStyle name="Финансовый 2 14 3 5" xfId="2898"/>
    <cellStyle name="Финансовый 2 14 3 6" xfId="4542"/>
    <cellStyle name="Финансовый 2 14 3 7" xfId="6341"/>
    <cellStyle name="Финансовый 2 14 4" xfId="1452"/>
    <cellStyle name="Финансовый 2 14 4 2" xfId="1824"/>
    <cellStyle name="Финансовый 2 14 4 2 2" xfId="3469"/>
    <cellStyle name="Финансовый 2 14 4 2 3" xfId="5252"/>
    <cellStyle name="Финансовый 2 14 4 2 4" xfId="7862"/>
    <cellStyle name="Финансовый 2 14 4 3" xfId="4880"/>
    <cellStyle name="Финансовый 2 14 4 4" xfId="7490"/>
    <cellStyle name="Финансовый 2 14 5" xfId="1708"/>
    <cellStyle name="Финансовый 2 14 5 2" xfId="3353"/>
    <cellStyle name="Финансовый 2 14 5 3" xfId="5136"/>
    <cellStyle name="Финансовый 2 14 5 4" xfId="7746"/>
    <cellStyle name="Финансовый 2 14 6" xfId="2344"/>
    <cellStyle name="Финансовый 2 14 6 2" xfId="3989"/>
    <cellStyle name="Финансовый 2 14 6 3" xfId="5772"/>
    <cellStyle name="Финансовый 2 14 6 4" xfId="8382"/>
    <cellStyle name="Финансовый 2 14 7" xfId="1571"/>
    <cellStyle name="Финансовый 2 14 7 2" xfId="3216"/>
    <cellStyle name="Финансовый 2 14 7 3" xfId="4999"/>
    <cellStyle name="Финансовый 2 14 7 4" xfId="7609"/>
    <cellStyle name="Финансовый 2 14 8" xfId="857"/>
    <cellStyle name="Финансовый 2 14 8 2" xfId="6897"/>
    <cellStyle name="Финансовый 2 14 9" xfId="437"/>
    <cellStyle name="Финансовый 2 14 9 2" xfId="6477"/>
    <cellStyle name="Финансовый 2 15" xfId="140"/>
    <cellStyle name="Финансовый 2 15 2" xfId="1238"/>
    <cellStyle name="Финансовый 2 15 2 2" xfId="2204"/>
    <cellStyle name="Финансовый 2 15 2 2 2" xfId="3849"/>
    <cellStyle name="Финансовый 2 15 2 2 3" xfId="5632"/>
    <cellStyle name="Финансовый 2 15 2 2 4" xfId="8242"/>
    <cellStyle name="Финансовый 2 15 2 3" xfId="3022"/>
    <cellStyle name="Финансовый 2 15 2 4" xfId="4666"/>
    <cellStyle name="Финансовый 2 15 2 5" xfId="7278"/>
    <cellStyle name="Финансовый 2 15 3" xfId="1948"/>
    <cellStyle name="Финансовый 2 15 3 2" xfId="3593"/>
    <cellStyle name="Финансовый 2 15 3 3" xfId="5376"/>
    <cellStyle name="Финансовый 2 15 3 4" xfId="7986"/>
    <cellStyle name="Финансовый 2 15 4" xfId="2469"/>
    <cellStyle name="Финансовый 2 15 4 2" xfId="4114"/>
    <cellStyle name="Финансовый 2 15 4 3" xfId="5897"/>
    <cellStyle name="Финансовый 2 15 4 4" xfId="8507"/>
    <cellStyle name="Финансовый 2 15 5" xfId="973"/>
    <cellStyle name="Финансовый 2 15 5 2" xfId="7013"/>
    <cellStyle name="Финансовый 2 15 6" xfId="561"/>
    <cellStyle name="Финансовый 2 15 6 2" xfId="6601"/>
    <cellStyle name="Финансовый 2 15 7" xfId="2750"/>
    <cellStyle name="Финансовый 2 15 8" xfId="4394"/>
    <cellStyle name="Финансовый 2 15 9" xfId="6181"/>
    <cellStyle name="Финансовый 2 16" xfId="276"/>
    <cellStyle name="Финансовый 2 16 2" xfId="2076"/>
    <cellStyle name="Финансовый 2 16 2 2" xfId="3721"/>
    <cellStyle name="Финансовый 2 16 2 3" xfId="5504"/>
    <cellStyle name="Финансовый 2 16 2 4" xfId="8114"/>
    <cellStyle name="Финансовый 2 16 3" xfId="1374"/>
    <cellStyle name="Финансовый 2 16 3 2" xfId="7414"/>
    <cellStyle name="Финансовый 2 16 4" xfId="697"/>
    <cellStyle name="Финансовый 2 16 4 2" xfId="6737"/>
    <cellStyle name="Финансовый 2 16 5" xfId="3158"/>
    <cellStyle name="Финансовый 2 16 6" xfId="4802"/>
    <cellStyle name="Финансовый 2 16 7" xfId="6317"/>
    <cellStyle name="Финансовый 2 17" xfId="289"/>
    <cellStyle name="Финансовый 2 17 2" xfId="1109"/>
    <cellStyle name="Финансовый 2 17 2 2" xfId="7149"/>
    <cellStyle name="Финансовый 2 17 3" xfId="709"/>
    <cellStyle name="Финансовый 2 17 3 2" xfId="6749"/>
    <cellStyle name="Финансовый 2 17 4" xfId="2886"/>
    <cellStyle name="Финансовый 2 17 5" xfId="4530"/>
    <cellStyle name="Финансовый 2 17 6" xfId="6329"/>
    <cellStyle name="Финансовый 2 18" xfId="1445"/>
    <cellStyle name="Финансовый 2 18 2" xfId="1696"/>
    <cellStyle name="Финансовый 2 18 2 2" xfId="3341"/>
    <cellStyle name="Финансовый 2 18 2 3" xfId="5124"/>
    <cellStyle name="Финансовый 2 18 2 4" xfId="7734"/>
    <cellStyle name="Финансовый 2 18 3" xfId="4873"/>
    <cellStyle name="Финансовый 2 18 4" xfId="7483"/>
    <cellStyle name="Финансовый 2 19" xfId="2332"/>
    <cellStyle name="Финансовый 2 19 2" xfId="3977"/>
    <cellStyle name="Финансовый 2 19 3" xfId="5760"/>
    <cellStyle name="Финансовый 2 19 4" xfId="8370"/>
    <cellStyle name="Финансовый 2 2" xfId="4"/>
    <cellStyle name="Финансовый 2 2 10" xfId="28"/>
    <cellStyle name="Финансовый 2 2 10 10" xfId="2640"/>
    <cellStyle name="Финансовый 2 2 10 11" xfId="4283"/>
    <cellStyle name="Финансовый 2 2 10 12" xfId="6071"/>
    <cellStyle name="Финансовый 2 2 10 2" xfId="166"/>
    <cellStyle name="Финансовый 2 2 10 2 2" xfId="1264"/>
    <cellStyle name="Финансовый 2 2 10 2 2 2" xfId="2230"/>
    <cellStyle name="Финансовый 2 2 10 2 2 2 2" xfId="3875"/>
    <cellStyle name="Финансовый 2 2 10 2 2 2 3" xfId="5658"/>
    <cellStyle name="Финансовый 2 2 10 2 2 2 4" xfId="8268"/>
    <cellStyle name="Финансовый 2 2 10 2 2 3" xfId="3048"/>
    <cellStyle name="Финансовый 2 2 10 2 2 4" xfId="4692"/>
    <cellStyle name="Финансовый 2 2 10 2 2 5" xfId="7304"/>
    <cellStyle name="Финансовый 2 2 10 2 3" xfId="1974"/>
    <cellStyle name="Финансовый 2 2 10 2 3 2" xfId="3619"/>
    <cellStyle name="Финансовый 2 2 10 2 3 3" xfId="5402"/>
    <cellStyle name="Финансовый 2 2 10 2 3 4" xfId="8012"/>
    <cellStyle name="Финансовый 2 2 10 2 4" xfId="2495"/>
    <cellStyle name="Финансовый 2 2 10 2 4 2" xfId="4140"/>
    <cellStyle name="Финансовый 2 2 10 2 4 3" xfId="5923"/>
    <cellStyle name="Финансовый 2 2 10 2 4 4" xfId="8533"/>
    <cellStyle name="Финансовый 2 2 10 2 5" xfId="999"/>
    <cellStyle name="Финансовый 2 2 10 2 5 2" xfId="7039"/>
    <cellStyle name="Финансовый 2 2 10 2 6" xfId="587"/>
    <cellStyle name="Финансовый 2 2 10 2 6 2" xfId="6627"/>
    <cellStyle name="Финансовый 2 2 10 2 7" xfId="2776"/>
    <cellStyle name="Финансовый 2 2 10 2 8" xfId="4420"/>
    <cellStyle name="Финансовый 2 2 10 2 9" xfId="6207"/>
    <cellStyle name="Финансовый 2 2 10 3" xfId="315"/>
    <cellStyle name="Финансовый 2 2 10 3 2" xfId="2102"/>
    <cellStyle name="Финансовый 2 2 10 3 2 2" xfId="3747"/>
    <cellStyle name="Финансовый 2 2 10 3 2 3" xfId="5530"/>
    <cellStyle name="Финансовый 2 2 10 3 2 4" xfId="8140"/>
    <cellStyle name="Финансовый 2 2 10 3 3" xfId="1135"/>
    <cellStyle name="Финансовый 2 2 10 3 3 2" xfId="7175"/>
    <cellStyle name="Финансовый 2 2 10 3 4" xfId="735"/>
    <cellStyle name="Финансовый 2 2 10 3 4 2" xfId="6775"/>
    <cellStyle name="Финансовый 2 2 10 3 5" xfId="2912"/>
    <cellStyle name="Финансовый 2 2 10 3 6" xfId="4556"/>
    <cellStyle name="Финансовый 2 2 10 3 7" xfId="6355"/>
    <cellStyle name="Финансовый 2 2 10 4" xfId="1455"/>
    <cellStyle name="Финансовый 2 2 10 4 2" xfId="1838"/>
    <cellStyle name="Финансовый 2 2 10 4 2 2" xfId="3483"/>
    <cellStyle name="Финансовый 2 2 10 4 2 3" xfId="5266"/>
    <cellStyle name="Финансовый 2 2 10 4 2 4" xfId="7876"/>
    <cellStyle name="Финансовый 2 2 10 4 3" xfId="4883"/>
    <cellStyle name="Финансовый 2 2 10 4 4" xfId="7493"/>
    <cellStyle name="Финансовый 2 2 10 5" xfId="1722"/>
    <cellStyle name="Финансовый 2 2 10 5 2" xfId="3367"/>
    <cellStyle name="Финансовый 2 2 10 5 3" xfId="5150"/>
    <cellStyle name="Финансовый 2 2 10 5 4" xfId="7760"/>
    <cellStyle name="Финансовый 2 2 10 6" xfId="2358"/>
    <cellStyle name="Финансовый 2 2 10 6 2" xfId="4003"/>
    <cellStyle name="Финансовый 2 2 10 6 3" xfId="5786"/>
    <cellStyle name="Финансовый 2 2 10 6 4" xfId="8396"/>
    <cellStyle name="Финансовый 2 2 10 7" xfId="1585"/>
    <cellStyle name="Финансовый 2 2 10 7 2" xfId="3230"/>
    <cellStyle name="Финансовый 2 2 10 7 3" xfId="5013"/>
    <cellStyle name="Финансовый 2 2 10 7 4" xfId="7623"/>
    <cellStyle name="Финансовый 2 2 10 8" xfId="871"/>
    <cellStyle name="Финансовый 2 2 10 8 2" xfId="6911"/>
    <cellStyle name="Финансовый 2 2 10 9" xfId="451"/>
    <cellStyle name="Финансовый 2 2 10 9 2" xfId="6491"/>
    <cellStyle name="Финансовый 2 2 11" xfId="16"/>
    <cellStyle name="Финансовый 2 2 11 10" xfId="2628"/>
    <cellStyle name="Финансовый 2 2 11 11" xfId="4271"/>
    <cellStyle name="Финансовый 2 2 11 12" xfId="6059"/>
    <cellStyle name="Финансовый 2 2 11 2" xfId="154"/>
    <cellStyle name="Финансовый 2 2 11 2 2" xfId="1252"/>
    <cellStyle name="Финансовый 2 2 11 2 2 2" xfId="2218"/>
    <cellStyle name="Финансовый 2 2 11 2 2 2 2" xfId="3863"/>
    <cellStyle name="Финансовый 2 2 11 2 2 2 3" xfId="5646"/>
    <cellStyle name="Финансовый 2 2 11 2 2 2 4" xfId="8256"/>
    <cellStyle name="Финансовый 2 2 11 2 2 3" xfId="3036"/>
    <cellStyle name="Финансовый 2 2 11 2 2 4" xfId="4680"/>
    <cellStyle name="Финансовый 2 2 11 2 2 5" xfId="7292"/>
    <cellStyle name="Финансовый 2 2 11 2 3" xfId="1962"/>
    <cellStyle name="Финансовый 2 2 11 2 3 2" xfId="3607"/>
    <cellStyle name="Финансовый 2 2 11 2 3 3" xfId="5390"/>
    <cellStyle name="Финансовый 2 2 11 2 3 4" xfId="8000"/>
    <cellStyle name="Финансовый 2 2 11 2 4" xfId="2483"/>
    <cellStyle name="Финансовый 2 2 11 2 4 2" xfId="4128"/>
    <cellStyle name="Финансовый 2 2 11 2 4 3" xfId="5911"/>
    <cellStyle name="Финансовый 2 2 11 2 4 4" xfId="8521"/>
    <cellStyle name="Финансовый 2 2 11 2 5" xfId="987"/>
    <cellStyle name="Финансовый 2 2 11 2 5 2" xfId="7027"/>
    <cellStyle name="Финансовый 2 2 11 2 6" xfId="575"/>
    <cellStyle name="Финансовый 2 2 11 2 6 2" xfId="6615"/>
    <cellStyle name="Финансовый 2 2 11 2 7" xfId="2764"/>
    <cellStyle name="Финансовый 2 2 11 2 8" xfId="4408"/>
    <cellStyle name="Финансовый 2 2 11 2 9" xfId="6195"/>
    <cellStyle name="Финансовый 2 2 11 3" xfId="303"/>
    <cellStyle name="Финансовый 2 2 11 3 2" xfId="2090"/>
    <cellStyle name="Финансовый 2 2 11 3 2 2" xfId="3735"/>
    <cellStyle name="Финансовый 2 2 11 3 2 3" xfId="5518"/>
    <cellStyle name="Финансовый 2 2 11 3 2 4" xfId="8128"/>
    <cellStyle name="Финансовый 2 2 11 3 3" xfId="1123"/>
    <cellStyle name="Финансовый 2 2 11 3 3 2" xfId="7163"/>
    <cellStyle name="Финансовый 2 2 11 3 4" xfId="723"/>
    <cellStyle name="Финансовый 2 2 11 3 4 2" xfId="6763"/>
    <cellStyle name="Финансовый 2 2 11 3 5" xfId="2900"/>
    <cellStyle name="Финансовый 2 2 11 3 6" xfId="4544"/>
    <cellStyle name="Финансовый 2 2 11 3 7" xfId="6343"/>
    <cellStyle name="Финансовый 2 2 11 4" xfId="1424"/>
    <cellStyle name="Финансовый 2 2 11 4 2" xfId="1826"/>
    <cellStyle name="Финансовый 2 2 11 4 2 2" xfId="3471"/>
    <cellStyle name="Финансовый 2 2 11 4 2 3" xfId="5254"/>
    <cellStyle name="Финансовый 2 2 11 4 2 4" xfId="7864"/>
    <cellStyle name="Финансовый 2 2 11 4 3" xfId="4852"/>
    <cellStyle name="Финансовый 2 2 11 4 4" xfId="7464"/>
    <cellStyle name="Финансовый 2 2 11 5" xfId="1710"/>
    <cellStyle name="Финансовый 2 2 11 5 2" xfId="3355"/>
    <cellStyle name="Финансовый 2 2 11 5 3" xfId="5138"/>
    <cellStyle name="Финансовый 2 2 11 5 4" xfId="7748"/>
    <cellStyle name="Финансовый 2 2 11 6" xfId="2346"/>
    <cellStyle name="Финансовый 2 2 11 6 2" xfId="3991"/>
    <cellStyle name="Финансовый 2 2 11 6 3" xfId="5774"/>
    <cellStyle name="Финансовый 2 2 11 6 4" xfId="8384"/>
    <cellStyle name="Финансовый 2 2 11 7" xfId="1573"/>
    <cellStyle name="Финансовый 2 2 11 7 2" xfId="3218"/>
    <cellStyle name="Финансовый 2 2 11 7 3" xfId="5001"/>
    <cellStyle name="Финансовый 2 2 11 7 4" xfId="7611"/>
    <cellStyle name="Финансовый 2 2 11 8" xfId="859"/>
    <cellStyle name="Финансовый 2 2 11 8 2" xfId="6899"/>
    <cellStyle name="Финансовый 2 2 11 9" xfId="439"/>
    <cellStyle name="Финансовый 2 2 11 9 2" xfId="6479"/>
    <cellStyle name="Финансовый 2 2 12" xfId="142"/>
    <cellStyle name="Финансовый 2 2 12 2" xfId="1240"/>
    <cellStyle name="Финансовый 2 2 12 2 2" xfId="2206"/>
    <cellStyle name="Финансовый 2 2 12 2 2 2" xfId="3851"/>
    <cellStyle name="Финансовый 2 2 12 2 2 3" xfId="5634"/>
    <cellStyle name="Финансовый 2 2 12 2 2 4" xfId="8244"/>
    <cellStyle name="Финансовый 2 2 12 2 3" xfId="3024"/>
    <cellStyle name="Финансовый 2 2 12 2 4" xfId="4668"/>
    <cellStyle name="Финансовый 2 2 12 2 5" xfId="7280"/>
    <cellStyle name="Финансовый 2 2 12 3" xfId="1950"/>
    <cellStyle name="Финансовый 2 2 12 3 2" xfId="3595"/>
    <cellStyle name="Финансовый 2 2 12 3 3" xfId="5378"/>
    <cellStyle name="Финансовый 2 2 12 3 4" xfId="7988"/>
    <cellStyle name="Финансовый 2 2 12 4" xfId="2471"/>
    <cellStyle name="Финансовый 2 2 12 4 2" xfId="4116"/>
    <cellStyle name="Финансовый 2 2 12 4 3" xfId="5899"/>
    <cellStyle name="Финансовый 2 2 12 4 4" xfId="8509"/>
    <cellStyle name="Финансовый 2 2 12 5" xfId="975"/>
    <cellStyle name="Финансовый 2 2 12 5 2" xfId="7015"/>
    <cellStyle name="Финансовый 2 2 12 6" xfId="563"/>
    <cellStyle name="Финансовый 2 2 12 6 2" xfId="6603"/>
    <cellStyle name="Финансовый 2 2 12 7" xfId="2752"/>
    <cellStyle name="Финансовый 2 2 12 8" xfId="4396"/>
    <cellStyle name="Финансовый 2 2 12 9" xfId="6183"/>
    <cellStyle name="Финансовый 2 2 13" xfId="278"/>
    <cellStyle name="Финансовый 2 2 13 2" xfId="2078"/>
    <cellStyle name="Финансовый 2 2 13 2 2" xfId="3723"/>
    <cellStyle name="Финансовый 2 2 13 2 3" xfId="5506"/>
    <cellStyle name="Финансовый 2 2 13 2 4" xfId="8116"/>
    <cellStyle name="Финансовый 2 2 13 3" xfId="1376"/>
    <cellStyle name="Финансовый 2 2 13 3 2" xfId="7416"/>
    <cellStyle name="Финансовый 2 2 13 4" xfId="699"/>
    <cellStyle name="Финансовый 2 2 13 4 2" xfId="6739"/>
    <cellStyle name="Финансовый 2 2 13 5" xfId="3160"/>
    <cellStyle name="Финансовый 2 2 13 6" xfId="4804"/>
    <cellStyle name="Финансовый 2 2 13 7" xfId="6319"/>
    <cellStyle name="Финансовый 2 2 14" xfId="291"/>
    <cellStyle name="Финансовый 2 2 14 2" xfId="1111"/>
    <cellStyle name="Финансовый 2 2 14 2 2" xfId="7151"/>
    <cellStyle name="Финансовый 2 2 14 3" xfId="711"/>
    <cellStyle name="Финансовый 2 2 14 3 2" xfId="6751"/>
    <cellStyle name="Финансовый 2 2 14 4" xfId="2888"/>
    <cellStyle name="Финансовый 2 2 14 5" xfId="4532"/>
    <cellStyle name="Финансовый 2 2 14 6" xfId="6331"/>
    <cellStyle name="Финансовый 2 2 15" xfId="1454"/>
    <cellStyle name="Финансовый 2 2 15 2" xfId="1698"/>
    <cellStyle name="Финансовый 2 2 15 2 2" xfId="3343"/>
    <cellStyle name="Финансовый 2 2 15 2 3" xfId="5126"/>
    <cellStyle name="Финансовый 2 2 15 2 4" xfId="7736"/>
    <cellStyle name="Финансовый 2 2 15 3" xfId="4882"/>
    <cellStyle name="Финансовый 2 2 15 4" xfId="7492"/>
    <cellStyle name="Финансовый 2 2 16" xfId="2334"/>
    <cellStyle name="Финансовый 2 2 16 2" xfId="3979"/>
    <cellStyle name="Финансовый 2 2 16 3" xfId="5762"/>
    <cellStyle name="Финансовый 2 2 16 4" xfId="8372"/>
    <cellStyle name="Финансовый 2 2 17" xfId="1561"/>
    <cellStyle name="Финансовый 2 2 17 2" xfId="3206"/>
    <cellStyle name="Финансовый 2 2 17 3" xfId="4989"/>
    <cellStyle name="Финансовый 2 2 17 4" xfId="7599"/>
    <cellStyle name="Финансовый 2 2 18" xfId="847"/>
    <cellStyle name="Финансовый 2 2 18 2" xfId="6887"/>
    <cellStyle name="Финансовый 2 2 19" xfId="427"/>
    <cellStyle name="Финансовый 2 2 19 2" xfId="6467"/>
    <cellStyle name="Финансовый 2 2 2" xfId="10"/>
    <cellStyle name="Финансовый 2 2 2 10" xfId="284"/>
    <cellStyle name="Финансовый 2 2 2 10 2" xfId="2084"/>
    <cellStyle name="Финансовый 2 2 2 10 2 2" xfId="3729"/>
    <cellStyle name="Финансовый 2 2 2 10 2 3" xfId="5512"/>
    <cellStyle name="Финансовый 2 2 2 10 2 4" xfId="8122"/>
    <cellStyle name="Финансовый 2 2 2 10 3" xfId="1382"/>
    <cellStyle name="Финансовый 2 2 2 10 3 2" xfId="7422"/>
    <cellStyle name="Финансовый 2 2 2 10 4" xfId="705"/>
    <cellStyle name="Финансовый 2 2 2 10 4 2" xfId="6745"/>
    <cellStyle name="Финансовый 2 2 2 10 5" xfId="3166"/>
    <cellStyle name="Финансовый 2 2 2 10 6" xfId="4810"/>
    <cellStyle name="Финансовый 2 2 2 10 7" xfId="6325"/>
    <cellStyle name="Финансовый 2 2 2 11" xfId="297"/>
    <cellStyle name="Финансовый 2 2 2 11 2" xfId="1117"/>
    <cellStyle name="Финансовый 2 2 2 11 2 2" xfId="7157"/>
    <cellStyle name="Финансовый 2 2 2 11 3" xfId="717"/>
    <cellStyle name="Финансовый 2 2 2 11 3 2" xfId="6757"/>
    <cellStyle name="Финансовый 2 2 2 11 4" xfId="2894"/>
    <cellStyle name="Финансовый 2 2 2 11 5" xfId="4538"/>
    <cellStyle name="Финансовый 2 2 2 11 6" xfId="6337"/>
    <cellStyle name="Финансовый 2 2 2 12" xfId="1457"/>
    <cellStyle name="Финансовый 2 2 2 12 2" xfId="1704"/>
    <cellStyle name="Финансовый 2 2 2 12 2 2" xfId="3349"/>
    <cellStyle name="Финансовый 2 2 2 12 2 3" xfId="5132"/>
    <cellStyle name="Финансовый 2 2 2 12 2 4" xfId="7742"/>
    <cellStyle name="Финансовый 2 2 2 12 3" xfId="4885"/>
    <cellStyle name="Финансовый 2 2 2 12 4" xfId="7495"/>
    <cellStyle name="Финансовый 2 2 2 13" xfId="2340"/>
    <cellStyle name="Финансовый 2 2 2 13 2" xfId="3985"/>
    <cellStyle name="Финансовый 2 2 2 13 3" xfId="5768"/>
    <cellStyle name="Финансовый 2 2 2 13 4" xfId="8378"/>
    <cellStyle name="Финансовый 2 2 2 14" xfId="1567"/>
    <cellStyle name="Финансовый 2 2 2 14 2" xfId="3212"/>
    <cellStyle name="Финансовый 2 2 2 14 3" xfId="4995"/>
    <cellStyle name="Финансовый 2 2 2 14 4" xfId="7605"/>
    <cellStyle name="Финансовый 2 2 2 15" xfId="853"/>
    <cellStyle name="Финансовый 2 2 2 15 2" xfId="6893"/>
    <cellStyle name="Финансовый 2 2 2 16" xfId="433"/>
    <cellStyle name="Финансовый 2 2 2 16 2" xfId="6473"/>
    <cellStyle name="Финансовый 2 2 2 17" xfId="2622"/>
    <cellStyle name="Финансовый 2 2 2 18" xfId="4265"/>
    <cellStyle name="Финансовый 2 2 2 19" xfId="6053"/>
    <cellStyle name="Финансовый 2 2 2 2" xfId="46"/>
    <cellStyle name="Финансовый 2 2 2 2 10" xfId="469"/>
    <cellStyle name="Финансовый 2 2 2 2 10 2" xfId="6509"/>
    <cellStyle name="Финансовый 2 2 2 2 11" xfId="2658"/>
    <cellStyle name="Финансовый 2 2 2 2 12" xfId="4301"/>
    <cellStyle name="Финансовый 2 2 2 2 13" xfId="6089"/>
    <cellStyle name="Финансовый 2 2 2 2 2" xfId="104"/>
    <cellStyle name="Финансовый 2 2 2 2 2 10" xfId="2714"/>
    <cellStyle name="Финансовый 2 2 2 2 2 11" xfId="4358"/>
    <cellStyle name="Финансовый 2 2 2 2 2 12" xfId="6145"/>
    <cellStyle name="Финансовый 2 2 2 2 2 2" xfId="240"/>
    <cellStyle name="Финансовый 2 2 2 2 2 2 2" xfId="1338"/>
    <cellStyle name="Финансовый 2 2 2 2 2 2 2 2" xfId="2296"/>
    <cellStyle name="Финансовый 2 2 2 2 2 2 2 2 2" xfId="3941"/>
    <cellStyle name="Финансовый 2 2 2 2 2 2 2 2 3" xfId="5724"/>
    <cellStyle name="Финансовый 2 2 2 2 2 2 2 2 4" xfId="8334"/>
    <cellStyle name="Финансовый 2 2 2 2 2 2 2 3" xfId="3122"/>
    <cellStyle name="Финансовый 2 2 2 2 2 2 2 4" xfId="4766"/>
    <cellStyle name="Финансовый 2 2 2 2 2 2 2 5" xfId="7378"/>
    <cellStyle name="Финансовый 2 2 2 2 2 2 3" xfId="2040"/>
    <cellStyle name="Финансовый 2 2 2 2 2 2 3 2" xfId="3685"/>
    <cellStyle name="Финансовый 2 2 2 2 2 2 3 3" xfId="5468"/>
    <cellStyle name="Финансовый 2 2 2 2 2 2 3 4" xfId="8078"/>
    <cellStyle name="Финансовый 2 2 2 2 2 2 4" xfId="2569"/>
    <cellStyle name="Финансовый 2 2 2 2 2 2 4 2" xfId="4214"/>
    <cellStyle name="Финансовый 2 2 2 2 2 2 4 3" xfId="5997"/>
    <cellStyle name="Финансовый 2 2 2 2 2 2 4 4" xfId="8607"/>
    <cellStyle name="Финансовый 2 2 2 2 2 2 5" xfId="1073"/>
    <cellStyle name="Финансовый 2 2 2 2 2 2 5 2" xfId="7113"/>
    <cellStyle name="Финансовый 2 2 2 2 2 2 6" xfId="661"/>
    <cellStyle name="Финансовый 2 2 2 2 2 2 6 2" xfId="6701"/>
    <cellStyle name="Финансовый 2 2 2 2 2 2 7" xfId="2850"/>
    <cellStyle name="Финансовый 2 2 2 2 2 2 8" xfId="4494"/>
    <cellStyle name="Финансовый 2 2 2 2 2 2 9" xfId="6281"/>
    <cellStyle name="Финансовый 2 2 2 2 2 3" xfId="389"/>
    <cellStyle name="Финансовый 2 2 2 2 2 3 2" xfId="2168"/>
    <cellStyle name="Финансовый 2 2 2 2 2 3 2 2" xfId="3813"/>
    <cellStyle name="Финансовый 2 2 2 2 2 3 2 3" xfId="5596"/>
    <cellStyle name="Финансовый 2 2 2 2 2 3 2 4" xfId="8206"/>
    <cellStyle name="Финансовый 2 2 2 2 2 3 3" xfId="1202"/>
    <cellStyle name="Финансовый 2 2 2 2 2 3 3 2" xfId="7242"/>
    <cellStyle name="Финансовый 2 2 2 2 2 3 4" xfId="809"/>
    <cellStyle name="Финансовый 2 2 2 2 2 3 4 2" xfId="6849"/>
    <cellStyle name="Финансовый 2 2 2 2 2 3 5" xfId="2986"/>
    <cellStyle name="Финансовый 2 2 2 2 2 3 6" xfId="4630"/>
    <cellStyle name="Финансовый 2 2 2 2 2 3 7" xfId="6429"/>
    <cellStyle name="Финансовый 2 2 2 2 2 4" xfId="1460"/>
    <cellStyle name="Финансовый 2 2 2 2 2 4 2" xfId="1912"/>
    <cellStyle name="Финансовый 2 2 2 2 2 4 2 2" xfId="3557"/>
    <cellStyle name="Финансовый 2 2 2 2 2 4 2 3" xfId="5340"/>
    <cellStyle name="Финансовый 2 2 2 2 2 4 2 4" xfId="7950"/>
    <cellStyle name="Финансовый 2 2 2 2 2 4 3" xfId="4888"/>
    <cellStyle name="Финансовый 2 2 2 2 2 4 4" xfId="7498"/>
    <cellStyle name="Финансовый 2 2 2 2 2 5" xfId="1788"/>
    <cellStyle name="Финансовый 2 2 2 2 2 5 2" xfId="3433"/>
    <cellStyle name="Финансовый 2 2 2 2 2 5 3" xfId="5216"/>
    <cellStyle name="Финансовый 2 2 2 2 2 5 4" xfId="7826"/>
    <cellStyle name="Финансовый 2 2 2 2 2 6" xfId="2433"/>
    <cellStyle name="Финансовый 2 2 2 2 2 6 2" xfId="4078"/>
    <cellStyle name="Финансовый 2 2 2 2 2 6 3" xfId="5861"/>
    <cellStyle name="Финансовый 2 2 2 2 2 6 4" xfId="8471"/>
    <cellStyle name="Финансовый 2 2 2 2 2 7" xfId="1660"/>
    <cellStyle name="Финансовый 2 2 2 2 2 7 2" xfId="3305"/>
    <cellStyle name="Финансовый 2 2 2 2 2 7 3" xfId="5088"/>
    <cellStyle name="Финансовый 2 2 2 2 2 7 4" xfId="7698"/>
    <cellStyle name="Финансовый 2 2 2 2 2 8" xfId="937"/>
    <cellStyle name="Финансовый 2 2 2 2 2 8 2" xfId="6977"/>
    <cellStyle name="Финансовый 2 2 2 2 2 9" xfId="525"/>
    <cellStyle name="Финансовый 2 2 2 2 2 9 2" xfId="6565"/>
    <cellStyle name="Финансовый 2 2 2 2 3" xfId="184"/>
    <cellStyle name="Финансовый 2 2 2 2 3 2" xfId="1282"/>
    <cellStyle name="Финансовый 2 2 2 2 3 2 2" xfId="2248"/>
    <cellStyle name="Финансовый 2 2 2 2 3 2 2 2" xfId="3893"/>
    <cellStyle name="Финансовый 2 2 2 2 3 2 2 3" xfId="5676"/>
    <cellStyle name="Финансовый 2 2 2 2 3 2 2 4" xfId="8286"/>
    <cellStyle name="Финансовый 2 2 2 2 3 2 3" xfId="3066"/>
    <cellStyle name="Финансовый 2 2 2 2 3 2 4" xfId="4710"/>
    <cellStyle name="Финансовый 2 2 2 2 3 2 5" xfId="7322"/>
    <cellStyle name="Финансовый 2 2 2 2 3 3" xfId="1992"/>
    <cellStyle name="Финансовый 2 2 2 2 3 3 2" xfId="3637"/>
    <cellStyle name="Финансовый 2 2 2 2 3 3 3" xfId="5420"/>
    <cellStyle name="Финансовый 2 2 2 2 3 3 4" xfId="8030"/>
    <cellStyle name="Финансовый 2 2 2 2 3 4" xfId="2513"/>
    <cellStyle name="Финансовый 2 2 2 2 3 4 2" xfId="4158"/>
    <cellStyle name="Финансовый 2 2 2 2 3 4 3" xfId="5941"/>
    <cellStyle name="Финансовый 2 2 2 2 3 4 4" xfId="8551"/>
    <cellStyle name="Финансовый 2 2 2 2 3 5" xfId="1017"/>
    <cellStyle name="Финансовый 2 2 2 2 3 5 2" xfId="7057"/>
    <cellStyle name="Финансовый 2 2 2 2 3 6" xfId="605"/>
    <cellStyle name="Финансовый 2 2 2 2 3 6 2" xfId="6645"/>
    <cellStyle name="Финансовый 2 2 2 2 3 7" xfId="2794"/>
    <cellStyle name="Финансовый 2 2 2 2 3 8" xfId="4438"/>
    <cellStyle name="Финансовый 2 2 2 2 3 9" xfId="6225"/>
    <cellStyle name="Финансовый 2 2 2 2 4" xfId="333"/>
    <cellStyle name="Финансовый 2 2 2 2 4 2" xfId="2120"/>
    <cellStyle name="Финансовый 2 2 2 2 4 2 2" xfId="3765"/>
    <cellStyle name="Финансовый 2 2 2 2 4 2 3" xfId="5548"/>
    <cellStyle name="Финансовый 2 2 2 2 4 2 4" xfId="8158"/>
    <cellStyle name="Финансовый 2 2 2 2 4 3" xfId="1153"/>
    <cellStyle name="Финансовый 2 2 2 2 4 3 2" xfId="7193"/>
    <cellStyle name="Финансовый 2 2 2 2 4 4" xfId="753"/>
    <cellStyle name="Финансовый 2 2 2 2 4 4 2" xfId="6793"/>
    <cellStyle name="Финансовый 2 2 2 2 4 5" xfId="2930"/>
    <cellStyle name="Финансовый 2 2 2 2 4 6" xfId="4574"/>
    <cellStyle name="Финансовый 2 2 2 2 4 7" xfId="6373"/>
    <cellStyle name="Финансовый 2 2 2 2 5" xfId="1458"/>
    <cellStyle name="Финансовый 2 2 2 2 5 2" xfId="1856"/>
    <cellStyle name="Финансовый 2 2 2 2 5 2 2" xfId="3501"/>
    <cellStyle name="Финансовый 2 2 2 2 5 2 3" xfId="5284"/>
    <cellStyle name="Финансовый 2 2 2 2 5 2 4" xfId="7894"/>
    <cellStyle name="Финансовый 2 2 2 2 5 3" xfId="4886"/>
    <cellStyle name="Финансовый 2 2 2 2 5 4" xfId="7496"/>
    <cellStyle name="Финансовый 2 2 2 2 6" xfId="1740"/>
    <cellStyle name="Финансовый 2 2 2 2 6 2" xfId="3385"/>
    <cellStyle name="Финансовый 2 2 2 2 6 3" xfId="5168"/>
    <cellStyle name="Финансовый 2 2 2 2 6 4" xfId="7778"/>
    <cellStyle name="Финансовый 2 2 2 2 7" xfId="2376"/>
    <cellStyle name="Финансовый 2 2 2 2 7 2" xfId="4021"/>
    <cellStyle name="Финансовый 2 2 2 2 7 3" xfId="5804"/>
    <cellStyle name="Финансовый 2 2 2 2 7 4" xfId="8414"/>
    <cellStyle name="Финансовый 2 2 2 2 8" xfId="1603"/>
    <cellStyle name="Финансовый 2 2 2 2 8 2" xfId="3248"/>
    <cellStyle name="Финансовый 2 2 2 2 8 3" xfId="5031"/>
    <cellStyle name="Финансовый 2 2 2 2 8 4" xfId="7641"/>
    <cellStyle name="Финансовый 2 2 2 2 9" xfId="889"/>
    <cellStyle name="Финансовый 2 2 2 2 9 2" xfId="6929"/>
    <cellStyle name="Финансовый 2 2 2 3" xfId="116"/>
    <cellStyle name="Финансовый 2 2 2 3 10" xfId="2726"/>
    <cellStyle name="Финансовый 2 2 2 3 11" xfId="4370"/>
    <cellStyle name="Финансовый 2 2 2 3 12" xfId="6157"/>
    <cellStyle name="Финансовый 2 2 2 3 2" xfId="252"/>
    <cellStyle name="Финансовый 2 2 2 3 2 2" xfId="1350"/>
    <cellStyle name="Финансовый 2 2 2 3 2 2 2" xfId="2308"/>
    <cellStyle name="Финансовый 2 2 2 3 2 2 2 2" xfId="3953"/>
    <cellStyle name="Финансовый 2 2 2 3 2 2 2 3" xfId="5736"/>
    <cellStyle name="Финансовый 2 2 2 3 2 2 2 4" xfId="8346"/>
    <cellStyle name="Финансовый 2 2 2 3 2 2 3" xfId="3134"/>
    <cellStyle name="Финансовый 2 2 2 3 2 2 4" xfId="4778"/>
    <cellStyle name="Финансовый 2 2 2 3 2 2 5" xfId="7390"/>
    <cellStyle name="Финансовый 2 2 2 3 2 3" xfId="2052"/>
    <cellStyle name="Финансовый 2 2 2 3 2 3 2" xfId="3697"/>
    <cellStyle name="Финансовый 2 2 2 3 2 3 3" xfId="5480"/>
    <cellStyle name="Финансовый 2 2 2 3 2 3 4" xfId="8090"/>
    <cellStyle name="Финансовый 2 2 2 3 2 4" xfId="2581"/>
    <cellStyle name="Финансовый 2 2 2 3 2 4 2" xfId="4226"/>
    <cellStyle name="Финансовый 2 2 2 3 2 4 3" xfId="6009"/>
    <cellStyle name="Финансовый 2 2 2 3 2 4 4" xfId="8619"/>
    <cellStyle name="Финансовый 2 2 2 3 2 5" xfId="1085"/>
    <cellStyle name="Финансовый 2 2 2 3 2 5 2" xfId="7125"/>
    <cellStyle name="Финансовый 2 2 2 3 2 6" xfId="673"/>
    <cellStyle name="Финансовый 2 2 2 3 2 6 2" xfId="6713"/>
    <cellStyle name="Финансовый 2 2 2 3 2 7" xfId="2862"/>
    <cellStyle name="Финансовый 2 2 2 3 2 8" xfId="4506"/>
    <cellStyle name="Финансовый 2 2 2 3 2 9" xfId="6293"/>
    <cellStyle name="Финансовый 2 2 2 3 3" xfId="401"/>
    <cellStyle name="Финансовый 2 2 2 3 3 2" xfId="2180"/>
    <cellStyle name="Финансовый 2 2 2 3 3 2 2" xfId="3825"/>
    <cellStyle name="Финансовый 2 2 2 3 3 2 3" xfId="5608"/>
    <cellStyle name="Финансовый 2 2 2 3 3 2 4" xfId="8218"/>
    <cellStyle name="Финансовый 2 2 2 3 3 3" xfId="1214"/>
    <cellStyle name="Финансовый 2 2 2 3 3 3 2" xfId="7254"/>
    <cellStyle name="Финансовый 2 2 2 3 3 4" xfId="821"/>
    <cellStyle name="Финансовый 2 2 2 3 3 4 2" xfId="6861"/>
    <cellStyle name="Финансовый 2 2 2 3 3 5" xfId="2998"/>
    <cellStyle name="Финансовый 2 2 2 3 3 6" xfId="4642"/>
    <cellStyle name="Финансовый 2 2 2 3 3 7" xfId="6441"/>
    <cellStyle name="Финансовый 2 2 2 3 4" xfId="1461"/>
    <cellStyle name="Финансовый 2 2 2 3 4 2" xfId="1924"/>
    <cellStyle name="Финансовый 2 2 2 3 4 2 2" xfId="3569"/>
    <cellStyle name="Финансовый 2 2 2 3 4 2 3" xfId="5352"/>
    <cellStyle name="Финансовый 2 2 2 3 4 2 4" xfId="7962"/>
    <cellStyle name="Финансовый 2 2 2 3 4 3" xfId="4889"/>
    <cellStyle name="Финансовый 2 2 2 3 4 4" xfId="7499"/>
    <cellStyle name="Финансовый 2 2 2 3 5" xfId="1800"/>
    <cellStyle name="Финансовый 2 2 2 3 5 2" xfId="3445"/>
    <cellStyle name="Финансовый 2 2 2 3 5 3" xfId="5228"/>
    <cellStyle name="Финансовый 2 2 2 3 5 4" xfId="7838"/>
    <cellStyle name="Финансовый 2 2 2 3 6" xfId="2445"/>
    <cellStyle name="Финансовый 2 2 2 3 6 2" xfId="4090"/>
    <cellStyle name="Финансовый 2 2 2 3 6 3" xfId="5873"/>
    <cellStyle name="Финансовый 2 2 2 3 6 4" xfId="8483"/>
    <cellStyle name="Финансовый 2 2 2 3 7" xfId="1672"/>
    <cellStyle name="Финансовый 2 2 2 3 7 2" xfId="3317"/>
    <cellStyle name="Финансовый 2 2 2 3 7 3" xfId="5100"/>
    <cellStyle name="Финансовый 2 2 2 3 7 4" xfId="7710"/>
    <cellStyle name="Финансовый 2 2 2 3 8" xfId="949"/>
    <cellStyle name="Финансовый 2 2 2 3 8 2" xfId="6989"/>
    <cellStyle name="Финансовый 2 2 2 3 9" xfId="537"/>
    <cellStyle name="Финансовый 2 2 2 3 9 2" xfId="6577"/>
    <cellStyle name="Финансовый 2 2 2 4" xfId="80"/>
    <cellStyle name="Финансовый 2 2 2 4 10" xfId="2690"/>
    <cellStyle name="Финансовый 2 2 2 4 11" xfId="4334"/>
    <cellStyle name="Финансовый 2 2 2 4 12" xfId="6121"/>
    <cellStyle name="Финансовый 2 2 2 4 2" xfId="216"/>
    <cellStyle name="Финансовый 2 2 2 4 2 2" xfId="1314"/>
    <cellStyle name="Финансовый 2 2 2 4 2 2 2" xfId="2272"/>
    <cellStyle name="Финансовый 2 2 2 4 2 2 2 2" xfId="3917"/>
    <cellStyle name="Финансовый 2 2 2 4 2 2 2 3" xfId="5700"/>
    <cellStyle name="Финансовый 2 2 2 4 2 2 2 4" xfId="8310"/>
    <cellStyle name="Финансовый 2 2 2 4 2 2 3" xfId="3098"/>
    <cellStyle name="Финансовый 2 2 2 4 2 2 4" xfId="4742"/>
    <cellStyle name="Финансовый 2 2 2 4 2 2 5" xfId="7354"/>
    <cellStyle name="Финансовый 2 2 2 4 2 3" xfId="2016"/>
    <cellStyle name="Финансовый 2 2 2 4 2 3 2" xfId="3661"/>
    <cellStyle name="Финансовый 2 2 2 4 2 3 3" xfId="5444"/>
    <cellStyle name="Финансовый 2 2 2 4 2 3 4" xfId="8054"/>
    <cellStyle name="Финансовый 2 2 2 4 2 4" xfId="2545"/>
    <cellStyle name="Финансовый 2 2 2 4 2 4 2" xfId="4190"/>
    <cellStyle name="Финансовый 2 2 2 4 2 4 3" xfId="5973"/>
    <cellStyle name="Финансовый 2 2 2 4 2 4 4" xfId="8583"/>
    <cellStyle name="Финансовый 2 2 2 4 2 5" xfId="1049"/>
    <cellStyle name="Финансовый 2 2 2 4 2 5 2" xfId="7089"/>
    <cellStyle name="Финансовый 2 2 2 4 2 6" xfId="637"/>
    <cellStyle name="Финансовый 2 2 2 4 2 6 2" xfId="6677"/>
    <cellStyle name="Финансовый 2 2 2 4 2 7" xfId="2826"/>
    <cellStyle name="Финансовый 2 2 2 4 2 8" xfId="4470"/>
    <cellStyle name="Финансовый 2 2 2 4 2 9" xfId="6257"/>
    <cellStyle name="Финансовый 2 2 2 4 3" xfId="365"/>
    <cellStyle name="Финансовый 2 2 2 4 3 2" xfId="2144"/>
    <cellStyle name="Финансовый 2 2 2 4 3 2 2" xfId="3789"/>
    <cellStyle name="Финансовый 2 2 2 4 3 2 3" xfId="5572"/>
    <cellStyle name="Финансовый 2 2 2 4 3 2 4" xfId="8182"/>
    <cellStyle name="Финансовый 2 2 2 4 3 3" xfId="1178"/>
    <cellStyle name="Финансовый 2 2 2 4 3 3 2" xfId="7218"/>
    <cellStyle name="Финансовый 2 2 2 4 3 4" xfId="785"/>
    <cellStyle name="Финансовый 2 2 2 4 3 4 2" xfId="6825"/>
    <cellStyle name="Финансовый 2 2 2 4 3 5" xfId="2962"/>
    <cellStyle name="Финансовый 2 2 2 4 3 6" xfId="4606"/>
    <cellStyle name="Финансовый 2 2 2 4 3 7" xfId="6405"/>
    <cellStyle name="Финансовый 2 2 2 4 4" xfId="1462"/>
    <cellStyle name="Финансовый 2 2 2 4 4 2" xfId="1888"/>
    <cellStyle name="Финансовый 2 2 2 4 4 2 2" xfId="3533"/>
    <cellStyle name="Финансовый 2 2 2 4 4 2 3" xfId="5316"/>
    <cellStyle name="Финансовый 2 2 2 4 4 2 4" xfId="7926"/>
    <cellStyle name="Финансовый 2 2 2 4 4 3" xfId="4890"/>
    <cellStyle name="Финансовый 2 2 2 4 4 4" xfId="7500"/>
    <cellStyle name="Финансовый 2 2 2 4 5" xfId="1764"/>
    <cellStyle name="Финансовый 2 2 2 4 5 2" xfId="3409"/>
    <cellStyle name="Финансовый 2 2 2 4 5 3" xfId="5192"/>
    <cellStyle name="Финансовый 2 2 2 4 5 4" xfId="7802"/>
    <cellStyle name="Финансовый 2 2 2 4 6" xfId="2409"/>
    <cellStyle name="Финансовый 2 2 2 4 6 2" xfId="4054"/>
    <cellStyle name="Финансовый 2 2 2 4 6 3" xfId="5837"/>
    <cellStyle name="Финансовый 2 2 2 4 6 4" xfId="8447"/>
    <cellStyle name="Финансовый 2 2 2 4 7" xfId="1636"/>
    <cellStyle name="Финансовый 2 2 2 4 7 2" xfId="3281"/>
    <cellStyle name="Финансовый 2 2 2 4 7 3" xfId="5064"/>
    <cellStyle name="Финансовый 2 2 2 4 7 4" xfId="7674"/>
    <cellStyle name="Финансовый 2 2 2 4 8" xfId="913"/>
    <cellStyle name="Финансовый 2 2 2 4 8 2" xfId="6953"/>
    <cellStyle name="Финансовый 2 2 2 4 9" xfId="501"/>
    <cellStyle name="Финансовый 2 2 2 4 9 2" xfId="6541"/>
    <cellStyle name="Финансовый 2 2 2 5" xfId="58"/>
    <cellStyle name="Финансовый 2 2 2 5 10" xfId="2670"/>
    <cellStyle name="Финансовый 2 2 2 5 11" xfId="4313"/>
    <cellStyle name="Финансовый 2 2 2 5 12" xfId="6101"/>
    <cellStyle name="Финансовый 2 2 2 5 2" xfId="196"/>
    <cellStyle name="Финансовый 2 2 2 5 2 2" xfId="1294"/>
    <cellStyle name="Финансовый 2 2 2 5 2 2 2" xfId="2260"/>
    <cellStyle name="Финансовый 2 2 2 5 2 2 2 2" xfId="3905"/>
    <cellStyle name="Финансовый 2 2 2 5 2 2 2 3" xfId="5688"/>
    <cellStyle name="Финансовый 2 2 2 5 2 2 2 4" xfId="8298"/>
    <cellStyle name="Финансовый 2 2 2 5 2 2 3" xfId="3078"/>
    <cellStyle name="Финансовый 2 2 2 5 2 2 4" xfId="4722"/>
    <cellStyle name="Финансовый 2 2 2 5 2 2 5" xfId="7334"/>
    <cellStyle name="Финансовый 2 2 2 5 2 3" xfId="2004"/>
    <cellStyle name="Финансовый 2 2 2 5 2 3 2" xfId="3649"/>
    <cellStyle name="Финансовый 2 2 2 5 2 3 3" xfId="5432"/>
    <cellStyle name="Финансовый 2 2 2 5 2 3 4" xfId="8042"/>
    <cellStyle name="Финансовый 2 2 2 5 2 4" xfId="2525"/>
    <cellStyle name="Финансовый 2 2 2 5 2 4 2" xfId="4170"/>
    <cellStyle name="Финансовый 2 2 2 5 2 4 3" xfId="5953"/>
    <cellStyle name="Финансовый 2 2 2 5 2 4 4" xfId="8563"/>
    <cellStyle name="Финансовый 2 2 2 5 2 5" xfId="1029"/>
    <cellStyle name="Финансовый 2 2 2 5 2 5 2" xfId="7069"/>
    <cellStyle name="Финансовый 2 2 2 5 2 6" xfId="617"/>
    <cellStyle name="Финансовый 2 2 2 5 2 6 2" xfId="6657"/>
    <cellStyle name="Финансовый 2 2 2 5 2 7" xfId="2806"/>
    <cellStyle name="Финансовый 2 2 2 5 2 8" xfId="4450"/>
    <cellStyle name="Финансовый 2 2 2 5 2 9" xfId="6237"/>
    <cellStyle name="Финансовый 2 2 2 5 3" xfId="345"/>
    <cellStyle name="Финансовый 2 2 2 5 3 2" xfId="2132"/>
    <cellStyle name="Финансовый 2 2 2 5 3 2 2" xfId="3777"/>
    <cellStyle name="Финансовый 2 2 2 5 3 2 3" xfId="5560"/>
    <cellStyle name="Финансовый 2 2 2 5 3 2 4" xfId="8170"/>
    <cellStyle name="Финансовый 2 2 2 5 3 3" xfId="1165"/>
    <cellStyle name="Финансовый 2 2 2 5 3 3 2" xfId="7205"/>
    <cellStyle name="Финансовый 2 2 2 5 3 4" xfId="765"/>
    <cellStyle name="Финансовый 2 2 2 5 3 4 2" xfId="6805"/>
    <cellStyle name="Финансовый 2 2 2 5 3 5" xfId="2942"/>
    <cellStyle name="Финансовый 2 2 2 5 3 6" xfId="4586"/>
    <cellStyle name="Финансовый 2 2 2 5 3 7" xfId="6385"/>
    <cellStyle name="Финансовый 2 2 2 5 4" xfId="1463"/>
    <cellStyle name="Финансовый 2 2 2 5 4 2" xfId="1868"/>
    <cellStyle name="Финансовый 2 2 2 5 4 2 2" xfId="3513"/>
    <cellStyle name="Финансовый 2 2 2 5 4 2 3" xfId="5296"/>
    <cellStyle name="Финансовый 2 2 2 5 4 2 4" xfId="7906"/>
    <cellStyle name="Финансовый 2 2 2 5 4 3" xfId="4891"/>
    <cellStyle name="Финансовый 2 2 2 5 4 4" xfId="7501"/>
    <cellStyle name="Финансовый 2 2 2 5 5" xfId="1752"/>
    <cellStyle name="Финансовый 2 2 2 5 5 2" xfId="3397"/>
    <cellStyle name="Финансовый 2 2 2 5 5 3" xfId="5180"/>
    <cellStyle name="Финансовый 2 2 2 5 5 4" xfId="7790"/>
    <cellStyle name="Финансовый 2 2 2 5 6" xfId="2388"/>
    <cellStyle name="Финансовый 2 2 2 5 6 2" xfId="4033"/>
    <cellStyle name="Финансовый 2 2 2 5 6 3" xfId="5816"/>
    <cellStyle name="Финансовый 2 2 2 5 6 4" xfId="8426"/>
    <cellStyle name="Финансовый 2 2 2 5 7" xfId="1615"/>
    <cellStyle name="Финансовый 2 2 2 5 7 2" xfId="3260"/>
    <cellStyle name="Финансовый 2 2 2 5 7 3" xfId="5043"/>
    <cellStyle name="Финансовый 2 2 2 5 7 4" xfId="7653"/>
    <cellStyle name="Финансовый 2 2 2 5 8" xfId="901"/>
    <cellStyle name="Финансовый 2 2 2 5 8 2" xfId="6941"/>
    <cellStyle name="Финансовый 2 2 2 5 9" xfId="481"/>
    <cellStyle name="Финансовый 2 2 2 5 9 2" xfId="6521"/>
    <cellStyle name="Финансовый 2 2 2 6" xfId="136"/>
    <cellStyle name="Финансовый 2 2 2 6 10" xfId="2746"/>
    <cellStyle name="Финансовый 2 2 2 6 11" xfId="4390"/>
    <cellStyle name="Финансовый 2 2 2 6 12" xfId="6177"/>
    <cellStyle name="Финансовый 2 2 2 6 2" xfId="272"/>
    <cellStyle name="Финансовый 2 2 2 6 2 2" xfId="1370"/>
    <cellStyle name="Финансовый 2 2 2 6 2 2 2" xfId="2328"/>
    <cellStyle name="Финансовый 2 2 2 6 2 2 2 2" xfId="3973"/>
    <cellStyle name="Финансовый 2 2 2 6 2 2 2 3" xfId="5756"/>
    <cellStyle name="Финансовый 2 2 2 6 2 2 2 4" xfId="8366"/>
    <cellStyle name="Финансовый 2 2 2 6 2 2 3" xfId="3154"/>
    <cellStyle name="Финансовый 2 2 2 6 2 2 4" xfId="4798"/>
    <cellStyle name="Финансовый 2 2 2 6 2 2 5" xfId="7410"/>
    <cellStyle name="Финансовый 2 2 2 6 2 3" xfId="2072"/>
    <cellStyle name="Финансовый 2 2 2 6 2 3 2" xfId="3717"/>
    <cellStyle name="Финансовый 2 2 2 6 2 3 3" xfId="5500"/>
    <cellStyle name="Финансовый 2 2 2 6 2 3 4" xfId="8110"/>
    <cellStyle name="Финансовый 2 2 2 6 2 4" xfId="2601"/>
    <cellStyle name="Финансовый 2 2 2 6 2 4 2" xfId="4246"/>
    <cellStyle name="Финансовый 2 2 2 6 2 4 3" xfId="6029"/>
    <cellStyle name="Финансовый 2 2 2 6 2 4 4" xfId="8639"/>
    <cellStyle name="Финансовый 2 2 2 6 2 5" xfId="1105"/>
    <cellStyle name="Финансовый 2 2 2 6 2 5 2" xfId="7145"/>
    <cellStyle name="Финансовый 2 2 2 6 2 6" xfId="693"/>
    <cellStyle name="Финансовый 2 2 2 6 2 6 2" xfId="6733"/>
    <cellStyle name="Финансовый 2 2 2 6 2 7" xfId="2882"/>
    <cellStyle name="Финансовый 2 2 2 6 2 8" xfId="4526"/>
    <cellStyle name="Финансовый 2 2 2 6 2 9" xfId="6313"/>
    <cellStyle name="Финансовый 2 2 2 6 3" xfId="421"/>
    <cellStyle name="Финансовый 2 2 2 6 3 2" xfId="2200"/>
    <cellStyle name="Финансовый 2 2 2 6 3 2 2" xfId="3845"/>
    <cellStyle name="Финансовый 2 2 2 6 3 2 3" xfId="5628"/>
    <cellStyle name="Финансовый 2 2 2 6 3 2 4" xfId="8238"/>
    <cellStyle name="Финансовый 2 2 2 6 3 3" xfId="1234"/>
    <cellStyle name="Финансовый 2 2 2 6 3 3 2" xfId="7274"/>
    <cellStyle name="Финансовый 2 2 2 6 3 4" xfId="841"/>
    <cellStyle name="Финансовый 2 2 2 6 3 4 2" xfId="6881"/>
    <cellStyle name="Финансовый 2 2 2 6 3 5" xfId="3018"/>
    <cellStyle name="Финансовый 2 2 2 6 3 6" xfId="4662"/>
    <cellStyle name="Финансовый 2 2 2 6 3 7" xfId="6461"/>
    <cellStyle name="Финансовый 2 2 2 6 4" xfId="1464"/>
    <cellStyle name="Финансовый 2 2 2 6 4 2" xfId="1944"/>
    <cellStyle name="Финансовый 2 2 2 6 4 2 2" xfId="3589"/>
    <cellStyle name="Финансовый 2 2 2 6 4 2 3" xfId="5372"/>
    <cellStyle name="Финансовый 2 2 2 6 4 2 4" xfId="7982"/>
    <cellStyle name="Финансовый 2 2 2 6 4 3" xfId="4892"/>
    <cellStyle name="Финансовый 2 2 2 6 4 4" xfId="7502"/>
    <cellStyle name="Финансовый 2 2 2 6 5" xfId="1820"/>
    <cellStyle name="Финансовый 2 2 2 6 5 2" xfId="3465"/>
    <cellStyle name="Финансовый 2 2 2 6 5 3" xfId="5248"/>
    <cellStyle name="Финансовый 2 2 2 6 5 4" xfId="7858"/>
    <cellStyle name="Финансовый 2 2 2 6 6" xfId="2465"/>
    <cellStyle name="Финансовый 2 2 2 6 6 2" xfId="4110"/>
    <cellStyle name="Финансовый 2 2 2 6 6 3" xfId="5893"/>
    <cellStyle name="Финансовый 2 2 2 6 6 4" xfId="8503"/>
    <cellStyle name="Финансовый 2 2 2 6 7" xfId="1692"/>
    <cellStyle name="Финансовый 2 2 2 6 7 2" xfId="3337"/>
    <cellStyle name="Финансовый 2 2 2 6 7 3" xfId="5120"/>
    <cellStyle name="Финансовый 2 2 2 6 7 4" xfId="7730"/>
    <cellStyle name="Финансовый 2 2 2 6 8" xfId="969"/>
    <cellStyle name="Финансовый 2 2 2 6 8 2" xfId="7009"/>
    <cellStyle name="Финансовый 2 2 2 6 9" xfId="557"/>
    <cellStyle name="Финансовый 2 2 2 6 9 2" xfId="6597"/>
    <cellStyle name="Финансовый 2 2 2 7" xfId="34"/>
    <cellStyle name="Финансовый 2 2 2 7 10" xfId="2646"/>
    <cellStyle name="Финансовый 2 2 2 7 11" xfId="4289"/>
    <cellStyle name="Финансовый 2 2 2 7 12" xfId="6077"/>
    <cellStyle name="Финансовый 2 2 2 7 2" xfId="172"/>
    <cellStyle name="Финансовый 2 2 2 7 2 2" xfId="1270"/>
    <cellStyle name="Финансовый 2 2 2 7 2 2 2" xfId="2236"/>
    <cellStyle name="Финансовый 2 2 2 7 2 2 2 2" xfId="3881"/>
    <cellStyle name="Финансовый 2 2 2 7 2 2 2 3" xfId="5664"/>
    <cellStyle name="Финансовый 2 2 2 7 2 2 2 4" xfId="8274"/>
    <cellStyle name="Финансовый 2 2 2 7 2 2 3" xfId="3054"/>
    <cellStyle name="Финансовый 2 2 2 7 2 2 4" xfId="4698"/>
    <cellStyle name="Финансовый 2 2 2 7 2 2 5" xfId="7310"/>
    <cellStyle name="Финансовый 2 2 2 7 2 3" xfId="1980"/>
    <cellStyle name="Финансовый 2 2 2 7 2 3 2" xfId="3625"/>
    <cellStyle name="Финансовый 2 2 2 7 2 3 3" xfId="5408"/>
    <cellStyle name="Финансовый 2 2 2 7 2 3 4" xfId="8018"/>
    <cellStyle name="Финансовый 2 2 2 7 2 4" xfId="2501"/>
    <cellStyle name="Финансовый 2 2 2 7 2 4 2" xfId="4146"/>
    <cellStyle name="Финансовый 2 2 2 7 2 4 3" xfId="5929"/>
    <cellStyle name="Финансовый 2 2 2 7 2 4 4" xfId="8539"/>
    <cellStyle name="Финансовый 2 2 2 7 2 5" xfId="1005"/>
    <cellStyle name="Финансовый 2 2 2 7 2 5 2" xfId="7045"/>
    <cellStyle name="Финансовый 2 2 2 7 2 6" xfId="593"/>
    <cellStyle name="Финансовый 2 2 2 7 2 6 2" xfId="6633"/>
    <cellStyle name="Финансовый 2 2 2 7 2 7" xfId="2782"/>
    <cellStyle name="Финансовый 2 2 2 7 2 8" xfId="4426"/>
    <cellStyle name="Финансовый 2 2 2 7 2 9" xfId="6213"/>
    <cellStyle name="Финансовый 2 2 2 7 3" xfId="321"/>
    <cellStyle name="Финансовый 2 2 2 7 3 2" xfId="2108"/>
    <cellStyle name="Финансовый 2 2 2 7 3 2 2" xfId="3753"/>
    <cellStyle name="Финансовый 2 2 2 7 3 2 3" xfId="5536"/>
    <cellStyle name="Финансовый 2 2 2 7 3 2 4" xfId="8146"/>
    <cellStyle name="Финансовый 2 2 2 7 3 3" xfId="1141"/>
    <cellStyle name="Финансовый 2 2 2 7 3 3 2" xfId="7181"/>
    <cellStyle name="Финансовый 2 2 2 7 3 4" xfId="741"/>
    <cellStyle name="Финансовый 2 2 2 7 3 4 2" xfId="6781"/>
    <cellStyle name="Финансовый 2 2 2 7 3 5" xfId="2918"/>
    <cellStyle name="Финансовый 2 2 2 7 3 6" xfId="4562"/>
    <cellStyle name="Финансовый 2 2 2 7 3 7" xfId="6361"/>
    <cellStyle name="Финансовый 2 2 2 7 4" xfId="1465"/>
    <cellStyle name="Финансовый 2 2 2 7 4 2" xfId="1844"/>
    <cellStyle name="Финансовый 2 2 2 7 4 2 2" xfId="3489"/>
    <cellStyle name="Финансовый 2 2 2 7 4 2 3" xfId="5272"/>
    <cellStyle name="Финансовый 2 2 2 7 4 2 4" xfId="7882"/>
    <cellStyle name="Финансовый 2 2 2 7 4 3" xfId="4893"/>
    <cellStyle name="Финансовый 2 2 2 7 4 4" xfId="7503"/>
    <cellStyle name="Финансовый 2 2 2 7 5" xfId="1728"/>
    <cellStyle name="Финансовый 2 2 2 7 5 2" xfId="3373"/>
    <cellStyle name="Финансовый 2 2 2 7 5 3" xfId="5156"/>
    <cellStyle name="Финансовый 2 2 2 7 5 4" xfId="7766"/>
    <cellStyle name="Финансовый 2 2 2 7 6" xfId="2364"/>
    <cellStyle name="Финансовый 2 2 2 7 6 2" xfId="4009"/>
    <cellStyle name="Финансовый 2 2 2 7 6 3" xfId="5792"/>
    <cellStyle name="Финансовый 2 2 2 7 6 4" xfId="8402"/>
    <cellStyle name="Финансовый 2 2 2 7 7" xfId="1591"/>
    <cellStyle name="Финансовый 2 2 2 7 7 2" xfId="3236"/>
    <cellStyle name="Финансовый 2 2 2 7 7 3" xfId="5019"/>
    <cellStyle name="Финансовый 2 2 2 7 7 4" xfId="7629"/>
    <cellStyle name="Финансовый 2 2 2 7 8" xfId="877"/>
    <cellStyle name="Финансовый 2 2 2 7 8 2" xfId="6917"/>
    <cellStyle name="Финансовый 2 2 2 7 9" xfId="457"/>
    <cellStyle name="Финансовый 2 2 2 7 9 2" xfId="6497"/>
    <cellStyle name="Финансовый 2 2 2 8" xfId="22"/>
    <cellStyle name="Финансовый 2 2 2 8 10" xfId="2634"/>
    <cellStyle name="Финансовый 2 2 2 8 11" xfId="4277"/>
    <cellStyle name="Финансовый 2 2 2 8 12" xfId="6065"/>
    <cellStyle name="Финансовый 2 2 2 8 2" xfId="160"/>
    <cellStyle name="Финансовый 2 2 2 8 2 2" xfId="1258"/>
    <cellStyle name="Финансовый 2 2 2 8 2 2 2" xfId="2224"/>
    <cellStyle name="Финансовый 2 2 2 8 2 2 2 2" xfId="3869"/>
    <cellStyle name="Финансовый 2 2 2 8 2 2 2 3" xfId="5652"/>
    <cellStyle name="Финансовый 2 2 2 8 2 2 2 4" xfId="8262"/>
    <cellStyle name="Финансовый 2 2 2 8 2 2 3" xfId="3042"/>
    <cellStyle name="Финансовый 2 2 2 8 2 2 4" xfId="4686"/>
    <cellStyle name="Финансовый 2 2 2 8 2 2 5" xfId="7298"/>
    <cellStyle name="Финансовый 2 2 2 8 2 3" xfId="1968"/>
    <cellStyle name="Финансовый 2 2 2 8 2 3 2" xfId="3613"/>
    <cellStyle name="Финансовый 2 2 2 8 2 3 3" xfId="5396"/>
    <cellStyle name="Финансовый 2 2 2 8 2 3 4" xfId="8006"/>
    <cellStyle name="Финансовый 2 2 2 8 2 4" xfId="2489"/>
    <cellStyle name="Финансовый 2 2 2 8 2 4 2" xfId="4134"/>
    <cellStyle name="Финансовый 2 2 2 8 2 4 3" xfId="5917"/>
    <cellStyle name="Финансовый 2 2 2 8 2 4 4" xfId="8527"/>
    <cellStyle name="Финансовый 2 2 2 8 2 5" xfId="993"/>
    <cellStyle name="Финансовый 2 2 2 8 2 5 2" xfId="7033"/>
    <cellStyle name="Финансовый 2 2 2 8 2 6" xfId="581"/>
    <cellStyle name="Финансовый 2 2 2 8 2 6 2" xfId="6621"/>
    <cellStyle name="Финансовый 2 2 2 8 2 7" xfId="2770"/>
    <cellStyle name="Финансовый 2 2 2 8 2 8" xfId="4414"/>
    <cellStyle name="Финансовый 2 2 2 8 2 9" xfId="6201"/>
    <cellStyle name="Финансовый 2 2 2 8 3" xfId="309"/>
    <cellStyle name="Финансовый 2 2 2 8 3 2" xfId="2096"/>
    <cellStyle name="Финансовый 2 2 2 8 3 2 2" xfId="3741"/>
    <cellStyle name="Финансовый 2 2 2 8 3 2 3" xfId="5524"/>
    <cellStyle name="Финансовый 2 2 2 8 3 2 4" xfId="8134"/>
    <cellStyle name="Финансовый 2 2 2 8 3 3" xfId="1129"/>
    <cellStyle name="Финансовый 2 2 2 8 3 3 2" xfId="7169"/>
    <cellStyle name="Финансовый 2 2 2 8 3 4" xfId="729"/>
    <cellStyle name="Финансовый 2 2 2 8 3 4 2" xfId="6769"/>
    <cellStyle name="Финансовый 2 2 2 8 3 5" xfId="2906"/>
    <cellStyle name="Финансовый 2 2 2 8 3 6" xfId="4550"/>
    <cellStyle name="Финансовый 2 2 2 8 3 7" xfId="6349"/>
    <cellStyle name="Финансовый 2 2 2 8 4" xfId="1466"/>
    <cellStyle name="Финансовый 2 2 2 8 4 2" xfId="1832"/>
    <cellStyle name="Финансовый 2 2 2 8 4 2 2" xfId="3477"/>
    <cellStyle name="Финансовый 2 2 2 8 4 2 3" xfId="5260"/>
    <cellStyle name="Финансовый 2 2 2 8 4 2 4" xfId="7870"/>
    <cellStyle name="Финансовый 2 2 2 8 4 3" xfId="4894"/>
    <cellStyle name="Финансовый 2 2 2 8 4 4" xfId="7504"/>
    <cellStyle name="Финансовый 2 2 2 8 5" xfId="1716"/>
    <cellStyle name="Финансовый 2 2 2 8 5 2" xfId="3361"/>
    <cellStyle name="Финансовый 2 2 2 8 5 3" xfId="5144"/>
    <cellStyle name="Финансовый 2 2 2 8 5 4" xfId="7754"/>
    <cellStyle name="Финансовый 2 2 2 8 6" xfId="2352"/>
    <cellStyle name="Финансовый 2 2 2 8 6 2" xfId="3997"/>
    <cellStyle name="Финансовый 2 2 2 8 6 3" xfId="5780"/>
    <cellStyle name="Финансовый 2 2 2 8 6 4" xfId="8390"/>
    <cellStyle name="Финансовый 2 2 2 8 7" xfId="1579"/>
    <cellStyle name="Финансовый 2 2 2 8 7 2" xfId="3224"/>
    <cellStyle name="Финансовый 2 2 2 8 7 3" xfId="5007"/>
    <cellStyle name="Финансовый 2 2 2 8 7 4" xfId="7617"/>
    <cellStyle name="Финансовый 2 2 2 8 8" xfId="865"/>
    <cellStyle name="Финансовый 2 2 2 8 8 2" xfId="6905"/>
    <cellStyle name="Финансовый 2 2 2 8 9" xfId="445"/>
    <cellStyle name="Финансовый 2 2 2 8 9 2" xfId="6485"/>
    <cellStyle name="Финансовый 2 2 2 9" xfId="148"/>
    <cellStyle name="Финансовый 2 2 2 9 2" xfId="1246"/>
    <cellStyle name="Финансовый 2 2 2 9 2 2" xfId="2212"/>
    <cellStyle name="Финансовый 2 2 2 9 2 2 2" xfId="3857"/>
    <cellStyle name="Финансовый 2 2 2 9 2 2 3" xfId="5640"/>
    <cellStyle name="Финансовый 2 2 2 9 2 2 4" xfId="8250"/>
    <cellStyle name="Финансовый 2 2 2 9 2 3" xfId="3030"/>
    <cellStyle name="Финансовый 2 2 2 9 2 4" xfId="4674"/>
    <cellStyle name="Финансовый 2 2 2 9 2 5" xfId="7286"/>
    <cellStyle name="Финансовый 2 2 2 9 3" xfId="1956"/>
    <cellStyle name="Финансовый 2 2 2 9 3 2" xfId="3601"/>
    <cellStyle name="Финансовый 2 2 2 9 3 3" xfId="5384"/>
    <cellStyle name="Финансовый 2 2 2 9 3 4" xfId="7994"/>
    <cellStyle name="Финансовый 2 2 2 9 4" xfId="2477"/>
    <cellStyle name="Финансовый 2 2 2 9 4 2" xfId="4122"/>
    <cellStyle name="Финансовый 2 2 2 9 4 3" xfId="5905"/>
    <cellStyle name="Финансовый 2 2 2 9 4 4" xfId="8515"/>
    <cellStyle name="Финансовый 2 2 2 9 5" xfId="981"/>
    <cellStyle name="Финансовый 2 2 2 9 5 2" xfId="7021"/>
    <cellStyle name="Финансовый 2 2 2 9 6" xfId="569"/>
    <cellStyle name="Финансовый 2 2 2 9 6 2" xfId="6609"/>
    <cellStyle name="Финансовый 2 2 2 9 7" xfId="2758"/>
    <cellStyle name="Финансовый 2 2 2 9 8" xfId="4402"/>
    <cellStyle name="Финансовый 2 2 2 9 9" xfId="6189"/>
    <cellStyle name="Финансовый 2 2 20" xfId="2616"/>
    <cellStyle name="Финансовый 2 2 21" xfId="4259"/>
    <cellStyle name="Финансовый 2 2 22" xfId="6047"/>
    <cellStyle name="Финансовый 2 2 3" xfId="40"/>
    <cellStyle name="Финансовый 2 2 3 10" xfId="883"/>
    <cellStyle name="Финансовый 2 2 3 10 2" xfId="6923"/>
    <cellStyle name="Финансовый 2 2 3 11" xfId="463"/>
    <cellStyle name="Финансовый 2 2 3 11 2" xfId="6503"/>
    <cellStyle name="Финансовый 2 2 3 12" xfId="2652"/>
    <cellStyle name="Финансовый 2 2 3 13" xfId="4295"/>
    <cellStyle name="Финансовый 2 2 3 14" xfId="6083"/>
    <cellStyle name="Финансовый 2 2 3 2" xfId="122"/>
    <cellStyle name="Финансовый 2 2 3 2 10" xfId="2732"/>
    <cellStyle name="Финансовый 2 2 3 2 11" xfId="4376"/>
    <cellStyle name="Финансовый 2 2 3 2 12" xfId="6163"/>
    <cellStyle name="Финансовый 2 2 3 2 2" xfId="258"/>
    <cellStyle name="Финансовый 2 2 3 2 2 2" xfId="1356"/>
    <cellStyle name="Финансовый 2 2 3 2 2 2 2" xfId="2314"/>
    <cellStyle name="Финансовый 2 2 3 2 2 2 2 2" xfId="3959"/>
    <cellStyle name="Финансовый 2 2 3 2 2 2 2 3" xfId="5742"/>
    <cellStyle name="Финансовый 2 2 3 2 2 2 2 4" xfId="8352"/>
    <cellStyle name="Финансовый 2 2 3 2 2 2 3" xfId="3140"/>
    <cellStyle name="Финансовый 2 2 3 2 2 2 4" xfId="4784"/>
    <cellStyle name="Финансовый 2 2 3 2 2 2 5" xfId="7396"/>
    <cellStyle name="Финансовый 2 2 3 2 2 3" xfId="2058"/>
    <cellStyle name="Финансовый 2 2 3 2 2 3 2" xfId="3703"/>
    <cellStyle name="Финансовый 2 2 3 2 2 3 3" xfId="5486"/>
    <cellStyle name="Финансовый 2 2 3 2 2 3 4" xfId="8096"/>
    <cellStyle name="Финансовый 2 2 3 2 2 4" xfId="2587"/>
    <cellStyle name="Финансовый 2 2 3 2 2 4 2" xfId="4232"/>
    <cellStyle name="Финансовый 2 2 3 2 2 4 3" xfId="6015"/>
    <cellStyle name="Финансовый 2 2 3 2 2 4 4" xfId="8625"/>
    <cellStyle name="Финансовый 2 2 3 2 2 5" xfId="1091"/>
    <cellStyle name="Финансовый 2 2 3 2 2 5 2" xfId="7131"/>
    <cellStyle name="Финансовый 2 2 3 2 2 6" xfId="679"/>
    <cellStyle name="Финансовый 2 2 3 2 2 6 2" xfId="6719"/>
    <cellStyle name="Финансовый 2 2 3 2 2 7" xfId="2868"/>
    <cellStyle name="Финансовый 2 2 3 2 2 8" xfId="4512"/>
    <cellStyle name="Финансовый 2 2 3 2 2 9" xfId="6299"/>
    <cellStyle name="Финансовый 2 2 3 2 3" xfId="407"/>
    <cellStyle name="Финансовый 2 2 3 2 3 2" xfId="2186"/>
    <cellStyle name="Финансовый 2 2 3 2 3 2 2" xfId="3831"/>
    <cellStyle name="Финансовый 2 2 3 2 3 2 3" xfId="5614"/>
    <cellStyle name="Финансовый 2 2 3 2 3 2 4" xfId="8224"/>
    <cellStyle name="Финансовый 2 2 3 2 3 3" xfId="1220"/>
    <cellStyle name="Финансовый 2 2 3 2 3 3 2" xfId="7260"/>
    <cellStyle name="Финансовый 2 2 3 2 3 4" xfId="827"/>
    <cellStyle name="Финансовый 2 2 3 2 3 4 2" xfId="6867"/>
    <cellStyle name="Финансовый 2 2 3 2 3 5" xfId="3004"/>
    <cellStyle name="Финансовый 2 2 3 2 3 6" xfId="4648"/>
    <cellStyle name="Финансовый 2 2 3 2 3 7" xfId="6447"/>
    <cellStyle name="Финансовый 2 2 3 2 4" xfId="1469"/>
    <cellStyle name="Финансовый 2 2 3 2 4 2" xfId="1930"/>
    <cellStyle name="Финансовый 2 2 3 2 4 2 2" xfId="3575"/>
    <cellStyle name="Финансовый 2 2 3 2 4 2 3" xfId="5358"/>
    <cellStyle name="Финансовый 2 2 3 2 4 2 4" xfId="7968"/>
    <cellStyle name="Финансовый 2 2 3 2 4 3" xfId="4897"/>
    <cellStyle name="Финансовый 2 2 3 2 4 4" xfId="7507"/>
    <cellStyle name="Финансовый 2 2 3 2 5" xfId="1806"/>
    <cellStyle name="Финансовый 2 2 3 2 5 2" xfId="3451"/>
    <cellStyle name="Финансовый 2 2 3 2 5 3" xfId="5234"/>
    <cellStyle name="Финансовый 2 2 3 2 5 4" xfId="7844"/>
    <cellStyle name="Финансовый 2 2 3 2 6" xfId="2451"/>
    <cellStyle name="Финансовый 2 2 3 2 6 2" xfId="4096"/>
    <cellStyle name="Финансовый 2 2 3 2 6 3" xfId="5879"/>
    <cellStyle name="Финансовый 2 2 3 2 6 4" xfId="8489"/>
    <cellStyle name="Финансовый 2 2 3 2 7" xfId="1678"/>
    <cellStyle name="Финансовый 2 2 3 2 7 2" xfId="3323"/>
    <cellStyle name="Финансовый 2 2 3 2 7 3" xfId="5106"/>
    <cellStyle name="Финансовый 2 2 3 2 7 4" xfId="7716"/>
    <cellStyle name="Финансовый 2 2 3 2 8" xfId="955"/>
    <cellStyle name="Финансовый 2 2 3 2 8 2" xfId="6995"/>
    <cellStyle name="Финансовый 2 2 3 2 9" xfId="543"/>
    <cellStyle name="Финансовый 2 2 3 2 9 2" xfId="6583"/>
    <cellStyle name="Финансовый 2 2 3 3" xfId="86"/>
    <cellStyle name="Финансовый 2 2 3 3 10" xfId="2696"/>
    <cellStyle name="Финансовый 2 2 3 3 11" xfId="4340"/>
    <cellStyle name="Финансовый 2 2 3 3 12" xfId="6127"/>
    <cellStyle name="Финансовый 2 2 3 3 2" xfId="222"/>
    <cellStyle name="Финансовый 2 2 3 3 2 2" xfId="1320"/>
    <cellStyle name="Финансовый 2 2 3 3 2 2 2" xfId="2278"/>
    <cellStyle name="Финансовый 2 2 3 3 2 2 2 2" xfId="3923"/>
    <cellStyle name="Финансовый 2 2 3 3 2 2 2 3" xfId="5706"/>
    <cellStyle name="Финансовый 2 2 3 3 2 2 2 4" xfId="8316"/>
    <cellStyle name="Финансовый 2 2 3 3 2 2 3" xfId="3104"/>
    <cellStyle name="Финансовый 2 2 3 3 2 2 4" xfId="4748"/>
    <cellStyle name="Финансовый 2 2 3 3 2 2 5" xfId="7360"/>
    <cellStyle name="Финансовый 2 2 3 3 2 3" xfId="2022"/>
    <cellStyle name="Финансовый 2 2 3 3 2 3 2" xfId="3667"/>
    <cellStyle name="Финансовый 2 2 3 3 2 3 3" xfId="5450"/>
    <cellStyle name="Финансовый 2 2 3 3 2 3 4" xfId="8060"/>
    <cellStyle name="Финансовый 2 2 3 3 2 4" xfId="2551"/>
    <cellStyle name="Финансовый 2 2 3 3 2 4 2" xfId="4196"/>
    <cellStyle name="Финансовый 2 2 3 3 2 4 3" xfId="5979"/>
    <cellStyle name="Финансовый 2 2 3 3 2 4 4" xfId="8589"/>
    <cellStyle name="Финансовый 2 2 3 3 2 5" xfId="1055"/>
    <cellStyle name="Финансовый 2 2 3 3 2 5 2" xfId="7095"/>
    <cellStyle name="Финансовый 2 2 3 3 2 6" xfId="643"/>
    <cellStyle name="Финансовый 2 2 3 3 2 6 2" xfId="6683"/>
    <cellStyle name="Финансовый 2 2 3 3 2 7" xfId="2832"/>
    <cellStyle name="Финансовый 2 2 3 3 2 8" xfId="4476"/>
    <cellStyle name="Финансовый 2 2 3 3 2 9" xfId="6263"/>
    <cellStyle name="Финансовый 2 2 3 3 3" xfId="371"/>
    <cellStyle name="Финансовый 2 2 3 3 3 2" xfId="2150"/>
    <cellStyle name="Финансовый 2 2 3 3 3 2 2" xfId="3795"/>
    <cellStyle name="Финансовый 2 2 3 3 3 2 3" xfId="5578"/>
    <cellStyle name="Финансовый 2 2 3 3 3 2 4" xfId="8188"/>
    <cellStyle name="Финансовый 2 2 3 3 3 3" xfId="1184"/>
    <cellStyle name="Финансовый 2 2 3 3 3 3 2" xfId="7224"/>
    <cellStyle name="Финансовый 2 2 3 3 3 4" xfId="791"/>
    <cellStyle name="Финансовый 2 2 3 3 3 4 2" xfId="6831"/>
    <cellStyle name="Финансовый 2 2 3 3 3 5" xfId="2968"/>
    <cellStyle name="Финансовый 2 2 3 3 3 6" xfId="4612"/>
    <cellStyle name="Финансовый 2 2 3 3 3 7" xfId="6411"/>
    <cellStyle name="Финансовый 2 2 3 3 4" xfId="1470"/>
    <cellStyle name="Финансовый 2 2 3 3 4 2" xfId="1894"/>
    <cellStyle name="Финансовый 2 2 3 3 4 2 2" xfId="3539"/>
    <cellStyle name="Финансовый 2 2 3 3 4 2 3" xfId="5322"/>
    <cellStyle name="Финансовый 2 2 3 3 4 2 4" xfId="7932"/>
    <cellStyle name="Финансовый 2 2 3 3 4 3" xfId="4898"/>
    <cellStyle name="Финансовый 2 2 3 3 4 4" xfId="7508"/>
    <cellStyle name="Финансовый 2 2 3 3 5" xfId="1770"/>
    <cellStyle name="Финансовый 2 2 3 3 5 2" xfId="3415"/>
    <cellStyle name="Финансовый 2 2 3 3 5 3" xfId="5198"/>
    <cellStyle name="Финансовый 2 2 3 3 5 4" xfId="7808"/>
    <cellStyle name="Финансовый 2 2 3 3 6" xfId="2415"/>
    <cellStyle name="Финансовый 2 2 3 3 6 2" xfId="4060"/>
    <cellStyle name="Финансовый 2 2 3 3 6 3" xfId="5843"/>
    <cellStyle name="Финансовый 2 2 3 3 6 4" xfId="8453"/>
    <cellStyle name="Финансовый 2 2 3 3 7" xfId="1642"/>
    <cellStyle name="Финансовый 2 2 3 3 7 2" xfId="3287"/>
    <cellStyle name="Финансовый 2 2 3 3 7 3" xfId="5070"/>
    <cellStyle name="Финансовый 2 2 3 3 7 4" xfId="7680"/>
    <cellStyle name="Финансовый 2 2 3 3 8" xfId="919"/>
    <cellStyle name="Финансовый 2 2 3 3 8 2" xfId="6959"/>
    <cellStyle name="Финансовый 2 2 3 3 9" xfId="507"/>
    <cellStyle name="Финансовый 2 2 3 3 9 2" xfId="6547"/>
    <cellStyle name="Финансовый 2 2 3 4" xfId="178"/>
    <cellStyle name="Финансовый 2 2 3 4 2" xfId="1276"/>
    <cellStyle name="Финансовый 2 2 3 4 2 2" xfId="2242"/>
    <cellStyle name="Финансовый 2 2 3 4 2 2 2" xfId="3887"/>
    <cellStyle name="Финансовый 2 2 3 4 2 2 3" xfId="5670"/>
    <cellStyle name="Финансовый 2 2 3 4 2 2 4" xfId="8280"/>
    <cellStyle name="Финансовый 2 2 3 4 2 3" xfId="3060"/>
    <cellStyle name="Финансовый 2 2 3 4 2 4" xfId="4704"/>
    <cellStyle name="Финансовый 2 2 3 4 2 5" xfId="7316"/>
    <cellStyle name="Финансовый 2 2 3 4 3" xfId="1986"/>
    <cellStyle name="Финансовый 2 2 3 4 3 2" xfId="3631"/>
    <cellStyle name="Финансовый 2 2 3 4 3 3" xfId="5414"/>
    <cellStyle name="Финансовый 2 2 3 4 3 4" xfId="8024"/>
    <cellStyle name="Финансовый 2 2 3 4 4" xfId="2507"/>
    <cellStyle name="Финансовый 2 2 3 4 4 2" xfId="4152"/>
    <cellStyle name="Финансовый 2 2 3 4 4 3" xfId="5935"/>
    <cellStyle name="Финансовый 2 2 3 4 4 4" xfId="8545"/>
    <cellStyle name="Финансовый 2 2 3 4 5" xfId="1011"/>
    <cellStyle name="Финансовый 2 2 3 4 5 2" xfId="7051"/>
    <cellStyle name="Финансовый 2 2 3 4 6" xfId="599"/>
    <cellStyle name="Финансовый 2 2 3 4 6 2" xfId="6639"/>
    <cellStyle name="Финансовый 2 2 3 4 7" xfId="2788"/>
    <cellStyle name="Финансовый 2 2 3 4 8" xfId="4432"/>
    <cellStyle name="Финансовый 2 2 3 4 9" xfId="6219"/>
    <cellStyle name="Финансовый 2 2 3 5" xfId="327"/>
    <cellStyle name="Финансовый 2 2 3 5 2" xfId="2114"/>
    <cellStyle name="Финансовый 2 2 3 5 2 2" xfId="3759"/>
    <cellStyle name="Финансовый 2 2 3 5 2 3" xfId="5542"/>
    <cellStyle name="Финансовый 2 2 3 5 2 4" xfId="8152"/>
    <cellStyle name="Финансовый 2 2 3 5 3" xfId="1147"/>
    <cellStyle name="Финансовый 2 2 3 5 3 2" xfId="7187"/>
    <cellStyle name="Финансовый 2 2 3 5 4" xfId="747"/>
    <cellStyle name="Финансовый 2 2 3 5 4 2" xfId="6787"/>
    <cellStyle name="Финансовый 2 2 3 5 5" xfId="2924"/>
    <cellStyle name="Финансовый 2 2 3 5 6" xfId="4568"/>
    <cellStyle name="Финансовый 2 2 3 5 7" xfId="6367"/>
    <cellStyle name="Финансовый 2 2 3 6" xfId="1468"/>
    <cellStyle name="Финансовый 2 2 3 6 2" xfId="1850"/>
    <cellStyle name="Финансовый 2 2 3 6 2 2" xfId="3495"/>
    <cellStyle name="Финансовый 2 2 3 6 2 3" xfId="5278"/>
    <cellStyle name="Финансовый 2 2 3 6 2 4" xfId="7888"/>
    <cellStyle name="Финансовый 2 2 3 6 3" xfId="4896"/>
    <cellStyle name="Финансовый 2 2 3 6 4" xfId="7506"/>
    <cellStyle name="Финансовый 2 2 3 7" xfId="1734"/>
    <cellStyle name="Финансовый 2 2 3 7 2" xfId="3379"/>
    <cellStyle name="Финансовый 2 2 3 7 3" xfId="5162"/>
    <cellStyle name="Финансовый 2 2 3 7 4" xfId="7772"/>
    <cellStyle name="Финансовый 2 2 3 8" xfId="2370"/>
    <cellStyle name="Финансовый 2 2 3 8 2" xfId="4015"/>
    <cellStyle name="Финансовый 2 2 3 8 3" xfId="5798"/>
    <cellStyle name="Финансовый 2 2 3 8 4" xfId="8408"/>
    <cellStyle name="Финансовый 2 2 3 9" xfId="1597"/>
    <cellStyle name="Финансовый 2 2 3 9 2" xfId="3242"/>
    <cellStyle name="Финансовый 2 2 3 9 3" xfId="5025"/>
    <cellStyle name="Финансовый 2 2 3 9 4" xfId="7635"/>
    <cellStyle name="Финансовый 2 2 4" xfId="92"/>
    <cellStyle name="Финансовый 2 2 4 10" xfId="2702"/>
    <cellStyle name="Финансовый 2 2 4 11" xfId="4346"/>
    <cellStyle name="Финансовый 2 2 4 12" xfId="6133"/>
    <cellStyle name="Финансовый 2 2 4 2" xfId="228"/>
    <cellStyle name="Финансовый 2 2 4 2 2" xfId="1326"/>
    <cellStyle name="Финансовый 2 2 4 2 2 2" xfId="2284"/>
    <cellStyle name="Финансовый 2 2 4 2 2 2 2" xfId="3929"/>
    <cellStyle name="Финансовый 2 2 4 2 2 2 3" xfId="5712"/>
    <cellStyle name="Финансовый 2 2 4 2 2 2 4" xfId="8322"/>
    <cellStyle name="Финансовый 2 2 4 2 2 3" xfId="3110"/>
    <cellStyle name="Финансовый 2 2 4 2 2 4" xfId="4754"/>
    <cellStyle name="Финансовый 2 2 4 2 2 5" xfId="7366"/>
    <cellStyle name="Финансовый 2 2 4 2 3" xfId="2028"/>
    <cellStyle name="Финансовый 2 2 4 2 3 2" xfId="3673"/>
    <cellStyle name="Финансовый 2 2 4 2 3 3" xfId="5456"/>
    <cellStyle name="Финансовый 2 2 4 2 3 4" xfId="8066"/>
    <cellStyle name="Финансовый 2 2 4 2 4" xfId="2557"/>
    <cellStyle name="Финансовый 2 2 4 2 4 2" xfId="4202"/>
    <cellStyle name="Финансовый 2 2 4 2 4 3" xfId="5985"/>
    <cellStyle name="Финансовый 2 2 4 2 4 4" xfId="8595"/>
    <cellStyle name="Финансовый 2 2 4 2 5" xfId="1061"/>
    <cellStyle name="Финансовый 2 2 4 2 5 2" xfId="7101"/>
    <cellStyle name="Финансовый 2 2 4 2 6" xfId="649"/>
    <cellStyle name="Финансовый 2 2 4 2 6 2" xfId="6689"/>
    <cellStyle name="Финансовый 2 2 4 2 7" xfId="2838"/>
    <cellStyle name="Финансовый 2 2 4 2 8" xfId="4482"/>
    <cellStyle name="Финансовый 2 2 4 2 9" xfId="6269"/>
    <cellStyle name="Финансовый 2 2 4 3" xfId="377"/>
    <cellStyle name="Финансовый 2 2 4 3 2" xfId="2156"/>
    <cellStyle name="Финансовый 2 2 4 3 2 2" xfId="3801"/>
    <cellStyle name="Финансовый 2 2 4 3 2 3" xfId="5584"/>
    <cellStyle name="Финансовый 2 2 4 3 2 4" xfId="8194"/>
    <cellStyle name="Финансовый 2 2 4 3 3" xfId="1190"/>
    <cellStyle name="Финансовый 2 2 4 3 3 2" xfId="7230"/>
    <cellStyle name="Финансовый 2 2 4 3 4" xfId="797"/>
    <cellStyle name="Финансовый 2 2 4 3 4 2" xfId="6837"/>
    <cellStyle name="Финансовый 2 2 4 3 5" xfId="2974"/>
    <cellStyle name="Финансовый 2 2 4 3 6" xfId="4618"/>
    <cellStyle name="Финансовый 2 2 4 3 7" xfId="6417"/>
    <cellStyle name="Финансовый 2 2 4 4" xfId="1471"/>
    <cellStyle name="Финансовый 2 2 4 4 2" xfId="1900"/>
    <cellStyle name="Финансовый 2 2 4 4 2 2" xfId="3545"/>
    <cellStyle name="Финансовый 2 2 4 4 2 3" xfId="5328"/>
    <cellStyle name="Финансовый 2 2 4 4 2 4" xfId="7938"/>
    <cellStyle name="Финансовый 2 2 4 4 3" xfId="4899"/>
    <cellStyle name="Финансовый 2 2 4 4 4" xfId="7509"/>
    <cellStyle name="Финансовый 2 2 4 5" xfId="1776"/>
    <cellStyle name="Финансовый 2 2 4 5 2" xfId="3421"/>
    <cellStyle name="Финансовый 2 2 4 5 3" xfId="5204"/>
    <cellStyle name="Финансовый 2 2 4 5 4" xfId="7814"/>
    <cellStyle name="Финансовый 2 2 4 6" xfId="2421"/>
    <cellStyle name="Финансовый 2 2 4 6 2" xfId="4066"/>
    <cellStyle name="Финансовый 2 2 4 6 3" xfId="5849"/>
    <cellStyle name="Финансовый 2 2 4 6 4" xfId="8459"/>
    <cellStyle name="Финансовый 2 2 4 7" xfId="1648"/>
    <cellStyle name="Финансовый 2 2 4 7 2" xfId="3293"/>
    <cellStyle name="Финансовый 2 2 4 7 3" xfId="5076"/>
    <cellStyle name="Финансовый 2 2 4 7 4" xfId="7686"/>
    <cellStyle name="Финансовый 2 2 4 8" xfId="925"/>
    <cellStyle name="Финансовый 2 2 4 8 2" xfId="6965"/>
    <cellStyle name="Финансовый 2 2 4 9" xfId="513"/>
    <cellStyle name="Финансовый 2 2 4 9 2" xfId="6553"/>
    <cellStyle name="Финансовый 2 2 5" xfId="98"/>
    <cellStyle name="Финансовый 2 2 5 10" xfId="2708"/>
    <cellStyle name="Финансовый 2 2 5 11" xfId="4352"/>
    <cellStyle name="Финансовый 2 2 5 12" xfId="6139"/>
    <cellStyle name="Финансовый 2 2 5 2" xfId="234"/>
    <cellStyle name="Финансовый 2 2 5 2 2" xfId="1332"/>
    <cellStyle name="Финансовый 2 2 5 2 2 2" xfId="2290"/>
    <cellStyle name="Финансовый 2 2 5 2 2 2 2" xfId="3935"/>
    <cellStyle name="Финансовый 2 2 5 2 2 2 3" xfId="5718"/>
    <cellStyle name="Финансовый 2 2 5 2 2 2 4" xfId="8328"/>
    <cellStyle name="Финансовый 2 2 5 2 2 3" xfId="3116"/>
    <cellStyle name="Финансовый 2 2 5 2 2 4" xfId="4760"/>
    <cellStyle name="Финансовый 2 2 5 2 2 5" xfId="7372"/>
    <cellStyle name="Финансовый 2 2 5 2 3" xfId="2034"/>
    <cellStyle name="Финансовый 2 2 5 2 3 2" xfId="3679"/>
    <cellStyle name="Финансовый 2 2 5 2 3 3" xfId="5462"/>
    <cellStyle name="Финансовый 2 2 5 2 3 4" xfId="8072"/>
    <cellStyle name="Финансовый 2 2 5 2 4" xfId="2563"/>
    <cellStyle name="Финансовый 2 2 5 2 4 2" xfId="4208"/>
    <cellStyle name="Финансовый 2 2 5 2 4 3" xfId="5991"/>
    <cellStyle name="Финансовый 2 2 5 2 4 4" xfId="8601"/>
    <cellStyle name="Финансовый 2 2 5 2 5" xfId="1067"/>
    <cellStyle name="Финансовый 2 2 5 2 5 2" xfId="7107"/>
    <cellStyle name="Финансовый 2 2 5 2 6" xfId="655"/>
    <cellStyle name="Финансовый 2 2 5 2 6 2" xfId="6695"/>
    <cellStyle name="Финансовый 2 2 5 2 7" xfId="2844"/>
    <cellStyle name="Финансовый 2 2 5 2 8" xfId="4488"/>
    <cellStyle name="Финансовый 2 2 5 2 9" xfId="6275"/>
    <cellStyle name="Финансовый 2 2 5 3" xfId="383"/>
    <cellStyle name="Финансовый 2 2 5 3 2" xfId="2162"/>
    <cellStyle name="Финансовый 2 2 5 3 2 2" xfId="3807"/>
    <cellStyle name="Финансовый 2 2 5 3 2 3" xfId="5590"/>
    <cellStyle name="Финансовый 2 2 5 3 2 4" xfId="8200"/>
    <cellStyle name="Финансовый 2 2 5 3 3" xfId="1196"/>
    <cellStyle name="Финансовый 2 2 5 3 3 2" xfId="7236"/>
    <cellStyle name="Финансовый 2 2 5 3 4" xfId="803"/>
    <cellStyle name="Финансовый 2 2 5 3 4 2" xfId="6843"/>
    <cellStyle name="Финансовый 2 2 5 3 5" xfId="2980"/>
    <cellStyle name="Финансовый 2 2 5 3 6" xfId="4624"/>
    <cellStyle name="Финансовый 2 2 5 3 7" xfId="6423"/>
    <cellStyle name="Финансовый 2 2 5 4" xfId="1472"/>
    <cellStyle name="Финансовый 2 2 5 4 2" xfId="1906"/>
    <cellStyle name="Финансовый 2 2 5 4 2 2" xfId="3551"/>
    <cellStyle name="Финансовый 2 2 5 4 2 3" xfId="5334"/>
    <cellStyle name="Финансовый 2 2 5 4 2 4" xfId="7944"/>
    <cellStyle name="Финансовый 2 2 5 4 3" xfId="4900"/>
    <cellStyle name="Финансовый 2 2 5 4 4" xfId="7510"/>
    <cellStyle name="Финансовый 2 2 5 5" xfId="1782"/>
    <cellStyle name="Финансовый 2 2 5 5 2" xfId="3427"/>
    <cellStyle name="Финансовый 2 2 5 5 3" xfId="5210"/>
    <cellStyle name="Финансовый 2 2 5 5 4" xfId="7820"/>
    <cellStyle name="Финансовый 2 2 5 6" xfId="2427"/>
    <cellStyle name="Финансовый 2 2 5 6 2" xfId="4072"/>
    <cellStyle name="Финансовый 2 2 5 6 3" xfId="5855"/>
    <cellStyle name="Финансовый 2 2 5 6 4" xfId="8465"/>
    <cellStyle name="Финансовый 2 2 5 7" xfId="1654"/>
    <cellStyle name="Финансовый 2 2 5 7 2" xfId="3299"/>
    <cellStyle name="Финансовый 2 2 5 7 3" xfId="5082"/>
    <cellStyle name="Финансовый 2 2 5 7 4" xfId="7692"/>
    <cellStyle name="Финансовый 2 2 5 8" xfId="931"/>
    <cellStyle name="Финансовый 2 2 5 8 2" xfId="6971"/>
    <cellStyle name="Финансовый 2 2 5 9" xfId="519"/>
    <cellStyle name="Финансовый 2 2 5 9 2" xfId="6559"/>
    <cellStyle name="Финансовый 2 2 6" xfId="110"/>
    <cellStyle name="Финансовый 2 2 6 10" xfId="2720"/>
    <cellStyle name="Финансовый 2 2 6 11" xfId="4364"/>
    <cellStyle name="Финансовый 2 2 6 12" xfId="6151"/>
    <cellStyle name="Финансовый 2 2 6 2" xfId="246"/>
    <cellStyle name="Финансовый 2 2 6 2 2" xfId="1344"/>
    <cellStyle name="Финансовый 2 2 6 2 2 2" xfId="2302"/>
    <cellStyle name="Финансовый 2 2 6 2 2 2 2" xfId="3947"/>
    <cellStyle name="Финансовый 2 2 6 2 2 2 3" xfId="5730"/>
    <cellStyle name="Финансовый 2 2 6 2 2 2 4" xfId="8340"/>
    <cellStyle name="Финансовый 2 2 6 2 2 3" xfId="3128"/>
    <cellStyle name="Финансовый 2 2 6 2 2 4" xfId="4772"/>
    <cellStyle name="Финансовый 2 2 6 2 2 5" xfId="7384"/>
    <cellStyle name="Финансовый 2 2 6 2 3" xfId="2046"/>
    <cellStyle name="Финансовый 2 2 6 2 3 2" xfId="3691"/>
    <cellStyle name="Финансовый 2 2 6 2 3 3" xfId="5474"/>
    <cellStyle name="Финансовый 2 2 6 2 3 4" xfId="8084"/>
    <cellStyle name="Финансовый 2 2 6 2 4" xfId="2575"/>
    <cellStyle name="Финансовый 2 2 6 2 4 2" xfId="4220"/>
    <cellStyle name="Финансовый 2 2 6 2 4 3" xfId="6003"/>
    <cellStyle name="Финансовый 2 2 6 2 4 4" xfId="8613"/>
    <cellStyle name="Финансовый 2 2 6 2 5" xfId="1079"/>
    <cellStyle name="Финансовый 2 2 6 2 5 2" xfId="7119"/>
    <cellStyle name="Финансовый 2 2 6 2 6" xfId="667"/>
    <cellStyle name="Финансовый 2 2 6 2 6 2" xfId="6707"/>
    <cellStyle name="Финансовый 2 2 6 2 7" xfId="2856"/>
    <cellStyle name="Финансовый 2 2 6 2 8" xfId="4500"/>
    <cellStyle name="Финансовый 2 2 6 2 9" xfId="6287"/>
    <cellStyle name="Финансовый 2 2 6 3" xfId="395"/>
    <cellStyle name="Финансовый 2 2 6 3 2" xfId="2174"/>
    <cellStyle name="Финансовый 2 2 6 3 2 2" xfId="3819"/>
    <cellStyle name="Финансовый 2 2 6 3 2 3" xfId="5602"/>
    <cellStyle name="Финансовый 2 2 6 3 2 4" xfId="8212"/>
    <cellStyle name="Финансовый 2 2 6 3 3" xfId="1208"/>
    <cellStyle name="Финансовый 2 2 6 3 3 2" xfId="7248"/>
    <cellStyle name="Финансовый 2 2 6 3 4" xfId="815"/>
    <cellStyle name="Финансовый 2 2 6 3 4 2" xfId="6855"/>
    <cellStyle name="Финансовый 2 2 6 3 5" xfId="2992"/>
    <cellStyle name="Финансовый 2 2 6 3 6" xfId="4636"/>
    <cellStyle name="Финансовый 2 2 6 3 7" xfId="6435"/>
    <cellStyle name="Финансовый 2 2 6 4" xfId="1459"/>
    <cellStyle name="Финансовый 2 2 6 4 2" xfId="1918"/>
    <cellStyle name="Финансовый 2 2 6 4 2 2" xfId="3563"/>
    <cellStyle name="Финансовый 2 2 6 4 2 3" xfId="5346"/>
    <cellStyle name="Финансовый 2 2 6 4 2 4" xfId="7956"/>
    <cellStyle name="Финансовый 2 2 6 4 3" xfId="4887"/>
    <cellStyle name="Финансовый 2 2 6 4 4" xfId="7497"/>
    <cellStyle name="Финансовый 2 2 6 5" xfId="1794"/>
    <cellStyle name="Финансовый 2 2 6 5 2" xfId="3439"/>
    <cellStyle name="Финансовый 2 2 6 5 3" xfId="5222"/>
    <cellStyle name="Финансовый 2 2 6 5 4" xfId="7832"/>
    <cellStyle name="Финансовый 2 2 6 6" xfId="2439"/>
    <cellStyle name="Финансовый 2 2 6 6 2" xfId="4084"/>
    <cellStyle name="Финансовый 2 2 6 6 3" xfId="5867"/>
    <cellStyle name="Финансовый 2 2 6 6 4" xfId="8477"/>
    <cellStyle name="Финансовый 2 2 6 7" xfId="1666"/>
    <cellStyle name="Финансовый 2 2 6 7 2" xfId="3311"/>
    <cellStyle name="Финансовый 2 2 6 7 3" xfId="5094"/>
    <cellStyle name="Финансовый 2 2 6 7 4" xfId="7704"/>
    <cellStyle name="Финансовый 2 2 6 8" xfId="943"/>
    <cellStyle name="Финансовый 2 2 6 8 2" xfId="6983"/>
    <cellStyle name="Финансовый 2 2 6 9" xfId="531"/>
    <cellStyle name="Финансовый 2 2 6 9 2" xfId="6571"/>
    <cellStyle name="Финансовый 2 2 7" xfId="65"/>
    <cellStyle name="Финансовый 2 2 7 10" xfId="2675"/>
    <cellStyle name="Финансовый 2 2 7 11" xfId="4319"/>
    <cellStyle name="Финансовый 2 2 7 12" xfId="6106"/>
    <cellStyle name="Финансовый 2 2 7 2" xfId="201"/>
    <cellStyle name="Финансовый 2 2 7 2 2" xfId="1299"/>
    <cellStyle name="Финансовый 2 2 7 2 2 2" xfId="2265"/>
    <cellStyle name="Финансовый 2 2 7 2 2 2 2" xfId="3910"/>
    <cellStyle name="Финансовый 2 2 7 2 2 2 3" xfId="5693"/>
    <cellStyle name="Финансовый 2 2 7 2 2 2 4" xfId="8303"/>
    <cellStyle name="Финансовый 2 2 7 2 2 3" xfId="3083"/>
    <cellStyle name="Финансовый 2 2 7 2 2 4" xfId="4727"/>
    <cellStyle name="Финансовый 2 2 7 2 2 5" xfId="7339"/>
    <cellStyle name="Финансовый 2 2 7 2 3" xfId="2009"/>
    <cellStyle name="Финансовый 2 2 7 2 3 2" xfId="3654"/>
    <cellStyle name="Финансовый 2 2 7 2 3 3" xfId="5437"/>
    <cellStyle name="Финансовый 2 2 7 2 3 4" xfId="8047"/>
    <cellStyle name="Финансовый 2 2 7 2 4" xfId="2530"/>
    <cellStyle name="Финансовый 2 2 7 2 4 2" xfId="4175"/>
    <cellStyle name="Финансовый 2 2 7 2 4 3" xfId="5958"/>
    <cellStyle name="Финансовый 2 2 7 2 4 4" xfId="8568"/>
    <cellStyle name="Финансовый 2 2 7 2 5" xfId="1034"/>
    <cellStyle name="Финансовый 2 2 7 2 5 2" xfId="7074"/>
    <cellStyle name="Финансовый 2 2 7 2 6" xfId="622"/>
    <cellStyle name="Финансовый 2 2 7 2 6 2" xfId="6662"/>
    <cellStyle name="Финансовый 2 2 7 2 7" xfId="2811"/>
    <cellStyle name="Финансовый 2 2 7 2 8" xfId="4455"/>
    <cellStyle name="Финансовый 2 2 7 2 9" xfId="6242"/>
    <cellStyle name="Финансовый 2 2 7 3" xfId="350"/>
    <cellStyle name="Финансовый 2 2 7 3 2" xfId="2137"/>
    <cellStyle name="Финансовый 2 2 7 3 2 2" xfId="3782"/>
    <cellStyle name="Финансовый 2 2 7 3 2 3" xfId="5565"/>
    <cellStyle name="Финансовый 2 2 7 3 2 4" xfId="8175"/>
    <cellStyle name="Финансовый 2 2 7 3 3" xfId="1170"/>
    <cellStyle name="Финансовый 2 2 7 3 3 2" xfId="7210"/>
    <cellStyle name="Финансовый 2 2 7 3 4" xfId="770"/>
    <cellStyle name="Финансовый 2 2 7 3 4 2" xfId="6810"/>
    <cellStyle name="Финансовый 2 2 7 3 5" xfId="2947"/>
    <cellStyle name="Финансовый 2 2 7 3 6" xfId="4591"/>
    <cellStyle name="Финансовый 2 2 7 3 7" xfId="6390"/>
    <cellStyle name="Финансовый 2 2 7 4" xfId="1473"/>
    <cellStyle name="Финансовый 2 2 7 4 2" xfId="1873"/>
    <cellStyle name="Финансовый 2 2 7 4 2 2" xfId="3518"/>
    <cellStyle name="Финансовый 2 2 7 4 2 3" xfId="5301"/>
    <cellStyle name="Финансовый 2 2 7 4 2 4" xfId="7911"/>
    <cellStyle name="Финансовый 2 2 7 4 3" xfId="4901"/>
    <cellStyle name="Финансовый 2 2 7 4 4" xfId="7511"/>
    <cellStyle name="Финансовый 2 2 7 5" xfId="1757"/>
    <cellStyle name="Финансовый 2 2 7 5 2" xfId="3402"/>
    <cellStyle name="Финансовый 2 2 7 5 3" xfId="5185"/>
    <cellStyle name="Финансовый 2 2 7 5 4" xfId="7795"/>
    <cellStyle name="Финансовый 2 2 7 6" xfId="2394"/>
    <cellStyle name="Финансовый 2 2 7 6 2" xfId="4039"/>
    <cellStyle name="Финансовый 2 2 7 6 3" xfId="5822"/>
    <cellStyle name="Финансовый 2 2 7 6 4" xfId="8432"/>
    <cellStyle name="Финансовый 2 2 7 7" xfId="1621"/>
    <cellStyle name="Финансовый 2 2 7 7 2" xfId="3266"/>
    <cellStyle name="Финансовый 2 2 7 7 3" xfId="5049"/>
    <cellStyle name="Финансовый 2 2 7 7 4" xfId="7659"/>
    <cellStyle name="Финансовый 2 2 7 8" xfId="906"/>
    <cellStyle name="Финансовый 2 2 7 8 2" xfId="6946"/>
    <cellStyle name="Финансовый 2 2 7 9" xfId="486"/>
    <cellStyle name="Финансовый 2 2 7 9 2" xfId="6526"/>
    <cellStyle name="Финансовый 2 2 8" xfId="52"/>
    <cellStyle name="Финансовый 2 2 8 10" xfId="2664"/>
    <cellStyle name="Финансовый 2 2 8 11" xfId="4307"/>
    <cellStyle name="Финансовый 2 2 8 12" xfId="6095"/>
    <cellStyle name="Финансовый 2 2 8 2" xfId="190"/>
    <cellStyle name="Финансовый 2 2 8 2 2" xfId="1288"/>
    <cellStyle name="Финансовый 2 2 8 2 2 2" xfId="2254"/>
    <cellStyle name="Финансовый 2 2 8 2 2 2 2" xfId="3899"/>
    <cellStyle name="Финансовый 2 2 8 2 2 2 3" xfId="5682"/>
    <cellStyle name="Финансовый 2 2 8 2 2 2 4" xfId="8292"/>
    <cellStyle name="Финансовый 2 2 8 2 2 3" xfId="3072"/>
    <cellStyle name="Финансовый 2 2 8 2 2 4" xfId="4716"/>
    <cellStyle name="Финансовый 2 2 8 2 2 5" xfId="7328"/>
    <cellStyle name="Финансовый 2 2 8 2 3" xfId="1998"/>
    <cellStyle name="Финансовый 2 2 8 2 3 2" xfId="3643"/>
    <cellStyle name="Финансовый 2 2 8 2 3 3" xfId="5426"/>
    <cellStyle name="Финансовый 2 2 8 2 3 4" xfId="8036"/>
    <cellStyle name="Финансовый 2 2 8 2 4" xfId="2519"/>
    <cellStyle name="Финансовый 2 2 8 2 4 2" xfId="4164"/>
    <cellStyle name="Финансовый 2 2 8 2 4 3" xfId="5947"/>
    <cellStyle name="Финансовый 2 2 8 2 4 4" xfId="8557"/>
    <cellStyle name="Финансовый 2 2 8 2 5" xfId="1023"/>
    <cellStyle name="Финансовый 2 2 8 2 5 2" xfId="7063"/>
    <cellStyle name="Финансовый 2 2 8 2 6" xfId="611"/>
    <cellStyle name="Финансовый 2 2 8 2 6 2" xfId="6651"/>
    <cellStyle name="Финансовый 2 2 8 2 7" xfId="2800"/>
    <cellStyle name="Финансовый 2 2 8 2 8" xfId="4444"/>
    <cellStyle name="Финансовый 2 2 8 2 9" xfId="6231"/>
    <cellStyle name="Финансовый 2 2 8 3" xfId="339"/>
    <cellStyle name="Финансовый 2 2 8 3 2" xfId="2126"/>
    <cellStyle name="Финансовый 2 2 8 3 2 2" xfId="3771"/>
    <cellStyle name="Финансовый 2 2 8 3 2 3" xfId="5554"/>
    <cellStyle name="Финансовый 2 2 8 3 2 4" xfId="8164"/>
    <cellStyle name="Финансовый 2 2 8 3 3" xfId="1159"/>
    <cellStyle name="Финансовый 2 2 8 3 3 2" xfId="7199"/>
    <cellStyle name="Финансовый 2 2 8 3 4" xfId="759"/>
    <cellStyle name="Финансовый 2 2 8 3 4 2" xfId="6799"/>
    <cellStyle name="Финансовый 2 2 8 3 5" xfId="2936"/>
    <cellStyle name="Финансовый 2 2 8 3 6" xfId="4580"/>
    <cellStyle name="Финансовый 2 2 8 3 7" xfId="6379"/>
    <cellStyle name="Финансовый 2 2 8 4" xfId="1474"/>
    <cellStyle name="Финансовый 2 2 8 4 2" xfId="1862"/>
    <cellStyle name="Финансовый 2 2 8 4 2 2" xfId="3507"/>
    <cellStyle name="Финансовый 2 2 8 4 2 3" xfId="5290"/>
    <cellStyle name="Финансовый 2 2 8 4 2 4" xfId="7900"/>
    <cellStyle name="Финансовый 2 2 8 4 3" xfId="4902"/>
    <cellStyle name="Финансовый 2 2 8 4 4" xfId="7512"/>
    <cellStyle name="Финансовый 2 2 8 5" xfId="1746"/>
    <cellStyle name="Финансовый 2 2 8 5 2" xfId="3391"/>
    <cellStyle name="Финансовый 2 2 8 5 3" xfId="5174"/>
    <cellStyle name="Финансовый 2 2 8 5 4" xfId="7784"/>
    <cellStyle name="Финансовый 2 2 8 6" xfId="2382"/>
    <cellStyle name="Финансовый 2 2 8 6 2" xfId="4027"/>
    <cellStyle name="Финансовый 2 2 8 6 3" xfId="5810"/>
    <cellStyle name="Финансовый 2 2 8 6 4" xfId="8420"/>
    <cellStyle name="Финансовый 2 2 8 7" xfId="1609"/>
    <cellStyle name="Финансовый 2 2 8 7 2" xfId="3254"/>
    <cellStyle name="Финансовый 2 2 8 7 3" xfId="5037"/>
    <cellStyle name="Финансовый 2 2 8 7 4" xfId="7647"/>
    <cellStyle name="Финансовый 2 2 8 8" xfId="895"/>
    <cellStyle name="Финансовый 2 2 8 8 2" xfId="6935"/>
    <cellStyle name="Финансовый 2 2 8 9" xfId="475"/>
    <cellStyle name="Финансовый 2 2 8 9 2" xfId="6515"/>
    <cellStyle name="Финансовый 2 2 9" xfId="130"/>
    <cellStyle name="Финансовый 2 2 9 10" xfId="2740"/>
    <cellStyle name="Финансовый 2 2 9 11" xfId="4384"/>
    <cellStyle name="Финансовый 2 2 9 12" xfId="6171"/>
    <cellStyle name="Финансовый 2 2 9 2" xfId="266"/>
    <cellStyle name="Финансовый 2 2 9 2 2" xfId="1364"/>
    <cellStyle name="Финансовый 2 2 9 2 2 2" xfId="2322"/>
    <cellStyle name="Финансовый 2 2 9 2 2 2 2" xfId="3967"/>
    <cellStyle name="Финансовый 2 2 9 2 2 2 3" xfId="5750"/>
    <cellStyle name="Финансовый 2 2 9 2 2 2 4" xfId="8360"/>
    <cellStyle name="Финансовый 2 2 9 2 2 3" xfId="3148"/>
    <cellStyle name="Финансовый 2 2 9 2 2 4" xfId="4792"/>
    <cellStyle name="Финансовый 2 2 9 2 2 5" xfId="7404"/>
    <cellStyle name="Финансовый 2 2 9 2 3" xfId="2066"/>
    <cellStyle name="Финансовый 2 2 9 2 3 2" xfId="3711"/>
    <cellStyle name="Финансовый 2 2 9 2 3 3" xfId="5494"/>
    <cellStyle name="Финансовый 2 2 9 2 3 4" xfId="8104"/>
    <cellStyle name="Финансовый 2 2 9 2 4" xfId="2595"/>
    <cellStyle name="Финансовый 2 2 9 2 4 2" xfId="4240"/>
    <cellStyle name="Финансовый 2 2 9 2 4 3" xfId="6023"/>
    <cellStyle name="Финансовый 2 2 9 2 4 4" xfId="8633"/>
    <cellStyle name="Финансовый 2 2 9 2 5" xfId="1099"/>
    <cellStyle name="Финансовый 2 2 9 2 5 2" xfId="7139"/>
    <cellStyle name="Финансовый 2 2 9 2 6" xfId="687"/>
    <cellStyle name="Финансовый 2 2 9 2 6 2" xfId="6727"/>
    <cellStyle name="Финансовый 2 2 9 2 7" xfId="2876"/>
    <cellStyle name="Финансовый 2 2 9 2 8" xfId="4520"/>
    <cellStyle name="Финансовый 2 2 9 2 9" xfId="6307"/>
    <cellStyle name="Финансовый 2 2 9 3" xfId="415"/>
    <cellStyle name="Финансовый 2 2 9 3 2" xfId="2194"/>
    <cellStyle name="Финансовый 2 2 9 3 2 2" xfId="3839"/>
    <cellStyle name="Финансовый 2 2 9 3 2 3" xfId="5622"/>
    <cellStyle name="Финансовый 2 2 9 3 2 4" xfId="8232"/>
    <cellStyle name="Финансовый 2 2 9 3 3" xfId="1228"/>
    <cellStyle name="Финансовый 2 2 9 3 3 2" xfId="7268"/>
    <cellStyle name="Финансовый 2 2 9 3 4" xfId="835"/>
    <cellStyle name="Финансовый 2 2 9 3 4 2" xfId="6875"/>
    <cellStyle name="Финансовый 2 2 9 3 5" xfId="3012"/>
    <cellStyle name="Финансовый 2 2 9 3 6" xfId="4656"/>
    <cellStyle name="Финансовый 2 2 9 3 7" xfId="6455"/>
    <cellStyle name="Финансовый 2 2 9 4" xfId="1475"/>
    <cellStyle name="Финансовый 2 2 9 4 2" xfId="1938"/>
    <cellStyle name="Финансовый 2 2 9 4 2 2" xfId="3583"/>
    <cellStyle name="Финансовый 2 2 9 4 2 3" xfId="5366"/>
    <cellStyle name="Финансовый 2 2 9 4 2 4" xfId="7976"/>
    <cellStyle name="Финансовый 2 2 9 4 3" xfId="4903"/>
    <cellStyle name="Финансовый 2 2 9 4 4" xfId="7513"/>
    <cellStyle name="Финансовый 2 2 9 5" xfId="1814"/>
    <cellStyle name="Финансовый 2 2 9 5 2" xfId="3459"/>
    <cellStyle name="Финансовый 2 2 9 5 3" xfId="5242"/>
    <cellStyle name="Финансовый 2 2 9 5 4" xfId="7852"/>
    <cellStyle name="Финансовый 2 2 9 6" xfId="2459"/>
    <cellStyle name="Финансовый 2 2 9 6 2" xfId="4104"/>
    <cellStyle name="Финансовый 2 2 9 6 3" xfId="5887"/>
    <cellStyle name="Финансовый 2 2 9 6 4" xfId="8497"/>
    <cellStyle name="Финансовый 2 2 9 7" xfId="1686"/>
    <cellStyle name="Финансовый 2 2 9 7 2" xfId="3331"/>
    <cellStyle name="Финансовый 2 2 9 7 3" xfId="5114"/>
    <cellStyle name="Финансовый 2 2 9 7 4" xfId="7724"/>
    <cellStyle name="Финансовый 2 2 9 8" xfId="963"/>
    <cellStyle name="Финансовый 2 2 9 8 2" xfId="7003"/>
    <cellStyle name="Финансовый 2 2 9 9" xfId="551"/>
    <cellStyle name="Финансовый 2 2 9 9 2" xfId="6591"/>
    <cellStyle name="Финансовый 2 20" xfId="1559"/>
    <cellStyle name="Финансовый 2 20 2" xfId="3204"/>
    <cellStyle name="Финансовый 2 20 3" xfId="4987"/>
    <cellStyle name="Финансовый 2 20 4" xfId="7597"/>
    <cellStyle name="Финансовый 2 21" xfId="845"/>
    <cellStyle name="Финансовый 2 21 2" xfId="6885"/>
    <cellStyle name="Финансовый 2 22" xfId="425"/>
    <cellStyle name="Финансовый 2 22 2" xfId="6465"/>
    <cellStyle name="Финансовый 2 23" xfId="2614"/>
    <cellStyle name="Финансовый 2 24" xfId="4257"/>
    <cellStyle name="Финансовый 2 25" xfId="6045"/>
    <cellStyle name="Финансовый 2 3" xfId="6"/>
    <cellStyle name="Финансовый 2 3 10" xfId="30"/>
    <cellStyle name="Финансовый 2 3 10 10" xfId="2642"/>
    <cellStyle name="Финансовый 2 3 10 11" xfId="4285"/>
    <cellStyle name="Финансовый 2 3 10 12" xfId="6073"/>
    <cellStyle name="Финансовый 2 3 10 2" xfId="168"/>
    <cellStyle name="Финансовый 2 3 10 2 2" xfId="1266"/>
    <cellStyle name="Финансовый 2 3 10 2 2 2" xfId="2232"/>
    <cellStyle name="Финансовый 2 3 10 2 2 2 2" xfId="3877"/>
    <cellStyle name="Финансовый 2 3 10 2 2 2 3" xfId="5660"/>
    <cellStyle name="Финансовый 2 3 10 2 2 2 4" xfId="8270"/>
    <cellStyle name="Финансовый 2 3 10 2 2 3" xfId="3050"/>
    <cellStyle name="Финансовый 2 3 10 2 2 4" xfId="4694"/>
    <cellStyle name="Финансовый 2 3 10 2 2 5" xfId="7306"/>
    <cellStyle name="Финансовый 2 3 10 2 3" xfId="1976"/>
    <cellStyle name="Финансовый 2 3 10 2 3 2" xfId="3621"/>
    <cellStyle name="Финансовый 2 3 10 2 3 3" xfId="5404"/>
    <cellStyle name="Финансовый 2 3 10 2 3 4" xfId="8014"/>
    <cellStyle name="Финансовый 2 3 10 2 4" xfId="2497"/>
    <cellStyle name="Финансовый 2 3 10 2 4 2" xfId="4142"/>
    <cellStyle name="Финансовый 2 3 10 2 4 3" xfId="5925"/>
    <cellStyle name="Финансовый 2 3 10 2 4 4" xfId="8535"/>
    <cellStyle name="Финансовый 2 3 10 2 5" xfId="1001"/>
    <cellStyle name="Финансовый 2 3 10 2 5 2" xfId="7041"/>
    <cellStyle name="Финансовый 2 3 10 2 6" xfId="589"/>
    <cellStyle name="Финансовый 2 3 10 2 6 2" xfId="6629"/>
    <cellStyle name="Финансовый 2 3 10 2 7" xfId="2778"/>
    <cellStyle name="Финансовый 2 3 10 2 8" xfId="4422"/>
    <cellStyle name="Финансовый 2 3 10 2 9" xfId="6209"/>
    <cellStyle name="Финансовый 2 3 10 3" xfId="317"/>
    <cellStyle name="Финансовый 2 3 10 3 2" xfId="2104"/>
    <cellStyle name="Финансовый 2 3 10 3 2 2" xfId="3749"/>
    <cellStyle name="Финансовый 2 3 10 3 2 3" xfId="5532"/>
    <cellStyle name="Финансовый 2 3 10 3 2 4" xfId="8142"/>
    <cellStyle name="Финансовый 2 3 10 3 3" xfId="1137"/>
    <cellStyle name="Финансовый 2 3 10 3 3 2" xfId="7177"/>
    <cellStyle name="Финансовый 2 3 10 3 4" xfId="737"/>
    <cellStyle name="Финансовый 2 3 10 3 4 2" xfId="6777"/>
    <cellStyle name="Финансовый 2 3 10 3 5" xfId="2914"/>
    <cellStyle name="Финансовый 2 3 10 3 6" xfId="4558"/>
    <cellStyle name="Финансовый 2 3 10 3 7" xfId="6357"/>
    <cellStyle name="Финансовый 2 3 10 4" xfId="1479"/>
    <cellStyle name="Финансовый 2 3 10 4 2" xfId="1840"/>
    <cellStyle name="Финансовый 2 3 10 4 2 2" xfId="3485"/>
    <cellStyle name="Финансовый 2 3 10 4 2 3" xfId="5268"/>
    <cellStyle name="Финансовый 2 3 10 4 2 4" xfId="7878"/>
    <cellStyle name="Финансовый 2 3 10 4 3" xfId="4907"/>
    <cellStyle name="Финансовый 2 3 10 4 4" xfId="7517"/>
    <cellStyle name="Финансовый 2 3 10 5" xfId="1724"/>
    <cellStyle name="Финансовый 2 3 10 5 2" xfId="3369"/>
    <cellStyle name="Финансовый 2 3 10 5 3" xfId="5152"/>
    <cellStyle name="Финансовый 2 3 10 5 4" xfId="7762"/>
    <cellStyle name="Финансовый 2 3 10 6" xfId="2360"/>
    <cellStyle name="Финансовый 2 3 10 6 2" xfId="4005"/>
    <cellStyle name="Финансовый 2 3 10 6 3" xfId="5788"/>
    <cellStyle name="Финансовый 2 3 10 6 4" xfId="8398"/>
    <cellStyle name="Финансовый 2 3 10 7" xfId="1587"/>
    <cellStyle name="Финансовый 2 3 10 7 2" xfId="3232"/>
    <cellStyle name="Финансовый 2 3 10 7 3" xfId="5015"/>
    <cellStyle name="Финансовый 2 3 10 7 4" xfId="7625"/>
    <cellStyle name="Финансовый 2 3 10 8" xfId="873"/>
    <cellStyle name="Финансовый 2 3 10 8 2" xfId="6913"/>
    <cellStyle name="Финансовый 2 3 10 9" xfId="453"/>
    <cellStyle name="Финансовый 2 3 10 9 2" xfId="6493"/>
    <cellStyle name="Финансовый 2 3 11" xfId="18"/>
    <cellStyle name="Финансовый 2 3 11 10" xfId="2630"/>
    <cellStyle name="Финансовый 2 3 11 11" xfId="4273"/>
    <cellStyle name="Финансовый 2 3 11 12" xfId="6061"/>
    <cellStyle name="Финансовый 2 3 11 2" xfId="156"/>
    <cellStyle name="Финансовый 2 3 11 2 2" xfId="1254"/>
    <cellStyle name="Финансовый 2 3 11 2 2 2" xfId="2220"/>
    <cellStyle name="Финансовый 2 3 11 2 2 2 2" xfId="3865"/>
    <cellStyle name="Финансовый 2 3 11 2 2 2 3" xfId="5648"/>
    <cellStyle name="Финансовый 2 3 11 2 2 2 4" xfId="8258"/>
    <cellStyle name="Финансовый 2 3 11 2 2 3" xfId="3038"/>
    <cellStyle name="Финансовый 2 3 11 2 2 4" xfId="4682"/>
    <cellStyle name="Финансовый 2 3 11 2 2 5" xfId="7294"/>
    <cellStyle name="Финансовый 2 3 11 2 3" xfId="1964"/>
    <cellStyle name="Финансовый 2 3 11 2 3 2" xfId="3609"/>
    <cellStyle name="Финансовый 2 3 11 2 3 3" xfId="5392"/>
    <cellStyle name="Финансовый 2 3 11 2 3 4" xfId="8002"/>
    <cellStyle name="Финансовый 2 3 11 2 4" xfId="2485"/>
    <cellStyle name="Финансовый 2 3 11 2 4 2" xfId="4130"/>
    <cellStyle name="Финансовый 2 3 11 2 4 3" xfId="5913"/>
    <cellStyle name="Финансовый 2 3 11 2 4 4" xfId="8523"/>
    <cellStyle name="Финансовый 2 3 11 2 5" xfId="989"/>
    <cellStyle name="Финансовый 2 3 11 2 5 2" xfId="7029"/>
    <cellStyle name="Финансовый 2 3 11 2 6" xfId="577"/>
    <cellStyle name="Финансовый 2 3 11 2 6 2" xfId="6617"/>
    <cellStyle name="Финансовый 2 3 11 2 7" xfId="2766"/>
    <cellStyle name="Финансовый 2 3 11 2 8" xfId="4410"/>
    <cellStyle name="Финансовый 2 3 11 2 9" xfId="6197"/>
    <cellStyle name="Финансовый 2 3 11 3" xfId="305"/>
    <cellStyle name="Финансовый 2 3 11 3 2" xfId="2092"/>
    <cellStyle name="Финансовый 2 3 11 3 2 2" xfId="3737"/>
    <cellStyle name="Финансовый 2 3 11 3 2 3" xfId="5520"/>
    <cellStyle name="Финансовый 2 3 11 3 2 4" xfId="8130"/>
    <cellStyle name="Финансовый 2 3 11 3 3" xfId="1125"/>
    <cellStyle name="Финансовый 2 3 11 3 3 2" xfId="7165"/>
    <cellStyle name="Финансовый 2 3 11 3 4" xfId="725"/>
    <cellStyle name="Финансовый 2 3 11 3 4 2" xfId="6765"/>
    <cellStyle name="Финансовый 2 3 11 3 5" xfId="2902"/>
    <cellStyle name="Финансовый 2 3 11 3 6" xfId="4546"/>
    <cellStyle name="Финансовый 2 3 11 3 7" xfId="6345"/>
    <cellStyle name="Финансовый 2 3 11 4" xfId="1447"/>
    <cellStyle name="Финансовый 2 3 11 4 2" xfId="1828"/>
    <cellStyle name="Финансовый 2 3 11 4 2 2" xfId="3473"/>
    <cellStyle name="Финансовый 2 3 11 4 2 3" xfId="5256"/>
    <cellStyle name="Финансовый 2 3 11 4 2 4" xfId="7866"/>
    <cellStyle name="Финансовый 2 3 11 4 3" xfId="4875"/>
    <cellStyle name="Финансовый 2 3 11 4 4" xfId="7485"/>
    <cellStyle name="Финансовый 2 3 11 5" xfId="1712"/>
    <cellStyle name="Финансовый 2 3 11 5 2" xfId="3357"/>
    <cellStyle name="Финансовый 2 3 11 5 3" xfId="5140"/>
    <cellStyle name="Финансовый 2 3 11 5 4" xfId="7750"/>
    <cellStyle name="Финансовый 2 3 11 6" xfId="2348"/>
    <cellStyle name="Финансовый 2 3 11 6 2" xfId="3993"/>
    <cellStyle name="Финансовый 2 3 11 6 3" xfId="5776"/>
    <cellStyle name="Финансовый 2 3 11 6 4" xfId="8386"/>
    <cellStyle name="Финансовый 2 3 11 7" xfId="1575"/>
    <cellStyle name="Финансовый 2 3 11 7 2" xfId="3220"/>
    <cellStyle name="Финансовый 2 3 11 7 3" xfId="5003"/>
    <cellStyle name="Финансовый 2 3 11 7 4" xfId="7613"/>
    <cellStyle name="Финансовый 2 3 11 8" xfId="861"/>
    <cellStyle name="Финансовый 2 3 11 8 2" xfId="6901"/>
    <cellStyle name="Финансовый 2 3 11 9" xfId="441"/>
    <cellStyle name="Финансовый 2 3 11 9 2" xfId="6481"/>
    <cellStyle name="Финансовый 2 3 12" xfId="144"/>
    <cellStyle name="Финансовый 2 3 12 2" xfId="1242"/>
    <cellStyle name="Финансовый 2 3 12 2 2" xfId="2208"/>
    <cellStyle name="Финансовый 2 3 12 2 2 2" xfId="3853"/>
    <cellStyle name="Финансовый 2 3 12 2 2 3" xfId="5636"/>
    <cellStyle name="Финансовый 2 3 12 2 2 4" xfId="8246"/>
    <cellStyle name="Финансовый 2 3 12 2 3" xfId="3026"/>
    <cellStyle name="Финансовый 2 3 12 2 4" xfId="4670"/>
    <cellStyle name="Финансовый 2 3 12 2 5" xfId="7282"/>
    <cellStyle name="Финансовый 2 3 12 3" xfId="1952"/>
    <cellStyle name="Финансовый 2 3 12 3 2" xfId="3597"/>
    <cellStyle name="Финансовый 2 3 12 3 3" xfId="5380"/>
    <cellStyle name="Финансовый 2 3 12 3 4" xfId="7990"/>
    <cellStyle name="Финансовый 2 3 12 4" xfId="2473"/>
    <cellStyle name="Финансовый 2 3 12 4 2" xfId="4118"/>
    <cellStyle name="Финансовый 2 3 12 4 3" xfId="5901"/>
    <cellStyle name="Финансовый 2 3 12 4 4" xfId="8511"/>
    <cellStyle name="Финансовый 2 3 12 5" xfId="977"/>
    <cellStyle name="Финансовый 2 3 12 5 2" xfId="7017"/>
    <cellStyle name="Финансовый 2 3 12 6" xfId="565"/>
    <cellStyle name="Финансовый 2 3 12 6 2" xfId="6605"/>
    <cellStyle name="Финансовый 2 3 12 7" xfId="2754"/>
    <cellStyle name="Финансовый 2 3 12 8" xfId="4398"/>
    <cellStyle name="Финансовый 2 3 12 9" xfId="6185"/>
    <cellStyle name="Финансовый 2 3 13" xfId="280"/>
    <cellStyle name="Финансовый 2 3 13 2" xfId="2080"/>
    <cellStyle name="Финансовый 2 3 13 2 2" xfId="3725"/>
    <cellStyle name="Финансовый 2 3 13 2 3" xfId="5508"/>
    <cellStyle name="Финансовый 2 3 13 2 4" xfId="8118"/>
    <cellStyle name="Финансовый 2 3 13 3" xfId="1378"/>
    <cellStyle name="Финансовый 2 3 13 3 2" xfId="7418"/>
    <cellStyle name="Финансовый 2 3 13 4" xfId="701"/>
    <cellStyle name="Финансовый 2 3 13 4 2" xfId="6741"/>
    <cellStyle name="Финансовый 2 3 13 5" xfId="3162"/>
    <cellStyle name="Финансовый 2 3 13 6" xfId="4806"/>
    <cellStyle name="Финансовый 2 3 13 7" xfId="6321"/>
    <cellStyle name="Финансовый 2 3 14" xfId="293"/>
    <cellStyle name="Финансовый 2 3 14 2" xfId="1113"/>
    <cellStyle name="Финансовый 2 3 14 2 2" xfId="7153"/>
    <cellStyle name="Финансовый 2 3 14 3" xfId="713"/>
    <cellStyle name="Финансовый 2 3 14 3 2" xfId="6753"/>
    <cellStyle name="Финансовый 2 3 14 4" xfId="2890"/>
    <cellStyle name="Финансовый 2 3 14 5" xfId="4534"/>
    <cellStyle name="Финансовый 2 3 14 6" xfId="6333"/>
    <cellStyle name="Финансовый 2 3 15" xfId="1477"/>
    <cellStyle name="Финансовый 2 3 15 2" xfId="1700"/>
    <cellStyle name="Финансовый 2 3 15 2 2" xfId="3345"/>
    <cellStyle name="Финансовый 2 3 15 2 3" xfId="5128"/>
    <cellStyle name="Финансовый 2 3 15 2 4" xfId="7738"/>
    <cellStyle name="Финансовый 2 3 15 3" xfId="4905"/>
    <cellStyle name="Финансовый 2 3 15 4" xfId="7515"/>
    <cellStyle name="Финансовый 2 3 16" xfId="2336"/>
    <cellStyle name="Финансовый 2 3 16 2" xfId="3981"/>
    <cellStyle name="Финансовый 2 3 16 3" xfId="5764"/>
    <cellStyle name="Финансовый 2 3 16 4" xfId="8374"/>
    <cellStyle name="Финансовый 2 3 17" xfId="1563"/>
    <cellStyle name="Финансовый 2 3 17 2" xfId="3208"/>
    <cellStyle name="Финансовый 2 3 17 3" xfId="4991"/>
    <cellStyle name="Финансовый 2 3 17 4" xfId="7601"/>
    <cellStyle name="Финансовый 2 3 18" xfId="849"/>
    <cellStyle name="Финансовый 2 3 18 2" xfId="6889"/>
    <cellStyle name="Финансовый 2 3 19" xfId="429"/>
    <cellStyle name="Финансовый 2 3 19 2" xfId="6469"/>
    <cellStyle name="Финансовый 2 3 2" xfId="12"/>
    <cellStyle name="Финансовый 2 3 2 10" xfId="286"/>
    <cellStyle name="Финансовый 2 3 2 10 2" xfId="2086"/>
    <cellStyle name="Финансовый 2 3 2 10 2 2" xfId="3731"/>
    <cellStyle name="Финансовый 2 3 2 10 2 3" xfId="5514"/>
    <cellStyle name="Финансовый 2 3 2 10 2 4" xfId="8124"/>
    <cellStyle name="Финансовый 2 3 2 10 3" xfId="1384"/>
    <cellStyle name="Финансовый 2 3 2 10 3 2" xfId="7424"/>
    <cellStyle name="Финансовый 2 3 2 10 4" xfId="707"/>
    <cellStyle name="Финансовый 2 3 2 10 4 2" xfId="6747"/>
    <cellStyle name="Финансовый 2 3 2 10 5" xfId="3168"/>
    <cellStyle name="Финансовый 2 3 2 10 6" xfId="4812"/>
    <cellStyle name="Финансовый 2 3 2 10 7" xfId="6327"/>
    <cellStyle name="Финансовый 2 3 2 11" xfId="299"/>
    <cellStyle name="Финансовый 2 3 2 11 2" xfId="1119"/>
    <cellStyle name="Финансовый 2 3 2 11 2 2" xfId="7159"/>
    <cellStyle name="Финансовый 2 3 2 11 3" xfId="719"/>
    <cellStyle name="Финансовый 2 3 2 11 3 2" xfId="6759"/>
    <cellStyle name="Финансовый 2 3 2 11 4" xfId="2896"/>
    <cellStyle name="Финансовый 2 3 2 11 5" xfId="4540"/>
    <cellStyle name="Финансовый 2 3 2 11 6" xfId="6339"/>
    <cellStyle name="Финансовый 2 3 2 12" xfId="1480"/>
    <cellStyle name="Финансовый 2 3 2 12 2" xfId="1706"/>
    <cellStyle name="Финансовый 2 3 2 12 2 2" xfId="3351"/>
    <cellStyle name="Финансовый 2 3 2 12 2 3" xfId="5134"/>
    <cellStyle name="Финансовый 2 3 2 12 2 4" xfId="7744"/>
    <cellStyle name="Финансовый 2 3 2 12 3" xfId="4908"/>
    <cellStyle name="Финансовый 2 3 2 12 4" xfId="7518"/>
    <cellStyle name="Финансовый 2 3 2 13" xfId="2342"/>
    <cellStyle name="Финансовый 2 3 2 13 2" xfId="3987"/>
    <cellStyle name="Финансовый 2 3 2 13 3" xfId="5770"/>
    <cellStyle name="Финансовый 2 3 2 13 4" xfId="8380"/>
    <cellStyle name="Финансовый 2 3 2 14" xfId="1569"/>
    <cellStyle name="Финансовый 2 3 2 14 2" xfId="3214"/>
    <cellStyle name="Финансовый 2 3 2 14 3" xfId="4997"/>
    <cellStyle name="Финансовый 2 3 2 14 4" xfId="7607"/>
    <cellStyle name="Финансовый 2 3 2 15" xfId="855"/>
    <cellStyle name="Финансовый 2 3 2 15 2" xfId="6895"/>
    <cellStyle name="Финансовый 2 3 2 16" xfId="435"/>
    <cellStyle name="Финансовый 2 3 2 16 2" xfId="6475"/>
    <cellStyle name="Финансовый 2 3 2 17" xfId="2624"/>
    <cellStyle name="Финансовый 2 3 2 18" xfId="4267"/>
    <cellStyle name="Финансовый 2 3 2 19" xfId="6055"/>
    <cellStyle name="Финансовый 2 3 2 2" xfId="48"/>
    <cellStyle name="Финансовый 2 3 2 2 10" xfId="471"/>
    <cellStyle name="Финансовый 2 3 2 2 10 2" xfId="6511"/>
    <cellStyle name="Финансовый 2 3 2 2 11" xfId="2660"/>
    <cellStyle name="Финансовый 2 3 2 2 12" xfId="4303"/>
    <cellStyle name="Финансовый 2 3 2 2 13" xfId="6091"/>
    <cellStyle name="Финансовый 2 3 2 2 2" xfId="106"/>
    <cellStyle name="Финансовый 2 3 2 2 2 10" xfId="2716"/>
    <cellStyle name="Финансовый 2 3 2 2 2 11" xfId="4360"/>
    <cellStyle name="Финансовый 2 3 2 2 2 12" xfId="6147"/>
    <cellStyle name="Финансовый 2 3 2 2 2 2" xfId="242"/>
    <cellStyle name="Финансовый 2 3 2 2 2 2 2" xfId="1340"/>
    <cellStyle name="Финансовый 2 3 2 2 2 2 2 2" xfId="2298"/>
    <cellStyle name="Финансовый 2 3 2 2 2 2 2 2 2" xfId="3943"/>
    <cellStyle name="Финансовый 2 3 2 2 2 2 2 2 3" xfId="5726"/>
    <cellStyle name="Финансовый 2 3 2 2 2 2 2 2 4" xfId="8336"/>
    <cellStyle name="Финансовый 2 3 2 2 2 2 2 3" xfId="3124"/>
    <cellStyle name="Финансовый 2 3 2 2 2 2 2 4" xfId="4768"/>
    <cellStyle name="Финансовый 2 3 2 2 2 2 2 5" xfId="7380"/>
    <cellStyle name="Финансовый 2 3 2 2 2 2 3" xfId="2042"/>
    <cellStyle name="Финансовый 2 3 2 2 2 2 3 2" xfId="3687"/>
    <cellStyle name="Финансовый 2 3 2 2 2 2 3 3" xfId="5470"/>
    <cellStyle name="Финансовый 2 3 2 2 2 2 3 4" xfId="8080"/>
    <cellStyle name="Финансовый 2 3 2 2 2 2 4" xfId="2571"/>
    <cellStyle name="Финансовый 2 3 2 2 2 2 4 2" xfId="4216"/>
    <cellStyle name="Финансовый 2 3 2 2 2 2 4 3" xfId="5999"/>
    <cellStyle name="Финансовый 2 3 2 2 2 2 4 4" xfId="8609"/>
    <cellStyle name="Финансовый 2 3 2 2 2 2 5" xfId="1075"/>
    <cellStyle name="Финансовый 2 3 2 2 2 2 5 2" xfId="7115"/>
    <cellStyle name="Финансовый 2 3 2 2 2 2 6" xfId="663"/>
    <cellStyle name="Финансовый 2 3 2 2 2 2 6 2" xfId="6703"/>
    <cellStyle name="Финансовый 2 3 2 2 2 2 7" xfId="2852"/>
    <cellStyle name="Финансовый 2 3 2 2 2 2 8" xfId="4496"/>
    <cellStyle name="Финансовый 2 3 2 2 2 2 9" xfId="6283"/>
    <cellStyle name="Финансовый 2 3 2 2 2 3" xfId="391"/>
    <cellStyle name="Финансовый 2 3 2 2 2 3 2" xfId="2170"/>
    <cellStyle name="Финансовый 2 3 2 2 2 3 2 2" xfId="3815"/>
    <cellStyle name="Финансовый 2 3 2 2 2 3 2 3" xfId="5598"/>
    <cellStyle name="Финансовый 2 3 2 2 2 3 2 4" xfId="8208"/>
    <cellStyle name="Финансовый 2 3 2 2 2 3 3" xfId="1204"/>
    <cellStyle name="Финансовый 2 3 2 2 2 3 3 2" xfId="7244"/>
    <cellStyle name="Финансовый 2 3 2 2 2 3 4" xfId="811"/>
    <cellStyle name="Финансовый 2 3 2 2 2 3 4 2" xfId="6851"/>
    <cellStyle name="Финансовый 2 3 2 2 2 3 5" xfId="2988"/>
    <cellStyle name="Финансовый 2 3 2 2 2 3 6" xfId="4632"/>
    <cellStyle name="Финансовый 2 3 2 2 2 3 7" xfId="6431"/>
    <cellStyle name="Финансовый 2 3 2 2 2 4" xfId="1482"/>
    <cellStyle name="Финансовый 2 3 2 2 2 4 2" xfId="1914"/>
    <cellStyle name="Финансовый 2 3 2 2 2 4 2 2" xfId="3559"/>
    <cellStyle name="Финансовый 2 3 2 2 2 4 2 3" xfId="5342"/>
    <cellStyle name="Финансовый 2 3 2 2 2 4 2 4" xfId="7952"/>
    <cellStyle name="Финансовый 2 3 2 2 2 4 3" xfId="4910"/>
    <cellStyle name="Финансовый 2 3 2 2 2 4 4" xfId="7520"/>
    <cellStyle name="Финансовый 2 3 2 2 2 5" xfId="1790"/>
    <cellStyle name="Финансовый 2 3 2 2 2 5 2" xfId="3435"/>
    <cellStyle name="Финансовый 2 3 2 2 2 5 3" xfId="5218"/>
    <cellStyle name="Финансовый 2 3 2 2 2 5 4" xfId="7828"/>
    <cellStyle name="Финансовый 2 3 2 2 2 6" xfId="2435"/>
    <cellStyle name="Финансовый 2 3 2 2 2 6 2" xfId="4080"/>
    <cellStyle name="Финансовый 2 3 2 2 2 6 3" xfId="5863"/>
    <cellStyle name="Финансовый 2 3 2 2 2 6 4" xfId="8473"/>
    <cellStyle name="Финансовый 2 3 2 2 2 7" xfId="1662"/>
    <cellStyle name="Финансовый 2 3 2 2 2 7 2" xfId="3307"/>
    <cellStyle name="Финансовый 2 3 2 2 2 7 3" xfId="5090"/>
    <cellStyle name="Финансовый 2 3 2 2 2 7 4" xfId="7700"/>
    <cellStyle name="Финансовый 2 3 2 2 2 8" xfId="939"/>
    <cellStyle name="Финансовый 2 3 2 2 2 8 2" xfId="6979"/>
    <cellStyle name="Финансовый 2 3 2 2 2 9" xfId="527"/>
    <cellStyle name="Финансовый 2 3 2 2 2 9 2" xfId="6567"/>
    <cellStyle name="Финансовый 2 3 2 2 3" xfId="186"/>
    <cellStyle name="Финансовый 2 3 2 2 3 2" xfId="1284"/>
    <cellStyle name="Финансовый 2 3 2 2 3 2 2" xfId="2250"/>
    <cellStyle name="Финансовый 2 3 2 2 3 2 2 2" xfId="3895"/>
    <cellStyle name="Финансовый 2 3 2 2 3 2 2 3" xfId="5678"/>
    <cellStyle name="Финансовый 2 3 2 2 3 2 2 4" xfId="8288"/>
    <cellStyle name="Финансовый 2 3 2 2 3 2 3" xfId="3068"/>
    <cellStyle name="Финансовый 2 3 2 2 3 2 4" xfId="4712"/>
    <cellStyle name="Финансовый 2 3 2 2 3 2 5" xfId="7324"/>
    <cellStyle name="Финансовый 2 3 2 2 3 3" xfId="1994"/>
    <cellStyle name="Финансовый 2 3 2 2 3 3 2" xfId="3639"/>
    <cellStyle name="Финансовый 2 3 2 2 3 3 3" xfId="5422"/>
    <cellStyle name="Финансовый 2 3 2 2 3 3 4" xfId="8032"/>
    <cellStyle name="Финансовый 2 3 2 2 3 4" xfId="2515"/>
    <cellStyle name="Финансовый 2 3 2 2 3 4 2" xfId="4160"/>
    <cellStyle name="Финансовый 2 3 2 2 3 4 3" xfId="5943"/>
    <cellStyle name="Финансовый 2 3 2 2 3 4 4" xfId="8553"/>
    <cellStyle name="Финансовый 2 3 2 2 3 5" xfId="1019"/>
    <cellStyle name="Финансовый 2 3 2 2 3 5 2" xfId="7059"/>
    <cellStyle name="Финансовый 2 3 2 2 3 6" xfId="607"/>
    <cellStyle name="Финансовый 2 3 2 2 3 6 2" xfId="6647"/>
    <cellStyle name="Финансовый 2 3 2 2 3 7" xfId="2796"/>
    <cellStyle name="Финансовый 2 3 2 2 3 8" xfId="4440"/>
    <cellStyle name="Финансовый 2 3 2 2 3 9" xfId="6227"/>
    <cellStyle name="Финансовый 2 3 2 2 4" xfId="335"/>
    <cellStyle name="Финансовый 2 3 2 2 4 2" xfId="2122"/>
    <cellStyle name="Финансовый 2 3 2 2 4 2 2" xfId="3767"/>
    <cellStyle name="Финансовый 2 3 2 2 4 2 3" xfId="5550"/>
    <cellStyle name="Финансовый 2 3 2 2 4 2 4" xfId="8160"/>
    <cellStyle name="Финансовый 2 3 2 2 4 3" xfId="1155"/>
    <cellStyle name="Финансовый 2 3 2 2 4 3 2" xfId="7195"/>
    <cellStyle name="Финансовый 2 3 2 2 4 4" xfId="755"/>
    <cellStyle name="Финансовый 2 3 2 2 4 4 2" xfId="6795"/>
    <cellStyle name="Финансовый 2 3 2 2 4 5" xfId="2932"/>
    <cellStyle name="Финансовый 2 3 2 2 4 6" xfId="4576"/>
    <cellStyle name="Финансовый 2 3 2 2 4 7" xfId="6375"/>
    <cellStyle name="Финансовый 2 3 2 2 5" xfId="1481"/>
    <cellStyle name="Финансовый 2 3 2 2 5 2" xfId="1858"/>
    <cellStyle name="Финансовый 2 3 2 2 5 2 2" xfId="3503"/>
    <cellStyle name="Финансовый 2 3 2 2 5 2 3" xfId="5286"/>
    <cellStyle name="Финансовый 2 3 2 2 5 2 4" xfId="7896"/>
    <cellStyle name="Финансовый 2 3 2 2 5 3" xfId="4909"/>
    <cellStyle name="Финансовый 2 3 2 2 5 4" xfId="7519"/>
    <cellStyle name="Финансовый 2 3 2 2 6" xfId="1742"/>
    <cellStyle name="Финансовый 2 3 2 2 6 2" xfId="3387"/>
    <cellStyle name="Финансовый 2 3 2 2 6 3" xfId="5170"/>
    <cellStyle name="Финансовый 2 3 2 2 6 4" xfId="7780"/>
    <cellStyle name="Финансовый 2 3 2 2 7" xfId="2378"/>
    <cellStyle name="Финансовый 2 3 2 2 7 2" xfId="4023"/>
    <cellStyle name="Финансовый 2 3 2 2 7 3" xfId="5806"/>
    <cellStyle name="Финансовый 2 3 2 2 7 4" xfId="8416"/>
    <cellStyle name="Финансовый 2 3 2 2 8" xfId="1605"/>
    <cellStyle name="Финансовый 2 3 2 2 8 2" xfId="3250"/>
    <cellStyle name="Финансовый 2 3 2 2 8 3" xfId="5033"/>
    <cellStyle name="Финансовый 2 3 2 2 8 4" xfId="7643"/>
    <cellStyle name="Финансовый 2 3 2 2 9" xfId="891"/>
    <cellStyle name="Финансовый 2 3 2 2 9 2" xfId="6931"/>
    <cellStyle name="Финансовый 2 3 2 3" xfId="118"/>
    <cellStyle name="Финансовый 2 3 2 3 10" xfId="2728"/>
    <cellStyle name="Финансовый 2 3 2 3 11" xfId="4372"/>
    <cellStyle name="Финансовый 2 3 2 3 12" xfId="6159"/>
    <cellStyle name="Финансовый 2 3 2 3 2" xfId="254"/>
    <cellStyle name="Финансовый 2 3 2 3 2 2" xfId="1352"/>
    <cellStyle name="Финансовый 2 3 2 3 2 2 2" xfId="2310"/>
    <cellStyle name="Финансовый 2 3 2 3 2 2 2 2" xfId="3955"/>
    <cellStyle name="Финансовый 2 3 2 3 2 2 2 3" xfId="5738"/>
    <cellStyle name="Финансовый 2 3 2 3 2 2 2 4" xfId="8348"/>
    <cellStyle name="Финансовый 2 3 2 3 2 2 3" xfId="3136"/>
    <cellStyle name="Финансовый 2 3 2 3 2 2 4" xfId="4780"/>
    <cellStyle name="Финансовый 2 3 2 3 2 2 5" xfId="7392"/>
    <cellStyle name="Финансовый 2 3 2 3 2 3" xfId="2054"/>
    <cellStyle name="Финансовый 2 3 2 3 2 3 2" xfId="3699"/>
    <cellStyle name="Финансовый 2 3 2 3 2 3 3" xfId="5482"/>
    <cellStyle name="Финансовый 2 3 2 3 2 3 4" xfId="8092"/>
    <cellStyle name="Финансовый 2 3 2 3 2 4" xfId="2583"/>
    <cellStyle name="Финансовый 2 3 2 3 2 4 2" xfId="4228"/>
    <cellStyle name="Финансовый 2 3 2 3 2 4 3" xfId="6011"/>
    <cellStyle name="Финансовый 2 3 2 3 2 4 4" xfId="8621"/>
    <cellStyle name="Финансовый 2 3 2 3 2 5" xfId="1087"/>
    <cellStyle name="Финансовый 2 3 2 3 2 5 2" xfId="7127"/>
    <cellStyle name="Финансовый 2 3 2 3 2 6" xfId="675"/>
    <cellStyle name="Финансовый 2 3 2 3 2 6 2" xfId="6715"/>
    <cellStyle name="Финансовый 2 3 2 3 2 7" xfId="2864"/>
    <cellStyle name="Финансовый 2 3 2 3 2 8" xfId="4508"/>
    <cellStyle name="Финансовый 2 3 2 3 2 9" xfId="6295"/>
    <cellStyle name="Финансовый 2 3 2 3 3" xfId="403"/>
    <cellStyle name="Финансовый 2 3 2 3 3 2" xfId="2182"/>
    <cellStyle name="Финансовый 2 3 2 3 3 2 2" xfId="3827"/>
    <cellStyle name="Финансовый 2 3 2 3 3 2 3" xfId="5610"/>
    <cellStyle name="Финансовый 2 3 2 3 3 2 4" xfId="8220"/>
    <cellStyle name="Финансовый 2 3 2 3 3 3" xfId="1216"/>
    <cellStyle name="Финансовый 2 3 2 3 3 3 2" xfId="7256"/>
    <cellStyle name="Финансовый 2 3 2 3 3 4" xfId="823"/>
    <cellStyle name="Финансовый 2 3 2 3 3 4 2" xfId="6863"/>
    <cellStyle name="Финансовый 2 3 2 3 3 5" xfId="3000"/>
    <cellStyle name="Финансовый 2 3 2 3 3 6" xfId="4644"/>
    <cellStyle name="Финансовый 2 3 2 3 3 7" xfId="6443"/>
    <cellStyle name="Финансовый 2 3 2 3 4" xfId="1483"/>
    <cellStyle name="Финансовый 2 3 2 3 4 2" xfId="1926"/>
    <cellStyle name="Финансовый 2 3 2 3 4 2 2" xfId="3571"/>
    <cellStyle name="Финансовый 2 3 2 3 4 2 3" xfId="5354"/>
    <cellStyle name="Финансовый 2 3 2 3 4 2 4" xfId="7964"/>
    <cellStyle name="Финансовый 2 3 2 3 4 3" xfId="4911"/>
    <cellStyle name="Финансовый 2 3 2 3 4 4" xfId="7521"/>
    <cellStyle name="Финансовый 2 3 2 3 5" xfId="1802"/>
    <cellStyle name="Финансовый 2 3 2 3 5 2" xfId="3447"/>
    <cellStyle name="Финансовый 2 3 2 3 5 3" xfId="5230"/>
    <cellStyle name="Финансовый 2 3 2 3 5 4" xfId="7840"/>
    <cellStyle name="Финансовый 2 3 2 3 6" xfId="2447"/>
    <cellStyle name="Финансовый 2 3 2 3 6 2" xfId="4092"/>
    <cellStyle name="Финансовый 2 3 2 3 6 3" xfId="5875"/>
    <cellStyle name="Финансовый 2 3 2 3 6 4" xfId="8485"/>
    <cellStyle name="Финансовый 2 3 2 3 7" xfId="1674"/>
    <cellStyle name="Финансовый 2 3 2 3 7 2" xfId="3319"/>
    <cellStyle name="Финансовый 2 3 2 3 7 3" xfId="5102"/>
    <cellStyle name="Финансовый 2 3 2 3 7 4" xfId="7712"/>
    <cellStyle name="Финансовый 2 3 2 3 8" xfId="951"/>
    <cellStyle name="Финансовый 2 3 2 3 8 2" xfId="6991"/>
    <cellStyle name="Финансовый 2 3 2 3 9" xfId="539"/>
    <cellStyle name="Финансовый 2 3 2 3 9 2" xfId="6579"/>
    <cellStyle name="Финансовый 2 3 2 4" xfId="82"/>
    <cellStyle name="Финансовый 2 3 2 4 10" xfId="2692"/>
    <cellStyle name="Финансовый 2 3 2 4 11" xfId="4336"/>
    <cellStyle name="Финансовый 2 3 2 4 12" xfId="6123"/>
    <cellStyle name="Финансовый 2 3 2 4 2" xfId="218"/>
    <cellStyle name="Финансовый 2 3 2 4 2 2" xfId="1316"/>
    <cellStyle name="Финансовый 2 3 2 4 2 2 2" xfId="2274"/>
    <cellStyle name="Финансовый 2 3 2 4 2 2 2 2" xfId="3919"/>
    <cellStyle name="Финансовый 2 3 2 4 2 2 2 3" xfId="5702"/>
    <cellStyle name="Финансовый 2 3 2 4 2 2 2 4" xfId="8312"/>
    <cellStyle name="Финансовый 2 3 2 4 2 2 3" xfId="3100"/>
    <cellStyle name="Финансовый 2 3 2 4 2 2 4" xfId="4744"/>
    <cellStyle name="Финансовый 2 3 2 4 2 2 5" xfId="7356"/>
    <cellStyle name="Финансовый 2 3 2 4 2 3" xfId="2018"/>
    <cellStyle name="Финансовый 2 3 2 4 2 3 2" xfId="3663"/>
    <cellStyle name="Финансовый 2 3 2 4 2 3 3" xfId="5446"/>
    <cellStyle name="Финансовый 2 3 2 4 2 3 4" xfId="8056"/>
    <cellStyle name="Финансовый 2 3 2 4 2 4" xfId="2547"/>
    <cellStyle name="Финансовый 2 3 2 4 2 4 2" xfId="4192"/>
    <cellStyle name="Финансовый 2 3 2 4 2 4 3" xfId="5975"/>
    <cellStyle name="Финансовый 2 3 2 4 2 4 4" xfId="8585"/>
    <cellStyle name="Финансовый 2 3 2 4 2 5" xfId="1051"/>
    <cellStyle name="Финансовый 2 3 2 4 2 5 2" xfId="7091"/>
    <cellStyle name="Финансовый 2 3 2 4 2 6" xfId="639"/>
    <cellStyle name="Финансовый 2 3 2 4 2 6 2" xfId="6679"/>
    <cellStyle name="Финансовый 2 3 2 4 2 7" xfId="2828"/>
    <cellStyle name="Финансовый 2 3 2 4 2 8" xfId="4472"/>
    <cellStyle name="Финансовый 2 3 2 4 2 9" xfId="6259"/>
    <cellStyle name="Финансовый 2 3 2 4 3" xfId="367"/>
    <cellStyle name="Финансовый 2 3 2 4 3 2" xfId="2146"/>
    <cellStyle name="Финансовый 2 3 2 4 3 2 2" xfId="3791"/>
    <cellStyle name="Финансовый 2 3 2 4 3 2 3" xfId="5574"/>
    <cellStyle name="Финансовый 2 3 2 4 3 2 4" xfId="8184"/>
    <cellStyle name="Финансовый 2 3 2 4 3 3" xfId="1180"/>
    <cellStyle name="Финансовый 2 3 2 4 3 3 2" xfId="7220"/>
    <cellStyle name="Финансовый 2 3 2 4 3 4" xfId="787"/>
    <cellStyle name="Финансовый 2 3 2 4 3 4 2" xfId="6827"/>
    <cellStyle name="Финансовый 2 3 2 4 3 5" xfId="2964"/>
    <cellStyle name="Финансовый 2 3 2 4 3 6" xfId="4608"/>
    <cellStyle name="Финансовый 2 3 2 4 3 7" xfId="6407"/>
    <cellStyle name="Финансовый 2 3 2 4 4" xfId="1484"/>
    <cellStyle name="Финансовый 2 3 2 4 4 2" xfId="1890"/>
    <cellStyle name="Финансовый 2 3 2 4 4 2 2" xfId="3535"/>
    <cellStyle name="Финансовый 2 3 2 4 4 2 3" xfId="5318"/>
    <cellStyle name="Финансовый 2 3 2 4 4 2 4" xfId="7928"/>
    <cellStyle name="Финансовый 2 3 2 4 4 3" xfId="4912"/>
    <cellStyle name="Финансовый 2 3 2 4 4 4" xfId="7522"/>
    <cellStyle name="Финансовый 2 3 2 4 5" xfId="1766"/>
    <cellStyle name="Финансовый 2 3 2 4 5 2" xfId="3411"/>
    <cellStyle name="Финансовый 2 3 2 4 5 3" xfId="5194"/>
    <cellStyle name="Финансовый 2 3 2 4 5 4" xfId="7804"/>
    <cellStyle name="Финансовый 2 3 2 4 6" xfId="2411"/>
    <cellStyle name="Финансовый 2 3 2 4 6 2" xfId="4056"/>
    <cellStyle name="Финансовый 2 3 2 4 6 3" xfId="5839"/>
    <cellStyle name="Финансовый 2 3 2 4 6 4" xfId="8449"/>
    <cellStyle name="Финансовый 2 3 2 4 7" xfId="1638"/>
    <cellStyle name="Финансовый 2 3 2 4 7 2" xfId="3283"/>
    <cellStyle name="Финансовый 2 3 2 4 7 3" xfId="5066"/>
    <cellStyle name="Финансовый 2 3 2 4 7 4" xfId="7676"/>
    <cellStyle name="Финансовый 2 3 2 4 8" xfId="915"/>
    <cellStyle name="Финансовый 2 3 2 4 8 2" xfId="6955"/>
    <cellStyle name="Финансовый 2 3 2 4 9" xfId="503"/>
    <cellStyle name="Финансовый 2 3 2 4 9 2" xfId="6543"/>
    <cellStyle name="Финансовый 2 3 2 5" xfId="60"/>
    <cellStyle name="Финансовый 2 3 2 5 10" xfId="2672"/>
    <cellStyle name="Финансовый 2 3 2 5 11" xfId="4315"/>
    <cellStyle name="Финансовый 2 3 2 5 12" xfId="6103"/>
    <cellStyle name="Финансовый 2 3 2 5 2" xfId="198"/>
    <cellStyle name="Финансовый 2 3 2 5 2 2" xfId="1296"/>
    <cellStyle name="Финансовый 2 3 2 5 2 2 2" xfId="2262"/>
    <cellStyle name="Финансовый 2 3 2 5 2 2 2 2" xfId="3907"/>
    <cellStyle name="Финансовый 2 3 2 5 2 2 2 3" xfId="5690"/>
    <cellStyle name="Финансовый 2 3 2 5 2 2 2 4" xfId="8300"/>
    <cellStyle name="Финансовый 2 3 2 5 2 2 3" xfId="3080"/>
    <cellStyle name="Финансовый 2 3 2 5 2 2 4" xfId="4724"/>
    <cellStyle name="Финансовый 2 3 2 5 2 2 5" xfId="7336"/>
    <cellStyle name="Финансовый 2 3 2 5 2 3" xfId="2006"/>
    <cellStyle name="Финансовый 2 3 2 5 2 3 2" xfId="3651"/>
    <cellStyle name="Финансовый 2 3 2 5 2 3 3" xfId="5434"/>
    <cellStyle name="Финансовый 2 3 2 5 2 3 4" xfId="8044"/>
    <cellStyle name="Финансовый 2 3 2 5 2 4" xfId="2527"/>
    <cellStyle name="Финансовый 2 3 2 5 2 4 2" xfId="4172"/>
    <cellStyle name="Финансовый 2 3 2 5 2 4 3" xfId="5955"/>
    <cellStyle name="Финансовый 2 3 2 5 2 4 4" xfId="8565"/>
    <cellStyle name="Финансовый 2 3 2 5 2 5" xfId="1031"/>
    <cellStyle name="Финансовый 2 3 2 5 2 5 2" xfId="7071"/>
    <cellStyle name="Финансовый 2 3 2 5 2 6" xfId="619"/>
    <cellStyle name="Финансовый 2 3 2 5 2 6 2" xfId="6659"/>
    <cellStyle name="Финансовый 2 3 2 5 2 7" xfId="2808"/>
    <cellStyle name="Финансовый 2 3 2 5 2 8" xfId="4452"/>
    <cellStyle name="Финансовый 2 3 2 5 2 9" xfId="6239"/>
    <cellStyle name="Финансовый 2 3 2 5 3" xfId="347"/>
    <cellStyle name="Финансовый 2 3 2 5 3 2" xfId="2134"/>
    <cellStyle name="Финансовый 2 3 2 5 3 2 2" xfId="3779"/>
    <cellStyle name="Финансовый 2 3 2 5 3 2 3" xfId="5562"/>
    <cellStyle name="Финансовый 2 3 2 5 3 2 4" xfId="8172"/>
    <cellStyle name="Финансовый 2 3 2 5 3 3" xfId="1167"/>
    <cellStyle name="Финансовый 2 3 2 5 3 3 2" xfId="7207"/>
    <cellStyle name="Финансовый 2 3 2 5 3 4" xfId="767"/>
    <cellStyle name="Финансовый 2 3 2 5 3 4 2" xfId="6807"/>
    <cellStyle name="Финансовый 2 3 2 5 3 5" xfId="2944"/>
    <cellStyle name="Финансовый 2 3 2 5 3 6" xfId="4588"/>
    <cellStyle name="Финансовый 2 3 2 5 3 7" xfId="6387"/>
    <cellStyle name="Финансовый 2 3 2 5 4" xfId="1485"/>
    <cellStyle name="Финансовый 2 3 2 5 4 2" xfId="1870"/>
    <cellStyle name="Финансовый 2 3 2 5 4 2 2" xfId="3515"/>
    <cellStyle name="Финансовый 2 3 2 5 4 2 3" xfId="5298"/>
    <cellStyle name="Финансовый 2 3 2 5 4 2 4" xfId="7908"/>
    <cellStyle name="Финансовый 2 3 2 5 4 3" xfId="4913"/>
    <cellStyle name="Финансовый 2 3 2 5 4 4" xfId="7523"/>
    <cellStyle name="Финансовый 2 3 2 5 5" xfId="1754"/>
    <cellStyle name="Финансовый 2 3 2 5 5 2" xfId="3399"/>
    <cellStyle name="Финансовый 2 3 2 5 5 3" xfId="5182"/>
    <cellStyle name="Финансовый 2 3 2 5 5 4" xfId="7792"/>
    <cellStyle name="Финансовый 2 3 2 5 6" xfId="2390"/>
    <cellStyle name="Финансовый 2 3 2 5 6 2" xfId="4035"/>
    <cellStyle name="Финансовый 2 3 2 5 6 3" xfId="5818"/>
    <cellStyle name="Финансовый 2 3 2 5 6 4" xfId="8428"/>
    <cellStyle name="Финансовый 2 3 2 5 7" xfId="1617"/>
    <cellStyle name="Финансовый 2 3 2 5 7 2" xfId="3262"/>
    <cellStyle name="Финансовый 2 3 2 5 7 3" xfId="5045"/>
    <cellStyle name="Финансовый 2 3 2 5 7 4" xfId="7655"/>
    <cellStyle name="Финансовый 2 3 2 5 8" xfId="903"/>
    <cellStyle name="Финансовый 2 3 2 5 8 2" xfId="6943"/>
    <cellStyle name="Финансовый 2 3 2 5 9" xfId="483"/>
    <cellStyle name="Финансовый 2 3 2 5 9 2" xfId="6523"/>
    <cellStyle name="Финансовый 2 3 2 6" xfId="138"/>
    <cellStyle name="Финансовый 2 3 2 6 10" xfId="2748"/>
    <cellStyle name="Финансовый 2 3 2 6 11" xfId="4392"/>
    <cellStyle name="Финансовый 2 3 2 6 12" xfId="6179"/>
    <cellStyle name="Финансовый 2 3 2 6 2" xfId="274"/>
    <cellStyle name="Финансовый 2 3 2 6 2 2" xfId="1372"/>
    <cellStyle name="Финансовый 2 3 2 6 2 2 2" xfId="2330"/>
    <cellStyle name="Финансовый 2 3 2 6 2 2 2 2" xfId="3975"/>
    <cellStyle name="Финансовый 2 3 2 6 2 2 2 3" xfId="5758"/>
    <cellStyle name="Финансовый 2 3 2 6 2 2 2 4" xfId="8368"/>
    <cellStyle name="Финансовый 2 3 2 6 2 2 3" xfId="3156"/>
    <cellStyle name="Финансовый 2 3 2 6 2 2 4" xfId="4800"/>
    <cellStyle name="Финансовый 2 3 2 6 2 2 5" xfId="7412"/>
    <cellStyle name="Финансовый 2 3 2 6 2 3" xfId="2074"/>
    <cellStyle name="Финансовый 2 3 2 6 2 3 2" xfId="3719"/>
    <cellStyle name="Финансовый 2 3 2 6 2 3 3" xfId="5502"/>
    <cellStyle name="Финансовый 2 3 2 6 2 3 4" xfId="8112"/>
    <cellStyle name="Финансовый 2 3 2 6 2 4" xfId="2603"/>
    <cellStyle name="Финансовый 2 3 2 6 2 4 2" xfId="4248"/>
    <cellStyle name="Финансовый 2 3 2 6 2 4 3" xfId="6031"/>
    <cellStyle name="Финансовый 2 3 2 6 2 4 4" xfId="8641"/>
    <cellStyle name="Финансовый 2 3 2 6 2 5" xfId="1107"/>
    <cellStyle name="Финансовый 2 3 2 6 2 5 2" xfId="7147"/>
    <cellStyle name="Финансовый 2 3 2 6 2 6" xfId="695"/>
    <cellStyle name="Финансовый 2 3 2 6 2 6 2" xfId="6735"/>
    <cellStyle name="Финансовый 2 3 2 6 2 7" xfId="2884"/>
    <cellStyle name="Финансовый 2 3 2 6 2 8" xfId="4528"/>
    <cellStyle name="Финансовый 2 3 2 6 2 9" xfId="6315"/>
    <cellStyle name="Финансовый 2 3 2 6 3" xfId="423"/>
    <cellStyle name="Финансовый 2 3 2 6 3 2" xfId="2202"/>
    <cellStyle name="Финансовый 2 3 2 6 3 2 2" xfId="3847"/>
    <cellStyle name="Финансовый 2 3 2 6 3 2 3" xfId="5630"/>
    <cellStyle name="Финансовый 2 3 2 6 3 2 4" xfId="8240"/>
    <cellStyle name="Финансовый 2 3 2 6 3 3" xfId="1236"/>
    <cellStyle name="Финансовый 2 3 2 6 3 3 2" xfId="7276"/>
    <cellStyle name="Финансовый 2 3 2 6 3 4" xfId="843"/>
    <cellStyle name="Финансовый 2 3 2 6 3 4 2" xfId="6883"/>
    <cellStyle name="Финансовый 2 3 2 6 3 5" xfId="3020"/>
    <cellStyle name="Финансовый 2 3 2 6 3 6" xfId="4664"/>
    <cellStyle name="Финансовый 2 3 2 6 3 7" xfId="6463"/>
    <cellStyle name="Финансовый 2 3 2 6 4" xfId="1486"/>
    <cellStyle name="Финансовый 2 3 2 6 4 2" xfId="1946"/>
    <cellStyle name="Финансовый 2 3 2 6 4 2 2" xfId="3591"/>
    <cellStyle name="Финансовый 2 3 2 6 4 2 3" xfId="5374"/>
    <cellStyle name="Финансовый 2 3 2 6 4 2 4" xfId="7984"/>
    <cellStyle name="Финансовый 2 3 2 6 4 3" xfId="4914"/>
    <cellStyle name="Финансовый 2 3 2 6 4 4" xfId="7524"/>
    <cellStyle name="Финансовый 2 3 2 6 5" xfId="1822"/>
    <cellStyle name="Финансовый 2 3 2 6 5 2" xfId="3467"/>
    <cellStyle name="Финансовый 2 3 2 6 5 3" xfId="5250"/>
    <cellStyle name="Финансовый 2 3 2 6 5 4" xfId="7860"/>
    <cellStyle name="Финансовый 2 3 2 6 6" xfId="2467"/>
    <cellStyle name="Финансовый 2 3 2 6 6 2" xfId="4112"/>
    <cellStyle name="Финансовый 2 3 2 6 6 3" xfId="5895"/>
    <cellStyle name="Финансовый 2 3 2 6 6 4" xfId="8505"/>
    <cellStyle name="Финансовый 2 3 2 6 7" xfId="1694"/>
    <cellStyle name="Финансовый 2 3 2 6 7 2" xfId="3339"/>
    <cellStyle name="Финансовый 2 3 2 6 7 3" xfId="5122"/>
    <cellStyle name="Финансовый 2 3 2 6 7 4" xfId="7732"/>
    <cellStyle name="Финансовый 2 3 2 6 8" xfId="971"/>
    <cellStyle name="Финансовый 2 3 2 6 8 2" xfId="7011"/>
    <cellStyle name="Финансовый 2 3 2 6 9" xfId="559"/>
    <cellStyle name="Финансовый 2 3 2 6 9 2" xfId="6599"/>
    <cellStyle name="Финансовый 2 3 2 7" xfId="36"/>
    <cellStyle name="Финансовый 2 3 2 7 10" xfId="2648"/>
    <cellStyle name="Финансовый 2 3 2 7 11" xfId="4291"/>
    <cellStyle name="Финансовый 2 3 2 7 12" xfId="6079"/>
    <cellStyle name="Финансовый 2 3 2 7 2" xfId="174"/>
    <cellStyle name="Финансовый 2 3 2 7 2 2" xfId="1272"/>
    <cellStyle name="Финансовый 2 3 2 7 2 2 2" xfId="2238"/>
    <cellStyle name="Финансовый 2 3 2 7 2 2 2 2" xfId="3883"/>
    <cellStyle name="Финансовый 2 3 2 7 2 2 2 3" xfId="5666"/>
    <cellStyle name="Финансовый 2 3 2 7 2 2 2 4" xfId="8276"/>
    <cellStyle name="Финансовый 2 3 2 7 2 2 3" xfId="3056"/>
    <cellStyle name="Финансовый 2 3 2 7 2 2 4" xfId="4700"/>
    <cellStyle name="Финансовый 2 3 2 7 2 2 5" xfId="7312"/>
    <cellStyle name="Финансовый 2 3 2 7 2 3" xfId="1982"/>
    <cellStyle name="Финансовый 2 3 2 7 2 3 2" xfId="3627"/>
    <cellStyle name="Финансовый 2 3 2 7 2 3 3" xfId="5410"/>
    <cellStyle name="Финансовый 2 3 2 7 2 3 4" xfId="8020"/>
    <cellStyle name="Финансовый 2 3 2 7 2 4" xfId="2503"/>
    <cellStyle name="Финансовый 2 3 2 7 2 4 2" xfId="4148"/>
    <cellStyle name="Финансовый 2 3 2 7 2 4 3" xfId="5931"/>
    <cellStyle name="Финансовый 2 3 2 7 2 4 4" xfId="8541"/>
    <cellStyle name="Финансовый 2 3 2 7 2 5" xfId="1007"/>
    <cellStyle name="Финансовый 2 3 2 7 2 5 2" xfId="7047"/>
    <cellStyle name="Финансовый 2 3 2 7 2 6" xfId="595"/>
    <cellStyle name="Финансовый 2 3 2 7 2 6 2" xfId="6635"/>
    <cellStyle name="Финансовый 2 3 2 7 2 7" xfId="2784"/>
    <cellStyle name="Финансовый 2 3 2 7 2 8" xfId="4428"/>
    <cellStyle name="Финансовый 2 3 2 7 2 9" xfId="6215"/>
    <cellStyle name="Финансовый 2 3 2 7 3" xfId="323"/>
    <cellStyle name="Финансовый 2 3 2 7 3 2" xfId="2110"/>
    <cellStyle name="Финансовый 2 3 2 7 3 2 2" xfId="3755"/>
    <cellStyle name="Финансовый 2 3 2 7 3 2 3" xfId="5538"/>
    <cellStyle name="Финансовый 2 3 2 7 3 2 4" xfId="8148"/>
    <cellStyle name="Финансовый 2 3 2 7 3 3" xfId="1143"/>
    <cellStyle name="Финансовый 2 3 2 7 3 3 2" xfId="7183"/>
    <cellStyle name="Финансовый 2 3 2 7 3 4" xfId="743"/>
    <cellStyle name="Финансовый 2 3 2 7 3 4 2" xfId="6783"/>
    <cellStyle name="Финансовый 2 3 2 7 3 5" xfId="2920"/>
    <cellStyle name="Финансовый 2 3 2 7 3 6" xfId="4564"/>
    <cellStyle name="Финансовый 2 3 2 7 3 7" xfId="6363"/>
    <cellStyle name="Финансовый 2 3 2 7 4" xfId="1456"/>
    <cellStyle name="Финансовый 2 3 2 7 4 2" xfId="1846"/>
    <cellStyle name="Финансовый 2 3 2 7 4 2 2" xfId="3491"/>
    <cellStyle name="Финансовый 2 3 2 7 4 2 3" xfId="5274"/>
    <cellStyle name="Финансовый 2 3 2 7 4 2 4" xfId="7884"/>
    <cellStyle name="Финансовый 2 3 2 7 4 3" xfId="4884"/>
    <cellStyle name="Финансовый 2 3 2 7 4 4" xfId="7494"/>
    <cellStyle name="Финансовый 2 3 2 7 5" xfId="1730"/>
    <cellStyle name="Финансовый 2 3 2 7 5 2" xfId="3375"/>
    <cellStyle name="Финансовый 2 3 2 7 5 3" xfId="5158"/>
    <cellStyle name="Финансовый 2 3 2 7 5 4" xfId="7768"/>
    <cellStyle name="Финансовый 2 3 2 7 6" xfId="2366"/>
    <cellStyle name="Финансовый 2 3 2 7 6 2" xfId="4011"/>
    <cellStyle name="Финансовый 2 3 2 7 6 3" xfId="5794"/>
    <cellStyle name="Финансовый 2 3 2 7 6 4" xfId="8404"/>
    <cellStyle name="Финансовый 2 3 2 7 7" xfId="1593"/>
    <cellStyle name="Финансовый 2 3 2 7 7 2" xfId="3238"/>
    <cellStyle name="Финансовый 2 3 2 7 7 3" xfId="5021"/>
    <cellStyle name="Финансовый 2 3 2 7 7 4" xfId="7631"/>
    <cellStyle name="Финансовый 2 3 2 7 8" xfId="879"/>
    <cellStyle name="Финансовый 2 3 2 7 8 2" xfId="6919"/>
    <cellStyle name="Финансовый 2 3 2 7 9" xfId="459"/>
    <cellStyle name="Финансовый 2 3 2 7 9 2" xfId="6499"/>
    <cellStyle name="Финансовый 2 3 2 8" xfId="24"/>
    <cellStyle name="Финансовый 2 3 2 8 10" xfId="2636"/>
    <cellStyle name="Финансовый 2 3 2 8 11" xfId="4279"/>
    <cellStyle name="Финансовый 2 3 2 8 12" xfId="6067"/>
    <cellStyle name="Финансовый 2 3 2 8 2" xfId="162"/>
    <cellStyle name="Финансовый 2 3 2 8 2 2" xfId="1260"/>
    <cellStyle name="Финансовый 2 3 2 8 2 2 2" xfId="2226"/>
    <cellStyle name="Финансовый 2 3 2 8 2 2 2 2" xfId="3871"/>
    <cellStyle name="Финансовый 2 3 2 8 2 2 2 3" xfId="5654"/>
    <cellStyle name="Финансовый 2 3 2 8 2 2 2 4" xfId="8264"/>
    <cellStyle name="Финансовый 2 3 2 8 2 2 3" xfId="3044"/>
    <cellStyle name="Финансовый 2 3 2 8 2 2 4" xfId="4688"/>
    <cellStyle name="Финансовый 2 3 2 8 2 2 5" xfId="7300"/>
    <cellStyle name="Финансовый 2 3 2 8 2 3" xfId="1970"/>
    <cellStyle name="Финансовый 2 3 2 8 2 3 2" xfId="3615"/>
    <cellStyle name="Финансовый 2 3 2 8 2 3 3" xfId="5398"/>
    <cellStyle name="Финансовый 2 3 2 8 2 3 4" xfId="8008"/>
    <cellStyle name="Финансовый 2 3 2 8 2 4" xfId="2491"/>
    <cellStyle name="Финансовый 2 3 2 8 2 4 2" xfId="4136"/>
    <cellStyle name="Финансовый 2 3 2 8 2 4 3" xfId="5919"/>
    <cellStyle name="Финансовый 2 3 2 8 2 4 4" xfId="8529"/>
    <cellStyle name="Финансовый 2 3 2 8 2 5" xfId="995"/>
    <cellStyle name="Финансовый 2 3 2 8 2 5 2" xfId="7035"/>
    <cellStyle name="Финансовый 2 3 2 8 2 6" xfId="583"/>
    <cellStyle name="Финансовый 2 3 2 8 2 6 2" xfId="6623"/>
    <cellStyle name="Финансовый 2 3 2 8 2 7" xfId="2772"/>
    <cellStyle name="Финансовый 2 3 2 8 2 8" xfId="4416"/>
    <cellStyle name="Финансовый 2 3 2 8 2 9" xfId="6203"/>
    <cellStyle name="Финансовый 2 3 2 8 3" xfId="311"/>
    <cellStyle name="Финансовый 2 3 2 8 3 2" xfId="2098"/>
    <cellStyle name="Финансовый 2 3 2 8 3 2 2" xfId="3743"/>
    <cellStyle name="Финансовый 2 3 2 8 3 2 3" xfId="5526"/>
    <cellStyle name="Финансовый 2 3 2 8 3 2 4" xfId="8136"/>
    <cellStyle name="Финансовый 2 3 2 8 3 3" xfId="1131"/>
    <cellStyle name="Финансовый 2 3 2 8 3 3 2" xfId="7171"/>
    <cellStyle name="Финансовый 2 3 2 8 3 4" xfId="731"/>
    <cellStyle name="Финансовый 2 3 2 8 3 4 2" xfId="6771"/>
    <cellStyle name="Финансовый 2 3 2 8 3 5" xfId="2908"/>
    <cellStyle name="Финансовый 2 3 2 8 3 6" xfId="4552"/>
    <cellStyle name="Финансовый 2 3 2 8 3 7" xfId="6351"/>
    <cellStyle name="Финансовый 2 3 2 8 4" xfId="1467"/>
    <cellStyle name="Финансовый 2 3 2 8 4 2" xfId="1834"/>
    <cellStyle name="Финансовый 2 3 2 8 4 2 2" xfId="3479"/>
    <cellStyle name="Финансовый 2 3 2 8 4 2 3" xfId="5262"/>
    <cellStyle name="Финансовый 2 3 2 8 4 2 4" xfId="7872"/>
    <cellStyle name="Финансовый 2 3 2 8 4 3" xfId="4895"/>
    <cellStyle name="Финансовый 2 3 2 8 4 4" xfId="7505"/>
    <cellStyle name="Финансовый 2 3 2 8 5" xfId="1718"/>
    <cellStyle name="Финансовый 2 3 2 8 5 2" xfId="3363"/>
    <cellStyle name="Финансовый 2 3 2 8 5 3" xfId="5146"/>
    <cellStyle name="Финансовый 2 3 2 8 5 4" xfId="7756"/>
    <cellStyle name="Финансовый 2 3 2 8 6" xfId="2354"/>
    <cellStyle name="Финансовый 2 3 2 8 6 2" xfId="3999"/>
    <cellStyle name="Финансовый 2 3 2 8 6 3" xfId="5782"/>
    <cellStyle name="Финансовый 2 3 2 8 6 4" xfId="8392"/>
    <cellStyle name="Финансовый 2 3 2 8 7" xfId="1581"/>
    <cellStyle name="Финансовый 2 3 2 8 7 2" xfId="3226"/>
    <cellStyle name="Финансовый 2 3 2 8 7 3" xfId="5009"/>
    <cellStyle name="Финансовый 2 3 2 8 7 4" xfId="7619"/>
    <cellStyle name="Финансовый 2 3 2 8 8" xfId="867"/>
    <cellStyle name="Финансовый 2 3 2 8 8 2" xfId="6907"/>
    <cellStyle name="Финансовый 2 3 2 8 9" xfId="447"/>
    <cellStyle name="Финансовый 2 3 2 8 9 2" xfId="6487"/>
    <cellStyle name="Финансовый 2 3 2 9" xfId="150"/>
    <cellStyle name="Финансовый 2 3 2 9 2" xfId="1248"/>
    <cellStyle name="Финансовый 2 3 2 9 2 2" xfId="2214"/>
    <cellStyle name="Финансовый 2 3 2 9 2 2 2" xfId="3859"/>
    <cellStyle name="Финансовый 2 3 2 9 2 2 3" xfId="5642"/>
    <cellStyle name="Финансовый 2 3 2 9 2 2 4" xfId="8252"/>
    <cellStyle name="Финансовый 2 3 2 9 2 3" xfId="3032"/>
    <cellStyle name="Финансовый 2 3 2 9 2 4" xfId="4676"/>
    <cellStyle name="Финансовый 2 3 2 9 2 5" xfId="7288"/>
    <cellStyle name="Финансовый 2 3 2 9 3" xfId="1958"/>
    <cellStyle name="Финансовый 2 3 2 9 3 2" xfId="3603"/>
    <cellStyle name="Финансовый 2 3 2 9 3 3" xfId="5386"/>
    <cellStyle name="Финансовый 2 3 2 9 3 4" xfId="7996"/>
    <cellStyle name="Финансовый 2 3 2 9 4" xfId="2479"/>
    <cellStyle name="Финансовый 2 3 2 9 4 2" xfId="4124"/>
    <cellStyle name="Финансовый 2 3 2 9 4 3" xfId="5907"/>
    <cellStyle name="Финансовый 2 3 2 9 4 4" xfId="8517"/>
    <cellStyle name="Финансовый 2 3 2 9 5" xfId="983"/>
    <cellStyle name="Финансовый 2 3 2 9 5 2" xfId="7023"/>
    <cellStyle name="Финансовый 2 3 2 9 6" xfId="571"/>
    <cellStyle name="Финансовый 2 3 2 9 6 2" xfId="6611"/>
    <cellStyle name="Финансовый 2 3 2 9 7" xfId="2760"/>
    <cellStyle name="Финансовый 2 3 2 9 8" xfId="4404"/>
    <cellStyle name="Финансовый 2 3 2 9 9" xfId="6191"/>
    <cellStyle name="Финансовый 2 3 20" xfId="2618"/>
    <cellStyle name="Финансовый 2 3 21" xfId="4261"/>
    <cellStyle name="Финансовый 2 3 22" xfId="6049"/>
    <cellStyle name="Финансовый 2 3 3" xfId="42"/>
    <cellStyle name="Финансовый 2 3 3 10" xfId="885"/>
    <cellStyle name="Финансовый 2 3 3 10 2" xfId="6925"/>
    <cellStyle name="Финансовый 2 3 3 11" xfId="465"/>
    <cellStyle name="Финансовый 2 3 3 11 2" xfId="6505"/>
    <cellStyle name="Финансовый 2 3 3 12" xfId="2654"/>
    <cellStyle name="Финансовый 2 3 3 13" xfId="4297"/>
    <cellStyle name="Финансовый 2 3 3 14" xfId="6085"/>
    <cellStyle name="Финансовый 2 3 3 2" xfId="124"/>
    <cellStyle name="Финансовый 2 3 3 2 10" xfId="2734"/>
    <cellStyle name="Финансовый 2 3 3 2 11" xfId="4378"/>
    <cellStyle name="Финансовый 2 3 3 2 12" xfId="6165"/>
    <cellStyle name="Финансовый 2 3 3 2 2" xfId="260"/>
    <cellStyle name="Финансовый 2 3 3 2 2 2" xfId="1358"/>
    <cellStyle name="Финансовый 2 3 3 2 2 2 2" xfId="2316"/>
    <cellStyle name="Финансовый 2 3 3 2 2 2 2 2" xfId="3961"/>
    <cellStyle name="Финансовый 2 3 3 2 2 2 2 3" xfId="5744"/>
    <cellStyle name="Финансовый 2 3 3 2 2 2 2 4" xfId="8354"/>
    <cellStyle name="Финансовый 2 3 3 2 2 2 3" xfId="3142"/>
    <cellStyle name="Финансовый 2 3 3 2 2 2 4" xfId="4786"/>
    <cellStyle name="Финансовый 2 3 3 2 2 2 5" xfId="7398"/>
    <cellStyle name="Финансовый 2 3 3 2 2 3" xfId="2060"/>
    <cellStyle name="Финансовый 2 3 3 2 2 3 2" xfId="3705"/>
    <cellStyle name="Финансовый 2 3 3 2 2 3 3" xfId="5488"/>
    <cellStyle name="Финансовый 2 3 3 2 2 3 4" xfId="8098"/>
    <cellStyle name="Финансовый 2 3 3 2 2 4" xfId="2589"/>
    <cellStyle name="Финансовый 2 3 3 2 2 4 2" xfId="4234"/>
    <cellStyle name="Финансовый 2 3 3 2 2 4 3" xfId="6017"/>
    <cellStyle name="Финансовый 2 3 3 2 2 4 4" xfId="8627"/>
    <cellStyle name="Финансовый 2 3 3 2 2 5" xfId="1093"/>
    <cellStyle name="Финансовый 2 3 3 2 2 5 2" xfId="7133"/>
    <cellStyle name="Финансовый 2 3 3 2 2 6" xfId="681"/>
    <cellStyle name="Финансовый 2 3 3 2 2 6 2" xfId="6721"/>
    <cellStyle name="Финансовый 2 3 3 2 2 7" xfId="2870"/>
    <cellStyle name="Финансовый 2 3 3 2 2 8" xfId="4514"/>
    <cellStyle name="Финансовый 2 3 3 2 2 9" xfId="6301"/>
    <cellStyle name="Финансовый 2 3 3 2 3" xfId="409"/>
    <cellStyle name="Финансовый 2 3 3 2 3 2" xfId="2188"/>
    <cellStyle name="Финансовый 2 3 3 2 3 2 2" xfId="3833"/>
    <cellStyle name="Финансовый 2 3 3 2 3 2 3" xfId="5616"/>
    <cellStyle name="Финансовый 2 3 3 2 3 2 4" xfId="8226"/>
    <cellStyle name="Финансовый 2 3 3 2 3 3" xfId="1222"/>
    <cellStyle name="Финансовый 2 3 3 2 3 3 2" xfId="7262"/>
    <cellStyle name="Финансовый 2 3 3 2 3 4" xfId="829"/>
    <cellStyle name="Финансовый 2 3 3 2 3 4 2" xfId="6869"/>
    <cellStyle name="Финансовый 2 3 3 2 3 5" xfId="3006"/>
    <cellStyle name="Финансовый 2 3 3 2 3 6" xfId="4650"/>
    <cellStyle name="Финансовый 2 3 3 2 3 7" xfId="6449"/>
    <cellStyle name="Финансовый 2 3 3 2 4" xfId="1488"/>
    <cellStyle name="Финансовый 2 3 3 2 4 2" xfId="1932"/>
    <cellStyle name="Финансовый 2 3 3 2 4 2 2" xfId="3577"/>
    <cellStyle name="Финансовый 2 3 3 2 4 2 3" xfId="5360"/>
    <cellStyle name="Финансовый 2 3 3 2 4 2 4" xfId="7970"/>
    <cellStyle name="Финансовый 2 3 3 2 4 3" xfId="4916"/>
    <cellStyle name="Финансовый 2 3 3 2 4 4" xfId="7526"/>
    <cellStyle name="Финансовый 2 3 3 2 5" xfId="1808"/>
    <cellStyle name="Финансовый 2 3 3 2 5 2" xfId="3453"/>
    <cellStyle name="Финансовый 2 3 3 2 5 3" xfId="5236"/>
    <cellStyle name="Финансовый 2 3 3 2 5 4" xfId="7846"/>
    <cellStyle name="Финансовый 2 3 3 2 6" xfId="2453"/>
    <cellStyle name="Финансовый 2 3 3 2 6 2" xfId="4098"/>
    <cellStyle name="Финансовый 2 3 3 2 6 3" xfId="5881"/>
    <cellStyle name="Финансовый 2 3 3 2 6 4" xfId="8491"/>
    <cellStyle name="Финансовый 2 3 3 2 7" xfId="1680"/>
    <cellStyle name="Финансовый 2 3 3 2 7 2" xfId="3325"/>
    <cellStyle name="Финансовый 2 3 3 2 7 3" xfId="5108"/>
    <cellStyle name="Финансовый 2 3 3 2 7 4" xfId="7718"/>
    <cellStyle name="Финансовый 2 3 3 2 8" xfId="957"/>
    <cellStyle name="Финансовый 2 3 3 2 8 2" xfId="6997"/>
    <cellStyle name="Финансовый 2 3 3 2 9" xfId="545"/>
    <cellStyle name="Финансовый 2 3 3 2 9 2" xfId="6585"/>
    <cellStyle name="Финансовый 2 3 3 3" xfId="88"/>
    <cellStyle name="Финансовый 2 3 3 3 10" xfId="2698"/>
    <cellStyle name="Финансовый 2 3 3 3 11" xfId="4342"/>
    <cellStyle name="Финансовый 2 3 3 3 12" xfId="6129"/>
    <cellStyle name="Финансовый 2 3 3 3 2" xfId="224"/>
    <cellStyle name="Финансовый 2 3 3 3 2 2" xfId="1322"/>
    <cellStyle name="Финансовый 2 3 3 3 2 2 2" xfId="2280"/>
    <cellStyle name="Финансовый 2 3 3 3 2 2 2 2" xfId="3925"/>
    <cellStyle name="Финансовый 2 3 3 3 2 2 2 3" xfId="5708"/>
    <cellStyle name="Финансовый 2 3 3 3 2 2 2 4" xfId="8318"/>
    <cellStyle name="Финансовый 2 3 3 3 2 2 3" xfId="3106"/>
    <cellStyle name="Финансовый 2 3 3 3 2 2 4" xfId="4750"/>
    <cellStyle name="Финансовый 2 3 3 3 2 2 5" xfId="7362"/>
    <cellStyle name="Финансовый 2 3 3 3 2 3" xfId="2024"/>
    <cellStyle name="Финансовый 2 3 3 3 2 3 2" xfId="3669"/>
    <cellStyle name="Финансовый 2 3 3 3 2 3 3" xfId="5452"/>
    <cellStyle name="Финансовый 2 3 3 3 2 3 4" xfId="8062"/>
    <cellStyle name="Финансовый 2 3 3 3 2 4" xfId="2553"/>
    <cellStyle name="Финансовый 2 3 3 3 2 4 2" xfId="4198"/>
    <cellStyle name="Финансовый 2 3 3 3 2 4 3" xfId="5981"/>
    <cellStyle name="Финансовый 2 3 3 3 2 4 4" xfId="8591"/>
    <cellStyle name="Финансовый 2 3 3 3 2 5" xfId="1057"/>
    <cellStyle name="Финансовый 2 3 3 3 2 5 2" xfId="7097"/>
    <cellStyle name="Финансовый 2 3 3 3 2 6" xfId="645"/>
    <cellStyle name="Финансовый 2 3 3 3 2 6 2" xfId="6685"/>
    <cellStyle name="Финансовый 2 3 3 3 2 7" xfId="2834"/>
    <cellStyle name="Финансовый 2 3 3 3 2 8" xfId="4478"/>
    <cellStyle name="Финансовый 2 3 3 3 2 9" xfId="6265"/>
    <cellStyle name="Финансовый 2 3 3 3 3" xfId="373"/>
    <cellStyle name="Финансовый 2 3 3 3 3 2" xfId="2152"/>
    <cellStyle name="Финансовый 2 3 3 3 3 2 2" xfId="3797"/>
    <cellStyle name="Финансовый 2 3 3 3 3 2 3" xfId="5580"/>
    <cellStyle name="Финансовый 2 3 3 3 3 2 4" xfId="8190"/>
    <cellStyle name="Финансовый 2 3 3 3 3 3" xfId="1186"/>
    <cellStyle name="Финансовый 2 3 3 3 3 3 2" xfId="7226"/>
    <cellStyle name="Финансовый 2 3 3 3 3 4" xfId="793"/>
    <cellStyle name="Финансовый 2 3 3 3 3 4 2" xfId="6833"/>
    <cellStyle name="Финансовый 2 3 3 3 3 5" xfId="2970"/>
    <cellStyle name="Финансовый 2 3 3 3 3 6" xfId="4614"/>
    <cellStyle name="Финансовый 2 3 3 3 3 7" xfId="6413"/>
    <cellStyle name="Финансовый 2 3 3 3 4" xfId="1489"/>
    <cellStyle name="Финансовый 2 3 3 3 4 2" xfId="1896"/>
    <cellStyle name="Финансовый 2 3 3 3 4 2 2" xfId="3541"/>
    <cellStyle name="Финансовый 2 3 3 3 4 2 3" xfId="5324"/>
    <cellStyle name="Финансовый 2 3 3 3 4 2 4" xfId="7934"/>
    <cellStyle name="Финансовый 2 3 3 3 4 3" xfId="4917"/>
    <cellStyle name="Финансовый 2 3 3 3 4 4" xfId="7527"/>
    <cellStyle name="Финансовый 2 3 3 3 5" xfId="1772"/>
    <cellStyle name="Финансовый 2 3 3 3 5 2" xfId="3417"/>
    <cellStyle name="Финансовый 2 3 3 3 5 3" xfId="5200"/>
    <cellStyle name="Финансовый 2 3 3 3 5 4" xfId="7810"/>
    <cellStyle name="Финансовый 2 3 3 3 6" xfId="2417"/>
    <cellStyle name="Финансовый 2 3 3 3 6 2" xfId="4062"/>
    <cellStyle name="Финансовый 2 3 3 3 6 3" xfId="5845"/>
    <cellStyle name="Финансовый 2 3 3 3 6 4" xfId="8455"/>
    <cellStyle name="Финансовый 2 3 3 3 7" xfId="1644"/>
    <cellStyle name="Финансовый 2 3 3 3 7 2" xfId="3289"/>
    <cellStyle name="Финансовый 2 3 3 3 7 3" xfId="5072"/>
    <cellStyle name="Финансовый 2 3 3 3 7 4" xfId="7682"/>
    <cellStyle name="Финансовый 2 3 3 3 8" xfId="921"/>
    <cellStyle name="Финансовый 2 3 3 3 8 2" xfId="6961"/>
    <cellStyle name="Финансовый 2 3 3 3 9" xfId="509"/>
    <cellStyle name="Финансовый 2 3 3 3 9 2" xfId="6549"/>
    <cellStyle name="Финансовый 2 3 3 4" xfId="180"/>
    <cellStyle name="Финансовый 2 3 3 4 2" xfId="1278"/>
    <cellStyle name="Финансовый 2 3 3 4 2 2" xfId="2244"/>
    <cellStyle name="Финансовый 2 3 3 4 2 2 2" xfId="3889"/>
    <cellStyle name="Финансовый 2 3 3 4 2 2 3" xfId="5672"/>
    <cellStyle name="Финансовый 2 3 3 4 2 2 4" xfId="8282"/>
    <cellStyle name="Финансовый 2 3 3 4 2 3" xfId="3062"/>
    <cellStyle name="Финансовый 2 3 3 4 2 4" xfId="4706"/>
    <cellStyle name="Финансовый 2 3 3 4 2 5" xfId="7318"/>
    <cellStyle name="Финансовый 2 3 3 4 3" xfId="1988"/>
    <cellStyle name="Финансовый 2 3 3 4 3 2" xfId="3633"/>
    <cellStyle name="Финансовый 2 3 3 4 3 3" xfId="5416"/>
    <cellStyle name="Финансовый 2 3 3 4 3 4" xfId="8026"/>
    <cellStyle name="Финансовый 2 3 3 4 4" xfId="2509"/>
    <cellStyle name="Финансовый 2 3 3 4 4 2" xfId="4154"/>
    <cellStyle name="Финансовый 2 3 3 4 4 3" xfId="5937"/>
    <cellStyle name="Финансовый 2 3 3 4 4 4" xfId="8547"/>
    <cellStyle name="Финансовый 2 3 3 4 5" xfId="1013"/>
    <cellStyle name="Финансовый 2 3 3 4 5 2" xfId="7053"/>
    <cellStyle name="Финансовый 2 3 3 4 6" xfId="601"/>
    <cellStyle name="Финансовый 2 3 3 4 6 2" xfId="6641"/>
    <cellStyle name="Финансовый 2 3 3 4 7" xfId="2790"/>
    <cellStyle name="Финансовый 2 3 3 4 8" xfId="4434"/>
    <cellStyle name="Финансовый 2 3 3 4 9" xfId="6221"/>
    <cellStyle name="Финансовый 2 3 3 5" xfId="329"/>
    <cellStyle name="Финансовый 2 3 3 5 2" xfId="2116"/>
    <cellStyle name="Финансовый 2 3 3 5 2 2" xfId="3761"/>
    <cellStyle name="Финансовый 2 3 3 5 2 3" xfId="5544"/>
    <cellStyle name="Финансовый 2 3 3 5 2 4" xfId="8154"/>
    <cellStyle name="Финансовый 2 3 3 5 3" xfId="1149"/>
    <cellStyle name="Финансовый 2 3 3 5 3 2" xfId="7189"/>
    <cellStyle name="Финансовый 2 3 3 5 4" xfId="749"/>
    <cellStyle name="Финансовый 2 3 3 5 4 2" xfId="6789"/>
    <cellStyle name="Финансовый 2 3 3 5 5" xfId="2926"/>
    <cellStyle name="Финансовый 2 3 3 5 6" xfId="4570"/>
    <cellStyle name="Финансовый 2 3 3 5 7" xfId="6369"/>
    <cellStyle name="Финансовый 2 3 3 6" xfId="1487"/>
    <cellStyle name="Финансовый 2 3 3 6 2" xfId="1852"/>
    <cellStyle name="Финансовый 2 3 3 6 2 2" xfId="3497"/>
    <cellStyle name="Финансовый 2 3 3 6 2 3" xfId="5280"/>
    <cellStyle name="Финансовый 2 3 3 6 2 4" xfId="7890"/>
    <cellStyle name="Финансовый 2 3 3 6 3" xfId="4915"/>
    <cellStyle name="Финансовый 2 3 3 6 4" xfId="7525"/>
    <cellStyle name="Финансовый 2 3 3 7" xfId="1736"/>
    <cellStyle name="Финансовый 2 3 3 7 2" xfId="3381"/>
    <cellStyle name="Финансовый 2 3 3 7 3" xfId="5164"/>
    <cellStyle name="Финансовый 2 3 3 7 4" xfId="7774"/>
    <cellStyle name="Финансовый 2 3 3 8" xfId="2372"/>
    <cellStyle name="Финансовый 2 3 3 8 2" xfId="4017"/>
    <cellStyle name="Финансовый 2 3 3 8 3" xfId="5800"/>
    <cellStyle name="Финансовый 2 3 3 8 4" xfId="8410"/>
    <cellStyle name="Финансовый 2 3 3 9" xfId="1599"/>
    <cellStyle name="Финансовый 2 3 3 9 2" xfId="3244"/>
    <cellStyle name="Финансовый 2 3 3 9 3" xfId="5027"/>
    <cellStyle name="Финансовый 2 3 3 9 4" xfId="7637"/>
    <cellStyle name="Финансовый 2 3 4" xfId="94"/>
    <cellStyle name="Финансовый 2 3 4 10" xfId="2704"/>
    <cellStyle name="Финансовый 2 3 4 11" xfId="4348"/>
    <cellStyle name="Финансовый 2 3 4 12" xfId="6135"/>
    <cellStyle name="Финансовый 2 3 4 2" xfId="230"/>
    <cellStyle name="Финансовый 2 3 4 2 2" xfId="1328"/>
    <cellStyle name="Финансовый 2 3 4 2 2 2" xfId="2286"/>
    <cellStyle name="Финансовый 2 3 4 2 2 2 2" xfId="3931"/>
    <cellStyle name="Финансовый 2 3 4 2 2 2 3" xfId="5714"/>
    <cellStyle name="Финансовый 2 3 4 2 2 2 4" xfId="8324"/>
    <cellStyle name="Финансовый 2 3 4 2 2 3" xfId="3112"/>
    <cellStyle name="Финансовый 2 3 4 2 2 4" xfId="4756"/>
    <cellStyle name="Финансовый 2 3 4 2 2 5" xfId="7368"/>
    <cellStyle name="Финансовый 2 3 4 2 3" xfId="2030"/>
    <cellStyle name="Финансовый 2 3 4 2 3 2" xfId="3675"/>
    <cellStyle name="Финансовый 2 3 4 2 3 3" xfId="5458"/>
    <cellStyle name="Финансовый 2 3 4 2 3 4" xfId="8068"/>
    <cellStyle name="Финансовый 2 3 4 2 4" xfId="2559"/>
    <cellStyle name="Финансовый 2 3 4 2 4 2" xfId="4204"/>
    <cellStyle name="Финансовый 2 3 4 2 4 3" xfId="5987"/>
    <cellStyle name="Финансовый 2 3 4 2 4 4" xfId="8597"/>
    <cellStyle name="Финансовый 2 3 4 2 5" xfId="1063"/>
    <cellStyle name="Финансовый 2 3 4 2 5 2" xfId="7103"/>
    <cellStyle name="Финансовый 2 3 4 2 6" xfId="651"/>
    <cellStyle name="Финансовый 2 3 4 2 6 2" xfId="6691"/>
    <cellStyle name="Финансовый 2 3 4 2 7" xfId="2840"/>
    <cellStyle name="Финансовый 2 3 4 2 8" xfId="4484"/>
    <cellStyle name="Финансовый 2 3 4 2 9" xfId="6271"/>
    <cellStyle name="Финансовый 2 3 4 3" xfId="379"/>
    <cellStyle name="Финансовый 2 3 4 3 2" xfId="2158"/>
    <cellStyle name="Финансовый 2 3 4 3 2 2" xfId="3803"/>
    <cellStyle name="Финансовый 2 3 4 3 2 3" xfId="5586"/>
    <cellStyle name="Финансовый 2 3 4 3 2 4" xfId="8196"/>
    <cellStyle name="Финансовый 2 3 4 3 3" xfId="1192"/>
    <cellStyle name="Финансовый 2 3 4 3 3 2" xfId="7232"/>
    <cellStyle name="Финансовый 2 3 4 3 4" xfId="799"/>
    <cellStyle name="Финансовый 2 3 4 3 4 2" xfId="6839"/>
    <cellStyle name="Финансовый 2 3 4 3 5" xfId="2976"/>
    <cellStyle name="Финансовый 2 3 4 3 6" xfId="4620"/>
    <cellStyle name="Финансовый 2 3 4 3 7" xfId="6419"/>
    <cellStyle name="Финансовый 2 3 4 4" xfId="1490"/>
    <cellStyle name="Финансовый 2 3 4 4 2" xfId="1902"/>
    <cellStyle name="Финансовый 2 3 4 4 2 2" xfId="3547"/>
    <cellStyle name="Финансовый 2 3 4 4 2 3" xfId="5330"/>
    <cellStyle name="Финансовый 2 3 4 4 2 4" xfId="7940"/>
    <cellStyle name="Финансовый 2 3 4 4 3" xfId="4918"/>
    <cellStyle name="Финансовый 2 3 4 4 4" xfId="7528"/>
    <cellStyle name="Финансовый 2 3 4 5" xfId="1778"/>
    <cellStyle name="Финансовый 2 3 4 5 2" xfId="3423"/>
    <cellStyle name="Финансовый 2 3 4 5 3" xfId="5206"/>
    <cellStyle name="Финансовый 2 3 4 5 4" xfId="7816"/>
    <cellStyle name="Финансовый 2 3 4 6" xfId="2423"/>
    <cellStyle name="Финансовый 2 3 4 6 2" xfId="4068"/>
    <cellStyle name="Финансовый 2 3 4 6 3" xfId="5851"/>
    <cellStyle name="Финансовый 2 3 4 6 4" xfId="8461"/>
    <cellStyle name="Финансовый 2 3 4 7" xfId="1650"/>
    <cellStyle name="Финансовый 2 3 4 7 2" xfId="3295"/>
    <cellStyle name="Финансовый 2 3 4 7 3" xfId="5078"/>
    <cellStyle name="Финансовый 2 3 4 7 4" xfId="7688"/>
    <cellStyle name="Финансовый 2 3 4 8" xfId="927"/>
    <cellStyle name="Финансовый 2 3 4 8 2" xfId="6967"/>
    <cellStyle name="Финансовый 2 3 4 9" xfId="515"/>
    <cellStyle name="Финансовый 2 3 4 9 2" xfId="6555"/>
    <cellStyle name="Финансовый 2 3 5" xfId="100"/>
    <cellStyle name="Финансовый 2 3 5 10" xfId="2710"/>
    <cellStyle name="Финансовый 2 3 5 11" xfId="4354"/>
    <cellStyle name="Финансовый 2 3 5 12" xfId="6141"/>
    <cellStyle name="Финансовый 2 3 5 2" xfId="236"/>
    <cellStyle name="Финансовый 2 3 5 2 2" xfId="1334"/>
    <cellStyle name="Финансовый 2 3 5 2 2 2" xfId="2292"/>
    <cellStyle name="Финансовый 2 3 5 2 2 2 2" xfId="3937"/>
    <cellStyle name="Финансовый 2 3 5 2 2 2 3" xfId="5720"/>
    <cellStyle name="Финансовый 2 3 5 2 2 2 4" xfId="8330"/>
    <cellStyle name="Финансовый 2 3 5 2 2 3" xfId="3118"/>
    <cellStyle name="Финансовый 2 3 5 2 2 4" xfId="4762"/>
    <cellStyle name="Финансовый 2 3 5 2 2 5" xfId="7374"/>
    <cellStyle name="Финансовый 2 3 5 2 3" xfId="2036"/>
    <cellStyle name="Финансовый 2 3 5 2 3 2" xfId="3681"/>
    <cellStyle name="Финансовый 2 3 5 2 3 3" xfId="5464"/>
    <cellStyle name="Финансовый 2 3 5 2 3 4" xfId="8074"/>
    <cellStyle name="Финансовый 2 3 5 2 4" xfId="2565"/>
    <cellStyle name="Финансовый 2 3 5 2 4 2" xfId="4210"/>
    <cellStyle name="Финансовый 2 3 5 2 4 3" xfId="5993"/>
    <cellStyle name="Финансовый 2 3 5 2 4 4" xfId="8603"/>
    <cellStyle name="Финансовый 2 3 5 2 5" xfId="1069"/>
    <cellStyle name="Финансовый 2 3 5 2 5 2" xfId="7109"/>
    <cellStyle name="Финансовый 2 3 5 2 6" xfId="657"/>
    <cellStyle name="Финансовый 2 3 5 2 6 2" xfId="6697"/>
    <cellStyle name="Финансовый 2 3 5 2 7" xfId="2846"/>
    <cellStyle name="Финансовый 2 3 5 2 8" xfId="4490"/>
    <cellStyle name="Финансовый 2 3 5 2 9" xfId="6277"/>
    <cellStyle name="Финансовый 2 3 5 3" xfId="385"/>
    <cellStyle name="Финансовый 2 3 5 3 2" xfId="2164"/>
    <cellStyle name="Финансовый 2 3 5 3 2 2" xfId="3809"/>
    <cellStyle name="Финансовый 2 3 5 3 2 3" xfId="5592"/>
    <cellStyle name="Финансовый 2 3 5 3 2 4" xfId="8202"/>
    <cellStyle name="Финансовый 2 3 5 3 3" xfId="1198"/>
    <cellStyle name="Финансовый 2 3 5 3 3 2" xfId="7238"/>
    <cellStyle name="Финансовый 2 3 5 3 4" xfId="805"/>
    <cellStyle name="Финансовый 2 3 5 3 4 2" xfId="6845"/>
    <cellStyle name="Финансовый 2 3 5 3 5" xfId="2982"/>
    <cellStyle name="Финансовый 2 3 5 3 6" xfId="4626"/>
    <cellStyle name="Финансовый 2 3 5 3 7" xfId="6425"/>
    <cellStyle name="Финансовый 2 3 5 4" xfId="1491"/>
    <cellStyle name="Финансовый 2 3 5 4 2" xfId="1908"/>
    <cellStyle name="Финансовый 2 3 5 4 2 2" xfId="3553"/>
    <cellStyle name="Финансовый 2 3 5 4 2 3" xfId="5336"/>
    <cellStyle name="Финансовый 2 3 5 4 2 4" xfId="7946"/>
    <cellStyle name="Финансовый 2 3 5 4 3" xfId="4919"/>
    <cellStyle name="Финансовый 2 3 5 4 4" xfId="7529"/>
    <cellStyle name="Финансовый 2 3 5 5" xfId="1784"/>
    <cellStyle name="Финансовый 2 3 5 5 2" xfId="3429"/>
    <cellStyle name="Финансовый 2 3 5 5 3" xfId="5212"/>
    <cellStyle name="Финансовый 2 3 5 5 4" xfId="7822"/>
    <cellStyle name="Финансовый 2 3 5 6" xfId="2429"/>
    <cellStyle name="Финансовый 2 3 5 6 2" xfId="4074"/>
    <cellStyle name="Финансовый 2 3 5 6 3" xfId="5857"/>
    <cellStyle name="Финансовый 2 3 5 6 4" xfId="8467"/>
    <cellStyle name="Финансовый 2 3 5 7" xfId="1656"/>
    <cellStyle name="Финансовый 2 3 5 7 2" xfId="3301"/>
    <cellStyle name="Финансовый 2 3 5 7 3" xfId="5084"/>
    <cellStyle name="Финансовый 2 3 5 7 4" xfId="7694"/>
    <cellStyle name="Финансовый 2 3 5 8" xfId="933"/>
    <cellStyle name="Финансовый 2 3 5 8 2" xfId="6973"/>
    <cellStyle name="Финансовый 2 3 5 9" xfId="521"/>
    <cellStyle name="Финансовый 2 3 5 9 2" xfId="6561"/>
    <cellStyle name="Финансовый 2 3 6" xfId="112"/>
    <cellStyle name="Финансовый 2 3 6 10" xfId="2722"/>
    <cellStyle name="Финансовый 2 3 6 11" xfId="4366"/>
    <cellStyle name="Финансовый 2 3 6 12" xfId="6153"/>
    <cellStyle name="Финансовый 2 3 6 2" xfId="248"/>
    <cellStyle name="Финансовый 2 3 6 2 2" xfId="1346"/>
    <cellStyle name="Финансовый 2 3 6 2 2 2" xfId="2304"/>
    <cellStyle name="Финансовый 2 3 6 2 2 2 2" xfId="3949"/>
    <cellStyle name="Финансовый 2 3 6 2 2 2 3" xfId="5732"/>
    <cellStyle name="Финансовый 2 3 6 2 2 2 4" xfId="8342"/>
    <cellStyle name="Финансовый 2 3 6 2 2 3" xfId="3130"/>
    <cellStyle name="Финансовый 2 3 6 2 2 4" xfId="4774"/>
    <cellStyle name="Финансовый 2 3 6 2 2 5" xfId="7386"/>
    <cellStyle name="Финансовый 2 3 6 2 3" xfId="2048"/>
    <cellStyle name="Финансовый 2 3 6 2 3 2" xfId="3693"/>
    <cellStyle name="Финансовый 2 3 6 2 3 3" xfId="5476"/>
    <cellStyle name="Финансовый 2 3 6 2 3 4" xfId="8086"/>
    <cellStyle name="Финансовый 2 3 6 2 4" xfId="2577"/>
    <cellStyle name="Финансовый 2 3 6 2 4 2" xfId="4222"/>
    <cellStyle name="Финансовый 2 3 6 2 4 3" xfId="6005"/>
    <cellStyle name="Финансовый 2 3 6 2 4 4" xfId="8615"/>
    <cellStyle name="Финансовый 2 3 6 2 5" xfId="1081"/>
    <cellStyle name="Финансовый 2 3 6 2 5 2" xfId="7121"/>
    <cellStyle name="Финансовый 2 3 6 2 6" xfId="669"/>
    <cellStyle name="Финансовый 2 3 6 2 6 2" xfId="6709"/>
    <cellStyle name="Финансовый 2 3 6 2 7" xfId="2858"/>
    <cellStyle name="Финансовый 2 3 6 2 8" xfId="4502"/>
    <cellStyle name="Финансовый 2 3 6 2 9" xfId="6289"/>
    <cellStyle name="Финансовый 2 3 6 3" xfId="397"/>
    <cellStyle name="Финансовый 2 3 6 3 2" xfId="2176"/>
    <cellStyle name="Финансовый 2 3 6 3 2 2" xfId="3821"/>
    <cellStyle name="Финансовый 2 3 6 3 2 3" xfId="5604"/>
    <cellStyle name="Финансовый 2 3 6 3 2 4" xfId="8214"/>
    <cellStyle name="Финансовый 2 3 6 3 3" xfId="1210"/>
    <cellStyle name="Финансовый 2 3 6 3 3 2" xfId="7250"/>
    <cellStyle name="Финансовый 2 3 6 3 4" xfId="817"/>
    <cellStyle name="Финансовый 2 3 6 3 4 2" xfId="6857"/>
    <cellStyle name="Финансовый 2 3 6 3 5" xfId="2994"/>
    <cellStyle name="Финансовый 2 3 6 3 6" xfId="4638"/>
    <cellStyle name="Финансовый 2 3 6 3 7" xfId="6437"/>
    <cellStyle name="Финансовый 2 3 6 4" xfId="1492"/>
    <cellStyle name="Финансовый 2 3 6 4 2" xfId="1920"/>
    <cellStyle name="Финансовый 2 3 6 4 2 2" xfId="3565"/>
    <cellStyle name="Финансовый 2 3 6 4 2 3" xfId="5348"/>
    <cellStyle name="Финансовый 2 3 6 4 2 4" xfId="7958"/>
    <cellStyle name="Финансовый 2 3 6 4 3" xfId="4920"/>
    <cellStyle name="Финансовый 2 3 6 4 4" xfId="7530"/>
    <cellStyle name="Финансовый 2 3 6 5" xfId="1796"/>
    <cellStyle name="Финансовый 2 3 6 5 2" xfId="3441"/>
    <cellStyle name="Финансовый 2 3 6 5 3" xfId="5224"/>
    <cellStyle name="Финансовый 2 3 6 5 4" xfId="7834"/>
    <cellStyle name="Финансовый 2 3 6 6" xfId="2441"/>
    <cellStyle name="Финансовый 2 3 6 6 2" xfId="4086"/>
    <cellStyle name="Финансовый 2 3 6 6 3" xfId="5869"/>
    <cellStyle name="Финансовый 2 3 6 6 4" xfId="8479"/>
    <cellStyle name="Финансовый 2 3 6 7" xfId="1668"/>
    <cellStyle name="Финансовый 2 3 6 7 2" xfId="3313"/>
    <cellStyle name="Финансовый 2 3 6 7 3" xfId="5096"/>
    <cellStyle name="Финансовый 2 3 6 7 4" xfId="7706"/>
    <cellStyle name="Финансовый 2 3 6 8" xfId="945"/>
    <cellStyle name="Финансовый 2 3 6 8 2" xfId="6985"/>
    <cellStyle name="Финансовый 2 3 6 9" xfId="533"/>
    <cellStyle name="Финансовый 2 3 6 9 2" xfId="6573"/>
    <cellStyle name="Финансовый 2 3 7" xfId="76"/>
    <cellStyle name="Финансовый 2 3 7 10" xfId="2686"/>
    <cellStyle name="Финансовый 2 3 7 11" xfId="4330"/>
    <cellStyle name="Финансовый 2 3 7 12" xfId="6117"/>
    <cellStyle name="Финансовый 2 3 7 2" xfId="212"/>
    <cellStyle name="Финансовый 2 3 7 2 2" xfId="1310"/>
    <cellStyle name="Финансовый 2 3 7 2 2 2" xfId="2268"/>
    <cellStyle name="Финансовый 2 3 7 2 2 2 2" xfId="3913"/>
    <cellStyle name="Финансовый 2 3 7 2 2 2 3" xfId="5696"/>
    <cellStyle name="Финансовый 2 3 7 2 2 2 4" xfId="8306"/>
    <cellStyle name="Финансовый 2 3 7 2 2 3" xfId="3094"/>
    <cellStyle name="Финансовый 2 3 7 2 2 4" xfId="4738"/>
    <cellStyle name="Финансовый 2 3 7 2 2 5" xfId="7350"/>
    <cellStyle name="Финансовый 2 3 7 2 3" xfId="2012"/>
    <cellStyle name="Финансовый 2 3 7 2 3 2" xfId="3657"/>
    <cellStyle name="Финансовый 2 3 7 2 3 3" xfId="5440"/>
    <cellStyle name="Финансовый 2 3 7 2 3 4" xfId="8050"/>
    <cellStyle name="Финансовый 2 3 7 2 4" xfId="2541"/>
    <cellStyle name="Финансовый 2 3 7 2 4 2" xfId="4186"/>
    <cellStyle name="Финансовый 2 3 7 2 4 3" xfId="5969"/>
    <cellStyle name="Финансовый 2 3 7 2 4 4" xfId="8579"/>
    <cellStyle name="Финансовый 2 3 7 2 5" xfId="1045"/>
    <cellStyle name="Финансовый 2 3 7 2 5 2" xfId="7085"/>
    <cellStyle name="Финансовый 2 3 7 2 6" xfId="633"/>
    <cellStyle name="Финансовый 2 3 7 2 6 2" xfId="6673"/>
    <cellStyle name="Финансовый 2 3 7 2 7" xfId="2822"/>
    <cellStyle name="Финансовый 2 3 7 2 8" xfId="4466"/>
    <cellStyle name="Финансовый 2 3 7 2 9" xfId="6253"/>
    <cellStyle name="Финансовый 2 3 7 3" xfId="361"/>
    <cellStyle name="Финансовый 2 3 7 3 2" xfId="2140"/>
    <cellStyle name="Финансовый 2 3 7 3 2 2" xfId="3785"/>
    <cellStyle name="Финансовый 2 3 7 3 2 3" xfId="5568"/>
    <cellStyle name="Финансовый 2 3 7 3 2 4" xfId="8178"/>
    <cellStyle name="Финансовый 2 3 7 3 3" xfId="1174"/>
    <cellStyle name="Финансовый 2 3 7 3 3 2" xfId="7214"/>
    <cellStyle name="Финансовый 2 3 7 3 4" xfId="781"/>
    <cellStyle name="Финансовый 2 3 7 3 4 2" xfId="6821"/>
    <cellStyle name="Финансовый 2 3 7 3 5" xfId="2958"/>
    <cellStyle name="Финансовый 2 3 7 3 6" xfId="4602"/>
    <cellStyle name="Финансовый 2 3 7 3 7" xfId="6401"/>
    <cellStyle name="Финансовый 2 3 7 4" xfId="1493"/>
    <cellStyle name="Финансовый 2 3 7 4 2" xfId="1884"/>
    <cellStyle name="Финансовый 2 3 7 4 2 2" xfId="3529"/>
    <cellStyle name="Финансовый 2 3 7 4 2 3" xfId="5312"/>
    <cellStyle name="Финансовый 2 3 7 4 2 4" xfId="7922"/>
    <cellStyle name="Финансовый 2 3 7 4 3" xfId="4921"/>
    <cellStyle name="Финансовый 2 3 7 4 4" xfId="7531"/>
    <cellStyle name="Финансовый 2 3 7 5" xfId="1760"/>
    <cellStyle name="Финансовый 2 3 7 5 2" xfId="3405"/>
    <cellStyle name="Финансовый 2 3 7 5 3" xfId="5188"/>
    <cellStyle name="Финансовый 2 3 7 5 4" xfId="7798"/>
    <cellStyle name="Финансовый 2 3 7 6" xfId="2405"/>
    <cellStyle name="Финансовый 2 3 7 6 2" xfId="4050"/>
    <cellStyle name="Финансовый 2 3 7 6 3" xfId="5833"/>
    <cellStyle name="Финансовый 2 3 7 6 4" xfId="8443"/>
    <cellStyle name="Финансовый 2 3 7 7" xfId="1632"/>
    <cellStyle name="Финансовый 2 3 7 7 2" xfId="3277"/>
    <cellStyle name="Финансовый 2 3 7 7 3" xfId="5060"/>
    <cellStyle name="Финансовый 2 3 7 7 4" xfId="7670"/>
    <cellStyle name="Финансовый 2 3 7 8" xfId="909"/>
    <cellStyle name="Финансовый 2 3 7 8 2" xfId="6949"/>
    <cellStyle name="Финансовый 2 3 7 9" xfId="497"/>
    <cellStyle name="Финансовый 2 3 7 9 2" xfId="6537"/>
    <cellStyle name="Финансовый 2 3 8" xfId="54"/>
    <cellStyle name="Финансовый 2 3 8 10" xfId="2666"/>
    <cellStyle name="Финансовый 2 3 8 11" xfId="4309"/>
    <cellStyle name="Финансовый 2 3 8 12" xfId="6097"/>
    <cellStyle name="Финансовый 2 3 8 2" xfId="192"/>
    <cellStyle name="Финансовый 2 3 8 2 2" xfId="1290"/>
    <cellStyle name="Финансовый 2 3 8 2 2 2" xfId="2256"/>
    <cellStyle name="Финансовый 2 3 8 2 2 2 2" xfId="3901"/>
    <cellStyle name="Финансовый 2 3 8 2 2 2 3" xfId="5684"/>
    <cellStyle name="Финансовый 2 3 8 2 2 2 4" xfId="8294"/>
    <cellStyle name="Финансовый 2 3 8 2 2 3" xfId="3074"/>
    <cellStyle name="Финансовый 2 3 8 2 2 4" xfId="4718"/>
    <cellStyle name="Финансовый 2 3 8 2 2 5" xfId="7330"/>
    <cellStyle name="Финансовый 2 3 8 2 3" xfId="2000"/>
    <cellStyle name="Финансовый 2 3 8 2 3 2" xfId="3645"/>
    <cellStyle name="Финансовый 2 3 8 2 3 3" xfId="5428"/>
    <cellStyle name="Финансовый 2 3 8 2 3 4" xfId="8038"/>
    <cellStyle name="Финансовый 2 3 8 2 4" xfId="2521"/>
    <cellStyle name="Финансовый 2 3 8 2 4 2" xfId="4166"/>
    <cellStyle name="Финансовый 2 3 8 2 4 3" xfId="5949"/>
    <cellStyle name="Финансовый 2 3 8 2 4 4" xfId="8559"/>
    <cellStyle name="Финансовый 2 3 8 2 5" xfId="1025"/>
    <cellStyle name="Финансовый 2 3 8 2 5 2" xfId="7065"/>
    <cellStyle name="Финансовый 2 3 8 2 6" xfId="613"/>
    <cellStyle name="Финансовый 2 3 8 2 6 2" xfId="6653"/>
    <cellStyle name="Финансовый 2 3 8 2 7" xfId="2802"/>
    <cellStyle name="Финансовый 2 3 8 2 8" xfId="4446"/>
    <cellStyle name="Финансовый 2 3 8 2 9" xfId="6233"/>
    <cellStyle name="Финансовый 2 3 8 3" xfId="341"/>
    <cellStyle name="Финансовый 2 3 8 3 2" xfId="2128"/>
    <cellStyle name="Финансовый 2 3 8 3 2 2" xfId="3773"/>
    <cellStyle name="Финансовый 2 3 8 3 2 3" xfId="5556"/>
    <cellStyle name="Финансовый 2 3 8 3 2 4" xfId="8166"/>
    <cellStyle name="Финансовый 2 3 8 3 3" xfId="1161"/>
    <cellStyle name="Финансовый 2 3 8 3 3 2" xfId="7201"/>
    <cellStyle name="Финансовый 2 3 8 3 4" xfId="761"/>
    <cellStyle name="Финансовый 2 3 8 3 4 2" xfId="6801"/>
    <cellStyle name="Финансовый 2 3 8 3 5" xfId="2938"/>
    <cellStyle name="Финансовый 2 3 8 3 6" xfId="4582"/>
    <cellStyle name="Финансовый 2 3 8 3 7" xfId="6381"/>
    <cellStyle name="Финансовый 2 3 8 4" xfId="1494"/>
    <cellStyle name="Финансовый 2 3 8 4 2" xfId="1864"/>
    <cellStyle name="Финансовый 2 3 8 4 2 2" xfId="3509"/>
    <cellStyle name="Финансовый 2 3 8 4 2 3" xfId="5292"/>
    <cellStyle name="Финансовый 2 3 8 4 2 4" xfId="7902"/>
    <cellStyle name="Финансовый 2 3 8 4 3" xfId="4922"/>
    <cellStyle name="Финансовый 2 3 8 4 4" xfId="7532"/>
    <cellStyle name="Финансовый 2 3 8 5" xfId="1748"/>
    <cellStyle name="Финансовый 2 3 8 5 2" xfId="3393"/>
    <cellStyle name="Финансовый 2 3 8 5 3" xfId="5176"/>
    <cellStyle name="Финансовый 2 3 8 5 4" xfId="7786"/>
    <cellStyle name="Финансовый 2 3 8 6" xfId="2384"/>
    <cellStyle name="Финансовый 2 3 8 6 2" xfId="4029"/>
    <cellStyle name="Финансовый 2 3 8 6 3" xfId="5812"/>
    <cellStyle name="Финансовый 2 3 8 6 4" xfId="8422"/>
    <cellStyle name="Финансовый 2 3 8 7" xfId="1611"/>
    <cellStyle name="Финансовый 2 3 8 7 2" xfId="3256"/>
    <cellStyle name="Финансовый 2 3 8 7 3" xfId="5039"/>
    <cellStyle name="Финансовый 2 3 8 7 4" xfId="7649"/>
    <cellStyle name="Финансовый 2 3 8 8" xfId="897"/>
    <cellStyle name="Финансовый 2 3 8 8 2" xfId="6937"/>
    <cellStyle name="Финансовый 2 3 8 9" xfId="477"/>
    <cellStyle name="Финансовый 2 3 8 9 2" xfId="6517"/>
    <cellStyle name="Финансовый 2 3 9" xfId="132"/>
    <cellStyle name="Финансовый 2 3 9 10" xfId="2742"/>
    <cellStyle name="Финансовый 2 3 9 11" xfId="4386"/>
    <cellStyle name="Финансовый 2 3 9 12" xfId="6173"/>
    <cellStyle name="Финансовый 2 3 9 2" xfId="268"/>
    <cellStyle name="Финансовый 2 3 9 2 2" xfId="1366"/>
    <cellStyle name="Финансовый 2 3 9 2 2 2" xfId="2324"/>
    <cellStyle name="Финансовый 2 3 9 2 2 2 2" xfId="3969"/>
    <cellStyle name="Финансовый 2 3 9 2 2 2 3" xfId="5752"/>
    <cellStyle name="Финансовый 2 3 9 2 2 2 4" xfId="8362"/>
    <cellStyle name="Финансовый 2 3 9 2 2 3" xfId="3150"/>
    <cellStyle name="Финансовый 2 3 9 2 2 4" xfId="4794"/>
    <cellStyle name="Финансовый 2 3 9 2 2 5" xfId="7406"/>
    <cellStyle name="Финансовый 2 3 9 2 3" xfId="2068"/>
    <cellStyle name="Финансовый 2 3 9 2 3 2" xfId="3713"/>
    <cellStyle name="Финансовый 2 3 9 2 3 3" xfId="5496"/>
    <cellStyle name="Финансовый 2 3 9 2 3 4" xfId="8106"/>
    <cellStyle name="Финансовый 2 3 9 2 4" xfId="2597"/>
    <cellStyle name="Финансовый 2 3 9 2 4 2" xfId="4242"/>
    <cellStyle name="Финансовый 2 3 9 2 4 3" xfId="6025"/>
    <cellStyle name="Финансовый 2 3 9 2 4 4" xfId="8635"/>
    <cellStyle name="Финансовый 2 3 9 2 5" xfId="1101"/>
    <cellStyle name="Финансовый 2 3 9 2 5 2" xfId="7141"/>
    <cellStyle name="Финансовый 2 3 9 2 6" xfId="689"/>
    <cellStyle name="Финансовый 2 3 9 2 6 2" xfId="6729"/>
    <cellStyle name="Финансовый 2 3 9 2 7" xfId="2878"/>
    <cellStyle name="Финансовый 2 3 9 2 8" xfId="4522"/>
    <cellStyle name="Финансовый 2 3 9 2 9" xfId="6309"/>
    <cellStyle name="Финансовый 2 3 9 3" xfId="417"/>
    <cellStyle name="Финансовый 2 3 9 3 2" xfId="2196"/>
    <cellStyle name="Финансовый 2 3 9 3 2 2" xfId="3841"/>
    <cellStyle name="Финансовый 2 3 9 3 2 3" xfId="5624"/>
    <cellStyle name="Финансовый 2 3 9 3 2 4" xfId="8234"/>
    <cellStyle name="Финансовый 2 3 9 3 3" xfId="1230"/>
    <cellStyle name="Финансовый 2 3 9 3 3 2" xfId="7270"/>
    <cellStyle name="Финансовый 2 3 9 3 4" xfId="837"/>
    <cellStyle name="Финансовый 2 3 9 3 4 2" xfId="6877"/>
    <cellStyle name="Финансовый 2 3 9 3 5" xfId="3014"/>
    <cellStyle name="Финансовый 2 3 9 3 6" xfId="4658"/>
    <cellStyle name="Финансовый 2 3 9 3 7" xfId="6457"/>
    <cellStyle name="Финансовый 2 3 9 4" xfId="1495"/>
    <cellStyle name="Финансовый 2 3 9 4 2" xfId="1940"/>
    <cellStyle name="Финансовый 2 3 9 4 2 2" xfId="3585"/>
    <cellStyle name="Финансовый 2 3 9 4 2 3" xfId="5368"/>
    <cellStyle name="Финансовый 2 3 9 4 2 4" xfId="7978"/>
    <cellStyle name="Финансовый 2 3 9 4 3" xfId="4923"/>
    <cellStyle name="Финансовый 2 3 9 4 4" xfId="7533"/>
    <cellStyle name="Финансовый 2 3 9 5" xfId="1816"/>
    <cellStyle name="Финансовый 2 3 9 5 2" xfId="3461"/>
    <cellStyle name="Финансовый 2 3 9 5 3" xfId="5244"/>
    <cellStyle name="Финансовый 2 3 9 5 4" xfId="7854"/>
    <cellStyle name="Финансовый 2 3 9 6" xfId="2461"/>
    <cellStyle name="Финансовый 2 3 9 6 2" xfId="4106"/>
    <cellStyle name="Финансовый 2 3 9 6 3" xfId="5889"/>
    <cellStyle name="Финансовый 2 3 9 6 4" xfId="8499"/>
    <cellStyle name="Финансовый 2 3 9 7" xfId="1688"/>
    <cellStyle name="Финансовый 2 3 9 7 2" xfId="3333"/>
    <cellStyle name="Финансовый 2 3 9 7 3" xfId="5116"/>
    <cellStyle name="Финансовый 2 3 9 7 4" xfId="7726"/>
    <cellStyle name="Финансовый 2 3 9 8" xfId="965"/>
    <cellStyle name="Финансовый 2 3 9 8 2" xfId="7005"/>
    <cellStyle name="Финансовый 2 3 9 9" xfId="553"/>
    <cellStyle name="Финансовый 2 3 9 9 2" xfId="6593"/>
    <cellStyle name="Финансовый 2 4" xfId="8"/>
    <cellStyle name="Финансовый 2 4 10" xfId="282"/>
    <cellStyle name="Финансовый 2 4 10 2" xfId="2082"/>
    <cellStyle name="Финансовый 2 4 10 2 2" xfId="3727"/>
    <cellStyle name="Финансовый 2 4 10 2 3" xfId="5510"/>
    <cellStyle name="Финансовый 2 4 10 2 4" xfId="8120"/>
    <cellStyle name="Финансовый 2 4 10 3" xfId="1380"/>
    <cellStyle name="Финансовый 2 4 10 3 2" xfId="7420"/>
    <cellStyle name="Финансовый 2 4 10 4" xfId="703"/>
    <cellStyle name="Финансовый 2 4 10 4 2" xfId="6743"/>
    <cellStyle name="Финансовый 2 4 10 5" xfId="3164"/>
    <cellStyle name="Финансовый 2 4 10 6" xfId="4808"/>
    <cellStyle name="Финансовый 2 4 10 7" xfId="6323"/>
    <cellStyle name="Финансовый 2 4 11" xfId="295"/>
    <cellStyle name="Финансовый 2 4 11 2" xfId="1115"/>
    <cellStyle name="Финансовый 2 4 11 2 2" xfId="7155"/>
    <cellStyle name="Финансовый 2 4 11 3" xfId="715"/>
    <cellStyle name="Финансовый 2 4 11 3 2" xfId="6755"/>
    <cellStyle name="Финансовый 2 4 11 4" xfId="2892"/>
    <cellStyle name="Финансовый 2 4 11 5" xfId="4536"/>
    <cellStyle name="Финансовый 2 4 11 6" xfId="6335"/>
    <cellStyle name="Финансовый 2 4 12" xfId="1497"/>
    <cellStyle name="Финансовый 2 4 12 2" xfId="1702"/>
    <cellStyle name="Финансовый 2 4 12 2 2" xfId="3347"/>
    <cellStyle name="Финансовый 2 4 12 2 3" xfId="5130"/>
    <cellStyle name="Финансовый 2 4 12 2 4" xfId="7740"/>
    <cellStyle name="Финансовый 2 4 12 3" xfId="4925"/>
    <cellStyle name="Финансовый 2 4 12 4" xfId="7535"/>
    <cellStyle name="Финансовый 2 4 13" xfId="2338"/>
    <cellStyle name="Финансовый 2 4 13 2" xfId="3983"/>
    <cellStyle name="Финансовый 2 4 13 3" xfId="5766"/>
    <cellStyle name="Финансовый 2 4 13 4" xfId="8376"/>
    <cellStyle name="Финансовый 2 4 14" xfId="1565"/>
    <cellStyle name="Финансовый 2 4 14 2" xfId="3210"/>
    <cellStyle name="Финансовый 2 4 14 3" xfId="4993"/>
    <cellStyle name="Финансовый 2 4 14 4" xfId="7603"/>
    <cellStyle name="Финансовый 2 4 15" xfId="851"/>
    <cellStyle name="Финансовый 2 4 15 2" xfId="6891"/>
    <cellStyle name="Финансовый 2 4 16" xfId="431"/>
    <cellStyle name="Финансовый 2 4 16 2" xfId="6471"/>
    <cellStyle name="Финансовый 2 4 17" xfId="2620"/>
    <cellStyle name="Финансовый 2 4 18" xfId="4263"/>
    <cellStyle name="Финансовый 2 4 19" xfId="6051"/>
    <cellStyle name="Финансовый 2 4 2" xfId="44"/>
    <cellStyle name="Финансовый 2 4 2 10" xfId="467"/>
    <cellStyle name="Финансовый 2 4 2 10 2" xfId="6507"/>
    <cellStyle name="Финансовый 2 4 2 11" xfId="2656"/>
    <cellStyle name="Финансовый 2 4 2 12" xfId="4299"/>
    <cellStyle name="Финансовый 2 4 2 13" xfId="6087"/>
    <cellStyle name="Финансовый 2 4 2 2" xfId="102"/>
    <cellStyle name="Финансовый 2 4 2 2 10" xfId="2712"/>
    <cellStyle name="Финансовый 2 4 2 2 11" xfId="4356"/>
    <cellStyle name="Финансовый 2 4 2 2 12" xfId="6143"/>
    <cellStyle name="Финансовый 2 4 2 2 2" xfId="238"/>
    <cellStyle name="Финансовый 2 4 2 2 2 2" xfId="1336"/>
    <cellStyle name="Финансовый 2 4 2 2 2 2 2" xfId="2294"/>
    <cellStyle name="Финансовый 2 4 2 2 2 2 2 2" xfId="3939"/>
    <cellStyle name="Финансовый 2 4 2 2 2 2 2 3" xfId="5722"/>
    <cellStyle name="Финансовый 2 4 2 2 2 2 2 4" xfId="8332"/>
    <cellStyle name="Финансовый 2 4 2 2 2 2 3" xfId="3120"/>
    <cellStyle name="Финансовый 2 4 2 2 2 2 4" xfId="4764"/>
    <cellStyle name="Финансовый 2 4 2 2 2 2 5" xfId="7376"/>
    <cellStyle name="Финансовый 2 4 2 2 2 3" xfId="2038"/>
    <cellStyle name="Финансовый 2 4 2 2 2 3 2" xfId="3683"/>
    <cellStyle name="Финансовый 2 4 2 2 2 3 3" xfId="5466"/>
    <cellStyle name="Финансовый 2 4 2 2 2 3 4" xfId="8076"/>
    <cellStyle name="Финансовый 2 4 2 2 2 4" xfId="2567"/>
    <cellStyle name="Финансовый 2 4 2 2 2 4 2" xfId="4212"/>
    <cellStyle name="Финансовый 2 4 2 2 2 4 3" xfId="5995"/>
    <cellStyle name="Финансовый 2 4 2 2 2 4 4" xfId="8605"/>
    <cellStyle name="Финансовый 2 4 2 2 2 5" xfId="1071"/>
    <cellStyle name="Финансовый 2 4 2 2 2 5 2" xfId="7111"/>
    <cellStyle name="Финансовый 2 4 2 2 2 6" xfId="659"/>
    <cellStyle name="Финансовый 2 4 2 2 2 6 2" xfId="6699"/>
    <cellStyle name="Финансовый 2 4 2 2 2 7" xfId="2848"/>
    <cellStyle name="Финансовый 2 4 2 2 2 8" xfId="4492"/>
    <cellStyle name="Финансовый 2 4 2 2 2 9" xfId="6279"/>
    <cellStyle name="Финансовый 2 4 2 2 3" xfId="387"/>
    <cellStyle name="Финансовый 2 4 2 2 3 2" xfId="2166"/>
    <cellStyle name="Финансовый 2 4 2 2 3 2 2" xfId="3811"/>
    <cellStyle name="Финансовый 2 4 2 2 3 2 3" xfId="5594"/>
    <cellStyle name="Финансовый 2 4 2 2 3 2 4" xfId="8204"/>
    <cellStyle name="Финансовый 2 4 2 2 3 3" xfId="1200"/>
    <cellStyle name="Финансовый 2 4 2 2 3 3 2" xfId="7240"/>
    <cellStyle name="Финансовый 2 4 2 2 3 4" xfId="807"/>
    <cellStyle name="Финансовый 2 4 2 2 3 4 2" xfId="6847"/>
    <cellStyle name="Финансовый 2 4 2 2 3 5" xfId="2984"/>
    <cellStyle name="Финансовый 2 4 2 2 3 6" xfId="4628"/>
    <cellStyle name="Финансовый 2 4 2 2 3 7" xfId="6427"/>
    <cellStyle name="Финансовый 2 4 2 2 4" xfId="1499"/>
    <cellStyle name="Финансовый 2 4 2 2 4 2" xfId="1910"/>
    <cellStyle name="Финансовый 2 4 2 2 4 2 2" xfId="3555"/>
    <cellStyle name="Финансовый 2 4 2 2 4 2 3" xfId="5338"/>
    <cellStyle name="Финансовый 2 4 2 2 4 2 4" xfId="7948"/>
    <cellStyle name="Финансовый 2 4 2 2 4 3" xfId="4927"/>
    <cellStyle name="Финансовый 2 4 2 2 4 4" xfId="7537"/>
    <cellStyle name="Финансовый 2 4 2 2 5" xfId="1786"/>
    <cellStyle name="Финансовый 2 4 2 2 5 2" xfId="3431"/>
    <cellStyle name="Финансовый 2 4 2 2 5 3" xfId="5214"/>
    <cellStyle name="Финансовый 2 4 2 2 5 4" xfId="7824"/>
    <cellStyle name="Финансовый 2 4 2 2 6" xfId="2431"/>
    <cellStyle name="Финансовый 2 4 2 2 6 2" xfId="4076"/>
    <cellStyle name="Финансовый 2 4 2 2 6 3" xfId="5859"/>
    <cellStyle name="Финансовый 2 4 2 2 6 4" xfId="8469"/>
    <cellStyle name="Финансовый 2 4 2 2 7" xfId="1658"/>
    <cellStyle name="Финансовый 2 4 2 2 7 2" xfId="3303"/>
    <cellStyle name="Финансовый 2 4 2 2 7 3" xfId="5086"/>
    <cellStyle name="Финансовый 2 4 2 2 7 4" xfId="7696"/>
    <cellStyle name="Финансовый 2 4 2 2 8" xfId="935"/>
    <cellStyle name="Финансовый 2 4 2 2 8 2" xfId="6975"/>
    <cellStyle name="Финансовый 2 4 2 2 9" xfId="523"/>
    <cellStyle name="Финансовый 2 4 2 2 9 2" xfId="6563"/>
    <cellStyle name="Финансовый 2 4 2 3" xfId="182"/>
    <cellStyle name="Финансовый 2 4 2 3 2" xfId="1280"/>
    <cellStyle name="Финансовый 2 4 2 3 2 2" xfId="2246"/>
    <cellStyle name="Финансовый 2 4 2 3 2 2 2" xfId="3891"/>
    <cellStyle name="Финансовый 2 4 2 3 2 2 3" xfId="5674"/>
    <cellStyle name="Финансовый 2 4 2 3 2 2 4" xfId="8284"/>
    <cellStyle name="Финансовый 2 4 2 3 2 3" xfId="3064"/>
    <cellStyle name="Финансовый 2 4 2 3 2 4" xfId="4708"/>
    <cellStyle name="Финансовый 2 4 2 3 2 5" xfId="7320"/>
    <cellStyle name="Финансовый 2 4 2 3 3" xfId="1990"/>
    <cellStyle name="Финансовый 2 4 2 3 3 2" xfId="3635"/>
    <cellStyle name="Финансовый 2 4 2 3 3 3" xfId="5418"/>
    <cellStyle name="Финансовый 2 4 2 3 3 4" xfId="8028"/>
    <cellStyle name="Финансовый 2 4 2 3 4" xfId="2511"/>
    <cellStyle name="Финансовый 2 4 2 3 4 2" xfId="4156"/>
    <cellStyle name="Финансовый 2 4 2 3 4 3" xfId="5939"/>
    <cellStyle name="Финансовый 2 4 2 3 4 4" xfId="8549"/>
    <cellStyle name="Финансовый 2 4 2 3 5" xfId="1015"/>
    <cellStyle name="Финансовый 2 4 2 3 5 2" xfId="7055"/>
    <cellStyle name="Финансовый 2 4 2 3 6" xfId="603"/>
    <cellStyle name="Финансовый 2 4 2 3 6 2" xfId="6643"/>
    <cellStyle name="Финансовый 2 4 2 3 7" xfId="2792"/>
    <cellStyle name="Финансовый 2 4 2 3 8" xfId="4436"/>
    <cellStyle name="Финансовый 2 4 2 3 9" xfId="6223"/>
    <cellStyle name="Финансовый 2 4 2 4" xfId="331"/>
    <cellStyle name="Финансовый 2 4 2 4 2" xfId="2118"/>
    <cellStyle name="Финансовый 2 4 2 4 2 2" xfId="3763"/>
    <cellStyle name="Финансовый 2 4 2 4 2 3" xfId="5546"/>
    <cellStyle name="Финансовый 2 4 2 4 2 4" xfId="8156"/>
    <cellStyle name="Финансовый 2 4 2 4 3" xfId="1151"/>
    <cellStyle name="Финансовый 2 4 2 4 3 2" xfId="7191"/>
    <cellStyle name="Финансовый 2 4 2 4 4" xfId="751"/>
    <cellStyle name="Финансовый 2 4 2 4 4 2" xfId="6791"/>
    <cellStyle name="Финансовый 2 4 2 4 5" xfId="2928"/>
    <cellStyle name="Финансовый 2 4 2 4 6" xfId="4572"/>
    <cellStyle name="Финансовый 2 4 2 4 7" xfId="6371"/>
    <cellStyle name="Финансовый 2 4 2 5" xfId="1498"/>
    <cellStyle name="Финансовый 2 4 2 5 2" xfId="1854"/>
    <cellStyle name="Финансовый 2 4 2 5 2 2" xfId="3499"/>
    <cellStyle name="Финансовый 2 4 2 5 2 3" xfId="5282"/>
    <cellStyle name="Финансовый 2 4 2 5 2 4" xfId="7892"/>
    <cellStyle name="Финансовый 2 4 2 5 3" xfId="4926"/>
    <cellStyle name="Финансовый 2 4 2 5 4" xfId="7536"/>
    <cellStyle name="Финансовый 2 4 2 6" xfId="1738"/>
    <cellStyle name="Финансовый 2 4 2 6 2" xfId="3383"/>
    <cellStyle name="Финансовый 2 4 2 6 3" xfId="5166"/>
    <cellStyle name="Финансовый 2 4 2 6 4" xfId="7776"/>
    <cellStyle name="Финансовый 2 4 2 7" xfId="2374"/>
    <cellStyle name="Финансовый 2 4 2 7 2" xfId="4019"/>
    <cellStyle name="Финансовый 2 4 2 7 3" xfId="5802"/>
    <cellStyle name="Финансовый 2 4 2 7 4" xfId="8412"/>
    <cellStyle name="Финансовый 2 4 2 8" xfId="1601"/>
    <cellStyle name="Финансовый 2 4 2 8 2" xfId="3246"/>
    <cellStyle name="Финансовый 2 4 2 8 3" xfId="5029"/>
    <cellStyle name="Финансовый 2 4 2 8 4" xfId="7639"/>
    <cellStyle name="Финансовый 2 4 2 9" xfId="887"/>
    <cellStyle name="Финансовый 2 4 2 9 2" xfId="6927"/>
    <cellStyle name="Финансовый 2 4 3" xfId="114"/>
    <cellStyle name="Финансовый 2 4 3 10" xfId="2724"/>
    <cellStyle name="Финансовый 2 4 3 11" xfId="4368"/>
    <cellStyle name="Финансовый 2 4 3 12" xfId="6155"/>
    <cellStyle name="Финансовый 2 4 3 2" xfId="250"/>
    <cellStyle name="Финансовый 2 4 3 2 2" xfId="1348"/>
    <cellStyle name="Финансовый 2 4 3 2 2 2" xfId="2306"/>
    <cellStyle name="Финансовый 2 4 3 2 2 2 2" xfId="3951"/>
    <cellStyle name="Финансовый 2 4 3 2 2 2 3" xfId="5734"/>
    <cellStyle name="Финансовый 2 4 3 2 2 2 4" xfId="8344"/>
    <cellStyle name="Финансовый 2 4 3 2 2 3" xfId="3132"/>
    <cellStyle name="Финансовый 2 4 3 2 2 4" xfId="4776"/>
    <cellStyle name="Финансовый 2 4 3 2 2 5" xfId="7388"/>
    <cellStyle name="Финансовый 2 4 3 2 3" xfId="2050"/>
    <cellStyle name="Финансовый 2 4 3 2 3 2" xfId="3695"/>
    <cellStyle name="Финансовый 2 4 3 2 3 3" xfId="5478"/>
    <cellStyle name="Финансовый 2 4 3 2 3 4" xfId="8088"/>
    <cellStyle name="Финансовый 2 4 3 2 4" xfId="2579"/>
    <cellStyle name="Финансовый 2 4 3 2 4 2" xfId="4224"/>
    <cellStyle name="Финансовый 2 4 3 2 4 3" xfId="6007"/>
    <cellStyle name="Финансовый 2 4 3 2 4 4" xfId="8617"/>
    <cellStyle name="Финансовый 2 4 3 2 5" xfId="1083"/>
    <cellStyle name="Финансовый 2 4 3 2 5 2" xfId="7123"/>
    <cellStyle name="Финансовый 2 4 3 2 6" xfId="671"/>
    <cellStyle name="Финансовый 2 4 3 2 6 2" xfId="6711"/>
    <cellStyle name="Финансовый 2 4 3 2 7" xfId="2860"/>
    <cellStyle name="Финансовый 2 4 3 2 8" xfId="4504"/>
    <cellStyle name="Финансовый 2 4 3 2 9" xfId="6291"/>
    <cellStyle name="Финансовый 2 4 3 3" xfId="399"/>
    <cellStyle name="Финансовый 2 4 3 3 2" xfId="2178"/>
    <cellStyle name="Финансовый 2 4 3 3 2 2" xfId="3823"/>
    <cellStyle name="Финансовый 2 4 3 3 2 3" xfId="5606"/>
    <cellStyle name="Финансовый 2 4 3 3 2 4" xfId="8216"/>
    <cellStyle name="Финансовый 2 4 3 3 3" xfId="1212"/>
    <cellStyle name="Финансовый 2 4 3 3 3 2" xfId="7252"/>
    <cellStyle name="Финансовый 2 4 3 3 4" xfId="819"/>
    <cellStyle name="Финансовый 2 4 3 3 4 2" xfId="6859"/>
    <cellStyle name="Финансовый 2 4 3 3 5" xfId="2996"/>
    <cellStyle name="Финансовый 2 4 3 3 6" xfId="4640"/>
    <cellStyle name="Финансовый 2 4 3 3 7" xfId="6439"/>
    <cellStyle name="Финансовый 2 4 3 4" xfId="1500"/>
    <cellStyle name="Финансовый 2 4 3 4 2" xfId="1922"/>
    <cellStyle name="Финансовый 2 4 3 4 2 2" xfId="3567"/>
    <cellStyle name="Финансовый 2 4 3 4 2 3" xfId="5350"/>
    <cellStyle name="Финансовый 2 4 3 4 2 4" xfId="7960"/>
    <cellStyle name="Финансовый 2 4 3 4 3" xfId="4928"/>
    <cellStyle name="Финансовый 2 4 3 4 4" xfId="7538"/>
    <cellStyle name="Финансовый 2 4 3 5" xfId="1798"/>
    <cellStyle name="Финансовый 2 4 3 5 2" xfId="3443"/>
    <cellStyle name="Финансовый 2 4 3 5 3" xfId="5226"/>
    <cellStyle name="Финансовый 2 4 3 5 4" xfId="7836"/>
    <cellStyle name="Финансовый 2 4 3 6" xfId="2443"/>
    <cellStyle name="Финансовый 2 4 3 6 2" xfId="4088"/>
    <cellStyle name="Финансовый 2 4 3 6 3" xfId="5871"/>
    <cellStyle name="Финансовый 2 4 3 6 4" xfId="8481"/>
    <cellStyle name="Финансовый 2 4 3 7" xfId="1670"/>
    <cellStyle name="Финансовый 2 4 3 7 2" xfId="3315"/>
    <cellStyle name="Финансовый 2 4 3 7 3" xfId="5098"/>
    <cellStyle name="Финансовый 2 4 3 7 4" xfId="7708"/>
    <cellStyle name="Финансовый 2 4 3 8" xfId="947"/>
    <cellStyle name="Финансовый 2 4 3 8 2" xfId="6987"/>
    <cellStyle name="Финансовый 2 4 3 9" xfId="535"/>
    <cellStyle name="Финансовый 2 4 3 9 2" xfId="6575"/>
    <cellStyle name="Финансовый 2 4 4" xfId="78"/>
    <cellStyle name="Финансовый 2 4 4 10" xfId="2688"/>
    <cellStyle name="Финансовый 2 4 4 11" xfId="4332"/>
    <cellStyle name="Финансовый 2 4 4 12" xfId="6119"/>
    <cellStyle name="Финансовый 2 4 4 2" xfId="214"/>
    <cellStyle name="Финансовый 2 4 4 2 2" xfId="1312"/>
    <cellStyle name="Финансовый 2 4 4 2 2 2" xfId="2270"/>
    <cellStyle name="Финансовый 2 4 4 2 2 2 2" xfId="3915"/>
    <cellStyle name="Финансовый 2 4 4 2 2 2 3" xfId="5698"/>
    <cellStyle name="Финансовый 2 4 4 2 2 2 4" xfId="8308"/>
    <cellStyle name="Финансовый 2 4 4 2 2 3" xfId="3096"/>
    <cellStyle name="Финансовый 2 4 4 2 2 4" xfId="4740"/>
    <cellStyle name="Финансовый 2 4 4 2 2 5" xfId="7352"/>
    <cellStyle name="Финансовый 2 4 4 2 3" xfId="2014"/>
    <cellStyle name="Финансовый 2 4 4 2 3 2" xfId="3659"/>
    <cellStyle name="Финансовый 2 4 4 2 3 3" xfId="5442"/>
    <cellStyle name="Финансовый 2 4 4 2 3 4" xfId="8052"/>
    <cellStyle name="Финансовый 2 4 4 2 4" xfId="2543"/>
    <cellStyle name="Финансовый 2 4 4 2 4 2" xfId="4188"/>
    <cellStyle name="Финансовый 2 4 4 2 4 3" xfId="5971"/>
    <cellStyle name="Финансовый 2 4 4 2 4 4" xfId="8581"/>
    <cellStyle name="Финансовый 2 4 4 2 5" xfId="1047"/>
    <cellStyle name="Финансовый 2 4 4 2 5 2" xfId="7087"/>
    <cellStyle name="Финансовый 2 4 4 2 6" xfId="635"/>
    <cellStyle name="Финансовый 2 4 4 2 6 2" xfId="6675"/>
    <cellStyle name="Финансовый 2 4 4 2 7" xfId="2824"/>
    <cellStyle name="Финансовый 2 4 4 2 8" xfId="4468"/>
    <cellStyle name="Финансовый 2 4 4 2 9" xfId="6255"/>
    <cellStyle name="Финансовый 2 4 4 3" xfId="363"/>
    <cellStyle name="Финансовый 2 4 4 3 2" xfId="2142"/>
    <cellStyle name="Финансовый 2 4 4 3 2 2" xfId="3787"/>
    <cellStyle name="Финансовый 2 4 4 3 2 3" xfId="5570"/>
    <cellStyle name="Финансовый 2 4 4 3 2 4" xfId="8180"/>
    <cellStyle name="Финансовый 2 4 4 3 3" xfId="1176"/>
    <cellStyle name="Финансовый 2 4 4 3 3 2" xfId="7216"/>
    <cellStyle name="Финансовый 2 4 4 3 4" xfId="783"/>
    <cellStyle name="Финансовый 2 4 4 3 4 2" xfId="6823"/>
    <cellStyle name="Финансовый 2 4 4 3 5" xfId="2960"/>
    <cellStyle name="Финансовый 2 4 4 3 6" xfId="4604"/>
    <cellStyle name="Финансовый 2 4 4 3 7" xfId="6403"/>
    <cellStyle name="Финансовый 2 4 4 4" xfId="1501"/>
    <cellStyle name="Финансовый 2 4 4 4 2" xfId="1886"/>
    <cellStyle name="Финансовый 2 4 4 4 2 2" xfId="3531"/>
    <cellStyle name="Финансовый 2 4 4 4 2 3" xfId="5314"/>
    <cellStyle name="Финансовый 2 4 4 4 2 4" xfId="7924"/>
    <cellStyle name="Финансовый 2 4 4 4 3" xfId="4929"/>
    <cellStyle name="Финансовый 2 4 4 4 4" xfId="7539"/>
    <cellStyle name="Финансовый 2 4 4 5" xfId="1762"/>
    <cellStyle name="Финансовый 2 4 4 5 2" xfId="3407"/>
    <cellStyle name="Финансовый 2 4 4 5 3" xfId="5190"/>
    <cellStyle name="Финансовый 2 4 4 5 4" xfId="7800"/>
    <cellStyle name="Финансовый 2 4 4 6" xfId="2407"/>
    <cellStyle name="Финансовый 2 4 4 6 2" xfId="4052"/>
    <cellStyle name="Финансовый 2 4 4 6 3" xfId="5835"/>
    <cellStyle name="Финансовый 2 4 4 6 4" xfId="8445"/>
    <cellStyle name="Финансовый 2 4 4 7" xfId="1634"/>
    <cellStyle name="Финансовый 2 4 4 7 2" xfId="3279"/>
    <cellStyle name="Финансовый 2 4 4 7 3" xfId="5062"/>
    <cellStyle name="Финансовый 2 4 4 7 4" xfId="7672"/>
    <cellStyle name="Финансовый 2 4 4 8" xfId="911"/>
    <cellStyle name="Финансовый 2 4 4 8 2" xfId="6951"/>
    <cellStyle name="Финансовый 2 4 4 9" xfId="499"/>
    <cellStyle name="Финансовый 2 4 4 9 2" xfId="6539"/>
    <cellStyle name="Финансовый 2 4 5" xfId="56"/>
    <cellStyle name="Финансовый 2 4 5 10" xfId="2668"/>
    <cellStyle name="Финансовый 2 4 5 11" xfId="4311"/>
    <cellStyle name="Финансовый 2 4 5 12" xfId="6099"/>
    <cellStyle name="Финансовый 2 4 5 2" xfId="194"/>
    <cellStyle name="Финансовый 2 4 5 2 2" xfId="1292"/>
    <cellStyle name="Финансовый 2 4 5 2 2 2" xfId="2258"/>
    <cellStyle name="Финансовый 2 4 5 2 2 2 2" xfId="3903"/>
    <cellStyle name="Финансовый 2 4 5 2 2 2 3" xfId="5686"/>
    <cellStyle name="Финансовый 2 4 5 2 2 2 4" xfId="8296"/>
    <cellStyle name="Финансовый 2 4 5 2 2 3" xfId="3076"/>
    <cellStyle name="Финансовый 2 4 5 2 2 4" xfId="4720"/>
    <cellStyle name="Финансовый 2 4 5 2 2 5" xfId="7332"/>
    <cellStyle name="Финансовый 2 4 5 2 3" xfId="2002"/>
    <cellStyle name="Финансовый 2 4 5 2 3 2" xfId="3647"/>
    <cellStyle name="Финансовый 2 4 5 2 3 3" xfId="5430"/>
    <cellStyle name="Финансовый 2 4 5 2 3 4" xfId="8040"/>
    <cellStyle name="Финансовый 2 4 5 2 4" xfId="2523"/>
    <cellStyle name="Финансовый 2 4 5 2 4 2" xfId="4168"/>
    <cellStyle name="Финансовый 2 4 5 2 4 3" xfId="5951"/>
    <cellStyle name="Финансовый 2 4 5 2 4 4" xfId="8561"/>
    <cellStyle name="Финансовый 2 4 5 2 5" xfId="1027"/>
    <cellStyle name="Финансовый 2 4 5 2 5 2" xfId="7067"/>
    <cellStyle name="Финансовый 2 4 5 2 6" xfId="615"/>
    <cellStyle name="Финансовый 2 4 5 2 6 2" xfId="6655"/>
    <cellStyle name="Финансовый 2 4 5 2 7" xfId="2804"/>
    <cellStyle name="Финансовый 2 4 5 2 8" xfId="4448"/>
    <cellStyle name="Финансовый 2 4 5 2 9" xfId="6235"/>
    <cellStyle name="Финансовый 2 4 5 3" xfId="343"/>
    <cellStyle name="Финансовый 2 4 5 3 2" xfId="2130"/>
    <cellStyle name="Финансовый 2 4 5 3 2 2" xfId="3775"/>
    <cellStyle name="Финансовый 2 4 5 3 2 3" xfId="5558"/>
    <cellStyle name="Финансовый 2 4 5 3 2 4" xfId="8168"/>
    <cellStyle name="Финансовый 2 4 5 3 3" xfId="1163"/>
    <cellStyle name="Финансовый 2 4 5 3 3 2" xfId="7203"/>
    <cellStyle name="Финансовый 2 4 5 3 4" xfId="763"/>
    <cellStyle name="Финансовый 2 4 5 3 4 2" xfId="6803"/>
    <cellStyle name="Финансовый 2 4 5 3 5" xfId="2940"/>
    <cellStyle name="Финансовый 2 4 5 3 6" xfId="4584"/>
    <cellStyle name="Финансовый 2 4 5 3 7" xfId="6383"/>
    <cellStyle name="Финансовый 2 4 5 4" xfId="1502"/>
    <cellStyle name="Финансовый 2 4 5 4 2" xfId="1866"/>
    <cellStyle name="Финансовый 2 4 5 4 2 2" xfId="3511"/>
    <cellStyle name="Финансовый 2 4 5 4 2 3" xfId="5294"/>
    <cellStyle name="Финансовый 2 4 5 4 2 4" xfId="7904"/>
    <cellStyle name="Финансовый 2 4 5 4 3" xfId="4930"/>
    <cellStyle name="Финансовый 2 4 5 4 4" xfId="7540"/>
    <cellStyle name="Финансовый 2 4 5 5" xfId="1750"/>
    <cellStyle name="Финансовый 2 4 5 5 2" xfId="3395"/>
    <cellStyle name="Финансовый 2 4 5 5 3" xfId="5178"/>
    <cellStyle name="Финансовый 2 4 5 5 4" xfId="7788"/>
    <cellStyle name="Финансовый 2 4 5 6" xfId="2386"/>
    <cellStyle name="Финансовый 2 4 5 6 2" xfId="4031"/>
    <cellStyle name="Финансовый 2 4 5 6 3" xfId="5814"/>
    <cellStyle name="Финансовый 2 4 5 6 4" xfId="8424"/>
    <cellStyle name="Финансовый 2 4 5 7" xfId="1613"/>
    <cellStyle name="Финансовый 2 4 5 7 2" xfId="3258"/>
    <cellStyle name="Финансовый 2 4 5 7 3" xfId="5041"/>
    <cellStyle name="Финансовый 2 4 5 7 4" xfId="7651"/>
    <cellStyle name="Финансовый 2 4 5 8" xfId="899"/>
    <cellStyle name="Финансовый 2 4 5 8 2" xfId="6939"/>
    <cellStyle name="Финансовый 2 4 5 9" xfId="479"/>
    <cellStyle name="Финансовый 2 4 5 9 2" xfId="6519"/>
    <cellStyle name="Финансовый 2 4 6" xfId="134"/>
    <cellStyle name="Финансовый 2 4 6 10" xfId="2744"/>
    <cellStyle name="Финансовый 2 4 6 11" xfId="4388"/>
    <cellStyle name="Финансовый 2 4 6 12" xfId="6175"/>
    <cellStyle name="Финансовый 2 4 6 2" xfId="270"/>
    <cellStyle name="Финансовый 2 4 6 2 2" xfId="1368"/>
    <cellStyle name="Финансовый 2 4 6 2 2 2" xfId="2326"/>
    <cellStyle name="Финансовый 2 4 6 2 2 2 2" xfId="3971"/>
    <cellStyle name="Финансовый 2 4 6 2 2 2 3" xfId="5754"/>
    <cellStyle name="Финансовый 2 4 6 2 2 2 4" xfId="8364"/>
    <cellStyle name="Финансовый 2 4 6 2 2 3" xfId="3152"/>
    <cellStyle name="Финансовый 2 4 6 2 2 4" xfId="4796"/>
    <cellStyle name="Финансовый 2 4 6 2 2 5" xfId="7408"/>
    <cellStyle name="Финансовый 2 4 6 2 3" xfId="2070"/>
    <cellStyle name="Финансовый 2 4 6 2 3 2" xfId="3715"/>
    <cellStyle name="Финансовый 2 4 6 2 3 3" xfId="5498"/>
    <cellStyle name="Финансовый 2 4 6 2 3 4" xfId="8108"/>
    <cellStyle name="Финансовый 2 4 6 2 4" xfId="2599"/>
    <cellStyle name="Финансовый 2 4 6 2 4 2" xfId="4244"/>
    <cellStyle name="Финансовый 2 4 6 2 4 3" xfId="6027"/>
    <cellStyle name="Финансовый 2 4 6 2 4 4" xfId="8637"/>
    <cellStyle name="Финансовый 2 4 6 2 5" xfId="1103"/>
    <cellStyle name="Финансовый 2 4 6 2 5 2" xfId="7143"/>
    <cellStyle name="Финансовый 2 4 6 2 6" xfId="691"/>
    <cellStyle name="Финансовый 2 4 6 2 6 2" xfId="6731"/>
    <cellStyle name="Финансовый 2 4 6 2 7" xfId="2880"/>
    <cellStyle name="Финансовый 2 4 6 2 8" xfId="4524"/>
    <cellStyle name="Финансовый 2 4 6 2 9" xfId="6311"/>
    <cellStyle name="Финансовый 2 4 6 3" xfId="419"/>
    <cellStyle name="Финансовый 2 4 6 3 2" xfId="2198"/>
    <cellStyle name="Финансовый 2 4 6 3 2 2" xfId="3843"/>
    <cellStyle name="Финансовый 2 4 6 3 2 3" xfId="5626"/>
    <cellStyle name="Финансовый 2 4 6 3 2 4" xfId="8236"/>
    <cellStyle name="Финансовый 2 4 6 3 3" xfId="1232"/>
    <cellStyle name="Финансовый 2 4 6 3 3 2" xfId="7272"/>
    <cellStyle name="Финансовый 2 4 6 3 4" xfId="839"/>
    <cellStyle name="Финансовый 2 4 6 3 4 2" xfId="6879"/>
    <cellStyle name="Финансовый 2 4 6 3 5" xfId="3016"/>
    <cellStyle name="Финансовый 2 4 6 3 6" xfId="4660"/>
    <cellStyle name="Финансовый 2 4 6 3 7" xfId="6459"/>
    <cellStyle name="Финансовый 2 4 6 4" xfId="1503"/>
    <cellStyle name="Финансовый 2 4 6 4 2" xfId="1942"/>
    <cellStyle name="Финансовый 2 4 6 4 2 2" xfId="3587"/>
    <cellStyle name="Финансовый 2 4 6 4 2 3" xfId="5370"/>
    <cellStyle name="Финансовый 2 4 6 4 2 4" xfId="7980"/>
    <cellStyle name="Финансовый 2 4 6 4 3" xfId="4931"/>
    <cellStyle name="Финансовый 2 4 6 4 4" xfId="7541"/>
    <cellStyle name="Финансовый 2 4 6 5" xfId="1818"/>
    <cellStyle name="Финансовый 2 4 6 5 2" xfId="3463"/>
    <cellStyle name="Финансовый 2 4 6 5 3" xfId="5246"/>
    <cellStyle name="Финансовый 2 4 6 5 4" xfId="7856"/>
    <cellStyle name="Финансовый 2 4 6 6" xfId="2463"/>
    <cellStyle name="Финансовый 2 4 6 6 2" xfId="4108"/>
    <cellStyle name="Финансовый 2 4 6 6 3" xfId="5891"/>
    <cellStyle name="Финансовый 2 4 6 6 4" xfId="8501"/>
    <cellStyle name="Финансовый 2 4 6 7" xfId="1690"/>
    <cellStyle name="Финансовый 2 4 6 7 2" xfId="3335"/>
    <cellStyle name="Финансовый 2 4 6 7 3" xfId="5118"/>
    <cellStyle name="Финансовый 2 4 6 7 4" xfId="7728"/>
    <cellStyle name="Финансовый 2 4 6 8" xfId="967"/>
    <cellStyle name="Финансовый 2 4 6 8 2" xfId="7007"/>
    <cellStyle name="Финансовый 2 4 6 9" xfId="555"/>
    <cellStyle name="Финансовый 2 4 6 9 2" xfId="6595"/>
    <cellStyle name="Финансовый 2 4 7" xfId="32"/>
    <cellStyle name="Финансовый 2 4 7 10" xfId="2644"/>
    <cellStyle name="Финансовый 2 4 7 11" xfId="4287"/>
    <cellStyle name="Финансовый 2 4 7 12" xfId="6075"/>
    <cellStyle name="Финансовый 2 4 7 2" xfId="170"/>
    <cellStyle name="Финансовый 2 4 7 2 2" xfId="1268"/>
    <cellStyle name="Финансовый 2 4 7 2 2 2" xfId="2234"/>
    <cellStyle name="Финансовый 2 4 7 2 2 2 2" xfId="3879"/>
    <cellStyle name="Финансовый 2 4 7 2 2 2 3" xfId="5662"/>
    <cellStyle name="Финансовый 2 4 7 2 2 2 4" xfId="8272"/>
    <cellStyle name="Финансовый 2 4 7 2 2 3" xfId="3052"/>
    <cellStyle name="Финансовый 2 4 7 2 2 4" xfId="4696"/>
    <cellStyle name="Финансовый 2 4 7 2 2 5" xfId="7308"/>
    <cellStyle name="Финансовый 2 4 7 2 3" xfId="1978"/>
    <cellStyle name="Финансовый 2 4 7 2 3 2" xfId="3623"/>
    <cellStyle name="Финансовый 2 4 7 2 3 3" xfId="5406"/>
    <cellStyle name="Финансовый 2 4 7 2 3 4" xfId="8016"/>
    <cellStyle name="Финансовый 2 4 7 2 4" xfId="2499"/>
    <cellStyle name="Финансовый 2 4 7 2 4 2" xfId="4144"/>
    <cellStyle name="Финансовый 2 4 7 2 4 3" xfId="5927"/>
    <cellStyle name="Финансовый 2 4 7 2 4 4" xfId="8537"/>
    <cellStyle name="Финансовый 2 4 7 2 5" xfId="1003"/>
    <cellStyle name="Финансовый 2 4 7 2 5 2" xfId="7043"/>
    <cellStyle name="Финансовый 2 4 7 2 6" xfId="591"/>
    <cellStyle name="Финансовый 2 4 7 2 6 2" xfId="6631"/>
    <cellStyle name="Финансовый 2 4 7 2 7" xfId="2780"/>
    <cellStyle name="Финансовый 2 4 7 2 8" xfId="4424"/>
    <cellStyle name="Финансовый 2 4 7 2 9" xfId="6211"/>
    <cellStyle name="Финансовый 2 4 7 3" xfId="319"/>
    <cellStyle name="Финансовый 2 4 7 3 2" xfId="2106"/>
    <cellStyle name="Финансовый 2 4 7 3 2 2" xfId="3751"/>
    <cellStyle name="Финансовый 2 4 7 3 2 3" xfId="5534"/>
    <cellStyle name="Финансовый 2 4 7 3 2 4" xfId="8144"/>
    <cellStyle name="Финансовый 2 4 7 3 3" xfId="1139"/>
    <cellStyle name="Финансовый 2 4 7 3 3 2" xfId="7179"/>
    <cellStyle name="Финансовый 2 4 7 3 4" xfId="739"/>
    <cellStyle name="Финансовый 2 4 7 3 4 2" xfId="6779"/>
    <cellStyle name="Финансовый 2 4 7 3 5" xfId="2916"/>
    <cellStyle name="Финансовый 2 4 7 3 6" xfId="4560"/>
    <cellStyle name="Финансовый 2 4 7 3 7" xfId="6359"/>
    <cellStyle name="Финансовый 2 4 7 4" xfId="1504"/>
    <cellStyle name="Финансовый 2 4 7 4 2" xfId="1842"/>
    <cellStyle name="Финансовый 2 4 7 4 2 2" xfId="3487"/>
    <cellStyle name="Финансовый 2 4 7 4 2 3" xfId="5270"/>
    <cellStyle name="Финансовый 2 4 7 4 2 4" xfId="7880"/>
    <cellStyle name="Финансовый 2 4 7 4 3" xfId="4932"/>
    <cellStyle name="Финансовый 2 4 7 4 4" xfId="7542"/>
    <cellStyle name="Финансовый 2 4 7 5" xfId="1726"/>
    <cellStyle name="Финансовый 2 4 7 5 2" xfId="3371"/>
    <cellStyle name="Финансовый 2 4 7 5 3" xfId="5154"/>
    <cellStyle name="Финансовый 2 4 7 5 4" xfId="7764"/>
    <cellStyle name="Финансовый 2 4 7 6" xfId="2362"/>
    <cellStyle name="Финансовый 2 4 7 6 2" xfId="4007"/>
    <cellStyle name="Финансовый 2 4 7 6 3" xfId="5790"/>
    <cellStyle name="Финансовый 2 4 7 6 4" xfId="8400"/>
    <cellStyle name="Финансовый 2 4 7 7" xfId="1589"/>
    <cellStyle name="Финансовый 2 4 7 7 2" xfId="3234"/>
    <cellStyle name="Финансовый 2 4 7 7 3" xfId="5017"/>
    <cellStyle name="Финансовый 2 4 7 7 4" xfId="7627"/>
    <cellStyle name="Финансовый 2 4 7 8" xfId="875"/>
    <cellStyle name="Финансовый 2 4 7 8 2" xfId="6915"/>
    <cellStyle name="Финансовый 2 4 7 9" xfId="455"/>
    <cellStyle name="Финансовый 2 4 7 9 2" xfId="6495"/>
    <cellStyle name="Финансовый 2 4 8" xfId="20"/>
    <cellStyle name="Финансовый 2 4 8 10" xfId="2632"/>
    <cellStyle name="Финансовый 2 4 8 11" xfId="4275"/>
    <cellStyle name="Финансовый 2 4 8 12" xfId="6063"/>
    <cellStyle name="Финансовый 2 4 8 2" xfId="158"/>
    <cellStyle name="Финансовый 2 4 8 2 2" xfId="1256"/>
    <cellStyle name="Финансовый 2 4 8 2 2 2" xfId="2222"/>
    <cellStyle name="Финансовый 2 4 8 2 2 2 2" xfId="3867"/>
    <cellStyle name="Финансовый 2 4 8 2 2 2 3" xfId="5650"/>
    <cellStyle name="Финансовый 2 4 8 2 2 2 4" xfId="8260"/>
    <cellStyle name="Финансовый 2 4 8 2 2 3" xfId="3040"/>
    <cellStyle name="Финансовый 2 4 8 2 2 4" xfId="4684"/>
    <cellStyle name="Финансовый 2 4 8 2 2 5" xfId="7296"/>
    <cellStyle name="Финансовый 2 4 8 2 3" xfId="1966"/>
    <cellStyle name="Финансовый 2 4 8 2 3 2" xfId="3611"/>
    <cellStyle name="Финансовый 2 4 8 2 3 3" xfId="5394"/>
    <cellStyle name="Финансовый 2 4 8 2 3 4" xfId="8004"/>
    <cellStyle name="Финансовый 2 4 8 2 4" xfId="2487"/>
    <cellStyle name="Финансовый 2 4 8 2 4 2" xfId="4132"/>
    <cellStyle name="Финансовый 2 4 8 2 4 3" xfId="5915"/>
    <cellStyle name="Финансовый 2 4 8 2 4 4" xfId="8525"/>
    <cellStyle name="Финансовый 2 4 8 2 5" xfId="991"/>
    <cellStyle name="Финансовый 2 4 8 2 5 2" xfId="7031"/>
    <cellStyle name="Финансовый 2 4 8 2 6" xfId="579"/>
    <cellStyle name="Финансовый 2 4 8 2 6 2" xfId="6619"/>
    <cellStyle name="Финансовый 2 4 8 2 7" xfId="2768"/>
    <cellStyle name="Финансовый 2 4 8 2 8" xfId="4412"/>
    <cellStyle name="Финансовый 2 4 8 2 9" xfId="6199"/>
    <cellStyle name="Финансовый 2 4 8 3" xfId="307"/>
    <cellStyle name="Финансовый 2 4 8 3 2" xfId="2094"/>
    <cellStyle name="Финансовый 2 4 8 3 2 2" xfId="3739"/>
    <cellStyle name="Финансовый 2 4 8 3 2 3" xfId="5522"/>
    <cellStyle name="Финансовый 2 4 8 3 2 4" xfId="8132"/>
    <cellStyle name="Финансовый 2 4 8 3 3" xfId="1127"/>
    <cellStyle name="Финансовый 2 4 8 3 3 2" xfId="7167"/>
    <cellStyle name="Финансовый 2 4 8 3 4" xfId="727"/>
    <cellStyle name="Финансовый 2 4 8 3 4 2" xfId="6767"/>
    <cellStyle name="Финансовый 2 4 8 3 5" xfId="2904"/>
    <cellStyle name="Финансовый 2 4 8 3 6" xfId="4548"/>
    <cellStyle name="Финансовый 2 4 8 3 7" xfId="6347"/>
    <cellStyle name="Финансовый 2 4 8 4" xfId="1505"/>
    <cellStyle name="Финансовый 2 4 8 4 2" xfId="1830"/>
    <cellStyle name="Финансовый 2 4 8 4 2 2" xfId="3475"/>
    <cellStyle name="Финансовый 2 4 8 4 2 3" xfId="5258"/>
    <cellStyle name="Финансовый 2 4 8 4 2 4" xfId="7868"/>
    <cellStyle name="Финансовый 2 4 8 4 3" xfId="4933"/>
    <cellStyle name="Финансовый 2 4 8 4 4" xfId="7543"/>
    <cellStyle name="Финансовый 2 4 8 5" xfId="1714"/>
    <cellStyle name="Финансовый 2 4 8 5 2" xfId="3359"/>
    <cellStyle name="Финансовый 2 4 8 5 3" xfId="5142"/>
    <cellStyle name="Финансовый 2 4 8 5 4" xfId="7752"/>
    <cellStyle name="Финансовый 2 4 8 6" xfId="2350"/>
    <cellStyle name="Финансовый 2 4 8 6 2" xfId="3995"/>
    <cellStyle name="Финансовый 2 4 8 6 3" xfId="5778"/>
    <cellStyle name="Финансовый 2 4 8 6 4" xfId="8388"/>
    <cellStyle name="Финансовый 2 4 8 7" xfId="1577"/>
    <cellStyle name="Финансовый 2 4 8 7 2" xfId="3222"/>
    <cellStyle name="Финансовый 2 4 8 7 3" xfId="5005"/>
    <cellStyle name="Финансовый 2 4 8 7 4" xfId="7615"/>
    <cellStyle name="Финансовый 2 4 8 8" xfId="863"/>
    <cellStyle name="Финансовый 2 4 8 8 2" xfId="6903"/>
    <cellStyle name="Финансовый 2 4 8 9" xfId="443"/>
    <cellStyle name="Финансовый 2 4 8 9 2" xfId="6483"/>
    <cellStyle name="Финансовый 2 4 9" xfId="146"/>
    <cellStyle name="Финансовый 2 4 9 2" xfId="1244"/>
    <cellStyle name="Финансовый 2 4 9 2 2" xfId="2210"/>
    <cellStyle name="Финансовый 2 4 9 2 2 2" xfId="3855"/>
    <cellStyle name="Финансовый 2 4 9 2 2 3" xfId="5638"/>
    <cellStyle name="Финансовый 2 4 9 2 2 4" xfId="8248"/>
    <cellStyle name="Финансовый 2 4 9 2 3" xfId="3028"/>
    <cellStyle name="Финансовый 2 4 9 2 4" xfId="4672"/>
    <cellStyle name="Финансовый 2 4 9 2 5" xfId="7284"/>
    <cellStyle name="Финансовый 2 4 9 3" xfId="1954"/>
    <cellStyle name="Финансовый 2 4 9 3 2" xfId="3599"/>
    <cellStyle name="Финансовый 2 4 9 3 3" xfId="5382"/>
    <cellStyle name="Финансовый 2 4 9 3 4" xfId="7992"/>
    <cellStyle name="Финансовый 2 4 9 4" xfId="2475"/>
    <cellStyle name="Финансовый 2 4 9 4 2" xfId="4120"/>
    <cellStyle name="Финансовый 2 4 9 4 3" xfId="5903"/>
    <cellStyle name="Финансовый 2 4 9 4 4" xfId="8513"/>
    <cellStyle name="Финансовый 2 4 9 5" xfId="979"/>
    <cellStyle name="Финансовый 2 4 9 5 2" xfId="7019"/>
    <cellStyle name="Финансовый 2 4 9 6" xfId="567"/>
    <cellStyle name="Финансовый 2 4 9 6 2" xfId="6607"/>
    <cellStyle name="Финансовый 2 4 9 7" xfId="2756"/>
    <cellStyle name="Финансовый 2 4 9 8" xfId="4400"/>
    <cellStyle name="Финансовый 2 4 9 9" xfId="6187"/>
    <cellStyle name="Финансовый 2 5" xfId="38"/>
    <cellStyle name="Финансовый 2 5 10" xfId="881"/>
    <cellStyle name="Финансовый 2 5 10 2" xfId="6921"/>
    <cellStyle name="Финансовый 2 5 11" xfId="461"/>
    <cellStyle name="Финансовый 2 5 11 2" xfId="6501"/>
    <cellStyle name="Финансовый 2 5 12" xfId="2650"/>
    <cellStyle name="Финансовый 2 5 13" xfId="4293"/>
    <cellStyle name="Финансовый 2 5 14" xfId="6081"/>
    <cellStyle name="Финансовый 2 5 2" xfId="120"/>
    <cellStyle name="Финансовый 2 5 2 10" xfId="2730"/>
    <cellStyle name="Финансовый 2 5 2 11" xfId="4374"/>
    <cellStyle name="Финансовый 2 5 2 12" xfId="6161"/>
    <cellStyle name="Финансовый 2 5 2 2" xfId="256"/>
    <cellStyle name="Финансовый 2 5 2 2 2" xfId="1354"/>
    <cellStyle name="Финансовый 2 5 2 2 2 2" xfId="2312"/>
    <cellStyle name="Финансовый 2 5 2 2 2 2 2" xfId="3957"/>
    <cellStyle name="Финансовый 2 5 2 2 2 2 3" xfId="5740"/>
    <cellStyle name="Финансовый 2 5 2 2 2 2 4" xfId="8350"/>
    <cellStyle name="Финансовый 2 5 2 2 2 3" xfId="3138"/>
    <cellStyle name="Финансовый 2 5 2 2 2 4" xfId="4782"/>
    <cellStyle name="Финансовый 2 5 2 2 2 5" xfId="7394"/>
    <cellStyle name="Финансовый 2 5 2 2 3" xfId="2056"/>
    <cellStyle name="Финансовый 2 5 2 2 3 2" xfId="3701"/>
    <cellStyle name="Финансовый 2 5 2 2 3 3" xfId="5484"/>
    <cellStyle name="Финансовый 2 5 2 2 3 4" xfId="8094"/>
    <cellStyle name="Финансовый 2 5 2 2 4" xfId="2585"/>
    <cellStyle name="Финансовый 2 5 2 2 4 2" xfId="4230"/>
    <cellStyle name="Финансовый 2 5 2 2 4 3" xfId="6013"/>
    <cellStyle name="Финансовый 2 5 2 2 4 4" xfId="8623"/>
    <cellStyle name="Финансовый 2 5 2 2 5" xfId="1089"/>
    <cellStyle name="Финансовый 2 5 2 2 5 2" xfId="7129"/>
    <cellStyle name="Финансовый 2 5 2 2 6" xfId="677"/>
    <cellStyle name="Финансовый 2 5 2 2 6 2" xfId="6717"/>
    <cellStyle name="Финансовый 2 5 2 2 7" xfId="2866"/>
    <cellStyle name="Финансовый 2 5 2 2 8" xfId="4510"/>
    <cellStyle name="Финансовый 2 5 2 2 9" xfId="6297"/>
    <cellStyle name="Финансовый 2 5 2 3" xfId="405"/>
    <cellStyle name="Финансовый 2 5 2 3 2" xfId="2184"/>
    <cellStyle name="Финансовый 2 5 2 3 2 2" xfId="3829"/>
    <cellStyle name="Финансовый 2 5 2 3 2 3" xfId="5612"/>
    <cellStyle name="Финансовый 2 5 2 3 2 4" xfId="8222"/>
    <cellStyle name="Финансовый 2 5 2 3 3" xfId="1218"/>
    <cellStyle name="Финансовый 2 5 2 3 3 2" xfId="7258"/>
    <cellStyle name="Финансовый 2 5 2 3 4" xfId="825"/>
    <cellStyle name="Финансовый 2 5 2 3 4 2" xfId="6865"/>
    <cellStyle name="Финансовый 2 5 2 3 5" xfId="3002"/>
    <cellStyle name="Финансовый 2 5 2 3 6" xfId="4646"/>
    <cellStyle name="Финансовый 2 5 2 3 7" xfId="6445"/>
    <cellStyle name="Финансовый 2 5 2 4" xfId="1507"/>
    <cellStyle name="Финансовый 2 5 2 4 2" xfId="1928"/>
    <cellStyle name="Финансовый 2 5 2 4 2 2" xfId="3573"/>
    <cellStyle name="Финансовый 2 5 2 4 2 3" xfId="5356"/>
    <cellStyle name="Финансовый 2 5 2 4 2 4" xfId="7966"/>
    <cellStyle name="Финансовый 2 5 2 4 3" xfId="4935"/>
    <cellStyle name="Финансовый 2 5 2 4 4" xfId="7545"/>
    <cellStyle name="Финансовый 2 5 2 5" xfId="1804"/>
    <cellStyle name="Финансовый 2 5 2 5 2" xfId="3449"/>
    <cellStyle name="Финансовый 2 5 2 5 3" xfId="5232"/>
    <cellStyle name="Финансовый 2 5 2 5 4" xfId="7842"/>
    <cellStyle name="Финансовый 2 5 2 6" xfId="2449"/>
    <cellStyle name="Финансовый 2 5 2 6 2" xfId="4094"/>
    <cellStyle name="Финансовый 2 5 2 6 3" xfId="5877"/>
    <cellStyle name="Финансовый 2 5 2 6 4" xfId="8487"/>
    <cellStyle name="Финансовый 2 5 2 7" xfId="1676"/>
    <cellStyle name="Финансовый 2 5 2 7 2" xfId="3321"/>
    <cellStyle name="Финансовый 2 5 2 7 3" xfId="5104"/>
    <cellStyle name="Финансовый 2 5 2 7 4" xfId="7714"/>
    <cellStyle name="Финансовый 2 5 2 8" xfId="953"/>
    <cellStyle name="Финансовый 2 5 2 8 2" xfId="6993"/>
    <cellStyle name="Финансовый 2 5 2 9" xfId="541"/>
    <cellStyle name="Финансовый 2 5 2 9 2" xfId="6581"/>
    <cellStyle name="Финансовый 2 5 3" xfId="84"/>
    <cellStyle name="Финансовый 2 5 3 10" xfId="2694"/>
    <cellStyle name="Финансовый 2 5 3 11" xfId="4338"/>
    <cellStyle name="Финансовый 2 5 3 12" xfId="6125"/>
    <cellStyle name="Финансовый 2 5 3 2" xfId="220"/>
    <cellStyle name="Финансовый 2 5 3 2 2" xfId="1318"/>
    <cellStyle name="Финансовый 2 5 3 2 2 2" xfId="2276"/>
    <cellStyle name="Финансовый 2 5 3 2 2 2 2" xfId="3921"/>
    <cellStyle name="Финансовый 2 5 3 2 2 2 3" xfId="5704"/>
    <cellStyle name="Финансовый 2 5 3 2 2 2 4" xfId="8314"/>
    <cellStyle name="Финансовый 2 5 3 2 2 3" xfId="3102"/>
    <cellStyle name="Финансовый 2 5 3 2 2 4" xfId="4746"/>
    <cellStyle name="Финансовый 2 5 3 2 2 5" xfId="7358"/>
    <cellStyle name="Финансовый 2 5 3 2 3" xfId="2020"/>
    <cellStyle name="Финансовый 2 5 3 2 3 2" xfId="3665"/>
    <cellStyle name="Финансовый 2 5 3 2 3 3" xfId="5448"/>
    <cellStyle name="Финансовый 2 5 3 2 3 4" xfId="8058"/>
    <cellStyle name="Финансовый 2 5 3 2 4" xfId="2549"/>
    <cellStyle name="Финансовый 2 5 3 2 4 2" xfId="4194"/>
    <cellStyle name="Финансовый 2 5 3 2 4 3" xfId="5977"/>
    <cellStyle name="Финансовый 2 5 3 2 4 4" xfId="8587"/>
    <cellStyle name="Финансовый 2 5 3 2 5" xfId="1053"/>
    <cellStyle name="Финансовый 2 5 3 2 5 2" xfId="7093"/>
    <cellStyle name="Финансовый 2 5 3 2 6" xfId="641"/>
    <cellStyle name="Финансовый 2 5 3 2 6 2" xfId="6681"/>
    <cellStyle name="Финансовый 2 5 3 2 7" xfId="2830"/>
    <cellStyle name="Финансовый 2 5 3 2 8" xfId="4474"/>
    <cellStyle name="Финансовый 2 5 3 2 9" xfId="6261"/>
    <cellStyle name="Финансовый 2 5 3 3" xfId="369"/>
    <cellStyle name="Финансовый 2 5 3 3 2" xfId="2148"/>
    <cellStyle name="Финансовый 2 5 3 3 2 2" xfId="3793"/>
    <cellStyle name="Финансовый 2 5 3 3 2 3" xfId="5576"/>
    <cellStyle name="Финансовый 2 5 3 3 2 4" xfId="8186"/>
    <cellStyle name="Финансовый 2 5 3 3 3" xfId="1182"/>
    <cellStyle name="Финансовый 2 5 3 3 3 2" xfId="7222"/>
    <cellStyle name="Финансовый 2 5 3 3 4" xfId="789"/>
    <cellStyle name="Финансовый 2 5 3 3 4 2" xfId="6829"/>
    <cellStyle name="Финансовый 2 5 3 3 5" xfId="2966"/>
    <cellStyle name="Финансовый 2 5 3 3 6" xfId="4610"/>
    <cellStyle name="Финансовый 2 5 3 3 7" xfId="6409"/>
    <cellStyle name="Финансовый 2 5 3 4" xfId="1437"/>
    <cellStyle name="Финансовый 2 5 3 4 2" xfId="1892"/>
    <cellStyle name="Финансовый 2 5 3 4 2 2" xfId="3537"/>
    <cellStyle name="Финансовый 2 5 3 4 2 3" xfId="5320"/>
    <cellStyle name="Финансовый 2 5 3 4 2 4" xfId="7930"/>
    <cellStyle name="Финансовый 2 5 3 4 3" xfId="4865"/>
    <cellStyle name="Финансовый 2 5 3 4 4" xfId="7476"/>
    <cellStyle name="Финансовый 2 5 3 5" xfId="1768"/>
    <cellStyle name="Финансовый 2 5 3 5 2" xfId="3413"/>
    <cellStyle name="Финансовый 2 5 3 5 3" xfId="5196"/>
    <cellStyle name="Финансовый 2 5 3 5 4" xfId="7806"/>
    <cellStyle name="Финансовый 2 5 3 6" xfId="2413"/>
    <cellStyle name="Финансовый 2 5 3 6 2" xfId="4058"/>
    <cellStyle name="Финансовый 2 5 3 6 3" xfId="5841"/>
    <cellStyle name="Финансовый 2 5 3 6 4" xfId="8451"/>
    <cellStyle name="Финансовый 2 5 3 7" xfId="1640"/>
    <cellStyle name="Финансовый 2 5 3 7 2" xfId="3285"/>
    <cellStyle name="Финансовый 2 5 3 7 3" xfId="5068"/>
    <cellStyle name="Финансовый 2 5 3 7 4" xfId="7678"/>
    <cellStyle name="Финансовый 2 5 3 8" xfId="917"/>
    <cellStyle name="Финансовый 2 5 3 8 2" xfId="6957"/>
    <cellStyle name="Финансовый 2 5 3 9" xfId="505"/>
    <cellStyle name="Финансовый 2 5 3 9 2" xfId="6545"/>
    <cellStyle name="Финансовый 2 5 4" xfId="176"/>
    <cellStyle name="Финансовый 2 5 4 2" xfId="1274"/>
    <cellStyle name="Финансовый 2 5 4 2 2" xfId="2240"/>
    <cellStyle name="Финансовый 2 5 4 2 2 2" xfId="3885"/>
    <cellStyle name="Финансовый 2 5 4 2 2 3" xfId="5668"/>
    <cellStyle name="Финансовый 2 5 4 2 2 4" xfId="8278"/>
    <cellStyle name="Финансовый 2 5 4 2 3" xfId="3058"/>
    <cellStyle name="Финансовый 2 5 4 2 4" xfId="4702"/>
    <cellStyle name="Финансовый 2 5 4 2 5" xfId="7314"/>
    <cellStyle name="Финансовый 2 5 4 3" xfId="1984"/>
    <cellStyle name="Финансовый 2 5 4 3 2" xfId="3629"/>
    <cellStyle name="Финансовый 2 5 4 3 3" xfId="5412"/>
    <cellStyle name="Финансовый 2 5 4 3 4" xfId="8022"/>
    <cellStyle name="Финансовый 2 5 4 4" xfId="2505"/>
    <cellStyle name="Финансовый 2 5 4 4 2" xfId="4150"/>
    <cellStyle name="Финансовый 2 5 4 4 3" xfId="5933"/>
    <cellStyle name="Финансовый 2 5 4 4 4" xfId="8543"/>
    <cellStyle name="Финансовый 2 5 4 5" xfId="1009"/>
    <cellStyle name="Финансовый 2 5 4 5 2" xfId="7049"/>
    <cellStyle name="Финансовый 2 5 4 6" xfId="597"/>
    <cellStyle name="Финансовый 2 5 4 6 2" xfId="6637"/>
    <cellStyle name="Финансовый 2 5 4 7" xfId="2786"/>
    <cellStyle name="Финансовый 2 5 4 8" xfId="4430"/>
    <cellStyle name="Финансовый 2 5 4 9" xfId="6217"/>
    <cellStyle name="Финансовый 2 5 5" xfId="325"/>
    <cellStyle name="Финансовый 2 5 5 2" xfId="2112"/>
    <cellStyle name="Финансовый 2 5 5 2 2" xfId="3757"/>
    <cellStyle name="Финансовый 2 5 5 2 3" xfId="5540"/>
    <cellStyle name="Финансовый 2 5 5 2 4" xfId="8150"/>
    <cellStyle name="Финансовый 2 5 5 3" xfId="1145"/>
    <cellStyle name="Финансовый 2 5 5 3 2" xfId="7185"/>
    <cellStyle name="Финансовый 2 5 5 4" xfId="745"/>
    <cellStyle name="Финансовый 2 5 5 4 2" xfId="6785"/>
    <cellStyle name="Финансовый 2 5 5 5" xfId="2922"/>
    <cellStyle name="Финансовый 2 5 5 6" xfId="4566"/>
    <cellStyle name="Финансовый 2 5 5 7" xfId="6365"/>
    <cellStyle name="Финансовый 2 5 6" xfId="1506"/>
    <cellStyle name="Финансовый 2 5 6 2" xfId="1848"/>
    <cellStyle name="Финансовый 2 5 6 2 2" xfId="3493"/>
    <cellStyle name="Финансовый 2 5 6 2 3" xfId="5276"/>
    <cellStyle name="Финансовый 2 5 6 2 4" xfId="7886"/>
    <cellStyle name="Финансовый 2 5 6 3" xfId="4934"/>
    <cellStyle name="Финансовый 2 5 6 4" xfId="7544"/>
    <cellStyle name="Финансовый 2 5 7" xfId="1732"/>
    <cellStyle name="Финансовый 2 5 7 2" xfId="3377"/>
    <cellStyle name="Финансовый 2 5 7 3" xfId="5160"/>
    <cellStyle name="Финансовый 2 5 7 4" xfId="7770"/>
    <cellStyle name="Финансовый 2 5 8" xfId="2368"/>
    <cellStyle name="Финансовый 2 5 8 2" xfId="4013"/>
    <cellStyle name="Финансовый 2 5 8 3" xfId="5796"/>
    <cellStyle name="Финансовый 2 5 8 4" xfId="8406"/>
    <cellStyle name="Финансовый 2 5 9" xfId="1595"/>
    <cellStyle name="Финансовый 2 5 9 2" xfId="3240"/>
    <cellStyle name="Финансовый 2 5 9 3" xfId="5023"/>
    <cellStyle name="Финансовый 2 5 9 4" xfId="7633"/>
    <cellStyle name="Финансовый 2 6" xfId="90"/>
    <cellStyle name="Финансовый 2 6 10" xfId="2700"/>
    <cellStyle name="Финансовый 2 6 11" xfId="4344"/>
    <cellStyle name="Финансовый 2 6 12" xfId="6131"/>
    <cellStyle name="Финансовый 2 6 2" xfId="226"/>
    <cellStyle name="Финансовый 2 6 2 2" xfId="1324"/>
    <cellStyle name="Финансовый 2 6 2 2 2" xfId="2282"/>
    <cellStyle name="Финансовый 2 6 2 2 2 2" xfId="3927"/>
    <cellStyle name="Финансовый 2 6 2 2 2 3" xfId="5710"/>
    <cellStyle name="Финансовый 2 6 2 2 2 4" xfId="8320"/>
    <cellStyle name="Финансовый 2 6 2 2 3" xfId="3108"/>
    <cellStyle name="Финансовый 2 6 2 2 4" xfId="4752"/>
    <cellStyle name="Финансовый 2 6 2 2 5" xfId="7364"/>
    <cellStyle name="Финансовый 2 6 2 3" xfId="2026"/>
    <cellStyle name="Финансовый 2 6 2 3 2" xfId="3671"/>
    <cellStyle name="Финансовый 2 6 2 3 3" xfId="5454"/>
    <cellStyle name="Финансовый 2 6 2 3 4" xfId="8064"/>
    <cellStyle name="Финансовый 2 6 2 4" xfId="2555"/>
    <cellStyle name="Финансовый 2 6 2 4 2" xfId="4200"/>
    <cellStyle name="Финансовый 2 6 2 4 3" xfId="5983"/>
    <cellStyle name="Финансовый 2 6 2 4 4" xfId="8593"/>
    <cellStyle name="Финансовый 2 6 2 5" xfId="1059"/>
    <cellStyle name="Финансовый 2 6 2 5 2" xfId="7099"/>
    <cellStyle name="Финансовый 2 6 2 6" xfId="647"/>
    <cellStyle name="Финансовый 2 6 2 6 2" xfId="6687"/>
    <cellStyle name="Финансовый 2 6 2 7" xfId="2836"/>
    <cellStyle name="Финансовый 2 6 2 8" xfId="4480"/>
    <cellStyle name="Финансовый 2 6 2 9" xfId="6267"/>
    <cellStyle name="Финансовый 2 6 3" xfId="375"/>
    <cellStyle name="Финансовый 2 6 3 2" xfId="2154"/>
    <cellStyle name="Финансовый 2 6 3 2 2" xfId="3799"/>
    <cellStyle name="Финансовый 2 6 3 2 3" xfId="5582"/>
    <cellStyle name="Финансовый 2 6 3 2 4" xfId="8192"/>
    <cellStyle name="Финансовый 2 6 3 3" xfId="1188"/>
    <cellStyle name="Финансовый 2 6 3 3 2" xfId="7228"/>
    <cellStyle name="Финансовый 2 6 3 4" xfId="795"/>
    <cellStyle name="Финансовый 2 6 3 4 2" xfId="6835"/>
    <cellStyle name="Финансовый 2 6 3 5" xfId="2972"/>
    <cellStyle name="Финансовый 2 6 3 6" xfId="4616"/>
    <cellStyle name="Финансовый 2 6 3 7" xfId="6415"/>
    <cellStyle name="Финансовый 2 6 4" xfId="1508"/>
    <cellStyle name="Финансовый 2 6 4 2" xfId="1898"/>
    <cellStyle name="Финансовый 2 6 4 2 2" xfId="3543"/>
    <cellStyle name="Финансовый 2 6 4 2 3" xfId="5326"/>
    <cellStyle name="Финансовый 2 6 4 2 4" xfId="7936"/>
    <cellStyle name="Финансовый 2 6 4 3" xfId="4936"/>
    <cellStyle name="Финансовый 2 6 4 4" xfId="7546"/>
    <cellStyle name="Финансовый 2 6 5" xfId="1774"/>
    <cellStyle name="Финансовый 2 6 5 2" xfId="3419"/>
    <cellStyle name="Финансовый 2 6 5 3" xfId="5202"/>
    <cellStyle name="Финансовый 2 6 5 4" xfId="7812"/>
    <cellStyle name="Финансовый 2 6 6" xfId="2419"/>
    <cellStyle name="Финансовый 2 6 6 2" xfId="4064"/>
    <cellStyle name="Финансовый 2 6 6 3" xfId="5847"/>
    <cellStyle name="Финансовый 2 6 6 4" xfId="8457"/>
    <cellStyle name="Финансовый 2 6 7" xfId="1646"/>
    <cellStyle name="Финансовый 2 6 7 2" xfId="3291"/>
    <cellStyle name="Финансовый 2 6 7 3" xfId="5074"/>
    <cellStyle name="Финансовый 2 6 7 4" xfId="7684"/>
    <cellStyle name="Финансовый 2 6 8" xfId="923"/>
    <cellStyle name="Финансовый 2 6 8 2" xfId="6963"/>
    <cellStyle name="Финансовый 2 6 9" xfId="511"/>
    <cellStyle name="Финансовый 2 6 9 2" xfId="6551"/>
    <cellStyle name="Финансовый 2 7" xfId="96"/>
    <cellStyle name="Финансовый 2 7 10" xfId="2706"/>
    <cellStyle name="Финансовый 2 7 11" xfId="4350"/>
    <cellStyle name="Финансовый 2 7 12" xfId="6137"/>
    <cellStyle name="Финансовый 2 7 2" xfId="232"/>
    <cellStyle name="Финансовый 2 7 2 2" xfId="1330"/>
    <cellStyle name="Финансовый 2 7 2 2 2" xfId="2288"/>
    <cellStyle name="Финансовый 2 7 2 2 2 2" xfId="3933"/>
    <cellStyle name="Финансовый 2 7 2 2 2 3" xfId="5716"/>
    <cellStyle name="Финансовый 2 7 2 2 2 4" xfId="8326"/>
    <cellStyle name="Финансовый 2 7 2 2 3" xfId="3114"/>
    <cellStyle name="Финансовый 2 7 2 2 4" xfId="4758"/>
    <cellStyle name="Финансовый 2 7 2 2 5" xfId="7370"/>
    <cellStyle name="Финансовый 2 7 2 3" xfId="2032"/>
    <cellStyle name="Финансовый 2 7 2 3 2" xfId="3677"/>
    <cellStyle name="Финансовый 2 7 2 3 3" xfId="5460"/>
    <cellStyle name="Финансовый 2 7 2 3 4" xfId="8070"/>
    <cellStyle name="Финансовый 2 7 2 4" xfId="2561"/>
    <cellStyle name="Финансовый 2 7 2 4 2" xfId="4206"/>
    <cellStyle name="Финансовый 2 7 2 4 3" xfId="5989"/>
    <cellStyle name="Финансовый 2 7 2 4 4" xfId="8599"/>
    <cellStyle name="Финансовый 2 7 2 5" xfId="1065"/>
    <cellStyle name="Финансовый 2 7 2 5 2" xfId="7105"/>
    <cellStyle name="Финансовый 2 7 2 6" xfId="653"/>
    <cellStyle name="Финансовый 2 7 2 6 2" xfId="6693"/>
    <cellStyle name="Финансовый 2 7 2 7" xfId="2842"/>
    <cellStyle name="Финансовый 2 7 2 8" xfId="4486"/>
    <cellStyle name="Финансовый 2 7 2 9" xfId="6273"/>
    <cellStyle name="Финансовый 2 7 3" xfId="381"/>
    <cellStyle name="Финансовый 2 7 3 2" xfId="2160"/>
    <cellStyle name="Финансовый 2 7 3 2 2" xfId="3805"/>
    <cellStyle name="Финансовый 2 7 3 2 3" xfId="5588"/>
    <cellStyle name="Финансовый 2 7 3 2 4" xfId="8198"/>
    <cellStyle name="Финансовый 2 7 3 3" xfId="1194"/>
    <cellStyle name="Финансовый 2 7 3 3 2" xfId="7234"/>
    <cellStyle name="Финансовый 2 7 3 4" xfId="801"/>
    <cellStyle name="Финансовый 2 7 3 4 2" xfId="6841"/>
    <cellStyle name="Финансовый 2 7 3 5" xfId="2978"/>
    <cellStyle name="Финансовый 2 7 3 6" xfId="4622"/>
    <cellStyle name="Финансовый 2 7 3 7" xfId="6421"/>
    <cellStyle name="Финансовый 2 7 4" xfId="1509"/>
    <cellStyle name="Финансовый 2 7 4 2" xfId="1904"/>
    <cellStyle name="Финансовый 2 7 4 2 2" xfId="3549"/>
    <cellStyle name="Финансовый 2 7 4 2 3" xfId="5332"/>
    <cellStyle name="Финансовый 2 7 4 2 4" xfId="7942"/>
    <cellStyle name="Финансовый 2 7 4 3" xfId="4937"/>
    <cellStyle name="Финансовый 2 7 4 4" xfId="7547"/>
    <cellStyle name="Финансовый 2 7 5" xfId="1780"/>
    <cellStyle name="Финансовый 2 7 5 2" xfId="3425"/>
    <cellStyle name="Финансовый 2 7 5 3" xfId="5208"/>
    <cellStyle name="Финансовый 2 7 5 4" xfId="7818"/>
    <cellStyle name="Финансовый 2 7 6" xfId="2425"/>
    <cellStyle name="Финансовый 2 7 6 2" xfId="4070"/>
    <cellStyle name="Финансовый 2 7 6 3" xfId="5853"/>
    <cellStyle name="Финансовый 2 7 6 4" xfId="8463"/>
    <cellStyle name="Финансовый 2 7 7" xfId="1652"/>
    <cellStyle name="Финансовый 2 7 7 2" xfId="3297"/>
    <cellStyle name="Финансовый 2 7 7 3" xfId="5080"/>
    <cellStyle name="Финансовый 2 7 7 4" xfId="7690"/>
    <cellStyle name="Финансовый 2 7 8" xfId="929"/>
    <cellStyle name="Финансовый 2 7 8 2" xfId="6969"/>
    <cellStyle name="Финансовый 2 7 9" xfId="517"/>
    <cellStyle name="Финансовый 2 7 9 2" xfId="6557"/>
    <cellStyle name="Финансовый 2 8" xfId="108"/>
    <cellStyle name="Финансовый 2 8 10" xfId="2718"/>
    <cellStyle name="Финансовый 2 8 11" xfId="4362"/>
    <cellStyle name="Финансовый 2 8 12" xfId="6149"/>
    <cellStyle name="Финансовый 2 8 2" xfId="244"/>
    <cellStyle name="Финансовый 2 8 2 2" xfId="1342"/>
    <cellStyle name="Финансовый 2 8 2 2 2" xfId="2300"/>
    <cellStyle name="Финансовый 2 8 2 2 2 2" xfId="3945"/>
    <cellStyle name="Финансовый 2 8 2 2 2 3" xfId="5728"/>
    <cellStyle name="Финансовый 2 8 2 2 2 4" xfId="8338"/>
    <cellStyle name="Финансовый 2 8 2 2 3" xfId="3126"/>
    <cellStyle name="Финансовый 2 8 2 2 4" xfId="4770"/>
    <cellStyle name="Финансовый 2 8 2 2 5" xfId="7382"/>
    <cellStyle name="Финансовый 2 8 2 3" xfId="2044"/>
    <cellStyle name="Финансовый 2 8 2 3 2" xfId="3689"/>
    <cellStyle name="Финансовый 2 8 2 3 3" xfId="5472"/>
    <cellStyle name="Финансовый 2 8 2 3 4" xfId="8082"/>
    <cellStyle name="Финансовый 2 8 2 4" xfId="2573"/>
    <cellStyle name="Финансовый 2 8 2 4 2" xfId="4218"/>
    <cellStyle name="Финансовый 2 8 2 4 3" xfId="6001"/>
    <cellStyle name="Финансовый 2 8 2 4 4" xfId="8611"/>
    <cellStyle name="Финансовый 2 8 2 5" xfId="1077"/>
    <cellStyle name="Финансовый 2 8 2 5 2" xfId="7117"/>
    <cellStyle name="Финансовый 2 8 2 6" xfId="665"/>
    <cellStyle name="Финансовый 2 8 2 6 2" xfId="6705"/>
    <cellStyle name="Финансовый 2 8 2 7" xfId="2854"/>
    <cellStyle name="Финансовый 2 8 2 8" xfId="4498"/>
    <cellStyle name="Финансовый 2 8 2 9" xfId="6285"/>
    <cellStyle name="Финансовый 2 8 3" xfId="393"/>
    <cellStyle name="Финансовый 2 8 3 2" xfId="2172"/>
    <cellStyle name="Финансовый 2 8 3 2 2" xfId="3817"/>
    <cellStyle name="Финансовый 2 8 3 2 3" xfId="5600"/>
    <cellStyle name="Финансовый 2 8 3 2 4" xfId="8210"/>
    <cellStyle name="Финансовый 2 8 3 3" xfId="1206"/>
    <cellStyle name="Финансовый 2 8 3 3 2" xfId="7246"/>
    <cellStyle name="Финансовый 2 8 3 4" xfId="813"/>
    <cellStyle name="Финансовый 2 8 3 4 2" xfId="6853"/>
    <cellStyle name="Финансовый 2 8 3 5" xfId="2990"/>
    <cellStyle name="Финансовый 2 8 3 6" xfId="4634"/>
    <cellStyle name="Финансовый 2 8 3 7" xfId="6433"/>
    <cellStyle name="Финансовый 2 8 4" xfId="1510"/>
    <cellStyle name="Финансовый 2 8 4 2" xfId="1916"/>
    <cellStyle name="Финансовый 2 8 4 2 2" xfId="3561"/>
    <cellStyle name="Финансовый 2 8 4 2 3" xfId="5344"/>
    <cellStyle name="Финансовый 2 8 4 2 4" xfId="7954"/>
    <cellStyle name="Финансовый 2 8 4 3" xfId="4938"/>
    <cellStyle name="Финансовый 2 8 4 4" xfId="7548"/>
    <cellStyle name="Финансовый 2 8 5" xfId="1792"/>
    <cellStyle name="Финансовый 2 8 5 2" xfId="3437"/>
    <cellStyle name="Финансовый 2 8 5 3" xfId="5220"/>
    <cellStyle name="Финансовый 2 8 5 4" xfId="7830"/>
    <cellStyle name="Финансовый 2 8 6" xfId="2437"/>
    <cellStyle name="Финансовый 2 8 6 2" xfId="4082"/>
    <cellStyle name="Финансовый 2 8 6 3" xfId="5865"/>
    <cellStyle name="Финансовый 2 8 6 4" xfId="8475"/>
    <cellStyle name="Финансовый 2 8 7" xfId="1664"/>
    <cellStyle name="Финансовый 2 8 7 2" xfId="3309"/>
    <cellStyle name="Финансовый 2 8 7 3" xfId="5092"/>
    <cellStyle name="Финансовый 2 8 7 4" xfId="7702"/>
    <cellStyle name="Финансовый 2 8 8" xfId="941"/>
    <cellStyle name="Финансовый 2 8 8 2" xfId="6981"/>
    <cellStyle name="Финансовый 2 8 9" xfId="529"/>
    <cellStyle name="Финансовый 2 8 9 2" xfId="6569"/>
    <cellStyle name="Финансовый 2 9" xfId="126"/>
    <cellStyle name="Финансовый 2 9 10" xfId="2736"/>
    <cellStyle name="Финансовый 2 9 11" xfId="4380"/>
    <cellStyle name="Финансовый 2 9 12" xfId="6167"/>
    <cellStyle name="Финансовый 2 9 2" xfId="262"/>
    <cellStyle name="Финансовый 2 9 2 2" xfId="1360"/>
    <cellStyle name="Финансовый 2 9 2 2 2" xfId="2318"/>
    <cellStyle name="Финансовый 2 9 2 2 2 2" xfId="3963"/>
    <cellStyle name="Финансовый 2 9 2 2 2 3" xfId="5746"/>
    <cellStyle name="Финансовый 2 9 2 2 2 4" xfId="8356"/>
    <cellStyle name="Финансовый 2 9 2 2 3" xfId="3144"/>
    <cellStyle name="Финансовый 2 9 2 2 4" xfId="4788"/>
    <cellStyle name="Финансовый 2 9 2 2 5" xfId="7400"/>
    <cellStyle name="Финансовый 2 9 2 3" xfId="2062"/>
    <cellStyle name="Финансовый 2 9 2 3 2" xfId="3707"/>
    <cellStyle name="Финансовый 2 9 2 3 3" xfId="5490"/>
    <cellStyle name="Финансовый 2 9 2 3 4" xfId="8100"/>
    <cellStyle name="Финансовый 2 9 2 4" xfId="2591"/>
    <cellStyle name="Финансовый 2 9 2 4 2" xfId="4236"/>
    <cellStyle name="Финансовый 2 9 2 4 3" xfId="6019"/>
    <cellStyle name="Финансовый 2 9 2 4 4" xfId="8629"/>
    <cellStyle name="Финансовый 2 9 2 5" xfId="1095"/>
    <cellStyle name="Финансовый 2 9 2 5 2" xfId="7135"/>
    <cellStyle name="Финансовый 2 9 2 6" xfId="683"/>
    <cellStyle name="Финансовый 2 9 2 6 2" xfId="6723"/>
    <cellStyle name="Финансовый 2 9 2 7" xfId="2872"/>
    <cellStyle name="Финансовый 2 9 2 8" xfId="4516"/>
    <cellStyle name="Финансовый 2 9 2 9" xfId="6303"/>
    <cellStyle name="Финансовый 2 9 3" xfId="411"/>
    <cellStyle name="Финансовый 2 9 3 2" xfId="2190"/>
    <cellStyle name="Финансовый 2 9 3 2 2" xfId="3835"/>
    <cellStyle name="Финансовый 2 9 3 2 3" xfId="5618"/>
    <cellStyle name="Финансовый 2 9 3 2 4" xfId="8228"/>
    <cellStyle name="Финансовый 2 9 3 3" xfId="1224"/>
    <cellStyle name="Финансовый 2 9 3 3 2" xfId="7264"/>
    <cellStyle name="Финансовый 2 9 3 4" xfId="831"/>
    <cellStyle name="Финансовый 2 9 3 4 2" xfId="6871"/>
    <cellStyle name="Финансовый 2 9 3 5" xfId="3008"/>
    <cellStyle name="Финансовый 2 9 3 6" xfId="4652"/>
    <cellStyle name="Финансовый 2 9 3 7" xfId="6451"/>
    <cellStyle name="Финансовый 2 9 4" xfId="1511"/>
    <cellStyle name="Финансовый 2 9 4 2" xfId="1934"/>
    <cellStyle name="Финансовый 2 9 4 2 2" xfId="3579"/>
    <cellStyle name="Финансовый 2 9 4 2 3" xfId="5362"/>
    <cellStyle name="Финансовый 2 9 4 2 4" xfId="7972"/>
    <cellStyle name="Финансовый 2 9 4 3" xfId="4939"/>
    <cellStyle name="Финансовый 2 9 4 4" xfId="7549"/>
    <cellStyle name="Финансовый 2 9 5" xfId="1810"/>
    <cellStyle name="Финансовый 2 9 5 2" xfId="3455"/>
    <cellStyle name="Финансовый 2 9 5 3" xfId="5238"/>
    <cellStyle name="Финансовый 2 9 5 4" xfId="7848"/>
    <cellStyle name="Финансовый 2 9 6" xfId="2455"/>
    <cellStyle name="Финансовый 2 9 6 2" xfId="4100"/>
    <cellStyle name="Финансовый 2 9 6 3" xfId="5883"/>
    <cellStyle name="Финансовый 2 9 6 4" xfId="8493"/>
    <cellStyle name="Финансовый 2 9 7" xfId="1682"/>
    <cellStyle name="Финансовый 2 9 7 2" xfId="3327"/>
    <cellStyle name="Финансовый 2 9 7 3" xfId="5110"/>
    <cellStyle name="Финансовый 2 9 7 4" xfId="7720"/>
    <cellStyle name="Финансовый 2 9 8" xfId="959"/>
    <cellStyle name="Финансовый 2 9 8 2" xfId="6999"/>
    <cellStyle name="Финансовый 2 9 9" xfId="547"/>
    <cellStyle name="Финансовый 2 9 9 2" xfId="6587"/>
    <cellStyle name="Финансовый 20" xfId="2331"/>
    <cellStyle name="Финансовый 20 2" xfId="3976"/>
    <cellStyle name="Финансовый 20 3" xfId="5759"/>
    <cellStyle name="Финансовый 20 4" xfId="8369"/>
    <cellStyle name="Финансовый 21" xfId="2393"/>
    <cellStyle name="Финансовый 21 2" xfId="4038"/>
    <cellStyle name="Финансовый 21 3" xfId="5821"/>
    <cellStyle name="Финансовый 21 4" xfId="8431"/>
    <cellStyle name="Финансовый 22" xfId="2606"/>
    <cellStyle name="Финансовый 22 2" xfId="4251"/>
    <cellStyle name="Финансовый 22 3" xfId="6034"/>
    <cellStyle name="Финансовый 22 4" xfId="8644"/>
    <cellStyle name="Финансовый 23" xfId="2604"/>
    <cellStyle name="Финансовый 23 2" xfId="4249"/>
    <cellStyle name="Финансовый 23 3" xfId="6032"/>
    <cellStyle name="Финансовый 23 4" xfId="8642"/>
    <cellStyle name="Финансовый 24" xfId="2610"/>
    <cellStyle name="Финансовый 24 2" xfId="4255"/>
    <cellStyle name="Финансовый 24 3" xfId="6038"/>
    <cellStyle name="Финансовый 24 4" xfId="8648"/>
    <cellStyle name="Финансовый 25" xfId="2608"/>
    <cellStyle name="Финансовый 25 2" xfId="4253"/>
    <cellStyle name="Финансовый 25 3" xfId="6036"/>
    <cellStyle name="Финансовый 25 4" xfId="8646"/>
    <cellStyle name="Финансовый 26" xfId="2607"/>
    <cellStyle name="Финансовый 26 2" xfId="4252"/>
    <cellStyle name="Финансовый 26 3" xfId="6035"/>
    <cellStyle name="Финансовый 26 4" xfId="8645"/>
    <cellStyle name="Финансовый 27" xfId="2605"/>
    <cellStyle name="Финансовый 27 2" xfId="4250"/>
    <cellStyle name="Финансовый 27 3" xfId="6033"/>
    <cellStyle name="Финансовый 27 4" xfId="8643"/>
    <cellStyle name="Финансовый 28" xfId="2609"/>
    <cellStyle name="Финансовый 28 2" xfId="4254"/>
    <cellStyle name="Финансовый 28 3" xfId="6037"/>
    <cellStyle name="Финансовый 28 4" xfId="8647"/>
    <cellStyle name="Финансовый 29" xfId="1558"/>
    <cellStyle name="Финансовый 29 2" xfId="3203"/>
    <cellStyle name="Финансовый 29 3" xfId="4986"/>
    <cellStyle name="Финансовый 29 4" xfId="7596"/>
    <cellStyle name="Финансовый 3" xfId="3"/>
    <cellStyle name="Финансовый 3 10" xfId="27"/>
    <cellStyle name="Финансовый 3 10 10" xfId="2639"/>
    <cellStyle name="Финансовый 3 10 11" xfId="4282"/>
    <cellStyle name="Финансовый 3 10 12" xfId="6070"/>
    <cellStyle name="Финансовый 3 10 2" xfId="165"/>
    <cellStyle name="Финансовый 3 10 2 2" xfId="1263"/>
    <cellStyle name="Финансовый 3 10 2 2 2" xfId="2229"/>
    <cellStyle name="Финансовый 3 10 2 2 2 2" xfId="3874"/>
    <cellStyle name="Финансовый 3 10 2 2 2 3" xfId="5657"/>
    <cellStyle name="Финансовый 3 10 2 2 2 4" xfId="8267"/>
    <cellStyle name="Финансовый 3 10 2 2 3" xfId="3047"/>
    <cellStyle name="Финансовый 3 10 2 2 4" xfId="4691"/>
    <cellStyle name="Финансовый 3 10 2 2 5" xfId="7303"/>
    <cellStyle name="Финансовый 3 10 2 3" xfId="1973"/>
    <cellStyle name="Финансовый 3 10 2 3 2" xfId="3618"/>
    <cellStyle name="Финансовый 3 10 2 3 3" xfId="5401"/>
    <cellStyle name="Финансовый 3 10 2 3 4" xfId="8011"/>
    <cellStyle name="Финансовый 3 10 2 4" xfId="2494"/>
    <cellStyle name="Финансовый 3 10 2 4 2" xfId="4139"/>
    <cellStyle name="Финансовый 3 10 2 4 3" xfId="5922"/>
    <cellStyle name="Финансовый 3 10 2 4 4" xfId="8532"/>
    <cellStyle name="Финансовый 3 10 2 5" xfId="998"/>
    <cellStyle name="Финансовый 3 10 2 5 2" xfId="7038"/>
    <cellStyle name="Финансовый 3 10 2 6" xfId="586"/>
    <cellStyle name="Финансовый 3 10 2 6 2" xfId="6626"/>
    <cellStyle name="Финансовый 3 10 2 7" xfId="2775"/>
    <cellStyle name="Финансовый 3 10 2 8" xfId="4419"/>
    <cellStyle name="Финансовый 3 10 2 9" xfId="6206"/>
    <cellStyle name="Финансовый 3 10 3" xfId="314"/>
    <cellStyle name="Финансовый 3 10 3 2" xfId="2101"/>
    <cellStyle name="Финансовый 3 10 3 2 2" xfId="3746"/>
    <cellStyle name="Финансовый 3 10 3 2 3" xfId="5529"/>
    <cellStyle name="Финансовый 3 10 3 2 4" xfId="8139"/>
    <cellStyle name="Финансовый 3 10 3 3" xfId="1134"/>
    <cellStyle name="Финансовый 3 10 3 3 2" xfId="7174"/>
    <cellStyle name="Финансовый 3 10 3 4" xfId="734"/>
    <cellStyle name="Финансовый 3 10 3 4 2" xfId="6774"/>
    <cellStyle name="Финансовый 3 10 3 5" xfId="2911"/>
    <cellStyle name="Финансовый 3 10 3 6" xfId="4555"/>
    <cellStyle name="Финансовый 3 10 3 7" xfId="6354"/>
    <cellStyle name="Финансовый 3 10 4" xfId="1513"/>
    <cellStyle name="Финансовый 3 10 4 2" xfId="1837"/>
    <cellStyle name="Финансовый 3 10 4 2 2" xfId="3482"/>
    <cellStyle name="Финансовый 3 10 4 2 3" xfId="5265"/>
    <cellStyle name="Финансовый 3 10 4 2 4" xfId="7875"/>
    <cellStyle name="Финансовый 3 10 4 3" xfId="4941"/>
    <cellStyle name="Финансовый 3 10 4 4" xfId="7551"/>
    <cellStyle name="Финансовый 3 10 5" xfId="1721"/>
    <cellStyle name="Финансовый 3 10 5 2" xfId="3366"/>
    <cellStyle name="Финансовый 3 10 5 3" xfId="5149"/>
    <cellStyle name="Финансовый 3 10 5 4" xfId="7759"/>
    <cellStyle name="Финансовый 3 10 6" xfId="2357"/>
    <cellStyle name="Финансовый 3 10 6 2" xfId="4002"/>
    <cellStyle name="Финансовый 3 10 6 3" xfId="5785"/>
    <cellStyle name="Финансовый 3 10 6 4" xfId="8395"/>
    <cellStyle name="Финансовый 3 10 7" xfId="1584"/>
    <cellStyle name="Финансовый 3 10 7 2" xfId="3229"/>
    <cellStyle name="Финансовый 3 10 7 3" xfId="5012"/>
    <cellStyle name="Финансовый 3 10 7 4" xfId="7622"/>
    <cellStyle name="Финансовый 3 10 8" xfId="870"/>
    <cellStyle name="Финансовый 3 10 8 2" xfId="6910"/>
    <cellStyle name="Финансовый 3 10 9" xfId="450"/>
    <cellStyle name="Финансовый 3 10 9 2" xfId="6490"/>
    <cellStyle name="Финансовый 3 11" xfId="15"/>
    <cellStyle name="Финансовый 3 11 10" xfId="2627"/>
    <cellStyle name="Финансовый 3 11 11" xfId="4270"/>
    <cellStyle name="Финансовый 3 11 12" xfId="6058"/>
    <cellStyle name="Финансовый 3 11 2" xfId="153"/>
    <cellStyle name="Финансовый 3 11 2 2" xfId="1251"/>
    <cellStyle name="Финансовый 3 11 2 2 2" xfId="2217"/>
    <cellStyle name="Финансовый 3 11 2 2 2 2" xfId="3862"/>
    <cellStyle name="Финансовый 3 11 2 2 2 3" xfId="5645"/>
    <cellStyle name="Финансовый 3 11 2 2 2 4" xfId="8255"/>
    <cellStyle name="Финансовый 3 11 2 2 3" xfId="3035"/>
    <cellStyle name="Финансовый 3 11 2 2 4" xfId="4679"/>
    <cellStyle name="Финансовый 3 11 2 2 5" xfId="7291"/>
    <cellStyle name="Финансовый 3 11 2 3" xfId="1961"/>
    <cellStyle name="Финансовый 3 11 2 3 2" xfId="3606"/>
    <cellStyle name="Финансовый 3 11 2 3 3" xfId="5389"/>
    <cellStyle name="Финансовый 3 11 2 3 4" xfId="7999"/>
    <cellStyle name="Финансовый 3 11 2 4" xfId="2482"/>
    <cellStyle name="Финансовый 3 11 2 4 2" xfId="4127"/>
    <cellStyle name="Финансовый 3 11 2 4 3" xfId="5910"/>
    <cellStyle name="Финансовый 3 11 2 4 4" xfId="8520"/>
    <cellStyle name="Финансовый 3 11 2 5" xfId="986"/>
    <cellStyle name="Финансовый 3 11 2 5 2" xfId="7026"/>
    <cellStyle name="Финансовый 3 11 2 6" xfId="574"/>
    <cellStyle name="Финансовый 3 11 2 6 2" xfId="6614"/>
    <cellStyle name="Финансовый 3 11 2 7" xfId="2763"/>
    <cellStyle name="Финансовый 3 11 2 8" xfId="4407"/>
    <cellStyle name="Финансовый 3 11 2 9" xfId="6194"/>
    <cellStyle name="Финансовый 3 11 3" xfId="302"/>
    <cellStyle name="Финансовый 3 11 3 2" xfId="2089"/>
    <cellStyle name="Финансовый 3 11 3 2 2" xfId="3734"/>
    <cellStyle name="Финансовый 3 11 3 2 3" xfId="5517"/>
    <cellStyle name="Финансовый 3 11 3 2 4" xfId="8127"/>
    <cellStyle name="Финансовый 3 11 3 3" xfId="1122"/>
    <cellStyle name="Финансовый 3 11 3 3 2" xfId="7162"/>
    <cellStyle name="Финансовый 3 11 3 4" xfId="722"/>
    <cellStyle name="Финансовый 3 11 3 4 2" xfId="6762"/>
    <cellStyle name="Финансовый 3 11 3 5" xfId="2899"/>
    <cellStyle name="Финансовый 3 11 3 6" xfId="4543"/>
    <cellStyle name="Финансовый 3 11 3 7" xfId="6342"/>
    <cellStyle name="Финансовый 3 11 4" xfId="1514"/>
    <cellStyle name="Финансовый 3 11 4 2" xfId="1825"/>
    <cellStyle name="Финансовый 3 11 4 2 2" xfId="3470"/>
    <cellStyle name="Финансовый 3 11 4 2 3" xfId="5253"/>
    <cellStyle name="Финансовый 3 11 4 2 4" xfId="7863"/>
    <cellStyle name="Финансовый 3 11 4 3" xfId="4942"/>
    <cellStyle name="Финансовый 3 11 4 4" xfId="7552"/>
    <cellStyle name="Финансовый 3 11 5" xfId="1709"/>
    <cellStyle name="Финансовый 3 11 5 2" xfId="3354"/>
    <cellStyle name="Финансовый 3 11 5 3" xfId="5137"/>
    <cellStyle name="Финансовый 3 11 5 4" xfId="7747"/>
    <cellStyle name="Финансовый 3 11 6" xfId="2345"/>
    <cellStyle name="Финансовый 3 11 6 2" xfId="3990"/>
    <cellStyle name="Финансовый 3 11 6 3" xfId="5773"/>
    <cellStyle name="Финансовый 3 11 6 4" xfId="8383"/>
    <cellStyle name="Финансовый 3 11 7" xfId="1572"/>
    <cellStyle name="Финансовый 3 11 7 2" xfId="3217"/>
    <cellStyle name="Финансовый 3 11 7 3" xfId="5000"/>
    <cellStyle name="Финансовый 3 11 7 4" xfId="7610"/>
    <cellStyle name="Финансовый 3 11 8" xfId="858"/>
    <cellStyle name="Финансовый 3 11 8 2" xfId="6898"/>
    <cellStyle name="Финансовый 3 11 9" xfId="438"/>
    <cellStyle name="Финансовый 3 11 9 2" xfId="6478"/>
    <cellStyle name="Финансовый 3 12" xfId="141"/>
    <cellStyle name="Финансовый 3 12 2" xfId="1239"/>
    <cellStyle name="Финансовый 3 12 2 2" xfId="2205"/>
    <cellStyle name="Финансовый 3 12 2 2 2" xfId="3850"/>
    <cellStyle name="Финансовый 3 12 2 2 3" xfId="5633"/>
    <cellStyle name="Финансовый 3 12 2 2 4" xfId="8243"/>
    <cellStyle name="Финансовый 3 12 2 3" xfId="3023"/>
    <cellStyle name="Финансовый 3 12 2 4" xfId="4667"/>
    <cellStyle name="Финансовый 3 12 2 5" xfId="7279"/>
    <cellStyle name="Финансовый 3 12 3" xfId="1949"/>
    <cellStyle name="Финансовый 3 12 3 2" xfId="3594"/>
    <cellStyle name="Финансовый 3 12 3 3" xfId="5377"/>
    <cellStyle name="Финансовый 3 12 3 4" xfId="7987"/>
    <cellStyle name="Финансовый 3 12 4" xfId="2470"/>
    <cellStyle name="Финансовый 3 12 4 2" xfId="4115"/>
    <cellStyle name="Финансовый 3 12 4 3" xfId="5898"/>
    <cellStyle name="Финансовый 3 12 4 4" xfId="8508"/>
    <cellStyle name="Финансовый 3 12 5" xfId="974"/>
    <cellStyle name="Финансовый 3 12 5 2" xfId="7014"/>
    <cellStyle name="Финансовый 3 12 6" xfId="562"/>
    <cellStyle name="Финансовый 3 12 6 2" xfId="6602"/>
    <cellStyle name="Финансовый 3 12 7" xfId="2751"/>
    <cellStyle name="Финансовый 3 12 8" xfId="4395"/>
    <cellStyle name="Финансовый 3 12 9" xfId="6182"/>
    <cellStyle name="Финансовый 3 13" xfId="277"/>
    <cellStyle name="Финансовый 3 13 2" xfId="2077"/>
    <cellStyle name="Финансовый 3 13 2 2" xfId="3722"/>
    <cellStyle name="Финансовый 3 13 2 3" xfId="5505"/>
    <cellStyle name="Финансовый 3 13 2 4" xfId="8115"/>
    <cellStyle name="Финансовый 3 13 3" xfId="1375"/>
    <cellStyle name="Финансовый 3 13 3 2" xfId="7415"/>
    <cellStyle name="Финансовый 3 13 4" xfId="698"/>
    <cellStyle name="Финансовый 3 13 4 2" xfId="6738"/>
    <cellStyle name="Финансовый 3 13 5" xfId="3159"/>
    <cellStyle name="Финансовый 3 13 6" xfId="4803"/>
    <cellStyle name="Финансовый 3 13 7" xfId="6318"/>
    <cellStyle name="Финансовый 3 14" xfId="290"/>
    <cellStyle name="Финансовый 3 14 2" xfId="1110"/>
    <cellStyle name="Финансовый 3 14 2 2" xfId="7150"/>
    <cellStyle name="Финансовый 3 14 3" xfId="710"/>
    <cellStyle name="Финансовый 3 14 3 2" xfId="6750"/>
    <cellStyle name="Финансовый 3 14 4" xfId="2887"/>
    <cellStyle name="Финансовый 3 14 5" xfId="4531"/>
    <cellStyle name="Финансовый 3 14 6" xfId="6330"/>
    <cellStyle name="Финансовый 3 15" xfId="1512"/>
    <cellStyle name="Финансовый 3 15 2" xfId="1697"/>
    <cellStyle name="Финансовый 3 15 2 2" xfId="3342"/>
    <cellStyle name="Финансовый 3 15 2 3" xfId="5125"/>
    <cellStyle name="Финансовый 3 15 2 4" xfId="7735"/>
    <cellStyle name="Финансовый 3 15 3" xfId="4940"/>
    <cellStyle name="Финансовый 3 15 4" xfId="7550"/>
    <cellStyle name="Финансовый 3 16" xfId="2333"/>
    <cellStyle name="Финансовый 3 16 2" xfId="3978"/>
    <cellStyle name="Финансовый 3 16 3" xfId="5761"/>
    <cellStyle name="Финансовый 3 16 4" xfId="8371"/>
    <cellStyle name="Финансовый 3 17" xfId="1560"/>
    <cellStyle name="Финансовый 3 17 2" xfId="3205"/>
    <cellStyle name="Финансовый 3 17 3" xfId="4988"/>
    <cellStyle name="Финансовый 3 17 4" xfId="7598"/>
    <cellStyle name="Финансовый 3 18" xfId="846"/>
    <cellStyle name="Финансовый 3 18 2" xfId="6886"/>
    <cellStyle name="Финансовый 3 19" xfId="426"/>
    <cellStyle name="Финансовый 3 19 2" xfId="6466"/>
    <cellStyle name="Финансовый 3 2" xfId="9"/>
    <cellStyle name="Финансовый 3 2 10" xfId="283"/>
    <cellStyle name="Финансовый 3 2 10 2" xfId="2083"/>
    <cellStyle name="Финансовый 3 2 10 2 2" xfId="3728"/>
    <cellStyle name="Финансовый 3 2 10 2 3" xfId="5511"/>
    <cellStyle name="Финансовый 3 2 10 2 4" xfId="8121"/>
    <cellStyle name="Финансовый 3 2 10 3" xfId="1381"/>
    <cellStyle name="Финансовый 3 2 10 3 2" xfId="7421"/>
    <cellStyle name="Финансовый 3 2 10 4" xfId="704"/>
    <cellStyle name="Финансовый 3 2 10 4 2" xfId="6744"/>
    <cellStyle name="Финансовый 3 2 10 5" xfId="3165"/>
    <cellStyle name="Финансовый 3 2 10 6" xfId="4809"/>
    <cellStyle name="Финансовый 3 2 10 7" xfId="6324"/>
    <cellStyle name="Финансовый 3 2 11" xfId="296"/>
    <cellStyle name="Финансовый 3 2 11 2" xfId="1116"/>
    <cellStyle name="Финансовый 3 2 11 2 2" xfId="7156"/>
    <cellStyle name="Финансовый 3 2 11 3" xfId="716"/>
    <cellStyle name="Финансовый 3 2 11 3 2" xfId="6756"/>
    <cellStyle name="Финансовый 3 2 11 4" xfId="2893"/>
    <cellStyle name="Финансовый 3 2 11 5" xfId="4537"/>
    <cellStyle name="Финансовый 3 2 11 6" xfId="6336"/>
    <cellStyle name="Финансовый 3 2 12" xfId="1515"/>
    <cellStyle name="Финансовый 3 2 12 2" xfId="1703"/>
    <cellStyle name="Финансовый 3 2 12 2 2" xfId="3348"/>
    <cellStyle name="Финансовый 3 2 12 2 3" xfId="5131"/>
    <cellStyle name="Финансовый 3 2 12 2 4" xfId="7741"/>
    <cellStyle name="Финансовый 3 2 12 3" xfId="4943"/>
    <cellStyle name="Финансовый 3 2 12 4" xfId="7553"/>
    <cellStyle name="Финансовый 3 2 13" xfId="2339"/>
    <cellStyle name="Финансовый 3 2 13 2" xfId="3984"/>
    <cellStyle name="Финансовый 3 2 13 3" xfId="5767"/>
    <cellStyle name="Финансовый 3 2 13 4" xfId="8377"/>
    <cellStyle name="Финансовый 3 2 14" xfId="1566"/>
    <cellStyle name="Финансовый 3 2 14 2" xfId="3211"/>
    <cellStyle name="Финансовый 3 2 14 3" xfId="4994"/>
    <cellStyle name="Финансовый 3 2 14 4" xfId="7604"/>
    <cellStyle name="Финансовый 3 2 15" xfId="852"/>
    <cellStyle name="Финансовый 3 2 15 2" xfId="6892"/>
    <cellStyle name="Финансовый 3 2 16" xfId="432"/>
    <cellStyle name="Финансовый 3 2 16 2" xfId="6472"/>
    <cellStyle name="Финансовый 3 2 17" xfId="2621"/>
    <cellStyle name="Финансовый 3 2 18" xfId="4264"/>
    <cellStyle name="Финансовый 3 2 19" xfId="6052"/>
    <cellStyle name="Финансовый 3 2 2" xfId="45"/>
    <cellStyle name="Финансовый 3 2 2 10" xfId="468"/>
    <cellStyle name="Финансовый 3 2 2 10 2" xfId="6508"/>
    <cellStyle name="Финансовый 3 2 2 11" xfId="2657"/>
    <cellStyle name="Финансовый 3 2 2 12" xfId="4300"/>
    <cellStyle name="Финансовый 3 2 2 13" xfId="6088"/>
    <cellStyle name="Финансовый 3 2 2 2" xfId="103"/>
    <cellStyle name="Финансовый 3 2 2 2 10" xfId="2713"/>
    <cellStyle name="Финансовый 3 2 2 2 11" xfId="4357"/>
    <cellStyle name="Финансовый 3 2 2 2 12" xfId="6144"/>
    <cellStyle name="Финансовый 3 2 2 2 2" xfId="239"/>
    <cellStyle name="Финансовый 3 2 2 2 2 2" xfId="1337"/>
    <cellStyle name="Финансовый 3 2 2 2 2 2 2" xfId="2295"/>
    <cellStyle name="Финансовый 3 2 2 2 2 2 2 2" xfId="3940"/>
    <cellStyle name="Финансовый 3 2 2 2 2 2 2 3" xfId="5723"/>
    <cellStyle name="Финансовый 3 2 2 2 2 2 2 4" xfId="8333"/>
    <cellStyle name="Финансовый 3 2 2 2 2 2 3" xfId="3121"/>
    <cellStyle name="Финансовый 3 2 2 2 2 2 4" xfId="4765"/>
    <cellStyle name="Финансовый 3 2 2 2 2 2 5" xfId="7377"/>
    <cellStyle name="Финансовый 3 2 2 2 2 3" xfId="2039"/>
    <cellStyle name="Финансовый 3 2 2 2 2 3 2" xfId="3684"/>
    <cellStyle name="Финансовый 3 2 2 2 2 3 3" xfId="5467"/>
    <cellStyle name="Финансовый 3 2 2 2 2 3 4" xfId="8077"/>
    <cellStyle name="Финансовый 3 2 2 2 2 4" xfId="2568"/>
    <cellStyle name="Финансовый 3 2 2 2 2 4 2" xfId="4213"/>
    <cellStyle name="Финансовый 3 2 2 2 2 4 3" xfId="5996"/>
    <cellStyle name="Финансовый 3 2 2 2 2 4 4" xfId="8606"/>
    <cellStyle name="Финансовый 3 2 2 2 2 5" xfId="1072"/>
    <cellStyle name="Финансовый 3 2 2 2 2 5 2" xfId="7112"/>
    <cellStyle name="Финансовый 3 2 2 2 2 6" xfId="660"/>
    <cellStyle name="Финансовый 3 2 2 2 2 6 2" xfId="6700"/>
    <cellStyle name="Финансовый 3 2 2 2 2 7" xfId="2849"/>
    <cellStyle name="Финансовый 3 2 2 2 2 8" xfId="4493"/>
    <cellStyle name="Финансовый 3 2 2 2 2 9" xfId="6280"/>
    <cellStyle name="Финансовый 3 2 2 2 3" xfId="388"/>
    <cellStyle name="Финансовый 3 2 2 2 3 2" xfId="2167"/>
    <cellStyle name="Финансовый 3 2 2 2 3 2 2" xfId="3812"/>
    <cellStyle name="Финансовый 3 2 2 2 3 2 3" xfId="5595"/>
    <cellStyle name="Финансовый 3 2 2 2 3 2 4" xfId="8205"/>
    <cellStyle name="Финансовый 3 2 2 2 3 3" xfId="1201"/>
    <cellStyle name="Финансовый 3 2 2 2 3 3 2" xfId="7241"/>
    <cellStyle name="Финансовый 3 2 2 2 3 4" xfId="808"/>
    <cellStyle name="Финансовый 3 2 2 2 3 4 2" xfId="6848"/>
    <cellStyle name="Финансовый 3 2 2 2 3 5" xfId="2985"/>
    <cellStyle name="Финансовый 3 2 2 2 3 6" xfId="4629"/>
    <cellStyle name="Финансовый 3 2 2 2 3 7" xfId="6428"/>
    <cellStyle name="Финансовый 3 2 2 2 4" xfId="1517"/>
    <cellStyle name="Финансовый 3 2 2 2 4 2" xfId="1911"/>
    <cellStyle name="Финансовый 3 2 2 2 4 2 2" xfId="3556"/>
    <cellStyle name="Финансовый 3 2 2 2 4 2 3" xfId="5339"/>
    <cellStyle name="Финансовый 3 2 2 2 4 2 4" xfId="7949"/>
    <cellStyle name="Финансовый 3 2 2 2 4 3" xfId="4945"/>
    <cellStyle name="Финансовый 3 2 2 2 4 4" xfId="7555"/>
    <cellStyle name="Финансовый 3 2 2 2 5" xfId="1787"/>
    <cellStyle name="Финансовый 3 2 2 2 5 2" xfId="3432"/>
    <cellStyle name="Финансовый 3 2 2 2 5 3" xfId="5215"/>
    <cellStyle name="Финансовый 3 2 2 2 5 4" xfId="7825"/>
    <cellStyle name="Финансовый 3 2 2 2 6" xfId="2432"/>
    <cellStyle name="Финансовый 3 2 2 2 6 2" xfId="4077"/>
    <cellStyle name="Финансовый 3 2 2 2 6 3" xfId="5860"/>
    <cellStyle name="Финансовый 3 2 2 2 6 4" xfId="8470"/>
    <cellStyle name="Финансовый 3 2 2 2 7" xfId="1659"/>
    <cellStyle name="Финансовый 3 2 2 2 7 2" xfId="3304"/>
    <cellStyle name="Финансовый 3 2 2 2 7 3" xfId="5087"/>
    <cellStyle name="Финансовый 3 2 2 2 7 4" xfId="7697"/>
    <cellStyle name="Финансовый 3 2 2 2 8" xfId="936"/>
    <cellStyle name="Финансовый 3 2 2 2 8 2" xfId="6976"/>
    <cellStyle name="Финансовый 3 2 2 2 9" xfId="524"/>
    <cellStyle name="Финансовый 3 2 2 2 9 2" xfId="6564"/>
    <cellStyle name="Финансовый 3 2 2 3" xfId="183"/>
    <cellStyle name="Финансовый 3 2 2 3 2" xfId="1281"/>
    <cellStyle name="Финансовый 3 2 2 3 2 2" xfId="2247"/>
    <cellStyle name="Финансовый 3 2 2 3 2 2 2" xfId="3892"/>
    <cellStyle name="Финансовый 3 2 2 3 2 2 3" xfId="5675"/>
    <cellStyle name="Финансовый 3 2 2 3 2 2 4" xfId="8285"/>
    <cellStyle name="Финансовый 3 2 2 3 2 3" xfId="3065"/>
    <cellStyle name="Финансовый 3 2 2 3 2 4" xfId="4709"/>
    <cellStyle name="Финансовый 3 2 2 3 2 5" xfId="7321"/>
    <cellStyle name="Финансовый 3 2 2 3 3" xfId="1991"/>
    <cellStyle name="Финансовый 3 2 2 3 3 2" xfId="3636"/>
    <cellStyle name="Финансовый 3 2 2 3 3 3" xfId="5419"/>
    <cellStyle name="Финансовый 3 2 2 3 3 4" xfId="8029"/>
    <cellStyle name="Финансовый 3 2 2 3 4" xfId="2512"/>
    <cellStyle name="Финансовый 3 2 2 3 4 2" xfId="4157"/>
    <cellStyle name="Финансовый 3 2 2 3 4 3" xfId="5940"/>
    <cellStyle name="Финансовый 3 2 2 3 4 4" xfId="8550"/>
    <cellStyle name="Финансовый 3 2 2 3 5" xfId="1016"/>
    <cellStyle name="Финансовый 3 2 2 3 5 2" xfId="7056"/>
    <cellStyle name="Финансовый 3 2 2 3 6" xfId="604"/>
    <cellStyle name="Финансовый 3 2 2 3 6 2" xfId="6644"/>
    <cellStyle name="Финансовый 3 2 2 3 7" xfId="2793"/>
    <cellStyle name="Финансовый 3 2 2 3 8" xfId="4437"/>
    <cellStyle name="Финансовый 3 2 2 3 9" xfId="6224"/>
    <cellStyle name="Финансовый 3 2 2 4" xfId="332"/>
    <cellStyle name="Финансовый 3 2 2 4 2" xfId="2119"/>
    <cellStyle name="Финансовый 3 2 2 4 2 2" xfId="3764"/>
    <cellStyle name="Финансовый 3 2 2 4 2 3" xfId="5547"/>
    <cellStyle name="Финансовый 3 2 2 4 2 4" xfId="8157"/>
    <cellStyle name="Финансовый 3 2 2 4 3" xfId="1152"/>
    <cellStyle name="Финансовый 3 2 2 4 3 2" xfId="7192"/>
    <cellStyle name="Финансовый 3 2 2 4 4" xfId="752"/>
    <cellStyle name="Финансовый 3 2 2 4 4 2" xfId="6792"/>
    <cellStyle name="Финансовый 3 2 2 4 5" xfId="2929"/>
    <cellStyle name="Финансовый 3 2 2 4 6" xfId="4573"/>
    <cellStyle name="Финансовый 3 2 2 4 7" xfId="6372"/>
    <cellStyle name="Финансовый 3 2 2 5" xfId="1516"/>
    <cellStyle name="Финансовый 3 2 2 5 2" xfId="1855"/>
    <cellStyle name="Финансовый 3 2 2 5 2 2" xfId="3500"/>
    <cellStyle name="Финансовый 3 2 2 5 2 3" xfId="5283"/>
    <cellStyle name="Финансовый 3 2 2 5 2 4" xfId="7893"/>
    <cellStyle name="Финансовый 3 2 2 5 3" xfId="4944"/>
    <cellStyle name="Финансовый 3 2 2 5 4" xfId="7554"/>
    <cellStyle name="Финансовый 3 2 2 6" xfId="1739"/>
    <cellStyle name="Финансовый 3 2 2 6 2" xfId="3384"/>
    <cellStyle name="Финансовый 3 2 2 6 3" xfId="5167"/>
    <cellStyle name="Финансовый 3 2 2 6 4" xfId="7777"/>
    <cellStyle name="Финансовый 3 2 2 7" xfId="2375"/>
    <cellStyle name="Финансовый 3 2 2 7 2" xfId="4020"/>
    <cellStyle name="Финансовый 3 2 2 7 3" xfId="5803"/>
    <cellStyle name="Финансовый 3 2 2 7 4" xfId="8413"/>
    <cellStyle name="Финансовый 3 2 2 8" xfId="1602"/>
    <cellStyle name="Финансовый 3 2 2 8 2" xfId="3247"/>
    <cellStyle name="Финансовый 3 2 2 8 3" xfId="5030"/>
    <cellStyle name="Финансовый 3 2 2 8 4" xfId="7640"/>
    <cellStyle name="Финансовый 3 2 2 9" xfId="888"/>
    <cellStyle name="Финансовый 3 2 2 9 2" xfId="6928"/>
    <cellStyle name="Финансовый 3 2 3" xfId="115"/>
    <cellStyle name="Финансовый 3 2 3 10" xfId="2725"/>
    <cellStyle name="Финансовый 3 2 3 11" xfId="4369"/>
    <cellStyle name="Финансовый 3 2 3 12" xfId="6156"/>
    <cellStyle name="Финансовый 3 2 3 2" xfId="251"/>
    <cellStyle name="Финансовый 3 2 3 2 2" xfId="1349"/>
    <cellStyle name="Финансовый 3 2 3 2 2 2" xfId="2307"/>
    <cellStyle name="Финансовый 3 2 3 2 2 2 2" xfId="3952"/>
    <cellStyle name="Финансовый 3 2 3 2 2 2 3" xfId="5735"/>
    <cellStyle name="Финансовый 3 2 3 2 2 2 4" xfId="8345"/>
    <cellStyle name="Финансовый 3 2 3 2 2 3" xfId="3133"/>
    <cellStyle name="Финансовый 3 2 3 2 2 4" xfId="4777"/>
    <cellStyle name="Финансовый 3 2 3 2 2 5" xfId="7389"/>
    <cellStyle name="Финансовый 3 2 3 2 3" xfId="2051"/>
    <cellStyle name="Финансовый 3 2 3 2 3 2" xfId="3696"/>
    <cellStyle name="Финансовый 3 2 3 2 3 3" xfId="5479"/>
    <cellStyle name="Финансовый 3 2 3 2 3 4" xfId="8089"/>
    <cellStyle name="Финансовый 3 2 3 2 4" xfId="2580"/>
    <cellStyle name="Финансовый 3 2 3 2 4 2" xfId="4225"/>
    <cellStyle name="Финансовый 3 2 3 2 4 3" xfId="6008"/>
    <cellStyle name="Финансовый 3 2 3 2 4 4" xfId="8618"/>
    <cellStyle name="Финансовый 3 2 3 2 5" xfId="1084"/>
    <cellStyle name="Финансовый 3 2 3 2 5 2" xfId="7124"/>
    <cellStyle name="Финансовый 3 2 3 2 6" xfId="672"/>
    <cellStyle name="Финансовый 3 2 3 2 6 2" xfId="6712"/>
    <cellStyle name="Финансовый 3 2 3 2 7" xfId="2861"/>
    <cellStyle name="Финансовый 3 2 3 2 8" xfId="4505"/>
    <cellStyle name="Финансовый 3 2 3 2 9" xfId="6292"/>
    <cellStyle name="Финансовый 3 2 3 3" xfId="400"/>
    <cellStyle name="Финансовый 3 2 3 3 2" xfId="2179"/>
    <cellStyle name="Финансовый 3 2 3 3 2 2" xfId="3824"/>
    <cellStyle name="Финансовый 3 2 3 3 2 3" xfId="5607"/>
    <cellStyle name="Финансовый 3 2 3 3 2 4" xfId="8217"/>
    <cellStyle name="Финансовый 3 2 3 3 3" xfId="1213"/>
    <cellStyle name="Финансовый 3 2 3 3 3 2" xfId="7253"/>
    <cellStyle name="Финансовый 3 2 3 3 4" xfId="820"/>
    <cellStyle name="Финансовый 3 2 3 3 4 2" xfId="6860"/>
    <cellStyle name="Финансовый 3 2 3 3 5" xfId="2997"/>
    <cellStyle name="Финансовый 3 2 3 3 6" xfId="4641"/>
    <cellStyle name="Финансовый 3 2 3 3 7" xfId="6440"/>
    <cellStyle name="Финансовый 3 2 3 4" xfId="1518"/>
    <cellStyle name="Финансовый 3 2 3 4 2" xfId="1923"/>
    <cellStyle name="Финансовый 3 2 3 4 2 2" xfId="3568"/>
    <cellStyle name="Финансовый 3 2 3 4 2 3" xfId="5351"/>
    <cellStyle name="Финансовый 3 2 3 4 2 4" xfId="7961"/>
    <cellStyle name="Финансовый 3 2 3 4 3" xfId="4946"/>
    <cellStyle name="Финансовый 3 2 3 4 4" xfId="7556"/>
    <cellStyle name="Финансовый 3 2 3 5" xfId="1799"/>
    <cellStyle name="Финансовый 3 2 3 5 2" xfId="3444"/>
    <cellStyle name="Финансовый 3 2 3 5 3" xfId="5227"/>
    <cellStyle name="Финансовый 3 2 3 5 4" xfId="7837"/>
    <cellStyle name="Финансовый 3 2 3 6" xfId="2444"/>
    <cellStyle name="Финансовый 3 2 3 6 2" xfId="4089"/>
    <cellStyle name="Финансовый 3 2 3 6 3" xfId="5872"/>
    <cellStyle name="Финансовый 3 2 3 6 4" xfId="8482"/>
    <cellStyle name="Финансовый 3 2 3 7" xfId="1671"/>
    <cellStyle name="Финансовый 3 2 3 7 2" xfId="3316"/>
    <cellStyle name="Финансовый 3 2 3 7 3" xfId="5099"/>
    <cellStyle name="Финансовый 3 2 3 7 4" xfId="7709"/>
    <cellStyle name="Финансовый 3 2 3 8" xfId="948"/>
    <cellStyle name="Финансовый 3 2 3 8 2" xfId="6988"/>
    <cellStyle name="Финансовый 3 2 3 9" xfId="536"/>
    <cellStyle name="Финансовый 3 2 3 9 2" xfId="6576"/>
    <cellStyle name="Финансовый 3 2 4" xfId="79"/>
    <cellStyle name="Финансовый 3 2 4 10" xfId="2689"/>
    <cellStyle name="Финансовый 3 2 4 11" xfId="4333"/>
    <cellStyle name="Финансовый 3 2 4 12" xfId="6120"/>
    <cellStyle name="Финансовый 3 2 4 2" xfId="215"/>
    <cellStyle name="Финансовый 3 2 4 2 2" xfId="1313"/>
    <cellStyle name="Финансовый 3 2 4 2 2 2" xfId="2271"/>
    <cellStyle name="Финансовый 3 2 4 2 2 2 2" xfId="3916"/>
    <cellStyle name="Финансовый 3 2 4 2 2 2 3" xfId="5699"/>
    <cellStyle name="Финансовый 3 2 4 2 2 2 4" xfId="8309"/>
    <cellStyle name="Финансовый 3 2 4 2 2 3" xfId="3097"/>
    <cellStyle name="Финансовый 3 2 4 2 2 4" xfId="4741"/>
    <cellStyle name="Финансовый 3 2 4 2 2 5" xfId="7353"/>
    <cellStyle name="Финансовый 3 2 4 2 3" xfId="2015"/>
    <cellStyle name="Финансовый 3 2 4 2 3 2" xfId="3660"/>
    <cellStyle name="Финансовый 3 2 4 2 3 3" xfId="5443"/>
    <cellStyle name="Финансовый 3 2 4 2 3 4" xfId="8053"/>
    <cellStyle name="Финансовый 3 2 4 2 4" xfId="2544"/>
    <cellStyle name="Финансовый 3 2 4 2 4 2" xfId="4189"/>
    <cellStyle name="Финансовый 3 2 4 2 4 3" xfId="5972"/>
    <cellStyle name="Финансовый 3 2 4 2 4 4" xfId="8582"/>
    <cellStyle name="Финансовый 3 2 4 2 5" xfId="1048"/>
    <cellStyle name="Финансовый 3 2 4 2 5 2" xfId="7088"/>
    <cellStyle name="Финансовый 3 2 4 2 6" xfId="636"/>
    <cellStyle name="Финансовый 3 2 4 2 6 2" xfId="6676"/>
    <cellStyle name="Финансовый 3 2 4 2 7" xfId="2825"/>
    <cellStyle name="Финансовый 3 2 4 2 8" xfId="4469"/>
    <cellStyle name="Финансовый 3 2 4 2 9" xfId="6256"/>
    <cellStyle name="Финансовый 3 2 4 3" xfId="364"/>
    <cellStyle name="Финансовый 3 2 4 3 2" xfId="2143"/>
    <cellStyle name="Финансовый 3 2 4 3 2 2" xfId="3788"/>
    <cellStyle name="Финансовый 3 2 4 3 2 3" xfId="5571"/>
    <cellStyle name="Финансовый 3 2 4 3 2 4" xfId="8181"/>
    <cellStyle name="Финансовый 3 2 4 3 3" xfId="1177"/>
    <cellStyle name="Финансовый 3 2 4 3 3 2" xfId="7217"/>
    <cellStyle name="Финансовый 3 2 4 3 4" xfId="784"/>
    <cellStyle name="Финансовый 3 2 4 3 4 2" xfId="6824"/>
    <cellStyle name="Финансовый 3 2 4 3 5" xfId="2961"/>
    <cellStyle name="Финансовый 3 2 4 3 6" xfId="4605"/>
    <cellStyle name="Финансовый 3 2 4 3 7" xfId="6404"/>
    <cellStyle name="Финансовый 3 2 4 4" xfId="1519"/>
    <cellStyle name="Финансовый 3 2 4 4 2" xfId="1887"/>
    <cellStyle name="Финансовый 3 2 4 4 2 2" xfId="3532"/>
    <cellStyle name="Финансовый 3 2 4 4 2 3" xfId="5315"/>
    <cellStyle name="Финансовый 3 2 4 4 2 4" xfId="7925"/>
    <cellStyle name="Финансовый 3 2 4 4 3" xfId="4947"/>
    <cellStyle name="Финансовый 3 2 4 4 4" xfId="7557"/>
    <cellStyle name="Финансовый 3 2 4 5" xfId="1763"/>
    <cellStyle name="Финансовый 3 2 4 5 2" xfId="3408"/>
    <cellStyle name="Финансовый 3 2 4 5 3" xfId="5191"/>
    <cellStyle name="Финансовый 3 2 4 5 4" xfId="7801"/>
    <cellStyle name="Финансовый 3 2 4 6" xfId="2408"/>
    <cellStyle name="Финансовый 3 2 4 6 2" xfId="4053"/>
    <cellStyle name="Финансовый 3 2 4 6 3" xfId="5836"/>
    <cellStyle name="Финансовый 3 2 4 6 4" xfId="8446"/>
    <cellStyle name="Финансовый 3 2 4 7" xfId="1635"/>
    <cellStyle name="Финансовый 3 2 4 7 2" xfId="3280"/>
    <cellStyle name="Финансовый 3 2 4 7 3" xfId="5063"/>
    <cellStyle name="Финансовый 3 2 4 7 4" xfId="7673"/>
    <cellStyle name="Финансовый 3 2 4 8" xfId="912"/>
    <cellStyle name="Финансовый 3 2 4 8 2" xfId="6952"/>
    <cellStyle name="Финансовый 3 2 4 9" xfId="500"/>
    <cellStyle name="Финансовый 3 2 4 9 2" xfId="6540"/>
    <cellStyle name="Финансовый 3 2 5" xfId="57"/>
    <cellStyle name="Финансовый 3 2 5 10" xfId="2669"/>
    <cellStyle name="Финансовый 3 2 5 11" xfId="4312"/>
    <cellStyle name="Финансовый 3 2 5 12" xfId="6100"/>
    <cellStyle name="Финансовый 3 2 5 2" xfId="195"/>
    <cellStyle name="Финансовый 3 2 5 2 2" xfId="1293"/>
    <cellStyle name="Финансовый 3 2 5 2 2 2" xfId="2259"/>
    <cellStyle name="Финансовый 3 2 5 2 2 2 2" xfId="3904"/>
    <cellStyle name="Финансовый 3 2 5 2 2 2 3" xfId="5687"/>
    <cellStyle name="Финансовый 3 2 5 2 2 2 4" xfId="8297"/>
    <cellStyle name="Финансовый 3 2 5 2 2 3" xfId="3077"/>
    <cellStyle name="Финансовый 3 2 5 2 2 4" xfId="4721"/>
    <cellStyle name="Финансовый 3 2 5 2 2 5" xfId="7333"/>
    <cellStyle name="Финансовый 3 2 5 2 3" xfId="2003"/>
    <cellStyle name="Финансовый 3 2 5 2 3 2" xfId="3648"/>
    <cellStyle name="Финансовый 3 2 5 2 3 3" xfId="5431"/>
    <cellStyle name="Финансовый 3 2 5 2 3 4" xfId="8041"/>
    <cellStyle name="Финансовый 3 2 5 2 4" xfId="2524"/>
    <cellStyle name="Финансовый 3 2 5 2 4 2" xfId="4169"/>
    <cellStyle name="Финансовый 3 2 5 2 4 3" xfId="5952"/>
    <cellStyle name="Финансовый 3 2 5 2 4 4" xfId="8562"/>
    <cellStyle name="Финансовый 3 2 5 2 5" xfId="1028"/>
    <cellStyle name="Финансовый 3 2 5 2 5 2" xfId="7068"/>
    <cellStyle name="Финансовый 3 2 5 2 6" xfId="616"/>
    <cellStyle name="Финансовый 3 2 5 2 6 2" xfId="6656"/>
    <cellStyle name="Финансовый 3 2 5 2 7" xfId="2805"/>
    <cellStyle name="Финансовый 3 2 5 2 8" xfId="4449"/>
    <cellStyle name="Финансовый 3 2 5 2 9" xfId="6236"/>
    <cellStyle name="Финансовый 3 2 5 3" xfId="344"/>
    <cellStyle name="Финансовый 3 2 5 3 2" xfId="2131"/>
    <cellStyle name="Финансовый 3 2 5 3 2 2" xfId="3776"/>
    <cellStyle name="Финансовый 3 2 5 3 2 3" xfId="5559"/>
    <cellStyle name="Финансовый 3 2 5 3 2 4" xfId="8169"/>
    <cellStyle name="Финансовый 3 2 5 3 3" xfId="1164"/>
    <cellStyle name="Финансовый 3 2 5 3 3 2" xfId="7204"/>
    <cellStyle name="Финансовый 3 2 5 3 4" xfId="764"/>
    <cellStyle name="Финансовый 3 2 5 3 4 2" xfId="6804"/>
    <cellStyle name="Финансовый 3 2 5 3 5" xfId="2941"/>
    <cellStyle name="Финансовый 3 2 5 3 6" xfId="4585"/>
    <cellStyle name="Финансовый 3 2 5 3 7" xfId="6384"/>
    <cellStyle name="Финансовый 3 2 5 4" xfId="1520"/>
    <cellStyle name="Финансовый 3 2 5 4 2" xfId="1867"/>
    <cellStyle name="Финансовый 3 2 5 4 2 2" xfId="3512"/>
    <cellStyle name="Финансовый 3 2 5 4 2 3" xfId="5295"/>
    <cellStyle name="Финансовый 3 2 5 4 2 4" xfId="7905"/>
    <cellStyle name="Финансовый 3 2 5 4 3" xfId="4948"/>
    <cellStyle name="Финансовый 3 2 5 4 4" xfId="7558"/>
    <cellStyle name="Финансовый 3 2 5 5" xfId="1751"/>
    <cellStyle name="Финансовый 3 2 5 5 2" xfId="3396"/>
    <cellStyle name="Финансовый 3 2 5 5 3" xfId="5179"/>
    <cellStyle name="Финансовый 3 2 5 5 4" xfId="7789"/>
    <cellStyle name="Финансовый 3 2 5 6" xfId="2387"/>
    <cellStyle name="Финансовый 3 2 5 6 2" xfId="4032"/>
    <cellStyle name="Финансовый 3 2 5 6 3" xfId="5815"/>
    <cellStyle name="Финансовый 3 2 5 6 4" xfId="8425"/>
    <cellStyle name="Финансовый 3 2 5 7" xfId="1614"/>
    <cellStyle name="Финансовый 3 2 5 7 2" xfId="3259"/>
    <cellStyle name="Финансовый 3 2 5 7 3" xfId="5042"/>
    <cellStyle name="Финансовый 3 2 5 7 4" xfId="7652"/>
    <cellStyle name="Финансовый 3 2 5 8" xfId="900"/>
    <cellStyle name="Финансовый 3 2 5 8 2" xfId="6940"/>
    <cellStyle name="Финансовый 3 2 5 9" xfId="480"/>
    <cellStyle name="Финансовый 3 2 5 9 2" xfId="6520"/>
    <cellStyle name="Финансовый 3 2 6" xfId="135"/>
    <cellStyle name="Финансовый 3 2 6 10" xfId="2745"/>
    <cellStyle name="Финансовый 3 2 6 11" xfId="4389"/>
    <cellStyle name="Финансовый 3 2 6 12" xfId="6176"/>
    <cellStyle name="Финансовый 3 2 6 2" xfId="271"/>
    <cellStyle name="Финансовый 3 2 6 2 2" xfId="1369"/>
    <cellStyle name="Финансовый 3 2 6 2 2 2" xfId="2327"/>
    <cellStyle name="Финансовый 3 2 6 2 2 2 2" xfId="3972"/>
    <cellStyle name="Финансовый 3 2 6 2 2 2 3" xfId="5755"/>
    <cellStyle name="Финансовый 3 2 6 2 2 2 4" xfId="8365"/>
    <cellStyle name="Финансовый 3 2 6 2 2 3" xfId="3153"/>
    <cellStyle name="Финансовый 3 2 6 2 2 4" xfId="4797"/>
    <cellStyle name="Финансовый 3 2 6 2 2 5" xfId="7409"/>
    <cellStyle name="Финансовый 3 2 6 2 3" xfId="2071"/>
    <cellStyle name="Финансовый 3 2 6 2 3 2" xfId="3716"/>
    <cellStyle name="Финансовый 3 2 6 2 3 3" xfId="5499"/>
    <cellStyle name="Финансовый 3 2 6 2 3 4" xfId="8109"/>
    <cellStyle name="Финансовый 3 2 6 2 4" xfId="2600"/>
    <cellStyle name="Финансовый 3 2 6 2 4 2" xfId="4245"/>
    <cellStyle name="Финансовый 3 2 6 2 4 3" xfId="6028"/>
    <cellStyle name="Финансовый 3 2 6 2 4 4" xfId="8638"/>
    <cellStyle name="Финансовый 3 2 6 2 5" xfId="1104"/>
    <cellStyle name="Финансовый 3 2 6 2 5 2" xfId="7144"/>
    <cellStyle name="Финансовый 3 2 6 2 6" xfId="692"/>
    <cellStyle name="Финансовый 3 2 6 2 6 2" xfId="6732"/>
    <cellStyle name="Финансовый 3 2 6 2 7" xfId="2881"/>
    <cellStyle name="Финансовый 3 2 6 2 8" xfId="4525"/>
    <cellStyle name="Финансовый 3 2 6 2 9" xfId="6312"/>
    <cellStyle name="Финансовый 3 2 6 3" xfId="420"/>
    <cellStyle name="Финансовый 3 2 6 3 2" xfId="2199"/>
    <cellStyle name="Финансовый 3 2 6 3 2 2" xfId="3844"/>
    <cellStyle name="Финансовый 3 2 6 3 2 3" xfId="5627"/>
    <cellStyle name="Финансовый 3 2 6 3 2 4" xfId="8237"/>
    <cellStyle name="Финансовый 3 2 6 3 3" xfId="1233"/>
    <cellStyle name="Финансовый 3 2 6 3 3 2" xfId="7273"/>
    <cellStyle name="Финансовый 3 2 6 3 4" xfId="840"/>
    <cellStyle name="Финансовый 3 2 6 3 4 2" xfId="6880"/>
    <cellStyle name="Финансовый 3 2 6 3 5" xfId="3017"/>
    <cellStyle name="Финансовый 3 2 6 3 6" xfId="4661"/>
    <cellStyle name="Финансовый 3 2 6 3 7" xfId="6460"/>
    <cellStyle name="Финансовый 3 2 6 4" xfId="1521"/>
    <cellStyle name="Финансовый 3 2 6 4 2" xfId="1943"/>
    <cellStyle name="Финансовый 3 2 6 4 2 2" xfId="3588"/>
    <cellStyle name="Финансовый 3 2 6 4 2 3" xfId="5371"/>
    <cellStyle name="Финансовый 3 2 6 4 2 4" xfId="7981"/>
    <cellStyle name="Финансовый 3 2 6 4 3" xfId="4949"/>
    <cellStyle name="Финансовый 3 2 6 4 4" xfId="7559"/>
    <cellStyle name="Финансовый 3 2 6 5" xfId="1819"/>
    <cellStyle name="Финансовый 3 2 6 5 2" xfId="3464"/>
    <cellStyle name="Финансовый 3 2 6 5 3" xfId="5247"/>
    <cellStyle name="Финансовый 3 2 6 5 4" xfId="7857"/>
    <cellStyle name="Финансовый 3 2 6 6" xfId="2464"/>
    <cellStyle name="Финансовый 3 2 6 6 2" xfId="4109"/>
    <cellStyle name="Финансовый 3 2 6 6 3" xfId="5892"/>
    <cellStyle name="Финансовый 3 2 6 6 4" xfId="8502"/>
    <cellStyle name="Финансовый 3 2 6 7" xfId="1691"/>
    <cellStyle name="Финансовый 3 2 6 7 2" xfId="3336"/>
    <cellStyle name="Финансовый 3 2 6 7 3" xfId="5119"/>
    <cellStyle name="Финансовый 3 2 6 7 4" xfId="7729"/>
    <cellStyle name="Финансовый 3 2 6 8" xfId="968"/>
    <cellStyle name="Финансовый 3 2 6 8 2" xfId="7008"/>
    <cellStyle name="Финансовый 3 2 6 9" xfId="556"/>
    <cellStyle name="Финансовый 3 2 6 9 2" xfId="6596"/>
    <cellStyle name="Финансовый 3 2 7" xfId="33"/>
    <cellStyle name="Финансовый 3 2 7 10" xfId="2645"/>
    <cellStyle name="Финансовый 3 2 7 11" xfId="4288"/>
    <cellStyle name="Финансовый 3 2 7 12" xfId="6076"/>
    <cellStyle name="Финансовый 3 2 7 2" xfId="171"/>
    <cellStyle name="Финансовый 3 2 7 2 2" xfId="1269"/>
    <cellStyle name="Финансовый 3 2 7 2 2 2" xfId="2235"/>
    <cellStyle name="Финансовый 3 2 7 2 2 2 2" xfId="3880"/>
    <cellStyle name="Финансовый 3 2 7 2 2 2 3" xfId="5663"/>
    <cellStyle name="Финансовый 3 2 7 2 2 2 4" xfId="8273"/>
    <cellStyle name="Финансовый 3 2 7 2 2 3" xfId="3053"/>
    <cellStyle name="Финансовый 3 2 7 2 2 4" xfId="4697"/>
    <cellStyle name="Финансовый 3 2 7 2 2 5" xfId="7309"/>
    <cellStyle name="Финансовый 3 2 7 2 3" xfId="1979"/>
    <cellStyle name="Финансовый 3 2 7 2 3 2" xfId="3624"/>
    <cellStyle name="Финансовый 3 2 7 2 3 3" xfId="5407"/>
    <cellStyle name="Финансовый 3 2 7 2 3 4" xfId="8017"/>
    <cellStyle name="Финансовый 3 2 7 2 4" xfId="2500"/>
    <cellStyle name="Финансовый 3 2 7 2 4 2" xfId="4145"/>
    <cellStyle name="Финансовый 3 2 7 2 4 3" xfId="5928"/>
    <cellStyle name="Финансовый 3 2 7 2 4 4" xfId="8538"/>
    <cellStyle name="Финансовый 3 2 7 2 5" xfId="1004"/>
    <cellStyle name="Финансовый 3 2 7 2 5 2" xfId="7044"/>
    <cellStyle name="Финансовый 3 2 7 2 6" xfId="592"/>
    <cellStyle name="Финансовый 3 2 7 2 6 2" xfId="6632"/>
    <cellStyle name="Финансовый 3 2 7 2 7" xfId="2781"/>
    <cellStyle name="Финансовый 3 2 7 2 8" xfId="4425"/>
    <cellStyle name="Финансовый 3 2 7 2 9" xfId="6212"/>
    <cellStyle name="Финансовый 3 2 7 3" xfId="320"/>
    <cellStyle name="Финансовый 3 2 7 3 2" xfId="2107"/>
    <cellStyle name="Финансовый 3 2 7 3 2 2" xfId="3752"/>
    <cellStyle name="Финансовый 3 2 7 3 2 3" xfId="5535"/>
    <cellStyle name="Финансовый 3 2 7 3 2 4" xfId="8145"/>
    <cellStyle name="Финансовый 3 2 7 3 3" xfId="1140"/>
    <cellStyle name="Финансовый 3 2 7 3 3 2" xfId="7180"/>
    <cellStyle name="Финансовый 3 2 7 3 4" xfId="740"/>
    <cellStyle name="Финансовый 3 2 7 3 4 2" xfId="6780"/>
    <cellStyle name="Финансовый 3 2 7 3 5" xfId="2917"/>
    <cellStyle name="Финансовый 3 2 7 3 6" xfId="4561"/>
    <cellStyle name="Финансовый 3 2 7 3 7" xfId="6360"/>
    <cellStyle name="Финансовый 3 2 7 4" xfId="1522"/>
    <cellStyle name="Финансовый 3 2 7 4 2" xfId="1843"/>
    <cellStyle name="Финансовый 3 2 7 4 2 2" xfId="3488"/>
    <cellStyle name="Финансовый 3 2 7 4 2 3" xfId="5271"/>
    <cellStyle name="Финансовый 3 2 7 4 2 4" xfId="7881"/>
    <cellStyle name="Финансовый 3 2 7 4 3" xfId="4950"/>
    <cellStyle name="Финансовый 3 2 7 4 4" xfId="7560"/>
    <cellStyle name="Финансовый 3 2 7 5" xfId="1727"/>
    <cellStyle name="Финансовый 3 2 7 5 2" xfId="3372"/>
    <cellStyle name="Финансовый 3 2 7 5 3" xfId="5155"/>
    <cellStyle name="Финансовый 3 2 7 5 4" xfId="7765"/>
    <cellStyle name="Финансовый 3 2 7 6" xfId="2363"/>
    <cellStyle name="Финансовый 3 2 7 6 2" xfId="4008"/>
    <cellStyle name="Финансовый 3 2 7 6 3" xfId="5791"/>
    <cellStyle name="Финансовый 3 2 7 6 4" xfId="8401"/>
    <cellStyle name="Финансовый 3 2 7 7" xfId="1590"/>
    <cellStyle name="Финансовый 3 2 7 7 2" xfId="3235"/>
    <cellStyle name="Финансовый 3 2 7 7 3" xfId="5018"/>
    <cellStyle name="Финансовый 3 2 7 7 4" xfId="7628"/>
    <cellStyle name="Финансовый 3 2 7 8" xfId="876"/>
    <cellStyle name="Финансовый 3 2 7 8 2" xfId="6916"/>
    <cellStyle name="Финансовый 3 2 7 9" xfId="456"/>
    <cellStyle name="Финансовый 3 2 7 9 2" xfId="6496"/>
    <cellStyle name="Финансовый 3 2 8" xfId="21"/>
    <cellStyle name="Финансовый 3 2 8 10" xfId="2633"/>
    <cellStyle name="Финансовый 3 2 8 11" xfId="4276"/>
    <cellStyle name="Финансовый 3 2 8 12" xfId="6064"/>
    <cellStyle name="Финансовый 3 2 8 2" xfId="159"/>
    <cellStyle name="Финансовый 3 2 8 2 2" xfId="1257"/>
    <cellStyle name="Финансовый 3 2 8 2 2 2" xfId="2223"/>
    <cellStyle name="Финансовый 3 2 8 2 2 2 2" xfId="3868"/>
    <cellStyle name="Финансовый 3 2 8 2 2 2 3" xfId="5651"/>
    <cellStyle name="Финансовый 3 2 8 2 2 2 4" xfId="8261"/>
    <cellStyle name="Финансовый 3 2 8 2 2 3" xfId="3041"/>
    <cellStyle name="Финансовый 3 2 8 2 2 4" xfId="4685"/>
    <cellStyle name="Финансовый 3 2 8 2 2 5" xfId="7297"/>
    <cellStyle name="Финансовый 3 2 8 2 3" xfId="1967"/>
    <cellStyle name="Финансовый 3 2 8 2 3 2" xfId="3612"/>
    <cellStyle name="Финансовый 3 2 8 2 3 3" xfId="5395"/>
    <cellStyle name="Финансовый 3 2 8 2 3 4" xfId="8005"/>
    <cellStyle name="Финансовый 3 2 8 2 4" xfId="2488"/>
    <cellStyle name="Финансовый 3 2 8 2 4 2" xfId="4133"/>
    <cellStyle name="Финансовый 3 2 8 2 4 3" xfId="5916"/>
    <cellStyle name="Финансовый 3 2 8 2 4 4" xfId="8526"/>
    <cellStyle name="Финансовый 3 2 8 2 5" xfId="992"/>
    <cellStyle name="Финансовый 3 2 8 2 5 2" xfId="7032"/>
    <cellStyle name="Финансовый 3 2 8 2 6" xfId="580"/>
    <cellStyle name="Финансовый 3 2 8 2 6 2" xfId="6620"/>
    <cellStyle name="Финансовый 3 2 8 2 7" xfId="2769"/>
    <cellStyle name="Финансовый 3 2 8 2 8" xfId="4413"/>
    <cellStyle name="Финансовый 3 2 8 2 9" xfId="6200"/>
    <cellStyle name="Финансовый 3 2 8 3" xfId="308"/>
    <cellStyle name="Финансовый 3 2 8 3 2" xfId="2095"/>
    <cellStyle name="Финансовый 3 2 8 3 2 2" xfId="3740"/>
    <cellStyle name="Финансовый 3 2 8 3 2 3" xfId="5523"/>
    <cellStyle name="Финансовый 3 2 8 3 2 4" xfId="8133"/>
    <cellStyle name="Финансовый 3 2 8 3 3" xfId="1128"/>
    <cellStyle name="Финансовый 3 2 8 3 3 2" xfId="7168"/>
    <cellStyle name="Финансовый 3 2 8 3 4" xfId="728"/>
    <cellStyle name="Финансовый 3 2 8 3 4 2" xfId="6768"/>
    <cellStyle name="Финансовый 3 2 8 3 5" xfId="2905"/>
    <cellStyle name="Финансовый 3 2 8 3 6" xfId="4549"/>
    <cellStyle name="Финансовый 3 2 8 3 7" xfId="6348"/>
    <cellStyle name="Финансовый 3 2 8 4" xfId="1523"/>
    <cellStyle name="Финансовый 3 2 8 4 2" xfId="1831"/>
    <cellStyle name="Финансовый 3 2 8 4 2 2" xfId="3476"/>
    <cellStyle name="Финансовый 3 2 8 4 2 3" xfId="5259"/>
    <cellStyle name="Финансовый 3 2 8 4 2 4" xfId="7869"/>
    <cellStyle name="Финансовый 3 2 8 4 3" xfId="4951"/>
    <cellStyle name="Финансовый 3 2 8 4 4" xfId="7561"/>
    <cellStyle name="Финансовый 3 2 8 5" xfId="1715"/>
    <cellStyle name="Финансовый 3 2 8 5 2" xfId="3360"/>
    <cellStyle name="Финансовый 3 2 8 5 3" xfId="5143"/>
    <cellStyle name="Финансовый 3 2 8 5 4" xfId="7753"/>
    <cellStyle name="Финансовый 3 2 8 6" xfId="2351"/>
    <cellStyle name="Финансовый 3 2 8 6 2" xfId="3996"/>
    <cellStyle name="Финансовый 3 2 8 6 3" xfId="5779"/>
    <cellStyle name="Финансовый 3 2 8 6 4" xfId="8389"/>
    <cellStyle name="Финансовый 3 2 8 7" xfId="1578"/>
    <cellStyle name="Финансовый 3 2 8 7 2" xfId="3223"/>
    <cellStyle name="Финансовый 3 2 8 7 3" xfId="5006"/>
    <cellStyle name="Финансовый 3 2 8 7 4" xfId="7616"/>
    <cellStyle name="Финансовый 3 2 8 8" xfId="864"/>
    <cellStyle name="Финансовый 3 2 8 8 2" xfId="6904"/>
    <cellStyle name="Финансовый 3 2 8 9" xfId="444"/>
    <cellStyle name="Финансовый 3 2 8 9 2" xfId="6484"/>
    <cellStyle name="Финансовый 3 2 9" xfId="147"/>
    <cellStyle name="Финансовый 3 2 9 2" xfId="1245"/>
    <cellStyle name="Финансовый 3 2 9 2 2" xfId="2211"/>
    <cellStyle name="Финансовый 3 2 9 2 2 2" xfId="3856"/>
    <cellStyle name="Финансовый 3 2 9 2 2 3" xfId="5639"/>
    <cellStyle name="Финансовый 3 2 9 2 2 4" xfId="8249"/>
    <cellStyle name="Финансовый 3 2 9 2 3" xfId="3029"/>
    <cellStyle name="Финансовый 3 2 9 2 4" xfId="4673"/>
    <cellStyle name="Финансовый 3 2 9 2 5" xfId="7285"/>
    <cellStyle name="Финансовый 3 2 9 3" xfId="1955"/>
    <cellStyle name="Финансовый 3 2 9 3 2" xfId="3600"/>
    <cellStyle name="Финансовый 3 2 9 3 3" xfId="5383"/>
    <cellStyle name="Финансовый 3 2 9 3 4" xfId="7993"/>
    <cellStyle name="Финансовый 3 2 9 4" xfId="2476"/>
    <cellStyle name="Финансовый 3 2 9 4 2" xfId="4121"/>
    <cellStyle name="Финансовый 3 2 9 4 3" xfId="5904"/>
    <cellStyle name="Финансовый 3 2 9 4 4" xfId="8514"/>
    <cellStyle name="Финансовый 3 2 9 5" xfId="980"/>
    <cellStyle name="Финансовый 3 2 9 5 2" xfId="7020"/>
    <cellStyle name="Финансовый 3 2 9 6" xfId="568"/>
    <cellStyle name="Финансовый 3 2 9 6 2" xfId="6608"/>
    <cellStyle name="Финансовый 3 2 9 7" xfId="2757"/>
    <cellStyle name="Финансовый 3 2 9 8" xfId="4401"/>
    <cellStyle name="Финансовый 3 2 9 9" xfId="6188"/>
    <cellStyle name="Финансовый 3 20" xfId="2615"/>
    <cellStyle name="Финансовый 3 21" xfId="4258"/>
    <cellStyle name="Финансовый 3 22" xfId="6046"/>
    <cellStyle name="Финансовый 3 3" xfId="39"/>
    <cellStyle name="Финансовый 3 3 10" xfId="882"/>
    <cellStyle name="Финансовый 3 3 10 2" xfId="6922"/>
    <cellStyle name="Финансовый 3 3 11" xfId="462"/>
    <cellStyle name="Финансовый 3 3 11 2" xfId="6502"/>
    <cellStyle name="Финансовый 3 3 12" xfId="2651"/>
    <cellStyle name="Финансовый 3 3 13" xfId="4294"/>
    <cellStyle name="Финансовый 3 3 14" xfId="6082"/>
    <cellStyle name="Финансовый 3 3 2" xfId="121"/>
    <cellStyle name="Финансовый 3 3 2 10" xfId="2731"/>
    <cellStyle name="Финансовый 3 3 2 11" xfId="4375"/>
    <cellStyle name="Финансовый 3 3 2 12" xfId="6162"/>
    <cellStyle name="Финансовый 3 3 2 2" xfId="257"/>
    <cellStyle name="Финансовый 3 3 2 2 2" xfId="1355"/>
    <cellStyle name="Финансовый 3 3 2 2 2 2" xfId="2313"/>
    <cellStyle name="Финансовый 3 3 2 2 2 2 2" xfId="3958"/>
    <cellStyle name="Финансовый 3 3 2 2 2 2 3" xfId="5741"/>
    <cellStyle name="Финансовый 3 3 2 2 2 2 4" xfId="8351"/>
    <cellStyle name="Финансовый 3 3 2 2 2 3" xfId="3139"/>
    <cellStyle name="Финансовый 3 3 2 2 2 4" xfId="4783"/>
    <cellStyle name="Финансовый 3 3 2 2 2 5" xfId="7395"/>
    <cellStyle name="Финансовый 3 3 2 2 3" xfId="2057"/>
    <cellStyle name="Финансовый 3 3 2 2 3 2" xfId="3702"/>
    <cellStyle name="Финансовый 3 3 2 2 3 3" xfId="5485"/>
    <cellStyle name="Финансовый 3 3 2 2 3 4" xfId="8095"/>
    <cellStyle name="Финансовый 3 3 2 2 4" xfId="2586"/>
    <cellStyle name="Финансовый 3 3 2 2 4 2" xfId="4231"/>
    <cellStyle name="Финансовый 3 3 2 2 4 3" xfId="6014"/>
    <cellStyle name="Финансовый 3 3 2 2 4 4" xfId="8624"/>
    <cellStyle name="Финансовый 3 3 2 2 5" xfId="1090"/>
    <cellStyle name="Финансовый 3 3 2 2 5 2" xfId="7130"/>
    <cellStyle name="Финансовый 3 3 2 2 6" xfId="678"/>
    <cellStyle name="Финансовый 3 3 2 2 6 2" xfId="6718"/>
    <cellStyle name="Финансовый 3 3 2 2 7" xfId="2867"/>
    <cellStyle name="Финансовый 3 3 2 2 8" xfId="4511"/>
    <cellStyle name="Финансовый 3 3 2 2 9" xfId="6298"/>
    <cellStyle name="Финансовый 3 3 2 3" xfId="406"/>
    <cellStyle name="Финансовый 3 3 2 3 2" xfId="2185"/>
    <cellStyle name="Финансовый 3 3 2 3 2 2" xfId="3830"/>
    <cellStyle name="Финансовый 3 3 2 3 2 3" xfId="5613"/>
    <cellStyle name="Финансовый 3 3 2 3 2 4" xfId="8223"/>
    <cellStyle name="Финансовый 3 3 2 3 3" xfId="1219"/>
    <cellStyle name="Финансовый 3 3 2 3 3 2" xfId="7259"/>
    <cellStyle name="Финансовый 3 3 2 3 4" xfId="826"/>
    <cellStyle name="Финансовый 3 3 2 3 4 2" xfId="6866"/>
    <cellStyle name="Финансовый 3 3 2 3 5" xfId="3003"/>
    <cellStyle name="Финансовый 3 3 2 3 6" xfId="4647"/>
    <cellStyle name="Финансовый 3 3 2 3 7" xfId="6446"/>
    <cellStyle name="Финансовый 3 3 2 4" xfId="1525"/>
    <cellStyle name="Финансовый 3 3 2 4 2" xfId="1929"/>
    <cellStyle name="Финансовый 3 3 2 4 2 2" xfId="3574"/>
    <cellStyle name="Финансовый 3 3 2 4 2 3" xfId="5357"/>
    <cellStyle name="Финансовый 3 3 2 4 2 4" xfId="7967"/>
    <cellStyle name="Финансовый 3 3 2 4 3" xfId="4953"/>
    <cellStyle name="Финансовый 3 3 2 4 4" xfId="7563"/>
    <cellStyle name="Финансовый 3 3 2 5" xfId="1805"/>
    <cellStyle name="Финансовый 3 3 2 5 2" xfId="3450"/>
    <cellStyle name="Финансовый 3 3 2 5 3" xfId="5233"/>
    <cellStyle name="Финансовый 3 3 2 5 4" xfId="7843"/>
    <cellStyle name="Финансовый 3 3 2 6" xfId="2450"/>
    <cellStyle name="Финансовый 3 3 2 6 2" xfId="4095"/>
    <cellStyle name="Финансовый 3 3 2 6 3" xfId="5878"/>
    <cellStyle name="Финансовый 3 3 2 6 4" xfId="8488"/>
    <cellStyle name="Финансовый 3 3 2 7" xfId="1677"/>
    <cellStyle name="Финансовый 3 3 2 7 2" xfId="3322"/>
    <cellStyle name="Финансовый 3 3 2 7 3" xfId="5105"/>
    <cellStyle name="Финансовый 3 3 2 7 4" xfId="7715"/>
    <cellStyle name="Финансовый 3 3 2 8" xfId="954"/>
    <cellStyle name="Финансовый 3 3 2 8 2" xfId="6994"/>
    <cellStyle name="Финансовый 3 3 2 9" xfId="542"/>
    <cellStyle name="Финансовый 3 3 2 9 2" xfId="6582"/>
    <cellStyle name="Финансовый 3 3 3" xfId="85"/>
    <cellStyle name="Финансовый 3 3 3 10" xfId="2695"/>
    <cellStyle name="Финансовый 3 3 3 11" xfId="4339"/>
    <cellStyle name="Финансовый 3 3 3 12" xfId="6126"/>
    <cellStyle name="Финансовый 3 3 3 2" xfId="221"/>
    <cellStyle name="Финансовый 3 3 3 2 2" xfId="1319"/>
    <cellStyle name="Финансовый 3 3 3 2 2 2" xfId="2277"/>
    <cellStyle name="Финансовый 3 3 3 2 2 2 2" xfId="3922"/>
    <cellStyle name="Финансовый 3 3 3 2 2 2 3" xfId="5705"/>
    <cellStyle name="Финансовый 3 3 3 2 2 2 4" xfId="8315"/>
    <cellStyle name="Финансовый 3 3 3 2 2 3" xfId="3103"/>
    <cellStyle name="Финансовый 3 3 3 2 2 4" xfId="4747"/>
    <cellStyle name="Финансовый 3 3 3 2 2 5" xfId="7359"/>
    <cellStyle name="Финансовый 3 3 3 2 3" xfId="2021"/>
    <cellStyle name="Финансовый 3 3 3 2 3 2" xfId="3666"/>
    <cellStyle name="Финансовый 3 3 3 2 3 3" xfId="5449"/>
    <cellStyle name="Финансовый 3 3 3 2 3 4" xfId="8059"/>
    <cellStyle name="Финансовый 3 3 3 2 4" xfId="2550"/>
    <cellStyle name="Финансовый 3 3 3 2 4 2" xfId="4195"/>
    <cellStyle name="Финансовый 3 3 3 2 4 3" xfId="5978"/>
    <cellStyle name="Финансовый 3 3 3 2 4 4" xfId="8588"/>
    <cellStyle name="Финансовый 3 3 3 2 5" xfId="1054"/>
    <cellStyle name="Финансовый 3 3 3 2 5 2" xfId="7094"/>
    <cellStyle name="Финансовый 3 3 3 2 6" xfId="642"/>
    <cellStyle name="Финансовый 3 3 3 2 6 2" xfId="6682"/>
    <cellStyle name="Финансовый 3 3 3 2 7" xfId="2831"/>
    <cellStyle name="Финансовый 3 3 3 2 8" xfId="4475"/>
    <cellStyle name="Финансовый 3 3 3 2 9" xfId="6262"/>
    <cellStyle name="Финансовый 3 3 3 3" xfId="370"/>
    <cellStyle name="Финансовый 3 3 3 3 2" xfId="2149"/>
    <cellStyle name="Финансовый 3 3 3 3 2 2" xfId="3794"/>
    <cellStyle name="Финансовый 3 3 3 3 2 3" xfId="5577"/>
    <cellStyle name="Финансовый 3 3 3 3 2 4" xfId="8187"/>
    <cellStyle name="Финансовый 3 3 3 3 3" xfId="1183"/>
    <cellStyle name="Финансовый 3 3 3 3 3 2" xfId="7223"/>
    <cellStyle name="Финансовый 3 3 3 3 4" xfId="790"/>
    <cellStyle name="Финансовый 3 3 3 3 4 2" xfId="6830"/>
    <cellStyle name="Финансовый 3 3 3 3 5" xfId="2967"/>
    <cellStyle name="Финансовый 3 3 3 3 6" xfId="4611"/>
    <cellStyle name="Финансовый 3 3 3 3 7" xfId="6410"/>
    <cellStyle name="Финансовый 3 3 3 4" xfId="1526"/>
    <cellStyle name="Финансовый 3 3 3 4 2" xfId="1893"/>
    <cellStyle name="Финансовый 3 3 3 4 2 2" xfId="3538"/>
    <cellStyle name="Финансовый 3 3 3 4 2 3" xfId="5321"/>
    <cellStyle name="Финансовый 3 3 3 4 2 4" xfId="7931"/>
    <cellStyle name="Финансовый 3 3 3 4 3" xfId="4954"/>
    <cellStyle name="Финансовый 3 3 3 4 4" xfId="7564"/>
    <cellStyle name="Финансовый 3 3 3 5" xfId="1769"/>
    <cellStyle name="Финансовый 3 3 3 5 2" xfId="3414"/>
    <cellStyle name="Финансовый 3 3 3 5 3" xfId="5197"/>
    <cellStyle name="Финансовый 3 3 3 5 4" xfId="7807"/>
    <cellStyle name="Финансовый 3 3 3 6" xfId="2414"/>
    <cellStyle name="Финансовый 3 3 3 6 2" xfId="4059"/>
    <cellStyle name="Финансовый 3 3 3 6 3" xfId="5842"/>
    <cellStyle name="Финансовый 3 3 3 6 4" xfId="8452"/>
    <cellStyle name="Финансовый 3 3 3 7" xfId="1641"/>
    <cellStyle name="Финансовый 3 3 3 7 2" xfId="3286"/>
    <cellStyle name="Финансовый 3 3 3 7 3" xfId="5069"/>
    <cellStyle name="Финансовый 3 3 3 7 4" xfId="7679"/>
    <cellStyle name="Финансовый 3 3 3 8" xfId="918"/>
    <cellStyle name="Финансовый 3 3 3 8 2" xfId="6958"/>
    <cellStyle name="Финансовый 3 3 3 9" xfId="506"/>
    <cellStyle name="Финансовый 3 3 3 9 2" xfId="6546"/>
    <cellStyle name="Финансовый 3 3 4" xfId="177"/>
    <cellStyle name="Финансовый 3 3 4 2" xfId="1275"/>
    <cellStyle name="Финансовый 3 3 4 2 2" xfId="2241"/>
    <cellStyle name="Финансовый 3 3 4 2 2 2" xfId="3886"/>
    <cellStyle name="Финансовый 3 3 4 2 2 3" xfId="5669"/>
    <cellStyle name="Финансовый 3 3 4 2 2 4" xfId="8279"/>
    <cellStyle name="Финансовый 3 3 4 2 3" xfId="3059"/>
    <cellStyle name="Финансовый 3 3 4 2 4" xfId="4703"/>
    <cellStyle name="Финансовый 3 3 4 2 5" xfId="7315"/>
    <cellStyle name="Финансовый 3 3 4 3" xfId="1985"/>
    <cellStyle name="Финансовый 3 3 4 3 2" xfId="3630"/>
    <cellStyle name="Финансовый 3 3 4 3 3" xfId="5413"/>
    <cellStyle name="Финансовый 3 3 4 3 4" xfId="8023"/>
    <cellStyle name="Финансовый 3 3 4 4" xfId="2506"/>
    <cellStyle name="Финансовый 3 3 4 4 2" xfId="4151"/>
    <cellStyle name="Финансовый 3 3 4 4 3" xfId="5934"/>
    <cellStyle name="Финансовый 3 3 4 4 4" xfId="8544"/>
    <cellStyle name="Финансовый 3 3 4 5" xfId="1010"/>
    <cellStyle name="Финансовый 3 3 4 5 2" xfId="7050"/>
    <cellStyle name="Финансовый 3 3 4 6" xfId="598"/>
    <cellStyle name="Финансовый 3 3 4 6 2" xfId="6638"/>
    <cellStyle name="Финансовый 3 3 4 7" xfId="2787"/>
    <cellStyle name="Финансовый 3 3 4 8" xfId="4431"/>
    <cellStyle name="Финансовый 3 3 4 9" xfId="6218"/>
    <cellStyle name="Финансовый 3 3 5" xfId="326"/>
    <cellStyle name="Финансовый 3 3 5 2" xfId="2113"/>
    <cellStyle name="Финансовый 3 3 5 2 2" xfId="3758"/>
    <cellStyle name="Финансовый 3 3 5 2 3" xfId="5541"/>
    <cellStyle name="Финансовый 3 3 5 2 4" xfId="8151"/>
    <cellStyle name="Финансовый 3 3 5 3" xfId="1146"/>
    <cellStyle name="Финансовый 3 3 5 3 2" xfId="7186"/>
    <cellStyle name="Финансовый 3 3 5 4" xfId="746"/>
    <cellStyle name="Финансовый 3 3 5 4 2" xfId="6786"/>
    <cellStyle name="Финансовый 3 3 5 5" xfId="2923"/>
    <cellStyle name="Финансовый 3 3 5 6" xfId="4567"/>
    <cellStyle name="Финансовый 3 3 5 7" xfId="6366"/>
    <cellStyle name="Финансовый 3 3 6" xfId="1524"/>
    <cellStyle name="Финансовый 3 3 6 2" xfId="1849"/>
    <cellStyle name="Финансовый 3 3 6 2 2" xfId="3494"/>
    <cellStyle name="Финансовый 3 3 6 2 3" xfId="5277"/>
    <cellStyle name="Финансовый 3 3 6 2 4" xfId="7887"/>
    <cellStyle name="Финансовый 3 3 6 3" xfId="4952"/>
    <cellStyle name="Финансовый 3 3 6 4" xfId="7562"/>
    <cellStyle name="Финансовый 3 3 7" xfId="1733"/>
    <cellStyle name="Финансовый 3 3 7 2" xfId="3378"/>
    <cellStyle name="Финансовый 3 3 7 3" xfId="5161"/>
    <cellStyle name="Финансовый 3 3 7 4" xfId="7771"/>
    <cellStyle name="Финансовый 3 3 8" xfId="2369"/>
    <cellStyle name="Финансовый 3 3 8 2" xfId="4014"/>
    <cellStyle name="Финансовый 3 3 8 3" xfId="5797"/>
    <cellStyle name="Финансовый 3 3 8 4" xfId="8407"/>
    <cellStyle name="Финансовый 3 3 9" xfId="1596"/>
    <cellStyle name="Финансовый 3 3 9 2" xfId="3241"/>
    <cellStyle name="Финансовый 3 3 9 3" xfId="5024"/>
    <cellStyle name="Финансовый 3 3 9 4" xfId="7634"/>
    <cellStyle name="Финансовый 3 4" xfId="91"/>
    <cellStyle name="Финансовый 3 4 10" xfId="2701"/>
    <cellStyle name="Финансовый 3 4 11" xfId="4345"/>
    <cellStyle name="Финансовый 3 4 12" xfId="6132"/>
    <cellStyle name="Финансовый 3 4 2" xfId="227"/>
    <cellStyle name="Финансовый 3 4 2 2" xfId="1325"/>
    <cellStyle name="Финансовый 3 4 2 2 2" xfId="2283"/>
    <cellStyle name="Финансовый 3 4 2 2 2 2" xfId="3928"/>
    <cellStyle name="Финансовый 3 4 2 2 2 3" xfId="5711"/>
    <cellStyle name="Финансовый 3 4 2 2 2 4" xfId="8321"/>
    <cellStyle name="Финансовый 3 4 2 2 3" xfId="3109"/>
    <cellStyle name="Финансовый 3 4 2 2 4" xfId="4753"/>
    <cellStyle name="Финансовый 3 4 2 2 5" xfId="7365"/>
    <cellStyle name="Финансовый 3 4 2 3" xfId="2027"/>
    <cellStyle name="Финансовый 3 4 2 3 2" xfId="3672"/>
    <cellStyle name="Финансовый 3 4 2 3 3" xfId="5455"/>
    <cellStyle name="Финансовый 3 4 2 3 4" xfId="8065"/>
    <cellStyle name="Финансовый 3 4 2 4" xfId="2556"/>
    <cellStyle name="Финансовый 3 4 2 4 2" xfId="4201"/>
    <cellStyle name="Финансовый 3 4 2 4 3" xfId="5984"/>
    <cellStyle name="Финансовый 3 4 2 4 4" xfId="8594"/>
    <cellStyle name="Финансовый 3 4 2 5" xfId="1060"/>
    <cellStyle name="Финансовый 3 4 2 5 2" xfId="7100"/>
    <cellStyle name="Финансовый 3 4 2 6" xfId="648"/>
    <cellStyle name="Финансовый 3 4 2 6 2" xfId="6688"/>
    <cellStyle name="Финансовый 3 4 2 7" xfId="2837"/>
    <cellStyle name="Финансовый 3 4 2 8" xfId="4481"/>
    <cellStyle name="Финансовый 3 4 2 9" xfId="6268"/>
    <cellStyle name="Финансовый 3 4 3" xfId="376"/>
    <cellStyle name="Финансовый 3 4 3 2" xfId="2155"/>
    <cellStyle name="Финансовый 3 4 3 2 2" xfId="3800"/>
    <cellStyle name="Финансовый 3 4 3 2 3" xfId="5583"/>
    <cellStyle name="Финансовый 3 4 3 2 4" xfId="8193"/>
    <cellStyle name="Финансовый 3 4 3 3" xfId="1189"/>
    <cellStyle name="Финансовый 3 4 3 3 2" xfId="7229"/>
    <cellStyle name="Финансовый 3 4 3 4" xfId="796"/>
    <cellStyle name="Финансовый 3 4 3 4 2" xfId="6836"/>
    <cellStyle name="Финансовый 3 4 3 5" xfId="2973"/>
    <cellStyle name="Финансовый 3 4 3 6" xfId="4617"/>
    <cellStyle name="Финансовый 3 4 3 7" xfId="6416"/>
    <cellStyle name="Финансовый 3 4 4" xfId="1527"/>
    <cellStyle name="Финансовый 3 4 4 2" xfId="1899"/>
    <cellStyle name="Финансовый 3 4 4 2 2" xfId="3544"/>
    <cellStyle name="Финансовый 3 4 4 2 3" xfId="5327"/>
    <cellStyle name="Финансовый 3 4 4 2 4" xfId="7937"/>
    <cellStyle name="Финансовый 3 4 4 3" xfId="4955"/>
    <cellStyle name="Финансовый 3 4 4 4" xfId="7565"/>
    <cellStyle name="Финансовый 3 4 5" xfId="1775"/>
    <cellStyle name="Финансовый 3 4 5 2" xfId="3420"/>
    <cellStyle name="Финансовый 3 4 5 3" xfId="5203"/>
    <cellStyle name="Финансовый 3 4 5 4" xfId="7813"/>
    <cellStyle name="Финансовый 3 4 6" xfId="2420"/>
    <cellStyle name="Финансовый 3 4 6 2" xfId="4065"/>
    <cellStyle name="Финансовый 3 4 6 3" xfId="5848"/>
    <cellStyle name="Финансовый 3 4 6 4" xfId="8458"/>
    <cellStyle name="Финансовый 3 4 7" xfId="1647"/>
    <cellStyle name="Финансовый 3 4 7 2" xfId="3292"/>
    <cellStyle name="Финансовый 3 4 7 3" xfId="5075"/>
    <cellStyle name="Финансовый 3 4 7 4" xfId="7685"/>
    <cellStyle name="Финансовый 3 4 8" xfId="924"/>
    <cellStyle name="Финансовый 3 4 8 2" xfId="6964"/>
    <cellStyle name="Финансовый 3 4 9" xfId="512"/>
    <cellStyle name="Финансовый 3 4 9 2" xfId="6552"/>
    <cellStyle name="Финансовый 3 5" xfId="97"/>
    <cellStyle name="Финансовый 3 5 10" xfId="2707"/>
    <cellStyle name="Финансовый 3 5 11" xfId="4351"/>
    <cellStyle name="Финансовый 3 5 12" xfId="6138"/>
    <cellStyle name="Финансовый 3 5 2" xfId="233"/>
    <cellStyle name="Финансовый 3 5 2 2" xfId="1331"/>
    <cellStyle name="Финансовый 3 5 2 2 2" xfId="2289"/>
    <cellStyle name="Финансовый 3 5 2 2 2 2" xfId="3934"/>
    <cellStyle name="Финансовый 3 5 2 2 2 3" xfId="5717"/>
    <cellStyle name="Финансовый 3 5 2 2 2 4" xfId="8327"/>
    <cellStyle name="Финансовый 3 5 2 2 3" xfId="3115"/>
    <cellStyle name="Финансовый 3 5 2 2 4" xfId="4759"/>
    <cellStyle name="Финансовый 3 5 2 2 5" xfId="7371"/>
    <cellStyle name="Финансовый 3 5 2 3" xfId="2033"/>
    <cellStyle name="Финансовый 3 5 2 3 2" xfId="3678"/>
    <cellStyle name="Финансовый 3 5 2 3 3" xfId="5461"/>
    <cellStyle name="Финансовый 3 5 2 3 4" xfId="8071"/>
    <cellStyle name="Финансовый 3 5 2 4" xfId="2562"/>
    <cellStyle name="Финансовый 3 5 2 4 2" xfId="4207"/>
    <cellStyle name="Финансовый 3 5 2 4 3" xfId="5990"/>
    <cellStyle name="Финансовый 3 5 2 4 4" xfId="8600"/>
    <cellStyle name="Финансовый 3 5 2 5" xfId="1066"/>
    <cellStyle name="Финансовый 3 5 2 5 2" xfId="7106"/>
    <cellStyle name="Финансовый 3 5 2 6" xfId="654"/>
    <cellStyle name="Финансовый 3 5 2 6 2" xfId="6694"/>
    <cellStyle name="Финансовый 3 5 2 7" xfId="2843"/>
    <cellStyle name="Финансовый 3 5 2 8" xfId="4487"/>
    <cellStyle name="Финансовый 3 5 2 9" xfId="6274"/>
    <cellStyle name="Финансовый 3 5 3" xfId="382"/>
    <cellStyle name="Финансовый 3 5 3 2" xfId="2161"/>
    <cellStyle name="Финансовый 3 5 3 2 2" xfId="3806"/>
    <cellStyle name="Финансовый 3 5 3 2 3" xfId="5589"/>
    <cellStyle name="Финансовый 3 5 3 2 4" xfId="8199"/>
    <cellStyle name="Финансовый 3 5 3 3" xfId="1195"/>
    <cellStyle name="Финансовый 3 5 3 3 2" xfId="7235"/>
    <cellStyle name="Финансовый 3 5 3 4" xfId="802"/>
    <cellStyle name="Финансовый 3 5 3 4 2" xfId="6842"/>
    <cellStyle name="Финансовый 3 5 3 5" xfId="2979"/>
    <cellStyle name="Финансовый 3 5 3 6" xfId="4623"/>
    <cellStyle name="Финансовый 3 5 3 7" xfId="6422"/>
    <cellStyle name="Финансовый 3 5 4" xfId="1528"/>
    <cellStyle name="Финансовый 3 5 4 2" xfId="1905"/>
    <cellStyle name="Финансовый 3 5 4 2 2" xfId="3550"/>
    <cellStyle name="Финансовый 3 5 4 2 3" xfId="5333"/>
    <cellStyle name="Финансовый 3 5 4 2 4" xfId="7943"/>
    <cellStyle name="Финансовый 3 5 4 3" xfId="4956"/>
    <cellStyle name="Финансовый 3 5 4 4" xfId="7566"/>
    <cellStyle name="Финансовый 3 5 5" xfId="1781"/>
    <cellStyle name="Финансовый 3 5 5 2" xfId="3426"/>
    <cellStyle name="Финансовый 3 5 5 3" xfId="5209"/>
    <cellStyle name="Финансовый 3 5 5 4" xfId="7819"/>
    <cellStyle name="Финансовый 3 5 6" xfId="2426"/>
    <cellStyle name="Финансовый 3 5 6 2" xfId="4071"/>
    <cellStyle name="Финансовый 3 5 6 3" xfId="5854"/>
    <cellStyle name="Финансовый 3 5 6 4" xfId="8464"/>
    <cellStyle name="Финансовый 3 5 7" xfId="1653"/>
    <cellStyle name="Финансовый 3 5 7 2" xfId="3298"/>
    <cellStyle name="Финансовый 3 5 7 3" xfId="5081"/>
    <cellStyle name="Финансовый 3 5 7 4" xfId="7691"/>
    <cellStyle name="Финансовый 3 5 8" xfId="930"/>
    <cellStyle name="Финансовый 3 5 8 2" xfId="6970"/>
    <cellStyle name="Финансовый 3 5 9" xfId="518"/>
    <cellStyle name="Финансовый 3 5 9 2" xfId="6558"/>
    <cellStyle name="Финансовый 3 6" xfId="109"/>
    <cellStyle name="Финансовый 3 6 10" xfId="2719"/>
    <cellStyle name="Финансовый 3 6 11" xfId="4363"/>
    <cellStyle name="Финансовый 3 6 12" xfId="6150"/>
    <cellStyle name="Финансовый 3 6 2" xfId="245"/>
    <cellStyle name="Финансовый 3 6 2 2" xfId="1343"/>
    <cellStyle name="Финансовый 3 6 2 2 2" xfId="2301"/>
    <cellStyle name="Финансовый 3 6 2 2 2 2" xfId="3946"/>
    <cellStyle name="Финансовый 3 6 2 2 2 3" xfId="5729"/>
    <cellStyle name="Финансовый 3 6 2 2 2 4" xfId="8339"/>
    <cellStyle name="Финансовый 3 6 2 2 3" xfId="3127"/>
    <cellStyle name="Финансовый 3 6 2 2 4" xfId="4771"/>
    <cellStyle name="Финансовый 3 6 2 2 5" xfId="7383"/>
    <cellStyle name="Финансовый 3 6 2 3" xfId="2045"/>
    <cellStyle name="Финансовый 3 6 2 3 2" xfId="3690"/>
    <cellStyle name="Финансовый 3 6 2 3 3" xfId="5473"/>
    <cellStyle name="Финансовый 3 6 2 3 4" xfId="8083"/>
    <cellStyle name="Финансовый 3 6 2 4" xfId="2574"/>
    <cellStyle name="Финансовый 3 6 2 4 2" xfId="4219"/>
    <cellStyle name="Финансовый 3 6 2 4 3" xfId="6002"/>
    <cellStyle name="Финансовый 3 6 2 4 4" xfId="8612"/>
    <cellStyle name="Финансовый 3 6 2 5" xfId="1078"/>
    <cellStyle name="Финансовый 3 6 2 5 2" xfId="7118"/>
    <cellStyle name="Финансовый 3 6 2 6" xfId="666"/>
    <cellStyle name="Финансовый 3 6 2 6 2" xfId="6706"/>
    <cellStyle name="Финансовый 3 6 2 7" xfId="2855"/>
    <cellStyle name="Финансовый 3 6 2 8" xfId="4499"/>
    <cellStyle name="Финансовый 3 6 2 9" xfId="6286"/>
    <cellStyle name="Финансовый 3 6 3" xfId="394"/>
    <cellStyle name="Финансовый 3 6 3 2" xfId="2173"/>
    <cellStyle name="Финансовый 3 6 3 2 2" xfId="3818"/>
    <cellStyle name="Финансовый 3 6 3 2 3" xfId="5601"/>
    <cellStyle name="Финансовый 3 6 3 2 4" xfId="8211"/>
    <cellStyle name="Финансовый 3 6 3 3" xfId="1207"/>
    <cellStyle name="Финансовый 3 6 3 3 2" xfId="7247"/>
    <cellStyle name="Финансовый 3 6 3 4" xfId="814"/>
    <cellStyle name="Финансовый 3 6 3 4 2" xfId="6854"/>
    <cellStyle name="Финансовый 3 6 3 5" xfId="2991"/>
    <cellStyle name="Финансовый 3 6 3 6" xfId="4635"/>
    <cellStyle name="Финансовый 3 6 3 7" xfId="6434"/>
    <cellStyle name="Финансовый 3 6 4" xfId="1529"/>
    <cellStyle name="Финансовый 3 6 4 2" xfId="1917"/>
    <cellStyle name="Финансовый 3 6 4 2 2" xfId="3562"/>
    <cellStyle name="Финансовый 3 6 4 2 3" xfId="5345"/>
    <cellStyle name="Финансовый 3 6 4 2 4" xfId="7955"/>
    <cellStyle name="Финансовый 3 6 4 3" xfId="4957"/>
    <cellStyle name="Финансовый 3 6 4 4" xfId="7567"/>
    <cellStyle name="Финансовый 3 6 5" xfId="1793"/>
    <cellStyle name="Финансовый 3 6 5 2" xfId="3438"/>
    <cellStyle name="Финансовый 3 6 5 3" xfId="5221"/>
    <cellStyle name="Финансовый 3 6 5 4" xfId="7831"/>
    <cellStyle name="Финансовый 3 6 6" xfId="2438"/>
    <cellStyle name="Финансовый 3 6 6 2" xfId="4083"/>
    <cellStyle name="Финансовый 3 6 6 3" xfId="5866"/>
    <cellStyle name="Финансовый 3 6 6 4" xfId="8476"/>
    <cellStyle name="Финансовый 3 6 7" xfId="1665"/>
    <cellStyle name="Финансовый 3 6 7 2" xfId="3310"/>
    <cellStyle name="Финансовый 3 6 7 3" xfId="5093"/>
    <cellStyle name="Финансовый 3 6 7 4" xfId="7703"/>
    <cellStyle name="Финансовый 3 6 8" xfId="942"/>
    <cellStyle name="Финансовый 3 6 8 2" xfId="6982"/>
    <cellStyle name="Финансовый 3 6 9" xfId="530"/>
    <cellStyle name="Финансовый 3 6 9 2" xfId="6570"/>
    <cellStyle name="Финансовый 3 7" xfId="74"/>
    <cellStyle name="Финансовый 3 7 10" xfId="2684"/>
    <cellStyle name="Финансовый 3 7 11" xfId="4328"/>
    <cellStyle name="Финансовый 3 7 12" xfId="6115"/>
    <cellStyle name="Финансовый 3 7 2" xfId="210"/>
    <cellStyle name="Финансовый 3 7 2 2" xfId="1308"/>
    <cellStyle name="Финансовый 3 7 2 2 2" xfId="2266"/>
    <cellStyle name="Финансовый 3 7 2 2 2 2" xfId="3911"/>
    <cellStyle name="Финансовый 3 7 2 2 2 3" xfId="5694"/>
    <cellStyle name="Финансовый 3 7 2 2 2 4" xfId="8304"/>
    <cellStyle name="Финансовый 3 7 2 2 3" xfId="3092"/>
    <cellStyle name="Финансовый 3 7 2 2 4" xfId="4736"/>
    <cellStyle name="Финансовый 3 7 2 2 5" xfId="7348"/>
    <cellStyle name="Финансовый 3 7 2 3" xfId="2010"/>
    <cellStyle name="Финансовый 3 7 2 3 2" xfId="3655"/>
    <cellStyle name="Финансовый 3 7 2 3 3" xfId="5438"/>
    <cellStyle name="Финансовый 3 7 2 3 4" xfId="8048"/>
    <cellStyle name="Финансовый 3 7 2 4" xfId="2539"/>
    <cellStyle name="Финансовый 3 7 2 4 2" xfId="4184"/>
    <cellStyle name="Финансовый 3 7 2 4 3" xfId="5967"/>
    <cellStyle name="Финансовый 3 7 2 4 4" xfId="8577"/>
    <cellStyle name="Финансовый 3 7 2 5" xfId="1043"/>
    <cellStyle name="Финансовый 3 7 2 5 2" xfId="7083"/>
    <cellStyle name="Финансовый 3 7 2 6" xfId="631"/>
    <cellStyle name="Финансовый 3 7 2 6 2" xfId="6671"/>
    <cellStyle name="Финансовый 3 7 2 7" xfId="2820"/>
    <cellStyle name="Финансовый 3 7 2 8" xfId="4464"/>
    <cellStyle name="Финансовый 3 7 2 9" xfId="6251"/>
    <cellStyle name="Финансовый 3 7 3" xfId="359"/>
    <cellStyle name="Финансовый 3 7 3 2" xfId="2138"/>
    <cellStyle name="Финансовый 3 7 3 2 2" xfId="3783"/>
    <cellStyle name="Финансовый 3 7 3 2 3" xfId="5566"/>
    <cellStyle name="Финансовый 3 7 3 2 4" xfId="8176"/>
    <cellStyle name="Финансовый 3 7 3 3" xfId="1172"/>
    <cellStyle name="Финансовый 3 7 3 3 2" xfId="7212"/>
    <cellStyle name="Финансовый 3 7 3 4" xfId="779"/>
    <cellStyle name="Финансовый 3 7 3 4 2" xfId="6819"/>
    <cellStyle name="Финансовый 3 7 3 5" xfId="2956"/>
    <cellStyle name="Финансовый 3 7 3 6" xfId="4600"/>
    <cellStyle name="Финансовый 3 7 3 7" xfId="6399"/>
    <cellStyle name="Финансовый 3 7 4" xfId="1530"/>
    <cellStyle name="Финансовый 3 7 4 2" xfId="1882"/>
    <cellStyle name="Финансовый 3 7 4 2 2" xfId="3527"/>
    <cellStyle name="Финансовый 3 7 4 2 3" xfId="5310"/>
    <cellStyle name="Финансовый 3 7 4 2 4" xfId="7920"/>
    <cellStyle name="Финансовый 3 7 4 3" xfId="4958"/>
    <cellStyle name="Финансовый 3 7 4 4" xfId="7568"/>
    <cellStyle name="Финансовый 3 7 5" xfId="1758"/>
    <cellStyle name="Финансовый 3 7 5 2" xfId="3403"/>
    <cellStyle name="Финансовый 3 7 5 3" xfId="5186"/>
    <cellStyle name="Финансовый 3 7 5 4" xfId="7796"/>
    <cellStyle name="Финансовый 3 7 6" xfId="2403"/>
    <cellStyle name="Финансовый 3 7 6 2" xfId="4048"/>
    <cellStyle name="Финансовый 3 7 6 3" xfId="5831"/>
    <cellStyle name="Финансовый 3 7 6 4" xfId="8441"/>
    <cellStyle name="Финансовый 3 7 7" xfId="1630"/>
    <cellStyle name="Финансовый 3 7 7 2" xfId="3275"/>
    <cellStyle name="Финансовый 3 7 7 3" xfId="5058"/>
    <cellStyle name="Финансовый 3 7 7 4" xfId="7668"/>
    <cellStyle name="Финансовый 3 7 8" xfId="907"/>
    <cellStyle name="Финансовый 3 7 8 2" xfId="6947"/>
    <cellStyle name="Финансовый 3 7 9" xfId="495"/>
    <cellStyle name="Финансовый 3 7 9 2" xfId="6535"/>
    <cellStyle name="Финансовый 3 8" xfId="51"/>
    <cellStyle name="Финансовый 3 8 10" xfId="2663"/>
    <cellStyle name="Финансовый 3 8 11" xfId="4306"/>
    <cellStyle name="Финансовый 3 8 12" xfId="6094"/>
    <cellStyle name="Финансовый 3 8 2" xfId="189"/>
    <cellStyle name="Финансовый 3 8 2 2" xfId="1287"/>
    <cellStyle name="Финансовый 3 8 2 2 2" xfId="2253"/>
    <cellStyle name="Финансовый 3 8 2 2 2 2" xfId="3898"/>
    <cellStyle name="Финансовый 3 8 2 2 2 3" xfId="5681"/>
    <cellStyle name="Финансовый 3 8 2 2 2 4" xfId="8291"/>
    <cellStyle name="Финансовый 3 8 2 2 3" xfId="3071"/>
    <cellStyle name="Финансовый 3 8 2 2 4" xfId="4715"/>
    <cellStyle name="Финансовый 3 8 2 2 5" xfId="7327"/>
    <cellStyle name="Финансовый 3 8 2 3" xfId="1997"/>
    <cellStyle name="Финансовый 3 8 2 3 2" xfId="3642"/>
    <cellStyle name="Финансовый 3 8 2 3 3" xfId="5425"/>
    <cellStyle name="Финансовый 3 8 2 3 4" xfId="8035"/>
    <cellStyle name="Финансовый 3 8 2 4" xfId="2518"/>
    <cellStyle name="Финансовый 3 8 2 4 2" xfId="4163"/>
    <cellStyle name="Финансовый 3 8 2 4 3" xfId="5946"/>
    <cellStyle name="Финансовый 3 8 2 4 4" xfId="8556"/>
    <cellStyle name="Финансовый 3 8 2 5" xfId="1022"/>
    <cellStyle name="Финансовый 3 8 2 5 2" xfId="7062"/>
    <cellStyle name="Финансовый 3 8 2 6" xfId="610"/>
    <cellStyle name="Финансовый 3 8 2 6 2" xfId="6650"/>
    <cellStyle name="Финансовый 3 8 2 7" xfId="2799"/>
    <cellStyle name="Финансовый 3 8 2 8" xfId="4443"/>
    <cellStyle name="Финансовый 3 8 2 9" xfId="6230"/>
    <cellStyle name="Финансовый 3 8 3" xfId="338"/>
    <cellStyle name="Финансовый 3 8 3 2" xfId="2125"/>
    <cellStyle name="Финансовый 3 8 3 2 2" xfId="3770"/>
    <cellStyle name="Финансовый 3 8 3 2 3" xfId="5553"/>
    <cellStyle name="Финансовый 3 8 3 2 4" xfId="8163"/>
    <cellStyle name="Финансовый 3 8 3 3" xfId="1158"/>
    <cellStyle name="Финансовый 3 8 3 3 2" xfId="7198"/>
    <cellStyle name="Финансовый 3 8 3 4" xfId="758"/>
    <cellStyle name="Финансовый 3 8 3 4 2" xfId="6798"/>
    <cellStyle name="Финансовый 3 8 3 5" xfId="2935"/>
    <cellStyle name="Финансовый 3 8 3 6" xfId="4579"/>
    <cellStyle name="Финансовый 3 8 3 7" xfId="6378"/>
    <cellStyle name="Финансовый 3 8 4" xfId="1420"/>
    <cellStyle name="Финансовый 3 8 4 2" xfId="1861"/>
    <cellStyle name="Финансовый 3 8 4 2 2" xfId="3506"/>
    <cellStyle name="Финансовый 3 8 4 2 3" xfId="5289"/>
    <cellStyle name="Финансовый 3 8 4 2 4" xfId="7899"/>
    <cellStyle name="Финансовый 3 8 4 3" xfId="4848"/>
    <cellStyle name="Финансовый 3 8 4 4" xfId="7460"/>
    <cellStyle name="Финансовый 3 8 5" xfId="1745"/>
    <cellStyle name="Финансовый 3 8 5 2" xfId="3390"/>
    <cellStyle name="Финансовый 3 8 5 3" xfId="5173"/>
    <cellStyle name="Финансовый 3 8 5 4" xfId="7783"/>
    <cellStyle name="Финансовый 3 8 6" xfId="2381"/>
    <cellStyle name="Финансовый 3 8 6 2" xfId="4026"/>
    <cellStyle name="Финансовый 3 8 6 3" xfId="5809"/>
    <cellStyle name="Финансовый 3 8 6 4" xfId="8419"/>
    <cellStyle name="Финансовый 3 8 7" xfId="1608"/>
    <cellStyle name="Финансовый 3 8 7 2" xfId="3253"/>
    <cellStyle name="Финансовый 3 8 7 3" xfId="5036"/>
    <cellStyle name="Финансовый 3 8 7 4" xfId="7646"/>
    <cellStyle name="Финансовый 3 8 8" xfId="894"/>
    <cellStyle name="Финансовый 3 8 8 2" xfId="6934"/>
    <cellStyle name="Финансовый 3 8 9" xfId="474"/>
    <cellStyle name="Финансовый 3 8 9 2" xfId="6514"/>
    <cellStyle name="Финансовый 3 9" xfId="129"/>
    <cellStyle name="Финансовый 3 9 10" xfId="2739"/>
    <cellStyle name="Финансовый 3 9 11" xfId="4383"/>
    <cellStyle name="Финансовый 3 9 12" xfId="6170"/>
    <cellStyle name="Финансовый 3 9 2" xfId="265"/>
    <cellStyle name="Финансовый 3 9 2 2" xfId="1363"/>
    <cellStyle name="Финансовый 3 9 2 2 2" xfId="2321"/>
    <cellStyle name="Финансовый 3 9 2 2 2 2" xfId="3966"/>
    <cellStyle name="Финансовый 3 9 2 2 2 3" xfId="5749"/>
    <cellStyle name="Финансовый 3 9 2 2 2 4" xfId="8359"/>
    <cellStyle name="Финансовый 3 9 2 2 3" xfId="3147"/>
    <cellStyle name="Финансовый 3 9 2 2 4" xfId="4791"/>
    <cellStyle name="Финансовый 3 9 2 2 5" xfId="7403"/>
    <cellStyle name="Финансовый 3 9 2 3" xfId="2065"/>
    <cellStyle name="Финансовый 3 9 2 3 2" xfId="3710"/>
    <cellStyle name="Финансовый 3 9 2 3 3" xfId="5493"/>
    <cellStyle name="Финансовый 3 9 2 3 4" xfId="8103"/>
    <cellStyle name="Финансовый 3 9 2 4" xfId="2594"/>
    <cellStyle name="Финансовый 3 9 2 4 2" xfId="4239"/>
    <cellStyle name="Финансовый 3 9 2 4 3" xfId="6022"/>
    <cellStyle name="Финансовый 3 9 2 4 4" xfId="8632"/>
    <cellStyle name="Финансовый 3 9 2 5" xfId="1098"/>
    <cellStyle name="Финансовый 3 9 2 5 2" xfId="7138"/>
    <cellStyle name="Финансовый 3 9 2 6" xfId="686"/>
    <cellStyle name="Финансовый 3 9 2 6 2" xfId="6726"/>
    <cellStyle name="Финансовый 3 9 2 7" xfId="2875"/>
    <cellStyle name="Финансовый 3 9 2 8" xfId="4519"/>
    <cellStyle name="Финансовый 3 9 2 9" xfId="6306"/>
    <cellStyle name="Финансовый 3 9 3" xfId="414"/>
    <cellStyle name="Финансовый 3 9 3 2" xfId="2193"/>
    <cellStyle name="Финансовый 3 9 3 2 2" xfId="3838"/>
    <cellStyle name="Финансовый 3 9 3 2 3" xfId="5621"/>
    <cellStyle name="Финансовый 3 9 3 2 4" xfId="8231"/>
    <cellStyle name="Финансовый 3 9 3 3" xfId="1227"/>
    <cellStyle name="Финансовый 3 9 3 3 2" xfId="7267"/>
    <cellStyle name="Финансовый 3 9 3 4" xfId="834"/>
    <cellStyle name="Финансовый 3 9 3 4 2" xfId="6874"/>
    <cellStyle name="Финансовый 3 9 3 5" xfId="3011"/>
    <cellStyle name="Финансовый 3 9 3 6" xfId="4655"/>
    <cellStyle name="Финансовый 3 9 3 7" xfId="6454"/>
    <cellStyle name="Финансовый 3 9 4" xfId="1423"/>
    <cellStyle name="Финансовый 3 9 4 2" xfId="1937"/>
    <cellStyle name="Финансовый 3 9 4 2 2" xfId="3582"/>
    <cellStyle name="Финансовый 3 9 4 2 3" xfId="5365"/>
    <cellStyle name="Финансовый 3 9 4 2 4" xfId="7975"/>
    <cellStyle name="Финансовый 3 9 4 3" xfId="4851"/>
    <cellStyle name="Финансовый 3 9 4 4" xfId="7463"/>
    <cellStyle name="Финансовый 3 9 5" xfId="1813"/>
    <cellStyle name="Финансовый 3 9 5 2" xfId="3458"/>
    <cellStyle name="Финансовый 3 9 5 3" xfId="5241"/>
    <cellStyle name="Финансовый 3 9 5 4" xfId="7851"/>
    <cellStyle name="Финансовый 3 9 6" xfId="2458"/>
    <cellStyle name="Финансовый 3 9 6 2" xfId="4103"/>
    <cellStyle name="Финансовый 3 9 6 3" xfId="5886"/>
    <cellStyle name="Финансовый 3 9 6 4" xfId="8496"/>
    <cellStyle name="Финансовый 3 9 7" xfId="1685"/>
    <cellStyle name="Финансовый 3 9 7 2" xfId="3330"/>
    <cellStyle name="Финансовый 3 9 7 3" xfId="5113"/>
    <cellStyle name="Финансовый 3 9 7 4" xfId="7723"/>
    <cellStyle name="Финансовый 3 9 8" xfId="962"/>
    <cellStyle name="Финансовый 3 9 8 2" xfId="7002"/>
    <cellStyle name="Финансовый 3 9 9" xfId="550"/>
    <cellStyle name="Финансовый 3 9 9 2" xfId="6590"/>
    <cellStyle name="Финансовый 30" xfId="1620"/>
    <cellStyle name="Финансовый 30 2" xfId="3265"/>
    <cellStyle name="Финансовый 30 3" xfId="5048"/>
    <cellStyle name="Финансовый 30 4" xfId="7658"/>
    <cellStyle name="Финансовый 31" xfId="844"/>
    <cellStyle name="Финансовый 31 2" xfId="6884"/>
    <cellStyle name="Финансовый 32" xfId="1171"/>
    <cellStyle name="Финансовый 32 2" xfId="7211"/>
    <cellStyle name="Финансовый 33" xfId="2612"/>
    <cellStyle name="Финансовый 33 2" xfId="8650"/>
    <cellStyle name="Финансовый 34" xfId="2611"/>
    <cellStyle name="Финансовый 34 2" xfId="8649"/>
    <cellStyle name="Финансовый 35" xfId="424"/>
    <cellStyle name="Финансовый 35 2" xfId="6464"/>
    <cellStyle name="Финансовый 36" xfId="2613"/>
    <cellStyle name="Финансовый 37" xfId="3202"/>
    <cellStyle name="Финансовый 38" xfId="4256"/>
    <cellStyle name="Финансовый 39" xfId="4318"/>
    <cellStyle name="Финансовый 4" xfId="5"/>
    <cellStyle name="Финансовый 4 10" xfId="29"/>
    <cellStyle name="Финансовый 4 10 10" xfId="2641"/>
    <cellStyle name="Финансовый 4 10 11" xfId="4284"/>
    <cellStyle name="Финансовый 4 10 12" xfId="6072"/>
    <cellStyle name="Финансовый 4 10 2" xfId="167"/>
    <cellStyle name="Финансовый 4 10 2 2" xfId="1265"/>
    <cellStyle name="Финансовый 4 10 2 2 2" xfId="2231"/>
    <cellStyle name="Финансовый 4 10 2 2 2 2" xfId="3876"/>
    <cellStyle name="Финансовый 4 10 2 2 2 3" xfId="5659"/>
    <cellStyle name="Финансовый 4 10 2 2 2 4" xfId="8269"/>
    <cellStyle name="Финансовый 4 10 2 2 3" xfId="3049"/>
    <cellStyle name="Финансовый 4 10 2 2 4" xfId="4693"/>
    <cellStyle name="Финансовый 4 10 2 2 5" xfId="7305"/>
    <cellStyle name="Финансовый 4 10 2 3" xfId="1975"/>
    <cellStyle name="Финансовый 4 10 2 3 2" xfId="3620"/>
    <cellStyle name="Финансовый 4 10 2 3 3" xfId="5403"/>
    <cellStyle name="Финансовый 4 10 2 3 4" xfId="8013"/>
    <cellStyle name="Финансовый 4 10 2 4" xfId="2496"/>
    <cellStyle name="Финансовый 4 10 2 4 2" xfId="4141"/>
    <cellStyle name="Финансовый 4 10 2 4 3" xfId="5924"/>
    <cellStyle name="Финансовый 4 10 2 4 4" xfId="8534"/>
    <cellStyle name="Финансовый 4 10 2 5" xfId="1000"/>
    <cellStyle name="Финансовый 4 10 2 5 2" xfId="7040"/>
    <cellStyle name="Финансовый 4 10 2 6" xfId="588"/>
    <cellStyle name="Финансовый 4 10 2 6 2" xfId="6628"/>
    <cellStyle name="Финансовый 4 10 2 7" xfId="2777"/>
    <cellStyle name="Финансовый 4 10 2 8" xfId="4421"/>
    <cellStyle name="Финансовый 4 10 2 9" xfId="6208"/>
    <cellStyle name="Финансовый 4 10 3" xfId="316"/>
    <cellStyle name="Финансовый 4 10 3 2" xfId="2103"/>
    <cellStyle name="Финансовый 4 10 3 2 2" xfId="3748"/>
    <cellStyle name="Финансовый 4 10 3 2 3" xfId="5531"/>
    <cellStyle name="Финансовый 4 10 3 2 4" xfId="8141"/>
    <cellStyle name="Финансовый 4 10 3 3" xfId="1136"/>
    <cellStyle name="Финансовый 4 10 3 3 2" xfId="7176"/>
    <cellStyle name="Финансовый 4 10 3 4" xfId="736"/>
    <cellStyle name="Финансовый 4 10 3 4 2" xfId="6776"/>
    <cellStyle name="Финансовый 4 10 3 5" xfId="2913"/>
    <cellStyle name="Финансовый 4 10 3 6" xfId="4557"/>
    <cellStyle name="Финансовый 4 10 3 7" xfId="6356"/>
    <cellStyle name="Финансовый 4 10 4" xfId="1532"/>
    <cellStyle name="Финансовый 4 10 4 2" xfId="1839"/>
    <cellStyle name="Финансовый 4 10 4 2 2" xfId="3484"/>
    <cellStyle name="Финансовый 4 10 4 2 3" xfId="5267"/>
    <cellStyle name="Финансовый 4 10 4 2 4" xfId="7877"/>
    <cellStyle name="Финансовый 4 10 4 3" xfId="4960"/>
    <cellStyle name="Финансовый 4 10 4 4" xfId="7570"/>
    <cellStyle name="Финансовый 4 10 5" xfId="1723"/>
    <cellStyle name="Финансовый 4 10 5 2" xfId="3368"/>
    <cellStyle name="Финансовый 4 10 5 3" xfId="5151"/>
    <cellStyle name="Финансовый 4 10 5 4" xfId="7761"/>
    <cellStyle name="Финансовый 4 10 6" xfId="2359"/>
    <cellStyle name="Финансовый 4 10 6 2" xfId="4004"/>
    <cellStyle name="Финансовый 4 10 6 3" xfId="5787"/>
    <cellStyle name="Финансовый 4 10 6 4" xfId="8397"/>
    <cellStyle name="Финансовый 4 10 7" xfId="1586"/>
    <cellStyle name="Финансовый 4 10 7 2" xfId="3231"/>
    <cellStyle name="Финансовый 4 10 7 3" xfId="5014"/>
    <cellStyle name="Финансовый 4 10 7 4" xfId="7624"/>
    <cellStyle name="Финансовый 4 10 8" xfId="872"/>
    <cellStyle name="Финансовый 4 10 8 2" xfId="6912"/>
    <cellStyle name="Финансовый 4 10 9" xfId="452"/>
    <cellStyle name="Финансовый 4 10 9 2" xfId="6492"/>
    <cellStyle name="Финансовый 4 11" xfId="17"/>
    <cellStyle name="Финансовый 4 11 10" xfId="2629"/>
    <cellStyle name="Финансовый 4 11 11" xfId="4272"/>
    <cellStyle name="Финансовый 4 11 12" xfId="6060"/>
    <cellStyle name="Финансовый 4 11 2" xfId="155"/>
    <cellStyle name="Финансовый 4 11 2 2" xfId="1253"/>
    <cellStyle name="Финансовый 4 11 2 2 2" xfId="2219"/>
    <cellStyle name="Финансовый 4 11 2 2 2 2" xfId="3864"/>
    <cellStyle name="Финансовый 4 11 2 2 2 3" xfId="5647"/>
    <cellStyle name="Финансовый 4 11 2 2 2 4" xfId="8257"/>
    <cellStyle name="Финансовый 4 11 2 2 3" xfId="3037"/>
    <cellStyle name="Финансовый 4 11 2 2 4" xfId="4681"/>
    <cellStyle name="Финансовый 4 11 2 2 5" xfId="7293"/>
    <cellStyle name="Финансовый 4 11 2 3" xfId="1963"/>
    <cellStyle name="Финансовый 4 11 2 3 2" xfId="3608"/>
    <cellStyle name="Финансовый 4 11 2 3 3" xfId="5391"/>
    <cellStyle name="Финансовый 4 11 2 3 4" xfId="8001"/>
    <cellStyle name="Финансовый 4 11 2 4" xfId="2484"/>
    <cellStyle name="Финансовый 4 11 2 4 2" xfId="4129"/>
    <cellStyle name="Финансовый 4 11 2 4 3" xfId="5912"/>
    <cellStyle name="Финансовый 4 11 2 4 4" xfId="8522"/>
    <cellStyle name="Финансовый 4 11 2 5" xfId="988"/>
    <cellStyle name="Финансовый 4 11 2 5 2" xfId="7028"/>
    <cellStyle name="Финансовый 4 11 2 6" xfId="576"/>
    <cellStyle name="Финансовый 4 11 2 6 2" xfId="6616"/>
    <cellStyle name="Финансовый 4 11 2 7" xfId="2765"/>
    <cellStyle name="Финансовый 4 11 2 8" xfId="4409"/>
    <cellStyle name="Финансовый 4 11 2 9" xfId="6196"/>
    <cellStyle name="Финансовый 4 11 3" xfId="304"/>
    <cellStyle name="Финансовый 4 11 3 2" xfId="2091"/>
    <cellStyle name="Финансовый 4 11 3 2 2" xfId="3736"/>
    <cellStyle name="Финансовый 4 11 3 2 3" xfId="5519"/>
    <cellStyle name="Финансовый 4 11 3 2 4" xfId="8129"/>
    <cellStyle name="Финансовый 4 11 3 3" xfId="1124"/>
    <cellStyle name="Финансовый 4 11 3 3 2" xfId="7164"/>
    <cellStyle name="Финансовый 4 11 3 4" xfId="724"/>
    <cellStyle name="Финансовый 4 11 3 4 2" xfId="6764"/>
    <cellStyle name="Финансовый 4 11 3 5" xfId="2901"/>
    <cellStyle name="Финансовый 4 11 3 6" xfId="4545"/>
    <cellStyle name="Финансовый 4 11 3 7" xfId="6344"/>
    <cellStyle name="Финансовый 4 11 4" xfId="1533"/>
    <cellStyle name="Финансовый 4 11 4 2" xfId="1827"/>
    <cellStyle name="Финансовый 4 11 4 2 2" xfId="3472"/>
    <cellStyle name="Финансовый 4 11 4 2 3" xfId="5255"/>
    <cellStyle name="Финансовый 4 11 4 2 4" xfId="7865"/>
    <cellStyle name="Финансовый 4 11 4 3" xfId="4961"/>
    <cellStyle name="Финансовый 4 11 4 4" xfId="7571"/>
    <cellStyle name="Финансовый 4 11 5" xfId="1711"/>
    <cellStyle name="Финансовый 4 11 5 2" xfId="3356"/>
    <cellStyle name="Финансовый 4 11 5 3" xfId="5139"/>
    <cellStyle name="Финансовый 4 11 5 4" xfId="7749"/>
    <cellStyle name="Финансовый 4 11 6" xfId="2347"/>
    <cellStyle name="Финансовый 4 11 6 2" xfId="3992"/>
    <cellStyle name="Финансовый 4 11 6 3" xfId="5775"/>
    <cellStyle name="Финансовый 4 11 6 4" xfId="8385"/>
    <cellStyle name="Финансовый 4 11 7" xfId="1574"/>
    <cellStyle name="Финансовый 4 11 7 2" xfId="3219"/>
    <cellStyle name="Финансовый 4 11 7 3" xfId="5002"/>
    <cellStyle name="Финансовый 4 11 7 4" xfId="7612"/>
    <cellStyle name="Финансовый 4 11 8" xfId="860"/>
    <cellStyle name="Финансовый 4 11 8 2" xfId="6900"/>
    <cellStyle name="Финансовый 4 11 9" xfId="440"/>
    <cellStyle name="Финансовый 4 11 9 2" xfId="6480"/>
    <cellStyle name="Финансовый 4 12" xfId="143"/>
    <cellStyle name="Финансовый 4 12 2" xfId="1241"/>
    <cellStyle name="Финансовый 4 12 2 2" xfId="2207"/>
    <cellStyle name="Финансовый 4 12 2 2 2" xfId="3852"/>
    <cellStyle name="Финансовый 4 12 2 2 3" xfId="5635"/>
    <cellStyle name="Финансовый 4 12 2 2 4" xfId="8245"/>
    <cellStyle name="Финансовый 4 12 2 3" xfId="3025"/>
    <cellStyle name="Финансовый 4 12 2 4" xfId="4669"/>
    <cellStyle name="Финансовый 4 12 2 5" xfId="7281"/>
    <cellStyle name="Финансовый 4 12 3" xfId="1951"/>
    <cellStyle name="Финансовый 4 12 3 2" xfId="3596"/>
    <cellStyle name="Финансовый 4 12 3 3" xfId="5379"/>
    <cellStyle name="Финансовый 4 12 3 4" xfId="7989"/>
    <cellStyle name="Финансовый 4 12 4" xfId="2472"/>
    <cellStyle name="Финансовый 4 12 4 2" xfId="4117"/>
    <cellStyle name="Финансовый 4 12 4 3" xfId="5900"/>
    <cellStyle name="Финансовый 4 12 4 4" xfId="8510"/>
    <cellStyle name="Финансовый 4 12 5" xfId="976"/>
    <cellStyle name="Финансовый 4 12 5 2" xfId="7016"/>
    <cellStyle name="Финансовый 4 12 6" xfId="564"/>
    <cellStyle name="Финансовый 4 12 6 2" xfId="6604"/>
    <cellStyle name="Финансовый 4 12 7" xfId="2753"/>
    <cellStyle name="Финансовый 4 12 8" xfId="4397"/>
    <cellStyle name="Финансовый 4 12 9" xfId="6184"/>
    <cellStyle name="Финансовый 4 13" xfId="279"/>
    <cellStyle name="Финансовый 4 13 2" xfId="2079"/>
    <cellStyle name="Финансовый 4 13 2 2" xfId="3724"/>
    <cellStyle name="Финансовый 4 13 2 3" xfId="5507"/>
    <cellStyle name="Финансовый 4 13 2 4" xfId="8117"/>
    <cellStyle name="Финансовый 4 13 3" xfId="1377"/>
    <cellStyle name="Финансовый 4 13 3 2" xfId="7417"/>
    <cellStyle name="Финансовый 4 13 4" xfId="700"/>
    <cellStyle name="Финансовый 4 13 4 2" xfId="6740"/>
    <cellStyle name="Финансовый 4 13 5" xfId="3161"/>
    <cellStyle name="Финансовый 4 13 6" xfId="4805"/>
    <cellStyle name="Финансовый 4 13 7" xfId="6320"/>
    <cellStyle name="Финансовый 4 14" xfId="292"/>
    <cellStyle name="Финансовый 4 14 2" xfId="1112"/>
    <cellStyle name="Финансовый 4 14 2 2" xfId="7152"/>
    <cellStyle name="Финансовый 4 14 3" xfId="712"/>
    <cellStyle name="Финансовый 4 14 3 2" xfId="6752"/>
    <cellStyle name="Финансовый 4 14 4" xfId="2889"/>
    <cellStyle name="Финансовый 4 14 5" xfId="4533"/>
    <cellStyle name="Финансовый 4 14 6" xfId="6332"/>
    <cellStyle name="Финансовый 4 15" xfId="1531"/>
    <cellStyle name="Финансовый 4 15 2" xfId="1699"/>
    <cellStyle name="Финансовый 4 15 2 2" xfId="3344"/>
    <cellStyle name="Финансовый 4 15 2 3" xfId="5127"/>
    <cellStyle name="Финансовый 4 15 2 4" xfId="7737"/>
    <cellStyle name="Финансовый 4 15 3" xfId="4959"/>
    <cellStyle name="Финансовый 4 15 4" xfId="7569"/>
    <cellStyle name="Финансовый 4 16" xfId="2335"/>
    <cellStyle name="Финансовый 4 16 2" xfId="3980"/>
    <cellStyle name="Финансовый 4 16 3" xfId="5763"/>
    <cellStyle name="Финансовый 4 16 4" xfId="8373"/>
    <cellStyle name="Финансовый 4 17" xfId="1562"/>
    <cellStyle name="Финансовый 4 17 2" xfId="3207"/>
    <cellStyle name="Финансовый 4 17 3" xfId="4990"/>
    <cellStyle name="Финансовый 4 17 4" xfId="7600"/>
    <cellStyle name="Финансовый 4 18" xfId="848"/>
    <cellStyle name="Финансовый 4 18 2" xfId="6888"/>
    <cellStyle name="Финансовый 4 19" xfId="428"/>
    <cellStyle name="Финансовый 4 19 2" xfId="6468"/>
    <cellStyle name="Финансовый 4 2" xfId="11"/>
    <cellStyle name="Финансовый 4 2 10" xfId="285"/>
    <cellStyle name="Финансовый 4 2 10 2" xfId="2085"/>
    <cellStyle name="Финансовый 4 2 10 2 2" xfId="3730"/>
    <cellStyle name="Финансовый 4 2 10 2 3" xfId="5513"/>
    <cellStyle name="Финансовый 4 2 10 2 4" xfId="8123"/>
    <cellStyle name="Финансовый 4 2 10 3" xfId="1383"/>
    <cellStyle name="Финансовый 4 2 10 3 2" xfId="7423"/>
    <cellStyle name="Финансовый 4 2 10 4" xfId="706"/>
    <cellStyle name="Финансовый 4 2 10 4 2" xfId="6746"/>
    <cellStyle name="Финансовый 4 2 10 5" xfId="3167"/>
    <cellStyle name="Финансовый 4 2 10 6" xfId="4811"/>
    <cellStyle name="Финансовый 4 2 10 7" xfId="6326"/>
    <cellStyle name="Финансовый 4 2 11" xfId="298"/>
    <cellStyle name="Финансовый 4 2 11 2" xfId="1118"/>
    <cellStyle name="Финансовый 4 2 11 2 2" xfId="7158"/>
    <cellStyle name="Финансовый 4 2 11 3" xfId="718"/>
    <cellStyle name="Финансовый 4 2 11 3 2" xfId="6758"/>
    <cellStyle name="Финансовый 4 2 11 4" xfId="2895"/>
    <cellStyle name="Финансовый 4 2 11 5" xfId="4539"/>
    <cellStyle name="Финансовый 4 2 11 6" xfId="6338"/>
    <cellStyle name="Финансовый 4 2 12" xfId="1534"/>
    <cellStyle name="Финансовый 4 2 12 2" xfId="1705"/>
    <cellStyle name="Финансовый 4 2 12 2 2" xfId="3350"/>
    <cellStyle name="Финансовый 4 2 12 2 3" xfId="5133"/>
    <cellStyle name="Финансовый 4 2 12 2 4" xfId="7743"/>
    <cellStyle name="Финансовый 4 2 12 3" xfId="4962"/>
    <cellStyle name="Финансовый 4 2 12 4" xfId="7572"/>
    <cellStyle name="Финансовый 4 2 13" xfId="2341"/>
    <cellStyle name="Финансовый 4 2 13 2" xfId="3986"/>
    <cellStyle name="Финансовый 4 2 13 3" xfId="5769"/>
    <cellStyle name="Финансовый 4 2 13 4" xfId="8379"/>
    <cellStyle name="Финансовый 4 2 14" xfId="1568"/>
    <cellStyle name="Финансовый 4 2 14 2" xfId="3213"/>
    <cellStyle name="Финансовый 4 2 14 3" xfId="4996"/>
    <cellStyle name="Финансовый 4 2 14 4" xfId="7606"/>
    <cellStyle name="Финансовый 4 2 15" xfId="854"/>
    <cellStyle name="Финансовый 4 2 15 2" xfId="6894"/>
    <cellStyle name="Финансовый 4 2 16" xfId="434"/>
    <cellStyle name="Финансовый 4 2 16 2" xfId="6474"/>
    <cellStyle name="Финансовый 4 2 17" xfId="2623"/>
    <cellStyle name="Финансовый 4 2 18" xfId="4266"/>
    <cellStyle name="Финансовый 4 2 19" xfId="6054"/>
    <cellStyle name="Финансовый 4 2 2" xfId="47"/>
    <cellStyle name="Финансовый 4 2 2 10" xfId="470"/>
    <cellStyle name="Финансовый 4 2 2 10 2" xfId="6510"/>
    <cellStyle name="Финансовый 4 2 2 11" xfId="2659"/>
    <cellStyle name="Финансовый 4 2 2 12" xfId="4302"/>
    <cellStyle name="Финансовый 4 2 2 13" xfId="6090"/>
    <cellStyle name="Финансовый 4 2 2 2" xfId="105"/>
    <cellStyle name="Финансовый 4 2 2 2 10" xfId="2715"/>
    <cellStyle name="Финансовый 4 2 2 2 11" xfId="4359"/>
    <cellStyle name="Финансовый 4 2 2 2 12" xfId="6146"/>
    <cellStyle name="Финансовый 4 2 2 2 2" xfId="241"/>
    <cellStyle name="Финансовый 4 2 2 2 2 2" xfId="1339"/>
    <cellStyle name="Финансовый 4 2 2 2 2 2 2" xfId="2297"/>
    <cellStyle name="Финансовый 4 2 2 2 2 2 2 2" xfId="3942"/>
    <cellStyle name="Финансовый 4 2 2 2 2 2 2 3" xfId="5725"/>
    <cellStyle name="Финансовый 4 2 2 2 2 2 2 4" xfId="8335"/>
    <cellStyle name="Финансовый 4 2 2 2 2 2 3" xfId="3123"/>
    <cellStyle name="Финансовый 4 2 2 2 2 2 4" xfId="4767"/>
    <cellStyle name="Финансовый 4 2 2 2 2 2 5" xfId="7379"/>
    <cellStyle name="Финансовый 4 2 2 2 2 3" xfId="2041"/>
    <cellStyle name="Финансовый 4 2 2 2 2 3 2" xfId="3686"/>
    <cellStyle name="Финансовый 4 2 2 2 2 3 3" xfId="5469"/>
    <cellStyle name="Финансовый 4 2 2 2 2 3 4" xfId="8079"/>
    <cellStyle name="Финансовый 4 2 2 2 2 4" xfId="2570"/>
    <cellStyle name="Финансовый 4 2 2 2 2 4 2" xfId="4215"/>
    <cellStyle name="Финансовый 4 2 2 2 2 4 3" xfId="5998"/>
    <cellStyle name="Финансовый 4 2 2 2 2 4 4" xfId="8608"/>
    <cellStyle name="Финансовый 4 2 2 2 2 5" xfId="1074"/>
    <cellStyle name="Финансовый 4 2 2 2 2 5 2" xfId="7114"/>
    <cellStyle name="Финансовый 4 2 2 2 2 6" xfId="662"/>
    <cellStyle name="Финансовый 4 2 2 2 2 6 2" xfId="6702"/>
    <cellStyle name="Финансовый 4 2 2 2 2 7" xfId="2851"/>
    <cellStyle name="Финансовый 4 2 2 2 2 8" xfId="4495"/>
    <cellStyle name="Финансовый 4 2 2 2 2 9" xfId="6282"/>
    <cellStyle name="Финансовый 4 2 2 2 3" xfId="390"/>
    <cellStyle name="Финансовый 4 2 2 2 3 2" xfId="2169"/>
    <cellStyle name="Финансовый 4 2 2 2 3 2 2" xfId="3814"/>
    <cellStyle name="Финансовый 4 2 2 2 3 2 3" xfId="5597"/>
    <cellStyle name="Финансовый 4 2 2 2 3 2 4" xfId="8207"/>
    <cellStyle name="Финансовый 4 2 2 2 3 3" xfId="1203"/>
    <cellStyle name="Финансовый 4 2 2 2 3 3 2" xfId="7243"/>
    <cellStyle name="Финансовый 4 2 2 2 3 4" xfId="810"/>
    <cellStyle name="Финансовый 4 2 2 2 3 4 2" xfId="6850"/>
    <cellStyle name="Финансовый 4 2 2 2 3 5" xfId="2987"/>
    <cellStyle name="Финансовый 4 2 2 2 3 6" xfId="4631"/>
    <cellStyle name="Финансовый 4 2 2 2 3 7" xfId="6430"/>
    <cellStyle name="Финансовый 4 2 2 2 4" xfId="1427"/>
    <cellStyle name="Финансовый 4 2 2 2 4 2" xfId="1913"/>
    <cellStyle name="Финансовый 4 2 2 2 4 2 2" xfId="3558"/>
    <cellStyle name="Финансовый 4 2 2 2 4 2 3" xfId="5341"/>
    <cellStyle name="Финансовый 4 2 2 2 4 2 4" xfId="7951"/>
    <cellStyle name="Финансовый 4 2 2 2 4 3" xfId="4855"/>
    <cellStyle name="Финансовый 4 2 2 2 4 4" xfId="7466"/>
    <cellStyle name="Финансовый 4 2 2 2 5" xfId="1789"/>
    <cellStyle name="Финансовый 4 2 2 2 5 2" xfId="3434"/>
    <cellStyle name="Финансовый 4 2 2 2 5 3" xfId="5217"/>
    <cellStyle name="Финансовый 4 2 2 2 5 4" xfId="7827"/>
    <cellStyle name="Финансовый 4 2 2 2 6" xfId="2434"/>
    <cellStyle name="Финансовый 4 2 2 2 6 2" xfId="4079"/>
    <cellStyle name="Финансовый 4 2 2 2 6 3" xfId="5862"/>
    <cellStyle name="Финансовый 4 2 2 2 6 4" xfId="8472"/>
    <cellStyle name="Финансовый 4 2 2 2 7" xfId="1661"/>
    <cellStyle name="Финансовый 4 2 2 2 7 2" xfId="3306"/>
    <cellStyle name="Финансовый 4 2 2 2 7 3" xfId="5089"/>
    <cellStyle name="Финансовый 4 2 2 2 7 4" xfId="7699"/>
    <cellStyle name="Финансовый 4 2 2 2 8" xfId="938"/>
    <cellStyle name="Финансовый 4 2 2 2 8 2" xfId="6978"/>
    <cellStyle name="Финансовый 4 2 2 2 9" xfId="526"/>
    <cellStyle name="Финансовый 4 2 2 2 9 2" xfId="6566"/>
    <cellStyle name="Финансовый 4 2 2 3" xfId="185"/>
    <cellStyle name="Финансовый 4 2 2 3 2" xfId="1283"/>
    <cellStyle name="Финансовый 4 2 2 3 2 2" xfId="2249"/>
    <cellStyle name="Финансовый 4 2 2 3 2 2 2" xfId="3894"/>
    <cellStyle name="Финансовый 4 2 2 3 2 2 3" xfId="5677"/>
    <cellStyle name="Финансовый 4 2 2 3 2 2 4" xfId="8287"/>
    <cellStyle name="Финансовый 4 2 2 3 2 3" xfId="3067"/>
    <cellStyle name="Финансовый 4 2 2 3 2 4" xfId="4711"/>
    <cellStyle name="Финансовый 4 2 2 3 2 5" xfId="7323"/>
    <cellStyle name="Финансовый 4 2 2 3 3" xfId="1993"/>
    <cellStyle name="Финансовый 4 2 2 3 3 2" xfId="3638"/>
    <cellStyle name="Финансовый 4 2 2 3 3 3" xfId="5421"/>
    <cellStyle name="Финансовый 4 2 2 3 3 4" xfId="8031"/>
    <cellStyle name="Финансовый 4 2 2 3 4" xfId="2514"/>
    <cellStyle name="Финансовый 4 2 2 3 4 2" xfId="4159"/>
    <cellStyle name="Финансовый 4 2 2 3 4 3" xfId="5942"/>
    <cellStyle name="Финансовый 4 2 2 3 4 4" xfId="8552"/>
    <cellStyle name="Финансовый 4 2 2 3 5" xfId="1018"/>
    <cellStyle name="Финансовый 4 2 2 3 5 2" xfId="7058"/>
    <cellStyle name="Финансовый 4 2 2 3 6" xfId="606"/>
    <cellStyle name="Финансовый 4 2 2 3 6 2" xfId="6646"/>
    <cellStyle name="Финансовый 4 2 2 3 7" xfId="2795"/>
    <cellStyle name="Финансовый 4 2 2 3 8" xfId="4439"/>
    <cellStyle name="Финансовый 4 2 2 3 9" xfId="6226"/>
    <cellStyle name="Финансовый 4 2 2 4" xfId="334"/>
    <cellStyle name="Финансовый 4 2 2 4 2" xfId="2121"/>
    <cellStyle name="Финансовый 4 2 2 4 2 2" xfId="3766"/>
    <cellStyle name="Финансовый 4 2 2 4 2 3" xfId="5549"/>
    <cellStyle name="Финансовый 4 2 2 4 2 4" xfId="8159"/>
    <cellStyle name="Финансовый 4 2 2 4 3" xfId="1154"/>
    <cellStyle name="Финансовый 4 2 2 4 3 2" xfId="7194"/>
    <cellStyle name="Финансовый 4 2 2 4 4" xfId="754"/>
    <cellStyle name="Финансовый 4 2 2 4 4 2" xfId="6794"/>
    <cellStyle name="Финансовый 4 2 2 4 5" xfId="2931"/>
    <cellStyle name="Финансовый 4 2 2 4 6" xfId="4575"/>
    <cellStyle name="Финансовый 4 2 2 4 7" xfId="6374"/>
    <cellStyle name="Финансовый 4 2 2 5" xfId="1535"/>
    <cellStyle name="Финансовый 4 2 2 5 2" xfId="1857"/>
    <cellStyle name="Финансовый 4 2 2 5 2 2" xfId="3502"/>
    <cellStyle name="Финансовый 4 2 2 5 2 3" xfId="5285"/>
    <cellStyle name="Финансовый 4 2 2 5 2 4" xfId="7895"/>
    <cellStyle name="Финансовый 4 2 2 5 3" xfId="4963"/>
    <cellStyle name="Финансовый 4 2 2 5 4" xfId="7573"/>
    <cellStyle name="Финансовый 4 2 2 6" xfId="1741"/>
    <cellStyle name="Финансовый 4 2 2 6 2" xfId="3386"/>
    <cellStyle name="Финансовый 4 2 2 6 3" xfId="5169"/>
    <cellStyle name="Финансовый 4 2 2 6 4" xfId="7779"/>
    <cellStyle name="Финансовый 4 2 2 7" xfId="2377"/>
    <cellStyle name="Финансовый 4 2 2 7 2" xfId="4022"/>
    <cellStyle name="Финансовый 4 2 2 7 3" xfId="5805"/>
    <cellStyle name="Финансовый 4 2 2 7 4" xfId="8415"/>
    <cellStyle name="Финансовый 4 2 2 8" xfId="1604"/>
    <cellStyle name="Финансовый 4 2 2 8 2" xfId="3249"/>
    <cellStyle name="Финансовый 4 2 2 8 3" xfId="5032"/>
    <cellStyle name="Финансовый 4 2 2 8 4" xfId="7642"/>
    <cellStyle name="Финансовый 4 2 2 9" xfId="890"/>
    <cellStyle name="Финансовый 4 2 2 9 2" xfId="6930"/>
    <cellStyle name="Финансовый 4 2 3" xfId="117"/>
    <cellStyle name="Финансовый 4 2 3 10" xfId="2727"/>
    <cellStyle name="Финансовый 4 2 3 11" xfId="4371"/>
    <cellStyle name="Финансовый 4 2 3 12" xfId="6158"/>
    <cellStyle name="Финансовый 4 2 3 2" xfId="253"/>
    <cellStyle name="Финансовый 4 2 3 2 2" xfId="1351"/>
    <cellStyle name="Финансовый 4 2 3 2 2 2" xfId="2309"/>
    <cellStyle name="Финансовый 4 2 3 2 2 2 2" xfId="3954"/>
    <cellStyle name="Финансовый 4 2 3 2 2 2 3" xfId="5737"/>
    <cellStyle name="Финансовый 4 2 3 2 2 2 4" xfId="8347"/>
    <cellStyle name="Финансовый 4 2 3 2 2 3" xfId="3135"/>
    <cellStyle name="Финансовый 4 2 3 2 2 4" xfId="4779"/>
    <cellStyle name="Финансовый 4 2 3 2 2 5" xfId="7391"/>
    <cellStyle name="Финансовый 4 2 3 2 3" xfId="2053"/>
    <cellStyle name="Финансовый 4 2 3 2 3 2" xfId="3698"/>
    <cellStyle name="Финансовый 4 2 3 2 3 3" xfId="5481"/>
    <cellStyle name="Финансовый 4 2 3 2 3 4" xfId="8091"/>
    <cellStyle name="Финансовый 4 2 3 2 4" xfId="2582"/>
    <cellStyle name="Финансовый 4 2 3 2 4 2" xfId="4227"/>
    <cellStyle name="Финансовый 4 2 3 2 4 3" xfId="6010"/>
    <cellStyle name="Финансовый 4 2 3 2 4 4" xfId="8620"/>
    <cellStyle name="Финансовый 4 2 3 2 5" xfId="1086"/>
    <cellStyle name="Финансовый 4 2 3 2 5 2" xfId="7126"/>
    <cellStyle name="Финансовый 4 2 3 2 6" xfId="674"/>
    <cellStyle name="Финансовый 4 2 3 2 6 2" xfId="6714"/>
    <cellStyle name="Финансовый 4 2 3 2 7" xfId="2863"/>
    <cellStyle name="Финансовый 4 2 3 2 8" xfId="4507"/>
    <cellStyle name="Финансовый 4 2 3 2 9" xfId="6294"/>
    <cellStyle name="Финансовый 4 2 3 3" xfId="402"/>
    <cellStyle name="Финансовый 4 2 3 3 2" xfId="2181"/>
    <cellStyle name="Финансовый 4 2 3 3 2 2" xfId="3826"/>
    <cellStyle name="Финансовый 4 2 3 3 2 3" xfId="5609"/>
    <cellStyle name="Финансовый 4 2 3 3 2 4" xfId="8219"/>
    <cellStyle name="Финансовый 4 2 3 3 3" xfId="1215"/>
    <cellStyle name="Финансовый 4 2 3 3 3 2" xfId="7255"/>
    <cellStyle name="Финансовый 4 2 3 3 4" xfId="822"/>
    <cellStyle name="Финансовый 4 2 3 3 4 2" xfId="6862"/>
    <cellStyle name="Финансовый 4 2 3 3 5" xfId="2999"/>
    <cellStyle name="Финансовый 4 2 3 3 6" xfId="4643"/>
    <cellStyle name="Финансовый 4 2 3 3 7" xfId="6442"/>
    <cellStyle name="Финансовый 4 2 3 4" xfId="1536"/>
    <cellStyle name="Финансовый 4 2 3 4 2" xfId="1925"/>
    <cellStyle name="Финансовый 4 2 3 4 2 2" xfId="3570"/>
    <cellStyle name="Финансовый 4 2 3 4 2 3" xfId="5353"/>
    <cellStyle name="Финансовый 4 2 3 4 2 4" xfId="7963"/>
    <cellStyle name="Финансовый 4 2 3 4 3" xfId="4964"/>
    <cellStyle name="Финансовый 4 2 3 4 4" xfId="7574"/>
    <cellStyle name="Финансовый 4 2 3 5" xfId="1801"/>
    <cellStyle name="Финансовый 4 2 3 5 2" xfId="3446"/>
    <cellStyle name="Финансовый 4 2 3 5 3" xfId="5229"/>
    <cellStyle name="Финансовый 4 2 3 5 4" xfId="7839"/>
    <cellStyle name="Финансовый 4 2 3 6" xfId="2446"/>
    <cellStyle name="Финансовый 4 2 3 6 2" xfId="4091"/>
    <cellStyle name="Финансовый 4 2 3 6 3" xfId="5874"/>
    <cellStyle name="Финансовый 4 2 3 6 4" xfId="8484"/>
    <cellStyle name="Финансовый 4 2 3 7" xfId="1673"/>
    <cellStyle name="Финансовый 4 2 3 7 2" xfId="3318"/>
    <cellStyle name="Финансовый 4 2 3 7 3" xfId="5101"/>
    <cellStyle name="Финансовый 4 2 3 7 4" xfId="7711"/>
    <cellStyle name="Финансовый 4 2 3 8" xfId="950"/>
    <cellStyle name="Финансовый 4 2 3 8 2" xfId="6990"/>
    <cellStyle name="Финансовый 4 2 3 9" xfId="538"/>
    <cellStyle name="Финансовый 4 2 3 9 2" xfId="6578"/>
    <cellStyle name="Финансовый 4 2 4" xfId="81"/>
    <cellStyle name="Финансовый 4 2 4 10" xfId="2691"/>
    <cellStyle name="Финансовый 4 2 4 11" xfId="4335"/>
    <cellStyle name="Финансовый 4 2 4 12" xfId="6122"/>
    <cellStyle name="Финансовый 4 2 4 2" xfId="217"/>
    <cellStyle name="Финансовый 4 2 4 2 2" xfId="1315"/>
    <cellStyle name="Финансовый 4 2 4 2 2 2" xfId="2273"/>
    <cellStyle name="Финансовый 4 2 4 2 2 2 2" xfId="3918"/>
    <cellStyle name="Финансовый 4 2 4 2 2 2 3" xfId="5701"/>
    <cellStyle name="Финансовый 4 2 4 2 2 2 4" xfId="8311"/>
    <cellStyle name="Финансовый 4 2 4 2 2 3" xfId="3099"/>
    <cellStyle name="Финансовый 4 2 4 2 2 4" xfId="4743"/>
    <cellStyle name="Финансовый 4 2 4 2 2 5" xfId="7355"/>
    <cellStyle name="Финансовый 4 2 4 2 3" xfId="2017"/>
    <cellStyle name="Финансовый 4 2 4 2 3 2" xfId="3662"/>
    <cellStyle name="Финансовый 4 2 4 2 3 3" xfId="5445"/>
    <cellStyle name="Финансовый 4 2 4 2 3 4" xfId="8055"/>
    <cellStyle name="Финансовый 4 2 4 2 4" xfId="2546"/>
    <cellStyle name="Финансовый 4 2 4 2 4 2" xfId="4191"/>
    <cellStyle name="Финансовый 4 2 4 2 4 3" xfId="5974"/>
    <cellStyle name="Финансовый 4 2 4 2 4 4" xfId="8584"/>
    <cellStyle name="Финансовый 4 2 4 2 5" xfId="1050"/>
    <cellStyle name="Финансовый 4 2 4 2 5 2" xfId="7090"/>
    <cellStyle name="Финансовый 4 2 4 2 6" xfId="638"/>
    <cellStyle name="Финансовый 4 2 4 2 6 2" xfId="6678"/>
    <cellStyle name="Финансовый 4 2 4 2 7" xfId="2827"/>
    <cellStyle name="Финансовый 4 2 4 2 8" xfId="4471"/>
    <cellStyle name="Финансовый 4 2 4 2 9" xfId="6258"/>
    <cellStyle name="Финансовый 4 2 4 3" xfId="366"/>
    <cellStyle name="Финансовый 4 2 4 3 2" xfId="2145"/>
    <cellStyle name="Финансовый 4 2 4 3 2 2" xfId="3790"/>
    <cellStyle name="Финансовый 4 2 4 3 2 3" xfId="5573"/>
    <cellStyle name="Финансовый 4 2 4 3 2 4" xfId="8183"/>
    <cellStyle name="Финансовый 4 2 4 3 3" xfId="1179"/>
    <cellStyle name="Финансовый 4 2 4 3 3 2" xfId="7219"/>
    <cellStyle name="Финансовый 4 2 4 3 4" xfId="786"/>
    <cellStyle name="Финансовый 4 2 4 3 4 2" xfId="6826"/>
    <cellStyle name="Финансовый 4 2 4 3 5" xfId="2963"/>
    <cellStyle name="Финансовый 4 2 4 3 6" xfId="4607"/>
    <cellStyle name="Финансовый 4 2 4 3 7" xfId="6406"/>
    <cellStyle name="Финансовый 4 2 4 4" xfId="1537"/>
    <cellStyle name="Финансовый 4 2 4 4 2" xfId="1889"/>
    <cellStyle name="Финансовый 4 2 4 4 2 2" xfId="3534"/>
    <cellStyle name="Финансовый 4 2 4 4 2 3" xfId="5317"/>
    <cellStyle name="Финансовый 4 2 4 4 2 4" xfId="7927"/>
    <cellStyle name="Финансовый 4 2 4 4 3" xfId="4965"/>
    <cellStyle name="Финансовый 4 2 4 4 4" xfId="7575"/>
    <cellStyle name="Финансовый 4 2 4 5" xfId="1765"/>
    <cellStyle name="Финансовый 4 2 4 5 2" xfId="3410"/>
    <cellStyle name="Финансовый 4 2 4 5 3" xfId="5193"/>
    <cellStyle name="Финансовый 4 2 4 5 4" xfId="7803"/>
    <cellStyle name="Финансовый 4 2 4 6" xfId="2410"/>
    <cellStyle name="Финансовый 4 2 4 6 2" xfId="4055"/>
    <cellStyle name="Финансовый 4 2 4 6 3" xfId="5838"/>
    <cellStyle name="Финансовый 4 2 4 6 4" xfId="8448"/>
    <cellStyle name="Финансовый 4 2 4 7" xfId="1637"/>
    <cellStyle name="Финансовый 4 2 4 7 2" xfId="3282"/>
    <cellStyle name="Финансовый 4 2 4 7 3" xfId="5065"/>
    <cellStyle name="Финансовый 4 2 4 7 4" xfId="7675"/>
    <cellStyle name="Финансовый 4 2 4 8" xfId="914"/>
    <cellStyle name="Финансовый 4 2 4 8 2" xfId="6954"/>
    <cellStyle name="Финансовый 4 2 4 9" xfId="502"/>
    <cellStyle name="Финансовый 4 2 4 9 2" xfId="6542"/>
    <cellStyle name="Финансовый 4 2 5" xfId="59"/>
    <cellStyle name="Финансовый 4 2 5 10" xfId="2671"/>
    <cellStyle name="Финансовый 4 2 5 11" xfId="4314"/>
    <cellStyle name="Финансовый 4 2 5 12" xfId="6102"/>
    <cellStyle name="Финансовый 4 2 5 2" xfId="197"/>
    <cellStyle name="Финансовый 4 2 5 2 2" xfId="1295"/>
    <cellStyle name="Финансовый 4 2 5 2 2 2" xfId="2261"/>
    <cellStyle name="Финансовый 4 2 5 2 2 2 2" xfId="3906"/>
    <cellStyle name="Финансовый 4 2 5 2 2 2 3" xfId="5689"/>
    <cellStyle name="Финансовый 4 2 5 2 2 2 4" xfId="8299"/>
    <cellStyle name="Финансовый 4 2 5 2 2 3" xfId="3079"/>
    <cellStyle name="Финансовый 4 2 5 2 2 4" xfId="4723"/>
    <cellStyle name="Финансовый 4 2 5 2 2 5" xfId="7335"/>
    <cellStyle name="Финансовый 4 2 5 2 3" xfId="2005"/>
    <cellStyle name="Финансовый 4 2 5 2 3 2" xfId="3650"/>
    <cellStyle name="Финансовый 4 2 5 2 3 3" xfId="5433"/>
    <cellStyle name="Финансовый 4 2 5 2 3 4" xfId="8043"/>
    <cellStyle name="Финансовый 4 2 5 2 4" xfId="2526"/>
    <cellStyle name="Финансовый 4 2 5 2 4 2" xfId="4171"/>
    <cellStyle name="Финансовый 4 2 5 2 4 3" xfId="5954"/>
    <cellStyle name="Финансовый 4 2 5 2 4 4" xfId="8564"/>
    <cellStyle name="Финансовый 4 2 5 2 5" xfId="1030"/>
    <cellStyle name="Финансовый 4 2 5 2 5 2" xfId="7070"/>
    <cellStyle name="Финансовый 4 2 5 2 6" xfId="618"/>
    <cellStyle name="Финансовый 4 2 5 2 6 2" xfId="6658"/>
    <cellStyle name="Финансовый 4 2 5 2 7" xfId="2807"/>
    <cellStyle name="Финансовый 4 2 5 2 8" xfId="4451"/>
    <cellStyle name="Финансовый 4 2 5 2 9" xfId="6238"/>
    <cellStyle name="Финансовый 4 2 5 3" xfId="346"/>
    <cellStyle name="Финансовый 4 2 5 3 2" xfId="2133"/>
    <cellStyle name="Финансовый 4 2 5 3 2 2" xfId="3778"/>
    <cellStyle name="Финансовый 4 2 5 3 2 3" xfId="5561"/>
    <cellStyle name="Финансовый 4 2 5 3 2 4" xfId="8171"/>
    <cellStyle name="Финансовый 4 2 5 3 3" xfId="1166"/>
    <cellStyle name="Финансовый 4 2 5 3 3 2" xfId="7206"/>
    <cellStyle name="Финансовый 4 2 5 3 4" xfId="766"/>
    <cellStyle name="Финансовый 4 2 5 3 4 2" xfId="6806"/>
    <cellStyle name="Финансовый 4 2 5 3 5" xfId="2943"/>
    <cellStyle name="Финансовый 4 2 5 3 6" xfId="4587"/>
    <cellStyle name="Финансовый 4 2 5 3 7" xfId="6386"/>
    <cellStyle name="Финансовый 4 2 5 4" xfId="1538"/>
    <cellStyle name="Финансовый 4 2 5 4 2" xfId="1869"/>
    <cellStyle name="Финансовый 4 2 5 4 2 2" xfId="3514"/>
    <cellStyle name="Финансовый 4 2 5 4 2 3" xfId="5297"/>
    <cellStyle name="Финансовый 4 2 5 4 2 4" xfId="7907"/>
    <cellStyle name="Финансовый 4 2 5 4 3" xfId="4966"/>
    <cellStyle name="Финансовый 4 2 5 4 4" xfId="7576"/>
    <cellStyle name="Финансовый 4 2 5 5" xfId="1753"/>
    <cellStyle name="Финансовый 4 2 5 5 2" xfId="3398"/>
    <cellStyle name="Финансовый 4 2 5 5 3" xfId="5181"/>
    <cellStyle name="Финансовый 4 2 5 5 4" xfId="7791"/>
    <cellStyle name="Финансовый 4 2 5 6" xfId="2389"/>
    <cellStyle name="Финансовый 4 2 5 6 2" xfId="4034"/>
    <cellStyle name="Финансовый 4 2 5 6 3" xfId="5817"/>
    <cellStyle name="Финансовый 4 2 5 6 4" xfId="8427"/>
    <cellStyle name="Финансовый 4 2 5 7" xfId="1616"/>
    <cellStyle name="Финансовый 4 2 5 7 2" xfId="3261"/>
    <cellStyle name="Финансовый 4 2 5 7 3" xfId="5044"/>
    <cellStyle name="Финансовый 4 2 5 7 4" xfId="7654"/>
    <cellStyle name="Финансовый 4 2 5 8" xfId="902"/>
    <cellStyle name="Финансовый 4 2 5 8 2" xfId="6942"/>
    <cellStyle name="Финансовый 4 2 5 9" xfId="482"/>
    <cellStyle name="Финансовый 4 2 5 9 2" xfId="6522"/>
    <cellStyle name="Финансовый 4 2 6" xfId="137"/>
    <cellStyle name="Финансовый 4 2 6 10" xfId="2747"/>
    <cellStyle name="Финансовый 4 2 6 11" xfId="4391"/>
    <cellStyle name="Финансовый 4 2 6 12" xfId="6178"/>
    <cellStyle name="Финансовый 4 2 6 2" xfId="273"/>
    <cellStyle name="Финансовый 4 2 6 2 2" xfId="1371"/>
    <cellStyle name="Финансовый 4 2 6 2 2 2" xfId="2329"/>
    <cellStyle name="Финансовый 4 2 6 2 2 2 2" xfId="3974"/>
    <cellStyle name="Финансовый 4 2 6 2 2 2 3" xfId="5757"/>
    <cellStyle name="Финансовый 4 2 6 2 2 2 4" xfId="8367"/>
    <cellStyle name="Финансовый 4 2 6 2 2 3" xfId="3155"/>
    <cellStyle name="Финансовый 4 2 6 2 2 4" xfId="4799"/>
    <cellStyle name="Финансовый 4 2 6 2 2 5" xfId="7411"/>
    <cellStyle name="Финансовый 4 2 6 2 3" xfId="2073"/>
    <cellStyle name="Финансовый 4 2 6 2 3 2" xfId="3718"/>
    <cellStyle name="Финансовый 4 2 6 2 3 3" xfId="5501"/>
    <cellStyle name="Финансовый 4 2 6 2 3 4" xfId="8111"/>
    <cellStyle name="Финансовый 4 2 6 2 4" xfId="2602"/>
    <cellStyle name="Финансовый 4 2 6 2 4 2" xfId="4247"/>
    <cellStyle name="Финансовый 4 2 6 2 4 3" xfId="6030"/>
    <cellStyle name="Финансовый 4 2 6 2 4 4" xfId="8640"/>
    <cellStyle name="Финансовый 4 2 6 2 5" xfId="1106"/>
    <cellStyle name="Финансовый 4 2 6 2 5 2" xfId="7146"/>
    <cellStyle name="Финансовый 4 2 6 2 6" xfId="694"/>
    <cellStyle name="Финансовый 4 2 6 2 6 2" xfId="6734"/>
    <cellStyle name="Финансовый 4 2 6 2 7" xfId="2883"/>
    <cellStyle name="Финансовый 4 2 6 2 8" xfId="4527"/>
    <cellStyle name="Финансовый 4 2 6 2 9" xfId="6314"/>
    <cellStyle name="Финансовый 4 2 6 3" xfId="422"/>
    <cellStyle name="Финансовый 4 2 6 3 2" xfId="2201"/>
    <cellStyle name="Финансовый 4 2 6 3 2 2" xfId="3846"/>
    <cellStyle name="Финансовый 4 2 6 3 2 3" xfId="5629"/>
    <cellStyle name="Финансовый 4 2 6 3 2 4" xfId="8239"/>
    <cellStyle name="Финансовый 4 2 6 3 3" xfId="1235"/>
    <cellStyle name="Финансовый 4 2 6 3 3 2" xfId="7275"/>
    <cellStyle name="Финансовый 4 2 6 3 4" xfId="842"/>
    <cellStyle name="Финансовый 4 2 6 3 4 2" xfId="6882"/>
    <cellStyle name="Финансовый 4 2 6 3 5" xfId="3019"/>
    <cellStyle name="Финансовый 4 2 6 3 6" xfId="4663"/>
    <cellStyle name="Финансовый 4 2 6 3 7" xfId="6462"/>
    <cellStyle name="Финансовый 4 2 6 4" xfId="1453"/>
    <cellStyle name="Финансовый 4 2 6 4 2" xfId="1945"/>
    <cellStyle name="Финансовый 4 2 6 4 2 2" xfId="3590"/>
    <cellStyle name="Финансовый 4 2 6 4 2 3" xfId="5373"/>
    <cellStyle name="Финансовый 4 2 6 4 2 4" xfId="7983"/>
    <cellStyle name="Финансовый 4 2 6 4 3" xfId="4881"/>
    <cellStyle name="Финансовый 4 2 6 4 4" xfId="7491"/>
    <cellStyle name="Финансовый 4 2 6 5" xfId="1821"/>
    <cellStyle name="Финансовый 4 2 6 5 2" xfId="3466"/>
    <cellStyle name="Финансовый 4 2 6 5 3" xfId="5249"/>
    <cellStyle name="Финансовый 4 2 6 5 4" xfId="7859"/>
    <cellStyle name="Финансовый 4 2 6 6" xfId="2466"/>
    <cellStyle name="Финансовый 4 2 6 6 2" xfId="4111"/>
    <cellStyle name="Финансовый 4 2 6 6 3" xfId="5894"/>
    <cellStyle name="Финансовый 4 2 6 6 4" xfId="8504"/>
    <cellStyle name="Финансовый 4 2 6 7" xfId="1693"/>
    <cellStyle name="Финансовый 4 2 6 7 2" xfId="3338"/>
    <cellStyle name="Финансовый 4 2 6 7 3" xfId="5121"/>
    <cellStyle name="Финансовый 4 2 6 7 4" xfId="7731"/>
    <cellStyle name="Финансовый 4 2 6 8" xfId="970"/>
    <cellStyle name="Финансовый 4 2 6 8 2" xfId="7010"/>
    <cellStyle name="Финансовый 4 2 6 9" xfId="558"/>
    <cellStyle name="Финансовый 4 2 6 9 2" xfId="6598"/>
    <cellStyle name="Финансовый 4 2 7" xfId="35"/>
    <cellStyle name="Финансовый 4 2 7 10" xfId="2647"/>
    <cellStyle name="Финансовый 4 2 7 11" xfId="4290"/>
    <cellStyle name="Финансовый 4 2 7 12" xfId="6078"/>
    <cellStyle name="Финансовый 4 2 7 2" xfId="173"/>
    <cellStyle name="Финансовый 4 2 7 2 2" xfId="1271"/>
    <cellStyle name="Финансовый 4 2 7 2 2 2" xfId="2237"/>
    <cellStyle name="Финансовый 4 2 7 2 2 2 2" xfId="3882"/>
    <cellStyle name="Финансовый 4 2 7 2 2 2 3" xfId="5665"/>
    <cellStyle name="Финансовый 4 2 7 2 2 2 4" xfId="8275"/>
    <cellStyle name="Финансовый 4 2 7 2 2 3" xfId="3055"/>
    <cellStyle name="Финансовый 4 2 7 2 2 4" xfId="4699"/>
    <cellStyle name="Финансовый 4 2 7 2 2 5" xfId="7311"/>
    <cellStyle name="Финансовый 4 2 7 2 3" xfId="1981"/>
    <cellStyle name="Финансовый 4 2 7 2 3 2" xfId="3626"/>
    <cellStyle name="Финансовый 4 2 7 2 3 3" xfId="5409"/>
    <cellStyle name="Финансовый 4 2 7 2 3 4" xfId="8019"/>
    <cellStyle name="Финансовый 4 2 7 2 4" xfId="2502"/>
    <cellStyle name="Финансовый 4 2 7 2 4 2" xfId="4147"/>
    <cellStyle name="Финансовый 4 2 7 2 4 3" xfId="5930"/>
    <cellStyle name="Финансовый 4 2 7 2 4 4" xfId="8540"/>
    <cellStyle name="Финансовый 4 2 7 2 5" xfId="1006"/>
    <cellStyle name="Финансовый 4 2 7 2 5 2" xfId="7046"/>
    <cellStyle name="Финансовый 4 2 7 2 6" xfId="594"/>
    <cellStyle name="Финансовый 4 2 7 2 6 2" xfId="6634"/>
    <cellStyle name="Финансовый 4 2 7 2 7" xfId="2783"/>
    <cellStyle name="Финансовый 4 2 7 2 8" xfId="4427"/>
    <cellStyle name="Финансовый 4 2 7 2 9" xfId="6214"/>
    <cellStyle name="Финансовый 4 2 7 3" xfId="322"/>
    <cellStyle name="Финансовый 4 2 7 3 2" xfId="2109"/>
    <cellStyle name="Финансовый 4 2 7 3 2 2" xfId="3754"/>
    <cellStyle name="Финансовый 4 2 7 3 2 3" xfId="5537"/>
    <cellStyle name="Финансовый 4 2 7 3 2 4" xfId="8147"/>
    <cellStyle name="Финансовый 4 2 7 3 3" xfId="1142"/>
    <cellStyle name="Финансовый 4 2 7 3 3 2" xfId="7182"/>
    <cellStyle name="Финансовый 4 2 7 3 4" xfId="742"/>
    <cellStyle name="Финансовый 4 2 7 3 4 2" xfId="6782"/>
    <cellStyle name="Финансовый 4 2 7 3 5" xfId="2919"/>
    <cellStyle name="Финансовый 4 2 7 3 6" xfId="4563"/>
    <cellStyle name="Финансовый 4 2 7 3 7" xfId="6362"/>
    <cellStyle name="Финансовый 4 2 7 4" xfId="1476"/>
    <cellStyle name="Финансовый 4 2 7 4 2" xfId="1845"/>
    <cellStyle name="Финансовый 4 2 7 4 2 2" xfId="3490"/>
    <cellStyle name="Финансовый 4 2 7 4 2 3" xfId="5273"/>
    <cellStyle name="Финансовый 4 2 7 4 2 4" xfId="7883"/>
    <cellStyle name="Финансовый 4 2 7 4 3" xfId="4904"/>
    <cellStyle name="Финансовый 4 2 7 4 4" xfId="7514"/>
    <cellStyle name="Финансовый 4 2 7 5" xfId="1729"/>
    <cellStyle name="Финансовый 4 2 7 5 2" xfId="3374"/>
    <cellStyle name="Финансовый 4 2 7 5 3" xfId="5157"/>
    <cellStyle name="Финансовый 4 2 7 5 4" xfId="7767"/>
    <cellStyle name="Финансовый 4 2 7 6" xfId="2365"/>
    <cellStyle name="Финансовый 4 2 7 6 2" xfId="4010"/>
    <cellStyle name="Финансовый 4 2 7 6 3" xfId="5793"/>
    <cellStyle name="Финансовый 4 2 7 6 4" xfId="8403"/>
    <cellStyle name="Финансовый 4 2 7 7" xfId="1592"/>
    <cellStyle name="Финансовый 4 2 7 7 2" xfId="3237"/>
    <cellStyle name="Финансовый 4 2 7 7 3" xfId="5020"/>
    <cellStyle name="Финансовый 4 2 7 7 4" xfId="7630"/>
    <cellStyle name="Финансовый 4 2 7 8" xfId="878"/>
    <cellStyle name="Финансовый 4 2 7 8 2" xfId="6918"/>
    <cellStyle name="Финансовый 4 2 7 9" xfId="458"/>
    <cellStyle name="Финансовый 4 2 7 9 2" xfId="6498"/>
    <cellStyle name="Финансовый 4 2 8" xfId="23"/>
    <cellStyle name="Финансовый 4 2 8 10" xfId="2635"/>
    <cellStyle name="Финансовый 4 2 8 11" xfId="4278"/>
    <cellStyle name="Финансовый 4 2 8 12" xfId="6066"/>
    <cellStyle name="Финансовый 4 2 8 2" xfId="161"/>
    <cellStyle name="Финансовый 4 2 8 2 2" xfId="1259"/>
    <cellStyle name="Финансовый 4 2 8 2 2 2" xfId="2225"/>
    <cellStyle name="Финансовый 4 2 8 2 2 2 2" xfId="3870"/>
    <cellStyle name="Финансовый 4 2 8 2 2 2 3" xfId="5653"/>
    <cellStyle name="Финансовый 4 2 8 2 2 2 4" xfId="8263"/>
    <cellStyle name="Финансовый 4 2 8 2 2 3" xfId="3043"/>
    <cellStyle name="Финансовый 4 2 8 2 2 4" xfId="4687"/>
    <cellStyle name="Финансовый 4 2 8 2 2 5" xfId="7299"/>
    <cellStyle name="Финансовый 4 2 8 2 3" xfId="1969"/>
    <cellStyle name="Финансовый 4 2 8 2 3 2" xfId="3614"/>
    <cellStyle name="Финансовый 4 2 8 2 3 3" xfId="5397"/>
    <cellStyle name="Финансовый 4 2 8 2 3 4" xfId="8007"/>
    <cellStyle name="Финансовый 4 2 8 2 4" xfId="2490"/>
    <cellStyle name="Финансовый 4 2 8 2 4 2" xfId="4135"/>
    <cellStyle name="Финансовый 4 2 8 2 4 3" xfId="5918"/>
    <cellStyle name="Финансовый 4 2 8 2 4 4" xfId="8528"/>
    <cellStyle name="Финансовый 4 2 8 2 5" xfId="994"/>
    <cellStyle name="Финансовый 4 2 8 2 5 2" xfId="7034"/>
    <cellStyle name="Финансовый 4 2 8 2 6" xfId="582"/>
    <cellStyle name="Финансовый 4 2 8 2 6 2" xfId="6622"/>
    <cellStyle name="Финансовый 4 2 8 2 7" xfId="2771"/>
    <cellStyle name="Финансовый 4 2 8 2 8" xfId="4415"/>
    <cellStyle name="Финансовый 4 2 8 2 9" xfId="6202"/>
    <cellStyle name="Финансовый 4 2 8 3" xfId="310"/>
    <cellStyle name="Финансовый 4 2 8 3 2" xfId="2097"/>
    <cellStyle name="Финансовый 4 2 8 3 2 2" xfId="3742"/>
    <cellStyle name="Финансовый 4 2 8 3 2 3" xfId="5525"/>
    <cellStyle name="Финансовый 4 2 8 3 2 4" xfId="8135"/>
    <cellStyle name="Финансовый 4 2 8 3 3" xfId="1130"/>
    <cellStyle name="Финансовый 4 2 8 3 3 2" xfId="7170"/>
    <cellStyle name="Финансовый 4 2 8 3 4" xfId="730"/>
    <cellStyle name="Финансовый 4 2 8 3 4 2" xfId="6770"/>
    <cellStyle name="Финансовый 4 2 8 3 5" xfId="2907"/>
    <cellStyle name="Финансовый 4 2 8 3 6" xfId="4551"/>
    <cellStyle name="Финансовый 4 2 8 3 7" xfId="6350"/>
    <cellStyle name="Финансовый 4 2 8 4" xfId="1496"/>
    <cellStyle name="Финансовый 4 2 8 4 2" xfId="1833"/>
    <cellStyle name="Финансовый 4 2 8 4 2 2" xfId="3478"/>
    <cellStyle name="Финансовый 4 2 8 4 2 3" xfId="5261"/>
    <cellStyle name="Финансовый 4 2 8 4 2 4" xfId="7871"/>
    <cellStyle name="Финансовый 4 2 8 4 3" xfId="4924"/>
    <cellStyle name="Финансовый 4 2 8 4 4" xfId="7534"/>
    <cellStyle name="Финансовый 4 2 8 5" xfId="1717"/>
    <cellStyle name="Финансовый 4 2 8 5 2" xfId="3362"/>
    <cellStyle name="Финансовый 4 2 8 5 3" xfId="5145"/>
    <cellStyle name="Финансовый 4 2 8 5 4" xfId="7755"/>
    <cellStyle name="Финансовый 4 2 8 6" xfId="2353"/>
    <cellStyle name="Финансовый 4 2 8 6 2" xfId="3998"/>
    <cellStyle name="Финансовый 4 2 8 6 3" xfId="5781"/>
    <cellStyle name="Финансовый 4 2 8 6 4" xfId="8391"/>
    <cellStyle name="Финансовый 4 2 8 7" xfId="1580"/>
    <cellStyle name="Финансовый 4 2 8 7 2" xfId="3225"/>
    <cellStyle name="Финансовый 4 2 8 7 3" xfId="5008"/>
    <cellStyle name="Финансовый 4 2 8 7 4" xfId="7618"/>
    <cellStyle name="Финансовый 4 2 8 8" xfId="866"/>
    <cellStyle name="Финансовый 4 2 8 8 2" xfId="6906"/>
    <cellStyle name="Финансовый 4 2 8 9" xfId="446"/>
    <cellStyle name="Финансовый 4 2 8 9 2" xfId="6486"/>
    <cellStyle name="Финансовый 4 2 9" xfId="149"/>
    <cellStyle name="Финансовый 4 2 9 2" xfId="1247"/>
    <cellStyle name="Финансовый 4 2 9 2 2" xfId="2213"/>
    <cellStyle name="Финансовый 4 2 9 2 2 2" xfId="3858"/>
    <cellStyle name="Финансовый 4 2 9 2 2 3" xfId="5641"/>
    <cellStyle name="Финансовый 4 2 9 2 2 4" xfId="8251"/>
    <cellStyle name="Финансовый 4 2 9 2 3" xfId="3031"/>
    <cellStyle name="Финансовый 4 2 9 2 4" xfId="4675"/>
    <cellStyle name="Финансовый 4 2 9 2 5" xfId="7287"/>
    <cellStyle name="Финансовый 4 2 9 3" xfId="1957"/>
    <cellStyle name="Финансовый 4 2 9 3 2" xfId="3602"/>
    <cellStyle name="Финансовый 4 2 9 3 3" xfId="5385"/>
    <cellStyle name="Финансовый 4 2 9 3 4" xfId="7995"/>
    <cellStyle name="Финансовый 4 2 9 4" xfId="2478"/>
    <cellStyle name="Финансовый 4 2 9 4 2" xfId="4123"/>
    <cellStyle name="Финансовый 4 2 9 4 3" xfId="5906"/>
    <cellStyle name="Финансовый 4 2 9 4 4" xfId="8516"/>
    <cellStyle name="Финансовый 4 2 9 5" xfId="982"/>
    <cellStyle name="Финансовый 4 2 9 5 2" xfId="7022"/>
    <cellStyle name="Финансовый 4 2 9 6" xfId="570"/>
    <cellStyle name="Финансовый 4 2 9 6 2" xfId="6610"/>
    <cellStyle name="Финансовый 4 2 9 7" xfId="2759"/>
    <cellStyle name="Финансовый 4 2 9 8" xfId="4403"/>
    <cellStyle name="Финансовый 4 2 9 9" xfId="6190"/>
    <cellStyle name="Финансовый 4 20" xfId="2617"/>
    <cellStyle name="Финансовый 4 21" xfId="4260"/>
    <cellStyle name="Финансовый 4 22" xfId="6048"/>
    <cellStyle name="Финансовый 4 3" xfId="41"/>
    <cellStyle name="Финансовый 4 3 10" xfId="884"/>
    <cellStyle name="Финансовый 4 3 10 2" xfId="6924"/>
    <cellStyle name="Финансовый 4 3 11" xfId="464"/>
    <cellStyle name="Финансовый 4 3 11 2" xfId="6504"/>
    <cellStyle name="Финансовый 4 3 12" xfId="2653"/>
    <cellStyle name="Финансовый 4 3 13" xfId="4296"/>
    <cellStyle name="Финансовый 4 3 14" xfId="6084"/>
    <cellStyle name="Финансовый 4 3 2" xfId="123"/>
    <cellStyle name="Финансовый 4 3 2 10" xfId="2733"/>
    <cellStyle name="Финансовый 4 3 2 11" xfId="4377"/>
    <cellStyle name="Финансовый 4 3 2 12" xfId="6164"/>
    <cellStyle name="Финансовый 4 3 2 2" xfId="259"/>
    <cellStyle name="Финансовый 4 3 2 2 2" xfId="1357"/>
    <cellStyle name="Финансовый 4 3 2 2 2 2" xfId="2315"/>
    <cellStyle name="Финансовый 4 3 2 2 2 2 2" xfId="3960"/>
    <cellStyle name="Финансовый 4 3 2 2 2 2 3" xfId="5743"/>
    <cellStyle name="Финансовый 4 3 2 2 2 2 4" xfId="8353"/>
    <cellStyle name="Финансовый 4 3 2 2 2 3" xfId="3141"/>
    <cellStyle name="Финансовый 4 3 2 2 2 4" xfId="4785"/>
    <cellStyle name="Финансовый 4 3 2 2 2 5" xfId="7397"/>
    <cellStyle name="Финансовый 4 3 2 2 3" xfId="2059"/>
    <cellStyle name="Финансовый 4 3 2 2 3 2" xfId="3704"/>
    <cellStyle name="Финансовый 4 3 2 2 3 3" xfId="5487"/>
    <cellStyle name="Финансовый 4 3 2 2 3 4" xfId="8097"/>
    <cellStyle name="Финансовый 4 3 2 2 4" xfId="2588"/>
    <cellStyle name="Финансовый 4 3 2 2 4 2" xfId="4233"/>
    <cellStyle name="Финансовый 4 3 2 2 4 3" xfId="6016"/>
    <cellStyle name="Финансовый 4 3 2 2 4 4" xfId="8626"/>
    <cellStyle name="Финансовый 4 3 2 2 5" xfId="1092"/>
    <cellStyle name="Финансовый 4 3 2 2 5 2" xfId="7132"/>
    <cellStyle name="Финансовый 4 3 2 2 6" xfId="680"/>
    <cellStyle name="Финансовый 4 3 2 2 6 2" xfId="6720"/>
    <cellStyle name="Финансовый 4 3 2 2 7" xfId="2869"/>
    <cellStyle name="Финансовый 4 3 2 2 8" xfId="4513"/>
    <cellStyle name="Финансовый 4 3 2 2 9" xfId="6300"/>
    <cellStyle name="Финансовый 4 3 2 3" xfId="408"/>
    <cellStyle name="Финансовый 4 3 2 3 2" xfId="2187"/>
    <cellStyle name="Финансовый 4 3 2 3 2 2" xfId="3832"/>
    <cellStyle name="Финансовый 4 3 2 3 2 3" xfId="5615"/>
    <cellStyle name="Финансовый 4 3 2 3 2 4" xfId="8225"/>
    <cellStyle name="Финансовый 4 3 2 3 3" xfId="1221"/>
    <cellStyle name="Финансовый 4 3 2 3 3 2" xfId="7261"/>
    <cellStyle name="Финансовый 4 3 2 3 4" xfId="828"/>
    <cellStyle name="Финансовый 4 3 2 3 4 2" xfId="6868"/>
    <cellStyle name="Финансовый 4 3 2 3 5" xfId="3005"/>
    <cellStyle name="Финансовый 4 3 2 3 6" xfId="4649"/>
    <cellStyle name="Финансовый 4 3 2 3 7" xfId="6448"/>
    <cellStyle name="Финансовый 4 3 2 4" xfId="1539"/>
    <cellStyle name="Финансовый 4 3 2 4 2" xfId="1931"/>
    <cellStyle name="Финансовый 4 3 2 4 2 2" xfId="3576"/>
    <cellStyle name="Финансовый 4 3 2 4 2 3" xfId="5359"/>
    <cellStyle name="Финансовый 4 3 2 4 2 4" xfId="7969"/>
    <cellStyle name="Финансовый 4 3 2 4 3" xfId="4967"/>
    <cellStyle name="Финансовый 4 3 2 4 4" xfId="7577"/>
    <cellStyle name="Финансовый 4 3 2 5" xfId="1807"/>
    <cellStyle name="Финансовый 4 3 2 5 2" xfId="3452"/>
    <cellStyle name="Финансовый 4 3 2 5 3" xfId="5235"/>
    <cellStyle name="Финансовый 4 3 2 5 4" xfId="7845"/>
    <cellStyle name="Финансовый 4 3 2 6" xfId="2452"/>
    <cellStyle name="Финансовый 4 3 2 6 2" xfId="4097"/>
    <cellStyle name="Финансовый 4 3 2 6 3" xfId="5880"/>
    <cellStyle name="Финансовый 4 3 2 6 4" xfId="8490"/>
    <cellStyle name="Финансовый 4 3 2 7" xfId="1679"/>
    <cellStyle name="Финансовый 4 3 2 7 2" xfId="3324"/>
    <cellStyle name="Финансовый 4 3 2 7 3" xfId="5107"/>
    <cellStyle name="Финансовый 4 3 2 7 4" xfId="7717"/>
    <cellStyle name="Финансовый 4 3 2 8" xfId="956"/>
    <cellStyle name="Финансовый 4 3 2 8 2" xfId="6996"/>
    <cellStyle name="Финансовый 4 3 2 9" xfId="544"/>
    <cellStyle name="Финансовый 4 3 2 9 2" xfId="6584"/>
    <cellStyle name="Финансовый 4 3 3" xfId="87"/>
    <cellStyle name="Финансовый 4 3 3 10" xfId="2697"/>
    <cellStyle name="Финансовый 4 3 3 11" xfId="4341"/>
    <cellStyle name="Финансовый 4 3 3 12" xfId="6128"/>
    <cellStyle name="Финансовый 4 3 3 2" xfId="223"/>
    <cellStyle name="Финансовый 4 3 3 2 2" xfId="1321"/>
    <cellStyle name="Финансовый 4 3 3 2 2 2" xfId="2279"/>
    <cellStyle name="Финансовый 4 3 3 2 2 2 2" xfId="3924"/>
    <cellStyle name="Финансовый 4 3 3 2 2 2 3" xfId="5707"/>
    <cellStyle name="Финансовый 4 3 3 2 2 2 4" xfId="8317"/>
    <cellStyle name="Финансовый 4 3 3 2 2 3" xfId="3105"/>
    <cellStyle name="Финансовый 4 3 3 2 2 4" xfId="4749"/>
    <cellStyle name="Финансовый 4 3 3 2 2 5" xfId="7361"/>
    <cellStyle name="Финансовый 4 3 3 2 3" xfId="2023"/>
    <cellStyle name="Финансовый 4 3 3 2 3 2" xfId="3668"/>
    <cellStyle name="Финансовый 4 3 3 2 3 3" xfId="5451"/>
    <cellStyle name="Финансовый 4 3 3 2 3 4" xfId="8061"/>
    <cellStyle name="Финансовый 4 3 3 2 4" xfId="2552"/>
    <cellStyle name="Финансовый 4 3 3 2 4 2" xfId="4197"/>
    <cellStyle name="Финансовый 4 3 3 2 4 3" xfId="5980"/>
    <cellStyle name="Финансовый 4 3 3 2 4 4" xfId="8590"/>
    <cellStyle name="Финансовый 4 3 3 2 5" xfId="1056"/>
    <cellStyle name="Финансовый 4 3 3 2 5 2" xfId="7096"/>
    <cellStyle name="Финансовый 4 3 3 2 6" xfId="644"/>
    <cellStyle name="Финансовый 4 3 3 2 6 2" xfId="6684"/>
    <cellStyle name="Финансовый 4 3 3 2 7" xfId="2833"/>
    <cellStyle name="Финансовый 4 3 3 2 8" xfId="4477"/>
    <cellStyle name="Финансовый 4 3 3 2 9" xfId="6264"/>
    <cellStyle name="Финансовый 4 3 3 3" xfId="372"/>
    <cellStyle name="Финансовый 4 3 3 3 2" xfId="2151"/>
    <cellStyle name="Финансовый 4 3 3 3 2 2" xfId="3796"/>
    <cellStyle name="Финансовый 4 3 3 3 2 3" xfId="5579"/>
    <cellStyle name="Финансовый 4 3 3 3 2 4" xfId="8189"/>
    <cellStyle name="Финансовый 4 3 3 3 3" xfId="1185"/>
    <cellStyle name="Финансовый 4 3 3 3 3 2" xfId="7225"/>
    <cellStyle name="Финансовый 4 3 3 3 4" xfId="792"/>
    <cellStyle name="Финансовый 4 3 3 3 4 2" xfId="6832"/>
    <cellStyle name="Финансовый 4 3 3 3 5" xfId="2969"/>
    <cellStyle name="Финансовый 4 3 3 3 6" xfId="4613"/>
    <cellStyle name="Финансовый 4 3 3 3 7" xfId="6412"/>
    <cellStyle name="Финансовый 4 3 3 4" xfId="1540"/>
    <cellStyle name="Финансовый 4 3 3 4 2" xfId="1895"/>
    <cellStyle name="Финансовый 4 3 3 4 2 2" xfId="3540"/>
    <cellStyle name="Финансовый 4 3 3 4 2 3" xfId="5323"/>
    <cellStyle name="Финансовый 4 3 3 4 2 4" xfId="7933"/>
    <cellStyle name="Финансовый 4 3 3 4 3" xfId="4968"/>
    <cellStyle name="Финансовый 4 3 3 4 4" xfId="7578"/>
    <cellStyle name="Финансовый 4 3 3 5" xfId="1771"/>
    <cellStyle name="Финансовый 4 3 3 5 2" xfId="3416"/>
    <cellStyle name="Финансовый 4 3 3 5 3" xfId="5199"/>
    <cellStyle name="Финансовый 4 3 3 5 4" xfId="7809"/>
    <cellStyle name="Финансовый 4 3 3 6" xfId="2416"/>
    <cellStyle name="Финансовый 4 3 3 6 2" xfId="4061"/>
    <cellStyle name="Финансовый 4 3 3 6 3" xfId="5844"/>
    <cellStyle name="Финансовый 4 3 3 6 4" xfId="8454"/>
    <cellStyle name="Финансовый 4 3 3 7" xfId="1643"/>
    <cellStyle name="Финансовый 4 3 3 7 2" xfId="3288"/>
    <cellStyle name="Финансовый 4 3 3 7 3" xfId="5071"/>
    <cellStyle name="Финансовый 4 3 3 7 4" xfId="7681"/>
    <cellStyle name="Финансовый 4 3 3 8" xfId="920"/>
    <cellStyle name="Финансовый 4 3 3 8 2" xfId="6960"/>
    <cellStyle name="Финансовый 4 3 3 9" xfId="508"/>
    <cellStyle name="Финансовый 4 3 3 9 2" xfId="6548"/>
    <cellStyle name="Финансовый 4 3 4" xfId="179"/>
    <cellStyle name="Финансовый 4 3 4 2" xfId="1277"/>
    <cellStyle name="Финансовый 4 3 4 2 2" xfId="2243"/>
    <cellStyle name="Финансовый 4 3 4 2 2 2" xfId="3888"/>
    <cellStyle name="Финансовый 4 3 4 2 2 3" xfId="5671"/>
    <cellStyle name="Финансовый 4 3 4 2 2 4" xfId="8281"/>
    <cellStyle name="Финансовый 4 3 4 2 3" xfId="3061"/>
    <cellStyle name="Финансовый 4 3 4 2 4" xfId="4705"/>
    <cellStyle name="Финансовый 4 3 4 2 5" xfId="7317"/>
    <cellStyle name="Финансовый 4 3 4 3" xfId="1987"/>
    <cellStyle name="Финансовый 4 3 4 3 2" xfId="3632"/>
    <cellStyle name="Финансовый 4 3 4 3 3" xfId="5415"/>
    <cellStyle name="Финансовый 4 3 4 3 4" xfId="8025"/>
    <cellStyle name="Финансовый 4 3 4 4" xfId="2508"/>
    <cellStyle name="Финансовый 4 3 4 4 2" xfId="4153"/>
    <cellStyle name="Финансовый 4 3 4 4 3" xfId="5936"/>
    <cellStyle name="Финансовый 4 3 4 4 4" xfId="8546"/>
    <cellStyle name="Финансовый 4 3 4 5" xfId="1012"/>
    <cellStyle name="Финансовый 4 3 4 5 2" xfId="7052"/>
    <cellStyle name="Финансовый 4 3 4 6" xfId="600"/>
    <cellStyle name="Финансовый 4 3 4 6 2" xfId="6640"/>
    <cellStyle name="Финансовый 4 3 4 7" xfId="2789"/>
    <cellStyle name="Финансовый 4 3 4 8" xfId="4433"/>
    <cellStyle name="Финансовый 4 3 4 9" xfId="6220"/>
    <cellStyle name="Финансовый 4 3 5" xfId="328"/>
    <cellStyle name="Финансовый 4 3 5 2" xfId="2115"/>
    <cellStyle name="Финансовый 4 3 5 2 2" xfId="3760"/>
    <cellStyle name="Финансовый 4 3 5 2 3" xfId="5543"/>
    <cellStyle name="Финансовый 4 3 5 2 4" xfId="8153"/>
    <cellStyle name="Финансовый 4 3 5 3" xfId="1148"/>
    <cellStyle name="Финансовый 4 3 5 3 2" xfId="7188"/>
    <cellStyle name="Финансовый 4 3 5 4" xfId="748"/>
    <cellStyle name="Финансовый 4 3 5 4 2" xfId="6788"/>
    <cellStyle name="Финансовый 4 3 5 5" xfId="2925"/>
    <cellStyle name="Финансовый 4 3 5 6" xfId="4569"/>
    <cellStyle name="Финансовый 4 3 5 7" xfId="6368"/>
    <cellStyle name="Финансовый 4 3 6" xfId="1432"/>
    <cellStyle name="Финансовый 4 3 6 2" xfId="1851"/>
    <cellStyle name="Финансовый 4 3 6 2 2" xfId="3496"/>
    <cellStyle name="Финансовый 4 3 6 2 3" xfId="5279"/>
    <cellStyle name="Финансовый 4 3 6 2 4" xfId="7889"/>
    <cellStyle name="Финансовый 4 3 6 3" xfId="4860"/>
    <cellStyle name="Финансовый 4 3 6 4" xfId="7471"/>
    <cellStyle name="Финансовый 4 3 7" xfId="1735"/>
    <cellStyle name="Финансовый 4 3 7 2" xfId="3380"/>
    <cellStyle name="Финансовый 4 3 7 3" xfId="5163"/>
    <cellStyle name="Финансовый 4 3 7 4" xfId="7773"/>
    <cellStyle name="Финансовый 4 3 8" xfId="2371"/>
    <cellStyle name="Финансовый 4 3 8 2" xfId="4016"/>
    <cellStyle name="Финансовый 4 3 8 3" xfId="5799"/>
    <cellStyle name="Финансовый 4 3 8 4" xfId="8409"/>
    <cellStyle name="Финансовый 4 3 9" xfId="1598"/>
    <cellStyle name="Финансовый 4 3 9 2" xfId="3243"/>
    <cellStyle name="Финансовый 4 3 9 3" xfId="5026"/>
    <cellStyle name="Финансовый 4 3 9 4" xfId="7636"/>
    <cellStyle name="Финансовый 4 4" xfId="93"/>
    <cellStyle name="Финансовый 4 4 10" xfId="2703"/>
    <cellStyle name="Финансовый 4 4 11" xfId="4347"/>
    <cellStyle name="Финансовый 4 4 12" xfId="6134"/>
    <cellStyle name="Финансовый 4 4 2" xfId="229"/>
    <cellStyle name="Финансовый 4 4 2 2" xfId="1327"/>
    <cellStyle name="Финансовый 4 4 2 2 2" xfId="2285"/>
    <cellStyle name="Финансовый 4 4 2 2 2 2" xfId="3930"/>
    <cellStyle name="Финансовый 4 4 2 2 2 3" xfId="5713"/>
    <cellStyle name="Финансовый 4 4 2 2 2 4" xfId="8323"/>
    <cellStyle name="Финансовый 4 4 2 2 3" xfId="3111"/>
    <cellStyle name="Финансовый 4 4 2 2 4" xfId="4755"/>
    <cellStyle name="Финансовый 4 4 2 2 5" xfId="7367"/>
    <cellStyle name="Финансовый 4 4 2 3" xfId="2029"/>
    <cellStyle name="Финансовый 4 4 2 3 2" xfId="3674"/>
    <cellStyle name="Финансовый 4 4 2 3 3" xfId="5457"/>
    <cellStyle name="Финансовый 4 4 2 3 4" xfId="8067"/>
    <cellStyle name="Финансовый 4 4 2 4" xfId="2558"/>
    <cellStyle name="Финансовый 4 4 2 4 2" xfId="4203"/>
    <cellStyle name="Финансовый 4 4 2 4 3" xfId="5986"/>
    <cellStyle name="Финансовый 4 4 2 4 4" xfId="8596"/>
    <cellStyle name="Финансовый 4 4 2 5" xfId="1062"/>
    <cellStyle name="Финансовый 4 4 2 5 2" xfId="7102"/>
    <cellStyle name="Финансовый 4 4 2 6" xfId="650"/>
    <cellStyle name="Финансовый 4 4 2 6 2" xfId="6690"/>
    <cellStyle name="Финансовый 4 4 2 7" xfId="2839"/>
    <cellStyle name="Финансовый 4 4 2 8" xfId="4483"/>
    <cellStyle name="Финансовый 4 4 2 9" xfId="6270"/>
    <cellStyle name="Финансовый 4 4 3" xfId="378"/>
    <cellStyle name="Финансовый 4 4 3 2" xfId="2157"/>
    <cellStyle name="Финансовый 4 4 3 2 2" xfId="3802"/>
    <cellStyle name="Финансовый 4 4 3 2 3" xfId="5585"/>
    <cellStyle name="Финансовый 4 4 3 2 4" xfId="8195"/>
    <cellStyle name="Финансовый 4 4 3 3" xfId="1191"/>
    <cellStyle name="Финансовый 4 4 3 3 2" xfId="7231"/>
    <cellStyle name="Финансовый 4 4 3 4" xfId="798"/>
    <cellStyle name="Финансовый 4 4 3 4 2" xfId="6838"/>
    <cellStyle name="Финансовый 4 4 3 5" xfId="2975"/>
    <cellStyle name="Финансовый 4 4 3 6" xfId="4619"/>
    <cellStyle name="Финансовый 4 4 3 7" xfId="6418"/>
    <cellStyle name="Финансовый 4 4 4" xfId="1541"/>
    <cellStyle name="Финансовый 4 4 4 2" xfId="1901"/>
    <cellStyle name="Финансовый 4 4 4 2 2" xfId="3546"/>
    <cellStyle name="Финансовый 4 4 4 2 3" xfId="5329"/>
    <cellStyle name="Финансовый 4 4 4 2 4" xfId="7939"/>
    <cellStyle name="Финансовый 4 4 4 3" xfId="4969"/>
    <cellStyle name="Финансовый 4 4 4 4" xfId="7579"/>
    <cellStyle name="Финансовый 4 4 5" xfId="1777"/>
    <cellStyle name="Финансовый 4 4 5 2" xfId="3422"/>
    <cellStyle name="Финансовый 4 4 5 3" xfId="5205"/>
    <cellStyle name="Финансовый 4 4 5 4" xfId="7815"/>
    <cellStyle name="Финансовый 4 4 6" xfId="2422"/>
    <cellStyle name="Финансовый 4 4 6 2" xfId="4067"/>
    <cellStyle name="Финансовый 4 4 6 3" xfId="5850"/>
    <cellStyle name="Финансовый 4 4 6 4" xfId="8460"/>
    <cellStyle name="Финансовый 4 4 7" xfId="1649"/>
    <cellStyle name="Финансовый 4 4 7 2" xfId="3294"/>
    <cellStyle name="Финансовый 4 4 7 3" xfId="5077"/>
    <cellStyle name="Финансовый 4 4 7 4" xfId="7687"/>
    <cellStyle name="Финансовый 4 4 8" xfId="926"/>
    <cellStyle name="Финансовый 4 4 8 2" xfId="6966"/>
    <cellStyle name="Финансовый 4 4 9" xfId="514"/>
    <cellStyle name="Финансовый 4 4 9 2" xfId="6554"/>
    <cellStyle name="Финансовый 4 5" xfId="99"/>
    <cellStyle name="Финансовый 4 5 10" xfId="2709"/>
    <cellStyle name="Финансовый 4 5 11" xfId="4353"/>
    <cellStyle name="Финансовый 4 5 12" xfId="6140"/>
    <cellStyle name="Финансовый 4 5 2" xfId="235"/>
    <cellStyle name="Финансовый 4 5 2 2" xfId="1333"/>
    <cellStyle name="Финансовый 4 5 2 2 2" xfId="2291"/>
    <cellStyle name="Финансовый 4 5 2 2 2 2" xfId="3936"/>
    <cellStyle name="Финансовый 4 5 2 2 2 3" xfId="5719"/>
    <cellStyle name="Финансовый 4 5 2 2 2 4" xfId="8329"/>
    <cellStyle name="Финансовый 4 5 2 2 3" xfId="3117"/>
    <cellStyle name="Финансовый 4 5 2 2 4" xfId="4761"/>
    <cellStyle name="Финансовый 4 5 2 2 5" xfId="7373"/>
    <cellStyle name="Финансовый 4 5 2 3" xfId="2035"/>
    <cellStyle name="Финансовый 4 5 2 3 2" xfId="3680"/>
    <cellStyle name="Финансовый 4 5 2 3 3" xfId="5463"/>
    <cellStyle name="Финансовый 4 5 2 3 4" xfId="8073"/>
    <cellStyle name="Финансовый 4 5 2 4" xfId="2564"/>
    <cellStyle name="Финансовый 4 5 2 4 2" xfId="4209"/>
    <cellStyle name="Финансовый 4 5 2 4 3" xfId="5992"/>
    <cellStyle name="Финансовый 4 5 2 4 4" xfId="8602"/>
    <cellStyle name="Финансовый 4 5 2 5" xfId="1068"/>
    <cellStyle name="Финансовый 4 5 2 5 2" xfId="7108"/>
    <cellStyle name="Финансовый 4 5 2 6" xfId="656"/>
    <cellStyle name="Финансовый 4 5 2 6 2" xfId="6696"/>
    <cellStyle name="Финансовый 4 5 2 7" xfId="2845"/>
    <cellStyle name="Финансовый 4 5 2 8" xfId="4489"/>
    <cellStyle name="Финансовый 4 5 2 9" xfId="6276"/>
    <cellStyle name="Финансовый 4 5 3" xfId="384"/>
    <cellStyle name="Финансовый 4 5 3 2" xfId="2163"/>
    <cellStyle name="Финансовый 4 5 3 2 2" xfId="3808"/>
    <cellStyle name="Финансовый 4 5 3 2 3" xfId="5591"/>
    <cellStyle name="Финансовый 4 5 3 2 4" xfId="8201"/>
    <cellStyle name="Финансовый 4 5 3 3" xfId="1197"/>
    <cellStyle name="Финансовый 4 5 3 3 2" xfId="7237"/>
    <cellStyle name="Финансовый 4 5 3 4" xfId="804"/>
    <cellStyle name="Финансовый 4 5 3 4 2" xfId="6844"/>
    <cellStyle name="Финансовый 4 5 3 5" xfId="2981"/>
    <cellStyle name="Финансовый 4 5 3 6" xfId="4625"/>
    <cellStyle name="Финансовый 4 5 3 7" xfId="6424"/>
    <cellStyle name="Финансовый 4 5 4" xfId="1542"/>
    <cellStyle name="Финансовый 4 5 4 2" xfId="1907"/>
    <cellStyle name="Финансовый 4 5 4 2 2" xfId="3552"/>
    <cellStyle name="Финансовый 4 5 4 2 3" xfId="5335"/>
    <cellStyle name="Финансовый 4 5 4 2 4" xfId="7945"/>
    <cellStyle name="Финансовый 4 5 4 3" xfId="4970"/>
    <cellStyle name="Финансовый 4 5 4 4" xfId="7580"/>
    <cellStyle name="Финансовый 4 5 5" xfId="1783"/>
    <cellStyle name="Финансовый 4 5 5 2" xfId="3428"/>
    <cellStyle name="Финансовый 4 5 5 3" xfId="5211"/>
    <cellStyle name="Финансовый 4 5 5 4" xfId="7821"/>
    <cellStyle name="Финансовый 4 5 6" xfId="2428"/>
    <cellStyle name="Финансовый 4 5 6 2" xfId="4073"/>
    <cellStyle name="Финансовый 4 5 6 3" xfId="5856"/>
    <cellStyle name="Финансовый 4 5 6 4" xfId="8466"/>
    <cellStyle name="Финансовый 4 5 7" xfId="1655"/>
    <cellStyle name="Финансовый 4 5 7 2" xfId="3300"/>
    <cellStyle name="Финансовый 4 5 7 3" xfId="5083"/>
    <cellStyle name="Финансовый 4 5 7 4" xfId="7693"/>
    <cellStyle name="Финансовый 4 5 8" xfId="932"/>
    <cellStyle name="Финансовый 4 5 8 2" xfId="6972"/>
    <cellStyle name="Финансовый 4 5 9" xfId="520"/>
    <cellStyle name="Финансовый 4 5 9 2" xfId="6560"/>
    <cellStyle name="Финансовый 4 6" xfId="111"/>
    <cellStyle name="Финансовый 4 6 10" xfId="2721"/>
    <cellStyle name="Финансовый 4 6 11" xfId="4365"/>
    <cellStyle name="Финансовый 4 6 12" xfId="6152"/>
    <cellStyle name="Финансовый 4 6 2" xfId="247"/>
    <cellStyle name="Финансовый 4 6 2 2" xfId="1345"/>
    <cellStyle name="Финансовый 4 6 2 2 2" xfId="2303"/>
    <cellStyle name="Финансовый 4 6 2 2 2 2" xfId="3948"/>
    <cellStyle name="Финансовый 4 6 2 2 2 3" xfId="5731"/>
    <cellStyle name="Финансовый 4 6 2 2 2 4" xfId="8341"/>
    <cellStyle name="Финансовый 4 6 2 2 3" xfId="3129"/>
    <cellStyle name="Финансовый 4 6 2 2 4" xfId="4773"/>
    <cellStyle name="Финансовый 4 6 2 2 5" xfId="7385"/>
    <cellStyle name="Финансовый 4 6 2 3" xfId="2047"/>
    <cellStyle name="Финансовый 4 6 2 3 2" xfId="3692"/>
    <cellStyle name="Финансовый 4 6 2 3 3" xfId="5475"/>
    <cellStyle name="Финансовый 4 6 2 3 4" xfId="8085"/>
    <cellStyle name="Финансовый 4 6 2 4" xfId="2576"/>
    <cellStyle name="Финансовый 4 6 2 4 2" xfId="4221"/>
    <cellStyle name="Финансовый 4 6 2 4 3" xfId="6004"/>
    <cellStyle name="Финансовый 4 6 2 4 4" xfId="8614"/>
    <cellStyle name="Финансовый 4 6 2 5" xfId="1080"/>
    <cellStyle name="Финансовый 4 6 2 5 2" xfId="7120"/>
    <cellStyle name="Финансовый 4 6 2 6" xfId="668"/>
    <cellStyle name="Финансовый 4 6 2 6 2" xfId="6708"/>
    <cellStyle name="Финансовый 4 6 2 7" xfId="2857"/>
    <cellStyle name="Финансовый 4 6 2 8" xfId="4501"/>
    <cellStyle name="Финансовый 4 6 2 9" xfId="6288"/>
    <cellStyle name="Финансовый 4 6 3" xfId="396"/>
    <cellStyle name="Финансовый 4 6 3 2" xfId="2175"/>
    <cellStyle name="Финансовый 4 6 3 2 2" xfId="3820"/>
    <cellStyle name="Финансовый 4 6 3 2 3" xfId="5603"/>
    <cellStyle name="Финансовый 4 6 3 2 4" xfId="8213"/>
    <cellStyle name="Финансовый 4 6 3 3" xfId="1209"/>
    <cellStyle name="Финансовый 4 6 3 3 2" xfId="7249"/>
    <cellStyle name="Финансовый 4 6 3 4" xfId="816"/>
    <cellStyle name="Финансовый 4 6 3 4 2" xfId="6856"/>
    <cellStyle name="Финансовый 4 6 3 5" xfId="2993"/>
    <cellStyle name="Финансовый 4 6 3 6" xfId="4637"/>
    <cellStyle name="Финансовый 4 6 3 7" xfId="6436"/>
    <cellStyle name="Финансовый 4 6 4" xfId="1478"/>
    <cellStyle name="Финансовый 4 6 4 2" xfId="1919"/>
    <cellStyle name="Финансовый 4 6 4 2 2" xfId="3564"/>
    <cellStyle name="Финансовый 4 6 4 2 3" xfId="5347"/>
    <cellStyle name="Финансовый 4 6 4 2 4" xfId="7957"/>
    <cellStyle name="Финансовый 4 6 4 3" xfId="4906"/>
    <cellStyle name="Финансовый 4 6 4 4" xfId="7516"/>
    <cellStyle name="Финансовый 4 6 5" xfId="1795"/>
    <cellStyle name="Финансовый 4 6 5 2" xfId="3440"/>
    <cellStyle name="Финансовый 4 6 5 3" xfId="5223"/>
    <cellStyle name="Финансовый 4 6 5 4" xfId="7833"/>
    <cellStyle name="Финансовый 4 6 6" xfId="2440"/>
    <cellStyle name="Финансовый 4 6 6 2" xfId="4085"/>
    <cellStyle name="Финансовый 4 6 6 3" xfId="5868"/>
    <cellStyle name="Финансовый 4 6 6 4" xfId="8478"/>
    <cellStyle name="Финансовый 4 6 7" xfId="1667"/>
    <cellStyle name="Финансовый 4 6 7 2" xfId="3312"/>
    <cellStyle name="Финансовый 4 6 7 3" xfId="5095"/>
    <cellStyle name="Финансовый 4 6 7 4" xfId="7705"/>
    <cellStyle name="Финансовый 4 6 8" xfId="944"/>
    <cellStyle name="Финансовый 4 6 8 2" xfId="6984"/>
    <cellStyle name="Финансовый 4 6 9" xfId="532"/>
    <cellStyle name="Финансовый 4 6 9 2" xfId="6572"/>
    <cellStyle name="Финансовый 4 7" xfId="75"/>
    <cellStyle name="Финансовый 4 7 10" xfId="2685"/>
    <cellStyle name="Финансовый 4 7 11" xfId="4329"/>
    <cellStyle name="Финансовый 4 7 12" xfId="6116"/>
    <cellStyle name="Финансовый 4 7 2" xfId="211"/>
    <cellStyle name="Финансовый 4 7 2 2" xfId="1309"/>
    <cellStyle name="Финансовый 4 7 2 2 2" xfId="2267"/>
    <cellStyle name="Финансовый 4 7 2 2 2 2" xfId="3912"/>
    <cellStyle name="Финансовый 4 7 2 2 2 3" xfId="5695"/>
    <cellStyle name="Финансовый 4 7 2 2 2 4" xfId="8305"/>
    <cellStyle name="Финансовый 4 7 2 2 3" xfId="3093"/>
    <cellStyle name="Финансовый 4 7 2 2 4" xfId="4737"/>
    <cellStyle name="Финансовый 4 7 2 2 5" xfId="7349"/>
    <cellStyle name="Финансовый 4 7 2 3" xfId="2011"/>
    <cellStyle name="Финансовый 4 7 2 3 2" xfId="3656"/>
    <cellStyle name="Финансовый 4 7 2 3 3" xfId="5439"/>
    <cellStyle name="Финансовый 4 7 2 3 4" xfId="8049"/>
    <cellStyle name="Финансовый 4 7 2 4" xfId="2540"/>
    <cellStyle name="Финансовый 4 7 2 4 2" xfId="4185"/>
    <cellStyle name="Финансовый 4 7 2 4 3" xfId="5968"/>
    <cellStyle name="Финансовый 4 7 2 4 4" xfId="8578"/>
    <cellStyle name="Финансовый 4 7 2 5" xfId="1044"/>
    <cellStyle name="Финансовый 4 7 2 5 2" xfId="7084"/>
    <cellStyle name="Финансовый 4 7 2 6" xfId="632"/>
    <cellStyle name="Финансовый 4 7 2 6 2" xfId="6672"/>
    <cellStyle name="Финансовый 4 7 2 7" xfId="2821"/>
    <cellStyle name="Финансовый 4 7 2 8" xfId="4465"/>
    <cellStyle name="Финансовый 4 7 2 9" xfId="6252"/>
    <cellStyle name="Финансовый 4 7 3" xfId="360"/>
    <cellStyle name="Финансовый 4 7 3 2" xfId="2139"/>
    <cellStyle name="Финансовый 4 7 3 2 2" xfId="3784"/>
    <cellStyle name="Финансовый 4 7 3 2 3" xfId="5567"/>
    <cellStyle name="Финансовый 4 7 3 2 4" xfId="8177"/>
    <cellStyle name="Финансовый 4 7 3 3" xfId="1173"/>
    <cellStyle name="Финансовый 4 7 3 3 2" xfId="7213"/>
    <cellStyle name="Финансовый 4 7 3 4" xfId="780"/>
    <cellStyle name="Финансовый 4 7 3 4 2" xfId="6820"/>
    <cellStyle name="Финансовый 4 7 3 5" xfId="2957"/>
    <cellStyle name="Финансовый 4 7 3 6" xfId="4601"/>
    <cellStyle name="Финансовый 4 7 3 7" xfId="6400"/>
    <cellStyle name="Финансовый 4 7 4" xfId="1446"/>
    <cellStyle name="Финансовый 4 7 4 2" xfId="1883"/>
    <cellStyle name="Финансовый 4 7 4 2 2" xfId="3528"/>
    <cellStyle name="Финансовый 4 7 4 2 3" xfId="5311"/>
    <cellStyle name="Финансовый 4 7 4 2 4" xfId="7921"/>
    <cellStyle name="Финансовый 4 7 4 3" xfId="4874"/>
    <cellStyle name="Финансовый 4 7 4 4" xfId="7484"/>
    <cellStyle name="Финансовый 4 7 5" xfId="1759"/>
    <cellStyle name="Финансовый 4 7 5 2" xfId="3404"/>
    <cellStyle name="Финансовый 4 7 5 3" xfId="5187"/>
    <cellStyle name="Финансовый 4 7 5 4" xfId="7797"/>
    <cellStyle name="Финансовый 4 7 6" xfId="2404"/>
    <cellStyle name="Финансовый 4 7 6 2" xfId="4049"/>
    <cellStyle name="Финансовый 4 7 6 3" xfId="5832"/>
    <cellStyle name="Финансовый 4 7 6 4" xfId="8442"/>
    <cellStyle name="Финансовый 4 7 7" xfId="1631"/>
    <cellStyle name="Финансовый 4 7 7 2" xfId="3276"/>
    <cellStyle name="Финансовый 4 7 7 3" xfId="5059"/>
    <cellStyle name="Финансовый 4 7 7 4" xfId="7669"/>
    <cellStyle name="Финансовый 4 7 8" xfId="908"/>
    <cellStyle name="Финансовый 4 7 8 2" xfId="6948"/>
    <cellStyle name="Финансовый 4 7 9" xfId="496"/>
    <cellStyle name="Финансовый 4 7 9 2" xfId="6536"/>
    <cellStyle name="Финансовый 4 8" xfId="53"/>
    <cellStyle name="Финансовый 4 8 10" xfId="2665"/>
    <cellStyle name="Финансовый 4 8 11" xfId="4308"/>
    <cellStyle name="Финансовый 4 8 12" xfId="6096"/>
    <cellStyle name="Финансовый 4 8 2" xfId="191"/>
    <cellStyle name="Финансовый 4 8 2 2" xfId="1289"/>
    <cellStyle name="Финансовый 4 8 2 2 2" xfId="2255"/>
    <cellStyle name="Финансовый 4 8 2 2 2 2" xfId="3900"/>
    <cellStyle name="Финансовый 4 8 2 2 2 3" xfId="5683"/>
    <cellStyle name="Финансовый 4 8 2 2 2 4" xfId="8293"/>
    <cellStyle name="Финансовый 4 8 2 2 3" xfId="3073"/>
    <cellStyle name="Финансовый 4 8 2 2 4" xfId="4717"/>
    <cellStyle name="Финансовый 4 8 2 2 5" xfId="7329"/>
    <cellStyle name="Финансовый 4 8 2 3" xfId="1999"/>
    <cellStyle name="Финансовый 4 8 2 3 2" xfId="3644"/>
    <cellStyle name="Финансовый 4 8 2 3 3" xfId="5427"/>
    <cellStyle name="Финансовый 4 8 2 3 4" xfId="8037"/>
    <cellStyle name="Финансовый 4 8 2 4" xfId="2520"/>
    <cellStyle name="Финансовый 4 8 2 4 2" xfId="4165"/>
    <cellStyle name="Финансовый 4 8 2 4 3" xfId="5948"/>
    <cellStyle name="Финансовый 4 8 2 4 4" xfId="8558"/>
    <cellStyle name="Финансовый 4 8 2 5" xfId="1024"/>
    <cellStyle name="Финансовый 4 8 2 5 2" xfId="7064"/>
    <cellStyle name="Финансовый 4 8 2 6" xfId="612"/>
    <cellStyle name="Финансовый 4 8 2 6 2" xfId="6652"/>
    <cellStyle name="Финансовый 4 8 2 7" xfId="2801"/>
    <cellStyle name="Финансовый 4 8 2 8" xfId="4445"/>
    <cellStyle name="Финансовый 4 8 2 9" xfId="6232"/>
    <cellStyle name="Финансовый 4 8 3" xfId="340"/>
    <cellStyle name="Финансовый 4 8 3 2" xfId="2127"/>
    <cellStyle name="Финансовый 4 8 3 2 2" xfId="3772"/>
    <cellStyle name="Финансовый 4 8 3 2 3" xfId="5555"/>
    <cellStyle name="Финансовый 4 8 3 2 4" xfId="8165"/>
    <cellStyle name="Финансовый 4 8 3 3" xfId="1160"/>
    <cellStyle name="Финансовый 4 8 3 3 2" xfId="7200"/>
    <cellStyle name="Финансовый 4 8 3 4" xfId="760"/>
    <cellStyle name="Финансовый 4 8 3 4 2" xfId="6800"/>
    <cellStyle name="Финансовый 4 8 3 5" xfId="2937"/>
    <cellStyle name="Финансовый 4 8 3 6" xfId="4581"/>
    <cellStyle name="Финансовый 4 8 3 7" xfId="6380"/>
    <cellStyle name="Финансовый 4 8 4" xfId="1433"/>
    <cellStyle name="Финансовый 4 8 4 2" xfId="1863"/>
    <cellStyle name="Финансовый 4 8 4 2 2" xfId="3508"/>
    <cellStyle name="Финансовый 4 8 4 2 3" xfId="5291"/>
    <cellStyle name="Финансовый 4 8 4 2 4" xfId="7901"/>
    <cellStyle name="Финансовый 4 8 4 3" xfId="4861"/>
    <cellStyle name="Финансовый 4 8 4 4" xfId="7472"/>
    <cellStyle name="Финансовый 4 8 5" xfId="1747"/>
    <cellStyle name="Финансовый 4 8 5 2" xfId="3392"/>
    <cellStyle name="Финансовый 4 8 5 3" xfId="5175"/>
    <cellStyle name="Финансовый 4 8 5 4" xfId="7785"/>
    <cellStyle name="Финансовый 4 8 6" xfId="2383"/>
    <cellStyle name="Финансовый 4 8 6 2" xfId="4028"/>
    <cellStyle name="Финансовый 4 8 6 3" xfId="5811"/>
    <cellStyle name="Финансовый 4 8 6 4" xfId="8421"/>
    <cellStyle name="Финансовый 4 8 7" xfId="1610"/>
    <cellStyle name="Финансовый 4 8 7 2" xfId="3255"/>
    <cellStyle name="Финансовый 4 8 7 3" xfId="5038"/>
    <cellStyle name="Финансовый 4 8 7 4" xfId="7648"/>
    <cellStyle name="Финансовый 4 8 8" xfId="896"/>
    <cellStyle name="Финансовый 4 8 8 2" xfId="6936"/>
    <cellStyle name="Финансовый 4 8 9" xfId="476"/>
    <cellStyle name="Финансовый 4 8 9 2" xfId="6516"/>
    <cellStyle name="Финансовый 4 9" xfId="131"/>
    <cellStyle name="Финансовый 4 9 10" xfId="2741"/>
    <cellStyle name="Финансовый 4 9 11" xfId="4385"/>
    <cellStyle name="Финансовый 4 9 12" xfId="6172"/>
    <cellStyle name="Финансовый 4 9 2" xfId="267"/>
    <cellStyle name="Финансовый 4 9 2 2" xfId="1365"/>
    <cellStyle name="Финансовый 4 9 2 2 2" xfId="2323"/>
    <cellStyle name="Финансовый 4 9 2 2 2 2" xfId="3968"/>
    <cellStyle name="Финансовый 4 9 2 2 2 3" xfId="5751"/>
    <cellStyle name="Финансовый 4 9 2 2 2 4" xfId="8361"/>
    <cellStyle name="Финансовый 4 9 2 2 3" xfId="3149"/>
    <cellStyle name="Финансовый 4 9 2 2 4" xfId="4793"/>
    <cellStyle name="Финансовый 4 9 2 2 5" xfId="7405"/>
    <cellStyle name="Финансовый 4 9 2 3" xfId="2067"/>
    <cellStyle name="Финансовый 4 9 2 3 2" xfId="3712"/>
    <cellStyle name="Финансовый 4 9 2 3 3" xfId="5495"/>
    <cellStyle name="Финансовый 4 9 2 3 4" xfId="8105"/>
    <cellStyle name="Финансовый 4 9 2 4" xfId="2596"/>
    <cellStyle name="Финансовый 4 9 2 4 2" xfId="4241"/>
    <cellStyle name="Финансовый 4 9 2 4 3" xfId="6024"/>
    <cellStyle name="Финансовый 4 9 2 4 4" xfId="8634"/>
    <cellStyle name="Финансовый 4 9 2 5" xfId="1100"/>
    <cellStyle name="Финансовый 4 9 2 5 2" xfId="7140"/>
    <cellStyle name="Финансовый 4 9 2 6" xfId="688"/>
    <cellStyle name="Финансовый 4 9 2 6 2" xfId="6728"/>
    <cellStyle name="Финансовый 4 9 2 7" xfId="2877"/>
    <cellStyle name="Финансовый 4 9 2 8" xfId="4521"/>
    <cellStyle name="Финансовый 4 9 2 9" xfId="6308"/>
    <cellStyle name="Финансовый 4 9 3" xfId="416"/>
    <cellStyle name="Финансовый 4 9 3 2" xfId="2195"/>
    <cellStyle name="Финансовый 4 9 3 2 2" xfId="3840"/>
    <cellStyle name="Финансовый 4 9 3 2 3" xfId="5623"/>
    <cellStyle name="Финансовый 4 9 3 2 4" xfId="8233"/>
    <cellStyle name="Финансовый 4 9 3 3" xfId="1229"/>
    <cellStyle name="Финансовый 4 9 3 3 2" xfId="7269"/>
    <cellStyle name="Финансовый 4 9 3 4" xfId="836"/>
    <cellStyle name="Финансовый 4 9 3 4 2" xfId="6876"/>
    <cellStyle name="Финансовый 4 9 3 5" xfId="3013"/>
    <cellStyle name="Финансовый 4 9 3 6" xfId="4657"/>
    <cellStyle name="Финансовый 4 9 3 7" xfId="6456"/>
    <cellStyle name="Финансовый 4 9 4" xfId="1449"/>
    <cellStyle name="Финансовый 4 9 4 2" xfId="1939"/>
    <cellStyle name="Финансовый 4 9 4 2 2" xfId="3584"/>
    <cellStyle name="Финансовый 4 9 4 2 3" xfId="5367"/>
    <cellStyle name="Финансовый 4 9 4 2 4" xfId="7977"/>
    <cellStyle name="Финансовый 4 9 4 3" xfId="4877"/>
    <cellStyle name="Финансовый 4 9 4 4" xfId="7487"/>
    <cellStyle name="Финансовый 4 9 5" xfId="1815"/>
    <cellStyle name="Финансовый 4 9 5 2" xfId="3460"/>
    <cellStyle name="Финансовый 4 9 5 3" xfId="5243"/>
    <cellStyle name="Финансовый 4 9 5 4" xfId="7853"/>
    <cellStyle name="Финансовый 4 9 6" xfId="2460"/>
    <cellStyle name="Финансовый 4 9 6 2" xfId="4105"/>
    <cellStyle name="Финансовый 4 9 6 3" xfId="5888"/>
    <cellStyle name="Финансовый 4 9 6 4" xfId="8498"/>
    <cellStyle name="Финансовый 4 9 7" xfId="1687"/>
    <cellStyle name="Финансовый 4 9 7 2" xfId="3332"/>
    <cellStyle name="Финансовый 4 9 7 3" xfId="5115"/>
    <cellStyle name="Финансовый 4 9 7 4" xfId="7725"/>
    <cellStyle name="Финансовый 4 9 8" xfId="964"/>
    <cellStyle name="Финансовый 4 9 8 2" xfId="7004"/>
    <cellStyle name="Финансовый 4 9 9" xfId="552"/>
    <cellStyle name="Финансовый 4 9 9 2" xfId="6592"/>
    <cellStyle name="Финансовый 40" xfId="6042"/>
    <cellStyle name="Финансовый 41" xfId="6041"/>
    <cellStyle name="Финансовый 42" xfId="6039"/>
    <cellStyle name="Финансовый 43" xfId="6043"/>
    <cellStyle name="Финансовый 44" xfId="6040"/>
    <cellStyle name="Финансовый 45" xfId="6044"/>
    <cellStyle name="Финансовый 5" xfId="7"/>
    <cellStyle name="Финансовый 5 10" xfId="281"/>
    <cellStyle name="Финансовый 5 10 2" xfId="2081"/>
    <cellStyle name="Финансовый 5 10 2 2" xfId="3726"/>
    <cellStyle name="Финансовый 5 10 2 3" xfId="5509"/>
    <cellStyle name="Финансовый 5 10 2 4" xfId="8119"/>
    <cellStyle name="Финансовый 5 10 3" xfId="1379"/>
    <cellStyle name="Финансовый 5 10 3 2" xfId="7419"/>
    <cellStyle name="Финансовый 5 10 4" xfId="702"/>
    <cellStyle name="Финансовый 5 10 4 2" xfId="6742"/>
    <cellStyle name="Финансовый 5 10 5" xfId="3163"/>
    <cellStyle name="Финансовый 5 10 6" xfId="4807"/>
    <cellStyle name="Финансовый 5 10 7" xfId="6322"/>
    <cellStyle name="Финансовый 5 11" xfId="294"/>
    <cellStyle name="Финансовый 5 11 2" xfId="1114"/>
    <cellStyle name="Финансовый 5 11 2 2" xfId="7154"/>
    <cellStyle name="Финансовый 5 11 3" xfId="714"/>
    <cellStyle name="Финансовый 5 11 3 2" xfId="6754"/>
    <cellStyle name="Финансовый 5 11 4" xfId="2891"/>
    <cellStyle name="Финансовый 5 11 5" xfId="4535"/>
    <cellStyle name="Финансовый 5 11 6" xfId="6334"/>
    <cellStyle name="Финансовый 5 12" xfId="1543"/>
    <cellStyle name="Финансовый 5 12 2" xfId="1701"/>
    <cellStyle name="Финансовый 5 12 2 2" xfId="3346"/>
    <cellStyle name="Финансовый 5 12 2 3" xfId="5129"/>
    <cellStyle name="Финансовый 5 12 2 4" xfId="7739"/>
    <cellStyle name="Финансовый 5 12 3" xfId="4971"/>
    <cellStyle name="Финансовый 5 12 4" xfId="7581"/>
    <cellStyle name="Финансовый 5 13" xfId="2337"/>
    <cellStyle name="Финансовый 5 13 2" xfId="3982"/>
    <cellStyle name="Финансовый 5 13 3" xfId="5765"/>
    <cellStyle name="Финансовый 5 13 4" xfId="8375"/>
    <cellStyle name="Финансовый 5 14" xfId="1564"/>
    <cellStyle name="Финансовый 5 14 2" xfId="3209"/>
    <cellStyle name="Финансовый 5 14 3" xfId="4992"/>
    <cellStyle name="Финансовый 5 14 4" xfId="7602"/>
    <cellStyle name="Финансовый 5 15" xfId="850"/>
    <cellStyle name="Финансовый 5 15 2" xfId="6890"/>
    <cellStyle name="Финансовый 5 16" xfId="430"/>
    <cellStyle name="Финансовый 5 16 2" xfId="6470"/>
    <cellStyle name="Финансовый 5 17" xfId="2619"/>
    <cellStyle name="Финансовый 5 18" xfId="4262"/>
    <cellStyle name="Финансовый 5 19" xfId="6050"/>
    <cellStyle name="Финансовый 5 2" xfId="43"/>
    <cellStyle name="Финансовый 5 2 10" xfId="466"/>
    <cellStyle name="Финансовый 5 2 10 2" xfId="6506"/>
    <cellStyle name="Финансовый 5 2 11" xfId="2655"/>
    <cellStyle name="Финансовый 5 2 12" xfId="4298"/>
    <cellStyle name="Финансовый 5 2 13" xfId="6086"/>
    <cellStyle name="Финансовый 5 2 2" xfId="101"/>
    <cellStyle name="Финансовый 5 2 2 10" xfId="2711"/>
    <cellStyle name="Финансовый 5 2 2 11" xfId="4355"/>
    <cellStyle name="Финансовый 5 2 2 12" xfId="6142"/>
    <cellStyle name="Финансовый 5 2 2 2" xfId="237"/>
    <cellStyle name="Финансовый 5 2 2 2 2" xfId="1335"/>
    <cellStyle name="Финансовый 5 2 2 2 2 2" xfId="2293"/>
    <cellStyle name="Финансовый 5 2 2 2 2 2 2" xfId="3938"/>
    <cellStyle name="Финансовый 5 2 2 2 2 2 3" xfId="5721"/>
    <cellStyle name="Финансовый 5 2 2 2 2 2 4" xfId="8331"/>
    <cellStyle name="Финансовый 5 2 2 2 2 3" xfId="3119"/>
    <cellStyle name="Финансовый 5 2 2 2 2 4" xfId="4763"/>
    <cellStyle name="Финансовый 5 2 2 2 2 5" xfId="7375"/>
    <cellStyle name="Финансовый 5 2 2 2 3" xfId="2037"/>
    <cellStyle name="Финансовый 5 2 2 2 3 2" xfId="3682"/>
    <cellStyle name="Финансовый 5 2 2 2 3 3" xfId="5465"/>
    <cellStyle name="Финансовый 5 2 2 2 3 4" xfId="8075"/>
    <cellStyle name="Финансовый 5 2 2 2 4" xfId="2566"/>
    <cellStyle name="Финансовый 5 2 2 2 4 2" xfId="4211"/>
    <cellStyle name="Финансовый 5 2 2 2 4 3" xfId="5994"/>
    <cellStyle name="Финансовый 5 2 2 2 4 4" xfId="8604"/>
    <cellStyle name="Финансовый 5 2 2 2 5" xfId="1070"/>
    <cellStyle name="Финансовый 5 2 2 2 5 2" xfId="7110"/>
    <cellStyle name="Финансовый 5 2 2 2 6" xfId="658"/>
    <cellStyle name="Финансовый 5 2 2 2 6 2" xfId="6698"/>
    <cellStyle name="Финансовый 5 2 2 2 7" xfId="2847"/>
    <cellStyle name="Финансовый 5 2 2 2 8" xfId="4491"/>
    <cellStyle name="Финансовый 5 2 2 2 9" xfId="6278"/>
    <cellStyle name="Финансовый 5 2 2 3" xfId="386"/>
    <cellStyle name="Финансовый 5 2 2 3 2" xfId="2165"/>
    <cellStyle name="Финансовый 5 2 2 3 2 2" xfId="3810"/>
    <cellStyle name="Финансовый 5 2 2 3 2 3" xfId="5593"/>
    <cellStyle name="Финансовый 5 2 2 3 2 4" xfId="8203"/>
    <cellStyle name="Финансовый 5 2 2 3 3" xfId="1199"/>
    <cellStyle name="Финансовый 5 2 2 3 3 2" xfId="7239"/>
    <cellStyle name="Финансовый 5 2 2 3 4" xfId="806"/>
    <cellStyle name="Финансовый 5 2 2 3 4 2" xfId="6846"/>
    <cellStyle name="Финансовый 5 2 2 3 5" xfId="2983"/>
    <cellStyle name="Финансовый 5 2 2 3 6" xfId="4627"/>
    <cellStyle name="Финансовый 5 2 2 3 7" xfId="6426"/>
    <cellStyle name="Финансовый 5 2 2 4" xfId="1545"/>
    <cellStyle name="Финансовый 5 2 2 4 2" xfId="1909"/>
    <cellStyle name="Финансовый 5 2 2 4 2 2" xfId="3554"/>
    <cellStyle name="Финансовый 5 2 2 4 2 3" xfId="5337"/>
    <cellStyle name="Финансовый 5 2 2 4 2 4" xfId="7947"/>
    <cellStyle name="Финансовый 5 2 2 4 3" xfId="4973"/>
    <cellStyle name="Финансовый 5 2 2 4 4" xfId="7583"/>
    <cellStyle name="Финансовый 5 2 2 5" xfId="1785"/>
    <cellStyle name="Финансовый 5 2 2 5 2" xfId="3430"/>
    <cellStyle name="Финансовый 5 2 2 5 3" xfId="5213"/>
    <cellStyle name="Финансовый 5 2 2 5 4" xfId="7823"/>
    <cellStyle name="Финансовый 5 2 2 6" xfId="2430"/>
    <cellStyle name="Финансовый 5 2 2 6 2" xfId="4075"/>
    <cellStyle name="Финансовый 5 2 2 6 3" xfId="5858"/>
    <cellStyle name="Финансовый 5 2 2 6 4" xfId="8468"/>
    <cellStyle name="Финансовый 5 2 2 7" xfId="1657"/>
    <cellStyle name="Финансовый 5 2 2 7 2" xfId="3302"/>
    <cellStyle name="Финансовый 5 2 2 7 3" xfId="5085"/>
    <cellStyle name="Финансовый 5 2 2 7 4" xfId="7695"/>
    <cellStyle name="Финансовый 5 2 2 8" xfId="934"/>
    <cellStyle name="Финансовый 5 2 2 8 2" xfId="6974"/>
    <cellStyle name="Финансовый 5 2 2 9" xfId="522"/>
    <cellStyle name="Финансовый 5 2 2 9 2" xfId="6562"/>
    <cellStyle name="Финансовый 5 2 3" xfId="181"/>
    <cellStyle name="Финансовый 5 2 3 2" xfId="1279"/>
    <cellStyle name="Финансовый 5 2 3 2 2" xfId="2245"/>
    <cellStyle name="Финансовый 5 2 3 2 2 2" xfId="3890"/>
    <cellStyle name="Финансовый 5 2 3 2 2 3" xfId="5673"/>
    <cellStyle name="Финансовый 5 2 3 2 2 4" xfId="8283"/>
    <cellStyle name="Финансовый 5 2 3 2 3" xfId="3063"/>
    <cellStyle name="Финансовый 5 2 3 2 4" xfId="4707"/>
    <cellStyle name="Финансовый 5 2 3 2 5" xfId="7319"/>
    <cellStyle name="Финансовый 5 2 3 3" xfId="1989"/>
    <cellStyle name="Финансовый 5 2 3 3 2" xfId="3634"/>
    <cellStyle name="Финансовый 5 2 3 3 3" xfId="5417"/>
    <cellStyle name="Финансовый 5 2 3 3 4" xfId="8027"/>
    <cellStyle name="Финансовый 5 2 3 4" xfId="2510"/>
    <cellStyle name="Финансовый 5 2 3 4 2" xfId="4155"/>
    <cellStyle name="Финансовый 5 2 3 4 3" xfId="5938"/>
    <cellStyle name="Финансовый 5 2 3 4 4" xfId="8548"/>
    <cellStyle name="Финансовый 5 2 3 5" xfId="1014"/>
    <cellStyle name="Финансовый 5 2 3 5 2" xfId="7054"/>
    <cellStyle name="Финансовый 5 2 3 6" xfId="602"/>
    <cellStyle name="Финансовый 5 2 3 6 2" xfId="6642"/>
    <cellStyle name="Финансовый 5 2 3 7" xfId="2791"/>
    <cellStyle name="Финансовый 5 2 3 8" xfId="4435"/>
    <cellStyle name="Финансовый 5 2 3 9" xfId="6222"/>
    <cellStyle name="Финансовый 5 2 4" xfId="330"/>
    <cellStyle name="Финансовый 5 2 4 2" xfId="2117"/>
    <cellStyle name="Финансовый 5 2 4 2 2" xfId="3762"/>
    <cellStyle name="Финансовый 5 2 4 2 3" xfId="5545"/>
    <cellStyle name="Финансовый 5 2 4 2 4" xfId="8155"/>
    <cellStyle name="Финансовый 5 2 4 3" xfId="1150"/>
    <cellStyle name="Финансовый 5 2 4 3 2" xfId="7190"/>
    <cellStyle name="Финансовый 5 2 4 4" xfId="750"/>
    <cellStyle name="Финансовый 5 2 4 4 2" xfId="6790"/>
    <cellStyle name="Финансовый 5 2 4 5" xfId="2927"/>
    <cellStyle name="Финансовый 5 2 4 6" xfId="4571"/>
    <cellStyle name="Финансовый 5 2 4 7" xfId="6370"/>
    <cellStyle name="Финансовый 5 2 5" xfId="1544"/>
    <cellStyle name="Финансовый 5 2 5 2" xfId="1853"/>
    <cellStyle name="Финансовый 5 2 5 2 2" xfId="3498"/>
    <cellStyle name="Финансовый 5 2 5 2 3" xfId="5281"/>
    <cellStyle name="Финансовый 5 2 5 2 4" xfId="7891"/>
    <cellStyle name="Финансовый 5 2 5 3" xfId="4972"/>
    <cellStyle name="Финансовый 5 2 5 4" xfId="7582"/>
    <cellStyle name="Финансовый 5 2 6" xfId="1737"/>
    <cellStyle name="Финансовый 5 2 6 2" xfId="3382"/>
    <cellStyle name="Финансовый 5 2 6 3" xfId="5165"/>
    <cellStyle name="Финансовый 5 2 6 4" xfId="7775"/>
    <cellStyle name="Финансовый 5 2 7" xfId="2373"/>
    <cellStyle name="Финансовый 5 2 7 2" xfId="4018"/>
    <cellStyle name="Финансовый 5 2 7 3" xfId="5801"/>
    <cellStyle name="Финансовый 5 2 7 4" xfId="8411"/>
    <cellStyle name="Финансовый 5 2 8" xfId="1600"/>
    <cellStyle name="Финансовый 5 2 8 2" xfId="3245"/>
    <cellStyle name="Финансовый 5 2 8 3" xfId="5028"/>
    <cellStyle name="Финансовый 5 2 8 4" xfId="7638"/>
    <cellStyle name="Финансовый 5 2 9" xfId="886"/>
    <cellStyle name="Финансовый 5 2 9 2" xfId="6926"/>
    <cellStyle name="Финансовый 5 3" xfId="113"/>
    <cellStyle name="Финансовый 5 3 10" xfId="2723"/>
    <cellStyle name="Финансовый 5 3 11" xfId="4367"/>
    <cellStyle name="Финансовый 5 3 12" xfId="6154"/>
    <cellStyle name="Финансовый 5 3 2" xfId="249"/>
    <cellStyle name="Финансовый 5 3 2 2" xfId="1347"/>
    <cellStyle name="Финансовый 5 3 2 2 2" xfId="2305"/>
    <cellStyle name="Финансовый 5 3 2 2 2 2" xfId="3950"/>
    <cellStyle name="Финансовый 5 3 2 2 2 3" xfId="5733"/>
    <cellStyle name="Финансовый 5 3 2 2 2 4" xfId="8343"/>
    <cellStyle name="Финансовый 5 3 2 2 3" xfId="3131"/>
    <cellStyle name="Финансовый 5 3 2 2 4" xfId="4775"/>
    <cellStyle name="Финансовый 5 3 2 2 5" xfId="7387"/>
    <cellStyle name="Финансовый 5 3 2 3" xfId="2049"/>
    <cellStyle name="Финансовый 5 3 2 3 2" xfId="3694"/>
    <cellStyle name="Финансовый 5 3 2 3 3" xfId="5477"/>
    <cellStyle name="Финансовый 5 3 2 3 4" xfId="8087"/>
    <cellStyle name="Финансовый 5 3 2 4" xfId="2578"/>
    <cellStyle name="Финансовый 5 3 2 4 2" xfId="4223"/>
    <cellStyle name="Финансовый 5 3 2 4 3" xfId="6006"/>
    <cellStyle name="Финансовый 5 3 2 4 4" xfId="8616"/>
    <cellStyle name="Финансовый 5 3 2 5" xfId="1082"/>
    <cellStyle name="Финансовый 5 3 2 5 2" xfId="7122"/>
    <cellStyle name="Финансовый 5 3 2 6" xfId="670"/>
    <cellStyle name="Финансовый 5 3 2 6 2" xfId="6710"/>
    <cellStyle name="Финансовый 5 3 2 7" xfId="2859"/>
    <cellStyle name="Финансовый 5 3 2 8" xfId="4503"/>
    <cellStyle name="Финансовый 5 3 2 9" xfId="6290"/>
    <cellStyle name="Финансовый 5 3 3" xfId="398"/>
    <cellStyle name="Финансовый 5 3 3 2" xfId="2177"/>
    <cellStyle name="Финансовый 5 3 3 2 2" xfId="3822"/>
    <cellStyle name="Финансовый 5 3 3 2 3" xfId="5605"/>
    <cellStyle name="Финансовый 5 3 3 2 4" xfId="8215"/>
    <cellStyle name="Финансовый 5 3 3 3" xfId="1211"/>
    <cellStyle name="Финансовый 5 3 3 3 2" xfId="7251"/>
    <cellStyle name="Финансовый 5 3 3 4" xfId="818"/>
    <cellStyle name="Финансовый 5 3 3 4 2" xfId="6858"/>
    <cellStyle name="Финансовый 5 3 3 5" xfId="2995"/>
    <cellStyle name="Финансовый 5 3 3 6" xfId="4639"/>
    <cellStyle name="Финансовый 5 3 3 7" xfId="6438"/>
    <cellStyle name="Финансовый 5 3 4" xfId="1546"/>
    <cellStyle name="Финансовый 5 3 4 2" xfId="1921"/>
    <cellStyle name="Финансовый 5 3 4 2 2" xfId="3566"/>
    <cellStyle name="Финансовый 5 3 4 2 3" xfId="5349"/>
    <cellStyle name="Финансовый 5 3 4 2 4" xfId="7959"/>
    <cellStyle name="Финансовый 5 3 4 3" xfId="4974"/>
    <cellStyle name="Финансовый 5 3 4 4" xfId="7584"/>
    <cellStyle name="Финансовый 5 3 5" xfId="1797"/>
    <cellStyle name="Финансовый 5 3 5 2" xfId="3442"/>
    <cellStyle name="Финансовый 5 3 5 3" xfId="5225"/>
    <cellStyle name="Финансовый 5 3 5 4" xfId="7835"/>
    <cellStyle name="Финансовый 5 3 6" xfId="2442"/>
    <cellStyle name="Финансовый 5 3 6 2" xfId="4087"/>
    <cellStyle name="Финансовый 5 3 6 3" xfId="5870"/>
    <cellStyle name="Финансовый 5 3 6 4" xfId="8480"/>
    <cellStyle name="Финансовый 5 3 7" xfId="1669"/>
    <cellStyle name="Финансовый 5 3 7 2" xfId="3314"/>
    <cellStyle name="Финансовый 5 3 7 3" xfId="5097"/>
    <cellStyle name="Финансовый 5 3 7 4" xfId="7707"/>
    <cellStyle name="Финансовый 5 3 8" xfId="946"/>
    <cellStyle name="Финансовый 5 3 8 2" xfId="6986"/>
    <cellStyle name="Финансовый 5 3 9" xfId="534"/>
    <cellStyle name="Финансовый 5 3 9 2" xfId="6574"/>
    <cellStyle name="Финансовый 5 4" xfId="77"/>
    <cellStyle name="Финансовый 5 4 10" xfId="2687"/>
    <cellStyle name="Финансовый 5 4 11" xfId="4331"/>
    <cellStyle name="Финансовый 5 4 12" xfId="6118"/>
    <cellStyle name="Финансовый 5 4 2" xfId="213"/>
    <cellStyle name="Финансовый 5 4 2 2" xfId="1311"/>
    <cellStyle name="Финансовый 5 4 2 2 2" xfId="2269"/>
    <cellStyle name="Финансовый 5 4 2 2 2 2" xfId="3914"/>
    <cellStyle name="Финансовый 5 4 2 2 2 3" xfId="5697"/>
    <cellStyle name="Финансовый 5 4 2 2 2 4" xfId="8307"/>
    <cellStyle name="Финансовый 5 4 2 2 3" xfId="3095"/>
    <cellStyle name="Финансовый 5 4 2 2 4" xfId="4739"/>
    <cellStyle name="Финансовый 5 4 2 2 5" xfId="7351"/>
    <cellStyle name="Финансовый 5 4 2 3" xfId="2013"/>
    <cellStyle name="Финансовый 5 4 2 3 2" xfId="3658"/>
    <cellStyle name="Финансовый 5 4 2 3 3" xfId="5441"/>
    <cellStyle name="Финансовый 5 4 2 3 4" xfId="8051"/>
    <cellStyle name="Финансовый 5 4 2 4" xfId="2542"/>
    <cellStyle name="Финансовый 5 4 2 4 2" xfId="4187"/>
    <cellStyle name="Финансовый 5 4 2 4 3" xfId="5970"/>
    <cellStyle name="Финансовый 5 4 2 4 4" xfId="8580"/>
    <cellStyle name="Финансовый 5 4 2 5" xfId="1046"/>
    <cellStyle name="Финансовый 5 4 2 5 2" xfId="7086"/>
    <cellStyle name="Финансовый 5 4 2 6" xfId="634"/>
    <cellStyle name="Финансовый 5 4 2 6 2" xfId="6674"/>
    <cellStyle name="Финансовый 5 4 2 7" xfId="2823"/>
    <cellStyle name="Финансовый 5 4 2 8" xfId="4467"/>
    <cellStyle name="Финансовый 5 4 2 9" xfId="6254"/>
    <cellStyle name="Финансовый 5 4 3" xfId="362"/>
    <cellStyle name="Финансовый 5 4 3 2" xfId="2141"/>
    <cellStyle name="Финансовый 5 4 3 2 2" xfId="3786"/>
    <cellStyle name="Финансовый 5 4 3 2 3" xfId="5569"/>
    <cellStyle name="Финансовый 5 4 3 2 4" xfId="8179"/>
    <cellStyle name="Финансовый 5 4 3 3" xfId="1175"/>
    <cellStyle name="Финансовый 5 4 3 3 2" xfId="7215"/>
    <cellStyle name="Финансовый 5 4 3 4" xfId="782"/>
    <cellStyle name="Финансовый 5 4 3 4 2" xfId="6822"/>
    <cellStyle name="Финансовый 5 4 3 5" xfId="2959"/>
    <cellStyle name="Финансовый 5 4 3 6" xfId="4603"/>
    <cellStyle name="Финансовый 5 4 3 7" xfId="6402"/>
    <cellStyle name="Финансовый 5 4 4" xfId="1547"/>
    <cellStyle name="Финансовый 5 4 4 2" xfId="1885"/>
    <cellStyle name="Финансовый 5 4 4 2 2" xfId="3530"/>
    <cellStyle name="Финансовый 5 4 4 2 3" xfId="5313"/>
    <cellStyle name="Финансовый 5 4 4 2 4" xfId="7923"/>
    <cellStyle name="Финансовый 5 4 4 3" xfId="4975"/>
    <cellStyle name="Финансовый 5 4 4 4" xfId="7585"/>
    <cellStyle name="Финансовый 5 4 5" xfId="1761"/>
    <cellStyle name="Финансовый 5 4 5 2" xfId="3406"/>
    <cellStyle name="Финансовый 5 4 5 3" xfId="5189"/>
    <cellStyle name="Финансовый 5 4 5 4" xfId="7799"/>
    <cellStyle name="Финансовый 5 4 6" xfId="2406"/>
    <cellStyle name="Финансовый 5 4 6 2" xfId="4051"/>
    <cellStyle name="Финансовый 5 4 6 3" xfId="5834"/>
    <cellStyle name="Финансовый 5 4 6 4" xfId="8444"/>
    <cellStyle name="Финансовый 5 4 7" xfId="1633"/>
    <cellStyle name="Финансовый 5 4 7 2" xfId="3278"/>
    <cellStyle name="Финансовый 5 4 7 3" xfId="5061"/>
    <cellStyle name="Финансовый 5 4 7 4" xfId="7671"/>
    <cellStyle name="Финансовый 5 4 8" xfId="910"/>
    <cellStyle name="Финансовый 5 4 8 2" xfId="6950"/>
    <cellStyle name="Финансовый 5 4 9" xfId="498"/>
    <cellStyle name="Финансовый 5 4 9 2" xfId="6538"/>
    <cellStyle name="Финансовый 5 5" xfId="55"/>
    <cellStyle name="Финансовый 5 5 10" xfId="2667"/>
    <cellStyle name="Финансовый 5 5 11" xfId="4310"/>
    <cellStyle name="Финансовый 5 5 12" xfId="6098"/>
    <cellStyle name="Финансовый 5 5 2" xfId="193"/>
    <cellStyle name="Финансовый 5 5 2 2" xfId="1291"/>
    <cellStyle name="Финансовый 5 5 2 2 2" xfId="2257"/>
    <cellStyle name="Финансовый 5 5 2 2 2 2" xfId="3902"/>
    <cellStyle name="Финансовый 5 5 2 2 2 3" xfId="5685"/>
    <cellStyle name="Финансовый 5 5 2 2 2 4" xfId="8295"/>
    <cellStyle name="Финансовый 5 5 2 2 3" xfId="3075"/>
    <cellStyle name="Финансовый 5 5 2 2 4" xfId="4719"/>
    <cellStyle name="Финансовый 5 5 2 2 5" xfId="7331"/>
    <cellStyle name="Финансовый 5 5 2 3" xfId="2001"/>
    <cellStyle name="Финансовый 5 5 2 3 2" xfId="3646"/>
    <cellStyle name="Финансовый 5 5 2 3 3" xfId="5429"/>
    <cellStyle name="Финансовый 5 5 2 3 4" xfId="8039"/>
    <cellStyle name="Финансовый 5 5 2 4" xfId="2522"/>
    <cellStyle name="Финансовый 5 5 2 4 2" xfId="4167"/>
    <cellStyle name="Финансовый 5 5 2 4 3" xfId="5950"/>
    <cellStyle name="Финансовый 5 5 2 4 4" xfId="8560"/>
    <cellStyle name="Финансовый 5 5 2 5" xfId="1026"/>
    <cellStyle name="Финансовый 5 5 2 5 2" xfId="7066"/>
    <cellStyle name="Финансовый 5 5 2 6" xfId="614"/>
    <cellStyle name="Финансовый 5 5 2 6 2" xfId="6654"/>
    <cellStyle name="Финансовый 5 5 2 7" xfId="2803"/>
    <cellStyle name="Финансовый 5 5 2 8" xfId="4447"/>
    <cellStyle name="Финансовый 5 5 2 9" xfId="6234"/>
    <cellStyle name="Финансовый 5 5 3" xfId="342"/>
    <cellStyle name="Финансовый 5 5 3 2" xfId="2129"/>
    <cellStyle name="Финансовый 5 5 3 2 2" xfId="3774"/>
    <cellStyle name="Финансовый 5 5 3 2 3" xfId="5557"/>
    <cellStyle name="Финансовый 5 5 3 2 4" xfId="8167"/>
    <cellStyle name="Финансовый 5 5 3 3" xfId="1162"/>
    <cellStyle name="Финансовый 5 5 3 3 2" xfId="7202"/>
    <cellStyle name="Финансовый 5 5 3 4" xfId="762"/>
    <cellStyle name="Финансовый 5 5 3 4 2" xfId="6802"/>
    <cellStyle name="Финансовый 5 5 3 5" xfId="2939"/>
    <cellStyle name="Финансовый 5 5 3 6" xfId="4583"/>
    <cellStyle name="Финансовый 5 5 3 7" xfId="6382"/>
    <cellStyle name="Финансовый 5 5 4" xfId="1548"/>
    <cellStyle name="Финансовый 5 5 4 2" xfId="1865"/>
    <cellStyle name="Финансовый 5 5 4 2 2" xfId="3510"/>
    <cellStyle name="Финансовый 5 5 4 2 3" xfId="5293"/>
    <cellStyle name="Финансовый 5 5 4 2 4" xfId="7903"/>
    <cellStyle name="Финансовый 5 5 4 3" xfId="4976"/>
    <cellStyle name="Финансовый 5 5 4 4" xfId="7586"/>
    <cellStyle name="Финансовый 5 5 5" xfId="1749"/>
    <cellStyle name="Финансовый 5 5 5 2" xfId="3394"/>
    <cellStyle name="Финансовый 5 5 5 3" xfId="5177"/>
    <cellStyle name="Финансовый 5 5 5 4" xfId="7787"/>
    <cellStyle name="Финансовый 5 5 6" xfId="2385"/>
    <cellStyle name="Финансовый 5 5 6 2" xfId="4030"/>
    <cellStyle name="Финансовый 5 5 6 3" xfId="5813"/>
    <cellStyle name="Финансовый 5 5 6 4" xfId="8423"/>
    <cellStyle name="Финансовый 5 5 7" xfId="1612"/>
    <cellStyle name="Финансовый 5 5 7 2" xfId="3257"/>
    <cellStyle name="Финансовый 5 5 7 3" xfId="5040"/>
    <cellStyle name="Финансовый 5 5 7 4" xfId="7650"/>
    <cellStyle name="Финансовый 5 5 8" xfId="898"/>
    <cellStyle name="Финансовый 5 5 8 2" xfId="6938"/>
    <cellStyle name="Финансовый 5 5 9" xfId="478"/>
    <cellStyle name="Финансовый 5 5 9 2" xfId="6518"/>
    <cellStyle name="Финансовый 5 6" xfId="133"/>
    <cellStyle name="Финансовый 5 6 10" xfId="2743"/>
    <cellStyle name="Финансовый 5 6 11" xfId="4387"/>
    <cellStyle name="Финансовый 5 6 12" xfId="6174"/>
    <cellStyle name="Финансовый 5 6 2" xfId="269"/>
    <cellStyle name="Финансовый 5 6 2 2" xfId="1367"/>
    <cellStyle name="Финансовый 5 6 2 2 2" xfId="2325"/>
    <cellStyle name="Финансовый 5 6 2 2 2 2" xfId="3970"/>
    <cellStyle name="Финансовый 5 6 2 2 2 3" xfId="5753"/>
    <cellStyle name="Финансовый 5 6 2 2 2 4" xfId="8363"/>
    <cellStyle name="Финансовый 5 6 2 2 3" xfId="3151"/>
    <cellStyle name="Финансовый 5 6 2 2 4" xfId="4795"/>
    <cellStyle name="Финансовый 5 6 2 2 5" xfId="7407"/>
    <cellStyle name="Финансовый 5 6 2 3" xfId="2069"/>
    <cellStyle name="Финансовый 5 6 2 3 2" xfId="3714"/>
    <cellStyle name="Финансовый 5 6 2 3 3" xfId="5497"/>
    <cellStyle name="Финансовый 5 6 2 3 4" xfId="8107"/>
    <cellStyle name="Финансовый 5 6 2 4" xfId="2598"/>
    <cellStyle name="Финансовый 5 6 2 4 2" xfId="4243"/>
    <cellStyle name="Финансовый 5 6 2 4 3" xfId="6026"/>
    <cellStyle name="Финансовый 5 6 2 4 4" xfId="8636"/>
    <cellStyle name="Финансовый 5 6 2 5" xfId="1102"/>
    <cellStyle name="Финансовый 5 6 2 5 2" xfId="7142"/>
    <cellStyle name="Финансовый 5 6 2 6" xfId="690"/>
    <cellStyle name="Финансовый 5 6 2 6 2" xfId="6730"/>
    <cellStyle name="Финансовый 5 6 2 7" xfId="2879"/>
    <cellStyle name="Финансовый 5 6 2 8" xfId="4523"/>
    <cellStyle name="Финансовый 5 6 2 9" xfId="6310"/>
    <cellStyle name="Финансовый 5 6 3" xfId="418"/>
    <cellStyle name="Финансовый 5 6 3 2" xfId="2197"/>
    <cellStyle name="Финансовый 5 6 3 2 2" xfId="3842"/>
    <cellStyle name="Финансовый 5 6 3 2 3" xfId="5625"/>
    <cellStyle name="Финансовый 5 6 3 2 4" xfId="8235"/>
    <cellStyle name="Финансовый 5 6 3 3" xfId="1231"/>
    <cellStyle name="Финансовый 5 6 3 3 2" xfId="7271"/>
    <cellStyle name="Финансовый 5 6 3 4" xfId="838"/>
    <cellStyle name="Финансовый 5 6 3 4 2" xfId="6878"/>
    <cellStyle name="Финансовый 5 6 3 5" xfId="3015"/>
    <cellStyle name="Финансовый 5 6 3 6" xfId="4659"/>
    <cellStyle name="Финансовый 5 6 3 7" xfId="6458"/>
    <cellStyle name="Финансовый 5 6 4" xfId="1549"/>
    <cellStyle name="Финансовый 5 6 4 2" xfId="1941"/>
    <cellStyle name="Финансовый 5 6 4 2 2" xfId="3586"/>
    <cellStyle name="Финансовый 5 6 4 2 3" xfId="5369"/>
    <cellStyle name="Финансовый 5 6 4 2 4" xfId="7979"/>
    <cellStyle name="Финансовый 5 6 4 3" xfId="4977"/>
    <cellStyle name="Финансовый 5 6 4 4" xfId="7587"/>
    <cellStyle name="Финансовый 5 6 5" xfId="1817"/>
    <cellStyle name="Финансовый 5 6 5 2" xfId="3462"/>
    <cellStyle name="Финансовый 5 6 5 3" xfId="5245"/>
    <cellStyle name="Финансовый 5 6 5 4" xfId="7855"/>
    <cellStyle name="Финансовый 5 6 6" xfId="2462"/>
    <cellStyle name="Финансовый 5 6 6 2" xfId="4107"/>
    <cellStyle name="Финансовый 5 6 6 3" xfId="5890"/>
    <cellStyle name="Финансовый 5 6 6 4" xfId="8500"/>
    <cellStyle name="Финансовый 5 6 7" xfId="1689"/>
    <cellStyle name="Финансовый 5 6 7 2" xfId="3334"/>
    <cellStyle name="Финансовый 5 6 7 3" xfId="5117"/>
    <cellStyle name="Финансовый 5 6 7 4" xfId="7727"/>
    <cellStyle name="Финансовый 5 6 8" xfId="966"/>
    <cellStyle name="Финансовый 5 6 8 2" xfId="7006"/>
    <cellStyle name="Финансовый 5 6 9" xfId="554"/>
    <cellStyle name="Финансовый 5 6 9 2" xfId="6594"/>
    <cellStyle name="Финансовый 5 7" xfId="31"/>
    <cellStyle name="Финансовый 5 7 10" xfId="2643"/>
    <cellStyle name="Финансовый 5 7 11" xfId="4286"/>
    <cellStyle name="Финансовый 5 7 12" xfId="6074"/>
    <cellStyle name="Финансовый 5 7 2" xfId="169"/>
    <cellStyle name="Финансовый 5 7 2 2" xfId="1267"/>
    <cellStyle name="Финансовый 5 7 2 2 2" xfId="2233"/>
    <cellStyle name="Финансовый 5 7 2 2 2 2" xfId="3878"/>
    <cellStyle name="Финансовый 5 7 2 2 2 3" xfId="5661"/>
    <cellStyle name="Финансовый 5 7 2 2 2 4" xfId="8271"/>
    <cellStyle name="Финансовый 5 7 2 2 3" xfId="3051"/>
    <cellStyle name="Финансовый 5 7 2 2 4" xfId="4695"/>
    <cellStyle name="Финансовый 5 7 2 2 5" xfId="7307"/>
    <cellStyle name="Финансовый 5 7 2 3" xfId="1977"/>
    <cellStyle name="Финансовый 5 7 2 3 2" xfId="3622"/>
    <cellStyle name="Финансовый 5 7 2 3 3" xfId="5405"/>
    <cellStyle name="Финансовый 5 7 2 3 4" xfId="8015"/>
    <cellStyle name="Финансовый 5 7 2 4" xfId="2498"/>
    <cellStyle name="Финансовый 5 7 2 4 2" xfId="4143"/>
    <cellStyle name="Финансовый 5 7 2 4 3" xfId="5926"/>
    <cellStyle name="Финансовый 5 7 2 4 4" xfId="8536"/>
    <cellStyle name="Финансовый 5 7 2 5" xfId="1002"/>
    <cellStyle name="Финансовый 5 7 2 5 2" xfId="7042"/>
    <cellStyle name="Финансовый 5 7 2 6" xfId="590"/>
    <cellStyle name="Финансовый 5 7 2 6 2" xfId="6630"/>
    <cellStyle name="Финансовый 5 7 2 7" xfId="2779"/>
    <cellStyle name="Финансовый 5 7 2 8" xfId="4423"/>
    <cellStyle name="Финансовый 5 7 2 9" xfId="6210"/>
    <cellStyle name="Финансовый 5 7 3" xfId="318"/>
    <cellStyle name="Финансовый 5 7 3 2" xfId="2105"/>
    <cellStyle name="Финансовый 5 7 3 2 2" xfId="3750"/>
    <cellStyle name="Финансовый 5 7 3 2 3" xfId="5533"/>
    <cellStyle name="Финансовый 5 7 3 2 4" xfId="8143"/>
    <cellStyle name="Финансовый 5 7 3 3" xfId="1138"/>
    <cellStyle name="Финансовый 5 7 3 3 2" xfId="7178"/>
    <cellStyle name="Финансовый 5 7 3 4" xfId="738"/>
    <cellStyle name="Финансовый 5 7 3 4 2" xfId="6778"/>
    <cellStyle name="Финансовый 5 7 3 5" xfId="2915"/>
    <cellStyle name="Финансовый 5 7 3 6" xfId="4559"/>
    <cellStyle name="Финансовый 5 7 3 7" xfId="6358"/>
    <cellStyle name="Финансовый 5 7 4" xfId="1550"/>
    <cellStyle name="Финансовый 5 7 4 2" xfId="1841"/>
    <cellStyle name="Финансовый 5 7 4 2 2" xfId="3486"/>
    <cellStyle name="Финансовый 5 7 4 2 3" xfId="5269"/>
    <cellStyle name="Финансовый 5 7 4 2 4" xfId="7879"/>
    <cellStyle name="Финансовый 5 7 4 3" xfId="4978"/>
    <cellStyle name="Финансовый 5 7 4 4" xfId="7588"/>
    <cellStyle name="Финансовый 5 7 5" xfId="1725"/>
    <cellStyle name="Финансовый 5 7 5 2" xfId="3370"/>
    <cellStyle name="Финансовый 5 7 5 3" xfId="5153"/>
    <cellStyle name="Финансовый 5 7 5 4" xfId="7763"/>
    <cellStyle name="Финансовый 5 7 6" xfId="2361"/>
    <cellStyle name="Финансовый 5 7 6 2" xfId="4006"/>
    <cellStyle name="Финансовый 5 7 6 3" xfId="5789"/>
    <cellStyle name="Финансовый 5 7 6 4" xfId="8399"/>
    <cellStyle name="Финансовый 5 7 7" xfId="1588"/>
    <cellStyle name="Финансовый 5 7 7 2" xfId="3233"/>
    <cellStyle name="Финансовый 5 7 7 3" xfId="5016"/>
    <cellStyle name="Финансовый 5 7 7 4" xfId="7626"/>
    <cellStyle name="Финансовый 5 7 8" xfId="874"/>
    <cellStyle name="Финансовый 5 7 8 2" xfId="6914"/>
    <cellStyle name="Финансовый 5 7 9" xfId="454"/>
    <cellStyle name="Финансовый 5 7 9 2" xfId="6494"/>
    <cellStyle name="Финансовый 5 8" xfId="19"/>
    <cellStyle name="Финансовый 5 8 10" xfId="2631"/>
    <cellStyle name="Финансовый 5 8 11" xfId="4274"/>
    <cellStyle name="Финансовый 5 8 12" xfId="6062"/>
    <cellStyle name="Финансовый 5 8 2" xfId="157"/>
    <cellStyle name="Финансовый 5 8 2 2" xfId="1255"/>
    <cellStyle name="Финансовый 5 8 2 2 2" xfId="2221"/>
    <cellStyle name="Финансовый 5 8 2 2 2 2" xfId="3866"/>
    <cellStyle name="Финансовый 5 8 2 2 2 3" xfId="5649"/>
    <cellStyle name="Финансовый 5 8 2 2 2 4" xfId="8259"/>
    <cellStyle name="Финансовый 5 8 2 2 3" xfId="3039"/>
    <cellStyle name="Финансовый 5 8 2 2 4" xfId="4683"/>
    <cellStyle name="Финансовый 5 8 2 2 5" xfId="7295"/>
    <cellStyle name="Финансовый 5 8 2 3" xfId="1965"/>
    <cellStyle name="Финансовый 5 8 2 3 2" xfId="3610"/>
    <cellStyle name="Финансовый 5 8 2 3 3" xfId="5393"/>
    <cellStyle name="Финансовый 5 8 2 3 4" xfId="8003"/>
    <cellStyle name="Финансовый 5 8 2 4" xfId="2486"/>
    <cellStyle name="Финансовый 5 8 2 4 2" xfId="4131"/>
    <cellStyle name="Финансовый 5 8 2 4 3" xfId="5914"/>
    <cellStyle name="Финансовый 5 8 2 4 4" xfId="8524"/>
    <cellStyle name="Финансовый 5 8 2 5" xfId="990"/>
    <cellStyle name="Финансовый 5 8 2 5 2" xfId="7030"/>
    <cellStyle name="Финансовый 5 8 2 6" xfId="578"/>
    <cellStyle name="Финансовый 5 8 2 6 2" xfId="6618"/>
    <cellStyle name="Финансовый 5 8 2 7" xfId="2767"/>
    <cellStyle name="Финансовый 5 8 2 8" xfId="4411"/>
    <cellStyle name="Финансовый 5 8 2 9" xfId="6198"/>
    <cellStyle name="Финансовый 5 8 3" xfId="306"/>
    <cellStyle name="Финансовый 5 8 3 2" xfId="2093"/>
    <cellStyle name="Финансовый 5 8 3 2 2" xfId="3738"/>
    <cellStyle name="Финансовый 5 8 3 2 3" xfId="5521"/>
    <cellStyle name="Финансовый 5 8 3 2 4" xfId="8131"/>
    <cellStyle name="Финансовый 5 8 3 3" xfId="1126"/>
    <cellStyle name="Финансовый 5 8 3 3 2" xfId="7166"/>
    <cellStyle name="Финансовый 5 8 3 4" xfId="726"/>
    <cellStyle name="Финансовый 5 8 3 4 2" xfId="6766"/>
    <cellStyle name="Финансовый 5 8 3 5" xfId="2903"/>
    <cellStyle name="Финансовый 5 8 3 6" xfId="4547"/>
    <cellStyle name="Финансовый 5 8 3 7" xfId="6346"/>
    <cellStyle name="Финансовый 5 8 4" xfId="1551"/>
    <cellStyle name="Финансовый 5 8 4 2" xfId="1829"/>
    <cellStyle name="Финансовый 5 8 4 2 2" xfId="3474"/>
    <cellStyle name="Финансовый 5 8 4 2 3" xfId="5257"/>
    <cellStyle name="Финансовый 5 8 4 2 4" xfId="7867"/>
    <cellStyle name="Финансовый 5 8 4 3" xfId="4979"/>
    <cellStyle name="Финансовый 5 8 4 4" xfId="7589"/>
    <cellStyle name="Финансовый 5 8 5" xfId="1713"/>
    <cellStyle name="Финансовый 5 8 5 2" xfId="3358"/>
    <cellStyle name="Финансовый 5 8 5 3" xfId="5141"/>
    <cellStyle name="Финансовый 5 8 5 4" xfId="7751"/>
    <cellStyle name="Финансовый 5 8 6" xfId="2349"/>
    <cellStyle name="Финансовый 5 8 6 2" xfId="3994"/>
    <cellStyle name="Финансовый 5 8 6 3" xfId="5777"/>
    <cellStyle name="Финансовый 5 8 6 4" xfId="8387"/>
    <cellStyle name="Финансовый 5 8 7" xfId="1576"/>
    <cellStyle name="Финансовый 5 8 7 2" xfId="3221"/>
    <cellStyle name="Финансовый 5 8 7 3" xfId="5004"/>
    <cellStyle name="Финансовый 5 8 7 4" xfId="7614"/>
    <cellStyle name="Финансовый 5 8 8" xfId="862"/>
    <cellStyle name="Финансовый 5 8 8 2" xfId="6902"/>
    <cellStyle name="Финансовый 5 8 9" xfId="442"/>
    <cellStyle name="Финансовый 5 8 9 2" xfId="6482"/>
    <cellStyle name="Финансовый 5 9" xfId="145"/>
    <cellStyle name="Финансовый 5 9 2" xfId="1243"/>
    <cellStyle name="Финансовый 5 9 2 2" xfId="2209"/>
    <cellStyle name="Финансовый 5 9 2 2 2" xfId="3854"/>
    <cellStyle name="Финансовый 5 9 2 2 3" xfId="5637"/>
    <cellStyle name="Финансовый 5 9 2 2 4" xfId="8247"/>
    <cellStyle name="Финансовый 5 9 2 3" xfId="3027"/>
    <cellStyle name="Финансовый 5 9 2 4" xfId="4671"/>
    <cellStyle name="Финансовый 5 9 2 5" xfId="7283"/>
    <cellStyle name="Финансовый 5 9 3" xfId="1953"/>
    <cellStyle name="Финансовый 5 9 3 2" xfId="3598"/>
    <cellStyle name="Финансовый 5 9 3 3" xfId="5381"/>
    <cellStyle name="Финансовый 5 9 3 4" xfId="7991"/>
    <cellStyle name="Финансовый 5 9 4" xfId="2474"/>
    <cellStyle name="Финансовый 5 9 4 2" xfId="4119"/>
    <cellStyle name="Финансовый 5 9 4 3" xfId="5902"/>
    <cellStyle name="Финансовый 5 9 4 4" xfId="8512"/>
    <cellStyle name="Финансовый 5 9 5" xfId="978"/>
    <cellStyle name="Финансовый 5 9 5 2" xfId="7018"/>
    <cellStyle name="Финансовый 5 9 6" xfId="566"/>
    <cellStyle name="Финансовый 5 9 6 2" xfId="6606"/>
    <cellStyle name="Финансовый 5 9 7" xfId="2755"/>
    <cellStyle name="Финансовый 5 9 8" xfId="4399"/>
    <cellStyle name="Финансовый 5 9 9" xfId="6186"/>
    <cellStyle name="Финансовый 6" xfId="37"/>
    <cellStyle name="Финансовый 6 10" xfId="880"/>
    <cellStyle name="Финансовый 6 10 2" xfId="6920"/>
    <cellStyle name="Финансовый 6 11" xfId="460"/>
    <cellStyle name="Финансовый 6 11 2" xfId="6500"/>
    <cellStyle name="Финансовый 6 12" xfId="2649"/>
    <cellStyle name="Финансовый 6 13" xfId="4292"/>
    <cellStyle name="Финансовый 6 14" xfId="6080"/>
    <cellStyle name="Финансовый 6 2" xfId="119"/>
    <cellStyle name="Финансовый 6 2 10" xfId="2729"/>
    <cellStyle name="Финансовый 6 2 11" xfId="4373"/>
    <cellStyle name="Финансовый 6 2 12" xfId="6160"/>
    <cellStyle name="Финансовый 6 2 2" xfId="255"/>
    <cellStyle name="Финансовый 6 2 2 2" xfId="1353"/>
    <cellStyle name="Финансовый 6 2 2 2 2" xfId="2311"/>
    <cellStyle name="Финансовый 6 2 2 2 2 2" xfId="3956"/>
    <cellStyle name="Финансовый 6 2 2 2 2 3" xfId="5739"/>
    <cellStyle name="Финансовый 6 2 2 2 2 4" xfId="8349"/>
    <cellStyle name="Финансовый 6 2 2 2 3" xfId="3137"/>
    <cellStyle name="Финансовый 6 2 2 2 4" xfId="4781"/>
    <cellStyle name="Финансовый 6 2 2 2 5" xfId="7393"/>
    <cellStyle name="Финансовый 6 2 2 3" xfId="2055"/>
    <cellStyle name="Финансовый 6 2 2 3 2" xfId="3700"/>
    <cellStyle name="Финансовый 6 2 2 3 3" xfId="5483"/>
    <cellStyle name="Финансовый 6 2 2 3 4" xfId="8093"/>
    <cellStyle name="Финансовый 6 2 2 4" xfId="2584"/>
    <cellStyle name="Финансовый 6 2 2 4 2" xfId="4229"/>
    <cellStyle name="Финансовый 6 2 2 4 3" xfId="6012"/>
    <cellStyle name="Финансовый 6 2 2 4 4" xfId="8622"/>
    <cellStyle name="Финансовый 6 2 2 5" xfId="1088"/>
    <cellStyle name="Финансовый 6 2 2 5 2" xfId="7128"/>
    <cellStyle name="Финансовый 6 2 2 6" xfId="676"/>
    <cellStyle name="Финансовый 6 2 2 6 2" xfId="6716"/>
    <cellStyle name="Финансовый 6 2 2 7" xfId="2865"/>
    <cellStyle name="Финансовый 6 2 2 8" xfId="4509"/>
    <cellStyle name="Финансовый 6 2 2 9" xfId="6296"/>
    <cellStyle name="Финансовый 6 2 3" xfId="404"/>
    <cellStyle name="Финансовый 6 2 3 2" xfId="2183"/>
    <cellStyle name="Финансовый 6 2 3 2 2" xfId="3828"/>
    <cellStyle name="Финансовый 6 2 3 2 3" xfId="5611"/>
    <cellStyle name="Финансовый 6 2 3 2 4" xfId="8221"/>
    <cellStyle name="Финансовый 6 2 3 3" xfId="1217"/>
    <cellStyle name="Финансовый 6 2 3 3 2" xfId="7257"/>
    <cellStyle name="Финансовый 6 2 3 4" xfId="824"/>
    <cellStyle name="Финансовый 6 2 3 4 2" xfId="6864"/>
    <cellStyle name="Финансовый 6 2 3 5" xfId="3001"/>
    <cellStyle name="Финансовый 6 2 3 6" xfId="4645"/>
    <cellStyle name="Финансовый 6 2 3 7" xfId="6444"/>
    <cellStyle name="Финансовый 6 2 4" xfId="1553"/>
    <cellStyle name="Финансовый 6 2 4 2" xfId="1927"/>
    <cellStyle name="Финансовый 6 2 4 2 2" xfId="3572"/>
    <cellStyle name="Финансовый 6 2 4 2 3" xfId="5355"/>
    <cellStyle name="Финансовый 6 2 4 2 4" xfId="7965"/>
    <cellStyle name="Финансовый 6 2 4 3" xfId="4981"/>
    <cellStyle name="Финансовый 6 2 4 4" xfId="7591"/>
    <cellStyle name="Финансовый 6 2 5" xfId="1803"/>
    <cellStyle name="Финансовый 6 2 5 2" xfId="3448"/>
    <cellStyle name="Финансовый 6 2 5 3" xfId="5231"/>
    <cellStyle name="Финансовый 6 2 5 4" xfId="7841"/>
    <cellStyle name="Финансовый 6 2 6" xfId="2448"/>
    <cellStyle name="Финансовый 6 2 6 2" xfId="4093"/>
    <cellStyle name="Финансовый 6 2 6 3" xfId="5876"/>
    <cellStyle name="Финансовый 6 2 6 4" xfId="8486"/>
    <cellStyle name="Финансовый 6 2 7" xfId="1675"/>
    <cellStyle name="Финансовый 6 2 7 2" xfId="3320"/>
    <cellStyle name="Финансовый 6 2 7 3" xfId="5103"/>
    <cellStyle name="Финансовый 6 2 7 4" xfId="7713"/>
    <cellStyle name="Финансовый 6 2 8" xfId="952"/>
    <cellStyle name="Финансовый 6 2 8 2" xfId="6992"/>
    <cellStyle name="Финансовый 6 2 9" xfId="540"/>
    <cellStyle name="Финансовый 6 2 9 2" xfId="6580"/>
    <cellStyle name="Финансовый 6 3" xfId="83"/>
    <cellStyle name="Финансовый 6 3 10" xfId="2693"/>
    <cellStyle name="Финансовый 6 3 11" xfId="4337"/>
    <cellStyle name="Финансовый 6 3 12" xfId="6124"/>
    <cellStyle name="Финансовый 6 3 2" xfId="219"/>
    <cellStyle name="Финансовый 6 3 2 2" xfId="1317"/>
    <cellStyle name="Финансовый 6 3 2 2 2" xfId="2275"/>
    <cellStyle name="Финансовый 6 3 2 2 2 2" xfId="3920"/>
    <cellStyle name="Финансовый 6 3 2 2 2 3" xfId="5703"/>
    <cellStyle name="Финансовый 6 3 2 2 2 4" xfId="8313"/>
    <cellStyle name="Финансовый 6 3 2 2 3" xfId="3101"/>
    <cellStyle name="Финансовый 6 3 2 2 4" xfId="4745"/>
    <cellStyle name="Финансовый 6 3 2 2 5" xfId="7357"/>
    <cellStyle name="Финансовый 6 3 2 3" xfId="2019"/>
    <cellStyle name="Финансовый 6 3 2 3 2" xfId="3664"/>
    <cellStyle name="Финансовый 6 3 2 3 3" xfId="5447"/>
    <cellStyle name="Финансовый 6 3 2 3 4" xfId="8057"/>
    <cellStyle name="Финансовый 6 3 2 4" xfId="2548"/>
    <cellStyle name="Финансовый 6 3 2 4 2" xfId="4193"/>
    <cellStyle name="Финансовый 6 3 2 4 3" xfId="5976"/>
    <cellStyle name="Финансовый 6 3 2 4 4" xfId="8586"/>
    <cellStyle name="Финансовый 6 3 2 5" xfId="1052"/>
    <cellStyle name="Финансовый 6 3 2 5 2" xfId="7092"/>
    <cellStyle name="Финансовый 6 3 2 6" xfId="640"/>
    <cellStyle name="Финансовый 6 3 2 6 2" xfId="6680"/>
    <cellStyle name="Финансовый 6 3 2 7" xfId="2829"/>
    <cellStyle name="Финансовый 6 3 2 8" xfId="4473"/>
    <cellStyle name="Финансовый 6 3 2 9" xfId="6260"/>
    <cellStyle name="Финансовый 6 3 3" xfId="368"/>
    <cellStyle name="Финансовый 6 3 3 2" xfId="2147"/>
    <cellStyle name="Финансовый 6 3 3 2 2" xfId="3792"/>
    <cellStyle name="Финансовый 6 3 3 2 3" xfId="5575"/>
    <cellStyle name="Финансовый 6 3 3 2 4" xfId="8185"/>
    <cellStyle name="Финансовый 6 3 3 3" xfId="1181"/>
    <cellStyle name="Финансовый 6 3 3 3 2" xfId="7221"/>
    <cellStyle name="Финансовый 6 3 3 4" xfId="788"/>
    <cellStyle name="Финансовый 6 3 3 4 2" xfId="6828"/>
    <cellStyle name="Финансовый 6 3 3 5" xfId="2965"/>
    <cellStyle name="Финансовый 6 3 3 6" xfId="4609"/>
    <cellStyle name="Финансовый 6 3 3 7" xfId="6408"/>
    <cellStyle name="Финансовый 6 3 4" xfId="1443"/>
    <cellStyle name="Финансовый 6 3 4 2" xfId="1891"/>
    <cellStyle name="Финансовый 6 3 4 2 2" xfId="3536"/>
    <cellStyle name="Финансовый 6 3 4 2 3" xfId="5319"/>
    <cellStyle name="Финансовый 6 3 4 2 4" xfId="7929"/>
    <cellStyle name="Финансовый 6 3 4 3" xfId="4871"/>
    <cellStyle name="Финансовый 6 3 4 4" xfId="7481"/>
    <cellStyle name="Финансовый 6 3 5" xfId="1767"/>
    <cellStyle name="Финансовый 6 3 5 2" xfId="3412"/>
    <cellStyle name="Финансовый 6 3 5 3" xfId="5195"/>
    <cellStyle name="Финансовый 6 3 5 4" xfId="7805"/>
    <cellStyle name="Финансовый 6 3 6" xfId="2412"/>
    <cellStyle name="Финансовый 6 3 6 2" xfId="4057"/>
    <cellStyle name="Финансовый 6 3 6 3" xfId="5840"/>
    <cellStyle name="Финансовый 6 3 6 4" xfId="8450"/>
    <cellStyle name="Финансовый 6 3 7" xfId="1639"/>
    <cellStyle name="Финансовый 6 3 7 2" xfId="3284"/>
    <cellStyle name="Финансовый 6 3 7 3" xfId="5067"/>
    <cellStyle name="Финансовый 6 3 7 4" xfId="7677"/>
    <cellStyle name="Финансовый 6 3 8" xfId="916"/>
    <cellStyle name="Финансовый 6 3 8 2" xfId="6956"/>
    <cellStyle name="Финансовый 6 3 9" xfId="504"/>
    <cellStyle name="Финансовый 6 3 9 2" xfId="6544"/>
    <cellStyle name="Финансовый 6 4" xfId="175"/>
    <cellStyle name="Финансовый 6 4 2" xfId="1273"/>
    <cellStyle name="Финансовый 6 4 2 2" xfId="2239"/>
    <cellStyle name="Финансовый 6 4 2 2 2" xfId="3884"/>
    <cellStyle name="Финансовый 6 4 2 2 3" xfId="5667"/>
    <cellStyle name="Финансовый 6 4 2 2 4" xfId="8277"/>
    <cellStyle name="Финансовый 6 4 2 3" xfId="3057"/>
    <cellStyle name="Финансовый 6 4 2 4" xfId="4701"/>
    <cellStyle name="Финансовый 6 4 2 5" xfId="7313"/>
    <cellStyle name="Финансовый 6 4 3" xfId="1983"/>
    <cellStyle name="Финансовый 6 4 3 2" xfId="3628"/>
    <cellStyle name="Финансовый 6 4 3 3" xfId="5411"/>
    <cellStyle name="Финансовый 6 4 3 4" xfId="8021"/>
    <cellStyle name="Финансовый 6 4 4" xfId="2504"/>
    <cellStyle name="Финансовый 6 4 4 2" xfId="4149"/>
    <cellStyle name="Финансовый 6 4 4 3" xfId="5932"/>
    <cellStyle name="Финансовый 6 4 4 4" xfId="8542"/>
    <cellStyle name="Финансовый 6 4 5" xfId="1008"/>
    <cellStyle name="Финансовый 6 4 5 2" xfId="7048"/>
    <cellStyle name="Финансовый 6 4 6" xfId="596"/>
    <cellStyle name="Финансовый 6 4 6 2" xfId="6636"/>
    <cellStyle name="Финансовый 6 4 7" xfId="2785"/>
    <cellStyle name="Финансовый 6 4 8" xfId="4429"/>
    <cellStyle name="Финансовый 6 4 9" xfId="6216"/>
    <cellStyle name="Финансовый 6 5" xfId="324"/>
    <cellStyle name="Финансовый 6 5 2" xfId="2111"/>
    <cellStyle name="Финансовый 6 5 2 2" xfId="3756"/>
    <cellStyle name="Финансовый 6 5 2 3" xfId="5539"/>
    <cellStyle name="Финансовый 6 5 2 4" xfId="8149"/>
    <cellStyle name="Финансовый 6 5 3" xfId="1144"/>
    <cellStyle name="Финансовый 6 5 3 2" xfId="7184"/>
    <cellStyle name="Финансовый 6 5 4" xfId="744"/>
    <cellStyle name="Финансовый 6 5 4 2" xfId="6784"/>
    <cellStyle name="Финансовый 6 5 5" xfId="2921"/>
    <cellStyle name="Финансовый 6 5 6" xfId="4565"/>
    <cellStyle name="Финансовый 6 5 7" xfId="6364"/>
    <cellStyle name="Финансовый 6 6" xfId="1552"/>
    <cellStyle name="Финансовый 6 6 2" xfId="1847"/>
    <cellStyle name="Финансовый 6 6 2 2" xfId="3492"/>
    <cellStyle name="Финансовый 6 6 2 3" xfId="5275"/>
    <cellStyle name="Финансовый 6 6 2 4" xfId="7885"/>
    <cellStyle name="Финансовый 6 6 3" xfId="4980"/>
    <cellStyle name="Финансовый 6 6 4" xfId="7590"/>
    <cellStyle name="Финансовый 6 7" xfId="1731"/>
    <cellStyle name="Финансовый 6 7 2" xfId="3376"/>
    <cellStyle name="Финансовый 6 7 3" xfId="5159"/>
    <cellStyle name="Финансовый 6 7 4" xfId="7769"/>
    <cellStyle name="Финансовый 6 8" xfId="2367"/>
    <cellStyle name="Финансовый 6 8 2" xfId="4012"/>
    <cellStyle name="Финансовый 6 8 3" xfId="5795"/>
    <cellStyle name="Финансовый 6 8 4" xfId="8405"/>
    <cellStyle name="Финансовый 6 9" xfId="1594"/>
    <cellStyle name="Финансовый 6 9 2" xfId="3239"/>
    <cellStyle name="Финансовый 6 9 3" xfId="5022"/>
    <cellStyle name="Финансовый 6 9 4" xfId="7632"/>
    <cellStyle name="Финансовый 7" xfId="89"/>
    <cellStyle name="Финансовый 7 10" xfId="2699"/>
    <cellStyle name="Финансовый 7 11" xfId="4343"/>
    <cellStyle name="Финансовый 7 12" xfId="6130"/>
    <cellStyle name="Финансовый 7 2" xfId="225"/>
    <cellStyle name="Финансовый 7 2 2" xfId="1323"/>
    <cellStyle name="Финансовый 7 2 2 2" xfId="2281"/>
    <cellStyle name="Финансовый 7 2 2 2 2" xfId="3926"/>
    <cellStyle name="Финансовый 7 2 2 2 3" xfId="5709"/>
    <cellStyle name="Финансовый 7 2 2 2 4" xfId="8319"/>
    <cellStyle name="Финансовый 7 2 2 3" xfId="3107"/>
    <cellStyle name="Финансовый 7 2 2 4" xfId="4751"/>
    <cellStyle name="Финансовый 7 2 2 5" xfId="7363"/>
    <cellStyle name="Финансовый 7 2 3" xfId="2025"/>
    <cellStyle name="Финансовый 7 2 3 2" xfId="3670"/>
    <cellStyle name="Финансовый 7 2 3 3" xfId="5453"/>
    <cellStyle name="Финансовый 7 2 3 4" xfId="8063"/>
    <cellStyle name="Финансовый 7 2 4" xfId="2554"/>
    <cellStyle name="Финансовый 7 2 4 2" xfId="4199"/>
    <cellStyle name="Финансовый 7 2 4 3" xfId="5982"/>
    <cellStyle name="Финансовый 7 2 4 4" xfId="8592"/>
    <cellStyle name="Финансовый 7 2 5" xfId="1058"/>
    <cellStyle name="Финансовый 7 2 5 2" xfId="7098"/>
    <cellStyle name="Финансовый 7 2 6" xfId="646"/>
    <cellStyle name="Финансовый 7 2 6 2" xfId="6686"/>
    <cellStyle name="Финансовый 7 2 7" xfId="2835"/>
    <cellStyle name="Финансовый 7 2 8" xfId="4479"/>
    <cellStyle name="Финансовый 7 2 9" xfId="6266"/>
    <cellStyle name="Финансовый 7 3" xfId="374"/>
    <cellStyle name="Финансовый 7 3 2" xfId="2153"/>
    <cellStyle name="Финансовый 7 3 2 2" xfId="3798"/>
    <cellStyle name="Финансовый 7 3 2 3" xfId="5581"/>
    <cellStyle name="Финансовый 7 3 2 4" xfId="8191"/>
    <cellStyle name="Финансовый 7 3 3" xfId="1187"/>
    <cellStyle name="Финансовый 7 3 3 2" xfId="7227"/>
    <cellStyle name="Финансовый 7 3 4" xfId="794"/>
    <cellStyle name="Финансовый 7 3 4 2" xfId="6834"/>
    <cellStyle name="Финансовый 7 3 5" xfId="2971"/>
    <cellStyle name="Финансовый 7 3 6" xfId="4615"/>
    <cellStyle name="Финансовый 7 3 7" xfId="6414"/>
    <cellStyle name="Финансовый 7 4" xfId="1554"/>
    <cellStyle name="Финансовый 7 4 2" xfId="1897"/>
    <cellStyle name="Финансовый 7 4 2 2" xfId="3542"/>
    <cellStyle name="Финансовый 7 4 2 3" xfId="5325"/>
    <cellStyle name="Финансовый 7 4 2 4" xfId="7935"/>
    <cellStyle name="Финансовый 7 4 3" xfId="4982"/>
    <cellStyle name="Финансовый 7 4 4" xfId="7592"/>
    <cellStyle name="Финансовый 7 5" xfId="1773"/>
    <cellStyle name="Финансовый 7 5 2" xfId="3418"/>
    <cellStyle name="Финансовый 7 5 3" xfId="5201"/>
    <cellStyle name="Финансовый 7 5 4" xfId="7811"/>
    <cellStyle name="Финансовый 7 6" xfId="2418"/>
    <cellStyle name="Финансовый 7 6 2" xfId="4063"/>
    <cellStyle name="Финансовый 7 6 3" xfId="5846"/>
    <cellStyle name="Финансовый 7 6 4" xfId="8456"/>
    <cellStyle name="Финансовый 7 7" xfId="1645"/>
    <cellStyle name="Финансовый 7 7 2" xfId="3290"/>
    <cellStyle name="Финансовый 7 7 3" xfId="5073"/>
    <cellStyle name="Финансовый 7 7 4" xfId="7683"/>
    <cellStyle name="Финансовый 7 8" xfId="922"/>
    <cellStyle name="Финансовый 7 8 2" xfId="6962"/>
    <cellStyle name="Финансовый 7 9" xfId="510"/>
    <cellStyle name="Финансовый 7 9 2" xfId="6550"/>
    <cellStyle name="Финансовый 8" xfId="95"/>
    <cellStyle name="Финансовый 8 10" xfId="2705"/>
    <cellStyle name="Финансовый 8 11" xfId="4349"/>
    <cellStyle name="Финансовый 8 12" xfId="6136"/>
    <cellStyle name="Финансовый 8 2" xfId="231"/>
    <cellStyle name="Финансовый 8 2 2" xfId="1329"/>
    <cellStyle name="Финансовый 8 2 2 2" xfId="2287"/>
    <cellStyle name="Финансовый 8 2 2 2 2" xfId="3932"/>
    <cellStyle name="Финансовый 8 2 2 2 3" xfId="5715"/>
    <cellStyle name="Финансовый 8 2 2 2 4" xfId="8325"/>
    <cellStyle name="Финансовый 8 2 2 3" xfId="3113"/>
    <cellStyle name="Финансовый 8 2 2 4" xfId="4757"/>
    <cellStyle name="Финансовый 8 2 2 5" xfId="7369"/>
    <cellStyle name="Финансовый 8 2 3" xfId="2031"/>
    <cellStyle name="Финансовый 8 2 3 2" xfId="3676"/>
    <cellStyle name="Финансовый 8 2 3 3" xfId="5459"/>
    <cellStyle name="Финансовый 8 2 3 4" xfId="8069"/>
    <cellStyle name="Финансовый 8 2 4" xfId="2560"/>
    <cellStyle name="Финансовый 8 2 4 2" xfId="4205"/>
    <cellStyle name="Финансовый 8 2 4 3" xfId="5988"/>
    <cellStyle name="Финансовый 8 2 4 4" xfId="8598"/>
    <cellStyle name="Финансовый 8 2 5" xfId="1064"/>
    <cellStyle name="Финансовый 8 2 5 2" xfId="7104"/>
    <cellStyle name="Финансовый 8 2 6" xfId="652"/>
    <cellStyle name="Финансовый 8 2 6 2" xfId="6692"/>
    <cellStyle name="Финансовый 8 2 7" xfId="2841"/>
    <cellStyle name="Финансовый 8 2 8" xfId="4485"/>
    <cellStyle name="Финансовый 8 2 9" xfId="6272"/>
    <cellStyle name="Финансовый 8 3" xfId="380"/>
    <cellStyle name="Финансовый 8 3 2" xfId="2159"/>
    <cellStyle name="Финансовый 8 3 2 2" xfId="3804"/>
    <cellStyle name="Финансовый 8 3 2 3" xfId="5587"/>
    <cellStyle name="Финансовый 8 3 2 4" xfId="8197"/>
    <cellStyle name="Финансовый 8 3 3" xfId="1193"/>
    <cellStyle name="Финансовый 8 3 3 2" xfId="7233"/>
    <cellStyle name="Финансовый 8 3 4" xfId="800"/>
    <cellStyle name="Финансовый 8 3 4 2" xfId="6840"/>
    <cellStyle name="Финансовый 8 3 5" xfId="2977"/>
    <cellStyle name="Финансовый 8 3 6" xfId="4621"/>
    <cellStyle name="Финансовый 8 3 7" xfId="6420"/>
    <cellStyle name="Финансовый 8 4" xfId="1555"/>
    <cellStyle name="Финансовый 8 4 2" xfId="1903"/>
    <cellStyle name="Финансовый 8 4 2 2" xfId="3548"/>
    <cellStyle name="Финансовый 8 4 2 3" xfId="5331"/>
    <cellStyle name="Финансовый 8 4 2 4" xfId="7941"/>
    <cellStyle name="Финансовый 8 4 3" xfId="4983"/>
    <cellStyle name="Финансовый 8 4 4" xfId="7593"/>
    <cellStyle name="Финансовый 8 5" xfId="1779"/>
    <cellStyle name="Финансовый 8 5 2" xfId="3424"/>
    <cellStyle name="Финансовый 8 5 3" xfId="5207"/>
    <cellStyle name="Финансовый 8 5 4" xfId="7817"/>
    <cellStyle name="Финансовый 8 6" xfId="2424"/>
    <cellStyle name="Финансовый 8 6 2" xfId="4069"/>
    <cellStyle name="Финансовый 8 6 3" xfId="5852"/>
    <cellStyle name="Финансовый 8 6 4" xfId="8462"/>
    <cellStyle name="Финансовый 8 7" xfId="1651"/>
    <cellStyle name="Финансовый 8 7 2" xfId="3296"/>
    <cellStyle name="Финансовый 8 7 3" xfId="5079"/>
    <cellStyle name="Финансовый 8 7 4" xfId="7689"/>
    <cellStyle name="Финансовый 8 8" xfId="928"/>
    <cellStyle name="Финансовый 8 8 2" xfId="6968"/>
    <cellStyle name="Финансовый 8 9" xfId="516"/>
    <cellStyle name="Финансовый 8 9 2" xfId="6556"/>
    <cellStyle name="Финансовый 9" xfId="107"/>
    <cellStyle name="Финансовый 9 10" xfId="2717"/>
    <cellStyle name="Финансовый 9 11" xfId="4361"/>
    <cellStyle name="Финансовый 9 12" xfId="6148"/>
    <cellStyle name="Финансовый 9 2" xfId="243"/>
    <cellStyle name="Финансовый 9 2 2" xfId="1341"/>
    <cellStyle name="Финансовый 9 2 2 2" xfId="2299"/>
    <cellStyle name="Финансовый 9 2 2 2 2" xfId="3944"/>
    <cellStyle name="Финансовый 9 2 2 2 3" xfId="5727"/>
    <cellStyle name="Финансовый 9 2 2 2 4" xfId="8337"/>
    <cellStyle name="Финансовый 9 2 2 3" xfId="3125"/>
    <cellStyle name="Финансовый 9 2 2 4" xfId="4769"/>
    <cellStyle name="Финансовый 9 2 2 5" xfId="7381"/>
    <cellStyle name="Финансовый 9 2 3" xfId="2043"/>
    <cellStyle name="Финансовый 9 2 3 2" xfId="3688"/>
    <cellStyle name="Финансовый 9 2 3 3" xfId="5471"/>
    <cellStyle name="Финансовый 9 2 3 4" xfId="8081"/>
    <cellStyle name="Финансовый 9 2 4" xfId="2572"/>
    <cellStyle name="Финансовый 9 2 4 2" xfId="4217"/>
    <cellStyle name="Финансовый 9 2 4 3" xfId="6000"/>
    <cellStyle name="Финансовый 9 2 4 4" xfId="8610"/>
    <cellStyle name="Финансовый 9 2 5" xfId="1076"/>
    <cellStyle name="Финансовый 9 2 5 2" xfId="7116"/>
    <cellStyle name="Финансовый 9 2 6" xfId="664"/>
    <cellStyle name="Финансовый 9 2 6 2" xfId="6704"/>
    <cellStyle name="Финансовый 9 2 7" xfId="2853"/>
    <cellStyle name="Финансовый 9 2 8" xfId="4497"/>
    <cellStyle name="Финансовый 9 2 9" xfId="6284"/>
    <cellStyle name="Финансовый 9 3" xfId="392"/>
    <cellStyle name="Финансовый 9 3 2" xfId="2171"/>
    <cellStyle name="Финансовый 9 3 2 2" xfId="3816"/>
    <cellStyle name="Финансовый 9 3 2 3" xfId="5599"/>
    <cellStyle name="Финансовый 9 3 2 4" xfId="8209"/>
    <cellStyle name="Финансовый 9 3 3" xfId="1205"/>
    <cellStyle name="Финансовый 9 3 3 2" xfId="7245"/>
    <cellStyle name="Финансовый 9 3 4" xfId="812"/>
    <cellStyle name="Финансовый 9 3 4 2" xfId="6852"/>
    <cellStyle name="Финансовый 9 3 5" xfId="2989"/>
    <cellStyle name="Финансовый 9 3 6" xfId="4633"/>
    <cellStyle name="Финансовый 9 3 7" xfId="6432"/>
    <cellStyle name="Финансовый 9 4" xfId="1556"/>
    <cellStyle name="Финансовый 9 4 2" xfId="1915"/>
    <cellStyle name="Финансовый 9 4 2 2" xfId="3560"/>
    <cellStyle name="Финансовый 9 4 2 3" xfId="5343"/>
    <cellStyle name="Финансовый 9 4 2 4" xfId="7953"/>
    <cellStyle name="Финансовый 9 4 3" xfId="4984"/>
    <cellStyle name="Финансовый 9 4 4" xfId="7594"/>
    <cellStyle name="Финансовый 9 5" xfId="1791"/>
    <cellStyle name="Финансовый 9 5 2" xfId="3436"/>
    <cellStyle name="Финансовый 9 5 3" xfId="5219"/>
    <cellStyle name="Финансовый 9 5 4" xfId="7829"/>
    <cellStyle name="Финансовый 9 6" xfId="2436"/>
    <cellStyle name="Финансовый 9 6 2" xfId="4081"/>
    <cellStyle name="Финансовый 9 6 3" xfId="5864"/>
    <cellStyle name="Финансовый 9 6 4" xfId="8474"/>
    <cellStyle name="Финансовый 9 7" xfId="1663"/>
    <cellStyle name="Финансовый 9 7 2" xfId="3308"/>
    <cellStyle name="Финансовый 9 7 3" xfId="5091"/>
    <cellStyle name="Финансовый 9 7 4" xfId="7701"/>
    <cellStyle name="Финансовый 9 8" xfId="940"/>
    <cellStyle name="Финансовый 9 8 2" xfId="6980"/>
    <cellStyle name="Финансовый 9 9" xfId="528"/>
    <cellStyle name="Финансовый 9 9 2" xfId="6568"/>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45326</xdr:colOff>
      <xdr:row>0</xdr:row>
      <xdr:rowOff>28575</xdr:rowOff>
    </xdr:from>
    <xdr:to>
      <xdr:col>0</xdr:col>
      <xdr:colOff>799636</xdr:colOff>
      <xdr:row>4</xdr:row>
      <xdr:rowOff>22117</xdr:rowOff>
    </xdr:to>
    <xdr:pic>
      <xdr:nvPicPr>
        <xdr:cNvPr id="4" name="Image 1">
          <a:extLst>
            <a:ext uri="{FF2B5EF4-FFF2-40B4-BE49-F238E27FC236}">
              <a16:creationId xmlns:a16="http://schemas.microsoft.com/office/drawing/2014/main" id="{58E72672-7C31-4830-A884-42011E612024}"/>
            </a:ext>
          </a:extLst>
        </xdr:cNvPr>
        <xdr:cNvPicPr/>
      </xdr:nvPicPr>
      <xdr:blipFill>
        <a:blip xmlns:r="http://schemas.openxmlformats.org/officeDocument/2006/relationships" r:embed="rId1" cstate="print"/>
        <a:stretch>
          <a:fillRect/>
        </a:stretch>
      </xdr:blipFill>
      <xdr:spPr>
        <a:xfrm>
          <a:off x="45326" y="28575"/>
          <a:ext cx="754310" cy="755542"/>
        </a:xfrm>
        <a:prstGeom prst="rect">
          <a:avLst/>
        </a:prstGeom>
      </xdr:spPr>
    </xdr:pic>
    <xdr:clientData/>
  </xdr:twoCellAnchor>
  <xdr:twoCellAnchor editAs="oneCell">
    <xdr:from>
      <xdr:col>3</xdr:col>
      <xdr:colOff>638175</xdr:colOff>
      <xdr:row>0</xdr:row>
      <xdr:rowOff>19050</xdr:rowOff>
    </xdr:from>
    <xdr:to>
      <xdr:col>3</xdr:col>
      <xdr:colOff>1717501</xdr:colOff>
      <xdr:row>4</xdr:row>
      <xdr:rowOff>7525</xdr:rowOff>
    </xdr:to>
    <xdr:pic>
      <xdr:nvPicPr>
        <xdr:cNvPr id="5" name="Image 2">
          <a:extLst>
            <a:ext uri="{FF2B5EF4-FFF2-40B4-BE49-F238E27FC236}">
              <a16:creationId xmlns:a16="http://schemas.microsoft.com/office/drawing/2014/main" id="{A43254B9-9A06-470C-8D39-65F9AAB9C3C8}"/>
            </a:ext>
          </a:extLst>
        </xdr:cNvPr>
        <xdr:cNvPicPr/>
      </xdr:nvPicPr>
      <xdr:blipFill>
        <a:blip xmlns:r="http://schemas.openxmlformats.org/officeDocument/2006/relationships" r:embed="rId2" cstate="print"/>
        <a:stretch>
          <a:fillRect/>
        </a:stretch>
      </xdr:blipFill>
      <xdr:spPr>
        <a:xfrm>
          <a:off x="4705350" y="1905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erver\mko\&#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PycharmProjects/payup/media/mikroqarz_template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lumot"/>
      <sheetName val="shartnoma"/>
      <sheetName val="buyruq"/>
      <sheetName val="bayonnoma"/>
      <sheetName val="График дифференц"/>
      <sheetName val="Данные для послед. Залога"/>
      <sheetName val="График аннуитет."/>
      <sheetName val="xulosa"/>
      <sheetName val="grafik"/>
      <sheetName val="dalolatnoma"/>
      <sheetName val="ariza"/>
      <sheetName val="muqova"/>
      <sheetName val="mijoz_anketasi"/>
      <sheetName val="majburiyatnoma"/>
      <sheetName val="kredit_ariza"/>
      <sheetName val="garov_ariza"/>
      <sheetName val="Письмо"/>
      <sheetName val="akt_monitoring_1"/>
      <sheetName val="akt_monitoring_2"/>
      <sheetName val="akt_monitoring_3"/>
      <sheetName val="akt_monitoring_4"/>
      <sheetName val="notarius"/>
      <sheetName val="Анкета 2"/>
    </sheetNames>
    <sheetDataSet>
      <sheetData sheetId="0">
        <row r="1">
          <cell r="B1" t="str">
            <v>№ 687-BR</v>
          </cell>
        </row>
        <row r="2">
          <cell r="B2" t="str">
            <v>01.04.2025</v>
          </cell>
        </row>
        <row r="5">
          <cell r="B5" t="str">
            <v>XAYATOV OTABEK KURBANOVICH</v>
          </cell>
        </row>
        <row r="12">
          <cell r="B12" t="str">
            <v>XAYATOV OTABEK KURBANOVICH</v>
          </cell>
        </row>
        <row r="16">
          <cell r="B16" t="str">
            <v>AB 7858443</v>
          </cell>
        </row>
        <row r="20">
          <cell r="B20" t="str">
            <v>BUXORO VILOYATI KOGON TUMAN IIB tomonidan 06.10.2017 yilda berilgan</v>
          </cell>
        </row>
        <row r="65">
          <cell r="B65" t="str">
            <v>mikroqarz</v>
          </cell>
        </row>
        <row r="75">
          <cell r="B75">
            <v>26000000</v>
          </cell>
        </row>
        <row r="76">
          <cell r="B76" t="str">
            <v>yigirma olti million so'm</v>
          </cell>
        </row>
        <row r="81">
          <cell r="B81">
            <v>48</v>
          </cell>
        </row>
        <row r="82">
          <cell r="B82" t="str">
            <v xml:space="preserve">Qirq sakkiz  </v>
          </cell>
        </row>
        <row r="106">
          <cell r="B106" t="str">
            <v>202502386001856</v>
          </cell>
        </row>
        <row r="107">
          <cell r="B107" t="str">
            <v>01.04.2025</v>
          </cell>
        </row>
        <row r="109">
          <cell r="B109" t="str">
            <v>05.04.2025 yildagi</v>
          </cell>
        </row>
        <row r="110">
          <cell r="B110" t="str">
            <v>№ 02/04-001</v>
          </cell>
        </row>
        <row r="111">
          <cell r="B111" t="str">
            <v>Avtotransport</v>
          </cell>
          <cell r="C111" t="str">
            <v>Avtotransport</v>
          </cell>
        </row>
        <row r="119">
          <cell r="B119" t="str">
            <v>FAYZIYEV JAMSHID KURBONOVICH</v>
          </cell>
          <cell r="C119">
            <v>0</v>
          </cell>
        </row>
        <row r="125">
          <cell r="B125" t="str">
            <v>FAYZIYEV JAMSHID KURBONOVICH</v>
          </cell>
        </row>
        <row r="131">
          <cell r="C131" t="str">
            <v>SAMARQAND VILOYATI TAYLOQ TUMANI CHAROG'BON MFY YANGI TAYLOQ QISHLOG'I 6 TURAR JOY 12 QAVAT 58 XONADON</v>
          </cell>
        </row>
        <row r="132">
          <cell r="B132" t="str">
            <v>AAG   4517617  20.08.2024y</v>
          </cell>
          <cell r="C132" t="str">
            <v>13.12.2020 yildan 1718238/R-A1419303</v>
          </cell>
        </row>
        <row r="133">
          <cell r="B133" t="str">
            <v>SPARK</v>
          </cell>
          <cell r="C133" t="str">
            <v>3 - xonali yakka tartibdagi uy-joy</v>
          </cell>
        </row>
        <row r="134">
          <cell r="B134" t="str">
            <v>80Y320AB</v>
          </cell>
          <cell r="C134" t="str">
            <v>3 - xonali yakka tartibdagi uy-joy</v>
          </cell>
        </row>
        <row r="135">
          <cell r="B135" t="str">
            <v>kuzov turi - YENGIL SEDAN, kuzov raqami XWBMF481EBA580791</v>
          </cell>
        </row>
        <row r="138">
          <cell r="B138" t="str">
            <v>dvigatel raqami B10D1606437KC3, shassi raqami - RAKAMSIZ</v>
          </cell>
          <cell r="C138">
            <v>72.13</v>
          </cell>
          <cell r="E138" t="str">
            <v>72,13 kv.m</v>
          </cell>
          <cell r="F138">
            <v>34.739999999999995</v>
          </cell>
        </row>
        <row r="141">
          <cell r="B141" t="str">
            <v>rangi -  OQ BELAYA "KASABLANKA", ishlab chiqarilgan yili - 2011</v>
          </cell>
          <cell r="C141" t="str">
            <v>37,39</v>
          </cell>
          <cell r="E141" t="str">
            <v>37,39 kv.m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tabColor rgb="FF00B050"/>
  </sheetPr>
  <dimension ref="A1:BK178"/>
  <sheetViews>
    <sheetView topLeftCell="A146" zoomScale="85" zoomScaleNormal="85" workbookViewId="0">
      <selection activeCell="B106" sqref="B106"/>
    </sheetView>
  </sheetViews>
  <sheetFormatPr defaultColWidth="0" defaultRowHeight="15" zeroHeight="1" x14ac:dyDescent="0.2"/>
  <cols>
    <col min="1" max="1" width="44.42578125" style="161" customWidth="1"/>
    <col min="2" max="2" width="61.85546875" style="163" customWidth="1"/>
    <col min="3" max="3" width="20" style="160" customWidth="1"/>
    <col min="4" max="4" width="29.7109375" style="160" customWidth="1"/>
    <col min="5" max="7" width="9.140625" style="160" hidden="1" customWidth="1"/>
    <col min="8" max="8" width="62.5703125" style="160" hidden="1" customWidth="1"/>
    <col min="9" max="13" width="9.140625" style="160" hidden="1" customWidth="1"/>
    <col min="14" max="14" width="70.7109375" style="160" hidden="1" customWidth="1"/>
    <col min="15" max="16" width="9.140625" style="160" hidden="1" customWidth="1"/>
    <col min="17" max="17" width="59.7109375" style="160" hidden="1" customWidth="1"/>
    <col min="18" max="18" width="49.85546875" style="160" hidden="1" customWidth="1"/>
    <col min="19" max="16384" width="9.140625" style="160" hidden="1"/>
  </cols>
  <sheetData>
    <row r="1" spans="1:4" x14ac:dyDescent="0.2">
      <c r="A1" s="3" t="str">
        <f>CONCATENATE(B65," olish uchun ariza")</f>
        <v>mikroqarz olish uchun ariza</v>
      </c>
      <c r="B1" s="236" t="s">
        <v>459</v>
      </c>
    </row>
    <row r="2" spans="1:4" ht="30" x14ac:dyDescent="0.2">
      <c r="A2" s="3" t="str">
        <f>CONCATENATE(B65," olish uchun ariza sanasi QO’L BILAN KIRITILADI")</f>
        <v>mikroqarz olish uchun ariza sanasi QO’L BILAN KIRITILADI</v>
      </c>
      <c r="B2" s="237" t="s">
        <v>460</v>
      </c>
      <c r="D2" s="160">
        <f>180+B2</f>
        <v>46225</v>
      </c>
    </row>
    <row r="3" spans="1:4" hidden="1" x14ac:dyDescent="0.2">
      <c r="A3" s="3"/>
      <c r="B3" s="1"/>
    </row>
    <row r="4" spans="1:4" x14ac:dyDescent="0.2">
      <c r="A4" s="261" t="s">
        <v>49</v>
      </c>
      <c r="B4" s="261"/>
    </row>
    <row r="5" spans="1:4" ht="30" x14ac:dyDescent="0.2">
      <c r="A5" s="3" t="s">
        <v>50</v>
      </c>
      <c r="B5" s="236" t="s">
        <v>426</v>
      </c>
    </row>
    <row r="6" spans="1:4" ht="28.5" customHeight="1" x14ac:dyDescent="0.2">
      <c r="A6" s="3" t="s">
        <v>51</v>
      </c>
      <c r="B6" s="236" t="s">
        <v>63</v>
      </c>
      <c r="C6" s="160" t="s">
        <v>251</v>
      </c>
      <c r="D6" s="160" t="s">
        <v>130</v>
      </c>
    </row>
    <row r="7" spans="1:4" ht="30" x14ac:dyDescent="0.2">
      <c r="A7" s="3" t="s">
        <v>52</v>
      </c>
      <c r="B7" s="236" t="s">
        <v>427</v>
      </c>
    </row>
    <row r="8" spans="1:4" ht="30" hidden="1" x14ac:dyDescent="0.2">
      <c r="A8" s="3" t="s">
        <v>53</v>
      </c>
      <c r="B8" s="251" t="str">
        <f>B5</f>
        <v>XAMRAYEVA XUSHVAXT GAYBULLAYEVNA</v>
      </c>
    </row>
    <row r="9" spans="1:4" hidden="1" x14ac:dyDescent="0.2">
      <c r="A9" s="3" t="s">
        <v>54</v>
      </c>
      <c r="B9" s="251" t="str">
        <f>B7</f>
        <v>XAMRAYEVA X.G.</v>
      </c>
    </row>
    <row r="10" spans="1:4" ht="30" hidden="1" x14ac:dyDescent="0.2">
      <c r="A10" s="3" t="s">
        <v>55</v>
      </c>
      <c r="B10" s="251" t="str">
        <f>B8</f>
        <v>XAMRAYEVA XUSHVAXT GAYBULLAYEVNA</v>
      </c>
    </row>
    <row r="11" spans="1:4" hidden="1" x14ac:dyDescent="0.2">
      <c r="A11" s="3" t="s">
        <v>56</v>
      </c>
      <c r="B11" s="251" t="str">
        <f>B9</f>
        <v>XAMRAYEVA X.G.</v>
      </c>
    </row>
    <row r="12" spans="1:4" ht="30" hidden="1" x14ac:dyDescent="0.2">
      <c r="A12" s="3" t="s">
        <v>57</v>
      </c>
      <c r="B12" s="251" t="str">
        <f>B10</f>
        <v>XAMRAYEVA XUSHVAXT GAYBULLAYEVNA</v>
      </c>
    </row>
    <row r="13" spans="1:4" hidden="1" x14ac:dyDescent="0.2">
      <c r="A13" s="3" t="s">
        <v>58</v>
      </c>
      <c r="B13" s="251" t="str">
        <f>B11</f>
        <v>XAMRAYEVA X.G.</v>
      </c>
    </row>
    <row r="14" spans="1:4" hidden="1" x14ac:dyDescent="0.2">
      <c r="A14" s="3" t="s">
        <v>59</v>
      </c>
      <c r="B14" s="251" t="s">
        <v>62</v>
      </c>
    </row>
    <row r="15" spans="1:4" x14ac:dyDescent="0.2">
      <c r="A15" s="3" t="s">
        <v>60</v>
      </c>
      <c r="B15" s="252" t="s">
        <v>428</v>
      </c>
    </row>
    <row r="16" spans="1:4" x14ac:dyDescent="0.2">
      <c r="A16" s="3" t="s">
        <v>61</v>
      </c>
      <c r="B16" s="236" t="s">
        <v>429</v>
      </c>
    </row>
    <row r="17" spans="1:7" x14ac:dyDescent="0.2">
      <c r="A17" s="3"/>
      <c r="B17" s="236" t="s">
        <v>430</v>
      </c>
      <c r="D17" s="160" t="str">
        <f>TEXT(C17,"ДД.ММ.ГГГГ")</f>
        <v>00.01.1900</v>
      </c>
    </row>
    <row r="18" spans="1:7" x14ac:dyDescent="0.2">
      <c r="A18" s="3"/>
      <c r="B18" s="253">
        <v>42754</v>
      </c>
      <c r="C18" s="200" t="str">
        <f>TEXT(B18,"ДД.ММ.ГГГГ")</f>
        <v>19.01.2017</v>
      </c>
    </row>
    <row r="19" spans="1:7" x14ac:dyDescent="0.2">
      <c r="A19" s="3"/>
      <c r="B19" s="253">
        <v>46405</v>
      </c>
      <c r="C19" s="200" t="str">
        <f>TEXT(B19,"ДД.ММ.ГГГГ")</f>
        <v>18.01.2027</v>
      </c>
    </row>
    <row r="20" spans="1:7" ht="71.25" x14ac:dyDescent="0.2">
      <c r="A20" s="3" t="s">
        <v>64</v>
      </c>
      <c r="B20" s="55" t="str">
        <f>""&amp;B17&amp;" tomonidan "&amp;C18&amp;" yilda berilgan"</f>
        <v>BUXORO VILOYATI BUXORO SHAHAR IIB tomonidan 19.01.2017 yilda berilgan</v>
      </c>
      <c r="C20" s="201" t="str">
        <f>""&amp;B17&amp;" tomonidan "&amp;C18&amp;" yilda berilgan"</f>
        <v>BUXORO VILOYATI BUXORO SHAHAR IIB tomonidan 19.01.2017 yilda berilgan</v>
      </c>
    </row>
    <row r="21" spans="1:7" ht="45" x14ac:dyDescent="0.2">
      <c r="A21" s="3" t="s">
        <v>65</v>
      </c>
      <c r="B21" s="258" t="str">
        <f>""&amp;C19&amp;" y."</f>
        <v>18.01.2027 y.</v>
      </c>
      <c r="C21" s="200" t="str">
        <f>""&amp;C19&amp;" yilgacha"</f>
        <v>18.01.2027 yilgacha</v>
      </c>
    </row>
    <row r="22" spans="1:7" ht="64.5" customHeight="1" x14ac:dyDescent="0.2">
      <c r="A22" s="3" t="s">
        <v>66</v>
      </c>
      <c r="B22" s="236" t="s">
        <v>431</v>
      </c>
      <c r="C22" s="200" t="str">
        <f>TEXT(B19,"ДД.ММ.ГГГГ")</f>
        <v>18.01.2027</v>
      </c>
    </row>
    <row r="23" spans="1:7" ht="30" x14ac:dyDescent="0.2">
      <c r="A23" s="3" t="s">
        <v>67</v>
      </c>
      <c r="B23" s="236" t="s">
        <v>91</v>
      </c>
      <c r="C23" s="160" t="s">
        <v>91</v>
      </c>
      <c r="D23" s="160" t="s">
        <v>92</v>
      </c>
    </row>
    <row r="24" spans="1:7" ht="30" hidden="1" x14ac:dyDescent="0.2">
      <c r="A24" s="3" t="s">
        <v>68</v>
      </c>
      <c r="B24" s="251" t="s">
        <v>89</v>
      </c>
      <c r="C24" s="160" t="s">
        <v>89</v>
      </c>
      <c r="D24" s="160" t="s">
        <v>90</v>
      </c>
      <c r="E24" s="160" t="s">
        <v>0</v>
      </c>
      <c r="F24" s="160" t="s">
        <v>1</v>
      </c>
      <c r="G24" s="160" t="s">
        <v>3</v>
      </c>
    </row>
    <row r="25" spans="1:7" ht="30" x14ac:dyDescent="0.2">
      <c r="A25" s="3" t="s">
        <v>69</v>
      </c>
      <c r="B25" s="236" t="s">
        <v>432</v>
      </c>
    </row>
    <row r="26" spans="1:7" ht="44.25" customHeight="1" x14ac:dyDescent="0.2">
      <c r="A26" s="3" t="s">
        <v>70</v>
      </c>
      <c r="B26" s="236" t="s">
        <v>433</v>
      </c>
      <c r="C26" s="160" t="s">
        <v>24</v>
      </c>
    </row>
    <row r="27" spans="1:7" ht="44.25" hidden="1" customHeight="1" x14ac:dyDescent="0.2">
      <c r="A27" s="3"/>
      <c r="B27" s="236" t="str">
        <f>IF(B23="mos keladi",B22,B28)</f>
        <v>BUXORO VILOYATI BUXORO SHAHRI RUXSHOBOD KO'CHASI</v>
      </c>
    </row>
    <row r="28" spans="1:7" ht="45" x14ac:dyDescent="0.2">
      <c r="A28" s="3" t="s">
        <v>71</v>
      </c>
      <c r="B28" s="236" t="s">
        <v>431</v>
      </c>
    </row>
    <row r="29" spans="1:7" x14ac:dyDescent="0.2">
      <c r="A29" s="3" t="s">
        <v>72</v>
      </c>
      <c r="B29" s="236" t="s">
        <v>89</v>
      </c>
      <c r="C29" s="160" t="s">
        <v>89</v>
      </c>
      <c r="D29" s="160" t="s">
        <v>90</v>
      </c>
      <c r="E29" s="160" t="s">
        <v>320</v>
      </c>
      <c r="F29" s="160" t="s">
        <v>321</v>
      </c>
      <c r="G29" s="160" t="s">
        <v>3</v>
      </c>
    </row>
    <row r="30" spans="1:7" ht="27" x14ac:dyDescent="0.2">
      <c r="A30" s="3" t="s">
        <v>73</v>
      </c>
      <c r="B30" s="180" t="s">
        <v>145</v>
      </c>
      <c r="C30" s="160" t="s">
        <v>145</v>
      </c>
      <c r="D30" s="160" t="s">
        <v>324</v>
      </c>
    </row>
    <row r="31" spans="1:7" x14ac:dyDescent="0.2">
      <c r="A31" s="3" t="s">
        <v>74</v>
      </c>
      <c r="B31" s="236" t="s">
        <v>434</v>
      </c>
    </row>
    <row r="32" spans="1:7" x14ac:dyDescent="0.2">
      <c r="A32" s="3" t="s">
        <v>59</v>
      </c>
      <c r="B32" s="181" t="s">
        <v>62</v>
      </c>
    </row>
    <row r="33" spans="1:4" ht="30" x14ac:dyDescent="0.2">
      <c r="A33" s="3" t="s">
        <v>69</v>
      </c>
      <c r="B33" s="236" t="s">
        <v>432</v>
      </c>
    </row>
    <row r="34" spans="1:4" hidden="1" x14ac:dyDescent="0.2">
      <c r="A34" s="3"/>
      <c r="B34" s="244" t="str">
        <f>IF(B23="mos keladi",B26,B35)</f>
        <v>AMIRON TO'YXONA</v>
      </c>
    </row>
    <row r="35" spans="1:4" x14ac:dyDescent="0.2">
      <c r="A35" s="3" t="s">
        <v>70</v>
      </c>
      <c r="B35" s="244"/>
    </row>
    <row r="36" spans="1:4" x14ac:dyDescent="0.2">
      <c r="A36" s="3" t="s">
        <v>75</v>
      </c>
      <c r="B36" s="244"/>
    </row>
    <row r="37" spans="1:4" x14ac:dyDescent="0.2">
      <c r="A37" s="3" t="s">
        <v>76</v>
      </c>
      <c r="B37" s="244"/>
    </row>
    <row r="38" spans="1:4" x14ac:dyDescent="0.2">
      <c r="A38" s="3" t="s">
        <v>77</v>
      </c>
      <c r="B38" s="244"/>
    </row>
    <row r="39" spans="1:4" x14ac:dyDescent="0.2">
      <c r="A39" s="3" t="s">
        <v>78</v>
      </c>
      <c r="B39" s="244"/>
    </row>
    <row r="40" spans="1:4" ht="24.75" customHeight="1" x14ac:dyDescent="0.2">
      <c r="A40" s="3" t="s">
        <v>79</v>
      </c>
      <c r="B40" s="236" t="s">
        <v>432</v>
      </c>
    </row>
    <row r="41" spans="1:4" ht="24.75" customHeight="1" x14ac:dyDescent="0.2">
      <c r="A41" s="3" t="s">
        <v>80</v>
      </c>
      <c r="B41" s="236" t="s">
        <v>436</v>
      </c>
    </row>
    <row r="42" spans="1:4" ht="24.75" customHeight="1" x14ac:dyDescent="0.2">
      <c r="A42" s="3" t="s">
        <v>79</v>
      </c>
      <c r="B42" s="236" t="s">
        <v>435</v>
      </c>
    </row>
    <row r="43" spans="1:4" ht="30" x14ac:dyDescent="0.2">
      <c r="A43" s="3" t="s">
        <v>80</v>
      </c>
      <c r="B43" s="46"/>
    </row>
    <row r="44" spans="1:4" ht="46.5" x14ac:dyDescent="0.2">
      <c r="A44" s="155" t="s">
        <v>81</v>
      </c>
      <c r="B44" s="154" t="s">
        <v>426</v>
      </c>
      <c r="C44" s="160" t="str">
        <f>+B5</f>
        <v>XAMRAYEVA XUSHVAXT GAYBULLAYEVNA</v>
      </c>
      <c r="D44" s="160" t="s">
        <v>342</v>
      </c>
    </row>
    <row r="45" spans="1:4" hidden="1" x14ac:dyDescent="0.2">
      <c r="A45" s="3"/>
      <c r="B45" s="153" t="str">
        <f>IF(B44=D44,CONCATENATE("MA'LUMOTNOMA ",B47,B46),C44)</f>
        <v>XAMRAYEVA XUSHVAXT GAYBULLAYEVNA</v>
      </c>
    </row>
    <row r="46" spans="1:4" ht="93" x14ac:dyDescent="0.2">
      <c r="A46" s="155" t="s">
        <v>343</v>
      </c>
      <c r="B46" s="164"/>
    </row>
    <row r="47" spans="1:4" ht="23.25" x14ac:dyDescent="0.2">
      <c r="A47" s="155"/>
      <c r="B47" s="164"/>
      <c r="C47" s="160" t="s">
        <v>14</v>
      </c>
    </row>
    <row r="48" spans="1:4" ht="93" x14ac:dyDescent="0.2">
      <c r="A48" s="155" t="s">
        <v>344</v>
      </c>
      <c r="B48" s="153"/>
    </row>
    <row r="49" spans="1:4" hidden="1" x14ac:dyDescent="0.2">
      <c r="A49" s="3" t="s">
        <v>82</v>
      </c>
      <c r="B49" s="46" t="str">
        <f>IF(B44=C44,C44,B48)</f>
        <v>XAMRAYEVA XUSHVAXT GAYBULLAYEVNA</v>
      </c>
    </row>
    <row r="50" spans="1:4" ht="45" x14ac:dyDescent="0.2">
      <c r="A50" s="3" t="s">
        <v>83</v>
      </c>
      <c r="B50" s="46"/>
    </row>
    <row r="51" spans="1:4" x14ac:dyDescent="0.2">
      <c r="A51" s="3" t="s">
        <v>70</v>
      </c>
      <c r="B51" s="46"/>
    </row>
    <row r="52" spans="1:4" x14ac:dyDescent="0.2">
      <c r="A52" s="3" t="s">
        <v>84</v>
      </c>
      <c r="B52" s="46"/>
    </row>
    <row r="53" spans="1:4" x14ac:dyDescent="0.2">
      <c r="A53" s="3" t="s">
        <v>85</v>
      </c>
      <c r="B53" s="46"/>
    </row>
    <row r="54" spans="1:4" x14ac:dyDescent="0.2">
      <c r="A54" s="3" t="s">
        <v>86</v>
      </c>
      <c r="B54" s="46"/>
    </row>
    <row r="55" spans="1:4" x14ac:dyDescent="0.2">
      <c r="A55" s="3" t="s">
        <v>87</v>
      </c>
      <c r="B55" s="2"/>
    </row>
    <row r="56" spans="1:4" x14ac:dyDescent="0.2">
      <c r="A56" s="3" t="s">
        <v>88</v>
      </c>
      <c r="B56" s="2" t="s">
        <v>21</v>
      </c>
    </row>
    <row r="57" spans="1:4" ht="30" customHeight="1" x14ac:dyDescent="0.2">
      <c r="A57" s="262" t="s">
        <v>93</v>
      </c>
      <c r="B57" s="263"/>
    </row>
    <row r="58" spans="1:4" ht="20.25" hidden="1" customHeight="1" x14ac:dyDescent="0.2">
      <c r="A58" s="3" t="s">
        <v>94</v>
      </c>
      <c r="B58" s="46" t="str">
        <f>IF(B44=C44,C44,CONCATENATE(B44," ",B47))</f>
        <v>XAMRAYEVA XUSHVAXT GAYBULLAYEVNA</v>
      </c>
    </row>
    <row r="59" spans="1:4" ht="31.5" hidden="1" customHeight="1" x14ac:dyDescent="0.2">
      <c r="A59" s="3" t="s">
        <v>82</v>
      </c>
      <c r="B59" s="46" t="str">
        <f>B49</f>
        <v>XAMRAYEVA XUSHVAXT GAYBULLAYEVNA</v>
      </c>
    </row>
    <row r="60" spans="1:4" ht="23.25" x14ac:dyDescent="0.2">
      <c r="A60" s="155" t="s">
        <v>95</v>
      </c>
      <c r="B60" s="158">
        <v>16000000</v>
      </c>
      <c r="C60" s="202">
        <f>C63/B76</f>
        <v>0.45974600400000004</v>
      </c>
    </row>
    <row r="61" spans="1:4" x14ac:dyDescent="0.2">
      <c r="A61" s="3" t="s">
        <v>96</v>
      </c>
      <c r="B61" s="5">
        <v>0</v>
      </c>
      <c r="C61" s="203" t="s">
        <v>373</v>
      </c>
    </row>
    <row r="62" spans="1:4" hidden="1" x14ac:dyDescent="0.2">
      <c r="A62" s="3" t="s">
        <v>97</v>
      </c>
      <c r="B62" s="46">
        <f>B53</f>
        <v>0</v>
      </c>
      <c r="C62" s="204"/>
    </row>
    <row r="63" spans="1:4" ht="30" x14ac:dyDescent="0.2">
      <c r="A63" s="3" t="s">
        <v>98</v>
      </c>
      <c r="B63" s="46"/>
      <c r="C63" s="205">
        <f>SUM(grafik!E9:E20)</f>
        <v>22987300.200000003</v>
      </c>
    </row>
    <row r="64" spans="1:4" x14ac:dyDescent="0.2">
      <c r="A64" s="261" t="s">
        <v>99</v>
      </c>
      <c r="B64" s="261"/>
      <c r="C64" s="160" t="str">
        <f>PROPER(B65)</f>
        <v>Mikroqarz</v>
      </c>
      <c r="D64" s="160" t="str">
        <f>UPPER(B65)</f>
        <v>MIKROQARZ</v>
      </c>
    </row>
    <row r="65" spans="1:14" x14ac:dyDescent="0.2">
      <c r="A65" s="3" t="s">
        <v>100</v>
      </c>
      <c r="B65" s="1" t="str">
        <f>IF(B76&gt;100000001,"mikrokredit",IF(B76&lt;100000001,"mikroqarz",0))</f>
        <v>mikroqarz</v>
      </c>
      <c r="C65" s="206">
        <f>DATE(YEAR(B67),MONTH(B67)+B82,DAY(B67))</f>
        <v>47506</v>
      </c>
    </row>
    <row r="66" spans="1:14" hidden="1" x14ac:dyDescent="0.2">
      <c r="A66" s="3" t="s">
        <v>101</v>
      </c>
      <c r="B66" s="46" t="str">
        <f>B1</f>
        <v>№195-BRS</v>
      </c>
      <c r="C66" s="160">
        <f>MONTH(C65)</f>
        <v>1</v>
      </c>
      <c r="D66" s="160" t="str">
        <f>IF(C66=C68,C70,IF(C66=D68,D70,IF(C66=E68,E70,IF(C66=F68,F70,IF(C66=G68,G70,IF(C66=H68,H70,IF(C66=I68,I70,IF(C66=J68,J70,IF(C66=K68,K70,IF(C66=L68,L70,IF(C66=M68,M70,IF(C66=N68,N70,))))))))))))</f>
        <v>yanvar</v>
      </c>
      <c r="E66" s="160">
        <f>DAY(C65)</f>
        <v>23</v>
      </c>
      <c r="F66" s="160">
        <f>YEAR(C65)</f>
        <v>2030</v>
      </c>
      <c r="G66" s="160">
        <f>MONTH(C65)</f>
        <v>1</v>
      </c>
      <c r="H66" s="160" t="str">
        <f>IF(C66=C68,C71,IF(C66=D68,D71,IF(C66=E68,E71,IF(C66=F68,F71,IF(C66=G68,G71,IF(C66=H68,H71,IF(C66=I68,I71,IF(C66=J68,J71,IF(C66=K68,K71,IF(C66=L68,L71,IF(C66=M68,M71,IF(C66=N68,N71,))))))))))))</f>
        <v>yanvar</v>
      </c>
      <c r="I66" s="160">
        <f>YEAR(C65)</f>
        <v>2030</v>
      </c>
    </row>
    <row r="67" spans="1:14" hidden="1" x14ac:dyDescent="0.2">
      <c r="A67" s="3" t="s">
        <v>102</v>
      </c>
      <c r="B67" s="75" t="str">
        <f>B2</f>
        <v>23.01.2026</v>
      </c>
      <c r="C67" s="160">
        <f>MONTH(B67)</f>
        <v>1</v>
      </c>
      <c r="D67" s="160" t="str">
        <f>IF(C67=C68,C70,IF(C67=D68,D70,IF(C67=E68,E70,IF(C67=F68,F70,IF(C67=G68,G70,IF(C67=H68,H70,IF(C67=I68,I70,IF(C67=J68,J70,IF(C67=K68,K70,IF(C67=L68,L70,IF(C67=M68,M70,IF(C67=N68,N70,))))))))))))</f>
        <v>yanvar</v>
      </c>
      <c r="E67" s="160">
        <f>DAY(B67)</f>
        <v>23</v>
      </c>
      <c r="F67" s="160">
        <f>YEAR(B67)</f>
        <v>2026</v>
      </c>
      <c r="G67" s="160">
        <f>MONTH(B67)</f>
        <v>1</v>
      </c>
      <c r="H67" s="160" t="str">
        <f>IF(C67=C68,C71,IF(C67=D68,D71,IF(C67=E68,E71,IF(C67=F68,F71,IF(C67=G68,G71,IF(C67=H68,H71,IF(C67=I68,I71,IF(C67=J68,J71,IF(C67=K68,K71,IF(C67=L68,L71,IF(C67=M68,M71,IF(C67=N68,N71,))))))))))))</f>
        <v>yanvar</v>
      </c>
      <c r="I67" s="160">
        <f>YEAR(B67)</f>
        <v>2026</v>
      </c>
    </row>
    <row r="68" spans="1:14" hidden="1" x14ac:dyDescent="0.2">
      <c r="A68" s="3" t="s">
        <v>103</v>
      </c>
      <c r="B68" s="68" t="str">
        <f>""&amp;E67&amp;" "&amp;D67&amp;" "&amp;F67&amp;" y."</f>
        <v>23 yanvar 2026 y.</v>
      </c>
      <c r="C68" s="160">
        <v>1</v>
      </c>
      <c r="D68" s="160">
        <v>2</v>
      </c>
      <c r="E68" s="160">
        <v>3</v>
      </c>
      <c r="F68" s="160">
        <v>4</v>
      </c>
      <c r="G68" s="160">
        <v>5</v>
      </c>
      <c r="H68" s="160">
        <v>6</v>
      </c>
      <c r="I68" s="160">
        <v>7</v>
      </c>
      <c r="J68" s="160">
        <v>8</v>
      </c>
      <c r="K68" s="160">
        <v>9</v>
      </c>
      <c r="L68" s="160">
        <v>10</v>
      </c>
      <c r="M68" s="160">
        <v>11</v>
      </c>
      <c r="N68" s="160">
        <v>12</v>
      </c>
    </row>
    <row r="69" spans="1:14" hidden="1" x14ac:dyDescent="0.2">
      <c r="A69" s="3"/>
      <c r="B69" s="68" t="str">
        <f>""&amp;E67&amp;" "&amp;H67&amp;" "&amp;F67&amp;" y."</f>
        <v>23 yanvar 2026 y.</v>
      </c>
    </row>
    <row r="70" spans="1:14" hidden="1" x14ac:dyDescent="0.2">
      <c r="A70" s="3"/>
      <c r="B70" s="54" t="str">
        <f>B68</f>
        <v>23 yanvar 2026 y.</v>
      </c>
      <c r="C70" s="160" t="s">
        <v>115</v>
      </c>
      <c r="D70" s="160" t="s">
        <v>116</v>
      </c>
      <c r="E70" s="160" t="s">
        <v>105</v>
      </c>
      <c r="F70" s="160" t="s">
        <v>106</v>
      </c>
      <c r="G70" s="160" t="s">
        <v>107</v>
      </c>
      <c r="H70" s="160" t="s">
        <v>108</v>
      </c>
      <c r="I70" s="160" t="s">
        <v>109</v>
      </c>
      <c r="J70" s="160" t="s">
        <v>110</v>
      </c>
      <c r="K70" s="160" t="s">
        <v>111</v>
      </c>
      <c r="L70" s="160" t="s">
        <v>112</v>
      </c>
      <c r="M70" s="160" t="s">
        <v>113</v>
      </c>
      <c r="N70" s="160" t="s">
        <v>114</v>
      </c>
    </row>
    <row r="71" spans="1:14" hidden="1" x14ac:dyDescent="0.2">
      <c r="A71" s="3"/>
      <c r="B71" s="54" t="str">
        <f>B69</f>
        <v>23 yanvar 2026 y.</v>
      </c>
      <c r="C71" s="160" t="s">
        <v>115</v>
      </c>
      <c r="D71" s="160" t="s">
        <v>116</v>
      </c>
      <c r="E71" s="160" t="s">
        <v>105</v>
      </c>
      <c r="F71" s="160" t="s">
        <v>106</v>
      </c>
      <c r="G71" s="160" t="s">
        <v>107</v>
      </c>
      <c r="H71" s="160" t="s">
        <v>108</v>
      </c>
      <c r="I71" s="160" t="s">
        <v>109</v>
      </c>
      <c r="J71" s="160" t="s">
        <v>110</v>
      </c>
      <c r="K71" s="160" t="s">
        <v>111</v>
      </c>
      <c r="L71" s="160" t="s">
        <v>112</v>
      </c>
      <c r="M71" s="160" t="s">
        <v>113</v>
      </c>
      <c r="N71" s="160" t="s">
        <v>114</v>
      </c>
    </row>
    <row r="72" spans="1:14" hidden="1" x14ac:dyDescent="0.2">
      <c r="A72" s="3" t="s">
        <v>104</v>
      </c>
      <c r="B72" s="53" t="str">
        <f>""&amp;E66&amp;" "&amp;D66&amp;" "&amp;F66&amp;" y."</f>
        <v>23 yanvar 2030 y.</v>
      </c>
    </row>
    <row r="73" spans="1:14" hidden="1" x14ac:dyDescent="0.2">
      <c r="A73" s="3"/>
      <c r="B73" s="53" t="str">
        <f>""&amp;E66&amp;" "&amp;H66&amp;" "&amp;F66&amp;" y."</f>
        <v>23 yanvar 2030 y.</v>
      </c>
    </row>
    <row r="74" spans="1:14" ht="15.75" hidden="1" thickBot="1" x14ac:dyDescent="0.25">
      <c r="A74" s="3" t="s">
        <v>117</v>
      </c>
      <c r="B74" s="1" t="str">
        <f>""&amp;B68&amp;"dan "&amp;B66&amp;""</f>
        <v>23 yanvar 2026 y.dan №195-BRS</v>
      </c>
    </row>
    <row r="75" spans="1:14" ht="15.75" thickBot="1" x14ac:dyDescent="0.25">
      <c r="A75" s="3" t="str">
        <f>CONCATENATE(B65," miqdori (summasi)")</f>
        <v>mikroqarz miqdori (summasi)</v>
      </c>
      <c r="B75" s="254">
        <v>36000000</v>
      </c>
    </row>
    <row r="76" spans="1:14" x14ac:dyDescent="0.2">
      <c r="A76" s="3" t="str">
        <f>CONCATENATE(B65," miqdori (summasi)")</f>
        <v>mikroqarz miqdori (summasi)</v>
      </c>
      <c r="B76" s="62">
        <f>B75+B153</f>
        <v>50000000</v>
      </c>
      <c r="C76" s="207" t="s">
        <v>123</v>
      </c>
    </row>
    <row r="77" spans="1:14" x14ac:dyDescent="0.2">
      <c r="A77" s="136" t="s">
        <v>118</v>
      </c>
      <c r="B77" s="4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ellik million so'm</v>
      </c>
      <c r="C77" s="208"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Ellik million so'm</v>
      </c>
    </row>
    <row r="78" spans="1:14" x14ac:dyDescent="0.2">
      <c r="A78" s="3" t="s">
        <v>119</v>
      </c>
      <c r="B78" s="46" t="s">
        <v>125</v>
      </c>
      <c r="C78" s="160" t="s">
        <v>125</v>
      </c>
      <c r="D78" s="160" t="s">
        <v>124</v>
      </c>
    </row>
    <row r="79" spans="1:14" x14ac:dyDescent="0.2">
      <c r="A79" s="3" t="str">
        <f>CONCATENATE(B65,"ni to'lash sanasi (14.10.2011)")</f>
        <v>mikroqarzni to'lash sanasi (14.10.2011)</v>
      </c>
      <c r="B79" s="46">
        <v>5</v>
      </c>
      <c r="C79" s="206">
        <f>DATE(YEAR(B67),MONTH(B67)+1,DAY(B79))</f>
        <v>46058</v>
      </c>
      <c r="D79" s="160" t="s">
        <v>26</v>
      </c>
      <c r="E79" s="160" t="s">
        <v>27</v>
      </c>
      <c r="F79" s="160" t="s">
        <v>28</v>
      </c>
      <c r="G79" s="160" t="s">
        <v>29</v>
      </c>
      <c r="H79" s="160" t="s">
        <v>30</v>
      </c>
      <c r="I79" s="160" t="s">
        <v>31</v>
      </c>
      <c r="J79" s="160" t="s">
        <v>32</v>
      </c>
    </row>
    <row r="80" spans="1:14" ht="30" hidden="1" x14ac:dyDescent="0.25">
      <c r="A80" s="3" t="str">
        <f>CONCATENATE(B65,"ni to'lash sanasi (14.10.2011 y.) QO’L BILAN KIRITILADI")</f>
        <v>mikroqarzni to'lash sanasi (14.10.2011 y.) QO’L BILAN KIRITILADI</v>
      </c>
      <c r="B80" s="69">
        <f>DATE(YEAR(B67),MONTH(B67)+1,DAY(B79+C81))</f>
        <v>46058</v>
      </c>
      <c r="C80" s="209" t="str">
        <f>TEXT(C79,"ддд")</f>
        <v>Чт</v>
      </c>
      <c r="D80" s="160" t="s">
        <v>26</v>
      </c>
      <c r="E80" s="160" t="s">
        <v>27</v>
      </c>
      <c r="F80" s="160" t="s">
        <v>28</v>
      </c>
      <c r="G80" s="160" t="s">
        <v>29</v>
      </c>
      <c r="H80" s="160" t="s">
        <v>30</v>
      </c>
      <c r="I80" s="160" t="s">
        <v>31</v>
      </c>
      <c r="J80" s="160" t="s">
        <v>32</v>
      </c>
    </row>
    <row r="81" spans="1:63" ht="30" hidden="1" x14ac:dyDescent="0.2">
      <c r="A81" s="3" t="s">
        <v>120</v>
      </c>
      <c r="B81" s="70">
        <f>B80</f>
        <v>46058</v>
      </c>
      <c r="C81" s="160">
        <f>IF(C80=I80,2,IF(C80=J80,1,0))</f>
        <v>0</v>
      </c>
    </row>
    <row r="82" spans="1:63" x14ac:dyDescent="0.2">
      <c r="A82" s="3" t="str">
        <f>CONCATENATE(B65," muddati")</f>
        <v>mikroqarz muddati</v>
      </c>
      <c r="B82" s="46">
        <v>48</v>
      </c>
      <c r="C82" s="160">
        <v>6</v>
      </c>
      <c r="D82" s="160">
        <v>12</v>
      </c>
      <c r="E82" s="160">
        <v>18</v>
      </c>
      <c r="F82" s="160">
        <v>24</v>
      </c>
      <c r="G82" s="160">
        <v>36</v>
      </c>
    </row>
    <row r="83" spans="1:63" ht="30" x14ac:dyDescent="0.2">
      <c r="A83" s="3" t="str">
        <f>CONCATENATE(B65," muddati QO’L BILAN KIRITILADI")</f>
        <v>mikroqarz muddati QO’L BILAN KIRITILADI</v>
      </c>
      <c r="B83" s="4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ming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"&amp;SUBSTITUTE(SUBSTITUTE(SUBSTITUTE(SUBSTITUTE(SUBSTITUTE(SUBSTITUTE(SUBSTITUTE(SUBSTITUTE(RIGHT(TEXT(B82," "),2)&amp;"","1","1"),"2","2"),"3","3"),"4","4"),"11","11"),"12","12"),"13","13"),"14","14")</f>
        <v xml:space="preserve">Qirq sakkiz  </v>
      </c>
    </row>
    <row r="84" spans="1:63" ht="30" x14ac:dyDescent="0.2">
      <c r="A84" s="152" t="s">
        <v>339</v>
      </c>
      <c r="B84" s="134">
        <v>0</v>
      </c>
      <c r="BJ84" s="160">
        <v>1</v>
      </c>
      <c r="BK84" s="160">
        <v>0</v>
      </c>
    </row>
    <row r="85" spans="1:63" x14ac:dyDescent="0.2">
      <c r="A85" s="3" t="str">
        <f>CONCATENATE(B65," stavkasi")</f>
        <v>mikroqarz stavkasi</v>
      </c>
      <c r="B85" s="71">
        <v>0.55000000000000004</v>
      </c>
    </row>
    <row r="86" spans="1:63" x14ac:dyDescent="0.2">
      <c r="A86" s="3" t="str">
        <f>CONCATENATE(B65," stavkasi")</f>
        <v>mikroqarz stavkasi</v>
      </c>
      <c r="B86" s="72" t="s">
        <v>391</v>
      </c>
    </row>
    <row r="87" spans="1:63" x14ac:dyDescent="0.2">
      <c r="A87" s="3" t="str">
        <f>CONCATENATE(B65," stavkasi (so’z bilan)")</f>
        <v>mikroqarz stavkasi (so’z bilan)</v>
      </c>
      <c r="B87" s="7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c r="C87" s="160"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row>
    <row r="88" spans="1:63" x14ac:dyDescent="0.2">
      <c r="A88" s="3" t="str">
        <f>CONCATENATE("Muddati o'tgan ",B65," bo’yicha stavka")</f>
        <v>Muddati o'tgan mikroqarz bo’yicha stavka</v>
      </c>
      <c r="B88" s="71">
        <v>1.05</v>
      </c>
    </row>
    <row r="89" spans="1:63" x14ac:dyDescent="0.2">
      <c r="A89" s="136" t="s">
        <v>118</v>
      </c>
      <c r="B89" s="72" t="s">
        <v>392</v>
      </c>
    </row>
    <row r="90" spans="1:63" x14ac:dyDescent="0.2">
      <c r="A90" s="3" t="str">
        <f>CONCATENATE("Muddati o'tgan ",B65," bo’yicha stavka")</f>
        <v>Muddati o'tgan mikroqarz bo’yicha stavka</v>
      </c>
      <c r="B90" s="232" t="s">
        <v>409</v>
      </c>
      <c r="C90" s="233" t="s">
        <v>409</v>
      </c>
    </row>
    <row r="91" spans="1:63" x14ac:dyDescent="0.2">
      <c r="A91" s="3" t="s">
        <v>121</v>
      </c>
      <c r="B91" s="73">
        <f>IF(B78=C78,LARGE(grafik!F9:F26,1),ROUND(PMT(B85/12,B82,-B76,0),-3))</f>
        <v>3352169.07</v>
      </c>
    </row>
    <row r="92" spans="1:63" x14ac:dyDescent="0.2">
      <c r="A92" s="262" t="s">
        <v>380</v>
      </c>
      <c r="B92" s="263"/>
    </row>
    <row r="93" spans="1:63" x14ac:dyDescent="0.2">
      <c r="A93" s="174" t="s">
        <v>381</v>
      </c>
      <c r="B93" s="241" t="s">
        <v>454</v>
      </c>
    </row>
    <row r="94" spans="1:63" x14ac:dyDescent="0.2">
      <c r="A94" s="174" t="s">
        <v>382</v>
      </c>
      <c r="B94" s="237" t="s">
        <v>455</v>
      </c>
    </row>
    <row r="95" spans="1:63" x14ac:dyDescent="0.2">
      <c r="A95" s="174" t="s">
        <v>383</v>
      </c>
      <c r="B95" s="242" t="s">
        <v>456</v>
      </c>
    </row>
    <row r="96" spans="1:63" x14ac:dyDescent="0.2">
      <c r="A96" s="174" t="s">
        <v>384</v>
      </c>
      <c r="B96" s="242" t="s">
        <v>457</v>
      </c>
    </row>
    <row r="97" spans="1:4" x14ac:dyDescent="0.2">
      <c r="A97" s="174" t="s">
        <v>385</v>
      </c>
      <c r="B97" s="242" t="s">
        <v>458</v>
      </c>
    </row>
    <row r="98" spans="1:4" x14ac:dyDescent="0.2">
      <c r="A98" s="261" t="s">
        <v>122</v>
      </c>
      <c r="B98" s="261"/>
    </row>
    <row r="99" spans="1:4" ht="18" x14ac:dyDescent="0.2">
      <c r="A99" s="74"/>
      <c r="B99" s="128" t="s">
        <v>127</v>
      </c>
      <c r="C99" s="210" t="s">
        <v>127</v>
      </c>
      <c r="D99" s="160" t="s">
        <v>128</v>
      </c>
    </row>
    <row r="100" spans="1:4" ht="18" x14ac:dyDescent="0.2">
      <c r="A100" s="7" t="s">
        <v>133</v>
      </c>
      <c r="B100" s="128" t="s">
        <v>130</v>
      </c>
      <c r="C100" s="211" t="s">
        <v>129</v>
      </c>
      <c r="D100" s="160" t="s">
        <v>130</v>
      </c>
    </row>
    <row r="101" spans="1:4" ht="54" x14ac:dyDescent="0.2">
      <c r="A101" s="7" t="s">
        <v>134</v>
      </c>
      <c r="B101" s="128" t="s">
        <v>132</v>
      </c>
      <c r="C101" s="160" t="s">
        <v>131</v>
      </c>
      <c r="D101" s="160" t="s">
        <v>132</v>
      </c>
    </row>
    <row r="102" spans="1:4" ht="36" x14ac:dyDescent="0.2">
      <c r="A102" s="7" t="s">
        <v>135</v>
      </c>
      <c r="B102" s="245" t="s">
        <v>438</v>
      </c>
    </row>
    <row r="103" spans="1:4" ht="54" x14ac:dyDescent="0.2">
      <c r="A103" s="7" t="s">
        <v>136</v>
      </c>
      <c r="B103" s="245" t="s">
        <v>439</v>
      </c>
    </row>
    <row r="104" spans="1:4" x14ac:dyDescent="0.2">
      <c r="A104" s="261" t="s">
        <v>137</v>
      </c>
      <c r="B104" s="261"/>
    </row>
    <row r="105" spans="1:4" ht="36" x14ac:dyDescent="0.2">
      <c r="A105" s="7" t="s">
        <v>138</v>
      </c>
      <c r="B105" s="245" t="s">
        <v>437</v>
      </c>
    </row>
    <row r="106" spans="1:4" ht="54" x14ac:dyDescent="0.2">
      <c r="A106" s="7" t="s">
        <v>139</v>
      </c>
      <c r="B106" s="245" t="s">
        <v>440</v>
      </c>
    </row>
    <row r="107" spans="1:4" ht="18" x14ac:dyDescent="0.2">
      <c r="A107" s="7" t="s">
        <v>140</v>
      </c>
      <c r="B107" s="246" t="s">
        <v>441</v>
      </c>
    </row>
    <row r="108" spans="1:4" ht="18" x14ac:dyDescent="0.2">
      <c r="A108" s="7" t="s">
        <v>141</v>
      </c>
      <c r="B108" s="247">
        <v>46045</v>
      </c>
    </row>
    <row r="109" spans="1:4" ht="18" hidden="1" x14ac:dyDescent="0.2">
      <c r="A109" s="7"/>
      <c r="B109" s="128" t="str">
        <f>TEXT(B108,"ДД.ММ.ГГГГ")</f>
        <v>23.01.2026</v>
      </c>
    </row>
    <row r="110" spans="1:4" ht="18" x14ac:dyDescent="0.2">
      <c r="A110" s="7"/>
      <c r="B110" s="8" t="s">
        <v>142</v>
      </c>
      <c r="C110" s="160" t="s">
        <v>142</v>
      </c>
      <c r="D110" s="160" t="s">
        <v>143</v>
      </c>
    </row>
    <row r="111" spans="1:4" ht="90" x14ac:dyDescent="0.2">
      <c r="A111" s="157" t="s">
        <v>341</v>
      </c>
      <c r="B111" s="156" t="s">
        <v>340</v>
      </c>
      <c r="C111" s="212" t="s">
        <v>143</v>
      </c>
    </row>
    <row r="112" spans="1:4" ht="30" x14ac:dyDescent="0.2">
      <c r="A112" s="151" t="s">
        <v>362</v>
      </c>
      <c r="B112" s="248" t="s">
        <v>438</v>
      </c>
      <c r="C112" s="212"/>
    </row>
    <row r="113" spans="1:4" ht="30" x14ac:dyDescent="0.2">
      <c r="A113" s="151" t="s">
        <v>363</v>
      </c>
      <c r="B113" s="248" t="s">
        <v>439</v>
      </c>
      <c r="C113" s="212"/>
    </row>
    <row r="114" spans="1:4" ht="60" x14ac:dyDescent="0.2">
      <c r="A114" s="151" t="str">
        <f>A120</f>
        <v>Tug’ilgan sanasi (01.10.2011 y.)</v>
      </c>
      <c r="B114" s="257" t="s">
        <v>442</v>
      </c>
      <c r="C114" s="212"/>
    </row>
    <row r="115" spans="1:4" ht="60" x14ac:dyDescent="0.2">
      <c r="A115" s="151" t="str">
        <f>A121</f>
        <v>Pasport seriyasi (СА №1234567)</v>
      </c>
      <c r="B115" s="248" t="s">
        <v>443</v>
      </c>
      <c r="C115" s="212"/>
    </row>
    <row r="116" spans="1:4" ht="108.75" customHeight="1" x14ac:dyDescent="0.2">
      <c r="A116" s="151" t="str">
        <f>A122</f>
        <v xml:space="preserve">Kim va qachon berilgan
(Toshkent shahri Chilonzor IIB tomonidan 2011 yil __.____)
</v>
      </c>
      <c r="B116" s="248" t="s">
        <v>444</v>
      </c>
      <c r="C116" s="212"/>
    </row>
    <row r="117" spans="1:4" ht="150.75" customHeight="1" x14ac:dyDescent="0.2">
      <c r="A117" s="151" t="str">
        <f>A123</f>
        <v xml:space="preserve">doimiy ro’yhatdan o’tgan joyi
(Toshkent sh., Mirobod tumani, Nukus ko’chasi, 1 uy, 1 honadon)
</v>
      </c>
      <c r="B117" s="248" t="s">
        <v>445</v>
      </c>
      <c r="C117" s="212"/>
    </row>
    <row r="118" spans="1:4" hidden="1" x14ac:dyDescent="0.2">
      <c r="A118" s="126" t="s">
        <v>155</v>
      </c>
      <c r="B118" s="119" t="str">
        <f>IF(B100="HA",B5,B112)</f>
        <v>POSHSHAXANOVA NOZIMA ISMOILOVNA</v>
      </c>
      <c r="C118" s="213">
        <f>IF(B100="HA",B5,C112)</f>
        <v>0</v>
      </c>
    </row>
    <row r="119" spans="1:4" hidden="1" x14ac:dyDescent="0.2">
      <c r="A119" s="126"/>
      <c r="B119" s="119" t="str">
        <f>IF(B100="HA",B7,B113)</f>
        <v>POSHSHAXANOVA N.I.</v>
      </c>
      <c r="C119" s="213">
        <f>IF(B100="HA",B7,C113)</f>
        <v>0</v>
      </c>
    </row>
    <row r="120" spans="1:4" hidden="1" x14ac:dyDescent="0.2">
      <c r="A120" s="127" t="s">
        <v>156</v>
      </c>
      <c r="B120" s="150" t="str">
        <f>IF(B100="HA",B15,B114)</f>
        <v>18.05.1989 y</v>
      </c>
      <c r="C120" s="213">
        <f>IF(B100="HA",B15,C114)</f>
        <v>0</v>
      </c>
    </row>
    <row r="121" spans="1:4" hidden="1" x14ac:dyDescent="0.2">
      <c r="A121" s="127" t="s">
        <v>61</v>
      </c>
      <c r="B121" s="150" t="str">
        <f>IF(B100="HA",B16,B115)</f>
        <v>AD 7831291</v>
      </c>
      <c r="C121" s="213">
        <f>IF(B100="HA",B16,C115)</f>
        <v>0</v>
      </c>
    </row>
    <row r="122" spans="1:4" ht="30" hidden="1" customHeight="1" x14ac:dyDescent="0.2">
      <c r="A122" s="127" t="s">
        <v>64</v>
      </c>
      <c r="B122" s="119" t="str">
        <f>IF(B100="HA",B20,B116)</f>
        <v>TOSHKENT SHAHAR YASHNOBOD TUMANI DAVLAT XIZMATLARIMARKAZI  tomonidan 11.07.2024 yilda berilgan</v>
      </c>
      <c r="C122" s="213">
        <f>IF(B100="HA",B20,C116)</f>
        <v>0</v>
      </c>
      <c r="D122" s="160">
        <v>493193762</v>
      </c>
    </row>
    <row r="123" spans="1:4" ht="53.25" hidden="1" customHeight="1" x14ac:dyDescent="0.2">
      <c r="A123" s="127" t="s">
        <v>66</v>
      </c>
      <c r="B123" s="119" t="str">
        <f>IF(B100="HA",B22,B117)</f>
        <v>NAMANGAN VILOYATI CHORTOQ TUMANI ALIXON SHFY ALIXON MFY ROXAT KO'CHASI 31-UY</v>
      </c>
      <c r="C123" s="214">
        <f>IF(B100="HA",B22,C117)</f>
        <v>0</v>
      </c>
    </row>
    <row r="124" spans="1:4" hidden="1" x14ac:dyDescent="0.2">
      <c r="A124" s="127" t="s">
        <v>157</v>
      </c>
      <c r="B124" s="1" t="str">
        <f>IF(B100="ha",B5,B118)</f>
        <v>POSHSHAXANOVA NOZIMA ISMOILOVNA</v>
      </c>
      <c r="C124" s="215">
        <f>IF(B100="ha",B5,C118)</f>
        <v>0</v>
      </c>
    </row>
    <row r="125" spans="1:4" hidden="1" x14ac:dyDescent="0.2">
      <c r="A125" s="127"/>
      <c r="B125" s="1" t="str">
        <f>IF(B100="ha",B7,B119)</f>
        <v>POSHSHAXANOVA N.I.</v>
      </c>
      <c r="C125" s="215">
        <f>IF(B100="ha",B7,C119)</f>
        <v>0</v>
      </c>
    </row>
    <row r="126" spans="1:4" hidden="1" x14ac:dyDescent="0.2">
      <c r="A126" s="3" t="s">
        <v>156</v>
      </c>
      <c r="B126" s="1" t="str">
        <f>IF(B100="ha",B15,B120)</f>
        <v>18.05.1989 y</v>
      </c>
      <c r="C126" s="215">
        <f>IF(B100="ha",B15,C120)</f>
        <v>0</v>
      </c>
    </row>
    <row r="127" spans="1:4" hidden="1" x14ac:dyDescent="0.2">
      <c r="A127" s="3" t="s">
        <v>61</v>
      </c>
      <c r="B127" s="1" t="str">
        <f>IF(B100="ha",B16,B121)</f>
        <v>AD 7831291</v>
      </c>
      <c r="C127" s="215">
        <f>IF(B100="ha",B16,C121)</f>
        <v>0</v>
      </c>
    </row>
    <row r="128" spans="1:4" ht="60" hidden="1" x14ac:dyDescent="0.2">
      <c r="A128" s="3" t="s">
        <v>64</v>
      </c>
      <c r="B128" s="1" t="str">
        <f>IF(B100="ha",B20,B122)</f>
        <v>TOSHKENT SHAHAR YASHNOBOD TUMANI DAVLAT XIZMATLARIMARKAZI  tomonidan 11.07.2024 yilda berilgan</v>
      </c>
      <c r="C128" s="215">
        <f>IF(B100="ha",B20,C122)</f>
        <v>0</v>
      </c>
    </row>
    <row r="129" spans="1:18" ht="60" hidden="1" x14ac:dyDescent="0.2">
      <c r="A129" s="3" t="s">
        <v>66</v>
      </c>
      <c r="B129" s="148" t="str">
        <f>IF(B100="ha",B22,B123)</f>
        <v>NAMANGAN VILOYATI CHORTOQ TUMANI ALIXON SHFY ALIXON MFY ROXAT KO'CHASI 31-UY</v>
      </c>
      <c r="C129" s="216">
        <f>IF(B100="ha",B22,C123)</f>
        <v>0</v>
      </c>
    </row>
    <row r="130" spans="1:18" ht="98.25" customHeight="1" x14ac:dyDescent="0.2">
      <c r="A130" s="3" t="s">
        <v>158</v>
      </c>
      <c r="B130" s="255" t="s">
        <v>446</v>
      </c>
      <c r="C130" s="217"/>
      <c r="N130" s="160" t="str">
        <f>IF(B110=C110,B124,IF(B110=D110,C124,0))</f>
        <v>POSHSHAXANOVA NOZIMA ISMOILOVNA</v>
      </c>
    </row>
    <row r="131" spans="1:18" ht="60" x14ac:dyDescent="0.2">
      <c r="A131" s="3" t="s">
        <v>159</v>
      </c>
      <c r="B131" s="236" t="s">
        <v>447</v>
      </c>
      <c r="C131" s="215"/>
      <c r="D131" s="218" t="s">
        <v>148</v>
      </c>
      <c r="Q131" s="160" t="str">
        <f>""&amp;B102&amp;" (по генеральному доверенестью №"&amp;B107&amp;" от "&amp;B109&amp;")"</f>
        <v>POSHSHAXANOVA NOZIMA ISMOILOVNA (по генеральному доверенестью №2026023772000213 от 23.01.2026)</v>
      </c>
      <c r="R131" s="160" t="str">
        <f>""&amp;B102&amp;" ("&amp;B109&amp;"y. sanasidagi reestr raqami №"&amp;B107&amp;" bo'lgan Ishonchnomaga asosan)"</f>
        <v>POSHSHAXANOVA NOZIMA ISMOILOVNA (23.01.2026y. sanasidagi reestr raqami №2026023772000213 bo'lgan Ishonchnomaga asosan)</v>
      </c>
    </row>
    <row r="132" spans="1:18" x14ac:dyDescent="0.2">
      <c r="A132" s="3" t="s">
        <v>24</v>
      </c>
      <c r="B132" s="236" t="s">
        <v>448</v>
      </c>
      <c r="C132" s="216" t="str">
        <f>""&amp;D133&amp;" "&amp;IF(C136=D136,"- xonali yakka tartibdagi uy-joy", IF(C136=E136,"-  xonali ko'p qavatli uydagi xonadon",0))&amp;""</f>
        <v xml:space="preserve"> 0</v>
      </c>
      <c r="D132" s="219" t="s">
        <v>146</v>
      </c>
      <c r="E132" s="160">
        <f>IF($C$136=$D$136,I132,IF($C$136=$E$136,H132,0))</f>
        <v>0</v>
      </c>
      <c r="F132" s="160">
        <f>IF($C$136=$D$136,I132,IF($C$136=$E$136,H132,0))</f>
        <v>0</v>
      </c>
      <c r="H132" s="160" t="str">
        <f>"Ko'p qavatli uydagi "&amp;D133&amp;" - xonali xonadon"</f>
        <v>Ko'p qavatli uydagi  - xonali xonadon</v>
      </c>
      <c r="I132" s="160" t="str">
        <f>""&amp;D133&amp;" - xonali yakka tartibdagi uy-joy"</f>
        <v xml:space="preserve"> - xonali yakka tartibdagi uy-joy</v>
      </c>
      <c r="N132" s="160" t="str">
        <f>IF(B100=C100,Q133,IF(B100=D100,Q132,0))</f>
        <v>Микрофинансовой организацией, Заемщиком и POSHSHAXANOVA NOZIMA ISMOILOVNA (по генеральному доверенестью №2026023772000213 от 23.01.2026)</v>
      </c>
      <c r="Q132" s="160" t="str">
        <f>"Микрофинансовой организацией, Заемщиком и "&amp;IF(B101=D101,Q131,IF(B101=C101,B118,0))&amp;""</f>
        <v>Микрофинансовой организацией, Заемщиком и POSHSHAXANOVA NOZIMA ISMOILOVNA (по генеральному доверенестью №2026023772000213 от 23.01.2026)</v>
      </c>
      <c r="R132" s="160" t="str">
        <f>"Mikromoliya tashkiloti, Qarz oluvchi va "&amp;IF(B101=D101,R131,IF(B101=C101,B118))&amp;""</f>
        <v>Mikromoliya tashkiloti, Qarz oluvchi va POSHSHAXANOVA NOZIMA ISMOILOVNA (23.01.2026y. sanasidagi reestr raqami №2026023772000213 bo'lgan Ishonchnomaga asosan)</v>
      </c>
    </row>
    <row r="133" spans="1:18" ht="30" x14ac:dyDescent="0.2">
      <c r="A133" s="3" t="s">
        <v>160</v>
      </c>
      <c r="B133" s="243" t="s">
        <v>449</v>
      </c>
      <c r="C133" s="216" t="str">
        <f>C132</f>
        <v xml:space="preserve"> 0</v>
      </c>
      <c r="D133" s="220"/>
      <c r="E133" s="160">
        <f>IF($C$136=$D$136,I133,IF($C$136=$E$136,H133,0))</f>
        <v>0</v>
      </c>
      <c r="F133" s="160">
        <f>IF($C$136=$D$136,I133,IF($C$136=$E$136,H133,0))</f>
        <v>0</v>
      </c>
      <c r="H133" s="160" t="str">
        <f>"umumiy maydoni - "&amp;C137&amp;", yashash maydoni - "&amp;C140&amp;""</f>
        <v xml:space="preserve">umumiy maydoni - , yashash maydoni - </v>
      </c>
      <c r="I133" s="160" t="str">
        <f>"yer uchastkasi maydoni - "&amp;C138&amp;", umumiy maydoni - "&amp;C137&amp;", yashash maydoni - "&amp;C140&amp;""</f>
        <v xml:space="preserve">yer uchastkasi maydoni - , umumiy maydoni - , yashash maydoni - </v>
      </c>
      <c r="N133" s="160" t="str">
        <f>IF(B100=C100,R133,IF(B100=D100,R132,0))</f>
        <v>Mikromoliya tashkiloti, Qarz oluvchi va POSHSHAXANOVA NOZIMA ISMOILOVNA (23.01.2026y. sanasidagi reestr raqami №2026023772000213 bo'lgan Ishonchnomaga asosan)</v>
      </c>
      <c r="Q133" s="160" t="s">
        <v>48</v>
      </c>
      <c r="R133" s="160" t="s">
        <v>147</v>
      </c>
    </row>
    <row r="134" spans="1:18" ht="27" customHeight="1" x14ac:dyDescent="0.2">
      <c r="A134" s="3" t="s">
        <v>161</v>
      </c>
      <c r="B134" s="67" t="str">
        <f>"kuzov turi - "&amp;B135&amp;", kuzov raqami "&amp;B136&amp;""</f>
        <v>kuzov turi - YENGIL SEDAN, kuzov raqami XWBMA48N1JA528481</v>
      </c>
      <c r="C134" s="215"/>
      <c r="D134" s="218" t="s">
        <v>370</v>
      </c>
    </row>
    <row r="135" spans="1:18" x14ac:dyDescent="0.2">
      <c r="A135" s="63" t="s">
        <v>162</v>
      </c>
      <c r="B135" s="236" t="s">
        <v>424</v>
      </c>
      <c r="C135" s="221"/>
    </row>
    <row r="136" spans="1:18" x14ac:dyDescent="0.2">
      <c r="A136" s="63" t="s">
        <v>163</v>
      </c>
      <c r="B136" s="237" t="s">
        <v>450</v>
      </c>
      <c r="C136" s="200"/>
      <c r="D136" s="160" t="s">
        <v>149</v>
      </c>
      <c r="E136" s="160" t="s">
        <v>150</v>
      </c>
    </row>
    <row r="137" spans="1:18" ht="27" customHeight="1" x14ac:dyDescent="0.25">
      <c r="A137" s="3" t="s">
        <v>164</v>
      </c>
      <c r="B137" s="67" t="str">
        <f>"dvigatel raqami "&amp;B138&amp;", shassi raqami - "&amp;B139&amp;""</f>
        <v>dvigatel raqami B12D211181167HB9X0266, shassi raqami - RAKAMSIZ</v>
      </c>
      <c r="C137" s="200"/>
      <c r="D137" s="222" t="s">
        <v>151</v>
      </c>
      <c r="E137" s="160" t="str">
        <f>CONCATENATE(C137," ","kv.m")</f>
        <v xml:space="preserve"> kv.m</v>
      </c>
      <c r="F137" s="162">
        <f>C137-C140</f>
        <v>0</v>
      </c>
    </row>
    <row r="138" spans="1:18" x14ac:dyDescent="0.25">
      <c r="A138" s="63" t="s">
        <v>165</v>
      </c>
      <c r="B138" s="237" t="s">
        <v>451</v>
      </c>
      <c r="C138" s="200"/>
      <c r="D138" s="222" t="s">
        <v>152</v>
      </c>
    </row>
    <row r="139" spans="1:18" x14ac:dyDescent="0.2">
      <c r="A139" s="63" t="s">
        <v>166</v>
      </c>
      <c r="B139" s="242" t="s">
        <v>425</v>
      </c>
      <c r="C139" s="200"/>
    </row>
    <row r="140" spans="1:18" ht="25.5" customHeight="1" x14ac:dyDescent="0.25">
      <c r="A140" s="3" t="s">
        <v>167</v>
      </c>
      <c r="B140" s="67" t="str">
        <f>"rangi -  "&amp;B141&amp;", ishlab chiqarilgan yili - "&amp;B142&amp;""</f>
        <v>rangi -  OQ BELO DIMCHATIY, ishlab chiqarilgan yili - 2018</v>
      </c>
      <c r="C140" s="223"/>
      <c r="D140" s="222" t="s">
        <v>247</v>
      </c>
      <c r="E140" s="160" t="str">
        <f>CONCATENATE(C140," ","kv.m")</f>
        <v xml:space="preserve"> kv.m</v>
      </c>
    </row>
    <row r="141" spans="1:18" x14ac:dyDescent="0.2">
      <c r="A141" s="63" t="s">
        <v>168</v>
      </c>
      <c r="B141" s="236" t="s">
        <v>452</v>
      </c>
      <c r="C141" s="200"/>
    </row>
    <row r="142" spans="1:18" ht="30" x14ac:dyDescent="0.25">
      <c r="A142" s="63" t="s">
        <v>169</v>
      </c>
      <c r="B142" s="237" t="s">
        <v>453</v>
      </c>
      <c r="C142" s="221"/>
      <c r="D142" s="224" t="s">
        <v>371</v>
      </c>
    </row>
    <row r="143" spans="1:18" hidden="1" x14ac:dyDescent="0.25">
      <c r="A143" s="3" t="s">
        <v>170</v>
      </c>
      <c r="B143" s="182">
        <f>B75*1.4</f>
        <v>50400000</v>
      </c>
      <c r="C143" s="225">
        <f>B143</f>
        <v>50400000</v>
      </c>
      <c r="D143" s="222" t="s">
        <v>170</v>
      </c>
    </row>
    <row r="144" spans="1:18" ht="27.75" hidden="1" customHeight="1" x14ac:dyDescent="0.2">
      <c r="A144" s="155"/>
      <c r="B144" s="183"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143))&gt;6,ROMAN(MID(INT(B143),1,LEN(INT(B143))-6)+0)&amp;" million "&amp;ROMAN(MID(INT(B143),LEN(INT(B143))-5,3)+0)&amp;" ming "&amp;ROMAN(MID(INT(B143),LEN(INT(B143))-2,3)+0),IF(LEN(INT(B143))&gt;3,ROMAN(MID(INT(B143),1,LEN(INT(B143))-3)+0)&amp;" ming "&amp;ROMAN(MID(INT(B143),LEN(INT(B143))-2,3)+0),ROMAN(INT(B143)))),"DCCC","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ellik million to'rt yuz ming so'm</v>
      </c>
      <c r="C144" s="225" t="str">
        <f>B144</f>
        <v>ellik million to'rt yuz ming so'm</v>
      </c>
    </row>
    <row r="145" spans="1:3" ht="27.75" hidden="1" customHeight="1" x14ac:dyDescent="0.2">
      <c r="A145" s="3"/>
      <c r="B145" s="184" t="str">
        <f>B144</f>
        <v>ellik million to'rt yuz ming so'm</v>
      </c>
      <c r="C145" s="226"/>
    </row>
    <row r="146" spans="1:3" ht="20.25" x14ac:dyDescent="0.2">
      <c r="A146" s="3" t="s">
        <v>336</v>
      </c>
      <c r="B146" s="256">
        <v>282092</v>
      </c>
    </row>
    <row r="147" spans="1:3" x14ac:dyDescent="0.2">
      <c r="A147" s="3" t="s">
        <v>364</v>
      </c>
      <c r="B147" s="46"/>
    </row>
    <row r="148" spans="1:3" x14ac:dyDescent="0.2">
      <c r="A148" s="3" t="s">
        <v>153</v>
      </c>
      <c r="B148" s="2" t="s">
        <v>144</v>
      </c>
      <c r="C148" s="160">
        <v>1</v>
      </c>
    </row>
    <row r="149" spans="1:3" hidden="1" x14ac:dyDescent="0.2">
      <c r="A149" s="3" t="s">
        <v>154</v>
      </c>
      <c r="B149" s="4" t="str">
        <f>B70</f>
        <v>23 yanvar 2026 y.</v>
      </c>
      <c r="C149" s="160" t="str">
        <f>B70</f>
        <v>23 yanvar 2026 y.</v>
      </c>
    </row>
    <row r="150" spans="1:3" hidden="1" x14ac:dyDescent="0.2">
      <c r="A150" s="3"/>
      <c r="B150" s="1">
        <f>YEAR(B67)</f>
        <v>2026</v>
      </c>
    </row>
    <row r="151" spans="1:3" hidden="1" x14ac:dyDescent="0.2">
      <c r="A151" s="3"/>
      <c r="B151" s="137" t="str">
        <f>D67</f>
        <v>yanvar</v>
      </c>
    </row>
    <row r="152" spans="1:3" hidden="1" x14ac:dyDescent="0.2">
      <c r="A152" s="165"/>
      <c r="B152" s="166">
        <f>DAY(B67)</f>
        <v>23</v>
      </c>
    </row>
    <row r="153" spans="1:3" ht="30.75" thickBot="1" x14ac:dyDescent="0.25">
      <c r="A153" s="239" t="s">
        <v>414</v>
      </c>
      <c r="B153" s="240">
        <v>14000000</v>
      </c>
    </row>
    <row r="154" spans="1:3" ht="20.25" x14ac:dyDescent="0.2">
      <c r="A154" s="167" t="s">
        <v>374</v>
      </c>
      <c r="B154" s="250" t="s">
        <v>420</v>
      </c>
    </row>
    <row r="155" spans="1:3" ht="20.25" x14ac:dyDescent="0.2">
      <c r="A155" s="168" t="s">
        <v>375</v>
      </c>
      <c r="B155" s="169">
        <f>+B153*1.3</f>
        <v>18200000</v>
      </c>
    </row>
    <row r="156" spans="1:3" ht="15.75" thickBot="1" x14ac:dyDescent="0.25">
      <c r="A156" s="170"/>
      <c r="B156" s="171"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155))&gt;6,ROMAN(MID(INT(B155),1,LEN(INT(B155))-6)+0)&amp;" million "&amp;ROMAN(MID(INT(B155),LEN(INT(B155))-5,3)+0)&amp;" ming "&amp;ROMAN(MID(INT(B155),LEN(INT(B155))-2,3)+0),IF(LEN(INT(B155))&gt;3,ROMAN(MID(INT(B155),1,LEN(INT(B155))-3)+0)&amp;" ming "&amp;ROMAN(MID(INT(B155),LEN(INT(B155))-2,3)+0),ROMAN(INT(B155)))),"DCCC","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o'n sakkiz million ikki yuz ming so'm</v>
      </c>
    </row>
    <row r="157" spans="1:3" x14ac:dyDescent="0.2">
      <c r="A157" s="260" t="s">
        <v>345</v>
      </c>
      <c r="B157" s="260"/>
    </row>
    <row r="158" spans="1:3" x14ac:dyDescent="0.2">
      <c r="A158" s="3" t="s">
        <v>171</v>
      </c>
      <c r="B158" s="1" t="s">
        <v>369</v>
      </c>
    </row>
    <row r="159" spans="1:3" x14ac:dyDescent="0.2">
      <c r="A159" s="3"/>
      <c r="B159" s="1" t="s">
        <v>369</v>
      </c>
    </row>
    <row r="160" spans="1:3" x14ac:dyDescent="0.2">
      <c r="A160" s="3"/>
      <c r="B160" s="1" t="s">
        <v>369</v>
      </c>
    </row>
    <row r="161" spans="1:2" x14ac:dyDescent="0.2">
      <c r="A161" s="3" t="s">
        <v>417</v>
      </c>
      <c r="B161" s="238" t="s">
        <v>418</v>
      </c>
    </row>
    <row r="162" spans="1:2" x14ac:dyDescent="0.2">
      <c r="A162" s="3"/>
      <c r="B162" s="238" t="s">
        <v>419</v>
      </c>
    </row>
    <row r="163" spans="1:2" hidden="1" x14ac:dyDescent="0.2">
      <c r="A163" s="3" t="s">
        <v>174</v>
      </c>
      <c r="B163" s="1" t="s">
        <v>172</v>
      </c>
    </row>
    <row r="164" spans="1:2" ht="28.5" hidden="1" x14ac:dyDescent="0.2">
      <c r="A164" s="3" t="s">
        <v>175</v>
      </c>
      <c r="B164" s="1" t="s">
        <v>173</v>
      </c>
    </row>
    <row r="165" spans="1:2" hidden="1" x14ac:dyDescent="0.2">
      <c r="A165" s="3" t="s">
        <v>176</v>
      </c>
      <c r="B165" s="1" t="s">
        <v>407</v>
      </c>
    </row>
    <row r="166" spans="1:2" hidden="1" x14ac:dyDescent="0.2">
      <c r="A166" s="3" t="s">
        <v>177</v>
      </c>
      <c r="B166" s="1" t="s">
        <v>408</v>
      </c>
    </row>
    <row r="167" spans="1:2" hidden="1" x14ac:dyDescent="0.2">
      <c r="A167" s="3" t="s">
        <v>178</v>
      </c>
      <c r="B167" s="234" t="s">
        <v>410</v>
      </c>
    </row>
    <row r="168" spans="1:2" hidden="1" x14ac:dyDescent="0.2">
      <c r="A168" s="3" t="s">
        <v>179</v>
      </c>
      <c r="B168" s="2" t="s">
        <v>23</v>
      </c>
    </row>
    <row r="169" spans="1:2" hidden="1" x14ac:dyDescent="0.2">
      <c r="A169" s="3" t="s">
        <v>180</v>
      </c>
      <c r="B169" s="1" t="s">
        <v>325</v>
      </c>
    </row>
    <row r="170" spans="1:2" x14ac:dyDescent="0.2">
      <c r="A170" s="3" t="s">
        <v>412</v>
      </c>
      <c r="B170" s="238" t="s">
        <v>416</v>
      </c>
    </row>
    <row r="171" spans="1:2" x14ac:dyDescent="0.2">
      <c r="A171" s="3" t="s">
        <v>367</v>
      </c>
      <c r="B171" s="238" t="s">
        <v>415</v>
      </c>
    </row>
    <row r="172" spans="1:2" x14ac:dyDescent="0.2">
      <c r="A172" s="3" t="s">
        <v>417</v>
      </c>
      <c r="B172" s="238" t="s">
        <v>418</v>
      </c>
    </row>
    <row r="173" spans="1:2" x14ac:dyDescent="0.2">
      <c r="A173" s="3" t="s">
        <v>181</v>
      </c>
      <c r="B173" s="2" t="s">
        <v>337</v>
      </c>
    </row>
    <row r="174" spans="1:2" x14ac:dyDescent="0.2">
      <c r="A174" s="3" t="s">
        <v>182</v>
      </c>
      <c r="B174" s="2" t="s">
        <v>338</v>
      </c>
    </row>
    <row r="175" spans="1:2" x14ac:dyDescent="0.2">
      <c r="A175" s="3" t="s">
        <v>183</v>
      </c>
      <c r="B175" s="1" t="str">
        <f>B1</f>
        <v>№195-BRS</v>
      </c>
    </row>
    <row r="176" spans="1:2" x14ac:dyDescent="0.2">
      <c r="A176" s="3" t="s">
        <v>184</v>
      </c>
      <c r="B176" s="4" t="str">
        <f>B70</f>
        <v>23 yanvar 2026 y.</v>
      </c>
    </row>
    <row r="177" x14ac:dyDescent="0.2"/>
    <row r="178" x14ac:dyDescent="0.2"/>
  </sheetData>
  <mergeCells count="7">
    <mergeCell ref="A157:B157"/>
    <mergeCell ref="A104:B104"/>
    <mergeCell ref="A4:B4"/>
    <mergeCell ref="A57:B57"/>
    <mergeCell ref="A64:B64"/>
    <mergeCell ref="A98:B98"/>
    <mergeCell ref="A92:B92"/>
  </mergeCells>
  <dataValidations count="12">
    <dataValidation type="list" allowBlank="1" showInputMessage="1" showErrorMessage="1" sqref="B30">
      <formula1>$C$30:$D$30</formula1>
    </dataValidation>
    <dataValidation type="list" allowBlank="1" showInputMessage="1" showErrorMessage="1" sqref="B100">
      <formula1>$C$100:$D$100</formula1>
    </dataValidation>
    <dataValidation type="list" allowBlank="1" showInputMessage="1" showErrorMessage="1" sqref="B110">
      <formula1>$C$110:$D$110</formula1>
    </dataValidation>
    <dataValidation type="list" allowBlank="1" showInputMessage="1" showErrorMessage="1" sqref="B78">
      <formula1>$C$78:$D$78</formula1>
    </dataValidation>
    <dataValidation type="list" allowBlank="1" showInputMessage="1" showErrorMessage="1" sqref="C136">
      <formula1>$D$136:$E$136</formula1>
    </dataValidation>
    <dataValidation type="list" allowBlank="1" showInputMessage="1" showErrorMessage="1" sqref="B99">
      <formula1>$C$99:$D$99</formula1>
    </dataValidation>
    <dataValidation type="list" allowBlank="1" showInputMessage="1" showErrorMessage="1" sqref="B101">
      <formula1>$C$101:$D$101</formula1>
    </dataValidation>
    <dataValidation type="list" allowBlank="1" showInputMessage="1" showErrorMessage="1" sqref="B23">
      <formula1>$C$23:$D$23</formula1>
    </dataValidation>
    <dataValidation type="list" allowBlank="1" showInputMessage="1" showErrorMessage="1" sqref="B29">
      <formula1>$C$29:$F$29</formula1>
    </dataValidation>
    <dataValidation type="list" allowBlank="1" showInputMessage="1" showErrorMessage="1" sqref="B24">
      <formula1>$C$24:$D$24</formula1>
    </dataValidation>
    <dataValidation type="list" allowBlank="1" showInputMessage="1" showErrorMessage="1" sqref="B84">
      <formula1>$BJ$84:$BK$84</formula1>
    </dataValidation>
    <dataValidation type="list" allowBlank="1" showInputMessage="1" showErrorMessage="1" sqref="B44">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tabColor rgb="FF00B050"/>
  </sheetPr>
  <dimension ref="A1:K132"/>
  <sheetViews>
    <sheetView view="pageBreakPreview" topLeftCell="A115" zoomScaleNormal="55" zoomScaleSheetLayoutView="100" workbookViewId="0">
      <selection activeCell="A145" sqref="A145"/>
    </sheetView>
  </sheetViews>
  <sheetFormatPr defaultColWidth="9.140625" defaultRowHeight="15.75" x14ac:dyDescent="0.2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x14ac:dyDescent="0.25">
      <c r="A1" s="264" t="str">
        <f>""&amp;malumot!C64&amp;" shartnoma "&amp;malumot!B66&amp;""</f>
        <v>Mikroqarz shartnoma №195-BRS</v>
      </c>
      <c r="B1" s="264"/>
    </row>
    <row r="3" spans="1:3" x14ac:dyDescent="0.25">
      <c r="A3" s="264" t="str">
        <f>"Toshkent shahri                                                                               "&amp;malumot!B70&amp;""</f>
        <v>Toshkent shahri                                                                               23 yanvar 2026 y.</v>
      </c>
      <c r="B3" s="264"/>
    </row>
    <row r="4" spans="1:3" x14ac:dyDescent="0.25">
      <c r="A4" s="61"/>
    </row>
    <row r="5" spans="1:3" ht="118.5" customHeight="1" x14ac:dyDescent="0.25">
      <c r="A5" s="267" t="str">
        <f>""&amp;malumot!B158&amp;", bundan buyon «Mikromoliya tashkiloti» deb nomlanuvchi, ishonchnoma asosida xarakat qiluvchi "&amp;malumot!A161&amp;" "&amp;malumot!B161&amp;"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Buxoro filiali boshlig'i A.Xudayberdiyev  bir tomondan va o‘z manfaati yo‘lida hamda o‘z nomidan harakat qiluvchi O‘zbekiston Respublikasi fuqarosi XAMRAYEVA XUSHVAXT GAYBULLAYEVNA  (pasport raqami AB 5708016, BUXORO VILOYATI BUXORO SHAHAR IIB tomonidan 19.01.2017 yilda berilgan ), bundan buyon «Qarz oluvchi» deb nomlanuvchi, boshqa tomondan, birgalikda “Tomonlar” yoki alohida “Tomon” deb nomlanuvchilar, Qarz oluvchi tomonidan 23.01.2026 yil,mikroqarz olish uchun ariza berilganligini hisobga olib, ushbu Mikroqarz shartnomasini (bundan keyin – «Shartnoma») quyidagilar haqida tuzdilar:</v>
      </c>
      <c r="B5" s="267"/>
    </row>
    <row r="6" spans="1:3" hidden="1" x14ac:dyDescent="0.25"/>
    <row r="7" spans="1:3" x14ac:dyDescent="0.25">
      <c r="A7" s="264" t="s">
        <v>257</v>
      </c>
      <c r="B7" s="264"/>
    </row>
    <row r="8" spans="1:3" ht="36" customHeight="1" x14ac:dyDescent="0.25">
      <c r="A8" s="267" t="str">
        <f>"1.1. Mikromoliya tashkiloti Qarz oluvchiga umumiy miqdori "&amp;FIXED(malumot!B76,2)&amp;" ("&amp;malumot!C77&amp;") bo‘lgan "&amp;malumot!B65&amp;"ni "&amp;malumot!B71&amp;" dan "&amp;malumot!B73&amp;" gacha bo'lgan muddatga naqd pul va/yoki o'tkazmasi shaklida ajratadi."</f>
        <v>1.1. Mikromoliya tashkiloti Qarz oluvchiga umumiy miqdori 50 000 000,00 (Ellik million so'm) bo‘lgan mikroqarzni 23 yanvar 2026 y. dan 23 yanvar 2030 y. gacha bo'lgan muddatga naqd pul va/yoki o'tkazmasi shaklida ajratadi.</v>
      </c>
      <c r="B8" s="267"/>
    </row>
    <row r="9" spans="1:3" ht="36" customHeight="1" x14ac:dyDescent="0.25">
      <c r="A9" s="267"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67"/>
    </row>
    <row r="10" spans="1:3" hidden="1" x14ac:dyDescent="0.25">
      <c r="A10" s="29"/>
    </row>
    <row r="11" spans="1:3" x14ac:dyDescent="0.25">
      <c r="A11" s="269" t="str">
        <f>"2. "&amp;malumot!D64&amp;" BERISH VA QAYTARISH TARTIBI"</f>
        <v>2. MIKROQARZ BERISH VA QAYTARISH TARTIBI</v>
      </c>
      <c r="B11" s="269"/>
      <c r="C11" s="59"/>
    </row>
    <row r="12" spans="1:3" ht="36" customHeight="1" x14ac:dyDescent="0.25">
      <c r="A12" s="267"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67"/>
    </row>
    <row r="13" spans="1:3" ht="35.25" customHeight="1" x14ac:dyDescent="0.25">
      <c r="A13" s="267"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67"/>
    </row>
    <row r="14" spans="1:3" ht="35.25" customHeight="1" x14ac:dyDescent="0.25">
      <c r="A14" s="267"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67"/>
    </row>
    <row r="15" spans="1:3" ht="66" customHeight="1" x14ac:dyDescent="0.25">
      <c r="A15" s="267" t="str">
        <f>"2.4. Mikromoliya tashkiloti, "&amp;malumot!B65&amp;" berilgan vaqtdan boshlab, "&amp;malumot!B65&amp;" miqdorining qoldiq summasiga "&amp;malumot!B86&amp;"% ("&amp;malumot!C87&amp;") foiz yillik va yiliga 365/366 kunlik hisobidan foizlar hisoblaydi. To'lov jadvaliga muvofiq asosiy qarz bo'yicha navbatdagi to'lov buzilgan hollarda, "&amp;"foiz stavkasi oshiriladi va  Mikromoliya tashkiloti "&amp;malumot!B65&amp;"ning muddati o'tgan asosiy qarz summasiga yillik "&amp;malumot!B89&amp;" ("&amp;malumot!B90&amp;")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105 (bir yuz besh) foiz miqdorida foizlar hisoblaydi.</v>
      </c>
      <c r="B15" s="267"/>
    </row>
    <row r="16" spans="1:3" ht="161.25" customHeight="1" x14ac:dyDescent="0.25">
      <c r="A16" s="267" t="s">
        <v>322</v>
      </c>
      <c r="B16" s="267"/>
    </row>
    <row r="17" spans="1:11" ht="148.5" customHeight="1" x14ac:dyDescent="0.25">
      <c r="A17" s="267"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67"/>
      <c r="C17" s="141" t="s">
        <v>326</v>
      </c>
      <c r="H17" s="6" t="str">
        <f>malumot!B65</f>
        <v>mikroqarz</v>
      </c>
      <c r="I17" s="6" t="s">
        <v>327</v>
      </c>
    </row>
    <row r="18" spans="1:11" ht="100.5" customHeight="1" x14ac:dyDescent="0.25">
      <c r="A18" s="268" t="s">
        <v>365</v>
      </c>
      <c r="B18" s="268"/>
    </row>
    <row r="19" spans="1:11" ht="36" customHeight="1" x14ac:dyDescent="0.25">
      <c r="A19" s="267"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67"/>
    </row>
    <row r="20" spans="1:11" ht="39.75" customHeight="1" x14ac:dyDescent="0.25">
      <c r="A20" s="267"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67"/>
    </row>
    <row r="21" spans="1:11" ht="95.25" customHeight="1" x14ac:dyDescent="0.25">
      <c r="A21" s="267"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67"/>
      <c r="C21" s="6"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269" t="str">
        <f>"3. "&amp;malumot!D64&amp;" TA'MINOTI BO‘YICHA "</f>
        <v xml:space="preserve">3. MIKROQARZ TA'MINOTI BO‘YICHA </v>
      </c>
      <c r="B22" s="269"/>
    </row>
    <row r="23" spans="1:11" ht="39.75" customHeight="1" x14ac:dyDescent="0.25">
      <c r="A23" s="267" t="str">
        <f>"3.1. Ushbu Shartnoma bo‘yicha taqdim etilgan "&amp;malumot!C64&amp;" quyidagi Mikroqarz summasiga nisbatan birgalikda jami qiymati 130% dan kam bo'lmagan garov va Mikroqarz to'lamaslik xavfini sug'urta polisi  bilan ta'minlanadi:"</f>
        <v>3.1. Ushbu Shartnoma bo‘yicha taqdim etilgan Mikroqarz quyidagi Mikroqarz summasiga nisbatan birgalikda jami qiymati 130% dan kam bo'lmagan garov va Mikroqarz to'lamaslik xavfini sug'urta polisi  bilan ta'minlanadi:</v>
      </c>
      <c r="B23" s="267"/>
    </row>
    <row r="24" spans="1:11" s="185" customFormat="1" ht="162" customHeight="1" x14ac:dyDescent="0.25">
      <c r="A24" s="266" t="str">
        <f>IF(malumot!B110=malumot!C110,shartnoma!A28,IF(malumot!B110=malumot!D110,shartnoma!A25,0))</f>
        <v>3.1.1. Mikromoliya tashkiloti, Qarz oluvchi va POSHSHAXANOVA NOZIMA ISMOILOVNA (23.01.2026y. sanasidagi reestr raqami №2026023772000213 bo'lgan Ishonchnomaga asosan) tomonidan 2026 yil 23 yanvarda imzolangan 1-sonli garov predmeti qiymatini tasdiqlash dalolatnomasiga muvofiq OQ BELO DIMCHATIY rangli, ishlab chiqarilgan yili – 2018 yil,  dvigatel raqami B12D211181167HB9X0266, shassi - RAKAMSIZ,  kuzov turi - YENGIL SEDAN, kuzov raqami №XWBMA48N1JA528481, davlat raqam belgisi 50P697RA bo'lgan CHEVROLET SPARK rusumli avtomashinasi (bundan keyin “Garov predmeti”), egalik huquqiga ega  POSHSHAXANOVA NOZIMA ISMOILOVNAga tegishli va kelishilgan garov qiymati 2026 yil 23 yanvarda imzolangan 1-sonli Garov predmeti qiymatini tasdiqlash dalolatnomasiga muvifiq 50 400 000,00 (ellik million to'rt yuz ming so'm) so'mni tashkil qiladi. Garov garovining aniq shartlari tegishli notarial rasmiylashtirilgan garov shartnomasi bilan belgilanadi.</v>
      </c>
      <c r="B24" s="266"/>
    </row>
    <row r="25" spans="1:11" s="185" customFormat="1" ht="114" hidden="1" customHeight="1" x14ac:dyDescent="0.25">
      <c r="A25" s="265" t="str">
        <f>IF(malumot!B99=malumot!C99,shartnoma!A27,IF(malumot!B99=malumot!D99,shartnoma!A26,0))</f>
        <v>3.1.1. Mikromoliya tashkiloti, Qarz oluvchi va POSHSHAXANOVA NOZIMA ISMOILOVNA (23.01.2026y. sanasidagi reestr raqami №2026023772000213 bo'lgan Ishonchnomaga asosan) tomonidan 2026 yil 23 yanvarda imzolangan 1-sonli Garov predmeti qiymatini tasdiqlash dalolatnomasiga muvofiq  manzilida joylashgan, 0 bo'lgan, 0 ko'rinishidagi ko'chmas mulk (bundan keyin “Garov predmeti”), egalik huquqiga ko'ra  0ga tegishli va kelishilgan garov qiymati 2026 yil 23 yanvarda imzolangan 1-sonli Garov predmeti qiymatini tasdiqlash dalolatnomasiga muvofiq 50 400 000,00 (ellik million to'rt yuz ming so'm) so'mni tashkil qiladi. Garovning aniq shartlari tegishli tarzda notarial tasdiqlangan garov shartnomasi bilan belgilangan.</v>
      </c>
      <c r="B25" s="265"/>
    </row>
    <row r="26" spans="1:11" s="185" customFormat="1" ht="114" hidden="1" customHeight="1" x14ac:dyDescent="0.25">
      <c r="A26" s="266" t="str">
        <f>"3.1.1. "&amp;malumot!N133&amp;" tomonidan "&amp;malumot!B150&amp;" yil "&amp;malumot!B152&amp;" "&amp;malumot!B151&amp;"da imzolangan 1-sonli navbatdagi garov predmeti qiymatini tasdiqlash dalolatnomasiga muvofiq "&amp;malumot!C130&amp;" manzilida joylashgan, "&amp;malumot!E133&amp;" bo'lgan, "&amp;malumot!E132&amp;" ko'rinishidagi ko'chmas mulk (bundan keyin “navbatdagi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Qarz oluvchi va POSHSHAXANOVA NOZIMA ISMOILOVNA (23.01.2026y. sanasidagi reestr raqami №2026023772000213 bo'lgan Ishonchnomaga asosan) tomonidan 2026 yil 23 yanvarda imzolangan 1-sonli navbatdagi garov predmeti qiymatini tasdiqlash dalolatnomasiga muvofiq  manzilida joylashgan, 0 bo'lgan, 0 ko'rinishidagi ko'chmas mulk (bundan keyin “navbatdagi garov predmeti”), egalik huquqiga ko'ra  0ga tegishli va kelishilgan garov qiymati 2026 yil 23 yanvarda imzolangan 1-sonli Garov predmeti qiymatini tasdiqlash dalolatnomasiga muvofiq 50 400 000,00 (ellik million to'rt yuz ming so'm) so'mni tashkil qiladi. Garovning aniq shartlari tegishli tarzda notarial tasdiqlangan garov shartnomasi bilan belgilangan.</v>
      </c>
      <c r="B26" s="266"/>
    </row>
    <row r="27" spans="1:11" s="185" customFormat="1" ht="114" hidden="1" customHeight="1" x14ac:dyDescent="0.25">
      <c r="A27" s="265" t="str">
        <f>"3.1.1. "&amp;malumot!N133&amp;" tomonidan "&amp;malumot!B150&amp;" yil "&amp;malumot!B152&amp;" "&amp;malumot!B151&amp;"da imzolangan 1-sonli Garov predmeti qiymatini tasdiqlash dalolatnomasiga muvofiq "&amp;malumot!C130&amp;" manzilida joylashgan, "&amp;malumot!E133&amp;" bo'lgan, "&amp;malumot!E132&amp;" ko'rinishidagi ko'chmas mulk (bundan keyin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Qarz oluvchi va POSHSHAXANOVA NOZIMA ISMOILOVNA (23.01.2026y. sanasidagi reestr raqami №2026023772000213 bo'lgan Ishonchnomaga asosan) tomonidan 2026 yil 23 yanvarda imzolangan 1-sonli Garov predmeti qiymatini tasdiqlash dalolatnomasiga muvofiq  manzilida joylashgan, 0 bo'lgan, 0 ko'rinishidagi ko'chmas mulk (bundan keyin “Garov predmeti”), egalik huquqiga ko'ra  0ga tegishli va kelishilgan garov qiymati 2026 yil 23 yanvarda imzolangan 1-sonli Garov predmeti qiymatini tasdiqlash dalolatnomasiga muvofiq 50 400 000,00 (ellik million to'rt yuz ming so'm) so'mni tashkil qiladi. Garovning aniq shartlari tegishli tarzda notarial tasdiqlangan garov shartnomasi bilan belgilangan.</v>
      </c>
      <c r="B27" s="265"/>
    </row>
    <row r="28" spans="1:11" s="185" customFormat="1" ht="114" hidden="1" customHeight="1" x14ac:dyDescent="0.25">
      <c r="A28" s="266" t="str">
        <f>IF(malumot!B99=malumot!C99,A29,IF(malumot!B99=malumot!D99,A30,0))</f>
        <v>3.1.1. Mikromoliya tashkiloti, Qarz oluvchi va POSHSHAXANOVA NOZIMA ISMOILOVNA (23.01.2026y. sanasidagi reestr raqami №2026023772000213 bo'lgan Ishonchnomaga asosan) tomonidan 2026 yil 23 yanvarda imzolangan 1-sonli garov predmeti qiymatini tasdiqlash dalolatnomasiga muvofiq OQ BELO DIMCHATIY rangli, ishlab chiqarilgan yili – 2018 yil,  dvigatel raqami B12D211181167HB9X0266, shassi - RAKAMSIZ,  kuzov turi - YENGIL SEDAN, kuzov raqami №XWBMA48N1JA528481, davlat raqam belgisi 50P697RA bo'lgan CHEVROLET SPARK rusumli avtomashinasi (bundan keyin “Garov predmeti”), egalik huquqiga ega  POSHSHAXANOVA NOZIMA ISMOILOVNAga tegishli va kelishilgan garov qiymati 2026 yil 23 yanvarda imzolangan 1-sonli Garov predmeti qiymatini tasdiqlash dalolatnomasiga muvifiq 50 400 000,00 (ellik million to'rt yuz ming so'm) so'mni tashkil qiladi. Garov garovining aniq shartlari tegishli notarial rasmiylashtirilgan garov shartnomasi bilan belgilanadi.</v>
      </c>
      <c r="B28" s="266"/>
      <c r="K28" s="185" t="s">
        <v>319</v>
      </c>
    </row>
    <row r="29" spans="1:11" s="185" customFormat="1" ht="114" hidden="1" customHeight="1" x14ac:dyDescent="0.25">
      <c r="A29" s="266" t="str">
        <f>"3.1.1. "&amp;malumot!N133&amp;" tomonidan "&amp;malumot!B150&amp;" yil "&amp;malumot!B152&amp;" "&amp;malumot!B151&amp;"da imzolangan 1-sonli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Qarz oluvchi va POSHSHAXANOVA NOZIMA ISMOILOVNA (23.01.2026y. sanasidagi reestr raqami №2026023772000213 bo'lgan Ishonchnomaga asosan) tomonidan 2026 yil 23 yanvarda imzolangan 1-sonli garov predmeti qiymatini tasdiqlash dalolatnomasiga muvofiq OQ BELO DIMCHATIY rangli, ishlab chiqarilgan yili – 2018 yil,  dvigatel raqami B12D211181167HB9X0266, shassi - RAKAMSIZ,  kuzov turi - YENGIL SEDAN, kuzov raqami №XWBMA48N1JA528481, davlat raqam belgisi 50P697RA bo'lgan CHEVROLET SPARK rusumli avtomashinasi (bundan keyin “Garov predmeti”), egalik huquqiga ega  POSHSHAXANOVA NOZIMA ISMOILOVNAga tegishli va kelishilgan garov qiymati 2026 yil 23 yanvarda imzolangan 1-sonli Garov predmeti qiymatini tasdiqlash dalolatnomasiga muvifiq 50 400 000,00 (ellik million to'rt yuz ming so'm) so'mni tashkil qiladi. Garov garovining aniq shartlari tegishli notarial rasmiylashtirilgan garov shartnomasi bilan belgilanadi.</v>
      </c>
      <c r="B29" s="266"/>
    </row>
    <row r="30" spans="1:11" s="185" customFormat="1" ht="19.5" hidden="1" customHeight="1" x14ac:dyDescent="0.25">
      <c r="A30" s="266" t="str">
        <f>"3.1.1. "&amp;malumot!N133&amp;" tomonidan "&amp;malumot!B150&amp;" yil "&amp;malumot!B152&amp;" "&amp;malumot!B151&amp;"da imzolangan 1-sonli navbatdagi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“navbatdagi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Qarz oluvchi va POSHSHAXANOVA NOZIMA ISMOILOVNA (23.01.2026y. sanasidagi reestr raqami №2026023772000213 bo'lgan Ishonchnomaga asosan) tomonidan 2026 yil 23 yanvarda imzolangan 1-sonli navbatdagi garov predmeti qiymatini tasdiqlash dalolatnomasiga muvofiq OQ BELO DIMCHATIY rangli, ishlab chiqarilgan yili – 2018 yil,  dvigatel raqami B12D211181167HB9X0266, shassi - RAKAMSIZ,  kuzov turi - YENGIL SEDAN, kuzov raqami №XWBMA48N1JA528481, davlat raqam belgisi 50P697RA bo'lgan CHEVROLET SPARK rusumli avtomashinasi (bundan keyin “navbatdagi garov predmeti”), egalik huquqiga ega  POSHSHAXANOVA NOZIMA ISMOILOVNAga tegishli va kelishilgan garov qiymati 2026 yil 23 yanvarda imzolangan 1-sonli Garov predmeti qiymatini tasdiqlash dalolatnomasiga muvifiq 50 400 000,00 (ellik million to'rt yuz ming so'm) so'mni tashkil qiladi. Garov garovining aniq shartlari tegishli notarial rasmiylashtirilgan garov shartnomasi bilan belgilanadi.</v>
      </c>
      <c r="B30" s="266"/>
    </row>
    <row r="31" spans="1:11" s="185" customFormat="1" ht="113.45" customHeight="1" x14ac:dyDescent="0.25">
      <c r="A31" s="266" t="str">
        <f>CONCATENATE(C31,D31)</f>
        <v>3.1.2. «АО "TRUST INSURANCE"» АJ sug‘urta kompaniyasi (keyingi o'rinlarda-Sug‘urtalovchi) tomonidan Mikroqarz to'lamaslik xavfini Mikroqarz summasiga nisbatan 130% dan hisoblab 18 200 000,00(o'n sakkiz million ikki yuz ming so'm) so ' m miqdoriga sug’urta qilish. Ushbu shartnoma bo‘yicha Mikroqarz berilgunga qadar Mikromoliya tashkiloti Sug‘urtalovchi 18 200 000,00(o'n sakkiz million ikki yuz ming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266"/>
      <c r="C31" s="185" t="str">
        <f>"3.1.2. «"&amp;malumot!B154&amp;"» АJ sug‘urta kompaniyasi (keyingi o'rinlarda-Sug‘urtalovchi) tomonidan "&amp;malumot!C64&amp;" to'lamaslik xavfini Mikroqarz summasiga nisbatan 130% dan hisoblab "&amp;FIXED(malumot!B155,2)&amp;"("&amp;malumot!B156&amp;") so ' m miqdoriga sug’urta qilish."</f>
        <v>3.1.2. «АО "TRUST INSURANCE"» АJ sug‘urta kompaniyasi (keyingi o'rinlarda-Sug‘urtalovchi) tomonidan Mikroqarz to'lamaslik xavfini Mikroqarz summasiga nisbatan 130% dan hisoblab 18 200 000,00(o'n sakkiz million ikki yuz ming so'm) so ' m miqdoriga sug’urta qilish.</v>
      </c>
      <c r="D31" s="185" t="str">
        <f>CONCATENATE(E31,F31)</f>
        <v xml:space="preserve"> Ushbu shartnoma bo‘yicha Mikroqarz berilgunga qadar Mikromoliya tashkiloti Sug‘urtalovchi 18 200 000,00(o'n sakkiz million ikki yuz ming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185" t="str">
        <f>" Ushbu shartnoma bo‘yicha "&amp;malumot!C64&amp;" berilgunga qadar Mikromoliya tashkiloti Sug‘urtalovchi "&amp;FIXED(malumot!B155,2)&amp;"("&amp;malumot!B156&amp;") so ' m miqdoridagi "&amp;malumot!C64&amp;""</f>
        <v xml:space="preserve"> Ushbu shartnoma bo‘yicha Mikroqarz berilgunga qadar Mikromoliya tashkiloti Sug‘urtalovchi 18 200 000,00(o'n sakkiz million ikki yuz ming so'm) so ' m miqdoridagi Mikroqarz</v>
      </c>
      <c r="F31" s="185" t="s">
        <v>376</v>
      </c>
    </row>
    <row r="32" spans="1:11" ht="117" customHeight="1" x14ac:dyDescent="0.25">
      <c r="A32" s="270"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270"/>
    </row>
    <row r="33" spans="1:8" ht="94.5" hidden="1" x14ac:dyDescent="0.25">
      <c r="A33" s="144" t="s">
        <v>347</v>
      </c>
      <c r="B33" s="29"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44"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4" s="29" t="s">
        <v>329</v>
      </c>
    </row>
    <row r="35" spans="1:8" ht="71.25" customHeight="1" x14ac:dyDescent="0.25">
      <c r="A35" s="270" t="s">
        <v>258</v>
      </c>
      <c r="B35" s="270"/>
    </row>
    <row r="36" spans="1:8" ht="84" customHeight="1" x14ac:dyDescent="0.25">
      <c r="A36" s="270" t="s">
        <v>307</v>
      </c>
      <c r="B36" s="270"/>
    </row>
    <row r="37" spans="1:8" ht="114.6" customHeight="1" x14ac:dyDescent="0.25">
      <c r="A37" s="267" t="s">
        <v>377</v>
      </c>
      <c r="B37" s="267"/>
    </row>
    <row r="38" spans="1:8" hidden="1" x14ac:dyDescent="0.25"/>
    <row r="39" spans="1:8" x14ac:dyDescent="0.25">
      <c r="A39" s="272" t="s">
        <v>306</v>
      </c>
      <c r="B39" s="272"/>
      <c r="C39" s="66"/>
    </row>
    <row r="40" spans="1:8" x14ac:dyDescent="0.25">
      <c r="A40" s="271" t="s">
        <v>305</v>
      </c>
      <c r="B40" s="271"/>
    </row>
    <row r="41" spans="1:8" ht="116.25" customHeight="1" x14ac:dyDescent="0.25">
      <c r="A41" s="270" t="str">
        <f>CONCATENATE(C41,H41)</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270"/>
      <c r="C41" s="6" t="str">
        <f>"4.1.1. Ushbu Shartnomada ko‘rsatilgan asoslar bo‘yicha Qarz oluvchiga Shartnomada ko‘zda tutilgan "&amp;malumot!B65&amp;""</f>
        <v>4.1.1. Ushbu Shartnomada ko‘rsatilgan asoslar bo‘yicha Qarz oluvchiga Shartnomada ko‘zda tutilgan mikroqarz</v>
      </c>
      <c r="H41" s="141" t="s">
        <v>372</v>
      </c>
    </row>
    <row r="42" spans="1:8" ht="39" customHeight="1" x14ac:dyDescent="0.25">
      <c r="A42" s="270"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2" s="270"/>
    </row>
    <row r="43" spans="1:8" x14ac:dyDescent="0.25">
      <c r="A43" s="270" t="s">
        <v>308</v>
      </c>
      <c r="B43" s="270"/>
    </row>
    <row r="44" spans="1:8" ht="30" customHeight="1" x14ac:dyDescent="0.25">
      <c r="A44" s="270" t="str">
        <f>"b) "&amp;malumot!B65&amp;" summasiga hisoblanadigan asosiy qarz bo‘yicha muddati o‘tgan qarzdorlik va/yoki foizlarning yuzaga kelishi;"</f>
        <v>b) mikroqarz summasiga hisoblanadigan asosiy qarz bo‘yicha muddati o‘tgan qarzdorlik va/yoki foizlarning yuzaga kelishi;</v>
      </c>
      <c r="B44" s="270"/>
    </row>
    <row r="45" spans="1:8" ht="37.5" customHeight="1" x14ac:dyDescent="0.25">
      <c r="A45" s="270" t="s">
        <v>309</v>
      </c>
      <c r="B45" s="270"/>
    </row>
    <row r="46" spans="1:8" ht="52.5" customHeight="1" x14ac:dyDescent="0.25">
      <c r="A46" s="270" t="s">
        <v>310</v>
      </c>
      <c r="B46" s="270"/>
    </row>
    <row r="47" spans="1:8" ht="19.5" customHeight="1" x14ac:dyDescent="0.25">
      <c r="A47" s="270" t="s">
        <v>311</v>
      </c>
      <c r="B47" s="270"/>
    </row>
    <row r="48" spans="1:8" ht="51.75" customHeight="1" x14ac:dyDescent="0.25">
      <c r="A48" s="270"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8" s="270"/>
    </row>
    <row r="49" spans="1:8" ht="33.75" customHeight="1" x14ac:dyDescent="0.25">
      <c r="A49" s="270" t="s">
        <v>304</v>
      </c>
      <c r="B49" s="270"/>
    </row>
    <row r="50" spans="1:8" ht="36.75" customHeight="1" x14ac:dyDescent="0.25">
      <c r="A50" s="270" t="s">
        <v>303</v>
      </c>
      <c r="B50" s="270"/>
      <c r="C50" s="144"/>
    </row>
    <row r="51" spans="1:8" ht="90" customHeight="1" x14ac:dyDescent="0.25">
      <c r="A51" s="267" t="s">
        <v>302</v>
      </c>
      <c r="B51" s="267"/>
      <c r="C51" s="144"/>
    </row>
    <row r="52" spans="1:8" ht="70.5" customHeight="1" x14ac:dyDescent="0.25">
      <c r="A52" s="267" t="s">
        <v>301</v>
      </c>
      <c r="B52" s="267"/>
      <c r="C52" s="144"/>
    </row>
    <row r="53" spans="1:8" ht="39.75" customHeight="1" x14ac:dyDescent="0.25">
      <c r="A53" s="267"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3" s="267"/>
      <c r="C53" s="144"/>
    </row>
    <row r="54" spans="1:8" ht="33" customHeight="1" x14ac:dyDescent="0.25">
      <c r="A54" s="267" t="s">
        <v>312</v>
      </c>
      <c r="B54" s="267"/>
      <c r="C54" s="144"/>
    </row>
    <row r="55" spans="1:8" ht="39.75" customHeight="1" x14ac:dyDescent="0.25">
      <c r="A55" s="267" t="s">
        <v>300</v>
      </c>
      <c r="B55" s="267"/>
      <c r="C55" s="144"/>
    </row>
    <row r="56" spans="1:8" ht="50.25" customHeight="1" x14ac:dyDescent="0.25">
      <c r="A56" s="267" t="str">
        <f>CONCATENATE(C56,H56)</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6" s="267"/>
      <c r="C56" s="144" t="str">
        <f>"4.1.10. Qarz oluvchi taqdim etilgan "&amp;malumot!B65&amp;"dan Shartnoma tuzilgan kundan boshlab 1 (bir) oy davomida foydalanmagan"</f>
        <v>4.1.10. Qarz oluvchi taqdim etilgan mikroqarzdan Shartnoma tuzilgan kundan boshlab 1 (bir) oy davomida foydalanmagan</v>
      </c>
      <c r="H56" s="6" t="s">
        <v>330</v>
      </c>
    </row>
    <row r="57" spans="1:8" ht="19.5" customHeight="1" x14ac:dyDescent="0.25">
      <c r="A57" s="267" t="str">
        <f>"4.1.11. Oldingi "&amp;malumot!B65&amp;" to‘liq to‘lanmagunga qadar yangi "&amp;malumot!B65&amp;" berishni rad etish."</f>
        <v>4.1.11. Oldingi mikroqarz to‘liq to‘lanmagunga qadar yangi mikroqarz berishni rad etish.</v>
      </c>
      <c r="B57" s="267"/>
      <c r="C57" s="144"/>
    </row>
    <row r="58" spans="1:8" hidden="1" x14ac:dyDescent="0.25"/>
    <row r="59" spans="1:8" x14ac:dyDescent="0.25">
      <c r="A59" s="269" t="s">
        <v>299</v>
      </c>
      <c r="B59" s="269"/>
      <c r="C59" s="143"/>
    </row>
    <row r="60" spans="1:8" x14ac:dyDescent="0.25">
      <c r="A60" s="273" t="s">
        <v>298</v>
      </c>
      <c r="B60" s="273"/>
      <c r="C60" s="145"/>
    </row>
    <row r="61" spans="1:8" ht="36" customHeight="1" x14ac:dyDescent="0.25">
      <c r="A61" s="267"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61" s="267"/>
      <c r="C61" s="144"/>
    </row>
    <row r="62" spans="1:8" ht="36.75" customHeight="1" x14ac:dyDescent="0.25">
      <c r="A62" s="267"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2" s="267"/>
      <c r="C62" s="144"/>
    </row>
    <row r="63" spans="1:8" ht="17.25" customHeight="1" x14ac:dyDescent="0.25">
      <c r="A63" s="267" t="str">
        <f>"5.1.3. "&amp;malumot!C64&amp;" xizmatlari ko‘rsatish qoidalari bilan tanishish."</f>
        <v>5.1.3. Mikroqarz xizmatlari ko‘rsatish qoidalari bilan tanishish.</v>
      </c>
      <c r="B63" s="267"/>
      <c r="C63" s="144"/>
    </row>
    <row r="64" spans="1:8" ht="36" customHeight="1" x14ac:dyDescent="0.25">
      <c r="A64" s="267"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4" s="267"/>
      <c r="C64" s="144"/>
    </row>
    <row r="65" spans="1:8" ht="33.75" customHeight="1" x14ac:dyDescent="0.25">
      <c r="A65" s="267" t="s">
        <v>313</v>
      </c>
      <c r="B65" s="267"/>
      <c r="C65" s="144"/>
    </row>
    <row r="66" spans="1:8" x14ac:dyDescent="0.25">
      <c r="A66" s="273" t="s">
        <v>297</v>
      </c>
      <c r="B66" s="273"/>
      <c r="C66" s="145"/>
    </row>
    <row r="67" spans="1:8" ht="37.5" customHeight="1" x14ac:dyDescent="0.25">
      <c r="A67" s="267"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7" s="267"/>
      <c r="C67" s="144"/>
    </row>
    <row r="68" spans="1:8" ht="39.75" customHeight="1" x14ac:dyDescent="0.25">
      <c r="A68" s="267" t="s">
        <v>314</v>
      </c>
      <c r="B68" s="267"/>
      <c r="C68" s="144"/>
    </row>
    <row r="69" spans="1:8" ht="27" customHeight="1" x14ac:dyDescent="0.25">
      <c r="A69" s="267" t="str">
        <f>"5.2.3. To‘lov jadvaliga muvofiq "&amp;malumot!B65&amp;", shuningdek hisoblangan foizlar to‘lovlarini amalga oshirish."</f>
        <v>5.2.3. To‘lov jadvaliga muvofiq mikroqarz, shuningdek hisoblangan foizlar to‘lovlarini amalga oshirish.</v>
      </c>
      <c r="B69" s="267"/>
      <c r="C69" s="144"/>
    </row>
    <row r="70" spans="1:8" ht="84" customHeight="1" x14ac:dyDescent="0.25">
      <c r="A70" s="267"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70" s="267"/>
      <c r="C70" s="144" t="s">
        <v>331</v>
      </c>
      <c r="H70" s="6"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1" spans="1:8" ht="49.5" customHeight="1" x14ac:dyDescent="0.25">
      <c r="A71" s="267" t="s">
        <v>315</v>
      </c>
      <c r="B71" s="267"/>
      <c r="C71" s="144"/>
    </row>
    <row r="72" spans="1:8" ht="36" customHeight="1" x14ac:dyDescent="0.25">
      <c r="A72" s="267"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2" s="267"/>
      <c r="C72" s="144"/>
    </row>
    <row r="73" spans="1:8" ht="51.75" customHeight="1" x14ac:dyDescent="0.25">
      <c r="A73" s="268" t="s">
        <v>332</v>
      </c>
      <c r="B73" s="268"/>
      <c r="C73" s="147"/>
    </row>
    <row r="74" spans="1:8" ht="57" customHeight="1" x14ac:dyDescent="0.25">
      <c r="A74" s="267"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4" s="267"/>
      <c r="C74" s="144"/>
    </row>
    <row r="75" spans="1:8" ht="33.75" customHeight="1" x14ac:dyDescent="0.25">
      <c r="A75" s="267"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5" s="267"/>
      <c r="C75" s="144"/>
      <c r="H75" s="6" t="s">
        <v>328</v>
      </c>
    </row>
    <row r="76" spans="1:8" ht="68.25" customHeight="1" x14ac:dyDescent="0.25">
      <c r="A76" s="267" t="str">
        <f>CONCATENATE(C76,H76)</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267"/>
      <c r="C76" s="144"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6" s="6" t="s">
        <v>333</v>
      </c>
    </row>
    <row r="77" spans="1:8" hidden="1" x14ac:dyDescent="0.25">
      <c r="A77" s="64"/>
    </row>
    <row r="78" spans="1:8" x14ac:dyDescent="0.25">
      <c r="A78" s="272" t="s">
        <v>296</v>
      </c>
      <c r="B78" s="272"/>
      <c r="C78" s="146"/>
    </row>
    <row r="79" spans="1:8" ht="84" customHeight="1" x14ac:dyDescent="0.25">
      <c r="A79" s="267"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9" s="267"/>
      <c r="C79" s="144" t="s">
        <v>334</v>
      </c>
      <c r="H79" s="6"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80" spans="1:8" ht="37.5" customHeight="1" x14ac:dyDescent="0.25">
      <c r="A80" s="267" t="s">
        <v>295</v>
      </c>
      <c r="B80" s="267"/>
      <c r="C80" s="144"/>
    </row>
    <row r="81" spans="1:3" ht="35.25" customHeight="1" x14ac:dyDescent="0.25">
      <c r="A81" s="267" t="s">
        <v>294</v>
      </c>
      <c r="B81" s="267"/>
      <c r="C81" s="144"/>
    </row>
    <row r="82" spans="1:3" ht="33" customHeight="1" x14ac:dyDescent="0.25">
      <c r="A82" s="267" t="s">
        <v>293</v>
      </c>
      <c r="B82" s="267"/>
      <c r="C82" s="144"/>
    </row>
    <row r="83" spans="1:3" hidden="1" x14ac:dyDescent="0.25"/>
    <row r="84" spans="1:3" x14ac:dyDescent="0.25">
      <c r="A84" s="274" t="s">
        <v>292</v>
      </c>
      <c r="B84" s="274"/>
      <c r="C84" s="60"/>
    </row>
    <row r="85" spans="1:3" ht="147.75" customHeight="1" x14ac:dyDescent="0.25">
      <c r="A85" s="267" t="s">
        <v>291</v>
      </c>
      <c r="B85" s="267"/>
      <c r="C85" s="144"/>
    </row>
    <row r="86" spans="1:3" ht="33.75" customHeight="1" x14ac:dyDescent="0.25">
      <c r="A86" s="267" t="s">
        <v>335</v>
      </c>
      <c r="B86" s="267"/>
      <c r="C86" s="144"/>
    </row>
    <row r="87" spans="1:3" ht="41.25" customHeight="1" x14ac:dyDescent="0.25">
      <c r="A87" s="267" t="s">
        <v>290</v>
      </c>
      <c r="B87" s="267"/>
      <c r="C87" s="144"/>
    </row>
    <row r="88" spans="1:3" ht="36" customHeight="1" x14ac:dyDescent="0.25">
      <c r="A88" s="267" t="s">
        <v>289</v>
      </c>
      <c r="B88" s="267"/>
      <c r="C88" s="144"/>
    </row>
    <row r="89" spans="1:3" hidden="1" x14ac:dyDescent="0.25"/>
    <row r="90" spans="1:3" x14ac:dyDescent="0.25">
      <c r="A90" s="274" t="s">
        <v>288</v>
      </c>
      <c r="B90" s="274"/>
      <c r="C90" s="60"/>
    </row>
    <row r="91" spans="1:3" ht="101.25" customHeight="1" x14ac:dyDescent="0.25">
      <c r="A91" s="267" t="s">
        <v>348</v>
      </c>
      <c r="B91" s="267"/>
      <c r="C91" s="144"/>
    </row>
    <row r="92" spans="1:3" ht="36" customHeight="1" x14ac:dyDescent="0.25">
      <c r="A92" s="267" t="s">
        <v>316</v>
      </c>
      <c r="B92" s="267"/>
      <c r="C92" s="144"/>
    </row>
    <row r="93" spans="1:3" ht="54" customHeight="1" x14ac:dyDescent="0.25">
      <c r="A93" s="267"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3" s="267"/>
      <c r="C93" s="144"/>
    </row>
    <row r="94" spans="1:3" hidden="1" x14ac:dyDescent="0.25"/>
    <row r="95" spans="1:3" x14ac:dyDescent="0.25">
      <c r="A95" s="275" t="s">
        <v>287</v>
      </c>
      <c r="B95" s="275"/>
      <c r="C95" s="65"/>
    </row>
    <row r="96" spans="1:3" ht="20.25" customHeight="1" x14ac:dyDescent="0.25">
      <c r="A96" s="267" t="s">
        <v>286</v>
      </c>
      <c r="B96" s="267"/>
      <c r="C96" s="144"/>
    </row>
    <row r="97" spans="1:3" ht="33.75" customHeight="1" x14ac:dyDescent="0.25">
      <c r="A97" s="267"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7" s="267"/>
      <c r="C97" s="144"/>
    </row>
    <row r="98" spans="1:3" ht="40.5" customHeight="1" x14ac:dyDescent="0.25">
      <c r="A98" s="267" t="s">
        <v>285</v>
      </c>
      <c r="B98" s="267"/>
      <c r="C98" s="144"/>
    </row>
    <row r="99" spans="1:3" hidden="1" x14ac:dyDescent="0.25"/>
    <row r="100" spans="1:3" x14ac:dyDescent="0.25">
      <c r="A100" s="269" t="s">
        <v>284</v>
      </c>
      <c r="B100" s="269"/>
      <c r="C100" s="59"/>
    </row>
    <row r="101" spans="1:3" ht="66.75" customHeight="1" x14ac:dyDescent="0.25">
      <c r="A101" s="267" t="s">
        <v>283</v>
      </c>
      <c r="B101" s="267"/>
      <c r="C101" s="144"/>
    </row>
    <row r="102" spans="1:3" ht="66" customHeight="1" x14ac:dyDescent="0.25">
      <c r="A102" s="267" t="s">
        <v>282</v>
      </c>
      <c r="B102" s="267"/>
      <c r="C102" s="144"/>
    </row>
    <row r="103" spans="1:3" ht="48" customHeight="1" x14ac:dyDescent="0.25">
      <c r="A103" s="267" t="s">
        <v>281</v>
      </c>
      <c r="B103" s="267"/>
      <c r="C103" s="144"/>
    </row>
    <row r="105" spans="1:3" x14ac:dyDescent="0.25">
      <c r="A105" s="274" t="s">
        <v>280</v>
      </c>
      <c r="B105" s="274"/>
      <c r="C105" s="133"/>
    </row>
    <row r="106" spans="1:3" ht="37.5" customHeight="1" x14ac:dyDescent="0.25">
      <c r="A106" s="267" t="s">
        <v>279</v>
      </c>
      <c r="B106" s="267"/>
      <c r="C106" s="144"/>
    </row>
    <row r="107" spans="1:3" ht="34.5" customHeight="1" x14ac:dyDescent="0.25">
      <c r="A107" s="267" t="s">
        <v>278</v>
      </c>
      <c r="B107" s="267"/>
      <c r="C107" s="144"/>
    </row>
    <row r="108" spans="1:3" ht="66.75" customHeight="1" x14ac:dyDescent="0.25">
      <c r="A108" s="267" t="s">
        <v>277</v>
      </c>
      <c r="B108" s="267"/>
      <c r="C108" s="144"/>
    </row>
    <row r="109" spans="1:3" ht="51" customHeight="1" x14ac:dyDescent="0.25">
      <c r="A109" s="267" t="s">
        <v>276</v>
      </c>
      <c r="B109" s="267"/>
      <c r="C109" s="144"/>
    </row>
    <row r="110" spans="1:3" ht="37.5" customHeight="1" x14ac:dyDescent="0.25">
      <c r="A110" s="267" t="s">
        <v>275</v>
      </c>
      <c r="B110" s="267"/>
      <c r="C110" s="144"/>
    </row>
    <row r="111" spans="1:3" ht="38.25" customHeight="1" x14ac:dyDescent="0.25">
      <c r="A111" s="267" t="s">
        <v>274</v>
      </c>
      <c r="B111" s="267"/>
      <c r="C111" s="144"/>
    </row>
    <row r="112" spans="1:3" ht="21" customHeight="1" x14ac:dyDescent="0.25">
      <c r="A112" s="267" t="s">
        <v>273</v>
      </c>
      <c r="B112" s="267"/>
      <c r="C112" s="144"/>
    </row>
    <row r="113" spans="1:3" ht="26.25" customHeight="1" x14ac:dyDescent="0.25">
      <c r="A113" s="269" t="s">
        <v>317</v>
      </c>
      <c r="B113" s="269"/>
      <c r="C113" s="65"/>
    </row>
    <row r="114" spans="1:3" hidden="1" x14ac:dyDescent="0.25"/>
    <row r="115" spans="1:3" x14ac:dyDescent="0.25">
      <c r="A115" s="177" t="s">
        <v>272</v>
      </c>
      <c r="B115" s="177" t="s">
        <v>271</v>
      </c>
    </row>
    <row r="117" spans="1:3" ht="31.5" x14ac:dyDescent="0.25">
      <c r="A117" s="65" t="str">
        <f>malumot!B159</f>
        <v>«CLEVER MIKROMOLIYA TASHKILOTI» MChJ</v>
      </c>
      <c r="B117" s="192" t="str">
        <f>malumot!B5</f>
        <v>XAMRAYEVA XUSHVAXT GAYBULLAYEVNA</v>
      </c>
    </row>
    <row r="119" spans="1:3" ht="40.5" customHeight="1" x14ac:dyDescent="0.25">
      <c r="A119" s="178" t="str">
        <f>"Manzil: "&amp;malumot!B164&amp;""</f>
        <v>Manzil: Toshkent shahri, Olmazor tumani, Sagbon ko'chasi, 30 boshi berk, 6-uy</v>
      </c>
      <c r="B119" s="178" t="str">
        <f>"Manzil: "&amp;malumot!B27&amp;""</f>
        <v>Manzil: BUXORO VILOYATI BUXORO SHAHRI RUXSHOBOD KO'CHASI</v>
      </c>
    </row>
    <row r="120" spans="1:3" ht="17.25" customHeight="1" x14ac:dyDescent="0.25">
      <c r="A120" s="197" t="str">
        <f>"h/r: "&amp;malumot!B165&amp;""</f>
        <v>h/r: №20216000105068380006</v>
      </c>
    </row>
    <row r="121" spans="1:3" ht="31.5" x14ac:dyDescent="0.25">
      <c r="A121" s="178" t="str">
        <f>"MFO: "&amp;malumot!B166&amp;" в "&amp;malumot!B167&amp;""</f>
        <v>MFO: №01183 в Toshkent sh., "ANOR BANK"</v>
      </c>
      <c r="B121" s="178" t="str">
        <f>"Pasport: "&amp;malumot!B16&amp;", "&amp;malumot!B20&amp;""</f>
        <v>Pasport: AB 5708016, BUXORO VILOYATI BUXORO SHAHAR IIB tomonidan 19.01.2017 yilda berilgan</v>
      </c>
    </row>
    <row r="122" spans="1:3" x14ac:dyDescent="0.25">
      <c r="A122" s="178" t="str">
        <f>"STIR: "&amp;malumot!B168&amp;""</f>
        <v>STIR: 306365847</v>
      </c>
      <c r="B122" s="61" t="str">
        <f>"Tel: "&amp;malumot!B40&amp;""</f>
        <v>Tel: 91 409 21 05  UZI</v>
      </c>
    </row>
    <row r="123" spans="1:3" x14ac:dyDescent="0.25">
      <c r="A123" s="199" t="str">
        <f>"Tel: (78) 113 31 33"</f>
        <v>Tel: (78) 113 31 33</v>
      </c>
      <c r="B123" s="61" t="str">
        <f>malumot!B41</f>
        <v>50 003 06 46 O'G'LI</v>
      </c>
    </row>
    <row r="124" spans="1:3" x14ac:dyDescent="0.25">
      <c r="A124" s="198" t="s">
        <v>7</v>
      </c>
      <c r="B124" s="61" t="str">
        <f>malumot!B42</f>
        <v>99 330 32 62 O'G'LI</v>
      </c>
    </row>
    <row r="125" spans="1:3" x14ac:dyDescent="0.25">
      <c r="A125" s="29"/>
    </row>
    <row r="126" spans="1:3" x14ac:dyDescent="0.25">
      <c r="A126" s="276" t="str">
        <f>malumot!A161</f>
        <v>Buxoro filiali boshlig'i</v>
      </c>
      <c r="B126" s="264" t="str">
        <f>""&amp;malumot!B7&amp;"     __________________"</f>
        <v>XAMRAYEVA X.G.     __________________</v>
      </c>
    </row>
    <row r="127" spans="1:3" x14ac:dyDescent="0.25">
      <c r="A127" s="276"/>
      <c r="B127" s="264"/>
    </row>
    <row r="128" spans="1:3" x14ac:dyDescent="0.25">
      <c r="A128" s="195" t="str">
        <f>malumot!B161</f>
        <v>A.Xudayberdiyev</v>
      </c>
    </row>
    <row r="129" spans="1:2" x14ac:dyDescent="0.25">
      <c r="A129" s="133"/>
      <c r="B129" s="179"/>
    </row>
    <row r="130" spans="1:2" x14ac:dyDescent="0.25">
      <c r="B130" s="6" t="s">
        <v>413</v>
      </c>
    </row>
    <row r="132" spans="1:2" hidden="1" x14ac:dyDescent="0.25">
      <c r="A132" s="6" t="str">
        <f>"менеджер :   "&amp;malumot!B172&amp;"______________"</f>
        <v>менеджер :   A.Xudayberdiyev______________</v>
      </c>
    </row>
  </sheetData>
  <mergeCells count="101">
    <mergeCell ref="A108:B108"/>
    <mergeCell ref="A126:A127"/>
    <mergeCell ref="A113:B113"/>
    <mergeCell ref="A109:B109"/>
    <mergeCell ref="A110:B110"/>
    <mergeCell ref="A111:B111"/>
    <mergeCell ref="A112:B112"/>
    <mergeCell ref="A97:B97"/>
    <mergeCell ref="A98:B98"/>
    <mergeCell ref="A100:B100"/>
    <mergeCell ref="A101:B101"/>
    <mergeCell ref="A102:B102"/>
    <mergeCell ref="A103:B103"/>
    <mergeCell ref="A105:B105"/>
    <mergeCell ref="A106:B106"/>
    <mergeCell ref="A107:B107"/>
    <mergeCell ref="B126:B127"/>
    <mergeCell ref="A84:B84"/>
    <mergeCell ref="A85:B85"/>
    <mergeCell ref="A92:B92"/>
    <mergeCell ref="A93:B93"/>
    <mergeCell ref="A95:B95"/>
    <mergeCell ref="A96:B96"/>
    <mergeCell ref="A86:B86"/>
    <mergeCell ref="A87:B87"/>
    <mergeCell ref="A88:B88"/>
    <mergeCell ref="A90:B90"/>
    <mergeCell ref="A91:B91"/>
    <mergeCell ref="A79:B79"/>
    <mergeCell ref="A70:B70"/>
    <mergeCell ref="A71:B71"/>
    <mergeCell ref="A72:B72"/>
    <mergeCell ref="A73:B73"/>
    <mergeCell ref="A74:B74"/>
    <mergeCell ref="A80:B80"/>
    <mergeCell ref="A81:B81"/>
    <mergeCell ref="A82:B82"/>
    <mergeCell ref="A64:B64"/>
    <mergeCell ref="A65:B65"/>
    <mergeCell ref="A66:B66"/>
    <mergeCell ref="A67:B67"/>
    <mergeCell ref="A68:B68"/>
    <mergeCell ref="A69:B69"/>
    <mergeCell ref="A75:B75"/>
    <mergeCell ref="A76:B76"/>
    <mergeCell ref="A78:B78"/>
    <mergeCell ref="A54:B54"/>
    <mergeCell ref="A55:B55"/>
    <mergeCell ref="A56:B56"/>
    <mergeCell ref="A57:B57"/>
    <mergeCell ref="A59:B59"/>
    <mergeCell ref="A60:B60"/>
    <mergeCell ref="A61:B61"/>
    <mergeCell ref="A62:B62"/>
    <mergeCell ref="A63:B63"/>
    <mergeCell ref="A52:B52"/>
    <mergeCell ref="A53:B53"/>
    <mergeCell ref="A49:B49"/>
    <mergeCell ref="A48:B48"/>
    <mergeCell ref="A47:B47"/>
    <mergeCell ref="A46:B46"/>
    <mergeCell ref="A45:B45"/>
    <mergeCell ref="A44:B44"/>
    <mergeCell ref="A43:B43"/>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s>
  <printOptions horizontalCentered="1"/>
  <pageMargins left="0.70866141732283472" right="0.70866141732283472" top="0.51181102362204722" bottom="0.43307086614173229" header="0.31496062992125984" footer="0.31496062992125984"/>
  <pageSetup paperSize="9" scale="72" orientation="portrait" r:id="rId1"/>
  <rowBreaks count="1" manualBreakCount="1">
    <brk id="2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tabColor rgb="FF00B050"/>
  </sheetPr>
  <dimension ref="A1:E27"/>
  <sheetViews>
    <sheetView view="pageBreakPreview" topLeftCell="A14" zoomScaleSheetLayoutView="100" workbookViewId="0">
      <selection activeCell="A27" sqref="A27"/>
    </sheetView>
  </sheetViews>
  <sheetFormatPr defaultColWidth="9.140625" defaultRowHeight="15" outlineLevelRow="1" x14ac:dyDescent="0.25"/>
  <cols>
    <col min="1" max="1" width="23.85546875" style="13" customWidth="1"/>
    <col min="2" max="2" width="23.28515625" style="13" customWidth="1"/>
    <col min="3" max="3" width="17" style="13" customWidth="1"/>
    <col min="4" max="4" width="17.5703125" style="13" customWidth="1"/>
    <col min="5" max="5" width="19.7109375" style="13" customWidth="1"/>
    <col min="6" max="16384" width="9.140625" style="13"/>
  </cols>
  <sheetData>
    <row r="1" spans="1:5" ht="16.5" customHeight="1" x14ac:dyDescent="0.25"/>
    <row r="2" spans="1:5" ht="17.25" customHeight="1" x14ac:dyDescent="0.25">
      <c r="A2" s="279" t="str">
        <f>""&amp;malumot!B158&amp;" ijrochi direktorining
"&amp;malumot!B176&amp;"dagi "&amp;malumot!B175&amp;"-sonli buyrug‘i"</f>
        <v>«CLEVER MIKROMOLIYA TASHKILOTI» MChJ ijrochi direktorining
23 yanvar 2026 y.dagi №195-BRS-sonli buyrug‘i</v>
      </c>
      <c r="B2" s="279"/>
      <c r="C2" s="279"/>
      <c r="D2" s="279"/>
      <c r="E2" s="279"/>
    </row>
    <row r="3" spans="1:5" x14ac:dyDescent="0.25">
      <c r="A3" s="279"/>
      <c r="B3" s="279"/>
      <c r="C3" s="279"/>
      <c r="D3" s="279"/>
      <c r="E3" s="279"/>
    </row>
    <row r="4" spans="1:5" x14ac:dyDescent="0.25">
      <c r="A4" s="279"/>
      <c r="B4" s="279"/>
      <c r="C4" s="279"/>
      <c r="D4" s="279"/>
      <c r="E4" s="279"/>
    </row>
    <row r="5" spans="1:5" x14ac:dyDescent="0.25">
      <c r="A5" s="277"/>
      <c r="B5" s="277"/>
      <c r="C5" s="277"/>
      <c r="D5" s="277"/>
      <c r="E5" s="277"/>
    </row>
    <row r="6" spans="1:5" ht="53.25" customHeight="1" x14ac:dyDescent="0.25">
      <c r="A6" s="277" t="str">
        <f>"Men, Abduraximov Nadirbek Kamilevich "&amp;malumot!B158&amp;" ijrochi direktori, jismoniy shaxs "&amp;malumot!B10&amp;"ga quyidagi shartlarda "&amp;malumot!B65&amp;" berishni buyuraman:"</f>
        <v>Men, Abduraximov Nadirbek Kamilevich «CLEVER MIKROMOLIYA TASHKILOTI» MChJ ijrochi direktori, jismoniy shaxs XAMRAYEVA XUSHVAXT GAYBULLAYEVNAga quyidagi shartlarda mikroqarz berishni buyuraman:</v>
      </c>
      <c r="B6" s="277"/>
      <c r="C6" s="277"/>
      <c r="D6" s="277"/>
      <c r="E6" s="277"/>
    </row>
    <row r="7" spans="1:5" ht="26.25" customHeight="1" x14ac:dyDescent="0.25">
      <c r="A7" s="277" t="str">
        <f>kredit_ariza!A13:D13</f>
        <v>Mikroqarz summasi: 50 000 000,00 (ellik million so'm) so'm.</v>
      </c>
      <c r="B7" s="277"/>
      <c r="C7" s="277"/>
      <c r="D7" s="277"/>
      <c r="E7" s="277"/>
    </row>
    <row r="8" spans="1:5" ht="21" customHeight="1" x14ac:dyDescent="0.25">
      <c r="A8" s="277" t="str">
        <f>kredit_ariza!A14:D14</f>
        <v>Mikroqarz muddati: 48 (Qirq sakkiz  ) oy.</v>
      </c>
      <c r="B8" s="277"/>
      <c r="C8" s="277"/>
      <c r="D8" s="277"/>
      <c r="E8" s="277"/>
    </row>
    <row r="9" spans="1:5" ht="27" customHeight="1" x14ac:dyDescent="0.25">
      <c r="A9" s="277" t="str">
        <f>kredit_ariza!A15:D15</f>
        <v>Mikroqarzdan foydalanganlik uchun foiz stavkasi: yillik  55% (Ellik besh  ) foiz</v>
      </c>
      <c r="B9" s="277"/>
      <c r="C9" s="277"/>
      <c r="D9" s="277"/>
      <c r="E9" s="277"/>
    </row>
    <row r="10" spans="1:5" ht="26.25" customHeight="1" x14ac:dyDescent="0.25">
      <c r="A10" s="277" t="str">
        <f>kredit_ariza!A16:D16</f>
        <v>Mikroqarz bo'yicha asosiy qarz va foizlarni to'lash:</v>
      </c>
      <c r="B10" s="277"/>
      <c r="C10" s="277"/>
      <c r="D10" s="277"/>
      <c r="E10" s="277"/>
    </row>
    <row r="11" spans="1:5" ht="21.75" hidden="1" customHeight="1" x14ac:dyDescent="0.25">
      <c r="A11" s="277" t="str">
        <f>kredit_ariza!A17:D17</f>
        <v xml:space="preserve"> - mikroqarz shartnomasi bo'yicha har oy differensial to'lovlari amalga oshiriladi</v>
      </c>
      <c r="B11" s="277"/>
      <c r="C11" s="277"/>
      <c r="D11" s="277"/>
      <c r="E11" s="277"/>
    </row>
    <row r="12" spans="1:5" hidden="1" x14ac:dyDescent="0.25">
      <c r="A12" s="277" t="str">
        <f>kredit_ariza!A19:D19</f>
        <v xml:space="preserve"> - mikroqarz shartnomasi bo'yicha har oy differensial to'lovlari amalga oshiriladi</v>
      </c>
      <c r="B12" s="277"/>
      <c r="C12" s="277"/>
      <c r="D12" s="277"/>
      <c r="E12" s="277"/>
    </row>
    <row r="13" spans="1:5" ht="23.25" customHeight="1" x14ac:dyDescent="0.25">
      <c r="A13" s="277" t="str">
        <f>IF(malumot!B110="Avtotransport",buyruq!A12:E12,buyruq!A11:E11)</f>
        <v xml:space="preserve"> - mikroqarz shartnomasi bo'yicha har oy differensial to'lovlari amalga oshiriladi</v>
      </c>
      <c r="B13" s="277"/>
      <c r="C13" s="277"/>
      <c r="D13" s="277"/>
      <c r="E13" s="277"/>
    </row>
    <row r="14" spans="1:5" ht="45.75" customHeight="1" x14ac:dyDescent="0.25">
      <c r="A14" s="278" t="str">
        <f>IF(malumot!B110=malumot!D110,""&amp;malumot!C124&amp;"ga tegishli "&amp;malumot!C133&amp;" ko'rinishidagi ko'chmas mulkni quyidagi ma'lumotlarga muvofiq  garovga qabul qilinsin:",""&amp;malumot!B124&amp;"ga tegishli "&amp;malumot!B132&amp;" ko'rinishidagi transport vositasini quyidagi ma'lumotlarga muvofiq garovga qabul qilinsin:")</f>
        <v>POSHSHAXANOVA NOZIMA ISMOILOVNAga tegishli CHEVROLET SPARK ko'rinishidagi transport vositasini quyidagi ma'lumotlarga muvofiq garovga qabul qilinsin:</v>
      </c>
      <c r="B14" s="278"/>
      <c r="C14" s="278"/>
      <c r="D14" s="278"/>
      <c r="E14" s="278"/>
    </row>
    <row r="15" spans="1:5" ht="50.25" hidden="1" customHeight="1" x14ac:dyDescent="0.25">
      <c r="A15" s="277" t="str">
        <f>""&amp;malumot!C124&amp;"ga tegishli "&amp;malumot!C133&amp;" ko'rinishidagi ko'chmas mulkni quyidagi ma'lumotlarga muvofiq  garovga qabul qilinsin:"</f>
        <v>0ga tegishli  0 ko'rinishidagi ko'chmas mulkni quyidagi ma'lumotlarga muvofiq  garovga qabul qilinsin:</v>
      </c>
      <c r="B15" s="277"/>
      <c r="C15" s="277"/>
      <c r="D15" s="277"/>
      <c r="E15" s="277"/>
    </row>
    <row r="16" spans="1:5" ht="47.25" hidden="1" customHeight="1" x14ac:dyDescent="0.25">
      <c r="A16" s="277" t="str">
        <f>""&amp;malumot!B124&amp;"ga tegishli "&amp;malumot!B132&amp;" ko'rinishidagi transport vositasini quyidagi ma'lumotlarga muvofiq garovga qabul qilinsin:"</f>
        <v>POSHSHAXANOVA NOZIMA ISMOILOVNAga tegishli CHEVROLET SPARK ko'rinishidagi transport vositasini quyidagi ma'lumotlarga muvofiq garovga qabul qilinsin:</v>
      </c>
      <c r="B16" s="277"/>
      <c r="C16" s="277"/>
      <c r="D16" s="277"/>
      <c r="E16" s="277"/>
    </row>
    <row r="17" spans="1:5" s="34" customFormat="1" ht="60" customHeight="1" outlineLevel="1" x14ac:dyDescent="0.2">
      <c r="A17" s="36" t="str">
        <f>dalolatnoma!A29</f>
        <v>Nomi</v>
      </c>
      <c r="B17" s="36" t="str">
        <f>dalolatnoma!B29</f>
        <v>Kuzov turi  va kuzov raqami*</v>
      </c>
      <c r="C17" s="36" t="str">
        <f>dalolatnoma!C29</f>
        <v>Dvigatel va shassi raqami*</v>
      </c>
      <c r="D17" s="36" t="str">
        <f>dalolatnoma!D29</f>
        <v>Ishlab chiqarilgan yili va rangi*</v>
      </c>
      <c r="E17" s="36" t="str">
        <f>dalolatnoma!E29</f>
        <v>Kelishilgan garov qiymati, so'm</v>
      </c>
    </row>
    <row r="18" spans="1:5" ht="102" customHeight="1" outlineLevel="1" x14ac:dyDescent="0.25">
      <c r="A18" s="15" t="str">
        <f>dalolatnoma!A30</f>
        <v>CHEVROLET SPARK</v>
      </c>
      <c r="B18" s="15" t="str">
        <f>dalolatnoma!B30</f>
        <v>kuzov turi - YENGIL SEDAN, kuzov raqami XWBMA48N1JA528481</v>
      </c>
      <c r="C18" s="15" t="str">
        <f>dalolatnoma!C30</f>
        <v>dvigatel raqami B12D211181167HB9X0266, shassi raqami - RAKAMSIZ</v>
      </c>
      <c r="D18" s="15" t="str">
        <f>dalolatnoma!D30</f>
        <v>rangi -  OQ BELO DIMCHATIY, ishlab chiqarilgan yili - 2018</v>
      </c>
      <c r="E18" s="15" t="str">
        <f>dalolatnoma!E30</f>
        <v>50 400 000,00 
(ellik million to'rt yuz ming so'm)</v>
      </c>
    </row>
    <row r="19" spans="1:5" ht="20.25" customHeight="1" outlineLevel="1" x14ac:dyDescent="0.25">
      <c r="A19" s="277" t="str">
        <f>dalolatnoma!A22:E22</f>
        <v>-* avtotransport egasi: POSHSHAXANOVA NOZIMA ISMOILOVNA</v>
      </c>
      <c r="B19" s="277"/>
      <c r="C19" s="277"/>
      <c r="D19" s="277"/>
      <c r="E19" s="277"/>
    </row>
    <row r="20" spans="1:5" ht="20.25" customHeight="1" outlineLevel="1" x14ac:dyDescent="0.25">
      <c r="A20" s="277" t="str">
        <f>dalolatnoma!A23:E23</f>
        <v>-* texnik pasport: AAG  0885005    03.02.2023</v>
      </c>
      <c r="B20" s="277"/>
      <c r="C20" s="277"/>
      <c r="D20" s="277"/>
      <c r="E20" s="277"/>
    </row>
    <row r="21" spans="1:5" ht="36" customHeight="1" outlineLevel="1" x14ac:dyDescent="0.25">
      <c r="A21" s="277" t="str">
        <f>dalolatnoma!A24:E24</f>
        <v>-* roʻyxatdan oʻtgan manzili/garaj manzili: NAMANGAN VILOYATI CHORTOQ TUMANI ALIXON SHFY ALIXON MFY ROXAT KO'CHASI 31-UY</v>
      </c>
      <c r="B21" s="277"/>
      <c r="C21" s="277"/>
      <c r="D21" s="277"/>
      <c r="E21" s="277"/>
    </row>
    <row r="22" spans="1:5" ht="19.5" customHeight="1" outlineLevel="1" x14ac:dyDescent="0.25">
      <c r="A22" s="277" t="str">
        <f>dalolatnoma!A25:E25</f>
        <v>-* davlat raqami: 50P697RA</v>
      </c>
      <c r="B22" s="277"/>
      <c r="C22" s="277"/>
      <c r="D22" s="277"/>
      <c r="E22" s="277"/>
    </row>
    <row r="23" spans="1:5" ht="34.5" customHeight="1" x14ac:dyDescent="0.25">
      <c r="A23" s="278" t="str">
        <f>"	«"&amp;malumot!B154&amp;"» АJ sug‘urta kompaniyasi bilan Mikroqarz to'lamaslik xavfini "&amp;FIXED(malumot!B155,2)&amp;"("&amp;malumot!B156&amp;") so'm miqdoriga sug’urta qilish shartnomasi tuzilsin"</f>
        <v xml:space="preserve">	«АО "TRUST INSURANCE"» АJ sug‘urta kompaniyasi bilan Mikroqarz to'lamaslik xavfini 18 200 000,00(o'n sakkiz million ikki yuz ming so'm) so'm miqdoriga sug’urta qilish shartnomasi tuzilsin</v>
      </c>
      <c r="B23" s="278"/>
      <c r="C23" s="278"/>
      <c r="D23" s="278"/>
      <c r="E23" s="278"/>
    </row>
    <row r="24" spans="1:5" s="34" customFormat="1" x14ac:dyDescent="0.2">
      <c r="A24" s="277"/>
      <c r="B24" s="277"/>
      <c r="C24" s="277"/>
      <c r="D24" s="277"/>
      <c r="E24" s="277"/>
    </row>
    <row r="25" spans="1:5" x14ac:dyDescent="0.25">
      <c r="B25" s="34"/>
    </row>
    <row r="26" spans="1:5" x14ac:dyDescent="0.25">
      <c r="B26" s="34"/>
    </row>
    <row r="27" spans="1:5" ht="67.5" customHeight="1" x14ac:dyDescent="0.25">
      <c r="A27" s="121" t="s">
        <v>461</v>
      </c>
      <c r="B27" s="34"/>
      <c r="D27" s="34" t="s">
        <v>421</v>
      </c>
    </row>
  </sheetData>
  <mergeCells count="19">
    <mergeCell ref="A15:E15"/>
    <mergeCell ref="A14:E14"/>
    <mergeCell ref="A21:E21"/>
    <mergeCell ref="A22:E22"/>
    <mergeCell ref="A23:E23"/>
    <mergeCell ref="A2:E4"/>
    <mergeCell ref="A24:E24"/>
    <mergeCell ref="A20:E20"/>
    <mergeCell ref="A12:E12"/>
    <mergeCell ref="A16:E16"/>
    <mergeCell ref="A5:E5"/>
    <mergeCell ref="A6:E6"/>
    <mergeCell ref="A11:E11"/>
    <mergeCell ref="A7:E7"/>
    <mergeCell ref="A8:E8"/>
    <mergeCell ref="A9:E9"/>
    <mergeCell ref="A10:E10"/>
    <mergeCell ref="A19:E19"/>
    <mergeCell ref="A13:E13"/>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tabColor rgb="FF00B050"/>
  </sheetPr>
  <dimension ref="A1:AH49"/>
  <sheetViews>
    <sheetView view="pageBreakPreview" topLeftCell="A29" zoomScaleNormal="100" zoomScaleSheetLayoutView="100" workbookViewId="0">
      <selection activeCell="A42" sqref="A42"/>
    </sheetView>
  </sheetViews>
  <sheetFormatPr defaultRowHeight="15" x14ac:dyDescent="0.25"/>
  <cols>
    <col min="1" max="1" width="22.85546875" style="56" customWidth="1"/>
    <col min="2" max="2" width="24.28515625" style="56" customWidth="1"/>
    <col min="3" max="3" width="18.42578125" style="56" customWidth="1"/>
    <col min="4" max="4" width="18" style="56" customWidth="1"/>
    <col min="5" max="5" width="25.140625" style="56" customWidth="1"/>
    <col min="6" max="6" width="9.140625" customWidth="1"/>
    <col min="7" max="7" width="24.42578125" customWidth="1"/>
    <col min="8" max="8" width="17.140625" customWidth="1"/>
    <col min="9" max="34" width="9.140625" hidden="1" customWidth="1"/>
    <col min="35" max="35" width="8.7109375" customWidth="1"/>
  </cols>
  <sheetData>
    <row r="1" spans="1:33" ht="47.25" customHeight="1" x14ac:dyDescent="0.25">
      <c r="A1" s="283" t="str">
        <f>""&amp;malumot!B158&amp;"
mikromoliya tashkiloti
Kredit qo‘mitasining yig‘ilishi"</f>
        <v>«CLEVER MIKROMOLIYA TASHKILOTI» MChJ
mikromoliya tashkiloti
Kredit qo‘mitasining yig‘ilishi</v>
      </c>
      <c r="B1" s="283"/>
      <c r="C1" s="283"/>
      <c r="D1" s="283"/>
      <c r="E1" s="283"/>
    </row>
    <row r="2" spans="1:33" ht="19.5" customHeight="1" x14ac:dyDescent="0.25">
      <c r="A2" s="283" t="str">
        <f>""&amp;H7&amp;" protokolidan ko'chirma"</f>
        <v>№195-BRS protokolidan ko'chirma</v>
      </c>
      <c r="B2" s="283"/>
      <c r="C2" s="283"/>
      <c r="D2" s="283"/>
      <c r="E2" s="283"/>
    </row>
    <row r="3" spans="1:33" ht="29.25" customHeight="1" x14ac:dyDescent="0.25">
      <c r="A3" s="121" t="s">
        <v>198</v>
      </c>
      <c r="B3" s="47"/>
      <c r="C3" s="47"/>
      <c r="D3" s="47"/>
      <c r="E3" s="122" t="str">
        <f>malumot!B68</f>
        <v>23 yanvar 2026 y.</v>
      </c>
    </row>
    <row r="4" spans="1:33" ht="21" customHeight="1" x14ac:dyDescent="0.25">
      <c r="A4" s="47"/>
      <c r="B4" s="283" t="s">
        <v>197</v>
      </c>
      <c r="C4" s="283"/>
      <c r="D4" s="283"/>
      <c r="E4" s="47"/>
    </row>
    <row r="5" spans="1:33" ht="35.25" customHeight="1" x14ac:dyDescent="0.25">
      <c r="A5" s="280" t="str">
        <f>"         "&amp;H8&amp;"."&amp;malumot!B5&amp;" ga "&amp;malumot!B65&amp;" berish masalasini ko‘rib chiqish to‘g‘risida."</f>
        <v xml:space="preserve">         1.XAMRAYEVA XUSHVAXT GAYBULLAYEVNA ga mikroqarz berish masalasini ko‘rib chiqish to‘g‘risida.</v>
      </c>
      <c r="B5" s="280"/>
      <c r="C5" s="280"/>
      <c r="D5" s="280"/>
      <c r="E5" s="280"/>
    </row>
    <row r="6" spans="1:33" ht="9" customHeight="1" x14ac:dyDescent="0.25"/>
    <row r="7" spans="1:33" ht="21" customHeight="1" x14ac:dyDescent="0.35">
      <c r="A7" s="277" t="str">
        <f>"      "&amp;H9&amp;" masala yuzasidan: «Clever Mikromoliya Tashkiloti» MChJ mikromoliya tashkiloti kredit bo‘yicha menejeri  "&amp;malumot!B5&amp;"ga "&amp;FIXED(malumot!B76)&amp;" ("&amp;malumot!B77&amp;") so‘m miqdorida, muddati "&amp;malumot!B82&amp;" ("&amp;malumot!B83&amp;") oyga va yillik 55 (Ellik besh) foiz miqdorida "&amp;malumot!B65&amp;" berich bo‘yicha "&amp;malumot!B5&amp;"ning kredit arizasi va "&amp;malumot!B158&amp;"ning xulosasi bilan ishtirokchilarni tanishtirdi."</f>
        <v xml:space="preserve">      Birinchi masala yuzasidan: «Clever Mikromoliya Tashkiloti» MChJ mikromoliya tashkiloti kredit bo‘yicha menejeri  XAMRAYEVA XUSHVAXT GAYBULLAYEVNAga 50 000 000,00 (ellik million so'm) so‘m miqdorida, muddati 48 (Qirq sakkiz  ) oyga va yillik 55 (Ellik besh) foiz miqdorida mikroqarz berich bo‘yicha XAMRAYEVA XUSHVAXT GAYBULLAYEVNAning kredit arizasi va «CLEVER MIKROMOLIYA TASHKILOTI» MChJning xulosasi bilan ishtirokchilarni tanishtirdi.</v>
      </c>
      <c r="B7" s="277"/>
      <c r="C7" s="277"/>
      <c r="D7" s="277"/>
      <c r="E7" s="277"/>
      <c r="G7" s="57" t="s">
        <v>252</v>
      </c>
      <c r="H7" s="58" t="str">
        <f>malumot!B1</f>
        <v>№195-BRS</v>
      </c>
    </row>
    <row r="8" spans="1:33" ht="48.75" customHeight="1" x14ac:dyDescent="0.35">
      <c r="A8" s="277"/>
      <c r="B8" s="277"/>
      <c r="C8" s="277"/>
      <c r="D8" s="277"/>
      <c r="E8" s="277"/>
      <c r="G8" s="57" t="s">
        <v>253</v>
      </c>
      <c r="H8" s="58">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9" hidden="1" customHeight="1" x14ac:dyDescent="0.35">
      <c r="A9" s="277"/>
      <c r="B9" s="277"/>
      <c r="C9" s="277"/>
      <c r="D9" s="277"/>
      <c r="E9" s="277"/>
      <c r="G9" s="57" t="s">
        <v>254</v>
      </c>
      <c r="H9" s="58" t="str">
        <f>IF(H8=I8,I9,IF(H8=J8,J9,IF(H8=K8,K9,IF(H8=L8,L9,IF(H8=M8,M9,IF(H8=N8,N9,IF(H8=O8,O9,IF(H8=P8,P9,IF(H8=Q8,Q9,IF(H8=R8,R9,IF(H8=S8,S9,IF(H8=T8,T9,IF(H8=U8,U9,IF(H8=V8,V9,IF(H8=W8,W9,IF(H8=X8,X9,IF(H8=Y8,Y9,IF(H8=Z8,Z9,IF(H8=AA8,AA9,IF(H8=AB8,AB9,IF(H8=AC8,AC9,IF(H8=AD8,AD9,IF(H8=AE8,AE9,IF(H8=AF8,AF9,IF(H8=AG8,AG9)))))))))))))))))))))))))</f>
        <v>Birinchi</v>
      </c>
      <c r="I9" s="138" t="s">
        <v>185</v>
      </c>
      <c r="J9" s="139" t="s">
        <v>186</v>
      </c>
      <c r="K9" s="139" t="s">
        <v>187</v>
      </c>
      <c r="L9" s="139" t="s">
        <v>359</v>
      </c>
      <c r="M9" s="139" t="s">
        <v>188</v>
      </c>
      <c r="N9" s="139" t="s">
        <v>360</v>
      </c>
      <c r="O9" s="139" t="s">
        <v>189</v>
      </c>
      <c r="P9" s="139" t="s">
        <v>190</v>
      </c>
      <c r="Q9" s="139" t="s">
        <v>191</v>
      </c>
      <c r="R9" s="139" t="s">
        <v>349</v>
      </c>
      <c r="S9" s="139" t="s">
        <v>350</v>
      </c>
      <c r="T9" s="139" t="s">
        <v>351</v>
      </c>
      <c r="U9" s="139" t="s">
        <v>352</v>
      </c>
      <c r="V9" s="139" t="s">
        <v>361</v>
      </c>
      <c r="W9" s="139" t="s">
        <v>353</v>
      </c>
      <c r="X9" s="139" t="s">
        <v>354</v>
      </c>
      <c r="Y9" s="139" t="s">
        <v>355</v>
      </c>
      <c r="Z9" s="139" t="s">
        <v>356</v>
      </c>
      <c r="AA9" s="139" t="s">
        <v>357</v>
      </c>
      <c r="AB9" s="139" t="s">
        <v>192</v>
      </c>
      <c r="AC9" s="139" t="s">
        <v>193</v>
      </c>
      <c r="AD9" s="139" t="s">
        <v>194</v>
      </c>
      <c r="AE9" s="139" t="s">
        <v>195</v>
      </c>
      <c r="AF9" s="139" t="s">
        <v>358</v>
      </c>
      <c r="AG9" s="139" t="s">
        <v>196</v>
      </c>
    </row>
    <row r="10" spans="1:33" ht="3.75" customHeight="1" x14ac:dyDescent="0.25">
      <c r="A10" s="277"/>
      <c r="B10" s="277"/>
      <c r="C10" s="277"/>
      <c r="D10" s="277"/>
      <c r="E10" s="277"/>
    </row>
    <row r="11" spans="1:33" ht="15.75" customHeight="1" x14ac:dyDescent="0.25">
      <c r="A11" s="278" t="str">
        <f>""&amp;malumot!C64&amp;" ta’minoti:"</f>
        <v>Mikroqarz ta’minoti:</v>
      </c>
      <c r="B11" s="278"/>
      <c r="C11" s="278"/>
      <c r="D11" s="278"/>
      <c r="E11" s="278"/>
    </row>
    <row r="12" spans="1:33" ht="7.5" customHeight="1" x14ac:dyDescent="0.25"/>
    <row r="13" spans="1:33" ht="64.5" customHeight="1" x14ac:dyDescent="0.25">
      <c r="A13" s="277" t="str">
        <f>xulosa!A18:E18</f>
        <v>1.   Egalik huquqi POSHSHAXANOVA NOZIMA ISMOILOVNAga tegishli bo'lgan garovga olingan avtomobil markasi   CHEVROLET SPARK, rangi -  OQ BELO DIMCHATIY, ishlab chiqarilgan yili - 2018, davlat raqam belgisi 50P697RA, kuzov turi - YENGIL SEDAN, kuzov raqami XWBMA48N1JA528481, dvigatel raqami B12D211181167HB9X0266, shassi raqami - RAKAMSIZ</v>
      </c>
      <c r="B13" s="277"/>
      <c r="C13" s="277"/>
      <c r="D13" s="277"/>
      <c r="E13" s="277"/>
    </row>
    <row r="14" spans="1:33" ht="31.9" customHeight="1" x14ac:dyDescent="0.25">
      <c r="A14" s="278" t="str">
        <f>"2. «"&amp;malumot!B154&amp;"» АJ sug‘urta kompaniyasi tomonidan Mikroqarz to'lamaslik xavfini "&amp;FIXED(malumot!B155,2)&amp;"("&amp;malumot!B156&amp;") so ' m miqdoriga sug’urta qilish"</f>
        <v>2. «АО "TRUST INSURANCE"» АJ sug‘urta kompaniyasi tomonidan Mikroqarz to'lamaslik xavfini 18 200 000,00(o'n sakkiz million ikki yuz ming so'm) so ' m miqdoriga sug’urta qilish</v>
      </c>
      <c r="B14" s="278"/>
      <c r="C14" s="278"/>
      <c r="D14" s="278"/>
      <c r="E14" s="278"/>
    </row>
    <row r="15" spans="1:33" ht="17.25" customHeight="1" x14ac:dyDescent="0.25">
      <c r="C15" s="140" t="s">
        <v>368</v>
      </c>
      <c r="D15" s="140" t="str">
        <f>""&amp;malumot!B158&amp;" kredit qo‘mitasi"</f>
        <v>«CLEVER MIKROMOLIYA TASHKILOTI» MChJ kredit qo‘mitasi</v>
      </c>
      <c r="E15" s="140" t="str">
        <f>CONCATENATE(C15,D15)</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6" spans="1:33" ht="54" customHeight="1" x14ac:dyDescent="0.25">
      <c r="A16" s="277" t="str">
        <f>CONCATENATE(H9,E15)</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6" s="277"/>
      <c r="C16" s="277"/>
      <c r="D16" s="277"/>
      <c r="E16" s="277"/>
    </row>
    <row r="17" spans="1:5" ht="24" customHeight="1" x14ac:dyDescent="0.25">
      <c r="A17" s="284" t="s">
        <v>255</v>
      </c>
      <c r="B17" s="284"/>
      <c r="C17" s="284"/>
      <c r="D17" s="284"/>
      <c r="E17" s="284"/>
    </row>
    <row r="18" spans="1:5" ht="32.25" customHeight="1" x14ac:dyDescent="0.25">
      <c r="A18" s="277" t="str">
        <f>"       "&amp;malumot!B5&amp;"ga quyidagi shartlarda "&amp;malumot!B65&amp;" berish masalasi ma’qullansin:"</f>
        <v xml:space="preserve">       XAMRAYEVA XUSHVAXT GAYBULLAYEVNAga quyidagi shartlarda mikroqarz berish masalasi ma’qullansin:</v>
      </c>
      <c r="B18" s="277"/>
      <c r="C18" s="277"/>
      <c r="D18" s="277"/>
      <c r="E18" s="277"/>
    </row>
    <row r="19" spans="1:5" s="123" customFormat="1" ht="18.75" customHeight="1" x14ac:dyDescent="0.25">
      <c r="A19" s="280" t="str">
        <f>"1. "&amp;malumot!C64&amp;" summasi: "&amp;FIXED(malumot!B76)&amp;" ("&amp;malumot!B77&amp;") so'm."</f>
        <v>1. Mikroqarz summasi: 50 000 000,00 (ellik million so'm) so'm.</v>
      </c>
      <c r="B19" s="280"/>
      <c r="C19" s="280"/>
      <c r="D19" s="280"/>
      <c r="E19" s="280"/>
    </row>
    <row r="20" spans="1:5" s="123" customFormat="1" ht="18.75" customHeight="1" x14ac:dyDescent="0.25">
      <c r="A20" s="280" t="str">
        <f>"2. "&amp;malumot!C64&amp;" muddati: "&amp;malumot!B82&amp;" ("&amp;malumot!B83&amp;") oy "</f>
        <v xml:space="preserve">2. Mikroqarz muddati: 48 (Qirq sakkiz  ) oy </v>
      </c>
      <c r="B20" s="280"/>
      <c r="C20" s="280"/>
      <c r="D20" s="280"/>
      <c r="E20" s="280"/>
    </row>
    <row r="21" spans="1:5" s="123" customFormat="1" ht="18.75" customHeight="1" x14ac:dyDescent="0.25">
      <c r="A21" s="280" t="str">
        <f>"3. "&amp;malumot!C64&amp;"dan foydalanganlik uchun foiz stavkasi:yillik "&amp;malumot!B86&amp;"% ("&amp;malumot!B87&amp;") foiz."</f>
        <v>3. Mikroqarzdan foydalanganlik uchun foiz stavkasi:yillik 55% (Ellik besh  ) foiz.</v>
      </c>
      <c r="B21" s="280"/>
      <c r="C21" s="280"/>
      <c r="D21" s="280"/>
      <c r="E21" s="280"/>
    </row>
    <row r="22" spans="1:5" s="123" customFormat="1" ht="18.75" customHeight="1" x14ac:dyDescent="0.25">
      <c r="A22" s="280" t="str">
        <f>"4. "&amp;malumot!C64&amp;" bo‘yicha asosiy qarz va foizlarni to‘lash:"</f>
        <v>4. Mikroqarz bo‘yicha asosiy qarz va foizlarni to‘lash:</v>
      </c>
      <c r="B22" s="280"/>
      <c r="C22" s="280"/>
      <c r="D22" s="280"/>
      <c r="E22" s="280"/>
    </row>
    <row r="23" spans="1:5" s="123" customFormat="1" ht="18.75" customHeight="1" x14ac:dyDescent="0.25">
      <c r="A23" s="280" t="str">
        <f>kredit_ariza!A19:D19</f>
        <v xml:space="preserve"> - mikroqarz shartnomasi bo'yicha har oy differensial to'lovlari amalga oshiriladi</v>
      </c>
      <c r="B23" s="280"/>
      <c r="C23" s="280"/>
      <c r="D23" s="280"/>
      <c r="E23" s="280"/>
    </row>
    <row r="24" spans="1:5" s="123" customFormat="1" ht="18.75" customHeight="1" x14ac:dyDescent="0.25">
      <c r="A24" s="280" t="s">
        <v>378</v>
      </c>
      <c r="B24" s="280"/>
      <c r="C24" s="280"/>
      <c r="D24" s="280"/>
      <c r="E24" s="280"/>
    </row>
    <row r="25" spans="1:5" ht="48" customHeight="1" x14ac:dyDescent="0.25">
      <c r="A25" s="277" t="str">
        <f>"1. garov  "&amp;xulosa!A29:E29&amp;""</f>
        <v>1. garov   - POSHSHAXANOVA NOZIMA ISMOILOVNA ga mulk huquqi asosida tegishli avtotransport vositasi CHEVROLET SPARK , quyidagi tafsilotlarga muvofiq:</v>
      </c>
      <c r="B25" s="277"/>
      <c r="C25" s="277"/>
      <c r="D25" s="277"/>
      <c r="E25" s="277"/>
    </row>
    <row r="26" spans="1:5" ht="40.5" customHeight="1" x14ac:dyDescent="0.25">
      <c r="A26" s="15" t="str">
        <f>dalolatnoma!A29</f>
        <v>Nomi</v>
      </c>
      <c r="B26" s="15" t="str">
        <f>dalolatnoma!B29</f>
        <v>Kuzov turi  va kuzov raqami*</v>
      </c>
      <c r="C26" s="15" t="str">
        <f>dalolatnoma!C29</f>
        <v>Dvigatel va shassi raqami*</v>
      </c>
      <c r="D26" s="15" t="str">
        <f>dalolatnoma!D29</f>
        <v>Ishlab chiqarilgan yili va rangi*</v>
      </c>
      <c r="E26" s="15" t="str">
        <f>dalolatnoma!E29</f>
        <v>Kelishilgan garov qiymati, so'm</v>
      </c>
    </row>
    <row r="27" spans="1:5" ht="80.25" customHeight="1" x14ac:dyDescent="0.25">
      <c r="A27" s="15" t="str">
        <f>dalolatnoma!A30</f>
        <v>CHEVROLET SPARK</v>
      </c>
      <c r="B27" s="15" t="str">
        <f>dalolatnoma!B30</f>
        <v>kuzov turi - YENGIL SEDAN, kuzov raqami XWBMA48N1JA528481</v>
      </c>
      <c r="C27" s="15" t="str">
        <f>dalolatnoma!C30</f>
        <v>dvigatel raqami B12D211181167HB9X0266, shassi raqami - RAKAMSIZ</v>
      </c>
      <c r="D27" s="15" t="str">
        <f>dalolatnoma!D30</f>
        <v>rangi -  OQ BELO DIMCHATIY, ishlab chiqarilgan yili - 2018</v>
      </c>
      <c r="E27" s="15" t="str">
        <f>dalolatnoma!E30</f>
        <v>50 400 000,00 
(ellik million to'rt yuz ming so'm)</v>
      </c>
    </row>
    <row r="28" spans="1:5" ht="20.25" customHeight="1" x14ac:dyDescent="0.25">
      <c r="A28" s="277" t="str">
        <f>dalolatnoma!A22:E22</f>
        <v>-* avtotransport egasi: POSHSHAXANOVA NOZIMA ISMOILOVNA</v>
      </c>
      <c r="B28" s="277"/>
      <c r="C28" s="277"/>
      <c r="D28" s="277"/>
      <c r="E28" s="277"/>
    </row>
    <row r="29" spans="1:5" ht="20.25" customHeight="1" x14ac:dyDescent="0.25">
      <c r="A29" s="277" t="str">
        <f>dalolatnoma!A23:E23</f>
        <v>-* texnik pasport: AAG  0885005    03.02.2023</v>
      </c>
      <c r="B29" s="277"/>
      <c r="C29" s="277"/>
      <c r="D29" s="277"/>
      <c r="E29" s="277"/>
    </row>
    <row r="30" spans="1:5" ht="18" customHeight="1" x14ac:dyDescent="0.25">
      <c r="A30" s="277" t="str">
        <f>dalolatnoma!A24:E24</f>
        <v>-* roʻyxatdan oʻtgan manzili/garaj manzili: NAMANGAN VILOYATI CHORTOQ TUMANI ALIXON SHFY ALIXON MFY ROXAT KO'CHASI 31-UY</v>
      </c>
      <c r="B30" s="277"/>
      <c r="C30" s="277"/>
      <c r="D30" s="277"/>
      <c r="E30" s="277"/>
    </row>
    <row r="31" spans="1:5" ht="22.5" customHeight="1" x14ac:dyDescent="0.25">
      <c r="A31" s="277" t="str">
        <f>dalolatnoma!A25:E25</f>
        <v>-* davlat raqami: 50P697RA</v>
      </c>
      <c r="B31" s="277"/>
      <c r="C31" s="277"/>
      <c r="D31" s="277"/>
      <c r="E31" s="277"/>
    </row>
    <row r="32" spans="1:5" ht="12" customHeight="1" x14ac:dyDescent="0.25">
      <c r="A32" s="124"/>
      <c r="B32" s="124"/>
      <c r="C32" s="124"/>
      <c r="D32" s="124"/>
      <c r="E32" s="124"/>
    </row>
    <row r="33" spans="1:5" ht="34.9" customHeight="1" x14ac:dyDescent="0.25">
      <c r="A33" s="277" t="str">
        <f>"6. «"&amp;malumot!B154&amp;"» АJ sug‘urta kompaniyasi tomonidan Mikroqarz to'lamaslik xavfini "&amp;FIXED(malumot!B155,2)&amp;"("&amp;malumot!B156&amp;") so ' m miqdoriga sug’urta qilish"</f>
        <v>6. «АО "TRUST INSURANCE"» АJ sug‘urta kompaniyasi tomonidan Mikroqarz to'lamaslik xavfini 18 200 000,00(o'n sakkiz million ikki yuz ming so'm) so ' m miqdoriga sug’urta qilish</v>
      </c>
      <c r="B33" s="277"/>
      <c r="C33" s="277"/>
      <c r="D33" s="277"/>
      <c r="E33" s="277"/>
    </row>
    <row r="34" spans="1:5" ht="22.5" customHeight="1" x14ac:dyDescent="0.25">
      <c r="A34" s="277" t="str">
        <f>"7. Boshqa shartlar – "&amp;IF(malumot!B110=malumot!B111,"avtotransport vositasi",IF(malumot!B110=malumot!C111,"ko'chmas mulk",0))&amp;" shaklida garov ta'minlangandan keyin "&amp;malumot!B65&amp;" berish."</f>
        <v>7. Boshqa shartlar – 0 shaklida garov ta'minlangandan keyin mikroqarz berish.</v>
      </c>
      <c r="B34" s="277"/>
      <c r="C34" s="277"/>
      <c r="D34" s="277"/>
      <c r="E34" s="277"/>
    </row>
    <row r="36" spans="1:5" ht="24" customHeight="1" x14ac:dyDescent="0.25">
      <c r="A36" s="281" t="s">
        <v>256</v>
      </c>
      <c r="B36" s="281"/>
      <c r="C36" s="281"/>
      <c r="D36" s="281"/>
      <c r="E36" s="281"/>
    </row>
    <row r="37" spans="1:5" hidden="1" x14ac:dyDescent="0.25">
      <c r="A37" s="18"/>
      <c r="B37" s="282"/>
      <c r="C37" s="282"/>
      <c r="D37" s="172"/>
      <c r="E37" s="18"/>
    </row>
    <row r="38" spans="1:5" ht="3.75" customHeight="1" x14ac:dyDescent="0.25">
      <c r="A38" s="18"/>
      <c r="B38" s="282"/>
      <c r="C38" s="282"/>
      <c r="D38" s="172"/>
      <c r="E38" s="18"/>
    </row>
    <row r="39" spans="1:5" ht="27" customHeight="1" x14ac:dyDescent="0.25">
      <c r="A39" s="18"/>
      <c r="B39" s="282"/>
      <c r="C39" s="282"/>
      <c r="D39" s="172"/>
      <c r="E39" s="18"/>
    </row>
    <row r="40" spans="1:5" ht="14.25" customHeight="1" x14ac:dyDescent="0.25"/>
    <row r="41" spans="1:5" ht="65.25" customHeight="1" x14ac:dyDescent="0.25">
      <c r="A41" s="121" t="str">
        <f>malumot!B158&amp;" ijrochi direktori"</f>
        <v>«CLEVER MIKROMOLIYA TASHKILOTI» MChJ ijrochi direktori</v>
      </c>
      <c r="B41" s="187"/>
      <c r="C41" s="187"/>
      <c r="D41" s="186" t="s">
        <v>421</v>
      </c>
    </row>
    <row r="42" spans="1:5" x14ac:dyDescent="0.25">
      <c r="A42" s="187"/>
      <c r="B42" s="187"/>
      <c r="C42" s="187"/>
      <c r="D42" s="187"/>
    </row>
    <row r="43" spans="1:5" x14ac:dyDescent="0.25">
      <c r="A43" s="187"/>
      <c r="B43" s="187"/>
      <c r="C43" s="187"/>
      <c r="D43" s="187"/>
    </row>
    <row r="44" spans="1:5" x14ac:dyDescent="0.25">
      <c r="A44" s="187"/>
      <c r="B44" s="187"/>
      <c r="C44" s="187"/>
      <c r="D44" s="187"/>
    </row>
    <row r="45" spans="1:5" ht="29.25" x14ac:dyDescent="0.25">
      <c r="A45" s="187" t="str">
        <f>malumot!A170</f>
        <v xml:space="preserve">Kreditlash bo’limi boshlig’i </v>
      </c>
      <c r="B45" s="187"/>
      <c r="C45" s="187"/>
      <c r="D45" s="187" t="str">
        <f>malumot!B170</f>
        <v>J.Sadiriddinzoda</v>
      </c>
    </row>
    <row r="46" spans="1:5" x14ac:dyDescent="0.25">
      <c r="A46" s="187"/>
      <c r="B46" s="187"/>
      <c r="C46" s="187"/>
      <c r="D46" s="187"/>
    </row>
    <row r="47" spans="1:5" x14ac:dyDescent="0.25">
      <c r="A47" s="187"/>
      <c r="B47" s="187"/>
      <c r="C47" s="187"/>
      <c r="D47" s="187"/>
    </row>
    <row r="48" spans="1:5" x14ac:dyDescent="0.25">
      <c r="A48" s="187"/>
      <c r="B48" s="187"/>
      <c r="C48" s="187"/>
      <c r="D48" s="187"/>
    </row>
    <row r="49" spans="1:4" ht="29.25" x14ac:dyDescent="0.25">
      <c r="A49" s="187" t="str">
        <f>malumot!A171</f>
        <v>Monitoring bo’limi boshlig’i</v>
      </c>
      <c r="B49" s="187"/>
      <c r="C49" s="187"/>
      <c r="D49" s="187" t="str">
        <f>malumot!B171</f>
        <v>D.Axmedov</v>
      </c>
    </row>
  </sheetData>
  <mergeCells count="28">
    <mergeCell ref="B37:C37"/>
    <mergeCell ref="B38:C38"/>
    <mergeCell ref="B39:C39"/>
    <mergeCell ref="A20:E20"/>
    <mergeCell ref="A1:E1"/>
    <mergeCell ref="A2:E2"/>
    <mergeCell ref="B4:D4"/>
    <mergeCell ref="A5:E5"/>
    <mergeCell ref="A7:E10"/>
    <mergeCell ref="A11:E11"/>
    <mergeCell ref="A13:E13"/>
    <mergeCell ref="A16:E16"/>
    <mergeCell ref="A17:E17"/>
    <mergeCell ref="A18:E18"/>
    <mergeCell ref="A19:E19"/>
    <mergeCell ref="A21:E21"/>
    <mergeCell ref="A22:E22"/>
    <mergeCell ref="A23:E23"/>
    <mergeCell ref="A14:E14"/>
    <mergeCell ref="A24:E24"/>
    <mergeCell ref="A36:E36"/>
    <mergeCell ref="A31:E31"/>
    <mergeCell ref="A25:E25"/>
    <mergeCell ref="A28:E28"/>
    <mergeCell ref="A29:E29"/>
    <mergeCell ref="A30:E30"/>
    <mergeCell ref="A34:E34"/>
    <mergeCell ref="A33:E33"/>
  </mergeCells>
  <pageMargins left="0.70866141732283472" right="0.70866141732283472" top="0.74803149606299213" bottom="0.74803149606299213" header="0.31496062992125984" footer="0.31496062992125984"/>
  <pageSetup paperSize="9" scale="59"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9">
    <tabColor theme="1"/>
  </sheetPr>
  <dimension ref="A1:V76"/>
  <sheetViews>
    <sheetView topLeftCell="A16" zoomScale="70" zoomScaleNormal="70" zoomScaleSheetLayoutView="70" workbookViewId="0">
      <selection activeCell="D56" sqref="D56:F56"/>
    </sheetView>
  </sheetViews>
  <sheetFormatPr defaultColWidth="9.140625" defaultRowHeight="15" outlineLevelCol="1" x14ac:dyDescent="0.25"/>
  <cols>
    <col min="1" max="1" width="9.140625" style="77"/>
    <col min="2" max="2" width="12.28515625" style="77" customWidth="1"/>
    <col min="3" max="3" width="16.5703125" style="77" customWidth="1"/>
    <col min="4" max="4" width="16.7109375" style="77" customWidth="1"/>
    <col min="5" max="5" width="16.5703125" style="77" customWidth="1"/>
    <col min="6" max="6" width="20.85546875" style="77" customWidth="1"/>
    <col min="7" max="7" width="10.140625" style="77" customWidth="1" outlineLevel="1"/>
    <col min="8" max="8" width="19.140625" style="77" customWidth="1"/>
    <col min="9" max="9" width="21.42578125" style="77" customWidth="1"/>
    <col min="10" max="10" width="20.85546875" style="77" customWidth="1"/>
    <col min="11" max="11" width="20.140625" style="77" customWidth="1"/>
    <col min="12" max="12" width="21.42578125" style="77" customWidth="1"/>
    <col min="13" max="13" width="25.42578125" style="77" customWidth="1"/>
    <col min="14" max="14" width="18.28515625" style="77" customWidth="1"/>
    <col min="15" max="17" width="9.140625" style="13"/>
    <col min="18" max="18" width="24.42578125" style="13" customWidth="1"/>
    <col min="19" max="16384" width="9.140625" style="13"/>
  </cols>
  <sheetData>
    <row r="1" spans="1:22" x14ac:dyDescent="0.25">
      <c r="A1" s="76"/>
      <c r="B1" s="76"/>
      <c r="C1" s="76"/>
      <c r="D1" s="76"/>
      <c r="E1" s="294" t="s">
        <v>15</v>
      </c>
      <c r="F1" s="294"/>
    </row>
    <row r="2" spans="1:22" x14ac:dyDescent="0.25">
      <c r="A2" s="76"/>
      <c r="B2" s="76"/>
      <c r="C2" s="76"/>
      <c r="D2" s="76"/>
      <c r="E2" s="76"/>
      <c r="F2" s="78" t="str">
        <f>"к договору микрозайма "&amp;malumot!B74&amp;""</f>
        <v>к договору микрозайма 23 yanvar 2026 y.dan №195-BRS</v>
      </c>
    </row>
    <row r="3" spans="1:22" ht="19.5" customHeight="1" x14ac:dyDescent="0.25">
      <c r="A3" s="76"/>
      <c r="B3" s="76"/>
      <c r="C3" s="76"/>
      <c r="D3" s="76"/>
      <c r="E3" s="76"/>
      <c r="F3" s="76"/>
      <c r="H3" s="79"/>
      <c r="I3" s="79"/>
      <c r="J3" s="80"/>
      <c r="K3" s="80"/>
    </row>
    <row r="4" spans="1:22" ht="19.5" customHeight="1" x14ac:dyDescent="0.25">
      <c r="A4" s="295" t="s">
        <v>16</v>
      </c>
      <c r="B4" s="295"/>
      <c r="C4" s="295"/>
      <c r="D4" s="295"/>
      <c r="E4" s="295"/>
      <c r="F4" s="295"/>
      <c r="H4" s="79"/>
      <c r="I4" s="79"/>
      <c r="J4" s="79"/>
      <c r="K4" s="79"/>
    </row>
    <row r="5" spans="1:22" ht="19.5" customHeight="1" x14ac:dyDescent="0.25">
      <c r="L5" s="77">
        <f>malumot!B82</f>
        <v>48</v>
      </c>
    </row>
    <row r="6" spans="1:22" x14ac:dyDescent="0.25">
      <c r="A6" s="296" t="s">
        <v>14</v>
      </c>
      <c r="B6" s="297" t="s">
        <v>8</v>
      </c>
      <c r="C6" s="297" t="s">
        <v>9</v>
      </c>
      <c r="D6" s="298" t="s">
        <v>10</v>
      </c>
      <c r="E6" s="298"/>
      <c r="F6" s="298"/>
    </row>
    <row r="7" spans="1:22" s="14" customFormat="1" x14ac:dyDescent="0.25">
      <c r="A7" s="296"/>
      <c r="B7" s="297"/>
      <c r="C7" s="297"/>
      <c r="D7" s="81" t="s">
        <v>11</v>
      </c>
      <c r="E7" s="81" t="s">
        <v>12</v>
      </c>
      <c r="F7" s="81" t="s">
        <v>13</v>
      </c>
      <c r="G7" s="82"/>
      <c r="H7" s="82"/>
      <c r="I7" s="82"/>
      <c r="J7" s="82"/>
      <c r="K7" s="82"/>
      <c r="L7" s="82"/>
      <c r="M7" s="82"/>
      <c r="N7" s="82"/>
    </row>
    <row r="8" spans="1:22" x14ac:dyDescent="0.25">
      <c r="A8" s="83">
        <v>1</v>
      </c>
      <c r="B8" s="84">
        <f>malumot!B80</f>
        <v>46058</v>
      </c>
      <c r="C8" s="48">
        <f>malumot!B76</f>
        <v>50000000</v>
      </c>
      <c r="D8" s="48">
        <f>IF(IF(C8=0,L8,IF(C8&gt;1,I8))="",0,(IF(C8=0,L8,IF(C8&gt;1,I8))))</f>
        <v>1041666.67</v>
      </c>
      <c r="E8" s="48">
        <f>IF(C8=0,N6,IF(C8&gt;1,L8))</f>
        <v>979452.11</v>
      </c>
      <c r="F8" s="48">
        <f>IF(C8=0,O6,IF(C8&gt;1,M8))</f>
        <v>2021118.78</v>
      </c>
      <c r="G8" s="97">
        <f>B8-malumot!B67</f>
        <v>13</v>
      </c>
      <c r="H8" s="77">
        <f>DATE(YEAR(B8),12,31)-DATE(YEAR(B8),1,1)+1</f>
        <v>365</v>
      </c>
      <c r="I8" s="85">
        <f>IF(malumot!B84=0,ROUND(C8/L5,2),"")</f>
        <v>1041666.67</v>
      </c>
      <c r="J8" s="85"/>
      <c r="K8" s="85"/>
      <c r="L8" s="79">
        <f>ROUND(C8*malumot!$B$85/H8,2)*G8</f>
        <v>979452.11</v>
      </c>
      <c r="M8" s="79">
        <f t="shared" ref="M8:M31" si="0">D8+E8</f>
        <v>2021118.78</v>
      </c>
      <c r="N8" s="79"/>
      <c r="O8" s="94" t="str">
        <f>TEXT(B8,"ддд")</f>
        <v>Чт</v>
      </c>
      <c r="P8" s="96">
        <f>IF(O8=$U$8,2,IF(O8=$V$8,1,0))</f>
        <v>0</v>
      </c>
      <c r="Q8" s="96">
        <f>DAY(malumot!$B$79)+P8</f>
        <v>5</v>
      </c>
      <c r="R8" s="91"/>
      <c r="S8" s="92" t="s">
        <v>29</v>
      </c>
      <c r="T8" s="92" t="s">
        <v>30</v>
      </c>
      <c r="U8" s="92" t="s">
        <v>31</v>
      </c>
      <c r="V8" s="93" t="s">
        <v>32</v>
      </c>
    </row>
    <row r="9" spans="1:22" x14ac:dyDescent="0.25">
      <c r="A9" s="83">
        <v>2</v>
      </c>
      <c r="B9" s="84">
        <f>IF(A9&lt;=malumot!$B$82,DATE(YEAR(R9),MONTH(R9),DAY(IF(A9=malumot!$B$82,malumot!$B$67,IF(A9&lt;malumot!$B$82,(Q9),IF(A9&gt;malumot!$B$82,$H$56,0))))))</f>
        <v>46086</v>
      </c>
      <c r="C9" s="48">
        <f t="shared" ref="C9:C30" si="1">C8-D8</f>
        <v>48958333.329999998</v>
      </c>
      <c r="D9" s="48">
        <f t="shared" ref="D9:D30" si="2">IF(C9=0,L9,IF(C9&gt;1,I9))</f>
        <v>1041666.67</v>
      </c>
      <c r="E9" s="48">
        <f t="shared" ref="E9:E30" si="3">IF(C9=0,N8,IF(C9&gt;1,L9))</f>
        <v>2065639.24</v>
      </c>
      <c r="F9" s="48">
        <f t="shared" ref="F9:F30" si="4">IF(C9=0,N8,IF(C9&gt;1,M9))</f>
        <v>3107305.91</v>
      </c>
      <c r="G9" s="77">
        <f>B9-B8</f>
        <v>28</v>
      </c>
      <c r="H9" s="77">
        <f t="shared" ref="H9:H31" si="5">DATE(YEAR(B9),12,31)-DATE(YEAR(B9),1,1)+1</f>
        <v>365</v>
      </c>
      <c r="I9" s="85">
        <f>IF(I8="",ROUND(C8/(L5-1),2),I8)</f>
        <v>1041666.67</v>
      </c>
      <c r="J9" s="85"/>
      <c r="K9" s="85"/>
      <c r="L9" s="79">
        <f>ROUND(C9*malumot!$B$85/H9,2)*G9</f>
        <v>2065639.24</v>
      </c>
      <c r="M9" s="79">
        <f t="shared" si="0"/>
        <v>3107305.91</v>
      </c>
      <c r="N9" s="79"/>
      <c r="O9" s="94" t="str">
        <f>TEXT(R9,"ддд")</f>
        <v>Чт</v>
      </c>
      <c r="P9" s="96">
        <f t="shared" ref="P9:P31" si="6">IF(O9=$U$8,2,IF(O9=$V$8,1,0))</f>
        <v>0</v>
      </c>
      <c r="Q9" s="96">
        <f>DAY(malumot!$B$79)+P9</f>
        <v>5</v>
      </c>
      <c r="R9" s="91">
        <f>IF(A9&lt;=malumot!$B$82,DATE(YEAR($B$8),MONTH($B$8)+A8,DAY(malumot!$B$79)),0)</f>
        <v>46086</v>
      </c>
      <c r="S9" s="77"/>
      <c r="T9" s="77"/>
      <c r="U9" s="77"/>
      <c r="V9" s="77"/>
    </row>
    <row r="10" spans="1:22" x14ac:dyDescent="0.25">
      <c r="A10" s="83">
        <v>3</v>
      </c>
      <c r="B10" s="84">
        <f>IF(A10&lt;=malumot!$B$82,DATE(YEAR(R10),MONTH(R10),DAY(IF(A10=malumot!$B$82,malumot!$B$67,IF(A10&lt;malumot!$B$82,(Q10),IF(A10&gt;malumot!$B$82,$H$56,0))))))</f>
        <v>46118</v>
      </c>
      <c r="C10" s="48">
        <f t="shared" si="1"/>
        <v>47916666.659999996</v>
      </c>
      <c r="D10" s="48">
        <f t="shared" si="2"/>
        <v>1041666.67</v>
      </c>
      <c r="E10" s="48">
        <f t="shared" si="3"/>
        <v>2310502.3999999999</v>
      </c>
      <c r="F10" s="48">
        <f t="shared" si="4"/>
        <v>3352169.07</v>
      </c>
      <c r="G10" s="77">
        <f t="shared" ref="G10:G31" si="7">B10-B9</f>
        <v>32</v>
      </c>
      <c r="H10" s="77">
        <f t="shared" si="5"/>
        <v>365</v>
      </c>
      <c r="I10" s="85">
        <f>I9</f>
        <v>1041666.67</v>
      </c>
      <c r="J10" s="85"/>
      <c r="K10" s="85"/>
      <c r="L10" s="79">
        <f>ROUND(C10*malumot!$B$85/H10,2)*G10</f>
        <v>2310502.3999999999</v>
      </c>
      <c r="M10" s="79">
        <f t="shared" si="0"/>
        <v>3352169.07</v>
      </c>
      <c r="N10" s="79"/>
      <c r="O10" s="94" t="str">
        <f t="shared" ref="O10:O31" si="8">TEXT(R10,"ддд")</f>
        <v>Вс</v>
      </c>
      <c r="P10" s="96">
        <f t="shared" si="6"/>
        <v>1</v>
      </c>
      <c r="Q10" s="96">
        <f>DAY(malumot!$B$79)+P10</f>
        <v>6</v>
      </c>
      <c r="R10" s="91">
        <f>IF(A10&lt;=malumot!$B$82,DATE(YEAR($B$8),MONTH($B$8)+A9,DAY(malumot!$B$79)),0)</f>
        <v>46117</v>
      </c>
      <c r="S10" s="77"/>
      <c r="T10" s="77"/>
      <c r="U10" s="77"/>
      <c r="V10" s="77"/>
    </row>
    <row r="11" spans="1:22" x14ac:dyDescent="0.25">
      <c r="A11" s="83">
        <v>4</v>
      </c>
      <c r="B11" s="84">
        <f>IF(A11&lt;=malumot!$B$82,DATE(YEAR(R11),MONTH(R11),DAY(IF(A11=malumot!$B$82,malumot!$B$67,IF(A11&lt;malumot!$B$82,(Q11),IF(A11&gt;malumot!$B$82,$H$56,0))))))</f>
        <v>46147</v>
      </c>
      <c r="C11" s="48">
        <f t="shared" si="1"/>
        <v>46874999.989999995</v>
      </c>
      <c r="D11" s="48">
        <f t="shared" si="2"/>
        <v>1041666.67</v>
      </c>
      <c r="E11" s="48">
        <f t="shared" si="3"/>
        <v>2048373.24</v>
      </c>
      <c r="F11" s="48">
        <f t="shared" si="4"/>
        <v>3090039.91</v>
      </c>
      <c r="G11" s="77">
        <f t="shared" si="7"/>
        <v>29</v>
      </c>
      <c r="H11" s="77">
        <f t="shared" si="5"/>
        <v>365</v>
      </c>
      <c r="I11" s="85">
        <f>I10</f>
        <v>1041666.67</v>
      </c>
      <c r="J11" s="85"/>
      <c r="K11" s="85"/>
      <c r="L11" s="79">
        <f>ROUND(C11*malumot!$B$85/H11,2)*G11</f>
        <v>2048373.24</v>
      </c>
      <c r="M11" s="79">
        <f t="shared" si="0"/>
        <v>3090039.91</v>
      </c>
      <c r="N11" s="79"/>
      <c r="O11" s="94" t="str">
        <f t="shared" si="8"/>
        <v>Вт</v>
      </c>
      <c r="P11" s="96">
        <f t="shared" si="6"/>
        <v>0</v>
      </c>
      <c r="Q11" s="96">
        <f>DAY(malumot!$B$79)+P11</f>
        <v>5</v>
      </c>
      <c r="R11" s="91">
        <f>IF(A11&lt;=malumot!$B$82,DATE(YEAR($B$8),MONTH($B$8)+A10,DAY(malumot!$B$79)),0)</f>
        <v>46147</v>
      </c>
      <c r="S11" s="77"/>
      <c r="T11" s="77"/>
      <c r="U11" s="77"/>
      <c r="V11" s="77"/>
    </row>
    <row r="12" spans="1:22" x14ac:dyDescent="0.25">
      <c r="A12" s="83">
        <v>5</v>
      </c>
      <c r="B12" s="84">
        <f>IF(A12&lt;=malumot!$B$82,DATE(YEAR(R12),MONTH(R12),DAY(IF(A12=malumot!$B$82,malumot!$B$67,IF(A12&lt;malumot!$B$82,(Q12),IF(A12&gt;malumot!$B$82,$H$56,0))))))</f>
        <v>46178</v>
      </c>
      <c r="C12" s="48">
        <f t="shared" si="1"/>
        <v>45833333.319999993</v>
      </c>
      <c r="D12" s="48">
        <f t="shared" si="2"/>
        <v>1041666.67</v>
      </c>
      <c r="E12" s="48">
        <f t="shared" si="3"/>
        <v>2140981.8299999996</v>
      </c>
      <c r="F12" s="48">
        <f t="shared" si="4"/>
        <v>3182648.4999999995</v>
      </c>
      <c r="G12" s="77">
        <f t="shared" si="7"/>
        <v>31</v>
      </c>
      <c r="H12" s="77">
        <f t="shared" si="5"/>
        <v>365</v>
      </c>
      <c r="I12" s="85">
        <f>I11</f>
        <v>1041666.67</v>
      </c>
      <c r="J12" s="85">
        <f>malumot!B76</f>
        <v>50000000</v>
      </c>
      <c r="K12" s="85"/>
      <c r="L12" s="79">
        <f>ROUND(C12*malumot!$B$85/H12,2)*G12</f>
        <v>2140981.8299999996</v>
      </c>
      <c r="M12" s="79">
        <f t="shared" si="0"/>
        <v>3182648.4999999995</v>
      </c>
      <c r="N12" s="79"/>
      <c r="O12" s="94" t="str">
        <f t="shared" si="8"/>
        <v>Пт</v>
      </c>
      <c r="P12" s="96">
        <f t="shared" si="6"/>
        <v>0</v>
      </c>
      <c r="Q12" s="96">
        <f>DAY(malumot!$B$79)+P12</f>
        <v>5</v>
      </c>
      <c r="R12" s="91">
        <f>IF(A12&lt;=malumot!$B$82,DATE(YEAR($B$8),MONTH($B$8)+A11,DAY(malumot!$B$79)),0)</f>
        <v>46178</v>
      </c>
      <c r="S12" s="77"/>
      <c r="T12" s="77"/>
      <c r="U12" s="77"/>
      <c r="V12" s="77"/>
    </row>
    <row r="13" spans="1:22" x14ac:dyDescent="0.25">
      <c r="A13" s="83">
        <v>6</v>
      </c>
      <c r="B13" s="84">
        <f>IF(A13&lt;=malumot!$B$82,DATE(YEAR(R13),MONTH(R13),DAY(IF(A13=malumot!$B$82,malumot!$B$67,IF(A13&lt;malumot!$B$82,(Q13),IF(A13&gt;malumot!$B$82,$H$56,0))))))</f>
        <v>46209</v>
      </c>
      <c r="C13" s="48">
        <f t="shared" si="1"/>
        <v>44791666.649999991</v>
      </c>
      <c r="D13" s="48">
        <f t="shared" si="2"/>
        <v>1041666.67</v>
      </c>
      <c r="E13" s="48">
        <f t="shared" si="3"/>
        <v>2092322.9899999998</v>
      </c>
      <c r="F13" s="48">
        <f t="shared" si="4"/>
        <v>3133989.6599999997</v>
      </c>
      <c r="G13" s="77">
        <f t="shared" si="7"/>
        <v>31</v>
      </c>
      <c r="H13" s="77">
        <f t="shared" si="5"/>
        <v>365</v>
      </c>
      <c r="I13" s="85">
        <f>IF(L5=H1,K13,IF(L5&gt;H1,I12))</f>
        <v>1041666.67</v>
      </c>
      <c r="J13" s="85">
        <f>SUM($I$8:I12)</f>
        <v>5208333.3500000006</v>
      </c>
      <c r="K13" s="85">
        <f>$J$12-J13</f>
        <v>44791666.649999999</v>
      </c>
      <c r="L13" s="79">
        <f>ROUND(C13*malumot!$B$85/H13,2)*G13</f>
        <v>2092322.9899999998</v>
      </c>
      <c r="M13" s="79">
        <f t="shared" si="0"/>
        <v>3133989.6599999997</v>
      </c>
      <c r="N13" s="79"/>
      <c r="O13" s="94" t="str">
        <f t="shared" si="8"/>
        <v>Вс</v>
      </c>
      <c r="P13" s="96">
        <f t="shared" si="6"/>
        <v>1</v>
      </c>
      <c r="Q13" s="96">
        <f>DAY(malumot!$B$79)+P13</f>
        <v>6</v>
      </c>
      <c r="R13" s="91">
        <f>IF(A13&lt;=malumot!$B$82,DATE(YEAR($B$8),MONTH($B$8)+A12,DAY(malumot!$B$79)),0)</f>
        <v>46208</v>
      </c>
      <c r="S13" s="77"/>
      <c r="T13" s="77"/>
      <c r="U13" s="77"/>
      <c r="V13" s="77"/>
    </row>
    <row r="14" spans="1:22" x14ac:dyDescent="0.25">
      <c r="A14" s="83">
        <v>7</v>
      </c>
      <c r="B14" s="84">
        <f>IF(A14&lt;=malumot!$B$82,DATE(YEAR(R14),MONTH(R14),DAY(IF(A14=malumot!$B$82,malumot!$B$67,IF(A14&lt;malumot!$B$82,(Q14),IF(A14&gt;malumot!$B$82,$H$56,0))))))</f>
        <v>46239</v>
      </c>
      <c r="C14" s="48">
        <f t="shared" si="1"/>
        <v>43749999.979999989</v>
      </c>
      <c r="D14" s="48">
        <f t="shared" si="2"/>
        <v>1041666.67</v>
      </c>
      <c r="E14" s="48">
        <f t="shared" si="3"/>
        <v>1977739.8</v>
      </c>
      <c r="F14" s="48">
        <f t="shared" si="4"/>
        <v>3019406.47</v>
      </c>
      <c r="G14" s="77">
        <f t="shared" si="7"/>
        <v>30</v>
      </c>
      <c r="H14" s="77">
        <f t="shared" si="5"/>
        <v>365</v>
      </c>
      <c r="I14" s="85">
        <f>IF($L$5=A14,K14,IF($L$5&gt;A14,I13))</f>
        <v>1041666.67</v>
      </c>
      <c r="J14" s="85">
        <f>SUM($I$8:I13)</f>
        <v>6250000.0200000005</v>
      </c>
      <c r="K14" s="85">
        <f t="shared" ref="K14:K31" si="9">$J$12-J14</f>
        <v>43749999.979999997</v>
      </c>
      <c r="L14" s="79">
        <f>ROUND(C14*malumot!$B$85/H14,2)*G14</f>
        <v>1977739.8</v>
      </c>
      <c r="M14" s="79">
        <f t="shared" si="0"/>
        <v>3019406.47</v>
      </c>
      <c r="N14" s="79"/>
      <c r="O14" s="94" t="str">
        <f t="shared" si="8"/>
        <v>Ср</v>
      </c>
      <c r="P14" s="96">
        <f t="shared" si="6"/>
        <v>0</v>
      </c>
      <c r="Q14" s="96">
        <f>DAY(malumot!$B$79)+P14</f>
        <v>5</v>
      </c>
      <c r="R14" s="91">
        <f>IF(A14&lt;=malumot!$B$82,DATE(YEAR($B$8),MONTH($B$8)+A13,DAY(malumot!$B$79)),0)</f>
        <v>46239</v>
      </c>
      <c r="S14" s="77"/>
      <c r="T14" s="77"/>
      <c r="U14" s="77"/>
      <c r="V14" s="77"/>
    </row>
    <row r="15" spans="1:22" x14ac:dyDescent="0.25">
      <c r="A15" s="83">
        <v>8</v>
      </c>
      <c r="B15" s="84">
        <f>IF(A15&lt;=malumot!$B$82,DATE(YEAR(R15),MONTH(R15),DAY(IF(A15=malumot!$B$82,malumot!$B$67,IF(A15&lt;malumot!$B$82,(Q15),IF(A15&gt;malumot!$B$82,$H$56,0))))))</f>
        <v>46272</v>
      </c>
      <c r="C15" s="48">
        <f t="shared" si="1"/>
        <v>42708333.309999987</v>
      </c>
      <c r="D15" s="48">
        <f t="shared" si="2"/>
        <v>1041666.67</v>
      </c>
      <c r="E15" s="48">
        <f t="shared" si="3"/>
        <v>2123715.6599999997</v>
      </c>
      <c r="F15" s="48">
        <f t="shared" si="4"/>
        <v>3165382.3299999996</v>
      </c>
      <c r="G15" s="77">
        <f t="shared" si="7"/>
        <v>33</v>
      </c>
      <c r="H15" s="77">
        <f t="shared" si="5"/>
        <v>365</v>
      </c>
      <c r="I15" s="85">
        <f t="shared" ref="I15:I31" si="10">IF($L$5=A15,K15,IF($L$5&gt;A15,I14))</f>
        <v>1041666.67</v>
      </c>
      <c r="J15" s="85">
        <f>SUM($I$8:I14)</f>
        <v>7291666.6900000004</v>
      </c>
      <c r="K15" s="85">
        <f t="shared" si="9"/>
        <v>42708333.310000002</v>
      </c>
      <c r="L15" s="79">
        <f>ROUND(C15*malumot!$B$85/H15,2)*G15</f>
        <v>2123715.6599999997</v>
      </c>
      <c r="M15" s="79">
        <f t="shared" si="0"/>
        <v>3165382.3299999996</v>
      </c>
      <c r="N15" s="79"/>
      <c r="O15" s="94" t="str">
        <f t="shared" si="8"/>
        <v>Сб</v>
      </c>
      <c r="P15" s="96">
        <f t="shared" si="6"/>
        <v>2</v>
      </c>
      <c r="Q15" s="96">
        <f>DAY(malumot!$B$79)+P15</f>
        <v>7</v>
      </c>
      <c r="R15" s="91">
        <f>IF(A15&lt;=malumot!$B$82,DATE(YEAR($B$8),MONTH($B$8)+A14,DAY(malumot!$B$79)),0)</f>
        <v>46270</v>
      </c>
      <c r="S15" s="77"/>
      <c r="T15" s="77"/>
      <c r="U15" s="77"/>
      <c r="V15" s="77"/>
    </row>
    <row r="16" spans="1:22" x14ac:dyDescent="0.25">
      <c r="A16" s="83">
        <v>9</v>
      </c>
      <c r="B16" s="84">
        <f>IF(A16&lt;=malumot!$B$82,DATE(YEAR(R16),MONTH(R16),DAY(IF(A16=malumot!$B$82,malumot!$B$67,IF(A16&lt;malumot!$B$82,(Q16),IF(A16&gt;malumot!$B$82,$H$56,0))))))</f>
        <v>46300</v>
      </c>
      <c r="C16" s="48">
        <f t="shared" si="1"/>
        <v>41666666.639999986</v>
      </c>
      <c r="D16" s="48">
        <f t="shared" si="2"/>
        <v>1041666.67</v>
      </c>
      <c r="E16" s="48">
        <f t="shared" si="3"/>
        <v>1757990.92</v>
      </c>
      <c r="F16" s="48">
        <f t="shared" si="4"/>
        <v>2799657.59</v>
      </c>
      <c r="G16" s="77">
        <f t="shared" si="7"/>
        <v>28</v>
      </c>
      <c r="H16" s="77">
        <f t="shared" si="5"/>
        <v>365</v>
      </c>
      <c r="I16" s="85">
        <f t="shared" si="10"/>
        <v>1041666.67</v>
      </c>
      <c r="J16" s="85">
        <f>SUM($I$8:I15)</f>
        <v>8333333.3600000003</v>
      </c>
      <c r="K16" s="85">
        <f t="shared" si="9"/>
        <v>41666666.640000001</v>
      </c>
      <c r="L16" s="79">
        <f>ROUND(C16*malumot!$B$85/H16,2)*G16</f>
        <v>1757990.92</v>
      </c>
      <c r="M16" s="79">
        <f t="shared" si="0"/>
        <v>2799657.59</v>
      </c>
      <c r="N16" s="79"/>
      <c r="O16" s="94" t="str">
        <f t="shared" si="8"/>
        <v>Пн</v>
      </c>
      <c r="P16" s="96">
        <f t="shared" si="6"/>
        <v>0</v>
      </c>
      <c r="Q16" s="96">
        <f>DAY(malumot!$B$79)+P16</f>
        <v>5</v>
      </c>
      <c r="R16" s="91">
        <f>IF(A16&lt;=malumot!$B$82,DATE(YEAR($B$8),MONTH($B$8)+A15,DAY(malumot!$B$79)),0)</f>
        <v>46300</v>
      </c>
      <c r="S16" s="77"/>
      <c r="T16" s="77"/>
      <c r="U16" s="77"/>
      <c r="V16" s="77"/>
    </row>
    <row r="17" spans="1:22" x14ac:dyDescent="0.25">
      <c r="A17" s="83">
        <v>10</v>
      </c>
      <c r="B17" s="84">
        <f>IF(A17&lt;=malumot!$B$82,DATE(YEAR(R17),MONTH(R17),DAY(IF(A17=malumot!$B$82,malumot!$B$67,IF(A17&lt;malumot!$B$82,(Q17),IF(A17&gt;malumot!$B$82,$H$56,0))))))</f>
        <v>46331</v>
      </c>
      <c r="C17" s="48">
        <f t="shared" si="1"/>
        <v>40624999.969999984</v>
      </c>
      <c r="D17" s="48">
        <f t="shared" si="2"/>
        <v>1041666.67</v>
      </c>
      <c r="E17" s="48">
        <f t="shared" si="3"/>
        <v>1897688.25</v>
      </c>
      <c r="F17" s="48">
        <f t="shared" si="4"/>
        <v>2939354.92</v>
      </c>
      <c r="G17" s="77">
        <f t="shared" si="7"/>
        <v>31</v>
      </c>
      <c r="H17" s="77">
        <f t="shared" si="5"/>
        <v>365</v>
      </c>
      <c r="I17" s="85">
        <f t="shared" si="10"/>
        <v>1041666.67</v>
      </c>
      <c r="J17" s="85">
        <f>SUM($I$8:I16)</f>
        <v>9375000.0300000012</v>
      </c>
      <c r="K17" s="85">
        <f>$J$12-J17</f>
        <v>40624999.969999999</v>
      </c>
      <c r="L17" s="79">
        <f>ROUND(C17*malumot!$B$85/H17,2)*G17</f>
        <v>1897688.25</v>
      </c>
      <c r="M17" s="79">
        <f t="shared" si="0"/>
        <v>2939354.92</v>
      </c>
      <c r="N17" s="79"/>
      <c r="O17" s="94" t="str">
        <f t="shared" si="8"/>
        <v>Чт</v>
      </c>
      <c r="P17" s="96">
        <f t="shared" si="6"/>
        <v>0</v>
      </c>
      <c r="Q17" s="96">
        <f>DAY(malumot!$B$79)+P17</f>
        <v>5</v>
      </c>
      <c r="R17" s="91">
        <f>IF(A17&lt;=malumot!$B$82,DATE(YEAR($B$8),MONTH($B$8)+A16,DAY(malumot!$B$79)),0)</f>
        <v>46331</v>
      </c>
      <c r="S17" s="77"/>
      <c r="T17" s="77"/>
      <c r="U17" s="77"/>
      <c r="V17" s="77"/>
    </row>
    <row r="18" spans="1:22" x14ac:dyDescent="0.25">
      <c r="A18" s="83">
        <v>11</v>
      </c>
      <c r="B18" s="84">
        <f>IF(A18&lt;=malumot!$B$82,DATE(YEAR(R18),MONTH(R18),DAY(IF(A18=malumot!$B$82,malumot!$B$67,IF(A18&lt;malumot!$B$82,(Q18),IF(A18&gt;malumot!$B$82,$H$56,0))))))</f>
        <v>46363</v>
      </c>
      <c r="C18" s="48">
        <f t="shared" si="1"/>
        <v>39583333.299999982</v>
      </c>
      <c r="D18" s="48">
        <f t="shared" si="2"/>
        <v>1041666.67</v>
      </c>
      <c r="E18" s="48">
        <f t="shared" si="3"/>
        <v>1908675.84</v>
      </c>
      <c r="F18" s="48">
        <f t="shared" si="4"/>
        <v>2950342.5100000002</v>
      </c>
      <c r="G18" s="77">
        <f t="shared" si="7"/>
        <v>32</v>
      </c>
      <c r="H18" s="77">
        <f t="shared" si="5"/>
        <v>365</v>
      </c>
      <c r="I18" s="85">
        <f t="shared" si="10"/>
        <v>1041666.67</v>
      </c>
      <c r="J18" s="85">
        <f>SUM($I$8:I17)</f>
        <v>10416666.700000001</v>
      </c>
      <c r="K18" s="85">
        <f t="shared" si="9"/>
        <v>39583333.299999997</v>
      </c>
      <c r="L18" s="79">
        <f>ROUND(C18*malumot!$B$85/H18,2)*G18</f>
        <v>1908675.84</v>
      </c>
      <c r="M18" s="79">
        <f t="shared" si="0"/>
        <v>2950342.5100000002</v>
      </c>
      <c r="N18" s="79"/>
      <c r="O18" s="94" t="str">
        <f t="shared" si="8"/>
        <v>Сб</v>
      </c>
      <c r="P18" s="96">
        <f t="shared" si="6"/>
        <v>2</v>
      </c>
      <c r="Q18" s="96">
        <f>DAY(malumot!$B$79)+P18</f>
        <v>7</v>
      </c>
      <c r="R18" s="91">
        <f>IF(A18&lt;=malumot!$B$82,DATE(YEAR($B$8),MONTH($B$8)+A17,DAY(malumot!$B$79)),0)</f>
        <v>46361</v>
      </c>
      <c r="S18" s="77"/>
      <c r="T18" s="77"/>
      <c r="U18" s="77"/>
      <c r="V18" s="77"/>
    </row>
    <row r="19" spans="1:22" x14ac:dyDescent="0.25">
      <c r="A19" s="83">
        <v>12</v>
      </c>
      <c r="B19" s="84">
        <f>IF(A19&lt;=malumot!$B$82,DATE(YEAR(R19),MONTH(R19),DAY(IF(A19=malumot!$B$82,malumot!$B$67,IF(A19&lt;malumot!$B$82,(Q19),IF(A19&gt;malumot!$B$82,$H$56,0))))))</f>
        <v>46392</v>
      </c>
      <c r="C19" s="48">
        <f t="shared" si="1"/>
        <v>38541666.62999998</v>
      </c>
      <c r="D19" s="48">
        <f t="shared" si="2"/>
        <v>1041666.67</v>
      </c>
      <c r="E19" s="48">
        <f t="shared" si="3"/>
        <v>1684217.9200000002</v>
      </c>
      <c r="F19" s="48">
        <f t="shared" si="4"/>
        <v>2725884.5900000003</v>
      </c>
      <c r="G19" s="77">
        <f t="shared" si="7"/>
        <v>29</v>
      </c>
      <c r="H19" s="77">
        <f t="shared" si="5"/>
        <v>365</v>
      </c>
      <c r="I19" s="85">
        <f t="shared" si="10"/>
        <v>1041666.67</v>
      </c>
      <c r="J19" s="85">
        <f>SUM($I$8:I18)</f>
        <v>11458333.370000001</v>
      </c>
      <c r="K19" s="85">
        <f t="shared" si="9"/>
        <v>38541666.629999995</v>
      </c>
      <c r="L19" s="79">
        <f>ROUND(C19*malumot!$B$85/H19,2)*G19</f>
        <v>1684217.9200000002</v>
      </c>
      <c r="M19" s="79">
        <f t="shared" si="0"/>
        <v>2725884.5900000003</v>
      </c>
      <c r="N19" s="79"/>
      <c r="O19" s="94" t="str">
        <f t="shared" si="8"/>
        <v>Вт</v>
      </c>
      <c r="P19" s="96">
        <f t="shared" si="6"/>
        <v>0</v>
      </c>
      <c r="Q19" s="96">
        <f>DAY(malumot!$B$79)+P19</f>
        <v>5</v>
      </c>
      <c r="R19" s="91">
        <f>IF(A19&lt;=malumot!$B$82,DATE(YEAR($B$8),MONTH($B$8)+A18,DAY(malumot!$B$79)),0)</f>
        <v>46392</v>
      </c>
      <c r="S19" s="77"/>
      <c r="T19" s="77"/>
      <c r="U19" s="77"/>
      <c r="V19" s="77"/>
    </row>
    <row r="20" spans="1:22" x14ac:dyDescent="0.25">
      <c r="A20" s="83">
        <v>13</v>
      </c>
      <c r="B20" s="84">
        <f>IF(A20&lt;=malumot!$B$82,DATE(YEAR(R20),MONTH(R20),DAY(IF(A20=malumot!$B$82,malumot!$B$67,IF(A20&lt;malumot!$B$82,(Q20),IF(A20&gt;malumot!$B$82,$H$56,0))))))</f>
        <v>46423</v>
      </c>
      <c r="C20" s="48">
        <f t="shared" si="1"/>
        <v>37499999.959999979</v>
      </c>
      <c r="D20" s="48">
        <f t="shared" si="2"/>
        <v>1041666.67</v>
      </c>
      <c r="E20" s="48">
        <f t="shared" si="3"/>
        <v>1751712.3499999999</v>
      </c>
      <c r="F20" s="48">
        <f t="shared" si="4"/>
        <v>2793379.02</v>
      </c>
      <c r="G20" s="77">
        <f t="shared" si="7"/>
        <v>31</v>
      </c>
      <c r="H20" s="77">
        <f t="shared" si="5"/>
        <v>365</v>
      </c>
      <c r="I20" s="85">
        <f t="shared" si="10"/>
        <v>1041666.67</v>
      </c>
      <c r="J20" s="85">
        <f>SUM($I$8:I19)</f>
        <v>12500000.040000001</v>
      </c>
      <c r="K20" s="85">
        <f>$J$12-J20</f>
        <v>37499999.960000001</v>
      </c>
      <c r="L20" s="79">
        <f>ROUND(C20*malumot!$B$85/H20,2)*G20</f>
        <v>1751712.3499999999</v>
      </c>
      <c r="M20" s="79">
        <f t="shared" si="0"/>
        <v>2793379.02</v>
      </c>
      <c r="N20" s="79"/>
      <c r="O20" s="94" t="str">
        <f t="shared" si="8"/>
        <v>Пт</v>
      </c>
      <c r="P20" s="96">
        <f t="shared" si="6"/>
        <v>0</v>
      </c>
      <c r="Q20" s="96">
        <f>DAY(malumot!$B$79)+P20</f>
        <v>5</v>
      </c>
      <c r="R20" s="91">
        <f>IF(A20&lt;=malumot!$B$82,DATE(YEAR($B$8),MONTH($B$8)+A19,DAY(malumot!$B$79)),0)</f>
        <v>46423</v>
      </c>
      <c r="S20" s="77"/>
      <c r="T20" s="77"/>
      <c r="U20" s="77"/>
      <c r="V20" s="77"/>
    </row>
    <row r="21" spans="1:22" x14ac:dyDescent="0.25">
      <c r="A21" s="83">
        <v>14</v>
      </c>
      <c r="B21" s="84">
        <f>IF(A21&lt;=malumot!$B$82,DATE(YEAR(R21),MONTH(R21),DAY(IF(A21=malumot!$B$82,malumot!$B$67,IF(A21&lt;malumot!$B$82,(Q21),IF(A21&gt;malumot!$B$82,$H$56,0))))))</f>
        <v>46451</v>
      </c>
      <c r="C21" s="48">
        <f t="shared" si="1"/>
        <v>36458333.289999977</v>
      </c>
      <c r="D21" s="48">
        <f t="shared" si="2"/>
        <v>1041666.67</v>
      </c>
      <c r="E21" s="48">
        <f t="shared" si="3"/>
        <v>1538241.88</v>
      </c>
      <c r="F21" s="48">
        <f t="shared" si="4"/>
        <v>2579908.5499999998</v>
      </c>
      <c r="G21" s="77">
        <f t="shared" si="7"/>
        <v>28</v>
      </c>
      <c r="H21" s="77">
        <f t="shared" si="5"/>
        <v>365</v>
      </c>
      <c r="I21" s="85">
        <f t="shared" si="10"/>
        <v>1041666.67</v>
      </c>
      <c r="J21" s="85">
        <f>SUM($I$8:I20)</f>
        <v>13541666.710000001</v>
      </c>
      <c r="K21" s="85">
        <f t="shared" si="9"/>
        <v>36458333.289999999</v>
      </c>
      <c r="L21" s="79">
        <f>ROUND(C21*malumot!$B$85/H21,2)*G21</f>
        <v>1538241.88</v>
      </c>
      <c r="M21" s="79">
        <f t="shared" si="0"/>
        <v>2579908.5499999998</v>
      </c>
      <c r="N21" s="79"/>
      <c r="O21" s="94" t="str">
        <f t="shared" si="8"/>
        <v>Пт</v>
      </c>
      <c r="P21" s="96">
        <f t="shared" si="6"/>
        <v>0</v>
      </c>
      <c r="Q21" s="96">
        <f>DAY(malumot!$B$79)+P21</f>
        <v>5</v>
      </c>
      <c r="R21" s="91">
        <f>IF(A21&lt;=malumot!$B$82,DATE(YEAR($B$8),MONTH($B$8)+A20,DAY(malumot!$B$79)),0)</f>
        <v>46451</v>
      </c>
      <c r="S21" s="77"/>
      <c r="T21" s="77"/>
      <c r="U21" s="77"/>
      <c r="V21" s="77"/>
    </row>
    <row r="22" spans="1:22" x14ac:dyDescent="0.25">
      <c r="A22" s="83">
        <v>15</v>
      </c>
      <c r="B22" s="84">
        <f>IF(A22&lt;=malumot!$B$82,DATE(YEAR(R22),MONTH(R22),DAY(IF(A22=malumot!$B$82,malumot!$B$67,IF(A22&lt;malumot!$B$82,(Q22),IF(A22&gt;malumot!$B$82,$H$56,0))))))</f>
        <v>46482</v>
      </c>
      <c r="C22" s="48">
        <f t="shared" si="1"/>
        <v>35416666.619999975</v>
      </c>
      <c r="D22" s="48">
        <f t="shared" si="2"/>
        <v>1041666.67</v>
      </c>
      <c r="E22" s="48">
        <f t="shared" si="3"/>
        <v>1654394.98</v>
      </c>
      <c r="F22" s="48">
        <f t="shared" si="4"/>
        <v>2696061.65</v>
      </c>
      <c r="G22" s="77">
        <f t="shared" si="7"/>
        <v>31</v>
      </c>
      <c r="H22" s="77">
        <f t="shared" si="5"/>
        <v>365</v>
      </c>
      <c r="I22" s="85">
        <f t="shared" si="10"/>
        <v>1041666.67</v>
      </c>
      <c r="J22" s="85">
        <f>SUM($I$8:I21)</f>
        <v>14583333.380000001</v>
      </c>
      <c r="K22" s="85">
        <f t="shared" si="9"/>
        <v>35416666.619999997</v>
      </c>
      <c r="L22" s="79">
        <f>ROUND(C22*malumot!$B$85/H22,2)*G22</f>
        <v>1654394.98</v>
      </c>
      <c r="M22" s="79">
        <f t="shared" si="0"/>
        <v>2696061.65</v>
      </c>
      <c r="N22" s="79"/>
      <c r="O22" s="94" t="str">
        <f t="shared" si="8"/>
        <v>Пн</v>
      </c>
      <c r="P22" s="96">
        <f t="shared" si="6"/>
        <v>0</v>
      </c>
      <c r="Q22" s="96">
        <f>DAY(malumot!$B$79)+P22</f>
        <v>5</v>
      </c>
      <c r="R22" s="91">
        <f>IF(A22&lt;=malumot!$B$82,DATE(YEAR($B$8),MONTH($B$8)+A21,DAY(malumot!$B$79)),0)</f>
        <v>46482</v>
      </c>
      <c r="S22" s="77"/>
      <c r="T22" s="77"/>
      <c r="U22" s="77"/>
      <c r="V22" s="77"/>
    </row>
    <row r="23" spans="1:22" x14ac:dyDescent="0.25">
      <c r="A23" s="83">
        <v>16</v>
      </c>
      <c r="B23" s="84">
        <f>IF(A23&lt;=malumot!$B$82,DATE(YEAR(R23),MONTH(R23),DAY(IF(A23=malumot!$B$82,malumot!$B$67,IF(A23&lt;malumot!$B$82,(Q23),IF(A23&gt;malumot!$B$82,$H$56,0))))))</f>
        <v>46512</v>
      </c>
      <c r="C23" s="48">
        <f t="shared" si="1"/>
        <v>34374999.949999973</v>
      </c>
      <c r="D23" s="48">
        <f t="shared" si="2"/>
        <v>1041666.67</v>
      </c>
      <c r="E23" s="48">
        <f t="shared" si="3"/>
        <v>1553938.5</v>
      </c>
      <c r="F23" s="48">
        <f t="shared" si="4"/>
        <v>2595605.17</v>
      </c>
      <c r="G23" s="77">
        <f t="shared" si="7"/>
        <v>30</v>
      </c>
      <c r="H23" s="77">
        <f t="shared" si="5"/>
        <v>365</v>
      </c>
      <c r="I23" s="85">
        <f t="shared" si="10"/>
        <v>1041666.67</v>
      </c>
      <c r="J23" s="85">
        <f>SUM($I$8:I22)</f>
        <v>15625000.050000001</v>
      </c>
      <c r="K23" s="85">
        <f t="shared" si="9"/>
        <v>34374999.950000003</v>
      </c>
      <c r="L23" s="79">
        <f>ROUND(C23*malumot!$B$85/H23,2)*G23</f>
        <v>1553938.5</v>
      </c>
      <c r="M23" s="79">
        <f t="shared" si="0"/>
        <v>2595605.17</v>
      </c>
      <c r="N23" s="79"/>
      <c r="O23" s="94" t="str">
        <f t="shared" si="8"/>
        <v>Ср</v>
      </c>
      <c r="P23" s="96">
        <f t="shared" si="6"/>
        <v>0</v>
      </c>
      <c r="Q23" s="96">
        <f>DAY(malumot!$B$79)+P23</f>
        <v>5</v>
      </c>
      <c r="R23" s="91">
        <f>IF(A23&lt;=malumot!$B$82,DATE(YEAR($B$8),MONTH($B$8)+A22,DAY(malumot!$B$79)),0)</f>
        <v>46512</v>
      </c>
      <c r="S23" s="77"/>
      <c r="T23" s="77"/>
      <c r="U23" s="77"/>
      <c r="V23" s="77"/>
    </row>
    <row r="24" spans="1:22" x14ac:dyDescent="0.25">
      <c r="A24" s="83">
        <v>17</v>
      </c>
      <c r="B24" s="84">
        <f>IF(A24&lt;=malumot!$B$82,DATE(YEAR(R24),MONTH(R24),DAY(IF(A24=malumot!$B$82,malumot!$B$67,IF(A24&lt;malumot!$B$82,(Q24),IF(A24&gt;malumot!$B$82,$H$56,0))))))</f>
        <v>46545</v>
      </c>
      <c r="C24" s="48">
        <f t="shared" si="1"/>
        <v>33333333.279999971</v>
      </c>
      <c r="D24" s="48">
        <f t="shared" si="2"/>
        <v>1041666.67</v>
      </c>
      <c r="E24" s="48">
        <f t="shared" si="3"/>
        <v>1657534.23</v>
      </c>
      <c r="F24" s="48">
        <f t="shared" si="4"/>
        <v>2699200.9</v>
      </c>
      <c r="G24" s="77">
        <f t="shared" si="7"/>
        <v>33</v>
      </c>
      <c r="H24" s="77">
        <f t="shared" si="5"/>
        <v>365</v>
      </c>
      <c r="I24" s="85">
        <f t="shared" si="10"/>
        <v>1041666.67</v>
      </c>
      <c r="J24" s="85">
        <f>SUM($I$8:I23)</f>
        <v>16666666.720000001</v>
      </c>
      <c r="K24" s="85">
        <f t="shared" si="9"/>
        <v>33333333.280000001</v>
      </c>
      <c r="L24" s="79">
        <f>ROUND(C24*malumot!$B$85/H24,2)*G24</f>
        <v>1657534.23</v>
      </c>
      <c r="M24" s="79">
        <f t="shared" si="0"/>
        <v>2699200.9</v>
      </c>
      <c r="N24" s="79"/>
      <c r="O24" s="94" t="str">
        <f t="shared" si="8"/>
        <v>Сб</v>
      </c>
      <c r="P24" s="96">
        <f t="shared" si="6"/>
        <v>2</v>
      </c>
      <c r="Q24" s="96">
        <f>DAY(malumot!$B$79)+P24</f>
        <v>7</v>
      </c>
      <c r="R24" s="91">
        <f>IF(A24&lt;=malumot!$B$82,DATE(YEAR($B$8),MONTH($B$8)+A23,DAY(malumot!$B$79)),0)</f>
        <v>46543</v>
      </c>
      <c r="S24" s="77"/>
      <c r="T24" s="77"/>
      <c r="U24" s="77"/>
      <c r="V24" s="77"/>
    </row>
    <row r="25" spans="1:22" x14ac:dyDescent="0.25">
      <c r="A25" s="83">
        <v>18</v>
      </c>
      <c r="B25" s="84">
        <f>IF(A25&lt;=malumot!$B$82,DATE(YEAR(R25),MONTH(R25),DAY(IF(A25=malumot!$B$82,malumot!$B$67,IF(A25&lt;malumot!$B$82,(Q25),IF(A25&gt;malumot!$B$82,$H$56,0))))))</f>
        <v>46573</v>
      </c>
      <c r="C25" s="48">
        <f t="shared" si="1"/>
        <v>32291666.60999997</v>
      </c>
      <c r="D25" s="48">
        <f t="shared" si="2"/>
        <v>1041666.67</v>
      </c>
      <c r="E25" s="48">
        <f t="shared" si="3"/>
        <v>1362443.04</v>
      </c>
      <c r="F25" s="48">
        <f t="shared" si="4"/>
        <v>2404109.71</v>
      </c>
      <c r="G25" s="77">
        <f t="shared" si="7"/>
        <v>28</v>
      </c>
      <c r="H25" s="77">
        <f t="shared" si="5"/>
        <v>365</v>
      </c>
      <c r="I25" s="85">
        <f t="shared" si="10"/>
        <v>1041666.67</v>
      </c>
      <c r="J25" s="85">
        <f>SUM($I$8:I24)</f>
        <v>17708333.390000001</v>
      </c>
      <c r="K25" s="85">
        <f t="shared" si="9"/>
        <v>32291666.609999999</v>
      </c>
      <c r="L25" s="79">
        <f>ROUND(C25*malumot!$B$85/H25,2)*G25</f>
        <v>1362443.04</v>
      </c>
      <c r="M25" s="79">
        <f t="shared" si="0"/>
        <v>2404109.71</v>
      </c>
      <c r="N25" s="79"/>
      <c r="O25" s="94" t="str">
        <f t="shared" si="8"/>
        <v>Пн</v>
      </c>
      <c r="P25" s="96">
        <f t="shared" si="6"/>
        <v>0</v>
      </c>
      <c r="Q25" s="96">
        <f>DAY(malumot!$B$79)+P25</f>
        <v>5</v>
      </c>
      <c r="R25" s="91">
        <f>IF(A25&lt;=malumot!$B$82,DATE(YEAR($B$8),MONTH($B$8)+A24,DAY(malumot!$B$79)),0)</f>
        <v>46573</v>
      </c>
      <c r="S25" s="77"/>
      <c r="T25" s="77"/>
      <c r="U25" s="77"/>
      <c r="V25" s="77"/>
    </row>
    <row r="26" spans="1:22" x14ac:dyDescent="0.25">
      <c r="A26" s="83">
        <v>19</v>
      </c>
      <c r="B26" s="84">
        <f>IF(A26&lt;=malumot!$B$82,DATE(YEAR(R26),MONTH(R26),DAY(IF(A26=malumot!$B$82,malumot!$B$67,IF(A26&lt;malumot!$B$82,(Q26),IF(A26&gt;malumot!$B$82,$H$56,0))))))</f>
        <v>46604</v>
      </c>
      <c r="C26" s="48">
        <f t="shared" si="1"/>
        <v>31249999.939999968</v>
      </c>
      <c r="D26" s="48">
        <f t="shared" si="2"/>
        <v>1041666.67</v>
      </c>
      <c r="E26" s="48">
        <f t="shared" si="3"/>
        <v>1459760.24</v>
      </c>
      <c r="F26" s="48">
        <f t="shared" si="4"/>
        <v>2501426.91</v>
      </c>
      <c r="G26" s="77">
        <f t="shared" si="7"/>
        <v>31</v>
      </c>
      <c r="H26" s="77">
        <f t="shared" si="5"/>
        <v>365</v>
      </c>
      <c r="I26" s="85">
        <f t="shared" si="10"/>
        <v>1041666.67</v>
      </c>
      <c r="J26" s="85">
        <f>SUM($I$8:I25)</f>
        <v>18750000.060000002</v>
      </c>
      <c r="K26" s="85">
        <f t="shared" si="9"/>
        <v>31249999.939999998</v>
      </c>
      <c r="L26" s="79">
        <f>ROUND(C26*malumot!$B$85/H26,2)*G26</f>
        <v>1459760.24</v>
      </c>
      <c r="M26" s="79">
        <f t="shared" si="0"/>
        <v>2501426.91</v>
      </c>
      <c r="N26" s="79"/>
      <c r="O26" s="94" t="str">
        <f t="shared" si="8"/>
        <v>Чт</v>
      </c>
      <c r="P26" s="96">
        <f t="shared" si="6"/>
        <v>0</v>
      </c>
      <c r="Q26" s="96">
        <f>DAY(malumot!$B$79)+P26</f>
        <v>5</v>
      </c>
      <c r="R26" s="91">
        <f>IF(A26&lt;=malumot!$B$82,DATE(YEAR($B$8),MONTH($B$8)+A25,DAY(malumot!$B$79)),0)</f>
        <v>46604</v>
      </c>
      <c r="S26" s="77"/>
      <c r="T26" s="77"/>
      <c r="U26" s="77"/>
      <c r="V26" s="77"/>
    </row>
    <row r="27" spans="1:22" x14ac:dyDescent="0.25">
      <c r="A27" s="83">
        <v>20</v>
      </c>
      <c r="B27" s="84">
        <f>IF(A27&lt;=malumot!$B$82,DATE(YEAR(R27),MONTH(R27),DAY(IF(A27=malumot!$B$82,malumot!$B$67,IF(A27&lt;malumot!$B$82,(Q27),IF(A27&gt;malumot!$B$82,$H$56,0))))))</f>
        <v>46636</v>
      </c>
      <c r="C27" s="48">
        <f t="shared" si="1"/>
        <v>30208333.269999966</v>
      </c>
      <c r="D27" s="48">
        <f t="shared" si="2"/>
        <v>1041666.67</v>
      </c>
      <c r="E27" s="48">
        <f t="shared" si="3"/>
        <v>1456621.12</v>
      </c>
      <c r="F27" s="48">
        <f t="shared" si="4"/>
        <v>2498287.79</v>
      </c>
      <c r="G27" s="77">
        <f t="shared" si="7"/>
        <v>32</v>
      </c>
      <c r="H27" s="77">
        <f t="shared" si="5"/>
        <v>365</v>
      </c>
      <c r="I27" s="85">
        <f t="shared" si="10"/>
        <v>1041666.67</v>
      </c>
      <c r="J27" s="85">
        <f>SUM($I$8:I26)</f>
        <v>19791666.730000004</v>
      </c>
      <c r="K27" s="85">
        <f t="shared" si="9"/>
        <v>30208333.269999996</v>
      </c>
      <c r="L27" s="79">
        <f>ROUND(C27*malumot!$B$85/H27,2)*G27</f>
        <v>1456621.12</v>
      </c>
      <c r="M27" s="79">
        <f t="shared" si="0"/>
        <v>2498287.79</v>
      </c>
      <c r="N27" s="79"/>
      <c r="O27" s="94" t="str">
        <f t="shared" si="8"/>
        <v>Вс</v>
      </c>
      <c r="P27" s="96">
        <f t="shared" si="6"/>
        <v>1</v>
      </c>
      <c r="Q27" s="96">
        <f>DAY(malumot!$B$79)+P27</f>
        <v>6</v>
      </c>
      <c r="R27" s="91">
        <f>IF(A27&lt;=malumot!$B$82,DATE(YEAR($B$8),MONTH($B$8)+A26,DAY(malumot!$B$79)),0)</f>
        <v>46635</v>
      </c>
      <c r="S27" s="77"/>
      <c r="T27" s="77"/>
      <c r="U27" s="77"/>
      <c r="V27" s="77"/>
    </row>
    <row r="28" spans="1:22" x14ac:dyDescent="0.25">
      <c r="A28" s="83">
        <v>21</v>
      </c>
      <c r="B28" s="84">
        <f>IF(A28&lt;=malumot!$B$82,DATE(YEAR(R28),MONTH(R28),DAY(IF(A28=malumot!$B$82,malumot!$B$67,IF(A28&lt;malumot!$B$82,(Q28),IF(A28&gt;malumot!$B$82,$H$56,0))))))</f>
        <v>46665</v>
      </c>
      <c r="C28" s="48">
        <f t="shared" si="1"/>
        <v>29166666.599999964</v>
      </c>
      <c r="D28" s="48">
        <f t="shared" si="2"/>
        <v>1041666.67</v>
      </c>
      <c r="E28" s="48">
        <f t="shared" si="3"/>
        <v>1274543.3299999998</v>
      </c>
      <c r="F28" s="48">
        <f t="shared" si="4"/>
        <v>2316210</v>
      </c>
      <c r="G28" s="77">
        <f t="shared" si="7"/>
        <v>29</v>
      </c>
      <c r="H28" s="77">
        <f t="shared" si="5"/>
        <v>365</v>
      </c>
      <c r="I28" s="85">
        <f t="shared" si="10"/>
        <v>1041666.67</v>
      </c>
      <c r="J28" s="85">
        <f>SUM($I$8:I27)</f>
        <v>20833333.400000006</v>
      </c>
      <c r="K28" s="85">
        <f t="shared" si="9"/>
        <v>29166666.599999994</v>
      </c>
      <c r="L28" s="79">
        <f>ROUND(C28*malumot!$B$85/H28,2)*G28</f>
        <v>1274543.3299999998</v>
      </c>
      <c r="M28" s="79">
        <f t="shared" si="0"/>
        <v>2316210</v>
      </c>
      <c r="N28" s="79"/>
      <c r="O28" s="94" t="str">
        <f t="shared" si="8"/>
        <v>Вт</v>
      </c>
      <c r="P28" s="96">
        <f t="shared" si="6"/>
        <v>0</v>
      </c>
      <c r="Q28" s="96">
        <f>DAY(malumot!$B$79)+P28</f>
        <v>5</v>
      </c>
      <c r="R28" s="91">
        <f>IF(A28&lt;=malumot!$B$82,DATE(YEAR($B$8),MONTH($B$8)+A27,DAY(malumot!$B$79)),0)</f>
        <v>46665</v>
      </c>
      <c r="S28" s="77"/>
      <c r="T28" s="77"/>
      <c r="U28" s="77"/>
      <c r="V28" s="77"/>
    </row>
    <row r="29" spans="1:22" x14ac:dyDescent="0.25">
      <c r="A29" s="83">
        <v>22</v>
      </c>
      <c r="B29" s="84">
        <f>IF(A29&lt;=malumot!$B$82,DATE(YEAR(R29),MONTH(R29),DAY(IF(A29=malumot!$B$82,malumot!$B$67,IF(A29&lt;malumot!$B$82,(Q29),IF(A29&gt;malumot!$B$82,$H$56,0))))))</f>
        <v>46696</v>
      </c>
      <c r="C29" s="48">
        <f t="shared" si="1"/>
        <v>28124999.929999962</v>
      </c>
      <c r="D29" s="48">
        <f t="shared" si="2"/>
        <v>1041666.67</v>
      </c>
      <c r="E29" s="48">
        <f t="shared" si="3"/>
        <v>1313784.3400000001</v>
      </c>
      <c r="F29" s="48">
        <f t="shared" si="4"/>
        <v>2355451.0100000002</v>
      </c>
      <c r="G29" s="77">
        <f t="shared" si="7"/>
        <v>31</v>
      </c>
      <c r="H29" s="77">
        <f t="shared" si="5"/>
        <v>365</v>
      </c>
      <c r="I29" s="85">
        <f t="shared" si="10"/>
        <v>1041666.67</v>
      </c>
      <c r="J29" s="85">
        <f>SUM($I$8:I28)</f>
        <v>21875000.070000008</v>
      </c>
      <c r="K29" s="85">
        <f t="shared" si="9"/>
        <v>28124999.929999992</v>
      </c>
      <c r="L29" s="79">
        <f>ROUND(C29*malumot!$B$85/H29,2)*G29</f>
        <v>1313784.3400000001</v>
      </c>
      <c r="M29" s="79">
        <f t="shared" si="0"/>
        <v>2355451.0100000002</v>
      </c>
      <c r="N29" s="79"/>
      <c r="O29" s="94" t="str">
        <f t="shared" si="8"/>
        <v>Пт</v>
      </c>
      <c r="P29" s="96">
        <f t="shared" si="6"/>
        <v>0</v>
      </c>
      <c r="Q29" s="96">
        <f>DAY(malumot!$B$79)+P29</f>
        <v>5</v>
      </c>
      <c r="R29" s="91">
        <f>IF(A29&lt;=malumot!$B$82,DATE(YEAR($B$8),MONTH($B$8)+A28,DAY(malumot!$B$79)),0)</f>
        <v>46696</v>
      </c>
      <c r="S29" s="77"/>
      <c r="T29" s="77"/>
      <c r="U29" s="77"/>
      <c r="V29" s="77"/>
    </row>
    <row r="30" spans="1:22" x14ac:dyDescent="0.25">
      <c r="A30" s="83">
        <v>23</v>
      </c>
      <c r="B30" s="84">
        <f>IF(A30&lt;=malumot!$B$82,DATE(YEAR(R30),MONTH(R30),DAY(IF(A30=malumot!$B$82,malumot!$B$67,IF(A30&lt;malumot!$B$82,(Q30),IF(A30&gt;malumot!$B$82,$H$56,0))))))</f>
        <v>46727</v>
      </c>
      <c r="C30" s="48">
        <f t="shared" si="1"/>
        <v>27083333.259999961</v>
      </c>
      <c r="D30" s="48">
        <f t="shared" si="2"/>
        <v>1041666.67</v>
      </c>
      <c r="E30" s="48">
        <f t="shared" si="3"/>
        <v>1265125.5</v>
      </c>
      <c r="F30" s="48">
        <f t="shared" si="4"/>
        <v>2306792.17</v>
      </c>
      <c r="G30" s="77">
        <f t="shared" si="7"/>
        <v>31</v>
      </c>
      <c r="H30" s="77">
        <f t="shared" si="5"/>
        <v>365</v>
      </c>
      <c r="I30" s="85">
        <f t="shared" si="10"/>
        <v>1041666.67</v>
      </c>
      <c r="J30" s="85">
        <f>SUM($I$8:I29)</f>
        <v>22916666.74000001</v>
      </c>
      <c r="K30" s="85">
        <f t="shared" si="9"/>
        <v>27083333.25999999</v>
      </c>
      <c r="L30" s="79">
        <f>ROUND(C30*malumot!$B$85/H30,2)*G30</f>
        <v>1265125.5</v>
      </c>
      <c r="M30" s="79">
        <f t="shared" si="0"/>
        <v>2306792.17</v>
      </c>
      <c r="N30" s="79"/>
      <c r="O30" s="94" t="str">
        <f t="shared" si="8"/>
        <v>Вс</v>
      </c>
      <c r="P30" s="96">
        <f t="shared" si="6"/>
        <v>1</v>
      </c>
      <c r="Q30" s="96">
        <f>DAY(malumot!$B$79)+P30</f>
        <v>6</v>
      </c>
      <c r="R30" s="91">
        <f>IF(A30&lt;=malumot!$B$82,DATE(YEAR($B$8),MONTH($B$8)+A29,DAY(malumot!$B$79)),0)</f>
        <v>46726</v>
      </c>
      <c r="S30" s="77"/>
      <c r="T30" s="77"/>
      <c r="U30" s="77"/>
      <c r="V30" s="77"/>
    </row>
    <row r="31" spans="1:22" x14ac:dyDescent="0.25">
      <c r="A31" s="83">
        <v>24</v>
      </c>
      <c r="B31" s="84">
        <f>IF(A31&lt;=malumot!$B$82,DATE(YEAR(R31),MONTH(R31),DAY(IF(A31=malumot!$B$82,malumot!$B$67,IF(A31&lt;malumot!$B$82,(Q31),IF(A31&gt;malumot!$B$82,$H$56,0))))))</f>
        <v>46757</v>
      </c>
      <c r="C31" s="48">
        <f t="shared" ref="C31" si="11">C30-D30</f>
        <v>26041666.589999959</v>
      </c>
      <c r="D31" s="48">
        <f t="shared" ref="D31" si="12">IF(C31=0,L31,IF(C31&gt;1,I31))</f>
        <v>1041666.67</v>
      </c>
      <c r="E31" s="48">
        <f t="shared" ref="E31" si="13">IF(C31=0,N30,IF(C31&gt;1,L31))</f>
        <v>1174009.5</v>
      </c>
      <c r="F31" s="48">
        <f t="shared" ref="F31" si="14">IF(C31=0,N30,IF(C31&gt;1,M31))</f>
        <v>2215676.17</v>
      </c>
      <c r="G31" s="77">
        <f t="shared" si="7"/>
        <v>30</v>
      </c>
      <c r="H31" s="77">
        <f t="shared" si="5"/>
        <v>366</v>
      </c>
      <c r="I31" s="85">
        <f t="shared" si="10"/>
        <v>1041666.67</v>
      </c>
      <c r="J31" s="85">
        <f>SUM($I$8:I30)</f>
        <v>23958333.410000011</v>
      </c>
      <c r="K31" s="85">
        <f t="shared" si="9"/>
        <v>26041666.589999989</v>
      </c>
      <c r="L31" s="79">
        <f>ROUND(C31*malumot!$B$85/H31,2)*G31</f>
        <v>1174009.5</v>
      </c>
      <c r="M31" s="79">
        <f t="shared" si="0"/>
        <v>2215676.17</v>
      </c>
      <c r="N31" s="79"/>
      <c r="O31" s="94" t="str">
        <f t="shared" si="8"/>
        <v>Ср</v>
      </c>
      <c r="P31" s="96">
        <f t="shared" si="6"/>
        <v>0</v>
      </c>
      <c r="Q31" s="96">
        <f>DAY(malumot!$B$79)+P31</f>
        <v>5</v>
      </c>
      <c r="R31" s="91">
        <f>IF(A31&lt;=malumot!$B$82,DATE(YEAR($B$8),MONTH($B$8)+A30,DAY(malumot!$B$79)),0)</f>
        <v>46757</v>
      </c>
      <c r="S31" s="77"/>
      <c r="T31" s="77"/>
      <c r="U31" s="77"/>
      <c r="V31" s="77"/>
    </row>
    <row r="32" spans="1:22" x14ac:dyDescent="0.25">
      <c r="A32" s="83">
        <f>1+A31</f>
        <v>25</v>
      </c>
      <c r="B32" s="84">
        <f>IF(A32&lt;=malumot!$B$82,DATE(YEAR(R32),MONTH(R32),DAY(IF(A32=malumot!$B$82,malumot!$B$67,IF(A32&lt;malumot!$B$82,(Q32),IF(A32&gt;malumot!$B$82,$H$56,0))))))</f>
        <v>46790</v>
      </c>
      <c r="C32" s="48">
        <f t="shared" ref="C32:C42" si="15">C31-D31</f>
        <v>24999999.919999957</v>
      </c>
      <c r="D32" s="48">
        <f t="shared" ref="D32:D42" si="16">IF(C32=0,L32,IF(C32&gt;1,I32))</f>
        <v>1041666.67</v>
      </c>
      <c r="E32" s="48">
        <f t="shared" ref="E32:E42" si="17">IF(C32=0,N31,IF(C32&gt;1,L32))</f>
        <v>1239754.23</v>
      </c>
      <c r="F32" s="48">
        <f t="shared" ref="F32:F42" si="18">IF(C32=0,N31,IF(C32&gt;1,M32))</f>
        <v>2281420.9</v>
      </c>
      <c r="G32" s="77">
        <f t="shared" ref="G32:G42" si="19">B32-B31</f>
        <v>33</v>
      </c>
      <c r="H32" s="77">
        <f t="shared" ref="H32:H42" si="20">DATE(YEAR(B32),12,31)-DATE(YEAR(B32),1,1)+1</f>
        <v>366</v>
      </c>
      <c r="I32" s="85">
        <f t="shared" ref="I32:I42" si="21">IF($L$5=A32,K32,IF($L$5&gt;A32,I31))</f>
        <v>1041666.67</v>
      </c>
      <c r="J32" s="85">
        <f>SUM($I$8:I31)</f>
        <v>25000000.080000013</v>
      </c>
      <c r="K32" s="85">
        <f t="shared" ref="K32:K42" si="22">$J$12-J32</f>
        <v>24999999.919999987</v>
      </c>
      <c r="L32" s="79">
        <f>ROUND(C32*malumot!$B$85/H32,2)*G32</f>
        <v>1239754.23</v>
      </c>
      <c r="M32" s="79">
        <f t="shared" ref="M32:M42" si="23">D32+E32</f>
        <v>2281420.9</v>
      </c>
      <c r="N32" s="79"/>
      <c r="O32" s="94" t="str">
        <f t="shared" ref="O32:O42" si="24">TEXT(R32,"ддд")</f>
        <v>Сб</v>
      </c>
      <c r="P32" s="96">
        <f t="shared" ref="P32:P42" si="25">IF(O32=$U$8,2,IF(O32=$V$8,1,0))</f>
        <v>2</v>
      </c>
      <c r="Q32" s="96">
        <f>DAY(malumot!$B$79)+P32</f>
        <v>7</v>
      </c>
      <c r="R32" s="91">
        <f>IF(A32&lt;=malumot!$B$82,DATE(YEAR($B$8),MONTH($B$8)+A31,DAY(malumot!$B$79)),0)</f>
        <v>46788</v>
      </c>
      <c r="S32" s="77"/>
      <c r="T32" s="77"/>
      <c r="U32" s="77"/>
      <c r="V32" s="77"/>
    </row>
    <row r="33" spans="1:22" x14ac:dyDescent="0.25">
      <c r="A33" s="83">
        <f t="shared" ref="A33:A42" si="26">1+A32</f>
        <v>26</v>
      </c>
      <c r="B33" s="84">
        <f>IF(A33&lt;=malumot!$B$82,DATE(YEAR(R33),MONTH(R33),DAY(IF(A33=malumot!$B$82,malumot!$B$67,IF(A33&lt;malumot!$B$82,(Q33),IF(A33&gt;malumot!$B$82,$H$56,0))))))</f>
        <v>46818</v>
      </c>
      <c r="C33" s="48">
        <f t="shared" si="15"/>
        <v>23958333.249999955</v>
      </c>
      <c r="D33" s="48">
        <f t="shared" si="16"/>
        <v>1041666.67</v>
      </c>
      <c r="E33" s="48">
        <f t="shared" si="17"/>
        <v>1008082.88</v>
      </c>
      <c r="F33" s="48">
        <f t="shared" si="18"/>
        <v>2049749.55</v>
      </c>
      <c r="G33" s="77">
        <f t="shared" si="19"/>
        <v>28</v>
      </c>
      <c r="H33" s="77">
        <f t="shared" si="20"/>
        <v>366</v>
      </c>
      <c r="I33" s="85">
        <f t="shared" si="21"/>
        <v>1041666.67</v>
      </c>
      <c r="J33" s="85">
        <f>SUM($I$8:I32)</f>
        <v>26041666.750000015</v>
      </c>
      <c r="K33" s="85">
        <f t="shared" si="22"/>
        <v>23958333.249999985</v>
      </c>
      <c r="L33" s="79">
        <f>ROUND(C33*malumot!$B$85/H33,2)*G33</f>
        <v>1008082.88</v>
      </c>
      <c r="M33" s="79">
        <f t="shared" si="23"/>
        <v>2049749.55</v>
      </c>
      <c r="N33" s="79"/>
      <c r="O33" s="94" t="str">
        <f t="shared" si="24"/>
        <v>Вс</v>
      </c>
      <c r="P33" s="96">
        <f t="shared" si="25"/>
        <v>1</v>
      </c>
      <c r="Q33" s="96">
        <f>DAY(malumot!$B$79)+P33</f>
        <v>6</v>
      </c>
      <c r="R33" s="91">
        <f>IF(A33&lt;=malumot!$B$82,DATE(YEAR($B$8),MONTH($B$8)+A32,DAY(malumot!$B$79)),0)</f>
        <v>46817</v>
      </c>
      <c r="S33" s="77"/>
      <c r="T33" s="77"/>
      <c r="U33" s="77"/>
      <c r="V33" s="77"/>
    </row>
    <row r="34" spans="1:22" x14ac:dyDescent="0.25">
      <c r="A34" s="83">
        <f t="shared" si="26"/>
        <v>27</v>
      </c>
      <c r="B34" s="84">
        <f>IF(A34&lt;=malumot!$B$82,DATE(YEAR(R34),MONTH(R34),DAY(IF(A34=malumot!$B$82,malumot!$B$67,IF(A34&lt;malumot!$B$82,(Q34),IF(A34&gt;malumot!$B$82,$H$56,0))))))</f>
        <v>46848</v>
      </c>
      <c r="C34" s="48">
        <f t="shared" si="15"/>
        <v>22916666.579999954</v>
      </c>
      <c r="D34" s="48">
        <f t="shared" si="16"/>
        <v>1041666.67</v>
      </c>
      <c r="E34" s="48">
        <f t="shared" si="17"/>
        <v>1033128.3</v>
      </c>
      <c r="F34" s="48">
        <f t="shared" si="18"/>
        <v>2074794.9700000002</v>
      </c>
      <c r="G34" s="77">
        <f t="shared" si="19"/>
        <v>30</v>
      </c>
      <c r="H34" s="77">
        <f t="shared" si="20"/>
        <v>366</v>
      </c>
      <c r="I34" s="85">
        <f t="shared" si="21"/>
        <v>1041666.67</v>
      </c>
      <c r="J34" s="85">
        <f>SUM($I$8:I33)</f>
        <v>27083333.420000017</v>
      </c>
      <c r="K34" s="85">
        <f t="shared" si="22"/>
        <v>22916666.579999983</v>
      </c>
      <c r="L34" s="79">
        <f>ROUND(C34*malumot!$B$85/H34,2)*G34</f>
        <v>1033128.3</v>
      </c>
      <c r="M34" s="79">
        <f t="shared" si="23"/>
        <v>2074794.9700000002</v>
      </c>
      <c r="N34" s="79"/>
      <c r="O34" s="94" t="str">
        <f t="shared" si="24"/>
        <v>Ср</v>
      </c>
      <c r="P34" s="96">
        <f t="shared" si="25"/>
        <v>0</v>
      </c>
      <c r="Q34" s="96">
        <f>DAY(malumot!$B$79)+P34</f>
        <v>5</v>
      </c>
      <c r="R34" s="91">
        <f>IF(A34&lt;=malumot!$B$82,DATE(YEAR($B$8),MONTH($B$8)+A33,DAY(malumot!$B$79)),0)</f>
        <v>46848</v>
      </c>
      <c r="S34" s="77"/>
      <c r="T34" s="77"/>
      <c r="U34" s="77"/>
      <c r="V34" s="77"/>
    </row>
    <row r="35" spans="1:22" x14ac:dyDescent="0.25">
      <c r="A35" s="83">
        <f t="shared" si="26"/>
        <v>28</v>
      </c>
      <c r="B35" s="84">
        <f>IF(A35&lt;=malumot!$B$82,DATE(YEAR(R35),MONTH(R35),DAY(IF(A35=malumot!$B$82,malumot!$B$67,IF(A35&lt;malumot!$B$82,(Q35),IF(A35&gt;malumot!$B$82,$H$56,0))))))</f>
        <v>46878</v>
      </c>
      <c r="C35" s="48">
        <f t="shared" si="15"/>
        <v>21874999.909999952</v>
      </c>
      <c r="D35" s="48">
        <f t="shared" si="16"/>
        <v>1041666.67</v>
      </c>
      <c r="E35" s="48">
        <f t="shared" si="17"/>
        <v>986168.09999999986</v>
      </c>
      <c r="F35" s="48">
        <f t="shared" si="18"/>
        <v>2027834.77</v>
      </c>
      <c r="G35" s="77">
        <f t="shared" si="19"/>
        <v>30</v>
      </c>
      <c r="H35" s="77">
        <f t="shared" si="20"/>
        <v>366</v>
      </c>
      <c r="I35" s="85">
        <f t="shared" si="21"/>
        <v>1041666.67</v>
      </c>
      <c r="J35" s="85">
        <f>SUM($I$8:I34)</f>
        <v>28125000.090000018</v>
      </c>
      <c r="K35" s="85">
        <f t="shared" si="22"/>
        <v>21874999.909999982</v>
      </c>
      <c r="L35" s="79">
        <f>ROUND(C35*malumot!$B$85/H35,2)*G35</f>
        <v>986168.09999999986</v>
      </c>
      <c r="M35" s="79">
        <f t="shared" si="23"/>
        <v>2027834.77</v>
      </c>
      <c r="N35" s="79"/>
      <c r="O35" s="94" t="str">
        <f t="shared" si="24"/>
        <v>Пт</v>
      </c>
      <c r="P35" s="96">
        <f t="shared" si="25"/>
        <v>0</v>
      </c>
      <c r="Q35" s="96">
        <f>DAY(malumot!$B$79)+P35</f>
        <v>5</v>
      </c>
      <c r="R35" s="91">
        <f>IF(A35&lt;=malumot!$B$82,DATE(YEAR($B$8),MONTH($B$8)+A34,DAY(malumot!$B$79)),0)</f>
        <v>46878</v>
      </c>
      <c r="S35" s="77"/>
      <c r="T35" s="77"/>
      <c r="U35" s="77"/>
      <c r="V35" s="77"/>
    </row>
    <row r="36" spans="1:22" x14ac:dyDescent="0.25">
      <c r="A36" s="83">
        <f t="shared" si="26"/>
        <v>29</v>
      </c>
      <c r="B36" s="84">
        <f>IF(A36&lt;=malumot!$B$82,DATE(YEAR(R36),MONTH(R36),DAY(IF(A36=malumot!$B$82,malumot!$B$67,IF(A36&lt;malumot!$B$82,(Q36),IF(A36&gt;malumot!$B$82,$H$56,0))))))</f>
        <v>46909</v>
      </c>
      <c r="C36" s="48">
        <f t="shared" si="15"/>
        <v>20833333.23999995</v>
      </c>
      <c r="D36" s="48">
        <f t="shared" si="16"/>
        <v>1041666.67</v>
      </c>
      <c r="E36" s="48">
        <f t="shared" si="17"/>
        <v>970514.5199999999</v>
      </c>
      <c r="F36" s="48">
        <f t="shared" si="18"/>
        <v>2012181.19</v>
      </c>
      <c r="G36" s="77">
        <f t="shared" si="19"/>
        <v>31</v>
      </c>
      <c r="H36" s="77">
        <f t="shared" si="20"/>
        <v>366</v>
      </c>
      <c r="I36" s="85">
        <f t="shared" si="21"/>
        <v>1041666.67</v>
      </c>
      <c r="J36" s="85">
        <f>SUM($I$8:I35)</f>
        <v>29166666.76000002</v>
      </c>
      <c r="K36" s="85">
        <f t="shared" si="22"/>
        <v>20833333.23999998</v>
      </c>
      <c r="L36" s="79">
        <f>ROUND(C36*malumot!$B$85/H36,2)*G36</f>
        <v>970514.5199999999</v>
      </c>
      <c r="M36" s="79">
        <f t="shared" si="23"/>
        <v>2012181.19</v>
      </c>
      <c r="N36" s="79"/>
      <c r="O36" s="94" t="str">
        <f t="shared" si="24"/>
        <v>Пн</v>
      </c>
      <c r="P36" s="96">
        <f t="shared" si="25"/>
        <v>0</v>
      </c>
      <c r="Q36" s="96">
        <f>DAY(malumot!$B$79)+P36</f>
        <v>5</v>
      </c>
      <c r="R36" s="91">
        <f>IF(A36&lt;=malumot!$B$82,DATE(YEAR($B$8),MONTH($B$8)+A35,DAY(malumot!$B$79)),0)</f>
        <v>46909</v>
      </c>
      <c r="S36" s="77"/>
      <c r="T36" s="77"/>
      <c r="U36" s="77"/>
      <c r="V36" s="77"/>
    </row>
    <row r="37" spans="1:22" x14ac:dyDescent="0.25">
      <c r="A37" s="83">
        <f t="shared" si="26"/>
        <v>30</v>
      </c>
      <c r="B37" s="84">
        <f>IF(A37&lt;=malumot!$B$82,DATE(YEAR(R37),MONTH(R37),DAY(IF(A37=malumot!$B$82,malumot!$B$67,IF(A37&lt;malumot!$B$82,(Q37),IF(A37&gt;malumot!$B$82,$H$56,0))))))</f>
        <v>46939</v>
      </c>
      <c r="C37" s="48">
        <f t="shared" si="15"/>
        <v>19791666.569999948</v>
      </c>
      <c r="D37" s="48">
        <f t="shared" si="16"/>
        <v>1041666.67</v>
      </c>
      <c r="E37" s="48">
        <f t="shared" si="17"/>
        <v>892247.4</v>
      </c>
      <c r="F37" s="48">
        <f t="shared" si="18"/>
        <v>1933914.07</v>
      </c>
      <c r="G37" s="77">
        <f t="shared" si="19"/>
        <v>30</v>
      </c>
      <c r="H37" s="77">
        <f t="shared" si="20"/>
        <v>366</v>
      </c>
      <c r="I37" s="85">
        <f t="shared" si="21"/>
        <v>1041666.67</v>
      </c>
      <c r="J37" s="85">
        <f>SUM($I$8:I36)</f>
        <v>30208333.430000022</v>
      </c>
      <c r="K37" s="85">
        <f t="shared" si="22"/>
        <v>19791666.569999978</v>
      </c>
      <c r="L37" s="79">
        <f>ROUND(C37*malumot!$B$85/H37,2)*G37</f>
        <v>892247.4</v>
      </c>
      <c r="M37" s="79">
        <f t="shared" si="23"/>
        <v>1933914.07</v>
      </c>
      <c r="N37" s="79"/>
      <c r="O37" s="94" t="str">
        <f t="shared" si="24"/>
        <v>Ср</v>
      </c>
      <c r="P37" s="96">
        <f t="shared" si="25"/>
        <v>0</v>
      </c>
      <c r="Q37" s="96">
        <f>DAY(malumot!$B$79)+P37</f>
        <v>5</v>
      </c>
      <c r="R37" s="91">
        <f>IF(A37&lt;=malumot!$B$82,DATE(YEAR($B$8),MONTH($B$8)+A36,DAY(malumot!$B$79)),0)</f>
        <v>46939</v>
      </c>
      <c r="S37" s="77"/>
      <c r="T37" s="77"/>
      <c r="U37" s="77"/>
      <c r="V37" s="77"/>
    </row>
    <row r="38" spans="1:22" x14ac:dyDescent="0.25">
      <c r="A38" s="83">
        <f t="shared" si="26"/>
        <v>31</v>
      </c>
      <c r="B38" s="84">
        <f>IF(A38&lt;=malumot!$B$82,DATE(YEAR(R38),MONTH(R38),DAY(IF(A38=malumot!$B$82,malumot!$B$67,IF(A38&lt;malumot!$B$82,(Q38),IF(A38&gt;malumot!$B$82,$H$56,0))))))</f>
        <v>46972</v>
      </c>
      <c r="C38" s="48">
        <f t="shared" si="15"/>
        <v>18749999.899999946</v>
      </c>
      <c r="D38" s="48">
        <f t="shared" si="16"/>
        <v>1041666.67</v>
      </c>
      <c r="E38" s="48">
        <f t="shared" si="17"/>
        <v>929815.59</v>
      </c>
      <c r="F38" s="48">
        <f t="shared" si="18"/>
        <v>1971482.26</v>
      </c>
      <c r="G38" s="77">
        <f t="shared" si="19"/>
        <v>33</v>
      </c>
      <c r="H38" s="77">
        <f t="shared" si="20"/>
        <v>366</v>
      </c>
      <c r="I38" s="85">
        <f t="shared" si="21"/>
        <v>1041666.67</v>
      </c>
      <c r="J38" s="85">
        <f>SUM($I$8:I37)</f>
        <v>31250000.100000024</v>
      </c>
      <c r="K38" s="85">
        <f t="shared" si="22"/>
        <v>18749999.899999976</v>
      </c>
      <c r="L38" s="79">
        <f>ROUND(C38*malumot!$B$85/H38,2)*G38</f>
        <v>929815.59</v>
      </c>
      <c r="M38" s="79">
        <f t="shared" si="23"/>
        <v>1971482.26</v>
      </c>
      <c r="N38" s="79"/>
      <c r="O38" s="94" t="str">
        <f t="shared" si="24"/>
        <v>Сб</v>
      </c>
      <c r="P38" s="96">
        <f t="shared" si="25"/>
        <v>2</v>
      </c>
      <c r="Q38" s="96">
        <f>DAY(malumot!$B$79)+P38</f>
        <v>7</v>
      </c>
      <c r="R38" s="91">
        <f>IF(A38&lt;=malumot!$B$82,DATE(YEAR($B$8),MONTH($B$8)+A37,DAY(malumot!$B$79)),0)</f>
        <v>46970</v>
      </c>
      <c r="S38" s="77"/>
      <c r="T38" s="77"/>
      <c r="U38" s="77"/>
      <c r="V38" s="77"/>
    </row>
    <row r="39" spans="1:22" x14ac:dyDescent="0.25">
      <c r="A39" s="83">
        <f t="shared" si="26"/>
        <v>32</v>
      </c>
      <c r="B39" s="84">
        <f>IF(A39&lt;=malumot!$B$82,DATE(YEAR(R39),MONTH(R39),DAY(IF(A39=malumot!$B$82,malumot!$B$67,IF(A39&lt;malumot!$B$82,(Q39),IF(A39&gt;malumot!$B$82,$H$56,0))))))</f>
        <v>47001</v>
      </c>
      <c r="C39" s="48">
        <f t="shared" si="15"/>
        <v>17708333.229999945</v>
      </c>
      <c r="D39" s="48">
        <f t="shared" si="16"/>
        <v>1041666.67</v>
      </c>
      <c r="E39" s="48">
        <f t="shared" si="17"/>
        <v>771715.52</v>
      </c>
      <c r="F39" s="48">
        <f t="shared" si="18"/>
        <v>1813382.19</v>
      </c>
      <c r="G39" s="77">
        <f t="shared" si="19"/>
        <v>29</v>
      </c>
      <c r="H39" s="77">
        <f t="shared" si="20"/>
        <v>366</v>
      </c>
      <c r="I39" s="85">
        <f t="shared" si="21"/>
        <v>1041666.67</v>
      </c>
      <c r="J39" s="85">
        <f>SUM($I$8:I38)</f>
        <v>32291666.770000026</v>
      </c>
      <c r="K39" s="85">
        <f t="shared" si="22"/>
        <v>17708333.229999974</v>
      </c>
      <c r="L39" s="79">
        <f>ROUND(C39*malumot!$B$85/H39,2)*G39</f>
        <v>771715.52</v>
      </c>
      <c r="M39" s="79">
        <f t="shared" si="23"/>
        <v>1813382.19</v>
      </c>
      <c r="N39" s="79"/>
      <c r="O39" s="94" t="str">
        <f t="shared" si="24"/>
        <v>Вт</v>
      </c>
      <c r="P39" s="96">
        <f t="shared" si="25"/>
        <v>0</v>
      </c>
      <c r="Q39" s="96">
        <f>DAY(malumot!$B$79)+P39</f>
        <v>5</v>
      </c>
      <c r="R39" s="91">
        <f>IF(A39&lt;=malumot!$B$82,DATE(YEAR($B$8),MONTH($B$8)+A38,DAY(malumot!$B$79)),0)</f>
        <v>47001</v>
      </c>
      <c r="S39" s="77"/>
      <c r="T39" s="77"/>
      <c r="U39" s="77"/>
      <c r="V39" s="77"/>
    </row>
    <row r="40" spans="1:22" x14ac:dyDescent="0.25">
      <c r="A40" s="83">
        <f t="shared" si="26"/>
        <v>33</v>
      </c>
      <c r="B40" s="84">
        <f>IF(A40&lt;=malumot!$B$82,DATE(YEAR(R40),MONTH(R40),DAY(IF(A40=malumot!$B$82,malumot!$B$67,IF(A40&lt;malumot!$B$82,(Q40),IF(A40&gt;malumot!$B$82,$H$56,0))))))</f>
        <v>47031</v>
      </c>
      <c r="C40" s="48">
        <f t="shared" si="15"/>
        <v>16666666.559999945</v>
      </c>
      <c r="D40" s="48">
        <f t="shared" si="16"/>
        <v>1041666.67</v>
      </c>
      <c r="E40" s="48">
        <f t="shared" si="17"/>
        <v>751366.20000000007</v>
      </c>
      <c r="F40" s="48">
        <f t="shared" si="18"/>
        <v>1793032.87</v>
      </c>
      <c r="G40" s="77">
        <f t="shared" si="19"/>
        <v>30</v>
      </c>
      <c r="H40" s="77">
        <f t="shared" si="20"/>
        <v>366</v>
      </c>
      <c r="I40" s="85">
        <f t="shared" si="21"/>
        <v>1041666.67</v>
      </c>
      <c r="J40" s="85">
        <f>SUM($I$8:I39)</f>
        <v>33333333.440000027</v>
      </c>
      <c r="K40" s="85">
        <f t="shared" si="22"/>
        <v>16666666.559999973</v>
      </c>
      <c r="L40" s="79">
        <f>ROUND(C40*malumot!$B$85/H40,2)*G40</f>
        <v>751366.20000000007</v>
      </c>
      <c r="M40" s="79">
        <f t="shared" si="23"/>
        <v>1793032.87</v>
      </c>
      <c r="N40" s="79"/>
      <c r="O40" s="94" t="str">
        <f t="shared" si="24"/>
        <v>Чт</v>
      </c>
      <c r="P40" s="96">
        <f t="shared" si="25"/>
        <v>0</v>
      </c>
      <c r="Q40" s="96">
        <f>DAY(malumot!$B$79)+P40</f>
        <v>5</v>
      </c>
      <c r="R40" s="91">
        <f>IF(A40&lt;=malumot!$B$82,DATE(YEAR($B$8),MONTH($B$8)+A39,DAY(malumot!$B$79)),0)</f>
        <v>47031</v>
      </c>
      <c r="S40" s="77"/>
      <c r="T40" s="77"/>
      <c r="U40" s="77"/>
      <c r="V40" s="77"/>
    </row>
    <row r="41" spans="1:22" x14ac:dyDescent="0.25">
      <c r="A41" s="83">
        <f t="shared" si="26"/>
        <v>34</v>
      </c>
      <c r="B41" s="84">
        <f>IF(A41&lt;=malumot!$B$82,DATE(YEAR(R41),MONTH(R41),DAY(IF(A41=malumot!$B$82,malumot!$B$67,IF(A41&lt;malumot!$B$82,(Q41),IF(A41&gt;malumot!$B$82,$H$56,0))))))</f>
        <v>47063</v>
      </c>
      <c r="C41" s="48">
        <f t="shared" si="15"/>
        <v>15624999.889999945</v>
      </c>
      <c r="D41" s="48">
        <f t="shared" si="16"/>
        <v>1041666.67</v>
      </c>
      <c r="E41" s="48">
        <f t="shared" si="17"/>
        <v>751366.08</v>
      </c>
      <c r="F41" s="48">
        <f t="shared" si="18"/>
        <v>1793032.75</v>
      </c>
      <c r="G41" s="77">
        <f t="shared" si="19"/>
        <v>32</v>
      </c>
      <c r="H41" s="77">
        <f t="shared" si="20"/>
        <v>366</v>
      </c>
      <c r="I41" s="85">
        <f t="shared" si="21"/>
        <v>1041666.67</v>
      </c>
      <c r="J41" s="85">
        <f>SUM($I$8:I40)</f>
        <v>34375000.110000029</v>
      </c>
      <c r="K41" s="85">
        <f t="shared" si="22"/>
        <v>15624999.889999971</v>
      </c>
      <c r="L41" s="79">
        <f>ROUND(C41*malumot!$B$85/H41,2)*G41</f>
        <v>751366.08</v>
      </c>
      <c r="M41" s="79">
        <f t="shared" si="23"/>
        <v>1793032.75</v>
      </c>
      <c r="N41" s="79"/>
      <c r="O41" s="94" t="str">
        <f t="shared" si="24"/>
        <v>Вс</v>
      </c>
      <c r="P41" s="96">
        <f t="shared" si="25"/>
        <v>1</v>
      </c>
      <c r="Q41" s="96">
        <f>DAY(malumot!$B$79)+P41</f>
        <v>6</v>
      </c>
      <c r="R41" s="91">
        <f>IF(A41&lt;=malumot!$B$82,DATE(YEAR($B$8),MONTH($B$8)+A40,DAY(malumot!$B$79)),0)</f>
        <v>47062</v>
      </c>
      <c r="S41" s="77"/>
      <c r="T41" s="77"/>
      <c r="U41" s="77"/>
      <c r="V41" s="77"/>
    </row>
    <row r="42" spans="1:22" x14ac:dyDescent="0.25">
      <c r="A42" s="83">
        <f t="shared" si="26"/>
        <v>35</v>
      </c>
      <c r="B42" s="84">
        <f>IF(A42&lt;=malumot!$B$82,DATE(YEAR(R42),MONTH(R42),DAY(IF(A42=malumot!$B$82,malumot!$B$67,IF(A42&lt;malumot!$B$82,(Q42),IF(A42&gt;malumot!$B$82,$H$56,0))))))</f>
        <v>47092</v>
      </c>
      <c r="C42" s="48">
        <f t="shared" si="15"/>
        <v>14583333.219999945</v>
      </c>
      <c r="D42" s="48">
        <f t="shared" si="16"/>
        <v>1041666.67</v>
      </c>
      <c r="E42" s="48">
        <f t="shared" si="17"/>
        <v>635530.64999999991</v>
      </c>
      <c r="F42" s="48">
        <f t="shared" si="18"/>
        <v>1677197.3199999998</v>
      </c>
      <c r="G42" s="77">
        <f t="shared" si="19"/>
        <v>29</v>
      </c>
      <c r="H42" s="77">
        <f t="shared" si="20"/>
        <v>366</v>
      </c>
      <c r="I42" s="85">
        <f t="shared" si="21"/>
        <v>1041666.67</v>
      </c>
      <c r="J42" s="85">
        <f>SUM($I$8:I41)</f>
        <v>35416666.780000031</v>
      </c>
      <c r="K42" s="85">
        <f t="shared" si="22"/>
        <v>14583333.219999969</v>
      </c>
      <c r="L42" s="79">
        <f>ROUND(C42*malumot!$B$85/H42,2)*G42</f>
        <v>635530.64999999991</v>
      </c>
      <c r="M42" s="79">
        <f t="shared" si="23"/>
        <v>1677197.3199999998</v>
      </c>
      <c r="N42" s="79"/>
      <c r="O42" s="94" t="str">
        <f t="shared" si="24"/>
        <v>Вт</v>
      </c>
      <c r="P42" s="96">
        <f t="shared" si="25"/>
        <v>0</v>
      </c>
      <c r="Q42" s="96">
        <f>DAY(malumot!$B$79)+P42</f>
        <v>5</v>
      </c>
      <c r="R42" s="91">
        <f>IF(A42&lt;=malumot!$B$82,DATE(YEAR($B$8),MONTH($B$8)+A41,DAY(malumot!$B$79)),0)</f>
        <v>47092</v>
      </c>
      <c r="S42" s="77"/>
      <c r="T42" s="77"/>
      <c r="U42" s="77"/>
      <c r="V42" s="77"/>
    </row>
    <row r="43" spans="1:22" x14ac:dyDescent="0.25">
      <c r="A43" s="83">
        <f t="shared" ref="A43:A55" si="27">1+A42</f>
        <v>36</v>
      </c>
      <c r="B43" s="84">
        <f>IF(A43&lt;=malumot!$B$82,DATE(YEAR(R43),MONTH(R43),DAY(IF(A43=malumot!$B$82,malumot!$B$67,IF(A43&lt;malumot!$B$82,(Q43),IF(A43&gt;malumot!$B$82,$H$56,0))))))</f>
        <v>47123</v>
      </c>
      <c r="C43" s="48">
        <f t="shared" ref="C43" si="28">C42-D42</f>
        <v>13541666.549999945</v>
      </c>
      <c r="D43" s="48">
        <f t="shared" ref="D43" si="29">IF(C43=0,L43,IF(C43&gt;1,I43))</f>
        <v>1041666.67</v>
      </c>
      <c r="E43" s="48">
        <f t="shared" ref="E43" si="30">IF(C43=0,N42,IF(C43&gt;1,L43))</f>
        <v>632562.75</v>
      </c>
      <c r="F43" s="48">
        <f t="shared" ref="F43" si="31">IF(C43=0,N42,IF(C43&gt;1,M43))</f>
        <v>1674229.42</v>
      </c>
      <c r="G43" s="77">
        <f t="shared" ref="G43" si="32">B43-B42</f>
        <v>31</v>
      </c>
      <c r="H43" s="77">
        <f t="shared" ref="H43" si="33">DATE(YEAR(B43),12,31)-DATE(YEAR(B43),1,1)+1</f>
        <v>365</v>
      </c>
      <c r="I43" s="85">
        <f t="shared" ref="I43" si="34">IF($L$5=A43,K43,IF($L$5&gt;A43,I42))</f>
        <v>1041666.67</v>
      </c>
      <c r="J43" s="85">
        <f>SUM($I$8:I42)</f>
        <v>36458333.450000033</v>
      </c>
      <c r="K43" s="85">
        <f t="shared" ref="K43" si="35">$J$12-J43</f>
        <v>13541666.549999967</v>
      </c>
      <c r="L43" s="79">
        <f>ROUND(C43*malumot!$B$85/H43,2)*G43</f>
        <v>632562.75</v>
      </c>
      <c r="M43" s="79">
        <f t="shared" ref="M43" si="36">D43+E43</f>
        <v>1674229.42</v>
      </c>
      <c r="N43" s="79"/>
      <c r="O43" s="94" t="str">
        <f t="shared" ref="O43" si="37">TEXT(R43,"ддд")</f>
        <v>Пт</v>
      </c>
      <c r="P43" s="96">
        <f t="shared" ref="P43" si="38">IF(O43=$U$8,2,IF(O43=$V$8,1,0))</f>
        <v>0</v>
      </c>
      <c r="Q43" s="96">
        <f>DAY(malumot!$B$79)+P43</f>
        <v>5</v>
      </c>
      <c r="R43" s="91">
        <f>IF(A43&lt;=malumot!$B$82,DATE(YEAR($B$8),MONTH($B$8)+A42,DAY(malumot!$B$79)),0)</f>
        <v>47123</v>
      </c>
      <c r="S43" s="77"/>
      <c r="T43" s="77"/>
      <c r="U43" s="77"/>
      <c r="V43" s="77"/>
    </row>
    <row r="44" spans="1:22" x14ac:dyDescent="0.25">
      <c r="A44" s="83">
        <f t="shared" si="27"/>
        <v>37</v>
      </c>
      <c r="B44" s="84">
        <f>IF(A44&lt;=malumot!$B$82,DATE(YEAR(R44),MONTH(R44),DAY(IF(A44=malumot!$B$82,malumot!$B$67,IF(A44&lt;malumot!$B$82,(Q44),IF(A44&gt;malumot!$B$82,$H$56,0))))))</f>
        <v>47154</v>
      </c>
      <c r="C44" s="48">
        <f t="shared" ref="C44:C55" si="39">C43-D43</f>
        <v>12499999.879999945</v>
      </c>
      <c r="D44" s="48">
        <f t="shared" ref="D44:D55" si="40">IF(C44=0,L44,IF(C44&gt;1,I44))</f>
        <v>1041666.67</v>
      </c>
      <c r="E44" s="48">
        <f t="shared" ref="E44:E55" si="41">IF(C44=0,N43,IF(C44&gt;1,L44))</f>
        <v>583904.22</v>
      </c>
      <c r="F44" s="48">
        <f t="shared" ref="F44:F55" si="42">IF(C44=0,N43,IF(C44&gt;1,M44))</f>
        <v>1625570.8900000001</v>
      </c>
      <c r="G44" s="77">
        <f t="shared" ref="G44:G55" si="43">B44-B43</f>
        <v>31</v>
      </c>
      <c r="H44" s="77">
        <f t="shared" ref="H44:H55" si="44">DATE(YEAR(B44),12,31)-DATE(YEAR(B44),1,1)+1</f>
        <v>365</v>
      </c>
      <c r="I44" s="85">
        <f t="shared" ref="I44:I55" si="45">IF($L$5=A44,K44,IF($L$5&gt;A44,I43))</f>
        <v>1041666.67</v>
      </c>
      <c r="J44" s="85">
        <f>SUM($I$8:I43)</f>
        <v>37500000.120000035</v>
      </c>
      <c r="K44" s="85">
        <f t="shared" ref="K44:K55" si="46">$J$12-J44</f>
        <v>12499999.879999965</v>
      </c>
      <c r="L44" s="79">
        <f>ROUND(C44*malumot!$B$85/H44,2)*G44</f>
        <v>583904.22</v>
      </c>
      <c r="M44" s="79">
        <f t="shared" ref="M44:M55" si="47">D44+E44</f>
        <v>1625570.8900000001</v>
      </c>
      <c r="N44" s="79"/>
      <c r="O44" s="94" t="str">
        <f t="shared" ref="O44:O55" si="48">TEXT(R44,"ддд")</f>
        <v>Пн</v>
      </c>
      <c r="P44" s="96">
        <f t="shared" ref="P44:P55" si="49">IF(O44=$U$8,2,IF(O44=$V$8,1,0))</f>
        <v>0</v>
      </c>
      <c r="Q44" s="96">
        <f>DAY(malumot!$B$79)+P44</f>
        <v>5</v>
      </c>
      <c r="R44" s="91">
        <f>IF(A44&lt;=malumot!$B$82,DATE(YEAR($B$8),MONTH($B$8)+A43,DAY(malumot!$B$79)),0)</f>
        <v>47154</v>
      </c>
      <c r="S44" s="77"/>
      <c r="T44" s="77"/>
      <c r="U44" s="77"/>
      <c r="V44" s="77"/>
    </row>
    <row r="45" spans="1:22" x14ac:dyDescent="0.25">
      <c r="A45" s="83">
        <f t="shared" si="27"/>
        <v>38</v>
      </c>
      <c r="B45" s="84">
        <f>IF(A45&lt;=malumot!$B$82,DATE(YEAR(R45),MONTH(R45),DAY(IF(A45=malumot!$B$82,malumot!$B$67,IF(A45&lt;malumot!$B$82,(Q45),IF(A45&gt;malumot!$B$82,$H$56,0))))))</f>
        <v>47182</v>
      </c>
      <c r="C45" s="48">
        <f t="shared" si="39"/>
        <v>11458333.209999945</v>
      </c>
      <c r="D45" s="48">
        <f t="shared" si="40"/>
        <v>1041666.67</v>
      </c>
      <c r="E45" s="48">
        <f t="shared" si="41"/>
        <v>483447.44</v>
      </c>
      <c r="F45" s="48">
        <f t="shared" si="42"/>
        <v>1525114.11</v>
      </c>
      <c r="G45" s="77">
        <f t="shared" si="43"/>
        <v>28</v>
      </c>
      <c r="H45" s="77">
        <f t="shared" si="44"/>
        <v>365</v>
      </c>
      <c r="I45" s="85">
        <f t="shared" si="45"/>
        <v>1041666.67</v>
      </c>
      <c r="J45" s="85">
        <f>SUM($I$8:I44)</f>
        <v>38541666.790000036</v>
      </c>
      <c r="K45" s="85">
        <f t="shared" si="46"/>
        <v>11458333.209999964</v>
      </c>
      <c r="L45" s="79">
        <f>ROUND(C45*malumot!$B$85/H45,2)*G45</f>
        <v>483447.44</v>
      </c>
      <c r="M45" s="79">
        <f t="shared" si="47"/>
        <v>1525114.11</v>
      </c>
      <c r="N45" s="79"/>
      <c r="O45" s="94" t="str">
        <f t="shared" si="48"/>
        <v>Пн</v>
      </c>
      <c r="P45" s="96">
        <f t="shared" si="49"/>
        <v>0</v>
      </c>
      <c r="Q45" s="96">
        <f>DAY(malumot!$B$79)+P45</f>
        <v>5</v>
      </c>
      <c r="R45" s="91">
        <f>IF(A45&lt;=malumot!$B$82,DATE(YEAR($B$8),MONTH($B$8)+A44,DAY(malumot!$B$79)),0)</f>
        <v>47182</v>
      </c>
      <c r="S45" s="77"/>
      <c r="T45" s="77"/>
      <c r="U45" s="77"/>
      <c r="V45" s="77"/>
    </row>
    <row r="46" spans="1:22" x14ac:dyDescent="0.25">
      <c r="A46" s="83">
        <f t="shared" si="27"/>
        <v>39</v>
      </c>
      <c r="B46" s="84">
        <f>IF(A46&lt;=malumot!$B$82,DATE(YEAR(R46),MONTH(R46),DAY(IF(A46=malumot!$B$82,malumot!$B$67,IF(A46&lt;malumot!$B$82,(Q46),IF(A46&gt;malumot!$B$82,$H$56,0))))))</f>
        <v>47213</v>
      </c>
      <c r="C46" s="48">
        <f t="shared" si="39"/>
        <v>10416666.539999945</v>
      </c>
      <c r="D46" s="48">
        <f t="shared" si="40"/>
        <v>1041666.67</v>
      </c>
      <c r="E46" s="48">
        <f t="shared" si="41"/>
        <v>486586.85000000003</v>
      </c>
      <c r="F46" s="48">
        <f t="shared" si="42"/>
        <v>1528253.52</v>
      </c>
      <c r="G46" s="77">
        <f t="shared" si="43"/>
        <v>31</v>
      </c>
      <c r="H46" s="77">
        <f t="shared" si="44"/>
        <v>365</v>
      </c>
      <c r="I46" s="85">
        <f t="shared" si="45"/>
        <v>1041666.67</v>
      </c>
      <c r="J46" s="85">
        <f>SUM($I$8:I45)</f>
        <v>39583333.460000038</v>
      </c>
      <c r="K46" s="85">
        <f t="shared" si="46"/>
        <v>10416666.539999962</v>
      </c>
      <c r="L46" s="79">
        <f>ROUND(C46*malumot!$B$85/H46,2)*G46</f>
        <v>486586.85000000003</v>
      </c>
      <c r="M46" s="79">
        <f t="shared" si="47"/>
        <v>1528253.52</v>
      </c>
      <c r="N46" s="79"/>
      <c r="O46" s="94" t="str">
        <f t="shared" si="48"/>
        <v>Чт</v>
      </c>
      <c r="P46" s="96">
        <f t="shared" si="49"/>
        <v>0</v>
      </c>
      <c r="Q46" s="96">
        <f>DAY(malumot!$B$79)+P46</f>
        <v>5</v>
      </c>
      <c r="R46" s="91">
        <f>IF(A46&lt;=malumot!$B$82,DATE(YEAR($B$8),MONTH($B$8)+A45,DAY(malumot!$B$79)),0)</f>
        <v>47213</v>
      </c>
      <c r="S46" s="77"/>
      <c r="T46" s="77"/>
      <c r="U46" s="77"/>
      <c r="V46" s="77"/>
    </row>
    <row r="47" spans="1:22" x14ac:dyDescent="0.25">
      <c r="A47" s="83">
        <f t="shared" si="27"/>
        <v>40</v>
      </c>
      <c r="B47" s="84">
        <f>IF(A47&lt;=malumot!$B$82,DATE(YEAR(R47),MONTH(R47),DAY(IF(A47=malumot!$B$82,malumot!$B$67,IF(A47&lt;malumot!$B$82,(Q47),IF(A47&gt;malumot!$B$82,$H$56,0))))))</f>
        <v>47245</v>
      </c>
      <c r="C47" s="48">
        <f t="shared" si="39"/>
        <v>9374999.8699999452</v>
      </c>
      <c r="D47" s="48">
        <f t="shared" si="40"/>
        <v>1041666.67</v>
      </c>
      <c r="E47" s="48">
        <f t="shared" si="41"/>
        <v>452054.72</v>
      </c>
      <c r="F47" s="48">
        <f t="shared" si="42"/>
        <v>1493721.3900000001</v>
      </c>
      <c r="G47" s="77">
        <f t="shared" si="43"/>
        <v>32</v>
      </c>
      <c r="H47" s="77">
        <f t="shared" si="44"/>
        <v>365</v>
      </c>
      <c r="I47" s="85">
        <f t="shared" si="45"/>
        <v>1041666.67</v>
      </c>
      <c r="J47" s="85">
        <f>SUM($I$8:I46)</f>
        <v>40625000.13000004</v>
      </c>
      <c r="K47" s="85">
        <f t="shared" si="46"/>
        <v>9374999.8699999601</v>
      </c>
      <c r="L47" s="79">
        <f>ROUND(C47*malumot!$B$85/H47,2)*G47</f>
        <v>452054.72</v>
      </c>
      <c r="M47" s="79">
        <f t="shared" si="47"/>
        <v>1493721.3900000001</v>
      </c>
      <c r="N47" s="79"/>
      <c r="O47" s="94" t="str">
        <f t="shared" si="48"/>
        <v>Сб</v>
      </c>
      <c r="P47" s="96">
        <f t="shared" si="49"/>
        <v>2</v>
      </c>
      <c r="Q47" s="96">
        <f>DAY(malumot!$B$79)+P47</f>
        <v>7</v>
      </c>
      <c r="R47" s="91">
        <f>IF(A47&lt;=malumot!$B$82,DATE(YEAR($B$8),MONTH($B$8)+A46,DAY(malumot!$B$79)),0)</f>
        <v>47243</v>
      </c>
      <c r="S47" s="77"/>
      <c r="T47" s="77"/>
      <c r="U47" s="77"/>
      <c r="V47" s="77"/>
    </row>
    <row r="48" spans="1:22" x14ac:dyDescent="0.25">
      <c r="A48" s="83">
        <f t="shared" si="27"/>
        <v>41</v>
      </c>
      <c r="B48" s="84">
        <f>IF(A48&lt;=malumot!$B$82,DATE(YEAR(R48),MONTH(R48),DAY(IF(A48=malumot!$B$82,malumot!$B$67,IF(A48&lt;malumot!$B$82,(Q48),IF(A48&gt;malumot!$B$82,$H$56,0))))))</f>
        <v>47274</v>
      </c>
      <c r="C48" s="48">
        <f t="shared" si="39"/>
        <v>8333333.1999999452</v>
      </c>
      <c r="D48" s="48">
        <f t="shared" si="40"/>
        <v>1041666.67</v>
      </c>
      <c r="E48" s="48">
        <f t="shared" si="41"/>
        <v>364155.32</v>
      </c>
      <c r="F48" s="48">
        <f t="shared" si="42"/>
        <v>1405821.99</v>
      </c>
      <c r="G48" s="77">
        <f t="shared" si="43"/>
        <v>29</v>
      </c>
      <c r="H48" s="77">
        <f t="shared" si="44"/>
        <v>365</v>
      </c>
      <c r="I48" s="85">
        <f t="shared" si="45"/>
        <v>1041666.67</v>
      </c>
      <c r="J48" s="85">
        <f>SUM($I$8:I47)</f>
        <v>41666666.800000042</v>
      </c>
      <c r="K48" s="85">
        <f t="shared" si="46"/>
        <v>8333333.1999999583</v>
      </c>
      <c r="L48" s="79">
        <f>ROUND(C48*malumot!$B$85/H48,2)*G48</f>
        <v>364155.32</v>
      </c>
      <c r="M48" s="79">
        <f t="shared" si="47"/>
        <v>1405821.99</v>
      </c>
      <c r="N48" s="79"/>
      <c r="O48" s="94" t="str">
        <f t="shared" si="48"/>
        <v>Вт</v>
      </c>
      <c r="P48" s="96">
        <f t="shared" si="49"/>
        <v>0</v>
      </c>
      <c r="Q48" s="96">
        <f>DAY(malumot!$B$79)+P48</f>
        <v>5</v>
      </c>
      <c r="R48" s="91">
        <f>IF(A48&lt;=malumot!$B$82,DATE(YEAR($B$8),MONTH($B$8)+A47,DAY(malumot!$B$79)),0)</f>
        <v>47274</v>
      </c>
      <c r="S48" s="77"/>
      <c r="T48" s="77"/>
      <c r="U48" s="77"/>
      <c r="V48" s="77"/>
    </row>
    <row r="49" spans="1:22" x14ac:dyDescent="0.25">
      <c r="A49" s="83">
        <f t="shared" si="27"/>
        <v>42</v>
      </c>
      <c r="B49" s="84">
        <f>IF(A49&lt;=malumot!$B$82,DATE(YEAR(R49),MONTH(R49),DAY(IF(A49=malumot!$B$82,malumot!$B$67,IF(A49&lt;malumot!$B$82,(Q49),IF(A49&gt;malumot!$B$82,$H$56,0))))))</f>
        <v>47304</v>
      </c>
      <c r="C49" s="48">
        <f t="shared" si="39"/>
        <v>7291666.5299999453</v>
      </c>
      <c r="D49" s="48">
        <f t="shared" si="40"/>
        <v>1041666.67</v>
      </c>
      <c r="E49" s="48">
        <f t="shared" si="41"/>
        <v>329623.2</v>
      </c>
      <c r="F49" s="48">
        <f t="shared" si="42"/>
        <v>1371289.87</v>
      </c>
      <c r="G49" s="77">
        <f t="shared" si="43"/>
        <v>30</v>
      </c>
      <c r="H49" s="77">
        <f t="shared" si="44"/>
        <v>365</v>
      </c>
      <c r="I49" s="85">
        <f t="shared" si="45"/>
        <v>1041666.67</v>
      </c>
      <c r="J49" s="85">
        <f>SUM($I$8:I48)</f>
        <v>42708333.470000044</v>
      </c>
      <c r="K49" s="85">
        <f t="shared" si="46"/>
        <v>7291666.5299999565</v>
      </c>
      <c r="L49" s="79">
        <f>ROUND(C49*malumot!$B$85/H49,2)*G49</f>
        <v>329623.2</v>
      </c>
      <c r="M49" s="79">
        <f t="shared" si="47"/>
        <v>1371289.87</v>
      </c>
      <c r="N49" s="79"/>
      <c r="O49" s="94" t="str">
        <f t="shared" si="48"/>
        <v>Чт</v>
      </c>
      <c r="P49" s="96">
        <f t="shared" si="49"/>
        <v>0</v>
      </c>
      <c r="Q49" s="96">
        <f>DAY(malumot!$B$79)+P49</f>
        <v>5</v>
      </c>
      <c r="R49" s="91">
        <f>IF(A49&lt;=malumot!$B$82,DATE(YEAR($B$8),MONTH($B$8)+A48,DAY(malumot!$B$79)),0)</f>
        <v>47304</v>
      </c>
      <c r="S49" s="77"/>
      <c r="T49" s="77"/>
      <c r="U49" s="77"/>
      <c r="V49" s="77"/>
    </row>
    <row r="50" spans="1:22" x14ac:dyDescent="0.25">
      <c r="A50" s="83">
        <f t="shared" si="27"/>
        <v>43</v>
      </c>
      <c r="B50" s="84">
        <f>IF(A50&lt;=malumot!$B$82,DATE(YEAR(R50),MONTH(R50),DAY(IF(A50=malumot!$B$82,malumot!$B$67,IF(A50&lt;malumot!$B$82,(Q50),IF(A50&gt;malumot!$B$82,$H$56,0))))))</f>
        <v>47336</v>
      </c>
      <c r="C50" s="48">
        <f t="shared" si="39"/>
        <v>6249999.8599999454</v>
      </c>
      <c r="D50" s="48">
        <f t="shared" si="40"/>
        <v>1041666.67</v>
      </c>
      <c r="E50" s="48">
        <f t="shared" si="41"/>
        <v>301369.92</v>
      </c>
      <c r="F50" s="48">
        <f t="shared" si="42"/>
        <v>1343036.59</v>
      </c>
      <c r="G50" s="77">
        <f t="shared" si="43"/>
        <v>32</v>
      </c>
      <c r="H50" s="77">
        <f t="shared" si="44"/>
        <v>365</v>
      </c>
      <c r="I50" s="85">
        <f t="shared" si="45"/>
        <v>1041666.67</v>
      </c>
      <c r="J50" s="85">
        <f>SUM($I$8:I49)</f>
        <v>43750000.140000045</v>
      </c>
      <c r="K50" s="85">
        <f t="shared" si="46"/>
        <v>6249999.8599999547</v>
      </c>
      <c r="L50" s="79">
        <f>ROUND(C50*malumot!$B$85/H50,2)*G50</f>
        <v>301369.92</v>
      </c>
      <c r="M50" s="79">
        <f t="shared" si="47"/>
        <v>1343036.59</v>
      </c>
      <c r="N50" s="79"/>
      <c r="O50" s="94" t="str">
        <f t="shared" si="48"/>
        <v>Вс</v>
      </c>
      <c r="P50" s="96">
        <f t="shared" si="49"/>
        <v>1</v>
      </c>
      <c r="Q50" s="96">
        <f>DAY(malumot!$B$79)+P50</f>
        <v>6</v>
      </c>
      <c r="R50" s="91">
        <f>IF(A50&lt;=malumot!$B$82,DATE(YEAR($B$8),MONTH($B$8)+A49,DAY(malumot!$B$79)),0)</f>
        <v>47335</v>
      </c>
      <c r="S50" s="77"/>
      <c r="T50" s="77"/>
      <c r="U50" s="77"/>
      <c r="V50" s="77"/>
    </row>
    <row r="51" spans="1:22" x14ac:dyDescent="0.25">
      <c r="A51" s="83">
        <f t="shared" si="27"/>
        <v>44</v>
      </c>
      <c r="B51" s="84">
        <f>IF(A51&lt;=malumot!$B$82,DATE(YEAR(R51),MONTH(R51),DAY(IF(A51=malumot!$B$82,malumot!$B$67,IF(A51&lt;malumot!$B$82,(Q51),IF(A51&gt;malumot!$B$82,$H$56,0))))))</f>
        <v>47366</v>
      </c>
      <c r="C51" s="48">
        <f t="shared" si="39"/>
        <v>5208333.1899999455</v>
      </c>
      <c r="D51" s="48">
        <f t="shared" si="40"/>
        <v>1041666.67</v>
      </c>
      <c r="E51" s="48">
        <f t="shared" si="41"/>
        <v>235445.1</v>
      </c>
      <c r="F51" s="48">
        <f t="shared" si="42"/>
        <v>1277111.77</v>
      </c>
      <c r="G51" s="77">
        <f t="shared" si="43"/>
        <v>30</v>
      </c>
      <c r="H51" s="77">
        <f t="shared" si="44"/>
        <v>365</v>
      </c>
      <c r="I51" s="85">
        <f t="shared" si="45"/>
        <v>1041666.67</v>
      </c>
      <c r="J51" s="85">
        <f>SUM($I$8:I50)</f>
        <v>44791666.810000047</v>
      </c>
      <c r="K51" s="85">
        <f t="shared" si="46"/>
        <v>5208333.1899999529</v>
      </c>
      <c r="L51" s="79">
        <f>ROUND(C51*malumot!$B$85/H51,2)*G51</f>
        <v>235445.1</v>
      </c>
      <c r="M51" s="79">
        <f t="shared" si="47"/>
        <v>1277111.77</v>
      </c>
      <c r="N51" s="79"/>
      <c r="O51" s="94" t="str">
        <f t="shared" si="48"/>
        <v>Ср</v>
      </c>
      <c r="P51" s="96">
        <f t="shared" si="49"/>
        <v>0</v>
      </c>
      <c r="Q51" s="96">
        <f>DAY(malumot!$B$79)+P51</f>
        <v>5</v>
      </c>
      <c r="R51" s="91">
        <f>IF(A51&lt;=malumot!$B$82,DATE(YEAR($B$8),MONTH($B$8)+A50,DAY(malumot!$B$79)),0)</f>
        <v>47366</v>
      </c>
      <c r="S51" s="77"/>
      <c r="T51" s="77"/>
      <c r="U51" s="77"/>
      <c r="V51" s="77"/>
    </row>
    <row r="52" spans="1:22" x14ac:dyDescent="0.25">
      <c r="A52" s="83">
        <f t="shared" si="27"/>
        <v>45</v>
      </c>
      <c r="B52" s="84">
        <f>IF(A52&lt;=malumot!$B$82,DATE(YEAR(R52),MONTH(R52),DAY(IF(A52=malumot!$B$82,malumot!$B$67,IF(A52&lt;malumot!$B$82,(Q52),IF(A52&gt;malumot!$B$82,$H$56,0))))))</f>
        <v>47396</v>
      </c>
      <c r="C52" s="48">
        <f t="shared" si="39"/>
        <v>4166666.5199999455</v>
      </c>
      <c r="D52" s="48">
        <f t="shared" si="40"/>
        <v>1041666.67</v>
      </c>
      <c r="E52" s="48">
        <f t="shared" si="41"/>
        <v>188356.2</v>
      </c>
      <c r="F52" s="48">
        <f t="shared" si="42"/>
        <v>1230022.8700000001</v>
      </c>
      <c r="G52" s="77">
        <f t="shared" si="43"/>
        <v>30</v>
      </c>
      <c r="H52" s="77">
        <f t="shared" si="44"/>
        <v>365</v>
      </c>
      <c r="I52" s="85">
        <f t="shared" si="45"/>
        <v>1041666.67</v>
      </c>
      <c r="J52" s="85">
        <f>SUM($I$8:I51)</f>
        <v>45833333.480000049</v>
      </c>
      <c r="K52" s="85">
        <f t="shared" si="46"/>
        <v>4166666.5199999511</v>
      </c>
      <c r="L52" s="79">
        <f>ROUND(C52*malumot!$B$85/H52,2)*G52</f>
        <v>188356.2</v>
      </c>
      <c r="M52" s="79">
        <f t="shared" si="47"/>
        <v>1230022.8700000001</v>
      </c>
      <c r="N52" s="79"/>
      <c r="O52" s="94" t="str">
        <f t="shared" si="48"/>
        <v>Пт</v>
      </c>
      <c r="P52" s="96">
        <f t="shared" si="49"/>
        <v>0</v>
      </c>
      <c r="Q52" s="96">
        <f>DAY(malumot!$B$79)+P52</f>
        <v>5</v>
      </c>
      <c r="R52" s="91">
        <f>IF(A52&lt;=malumot!$B$82,DATE(YEAR($B$8),MONTH($B$8)+A51,DAY(malumot!$B$79)),0)</f>
        <v>47396</v>
      </c>
      <c r="S52" s="77"/>
      <c r="T52" s="77"/>
      <c r="U52" s="77"/>
      <c r="V52" s="77"/>
    </row>
    <row r="53" spans="1:22" x14ac:dyDescent="0.25">
      <c r="A53" s="83">
        <f t="shared" si="27"/>
        <v>46</v>
      </c>
      <c r="B53" s="84">
        <f>IF(A53&lt;=malumot!$B$82,DATE(YEAR(R53),MONTH(R53),DAY(IF(A53=malumot!$B$82,malumot!$B$67,IF(A53&lt;malumot!$B$82,(Q53),IF(A53&gt;malumot!$B$82,$H$56,0))))))</f>
        <v>47427</v>
      </c>
      <c r="C53" s="48">
        <f t="shared" si="39"/>
        <v>3124999.8499999456</v>
      </c>
      <c r="D53" s="48">
        <f t="shared" si="40"/>
        <v>1041666.67</v>
      </c>
      <c r="E53" s="48">
        <f t="shared" si="41"/>
        <v>145975.9</v>
      </c>
      <c r="F53" s="48">
        <f t="shared" si="42"/>
        <v>1187642.57</v>
      </c>
      <c r="G53" s="77">
        <f t="shared" si="43"/>
        <v>31</v>
      </c>
      <c r="H53" s="77">
        <f t="shared" si="44"/>
        <v>365</v>
      </c>
      <c r="I53" s="85">
        <f t="shared" si="45"/>
        <v>1041666.67</v>
      </c>
      <c r="J53" s="85">
        <f>SUM($I$8:I52)</f>
        <v>46875000.150000051</v>
      </c>
      <c r="K53" s="85">
        <f t="shared" si="46"/>
        <v>3124999.8499999493</v>
      </c>
      <c r="L53" s="79">
        <f>ROUND(C53*malumot!$B$85/H53,2)*G53</f>
        <v>145975.9</v>
      </c>
      <c r="M53" s="79">
        <f t="shared" si="47"/>
        <v>1187642.57</v>
      </c>
      <c r="N53" s="79"/>
      <c r="O53" s="94" t="str">
        <f t="shared" si="48"/>
        <v>Пн</v>
      </c>
      <c r="P53" s="96">
        <f t="shared" si="49"/>
        <v>0</v>
      </c>
      <c r="Q53" s="96">
        <f>DAY(malumot!$B$79)+P53</f>
        <v>5</v>
      </c>
      <c r="R53" s="91">
        <f>IF(A53&lt;=malumot!$B$82,DATE(YEAR($B$8),MONTH($B$8)+A52,DAY(malumot!$B$79)),0)</f>
        <v>47427</v>
      </c>
      <c r="S53" s="77"/>
      <c r="T53" s="77"/>
      <c r="U53" s="77"/>
      <c r="V53" s="77"/>
    </row>
    <row r="54" spans="1:22" x14ac:dyDescent="0.25">
      <c r="A54" s="83">
        <f t="shared" si="27"/>
        <v>47</v>
      </c>
      <c r="B54" s="84">
        <f>IF(A54&lt;=malumot!$B$82,DATE(YEAR(R54),MONTH(R54),DAY(IF(A54=malumot!$B$82,malumot!$B$67,IF(A54&lt;malumot!$B$82,(Q54),IF(A54&gt;malumot!$B$82,$H$56,0))))))</f>
        <v>47457</v>
      </c>
      <c r="C54" s="48">
        <f t="shared" si="39"/>
        <v>2083333.1799999457</v>
      </c>
      <c r="D54" s="48">
        <f t="shared" si="40"/>
        <v>1041666.67</v>
      </c>
      <c r="E54" s="48">
        <f t="shared" si="41"/>
        <v>94178.1</v>
      </c>
      <c r="F54" s="48">
        <f t="shared" si="42"/>
        <v>1135844.77</v>
      </c>
      <c r="G54" s="77">
        <f t="shared" si="43"/>
        <v>30</v>
      </c>
      <c r="H54" s="77">
        <f t="shared" si="44"/>
        <v>365</v>
      </c>
      <c r="I54" s="85">
        <f t="shared" si="45"/>
        <v>1041666.67</v>
      </c>
      <c r="J54" s="85">
        <f>SUM($I$8:I53)</f>
        <v>47916666.820000052</v>
      </c>
      <c r="K54" s="85">
        <f t="shared" si="46"/>
        <v>2083333.1799999475</v>
      </c>
      <c r="L54" s="79">
        <f>ROUND(C54*malumot!$B$85/H54,2)*G54</f>
        <v>94178.1</v>
      </c>
      <c r="M54" s="79">
        <f t="shared" si="47"/>
        <v>1135844.77</v>
      </c>
      <c r="N54" s="79"/>
      <c r="O54" s="94" t="str">
        <f t="shared" si="48"/>
        <v>Ср</v>
      </c>
      <c r="P54" s="96">
        <f t="shared" si="49"/>
        <v>0</v>
      </c>
      <c r="Q54" s="96">
        <f>DAY(malumot!$B$79)+P54</f>
        <v>5</v>
      </c>
      <c r="R54" s="91">
        <f>IF(A54&lt;=malumot!$B$82,DATE(YEAR($B$8),MONTH($B$8)+A53,DAY(malumot!$B$79)),0)</f>
        <v>47457</v>
      </c>
      <c r="S54" s="77"/>
      <c r="T54" s="77"/>
      <c r="U54" s="77"/>
      <c r="V54" s="77"/>
    </row>
    <row r="55" spans="1:22" x14ac:dyDescent="0.25">
      <c r="A55" s="83">
        <f t="shared" si="27"/>
        <v>48</v>
      </c>
      <c r="B55" s="84">
        <f>IF(A55&lt;=malumot!$B$82,DATE(YEAR(R55),MONTH(R55),DAY(IF(A55=malumot!$B$82,malumot!$B$67,IF(A55&lt;malumot!$B$82,(Q55),IF(A55&gt;malumot!$B$82,$H$56,0))))))</f>
        <v>47506</v>
      </c>
      <c r="C55" s="48">
        <f t="shared" si="39"/>
        <v>1041666.5099999456</v>
      </c>
      <c r="D55" s="48">
        <f t="shared" si="40"/>
        <v>1041666.5099999458</v>
      </c>
      <c r="E55" s="48">
        <f t="shared" si="41"/>
        <v>76911.87000000001</v>
      </c>
      <c r="F55" s="48">
        <f t="shared" si="42"/>
        <v>1118578.3799999459</v>
      </c>
      <c r="G55" s="77">
        <f t="shared" si="43"/>
        <v>49</v>
      </c>
      <c r="H55" s="77">
        <f t="shared" si="44"/>
        <v>365</v>
      </c>
      <c r="I55" s="85">
        <f t="shared" si="45"/>
        <v>1041666.5099999458</v>
      </c>
      <c r="J55" s="85">
        <f>SUM($I$8:I54)</f>
        <v>48958333.490000054</v>
      </c>
      <c r="K55" s="85">
        <f t="shared" si="46"/>
        <v>1041666.5099999458</v>
      </c>
      <c r="L55" s="79">
        <f>ROUND(C55*malumot!$B$85/H55,2)*G55</f>
        <v>76911.87000000001</v>
      </c>
      <c r="M55" s="79">
        <f t="shared" si="47"/>
        <v>1118578.3799999459</v>
      </c>
      <c r="N55" s="79"/>
      <c r="O55" s="94" t="str">
        <f t="shared" si="48"/>
        <v>Сб</v>
      </c>
      <c r="P55" s="96">
        <f t="shared" si="49"/>
        <v>2</v>
      </c>
      <c r="Q55" s="96">
        <f>DAY(malumot!$B$79)+P55</f>
        <v>7</v>
      </c>
      <c r="R55" s="91">
        <f>IF(A55&lt;=malumot!$B$82,DATE(YEAR($B$8),MONTH($B$8)+A54,DAY(malumot!$B$79)),0)</f>
        <v>47488</v>
      </c>
      <c r="S55" s="77"/>
      <c r="T55" s="77"/>
      <c r="U55" s="77"/>
      <c r="V55" s="77"/>
    </row>
    <row r="56" spans="1:22" x14ac:dyDescent="0.25">
      <c r="A56" s="86"/>
      <c r="B56" s="87" t="s">
        <v>6</v>
      </c>
      <c r="C56" s="88"/>
      <c r="D56" s="88">
        <f>SUM(D8:D55)</f>
        <v>50000000</v>
      </c>
      <c r="E56" s="88">
        <f t="shared" ref="E56:F56" si="50">SUM(E8:E55)</f>
        <v>54793670.270000011</v>
      </c>
      <c r="F56" s="88">
        <f t="shared" si="50"/>
        <v>104793670.26999992</v>
      </c>
    </row>
    <row r="57" spans="1:22" ht="9" customHeight="1" x14ac:dyDescent="0.25">
      <c r="B57" s="89"/>
      <c r="C57" s="90"/>
      <c r="D57" s="90"/>
      <c r="E57" s="90"/>
      <c r="F57" s="90"/>
    </row>
    <row r="58" spans="1:22" ht="47.25" customHeight="1" x14ac:dyDescent="0.25">
      <c r="A58" s="291" t="s">
        <v>17</v>
      </c>
      <c r="B58" s="291"/>
      <c r="C58" s="291"/>
      <c r="D58" s="291"/>
      <c r="E58" s="291"/>
      <c r="F58" s="291"/>
    </row>
    <row r="59" spans="1:22" ht="7.5" customHeight="1" x14ac:dyDescent="0.25"/>
    <row r="60" spans="1:22" x14ac:dyDescent="0.25">
      <c r="A60" s="292" t="e">
        <f>#REF!</f>
        <v>#REF!</v>
      </c>
      <c r="B60" s="292"/>
      <c r="C60" s="292"/>
      <c r="D60" s="292" t="e">
        <f>#REF!</f>
        <v>#REF!</v>
      </c>
      <c r="E60" s="292"/>
      <c r="F60" s="292"/>
    </row>
    <row r="61" spans="1:22" ht="11.25" customHeight="1" x14ac:dyDescent="0.25">
      <c r="A61" s="293"/>
      <c r="B61" s="293"/>
      <c r="C61" s="293"/>
      <c r="D61" s="293"/>
      <c r="E61" s="293"/>
      <c r="F61" s="293"/>
    </row>
    <row r="62" spans="1:22" ht="30" customHeight="1" x14ac:dyDescent="0.25">
      <c r="A62" s="290" t="e">
        <f>#REF!</f>
        <v>#REF!</v>
      </c>
      <c r="B62" s="290"/>
      <c r="C62" s="290"/>
      <c r="D62" s="290" t="e">
        <f>#REF!</f>
        <v>#REF!</v>
      </c>
      <c r="E62" s="290"/>
      <c r="F62" s="290"/>
    </row>
    <row r="63" spans="1:22" ht="32.25" customHeight="1" x14ac:dyDescent="0.25">
      <c r="A63" s="286" t="e">
        <f>#REF!</f>
        <v>#REF!</v>
      </c>
      <c r="B63" s="286"/>
      <c r="C63" s="286"/>
      <c r="D63" s="286" t="e">
        <f>#REF!</f>
        <v>#REF!</v>
      </c>
      <c r="E63" s="286"/>
      <c r="F63" s="286"/>
    </row>
    <row r="64" spans="1:22" x14ac:dyDescent="0.25">
      <c r="A64" s="286" t="e">
        <f>#REF!</f>
        <v>#REF!</v>
      </c>
      <c r="B64" s="286"/>
      <c r="C64" s="286"/>
      <c r="D64" s="286" t="str">
        <f>"паспорт серии "&amp;malumot!B16&amp;", "&amp;malumot!B20&amp;""</f>
        <v>паспорт серии AB 5708016, BUXORO VILOYATI BUXORO SHAHAR IIB tomonidan 19.01.2017 yilda berilgan</v>
      </c>
      <c r="E64" s="286"/>
      <c r="F64" s="286"/>
    </row>
    <row r="65" spans="1:6" ht="32.25" customHeight="1" x14ac:dyDescent="0.25">
      <c r="A65" s="286" t="e">
        <f>#REF!</f>
        <v>#REF!</v>
      </c>
      <c r="B65" s="286"/>
      <c r="C65" s="286"/>
      <c r="D65" s="286"/>
      <c r="E65" s="286"/>
      <c r="F65" s="286"/>
    </row>
    <row r="66" spans="1:6" x14ac:dyDescent="0.25">
      <c r="A66" s="286" t="e">
        <f>#REF!</f>
        <v>#REF!</v>
      </c>
      <c r="B66" s="286"/>
      <c r="C66" s="286"/>
      <c r="D66" s="286" t="e">
        <f>#REF!</f>
        <v>#REF!</v>
      </c>
      <c r="E66" s="286"/>
      <c r="F66" s="286"/>
    </row>
    <row r="67" spans="1:6" x14ac:dyDescent="0.25">
      <c r="A67" s="286" t="e">
        <f>#REF!</f>
        <v>#REF!</v>
      </c>
      <c r="B67" s="286"/>
      <c r="C67" s="286"/>
      <c r="D67" s="286" t="e">
        <f>#REF!</f>
        <v>#REF!</v>
      </c>
      <c r="E67" s="286"/>
      <c r="F67" s="286"/>
    </row>
    <row r="68" spans="1:6" x14ac:dyDescent="0.25">
      <c r="A68" s="286" t="e">
        <f>#REF!</f>
        <v>#REF!</v>
      </c>
      <c r="B68" s="286"/>
      <c r="C68" s="286"/>
      <c r="D68" s="286" t="e">
        <f>#REF!</f>
        <v>#REF!</v>
      </c>
      <c r="E68" s="286"/>
      <c r="F68" s="286"/>
    </row>
    <row r="69" spans="1:6" ht="8.25" customHeight="1" x14ac:dyDescent="0.25">
      <c r="A69" s="286"/>
      <c r="B69" s="286"/>
      <c r="C69" s="286"/>
      <c r="D69" s="286"/>
      <c r="E69" s="286"/>
      <c r="F69" s="286"/>
    </row>
    <row r="70" spans="1:6" x14ac:dyDescent="0.25">
      <c r="A70" s="290" t="e">
        <f>#REF!</f>
        <v>#REF!</v>
      </c>
      <c r="B70" s="290"/>
      <c r="C70" s="290"/>
      <c r="D70" s="290" t="e">
        <f>#REF!</f>
        <v>#REF!</v>
      </c>
      <c r="E70" s="290"/>
      <c r="F70" s="290"/>
    </row>
    <row r="71" spans="1:6" ht="7.5" customHeight="1" x14ac:dyDescent="0.25">
      <c r="A71" s="290"/>
      <c r="B71" s="290"/>
      <c r="C71" s="290"/>
      <c r="D71" s="290"/>
      <c r="E71" s="290"/>
      <c r="F71" s="290"/>
    </row>
    <row r="72" spans="1:6" x14ac:dyDescent="0.25">
      <c r="A72" s="290" t="e">
        <f>#REF!</f>
        <v>#REF!</v>
      </c>
      <c r="B72" s="290"/>
      <c r="C72" s="290"/>
      <c r="D72" s="290" t="e">
        <f>#REF!</f>
        <v>#REF!</v>
      </c>
      <c r="E72" s="290"/>
      <c r="F72" s="290"/>
    </row>
    <row r="73" spans="1:6" ht="8.25" customHeight="1" x14ac:dyDescent="0.25">
      <c r="A73" s="286"/>
      <c r="B73" s="286"/>
      <c r="C73" s="286"/>
      <c r="D73" s="286"/>
      <c r="E73" s="286"/>
      <c r="F73" s="286"/>
    </row>
    <row r="74" spans="1:6" ht="30" customHeight="1" x14ac:dyDescent="0.25">
      <c r="A74" s="287"/>
      <c r="B74" s="287"/>
      <c r="C74" s="287"/>
      <c r="D74" s="288" t="e">
        <f>#REF!</f>
        <v>#REF!</v>
      </c>
      <c r="E74" s="288"/>
      <c r="F74" s="288"/>
    </row>
    <row r="75" spans="1:6" x14ac:dyDescent="0.25">
      <c r="A75" s="289"/>
      <c r="B75" s="289"/>
      <c r="C75" s="289"/>
      <c r="D75" s="289"/>
      <c r="E75" s="289"/>
      <c r="F75" s="289"/>
    </row>
    <row r="76" spans="1:6" x14ac:dyDescent="0.25">
      <c r="A76" s="285"/>
      <c r="B76" s="285"/>
      <c r="C76" s="285"/>
      <c r="D76" s="285"/>
      <c r="E76" s="285"/>
      <c r="F76" s="285"/>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7" priority="3" operator="lessThan">
      <formula>22105</formula>
    </cfRule>
  </conditionalFormatting>
  <conditionalFormatting sqref="C8:C55">
    <cfRule type="cellIs" dxfId="6" priority="2" operator="lessThan">
      <formula>1</formula>
    </cfRule>
  </conditionalFormatting>
  <conditionalFormatting sqref="C8:F55">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0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9" customFormat="1" ht="36.75" customHeight="1" x14ac:dyDescent="0.25">
      <c r="A1" s="108" t="s">
        <v>14</v>
      </c>
      <c r="B1" s="109" t="s">
        <v>3</v>
      </c>
      <c r="D1" s="108"/>
      <c r="E1" s="108" t="s">
        <v>37</v>
      </c>
      <c r="F1" s="108" t="s">
        <v>38</v>
      </c>
      <c r="G1" s="108"/>
      <c r="H1" s="108"/>
      <c r="I1" s="108"/>
      <c r="J1" s="108"/>
      <c r="K1" s="108"/>
      <c r="L1" s="108" t="s">
        <v>39</v>
      </c>
      <c r="M1" s="108" t="s">
        <v>41</v>
      </c>
      <c r="N1" s="108" t="s">
        <v>40</v>
      </c>
    </row>
    <row r="2" spans="1:23" ht="15" customHeight="1" x14ac:dyDescent="0.25">
      <c r="A2" s="102">
        <v>1</v>
      </c>
      <c r="B2" t="s">
        <v>251</v>
      </c>
      <c r="C2" t="s">
        <v>63</v>
      </c>
      <c r="D2" s="104" t="s">
        <v>251</v>
      </c>
      <c r="E2" s="104" t="s">
        <v>43</v>
      </c>
      <c r="F2" s="105">
        <v>44207</v>
      </c>
      <c r="G2" s="95">
        <f>MONTH(F2)</f>
        <v>1</v>
      </c>
      <c r="H2" s="105" t="str">
        <f>IF(G2=$A$26,$A$28,IF(G2=$B$26,$B$28,IF(G2=$C$26,$C$28,IF(G2=$D$26,$D$28,IF(G2=$E$26,$E$28,IF(G2=$F$26,$F$28,IF(G2=$K$26,$K$28,IF(G2=$L$26,$L$28,IF(G2=$M$26,$M$28,IF(G2=$N$26,$N$28,IF(G2=$O$26,$O$28,IF(G2=$P$26,$P$28,0))))))))))))</f>
        <v>yanvar</v>
      </c>
      <c r="I2" s="95">
        <f>DAY(F2)</f>
        <v>11</v>
      </c>
      <c r="J2" s="107">
        <f>YEAR(F2)</f>
        <v>2021</v>
      </c>
      <c r="K2" s="105" t="str">
        <f>""&amp;I2&amp;" "&amp;H2&amp;" "&amp;J2&amp;" г."</f>
        <v>11 yanvar 2021 г.</v>
      </c>
      <c r="L2" s="104">
        <v>5</v>
      </c>
      <c r="M2" s="106">
        <v>15000000</v>
      </c>
      <c r="N2" s="104" t="s">
        <v>126</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6"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02">
        <v>2</v>
      </c>
      <c r="D3" s="104" t="s">
        <v>251</v>
      </c>
      <c r="E3" s="104" t="s">
        <v>42</v>
      </c>
      <c r="F3" s="105">
        <v>43775</v>
      </c>
      <c r="G3" s="95">
        <f>MONTH(F3)</f>
        <v>11</v>
      </c>
      <c r="H3" s="105" t="str">
        <f>IF(G3=$A$26,$A$28,IF(G3=$B$26,$B$28,IF(G3=$C$26,$C$28,IF(G3=$D$26,$D$28,IF(G3=$E$26,$E$28,IF(G3=$F$26,$F$28,IF(G3=$K$26,$K$28,IF(G3=$L$26,$L$28,IF(G3=$M$26,$M$28,IF(G3=$N$26,$N$28,IF(G3=$O$26,$O$28,IF(G3=$P$26,$P$28,0))))))))))))</f>
        <v>noyabr</v>
      </c>
      <c r="I3" s="95">
        <f>DAY(F3)</f>
        <v>6</v>
      </c>
      <c r="J3" s="107">
        <f>YEAR(F3)</f>
        <v>2019</v>
      </c>
      <c r="K3" s="105" t="str">
        <f>""&amp;I3&amp;" "&amp;H3&amp;" "&amp;J3&amp;" г."</f>
        <v>6 noyabr 2019 г.</v>
      </c>
      <c r="L3" s="104">
        <v>386</v>
      </c>
      <c r="M3" s="106">
        <v>15000000</v>
      </c>
      <c r="N3" s="104" t="s">
        <v>126</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02">
        <v>3</v>
      </c>
      <c r="D4" s="104" t="s">
        <v>251</v>
      </c>
      <c r="E4" s="104" t="s">
        <v>42</v>
      </c>
      <c r="F4" s="105">
        <v>44217</v>
      </c>
      <c r="G4" s="95">
        <f>MONTH(F4)</f>
        <v>1</v>
      </c>
      <c r="H4" s="105" t="str">
        <f>IF(G4=$A$26,$A$28,IF(G4=$B$26,$B$28,IF(G4=$C$26,$C$28,IF(G4=$D$26,$D$28,IF(G4=$E$26,$E$28,IF(G4=$F$26,$F$28,IF(G4=$K$26,$K$28,IF(G4=$L$26,$L$28,IF(G4=$M$26,$M$28,IF(G4=$N$26,$N$28,IF(G4=$O$26,$O$28,IF(G4=$P$26,$P$28,0))))))))))))</f>
        <v>yanvar</v>
      </c>
      <c r="I4" s="95">
        <f>DAY(F4)</f>
        <v>21</v>
      </c>
      <c r="J4" s="107">
        <f>YEAR(F4)</f>
        <v>2021</v>
      </c>
      <c r="K4" s="105" t="str">
        <f>""&amp;I4&amp;" "&amp;H4&amp;" "&amp;J4&amp;" г."</f>
        <v>21 yanvar 2021 г.</v>
      </c>
      <c r="L4" s="104">
        <v>33</v>
      </c>
      <c r="M4" s="106">
        <v>15000000</v>
      </c>
      <c r="N4" s="104" t="s">
        <v>126</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02">
        <v>4</v>
      </c>
      <c r="D5" s="104" t="s">
        <v>251</v>
      </c>
      <c r="E5" s="104"/>
      <c r="F5" s="105"/>
      <c r="G5" s="95">
        <f t="shared" ref="G5:G21" si="2">MONTH(F5)</f>
        <v>1</v>
      </c>
      <c r="H5" s="105" t="str">
        <f t="shared" ref="H5:H21" si="3">IF(G5=$A$26,$A$28,IF(G5=$B$26,$B$28,IF(G5=$C$26,$C$28,IF(G5=$D$26,$D$28,IF(G5=$E$26,$E$28,IF(G5=$F$26,$F$28,IF(G5=$K$26,$K$28,IF(G5=$L$26,$L$28,IF(G5=$M$26,$M$28,IF(G5=$N$26,$N$28,IF(G5=$O$26,$O$28,IF(G5=$P$26,$P$28,0))))))))))))</f>
        <v>yanvar</v>
      </c>
      <c r="I5" s="95">
        <f t="shared" ref="I5:I21" si="4">DAY(F5)</f>
        <v>0</v>
      </c>
      <c r="J5" s="107">
        <f t="shared" ref="J5:J21" si="5">YEAR(F5)</f>
        <v>1900</v>
      </c>
      <c r="K5" s="105" t="str">
        <f t="shared" ref="K5:K21" si="6">""&amp;I5&amp;" "&amp;H5&amp;" "&amp;J5&amp;" г."</f>
        <v>0 yanvar 1900 г.</v>
      </c>
      <c r="L5" s="104"/>
      <c r="M5" s="106"/>
      <c r="N5" s="104"/>
      <c r="P5">
        <f t="shared" si="1"/>
        <v>0</v>
      </c>
    </row>
    <row r="6" spans="1:23" ht="15" customHeight="1" x14ac:dyDescent="0.25">
      <c r="A6" s="102">
        <v>5</v>
      </c>
      <c r="D6" s="104" t="s">
        <v>251</v>
      </c>
      <c r="E6" s="104"/>
      <c r="F6" s="105"/>
      <c r="G6" s="95">
        <f t="shared" si="2"/>
        <v>1</v>
      </c>
      <c r="H6" s="105" t="str">
        <f t="shared" si="3"/>
        <v>yanvar</v>
      </c>
      <c r="I6" s="95">
        <f t="shared" si="4"/>
        <v>0</v>
      </c>
      <c r="J6" s="107">
        <f t="shared" si="5"/>
        <v>1900</v>
      </c>
      <c r="K6" s="105" t="str">
        <f t="shared" si="6"/>
        <v>0 yanvar 1900 г.</v>
      </c>
      <c r="L6" s="104"/>
      <c r="M6" s="106"/>
      <c r="N6" s="104"/>
      <c r="P6">
        <f t="shared" si="1"/>
        <v>0</v>
      </c>
    </row>
    <row r="7" spans="1:23" ht="15" customHeight="1" x14ac:dyDescent="0.25">
      <c r="A7" s="102">
        <v>6</v>
      </c>
      <c r="D7" s="104" t="s">
        <v>251</v>
      </c>
      <c r="E7" s="104"/>
      <c r="F7" s="105"/>
      <c r="G7" s="95">
        <f t="shared" si="2"/>
        <v>1</v>
      </c>
      <c r="H7" s="105" t="str">
        <f t="shared" si="3"/>
        <v>yanvar</v>
      </c>
      <c r="I7" s="95">
        <f t="shared" si="4"/>
        <v>0</v>
      </c>
      <c r="J7" s="107">
        <f t="shared" si="5"/>
        <v>1900</v>
      </c>
      <c r="K7" s="105" t="str">
        <f t="shared" si="6"/>
        <v>0 yanvar 1900 г.</v>
      </c>
      <c r="L7" s="104"/>
      <c r="M7" s="106"/>
      <c r="N7" s="104"/>
      <c r="P7">
        <f t="shared" si="1"/>
        <v>0</v>
      </c>
    </row>
    <row r="8" spans="1:23" ht="15" customHeight="1" x14ac:dyDescent="0.25">
      <c r="A8" s="102">
        <v>7</v>
      </c>
      <c r="D8" s="104" t="s">
        <v>251</v>
      </c>
      <c r="E8" s="104"/>
      <c r="F8" s="105"/>
      <c r="G8" s="95">
        <f t="shared" si="2"/>
        <v>1</v>
      </c>
      <c r="H8" s="105" t="str">
        <f t="shared" si="3"/>
        <v>yanvar</v>
      </c>
      <c r="I8" s="95">
        <f t="shared" si="4"/>
        <v>0</v>
      </c>
      <c r="J8" s="107">
        <f t="shared" si="5"/>
        <v>1900</v>
      </c>
      <c r="K8" s="105" t="str">
        <f t="shared" si="6"/>
        <v>0 yanvar 1900 г.</v>
      </c>
      <c r="L8" s="104"/>
      <c r="M8" s="106"/>
      <c r="N8" s="104"/>
      <c r="P8">
        <f t="shared" si="1"/>
        <v>0</v>
      </c>
    </row>
    <row r="9" spans="1:23" ht="15" customHeight="1" x14ac:dyDescent="0.25">
      <c r="A9" s="102">
        <v>8</v>
      </c>
      <c r="D9" s="104" t="s">
        <v>251</v>
      </c>
      <c r="E9" s="104"/>
      <c r="F9" s="105"/>
      <c r="G9" s="95">
        <f t="shared" si="2"/>
        <v>1</v>
      </c>
      <c r="H9" s="105" t="str">
        <f t="shared" si="3"/>
        <v>yanvar</v>
      </c>
      <c r="I9" s="95">
        <f t="shared" si="4"/>
        <v>0</v>
      </c>
      <c r="J9" s="107">
        <f t="shared" si="5"/>
        <v>1900</v>
      </c>
      <c r="K9" s="105" t="str">
        <f t="shared" si="6"/>
        <v>0 yanvar 1900 г.</v>
      </c>
      <c r="L9" s="104"/>
      <c r="M9" s="106"/>
      <c r="N9" s="104"/>
      <c r="P9">
        <f t="shared" si="1"/>
        <v>0</v>
      </c>
    </row>
    <row r="10" spans="1:23" ht="15" customHeight="1" x14ac:dyDescent="0.25">
      <c r="A10" s="102">
        <v>9</v>
      </c>
      <c r="D10" s="104" t="s">
        <v>251</v>
      </c>
      <c r="E10" s="104"/>
      <c r="F10" s="105"/>
      <c r="G10" s="95">
        <f t="shared" si="2"/>
        <v>1</v>
      </c>
      <c r="H10" s="105" t="str">
        <f t="shared" si="3"/>
        <v>yanvar</v>
      </c>
      <c r="I10" s="95">
        <f t="shared" si="4"/>
        <v>0</v>
      </c>
      <c r="J10" s="107">
        <f t="shared" si="5"/>
        <v>1900</v>
      </c>
      <c r="K10" s="105" t="str">
        <f t="shared" si="6"/>
        <v>0 yanvar 1900 г.</v>
      </c>
      <c r="L10" s="104"/>
      <c r="M10" s="106"/>
      <c r="N10" s="104"/>
      <c r="P10">
        <f t="shared" si="1"/>
        <v>0</v>
      </c>
    </row>
    <row r="11" spans="1:23" ht="15" customHeight="1" x14ac:dyDescent="0.25">
      <c r="A11" s="102">
        <v>10</v>
      </c>
      <c r="D11" s="104" t="s">
        <v>251</v>
      </c>
      <c r="E11" s="104"/>
      <c r="F11" s="105"/>
      <c r="G11" s="95">
        <f t="shared" si="2"/>
        <v>1</v>
      </c>
      <c r="H11" s="105" t="str">
        <f t="shared" si="3"/>
        <v>yanvar</v>
      </c>
      <c r="I11" s="95">
        <f t="shared" si="4"/>
        <v>0</v>
      </c>
      <c r="J11" s="107">
        <f t="shared" si="5"/>
        <v>1900</v>
      </c>
      <c r="K11" s="105" t="str">
        <f t="shared" si="6"/>
        <v>0 yanvar 1900 г.</v>
      </c>
      <c r="L11" s="104"/>
      <c r="M11" s="106"/>
      <c r="N11" s="104"/>
      <c r="P11">
        <f t="shared" si="1"/>
        <v>0</v>
      </c>
    </row>
    <row r="12" spans="1:23" ht="15" customHeight="1" x14ac:dyDescent="0.25">
      <c r="A12" s="102">
        <v>11</v>
      </c>
      <c r="D12" s="104" t="s">
        <v>251</v>
      </c>
      <c r="E12" s="104"/>
      <c r="F12" s="105"/>
      <c r="G12" s="95">
        <f t="shared" si="2"/>
        <v>1</v>
      </c>
      <c r="H12" s="105" t="str">
        <f t="shared" si="3"/>
        <v>yanvar</v>
      </c>
      <c r="I12" s="95">
        <f t="shared" si="4"/>
        <v>0</v>
      </c>
      <c r="J12" s="107">
        <f t="shared" si="5"/>
        <v>1900</v>
      </c>
      <c r="K12" s="105" t="str">
        <f t="shared" si="6"/>
        <v>0 yanvar 1900 г.</v>
      </c>
      <c r="L12" s="104"/>
      <c r="M12" s="106"/>
      <c r="N12" s="104"/>
      <c r="P12">
        <f t="shared" si="1"/>
        <v>0</v>
      </c>
    </row>
    <row r="13" spans="1:23" ht="15" customHeight="1" x14ac:dyDescent="0.25">
      <c r="A13" s="102">
        <v>12</v>
      </c>
      <c r="D13" s="104" t="s">
        <v>251</v>
      </c>
      <c r="E13" s="104"/>
      <c r="F13" s="105"/>
      <c r="G13" s="95">
        <f t="shared" si="2"/>
        <v>1</v>
      </c>
      <c r="H13" s="105" t="str">
        <f t="shared" si="3"/>
        <v>yanvar</v>
      </c>
      <c r="I13" s="95">
        <f t="shared" si="4"/>
        <v>0</v>
      </c>
      <c r="J13" s="107">
        <f t="shared" si="5"/>
        <v>1900</v>
      </c>
      <c r="K13" s="105" t="str">
        <f t="shared" si="6"/>
        <v>0 yanvar 1900 г.</v>
      </c>
      <c r="L13" s="104"/>
      <c r="M13" s="106"/>
      <c r="N13" s="104"/>
      <c r="P13">
        <f t="shared" si="1"/>
        <v>0</v>
      </c>
    </row>
    <row r="14" spans="1:23" ht="15" customHeight="1" x14ac:dyDescent="0.25">
      <c r="A14" s="102">
        <v>13</v>
      </c>
      <c r="D14" s="104" t="s">
        <v>251</v>
      </c>
      <c r="E14" s="104"/>
      <c r="F14" s="105"/>
      <c r="G14" s="95">
        <f t="shared" si="2"/>
        <v>1</v>
      </c>
      <c r="H14" s="105" t="str">
        <f t="shared" si="3"/>
        <v>yanvar</v>
      </c>
      <c r="I14" s="95">
        <f t="shared" si="4"/>
        <v>0</v>
      </c>
      <c r="J14" s="107">
        <f t="shared" si="5"/>
        <v>1900</v>
      </c>
      <c r="K14" s="105" t="str">
        <f t="shared" si="6"/>
        <v>0 yanvar 1900 г.</v>
      </c>
      <c r="L14" s="104"/>
      <c r="M14" s="106"/>
      <c r="N14" s="104"/>
      <c r="P14">
        <f t="shared" si="1"/>
        <v>0</v>
      </c>
    </row>
    <row r="15" spans="1:23" ht="15" customHeight="1" x14ac:dyDescent="0.25">
      <c r="A15" s="102">
        <v>14</v>
      </c>
      <c r="D15" s="104" t="s">
        <v>251</v>
      </c>
      <c r="E15" s="104"/>
      <c r="F15" s="105"/>
      <c r="G15" s="95">
        <f t="shared" si="2"/>
        <v>1</v>
      </c>
      <c r="H15" s="105" t="str">
        <f t="shared" si="3"/>
        <v>yanvar</v>
      </c>
      <c r="I15" s="95">
        <f t="shared" si="4"/>
        <v>0</v>
      </c>
      <c r="J15" s="107">
        <f t="shared" si="5"/>
        <v>1900</v>
      </c>
      <c r="K15" s="105" t="str">
        <f t="shared" si="6"/>
        <v>0 yanvar 1900 г.</v>
      </c>
      <c r="L15" s="104"/>
      <c r="M15" s="106"/>
      <c r="N15" s="104"/>
      <c r="P15">
        <f t="shared" si="1"/>
        <v>0</v>
      </c>
    </row>
    <row r="16" spans="1:23" ht="15" customHeight="1" x14ac:dyDescent="0.25">
      <c r="A16" s="102">
        <v>15</v>
      </c>
      <c r="D16" s="104" t="s">
        <v>251</v>
      </c>
      <c r="E16" s="104"/>
      <c r="F16" s="105"/>
      <c r="G16" s="95">
        <f t="shared" si="2"/>
        <v>1</v>
      </c>
      <c r="H16" s="105" t="str">
        <f t="shared" si="3"/>
        <v>yanvar</v>
      </c>
      <c r="I16" s="95">
        <f t="shared" si="4"/>
        <v>0</v>
      </c>
      <c r="J16" s="107">
        <f t="shared" si="5"/>
        <v>1900</v>
      </c>
      <c r="K16" s="105" t="str">
        <f t="shared" si="6"/>
        <v>0 yanvar 1900 г.</v>
      </c>
      <c r="L16" s="104"/>
      <c r="M16" s="106"/>
      <c r="N16" s="104"/>
      <c r="P16">
        <f t="shared" si="1"/>
        <v>0</v>
      </c>
    </row>
    <row r="17" spans="1:17" ht="15" customHeight="1" x14ac:dyDescent="0.25">
      <c r="A17" s="102">
        <v>16</v>
      </c>
      <c r="D17" s="104" t="s">
        <v>251</v>
      </c>
      <c r="E17" s="104"/>
      <c r="F17" s="105"/>
      <c r="G17" s="95">
        <f t="shared" si="2"/>
        <v>1</v>
      </c>
      <c r="H17" s="105" t="str">
        <f t="shared" si="3"/>
        <v>yanvar</v>
      </c>
      <c r="I17" s="95">
        <f t="shared" si="4"/>
        <v>0</v>
      </c>
      <c r="J17" s="107">
        <f t="shared" si="5"/>
        <v>1900</v>
      </c>
      <c r="K17" s="105" t="str">
        <f t="shared" si="6"/>
        <v>0 yanvar 1900 г.</v>
      </c>
      <c r="L17" s="104"/>
      <c r="M17" s="106"/>
      <c r="N17" s="104"/>
      <c r="P17">
        <f t="shared" si="1"/>
        <v>0</v>
      </c>
    </row>
    <row r="18" spans="1:17" ht="15" customHeight="1" x14ac:dyDescent="0.25">
      <c r="A18" s="102">
        <v>17</v>
      </c>
      <c r="D18" s="104" t="s">
        <v>251</v>
      </c>
      <c r="E18" s="104"/>
      <c r="F18" s="105"/>
      <c r="G18" s="95">
        <f t="shared" si="2"/>
        <v>1</v>
      </c>
      <c r="H18" s="105" t="str">
        <f t="shared" si="3"/>
        <v>yanvar</v>
      </c>
      <c r="I18" s="95">
        <f t="shared" si="4"/>
        <v>0</v>
      </c>
      <c r="J18" s="107">
        <f t="shared" si="5"/>
        <v>1900</v>
      </c>
      <c r="K18" s="105" t="str">
        <f t="shared" si="6"/>
        <v>0 yanvar 1900 г.</v>
      </c>
      <c r="L18" s="104"/>
      <c r="M18" s="106"/>
      <c r="N18" s="104"/>
      <c r="P18">
        <f t="shared" si="1"/>
        <v>0</v>
      </c>
    </row>
    <row r="19" spans="1:17" ht="15" customHeight="1" x14ac:dyDescent="0.25">
      <c r="A19" s="102">
        <v>18</v>
      </c>
      <c r="D19" s="104" t="s">
        <v>251</v>
      </c>
      <c r="E19" s="104"/>
      <c r="F19" s="105"/>
      <c r="G19" s="95">
        <f t="shared" si="2"/>
        <v>1</v>
      </c>
      <c r="H19" s="105" t="str">
        <f t="shared" si="3"/>
        <v>yanvar</v>
      </c>
      <c r="I19" s="95">
        <f t="shared" si="4"/>
        <v>0</v>
      </c>
      <c r="J19" s="107">
        <f t="shared" si="5"/>
        <v>1900</v>
      </c>
      <c r="K19" s="105" t="str">
        <f t="shared" si="6"/>
        <v>0 yanvar 1900 г.</v>
      </c>
      <c r="L19" s="104"/>
      <c r="M19" s="106"/>
      <c r="N19" s="104"/>
      <c r="P19">
        <f t="shared" si="1"/>
        <v>0</v>
      </c>
    </row>
    <row r="20" spans="1:17" ht="15" customHeight="1" x14ac:dyDescent="0.25">
      <c r="A20" s="102">
        <v>19</v>
      </c>
      <c r="D20" s="104" t="s">
        <v>251</v>
      </c>
      <c r="E20" s="104"/>
      <c r="F20" s="105"/>
      <c r="G20" s="95">
        <f t="shared" si="2"/>
        <v>1</v>
      </c>
      <c r="H20" s="105" t="str">
        <f t="shared" si="3"/>
        <v>yanvar</v>
      </c>
      <c r="I20" s="95">
        <f t="shared" si="4"/>
        <v>0</v>
      </c>
      <c r="J20" s="107">
        <f t="shared" si="5"/>
        <v>1900</v>
      </c>
      <c r="K20" s="105" t="str">
        <f t="shared" si="6"/>
        <v>0 yanvar 1900 г.</v>
      </c>
      <c r="L20" s="104"/>
      <c r="M20" s="106"/>
      <c r="N20" s="104"/>
      <c r="P20">
        <f t="shared" si="1"/>
        <v>0</v>
      </c>
    </row>
    <row r="21" spans="1:17" ht="15" customHeight="1" x14ac:dyDescent="0.25">
      <c r="A21" s="102">
        <v>20</v>
      </c>
      <c r="D21" s="104" t="s">
        <v>251</v>
      </c>
      <c r="E21" s="104"/>
      <c r="F21" s="105"/>
      <c r="G21" s="95">
        <f t="shared" si="2"/>
        <v>1</v>
      </c>
      <c r="H21" s="105" t="str">
        <f t="shared" si="3"/>
        <v>yanvar</v>
      </c>
      <c r="I21" s="95">
        <f t="shared" si="4"/>
        <v>0</v>
      </c>
      <c r="J21" s="107">
        <f t="shared" si="5"/>
        <v>1900</v>
      </c>
      <c r="K21" s="105" t="str">
        <f t="shared" si="6"/>
        <v>0 yanvar 1900 г.</v>
      </c>
      <c r="L21" s="104"/>
      <c r="M21" s="106"/>
      <c r="N21" s="104"/>
      <c r="P21">
        <f t="shared" si="1"/>
        <v>0</v>
      </c>
    </row>
    <row r="22" spans="1:17" x14ac:dyDescent="0.25">
      <c r="M22" s="110">
        <f>SUM(M2:M21)+malumot!B143</f>
        <v>95400000</v>
      </c>
      <c r="Q22" t="s">
        <v>250</v>
      </c>
    </row>
    <row r="23" spans="1:17" x14ac:dyDescent="0.25">
      <c r="A23" s="91"/>
      <c r="B23" s="92"/>
      <c r="C23" s="92"/>
      <c r="D23" s="92"/>
      <c r="E23" s="92"/>
      <c r="F23" s="92"/>
      <c r="G23" s="92"/>
      <c r="H23" s="92"/>
      <c r="I23" s="92"/>
      <c r="J23" s="92"/>
      <c r="K23" s="92"/>
      <c r="L23" s="92"/>
      <c r="M23" s="92"/>
      <c r="N23" s="92"/>
      <c r="O23" s="92"/>
    </row>
    <row r="24" spans="1:17" x14ac:dyDescent="0.25">
      <c r="A24" s="92"/>
      <c r="B24" s="92"/>
      <c r="C24" s="92"/>
      <c r="D24" s="92"/>
      <c r="E24" s="92"/>
      <c r="F24" s="92"/>
      <c r="G24" s="92"/>
      <c r="H24" s="92"/>
      <c r="I24" s="92"/>
      <c r="J24" s="92"/>
      <c r="K24" s="92"/>
      <c r="L24" s="92"/>
      <c r="M24" s="92"/>
      <c r="N24" s="92"/>
      <c r="O24" s="92"/>
    </row>
    <row r="25" spans="1:17" x14ac:dyDescent="0.25">
      <c r="A25" s="92">
        <f>MONTH(F2)</f>
        <v>1</v>
      </c>
      <c r="B25" s="92" t="str">
        <f>IF(A25=A26,A28,IF(A25=B26,B28,IF(A25=C26,C28,IF(A25=D26,D28,IF(A25=E26,E28,IF(A25=F26,F28,IF(A25=K26,K28,IF(A25=L26,L28,IF(A25=M26,M28,IF(A25=N26,N28,IF(A25=O26,O28,IF(A25=#REF!,#REF!,))))))))))))</f>
        <v>yanvar</v>
      </c>
      <c r="C25" s="92">
        <f>DAY(F2)</f>
        <v>11</v>
      </c>
      <c r="D25" s="92">
        <f>YEAR(F2)</f>
        <v>2021</v>
      </c>
      <c r="E25" s="92"/>
      <c r="F25" s="92"/>
      <c r="G25" s="92"/>
      <c r="H25" s="92"/>
      <c r="I25" s="92"/>
      <c r="J25" s="92"/>
      <c r="K25" s="92"/>
      <c r="L25" s="92"/>
      <c r="M25" s="92"/>
      <c r="N25" s="92"/>
      <c r="O25" s="92"/>
    </row>
    <row r="26" spans="1:17" x14ac:dyDescent="0.25">
      <c r="A26" s="92">
        <v>1</v>
      </c>
      <c r="B26" s="92">
        <v>2</v>
      </c>
      <c r="C26" s="92">
        <v>3</v>
      </c>
      <c r="D26" s="92">
        <v>4</v>
      </c>
      <c r="E26" s="92">
        <v>5</v>
      </c>
      <c r="F26" s="92">
        <v>6</v>
      </c>
      <c r="G26" s="92"/>
      <c r="H26" s="92"/>
      <c r="I26" s="92"/>
      <c r="J26" s="92"/>
      <c r="K26" s="92">
        <v>7</v>
      </c>
      <c r="L26" s="92">
        <v>8</v>
      </c>
      <c r="M26" s="92">
        <v>9</v>
      </c>
      <c r="N26" s="92">
        <v>10</v>
      </c>
      <c r="O26" s="92">
        <v>11</v>
      </c>
      <c r="P26" s="92">
        <v>12</v>
      </c>
    </row>
    <row r="27" spans="1:17" x14ac:dyDescent="0.25">
      <c r="A27" s="92"/>
      <c r="B27" s="92"/>
      <c r="C27" s="92"/>
      <c r="D27" s="92"/>
      <c r="E27" s="92"/>
      <c r="F27" s="92"/>
      <c r="G27" s="92"/>
      <c r="H27" s="92"/>
      <c r="I27" s="92"/>
      <c r="J27" s="92"/>
      <c r="K27" s="92"/>
      <c r="L27" s="92"/>
      <c r="M27" s="92"/>
      <c r="N27" s="92"/>
      <c r="O27" s="92"/>
    </row>
    <row r="28" spans="1:17" x14ac:dyDescent="0.25">
      <c r="A28" s="92" t="s">
        <v>115</v>
      </c>
      <c r="B28" s="92" t="s">
        <v>116</v>
      </c>
      <c r="C28" s="92" t="s">
        <v>105</v>
      </c>
      <c r="D28" s="92" t="s">
        <v>106</v>
      </c>
      <c r="E28" s="92" t="s">
        <v>107</v>
      </c>
      <c r="F28" s="92" t="s">
        <v>108</v>
      </c>
      <c r="G28" s="92"/>
      <c r="H28" s="92"/>
      <c r="I28" s="92"/>
      <c r="J28" s="92"/>
      <c r="K28" s="92" t="s">
        <v>22</v>
      </c>
      <c r="L28" s="92" t="s">
        <v>110</v>
      </c>
      <c r="M28" s="92" t="s">
        <v>249</v>
      </c>
      <c r="N28" s="92" t="s">
        <v>248</v>
      </c>
      <c r="O28" s="92" t="s">
        <v>113</v>
      </c>
      <c r="P28" s="92" t="s">
        <v>114</v>
      </c>
    </row>
    <row r="29" spans="1:17" x14ac:dyDescent="0.25">
      <c r="A29" s="92" t="s">
        <v>115</v>
      </c>
      <c r="B29" s="92" t="s">
        <v>116</v>
      </c>
      <c r="C29" s="92" t="s">
        <v>105</v>
      </c>
      <c r="D29" s="92" t="s">
        <v>106</v>
      </c>
      <c r="E29" s="92" t="s">
        <v>107</v>
      </c>
      <c r="F29" s="92" t="s">
        <v>108</v>
      </c>
      <c r="G29" s="92"/>
      <c r="H29" s="92"/>
      <c r="I29" s="92"/>
      <c r="J29" s="92"/>
      <c r="K29" s="92" t="s">
        <v>25</v>
      </c>
      <c r="L29" s="92" t="s">
        <v>110</v>
      </c>
      <c r="M29" s="92" t="s">
        <v>249</v>
      </c>
      <c r="N29" s="92" t="s">
        <v>248</v>
      </c>
      <c r="O29" s="92" t="s">
        <v>113</v>
      </c>
      <c r="P29" s="92" t="s">
        <v>114</v>
      </c>
    </row>
    <row r="30" spans="1:17" x14ac:dyDescent="0.25">
      <c r="A30" s="92"/>
      <c r="B30" s="92"/>
      <c r="C30" s="92"/>
      <c r="D30" s="92"/>
      <c r="E30" s="92"/>
      <c r="F30" s="92"/>
      <c r="G30" s="92"/>
      <c r="H30" s="92"/>
      <c r="I30" s="92"/>
      <c r="J30" s="92"/>
      <c r="K30" s="92"/>
      <c r="L30" s="93"/>
      <c r="M30" s="93"/>
      <c r="N30" s="93"/>
      <c r="O30" s="93"/>
    </row>
  </sheetData>
  <dataValidations count="1">
    <dataValidation type="list" allowBlank="1" showInputMessage="1" showErrorMessage="1" sqref="D2:D21">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x14ac:dyDescent="0.25"/>
  <cols>
    <col min="1" max="1" width="9.140625" style="13"/>
    <col min="2" max="2" width="10.140625" style="13" bestFit="1" customWidth="1"/>
    <col min="3" max="3" width="16.5703125" style="13" customWidth="1"/>
    <col min="4" max="4" width="17.140625" style="13" customWidth="1"/>
    <col min="5" max="5" width="17.85546875" style="13" customWidth="1"/>
    <col min="6" max="6" width="20.85546875" style="13" customWidth="1"/>
    <col min="7" max="7" width="10.140625" style="13" customWidth="1" outlineLevel="1"/>
    <col min="8" max="16384" width="9.140625" style="13"/>
  </cols>
  <sheetData>
    <row r="1" spans="1:8" x14ac:dyDescent="0.25">
      <c r="A1" s="34"/>
      <c r="B1" s="34"/>
      <c r="C1" s="34"/>
      <c r="D1" s="34"/>
      <c r="E1" s="306" t="s">
        <v>15</v>
      </c>
      <c r="F1" s="306"/>
    </row>
    <row r="2" spans="1:8" x14ac:dyDescent="0.25">
      <c r="A2" s="34"/>
      <c r="B2" s="34"/>
      <c r="C2" s="34"/>
      <c r="D2" s="34"/>
      <c r="E2" s="34"/>
      <c r="F2" s="35" t="str">
        <f>"к договору микрозайма "&amp;malumot!B74&amp;""</f>
        <v>к договору микрозайма 23 yanvar 2026 y.dan №195-BRS</v>
      </c>
    </row>
    <row r="3" spans="1:8" ht="6.75" customHeight="1" x14ac:dyDescent="0.25">
      <c r="A3" s="34"/>
      <c r="B3" s="34"/>
      <c r="C3" s="34"/>
      <c r="D3" s="34"/>
      <c r="E3" s="34"/>
      <c r="F3" s="34"/>
    </row>
    <row r="4" spans="1:8" x14ac:dyDescent="0.25">
      <c r="A4" s="307" t="s">
        <v>16</v>
      </c>
      <c r="B4" s="307"/>
      <c r="C4" s="307"/>
      <c r="D4" s="307"/>
      <c r="E4" s="307"/>
      <c r="F4" s="307"/>
    </row>
    <row r="5" spans="1:8" ht="7.5" customHeight="1" x14ac:dyDescent="0.25"/>
    <row r="6" spans="1:8" x14ac:dyDescent="0.25">
      <c r="A6" s="308" t="s">
        <v>14</v>
      </c>
      <c r="B6" s="309" t="s">
        <v>8</v>
      </c>
      <c r="C6" s="309" t="s">
        <v>9</v>
      </c>
      <c r="D6" s="310" t="s">
        <v>10</v>
      </c>
      <c r="E6" s="310"/>
      <c r="F6" s="310"/>
    </row>
    <row r="7" spans="1:8" s="14" customFormat="1" x14ac:dyDescent="0.25">
      <c r="A7" s="308"/>
      <c r="B7" s="309"/>
      <c r="C7" s="309"/>
      <c r="D7" s="15" t="s">
        <v>11</v>
      </c>
      <c r="E7" s="15" t="s">
        <v>12</v>
      </c>
      <c r="F7" s="15" t="s">
        <v>13</v>
      </c>
    </row>
    <row r="8" spans="1:8" x14ac:dyDescent="0.25">
      <c r="A8" s="16">
        <v>1</v>
      </c>
      <c r="B8" s="30">
        <f>'График дифференц'!B8</f>
        <v>46058</v>
      </c>
      <c r="C8" s="31">
        <f>malumot!B76</f>
        <v>50000000</v>
      </c>
      <c r="D8" s="31">
        <f>IF(A8&lt;malumot!$B$82,'График аннуитет.'!F8-'График аннуитет.'!E8,'График аннуитет.'!C8)</f>
        <v>2372716.96</v>
      </c>
      <c r="E8" s="31">
        <f>ROUND(C8*malumot!$B$85/H8,2)*'График аннуитет.'!G8</f>
        <v>979452.11</v>
      </c>
      <c r="F8" s="31">
        <f>malumot!B91</f>
        <v>3352169.07</v>
      </c>
      <c r="G8" s="13">
        <f>B8-malumot!B67</f>
        <v>13</v>
      </c>
      <c r="H8" s="13">
        <f>DATE(YEAR(B8),12,31)-DATE(YEAR(B8),1,1)+1</f>
        <v>365</v>
      </c>
    </row>
    <row r="9" spans="1:8" x14ac:dyDescent="0.25">
      <c r="A9" s="16">
        <v>2</v>
      </c>
      <c r="B9" s="30">
        <f>'График дифференц'!B9</f>
        <v>46086</v>
      </c>
      <c r="C9" s="31">
        <f t="shared" ref="C9:C30" si="0">C8-D8</f>
        <v>47627283.039999999</v>
      </c>
      <c r="D9" s="31">
        <f>IF(A9&lt;malumot!$B$82,'График аннуитет.'!F9-'График аннуитет.'!E9,'График аннуитет.'!C9)</f>
        <v>1342689.15</v>
      </c>
      <c r="E9" s="31">
        <f>ROUND(C9*malumot!$B$85/H9,2)*'График аннуитет.'!G9</f>
        <v>2009479.92</v>
      </c>
      <c r="F9" s="31">
        <f>IF(A9&lt;malumot!$B$82,'График аннуитет.'!F8,'График аннуитет.'!D9+'График аннуитет.'!E9)</f>
        <v>3352169.07</v>
      </c>
      <c r="G9" s="13">
        <f>B9-B8</f>
        <v>28</v>
      </c>
      <c r="H9" s="13">
        <f t="shared" ref="H9:H31" si="1">DATE(YEAR(B9),12,31)-DATE(YEAR(B9),1,1)+1</f>
        <v>365</v>
      </c>
    </row>
    <row r="10" spans="1:8" x14ac:dyDescent="0.25">
      <c r="A10" s="16">
        <v>3</v>
      </c>
      <c r="B10" s="30">
        <f>'График дифференц'!B10</f>
        <v>46118</v>
      </c>
      <c r="C10" s="31">
        <f t="shared" si="0"/>
        <v>46284593.890000001</v>
      </c>
      <c r="D10" s="31">
        <f>IF(A10&lt;malumot!$B$82,'График аннуитет.'!F10-'График аннуитет.'!E10,'График аннуитет.'!C10)</f>
        <v>1120363.9499999997</v>
      </c>
      <c r="E10" s="31">
        <f>ROUND(C10*malumot!$B$85/H10,2)*'График аннуитет.'!G10</f>
        <v>2231805.12</v>
      </c>
      <c r="F10" s="31">
        <f>IF(A10&lt;malumot!$B$82,'График аннуитет.'!F9,'График аннуитет.'!D10+'График аннуитет.'!E10)</f>
        <v>3352169.07</v>
      </c>
      <c r="G10" s="13">
        <f t="shared" ref="G10:G24" si="2">B10-B9</f>
        <v>32</v>
      </c>
      <c r="H10" s="13">
        <f t="shared" si="1"/>
        <v>365</v>
      </c>
    </row>
    <row r="11" spans="1:8" x14ac:dyDescent="0.25">
      <c r="A11" s="16">
        <v>4</v>
      </c>
      <c r="B11" s="30">
        <f>'График дифференц'!B11</f>
        <v>46147</v>
      </c>
      <c r="C11" s="31">
        <f t="shared" si="0"/>
        <v>45164229.939999998</v>
      </c>
      <c r="D11" s="31">
        <f>IF(A11&lt;malumot!$B$82,'График аннуитет.'!F11-'График аннуитет.'!E11,'График аннуитет.'!C11)</f>
        <v>1378554.0599999998</v>
      </c>
      <c r="E11" s="31">
        <f>ROUND(C11*malumot!$B$85/H11,2)*'График аннуитет.'!G11</f>
        <v>1973615.01</v>
      </c>
      <c r="F11" s="31">
        <f>IF(A11&lt;malumot!$B$82,'График аннуитет.'!F10,'График аннуитет.'!D11+'График аннуитет.'!E11)</f>
        <v>3352169.07</v>
      </c>
      <c r="G11" s="13">
        <f t="shared" si="2"/>
        <v>29</v>
      </c>
      <c r="H11" s="13">
        <f t="shared" si="1"/>
        <v>365</v>
      </c>
    </row>
    <row r="12" spans="1:8" x14ac:dyDescent="0.25">
      <c r="A12" s="16">
        <v>5</v>
      </c>
      <c r="B12" s="30">
        <f>'График дифференц'!B12</f>
        <v>46178</v>
      </c>
      <c r="C12" s="31">
        <f t="shared" si="0"/>
        <v>43785675.879999995</v>
      </c>
      <c r="D12" s="31">
        <f>IF(A12&lt;malumot!$B$82,'График аннуитет.'!F12-'График аннуитет.'!E12,'График аннуитет.'!C12)</f>
        <v>1306838.0499999998</v>
      </c>
      <c r="E12" s="31">
        <f>ROUND(C12*malumot!$B$85/H12,2)*'График аннуитет.'!G12</f>
        <v>2045331.02</v>
      </c>
      <c r="F12" s="31">
        <f>IF(A12&lt;malumot!$B$82,'График аннуитет.'!F11,'График аннуитет.'!D12+'График аннуитет.'!E12)</f>
        <v>3352169.07</v>
      </c>
      <c r="G12" s="13">
        <f t="shared" si="2"/>
        <v>31</v>
      </c>
      <c r="H12" s="13">
        <f t="shared" si="1"/>
        <v>365</v>
      </c>
    </row>
    <row r="13" spans="1:8" x14ac:dyDescent="0.25">
      <c r="A13" s="16">
        <v>6</v>
      </c>
      <c r="B13" s="30">
        <f>'График дифференц'!B13</f>
        <v>46209</v>
      </c>
      <c r="C13" s="31">
        <f t="shared" si="0"/>
        <v>42478837.829999998</v>
      </c>
      <c r="D13" s="31">
        <f>IF(A13&lt;malumot!$B$82,'График аннуитет.'!F13-'График аннуитет.'!E13,'График аннуитет.'!C13)</f>
        <v>1367883.5599999998</v>
      </c>
      <c r="E13" s="31">
        <f>ROUND(C13*malumot!$B$85/H13,2)*'График аннуитет.'!G13</f>
        <v>1984285.51</v>
      </c>
      <c r="F13" s="31">
        <f>IF(A13&lt;malumot!$B$82,'График аннуитет.'!F12,'График аннуитет.'!D13+'График аннуитет.'!E13)</f>
        <v>3352169.07</v>
      </c>
      <c r="G13" s="13">
        <f t="shared" si="2"/>
        <v>31</v>
      </c>
      <c r="H13" s="13">
        <f t="shared" si="1"/>
        <v>365</v>
      </c>
    </row>
    <row r="14" spans="1:8" x14ac:dyDescent="0.25">
      <c r="A14" s="16">
        <v>7</v>
      </c>
      <c r="B14" s="30">
        <f>'График дифференц'!B14</f>
        <v>46239</v>
      </c>
      <c r="C14" s="31">
        <f t="shared" si="0"/>
        <v>41110954.269999996</v>
      </c>
      <c r="D14" s="31">
        <f>IF(A14&lt;malumot!$B$82,'График аннуитет.'!F14-'График аннуитет.'!E14,'График аннуитет.'!C14)</f>
        <v>1493728.7699999998</v>
      </c>
      <c r="E14" s="31">
        <f>ROUND(C14*malumot!$B$85/H14,2)*'График аннуитет.'!G14</f>
        <v>1858440.3</v>
      </c>
      <c r="F14" s="31">
        <f>IF(A14&lt;malumot!$B$82,'График аннуитет.'!F13,'График аннуитет.'!D14+'График аннуитет.'!E14)</f>
        <v>3352169.07</v>
      </c>
      <c r="G14" s="13">
        <f t="shared" si="2"/>
        <v>30</v>
      </c>
      <c r="H14" s="13">
        <f t="shared" si="1"/>
        <v>365</v>
      </c>
    </row>
    <row r="15" spans="1:8" x14ac:dyDescent="0.25">
      <c r="A15" s="16">
        <v>8</v>
      </c>
      <c r="B15" s="30">
        <f>'График дифференц'!B15</f>
        <v>46272</v>
      </c>
      <c r="C15" s="31">
        <f t="shared" si="0"/>
        <v>39617225.499999993</v>
      </c>
      <c r="D15" s="31">
        <f>IF(A15&lt;malumot!$B$82,'График аннуитет.'!F15-'График аннуитет.'!E15,'График аннуитет.'!C15)</f>
        <v>1382161.7999999998</v>
      </c>
      <c r="E15" s="31">
        <f>ROUND(C15*malumot!$B$85/H15,2)*'График аннуитет.'!G15</f>
        <v>1970007.27</v>
      </c>
      <c r="F15" s="31">
        <f>IF(A15&lt;malumot!$B$82,'График аннуитет.'!F14,'График аннуитет.'!D15+'График аннуитет.'!E15)</f>
        <v>3352169.07</v>
      </c>
      <c r="G15" s="13">
        <f t="shared" si="2"/>
        <v>33</v>
      </c>
      <c r="H15" s="13">
        <f t="shared" si="1"/>
        <v>365</v>
      </c>
    </row>
    <row r="16" spans="1:8" x14ac:dyDescent="0.25">
      <c r="A16" s="16">
        <v>9</v>
      </c>
      <c r="B16" s="30">
        <f>'График дифференц'!B16</f>
        <v>46300</v>
      </c>
      <c r="C16" s="31">
        <f t="shared" si="0"/>
        <v>38235063.699999996</v>
      </c>
      <c r="D16" s="31">
        <f>IF(A16&lt;malumot!$B$82,'График аннуитет.'!F16-'График аннуитет.'!E16,'График аннуитет.'!C16)</f>
        <v>1738963.6299999997</v>
      </c>
      <c r="E16" s="31">
        <f>ROUND(C16*malumot!$B$85/H16,2)*'График аннуитет.'!G16</f>
        <v>1613205.4400000002</v>
      </c>
      <c r="F16" s="31">
        <f>IF(A16&lt;malumot!$B$82,'График аннуитет.'!F15,'График аннуитет.'!D16+'График аннуитет.'!E16)</f>
        <v>3352169.07</v>
      </c>
      <c r="G16" s="13">
        <f t="shared" si="2"/>
        <v>28</v>
      </c>
      <c r="H16" s="13">
        <f t="shared" si="1"/>
        <v>365</v>
      </c>
    </row>
    <row r="17" spans="1:8" x14ac:dyDescent="0.25">
      <c r="A17" s="16">
        <v>10</v>
      </c>
      <c r="B17" s="30">
        <f>'График дифференц'!B17</f>
        <v>46331</v>
      </c>
      <c r="C17" s="31">
        <f t="shared" si="0"/>
        <v>36496100.069999993</v>
      </c>
      <c r="D17" s="31">
        <f>IF(A17&lt;malumot!$B$82,'График аннуитет.'!F17-'График аннуитет.'!E17,'График аннуитет.'!C17)</f>
        <v>1647351.3499999999</v>
      </c>
      <c r="E17" s="31">
        <f>ROUND(C17*malumot!$B$85/H17,2)*'График аннуитет.'!G17</f>
        <v>1704817.72</v>
      </c>
      <c r="F17" s="31">
        <f>IF(A17&lt;malumot!$B$82,'График аннуитет.'!F16,'График аннуитет.'!D17+'График аннуитет.'!E17)</f>
        <v>3352169.07</v>
      </c>
      <c r="G17" s="13">
        <f t="shared" si="2"/>
        <v>31</v>
      </c>
      <c r="H17" s="13">
        <f t="shared" si="1"/>
        <v>365</v>
      </c>
    </row>
    <row r="18" spans="1:8" x14ac:dyDescent="0.25">
      <c r="A18" s="16">
        <v>11</v>
      </c>
      <c r="B18" s="30">
        <f>'График дифференц'!B18</f>
        <v>46363</v>
      </c>
      <c r="C18" s="31">
        <f t="shared" si="0"/>
        <v>34848748.719999991</v>
      </c>
      <c r="D18" s="31">
        <f>IF(A18&lt;malumot!$B$82,'График аннуитет.'!F18-'График аннуитет.'!E18,'График аннуитет.'!C18)</f>
        <v>1671791.15</v>
      </c>
      <c r="E18" s="31">
        <f>ROUND(C18*malumot!$B$85/H18,2)*'График аннуитет.'!G18</f>
        <v>1680377.92</v>
      </c>
      <c r="F18" s="31">
        <f>IF(A18&lt;malumot!$B$82,'График аннуитет.'!F17,'График аннуитет.'!D18+'График аннуитет.'!E18)</f>
        <v>3352169.07</v>
      </c>
      <c r="G18" s="13">
        <f t="shared" si="2"/>
        <v>32</v>
      </c>
      <c r="H18" s="13">
        <f t="shared" si="1"/>
        <v>365</v>
      </c>
    </row>
    <row r="19" spans="1:8" x14ac:dyDescent="0.25">
      <c r="A19" s="16">
        <v>12</v>
      </c>
      <c r="B19" s="30">
        <f>'График дифференц'!B19</f>
        <v>46392</v>
      </c>
      <c r="C19" s="31">
        <f t="shared" si="0"/>
        <v>33176957.569999993</v>
      </c>
      <c r="D19" s="31">
        <f>IF(A19&lt;malumot!$B$82,'График аннуитет.'!F19-'График аннуитет.'!E19,'График аннуитет.'!C19)</f>
        <v>1902381.3499999999</v>
      </c>
      <c r="E19" s="31">
        <f>ROUND(C19*malumot!$B$85/H19,2)*'График аннуитет.'!G19</f>
        <v>1449787.72</v>
      </c>
      <c r="F19" s="31">
        <f>IF(A19&lt;malumot!$B$82,'График аннуитет.'!F18,'График аннуитет.'!D19+'График аннуитет.'!E19)</f>
        <v>3352169.07</v>
      </c>
      <c r="G19" s="13">
        <f>B19-B18</f>
        <v>29</v>
      </c>
      <c r="H19" s="13">
        <f t="shared" si="1"/>
        <v>365</v>
      </c>
    </row>
    <row r="20" spans="1:8" x14ac:dyDescent="0.25">
      <c r="A20" s="16">
        <v>13</v>
      </c>
      <c r="B20" s="30">
        <f>'График дифференц'!B20</f>
        <v>46423</v>
      </c>
      <c r="C20" s="31">
        <f t="shared" si="0"/>
        <v>31274576.219999991</v>
      </c>
      <c r="D20" s="31">
        <f>IF(A20&lt;malumot!$B$82,'График аннуитет.'!F20-'График аннуитет.'!E20,'График аннуитет.'!C20)</f>
        <v>1891260.9</v>
      </c>
      <c r="E20" s="31">
        <f>ROUND(C20*malumot!$B$85/H20,2)*'График аннуитет.'!G20</f>
        <v>1460908.17</v>
      </c>
      <c r="F20" s="31">
        <f>IF(A20&lt;malumot!$B$82,'График аннуитет.'!F19,'График аннуитет.'!D20+'График аннуитет.'!E20)</f>
        <v>3352169.07</v>
      </c>
      <c r="G20" s="13">
        <f t="shared" si="2"/>
        <v>31</v>
      </c>
      <c r="H20" s="13">
        <f t="shared" si="1"/>
        <v>365</v>
      </c>
    </row>
    <row r="21" spans="1:8" x14ac:dyDescent="0.25">
      <c r="A21" s="16">
        <v>14</v>
      </c>
      <c r="B21" s="30">
        <f>'График дифференц'!B21</f>
        <v>46451</v>
      </c>
      <c r="C21" s="31">
        <f t="shared" si="0"/>
        <v>29383315.319999993</v>
      </c>
      <c r="D21" s="31">
        <f>IF(A21&lt;malumot!$B$82,'График аннуитет.'!F21-'График аннуитет.'!E21,'График аннуитет.'!C21)</f>
        <v>2112434.63</v>
      </c>
      <c r="E21" s="31">
        <f>ROUND(C21*malumot!$B$85/H21,2)*'График аннуитет.'!G21</f>
        <v>1239734.4400000002</v>
      </c>
      <c r="F21" s="31">
        <f>IF(A21&lt;malumot!$B$82,'График аннуитет.'!F20,'График аннуитет.'!D21+'График аннуитет.'!E21)</f>
        <v>3352169.07</v>
      </c>
      <c r="G21" s="13">
        <f t="shared" si="2"/>
        <v>28</v>
      </c>
      <c r="H21" s="13">
        <f t="shared" si="1"/>
        <v>365</v>
      </c>
    </row>
    <row r="22" spans="1:8" x14ac:dyDescent="0.25">
      <c r="A22" s="16">
        <v>15</v>
      </c>
      <c r="B22" s="30">
        <f>'График дифференц'!B22</f>
        <v>46482</v>
      </c>
      <c r="C22" s="31">
        <f t="shared" si="0"/>
        <v>27270880.689999994</v>
      </c>
      <c r="D22" s="31">
        <f>IF(A22&lt;malumot!$B$82,'График аннуитет.'!F22-'График аннуитет.'!E22,'График аннуитет.'!C22)</f>
        <v>2078282.66</v>
      </c>
      <c r="E22" s="31">
        <f>ROUND(C22*malumot!$B$85/H22,2)*'График аннуитет.'!G22</f>
        <v>1273886.4099999999</v>
      </c>
      <c r="F22" s="31">
        <f>IF(A22&lt;malumot!$B$82,'График аннуитет.'!F21,'График аннуитет.'!D22+'График аннуитет.'!E22)</f>
        <v>3352169.07</v>
      </c>
      <c r="G22" s="13">
        <f t="shared" si="2"/>
        <v>31</v>
      </c>
      <c r="H22" s="13">
        <f t="shared" si="1"/>
        <v>365</v>
      </c>
    </row>
    <row r="23" spans="1:8" x14ac:dyDescent="0.25">
      <c r="A23" s="16">
        <v>16</v>
      </c>
      <c r="B23" s="30">
        <f>'График дифференц'!B23</f>
        <v>46512</v>
      </c>
      <c r="C23" s="31">
        <f t="shared" si="0"/>
        <v>25192598.029999994</v>
      </c>
      <c r="D23" s="31">
        <f>IF(A23&lt;malumot!$B$82,'График аннуитет.'!F23-'График аннуитет.'!E23,'График аннуитет.'!C23)</f>
        <v>2213325.5699999998</v>
      </c>
      <c r="E23" s="31">
        <f>ROUND(C23*malumot!$B$85/H23,2)*'График аннуитет.'!G23</f>
        <v>1138843.5</v>
      </c>
      <c r="F23" s="31">
        <f>IF(A23&lt;malumot!$B$82,'График аннуитет.'!F22,'График аннуитет.'!D23+'График аннуитет.'!E23)</f>
        <v>3352169.07</v>
      </c>
      <c r="G23" s="13">
        <f t="shared" si="2"/>
        <v>30</v>
      </c>
      <c r="H23" s="13">
        <f t="shared" si="1"/>
        <v>365</v>
      </c>
    </row>
    <row r="24" spans="1:8" x14ac:dyDescent="0.25">
      <c r="A24" s="16">
        <v>17</v>
      </c>
      <c r="B24" s="30">
        <f>'График дифференц'!B24</f>
        <v>46545</v>
      </c>
      <c r="C24" s="31">
        <f t="shared" si="0"/>
        <v>22979272.459999993</v>
      </c>
      <c r="D24" s="31">
        <f>IF(A24&lt;malumot!$B$82,'График аннуитет.'!F24-'График аннуитет.'!E24,'График аннуитет.'!C24)</f>
        <v>2209501.17</v>
      </c>
      <c r="E24" s="31">
        <f>ROUND(C24*malumot!$B$85/H24,2)*'График аннуитет.'!G24</f>
        <v>1142667.9000000001</v>
      </c>
      <c r="F24" s="31">
        <f>IF(A24&lt;malumot!$B$82,'График аннуитет.'!F23,'График аннуитет.'!D24+'График аннуитет.'!E24)</f>
        <v>3352169.07</v>
      </c>
      <c r="G24" s="13">
        <f t="shared" si="2"/>
        <v>33</v>
      </c>
      <c r="H24" s="13">
        <f t="shared" si="1"/>
        <v>365</v>
      </c>
    </row>
    <row r="25" spans="1:8" x14ac:dyDescent="0.25">
      <c r="A25" s="16">
        <v>18</v>
      </c>
      <c r="B25" s="30">
        <f>'График дифференц'!B25</f>
        <v>46573</v>
      </c>
      <c r="C25" s="31">
        <f t="shared" si="0"/>
        <v>20769771.289999992</v>
      </c>
      <c r="D25" s="31">
        <f>IF(A25&lt;malumot!$B$82,'График аннуитет.'!F25-'График аннуитет.'!E25,'График аннуитет.'!C25)</f>
        <v>2475855.3099999996</v>
      </c>
      <c r="E25" s="31">
        <f>ROUND(C25*malumot!$B$85/H25,2)*'График аннуитет.'!G25</f>
        <v>876313.76</v>
      </c>
      <c r="F25" s="31">
        <f>IF(A25&lt;malumot!$B$82,'График аннуитет.'!F24,'График аннуитет.'!D25+'График аннуитет.'!E25)</f>
        <v>3352169.07</v>
      </c>
      <c r="G25" s="13">
        <f>B25-B24</f>
        <v>28</v>
      </c>
      <c r="H25" s="13">
        <f t="shared" si="1"/>
        <v>365</v>
      </c>
    </row>
    <row r="26" spans="1:8" x14ac:dyDescent="0.25">
      <c r="A26" s="16">
        <v>19</v>
      </c>
      <c r="B26" s="30">
        <f>'График дифференц'!B26</f>
        <v>46604</v>
      </c>
      <c r="C26" s="31">
        <f t="shared" si="0"/>
        <v>18293915.979999993</v>
      </c>
      <c r="D26" s="31">
        <f>IF(A26&lt;malumot!$B$82,'График аннуитет.'!F26-'График аннуитет.'!E26,'График аннуитет.'!C26)</f>
        <v>2497617.7999999998</v>
      </c>
      <c r="E26" s="31">
        <f>ROUND(C26*malumot!$B$85/H26,2)*'График аннуитет.'!G26</f>
        <v>854551.2699999999</v>
      </c>
      <c r="F26" s="31">
        <f>IF(A26&lt;malumot!$B$82,'График аннуитет.'!F25,'График аннуитет.'!D26+'График аннуитет.'!E26)</f>
        <v>3352169.07</v>
      </c>
      <c r="G26" s="13">
        <f t="shared" ref="G26:G30" si="3">B26-B25</f>
        <v>31</v>
      </c>
      <c r="H26" s="13">
        <f t="shared" si="1"/>
        <v>365</v>
      </c>
    </row>
    <row r="27" spans="1:8" x14ac:dyDescent="0.25">
      <c r="A27" s="16">
        <v>20</v>
      </c>
      <c r="B27" s="30">
        <f>'График дифференц'!B27</f>
        <v>46636</v>
      </c>
      <c r="C27" s="31">
        <f t="shared" si="0"/>
        <v>15796298.179999992</v>
      </c>
      <c r="D27" s="31">
        <f>IF(A27&lt;malumot!$B$82,'График аннуитет.'!F27-'График аннуитет.'!E27,'График аннуитет.'!C27)</f>
        <v>2590484.59</v>
      </c>
      <c r="E27" s="31">
        <f>ROUND(C27*malumot!$B$85/H27,2)*'График аннуитет.'!G27</f>
        <v>761684.47999999998</v>
      </c>
      <c r="F27" s="31">
        <f>IF(A27&lt;malumot!$B$82,'График аннуитет.'!F26,'График аннуитет.'!D27+'График аннуитет.'!E27)</f>
        <v>3352169.07</v>
      </c>
      <c r="G27" s="13">
        <f t="shared" si="3"/>
        <v>32</v>
      </c>
      <c r="H27" s="13">
        <f t="shared" si="1"/>
        <v>365</v>
      </c>
    </row>
    <row r="28" spans="1:8" x14ac:dyDescent="0.25">
      <c r="A28" s="16">
        <v>21</v>
      </c>
      <c r="B28" s="30">
        <f>'График дифференц'!B28</f>
        <v>46665</v>
      </c>
      <c r="C28" s="31">
        <f t="shared" si="0"/>
        <v>13205813.589999992</v>
      </c>
      <c r="D28" s="31">
        <f>IF(A28&lt;malumot!$B$82,'График аннуитет.'!F28-'График аннуитет.'!E28,'График аннуитет.'!C28)</f>
        <v>2775093.1399999997</v>
      </c>
      <c r="E28" s="31">
        <f>ROUND(C28*malumot!$B$85/H28,2)*'График аннуитет.'!G28</f>
        <v>577075.92999999993</v>
      </c>
      <c r="F28" s="31">
        <f>IF(A28&lt;malumot!$B$82,'График аннуитет.'!F27,'График аннуитет.'!D28+'График аннуитет.'!E28)</f>
        <v>3352169.07</v>
      </c>
      <c r="G28" s="13">
        <f t="shared" si="3"/>
        <v>29</v>
      </c>
      <c r="H28" s="13">
        <f t="shared" si="1"/>
        <v>365</v>
      </c>
    </row>
    <row r="29" spans="1:8" x14ac:dyDescent="0.25">
      <c r="A29" s="16">
        <v>22</v>
      </c>
      <c r="B29" s="30">
        <f>'График дифференц'!B29</f>
        <v>46696</v>
      </c>
      <c r="C29" s="31">
        <f t="shared" si="0"/>
        <v>10430720.449999992</v>
      </c>
      <c r="D29" s="31">
        <f>IF(A29&lt;malumot!$B$82,'График аннуитет.'!F29-'График аннуитет.'!E29,'График аннуитет.'!C29)</f>
        <v>2864925.9499999997</v>
      </c>
      <c r="E29" s="31">
        <f>ROUND(C29*malumot!$B$85/H29,2)*'График аннуитет.'!G29</f>
        <v>487243.12</v>
      </c>
      <c r="F29" s="31">
        <f>IF(A29&lt;malumot!$B$82,'График аннуитет.'!F28,'График аннуитет.'!D29+'График аннуитет.'!E29)</f>
        <v>3352169.07</v>
      </c>
      <c r="G29" s="13">
        <f t="shared" si="3"/>
        <v>31</v>
      </c>
      <c r="H29" s="13">
        <f t="shared" si="1"/>
        <v>365</v>
      </c>
    </row>
    <row r="30" spans="1:8" x14ac:dyDescent="0.25">
      <c r="A30" s="16">
        <v>23</v>
      </c>
      <c r="B30" s="30">
        <f>'График дифференц'!B30</f>
        <v>46727</v>
      </c>
      <c r="C30" s="31">
        <f t="shared" si="0"/>
        <v>7565794.4999999925</v>
      </c>
      <c r="D30" s="31">
        <f>IF(A30&lt;malumot!$B$82,'График аннуитет.'!F30-'График аннуитет.'!E30,'График аннуитет.'!C30)</f>
        <v>2998753.26</v>
      </c>
      <c r="E30" s="31">
        <f>ROUND(C30*malumot!$B$85/H30,2)*'График аннуитет.'!G30</f>
        <v>353415.81</v>
      </c>
      <c r="F30" s="31">
        <f>IF(A30&lt;malumot!$B$82,'График аннуитет.'!F29,'График аннуитет.'!D30+'График аннуитет.'!E30)</f>
        <v>3352169.07</v>
      </c>
      <c r="G30" s="13">
        <f t="shared" si="3"/>
        <v>31</v>
      </c>
      <c r="H30" s="13">
        <f t="shared" si="1"/>
        <v>365</v>
      </c>
    </row>
    <row r="31" spans="1:8" x14ac:dyDescent="0.25">
      <c r="A31" s="16">
        <v>24</v>
      </c>
      <c r="B31" s="30">
        <f>'График дифференц'!B31</f>
        <v>46757</v>
      </c>
      <c r="C31" s="31">
        <f t="shared" ref="C31" si="4">C30-D30</f>
        <v>4567041.2399999928</v>
      </c>
      <c r="D31" s="31">
        <f>IF(A31&lt;malumot!$B$82,'График аннуитет.'!F31-'График аннуитет.'!E31,'График аннуитет.'!C31)</f>
        <v>3146277.8699999996</v>
      </c>
      <c r="E31" s="31">
        <f>ROUND(C31*malumot!$B$85/H31,2)*'График аннуитет.'!G31</f>
        <v>205891.20000000001</v>
      </c>
      <c r="F31" s="31">
        <f>IF(A31&lt;malumot!$B$82,'График аннуитет.'!F30,'График аннуитет.'!D31+'График аннуитет.'!E31)</f>
        <v>3352169.07</v>
      </c>
      <c r="G31" s="13">
        <f>B31-B30</f>
        <v>30</v>
      </c>
      <c r="H31" s="13">
        <f t="shared" si="1"/>
        <v>366</v>
      </c>
    </row>
    <row r="32" spans="1:8" x14ac:dyDescent="0.25">
      <c r="A32" s="16">
        <f>1+A31</f>
        <v>25</v>
      </c>
      <c r="B32" s="30">
        <f>'График дифференц'!B32</f>
        <v>46790</v>
      </c>
      <c r="C32" s="31">
        <f t="shared" ref="C32:C43" si="5">C31-D31</f>
        <v>1420763.3699999931</v>
      </c>
      <c r="D32" s="31">
        <f>IF(A32&lt;malumot!$B$82,'График аннуитет.'!F32-'График аннуитет.'!E32,'График аннуитет.'!C32)</f>
        <v>3281713.0799999996</v>
      </c>
      <c r="E32" s="31">
        <f>ROUND(C32*malumot!$B$85/H32,2)*'График аннуитет.'!G32</f>
        <v>70455.990000000005</v>
      </c>
      <c r="F32" s="31">
        <f>IF(A32&lt;malumot!$B$82,'График аннуитет.'!F31,'График аннуитет.'!D32+'График аннуитет.'!E32)</f>
        <v>3352169.07</v>
      </c>
      <c r="G32" s="13">
        <f t="shared" ref="G32:G43" si="6">B32-B31</f>
        <v>33</v>
      </c>
      <c r="H32" s="13">
        <f t="shared" ref="H32:H43" si="7">DATE(YEAR(B32),12,31)-DATE(YEAR(B32),1,1)+1</f>
        <v>366</v>
      </c>
    </row>
    <row r="33" spans="1:8" x14ac:dyDescent="0.25">
      <c r="A33" s="16">
        <f t="shared" ref="A33:A55" si="8">1+A32</f>
        <v>26</v>
      </c>
      <c r="B33" s="30">
        <f>'График дифференц'!B33</f>
        <v>46818</v>
      </c>
      <c r="C33" s="31">
        <f t="shared" si="5"/>
        <v>-1860949.7100000065</v>
      </c>
      <c r="D33" s="31">
        <f>IF(A33&lt;malumot!$B$82,'График аннуитет.'!F33-'График аннуитет.'!E33,'График аннуитет.'!C33)</f>
        <v>3430471.3499999996</v>
      </c>
      <c r="E33" s="31">
        <f>ROUND(C33*malumot!$B$85/H33,2)*'График аннуитет.'!G33</f>
        <v>-78302.28</v>
      </c>
      <c r="F33" s="31">
        <f>IF(A33&lt;malumot!$B$82,'График аннуитет.'!F32,'График аннуитет.'!D33+'График аннуитет.'!E33)</f>
        <v>3352169.07</v>
      </c>
      <c r="G33" s="13">
        <f t="shared" si="6"/>
        <v>28</v>
      </c>
      <c r="H33" s="13">
        <f t="shared" si="7"/>
        <v>366</v>
      </c>
    </row>
    <row r="34" spans="1:8" x14ac:dyDescent="0.25">
      <c r="A34" s="16">
        <f t="shared" si="8"/>
        <v>27</v>
      </c>
      <c r="B34" s="30">
        <f>'График дифференц'!B34</f>
        <v>46848</v>
      </c>
      <c r="C34" s="31">
        <f t="shared" si="5"/>
        <v>-5291421.0600000061</v>
      </c>
      <c r="D34" s="31">
        <f>IF(A34&lt;malumot!$B$82,'График аннуитет.'!F34-'График аннуитет.'!E34,'График аннуитет.'!C34)</f>
        <v>3590716.77</v>
      </c>
      <c r="E34" s="31">
        <f>ROUND(C34*malumot!$B$85/H34,2)*'График аннуитет.'!G34</f>
        <v>-238547.7</v>
      </c>
      <c r="F34" s="31">
        <f>IF(A34&lt;malumot!$B$82,'График аннуитет.'!F33,'График аннуитет.'!D34+'График аннуитет.'!E34)</f>
        <v>3352169.07</v>
      </c>
      <c r="G34" s="13">
        <f t="shared" si="6"/>
        <v>30</v>
      </c>
      <c r="H34" s="13">
        <f t="shared" si="7"/>
        <v>366</v>
      </c>
    </row>
    <row r="35" spans="1:8" x14ac:dyDescent="0.25">
      <c r="A35" s="16">
        <f t="shared" si="8"/>
        <v>28</v>
      </c>
      <c r="B35" s="30">
        <f>'График дифференц'!B35</f>
        <v>46878</v>
      </c>
      <c r="C35" s="31">
        <f t="shared" si="5"/>
        <v>-8882137.8300000057</v>
      </c>
      <c r="D35" s="31">
        <f>IF(A35&lt;malumot!$B$82,'График аннуитет.'!F35-'График аннуитет.'!E35,'График аннуитет.'!C35)</f>
        <v>3752593.17</v>
      </c>
      <c r="E35" s="31">
        <f>ROUND(C35*malumot!$B$85/H35,2)*'График аннуитет.'!G35</f>
        <v>-400424.1</v>
      </c>
      <c r="F35" s="31">
        <f>IF(A35&lt;malumot!$B$82,'График аннуитет.'!F34,'График аннуитет.'!D35+'График аннуитет.'!E35)</f>
        <v>3352169.07</v>
      </c>
      <c r="G35" s="13">
        <f t="shared" si="6"/>
        <v>30</v>
      </c>
      <c r="H35" s="13">
        <f t="shared" si="7"/>
        <v>366</v>
      </c>
    </row>
    <row r="36" spans="1:8" x14ac:dyDescent="0.25">
      <c r="A36" s="16">
        <f t="shared" si="8"/>
        <v>29</v>
      </c>
      <c r="B36" s="30">
        <f>'График дифференц'!B36</f>
        <v>46909</v>
      </c>
      <c r="C36" s="31">
        <f t="shared" si="5"/>
        <v>-12634731.000000006</v>
      </c>
      <c r="D36" s="31">
        <f>IF(A36&lt;malumot!$B$82,'График аннуитет.'!F36-'График аннуитет.'!E36,'График аннуитет.'!C36)</f>
        <v>3940754.29</v>
      </c>
      <c r="E36" s="31">
        <f>ROUND(C36*malumot!$B$85/H36,2)*'График аннуитет.'!G36</f>
        <v>-588585.22</v>
      </c>
      <c r="F36" s="31">
        <f>IF(A36&lt;malumot!$B$82,'График аннуитет.'!F35,'График аннуитет.'!D36+'График аннуитет.'!E36)</f>
        <v>3352169.07</v>
      </c>
      <c r="G36" s="13">
        <f t="shared" si="6"/>
        <v>31</v>
      </c>
      <c r="H36" s="13">
        <f t="shared" si="7"/>
        <v>366</v>
      </c>
    </row>
    <row r="37" spans="1:8" x14ac:dyDescent="0.25">
      <c r="A37" s="16">
        <f t="shared" si="8"/>
        <v>30</v>
      </c>
      <c r="B37" s="30">
        <f>'График дифференц'!B37</f>
        <v>46939</v>
      </c>
      <c r="C37" s="31">
        <f t="shared" si="5"/>
        <v>-16575485.290000007</v>
      </c>
      <c r="D37" s="31">
        <f>IF(A37&lt;malumot!$B$82,'График аннуитет.'!F37-'График аннуитет.'!E37,'График аннуитет.'!C37)</f>
        <v>4099424.67</v>
      </c>
      <c r="E37" s="31">
        <f>ROUND(C37*malumot!$B$85/H37,2)*'График аннуитет.'!G37</f>
        <v>-747255.6</v>
      </c>
      <c r="F37" s="31">
        <f>IF(A37&lt;malumot!$B$82,'График аннуитет.'!F36,'График аннуитет.'!D37+'График аннуитет.'!E37)</f>
        <v>3352169.07</v>
      </c>
      <c r="G37" s="13">
        <f t="shared" si="6"/>
        <v>30</v>
      </c>
      <c r="H37" s="13">
        <f t="shared" si="7"/>
        <v>366</v>
      </c>
    </row>
    <row r="38" spans="1:8" x14ac:dyDescent="0.25">
      <c r="A38" s="16">
        <f t="shared" si="8"/>
        <v>31</v>
      </c>
      <c r="B38" s="30">
        <f>'График дифференц'!B38</f>
        <v>46972</v>
      </c>
      <c r="C38" s="31">
        <f t="shared" si="5"/>
        <v>-20674909.960000008</v>
      </c>
      <c r="D38" s="31">
        <f>IF(A38&lt;malumot!$B$82,'График аннуитет.'!F38-'График аннуитет.'!E38,'График аннуитет.'!C38)</f>
        <v>4377441.12</v>
      </c>
      <c r="E38" s="31">
        <f>ROUND(C38*malumot!$B$85/H38,2)*'График аннуитет.'!G38</f>
        <v>-1025272.0499999999</v>
      </c>
      <c r="F38" s="31">
        <f>IF(A38&lt;malumot!$B$82,'График аннуитет.'!F37,'График аннуитет.'!D38+'График аннуитет.'!E38)</f>
        <v>3352169.07</v>
      </c>
      <c r="G38" s="13">
        <f t="shared" si="6"/>
        <v>33</v>
      </c>
      <c r="H38" s="13">
        <f t="shared" si="7"/>
        <v>366</v>
      </c>
    </row>
    <row r="39" spans="1:8" x14ac:dyDescent="0.25">
      <c r="A39" s="16">
        <f t="shared" si="8"/>
        <v>32</v>
      </c>
      <c r="B39" s="30">
        <f>'График дифференц'!B39</f>
        <v>47001</v>
      </c>
      <c r="C39" s="31">
        <f t="shared" si="5"/>
        <v>-25052351.080000009</v>
      </c>
      <c r="D39" s="31">
        <f>IF(A39&lt;malumot!$B$82,'График аннуитет.'!F39-'График аннуитет.'!E39,'График аннуитет.'!C39)</f>
        <v>4443931.49</v>
      </c>
      <c r="E39" s="31">
        <f>ROUND(C39*malumot!$B$85/H39,2)*'График аннуитет.'!G39</f>
        <v>-1091762.4200000002</v>
      </c>
      <c r="F39" s="31">
        <f>IF(A39&lt;malumot!$B$82,'График аннуитет.'!F38,'График аннуитет.'!D39+'График аннуитет.'!E39)</f>
        <v>3352169.07</v>
      </c>
      <c r="G39" s="13">
        <f t="shared" si="6"/>
        <v>29</v>
      </c>
      <c r="H39" s="13">
        <f t="shared" si="7"/>
        <v>366</v>
      </c>
    </row>
    <row r="40" spans="1:8" x14ac:dyDescent="0.25">
      <c r="A40" s="16">
        <f t="shared" si="8"/>
        <v>33</v>
      </c>
      <c r="B40" s="30">
        <f>'График дифференц'!B40</f>
        <v>47031</v>
      </c>
      <c r="C40" s="31">
        <f t="shared" si="5"/>
        <v>-29496282.570000008</v>
      </c>
      <c r="D40" s="31">
        <f>IF(A40&lt;malumot!$B$82,'График аннуитет.'!F40-'График аннуитет.'!E40,'График аннуитет.'!C40)</f>
        <v>4681919.37</v>
      </c>
      <c r="E40" s="31">
        <f>ROUND(C40*malumot!$B$85/H40,2)*'График аннуитет.'!G40</f>
        <v>-1329750.3</v>
      </c>
      <c r="F40" s="31">
        <f>IF(A40&lt;malumot!$B$82,'График аннуитет.'!F39,'График аннуитет.'!D40+'График аннуитет.'!E40)</f>
        <v>3352169.07</v>
      </c>
      <c r="G40" s="13">
        <f t="shared" si="6"/>
        <v>30</v>
      </c>
      <c r="H40" s="13">
        <f t="shared" si="7"/>
        <v>366</v>
      </c>
    </row>
    <row r="41" spans="1:8" x14ac:dyDescent="0.25">
      <c r="A41" s="16">
        <f t="shared" si="8"/>
        <v>34</v>
      </c>
      <c r="B41" s="30">
        <f>'График дифференц'!B41</f>
        <v>47063</v>
      </c>
      <c r="C41" s="31">
        <f t="shared" si="5"/>
        <v>-34178201.940000005</v>
      </c>
      <c r="D41" s="31">
        <f>IF(A41&lt;malumot!$B$82,'График аннуитет.'!F41-'График аннуитет.'!E41,'График аннуитет.'!C41)</f>
        <v>4995711.1500000004</v>
      </c>
      <c r="E41" s="31">
        <f>ROUND(C41*malumot!$B$85/H41,2)*'График аннуитет.'!G41</f>
        <v>-1643542.08</v>
      </c>
      <c r="F41" s="31">
        <f>IF(A41&lt;malumot!$B$82,'График аннуитет.'!F40,'График аннуитет.'!D41+'График аннуитет.'!E41)</f>
        <v>3352169.07</v>
      </c>
      <c r="G41" s="13">
        <f t="shared" si="6"/>
        <v>32</v>
      </c>
      <c r="H41" s="13">
        <f t="shared" si="7"/>
        <v>366</v>
      </c>
    </row>
    <row r="42" spans="1:8" x14ac:dyDescent="0.25">
      <c r="A42" s="16">
        <f t="shared" si="8"/>
        <v>35</v>
      </c>
      <c r="B42" s="30">
        <f>'График дифференц'!B42</f>
        <v>47092</v>
      </c>
      <c r="C42" s="31">
        <f t="shared" si="5"/>
        <v>-39173913.090000004</v>
      </c>
      <c r="D42" s="31">
        <f>IF(A42&lt;malumot!$B$82,'График аннуитет.'!F42-'График аннуитет.'!E42,'График аннуитет.'!C42)</f>
        <v>5059338.17</v>
      </c>
      <c r="E42" s="31">
        <f>ROUND(C42*malumot!$B$85/H42,2)*'График аннуитет.'!G42</f>
        <v>-1707169.1</v>
      </c>
      <c r="F42" s="31">
        <f>IF(A42&lt;malumot!$B$82,'График аннуитет.'!F41,'График аннуитет.'!D42+'График аннуитет.'!E42)</f>
        <v>3352169.07</v>
      </c>
      <c r="G42" s="13">
        <f t="shared" si="6"/>
        <v>29</v>
      </c>
      <c r="H42" s="13">
        <f t="shared" si="7"/>
        <v>366</v>
      </c>
    </row>
    <row r="43" spans="1:8" x14ac:dyDescent="0.25">
      <c r="A43" s="16">
        <f t="shared" si="8"/>
        <v>36</v>
      </c>
      <c r="B43" s="30">
        <f>'График дифференц'!B43</f>
        <v>47123</v>
      </c>
      <c r="C43" s="31">
        <f t="shared" si="5"/>
        <v>-44233251.260000005</v>
      </c>
      <c r="D43" s="31">
        <f>IF(A43&lt;malumot!$B$82,'График аннуитет.'!F43-'График аннуитет.'!E43,'График аннуитет.'!C43)</f>
        <v>5418407.1099999994</v>
      </c>
      <c r="E43" s="31">
        <f>ROUND(C43*malumot!$B$85/H43,2)*'График аннуитет.'!G43</f>
        <v>-2066238.0399999998</v>
      </c>
      <c r="F43" s="31">
        <f>IF(A43&lt;malumot!$B$82,'График аннуитет.'!F42,'График аннуитет.'!D43+'График аннуитет.'!E43)</f>
        <v>3352169.07</v>
      </c>
      <c r="G43" s="13">
        <f t="shared" si="6"/>
        <v>31</v>
      </c>
      <c r="H43" s="13">
        <f t="shared" si="7"/>
        <v>365</v>
      </c>
    </row>
    <row r="44" spans="1:8" x14ac:dyDescent="0.25">
      <c r="A44" s="16">
        <f t="shared" si="8"/>
        <v>37</v>
      </c>
      <c r="B44" s="30">
        <f>'График дифференц'!B44</f>
        <v>47154</v>
      </c>
      <c r="C44" s="31">
        <f t="shared" ref="C44:C55" si="9">C43-D43</f>
        <v>-49651658.370000005</v>
      </c>
      <c r="D44" s="31">
        <f>IF(A44&lt;malumot!$B$82,'График аннуитет.'!F44-'График аннуитет.'!E44,'График аннуитет.'!C44)</f>
        <v>5671513.7400000002</v>
      </c>
      <c r="E44" s="31">
        <f>ROUND(C44*malumot!$B$85/H44,2)*'График аннуитет.'!G44</f>
        <v>-2319344.6700000004</v>
      </c>
      <c r="F44" s="31">
        <f>IF(A44&lt;malumot!$B$82,'График аннуитет.'!F43,'График аннуитет.'!D44+'График аннуитет.'!E44)</f>
        <v>3352169.07</v>
      </c>
      <c r="G44" s="13">
        <f t="shared" ref="G44:G55" si="10">B44-B43</f>
        <v>31</v>
      </c>
      <c r="H44" s="13">
        <f t="shared" ref="H44:H55" si="11">DATE(YEAR(B44),12,31)-DATE(YEAR(B44),1,1)+1</f>
        <v>365</v>
      </c>
    </row>
    <row r="45" spans="1:8" x14ac:dyDescent="0.25">
      <c r="A45" s="16">
        <f t="shared" si="8"/>
        <v>38</v>
      </c>
      <c r="B45" s="30">
        <f>'График дифференц'!B45</f>
        <v>47182</v>
      </c>
      <c r="C45" s="31">
        <f t="shared" si="9"/>
        <v>-55323172.110000007</v>
      </c>
      <c r="D45" s="31">
        <f>IF(A45&lt;malumot!$B$82,'График аннуитет.'!F45-'График аннуитет.'!E45,'График аннуитет.'!C45)</f>
        <v>5686352.1099999994</v>
      </c>
      <c r="E45" s="31">
        <f>ROUND(C45*malumot!$B$85/H45,2)*'График аннуитет.'!G45</f>
        <v>-2334183.04</v>
      </c>
      <c r="F45" s="31">
        <f>IF(A45&lt;malumot!$B$82,'График аннуитет.'!F44,'График аннуитет.'!D45+'График аннуитет.'!E45)</f>
        <v>3352169.07</v>
      </c>
      <c r="G45" s="13">
        <f t="shared" si="10"/>
        <v>28</v>
      </c>
      <c r="H45" s="13">
        <f t="shared" si="11"/>
        <v>365</v>
      </c>
    </row>
    <row r="46" spans="1:8" x14ac:dyDescent="0.25">
      <c r="A46" s="16">
        <f t="shared" si="8"/>
        <v>39</v>
      </c>
      <c r="B46" s="30">
        <f>'График дифференц'!B46</f>
        <v>47213</v>
      </c>
      <c r="C46" s="31">
        <f t="shared" si="9"/>
        <v>-61009524.220000006</v>
      </c>
      <c r="D46" s="31">
        <f>IF(A46&lt;malumot!$B$82,'График аннуитет.'!F46-'График аннуитет.'!E46,'График аннуитет.'!C46)</f>
        <v>6202066.0299999993</v>
      </c>
      <c r="E46" s="31">
        <f>ROUND(C46*malumot!$B$85/H46,2)*'График аннуитет.'!G46</f>
        <v>-2849896.96</v>
      </c>
      <c r="F46" s="31">
        <f>IF(A46&lt;malumot!$B$82,'График аннуитет.'!F45,'График аннуитет.'!D46+'График аннуитет.'!E46)</f>
        <v>3352169.07</v>
      </c>
      <c r="G46" s="13">
        <f t="shared" si="10"/>
        <v>31</v>
      </c>
      <c r="H46" s="13">
        <f t="shared" si="11"/>
        <v>365</v>
      </c>
    </row>
    <row r="47" spans="1:8" x14ac:dyDescent="0.25">
      <c r="A47" s="16">
        <f t="shared" si="8"/>
        <v>40</v>
      </c>
      <c r="B47" s="30">
        <f>'График дифференц'!B47</f>
        <v>47245</v>
      </c>
      <c r="C47" s="31">
        <f t="shared" si="9"/>
        <v>-67211590.25</v>
      </c>
      <c r="D47" s="31">
        <f>IF(A47&lt;malumot!$B$82,'График аннуитет.'!F47-'График аннуитет.'!E47,'График аннуитет.'!C47)</f>
        <v>6593056.75</v>
      </c>
      <c r="E47" s="31">
        <f>ROUND(C47*malumot!$B$85/H47,2)*'График аннуитет.'!G47</f>
        <v>-3240887.68</v>
      </c>
      <c r="F47" s="31">
        <f>IF(A47&lt;malumot!$B$82,'График аннуитет.'!F46,'График аннуитет.'!D47+'График аннуитет.'!E47)</f>
        <v>3352169.07</v>
      </c>
      <c r="G47" s="13">
        <f t="shared" si="10"/>
        <v>32</v>
      </c>
      <c r="H47" s="13">
        <f t="shared" si="11"/>
        <v>365</v>
      </c>
    </row>
    <row r="48" spans="1:8" x14ac:dyDescent="0.25">
      <c r="A48" s="16">
        <f t="shared" si="8"/>
        <v>41</v>
      </c>
      <c r="B48" s="30">
        <f>'График дифференц'!B48</f>
        <v>47274</v>
      </c>
      <c r="C48" s="31">
        <f t="shared" si="9"/>
        <v>-73804647</v>
      </c>
      <c r="D48" s="31">
        <f>IF(A48&lt;malumot!$B$82,'График аннуитет.'!F48-'График аннуитет.'!E48,'График аннуитет.'!C48)</f>
        <v>6577330.9900000002</v>
      </c>
      <c r="E48" s="31">
        <f>ROUND(C48*malumot!$B$85/H48,2)*'График аннуитет.'!G48</f>
        <v>-3225161.92</v>
      </c>
      <c r="F48" s="31">
        <f>IF(A48&lt;malumot!$B$82,'График аннуитет.'!F47,'График аннуитет.'!D48+'График аннуитет.'!E48)</f>
        <v>3352169.07</v>
      </c>
      <c r="G48" s="13">
        <f t="shared" si="10"/>
        <v>29</v>
      </c>
      <c r="H48" s="13">
        <f t="shared" si="11"/>
        <v>365</v>
      </c>
    </row>
    <row r="49" spans="1:8" x14ac:dyDescent="0.25">
      <c r="A49" s="16">
        <f t="shared" si="8"/>
        <v>42</v>
      </c>
      <c r="B49" s="30">
        <f>'График дифференц'!B49</f>
        <v>47304</v>
      </c>
      <c r="C49" s="31">
        <f t="shared" si="9"/>
        <v>-80381977.989999995</v>
      </c>
      <c r="D49" s="31">
        <f>IF(A49&lt;malumot!$B$82,'График аннуитет.'!F49-'График аннуитет.'!E49,'График аннуитет.'!C49)</f>
        <v>6985874.9699999997</v>
      </c>
      <c r="E49" s="31">
        <f>ROUND(C49*malumot!$B$85/H49,2)*'График аннуитет.'!G49</f>
        <v>-3633705.9</v>
      </c>
      <c r="F49" s="31">
        <f>IF(A49&lt;malumot!$B$82,'График аннуитет.'!F48,'График аннуитет.'!D49+'График аннуитет.'!E49)</f>
        <v>3352169.07</v>
      </c>
      <c r="G49" s="13">
        <f t="shared" si="10"/>
        <v>30</v>
      </c>
      <c r="H49" s="13">
        <f t="shared" si="11"/>
        <v>365</v>
      </c>
    </row>
    <row r="50" spans="1:8" x14ac:dyDescent="0.25">
      <c r="A50" s="16">
        <f t="shared" si="8"/>
        <v>43</v>
      </c>
      <c r="B50" s="30">
        <f>'График дифференц'!B50</f>
        <v>47336</v>
      </c>
      <c r="C50" s="31">
        <f t="shared" si="9"/>
        <v>-87367852.959999993</v>
      </c>
      <c r="D50" s="31">
        <f>IF(A50&lt;malumot!$B$82,'График аннуитет.'!F50-'График аннуитет.'!E50,'График аннуитет.'!C50)</f>
        <v>7564975.1500000004</v>
      </c>
      <c r="E50" s="31">
        <f>ROUND(C50*malumot!$B$85/H50,2)*'График аннуитет.'!G50</f>
        <v>-4212806.08</v>
      </c>
      <c r="F50" s="31">
        <f>IF(A50&lt;malumot!$B$82,'График аннуитет.'!F49,'График аннуитет.'!D50+'График аннуитет.'!E50)</f>
        <v>3352169.07</v>
      </c>
      <c r="G50" s="13">
        <f t="shared" si="10"/>
        <v>32</v>
      </c>
      <c r="H50" s="13">
        <f t="shared" si="11"/>
        <v>365</v>
      </c>
    </row>
    <row r="51" spans="1:8" x14ac:dyDescent="0.25">
      <c r="A51" s="16">
        <f t="shared" si="8"/>
        <v>44</v>
      </c>
      <c r="B51" s="30">
        <f>'График дифференц'!B51</f>
        <v>47366</v>
      </c>
      <c r="C51" s="31">
        <f t="shared" si="9"/>
        <v>-94932828.109999999</v>
      </c>
      <c r="D51" s="31">
        <f>IF(A51&lt;malumot!$B$82,'График аннуитет.'!F51-'График аннуитет.'!E51,'График аннуитет.'!C51)</f>
        <v>7643653.1699999999</v>
      </c>
      <c r="E51" s="31">
        <f>ROUND(C51*malumot!$B$85/H51,2)*'График аннуитет.'!G51</f>
        <v>-4291484.0999999996</v>
      </c>
      <c r="F51" s="31">
        <f>IF(A51&lt;malumot!$B$82,'График аннуитет.'!F50,'График аннуитет.'!D51+'График аннуитет.'!E51)</f>
        <v>3352169.07</v>
      </c>
      <c r="G51" s="13">
        <f t="shared" si="10"/>
        <v>30</v>
      </c>
      <c r="H51" s="13">
        <f t="shared" si="11"/>
        <v>365</v>
      </c>
    </row>
    <row r="52" spans="1:8" x14ac:dyDescent="0.25">
      <c r="A52" s="16">
        <f t="shared" si="8"/>
        <v>45</v>
      </c>
      <c r="B52" s="30">
        <f>'График дифференц'!B52</f>
        <v>47396</v>
      </c>
      <c r="C52" s="31">
        <f t="shared" si="9"/>
        <v>-102576481.28</v>
      </c>
      <c r="D52" s="31">
        <f>IF(A52&lt;malumot!$B$82,'График аннуитет.'!F52-'График аннуитет.'!E52,'График аннуитет.'!C52)</f>
        <v>7989188.0700000003</v>
      </c>
      <c r="E52" s="31">
        <f>ROUND(C52*malumot!$B$85/H52,2)*'График аннуитет.'!G52</f>
        <v>-4637019</v>
      </c>
      <c r="F52" s="31">
        <f>IF(A52&lt;malumot!$B$82,'График аннуитет.'!F51,'График аннуитет.'!D52+'График аннуитет.'!E52)</f>
        <v>3352169.07</v>
      </c>
      <c r="G52" s="13">
        <f t="shared" si="10"/>
        <v>30</v>
      </c>
      <c r="H52" s="13">
        <f t="shared" si="11"/>
        <v>365</v>
      </c>
    </row>
    <row r="53" spans="1:8" x14ac:dyDescent="0.25">
      <c r="A53" s="16">
        <f t="shared" si="8"/>
        <v>46</v>
      </c>
      <c r="B53" s="30">
        <f>'График дифференц'!B53</f>
        <v>47427</v>
      </c>
      <c r="C53" s="31">
        <f t="shared" si="9"/>
        <v>-110565669.34999999</v>
      </c>
      <c r="D53" s="31">
        <f>IF(A53&lt;malumot!$B$82,'График аннуитет.'!F53-'График аннуитет.'!E53,'График аннуитет.'!C53)</f>
        <v>8516948.8699999992</v>
      </c>
      <c r="E53" s="31">
        <f>ROUND(C53*malumot!$B$85/H53,2)*'График аннуитет.'!G53</f>
        <v>-5164779.8</v>
      </c>
      <c r="F53" s="31">
        <f>IF(A53&lt;malumot!$B$82,'График аннуитет.'!F52,'График аннуитет.'!D53+'График аннуитет.'!E53)</f>
        <v>3352169.07</v>
      </c>
      <c r="G53" s="13">
        <f t="shared" si="10"/>
        <v>31</v>
      </c>
      <c r="H53" s="13">
        <f t="shared" si="11"/>
        <v>365</v>
      </c>
    </row>
    <row r="54" spans="1:8" x14ac:dyDescent="0.25">
      <c r="A54" s="16">
        <f t="shared" si="8"/>
        <v>47</v>
      </c>
      <c r="B54" s="30">
        <f>'График дифференц'!B54</f>
        <v>47457</v>
      </c>
      <c r="C54" s="31">
        <f t="shared" si="9"/>
        <v>-119082618.22</v>
      </c>
      <c r="D54" s="31">
        <f>IF(A54&lt;malumot!$B$82,'График аннуитет.'!F54-'График аннуитет.'!E54,'График аннуитет.'!C54)</f>
        <v>8735355.8699999992</v>
      </c>
      <c r="E54" s="31">
        <f>ROUND(C54*malumot!$B$85/H54,2)*'График аннуитет.'!G54</f>
        <v>-5383186.7999999998</v>
      </c>
      <c r="F54" s="31">
        <f>IF(A54&lt;malumot!$B$82,'График аннуитет.'!F53,'График аннуитет.'!D54+'График аннуитет.'!E54)</f>
        <v>3352169.07</v>
      </c>
      <c r="G54" s="13">
        <f t="shared" si="10"/>
        <v>30</v>
      </c>
      <c r="H54" s="13">
        <f t="shared" si="11"/>
        <v>365</v>
      </c>
    </row>
    <row r="55" spans="1:8" x14ac:dyDescent="0.25">
      <c r="A55" s="16">
        <f t="shared" si="8"/>
        <v>48</v>
      </c>
      <c r="B55" s="30">
        <f>'График дифференц'!B55</f>
        <v>47506</v>
      </c>
      <c r="C55" s="31">
        <f t="shared" si="9"/>
        <v>-127817974.09</v>
      </c>
      <c r="D55" s="31">
        <f>IF(A55&lt;malumot!$B$82,'График аннуитет.'!F55-'График аннуитет.'!E55,'График аннуитет.'!C55)</f>
        <v>-127817974.09</v>
      </c>
      <c r="E55" s="31">
        <f>ROUND(C55*malumot!$B$85/H55,2)*'График аннуитет.'!G55</f>
        <v>-9437519.0700000003</v>
      </c>
      <c r="F55" s="31">
        <f>IF(A55&lt;malumot!$B$82,'График аннуитет.'!F54,'График аннуитет.'!D55+'График аннуитет.'!E55)</f>
        <v>-137255493.16</v>
      </c>
      <c r="G55" s="13">
        <f t="shared" si="10"/>
        <v>49</v>
      </c>
      <c r="H55" s="13">
        <f t="shared" si="11"/>
        <v>365</v>
      </c>
    </row>
    <row r="56" spans="1:8" x14ac:dyDescent="0.25">
      <c r="A56" s="43"/>
      <c r="B56" s="44" t="s">
        <v>6</v>
      </c>
      <c r="C56" s="45"/>
      <c r="D56" s="45">
        <f>SUM(D8:D55)</f>
        <v>50000000</v>
      </c>
      <c r="E56" s="45">
        <f t="shared" ref="E56:F56" si="12">SUM(E8:E55)</f>
        <v>-29703546.870000012</v>
      </c>
      <c r="F56" s="45">
        <f t="shared" si="12"/>
        <v>20296453.129999816</v>
      </c>
    </row>
    <row r="57" spans="1:8" ht="9" customHeight="1" x14ac:dyDescent="0.25">
      <c r="B57" s="32"/>
      <c r="C57" s="33"/>
      <c r="D57" s="33"/>
      <c r="E57" s="33"/>
      <c r="F57" s="33"/>
    </row>
    <row r="58" spans="1:8" ht="47.25" customHeight="1" x14ac:dyDescent="0.25">
      <c r="A58" s="277" t="s">
        <v>17</v>
      </c>
      <c r="B58" s="277"/>
      <c r="C58" s="277"/>
      <c r="D58" s="277"/>
      <c r="E58" s="277"/>
      <c r="F58" s="277"/>
    </row>
    <row r="59" spans="1:8" ht="7.5" customHeight="1" x14ac:dyDescent="0.25"/>
    <row r="60" spans="1:8" x14ac:dyDescent="0.25">
      <c r="A60" s="304" t="e">
        <f>#REF!</f>
        <v>#REF!</v>
      </c>
      <c r="B60" s="304"/>
      <c r="C60" s="304"/>
      <c r="D60" s="304" t="e">
        <f>#REF!</f>
        <v>#REF!</v>
      </c>
      <c r="E60" s="304"/>
      <c r="F60" s="304"/>
    </row>
    <row r="61" spans="1:8" ht="11.25" customHeight="1" x14ac:dyDescent="0.25">
      <c r="A61" s="305"/>
      <c r="B61" s="305"/>
      <c r="C61" s="305"/>
      <c r="D61" s="305"/>
      <c r="E61" s="305"/>
      <c r="F61" s="305"/>
    </row>
    <row r="62" spans="1:8" ht="30" customHeight="1" x14ac:dyDescent="0.25">
      <c r="A62" s="279" t="e">
        <f>#REF!</f>
        <v>#REF!</v>
      </c>
      <c r="B62" s="279"/>
      <c r="C62" s="279"/>
      <c r="D62" s="279" t="e">
        <f>#REF!</f>
        <v>#REF!</v>
      </c>
      <c r="E62" s="279"/>
      <c r="F62" s="279"/>
    </row>
    <row r="63" spans="1:8" ht="32.25" customHeight="1" x14ac:dyDescent="0.25">
      <c r="A63" s="300" t="e">
        <f>#REF!</f>
        <v>#REF!</v>
      </c>
      <c r="B63" s="300"/>
      <c r="C63" s="300"/>
      <c r="D63" s="300" t="e">
        <f>#REF!</f>
        <v>#REF!</v>
      </c>
      <c r="E63" s="300"/>
      <c r="F63" s="300"/>
    </row>
    <row r="64" spans="1:8" x14ac:dyDescent="0.25">
      <c r="A64" s="300" t="e">
        <f>#REF!</f>
        <v>#REF!</v>
      </c>
      <c r="B64" s="300"/>
      <c r="C64" s="300"/>
      <c r="D64" s="300" t="str">
        <f>"паспорт серии "&amp;malumot!B16&amp;", "&amp;malumot!B20&amp;""</f>
        <v>паспорт серии AB 5708016, BUXORO VILOYATI BUXORO SHAHAR IIB tomonidan 19.01.2017 yilda berilgan</v>
      </c>
      <c r="E64" s="300"/>
      <c r="F64" s="300"/>
    </row>
    <row r="65" spans="1:6" ht="32.25" customHeight="1" x14ac:dyDescent="0.25">
      <c r="A65" s="300" t="e">
        <f>#REF!</f>
        <v>#REF!</v>
      </c>
      <c r="B65" s="300"/>
      <c r="C65" s="300"/>
      <c r="D65" s="300"/>
      <c r="E65" s="300"/>
      <c r="F65" s="300"/>
    </row>
    <row r="66" spans="1:6" x14ac:dyDescent="0.25">
      <c r="A66" s="300" t="e">
        <f>#REF!</f>
        <v>#REF!</v>
      </c>
      <c r="B66" s="300"/>
      <c r="C66" s="300"/>
      <c r="D66" s="300" t="e">
        <f>#REF!</f>
        <v>#REF!</v>
      </c>
      <c r="E66" s="300"/>
      <c r="F66" s="300"/>
    </row>
    <row r="67" spans="1:6" x14ac:dyDescent="0.25">
      <c r="A67" s="300" t="e">
        <f>#REF!</f>
        <v>#REF!</v>
      </c>
      <c r="B67" s="300"/>
      <c r="C67" s="300"/>
      <c r="D67" s="300" t="e">
        <f>#REF!</f>
        <v>#REF!</v>
      </c>
      <c r="E67" s="300"/>
      <c r="F67" s="300"/>
    </row>
    <row r="68" spans="1:6" x14ac:dyDescent="0.25">
      <c r="A68" s="300" t="e">
        <f>#REF!</f>
        <v>#REF!</v>
      </c>
      <c r="B68" s="300"/>
      <c r="C68" s="300"/>
      <c r="D68" s="300" t="e">
        <f>#REF!</f>
        <v>#REF!</v>
      </c>
      <c r="E68" s="300"/>
      <c r="F68" s="300"/>
    </row>
    <row r="69" spans="1:6" ht="8.25" customHeight="1" x14ac:dyDescent="0.25">
      <c r="A69" s="300"/>
      <c r="B69" s="300"/>
      <c r="C69" s="300"/>
      <c r="D69" s="300"/>
      <c r="E69" s="300"/>
      <c r="F69" s="300"/>
    </row>
    <row r="70" spans="1:6" x14ac:dyDescent="0.25">
      <c r="A70" s="279" t="e">
        <f>#REF!</f>
        <v>#REF!</v>
      </c>
      <c r="B70" s="279"/>
      <c r="C70" s="279"/>
      <c r="D70" s="279" t="e">
        <f>#REF!</f>
        <v>#REF!</v>
      </c>
      <c r="E70" s="279"/>
      <c r="F70" s="279"/>
    </row>
    <row r="71" spans="1:6" ht="7.5" customHeight="1" x14ac:dyDescent="0.25">
      <c r="A71" s="279"/>
      <c r="B71" s="279"/>
      <c r="C71" s="279"/>
      <c r="D71" s="279"/>
      <c r="E71" s="279"/>
      <c r="F71" s="279"/>
    </row>
    <row r="72" spans="1:6" x14ac:dyDescent="0.25">
      <c r="A72" s="279" t="e">
        <f>#REF!</f>
        <v>#REF!</v>
      </c>
      <c r="B72" s="279"/>
      <c r="C72" s="279"/>
      <c r="D72" s="279" t="e">
        <f>#REF!</f>
        <v>#REF!</v>
      </c>
      <c r="E72" s="279"/>
      <c r="F72" s="279"/>
    </row>
    <row r="73" spans="1:6" ht="8.25" customHeight="1" x14ac:dyDescent="0.25">
      <c r="A73" s="300"/>
      <c r="B73" s="300"/>
      <c r="C73" s="300"/>
      <c r="D73" s="300"/>
      <c r="E73" s="300"/>
      <c r="F73" s="300"/>
    </row>
    <row r="74" spans="1:6" ht="30" customHeight="1" x14ac:dyDescent="0.25">
      <c r="A74" s="301"/>
      <c r="B74" s="301"/>
      <c r="C74" s="301"/>
      <c r="D74" s="302"/>
      <c r="E74" s="302"/>
      <c r="F74" s="302"/>
    </row>
    <row r="75" spans="1:6" x14ac:dyDescent="0.25">
      <c r="A75" s="303"/>
      <c r="B75" s="303"/>
      <c r="C75" s="303"/>
      <c r="D75" s="303"/>
      <c r="E75" s="303"/>
      <c r="F75" s="303"/>
    </row>
    <row r="76" spans="1:6" x14ac:dyDescent="0.25">
      <c r="A76" s="299"/>
      <c r="B76" s="299"/>
      <c r="C76" s="299"/>
      <c r="D76" s="299"/>
      <c r="E76" s="299"/>
      <c r="F76" s="299"/>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4" priority="3" operator="lessThan">
      <formula>22105</formula>
    </cfRule>
  </conditionalFormatting>
  <conditionalFormatting sqref="C8:C55">
    <cfRule type="cellIs" dxfId="3" priority="2" operator="lessThan">
      <formula>1</formula>
    </cfRule>
  </conditionalFormatting>
  <conditionalFormatting sqref="C8:F55">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tabColor rgb="FF00B050"/>
  </sheetPr>
  <dimension ref="A1:E67"/>
  <sheetViews>
    <sheetView view="pageBreakPreview" topLeftCell="A12" zoomScaleSheetLayoutView="100" workbookViewId="0">
      <selection activeCell="A25" sqref="A25:XFD25"/>
    </sheetView>
  </sheetViews>
  <sheetFormatPr defaultColWidth="9.140625" defaultRowHeight="15" outlineLevelRow="1" x14ac:dyDescent="0.25"/>
  <cols>
    <col min="1" max="2" width="23.7109375" style="13" customWidth="1"/>
    <col min="3" max="3" width="18.28515625" style="13" customWidth="1"/>
    <col min="4" max="5" width="17" style="13" customWidth="1"/>
    <col min="6" max="16384" width="9.140625" style="13"/>
  </cols>
  <sheetData>
    <row r="1" spans="1:5" ht="36" customHeight="1" x14ac:dyDescent="0.25">
      <c r="A1" s="279" t="str">
        <f>""&amp;malumot!B158&amp;"
mikromoliya tashkilotining Xulosasi"</f>
        <v>«CLEVER MIKROMOLIYA TASHKILOTI» MChJ
mikromoliya tashkilotining Xulosasi</v>
      </c>
      <c r="B1" s="279"/>
      <c r="C1" s="279"/>
      <c r="D1" s="279"/>
      <c r="E1" s="279"/>
    </row>
    <row r="2" spans="1:5" x14ac:dyDescent="0.25">
      <c r="A2" s="277"/>
      <c r="B2" s="277"/>
      <c r="C2" s="277"/>
      <c r="D2" s="277"/>
      <c r="E2" s="277"/>
    </row>
    <row r="3" spans="1:5" x14ac:dyDescent="0.25">
      <c r="A3" s="279" t="s">
        <v>199</v>
      </c>
      <c r="B3" s="279"/>
      <c r="C3" s="279"/>
      <c r="D3" s="279"/>
      <c r="E3" s="279"/>
    </row>
    <row r="4" spans="1:5" x14ac:dyDescent="0.25">
      <c r="A4" s="277" t="str">
        <f>"Mijozning to'liq ismi sharifi: "&amp;malumot!B5&amp;""</f>
        <v>Mijozning to'liq ismi sharifi: XAMRAYEVA XUSHVAXT GAYBULLAYEVNA</v>
      </c>
      <c r="B4" s="277"/>
      <c r="C4" s="277"/>
      <c r="D4" s="277"/>
      <c r="E4" s="277"/>
    </row>
    <row r="5" spans="1:5" x14ac:dyDescent="0.25">
      <c r="A5" s="277" t="str">
        <f>"Tug'ilgan sanasi: "&amp;malumot!B15&amp;""</f>
        <v>Tug'ilgan sanasi: 09.03.1962 y</v>
      </c>
      <c r="B5" s="277"/>
      <c r="C5" s="277"/>
      <c r="D5" s="277"/>
      <c r="E5" s="277"/>
    </row>
    <row r="6" spans="1:5" ht="31.5" customHeight="1" x14ac:dyDescent="0.25">
      <c r="A6" s="277" t="str">
        <f>"Pasport seriyasi "&amp;malumot!B16&amp;" "&amp;malumot!B20&amp;", amal qilish muddati - "&amp;malumot!B21&amp;""</f>
        <v>Pasport seriyasi AB 5708016 BUXORO VILOYATI BUXORO SHAHAR IIB tomonidan 19.01.2017 yilda berilgan, amal qilish muddati - 18.01.2027 y.</v>
      </c>
      <c r="B6" s="277"/>
      <c r="C6" s="277"/>
      <c r="D6" s="277"/>
      <c r="E6" s="277"/>
    </row>
    <row r="7" spans="1:5" ht="48" customHeight="1" x14ac:dyDescent="0.25">
      <c r="A7" s="277" t="str">
        <f>"Ro‘yxatdan o‘tgan manzili: "&amp;malumot!B22&amp;", mo'ljal: "&amp;malumot!B26&amp;""</f>
        <v>Ro‘yxatdan o‘tgan manzili: BUXORO VILOYATI BUXORO SHAHRI RUXSHOBOD KO'CHASI, mo'ljal: AMIRON TO'YXONA</v>
      </c>
      <c r="B7" s="277"/>
      <c r="C7" s="277"/>
      <c r="D7" s="277"/>
      <c r="E7" s="277"/>
    </row>
    <row r="8" spans="1:5" ht="23.25" customHeight="1" x14ac:dyDescent="0.25">
      <c r="A8" s="277" t="str">
        <f>"Ish joyi: "&amp;malumot!B52&amp;" lavozimi "&amp;malumot!B49&amp;"da "&amp;malumot!B44&amp;""</f>
        <v>Ish joyi:  lavozimi XAMRAYEVA XUSHVAXT GAYBULLAYEVNAda XAMRAYEVA XUSHVAXT GAYBULLAYEVNA</v>
      </c>
      <c r="B8" s="277"/>
      <c r="C8" s="277"/>
      <c r="D8" s="277"/>
      <c r="E8" s="277"/>
    </row>
    <row r="9" spans="1:5" x14ac:dyDescent="0.25">
      <c r="A9" s="277"/>
      <c r="B9" s="277"/>
      <c r="C9" s="277"/>
      <c r="D9" s="277"/>
      <c r="E9" s="277"/>
    </row>
    <row r="10" spans="1:5" x14ac:dyDescent="0.25">
      <c r="A10" s="279" t="str">
        <f>"Mijoz tomonidan so’ralgan "&amp;malumot!B65&amp;" shartlari:"</f>
        <v>Mijoz tomonidan so’ralgan mikroqarz shartlari:</v>
      </c>
      <c r="B10" s="279"/>
      <c r="C10" s="279"/>
      <c r="D10" s="279"/>
      <c r="E10" s="279"/>
    </row>
    <row r="11" spans="1:5" x14ac:dyDescent="0.25">
      <c r="A11" s="277" t="str">
        <f>kredit_ariza!A13:D13</f>
        <v>Mikroqarz summasi: 50 000 000,00 (ellik million so'm) so'm.</v>
      </c>
      <c r="B11" s="277"/>
      <c r="C11" s="277"/>
      <c r="D11" s="277"/>
      <c r="E11" s="277"/>
    </row>
    <row r="12" spans="1:5" x14ac:dyDescent="0.25">
      <c r="A12" s="277" t="str">
        <f>kredit_ariza!A14:D14</f>
        <v>Mikroqarz muddati: 48 (Qirq sakkiz  ) oy.</v>
      </c>
      <c r="B12" s="277"/>
      <c r="C12" s="277"/>
      <c r="D12" s="277"/>
      <c r="E12" s="277"/>
    </row>
    <row r="13" spans="1:5" x14ac:dyDescent="0.25">
      <c r="A13" s="277" t="str">
        <f>kredit_ariza!A15:D15</f>
        <v>Mikroqarzdan foydalanganlik uchun foiz stavkasi: yillik  55% (Ellik besh  ) foiz</v>
      </c>
      <c r="B13" s="277"/>
      <c r="C13" s="277"/>
      <c r="D13" s="277"/>
      <c r="E13" s="277"/>
    </row>
    <row r="14" spans="1:5" x14ac:dyDescent="0.25">
      <c r="A14" s="277" t="str">
        <f>kredit_ariza!A16:D16</f>
        <v>Mikroqarz bo'yicha asosiy qarz va foizlarni to'lash:</v>
      </c>
      <c r="B14" s="277"/>
      <c r="C14" s="277"/>
      <c r="D14" s="277"/>
      <c r="E14" s="277"/>
    </row>
    <row r="15" spans="1:5" ht="18.75" customHeight="1" x14ac:dyDescent="0.25">
      <c r="A15" s="277" t="str">
        <f>kredit_ariza!A19:D19</f>
        <v xml:space="preserve"> - mikroqarz shartnomasi bo'yicha har oy differensial to'lovlari amalga oshiriladi</v>
      </c>
      <c r="B15" s="277"/>
      <c r="C15" s="277"/>
      <c r="D15" s="277"/>
      <c r="E15" s="277"/>
    </row>
    <row r="16" spans="1:5" ht="14.25" customHeight="1" x14ac:dyDescent="0.25">
      <c r="A16" s="278" t="str">
        <f>kredit_ariza!A20:D20</f>
        <v xml:space="preserve">  Oxirgi yakuniy to'lov mikroqarz shartnomasi tuzilgan kundan boshlab oxirgi oyning oxirgi kunida amalga oshiriladi</v>
      </c>
      <c r="B16" s="278"/>
      <c r="C16" s="278"/>
      <c r="D16" s="278"/>
      <c r="E16" s="278"/>
    </row>
    <row r="17" spans="1:5" x14ac:dyDescent="0.25">
      <c r="A17" s="277" t="str">
        <f>kredit_ariza!A21:D21</f>
        <v>Mikroqarz ta’minoti::</v>
      </c>
      <c r="B17" s="277"/>
      <c r="C17" s="277"/>
      <c r="D17" s="277"/>
      <c r="E17" s="277"/>
    </row>
    <row r="18" spans="1:5" ht="67.5" customHeight="1" x14ac:dyDescent="0.25">
      <c r="A18" s="277" t="str">
        <f>kredit_ariza!A22:D22</f>
        <v>1.   Egalik huquqi POSHSHAXANOVA NOZIMA ISMOILOVNAga tegishli bo'lgan garovga olingan avtomobil markasi   CHEVROLET SPARK, rangi -  OQ BELO DIMCHATIY, ishlab chiqarilgan yili - 2018, davlat raqam belgisi 50P697RA, kuzov turi - YENGIL SEDAN, kuzov raqami XWBMA48N1JA528481, dvigatel raqami B12D211181167HB9X0266, shassi raqami - RAKAMSIZ</v>
      </c>
      <c r="B18" s="277"/>
      <c r="C18" s="277"/>
      <c r="D18" s="277"/>
      <c r="E18" s="277"/>
    </row>
    <row r="19" spans="1:5" x14ac:dyDescent="0.25">
      <c r="A19" s="279" t="s">
        <v>200</v>
      </c>
      <c r="B19" s="279"/>
      <c r="C19" s="279"/>
      <c r="D19" s="279"/>
      <c r="E19" s="279"/>
    </row>
    <row r="20" spans="1:5" ht="21" customHeight="1" x14ac:dyDescent="0.25">
      <c r="A20" s="277" t="str">
        <f>"Anketaga muvofiq "&amp;malumot!B9&amp;"ning o‘rtacha oylik daromadi  "&amp;FIXED(malumot!B60)&amp;" so‘mni tashkil etdi."</f>
        <v>Anketaga muvofiq XAMRAYEVA X.G.ning o‘rtacha oylik daromadi  16 000 000,00 so‘mni tashkil etdi.</v>
      </c>
      <c r="B20" s="277"/>
      <c r="C20" s="277"/>
      <c r="D20" s="277"/>
      <c r="E20" s="277"/>
    </row>
    <row r="21" spans="1:5" ht="21" customHeight="1" x14ac:dyDescent="0.25">
      <c r="A21" s="277" t="str">
        <f>"Mijozning o'rtacha oylik xarajatlari "&amp;FIXED(mijoz_anketasi!F27)&amp;" so'mni tashkil etdi"</f>
        <v>Mijozning o'rtacha oylik xarajatlari 1 700 000,00 so'mni tashkil etdi</v>
      </c>
      <c r="B21" s="277"/>
      <c r="C21" s="277"/>
      <c r="D21" s="277"/>
      <c r="E21" s="277"/>
    </row>
    <row r="22" spans="1:5" ht="18" hidden="1" customHeight="1" x14ac:dyDescent="0.25">
      <c r="A22" s="277" t="str">
        <f>IF(malumot!B78=malumot!C78,xulosa!A23:E23,xulosa!A24:E24)</f>
        <v>Mikroqarz shartnomasi bo'yicha birinchi oy uchun to'lov 3 352 169,07 so'mni tashkil etadi.</v>
      </c>
      <c r="B22" s="277"/>
      <c r="C22" s="277"/>
      <c r="D22" s="277"/>
      <c r="E22" s="277"/>
    </row>
    <row r="23" spans="1:5" ht="21" hidden="1" customHeight="1" x14ac:dyDescent="0.25">
      <c r="A23" s="277" t="str">
        <f>""&amp;malumot!C64&amp;" shartnomasi bo'yicha birinchi oy uchun to'lov "&amp;FIXED(malumot!B91)&amp;" so'mni tashkil etadi."</f>
        <v>Mikroqarz shartnomasi bo'yicha birinchi oy uchun to'lov 3 352 169,07 so'mni tashkil etadi.</v>
      </c>
      <c r="B23" s="277"/>
      <c r="C23" s="277"/>
      <c r="D23" s="277"/>
      <c r="E23" s="277"/>
    </row>
    <row r="24" spans="1:5" ht="19.5" customHeight="1" x14ac:dyDescent="0.25">
      <c r="A24" s="277" t="str">
        <f>""&amp;malumot!C64&amp;" bo‘yicha oylik "&amp;malumot!B78&amp;" to‘lovi miqdori "&amp;FIXED(malumot!B91)&amp;" so‘mni tashkil etadi."</f>
        <v>Mikroqarz bo‘yicha oylik differensial to‘lovi miqdori 3 352 169,07 so‘mni tashkil etadi.</v>
      </c>
      <c r="B24" s="277"/>
      <c r="C24" s="277"/>
      <c r="D24" s="277"/>
      <c r="E24" s="277"/>
    </row>
    <row r="25" spans="1:5" ht="62.25" hidden="1" customHeight="1" x14ac:dyDescent="0.25">
      <c r="A25" s="278" t="s">
        <v>423</v>
      </c>
      <c r="B25" s="278"/>
      <c r="C25" s="278"/>
      <c r="D25" s="278"/>
      <c r="E25" s="278"/>
    </row>
    <row r="26" spans="1:5" x14ac:dyDescent="0.25">
      <c r="A26" s="279" t="str">
        <f>""&amp;malumot!C64&amp;" bo’yicha ta’minot:"</f>
        <v>Mikroqarz bo’yicha ta’minot:</v>
      </c>
      <c r="B26" s="279"/>
      <c r="C26" s="279"/>
      <c r="D26" s="279"/>
      <c r="E26" s="279"/>
    </row>
    <row r="27" spans="1:5" ht="31.5" hidden="1" customHeight="1" x14ac:dyDescent="0.25">
      <c r="A27" s="277" t="str">
        <f>" - "&amp;malumot!B124&amp;" ga mulk huquqi asosida tegishli avtotransport vositasi "&amp;malumot!B132&amp;" , quyidagi tafsilotlarga muvofiq:"</f>
        <v xml:space="preserve"> - POSHSHAXANOVA NOZIMA ISMOILOVNA ga mulk huquqi asosida tegishli avtotransport vositasi CHEVROLET SPARK , quyidagi tafsilotlarga muvofiq:</v>
      </c>
      <c r="B27" s="277"/>
      <c r="C27" s="277"/>
      <c r="D27" s="277"/>
      <c r="E27" s="277"/>
    </row>
    <row r="28" spans="1:5" ht="67.5" hidden="1" customHeight="1" x14ac:dyDescent="0.25">
      <c r="A28" s="277" t="str">
        <f>" -   "&amp;malumot!C124&amp;" ga mulk huquqi asosida tegishli ko'chmas mulk shaklida "&amp;malumot!C133&amp;", manzili: "&amp;malumot!C130&amp;", quyidagi tafsilotlarga muvofiq:"</f>
        <v xml:space="preserve"> -   0 ga mulk huquqi asosida tegishli ko'chmas mulk shaklida  0, manzili: , quyidagi tafsilotlarga muvofiq:</v>
      </c>
      <c r="B28" s="277"/>
      <c r="C28" s="277"/>
      <c r="D28" s="277"/>
      <c r="E28" s="277"/>
    </row>
    <row r="29" spans="1:5" ht="44.25" customHeight="1" x14ac:dyDescent="0.25">
      <c r="A29" s="277" t="str">
        <f>IF(malumot!B110="Avtotransport",xulosa!A27:E27,xulosa!A28:E28)</f>
        <v xml:space="preserve"> - POSHSHAXANOVA NOZIMA ISMOILOVNA ga mulk huquqi asosida tegishli avtotransport vositasi CHEVROLET SPARK , quyidagi tafsilotlarga muvofiq:</v>
      </c>
      <c r="B29" s="277"/>
      <c r="C29" s="277"/>
      <c r="D29" s="277"/>
      <c r="E29" s="277"/>
    </row>
    <row r="30" spans="1:5" s="14" customFormat="1" ht="47.25" customHeight="1" outlineLevel="1" x14ac:dyDescent="0.25">
      <c r="A30" s="36" t="str">
        <f>dalolatnoma!A29</f>
        <v>Nomi</v>
      </c>
      <c r="B30" s="36" t="str">
        <f>dalolatnoma!B29</f>
        <v>Kuzov turi  va kuzov raqami*</v>
      </c>
      <c r="C30" s="36" t="str">
        <f>dalolatnoma!C29</f>
        <v>Dvigatel va shassi raqami*</v>
      </c>
      <c r="D30" s="36" t="str">
        <f>dalolatnoma!D29</f>
        <v>Ishlab chiqarilgan yili va rangi*</v>
      </c>
      <c r="E30" s="36" t="str">
        <f>dalolatnoma!E29</f>
        <v>Kelishilgan garov qiymati, so'm</v>
      </c>
    </row>
    <row r="31" spans="1:5" s="18" customFormat="1" ht="102.75" customHeight="1" outlineLevel="1" x14ac:dyDescent="0.25">
      <c r="A31" s="15" t="str">
        <f>dalolatnoma!A30</f>
        <v>CHEVROLET SPARK</v>
      </c>
      <c r="B31" s="15" t="str">
        <f>dalolatnoma!B30</f>
        <v>kuzov turi - YENGIL SEDAN, kuzov raqami XWBMA48N1JA528481</v>
      </c>
      <c r="C31" s="15" t="str">
        <f>dalolatnoma!C30</f>
        <v>dvigatel raqami B12D211181167HB9X0266, shassi raqami - RAKAMSIZ</v>
      </c>
      <c r="D31" s="15" t="str">
        <f>dalolatnoma!D30</f>
        <v>rangi -  OQ BELO DIMCHATIY, ishlab chiqarilgan yili - 2018</v>
      </c>
      <c r="E31" s="15" t="str">
        <f>dalolatnoma!E30</f>
        <v>50 400 000,00 
(ellik million to'rt yuz ming so'm)</v>
      </c>
    </row>
    <row r="32" spans="1:5" ht="15.75" customHeight="1" outlineLevel="1" x14ac:dyDescent="0.25">
      <c r="A32" s="277" t="str">
        <f>dalolatnoma!A22</f>
        <v>-* avtotransport egasi: POSHSHAXANOVA NOZIMA ISMOILOVNA</v>
      </c>
      <c r="B32" s="277"/>
      <c r="C32" s="277"/>
      <c r="D32" s="277"/>
      <c r="E32" s="277"/>
    </row>
    <row r="33" spans="1:5" ht="15" customHeight="1" outlineLevel="1" x14ac:dyDescent="0.25">
      <c r="A33" s="277" t="str">
        <f>dalolatnoma!A23</f>
        <v>-* texnik pasport: AAG  0885005    03.02.2023</v>
      </c>
      <c r="B33" s="277"/>
      <c r="C33" s="277"/>
      <c r="D33" s="277"/>
      <c r="E33" s="277"/>
    </row>
    <row r="34" spans="1:5" ht="33" customHeight="1" outlineLevel="1" x14ac:dyDescent="0.25">
      <c r="A34" s="277" t="str">
        <f>dalolatnoma!A24</f>
        <v>-* roʻyxatdan oʻtgan manzili/garaj manzili: NAMANGAN VILOYATI CHORTOQ TUMANI ALIXON SHFY ALIXON MFY ROXAT KO'CHASI 31-UY</v>
      </c>
      <c r="B34" s="277"/>
      <c r="C34" s="277"/>
      <c r="D34" s="277"/>
      <c r="E34" s="277"/>
    </row>
    <row r="35" spans="1:5" ht="25.5" customHeight="1" outlineLevel="1" x14ac:dyDescent="0.25">
      <c r="A35" s="277" t="str">
        <f>dalolatnoma!A25</f>
        <v>-* davlat raqami: 50P697RA</v>
      </c>
      <c r="B35" s="277"/>
      <c r="C35" s="277"/>
      <c r="D35" s="277"/>
      <c r="E35" s="277"/>
    </row>
    <row r="36" spans="1:5" ht="39" customHeight="1" x14ac:dyDescent="0.25">
      <c r="A36" s="279" t="str">
        <f>""&amp;malumot!B158&amp;"
mikromoliya tashkilotining Xulosasi"</f>
        <v>«CLEVER MIKROMOLIYA TASHKILOTI» MChJ
mikromoliya tashkilotining Xulosasi</v>
      </c>
      <c r="B36" s="279"/>
      <c r="C36" s="279"/>
      <c r="D36" s="279"/>
      <c r="E36" s="279"/>
    </row>
    <row r="37" spans="1:5" ht="33.75" customHeight="1" x14ac:dyDescent="0.25">
      <c r="A37" s="277" t="str">
        <f>""&amp;malumot!B158&amp;" kredit qo‘mitasining xulosasiga quyidagi shartlarda "&amp;malumot!B10&amp;"ga "&amp;malumot!B65&amp;" berish masalasi kiritiladi:"</f>
        <v>«CLEVER MIKROMOLIYA TASHKILOTI» MChJ kredit qo‘mitasining xulosasiga quyidagi shartlarda XAMRAYEVA XUSHVAXT GAYBULLAYEVNAga mikroqarz berish masalasi kiritiladi:</v>
      </c>
      <c r="B37" s="277"/>
      <c r="C37" s="277"/>
      <c r="D37" s="277"/>
      <c r="E37" s="277"/>
    </row>
    <row r="38" spans="1:5" x14ac:dyDescent="0.25">
      <c r="A38" s="277" t="str">
        <f>A11</f>
        <v>Mikroqarz summasi: 50 000 000,00 (ellik million so'm) so'm.</v>
      </c>
      <c r="B38" s="277"/>
      <c r="C38" s="277"/>
      <c r="D38" s="277"/>
      <c r="E38" s="277"/>
    </row>
    <row r="39" spans="1:5" x14ac:dyDescent="0.25">
      <c r="A39" s="277" t="str">
        <f t="shared" ref="A39:A45" si="0">A12</f>
        <v>Mikroqarz muddati: 48 (Qirq sakkiz  ) oy.</v>
      </c>
      <c r="B39" s="277"/>
      <c r="C39" s="277"/>
      <c r="D39" s="277"/>
      <c r="E39" s="277"/>
    </row>
    <row r="40" spans="1:5" x14ac:dyDescent="0.25">
      <c r="A40" s="277" t="str">
        <f t="shared" si="0"/>
        <v>Mikroqarzdan foydalanganlik uchun foiz stavkasi: yillik  55% (Ellik besh  ) foiz</v>
      </c>
      <c r="B40" s="277"/>
      <c r="C40" s="277"/>
      <c r="D40" s="277"/>
      <c r="E40" s="277"/>
    </row>
    <row r="41" spans="1:5" x14ac:dyDescent="0.25">
      <c r="A41" s="277" t="str">
        <f t="shared" si="0"/>
        <v>Mikroqarz bo'yicha asosiy qarz va foizlarni to'lash:</v>
      </c>
      <c r="B41" s="277"/>
      <c r="C41" s="277"/>
      <c r="D41" s="277"/>
      <c r="E41" s="277"/>
    </row>
    <row r="42" spans="1:5" ht="20.25" customHeight="1" x14ac:dyDescent="0.25">
      <c r="A42" s="277" t="str">
        <f t="shared" si="0"/>
        <v xml:space="preserve"> - mikroqarz shartnomasi bo'yicha har oy differensial to'lovlari amalga oshiriladi</v>
      </c>
      <c r="B42" s="277"/>
      <c r="C42" s="277"/>
      <c r="D42" s="277"/>
      <c r="E42" s="277"/>
    </row>
    <row r="43" spans="1:5" ht="35.25" customHeight="1" x14ac:dyDescent="0.25">
      <c r="A43" s="277" t="str">
        <f t="shared" si="0"/>
        <v xml:space="preserve">  Oxirgi yakuniy to'lov mikroqarz shartnomasi tuzilgan kundan boshlab oxirgi oyning oxirgi kunida amalga oshiriladi</v>
      </c>
      <c r="B43" s="277"/>
      <c r="C43" s="277"/>
      <c r="D43" s="277"/>
      <c r="E43" s="277"/>
    </row>
    <row r="44" spans="1:5" ht="22.5" customHeight="1" x14ac:dyDescent="0.25">
      <c r="A44" s="277" t="str">
        <f t="shared" si="0"/>
        <v>Mikroqarz ta’minoti::</v>
      </c>
      <c r="B44" s="277"/>
      <c r="C44" s="277"/>
      <c r="D44" s="277"/>
      <c r="E44" s="277"/>
    </row>
    <row r="45" spans="1:5" ht="69" customHeight="1" x14ac:dyDescent="0.25">
      <c r="A45" s="277" t="str">
        <f t="shared" si="0"/>
        <v>1.   Egalik huquqi POSHSHAXANOVA NOZIMA ISMOILOVNAga tegishli bo'lgan garovga olingan avtomobil markasi   CHEVROLET SPARK, rangi -  OQ BELO DIMCHATIY, ishlab chiqarilgan yili - 2018, davlat raqam belgisi 50P697RA, kuzov turi - YENGIL SEDAN, kuzov raqami XWBMA48N1JA528481, dvigatel raqami B12D211181167HB9X0266, shassi raqami - RAKAMSIZ</v>
      </c>
      <c r="B45" s="277"/>
      <c r="C45" s="277"/>
      <c r="D45" s="277"/>
      <c r="E45" s="277"/>
    </row>
    <row r="46" spans="1:5" x14ac:dyDescent="0.25">
      <c r="A46" s="277"/>
      <c r="B46" s="277"/>
      <c r="C46" s="277"/>
      <c r="D46" s="277"/>
      <c r="E46" s="277"/>
    </row>
    <row r="47" spans="1:5" ht="29.25" customHeight="1" x14ac:dyDescent="0.25">
      <c r="A47" s="277" t="str">
        <f>""&amp;malumot!B158&amp;" mikromoliya tashkilotining xulosasi  "&amp;TEXT(malumot!B2,"ДД.ММ.ГГГГ")&amp;" y. tayyorlangan"</f>
        <v>«CLEVER MIKROMOLIYA TASHKILOTI» MChJ mikromoliya tashkilotining xulosasi  23.01.2026 y. tayyorlangan</v>
      </c>
      <c r="B47" s="277"/>
      <c r="C47" s="277"/>
      <c r="D47" s="277"/>
      <c r="E47" s="277"/>
    </row>
    <row r="48" spans="1:5" hidden="1" x14ac:dyDescent="0.25">
      <c r="A48" s="277"/>
      <c r="B48" s="277"/>
      <c r="C48" s="277"/>
      <c r="D48" s="277"/>
      <c r="E48" s="277"/>
    </row>
    <row r="49" spans="1:5" ht="15.75" hidden="1" customHeight="1" x14ac:dyDescent="0.25">
      <c r="A49" s="278"/>
      <c r="B49" s="278"/>
      <c r="C49" s="278"/>
      <c r="D49" s="19"/>
      <c r="E49" s="20"/>
    </row>
    <row r="50" spans="1:5" ht="35.25" hidden="1" customHeight="1" x14ac:dyDescent="0.25">
      <c r="A50" s="278"/>
      <c r="B50" s="278"/>
      <c r="C50" s="278"/>
      <c r="D50" s="20"/>
      <c r="E50" s="20"/>
    </row>
    <row r="51" spans="1:5" hidden="1" x14ac:dyDescent="0.25">
      <c r="A51" s="277"/>
      <c r="B51" s="277"/>
      <c r="C51" s="277"/>
      <c r="D51" s="277"/>
      <c r="E51" s="277"/>
    </row>
    <row r="52" spans="1:5" ht="59.25" customHeight="1" x14ac:dyDescent="0.25">
      <c r="A52" s="277" t="str">
        <f>""&amp;malumot!B158&amp;" mikromoliya tashkilotining Kredit qo‘mitasi a’zolari "&amp;malumot!B158&amp;"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2" s="277"/>
      <c r="C52" s="277"/>
      <c r="D52" s="277"/>
      <c r="E52" s="277"/>
    </row>
    <row r="53" spans="1:5" x14ac:dyDescent="0.25">
      <c r="A53" s="17" t="s">
        <v>390</v>
      </c>
      <c r="B53" s="311"/>
      <c r="C53" s="311"/>
      <c r="D53" s="17"/>
      <c r="E53" s="17"/>
    </row>
    <row r="54" spans="1:5" x14ac:dyDescent="0.25">
      <c r="C54" s="34"/>
    </row>
    <row r="55" spans="1:5" x14ac:dyDescent="0.25">
      <c r="A55" s="187" t="str">
        <f>malumot!A172</f>
        <v>Buxoro filiali boshlig'i</v>
      </c>
      <c r="B55" s="34"/>
      <c r="C55" s="34"/>
      <c r="D55" s="34" t="str">
        <f>malumot!B172</f>
        <v>A.Xudayberdiyev</v>
      </c>
    </row>
    <row r="56" spans="1:5" x14ac:dyDescent="0.25">
      <c r="A56" s="187"/>
      <c r="B56" s="34"/>
      <c r="C56" s="34"/>
      <c r="D56" s="34"/>
    </row>
    <row r="57" spans="1:5" x14ac:dyDescent="0.25">
      <c r="A57" s="187"/>
      <c r="B57" s="121"/>
      <c r="C57" s="34"/>
      <c r="D57" s="34"/>
    </row>
    <row r="58" spans="1:5" x14ac:dyDescent="0.25">
      <c r="A58" s="187"/>
      <c r="B58" s="34"/>
      <c r="C58" s="34"/>
      <c r="D58" s="34"/>
    </row>
    <row r="59" spans="1:5" ht="29.25" x14ac:dyDescent="0.25">
      <c r="A59" s="187" t="str">
        <f>malumot!A170</f>
        <v xml:space="preserve">Kreditlash bo’limi boshlig’i </v>
      </c>
      <c r="B59" s="34"/>
      <c r="C59" s="34"/>
      <c r="D59" s="34" t="str">
        <f>malumot!B170</f>
        <v>J.Sadiriddinzoda</v>
      </c>
    </row>
    <row r="60" spans="1:5" x14ac:dyDescent="0.25">
      <c r="A60" s="187"/>
      <c r="B60" s="34"/>
      <c r="C60" s="34"/>
      <c r="D60" s="34"/>
    </row>
    <row r="61" spans="1:5" x14ac:dyDescent="0.25">
      <c r="A61" s="187"/>
      <c r="B61" s="34"/>
      <c r="C61" s="34"/>
      <c r="D61" s="34"/>
    </row>
    <row r="62" spans="1:5" x14ac:dyDescent="0.25">
      <c r="A62" s="187"/>
      <c r="B62" s="34"/>
      <c r="C62" s="34"/>
      <c r="D62" s="34"/>
    </row>
    <row r="63" spans="1:5" ht="29.25" x14ac:dyDescent="0.25">
      <c r="A63" s="187" t="str">
        <f>malumot!A171</f>
        <v>Monitoring bo’limi boshlig’i</v>
      </c>
      <c r="B63" s="34"/>
      <c r="C63" s="34"/>
      <c r="D63" s="34" t="str">
        <f>malumot!B171</f>
        <v>D.Axmedov</v>
      </c>
    </row>
    <row r="64" spans="1:5" x14ac:dyDescent="0.25">
      <c r="A64" s="187"/>
      <c r="B64" s="34"/>
      <c r="C64" s="34"/>
      <c r="D64" s="34"/>
    </row>
    <row r="65" spans="1:4" x14ac:dyDescent="0.25">
      <c r="A65" s="187"/>
      <c r="B65" s="34"/>
      <c r="C65" s="34"/>
      <c r="D65" s="34"/>
    </row>
    <row r="66" spans="1:4" x14ac:dyDescent="0.25">
      <c r="A66" s="187"/>
      <c r="B66" s="34"/>
      <c r="C66" s="34"/>
      <c r="D66" s="34"/>
    </row>
    <row r="67" spans="1:4" x14ac:dyDescent="0.25">
      <c r="A67" s="259" t="s">
        <v>462</v>
      </c>
      <c r="B67" s="34"/>
      <c r="C67" s="34"/>
      <c r="D67" s="34" t="s">
        <v>421</v>
      </c>
    </row>
  </sheetData>
  <mergeCells count="51">
    <mergeCell ref="B53:C53"/>
    <mergeCell ref="A52:E52"/>
    <mergeCell ref="A37:E37"/>
    <mergeCell ref="A38:E38"/>
    <mergeCell ref="A39:E39"/>
    <mergeCell ref="A40:E40"/>
    <mergeCell ref="A41:E41"/>
    <mergeCell ref="A42:E42"/>
    <mergeCell ref="A43:E43"/>
    <mergeCell ref="A44:E44"/>
    <mergeCell ref="A45:E45"/>
    <mergeCell ref="A46:E46"/>
    <mergeCell ref="A47:E47"/>
    <mergeCell ref="A48:E48"/>
    <mergeCell ref="A51:E51"/>
    <mergeCell ref="A50:C50"/>
    <mergeCell ref="A33:E33"/>
    <mergeCell ref="A34:E34"/>
    <mergeCell ref="A35:E35"/>
    <mergeCell ref="A36:E36"/>
    <mergeCell ref="A49:C49"/>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3">
    <tabColor rgb="FF00B050"/>
  </sheetPr>
  <dimension ref="A2:F69"/>
  <sheetViews>
    <sheetView view="pageBreakPreview" topLeftCell="A48" zoomScaleNormal="100" zoomScaleSheetLayoutView="100" workbookViewId="0">
      <selection activeCell="D61" sqref="D61:E61"/>
    </sheetView>
  </sheetViews>
  <sheetFormatPr defaultColWidth="9.140625" defaultRowHeight="15" outlineLevelRow="1" x14ac:dyDescent="0.25"/>
  <cols>
    <col min="1" max="1" width="29.7109375" style="13" customWidth="1"/>
    <col min="2" max="2" width="22.85546875" style="13" customWidth="1"/>
    <col min="3" max="3" width="22.42578125" style="13" customWidth="1"/>
    <col min="4" max="4" width="21.42578125" style="13" customWidth="1"/>
    <col min="5" max="5" width="21.5703125" style="13" customWidth="1"/>
    <col min="6" max="16384" width="9.140625" style="13"/>
  </cols>
  <sheetData>
    <row r="2" spans="1:5" ht="37.5" customHeight="1" x14ac:dyDescent="0.25">
      <c r="A2" s="307" t="str">
        <f>"GAROV PREDMETI QIYMATINI KELISHISH 
№"&amp;malumot!B148&amp;" SONLI DALOLATNOMASI
 "</f>
        <v xml:space="preserve">GAROV PREDMETI QIYMATINI KELISHISH 
№1 SONLI DALOLATNOMASI
 </v>
      </c>
      <c r="B2" s="307"/>
      <c r="C2" s="307"/>
      <c r="D2" s="307"/>
      <c r="E2" s="307"/>
    </row>
    <row r="3" spans="1:5" x14ac:dyDescent="0.25">
      <c r="A3" s="37"/>
      <c r="B3" s="37"/>
      <c r="C3" s="37"/>
      <c r="D3" s="37"/>
      <c r="E3" s="37"/>
    </row>
    <row r="4" spans="1:5" x14ac:dyDescent="0.25">
      <c r="A4" s="34" t="s">
        <v>203</v>
      </c>
      <c r="B4" s="34"/>
      <c r="C4" s="34"/>
      <c r="D4" s="34"/>
      <c r="E4" s="34" t="str">
        <f>malumot!B149</f>
        <v>23 yanvar 2026 y.</v>
      </c>
    </row>
    <row r="5" spans="1:5" ht="9" customHeight="1" x14ac:dyDescent="0.25">
      <c r="A5" s="277"/>
      <c r="B5" s="277"/>
      <c r="C5" s="277"/>
      <c r="D5" s="277"/>
      <c r="E5" s="277"/>
    </row>
    <row r="6" spans="1:5" ht="77.25" customHeight="1" x14ac:dyDescent="0.25">
      <c r="A6" s="277" t="str">
        <f>IF(malumot!B110="avtotransport",dalolatnoma!A10:E10,dalolatnoma!A7:E7)</f>
        <v>«CLEVER MIKROMOLIYA TASHKILOTI» MChJning (1-tomon) vakili bo‘lgan  Buxoro filiali boshlig'i A.Xudayberdiyev, O‘zbekiston Respublikasi fuqarosi XAMRAYEVA XUSHVAXT GAYBULLAYEVNA (2-tomon) va garovga beruvchi O‘zbekiston Respublikasi fuqarosi POSHSHAXANOVA NOZIMA ISMOILOVNA (3-tomon) o’rtalarida, 23 yanvar 2026 y.dan №195-BRS-sonli Mikroqarz shartnomasiga muvofiq 1-tomon 2-tomonga berilgan mikroqarz bo‘yicha ta’minot sifatida taqdim etilgan, 3-tomonga mulk huquqi asosida tegishli bo‘lgan mulkning garov qiymatini kelishish muzokaralari o’tkazildi.</v>
      </c>
      <c r="B6" s="277"/>
      <c r="C6" s="277"/>
      <c r="D6" s="277"/>
      <c r="E6" s="277"/>
    </row>
    <row r="7" spans="1:5" ht="88.5" hidden="1" customHeight="1" x14ac:dyDescent="0.25">
      <c r="A7" s="277" t="str">
        <f>IF(malumot!B100="ha",dalolatnoma!A9:E9,dalolatnoma!A8:E8)</f>
        <v xml:space="preserve">«CLEVER MIKROMOLIYA TASHKILOTI» MChJning (1-tomon) vakili bo‘lgan  Buxoro filiali boshlig'i A.Xudayberdiyev, va O‘zbekiston Respublikasi fuqarosi  XAMRAYEVA XUSHVAXT GAYBULLAYEVNA (2-tomon) va garov egasi 0 (3-tomon) 23 yanvar 2026 y.dan №195-BRS Mikroqarz shartnomasiga muvofiq 1-tomon 2-tomonga berilgan mikroqarz bo‘yicha ta’minot sifatida taqdim etilgan, 2-tomonga mulk huquqi asosida tegishli bo‘lgan mulkning garov qiymatini kelishish muzokaralari o’tkazildi. </v>
      </c>
      <c r="B7" s="277"/>
      <c r="C7" s="277"/>
      <c r="D7" s="277"/>
      <c r="E7" s="277"/>
    </row>
    <row r="8" spans="1:5" ht="88.5" hidden="1" customHeight="1" x14ac:dyDescent="0.25">
      <c r="A8" s="277" t="str">
        <f>""&amp;malumot!B158&amp;"ning (1-tomon) vakili bo‘lgan  "&amp;malumot!A161&amp;" "&amp;malumot!B161&amp;",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Buxoro filiali boshlig'i A.Xudayberdiyev, va O‘zbekiston Respublikasi fuqarosi  XAMRAYEVA XUSHVAXT GAYBULLAYEVNA (2-tomon) va garov egasi 0 (3-tomon) 23 yanvar 2026 y.dan №195-BRS Mikroqarz shartnomasiga muvofiq 1-tomon 2-tomonga berilgan mikroqarz bo‘yicha ta’minot sifatida taqdim etilgan, 2-tomonga mulk huquqi asosida tegishli bo‘lgan mulkning garov qiymatini kelishish muzokaralari o’tkazildi. </v>
      </c>
      <c r="B8" s="277"/>
      <c r="C8" s="277"/>
      <c r="D8" s="277"/>
      <c r="E8" s="277"/>
    </row>
    <row r="9" spans="1:5" ht="88.5" hidden="1" customHeight="1" x14ac:dyDescent="0.25">
      <c r="A9" s="277" t="str">
        <f>""&amp;malumot!B158&amp;"ning (1-tomon) vakili bo‘lgan  "&amp;malumot!A161&amp;" "&amp;malumot!B161&amp;",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Buxoro filiali boshlig'i A.Xudayberdiyev, va O‘zbekiston Respublikasi fuqarosi  XAMRAYEVA XUSHVAXT GAYBULLAYEVNA (2-tomon) va garov egasi 0 (3-tomon) 23 yanvar 2026 y.dan №195-BRS Mikroqarz shartnomasiga muvofiq 1-tomon 2-tomonga berilgan mikroqarz bo‘yicha ta’minot sifatida taqdim etilgan, 2-tomonga mulk huquqi asosida tegishli bo‘lgan mulkning garov qiymatini kelishish muzokaralari o’tkazildi. </v>
      </c>
      <c r="B9" s="277"/>
      <c r="C9" s="277"/>
      <c r="D9" s="277"/>
      <c r="E9" s="277"/>
    </row>
    <row r="10" spans="1:5" ht="88.5" hidden="1" customHeight="1" x14ac:dyDescent="0.25">
      <c r="A10" s="277" t="str">
        <f>IF(malumot!B100="ha",dalolatnoma!A12:E12,dalolatnoma!A11:E11)</f>
        <v>«CLEVER MIKROMOLIYA TASHKILOTI» MChJning (1-tomon) vakili bo‘lgan  Buxoro filiali boshlig'i A.Xudayberdiyev, O‘zbekiston Respublikasi fuqarosi XAMRAYEVA XUSHVAXT GAYBULLAYEVNA (2-tomon) va garovga beruvchi O‘zbekiston Respublikasi fuqarosi POSHSHAXANOVA NOZIMA ISMOILOVNA (3-tomon) o’rtalarida, 23 yanvar 2026 y.dan №195-BRS-sonli Mikroqarz shartnomasiga muvofiq 1-tomon 2-tomonga berilgan mikroqarz bo‘yicha ta’minot sifatida taqdim etilgan, 3-tomonga mulk huquqi asosida tegishli bo‘lgan mulkning garov qiymatini kelishish muzokaralari o’tkazildi.</v>
      </c>
      <c r="B10" s="277"/>
      <c r="C10" s="277"/>
      <c r="D10" s="277"/>
      <c r="E10" s="277"/>
    </row>
    <row r="11" spans="1:5" ht="88.5" hidden="1" customHeight="1" x14ac:dyDescent="0.25">
      <c r="A11" s="277" t="str">
        <f>""&amp;malumot!B158&amp;"ning (1-tomon) vakili bo‘lgan  "&amp;malumot!A161&amp;" "&amp;malumot!B161&amp;", O‘zbekiston Respublikasi fuqarosi "&amp;malumot!B5&amp;" (2-tomon) va garovga beruvchi O‘zbekiston Respublikasi fuqarosi "&amp;malumot!B124&amp;"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Buxoro filiali boshlig'i A.Xudayberdiyev, O‘zbekiston Respublikasi fuqarosi XAMRAYEVA XUSHVAXT GAYBULLAYEVNA (2-tomon) va garovga beruvchi O‘zbekiston Respublikasi fuqarosi POSHSHAXANOVA NOZIMA ISMOILOVNA (3-tomon) o’rtalarida, 23 yanvar 2026 y.dan №195-BRS-sonli Mikroqarz shartnomasiga muvofiq 1-tomon 2-tomonga berilgan mikroqarz bo‘yicha ta’minot sifatida taqdim etilgan, 3-tomonga mulk huquqi asosida tegishli bo‘lgan mulkning garov qiymatini kelishish muzokaralari o’tkazildi.</v>
      </c>
      <c r="B11" s="277"/>
      <c r="C11" s="277"/>
      <c r="D11" s="277"/>
      <c r="E11" s="277"/>
    </row>
    <row r="12" spans="1:5" ht="88.5" hidden="1" customHeight="1" x14ac:dyDescent="0.25">
      <c r="A12" s="277" t="str">
        <f>""&amp;malumot!B158&amp;"ning (1-tomon) vakili bo‘lgan  "&amp;malumot!A161&amp;" "&amp;malumot!B161&amp;",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Buxoro filiali boshlig'i A.Xudayberdiyev, O‘zbekiston Respublikasi fuqarosi va garovga beruvchi XAMRAYEVA XUSHVAXT GAYBULLAYEVNA (2-tomon) o’rtalarida, 23 yanvar 2026 y.dan №195-BRS-sonli Mikroqarz shartnomasiga muvofiq 1-tomon 2-tomonga berilgan mikroqarz bo‘yicha ta’minot sifatida taqdim etilgan, 2-tomonga mulk huquqi asosida tegishli bo‘lgan mulkning garov qiymatini kelishish muzokaralari o’tkazildi.</v>
      </c>
      <c r="B12" s="277"/>
      <c r="C12" s="277"/>
      <c r="D12" s="277"/>
      <c r="E12" s="277"/>
    </row>
    <row r="13" spans="1:5" ht="88.5" hidden="1" customHeight="1" x14ac:dyDescent="0.25">
      <c r="A13" s="277" t="str">
        <f>"Garov predmeti sifatida "&amp;malumot!B132&amp;", 3-tomonga egalik huquqi tegishli bo'lgan, quyidagi tafsilotlarga ega avtotransport vositasi taqdim etiladi:"</f>
        <v>Garov predmeti sifatida CHEVROLET SPARK, 3-tomonga egalik huquqi tegishli bo'lgan, quyidagi tafsilotlarga ega avtotransport vositasi taqdim etiladi:</v>
      </c>
      <c r="B13" s="277"/>
      <c r="C13" s="277"/>
      <c r="D13" s="277"/>
      <c r="E13" s="277"/>
    </row>
    <row r="14" spans="1:5" ht="88.5" hidden="1" customHeight="1" x14ac:dyDescent="0.25">
      <c r="A14" s="277" t="str">
        <f>"Garov predmeti sifatida "&amp;malumot!B132&amp;", 2-tomonga egalik huquqi tegishli bo'lgan, quyidagi tafsilotlarga ega avtotransport vositasi taqdim etiladi:"</f>
        <v>Garov predmeti sifatida CHEVROLET SPARK, 2-tomonga egalik huquqi tegishli bo'lgan, quyidagi tafsilotlarga ega avtotransport vositasi taqdim etiladi:</v>
      </c>
      <c r="B14" s="277"/>
      <c r="C14" s="277"/>
      <c r="D14" s="277"/>
      <c r="E14" s="277"/>
    </row>
    <row r="15" spans="1:5" ht="88.5" hidden="1" customHeight="1" x14ac:dyDescent="0.25">
      <c r="A15" s="277" t="str">
        <f>IF(malumot!B100="ha",dalolatnoma!A14:E14,dalolatnoma!A13:E13)</f>
        <v>Garov predmeti sifatida CHEVROLET SPARK, 3-tomonga egalik huquqi tegishli bo'lgan, quyidagi tafsilotlarga ega avtotransport vositasi taqdim etiladi:</v>
      </c>
      <c r="B15" s="277"/>
      <c r="C15" s="277"/>
      <c r="D15" s="277"/>
      <c r="E15" s="277"/>
    </row>
    <row r="16" spans="1:5" ht="88.5" hidden="1" customHeight="1" x14ac:dyDescent="0.25">
      <c r="A16" s="277" t="str">
        <f>"Garov predmeti sifatida "&amp;malumot!C133&amp;", 2-tomonga egalik huquqi tegishli bo'lgan, quyidagi tafsilotlarga ega ko'chmas mulk taqdim etiladi:"</f>
        <v>Garov predmeti sifatida  0, 2-tomonga egalik huquqi tegishli bo'lgan, quyidagi tafsilotlarga ega ko'chmas mulk taqdim etiladi:</v>
      </c>
      <c r="B16" s="277"/>
      <c r="C16" s="277"/>
      <c r="D16" s="277"/>
      <c r="E16" s="277"/>
    </row>
    <row r="17" spans="1:5" ht="13.5" hidden="1" customHeight="1" x14ac:dyDescent="0.25">
      <c r="A17" s="277" t="str">
        <f>"Garov predmeti sifatida "&amp;malumot!C133&amp;", 3-tomonga egalik huquqi tegishli bo'lgan, quyidagi tafsilotlarga ega ko'chmas mulk taqdim etiladi:"</f>
        <v>Garov predmeti sifatida  0, 3-tomonga egalik huquqi tegishli bo'lgan, quyidagi tafsilotlarga ega ko'chmas mulk taqdim etiladi:</v>
      </c>
      <c r="B17" s="277"/>
      <c r="C17" s="277"/>
      <c r="D17" s="277"/>
      <c r="E17" s="277"/>
    </row>
    <row r="18" spans="1:5" ht="11.25" hidden="1" customHeight="1" x14ac:dyDescent="0.25">
      <c r="A18" s="277" t="str">
        <f>IF(malumot!B100="ha",dalolatnoma!A16:E16,dalolatnoma!A17:E17)</f>
        <v>Garov predmeti sifatida  0, 3-tomonga egalik huquqi tegishli bo'lgan, quyidagi tafsilotlarga ega ko'chmas mulk taqdim etiladi:</v>
      </c>
      <c r="B18" s="277"/>
      <c r="C18" s="277"/>
      <c r="D18" s="277"/>
      <c r="E18" s="277"/>
    </row>
    <row r="19" spans="1:5" ht="36.75" customHeight="1" x14ac:dyDescent="0.25">
      <c r="A19" s="277" t="str">
        <f>IF(malumot!B110="Avtotransport",dalolatnoma!A15:E15,dalolatnoma!A18:E18)</f>
        <v>Garov predmeti sifatida CHEVROLET SPARK, 3-tomonga egalik huquqi tegishli bo'lgan, quyidagi tafsilotlarga ega avtotransport vositasi taqdim etiladi:</v>
      </c>
      <c r="B19" s="277"/>
      <c r="C19" s="277"/>
      <c r="D19" s="277"/>
      <c r="E19" s="277"/>
    </row>
    <row r="20" spans="1:5" ht="48" customHeight="1" outlineLevel="1" x14ac:dyDescent="0.25">
      <c r="A20" s="36" t="s">
        <v>201</v>
      </c>
      <c r="B20" s="317" t="str">
        <f>IF(malumot!B110=malumot!C110,"Kuzov turi  va kuzov raqami*","Foydali maydoni")</f>
        <v>Kuzov turi  va kuzov raqami*</v>
      </c>
      <c r="C20" s="318"/>
      <c r="D20" s="36" t="str">
        <f>IF(malumot!B110=malumot!C110,"Dvigatel va shassi raqami*","Yashash maydoni")</f>
        <v>Dvigatel va shassi raqami*</v>
      </c>
      <c r="E20" s="36" t="str">
        <f>IF(malumot!B110=malumot!C110,"Ishlab chiqarilgan yili va rangi**","Umumiy maydoni")</f>
        <v>Ishlab chiqarilgan yili va rangi**</v>
      </c>
    </row>
    <row r="21" spans="1:5" ht="83.25" customHeight="1" outlineLevel="1" x14ac:dyDescent="0.25">
      <c r="A21" s="15" t="str">
        <f>IF(malumot!B110=malumot!C110,malumot!B132,malumot!C132)</f>
        <v>CHEVROLET SPARK</v>
      </c>
      <c r="B21" s="309" t="str">
        <f>IF(malumot!B110=malumot!C110,malumot!B134,CONCATENATE(malumot!F137," ","kv.m"))</f>
        <v>kuzov turi - YENGIL SEDAN, kuzov raqami XWBMA48N1JA528481</v>
      </c>
      <c r="C21" s="309"/>
      <c r="D21" s="15" t="str">
        <f>IF(malumot!B110=malumot!C110,malumot!B137,malumot!E140)</f>
        <v>dvigatel raqami B12D211181167HB9X0266, shassi raqami - RAKAMSIZ</v>
      </c>
      <c r="E21" s="15" t="str">
        <f>IF(malumot!B110=malumot!C110,malumot!B140,malumot!E137)</f>
        <v>rangi -  OQ BELO DIMCHATIY, ishlab chiqarilgan yili - 2018</v>
      </c>
    </row>
    <row r="22" spans="1:5" ht="17.25" customHeight="1" outlineLevel="1" x14ac:dyDescent="0.25">
      <c r="A22" s="277" t="str">
        <f>"-* "&amp;IF(malumot!B110=malumot!C110,"avtotransport "&amp;"egasi: "&amp;malumot!B124&amp;"","ko'chmas mulk"&amp;" egasi: "&amp;malumot!B124&amp;"")</f>
        <v>-* avtotransport egasi: POSHSHAXANOVA NOZIMA ISMOILOVNA</v>
      </c>
      <c r="B22" s="277"/>
      <c r="C22" s="277"/>
      <c r="D22" s="277"/>
      <c r="E22" s="277"/>
    </row>
    <row r="23" spans="1:5" outlineLevel="1" x14ac:dyDescent="0.25">
      <c r="A23" s="277" t="str">
        <f>IF(malumot!B110=malumot!C110,"-* texnik pasport: "&amp;malumot!B131&amp;"","-* reest raqami: "&amp;malumot!C131&amp;"")</f>
        <v>-* texnik pasport: AAG  0885005    03.02.2023</v>
      </c>
      <c r="B23" s="277"/>
      <c r="C23" s="277"/>
      <c r="D23" s="277"/>
      <c r="E23" s="277"/>
    </row>
    <row r="24" spans="1:5" s="159" customFormat="1" ht="36.75" customHeight="1" outlineLevel="1" x14ac:dyDescent="0.25">
      <c r="A24" s="277" t="str">
        <f>IF(malumot!B110=malumot!C110,"-* roʻyxatdan oʻtgan manzili/garaj manzili: "&amp;malumot!B129&amp;"","-*  kadastr raqami: "&amp;malumot!C134&amp;"")</f>
        <v>-* roʻyxatdan oʻtgan manzili/garaj manzili: NAMANGAN VILOYATI CHORTOQ TUMANI ALIXON SHFY ALIXON MFY ROXAT KO'CHASI 31-UY</v>
      </c>
      <c r="B24" s="277"/>
      <c r="C24" s="277"/>
      <c r="D24" s="277"/>
      <c r="E24" s="277"/>
    </row>
    <row r="25" spans="1:5" ht="33" customHeight="1" outlineLevel="1" x14ac:dyDescent="0.25">
      <c r="A25" s="277" t="str">
        <f>IF(malumot!B110=malumot!C110,"-* davlat raqami: "&amp;malumot!B133&amp;"","-* manzili: "&amp;malumot!C130&amp;"")</f>
        <v>-* davlat raqami: 50P697RA</v>
      </c>
      <c r="B25" s="277"/>
      <c r="C25" s="277"/>
      <c r="D25" s="277"/>
      <c r="E25" s="277"/>
    </row>
    <row r="26" spans="1:5" ht="65.25" hidden="1" customHeight="1" x14ac:dyDescent="0.25">
      <c r="A26" s="277" t="str">
        <f>IF(malumot!B100="ha",dalolatnoma!A28:E28,dalolatnoma!A27:E27)</f>
        <v>Tomonlar o’rtasida o’tkazilgan muzokaralar natijalariga ko‘ra, 2-tomon ta’minot sifatida quyidagi tafsilotlarga ega bo’lgan garov predmetini taqdim etadi, 1-tomon esa ushbu garov predmetini  23 yanvar 2026 y.dan №195-BRS mikroqarz shartnomasi bo‘yicha berilgan mikroqarz bo‘yicha  
50 400 000,00 (ellik million to'rt yuz ming so'm) so’m bo‘lgan kelishilgan garov qiymatida qabul qiladi::</v>
      </c>
      <c r="B26" s="277"/>
      <c r="C26" s="277"/>
      <c r="D26" s="277"/>
      <c r="E26" s="277"/>
    </row>
    <row r="27" spans="1:5" ht="66" hidden="1" customHeight="1" x14ac:dyDescent="0.25">
      <c r="A27" s="277"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23 yanvar 2026 y.dan №195-BRS mikroqarz shartnomasi bo‘yicha berilgan mikroqarz bo‘yicha  
50 400 000,00 (ellik million to'rt yuz ming so'm) so’m bo‘lgan kelishilgan garov qiymatida qabul qiladi::</v>
      </c>
      <c r="B27" s="277"/>
      <c r="C27" s="277"/>
      <c r="D27" s="277"/>
      <c r="E27" s="277"/>
    </row>
    <row r="28" spans="1:5" ht="60.75" customHeight="1" x14ac:dyDescent="0.25">
      <c r="A28" s="277"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23 yanvar 2026 y.dan №195-BRS Mikroqarz shartnomasi bo‘yicha berilgan mikroqarz bo‘yicha  
50 400 000,00 (ellik million to'rt yuz ming so'm) so’m bo‘lgan kelishilgan garov qiymatida qabul qiladi::</v>
      </c>
      <c r="B28" s="277"/>
      <c r="C28" s="277"/>
      <c r="D28" s="277"/>
      <c r="E28" s="277"/>
    </row>
    <row r="29" spans="1:5" ht="51.75" customHeight="1" outlineLevel="1" x14ac:dyDescent="0.25">
      <c r="A29" s="36" t="s">
        <v>201</v>
      </c>
      <c r="B29" s="36" t="str">
        <f>B20</f>
        <v>Kuzov turi  va kuzov raqami*</v>
      </c>
      <c r="C29" s="36" t="str">
        <f>D20</f>
        <v>Dvigatel va shassi raqami*</v>
      </c>
      <c r="D29" s="36" t="str">
        <f>IF(malumot!B110=malumot!C110,"Ishlab chiqarilgan yili va rangi*","Foydalanishga topshirilgan sanasi")</f>
        <v>Ishlab chiqarilgan yili va rangi*</v>
      </c>
      <c r="E29" s="36" t="s">
        <v>202</v>
      </c>
    </row>
    <row r="30" spans="1:5" ht="76.5" customHeight="1" outlineLevel="1" x14ac:dyDescent="0.25">
      <c r="A30" s="15" t="str">
        <f>A21</f>
        <v>CHEVROLET SPARK</v>
      </c>
      <c r="B30" s="15" t="str">
        <f>B21</f>
        <v>kuzov turi - YENGIL SEDAN, kuzov raqami XWBMA48N1JA528481</v>
      </c>
      <c r="C30" s="15" t="str">
        <f>D21</f>
        <v>dvigatel raqami B12D211181167HB9X0266, shassi raqami - RAKAMSIZ</v>
      </c>
      <c r="D30" s="15" t="str">
        <f>IF(malumot!B110=malumot!C110,E21,TEXT(malumot!C142,"ДД.ММ.ГГГГ"))</f>
        <v>rangi -  OQ BELO DIMCHATIY, ishlab chiqarilgan yili - 2018</v>
      </c>
      <c r="E30" s="15" t="str">
        <f>""&amp;FIXED(malumot!B143,2)&amp;" 
("&amp;malumot!B144&amp;")"</f>
        <v>50 400 000,00 
(ellik million to'rt yuz ming so'm)</v>
      </c>
    </row>
    <row r="31" spans="1:5" ht="16.5" customHeight="1" x14ac:dyDescent="0.25">
      <c r="A31" s="14"/>
      <c r="B31" s="14"/>
      <c r="C31" s="14"/>
      <c r="D31" s="14"/>
      <c r="E31" s="14"/>
    </row>
    <row r="32" spans="1:5" ht="56.25" hidden="1" customHeight="1" outlineLevel="1" x14ac:dyDescent="0.25">
      <c r="A32" s="36" t="s">
        <v>4</v>
      </c>
      <c r="B32" s="36" t="s">
        <v>18</v>
      </c>
      <c r="C32" s="36" t="s">
        <v>19</v>
      </c>
      <c r="D32" s="36" t="s">
        <v>20</v>
      </c>
      <c r="E32" s="36" t="s">
        <v>5</v>
      </c>
    </row>
    <row r="33" spans="1:5" ht="15.75" hidden="1" customHeight="1" outlineLevel="1" x14ac:dyDescent="0.25">
      <c r="A33" s="15" t="e">
        <f>#REF!</f>
        <v>#REF!</v>
      </c>
      <c r="B33" s="101" t="e">
        <f>#REF!</f>
        <v>#REF!</v>
      </c>
      <c r="C33" s="101" t="e">
        <f>#REF!</f>
        <v>#REF!</v>
      </c>
      <c r="D33" s="101" t="e">
        <f>#REF!</f>
        <v>#REF!</v>
      </c>
      <c r="E33" s="314" t="str">
        <f>""&amp;FIXED(malumot!C143,2)&amp;" ("&amp;malumot!B144&amp;")"</f>
        <v>50 400 000,00 (ellik million to'rt yuz ming so'm)</v>
      </c>
    </row>
    <row r="34" spans="1:5" ht="15.75" hidden="1" customHeight="1" outlineLevel="1" x14ac:dyDescent="0.25">
      <c r="A34" s="15"/>
      <c r="B34" s="101"/>
      <c r="C34" s="101"/>
      <c r="D34" s="101"/>
      <c r="E34" s="315"/>
    </row>
    <row r="35" spans="1:5" ht="15.75" hidden="1" customHeight="1" outlineLevel="1" x14ac:dyDescent="0.25">
      <c r="A35" s="15" t="e">
        <f>#REF!</f>
        <v>#REF!</v>
      </c>
      <c r="B35" s="101" t="e">
        <f>#REF!</f>
        <v>#REF!</v>
      </c>
      <c r="C35" s="101" t="e">
        <f>#REF!</f>
        <v>#REF!</v>
      </c>
      <c r="D35" s="101" t="e">
        <f>#REF!</f>
        <v>#REF!</v>
      </c>
      <c r="E35" s="315"/>
    </row>
    <row r="36" spans="1:5" ht="15.75" hidden="1" customHeight="1" outlineLevel="1" x14ac:dyDescent="0.25">
      <c r="A36" s="15" t="e">
        <f>#REF!</f>
        <v>#REF!</v>
      </c>
      <c r="B36" s="101" t="e">
        <f>#REF!</f>
        <v>#REF!</v>
      </c>
      <c r="C36" s="101" t="e">
        <f>#REF!</f>
        <v>#REF!</v>
      </c>
      <c r="D36" s="101" t="e">
        <f>#REF!</f>
        <v>#REF!</v>
      </c>
      <c r="E36" s="315"/>
    </row>
    <row r="37" spans="1:5" ht="15.75" hidden="1" customHeight="1" outlineLevel="1" x14ac:dyDescent="0.25">
      <c r="A37" s="15" t="e">
        <f>#REF!</f>
        <v>#REF!</v>
      </c>
      <c r="B37" s="101" t="e">
        <f>#REF!</f>
        <v>#REF!</v>
      </c>
      <c r="C37" s="101" t="e">
        <f>#REF!</f>
        <v>#REF!</v>
      </c>
      <c r="D37" s="101" t="e">
        <f>#REF!</f>
        <v>#REF!</v>
      </c>
      <c r="E37" s="315"/>
    </row>
    <row r="38" spans="1:5" ht="15.75" hidden="1" customHeight="1" outlineLevel="1" x14ac:dyDescent="0.25">
      <c r="A38" s="15" t="e">
        <f>#REF!</f>
        <v>#REF!</v>
      </c>
      <c r="B38" s="101" t="e">
        <f>#REF!</f>
        <v>#REF!</v>
      </c>
      <c r="C38" s="101" t="e">
        <f>#REF!</f>
        <v>#REF!</v>
      </c>
      <c r="D38" s="101" t="e">
        <f>#REF!</f>
        <v>#REF!</v>
      </c>
      <c r="E38" s="315"/>
    </row>
    <row r="39" spans="1:5" ht="15.75" hidden="1" customHeight="1" outlineLevel="1" x14ac:dyDescent="0.25">
      <c r="A39" s="15" t="e">
        <f>#REF!</f>
        <v>#REF!</v>
      </c>
      <c r="B39" s="101" t="e">
        <f>#REF!</f>
        <v>#REF!</v>
      </c>
      <c r="C39" s="101" t="e">
        <f>#REF!</f>
        <v>#REF!</v>
      </c>
      <c r="D39" s="101" t="e">
        <f>#REF!</f>
        <v>#REF!</v>
      </c>
      <c r="E39" s="315"/>
    </row>
    <row r="40" spans="1:5" ht="15.75" hidden="1" customHeight="1" outlineLevel="1" x14ac:dyDescent="0.25">
      <c r="A40" s="15" t="e">
        <f>#REF!</f>
        <v>#REF!</v>
      </c>
      <c r="B40" s="101" t="e">
        <f>#REF!</f>
        <v>#REF!</v>
      </c>
      <c r="C40" s="101" t="e">
        <f>#REF!</f>
        <v>#REF!</v>
      </c>
      <c r="D40" s="101" t="e">
        <f>#REF!</f>
        <v>#REF!</v>
      </c>
      <c r="E40" s="315"/>
    </row>
    <row r="41" spans="1:5" ht="15.75" hidden="1" customHeight="1" outlineLevel="1" x14ac:dyDescent="0.25">
      <c r="A41" s="15" t="e">
        <f>#REF!</f>
        <v>#REF!</v>
      </c>
      <c r="B41" s="101" t="e">
        <f>#REF!</f>
        <v>#REF!</v>
      </c>
      <c r="C41" s="101" t="e">
        <f>#REF!</f>
        <v>#REF!</v>
      </c>
      <c r="D41" s="101" t="e">
        <f>#REF!</f>
        <v>#REF!</v>
      </c>
      <c r="E41" s="315"/>
    </row>
    <row r="42" spans="1:5" ht="15.75" hidden="1" customHeight="1" outlineLevel="1" x14ac:dyDescent="0.25">
      <c r="A42" s="15" t="e">
        <f>#REF!</f>
        <v>#REF!</v>
      </c>
      <c r="B42" s="101" t="e">
        <f>#REF!</f>
        <v>#REF!</v>
      </c>
      <c r="C42" s="101" t="e">
        <f>#REF!</f>
        <v>#REF!</v>
      </c>
      <c r="D42" s="101" t="e">
        <f>#REF!</f>
        <v>#REF!</v>
      </c>
      <c r="E42" s="315"/>
    </row>
    <row r="43" spans="1:5" ht="15.75" hidden="1" customHeight="1" outlineLevel="1" x14ac:dyDescent="0.25">
      <c r="A43" s="15" t="e">
        <f>#REF!</f>
        <v>#REF!</v>
      </c>
      <c r="B43" s="15" t="e">
        <f>#REF!</f>
        <v>#REF!</v>
      </c>
      <c r="C43" s="15" t="e">
        <f>#REF!</f>
        <v>#REF!</v>
      </c>
      <c r="D43" s="15" t="e">
        <f>#REF!</f>
        <v>#REF!</v>
      </c>
      <c r="E43" s="316"/>
    </row>
    <row r="44" spans="1:5" s="34" customFormat="1" ht="15.75" hidden="1" customHeight="1" outlineLevel="1" x14ac:dyDescent="0.2">
      <c r="A44" s="36" t="e">
        <f>#REF!</f>
        <v>#REF!</v>
      </c>
      <c r="B44" s="36" t="e">
        <f>#REF!</f>
        <v>#REF!</v>
      </c>
      <c r="C44" s="36" t="e">
        <f>#REF!</f>
        <v>#REF!</v>
      </c>
      <c r="D44" s="36" t="e">
        <f>#REF!</f>
        <v>#REF!</v>
      </c>
      <c r="E44" s="36" t="str">
        <f>FIXED(malumot!C143,2)</f>
        <v>50 400 000,00</v>
      </c>
    </row>
    <row r="45" spans="1:5" ht="12.75" customHeight="1" collapsed="1" x14ac:dyDescent="0.25">
      <c r="A45" s="14"/>
      <c r="B45" s="14"/>
      <c r="C45" s="14"/>
      <c r="D45" s="14"/>
      <c r="E45" s="14"/>
    </row>
    <row r="46" spans="1:5" ht="93.75" hidden="1" customHeight="1" x14ac:dyDescent="0.25">
      <c r="A46" s="277"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77"/>
      <c r="C46" s="277"/>
      <c r="D46" s="277"/>
      <c r="E46" s="277"/>
    </row>
    <row r="47" spans="1:5" ht="42" customHeight="1" x14ac:dyDescent="0.25">
      <c r="A47" s="277" t="s">
        <v>205</v>
      </c>
      <c r="B47" s="277"/>
      <c r="C47" s="277"/>
      <c r="D47" s="277"/>
      <c r="E47" s="277"/>
    </row>
    <row r="48" spans="1:5" ht="35.25" customHeight="1" x14ac:dyDescent="0.25">
      <c r="A48" s="277" t="str">
        <f>"Shunday qilib, garov predmetining kelishilgan garov qiymati  "&amp;FIXED(malumot!B143)&amp;" ("&amp;malumot!B144&amp;") so‘mni tashkil etadi."</f>
        <v>Shunday qilib, garov predmetining kelishilgan garov qiymati  50 400 000,00 (ellik million to'rt yuz ming so'm) so‘mni tashkil etadi.</v>
      </c>
      <c r="B48" s="277"/>
      <c r="C48" s="277"/>
      <c r="D48" s="277"/>
      <c r="E48" s="277"/>
    </row>
    <row r="49" spans="1:6" ht="35.25" hidden="1" customHeight="1" x14ac:dyDescent="0.25">
      <c r="A49" s="17"/>
      <c r="B49" s="17"/>
      <c r="C49" s="17"/>
      <c r="D49" s="17">
        <f>IF(malumot!B99=malumot!C99,malumot!C143,IF(malumot!B99=malumot!D99,'Данные для послед. Залога'!M22,0))</f>
        <v>50400000</v>
      </c>
      <c r="E49" s="17" t="str">
        <f>IF(malumot!B99=malumot!C99,malumot!B144,IF(malumot!B99=malumot!D99,'Данные для послед. Залога'!Q22,0))</f>
        <v>ellik million to'rt yuz ming so'm</v>
      </c>
    </row>
    <row r="50" spans="1:6" x14ac:dyDescent="0.25">
      <c r="A50" s="311" t="s">
        <v>206</v>
      </c>
      <c r="B50" s="311"/>
      <c r="C50" s="311"/>
      <c r="D50" s="19"/>
      <c r="E50" s="19"/>
    </row>
    <row r="51" spans="1:6" x14ac:dyDescent="0.25">
      <c r="A51" s="311" t="str">
        <f>malumot!B159</f>
        <v>«CLEVER MIKROMOLIYA TASHKILOTI» MChJ</v>
      </c>
      <c r="B51" s="311"/>
      <c r="C51" s="311"/>
      <c r="D51" s="149"/>
      <c r="E51" s="149"/>
    </row>
    <row r="52" spans="1:6" ht="15" customHeight="1" x14ac:dyDescent="0.25">
      <c r="A52" s="311" t="str">
        <f>""&amp;malumot!A161&amp;""</f>
        <v>Buxoro filiali boshlig'i</v>
      </c>
      <c r="B52" s="311"/>
      <c r="C52" s="311"/>
      <c r="D52" s="188"/>
      <c r="E52" s="188" t="str">
        <f>malumot!B161</f>
        <v>A.Xudayberdiyev</v>
      </c>
    </row>
    <row r="53" spans="1:6" x14ac:dyDescent="0.25">
      <c r="A53" s="50"/>
      <c r="B53" s="50"/>
      <c r="C53" s="50"/>
      <c r="D53" s="50"/>
      <c r="E53" s="50"/>
    </row>
    <row r="54" spans="1:6" x14ac:dyDescent="0.25">
      <c r="A54" s="311"/>
      <c r="B54" s="311"/>
      <c r="C54" s="311"/>
      <c r="D54" s="50"/>
      <c r="E54" s="50"/>
    </row>
    <row r="55" spans="1:6" hidden="1" x14ac:dyDescent="0.25">
      <c r="A55" s="278" t="s">
        <v>44</v>
      </c>
      <c r="B55" s="278"/>
      <c r="C55" s="278"/>
      <c r="D55" s="50"/>
      <c r="E55" s="50"/>
    </row>
    <row r="56" spans="1:6" hidden="1" x14ac:dyDescent="0.25">
      <c r="A56" s="278" t="str">
        <f>malumot!B159</f>
        <v>«CLEVER MIKROMOLIYA TASHKILOTI» MChJ</v>
      </c>
      <c r="B56" s="278"/>
      <c r="C56" s="278"/>
      <c r="D56" s="278" t="str">
        <f>"_______________   "&amp;malumot!B170&amp;""</f>
        <v>_______________   J.Sadiriddinzoda</v>
      </c>
      <c r="E56" s="278"/>
    </row>
    <row r="57" spans="1:6" ht="12.75" customHeight="1" x14ac:dyDescent="0.25">
      <c r="A57" s="278"/>
      <c r="B57" s="278"/>
      <c r="C57" s="278"/>
      <c r="D57" s="278"/>
      <c r="E57" s="278"/>
    </row>
    <row r="58" spans="1:6" x14ac:dyDescent="0.25">
      <c r="A58" s="311" t="s">
        <v>207</v>
      </c>
      <c r="B58" s="311"/>
      <c r="C58" s="311"/>
      <c r="D58" s="278"/>
      <c r="E58" s="278"/>
    </row>
    <row r="59" spans="1:6" ht="31.5" customHeight="1" x14ac:dyDescent="0.25">
      <c r="A59" s="278" t="s">
        <v>208</v>
      </c>
      <c r="B59" s="278"/>
      <c r="C59" s="278"/>
      <c r="D59" s="311" t="str">
        <f>"_______________  "&amp;malumot!B7&amp;""</f>
        <v>_______________  XAMRAYEVA X.G.</v>
      </c>
      <c r="E59" s="311"/>
    </row>
    <row r="60" spans="1:6" x14ac:dyDescent="0.25">
      <c r="A60" s="278"/>
      <c r="B60" s="278"/>
      <c r="C60" s="278"/>
      <c r="D60" s="313" t="str">
        <f>IF(malumot!B100="да","",malumot!B125)</f>
        <v>POSHSHAXANOVA N.I.</v>
      </c>
      <c r="E60" s="313"/>
    </row>
    <row r="61" spans="1:6" ht="18.75" customHeight="1" x14ac:dyDescent="0.25">
      <c r="A61" s="311" t="str">
        <f>+IF(malumot!B100="ha"," ","3-tomondan:")</f>
        <v>3-tomondan:</v>
      </c>
      <c r="B61" s="311"/>
      <c r="C61" s="311"/>
      <c r="D61" s="311" t="str">
        <f>"_______________  "&amp;malumot!B7&amp;""</f>
        <v>_______________  XAMRAYEVA X.G.</v>
      </c>
      <c r="E61" s="311"/>
      <c r="F61" s="13">
        <f>IF(malumot!B101=malumot!D101,B7,"")</f>
        <v>0</v>
      </c>
    </row>
    <row r="62" spans="1:6" x14ac:dyDescent="0.25">
      <c r="A62" s="278" t="str">
        <f>+IF(malumot!B100="ha"," ","O'zbekiston Respublikasi fuqarosi")</f>
        <v>O'zbekiston Respublikasi fuqarosi</v>
      </c>
      <c r="B62" s="278"/>
      <c r="C62" s="278"/>
      <c r="D62" s="311"/>
      <c r="E62" s="311"/>
    </row>
    <row r="63" spans="1:6" x14ac:dyDescent="0.25">
      <c r="D63" s="312"/>
      <c r="E63" s="312"/>
    </row>
    <row r="64" spans="1:6" x14ac:dyDescent="0.25">
      <c r="B64" s="290" t="str">
        <f>garov_ariza!A20</f>
        <v xml:space="preserve">№2026023772000213 23.01.2026sanasidan xususiy faoliyat ko'rsatuvchi notarius tomonidan  BUXORO VILOYATI BUXORO SHAHRI BOG'ISHAMOL KO'CHASI 1/7-UY 1-XONA berilgan ishonchnomaga asosan </v>
      </c>
      <c r="C64" s="290"/>
      <c r="D64" s="290"/>
      <c r="E64" s="290"/>
    </row>
    <row r="65" spans="2:5" x14ac:dyDescent="0.25">
      <c r="B65" s="290"/>
      <c r="C65" s="290"/>
      <c r="D65" s="290"/>
      <c r="E65" s="290"/>
    </row>
    <row r="66" spans="2:5" x14ac:dyDescent="0.25">
      <c r="B66" s="290"/>
      <c r="C66" s="290"/>
      <c r="D66" s="290"/>
      <c r="E66" s="290"/>
    </row>
    <row r="67" spans="2:5" x14ac:dyDescent="0.25">
      <c r="B67" s="290"/>
      <c r="C67" s="290"/>
      <c r="D67" s="290"/>
      <c r="E67" s="290"/>
    </row>
    <row r="69" spans="2:5" s="249" customFormat="1" x14ac:dyDescent="0.25"/>
  </sheetData>
  <mergeCells count="50">
    <mergeCell ref="A2:E2"/>
    <mergeCell ref="A11:E11"/>
    <mergeCell ref="A12:E12"/>
    <mergeCell ref="A13:E13"/>
    <mergeCell ref="A10:E10"/>
    <mergeCell ref="A5:E5"/>
    <mergeCell ref="A6:E6"/>
    <mergeCell ref="A7:E7"/>
    <mergeCell ref="A8:E8"/>
    <mergeCell ref="A9:E9"/>
    <mergeCell ref="A19:E19"/>
    <mergeCell ref="A24:E24"/>
    <mergeCell ref="A50:C50"/>
    <mergeCell ref="A51:C51"/>
    <mergeCell ref="A52:C52"/>
    <mergeCell ref="A46:E46"/>
    <mergeCell ref="A47:E47"/>
    <mergeCell ref="B20:C20"/>
    <mergeCell ref="B21:C21"/>
    <mergeCell ref="A28:E28"/>
    <mergeCell ref="A48:E48"/>
    <mergeCell ref="A26:E26"/>
    <mergeCell ref="A25:E25"/>
    <mergeCell ref="A54:C54"/>
    <mergeCell ref="A55:C55"/>
    <mergeCell ref="A57:C57"/>
    <mergeCell ref="D57:E57"/>
    <mergeCell ref="A56:C56"/>
    <mergeCell ref="D56:E56"/>
    <mergeCell ref="B64:E67"/>
    <mergeCell ref="A22:E22"/>
    <mergeCell ref="A23:E23"/>
    <mergeCell ref="A14:E14"/>
    <mergeCell ref="A15:E15"/>
    <mergeCell ref="A16:E16"/>
    <mergeCell ref="A17:E17"/>
    <mergeCell ref="A18:E18"/>
    <mergeCell ref="A58:C58"/>
    <mergeCell ref="D58:E58"/>
    <mergeCell ref="A59:C59"/>
    <mergeCell ref="D59:E59"/>
    <mergeCell ref="A60:C60"/>
    <mergeCell ref="D60:E60"/>
    <mergeCell ref="A27:E27"/>
    <mergeCell ref="E33:E43"/>
    <mergeCell ref="A61:C61"/>
    <mergeCell ref="D61:E61"/>
    <mergeCell ref="A62:C62"/>
    <mergeCell ref="D62:E62"/>
    <mergeCell ref="D63:E6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tabColor rgb="FF00B050"/>
    <pageSetUpPr fitToPage="1"/>
  </sheetPr>
  <dimension ref="A2:P76"/>
  <sheetViews>
    <sheetView tabSelected="1" view="pageBreakPreview" topLeftCell="A2" zoomScaleNormal="100" zoomScaleSheetLayoutView="100" workbookViewId="0">
      <selection activeCell="D76" sqref="D76:F76"/>
    </sheetView>
  </sheetViews>
  <sheetFormatPr defaultColWidth="9.140625" defaultRowHeight="15" outlineLevelCol="1" x14ac:dyDescent="0.25"/>
  <cols>
    <col min="1" max="1" width="9.140625" style="13"/>
    <col min="2" max="2" width="13.7109375" style="13" customWidth="1"/>
    <col min="3" max="3" width="20.140625" style="13" customWidth="1"/>
    <col min="4" max="4" width="20.28515625" style="13" customWidth="1"/>
    <col min="5" max="5" width="19.5703125" style="13" customWidth="1"/>
    <col min="6" max="6" width="18.28515625" style="13" customWidth="1"/>
    <col min="7" max="7" width="10.140625" style="13" customWidth="1" outlineLevel="1"/>
    <col min="8" max="8" width="19.7109375" style="13" customWidth="1"/>
    <col min="9" max="10" width="9.140625" style="13" customWidth="1"/>
    <col min="11" max="16384" width="9.140625" style="13"/>
  </cols>
  <sheetData>
    <row r="2" spans="1:16" ht="2.25" customHeight="1" x14ac:dyDescent="0.25">
      <c r="A2" s="34"/>
      <c r="B2" s="34"/>
      <c r="C2" s="34"/>
      <c r="D2" s="34"/>
      <c r="E2" s="306"/>
      <c r="F2" s="306"/>
      <c r="G2" s="18"/>
    </row>
    <row r="3" spans="1:16" ht="46.5" customHeight="1" x14ac:dyDescent="0.25">
      <c r="A3" s="34"/>
      <c r="B3" s="34"/>
      <c r="C3" s="34"/>
      <c r="D3" s="34"/>
      <c r="E3" s="321" t="str">
        <f>""&amp;malumot!B74&amp;" 
"&amp;malumot!B65&amp;" shartnomasiga 
1 sonli ilova"</f>
        <v>23 yanvar 2026 y.dan №195-BRS 
mikroqarz shartnomasiga 
1 sonli ilova</v>
      </c>
      <c r="F3" s="321"/>
      <c r="G3" s="18"/>
    </row>
    <row r="4" spans="1:16" ht="5.25" customHeight="1" x14ac:dyDescent="0.25">
      <c r="A4" s="34"/>
      <c r="B4" s="34"/>
      <c r="C4" s="34"/>
      <c r="D4" s="34"/>
      <c r="E4" s="34"/>
      <c r="F4" s="34"/>
    </row>
    <row r="5" spans="1:16" x14ac:dyDescent="0.25">
      <c r="A5" s="307" t="s">
        <v>259</v>
      </c>
      <c r="B5" s="307"/>
      <c r="C5" s="307"/>
      <c r="D5" s="307"/>
      <c r="E5" s="307"/>
      <c r="F5" s="307"/>
    </row>
    <row r="6" spans="1:16" ht="4.5" customHeight="1" x14ac:dyDescent="0.25"/>
    <row r="7" spans="1:16" ht="15" customHeight="1" x14ac:dyDescent="0.25">
      <c r="A7" s="308" t="s">
        <v>14</v>
      </c>
      <c r="B7" s="309" t="s">
        <v>260</v>
      </c>
      <c r="C7" s="309" t="s">
        <v>261</v>
      </c>
      <c r="D7" s="310" t="s">
        <v>262</v>
      </c>
      <c r="E7" s="310"/>
      <c r="F7" s="310"/>
    </row>
    <row r="8" spans="1:16" s="14" customFormat="1" x14ac:dyDescent="0.25">
      <c r="A8" s="308"/>
      <c r="B8" s="309"/>
      <c r="C8" s="309"/>
      <c r="D8" s="15" t="s">
        <v>263</v>
      </c>
      <c r="E8" s="15" t="s">
        <v>264</v>
      </c>
      <c r="F8" s="15" t="s">
        <v>265</v>
      </c>
    </row>
    <row r="9" spans="1:16" x14ac:dyDescent="0.25">
      <c r="A9" s="16">
        <v>1</v>
      </c>
      <c r="B9" s="30">
        <f>'График аннуитет.'!B8</f>
        <v>46058</v>
      </c>
      <c r="C9" s="31">
        <f>IF(malumot!$B$78=malumot!$C$78,'График дифференц'!C8,IF(malumot!$B$78=malumot!$D$78,'График аннуитет.'!C8))</f>
        <v>50000000</v>
      </c>
      <c r="D9" s="31">
        <f>IF(malumot!$B$78=malumot!$C$78,'График дифференц'!D8,IF(malumot!$B$78=malumot!$D$78,'График аннуитет.'!D8))</f>
        <v>1041666.67</v>
      </c>
      <c r="E9" s="31">
        <f>IF(malumot!$B$78=malumot!$C$78,'График дифференц'!E8,IF(malumot!$B$78=malumot!$D$78,'График аннуитет.'!E8))</f>
        <v>979452.11</v>
      </c>
      <c r="F9" s="31">
        <f>IF(malumot!$B$78=malumot!$C$78,'График дифференц'!F8,IF(malumot!$B$78=malumot!$D$78,'График аннуитет.'!F8))</f>
        <v>2021118.78</v>
      </c>
    </row>
    <row r="10" spans="1:16" x14ac:dyDescent="0.25">
      <c r="A10" s="16">
        <v>2</v>
      </c>
      <c r="B10" s="30">
        <f>'График аннуитет.'!B9</f>
        <v>46086</v>
      </c>
      <c r="C10" s="31">
        <f>IF(malumot!$B$78=malumot!$C$78,'График дифференц'!C9,IF(malumot!$B$78=malumot!$D$78,'График аннуитет.'!C9))</f>
        <v>48958333.329999998</v>
      </c>
      <c r="D10" s="31">
        <f>IF(malumot!$B$78=malumot!$C$78,'График дифференц'!D9,IF(malumot!$B$78=malumot!$D$78,'График аннуитет.'!D9))</f>
        <v>1041666.67</v>
      </c>
      <c r="E10" s="31">
        <f>IF(malumot!$B$78=malumot!$C$78,'График дифференц'!E9,IF(malumot!$B$78=malumot!$D$78,'График аннуитет.'!E9))</f>
        <v>2065639.24</v>
      </c>
      <c r="F10" s="31">
        <f>IF(malumot!$B$78=malumot!$C$78,'График дифференц'!F9,IF(malumot!$B$78=malumot!$D$78,'График аннуитет.'!F9))</f>
        <v>3107305.91</v>
      </c>
    </row>
    <row r="11" spans="1:16" x14ac:dyDescent="0.25">
      <c r="A11" s="16">
        <v>3</v>
      </c>
      <c r="B11" s="30">
        <f>'График аннуитет.'!B10</f>
        <v>46118</v>
      </c>
      <c r="C11" s="31">
        <f>IF(malumot!$B$78=malumot!$C$78,'График дифференц'!C10,IF(malumot!$B$78=malumot!$D$78,'График аннуитет.'!C10))</f>
        <v>47916666.659999996</v>
      </c>
      <c r="D11" s="31">
        <f>IF(malumot!$B$78=malumot!$C$78,'График дифференц'!D10,IF(malumot!$B$78=malumot!$D$78,'График аннуитет.'!D10))</f>
        <v>1041666.67</v>
      </c>
      <c r="E11" s="31">
        <f>IF(malumot!$B$78=malumot!$C$78,'График дифференц'!E10,IF(malumot!$B$78=malumot!$D$78,'График аннуитет.'!E10))</f>
        <v>2310502.3999999999</v>
      </c>
      <c r="F11" s="31">
        <f>IF(malumot!$B$78=malumot!$C$78,'График дифференц'!F10,IF(malumot!$B$78=malumot!$D$78,'График аннуитет.'!F10))</f>
        <v>3352169.07</v>
      </c>
    </row>
    <row r="12" spans="1:16" x14ac:dyDescent="0.25">
      <c r="A12" s="16">
        <v>4</v>
      </c>
      <c r="B12" s="30">
        <f>'График аннуитет.'!B11</f>
        <v>46147</v>
      </c>
      <c r="C12" s="31">
        <f>IF(malumot!$B$78=malumot!$C$78,'График дифференц'!C11,IF(malumot!$B$78=malumot!$D$78,'График аннуитет.'!C11))</f>
        <v>46874999.989999995</v>
      </c>
      <c r="D12" s="31">
        <f>IF(malumot!$B$78=malumot!$C$78,'График дифференц'!D11,IF(malumot!$B$78=malumot!$D$78,'График аннуитет.'!D11))</f>
        <v>1041666.67</v>
      </c>
      <c r="E12" s="31">
        <f>IF(malumot!$B$78=malumot!$C$78,'График дифференц'!E11,IF(malumot!$B$78=malumot!$D$78,'График аннуитет.'!E11))</f>
        <v>2048373.24</v>
      </c>
      <c r="F12" s="31">
        <f>IF(malumot!$B$78=malumot!$C$78,'График дифференц'!F11,IF(malumot!$B$78=malumot!$D$78,'График аннуитет.'!F11))</f>
        <v>3090039.91</v>
      </c>
      <c r="H12" s="319" t="s">
        <v>366</v>
      </c>
      <c r="I12" s="319"/>
      <c r="J12" s="319"/>
      <c r="K12" s="319"/>
      <c r="L12" s="319"/>
      <c r="M12" s="319"/>
      <c r="N12" s="319"/>
      <c r="O12" s="319"/>
      <c r="P12" s="319"/>
    </row>
    <row r="13" spans="1:16" x14ac:dyDescent="0.25">
      <c r="A13" s="16">
        <v>5</v>
      </c>
      <c r="B13" s="30">
        <f>'График аннуитет.'!B12</f>
        <v>46178</v>
      </c>
      <c r="C13" s="31">
        <f>IF(malumot!$B$78=malumot!$C$78,'График дифференц'!C12,IF(malumot!$B$78=malumot!$D$78,'График аннуитет.'!C12))</f>
        <v>45833333.319999993</v>
      </c>
      <c r="D13" s="31">
        <f>IF(malumot!$B$78=malumot!$C$78,'График дифференц'!D12,IF(malumot!$B$78=malumot!$D$78,'График аннуитет.'!D12))</f>
        <v>1041666.67</v>
      </c>
      <c r="E13" s="31">
        <f>IF(malumot!$B$78=malumot!$C$78,'График дифференц'!E12,IF(malumot!$B$78=malumot!$D$78,'График аннуитет.'!E12))</f>
        <v>2140981.8299999996</v>
      </c>
      <c r="F13" s="31">
        <f>IF(malumot!$B$78=malumot!$C$78,'График дифференц'!F12,IF(malumot!$B$78=malumot!$D$78,'График аннуитет.'!F12))</f>
        <v>3182648.4999999995</v>
      </c>
      <c r="H13" s="319"/>
      <c r="I13" s="319"/>
      <c r="J13" s="319"/>
      <c r="K13" s="319"/>
      <c r="L13" s="319"/>
      <c r="M13" s="319"/>
      <c r="N13" s="319"/>
      <c r="O13" s="319"/>
      <c r="P13" s="319"/>
    </row>
    <row r="14" spans="1:16" x14ac:dyDescent="0.25">
      <c r="A14" s="16">
        <v>6</v>
      </c>
      <c r="B14" s="30">
        <f>'График аннуитет.'!B13</f>
        <v>46209</v>
      </c>
      <c r="C14" s="31">
        <f>IF(malumot!$B$78=malumot!$C$78,'График дифференц'!C13,IF(malumot!$B$78=malumot!$D$78,'График аннуитет.'!C13))</f>
        <v>44791666.649999991</v>
      </c>
      <c r="D14" s="31">
        <f>IF(malumot!$B$78=malumot!$C$78,'График дифференц'!D13,IF(malumot!$B$78=malumot!$D$78,'График аннуитет.'!D13))</f>
        <v>1041666.67</v>
      </c>
      <c r="E14" s="31">
        <f>IF(malumot!$B$78=malumot!$C$78,'График дифференц'!E13,IF(malumot!$B$78=malumot!$D$78,'График аннуитет.'!E13))</f>
        <v>2092322.9899999998</v>
      </c>
      <c r="F14" s="31">
        <f>IF(malumot!$B$78=malumot!$C$78,'График дифференц'!F13,IF(malumot!$B$78=malumot!$D$78,'График аннуитет.'!F13))</f>
        <v>3133989.6599999997</v>
      </c>
      <c r="H14" s="319"/>
      <c r="I14" s="319"/>
      <c r="J14" s="319"/>
      <c r="K14" s="319"/>
      <c r="L14" s="319"/>
      <c r="M14" s="319"/>
      <c r="N14" s="319"/>
      <c r="O14" s="319"/>
      <c r="P14" s="319"/>
    </row>
    <row r="15" spans="1:16" x14ac:dyDescent="0.25">
      <c r="A15" s="16">
        <v>7</v>
      </c>
      <c r="B15" s="30">
        <f>'График аннуитет.'!B14</f>
        <v>46239</v>
      </c>
      <c r="C15" s="31">
        <f>IF(malumot!$B$78=malumot!$C$78,'График дифференц'!C14,IF(malumot!$B$78=malumot!$D$78,'График аннуитет.'!C14))</f>
        <v>43749999.979999989</v>
      </c>
      <c r="D15" s="31">
        <f>IF(malumot!$B$78=malumot!$C$78,'График дифференц'!D14,IF(malumot!$B$78=malumot!$D$78,'График аннуитет.'!D14))</f>
        <v>1041666.67</v>
      </c>
      <c r="E15" s="31">
        <f>IF(malumot!$B$78=malumot!$C$78,'График дифференц'!E14,IF(malumot!$B$78=malumot!$D$78,'График аннуитет.'!E14))</f>
        <v>1977739.8</v>
      </c>
      <c r="F15" s="31">
        <f>IF(malumot!$B$78=malumot!$C$78,'График дифференц'!F14,IF(malumot!$B$78=malumot!$D$78,'График аннуитет.'!F14))</f>
        <v>3019406.47</v>
      </c>
      <c r="H15" s="319"/>
      <c r="I15" s="319"/>
      <c r="J15" s="319"/>
      <c r="K15" s="319"/>
      <c r="L15" s="319"/>
      <c r="M15" s="319"/>
      <c r="N15" s="319"/>
      <c r="O15" s="319"/>
      <c r="P15" s="319"/>
    </row>
    <row r="16" spans="1:16" x14ac:dyDescent="0.25">
      <c r="A16" s="16">
        <v>8</v>
      </c>
      <c r="B16" s="30">
        <f>'График аннуитет.'!B15</f>
        <v>46272</v>
      </c>
      <c r="C16" s="31">
        <f>IF(malumot!$B$78=malumot!$C$78,'График дифференц'!C15,IF(malumot!$B$78=malumot!$D$78,'График аннуитет.'!C15))</f>
        <v>42708333.309999987</v>
      </c>
      <c r="D16" s="31">
        <f>IF(malumot!$B$78=malumot!$C$78,'График дифференц'!D15,IF(malumot!$B$78=malumot!$D$78,'График аннуитет.'!D15))</f>
        <v>1041666.67</v>
      </c>
      <c r="E16" s="31">
        <f>IF(malumot!$B$78=malumot!$C$78,'График дифференц'!E15,IF(malumot!$B$78=malumot!$D$78,'График аннуитет.'!E15))</f>
        <v>2123715.6599999997</v>
      </c>
      <c r="F16" s="31">
        <f>IF(malumot!$B$78=malumot!$C$78,'График дифференц'!F15,IF(malumot!$B$78=malumot!$D$78,'График аннуитет.'!F15))</f>
        <v>3165382.3299999996</v>
      </c>
      <c r="H16" s="319"/>
      <c r="I16" s="319"/>
      <c r="J16" s="319"/>
      <c r="K16" s="319"/>
      <c r="L16" s="319"/>
      <c r="M16" s="319"/>
      <c r="N16" s="319"/>
      <c r="O16" s="319"/>
      <c r="P16" s="319"/>
    </row>
    <row r="17" spans="1:16" x14ac:dyDescent="0.25">
      <c r="A17" s="16">
        <v>9</v>
      </c>
      <c r="B17" s="30">
        <f>'График аннуитет.'!B16</f>
        <v>46300</v>
      </c>
      <c r="C17" s="31">
        <f>IF(malumot!$B$78=malumot!$C$78,'График дифференц'!C16,IF(malumot!$B$78=malumot!$D$78,'График аннуитет.'!C16))</f>
        <v>41666666.639999986</v>
      </c>
      <c r="D17" s="31">
        <f>IF(malumot!$B$78=malumot!$C$78,'График дифференц'!D16,IF(malumot!$B$78=malumot!$D$78,'График аннуитет.'!D16))</f>
        <v>1041666.67</v>
      </c>
      <c r="E17" s="31">
        <f>IF(malumot!$B$78=malumot!$C$78,'График дифференц'!E16,IF(malumot!$B$78=malumot!$D$78,'График аннуитет.'!E16))</f>
        <v>1757990.92</v>
      </c>
      <c r="F17" s="31">
        <f>IF(malumot!$B$78=malumot!$C$78,'График дифференц'!F16,IF(malumot!$B$78=malumot!$D$78,'График аннуитет.'!F16))</f>
        <v>2799657.59</v>
      </c>
      <c r="H17" s="319"/>
      <c r="I17" s="319"/>
      <c r="J17" s="319"/>
      <c r="K17" s="319"/>
      <c r="L17" s="319"/>
      <c r="M17" s="319"/>
      <c r="N17" s="319"/>
      <c r="O17" s="319"/>
      <c r="P17" s="319"/>
    </row>
    <row r="18" spans="1:16" x14ac:dyDescent="0.25">
      <c r="A18" s="16">
        <v>10</v>
      </c>
      <c r="B18" s="30">
        <f>'График аннуитет.'!B17</f>
        <v>46331</v>
      </c>
      <c r="C18" s="31">
        <f>IF(malumot!$B$78=malumot!$C$78,'График дифференц'!C17,IF(malumot!$B$78=malumot!$D$78,'График аннуитет.'!C17))</f>
        <v>40624999.969999984</v>
      </c>
      <c r="D18" s="31">
        <f>IF(malumot!$B$78=malumot!$C$78,'График дифференц'!D17,IF(malumot!$B$78=malumot!$D$78,'График аннуитет.'!D17))</f>
        <v>1041666.67</v>
      </c>
      <c r="E18" s="31">
        <f>IF(malumot!$B$78=malumot!$C$78,'График дифференц'!E17,IF(malumot!$B$78=malumot!$D$78,'График аннуитет.'!E17))</f>
        <v>1897688.25</v>
      </c>
      <c r="F18" s="31">
        <f>IF(malumot!$B$78=malumot!$C$78,'График дифференц'!F17,IF(malumot!$B$78=malumot!$D$78,'График аннуитет.'!F17))</f>
        <v>2939354.92</v>
      </c>
      <c r="H18" s="319"/>
      <c r="I18" s="319"/>
      <c r="J18" s="319"/>
      <c r="K18" s="319"/>
      <c r="L18" s="319"/>
      <c r="M18" s="319"/>
      <c r="N18" s="319"/>
      <c r="O18" s="319"/>
      <c r="P18" s="319"/>
    </row>
    <row r="19" spans="1:16" x14ac:dyDescent="0.25">
      <c r="A19" s="16">
        <v>11</v>
      </c>
      <c r="B19" s="30">
        <f>'График аннуитет.'!B18</f>
        <v>46363</v>
      </c>
      <c r="C19" s="31">
        <f>IF(malumot!$B$78=malumot!$C$78,'График дифференц'!C18,IF(malumot!$B$78=malumot!$D$78,'График аннуитет.'!C18))</f>
        <v>39583333.299999982</v>
      </c>
      <c r="D19" s="31">
        <f>IF(malumot!$B$78=malumot!$C$78,'График дифференц'!D18,IF(malumot!$B$78=malumot!$D$78,'График аннуитет.'!D18))</f>
        <v>1041666.67</v>
      </c>
      <c r="E19" s="31">
        <f>IF(malumot!$B$78=malumot!$C$78,'График дифференц'!E18,IF(malumot!$B$78=malumot!$D$78,'График аннуитет.'!E18))</f>
        <v>1908675.84</v>
      </c>
      <c r="F19" s="31">
        <f>IF(malumot!$B$78=malumot!$C$78,'График дифференц'!F18,IF(malumot!$B$78=malumot!$D$78,'График аннуитет.'!F18))</f>
        <v>2950342.5100000002</v>
      </c>
      <c r="H19" s="319"/>
      <c r="I19" s="319"/>
      <c r="J19" s="319"/>
      <c r="K19" s="319"/>
      <c r="L19" s="319"/>
      <c r="M19" s="319"/>
      <c r="N19" s="319"/>
      <c r="O19" s="319"/>
      <c r="P19" s="319"/>
    </row>
    <row r="20" spans="1:16" x14ac:dyDescent="0.25">
      <c r="A20" s="16">
        <v>12</v>
      </c>
      <c r="B20" s="30">
        <f>'График аннуитет.'!B19</f>
        <v>46392</v>
      </c>
      <c r="C20" s="31">
        <f>IF(malumot!$B$78=malumot!$C$78,'График дифференц'!C19,IF(malumot!$B$78=malumot!$D$78,'График аннуитет.'!C19))</f>
        <v>38541666.62999998</v>
      </c>
      <c r="D20" s="31">
        <f>IF(malumot!$B$78=malumot!$C$78,'График дифференц'!D19,IF(malumot!$B$78=malumot!$D$78,'График аннуитет.'!D19))</f>
        <v>1041666.67</v>
      </c>
      <c r="E20" s="31">
        <f>IF(malumot!$B$78=malumot!$C$78,'График дифференц'!E19,IF(malumot!$B$78=malumot!$D$78,'График аннуитет.'!E19))</f>
        <v>1684217.9200000002</v>
      </c>
      <c r="F20" s="31">
        <f>IF(malumot!$B$78=malumot!$C$78,'График дифференц'!F19,IF(malumot!$B$78=malumot!$D$78,'График аннуитет.'!F19))</f>
        <v>2725884.5900000003</v>
      </c>
      <c r="H20" s="319"/>
      <c r="I20" s="319"/>
      <c r="J20" s="319"/>
      <c r="K20" s="319"/>
      <c r="L20" s="319"/>
      <c r="M20" s="319"/>
      <c r="N20" s="319"/>
      <c r="O20" s="319"/>
      <c r="P20" s="319"/>
    </row>
    <row r="21" spans="1:16" x14ac:dyDescent="0.25">
      <c r="A21" s="16">
        <v>13</v>
      </c>
      <c r="B21" s="30">
        <f>'График аннуитет.'!B20</f>
        <v>46423</v>
      </c>
      <c r="C21" s="31">
        <f>IF(malumot!$B$78=malumot!$C$78,'График дифференц'!C20,IF(malumot!$B$78=malumot!$D$78,'График аннуитет.'!C20))</f>
        <v>37499999.959999979</v>
      </c>
      <c r="D21" s="31">
        <f>IF(malumot!$B$78=malumot!$C$78,'График дифференц'!D20,IF(malumot!$B$78=malumot!$D$78,'График аннуитет.'!D20))</f>
        <v>1041666.67</v>
      </c>
      <c r="E21" s="31">
        <f>IF(malumot!$B$78=malumot!$C$78,'График дифференц'!E20,IF(malumot!$B$78=malumot!$D$78,'График аннуитет.'!E20))</f>
        <v>1751712.3499999999</v>
      </c>
      <c r="F21" s="31">
        <f>IF(malumot!$B$78=malumot!$C$78,'График дифференц'!F20,IF(malumot!$B$78=malumot!$D$78,'График аннуитет.'!F20))</f>
        <v>2793379.02</v>
      </c>
      <c r="H21" s="319"/>
      <c r="I21" s="319"/>
      <c r="J21" s="319"/>
      <c r="K21" s="319"/>
      <c r="L21" s="319"/>
      <c r="M21" s="319"/>
      <c r="N21" s="319"/>
      <c r="O21" s="319"/>
      <c r="P21" s="319"/>
    </row>
    <row r="22" spans="1:16" x14ac:dyDescent="0.25">
      <c r="A22" s="16">
        <v>14</v>
      </c>
      <c r="B22" s="30">
        <f>'График аннуитет.'!B21</f>
        <v>46451</v>
      </c>
      <c r="C22" s="31">
        <f>IF(malumot!$B$78=malumot!$C$78,'График дифференц'!C21,IF(malumot!$B$78=malumot!$D$78,'График аннуитет.'!C21))</f>
        <v>36458333.289999977</v>
      </c>
      <c r="D22" s="31">
        <f>IF(malumot!$B$78=malumot!$C$78,'График дифференц'!D21,IF(malumot!$B$78=malumot!$D$78,'График аннуитет.'!D21))</f>
        <v>1041666.67</v>
      </c>
      <c r="E22" s="31">
        <f>IF(malumot!$B$78=malumot!$C$78,'График дифференц'!E21,IF(malumot!$B$78=malumot!$D$78,'График аннуитет.'!E21))</f>
        <v>1538241.88</v>
      </c>
      <c r="F22" s="31">
        <f>IF(malumot!$B$78=malumot!$C$78,'График дифференц'!F21,IF(malumot!$B$78=malumot!$D$78,'График аннуитет.'!F21))</f>
        <v>2579908.5499999998</v>
      </c>
      <c r="H22" s="319"/>
      <c r="I22" s="319"/>
      <c r="J22" s="319"/>
      <c r="K22" s="319"/>
      <c r="L22" s="319"/>
      <c r="M22" s="319"/>
      <c r="N22" s="319"/>
      <c r="O22" s="319"/>
      <c r="P22" s="319"/>
    </row>
    <row r="23" spans="1:16" x14ac:dyDescent="0.25">
      <c r="A23" s="16">
        <v>15</v>
      </c>
      <c r="B23" s="30">
        <f>'График аннуитет.'!B22</f>
        <v>46482</v>
      </c>
      <c r="C23" s="31">
        <f>IF(malumot!$B$78=malumot!$C$78,'График дифференц'!C22,IF(malumot!$B$78=malumot!$D$78,'График аннуитет.'!C22))</f>
        <v>35416666.619999975</v>
      </c>
      <c r="D23" s="31">
        <f>IF(malumot!$B$78=malumot!$C$78,'График дифференц'!D22,IF(malumot!$B$78=malumot!$D$78,'График аннуитет.'!D22))</f>
        <v>1041666.67</v>
      </c>
      <c r="E23" s="31">
        <f>IF(malumot!$B$78=malumot!$C$78,'График дифференц'!E22,IF(malumot!$B$78=malumot!$D$78,'График аннуитет.'!E22))</f>
        <v>1654394.98</v>
      </c>
      <c r="F23" s="31">
        <f>IF(malumot!$B$78=malumot!$C$78,'График дифференц'!F22,IF(malumot!$B$78=malumot!$D$78,'График аннуитет.'!F22))</f>
        <v>2696061.65</v>
      </c>
      <c r="H23" s="319"/>
      <c r="I23" s="319"/>
      <c r="J23" s="319"/>
      <c r="K23" s="319"/>
      <c r="L23" s="319"/>
      <c r="M23" s="319"/>
      <c r="N23" s="319"/>
      <c r="O23" s="319"/>
      <c r="P23" s="319"/>
    </row>
    <row r="24" spans="1:16" x14ac:dyDescent="0.25">
      <c r="A24" s="16">
        <v>16</v>
      </c>
      <c r="B24" s="30">
        <f>'График аннуитет.'!B23</f>
        <v>46512</v>
      </c>
      <c r="C24" s="31">
        <f>IF(malumot!$B$78=malumot!$C$78,'График дифференц'!C23,IF(malumot!$B$78=malumot!$D$78,'График аннуитет.'!C23))</f>
        <v>34374999.949999973</v>
      </c>
      <c r="D24" s="31">
        <f>IF(malumot!$B$78=malumot!$C$78,'График дифференц'!D23,IF(malumot!$B$78=malumot!$D$78,'График аннуитет.'!D23))</f>
        <v>1041666.67</v>
      </c>
      <c r="E24" s="31">
        <f>IF(malumot!$B$78=malumot!$C$78,'График дифференц'!E23,IF(malumot!$B$78=malumot!$D$78,'График аннуитет.'!E23))</f>
        <v>1553938.5</v>
      </c>
      <c r="F24" s="31">
        <f>IF(malumot!$B$78=malumot!$C$78,'График дифференц'!F23,IF(malumot!$B$78=malumot!$D$78,'График аннуитет.'!F23))</f>
        <v>2595605.17</v>
      </c>
      <c r="H24" s="319"/>
      <c r="I24" s="319"/>
      <c r="J24" s="319"/>
      <c r="K24" s="319"/>
      <c r="L24" s="319"/>
      <c r="M24" s="319"/>
      <c r="N24" s="319"/>
      <c r="O24" s="319"/>
      <c r="P24" s="319"/>
    </row>
    <row r="25" spans="1:16" x14ac:dyDescent="0.25">
      <c r="A25" s="16">
        <v>17</v>
      </c>
      <c r="B25" s="30">
        <f>'График аннуитет.'!B24</f>
        <v>46545</v>
      </c>
      <c r="C25" s="31">
        <f>IF(malumot!$B$78=malumot!$C$78,'График дифференц'!C24,IF(malumot!$B$78=malumot!$D$78,'График аннуитет.'!C24))</f>
        <v>33333333.279999971</v>
      </c>
      <c r="D25" s="31">
        <f>IF(malumot!$B$78=malumot!$C$78,'График дифференц'!D24,IF(malumot!$B$78=malumot!$D$78,'График аннуитет.'!D24))</f>
        <v>1041666.67</v>
      </c>
      <c r="E25" s="31">
        <f>IF(malumot!$B$78=malumot!$C$78,'График дифференц'!E24,IF(malumot!$B$78=malumot!$D$78,'График аннуитет.'!E24))</f>
        <v>1657534.23</v>
      </c>
      <c r="F25" s="31">
        <f>IF(malumot!$B$78=malumot!$C$78,'График дифференц'!F24,IF(malumot!$B$78=malumot!$D$78,'График аннуитет.'!F24))</f>
        <v>2699200.9</v>
      </c>
    </row>
    <row r="26" spans="1:16" x14ac:dyDescent="0.25">
      <c r="A26" s="16">
        <v>18</v>
      </c>
      <c r="B26" s="30">
        <f>'График аннуитет.'!B25</f>
        <v>46573</v>
      </c>
      <c r="C26" s="31">
        <f>IF(malumot!$B$78=malumot!$C$78,'График дифференц'!C25,IF(malumot!$B$78=malumot!$D$78,'График аннуитет.'!C25))</f>
        <v>32291666.60999997</v>
      </c>
      <c r="D26" s="31">
        <f>IF(malumot!$B$78=malumot!$C$78,'График дифференц'!D25,IF(malumot!$B$78=malumot!$D$78,'График аннуитет.'!D25))</f>
        <v>1041666.67</v>
      </c>
      <c r="E26" s="31">
        <f>IF(malumot!$B$78=malumot!$C$78,'График дифференц'!E25,IF(malumot!$B$78=malumot!$D$78,'График аннуитет.'!E25))</f>
        <v>1362443.04</v>
      </c>
      <c r="F26" s="31">
        <f>IF(malumot!$B$78=malumot!$C$78,'График дифференц'!F25,IF(malumot!$B$78=malumot!$D$78,'График аннуитет.'!F25))</f>
        <v>2404109.71</v>
      </c>
    </row>
    <row r="27" spans="1:16" x14ac:dyDescent="0.25">
      <c r="A27" s="16">
        <f>1+A26</f>
        <v>19</v>
      </c>
      <c r="B27" s="30">
        <f>'График аннуитет.'!B26</f>
        <v>46604</v>
      </c>
      <c r="C27" s="31">
        <f>IF(malumot!$B$78=malumot!$C$78,'График дифференц'!C26,IF(malumot!$B$78=malumot!$D$78,'График аннуитет.'!C26))</f>
        <v>31249999.939999968</v>
      </c>
      <c r="D27" s="31">
        <f>IF(malumot!$B$78=malumot!$C$78,'График дифференц'!D26,IF(malumot!$B$78=malumot!$D$78,'График аннуитет.'!D26))</f>
        <v>1041666.67</v>
      </c>
      <c r="E27" s="31">
        <f>IF(malumot!$B$78=malumot!$C$78,'График дифференц'!E26,IF(malumot!$B$78=malumot!$D$78,'График аннуитет.'!E26))</f>
        <v>1459760.24</v>
      </c>
      <c r="F27" s="31">
        <f>IF(malumot!$B$78=malumot!$C$78,'График дифференц'!F26,IF(malumot!$B$78=malumot!$D$78,'График аннуитет.'!F26))</f>
        <v>2501426.91</v>
      </c>
    </row>
    <row r="28" spans="1:16" x14ac:dyDescent="0.25">
      <c r="A28" s="16">
        <f t="shared" ref="A28:A43" si="0">1+A27</f>
        <v>20</v>
      </c>
      <c r="B28" s="30">
        <f>'График аннуитет.'!B27</f>
        <v>46636</v>
      </c>
      <c r="C28" s="31">
        <f>IF(malumot!$B$78=malumot!$C$78,'График дифференц'!C27,IF(malumot!$B$78=malumot!$D$78,'График аннуитет.'!C27))</f>
        <v>30208333.269999966</v>
      </c>
      <c r="D28" s="31">
        <f>IF(malumot!$B$78=malumot!$C$78,'График дифференц'!D27,IF(malumot!$B$78=malumot!$D$78,'График аннуитет.'!D27))</f>
        <v>1041666.67</v>
      </c>
      <c r="E28" s="31">
        <f>IF(malumot!$B$78=malumot!$C$78,'График дифференц'!E27,IF(malumot!$B$78=malumot!$D$78,'График аннуитет.'!E27))</f>
        <v>1456621.12</v>
      </c>
      <c r="F28" s="31">
        <f>IF(malumot!$B$78=malumot!$C$78,'График дифференц'!F27,IF(malumot!$B$78=malumot!$D$78,'График аннуитет.'!F27))</f>
        <v>2498287.79</v>
      </c>
    </row>
    <row r="29" spans="1:16" x14ac:dyDescent="0.25">
      <c r="A29" s="16">
        <f t="shared" si="0"/>
        <v>21</v>
      </c>
      <c r="B29" s="30">
        <f>'График аннуитет.'!B28</f>
        <v>46665</v>
      </c>
      <c r="C29" s="31">
        <f>IF(malumot!$B$78=malumot!$C$78,'График дифференц'!C28,IF(malumot!$B$78=malumot!$D$78,'График аннуитет.'!C28))</f>
        <v>29166666.599999964</v>
      </c>
      <c r="D29" s="31">
        <f>IF(malumot!$B$78=malumot!$C$78,'График дифференц'!D28,IF(malumot!$B$78=malumot!$D$78,'График аннуитет.'!D28))</f>
        <v>1041666.67</v>
      </c>
      <c r="E29" s="31">
        <f>IF(malumot!$B$78=malumot!$C$78,'График дифференц'!E28,IF(malumot!$B$78=malumot!$D$78,'График аннуитет.'!E28))</f>
        <v>1274543.3299999998</v>
      </c>
      <c r="F29" s="31">
        <f>IF(malumot!$B$78=malumot!$C$78,'График дифференц'!F28,IF(malumot!$B$78=malumot!$D$78,'График аннуитет.'!F28))</f>
        <v>2316210</v>
      </c>
    </row>
    <row r="30" spans="1:16" x14ac:dyDescent="0.25">
      <c r="A30" s="16">
        <f t="shared" si="0"/>
        <v>22</v>
      </c>
      <c r="B30" s="30">
        <f>'График аннуитет.'!B29</f>
        <v>46696</v>
      </c>
      <c r="C30" s="31">
        <f>IF(malumot!$B$78=malumot!$C$78,'График дифференц'!C29,IF(malumot!$B$78=malumot!$D$78,'График аннуитет.'!C29))</f>
        <v>28124999.929999962</v>
      </c>
      <c r="D30" s="31">
        <f>IF(malumot!$B$78=malumot!$C$78,'График дифференц'!D29,IF(malumot!$B$78=malumot!$D$78,'График аннуитет.'!D29))</f>
        <v>1041666.67</v>
      </c>
      <c r="E30" s="31">
        <f>IF(malumot!$B$78=malumot!$C$78,'График дифференц'!E29,IF(malumot!$B$78=malumot!$D$78,'График аннуитет.'!E29))</f>
        <v>1313784.3400000001</v>
      </c>
      <c r="F30" s="31">
        <f>IF(malumot!$B$78=malumot!$C$78,'График дифференц'!F29,IF(malumot!$B$78=malumot!$D$78,'График аннуитет.'!F29))</f>
        <v>2355451.0100000002</v>
      </c>
    </row>
    <row r="31" spans="1:16" x14ac:dyDescent="0.25">
      <c r="A31" s="16">
        <f t="shared" si="0"/>
        <v>23</v>
      </c>
      <c r="B31" s="30">
        <f>'График аннуитет.'!B30</f>
        <v>46727</v>
      </c>
      <c r="C31" s="31">
        <f>IF(malumot!$B$78=malumot!$C$78,'График дифференц'!C30,IF(malumot!$B$78=malumot!$D$78,'График аннуитет.'!C30))</f>
        <v>27083333.259999961</v>
      </c>
      <c r="D31" s="31">
        <f>IF(malumot!$B$78=malumot!$C$78,'График дифференц'!D30,IF(malumot!$B$78=malumot!$D$78,'График аннуитет.'!D30))</f>
        <v>1041666.67</v>
      </c>
      <c r="E31" s="31">
        <f>IF(malumot!$B$78=malumot!$C$78,'График дифференц'!E30,IF(malumot!$B$78=malumot!$D$78,'График аннуитет.'!E30))</f>
        <v>1265125.5</v>
      </c>
      <c r="F31" s="31">
        <f>IF(malumot!$B$78=malumot!$C$78,'График дифференц'!F30,IF(malumot!$B$78=malumot!$D$78,'График аннуитет.'!F30))</f>
        <v>2306792.17</v>
      </c>
    </row>
    <row r="32" spans="1:16" x14ac:dyDescent="0.25">
      <c r="A32" s="16">
        <f t="shared" si="0"/>
        <v>24</v>
      </c>
      <c r="B32" s="30">
        <f>'График аннуитет.'!B31</f>
        <v>46757</v>
      </c>
      <c r="C32" s="31">
        <f>IF(malumot!$B$78=malumot!$C$78,'График дифференц'!C31,IF(malumot!$B$78=malumot!$D$78,'График аннуитет.'!C31))</f>
        <v>26041666.589999959</v>
      </c>
      <c r="D32" s="31">
        <f>IF(malumot!$B$78=malumot!$C$78,'График дифференц'!D31,IF(malumot!$B$78=malumot!$D$78,'График аннуитет.'!D31))</f>
        <v>1041666.67</v>
      </c>
      <c r="E32" s="31">
        <f>IF(malumot!$B$78=malumot!$C$78,'График дифференц'!E31,IF(malumot!$B$78=malumot!$D$78,'График аннуитет.'!E31))</f>
        <v>1174009.5</v>
      </c>
      <c r="F32" s="31">
        <f>IF(malumot!$B$78=malumot!$C$78,'График дифференц'!F31,IF(malumot!$B$78=malumot!$D$78,'График аннуитет.'!F31))</f>
        <v>2215676.17</v>
      </c>
    </row>
    <row r="33" spans="1:6" x14ac:dyDescent="0.25">
      <c r="A33" s="16">
        <f t="shared" si="0"/>
        <v>25</v>
      </c>
      <c r="B33" s="30">
        <f>IF('График аннуитет.'!B32=FALSE,"",'График аннуитет.'!B32)</f>
        <v>46790</v>
      </c>
      <c r="C33" s="31">
        <f>IF(malumot!$B$78=malumot!$C$78,'График дифференц'!C32,IF(malumot!$B$78=malumot!$D$78,'График аннуитет.'!C32))</f>
        <v>24999999.919999957</v>
      </c>
      <c r="D33" s="31">
        <f>IF(malumot!$B$78=malumot!$C$78,'График дифференц'!D32,IF(malumot!$B$78=malumot!$D$78,'График аннуитет.'!D32))</f>
        <v>1041666.67</v>
      </c>
      <c r="E33" s="31">
        <f>IF(malumot!$B$78=malumot!$C$78,'График дифференц'!E32,IF(malumot!$B$78=malumot!$D$78,'График аннуитет.'!E32))</f>
        <v>1239754.23</v>
      </c>
      <c r="F33" s="31">
        <f>IF(malumot!$B$78=malumot!$C$78,'График дифференц'!F32,IF(malumot!$B$78=malumot!$D$78,'График аннуитет.'!F32))</f>
        <v>2281420.9</v>
      </c>
    </row>
    <row r="34" spans="1:6" x14ac:dyDescent="0.25">
      <c r="A34" s="16">
        <f t="shared" si="0"/>
        <v>26</v>
      </c>
      <c r="B34" s="30">
        <f>IF('График аннуитет.'!B33=FALSE,"",'График аннуитет.'!B33)</f>
        <v>46818</v>
      </c>
      <c r="C34" s="31">
        <f>IF(malumot!$B$78=malumot!$C$78,'График дифференц'!C33,IF(malumot!$B$78=malumot!$D$78,'График аннуитет.'!C33))</f>
        <v>23958333.249999955</v>
      </c>
      <c r="D34" s="31">
        <f>IF(malumot!$B$78=malumot!$C$78,'График дифференц'!D33,IF(malumot!$B$78=malumot!$D$78,'График аннуитет.'!D33))</f>
        <v>1041666.67</v>
      </c>
      <c r="E34" s="31">
        <f>IF(malumot!$B$78=malumot!$C$78,'График дифференц'!E33,IF(malumot!$B$78=malumot!$D$78,'График аннуитет.'!E33))</f>
        <v>1008082.88</v>
      </c>
      <c r="F34" s="31">
        <f>IF(malumot!$B$78=malumot!$C$78,'График дифференц'!F33,IF(malumot!$B$78=malumot!$D$78,'График аннуитет.'!F33))</f>
        <v>2049749.55</v>
      </c>
    </row>
    <row r="35" spans="1:6" x14ac:dyDescent="0.25">
      <c r="A35" s="16">
        <f t="shared" si="0"/>
        <v>27</v>
      </c>
      <c r="B35" s="30">
        <f>IF('График аннуитет.'!B34=FALSE,"",'График аннуитет.'!B34)</f>
        <v>46848</v>
      </c>
      <c r="C35" s="31">
        <f>IF(malumot!$B$78=malumot!$C$78,'График дифференц'!C34,IF(malumot!$B$78=malumot!$D$78,'График аннуитет.'!C34))</f>
        <v>22916666.579999954</v>
      </c>
      <c r="D35" s="31">
        <f>IF(malumot!$B$78=malumot!$C$78,'График дифференц'!D34,IF(malumot!$B$78=malumot!$D$78,'График аннуитет.'!D34))</f>
        <v>1041666.67</v>
      </c>
      <c r="E35" s="31">
        <f>IF(malumot!$B$78=malumot!$C$78,'График дифференц'!E34,IF(malumot!$B$78=malumot!$D$78,'График аннуитет.'!E34))</f>
        <v>1033128.3</v>
      </c>
      <c r="F35" s="31">
        <f>IF(malumot!$B$78=malumot!$C$78,'График дифференц'!F34,IF(malumot!$B$78=malumot!$D$78,'График аннуитет.'!F34))</f>
        <v>2074794.9700000002</v>
      </c>
    </row>
    <row r="36" spans="1:6" x14ac:dyDescent="0.25">
      <c r="A36" s="16">
        <f t="shared" si="0"/>
        <v>28</v>
      </c>
      <c r="B36" s="30">
        <f>IF('График аннуитет.'!B35=FALSE,"",'График аннуитет.'!B35)</f>
        <v>46878</v>
      </c>
      <c r="C36" s="31">
        <f>IF(malumot!$B$78=malumot!$C$78,'График дифференц'!C35,IF(malumot!$B$78=malumot!$D$78,'График аннуитет.'!C35))</f>
        <v>21874999.909999952</v>
      </c>
      <c r="D36" s="31">
        <f>IF(malumot!$B$78=malumot!$C$78,'График дифференц'!D35,IF(malumot!$B$78=malumot!$D$78,'График аннуитет.'!D35))</f>
        <v>1041666.67</v>
      </c>
      <c r="E36" s="31">
        <f>IF(malumot!$B$78=malumot!$C$78,'График дифференц'!E35,IF(malumot!$B$78=malumot!$D$78,'График аннуитет.'!E35))</f>
        <v>986168.09999999986</v>
      </c>
      <c r="F36" s="31">
        <f>IF(malumot!$B$78=malumot!$C$78,'График дифференц'!F35,IF(malumot!$B$78=malumot!$D$78,'График аннуитет.'!F35))</f>
        <v>2027834.77</v>
      </c>
    </row>
    <row r="37" spans="1:6" x14ac:dyDescent="0.25">
      <c r="A37" s="16">
        <f t="shared" si="0"/>
        <v>29</v>
      </c>
      <c r="B37" s="30">
        <f>IF('График аннуитет.'!B36=FALSE,"",'График аннуитет.'!B36)</f>
        <v>46909</v>
      </c>
      <c r="C37" s="31">
        <f>IF(malumot!$B$78=malumot!$C$78,'График дифференц'!C36,IF(malumot!$B$78=malumot!$D$78,'График аннуитет.'!C36))</f>
        <v>20833333.23999995</v>
      </c>
      <c r="D37" s="31">
        <f>IF(malumot!$B$78=malumot!$C$78,'График дифференц'!D36,IF(malumot!$B$78=malumot!$D$78,'График аннуитет.'!D36))</f>
        <v>1041666.67</v>
      </c>
      <c r="E37" s="31">
        <f>IF(malumot!$B$78=malumot!$C$78,'График дифференц'!E36,IF(malumot!$B$78=malumot!$D$78,'График аннуитет.'!E36))</f>
        <v>970514.5199999999</v>
      </c>
      <c r="F37" s="31">
        <f>IF(malumot!$B$78=malumot!$C$78,'График дифференц'!F36,IF(malumot!$B$78=malumot!$D$78,'График аннуитет.'!F36))</f>
        <v>2012181.19</v>
      </c>
    </row>
    <row r="38" spans="1:6" x14ac:dyDescent="0.25">
      <c r="A38" s="16">
        <f t="shared" si="0"/>
        <v>30</v>
      </c>
      <c r="B38" s="30">
        <f>IF('График аннуитет.'!B37=FALSE,"",'График аннуитет.'!B37)</f>
        <v>46939</v>
      </c>
      <c r="C38" s="31">
        <f>IF(malumot!$B$78=malumot!$C$78,'График дифференц'!C37,IF(malumot!$B$78=malumot!$D$78,'График аннуитет.'!C37))</f>
        <v>19791666.569999948</v>
      </c>
      <c r="D38" s="31">
        <f>IF(malumot!$B$78=malumot!$C$78,'График дифференц'!D37,IF(malumot!$B$78=malumot!$D$78,'График аннуитет.'!D37))</f>
        <v>1041666.67</v>
      </c>
      <c r="E38" s="31">
        <f>IF(malumot!$B$78=malumot!$C$78,'График дифференц'!E37,IF(malumot!$B$78=malumot!$D$78,'График аннуитет.'!E37))</f>
        <v>892247.4</v>
      </c>
      <c r="F38" s="31">
        <f>IF(malumot!$B$78=malumot!$C$78,'График дифференц'!F37,IF(malumot!$B$78=malumot!$D$78,'График аннуитет.'!F37))</f>
        <v>1933914.07</v>
      </c>
    </row>
    <row r="39" spans="1:6" x14ac:dyDescent="0.25">
      <c r="A39" s="16">
        <f t="shared" si="0"/>
        <v>31</v>
      </c>
      <c r="B39" s="30">
        <f>IF('График аннуитет.'!B38=FALSE,"",'График аннуитет.'!B38)</f>
        <v>46972</v>
      </c>
      <c r="C39" s="31">
        <f>IF(malumot!$B$78=malumot!$C$78,'График дифференц'!C38,IF(malumot!$B$78=malumot!$D$78,'График аннуитет.'!C38))</f>
        <v>18749999.899999946</v>
      </c>
      <c r="D39" s="31">
        <f>IF(malumot!$B$78=malumot!$C$78,'График дифференц'!D38,IF(malumot!$B$78=malumot!$D$78,'График аннуитет.'!D38))</f>
        <v>1041666.67</v>
      </c>
      <c r="E39" s="31">
        <f>IF(malumot!$B$78=malumot!$C$78,'График дифференц'!E38,IF(malumot!$B$78=malumot!$D$78,'График аннуитет.'!E38))</f>
        <v>929815.59</v>
      </c>
      <c r="F39" s="31">
        <f>IF(malumot!$B$78=malumot!$C$78,'График дифференц'!F38,IF(malumot!$B$78=malumot!$D$78,'График аннуитет.'!F38))</f>
        <v>1971482.26</v>
      </c>
    </row>
    <row r="40" spans="1:6" x14ac:dyDescent="0.25">
      <c r="A40" s="16">
        <f t="shared" si="0"/>
        <v>32</v>
      </c>
      <c r="B40" s="30">
        <f>IF('График аннуитет.'!B39=FALSE,"",'График аннуитет.'!B39)</f>
        <v>47001</v>
      </c>
      <c r="C40" s="31">
        <f>IF(malumot!$B$78=malumot!$C$78,'График дифференц'!C39,IF(malumot!$B$78=malumot!$D$78,'График аннуитет.'!C39))</f>
        <v>17708333.229999945</v>
      </c>
      <c r="D40" s="31">
        <f>IF(malumot!$B$78=malumot!$C$78,'График дифференц'!D39,IF(malumot!$B$78=malumot!$D$78,'График аннуитет.'!D39))</f>
        <v>1041666.67</v>
      </c>
      <c r="E40" s="31">
        <f>IF(malumot!$B$78=malumot!$C$78,'График дифференц'!E39,IF(malumot!$B$78=malumot!$D$78,'График аннуитет.'!E39))</f>
        <v>771715.52</v>
      </c>
      <c r="F40" s="31">
        <f>IF(malumot!$B$78=malumot!$C$78,'График дифференц'!F39,IF(malumot!$B$78=malumot!$D$78,'График аннуитет.'!F39))</f>
        <v>1813382.19</v>
      </c>
    </row>
    <row r="41" spans="1:6" x14ac:dyDescent="0.25">
      <c r="A41" s="16">
        <f t="shared" si="0"/>
        <v>33</v>
      </c>
      <c r="B41" s="30">
        <f>IF('График аннуитет.'!B40=FALSE,"",'График аннуитет.'!B40)</f>
        <v>47031</v>
      </c>
      <c r="C41" s="31">
        <f>IF(malumot!$B$78=malumot!$C$78,'График дифференц'!C40,IF(malumot!$B$78=malumot!$D$78,'График аннуитет.'!C40))</f>
        <v>16666666.559999945</v>
      </c>
      <c r="D41" s="31">
        <f>IF(malumot!$B$78=malumot!$C$78,'График дифференц'!D40,IF(malumot!$B$78=malumot!$D$78,'График аннуитет.'!D40))</f>
        <v>1041666.67</v>
      </c>
      <c r="E41" s="31">
        <f>IF(malumot!$B$78=malumot!$C$78,'График дифференц'!E40,IF(malumot!$B$78=malumot!$D$78,'График аннуитет.'!E40))</f>
        <v>751366.20000000007</v>
      </c>
      <c r="F41" s="31">
        <f>IF(malumot!$B$78=malumot!$C$78,'График дифференц'!F40,IF(malumot!$B$78=malumot!$D$78,'График аннуитет.'!F40))</f>
        <v>1793032.87</v>
      </c>
    </row>
    <row r="42" spans="1:6" x14ac:dyDescent="0.25">
      <c r="A42" s="16">
        <f t="shared" si="0"/>
        <v>34</v>
      </c>
      <c r="B42" s="30">
        <f>IF('График аннуитет.'!B41=FALSE,"",'График аннуитет.'!B41)</f>
        <v>47063</v>
      </c>
      <c r="C42" s="31">
        <f>IF(malumot!$B$78=malumot!$C$78,'График дифференц'!C41,IF(malumot!$B$78=malumot!$D$78,'График аннуитет.'!C41))</f>
        <v>15624999.889999945</v>
      </c>
      <c r="D42" s="31">
        <f>IF(malumot!$B$78=malumot!$C$78,'График дифференц'!D41,IF(malumot!$B$78=malumot!$D$78,'График аннуитет.'!D41))</f>
        <v>1041666.67</v>
      </c>
      <c r="E42" s="31">
        <f>IF(malumot!$B$78=malumot!$C$78,'График дифференц'!E41,IF(malumot!$B$78=malumot!$D$78,'График аннуитет.'!E41))</f>
        <v>751366.08</v>
      </c>
      <c r="F42" s="31">
        <f>IF(malumot!$B$78=malumot!$C$78,'График дифференц'!F41,IF(malumot!$B$78=malumot!$D$78,'График аннуитет.'!F41))</f>
        <v>1793032.75</v>
      </c>
    </row>
    <row r="43" spans="1:6" x14ac:dyDescent="0.25">
      <c r="A43" s="16">
        <f t="shared" si="0"/>
        <v>35</v>
      </c>
      <c r="B43" s="30">
        <f>IF('График аннуитет.'!B42=FALSE,"",'График аннуитет.'!B42)</f>
        <v>47092</v>
      </c>
      <c r="C43" s="31">
        <f>IF(malumot!$B$78=malumot!$C$78,'График дифференц'!C42,IF(malumot!$B$78=malumot!$D$78,'График аннуитет.'!C42))</f>
        <v>14583333.219999945</v>
      </c>
      <c r="D43" s="31">
        <f>IF(malumot!$B$78=malumot!$C$78,'График дифференц'!D42,IF(malumot!$B$78=malumot!$D$78,'График аннуитет.'!D42))</f>
        <v>1041666.67</v>
      </c>
      <c r="E43" s="31">
        <f>IF(malumot!$B$78=malumot!$C$78,'График дифференц'!E42,IF(malumot!$B$78=malumot!$D$78,'График аннуитет.'!E42))</f>
        <v>635530.64999999991</v>
      </c>
      <c r="F43" s="31">
        <f>IF(malumot!$B$78=malumot!$C$78,'График дифференц'!F42,IF(malumot!$B$78=malumot!$D$78,'График аннуитет.'!F42))</f>
        <v>1677197.3199999998</v>
      </c>
    </row>
    <row r="44" spans="1:6" x14ac:dyDescent="0.25">
      <c r="A44" s="16">
        <f>1+A43</f>
        <v>36</v>
      </c>
      <c r="B44" s="30">
        <f>IF('График аннуитет.'!B43=FALSE,"",'График аннуитет.'!B43)</f>
        <v>47123</v>
      </c>
      <c r="C44" s="31">
        <f>IF(malumot!$B$78=malumot!$C$78,'График дифференц'!C43,IF(malumot!$B$78=malumot!$D$78,'График аннуитет.'!C43))</f>
        <v>13541666.549999945</v>
      </c>
      <c r="D44" s="31">
        <f>IF(malumot!$B$78=malumot!$C$78,'График дифференц'!D43,IF(malumot!$B$78=malumot!$D$78,'График аннуитет.'!D43))</f>
        <v>1041666.67</v>
      </c>
      <c r="E44" s="31">
        <f>IF(malumot!$B$78=malumot!$C$78,'График дифференц'!E43,IF(malumot!$B$78=malumot!$D$78,'График аннуитет.'!E43))</f>
        <v>632562.75</v>
      </c>
      <c r="F44" s="31">
        <f>IF(malumot!$B$78=malumot!$C$78,'График дифференц'!F43,IF(malumot!$B$78=malumot!$D$78,'График аннуитет.'!F43))</f>
        <v>1674229.42</v>
      </c>
    </row>
    <row r="45" spans="1:6" x14ac:dyDescent="0.25">
      <c r="A45" s="16">
        <f t="shared" ref="A45:A56" si="1">1+A44</f>
        <v>37</v>
      </c>
      <c r="B45" s="30">
        <f>IF('График аннуитет.'!B44=FALSE,"",'График аннуитет.'!B44)</f>
        <v>47154</v>
      </c>
      <c r="C45" s="31">
        <f>IF(malumot!$B$78=malumot!$C$78,'График дифференц'!C44,IF(malumot!$B$78=malumot!$D$78,'График аннуитет.'!C44))</f>
        <v>12499999.879999945</v>
      </c>
      <c r="D45" s="31">
        <f>IF(malumot!$B$78=malumot!$C$78,'График дифференц'!D44,IF(malumot!$B$78=malumot!$D$78,'График аннуитет.'!D44))</f>
        <v>1041666.67</v>
      </c>
      <c r="E45" s="31">
        <f>IF(malumot!$B$78=malumot!$C$78,'График дифференц'!E44,IF(malumot!$B$78=malumot!$D$78,'График аннуитет.'!E44))</f>
        <v>583904.22</v>
      </c>
      <c r="F45" s="31">
        <f>IF(malumot!$B$78=malumot!$C$78,'График дифференц'!F44,IF(malumot!$B$78=malumot!$D$78,'График аннуитет.'!F44))</f>
        <v>1625570.8900000001</v>
      </c>
    </row>
    <row r="46" spans="1:6" x14ac:dyDescent="0.25">
      <c r="A46" s="16">
        <f t="shared" si="1"/>
        <v>38</v>
      </c>
      <c r="B46" s="30">
        <f>IF('График аннуитет.'!B45=FALSE,"",'График аннуитет.'!B45)</f>
        <v>47182</v>
      </c>
      <c r="C46" s="31">
        <f>IF(malumot!$B$78=malumot!$C$78,'График дифференц'!C45,IF(malumot!$B$78=malumot!$D$78,'График аннуитет.'!C45))</f>
        <v>11458333.209999945</v>
      </c>
      <c r="D46" s="31">
        <f>IF(malumot!$B$78=malumot!$C$78,'График дифференц'!D45,IF(malumot!$B$78=malumot!$D$78,'График аннуитет.'!D45))</f>
        <v>1041666.67</v>
      </c>
      <c r="E46" s="31">
        <f>IF(malumot!$B$78=malumot!$C$78,'График дифференц'!E45,IF(malumot!$B$78=malumot!$D$78,'График аннуитет.'!E45))</f>
        <v>483447.44</v>
      </c>
      <c r="F46" s="31">
        <f>IF(malumot!$B$78=malumot!$C$78,'График дифференц'!F45,IF(malumot!$B$78=malumot!$D$78,'График аннуитет.'!F45))</f>
        <v>1525114.11</v>
      </c>
    </row>
    <row r="47" spans="1:6" x14ac:dyDescent="0.25">
      <c r="A47" s="16">
        <f t="shared" si="1"/>
        <v>39</v>
      </c>
      <c r="B47" s="30">
        <f>IF('График аннуитет.'!B46=FALSE,"",'График аннуитет.'!B46)</f>
        <v>47213</v>
      </c>
      <c r="C47" s="31">
        <f>IF(malumot!$B$78=malumot!$C$78,'График дифференц'!C46,IF(malumot!$B$78=malumot!$D$78,'График аннуитет.'!C46))</f>
        <v>10416666.539999945</v>
      </c>
      <c r="D47" s="31">
        <f>IF(malumot!$B$78=malumot!$C$78,'График дифференц'!D46,IF(malumot!$B$78=malumot!$D$78,'График аннуитет.'!D46))</f>
        <v>1041666.67</v>
      </c>
      <c r="E47" s="31">
        <f>IF(malumot!$B$78=malumot!$C$78,'График дифференц'!E46,IF(malumot!$B$78=malumot!$D$78,'График аннуитет.'!E46))</f>
        <v>486586.85000000003</v>
      </c>
      <c r="F47" s="31">
        <f>IF(malumot!$B$78=malumot!$C$78,'График дифференц'!F46,IF(malumot!$B$78=malumot!$D$78,'График аннуитет.'!F46))</f>
        <v>1528253.52</v>
      </c>
    </row>
    <row r="48" spans="1:6" x14ac:dyDescent="0.25">
      <c r="A48" s="16">
        <f t="shared" si="1"/>
        <v>40</v>
      </c>
      <c r="B48" s="30">
        <f>IF('График аннуитет.'!B47=FALSE,"",'График аннуитет.'!B47)</f>
        <v>47245</v>
      </c>
      <c r="C48" s="31">
        <f>IF(malumot!$B$78=malumot!$C$78,'График дифференц'!C47,IF(malumot!$B$78=malumot!$D$78,'График аннуитет.'!C47))</f>
        <v>9374999.8699999452</v>
      </c>
      <c r="D48" s="31">
        <f>IF(malumot!$B$78=malumot!$C$78,'График дифференц'!D47,IF(malumot!$B$78=malumot!$D$78,'График аннуитет.'!D47))</f>
        <v>1041666.67</v>
      </c>
      <c r="E48" s="31">
        <f>IF(malumot!$B$78=malumot!$C$78,'График дифференц'!E47,IF(malumot!$B$78=malumot!$D$78,'График аннуитет.'!E47))</f>
        <v>452054.72</v>
      </c>
      <c r="F48" s="31">
        <f>IF(malumot!$B$78=malumot!$C$78,'График дифференц'!F47,IF(malumot!$B$78=malumot!$D$78,'График аннуитет.'!F47))</f>
        <v>1493721.3900000001</v>
      </c>
    </row>
    <row r="49" spans="1:6" x14ac:dyDescent="0.25">
      <c r="A49" s="16">
        <f t="shared" si="1"/>
        <v>41</v>
      </c>
      <c r="B49" s="30">
        <f>IF('График аннуитет.'!B48=FALSE,"",'График аннуитет.'!B48)</f>
        <v>47274</v>
      </c>
      <c r="C49" s="31">
        <f>IF(malumot!$B$78=malumot!$C$78,'График дифференц'!C48,IF(malumot!$B$78=malumot!$D$78,'График аннуитет.'!C48))</f>
        <v>8333333.1999999452</v>
      </c>
      <c r="D49" s="31">
        <f>IF(malumot!$B$78=malumot!$C$78,'График дифференц'!D48,IF(malumot!$B$78=malumot!$D$78,'График аннуитет.'!D48))</f>
        <v>1041666.67</v>
      </c>
      <c r="E49" s="31">
        <f>IF(malumot!$B$78=malumot!$C$78,'График дифференц'!E48,IF(malumot!$B$78=malumot!$D$78,'График аннуитет.'!E48))</f>
        <v>364155.32</v>
      </c>
      <c r="F49" s="31">
        <f>IF(malumot!$B$78=malumot!$C$78,'График дифференц'!F48,IF(malumot!$B$78=malumot!$D$78,'График аннуитет.'!F48))</f>
        <v>1405821.99</v>
      </c>
    </row>
    <row r="50" spans="1:6" x14ac:dyDescent="0.25">
      <c r="A50" s="16">
        <f t="shared" si="1"/>
        <v>42</v>
      </c>
      <c r="B50" s="30">
        <f>IF('График аннуитет.'!B49=FALSE,"",'График аннуитет.'!B49)</f>
        <v>47304</v>
      </c>
      <c r="C50" s="31">
        <f>IF(malumot!$B$78=malumot!$C$78,'График дифференц'!C49,IF(malumot!$B$78=malumot!$D$78,'График аннуитет.'!C49))</f>
        <v>7291666.5299999453</v>
      </c>
      <c r="D50" s="31">
        <f>IF(malumot!$B$78=malumot!$C$78,'График дифференц'!D49,IF(malumot!$B$78=malumot!$D$78,'График аннуитет.'!D49))</f>
        <v>1041666.67</v>
      </c>
      <c r="E50" s="31">
        <f>IF(malumot!$B$78=malumot!$C$78,'График дифференц'!E49,IF(malumot!$B$78=malumot!$D$78,'График аннуитет.'!E49))</f>
        <v>329623.2</v>
      </c>
      <c r="F50" s="31">
        <f>IF(malumot!$B$78=malumot!$C$78,'График дифференц'!F49,IF(malumot!$B$78=malumot!$D$78,'График аннуитет.'!F49))</f>
        <v>1371289.87</v>
      </c>
    </row>
    <row r="51" spans="1:6" x14ac:dyDescent="0.25">
      <c r="A51" s="16">
        <f t="shared" si="1"/>
        <v>43</v>
      </c>
      <c r="B51" s="30">
        <f>IF('График аннуитет.'!B50=FALSE,"",'График аннуитет.'!B50)</f>
        <v>47336</v>
      </c>
      <c r="C51" s="31">
        <f>IF(malumot!$B$78=malumot!$C$78,'График дифференц'!C50,IF(malumot!$B$78=malumot!$D$78,'График аннуитет.'!C50))</f>
        <v>6249999.8599999454</v>
      </c>
      <c r="D51" s="31">
        <f>IF(malumot!$B$78=malumot!$C$78,'График дифференц'!D50,IF(malumot!$B$78=malumot!$D$78,'График аннуитет.'!D50))</f>
        <v>1041666.67</v>
      </c>
      <c r="E51" s="31">
        <f>IF(malumot!$B$78=malumot!$C$78,'График дифференц'!E50,IF(malumot!$B$78=malumot!$D$78,'График аннуитет.'!E50))</f>
        <v>301369.92</v>
      </c>
      <c r="F51" s="31">
        <f>IF(malumot!$B$78=malumot!$C$78,'График дифференц'!F50,IF(malumot!$B$78=malumot!$D$78,'График аннуитет.'!F50))</f>
        <v>1343036.59</v>
      </c>
    </row>
    <row r="52" spans="1:6" x14ac:dyDescent="0.25">
      <c r="A52" s="16">
        <f t="shared" si="1"/>
        <v>44</v>
      </c>
      <c r="B52" s="30">
        <f>IF('График аннуитет.'!B51=FALSE,"",'График аннуитет.'!B51)</f>
        <v>47366</v>
      </c>
      <c r="C52" s="31">
        <f>IF(malumot!$B$78=malumot!$C$78,'График дифференц'!C51,IF(malumot!$B$78=malumot!$D$78,'График аннуитет.'!C51))</f>
        <v>5208333.1899999455</v>
      </c>
      <c r="D52" s="31">
        <f>IF(malumot!$B$78=malumot!$C$78,'График дифференц'!D51,IF(malumot!$B$78=malumot!$D$78,'График аннуитет.'!D51))</f>
        <v>1041666.67</v>
      </c>
      <c r="E52" s="31">
        <f>IF(malumot!$B$78=malumot!$C$78,'График дифференц'!E51,IF(malumot!$B$78=malumot!$D$78,'График аннуитет.'!E51))</f>
        <v>235445.1</v>
      </c>
      <c r="F52" s="31">
        <f>IF(malumot!$B$78=malumot!$C$78,'График дифференц'!F51,IF(malumot!$B$78=malumot!$D$78,'График аннуитет.'!F51))</f>
        <v>1277111.77</v>
      </c>
    </row>
    <row r="53" spans="1:6" x14ac:dyDescent="0.25">
      <c r="A53" s="16">
        <f t="shared" si="1"/>
        <v>45</v>
      </c>
      <c r="B53" s="30">
        <f>IF('График аннуитет.'!B52=FALSE,"",'График аннуитет.'!B52)</f>
        <v>47396</v>
      </c>
      <c r="C53" s="31">
        <f>IF(malumot!$B$78=malumot!$C$78,'График дифференц'!C52,IF(malumot!$B$78=malumot!$D$78,'График аннуитет.'!C52))</f>
        <v>4166666.5199999455</v>
      </c>
      <c r="D53" s="31">
        <f>IF(malumot!$B$78=malumot!$C$78,'График дифференц'!D52,IF(malumot!$B$78=malumot!$D$78,'График аннуитет.'!D52))</f>
        <v>1041666.67</v>
      </c>
      <c r="E53" s="31">
        <f>IF(malumot!$B$78=malumot!$C$78,'График дифференц'!E52,IF(malumot!$B$78=malumot!$D$78,'График аннуитет.'!E52))</f>
        <v>188356.2</v>
      </c>
      <c r="F53" s="31">
        <f>IF(malumot!$B$78=malumot!$C$78,'График дифференц'!F52,IF(malumot!$B$78=malumot!$D$78,'График аннуитет.'!F52))</f>
        <v>1230022.8700000001</v>
      </c>
    </row>
    <row r="54" spans="1:6" x14ac:dyDescent="0.25">
      <c r="A54" s="16">
        <f t="shared" si="1"/>
        <v>46</v>
      </c>
      <c r="B54" s="30">
        <f>IF('График аннуитет.'!B53=FALSE,"",'График аннуитет.'!B53)</f>
        <v>47427</v>
      </c>
      <c r="C54" s="31">
        <f>IF(malumot!$B$78=malumot!$C$78,'График дифференц'!C53,IF(malumot!$B$78=malumot!$D$78,'График аннуитет.'!C53))</f>
        <v>3124999.8499999456</v>
      </c>
      <c r="D54" s="31">
        <f>IF(malumot!$B$78=malumot!$C$78,'График дифференц'!D53,IF(malumot!$B$78=malumot!$D$78,'График аннуитет.'!D53))</f>
        <v>1041666.67</v>
      </c>
      <c r="E54" s="31">
        <f>IF(malumot!$B$78=malumot!$C$78,'График дифференц'!E53,IF(malumot!$B$78=malumot!$D$78,'График аннуитет.'!E53))</f>
        <v>145975.9</v>
      </c>
      <c r="F54" s="31">
        <f>IF(malumot!$B$78=malumot!$C$78,'График дифференц'!F53,IF(malumot!$B$78=malumot!$D$78,'График аннуитет.'!F53))</f>
        <v>1187642.57</v>
      </c>
    </row>
    <row r="55" spans="1:6" x14ac:dyDescent="0.25">
      <c r="A55" s="16">
        <f t="shared" si="1"/>
        <v>47</v>
      </c>
      <c r="B55" s="30">
        <f>IF('График аннуитет.'!B54=FALSE,"",'График аннуитет.'!B54)</f>
        <v>47457</v>
      </c>
      <c r="C55" s="31">
        <f>IF(malumot!$B$78=malumot!$C$78,'График дифференц'!C54,IF(malumot!$B$78=malumot!$D$78,'График аннуитет.'!C54))</f>
        <v>2083333.1799999457</v>
      </c>
      <c r="D55" s="31">
        <f>IF(malumot!$B$78=malumot!$C$78,'График дифференц'!D54,IF(malumot!$B$78=malumot!$D$78,'График аннуитет.'!D54))</f>
        <v>1041666.67</v>
      </c>
      <c r="E55" s="31">
        <f>IF(malumot!$B$78=malumot!$C$78,'График дифференц'!E54,IF(malumot!$B$78=malumot!$D$78,'График аннуитет.'!E54))</f>
        <v>94178.1</v>
      </c>
      <c r="F55" s="31">
        <f>IF(malumot!$B$78=malumot!$C$78,'График дифференц'!F54,IF(malumot!$B$78=malumot!$D$78,'График аннуитет.'!F54))</f>
        <v>1135844.77</v>
      </c>
    </row>
    <row r="56" spans="1:6" x14ac:dyDescent="0.25">
      <c r="A56" s="16">
        <f t="shared" si="1"/>
        <v>48</v>
      </c>
      <c r="B56" s="30">
        <f>IF('График аннуитет.'!B55=FALSE,"",'График аннуитет.'!B55)</f>
        <v>47506</v>
      </c>
      <c r="C56" s="31">
        <f>IF(malumot!$B$78=malumot!$C$78,'График дифференц'!C55,IF(malumot!$B$78=malumot!$D$78,'График аннуитет.'!C55))</f>
        <v>1041666.5099999456</v>
      </c>
      <c r="D56" s="31">
        <f>IF(malumot!$B$78=malumot!$C$78,'График дифференц'!D55,IF(malumot!$B$78=malumot!$D$78,'График аннуитет.'!D55))</f>
        <v>1041666.5099999458</v>
      </c>
      <c r="E56" s="31">
        <f>IF(malumot!$B$78=malumot!$C$78,'График дифференц'!E55,IF(malumot!$B$78=malumot!$D$78,'График аннуитет.'!E55))</f>
        <v>76911.87000000001</v>
      </c>
      <c r="F56" s="31">
        <f>IF(malumot!$B$78=malumot!$C$78,'График дифференц'!F55,IF(malumot!$B$78=malumot!$D$78,'График аннуитет.'!F55))</f>
        <v>1118578.3799999459</v>
      </c>
    </row>
    <row r="57" spans="1:6" ht="15" customHeight="1" x14ac:dyDescent="0.25">
      <c r="A57" s="43"/>
      <c r="B57" s="44" t="s">
        <v>204</v>
      </c>
      <c r="C57" s="45"/>
      <c r="D57" s="45">
        <f>SUM(D9:D56)</f>
        <v>50000000</v>
      </c>
      <c r="E57" s="45">
        <f t="shared" ref="E57:F57" si="2">SUM(E9:E56)</f>
        <v>54793670.270000011</v>
      </c>
      <c r="F57" s="45">
        <f t="shared" si="2"/>
        <v>104793670.26999992</v>
      </c>
    </row>
    <row r="58" spans="1:6" ht="15" customHeight="1" x14ac:dyDescent="0.25">
      <c r="B58" s="32"/>
      <c r="C58" s="33"/>
      <c r="D58" s="33"/>
      <c r="E58" s="33"/>
      <c r="F58" s="33"/>
    </row>
    <row r="59" spans="1:6" ht="33.75" customHeight="1" x14ac:dyDescent="0.25">
      <c r="A59" s="277"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59" s="277"/>
      <c r="C59" s="277"/>
      <c r="D59" s="277"/>
      <c r="E59" s="277"/>
      <c r="F59" s="277"/>
    </row>
    <row r="60" spans="1:6" ht="6.75" customHeight="1" x14ac:dyDescent="0.25"/>
    <row r="61" spans="1:6" ht="15" customHeight="1" x14ac:dyDescent="0.25">
      <c r="A61" s="304" t="s">
        <v>266</v>
      </c>
      <c r="B61" s="304"/>
      <c r="C61" s="304"/>
      <c r="D61" s="304" t="s">
        <v>271</v>
      </c>
      <c r="E61" s="304"/>
      <c r="F61" s="304"/>
    </row>
    <row r="62" spans="1:6" ht="11.25" customHeight="1" x14ac:dyDescent="0.25">
      <c r="A62" s="305"/>
      <c r="B62" s="305"/>
      <c r="C62" s="305"/>
      <c r="D62" s="305"/>
      <c r="E62" s="305"/>
      <c r="F62" s="305"/>
    </row>
    <row r="63" spans="1:6" ht="30" customHeight="1" x14ac:dyDescent="0.25">
      <c r="A63" s="311" t="str">
        <f>shartnoma!A117</f>
        <v>«CLEVER MIKROMOLIYA TASHKILOTI» MChJ</v>
      </c>
      <c r="B63" s="311"/>
      <c r="C63" s="311"/>
      <c r="D63" s="279" t="str">
        <f>shartnoma!B117</f>
        <v>XAMRAYEVA XUSHVAXT GAYBULLAYEVNA</v>
      </c>
      <c r="E63" s="279"/>
      <c r="F63" s="279"/>
    </row>
    <row r="64" spans="1:6" ht="38.25" customHeight="1" x14ac:dyDescent="0.25">
      <c r="A64" s="278" t="str">
        <f>shartnoma!A119</f>
        <v>Manzil: Toshkent shahri, Olmazor tumani, Sagbon ko'chasi, 30 boshi berk, 6-uy</v>
      </c>
      <c r="B64" s="278"/>
      <c r="C64" s="278"/>
      <c r="D64" s="278" t="str">
        <f>shartnoma!B119</f>
        <v>Manzil: BUXORO VILOYATI BUXORO SHAHRI RUXSHOBOD KO'CHASI</v>
      </c>
      <c r="E64" s="278"/>
      <c r="F64" s="278"/>
    </row>
    <row r="65" spans="1:6" ht="15" customHeight="1" x14ac:dyDescent="0.25">
      <c r="A65" s="278" t="str">
        <f>shartnoma!A120</f>
        <v>h/r: №20216000105068380006</v>
      </c>
      <c r="B65" s="278"/>
      <c r="C65" s="278"/>
      <c r="D65" s="278" t="str">
        <f>shartnoma!B121</f>
        <v>Pasport: AB 5708016, BUXORO VILOYATI BUXORO SHAHAR IIB tomonidan 19.01.2017 yilda berilgan</v>
      </c>
      <c r="E65" s="278"/>
      <c r="F65" s="278"/>
    </row>
    <row r="66" spans="1:6" ht="32.25" customHeight="1" x14ac:dyDescent="0.25">
      <c r="A66" s="278" t="str">
        <f>shartnoma!A121</f>
        <v>MFO: №01183 в Toshkent sh., "ANOR BANK"</v>
      </c>
      <c r="B66" s="278"/>
      <c r="C66" s="278"/>
      <c r="D66" s="278"/>
      <c r="E66" s="278"/>
      <c r="F66" s="278"/>
    </row>
    <row r="67" spans="1:6" ht="15" customHeight="1" x14ac:dyDescent="0.25">
      <c r="A67" s="278" t="str">
        <f>shartnoma!A122</f>
        <v>STIR: 306365847</v>
      </c>
      <c r="B67" s="278"/>
      <c r="C67" s="278"/>
      <c r="D67" s="278" t="str">
        <f>shartnoma!B122</f>
        <v>Tel: 91 409 21 05  UZI</v>
      </c>
      <c r="E67" s="278"/>
      <c r="F67" s="278"/>
    </row>
    <row r="68" spans="1:6" ht="15" customHeight="1" x14ac:dyDescent="0.25">
      <c r="A68" s="278" t="str">
        <f>shartnoma!A123</f>
        <v>Tel: (78) 113 31 33</v>
      </c>
      <c r="B68" s="278"/>
      <c r="C68" s="278"/>
      <c r="D68" s="278" t="str">
        <f>shartnoma!B123</f>
        <v>50 003 06 46 O'G'LI</v>
      </c>
      <c r="E68" s="278"/>
      <c r="F68" s="278"/>
    </row>
    <row r="69" spans="1:6" ht="15" customHeight="1" x14ac:dyDescent="0.25">
      <c r="A69" s="278" t="str">
        <f>shartnoma!A124</f>
        <v>(78) 113 31 34</v>
      </c>
      <c r="B69" s="278"/>
      <c r="C69" s="278"/>
      <c r="D69" s="278" t="str">
        <f>shartnoma!B124</f>
        <v>99 330 32 62 O'G'LI</v>
      </c>
      <c r="E69" s="278"/>
      <c r="F69" s="278"/>
    </row>
    <row r="70" spans="1:6" ht="23.25" customHeight="1" x14ac:dyDescent="0.25">
      <c r="A70" s="300"/>
      <c r="B70" s="300"/>
      <c r="C70" s="300"/>
      <c r="D70" s="300" t="str">
        <f>IF(shartnoma!B125=0,"",shartnoma!B125)</f>
        <v/>
      </c>
      <c r="E70" s="300"/>
      <c r="F70" s="300"/>
    </row>
    <row r="71" spans="1:6" ht="22.5" customHeight="1" x14ac:dyDescent="0.25">
      <c r="A71" s="320" t="str">
        <f>malumot!A161</f>
        <v>Buxoro filiali boshlig'i</v>
      </c>
      <c r="B71" s="320"/>
      <c r="C71" s="320"/>
      <c r="D71" s="279" t="str">
        <f>shartnoma!B126</f>
        <v>XAMRAYEVA X.G.     __________________</v>
      </c>
      <c r="E71" s="279"/>
      <c r="F71" s="279"/>
    </row>
    <row r="72" spans="1:6" ht="15" customHeight="1" x14ac:dyDescent="0.25">
      <c r="A72" s="320" t="str">
        <f>malumot!B161</f>
        <v>A.Xudayberdiyev</v>
      </c>
      <c r="B72" s="320"/>
      <c r="C72" s="320"/>
      <c r="D72" s="279"/>
      <c r="E72" s="279"/>
      <c r="F72" s="279"/>
    </row>
    <row r="73" spans="1:6" ht="24" customHeight="1" x14ac:dyDescent="0.25">
      <c r="A73" s="300"/>
      <c r="B73" s="300"/>
      <c r="C73" s="300"/>
      <c r="D73" s="300"/>
      <c r="E73" s="300"/>
      <c r="F73" s="300"/>
    </row>
    <row r="74" spans="1:6" ht="30" customHeight="1" x14ac:dyDescent="0.25">
      <c r="A74" s="301"/>
      <c r="B74" s="301"/>
      <c r="C74" s="301"/>
      <c r="D74" s="302"/>
      <c r="E74" s="302"/>
      <c r="F74" s="302"/>
    </row>
    <row r="75" spans="1:6" x14ac:dyDescent="0.25">
      <c r="A75" s="303"/>
      <c r="B75" s="303"/>
      <c r="C75" s="303"/>
      <c r="D75" s="303"/>
      <c r="E75" s="303"/>
      <c r="F75" s="303"/>
    </row>
    <row r="76" spans="1:6" x14ac:dyDescent="0.25">
      <c r="A76" s="299"/>
      <c r="B76" s="299"/>
      <c r="C76" s="299"/>
      <c r="D76" s="299"/>
      <c r="E76" s="299"/>
      <c r="F76" s="299"/>
    </row>
  </sheetData>
  <mergeCells count="40">
    <mergeCell ref="E2:F2"/>
    <mergeCell ref="A5:F5"/>
    <mergeCell ref="A7:A8"/>
    <mergeCell ref="B7:B8"/>
    <mergeCell ref="C7:C8"/>
    <mergeCell ref="D7:F7"/>
    <mergeCell ref="E3:F3"/>
    <mergeCell ref="A63:C63"/>
    <mergeCell ref="D63:F63"/>
    <mergeCell ref="A64:C64"/>
    <mergeCell ref="D64:F64"/>
    <mergeCell ref="A65:C65"/>
    <mergeCell ref="D65:F66"/>
    <mergeCell ref="A66:C66"/>
    <mergeCell ref="A59:F59"/>
    <mergeCell ref="A61:C61"/>
    <mergeCell ref="D61:F61"/>
    <mergeCell ref="A62:C62"/>
    <mergeCell ref="D62:F62"/>
    <mergeCell ref="D69:F69"/>
    <mergeCell ref="A70:C70"/>
    <mergeCell ref="D70:F70"/>
    <mergeCell ref="A67:C67"/>
    <mergeCell ref="D67:F67"/>
    <mergeCell ref="H12:P24"/>
    <mergeCell ref="A76:C76"/>
    <mergeCell ref="D76:F76"/>
    <mergeCell ref="A73:C73"/>
    <mergeCell ref="D73:F73"/>
    <mergeCell ref="A74:C74"/>
    <mergeCell ref="D74:F74"/>
    <mergeCell ref="A75:C75"/>
    <mergeCell ref="D75:F75"/>
    <mergeCell ref="A71:C71"/>
    <mergeCell ref="D71:F71"/>
    <mergeCell ref="A72:C72"/>
    <mergeCell ref="D72:F72"/>
    <mergeCell ref="A68:C68"/>
    <mergeCell ref="D68:F68"/>
    <mergeCell ref="A69:C69"/>
  </mergeCells>
  <conditionalFormatting sqref="B9:B56">
    <cfRule type="cellIs" dxfId="1" priority="2" operator="lessThan">
      <formula>22105</formula>
    </cfRule>
  </conditionalFormatting>
  <conditionalFormatting sqref="C9:F56">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86" fitToHeight="0" orientation="portrait" r:id="rId1"/>
  <rowBreaks count="1" manualBreakCount="1">
    <brk id="58"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23"/>
  <sheetViews>
    <sheetView view="pageBreakPreview" zoomScale="115" zoomScaleNormal="130" zoomScaleSheetLayoutView="115" workbookViewId="0">
      <selection activeCell="C2" sqref="C2:D2"/>
    </sheetView>
  </sheetViews>
  <sheetFormatPr defaultColWidth="9.140625" defaultRowHeight="15.75" x14ac:dyDescent="0.25"/>
  <cols>
    <col min="1" max="1" width="16.42578125" style="6" customWidth="1"/>
    <col min="2" max="2" width="18.42578125" style="6" customWidth="1"/>
    <col min="3" max="3" width="17.5703125" style="6" customWidth="1"/>
    <col min="4" max="4" width="28.5703125" style="6" customWidth="1"/>
    <col min="5" max="16384" width="9.140625" style="6"/>
  </cols>
  <sheetData>
    <row r="1" spans="1:4" ht="33.75" customHeight="1" x14ac:dyDescent="0.25">
      <c r="C1" s="324" t="str">
        <f>malumot!B158&amp;" ijrochi direktori"</f>
        <v>«CLEVER MIKROMOLIYA TASHKILOTI» MChJ ijrochi direktori</v>
      </c>
      <c r="D1" s="324"/>
    </row>
    <row r="2" spans="1:4" x14ac:dyDescent="0.25">
      <c r="C2" s="325" t="s">
        <v>422</v>
      </c>
      <c r="D2" s="325"/>
    </row>
    <row r="3" spans="1:4" x14ac:dyDescent="0.25">
      <c r="C3" s="11"/>
      <c r="D3" s="11"/>
    </row>
    <row r="4" spans="1:4" ht="57.75" customHeight="1" x14ac:dyDescent="0.25">
      <c r="C4" s="323" t="str">
        <f>malumot!B22&amp;" manzilida istiqomat qiluvchi"</f>
        <v>BUXORO VILOYATI BUXORO SHAHRI RUXSHOBOD KO'CHASI manzilida istiqomat qiluvchi</v>
      </c>
      <c r="D4" s="323"/>
    </row>
    <row r="5" spans="1:4" ht="36" customHeight="1" x14ac:dyDescent="0.25">
      <c r="C5" s="323" t="str">
        <f>malumot!B5&amp;" tomonidan"</f>
        <v>XAMRAYEVA XUSHVAXT GAYBULLAYEVNA tomonidan</v>
      </c>
      <c r="D5" s="323"/>
    </row>
    <row r="6" spans="1:4" ht="56.25" customHeight="1" x14ac:dyDescent="0.25">
      <c r="C6" s="322" t="str">
        <f>"Pasport: "&amp;malumot!B16&amp;", "&amp;malumot!B20</f>
        <v>Pasport: AB 5708016, BUXORO VILOYATI BUXORO SHAHAR IIB tomonidan 19.01.2017 yilda berilgan</v>
      </c>
      <c r="D6" s="322"/>
    </row>
    <row r="8" spans="1:4" x14ac:dyDescent="0.25">
      <c r="A8" s="274" t="s">
        <v>379</v>
      </c>
      <c r="B8" s="274"/>
      <c r="C8" s="274"/>
      <c r="D8" s="274"/>
    </row>
    <row r="9" spans="1:4" ht="66" customHeight="1" x14ac:dyDescent="0.25">
      <c r="A9" s="322" t="str">
        <f>"       Men, " &amp; malumot!B5 &amp; " sizdan " &amp; malumot!B2 &amp; " yildagi " &amp; malumot!B1 &amp; "-sonli kredit shartnomasiga asosan " &amp; malumot!B76  &amp; "(" &amp; malumot!B77 &amp; ")"  &amp; "so'm pul mablag'larini quyidagi rekvizitlar asosida o'tkazib berishingizni so'rayman: "</f>
        <v xml:space="preserve">       Men, XAMRAYEVA XUSHVAXT GAYBULLAYEVNA sizdan 23.01.2026 yildagi №195-BRS-sonli kredit shartnomasiga asosan 50000000(ellik million so'm)so'm pul mablag'larini quyidagi rekvizitlar asosida o'tkazib berishingizni so'rayman: </v>
      </c>
      <c r="B9" s="322"/>
      <c r="C9" s="322"/>
      <c r="D9" s="322"/>
    </row>
    <row r="10" spans="1:4" x14ac:dyDescent="0.25">
      <c r="A10" s="173" t="str">
        <f>malumot!A93</f>
        <v>Bank nomi:</v>
      </c>
      <c r="B10" s="322" t="str">
        <f>malumot!B93</f>
        <v>Kapital bank</v>
      </c>
      <c r="C10" s="322"/>
      <c r="D10" s="173"/>
    </row>
    <row r="11" spans="1:4" x14ac:dyDescent="0.25">
      <c r="A11" s="173" t="str">
        <f>malumot!A94</f>
        <v>H/r:</v>
      </c>
      <c r="B11" s="322" t="str">
        <f>malumot!B94</f>
        <v>2312 0000 5000 0115 8013</v>
      </c>
      <c r="C11" s="322"/>
      <c r="D11" s="173"/>
    </row>
    <row r="12" spans="1:4" x14ac:dyDescent="0.25">
      <c r="A12" s="173" t="str">
        <f>malumot!A95</f>
        <v>MFO:</v>
      </c>
      <c r="B12" s="322" t="str">
        <f>malumot!B95</f>
        <v>01158</v>
      </c>
      <c r="C12" s="322"/>
      <c r="D12" s="173"/>
    </row>
    <row r="13" spans="1:4" x14ac:dyDescent="0.25">
      <c r="A13" s="173" t="str">
        <f>malumot!A96</f>
        <v>STIR:</v>
      </c>
      <c r="B13" s="322" t="str">
        <f>malumot!B96</f>
        <v>207275139</v>
      </c>
      <c r="C13" s="322"/>
      <c r="D13" s="173"/>
    </row>
    <row r="14" spans="1:4" x14ac:dyDescent="0.25">
      <c r="A14" s="173" t="str">
        <f>malumot!A97</f>
        <v>Karta raqami:</v>
      </c>
      <c r="B14" s="322" t="str">
        <f>malumot!B97</f>
        <v>5614 6822 1670 4793</v>
      </c>
      <c r="C14" s="322"/>
      <c r="D14" s="173"/>
    </row>
    <row r="15" spans="1:4" x14ac:dyDescent="0.25">
      <c r="A15" s="173"/>
      <c r="B15" s="173"/>
      <c r="C15" s="173"/>
      <c r="D15" s="173"/>
    </row>
    <row r="16" spans="1:4" x14ac:dyDescent="0.25">
      <c r="A16" s="323" t="str">
        <f>malumot!B5</f>
        <v>XAMRAYEVA XUSHVAXT GAYBULLAYEVNA</v>
      </c>
      <c r="B16" s="323"/>
      <c r="C16" s="323"/>
      <c r="D16" s="175" t="s">
        <v>386</v>
      </c>
    </row>
    <row r="17" spans="1:4" x14ac:dyDescent="0.25">
      <c r="A17" s="11"/>
      <c r="B17" s="11"/>
      <c r="C17" s="11"/>
      <c r="D17" s="176" t="s">
        <v>323</v>
      </c>
    </row>
    <row r="18" spans="1:4" x14ac:dyDescent="0.25">
      <c r="A18" s="11"/>
      <c r="B18" s="11"/>
      <c r="C18" s="11"/>
      <c r="D18" s="11"/>
    </row>
    <row r="19" spans="1:4" x14ac:dyDescent="0.25">
      <c r="A19" s="11"/>
      <c r="B19" s="11"/>
      <c r="C19" s="11"/>
      <c r="D19" s="11"/>
    </row>
    <row r="20" spans="1:4" ht="48.75" customHeight="1" x14ac:dyDescent="0.25">
      <c r="A20" s="324" t="str">
        <f>malumot!B158&amp;" ijrochi direktori"</f>
        <v>«CLEVER MIKROMOLIYA TASHKILOTI» MChJ ijrochi direktori</v>
      </c>
      <c r="B20" s="324"/>
      <c r="C20" s="11"/>
      <c r="D20" s="60" t="s">
        <v>421</v>
      </c>
    </row>
    <row r="23" spans="1:4" x14ac:dyDescent="0.25">
      <c r="A23" s="6" t="s">
        <v>388</v>
      </c>
      <c r="B23" s="6" t="s">
        <v>389</v>
      </c>
    </row>
  </sheetData>
  <mergeCells count="14">
    <mergeCell ref="B14:C14"/>
    <mergeCell ref="A16:C16"/>
    <mergeCell ref="A20:B20"/>
    <mergeCell ref="C1:D1"/>
    <mergeCell ref="C2:D2"/>
    <mergeCell ref="A8:D8"/>
    <mergeCell ref="C4:D4"/>
    <mergeCell ref="C5:D5"/>
    <mergeCell ref="C6:D6"/>
    <mergeCell ref="A9:D9"/>
    <mergeCell ref="B10:C10"/>
    <mergeCell ref="B11:C11"/>
    <mergeCell ref="B12:C12"/>
    <mergeCell ref="B13:C1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32"/>
  <sheetViews>
    <sheetView view="pageBreakPreview" topLeftCell="A5" zoomScale="175" zoomScaleNormal="175" zoomScaleSheetLayoutView="175" workbookViewId="0">
      <selection activeCell="A19" sqref="A19"/>
    </sheetView>
  </sheetViews>
  <sheetFormatPr defaultColWidth="0" defaultRowHeight="15.75" x14ac:dyDescent="0.25"/>
  <cols>
    <col min="1" max="1" width="26" style="6" customWidth="1"/>
    <col min="2" max="2" width="15.28515625" style="6" customWidth="1"/>
    <col min="3" max="3" width="34.5703125" style="6" customWidth="1"/>
    <col min="4" max="16384" width="9.140625" style="6" hidden="1"/>
  </cols>
  <sheetData>
    <row r="1" spans="1:3" hidden="1" x14ac:dyDescent="0.25"/>
    <row r="2" spans="1:3" hidden="1" x14ac:dyDescent="0.25"/>
    <row r="3" spans="1:3" hidden="1" x14ac:dyDescent="0.25"/>
    <row r="4" spans="1:3" hidden="1" x14ac:dyDescent="0.25"/>
    <row r="6" spans="1:3" ht="17.25" customHeight="1" x14ac:dyDescent="0.25">
      <c r="C6" s="12" t="str">
        <f>malumot!B158</f>
        <v>«CLEVER MIKROMOLIYA TASHKILOTI» MChJ</v>
      </c>
    </row>
    <row r="7" spans="1:3" ht="33" customHeight="1" x14ac:dyDescent="0.25">
      <c r="A7" s="189"/>
      <c r="B7" s="189"/>
      <c r="C7" s="193" t="str">
        <f>malumot!A161&amp;" "&amp;malumot!B161 &amp;"ga"</f>
        <v>Buxoro filiali boshlig'i A.Xudayberdiyevga</v>
      </c>
    </row>
    <row r="8" spans="1:3" x14ac:dyDescent="0.25">
      <c r="A8" s="194"/>
      <c r="B8" s="194"/>
      <c r="C8" s="193" t="str">
        <f>malumot!B113 &amp; "dan"</f>
        <v>POSHSHAXANOVA N.I.dan</v>
      </c>
    </row>
    <row r="9" spans="1:3" ht="15.75" hidden="1" customHeight="1" x14ac:dyDescent="0.25">
      <c r="C9" s="195" t="str">
        <f>[2]malumot!B119</f>
        <v>FAYZIYEV JAMSHID KURBONOVICH</v>
      </c>
    </row>
    <row r="10" spans="1:3" ht="15.75" hidden="1" customHeight="1" x14ac:dyDescent="0.25">
      <c r="C10" s="195">
        <f>[2]malumot!C119</f>
        <v>0</v>
      </c>
    </row>
    <row r="11" spans="1:3" ht="15.75" hidden="1" customHeight="1" x14ac:dyDescent="0.25">
      <c r="C11" s="194" t="s">
        <v>393</v>
      </c>
    </row>
    <row r="12" spans="1:3" x14ac:dyDescent="0.25">
      <c r="B12" s="6" t="s">
        <v>379</v>
      </c>
    </row>
    <row r="13" spans="1:3" ht="100.5" customHeight="1" x14ac:dyDescent="0.25">
      <c r="A13" s="326" t="str">
        <f>IF(malumot!B110="Avtotransport",A14,A15)</f>
        <v>XAMRAYEVA XUSHVAXT GAYBULLAYEVNA tomonidan so’ralayotgan Qirq sakkiz   (48) oy muddatga, 50 000 000 (ellik million so'm) miqdoridagi mikroqarzning ta’minoti sifatida menga mulk huquqi asosida tegishli bo’lgan  50P697RA, YENGIL SEDAN, B12D211181167HB9X0266, OQ BELO DIMCHATIY, avtotransport vositasini qabul qilishingizni so’rayman:</v>
      </c>
      <c r="B13" s="326"/>
      <c r="C13" s="326"/>
    </row>
    <row r="14" spans="1:3" ht="124.5" hidden="1" customHeight="1" x14ac:dyDescent="0.25">
      <c r="A14" s="327" t="str">
        <f>""&amp;malumot!B12&amp;" tomonidan so’ralayotgan "&amp;malumot!B83&amp;" ("&amp;malumot!B82&amp;") oy muddatga, "&amp;FIXED(malumot!B76,0)&amp;" ("&amp;malumot!B77&amp;") miqdoridagi "&amp;malumot!B65&amp;"ning ta’minoti sifatida menga mulk huquqi asosida tegishli bo’lgan  "&amp;malumot!B133&amp;", "&amp;malumot!B135&amp;", "&amp;malumot!B138&amp;", "&amp;malumot!B141&amp;", avtotransport vositasini qabul qilishingizni so’rayman:"</f>
        <v>XAMRAYEVA XUSHVAXT GAYBULLAYEVNA tomonidan so’ralayotgan Qirq sakkiz   (48) oy muddatga, 50 000 000 (ellik million so'm) miqdoridagi mikroqarzning ta’minoti sifatida menga mulk huquqi asosida tegishli bo’lgan  50P697RA, YENGIL SEDAN, B12D211181167HB9X0266, OQ BELO DIMCHATIY, avtotransport vositasini qabul qilishingizni so’rayman:</v>
      </c>
      <c r="B14" s="327"/>
      <c r="C14" s="327"/>
    </row>
    <row r="15" spans="1:3" ht="13.5" hidden="1" customHeight="1" x14ac:dyDescent="0.25">
      <c r="A15" s="327" t="str">
        <f>""&amp;[2]malumot!B12&amp;" tomonidan so’ralayotgan "&amp;[2]malumot!B81&amp;" ("&amp;[2]malumot!B82&amp;") oy muddatga, "&amp;FIXED([2]malumot!B75,0)&amp;" ("&amp;[2]malumot!B76&amp;") miqdoridagi "&amp;[2]malumot!B65&amp;"ning ta’minoti sifatida menga mulk huquqi asosida tegishli bo’lgan  "&amp;[2]malumot!C134&amp;", umumiy maydoni "&amp;[2]malumot!C138&amp;" va yashash maydoni "&amp;[2]malumot!C141&amp;"  "&amp;[2]malumot!C131&amp;" manzilda joylashgan ko'chmas mulkni qabul qilishingizni so’rayman:"</f>
        <v>XAYATOV OTABEK KURBANOVICH tomonidan so’ralayotgan 48 (Qirq sakkiz  ) oy muddatga, 26 000 000 (yigirma olti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27"/>
      <c r="C15" s="327"/>
    </row>
    <row r="18" spans="1:3" x14ac:dyDescent="0.25">
      <c r="C18" s="195" t="s">
        <v>394</v>
      </c>
    </row>
    <row r="19" spans="1:3" ht="18.75" customHeight="1" x14ac:dyDescent="0.25">
      <c r="A19" s="11" t="str">
        <f>+IF(malumot!B100="ha",malumot!B7,malumot!B7)</f>
        <v>XAMRAYEVA X.G.</v>
      </c>
      <c r="C19" s="196" t="str">
        <f>malumot!B2</f>
        <v>23.01.2026</v>
      </c>
    </row>
    <row r="20" spans="1:3" s="328" customFormat="1" ht="48" customHeight="1" x14ac:dyDescent="0.25">
      <c r="A20" s="328" t="str">
        <f>IF(malumot!B100=malumot!D100,CONCATENATE(A28," ",A32,A26),"")</f>
        <v xml:space="preserve">№2026023772000213 23.01.2026sanasidan xususiy faoliyat ko'rsatuvchi notarius tomonidan  BUXORO VILOYATI BUXORO SHAHRI BOG'ISHAMOL KO'CHASI 1/7-UY 1-XONA berilgan ishonchnomaga asosan </v>
      </c>
    </row>
    <row r="21" spans="1:3" x14ac:dyDescent="0.25">
      <c r="A21" s="178"/>
      <c r="B21" s="178"/>
      <c r="C21" s="178"/>
    </row>
    <row r="22" spans="1:3" x14ac:dyDescent="0.25">
      <c r="A22" s="178"/>
      <c r="B22" s="178"/>
      <c r="C22" s="178"/>
    </row>
    <row r="23" spans="1:3" x14ac:dyDescent="0.25">
      <c r="A23" s="143" t="str">
        <f>malumot!A161</f>
        <v>Buxoro filiali boshlig'i</v>
      </c>
      <c r="B23" s="143"/>
      <c r="C23" s="193" t="str">
        <f>malumot!B161</f>
        <v>A.Xudayberdiyev</v>
      </c>
    </row>
    <row r="24" spans="1:3" x14ac:dyDescent="0.25">
      <c r="A24" s="143"/>
      <c r="B24" s="143"/>
      <c r="C24" s="193"/>
    </row>
    <row r="25" spans="1:3" x14ac:dyDescent="0.25">
      <c r="A25" s="143"/>
      <c r="B25" s="143"/>
      <c r="C25" s="193"/>
    </row>
    <row r="26" spans="1:3" hidden="1" x14ac:dyDescent="0.25">
      <c r="A26" s="6" t="str">
        <f>" xususiy faoliyat ko'rsatuvchi notarius tomonidan "&amp;malumot!B104&amp;" "&amp;malumot!B105&amp;" berilgan ishonchnomaga asosan "</f>
        <v xml:space="preserve"> xususiy faoliyat ko'rsatuvchi notarius tomonidan  BUXORO VILOYATI BUXORO SHAHRI BOG'ISHAMOL KO'CHASI 1/7-UY 1-XONA berilgan ishonchnomaga asosan </v>
      </c>
    </row>
    <row r="27" spans="1:3" hidden="1" x14ac:dyDescent="0.25"/>
    <row r="28" spans="1:3" hidden="1" x14ac:dyDescent="0.25">
      <c r="A28" s="6" t="str">
        <f>"№"&amp;malumot!B107&amp; ""</f>
        <v>№2026023772000213</v>
      </c>
    </row>
    <row r="29" spans="1:3" hidden="1" x14ac:dyDescent="0.25">
      <c r="A29" s="235">
        <f>malumot!B108</f>
        <v>46045</v>
      </c>
    </row>
    <row r="30" spans="1:3" hidden="1" x14ac:dyDescent="0.25">
      <c r="A30" s="6" t="str">
        <f>TEXT(A29,"ДД.ММ.ГГГГ")</f>
        <v>23.01.2026</v>
      </c>
    </row>
    <row r="31" spans="1:3" hidden="1" x14ac:dyDescent="0.25">
      <c r="A31" s="6" t="s">
        <v>411</v>
      </c>
    </row>
    <row r="32" spans="1:3" hidden="1" x14ac:dyDescent="0.25">
      <c r="A32" s="6" t="str">
        <f>CONCATENATE(A30,A31)</f>
        <v>23.01.2026sanasidan</v>
      </c>
    </row>
  </sheetData>
  <mergeCells count="4">
    <mergeCell ref="A13:C13"/>
    <mergeCell ref="A14:C14"/>
    <mergeCell ref="A15:C15"/>
    <mergeCell ref="A20:XFD20"/>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tabColor rgb="FF00B050"/>
  </sheetPr>
  <dimension ref="B1:G42"/>
  <sheetViews>
    <sheetView view="pageBreakPreview" zoomScaleSheetLayoutView="100" workbookViewId="0">
      <selection activeCell="B17" sqref="B17"/>
    </sheetView>
  </sheetViews>
  <sheetFormatPr defaultColWidth="9.140625" defaultRowHeight="15" x14ac:dyDescent="0.25"/>
  <cols>
    <col min="1" max="1" width="3.42578125" style="13" customWidth="1"/>
    <col min="2" max="3" width="17.85546875" style="18" customWidth="1"/>
    <col min="4" max="4" width="15" style="18" customWidth="1"/>
    <col min="5" max="5" width="17.85546875" style="18" customWidth="1"/>
    <col min="6" max="6" width="9" style="18" customWidth="1"/>
    <col min="7" max="7" width="4.7109375" style="18" customWidth="1"/>
    <col min="8" max="16384" width="9.140625" style="13"/>
  </cols>
  <sheetData>
    <row r="1" spans="2:7" ht="15.75" thickBot="1" x14ac:dyDescent="0.3"/>
    <row r="2" spans="2:7" ht="62.25" customHeight="1" x14ac:dyDescent="0.35">
      <c r="B2" s="340" t="str">
        <f>malumot!B159</f>
        <v>«CLEVER MIKROMOLIYA TASHKILOTI» MChJ</v>
      </c>
      <c r="C2" s="341"/>
      <c r="D2" s="341"/>
      <c r="E2" s="341"/>
      <c r="F2" s="342"/>
      <c r="G2" s="38"/>
    </row>
    <row r="3" spans="2:7" x14ac:dyDescent="0.25">
      <c r="B3" s="332"/>
      <c r="C3" s="303"/>
      <c r="D3" s="303"/>
      <c r="E3" s="303"/>
      <c r="F3" s="333"/>
      <c r="G3" s="39"/>
    </row>
    <row r="4" spans="2:7" ht="8.25" customHeight="1" x14ac:dyDescent="0.25">
      <c r="B4" s="51"/>
      <c r="F4" s="52"/>
      <c r="G4" s="39"/>
    </row>
    <row r="5" spans="2:7" ht="12" customHeight="1" x14ac:dyDescent="0.25">
      <c r="B5" s="41"/>
      <c r="C5" s="39"/>
      <c r="D5" s="39"/>
      <c r="E5" s="39"/>
      <c r="F5" s="42"/>
      <c r="G5" s="39"/>
    </row>
    <row r="6" spans="2:7" ht="6.75" customHeight="1" x14ac:dyDescent="0.25">
      <c r="B6" s="41"/>
      <c r="C6" s="39"/>
      <c r="D6" s="39"/>
      <c r="E6" s="39"/>
      <c r="F6" s="42"/>
      <c r="G6" s="39"/>
    </row>
    <row r="7" spans="2:7" ht="6.75" customHeight="1" x14ac:dyDescent="0.25">
      <c r="B7" s="41"/>
      <c r="C7" s="39"/>
      <c r="D7" s="39"/>
      <c r="E7" s="39"/>
      <c r="F7" s="42"/>
      <c r="G7" s="39"/>
    </row>
    <row r="8" spans="2:7" x14ac:dyDescent="0.25">
      <c r="B8" s="41"/>
      <c r="C8" s="39"/>
      <c r="D8" s="39"/>
      <c r="E8" s="39"/>
      <c r="F8" s="42"/>
      <c r="G8" s="39"/>
    </row>
    <row r="9" spans="2:7" x14ac:dyDescent="0.25">
      <c r="B9" s="41"/>
      <c r="C9" s="39"/>
      <c r="D9" s="39"/>
      <c r="E9" s="39"/>
      <c r="F9" s="42"/>
      <c r="G9" s="39"/>
    </row>
    <row r="10" spans="2:7" x14ac:dyDescent="0.25">
      <c r="B10" s="332" t="s">
        <v>24</v>
      </c>
      <c r="C10" s="303"/>
      <c r="D10" s="303"/>
      <c r="E10" s="303"/>
      <c r="F10" s="333"/>
      <c r="G10" s="39"/>
    </row>
    <row r="11" spans="2:7" x14ac:dyDescent="0.25">
      <c r="B11" s="332" t="s">
        <v>24</v>
      </c>
      <c r="C11" s="303"/>
      <c r="D11" s="303"/>
      <c r="E11" s="303"/>
      <c r="F11" s="333"/>
      <c r="G11" s="39"/>
    </row>
    <row r="12" spans="2:7" ht="135" customHeight="1" x14ac:dyDescent="0.8">
      <c r="B12" s="343" t="str">
        <f>malumot!B5</f>
        <v>XAMRAYEVA XUSHVAXT GAYBULLAYEVNA</v>
      </c>
      <c r="C12" s="344"/>
      <c r="D12" s="344"/>
      <c r="E12" s="344"/>
      <c r="F12" s="345"/>
      <c r="G12" s="40"/>
    </row>
    <row r="13" spans="2:7" x14ac:dyDescent="0.25">
      <c r="B13" s="332"/>
      <c r="C13" s="303"/>
      <c r="D13" s="303"/>
      <c r="E13" s="303"/>
      <c r="F13" s="333"/>
      <c r="G13" s="39"/>
    </row>
    <row r="14" spans="2:7" x14ac:dyDescent="0.25">
      <c r="B14" s="41"/>
      <c r="C14" s="39"/>
      <c r="D14" s="39"/>
      <c r="E14" s="39"/>
      <c r="F14" s="42"/>
      <c r="G14" s="39"/>
    </row>
    <row r="15" spans="2:7" x14ac:dyDescent="0.25">
      <c r="B15" s="41"/>
      <c r="C15" s="39"/>
      <c r="D15" s="39"/>
      <c r="E15" s="39"/>
      <c r="F15" s="42"/>
      <c r="G15" s="39"/>
    </row>
    <row r="16" spans="2:7" x14ac:dyDescent="0.25">
      <c r="B16" s="41"/>
      <c r="C16" s="39"/>
      <c r="D16" s="39"/>
      <c r="E16" s="39"/>
      <c r="F16" s="42"/>
      <c r="G16" s="39"/>
    </row>
    <row r="17" spans="2:7" x14ac:dyDescent="0.25">
      <c r="B17" s="41"/>
      <c r="C17" s="39"/>
      <c r="D17" s="39"/>
      <c r="E17" s="39"/>
      <c r="F17" s="42"/>
      <c r="G17" s="39"/>
    </row>
    <row r="18" spans="2:7" x14ac:dyDescent="0.25">
      <c r="B18" s="332"/>
      <c r="C18" s="303"/>
      <c r="D18" s="303"/>
      <c r="E18" s="303"/>
      <c r="F18" s="333"/>
      <c r="G18" s="39"/>
    </row>
    <row r="19" spans="2:7" ht="20.25" x14ac:dyDescent="0.3">
      <c r="B19" s="337" t="str">
        <f>""&amp;malumot!C64&amp;" shartnoma "&amp;malumot!B74&amp;""</f>
        <v>Mikroqarz shartnoma 23 yanvar 2026 y.dan №195-BRS</v>
      </c>
      <c r="C19" s="338"/>
      <c r="D19" s="338"/>
      <c r="E19" s="338"/>
      <c r="F19" s="339"/>
      <c r="G19" s="39"/>
    </row>
    <row r="20" spans="2:7" x14ac:dyDescent="0.25">
      <c r="B20" s="332"/>
      <c r="C20" s="303"/>
      <c r="D20" s="303"/>
      <c r="E20" s="303"/>
      <c r="F20" s="333"/>
      <c r="G20" s="39"/>
    </row>
    <row r="21" spans="2:7" x14ac:dyDescent="0.25">
      <c r="B21" s="332"/>
      <c r="C21" s="303"/>
      <c r="D21" s="303"/>
      <c r="E21" s="303"/>
      <c r="F21" s="333"/>
      <c r="G21" s="39"/>
    </row>
    <row r="22" spans="2:7" x14ac:dyDescent="0.25">
      <c r="B22" s="332"/>
      <c r="C22" s="303"/>
      <c r="D22" s="303"/>
      <c r="E22" s="303"/>
      <c r="F22" s="333"/>
      <c r="G22" s="39"/>
    </row>
    <row r="23" spans="2:7" x14ac:dyDescent="0.25">
      <c r="B23" s="332"/>
      <c r="C23" s="303"/>
      <c r="D23" s="303"/>
      <c r="E23" s="303"/>
      <c r="F23" s="333"/>
      <c r="G23" s="39"/>
    </row>
    <row r="24" spans="2:7" x14ac:dyDescent="0.25">
      <c r="B24" s="334" t="str">
        <f>" Foiz stavkasi: "&amp;malumot!B86&amp;"%"</f>
        <v xml:space="preserve"> Foiz stavkasi: 55%</v>
      </c>
      <c r="C24" s="335"/>
      <c r="D24" s="335"/>
      <c r="E24" s="335"/>
      <c r="F24" s="336"/>
      <c r="G24" s="39"/>
    </row>
    <row r="25" spans="2:7" ht="15" customHeight="1" x14ac:dyDescent="0.25">
      <c r="B25" s="334" t="str">
        <f>" "&amp;malumot!C64&amp;" muddati: "&amp;malumot!B82&amp;" oy"</f>
        <v xml:space="preserve"> Mikroqarz muddati: 48 oy</v>
      </c>
      <c r="C25" s="335"/>
      <c r="D25" s="335"/>
      <c r="E25" s="335"/>
      <c r="F25" s="336"/>
      <c r="G25" s="39"/>
    </row>
    <row r="26" spans="2:7" x14ac:dyDescent="0.25">
      <c r="B26" s="334" t="str">
        <f>" "&amp;malumot!C64&amp;" miqdori: "&amp;FIXED(malumot!B76,2)&amp;" so'm"</f>
        <v xml:space="preserve"> Mikroqarz miqdori: 50 000 000,00 so'm</v>
      </c>
      <c r="C26" s="335"/>
      <c r="D26" s="335"/>
      <c r="E26" s="335"/>
      <c r="F26" s="336"/>
      <c r="G26" s="39"/>
    </row>
    <row r="27" spans="2:7" x14ac:dyDescent="0.25">
      <c r="B27" s="332"/>
      <c r="C27" s="303"/>
      <c r="D27" s="303"/>
      <c r="E27" s="303"/>
      <c r="F27" s="333"/>
      <c r="G27" s="39"/>
    </row>
    <row r="28" spans="2:7" hidden="1" x14ac:dyDescent="0.25">
      <c r="G28" s="39"/>
    </row>
    <row r="29" spans="2:7" x14ac:dyDescent="0.25">
      <c r="B29" s="332"/>
      <c r="C29" s="303"/>
      <c r="D29" s="303"/>
      <c r="E29" s="303"/>
      <c r="F29" s="333"/>
      <c r="G29" s="39"/>
    </row>
    <row r="30" spans="2:7" ht="12.75" customHeight="1" x14ac:dyDescent="0.25">
      <c r="B30" s="41"/>
      <c r="C30" s="39"/>
      <c r="D30" s="39"/>
      <c r="E30" s="39"/>
      <c r="F30" s="42"/>
      <c r="G30" s="39"/>
    </row>
    <row r="31" spans="2:7" x14ac:dyDescent="0.25">
      <c r="B31" s="41"/>
      <c r="C31" s="39"/>
      <c r="D31" s="39"/>
      <c r="E31" s="39"/>
      <c r="F31" s="42"/>
      <c r="G31" s="39"/>
    </row>
    <row r="32" spans="2:7" ht="2.25" customHeight="1" x14ac:dyDescent="0.25">
      <c r="B32" s="41"/>
      <c r="C32" s="39"/>
      <c r="D32" s="39"/>
      <c r="E32" s="39"/>
      <c r="F32" s="42"/>
      <c r="G32" s="39"/>
    </row>
    <row r="33" spans="2:7" x14ac:dyDescent="0.25">
      <c r="B33" s="41"/>
      <c r="C33" s="39"/>
      <c r="D33" s="39"/>
      <c r="E33" s="39"/>
      <c r="F33" s="42"/>
      <c r="G33" s="39"/>
    </row>
    <row r="34" spans="2:7" x14ac:dyDescent="0.25">
      <c r="B34" s="41"/>
      <c r="C34" s="39"/>
      <c r="D34" s="39"/>
      <c r="E34" s="39"/>
      <c r="F34" s="42"/>
      <c r="G34" s="39"/>
    </row>
    <row r="35" spans="2:7" x14ac:dyDescent="0.25">
      <c r="B35" s="41"/>
      <c r="C35" s="39"/>
      <c r="D35" s="39"/>
      <c r="E35" s="39"/>
      <c r="F35" s="42"/>
      <c r="G35" s="39"/>
    </row>
    <row r="36" spans="2:7" x14ac:dyDescent="0.25">
      <c r="B36" s="41"/>
      <c r="C36" s="39"/>
      <c r="D36" s="39"/>
      <c r="E36" s="39"/>
      <c r="F36" s="42"/>
      <c r="G36" s="39"/>
    </row>
    <row r="37" spans="2:7" x14ac:dyDescent="0.25">
      <c r="B37" s="41"/>
      <c r="C37" s="39"/>
      <c r="D37" s="39"/>
      <c r="E37" s="39"/>
      <c r="F37" s="42"/>
      <c r="G37" s="39"/>
    </row>
    <row r="38" spans="2:7" x14ac:dyDescent="0.25">
      <c r="B38" s="41"/>
      <c r="C38" s="39"/>
      <c r="D38" s="39"/>
      <c r="E38" s="39"/>
      <c r="F38" s="42"/>
      <c r="G38" s="39"/>
    </row>
    <row r="39" spans="2:7" x14ac:dyDescent="0.25">
      <c r="B39" s="41"/>
      <c r="C39" s="39"/>
      <c r="D39" s="39"/>
      <c r="E39" s="39"/>
      <c r="F39" s="42"/>
      <c r="G39" s="39"/>
    </row>
    <row r="40" spans="2:7" ht="15.75" thickBot="1" x14ac:dyDescent="0.3">
      <c r="B40" s="329" t="str">
        <f>"Toshkent sh., "&amp;malumot!B70&amp;""</f>
        <v>Toshkent sh., 23 yanvar 2026 y.</v>
      </c>
      <c r="C40" s="330"/>
      <c r="D40" s="330"/>
      <c r="E40" s="330"/>
      <c r="F40" s="331"/>
      <c r="G40" s="39"/>
    </row>
    <row r="41" spans="2:7" x14ac:dyDescent="0.25">
      <c r="B41" s="303"/>
      <c r="C41" s="303"/>
      <c r="D41" s="303"/>
      <c r="E41" s="303"/>
      <c r="F41" s="303"/>
      <c r="G41" s="39"/>
    </row>
    <row r="42" spans="2:7" x14ac:dyDescent="0.25">
      <c r="B42" s="303"/>
      <c r="C42" s="303"/>
      <c r="D42" s="303"/>
      <c r="E42" s="303"/>
      <c r="F42" s="303"/>
      <c r="G42" s="39"/>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tabColor rgb="FF00B050"/>
  </sheetPr>
  <dimension ref="A1:F43"/>
  <sheetViews>
    <sheetView view="pageBreakPreview" zoomScaleSheetLayoutView="100" workbookViewId="0">
      <selection activeCell="A6" sqref="A6:F6"/>
    </sheetView>
  </sheetViews>
  <sheetFormatPr defaultColWidth="9.140625" defaultRowHeight="12.75" x14ac:dyDescent="0.2"/>
  <cols>
    <col min="1" max="6" width="14.28515625" style="21" customWidth="1"/>
    <col min="7" max="16384" width="9.140625" style="21"/>
  </cols>
  <sheetData>
    <row r="1" spans="1:6" x14ac:dyDescent="0.2">
      <c r="A1" s="347" t="s">
        <v>212</v>
      </c>
      <c r="B1" s="347"/>
      <c r="C1" s="347"/>
      <c r="D1" s="347"/>
      <c r="E1" s="347"/>
      <c r="F1" s="347"/>
    </row>
    <row r="2" spans="1:6" ht="35.25" customHeight="1" x14ac:dyDescent="0.2">
      <c r="A2" s="348" t="s">
        <v>318</v>
      </c>
      <c r="B2" s="348"/>
      <c r="C2" s="348"/>
      <c r="D2" s="348"/>
      <c r="E2" s="348"/>
      <c r="F2" s="348"/>
    </row>
    <row r="3" spans="1:6" x14ac:dyDescent="0.2">
      <c r="A3" s="347" t="s">
        <v>213</v>
      </c>
      <c r="B3" s="347"/>
      <c r="C3" s="347"/>
      <c r="D3" s="347"/>
      <c r="E3" s="347"/>
      <c r="F3" s="347"/>
    </row>
    <row r="4" spans="1:6" x14ac:dyDescent="0.2">
      <c r="A4" s="346" t="str">
        <f>xulosa!A4:E4</f>
        <v>Mijozning to'liq ismi sharifi: XAMRAYEVA XUSHVAXT GAYBULLAYEVNA</v>
      </c>
      <c r="B4" s="346"/>
      <c r="C4" s="346"/>
      <c r="D4" s="346"/>
      <c r="E4" s="346"/>
      <c r="F4" s="346"/>
    </row>
    <row r="5" spans="1:6" x14ac:dyDescent="0.2">
      <c r="A5" s="346" t="str">
        <f>xulosa!A5:E5</f>
        <v>Tug'ilgan sanasi: 09.03.1962 y</v>
      </c>
      <c r="B5" s="346"/>
      <c r="C5" s="346"/>
      <c r="D5" s="346"/>
      <c r="E5" s="346"/>
      <c r="F5" s="346"/>
    </row>
    <row r="6" spans="1:6" ht="32.25" customHeight="1" x14ac:dyDescent="0.2">
      <c r="A6" s="346" t="str">
        <f>xulosa!A6:E6</f>
        <v>Pasport seriyasi AB 5708016 BUXORO VILOYATI BUXORO SHAHAR IIB tomonidan 19.01.2017 yilda berilgan, amal qilish muddati - 18.01.2027 y.</v>
      </c>
      <c r="B6" s="346"/>
      <c r="C6" s="346"/>
      <c r="D6" s="346"/>
      <c r="E6" s="346"/>
      <c r="F6" s="346"/>
    </row>
    <row r="7" spans="1:6" x14ac:dyDescent="0.2">
      <c r="A7" s="346" t="str">
        <f>"Fuqaroligi: "&amp;malumot!B32&amp;""</f>
        <v>Fuqaroligi: O’zbekiston Respublikasi</v>
      </c>
      <c r="B7" s="346"/>
      <c r="C7" s="346"/>
      <c r="D7" s="346"/>
      <c r="E7" s="346"/>
      <c r="F7" s="346"/>
    </row>
    <row r="8" spans="1:6" ht="26.25" customHeight="1" x14ac:dyDescent="0.2">
      <c r="A8" s="346" t="str">
        <f>xulosa!A7:E7</f>
        <v>Ro‘yxatdan o‘tgan manzili: BUXORO VILOYATI BUXORO SHAHRI RUXSHOBOD KO'CHASI, mo'ljal: AMIRON TO'YXONA</v>
      </c>
      <c r="B8" s="346"/>
      <c r="C8" s="346"/>
      <c r="D8" s="346"/>
      <c r="E8" s="346"/>
      <c r="F8" s="346"/>
    </row>
    <row r="9" spans="1:6" x14ac:dyDescent="0.2">
      <c r="A9" s="346" t="str">
        <f>IF(malumot!B23="mos keladi"," ",mijoz_anketasi!A10:F10)</f>
        <v xml:space="preserve"> </v>
      </c>
      <c r="B9" s="346"/>
      <c r="C9" s="346"/>
      <c r="D9" s="346"/>
      <c r="E9" s="346"/>
      <c r="F9" s="346"/>
    </row>
    <row r="10" spans="1:6" ht="31.5" hidden="1" customHeight="1" x14ac:dyDescent="0.2">
      <c r="A10" s="346" t="str">
        <f>"Haqiqatdan yashash joy manzili: "&amp;malumot!B28&amp;""</f>
        <v>Haqiqatdan yashash joy manzili: BUXORO VILOYATI BUXORO SHAHRI RUXSHOBOD KO'CHASI</v>
      </c>
      <c r="B10" s="346"/>
      <c r="C10" s="346"/>
      <c r="D10" s="346"/>
      <c r="E10" s="346"/>
      <c r="F10" s="346"/>
    </row>
    <row r="11" spans="1:6" ht="16.5" hidden="1" customHeight="1" x14ac:dyDescent="0.2">
      <c r="A11" s="346" t="str">
        <f>xulosa!A8:E8</f>
        <v>Ish joyi:  lavozimi XAMRAYEVA XUSHVAXT GAYBULLAYEVNAda XAMRAYEVA XUSHVAXT GAYBULLAYEVNA</v>
      </c>
      <c r="B11" s="346"/>
      <c r="C11" s="346"/>
      <c r="D11" s="346"/>
      <c r="E11" s="346"/>
      <c r="F11" s="346"/>
    </row>
    <row r="12" spans="1:6" x14ac:dyDescent="0.2">
      <c r="A12" s="347" t="s">
        <v>214</v>
      </c>
      <c r="B12" s="347"/>
      <c r="C12" s="347"/>
      <c r="D12" s="347"/>
      <c r="E12" s="347"/>
      <c r="F12" s="347"/>
    </row>
    <row r="13" spans="1:6" x14ac:dyDescent="0.2">
      <c r="A13" s="346" t="str">
        <f>"Uy telefoni raqami: "&amp;malumot!B40&amp;""</f>
        <v>Uy telefoni raqami: 91 409 21 05  UZI</v>
      </c>
      <c r="B13" s="346"/>
      <c r="C13" s="346"/>
      <c r="D13" s="346"/>
      <c r="E13" s="346"/>
      <c r="F13" s="346"/>
    </row>
    <row r="14" spans="1:6" x14ac:dyDescent="0.2">
      <c r="A14" s="346" t="str">
        <f>"Uyali telefon raqami: "&amp;malumot!B41&amp;""</f>
        <v>Uyali telefon raqami: 50 003 06 46 O'G'LI</v>
      </c>
      <c r="B14" s="346"/>
      <c r="C14" s="346"/>
      <c r="D14" s="346"/>
      <c r="E14" s="346"/>
      <c r="F14" s="346"/>
    </row>
    <row r="15" spans="1:6" x14ac:dyDescent="0.2">
      <c r="A15" s="346" t="str">
        <f>"Uyali telefon raqami: "&amp;malumot!B42&amp;""</f>
        <v>Uyali telefon raqami: 99 330 32 62 O'G'LI</v>
      </c>
      <c r="B15" s="346"/>
      <c r="C15" s="346"/>
      <c r="D15" s="346"/>
      <c r="E15" s="346"/>
      <c r="F15" s="346"/>
    </row>
    <row r="16" spans="1:6" hidden="1" x14ac:dyDescent="0.2">
      <c r="A16" s="346" t="str">
        <f>"Uyali telefon raqami: "&amp;malumot!B42&amp;""</f>
        <v>Uyali telefon raqami: 99 330 32 62 O'G'LI</v>
      </c>
      <c r="B16" s="346"/>
      <c r="C16" s="346"/>
      <c r="D16" s="346"/>
      <c r="E16" s="346"/>
      <c r="F16" s="346"/>
    </row>
    <row r="17" spans="1:6" x14ac:dyDescent="0.2">
      <c r="A17" s="346" t="str">
        <f>"Ish telefoni raqami: "&amp;malumot!B43&amp;""</f>
        <v xml:space="preserve">Ish telefoni raqami: </v>
      </c>
      <c r="B17" s="346"/>
      <c r="C17" s="346"/>
      <c r="D17" s="346"/>
      <c r="E17" s="346"/>
      <c r="F17" s="346"/>
    </row>
    <row r="18" spans="1:6" x14ac:dyDescent="0.2">
      <c r="A18" s="347" t="s">
        <v>215</v>
      </c>
      <c r="B18" s="347"/>
      <c r="C18" s="347"/>
      <c r="D18" s="347"/>
      <c r="E18" s="347"/>
      <c r="F18" s="347"/>
    </row>
    <row r="19" spans="1:6" x14ac:dyDescent="0.2">
      <c r="A19" s="346" t="str">
        <f>"Muassasa nomlanishi:"&amp;malumot!B58&amp;""</f>
        <v>Muassasa nomlanishi:XAMRAYEVA XUSHVAXT GAYBULLAYEVNA</v>
      </c>
      <c r="B19" s="346"/>
      <c r="C19" s="346"/>
      <c r="D19" s="346"/>
      <c r="E19" s="346"/>
      <c r="F19" s="346"/>
    </row>
    <row r="20" spans="1:6" x14ac:dyDescent="0.2">
      <c r="A20" s="346" t="str">
        <f>"Ro‘yxatdan o‘tish manzili:"&amp;malumot!B50&amp;""</f>
        <v>Ro‘yxatdan o‘tish manzili:</v>
      </c>
      <c r="B20" s="346"/>
      <c r="C20" s="346"/>
      <c r="D20" s="346"/>
      <c r="E20" s="346"/>
      <c r="F20" s="346"/>
    </row>
    <row r="21" spans="1:6" x14ac:dyDescent="0.2">
      <c r="A21" s="346" t="str">
        <f>"Lavozimi: "&amp;malumot!B59&amp;""</f>
        <v>Lavozimi: XAMRAYEVA XUSHVAXT GAYBULLAYEVNA</v>
      </c>
      <c r="B21" s="346"/>
      <c r="C21" s="346"/>
      <c r="D21" s="346"/>
      <c r="E21" s="346"/>
      <c r="F21" s="346"/>
    </row>
    <row r="22" spans="1:6" x14ac:dyDescent="0.2">
      <c r="A22" s="347" t="s">
        <v>216</v>
      </c>
      <c r="B22" s="349"/>
      <c r="C22" s="349"/>
      <c r="D22" s="349"/>
      <c r="E22" s="349"/>
      <c r="F22" s="349"/>
    </row>
    <row r="23" spans="1:6" s="23" customFormat="1" ht="25.5" x14ac:dyDescent="0.25">
      <c r="A23" s="22" t="s">
        <v>217</v>
      </c>
      <c r="B23" s="22" t="s">
        <v>218</v>
      </c>
      <c r="C23" s="22" t="s">
        <v>219</v>
      </c>
      <c r="D23" s="22" t="s">
        <v>220</v>
      </c>
      <c r="E23" s="22" t="s">
        <v>221</v>
      </c>
      <c r="F23" s="22" t="s">
        <v>222</v>
      </c>
    </row>
    <row r="24" spans="1:6" ht="51" x14ac:dyDescent="0.2">
      <c r="A24" s="24" t="s">
        <v>223</v>
      </c>
      <c r="B24" s="25">
        <f>malumot!B60</f>
        <v>16000000</v>
      </c>
      <c r="C24" s="25">
        <v>0</v>
      </c>
      <c r="D24" s="25">
        <v>0</v>
      </c>
      <c r="E24" s="24" t="s">
        <v>226</v>
      </c>
      <c r="F24" s="25">
        <v>700000</v>
      </c>
    </row>
    <row r="25" spans="1:6" ht="25.5" x14ac:dyDescent="0.2">
      <c r="A25" s="24" t="s">
        <v>224</v>
      </c>
      <c r="B25" s="25">
        <v>0</v>
      </c>
      <c r="C25" s="25">
        <v>0</v>
      </c>
      <c r="D25" s="25">
        <v>0</v>
      </c>
      <c r="E25" s="24" t="s">
        <v>227</v>
      </c>
      <c r="F25" s="25">
        <v>500000</v>
      </c>
    </row>
    <row r="26" spans="1:6" ht="28.5" customHeight="1" x14ac:dyDescent="0.2">
      <c r="A26" s="24" t="s">
        <v>225</v>
      </c>
      <c r="B26" s="25">
        <f>malumot!B61</f>
        <v>0</v>
      </c>
      <c r="C26" s="25">
        <v>0</v>
      </c>
      <c r="D26" s="25">
        <v>0</v>
      </c>
      <c r="E26" s="24" t="s">
        <v>228</v>
      </c>
      <c r="F26" s="25">
        <v>500000</v>
      </c>
    </row>
    <row r="27" spans="1:6" s="28" customFormat="1" x14ac:dyDescent="0.2">
      <c r="A27" s="26" t="s">
        <v>204</v>
      </c>
      <c r="B27" s="27">
        <f>B24+B25+B26</f>
        <v>16000000</v>
      </c>
      <c r="C27" s="27">
        <f t="shared" ref="C27:F27" si="0">SUM(C24:C26)</f>
        <v>0</v>
      </c>
      <c r="D27" s="27">
        <f t="shared" si="0"/>
        <v>0</v>
      </c>
      <c r="E27" s="26"/>
      <c r="F27" s="27">
        <f t="shared" si="0"/>
        <v>1700000</v>
      </c>
    </row>
    <row r="28" spans="1:6" ht="31.5" customHeight="1" x14ac:dyDescent="0.2">
      <c r="A28" s="346" t="str">
        <f>"Men, "&amp;malumot!B5&amp;", ushbu anketada ko‘rsatilgan barcha ma'lumotlar anketa to'ldirilgan sanada  to'g'ri va aniq ekanligini tasdiqlayman."</f>
        <v>Men, XAMRAYEVA XUSHVAXT GAYBULLAYEVNA, ushbu anketada ko‘rsatilgan barcha ma'lumotlar anketa to'ldirilgan sanada  to'g'ri va aniq ekanligini tasdiqlayman.</v>
      </c>
      <c r="B28" s="346"/>
      <c r="C28" s="346"/>
      <c r="D28" s="346"/>
      <c r="E28" s="346"/>
      <c r="F28" s="346"/>
    </row>
    <row r="29" spans="1:6" x14ac:dyDescent="0.2">
      <c r="A29" s="346" t="str">
        <f>"Men,  "&amp;malumot!B5&amp;", quyidagilarni tan olaman va roziman::"</f>
        <v>Men,  XAMRAYEVA XUSHVAXT GAYBULLAYEVNA, quyidagilarni tan olaman va roziman::</v>
      </c>
      <c r="B29" s="346"/>
      <c r="C29" s="346"/>
      <c r="D29" s="346"/>
      <c r="E29" s="346"/>
      <c r="F29" s="346"/>
    </row>
    <row r="30" spans="1:6" ht="45.75" customHeight="1" x14ac:dyDescent="0.2">
      <c r="A30" s="346" t="str">
        <f>"1.  Ushbu anketada ko‘rsatilgan har qanday ma’lumot  "&amp;malumot!B158&amp;",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46"/>
      <c r="C30" s="346"/>
      <c r="D30" s="346"/>
      <c r="E30" s="346"/>
      <c r="F30" s="346"/>
    </row>
    <row r="31" spans="1:6" ht="42.75" customHeight="1" x14ac:dyDescent="0.2">
      <c r="A31" s="346" t="str">
        <f>"2. Mazkur anketaning "&amp;malumot!B158&amp;"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46"/>
      <c r="C31" s="346"/>
      <c r="D31" s="346"/>
      <c r="E31" s="346"/>
      <c r="F31" s="346"/>
    </row>
    <row r="32" spans="1:6" ht="71.25" customHeight="1" x14ac:dyDescent="0.2">
      <c r="A32" s="346" t="s">
        <v>229</v>
      </c>
      <c r="B32" s="346"/>
      <c r="C32" s="346"/>
      <c r="D32" s="346"/>
      <c r="E32" s="346"/>
      <c r="F32" s="346"/>
    </row>
    <row r="33" spans="1:6" x14ac:dyDescent="0.2">
      <c r="A33" s="346"/>
      <c r="B33" s="346"/>
      <c r="C33" s="346"/>
      <c r="D33" s="346"/>
      <c r="E33" s="346"/>
      <c r="F33" s="346"/>
    </row>
    <row r="34" spans="1:6" ht="12.75" customHeight="1" x14ac:dyDescent="0.2">
      <c r="A34" s="349" t="s">
        <v>230</v>
      </c>
      <c r="B34" s="349"/>
      <c r="C34" s="349"/>
      <c r="D34" s="135" t="s">
        <v>154</v>
      </c>
      <c r="E34" s="349" t="s">
        <v>231</v>
      </c>
      <c r="F34" s="349"/>
    </row>
    <row r="35" spans="1:6" ht="25.5" customHeight="1" x14ac:dyDescent="0.2">
      <c r="A35" s="350"/>
      <c r="B35" s="350"/>
      <c r="C35" s="350"/>
      <c r="D35" s="351" t="str">
        <f>malumot!B2</f>
        <v>23.01.2026</v>
      </c>
      <c r="E35" s="350"/>
      <c r="F35" s="350"/>
    </row>
    <row r="36" spans="1:6" ht="25.5" customHeight="1" x14ac:dyDescent="0.2">
      <c r="A36" s="350"/>
      <c r="B36" s="350"/>
      <c r="C36" s="350"/>
      <c r="D36" s="351"/>
      <c r="E36" s="350"/>
      <c r="F36" s="350"/>
    </row>
    <row r="37" spans="1:6" x14ac:dyDescent="0.2">
      <c r="A37" s="346"/>
      <c r="B37" s="346"/>
      <c r="C37" s="346"/>
      <c r="D37" s="346"/>
      <c r="E37" s="346"/>
      <c r="F37" s="346"/>
    </row>
    <row r="38" spans="1:6" x14ac:dyDescent="0.2">
      <c r="A38" s="346"/>
      <c r="B38" s="346"/>
      <c r="C38" s="346"/>
      <c r="D38" s="346"/>
      <c r="E38" s="346"/>
      <c r="F38" s="346"/>
    </row>
    <row r="39" spans="1:6" x14ac:dyDescent="0.2">
      <c r="A39" s="346"/>
      <c r="B39" s="346"/>
      <c r="C39" s="346"/>
      <c r="D39" s="346"/>
      <c r="E39" s="346"/>
      <c r="F39" s="346"/>
    </row>
    <row r="40" spans="1:6" x14ac:dyDescent="0.2">
      <c r="A40" s="346"/>
      <c r="B40" s="346"/>
      <c r="C40" s="346"/>
      <c r="D40" s="346"/>
      <c r="E40" s="346"/>
      <c r="F40" s="346"/>
    </row>
    <row r="41" spans="1:6" x14ac:dyDescent="0.2">
      <c r="A41" s="346"/>
      <c r="B41" s="346"/>
      <c r="C41" s="346"/>
      <c r="D41" s="346"/>
      <c r="E41" s="346"/>
      <c r="F41" s="346"/>
    </row>
    <row r="42" spans="1:6" x14ac:dyDescent="0.2">
      <c r="A42" s="346"/>
      <c r="B42" s="346"/>
      <c r="C42" s="346"/>
      <c r="D42" s="346"/>
      <c r="E42" s="346"/>
      <c r="F42" s="346"/>
    </row>
    <row r="43" spans="1:6" x14ac:dyDescent="0.2">
      <c r="A43" s="346"/>
      <c r="B43" s="346"/>
      <c r="C43" s="346"/>
      <c r="D43" s="346"/>
      <c r="E43" s="346"/>
      <c r="F43" s="346"/>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2">
    <tabColor rgb="FF00B050"/>
  </sheetPr>
  <dimension ref="A3:B11"/>
  <sheetViews>
    <sheetView view="pageBreakPreview" zoomScale="85" zoomScaleNormal="100" zoomScaleSheetLayoutView="85" workbookViewId="0">
      <selection activeCell="A4" sqref="A4:B4"/>
    </sheetView>
  </sheetViews>
  <sheetFormatPr defaultRowHeight="15" x14ac:dyDescent="0.25"/>
  <cols>
    <col min="1" max="1" width="54.42578125" style="13" customWidth="1"/>
    <col min="2" max="2" width="32.28515625" style="13" customWidth="1"/>
  </cols>
  <sheetData>
    <row r="3" spans="1:2" ht="35.25" customHeight="1" x14ac:dyDescent="0.25">
      <c r="A3" s="352" t="s">
        <v>209</v>
      </c>
      <c r="B3" s="352"/>
    </row>
    <row r="4" spans="1:2" ht="92.25" customHeight="1" x14ac:dyDescent="0.25">
      <c r="A4" s="277" t="str">
        <f>"     Men, fuqaro "&amp;malumot!B5&amp;" "&amp;malumot!B160&amp;" bilan "&amp;malumot!B69&amp;" sanasidagi "&amp;malumot!B66&amp;"-sonli shartnomaning garov ta'minoti sifatida taqdim etilayotgan mulk "&amp;malumot!B132&amp;" rusumli avtotransport vositasini qonunga xilof ravishda o‘zlashtirmaslikka, yashirmaslikka, nobud qilmaslikka yoki unga shikast yetkazmaslik majburiyatini olaman."</f>
        <v xml:space="preserve">     Men, fuqaro XAMRAYEVA XUSHVAXT GAYBULLAYEVNA «CLEVER MIKROMOLIYA TASHKILOTI» MChJ bilan 23 yanvar 2026 y. sanasidagi №195-BRS-sonli shartnomaning garov ta'minoti sifatida taqdim etilayotgan mulk CHEVROLET SPARK rusumli avtotransport vositasini qonunga xilof ravishda o‘zlashtirmaslikka, yashirmaslikka, nobud qilmaslikka yoki unga shikast yetkazmaslik majburiyatini olaman.</v>
      </c>
      <c r="B4" s="277"/>
    </row>
    <row r="5" spans="1:2" ht="56.25" customHeight="1" x14ac:dyDescent="0.25">
      <c r="A5" s="353" t="s">
        <v>210</v>
      </c>
      <c r="B5" s="353"/>
    </row>
    <row r="6" spans="1:2" ht="42.75" customHeight="1" x14ac:dyDescent="0.25"/>
    <row r="7" spans="1:2" x14ac:dyDescent="0.25">
      <c r="A7" s="13" t="str">
        <f>malumot!B5</f>
        <v>XAMRAYEVA XUSHVAXT GAYBULLAYEVNA</v>
      </c>
      <c r="B7" s="125" t="s">
        <v>211</v>
      </c>
    </row>
    <row r="8" spans="1:2" ht="26.25" customHeight="1" x14ac:dyDescent="0.25"/>
    <row r="9" spans="1:2" ht="26.25" customHeight="1" x14ac:dyDescent="0.25"/>
    <row r="10" spans="1:2" ht="26.25" customHeight="1" x14ac:dyDescent="0.25"/>
    <row r="11" spans="1:2" x14ac:dyDescent="0.25">
      <c r="A11" s="13" t="str">
        <f>"sana:   "&amp;TEXT(malumot!B2,"ДД.ММ.ГГГГ")&amp;" y."</f>
        <v>sana:   23.01.2026 y.</v>
      </c>
    </row>
  </sheetData>
  <mergeCells count="3">
    <mergeCell ref="A3:B3"/>
    <mergeCell ref="A4:B4"/>
    <mergeCell ref="A5:B5"/>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tabColor rgb="FF00B050"/>
  </sheetPr>
  <dimension ref="A1:E78"/>
  <sheetViews>
    <sheetView view="pageBreakPreview" topLeftCell="A13" zoomScaleSheetLayoutView="100" workbookViewId="0">
      <selection activeCell="B41" sqref="B41"/>
    </sheetView>
  </sheetViews>
  <sheetFormatPr defaultColWidth="9.140625" defaultRowHeight="15.75" x14ac:dyDescent="0.25"/>
  <cols>
    <col min="1" max="1" width="20.140625" style="6" customWidth="1"/>
    <col min="2" max="2" width="18.7109375" style="6" customWidth="1"/>
    <col min="3" max="3" width="19.7109375" style="6" customWidth="1"/>
    <col min="4" max="4" width="28.7109375" style="6" customWidth="1"/>
    <col min="5" max="16384" width="9.140625" style="6"/>
  </cols>
  <sheetData>
    <row r="1" spans="1:4" ht="54" customHeight="1" x14ac:dyDescent="0.25">
      <c r="C1" s="354" t="str">
        <f>""&amp;malumot!B158&amp;"ning
"&amp;malumot!A161&amp;""</f>
        <v>«CLEVER MIKROMOLIYA TASHKILOTI» MChJning
Buxoro filiali boshlig'i</v>
      </c>
      <c r="D1" s="354"/>
    </row>
    <row r="2" spans="1:4" x14ac:dyDescent="0.25">
      <c r="C2" s="11"/>
      <c r="D2" s="12" t="str">
        <f>""&amp;malumot!B161&amp;"ga"</f>
        <v>A.Xudayberdiyevga</v>
      </c>
    </row>
    <row r="3" spans="1:4" hidden="1" x14ac:dyDescent="0.25"/>
    <row r="4" spans="1:4" x14ac:dyDescent="0.25">
      <c r="A4" s="274" t="str">
        <f>""&amp;malumot!C64&amp;" olish uchun Ariza"</f>
        <v>Mikroqarz olish uchun Ariza</v>
      </c>
      <c r="B4" s="274"/>
      <c r="C4" s="274"/>
      <c r="D4" s="274"/>
    </row>
    <row r="5" spans="1:4" ht="11.25" hidden="1" customHeight="1" x14ac:dyDescent="0.25">
      <c r="A5" s="274"/>
      <c r="B5" s="274"/>
      <c r="C5" s="274"/>
      <c r="D5" s="274"/>
    </row>
    <row r="6" spans="1:4" ht="48.75" customHeight="1" x14ac:dyDescent="0.25">
      <c r="A6" s="326" t="str">
        <f>""&amp;malumot!B28&amp;".-da yashovchi O‘zbekiston Respublikasi fuqarosi "&amp;malumot!B8&amp;"dan. "</f>
        <v xml:space="preserve">BUXORO VILOYATI BUXORO SHAHRI RUXSHOBOD KO'CHASI.-da yashovchi O‘zbekiston Respublikasi fuqarosi XAMRAYEVA XUSHVAXT GAYBULLAYEVNAdan. </v>
      </c>
      <c r="B6" s="326"/>
      <c r="C6" s="326"/>
      <c r="D6" s="326"/>
    </row>
    <row r="7" spans="1:4" ht="15.75" customHeight="1" x14ac:dyDescent="0.25">
      <c r="A7" s="355" t="str">
        <f>"Tug'ilgan kuni: "&amp;malumot!B15&amp;""</f>
        <v>Tug'ilgan kuni: 09.03.1962 y</v>
      </c>
      <c r="B7" s="355"/>
      <c r="C7" s="355"/>
      <c r="D7" s="355"/>
    </row>
    <row r="8" spans="1:4" ht="33" customHeight="1" x14ac:dyDescent="0.25">
      <c r="A8" s="355" t="str">
        <f>"Pasport seriyasi: "&amp;malumot!B16&amp;" "&amp;malumot!B20&amp;""</f>
        <v>Pasport seriyasi: AB 5708016 BUXORO VILOYATI BUXORO SHAHAR IIB tomonidan 19.01.2017 yilda berilgan</v>
      </c>
      <c r="B8" s="355"/>
      <c r="C8" s="355"/>
      <c r="D8" s="355"/>
    </row>
    <row r="9" spans="1:4" ht="16.5" customHeight="1" x14ac:dyDescent="0.25">
      <c r="A9" s="355" t="str">
        <f>"Asosiy ish joyi : "&amp;malumot!B58&amp;""</f>
        <v>Asosiy ish joyi : XAMRAYEVA XUSHVAXT GAYBULLAYEVNA</v>
      </c>
      <c r="B9" s="355"/>
      <c r="C9" s="355"/>
      <c r="D9" s="355"/>
    </row>
    <row r="10" spans="1:4" ht="15.75" customHeight="1" x14ac:dyDescent="0.25">
      <c r="A10" s="355" t="str">
        <f>"Lavozimi: "&amp;malumot!B59&amp;""</f>
        <v>Lavozimi: XAMRAYEVA XUSHVAXT GAYBULLAYEVNA</v>
      </c>
      <c r="B10" s="355"/>
      <c r="C10" s="355"/>
      <c r="D10" s="355"/>
    </row>
    <row r="11" spans="1:4" x14ac:dyDescent="0.25">
      <c r="A11" s="355" t="str">
        <f>"O’rtacha oylik daromadi: "&amp;FIXED(malumot!B60,2)&amp;" so'm."</f>
        <v>O’rtacha oylik daromadi: 16 000 000,00 so'm.</v>
      </c>
      <c r="B11" s="355"/>
      <c r="C11" s="355"/>
      <c r="D11" s="355"/>
    </row>
    <row r="12" spans="1:4" x14ac:dyDescent="0.25">
      <c r="A12" s="355" t="str">
        <f>"Menga quyidagi shartlarda "&amp;malumot!B65&amp;" berishingizni so’rayman:"</f>
        <v>Menga quyidagi shartlarda mikroqarz berishingizni so’rayman:</v>
      </c>
      <c r="B12" s="355"/>
      <c r="C12" s="355"/>
      <c r="D12" s="355"/>
    </row>
    <row r="13" spans="1:4" x14ac:dyDescent="0.25">
      <c r="A13" s="355" t="str">
        <f>""&amp;malumot!C64&amp;" summasi: "&amp;FIXED(malumot!B76,2)&amp;" ("&amp;malumot!B77&amp;") so'm."</f>
        <v>Mikroqarz summasi: 50 000 000,00 (ellik million so'm) so'm.</v>
      </c>
      <c r="B13" s="355"/>
      <c r="C13" s="355"/>
      <c r="D13" s="355"/>
    </row>
    <row r="14" spans="1:4" x14ac:dyDescent="0.25">
      <c r="A14" s="355" t="str">
        <f>""&amp;malumot!C64&amp;" muddati: "&amp;malumot!B82&amp;" ("&amp;malumot!B83&amp;") oy."</f>
        <v>Mikroqarz muddati: 48 (Qirq sakkiz  ) oy.</v>
      </c>
      <c r="B14" s="355"/>
      <c r="C14" s="355"/>
      <c r="D14" s="355"/>
    </row>
    <row r="15" spans="1:4" ht="17.25" customHeight="1" x14ac:dyDescent="0.25">
      <c r="A15" s="355" t="str">
        <f>""&amp;malumot!C64&amp;"dan foydalanganlik uchun foiz stavkasi: yillik  "&amp;malumot!B86&amp;"% ("&amp;malumot!B87&amp;") foiz"</f>
        <v>Mikroqarzdan foydalanganlik uchun foiz stavkasi: yillik  55% (Ellik besh  ) foiz</v>
      </c>
      <c r="B15" s="355"/>
      <c r="C15" s="355"/>
      <c r="D15" s="355"/>
    </row>
    <row r="16" spans="1:4" x14ac:dyDescent="0.25">
      <c r="A16" s="355" t="str">
        <f>""&amp;malumot!C64&amp;" bo'yicha asosiy qarz va foizlarni to'lash:"</f>
        <v>Mikroqarz bo'yicha asosiy qarz va foizlarni to'lash:</v>
      </c>
      <c r="B16" s="355"/>
      <c r="C16" s="355"/>
      <c r="D16" s="355"/>
    </row>
    <row r="17" spans="1:5" ht="20.25" hidden="1" customHeight="1" x14ac:dyDescent="0.25">
      <c r="A17" s="326" t="str">
        <f>" - "&amp;malumot!B65&amp;" shartnomasi bo'yicha har oy differensial to'lovlari amalga oshiriladi"</f>
        <v xml:space="preserve"> - mikroqarz shartnomasi bo'yicha har oy differensial to'lovlari amalga oshiriladi</v>
      </c>
      <c r="B17" s="326"/>
      <c r="C17" s="326"/>
      <c r="D17" s="326"/>
    </row>
    <row r="18" spans="1:5" ht="33.75" hidden="1" customHeight="1" x14ac:dyDescent="0.25">
      <c r="A18" s="326" t="str">
        <f>" - "&amp;malumot!B65&amp;" shartnomasi bo'yicha har oy annuitet to'lovlari amalga oshiriladi"</f>
        <v xml:space="preserve"> - mikroqarz shartnomasi bo'yicha har oy annuitet to'lovlari amalga oshiriladi</v>
      </c>
      <c r="B18" s="326"/>
      <c r="C18" s="326"/>
      <c r="D18" s="326"/>
    </row>
    <row r="19" spans="1:5" ht="21.75" customHeight="1" x14ac:dyDescent="0.25">
      <c r="A19" s="326" t="str">
        <f>IF(malumot!B78=malumot!C78,kredit_ariza!A17:D17,IF(malumot!B78=malumot!D78,kredit_ariza!A18:D18))</f>
        <v xml:space="preserve"> - mikroqarz shartnomasi bo'yicha har oy differensial to'lovlari amalga oshiriladi</v>
      </c>
      <c r="B19" s="326"/>
      <c r="C19" s="326"/>
      <c r="D19" s="326"/>
    </row>
    <row r="20" spans="1:5" ht="33.75" hidden="1" customHeight="1" x14ac:dyDescent="0.25">
      <c r="A20" s="355" t="str">
        <f>IF(DAY(malumot!E67)&lt;15,"   ","  Oxirgi yakuniy to'lov "&amp;malumot!B65&amp;" shartnomasi tuzilgan kundan boshlab oxirgi oyning oxirgi kunida amalga oshiriladi")</f>
        <v xml:space="preserve">  Oxirgi yakuniy to'lov mikroqarz shartnomasi tuzilgan kundan boshlab oxirgi oyning oxirgi kunida amalga oshiriladi</v>
      </c>
      <c r="B20" s="355"/>
      <c r="C20" s="355"/>
      <c r="D20" s="355"/>
    </row>
    <row r="21" spans="1:5" x14ac:dyDescent="0.25">
      <c r="A21" s="355" t="str">
        <f>""&amp;malumot!C64&amp;" ta’minoti::"</f>
        <v>Mikroqarz ta’minoti::</v>
      </c>
      <c r="B21" s="355"/>
      <c r="C21" s="355"/>
      <c r="D21" s="355"/>
    </row>
    <row r="22" spans="1:5" ht="79.5" customHeight="1" x14ac:dyDescent="0.25">
      <c r="A22" s="326" t="str">
        <f>"1. "&amp;IF(malumot!B110="Avtotransport",A26,A23)&amp;""</f>
        <v>1.   Egalik huquqi POSHSHAXANOVA NOZIMA ISMOILOVNAga tegishli bo'lgan garovga olingan avtomobil markasi   CHEVROLET SPARK, rangi -  OQ BELO DIMCHATIY, ishlab chiqarilgan yili - 2018, davlat raqam belgisi 50P697RA, kuzov turi - YENGIL SEDAN, kuzov raqami XWBMA48N1JA528481, dvigatel raqami B12D211181167HB9X0266, shassi raqami - RAKAMSIZ</v>
      </c>
      <c r="B22" s="326"/>
      <c r="C22" s="326"/>
      <c r="D22" s="326"/>
    </row>
    <row r="23" spans="1:5" ht="79.5" hidden="1" customHeight="1" x14ac:dyDescent="0.25">
      <c r="A23" s="326" t="str">
        <f>IF(malumot!B99=malumot!C99,A25,IF(malumot!B99=malumot!D99,A24,0))</f>
        <v xml:space="preserve"> Egalik huquqi 0ga tegishli bo'lgan umumiy maydoni -   va yashash maydoni -   0,  </v>
      </c>
      <c r="B23" s="326"/>
      <c r="C23" s="326"/>
      <c r="D23" s="326"/>
    </row>
    <row r="24" spans="1:5" ht="96.75" hidden="1" customHeight="1" x14ac:dyDescent="0.25">
      <c r="A24" s="326" t="str">
        <f>" - Navbatdagi garov (ipoteka) Egalik huquqi asosida  "&amp;malumot!C124&amp;"ga "&amp;malumot!C133&amp;", umumiy maydoni - "&amp;malumot!C137&amp;" va yashash maydoni - "&amp;malumot!C140&amp;", manzili: "&amp;malumot!C130&amp;"."</f>
        <v xml:space="preserve"> - Navbatdagi garov (ipoteka) Egalik huquqi asosida  0ga  0, umumiy maydoni -  va yashash maydoni - , manzili: .</v>
      </c>
      <c r="B24" s="326"/>
      <c r="C24" s="326"/>
      <c r="D24" s="326"/>
      <c r="E24" s="141"/>
    </row>
    <row r="25" spans="1:5" ht="92.25" hidden="1" customHeight="1" x14ac:dyDescent="0.25">
      <c r="A25" s="326" t="str">
        <f>" Egalik huquqi "&amp;malumot!C124&amp;"ga tegishli bo'lgan umumiy maydoni - "&amp;malumot!C137&amp;"  va yashash maydoni - "&amp;malumot!C140&amp;" "&amp;malumot!C133&amp;", "&amp;malumot!C130&amp;" "</f>
        <v xml:space="preserve"> Egalik huquqi 0ga tegishli bo'lgan umumiy maydoni -   va yashash maydoni -   0,  </v>
      </c>
      <c r="B25" s="326"/>
      <c r="C25" s="326"/>
      <c r="D25" s="326"/>
    </row>
    <row r="26" spans="1:5" ht="78" hidden="1" customHeight="1" x14ac:dyDescent="0.25">
      <c r="A26" s="326" t="str">
        <f>IF(malumot!B99=malumot!C99,kredit_ariza!A28:D28,IF(malumot!B99=malumot!D99,kredit_ariza!A27:D27,0))</f>
        <v xml:space="preserve">  Egalik huquqi POSHSHAXANOVA NOZIMA ISMOILOVNAga tegishli bo'lgan garovga olingan avtomobil markasi   CHEVROLET SPARK, rangi -  OQ BELO DIMCHATIY, ishlab chiqarilgan yili - 2018, davlat raqam belgisi 50P697RA, kuzov turi - YENGIL SEDAN, kuzov raqami XWBMA48N1JA528481, dvigatel raqami B12D211181167HB9X0266, shassi raqami - RAKAMSIZ</v>
      </c>
      <c r="B26" s="326"/>
      <c r="C26" s="326"/>
      <c r="D26" s="326"/>
    </row>
    <row r="27" spans="1:5" ht="93" hidden="1" customHeight="1" x14ac:dyDescent="0.25">
      <c r="A27" s="326" t="str">
        <f>" Egalik huquqi "&amp;malumot!B124&amp;"ga tegishli bo'lgan "&amp;malumot!B132&amp;", "&amp;malumot!B140&amp;", davlat raqam belgisi "&amp;malumot!B133&amp;", "&amp;malumot!B134&amp;", "&amp;malumot!B137&amp;" avtotransport vositasi "</f>
        <v xml:space="preserve"> Egalik huquqi POSHSHAXANOVA NOZIMA ISMOILOVNAga tegishli bo'lgan CHEVROLET SPARK, rangi -  OQ BELO DIMCHATIY, ishlab chiqarilgan yili - 2018, davlat raqam belgisi 50P697RA, kuzov turi - YENGIL SEDAN, kuzov raqami XWBMA48N1JA528481, dvigatel raqami B12D211181167HB9X0266, shassi raqami - RAKAMSIZ avtotransport vositasi </v>
      </c>
      <c r="B27" s="326"/>
      <c r="C27" s="326"/>
      <c r="D27" s="326"/>
    </row>
    <row r="28" spans="1:5" ht="93.75" hidden="1" customHeight="1" x14ac:dyDescent="0.25">
      <c r="A28" s="326" t="str">
        <f>"  Egalik huquqi "&amp;malumot!B124&amp;"ga tegishli bo'lgan garovga olingan avtomobil markasi   "&amp;malumot!B132&amp;", "&amp;malumot!B140&amp;", davlat raqam belgisi "&amp;malumot!B133&amp;", "&amp;malumot!B134&amp;", "&amp;malumot!B137&amp;""</f>
        <v xml:space="preserve">  Egalik huquqi POSHSHAXANOVA NOZIMA ISMOILOVNAga tegishli bo'lgan garovga olingan avtomobil markasi   CHEVROLET SPARK, rangi -  OQ BELO DIMCHATIY, ishlab chiqarilgan yili - 2018, davlat raqam belgisi 50P697RA, kuzov turi - YENGIL SEDAN, kuzov raqami XWBMA48N1JA528481, dvigatel raqami B12D211181167HB9X0266, shassi raqami - RAKAMSIZ</v>
      </c>
      <c r="B28" s="326"/>
      <c r="C28" s="326"/>
      <c r="D28" s="326"/>
    </row>
    <row r="29" spans="1:5" ht="40.5" customHeight="1" x14ac:dyDescent="0.25">
      <c r="A29" s="267" t="str">
        <f>"2. 	«"&amp;malumot!B154&amp;"» АJ sug‘urta kompaniyasi tomonidan Mikroqarz to'lamaslik xavfini "&amp;FIXED(malumot!B155,2)&amp;"("&amp;malumot!B156&amp;") so ' m miqdoriga sug’urta qilish"</f>
        <v>2. 	«АО "TRUST INSURANCE"» АJ sug‘urta kompaniyasi tomonidan Mikroqarz to'lamaslik xavfini 18 200 000,00(o'n sakkiz million ikki yuz ming so'm) so ' m miqdoriga sug’urta qilish</v>
      </c>
      <c r="B29" s="267"/>
      <c r="C29" s="267"/>
      <c r="D29" s="267"/>
    </row>
    <row r="30" spans="1:5" ht="10.5" hidden="1" customHeight="1" x14ac:dyDescent="0.25">
      <c r="A30" s="355"/>
      <c r="B30" s="355"/>
      <c r="C30" s="355"/>
      <c r="D30" s="355"/>
    </row>
    <row r="31" spans="1:5" ht="53.25" customHeight="1" x14ac:dyDescent="0.25">
      <c r="A31" s="326" t="str">
        <f>"Mazkur ariza bilan "&amp;malumot!B158&amp;"ga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1" s="326"/>
      <c r="C31" s="326"/>
      <c r="D31" s="326"/>
    </row>
    <row r="32" spans="1:5" ht="15.75" customHeight="1" x14ac:dyDescent="0.25">
      <c r="A32" s="326" t="s">
        <v>243</v>
      </c>
      <c r="B32" s="326"/>
      <c r="C32" s="326"/>
      <c r="D32" s="326"/>
    </row>
    <row r="33" spans="1:4" x14ac:dyDescent="0.25">
      <c r="A33" s="326" t="s">
        <v>244</v>
      </c>
      <c r="B33" s="326"/>
      <c r="C33" s="326"/>
      <c r="D33" s="326"/>
    </row>
    <row r="34" spans="1:4" x14ac:dyDescent="0.25">
      <c r="A34" s="326" t="s">
        <v>245</v>
      </c>
      <c r="B34" s="326"/>
      <c r="C34" s="326"/>
      <c r="D34" s="326"/>
    </row>
    <row r="35" spans="1:4" x14ac:dyDescent="0.25">
      <c r="A35" s="355" t="str">
        <f>"Ariza berilgan sana: "&amp;TEXT(malumot!B2,"ДД.ММ.ГГГГ")&amp;"y."</f>
        <v>Ariza berilgan sana: 23.01.2026y.</v>
      </c>
      <c r="B35" s="355"/>
      <c r="C35" s="355"/>
      <c r="D35" s="355"/>
    </row>
    <row r="36" spans="1:4" hidden="1" x14ac:dyDescent="0.25">
      <c r="A36" s="355"/>
      <c r="B36" s="355"/>
      <c r="C36" s="355"/>
      <c r="D36" s="355"/>
    </row>
    <row r="37" spans="1:4" ht="45.75" customHeight="1" x14ac:dyDescent="0.25">
      <c r="A37" s="355" t="s">
        <v>246</v>
      </c>
      <c r="B37" s="355"/>
      <c r="C37" s="355"/>
      <c r="D37" s="355"/>
    </row>
    <row r="38" spans="1:4" hidden="1" x14ac:dyDescent="0.25">
      <c r="A38" s="355"/>
      <c r="B38" s="355"/>
      <c r="C38" s="355"/>
      <c r="D38" s="355"/>
    </row>
    <row r="39" spans="1:4" ht="11.25" customHeight="1" x14ac:dyDescent="0.25">
      <c r="A39" s="355"/>
      <c r="B39" s="355"/>
      <c r="C39" s="355"/>
      <c r="D39" s="355"/>
    </row>
    <row r="40" spans="1:4" ht="15.75" customHeight="1" x14ac:dyDescent="0.25">
      <c r="A40" s="323" t="str">
        <f>malumot!B5</f>
        <v>XAMRAYEVA XUSHVAXT GAYBULLAYEVNA</v>
      </c>
      <c r="B40" s="323"/>
      <c r="C40" s="323"/>
      <c r="D40" s="191" t="s">
        <v>386</v>
      </c>
    </row>
    <row r="41" spans="1:4" x14ac:dyDescent="0.25">
      <c r="A41" s="9"/>
      <c r="B41" s="9"/>
      <c r="D41" s="10" t="s">
        <v>323</v>
      </c>
    </row>
    <row r="42" spans="1:4" x14ac:dyDescent="0.25">
      <c r="A42" s="355"/>
      <c r="B42" s="355"/>
      <c r="C42" s="355"/>
      <c r="D42" s="355"/>
    </row>
    <row r="43" spans="1:4" x14ac:dyDescent="0.25">
      <c r="A43" s="11" t="str">
        <f>malumot!A161</f>
        <v>Buxoro filiali boshlig'i</v>
      </c>
      <c r="B43" s="189"/>
      <c r="C43" s="189"/>
      <c r="D43" s="189" t="str">
        <f>malumot!B161</f>
        <v>A.Xudayberdiyev</v>
      </c>
    </row>
    <row r="44" spans="1:4" x14ac:dyDescent="0.25">
      <c r="A44" s="141"/>
      <c r="B44" s="141"/>
      <c r="C44" s="141"/>
      <c r="D44" s="141"/>
    </row>
    <row r="45" spans="1:4" x14ac:dyDescent="0.25">
      <c r="A45" s="141"/>
      <c r="B45" s="141"/>
      <c r="C45" s="141"/>
      <c r="D45" s="141"/>
    </row>
    <row r="46" spans="1:4" x14ac:dyDescent="0.25">
      <c r="A46" s="141"/>
      <c r="B46" s="141"/>
      <c r="C46" s="141"/>
      <c r="D46" s="141"/>
    </row>
    <row r="47" spans="1:4" x14ac:dyDescent="0.25">
      <c r="A47" s="355"/>
      <c r="B47" s="355"/>
      <c r="C47" s="355"/>
      <c r="D47" s="355"/>
    </row>
    <row r="48" spans="1:4" x14ac:dyDescent="0.25">
      <c r="A48" s="355"/>
      <c r="B48" s="355"/>
      <c r="C48" s="355"/>
      <c r="D48" s="355"/>
    </row>
    <row r="49" spans="1:4" x14ac:dyDescent="0.25">
      <c r="A49" s="355"/>
      <c r="B49" s="355"/>
      <c r="C49" s="355"/>
      <c r="D49" s="355"/>
    </row>
    <row r="50" spans="1:4" x14ac:dyDescent="0.25">
      <c r="A50" s="355"/>
      <c r="B50" s="355"/>
      <c r="C50" s="355"/>
      <c r="D50" s="355"/>
    </row>
    <row r="51" spans="1:4" x14ac:dyDescent="0.25">
      <c r="A51" s="355"/>
      <c r="B51" s="355"/>
      <c r="C51" s="355"/>
      <c r="D51" s="355"/>
    </row>
    <row r="52" spans="1:4" x14ac:dyDescent="0.25">
      <c r="A52" s="355"/>
      <c r="B52" s="355"/>
      <c r="C52" s="355"/>
      <c r="D52" s="355"/>
    </row>
    <row r="53" spans="1:4" x14ac:dyDescent="0.25">
      <c r="A53" s="355"/>
      <c r="B53" s="355"/>
      <c r="C53" s="355"/>
      <c r="D53" s="355"/>
    </row>
    <row r="54" spans="1:4" x14ac:dyDescent="0.25">
      <c r="A54" s="355"/>
      <c r="B54" s="355"/>
      <c r="C54" s="355"/>
      <c r="D54" s="355"/>
    </row>
    <row r="55" spans="1:4" x14ac:dyDescent="0.25">
      <c r="A55" s="355"/>
      <c r="B55" s="355"/>
      <c r="C55" s="355"/>
      <c r="D55" s="355"/>
    </row>
    <row r="56" spans="1:4" x14ac:dyDescent="0.25">
      <c r="A56" s="355"/>
      <c r="B56" s="355"/>
      <c r="C56" s="355"/>
      <c r="D56" s="355"/>
    </row>
    <row r="57" spans="1:4" x14ac:dyDescent="0.25">
      <c r="A57" s="355"/>
      <c r="B57" s="355"/>
      <c r="C57" s="355"/>
      <c r="D57" s="355"/>
    </row>
    <row r="58" spans="1:4" x14ac:dyDescent="0.25">
      <c r="A58" s="355"/>
      <c r="B58" s="355"/>
      <c r="C58" s="355"/>
      <c r="D58" s="355"/>
    </row>
    <row r="59" spans="1:4" x14ac:dyDescent="0.25">
      <c r="A59" s="355"/>
      <c r="B59" s="355"/>
      <c r="C59" s="355"/>
      <c r="D59" s="355"/>
    </row>
    <row r="60" spans="1:4" x14ac:dyDescent="0.25">
      <c r="A60" s="355"/>
      <c r="B60" s="355"/>
      <c r="C60" s="355"/>
      <c r="D60" s="355"/>
    </row>
    <row r="61" spans="1:4" x14ac:dyDescent="0.25">
      <c r="A61" s="355"/>
      <c r="B61" s="355"/>
      <c r="C61" s="355"/>
      <c r="D61" s="355"/>
    </row>
    <row r="62" spans="1:4" x14ac:dyDescent="0.25">
      <c r="A62" s="355"/>
      <c r="B62" s="355"/>
      <c r="C62" s="355"/>
      <c r="D62" s="355"/>
    </row>
    <row r="63" spans="1:4" x14ac:dyDescent="0.25">
      <c r="A63" s="355"/>
      <c r="B63" s="355"/>
      <c r="C63" s="355"/>
      <c r="D63" s="355"/>
    </row>
    <row r="64" spans="1:4" x14ac:dyDescent="0.25">
      <c r="A64" s="355"/>
      <c r="B64" s="355"/>
      <c r="C64" s="355"/>
      <c r="D64" s="355"/>
    </row>
    <row r="65" spans="1:4" x14ac:dyDescent="0.25">
      <c r="A65" s="355"/>
      <c r="B65" s="355"/>
      <c r="C65" s="355"/>
      <c r="D65" s="355"/>
    </row>
    <row r="66" spans="1:4" x14ac:dyDescent="0.25">
      <c r="A66" s="355"/>
      <c r="B66" s="355"/>
      <c r="C66" s="355"/>
      <c r="D66" s="355"/>
    </row>
    <row r="67" spans="1:4" x14ac:dyDescent="0.25">
      <c r="A67" s="355"/>
      <c r="B67" s="355"/>
      <c r="C67" s="355"/>
      <c r="D67" s="355"/>
    </row>
    <row r="68" spans="1:4" x14ac:dyDescent="0.25">
      <c r="A68" s="355"/>
      <c r="B68" s="355"/>
      <c r="C68" s="355"/>
      <c r="D68" s="355"/>
    </row>
    <row r="69" spans="1:4" x14ac:dyDescent="0.25">
      <c r="A69" s="355"/>
      <c r="B69" s="355"/>
      <c r="C69" s="355"/>
      <c r="D69" s="355"/>
    </row>
    <row r="70" spans="1:4" x14ac:dyDescent="0.25">
      <c r="A70" s="355"/>
      <c r="B70" s="355"/>
      <c r="C70" s="355"/>
      <c r="D70" s="355"/>
    </row>
    <row r="71" spans="1:4" x14ac:dyDescent="0.25">
      <c r="A71" s="355"/>
      <c r="B71" s="355"/>
      <c r="C71" s="355"/>
      <c r="D71" s="355"/>
    </row>
    <row r="72" spans="1:4" x14ac:dyDescent="0.25">
      <c r="A72" s="355"/>
      <c r="B72" s="355"/>
      <c r="C72" s="355"/>
      <c r="D72" s="355"/>
    </row>
    <row r="73" spans="1:4" x14ac:dyDescent="0.25">
      <c r="A73" s="355"/>
      <c r="B73" s="355"/>
      <c r="C73" s="355"/>
      <c r="D73" s="355"/>
    </row>
    <row r="74" spans="1:4" x14ac:dyDescent="0.25">
      <c r="A74" s="355"/>
      <c r="B74" s="355"/>
      <c r="C74" s="355"/>
      <c r="D74" s="355"/>
    </row>
    <row r="75" spans="1:4" x14ac:dyDescent="0.25">
      <c r="A75" s="355"/>
      <c r="B75" s="355"/>
      <c r="C75" s="355"/>
      <c r="D75" s="355"/>
    </row>
    <row r="76" spans="1:4" x14ac:dyDescent="0.25">
      <c r="A76" s="355"/>
      <c r="B76" s="355"/>
      <c r="C76" s="355"/>
      <c r="D76" s="355"/>
    </row>
    <row r="77" spans="1:4" x14ac:dyDescent="0.25">
      <c r="A77" s="355"/>
      <c r="B77" s="355"/>
      <c r="C77" s="355"/>
      <c r="D77" s="355"/>
    </row>
    <row r="78" spans="1:4" x14ac:dyDescent="0.25">
      <c r="A78" s="355"/>
      <c r="B78" s="355"/>
      <c r="C78" s="355"/>
      <c r="D78" s="355"/>
    </row>
  </sheetData>
  <mergeCells count="71">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 ref="A64:D64"/>
    <mergeCell ref="A65:D65"/>
    <mergeCell ref="A56:D56"/>
    <mergeCell ref="A57:D57"/>
    <mergeCell ref="A58:D58"/>
    <mergeCell ref="A59:D59"/>
    <mergeCell ref="A60:D60"/>
    <mergeCell ref="A52:D52"/>
    <mergeCell ref="A53:D53"/>
    <mergeCell ref="A54:D54"/>
    <mergeCell ref="A55:D55"/>
    <mergeCell ref="A63:D63"/>
    <mergeCell ref="A47:D47"/>
    <mergeCell ref="A48:D48"/>
    <mergeCell ref="A49:D49"/>
    <mergeCell ref="A50:D50"/>
    <mergeCell ref="A51:D51"/>
    <mergeCell ref="A35:D35"/>
    <mergeCell ref="A42:D42"/>
    <mergeCell ref="A36:D36"/>
    <mergeCell ref="A37:D37"/>
    <mergeCell ref="A38:D38"/>
    <mergeCell ref="A39:D39"/>
    <mergeCell ref="A31:D31"/>
    <mergeCell ref="A32:D32"/>
    <mergeCell ref="A33:D33"/>
    <mergeCell ref="A34:D34"/>
    <mergeCell ref="A28:D28"/>
    <mergeCell ref="A30:D30"/>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3" customWidth="1"/>
    <col min="2" max="2" width="21.28515625" style="13" customWidth="1"/>
    <col min="3" max="3" width="19.140625" style="13" customWidth="1"/>
    <col min="4" max="5" width="21.28515625" style="13" customWidth="1"/>
    <col min="6" max="16384" width="9.140625" style="13"/>
  </cols>
  <sheetData>
    <row r="2" spans="1:5" x14ac:dyDescent="0.25">
      <c r="A2" s="98" t="s">
        <v>45</v>
      </c>
    </row>
    <row r="3" spans="1:5" x14ac:dyDescent="0.25">
      <c r="A3" s="98" t="s">
        <v>46</v>
      </c>
    </row>
    <row r="6" spans="1:5" ht="20.25" customHeight="1" x14ac:dyDescent="0.25">
      <c r="E6" s="99" t="s">
        <v>33</v>
      </c>
    </row>
    <row r="7" spans="1:5" x14ac:dyDescent="0.25">
      <c r="E7" s="99" t="s">
        <v>47</v>
      </c>
    </row>
    <row r="9" spans="1:5" ht="107.25" customHeight="1" x14ac:dyDescent="0.25">
      <c r="A9" s="357" t="str">
        <f>"          Между ООО «Clever Mikrokredit Tashkiloti» и "&amp;malumot!B5&amp;"  (паспорт: "&amp;malumot!B16&amp;" "&amp;malumot!B20&amp;") заключен договор микрозайма "&amp;malumot!B74&amp;", на сумму "&amp;FIXED(malumot!B76)&amp;" ("&amp;malumot!B77&amp;") сум, сроком на "&amp;malumot!B82&amp;" ("&amp;malumot!B83&amp;") месяцев. В качестве своевременного исполнения обязательств по договору Микрозайма "&amp;malumot!B74&amp;" планирует предоставить нижеследующее "&amp;IF(malumot!B110=malumot!C110,"автотранспортного средство марки "&amp;malumot!B132&amp;" принадлежащее на правах собственности "&amp;malumot!B124&amp;"","недвижимого имущества в виде "&amp;malumot!C133&amp;", общей площадью - "&amp;malumot!C137&amp;" и жилой площадью - "&amp;malumot!C140&amp;", расположенного по адресу: "&amp;malumot!C130&amp;", принадлежащее на правах собственности "&amp;malumot!C124&amp;".")</f>
        <v xml:space="preserve">          Между ООО «Clever Mikrokredit Tashkiloti» и XAMRAYEVA XUSHVAXT GAYBULLAYEVNA  (паспорт: AB 5708016 BUXORO VILOYATI BUXORO SHAHAR IIB tomonidan 19.01.2017 yilda berilgan) заключен договор микрозайма 23 yanvar 2026 y.dan №195-BRS, на сумму 50 000 000,00 (ellik million so'm) сум, сроком на 48 (Qirq sakkiz  ) месяцев. В качестве своевременного исполнения обязательств по договору Микрозайма 23 yanvar 2026 y.dan №195-BRS планирует предоставить нижеследующее автотранспортного средство марки CHEVROLET SPARK принадлежащее на правах собственности POSHSHAXANOVA NOZIMA ISMOILOVNA</v>
      </c>
      <c r="B9" s="357"/>
      <c r="C9" s="357"/>
      <c r="D9" s="357"/>
      <c r="E9" s="357"/>
    </row>
    <row r="11" spans="1:5" ht="28.5" x14ac:dyDescent="0.25">
      <c r="A11" s="36" t="str">
        <f>buyruq!A17</f>
        <v>Nomi</v>
      </c>
      <c r="B11" s="36" t="str">
        <f>buyruq!B17</f>
        <v>Kuzov turi  va kuzov raqami*</v>
      </c>
      <c r="C11" s="36" t="str">
        <f>buyruq!C17</f>
        <v>Dvigatel va shassi raqami*</v>
      </c>
      <c r="D11" s="36" t="str">
        <f>buyruq!D17</f>
        <v>Ishlab chiqarilgan yili va rangi*</v>
      </c>
      <c r="E11" s="36" t="str">
        <f>buyruq!E17</f>
        <v>Kelishilgan garov qiymati, so'm</v>
      </c>
    </row>
    <row r="12" spans="1:5" ht="73.5" customHeight="1" x14ac:dyDescent="0.25">
      <c r="A12" s="36" t="str">
        <f>buyruq!A18</f>
        <v>CHEVROLET SPARK</v>
      </c>
      <c r="B12" s="36" t="str">
        <f>buyruq!B18</f>
        <v>kuzov turi - YENGIL SEDAN, kuzov raqami XWBMA48N1JA528481</v>
      </c>
      <c r="C12" s="36" t="str">
        <f>buyruq!C18</f>
        <v>dvigatel raqami B12D211181167HB9X0266, shassi raqami - RAKAMSIZ</v>
      </c>
      <c r="D12" s="36" t="str">
        <f>buyruq!D18</f>
        <v>rangi -  OQ BELO DIMCHATIY, ishlab chiqarilgan yili - 2018</v>
      </c>
      <c r="E12" s="36" t="str">
        <f>buyruq!E18</f>
        <v>50 400 000,00 
(ellik million to'rt yuz ming so'm)</v>
      </c>
    </row>
    <row r="13" spans="1:5" x14ac:dyDescent="0.25">
      <c r="A13" s="361" t="str">
        <f>buyruq!A19:E19</f>
        <v>-* avtotransport egasi: POSHSHAXANOVA NOZIMA ISMOILOVNA</v>
      </c>
      <c r="B13" s="361"/>
      <c r="C13" s="361"/>
      <c r="D13" s="361"/>
      <c r="E13" s="361"/>
    </row>
    <row r="14" spans="1:5" x14ac:dyDescent="0.25">
      <c r="A14" s="361" t="str">
        <f>buyruq!A20:E20</f>
        <v>-* texnik pasport: AAG  0885005    03.02.2023</v>
      </c>
      <c r="B14" s="361"/>
      <c r="C14" s="361"/>
      <c r="D14" s="361"/>
      <c r="E14" s="361"/>
    </row>
    <row r="15" spans="1:5" x14ac:dyDescent="0.25">
      <c r="A15" s="361" t="str">
        <f>buyruq!A21:E21</f>
        <v>-* roʻyxatdan oʻtgan manzili/garaj manzili: NAMANGAN VILOYATI CHORTOQ TUMANI ALIXON SHFY ALIXON MFY ROXAT KO'CHASI 31-UY</v>
      </c>
      <c r="B15" s="361"/>
      <c r="C15" s="361"/>
      <c r="D15" s="361"/>
      <c r="E15" s="361"/>
    </row>
    <row r="16" spans="1:5" x14ac:dyDescent="0.25">
      <c r="A16" s="361" t="str">
        <f>buyruq!A22:E22</f>
        <v>-* davlat raqami: 50P697RA</v>
      </c>
      <c r="B16" s="361"/>
      <c r="C16" s="361"/>
      <c r="D16" s="361"/>
      <c r="E16" s="361"/>
    </row>
    <row r="17" spans="1:5" ht="3" customHeight="1" x14ac:dyDescent="0.25"/>
    <row r="19" spans="1:5" ht="59.25" hidden="1" customHeight="1" x14ac:dyDescent="0.25">
      <c r="A19" s="36" t="str">
        <f>dalolatnoma!A32</f>
        <v>Наименование</v>
      </c>
      <c r="B19" s="36" t="str">
        <f>dalolatnoma!B32</f>
        <v>Полезная площадь</v>
      </c>
      <c r="C19" s="36" t="str">
        <f>dalolatnoma!C32</f>
        <v>Жилая площадь</v>
      </c>
      <c r="D19" s="36" t="str">
        <f>dalolatnoma!D32</f>
        <v>Общая площадь</v>
      </c>
      <c r="E19" s="36" t="str">
        <f>dalolatnoma!E32</f>
        <v>Согласованная залоговая стоимость, сум</v>
      </c>
    </row>
    <row r="20" spans="1:5" ht="17.25" hidden="1" customHeight="1" x14ac:dyDescent="0.25">
      <c r="A20" s="15" t="e">
        <f>dalolatnoma!A33</f>
        <v>#REF!</v>
      </c>
      <c r="B20" s="15" t="e">
        <f>dalolatnoma!B33</f>
        <v>#REF!</v>
      </c>
      <c r="C20" s="15" t="e">
        <f>dalolatnoma!C33</f>
        <v>#REF!</v>
      </c>
      <c r="D20" s="15" t="e">
        <f>dalolatnoma!D33</f>
        <v>#REF!</v>
      </c>
      <c r="E20" s="314" t="str">
        <f>""&amp;FIXED(malumot!C143,2)&amp;" ("&amp;malumot!C144&amp;")"</f>
        <v>50 400 000,00 (ellik million to'rt yuz ming so'm)</v>
      </c>
    </row>
    <row r="21" spans="1:5" ht="17.25" hidden="1" customHeight="1" x14ac:dyDescent="0.25">
      <c r="A21" s="15">
        <f>dalolatnoma!A34</f>
        <v>0</v>
      </c>
      <c r="B21" s="15">
        <f>dalolatnoma!B34</f>
        <v>0</v>
      </c>
      <c r="C21" s="15">
        <f>dalolatnoma!C34</f>
        <v>0</v>
      </c>
      <c r="D21" s="15">
        <f>dalolatnoma!D34</f>
        <v>0</v>
      </c>
      <c r="E21" s="315"/>
    </row>
    <row r="22" spans="1:5" ht="17.25" hidden="1" customHeight="1" x14ac:dyDescent="0.25">
      <c r="A22" s="15" t="e">
        <f>dalolatnoma!A35</f>
        <v>#REF!</v>
      </c>
      <c r="B22" s="15" t="e">
        <f>dalolatnoma!B35</f>
        <v>#REF!</v>
      </c>
      <c r="C22" s="15" t="e">
        <f>dalolatnoma!C35</f>
        <v>#REF!</v>
      </c>
      <c r="D22" s="15" t="e">
        <f>dalolatnoma!D35</f>
        <v>#REF!</v>
      </c>
      <c r="E22" s="315"/>
    </row>
    <row r="23" spans="1:5" ht="17.25" hidden="1" customHeight="1" x14ac:dyDescent="0.25">
      <c r="A23" s="15" t="e">
        <f>dalolatnoma!A36</f>
        <v>#REF!</v>
      </c>
      <c r="B23" s="15" t="e">
        <f>dalolatnoma!B36</f>
        <v>#REF!</v>
      </c>
      <c r="C23" s="15" t="e">
        <f>dalolatnoma!C36</f>
        <v>#REF!</v>
      </c>
      <c r="D23" s="15" t="e">
        <f>dalolatnoma!D36</f>
        <v>#REF!</v>
      </c>
      <c r="E23" s="315"/>
    </row>
    <row r="24" spans="1:5" ht="17.25" hidden="1" customHeight="1" x14ac:dyDescent="0.25">
      <c r="A24" s="15" t="e">
        <f>dalolatnoma!A37</f>
        <v>#REF!</v>
      </c>
      <c r="B24" s="15" t="e">
        <f>dalolatnoma!B37</f>
        <v>#REF!</v>
      </c>
      <c r="C24" s="15" t="e">
        <f>dalolatnoma!C37</f>
        <v>#REF!</v>
      </c>
      <c r="D24" s="15" t="e">
        <f>dalolatnoma!D37</f>
        <v>#REF!</v>
      </c>
      <c r="E24" s="315"/>
    </row>
    <row r="25" spans="1:5" ht="15.75" hidden="1" customHeight="1" x14ac:dyDescent="0.25">
      <c r="A25" s="15" t="e">
        <f>dalolatnoma!A38</f>
        <v>#REF!</v>
      </c>
      <c r="B25" s="15" t="e">
        <f>dalolatnoma!B38</f>
        <v>#REF!</v>
      </c>
      <c r="C25" s="15" t="e">
        <f>dalolatnoma!C38</f>
        <v>#REF!</v>
      </c>
      <c r="D25" s="15" t="e">
        <f>dalolatnoma!D38</f>
        <v>#REF!</v>
      </c>
      <c r="E25" s="315"/>
    </row>
    <row r="26" spans="1:5" ht="17.25" hidden="1" customHeight="1" x14ac:dyDescent="0.25">
      <c r="A26" s="15" t="e">
        <f>dalolatnoma!A39</f>
        <v>#REF!</v>
      </c>
      <c r="B26" s="15" t="e">
        <f>dalolatnoma!B39</f>
        <v>#REF!</v>
      </c>
      <c r="C26" s="15" t="e">
        <f>dalolatnoma!C39</f>
        <v>#REF!</v>
      </c>
      <c r="D26" s="15" t="e">
        <f>dalolatnoma!D39</f>
        <v>#REF!</v>
      </c>
      <c r="E26" s="315"/>
    </row>
    <row r="27" spans="1:5" ht="17.25" hidden="1" customHeight="1" x14ac:dyDescent="0.25">
      <c r="A27" s="15" t="e">
        <f>dalolatnoma!A40</f>
        <v>#REF!</v>
      </c>
      <c r="B27" s="15" t="e">
        <f>dalolatnoma!B40</f>
        <v>#REF!</v>
      </c>
      <c r="C27" s="15" t="e">
        <f>dalolatnoma!C40</f>
        <v>#REF!</v>
      </c>
      <c r="D27" s="15" t="e">
        <f>dalolatnoma!D40</f>
        <v>#REF!</v>
      </c>
      <c r="E27" s="315"/>
    </row>
    <row r="28" spans="1:5" ht="17.25" hidden="1" customHeight="1" x14ac:dyDescent="0.25">
      <c r="A28" s="15" t="e">
        <f>dalolatnoma!A41</f>
        <v>#REF!</v>
      </c>
      <c r="B28" s="15" t="e">
        <f>dalolatnoma!B41</f>
        <v>#REF!</v>
      </c>
      <c r="C28" s="15" t="e">
        <f>dalolatnoma!C41</f>
        <v>#REF!</v>
      </c>
      <c r="D28" s="15" t="e">
        <f>dalolatnoma!D41</f>
        <v>#REF!</v>
      </c>
      <c r="E28" s="315"/>
    </row>
    <row r="29" spans="1:5" ht="17.25" hidden="1" customHeight="1" x14ac:dyDescent="0.25">
      <c r="A29" s="15" t="e">
        <f>dalolatnoma!A42</f>
        <v>#REF!</v>
      </c>
      <c r="B29" s="15" t="e">
        <f>dalolatnoma!B42</f>
        <v>#REF!</v>
      </c>
      <c r="C29" s="15" t="e">
        <f>dalolatnoma!C42</f>
        <v>#REF!</v>
      </c>
      <c r="D29" s="15" t="e">
        <f>dalolatnoma!D42</f>
        <v>#REF!</v>
      </c>
      <c r="E29" s="315"/>
    </row>
    <row r="30" spans="1:5" ht="17.25" hidden="1" customHeight="1" x14ac:dyDescent="0.25">
      <c r="A30" s="15" t="e">
        <f>dalolatnoma!A43</f>
        <v>#REF!</v>
      </c>
      <c r="B30" s="15" t="e">
        <f>dalolatnoma!B43</f>
        <v>#REF!</v>
      </c>
      <c r="C30" s="15" t="e">
        <f>dalolatnoma!C43</f>
        <v>#REF!</v>
      </c>
      <c r="D30" s="15" t="e">
        <f>dalolatnoma!D43</f>
        <v>#REF!</v>
      </c>
      <c r="E30" s="316"/>
    </row>
    <row r="31" spans="1:5" ht="17.25" hidden="1" customHeight="1" x14ac:dyDescent="0.25">
      <c r="A31" s="15" t="e">
        <f>dalolatnoma!A44</f>
        <v>#REF!</v>
      </c>
      <c r="B31" s="15" t="e">
        <f>dalolatnoma!B44</f>
        <v>#REF!</v>
      </c>
      <c r="C31" s="15" t="e">
        <f>dalolatnoma!C44</f>
        <v>#REF!</v>
      </c>
      <c r="D31" s="15" t="e">
        <f>dalolatnoma!D44</f>
        <v>#REF!</v>
      </c>
      <c r="E31" s="15" t="str">
        <f>dalolatnoma!E44</f>
        <v>50 400 000,00</v>
      </c>
    </row>
    <row r="32" spans="1:5" ht="18.75" hidden="1" customHeight="1" x14ac:dyDescent="0.25">
      <c r="A32" s="357" t="e">
        <f>_xlfn.SINGLE(dalolatnoma!#REF!)</f>
        <v>#REF!</v>
      </c>
      <c r="B32" s="357"/>
      <c r="C32" s="357"/>
      <c r="D32" s="357"/>
      <c r="E32" s="357"/>
    </row>
    <row r="33" spans="1:5" ht="24.75" hidden="1" customHeight="1" x14ac:dyDescent="0.25">
      <c r="A33" s="357" t="e">
        <f>_xlfn.SINGLE(dalolatnoma!#REF!)</f>
        <v>#REF!</v>
      </c>
      <c r="B33" s="357"/>
      <c r="C33" s="357"/>
      <c r="D33" s="357"/>
      <c r="E33" s="357"/>
    </row>
    <row r="34" spans="1:5" ht="30.75" hidden="1" customHeight="1" x14ac:dyDescent="0.25">
      <c r="A34" s="357" t="e">
        <f>_xlfn.SINGLE(dalolatnoma!#REF!)</f>
        <v>#REF!</v>
      </c>
      <c r="B34" s="357"/>
      <c r="C34" s="357"/>
      <c r="D34" s="357"/>
      <c r="E34" s="357"/>
    </row>
    <row r="35" spans="1:5" ht="15" hidden="1" customHeight="1" x14ac:dyDescent="0.25">
      <c r="A35" s="357" t="e">
        <f>_xlfn.SINGLE(dalolatnoma!#REF!)</f>
        <v>#REF!</v>
      </c>
      <c r="B35" s="357"/>
      <c r="C35" s="357"/>
      <c r="D35" s="357"/>
      <c r="E35" s="357"/>
    </row>
    <row r="36" spans="1:5" x14ac:dyDescent="0.25">
      <c r="A36" s="19"/>
      <c r="B36" s="19"/>
      <c r="C36" s="19"/>
      <c r="D36" s="19"/>
      <c r="E36" s="19"/>
    </row>
    <row r="37" spans="1:5" s="120" customFormat="1" ht="51" customHeight="1" x14ac:dyDescent="0.25">
      <c r="A37" s="360"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60"/>
      <c r="C37" s="360"/>
      <c r="D37" s="360"/>
      <c r="E37" s="360"/>
    </row>
    <row r="38" spans="1:5" ht="40.5" customHeight="1" x14ac:dyDescent="0.25">
      <c r="A38" s="357" t="str">
        <f>dalolatnoma!A47:E47</f>
        <v>Shu bilan birga, garov predmetining kelishilgan garov qiymati deganda ushbu mulk garov sifatida taqdim etilgan/qabul qilingan qiymati tushuniladi.</v>
      </c>
      <c r="B38" s="357"/>
      <c r="C38" s="357"/>
      <c r="D38" s="357"/>
      <c r="E38" s="357"/>
    </row>
    <row r="39" spans="1:5" ht="39" customHeight="1" x14ac:dyDescent="0.25">
      <c r="A39" s="357"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23 yanvar 2026 y.dan №195-BRS, при сохранении запрета.</v>
      </c>
      <c r="B39" s="357"/>
      <c r="C39" s="357"/>
      <c r="D39" s="357"/>
      <c r="E39" s="357"/>
    </row>
    <row r="40" spans="1:5" x14ac:dyDescent="0.25">
      <c r="A40" s="358"/>
      <c r="B40" s="358"/>
      <c r="C40" s="358"/>
      <c r="D40" s="358"/>
      <c r="E40" s="358"/>
    </row>
    <row r="41" spans="1:5" x14ac:dyDescent="0.25">
      <c r="A41" s="359" t="s">
        <v>34</v>
      </c>
      <c r="B41" s="359"/>
      <c r="C41" s="359"/>
      <c r="D41" s="359"/>
      <c r="E41" s="359"/>
    </row>
    <row r="42" spans="1:5" x14ac:dyDescent="0.25">
      <c r="A42" s="358"/>
      <c r="B42" s="358"/>
      <c r="C42" s="358"/>
      <c r="D42" s="358"/>
      <c r="E42" s="358"/>
    </row>
    <row r="43" spans="1:5" x14ac:dyDescent="0.25">
      <c r="A43" s="359" t="s">
        <v>35</v>
      </c>
      <c r="B43" s="359"/>
      <c r="C43" s="359"/>
      <c r="D43" s="359"/>
      <c r="E43" s="359"/>
    </row>
    <row r="44" spans="1:5" ht="28.5" customHeight="1" x14ac:dyDescent="0.25">
      <c r="A44" s="356" t="s">
        <v>36</v>
      </c>
      <c r="B44" s="356"/>
      <c r="C44" s="356"/>
      <c r="D44" s="356"/>
      <c r="E44" s="10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tabColor rgb="FF00B050"/>
  </sheetPr>
  <dimension ref="A1:I31"/>
  <sheetViews>
    <sheetView view="pageBreakPreview" zoomScaleNormal="100" zoomScaleSheetLayoutView="100" workbookViewId="0">
      <selection activeCell="H31" sqref="H31"/>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364" t="str">
        <f>""&amp;" "&amp;malumot!B74&amp;"-sonli "&amp;" "&amp;malumot!C64&amp;" shartnomasi bo‘yicha
 garovga qo‘yilgan mol-mulkni tekshirish bo’yicha "&amp;malumot!B5&amp;" bilan tuzilgan dalolatnomasi"</f>
        <v xml:space="preserve"> 23 yanvar 2026 y.dan №195-BRS-sonli  Mikroqarz shartnomasi bo‘yicha
 garovga qo‘yilgan mol-mulkni tekshirish bo’yicha XAMRAYEVA XUSHVAXT GAYBULLAYEVNA bilan tuzilgan dalolatnomasi</v>
      </c>
      <c r="B2" s="364"/>
      <c r="C2" s="364"/>
      <c r="D2" s="364"/>
      <c r="E2" s="364"/>
      <c r="F2" s="364"/>
      <c r="G2" s="364"/>
      <c r="H2" s="364"/>
      <c r="I2" s="28"/>
    </row>
    <row r="3" spans="1:9" x14ac:dyDescent="0.2">
      <c r="A3" s="364"/>
      <c r="B3" s="364"/>
      <c r="C3" s="364"/>
      <c r="D3" s="364"/>
      <c r="E3" s="364"/>
      <c r="F3" s="364"/>
      <c r="G3" s="364"/>
      <c r="H3" s="364"/>
      <c r="I3" s="28"/>
    </row>
    <row r="5" spans="1:9" x14ac:dyDescent="0.2">
      <c r="A5" s="21" t="s">
        <v>198</v>
      </c>
      <c r="H5" s="130" t="str">
        <f>TEXT(+malumot!B2+360,"ДД.ММ.ГГГГ")</f>
        <v>18.01.2027</v>
      </c>
    </row>
    <row r="7" spans="1:9" ht="45" customHeight="1" x14ac:dyDescent="0.2">
      <c r="A7" s="367" t="str">
        <f>"      Men, "&amp;malumot!B158&amp;" "&amp;malumot!A161&amp;"i "&amp;malumot!B161&amp;", jismoniy shaxs "&amp;" "&amp;malumot!B5&amp;" "&amp;" "&amp;malumot!B74&amp;"-sonli "&amp;malumot!C64&amp;" shartnomasi bo‘yicha garovga qo‘yilgan mol-mulkni ko‘zdan kechirdim"</f>
        <v xml:space="preserve">      Men, «CLEVER MIKROMOLIYA TASHKILOTI» MChJ Buxoro filiali boshlig'ii A.Xudayberdiyev, jismoniy shaxs  XAMRAYEVA XUSHVAXT GAYBULLAYEVNA  23 yanvar 2026 y.dan №195-BRS-sonli Mikroqarz shartnomasi bo‘yicha garovga qo‘yilgan mol-mulkni ko‘zdan kechirdim</v>
      </c>
      <c r="B7" s="367"/>
      <c r="C7" s="367"/>
      <c r="D7" s="367"/>
      <c r="E7" s="367"/>
      <c r="F7" s="367"/>
      <c r="G7" s="367"/>
      <c r="H7" s="367"/>
    </row>
    <row r="8" spans="1:9" ht="19.5" customHeight="1" x14ac:dyDescent="0.2">
      <c r="A8" s="368" t="s">
        <v>267</v>
      </c>
      <c r="B8" s="368"/>
      <c r="C8" s="368"/>
      <c r="D8" s="368"/>
      <c r="E8" s="368"/>
      <c r="F8" s="368"/>
      <c r="G8" s="368"/>
      <c r="H8" s="368"/>
    </row>
    <row r="9" spans="1:9" s="131" customFormat="1" ht="32.25" customHeight="1" x14ac:dyDescent="0.25">
      <c r="A9" s="362" t="str">
        <f>akt_monitoring_2!A9</f>
        <v>Nomi</v>
      </c>
      <c r="B9" s="363"/>
      <c r="C9" s="362" t="str">
        <f>akt_monitoring_2!C9</f>
        <v>Kuzov turi  va kuzov raqami*</v>
      </c>
      <c r="D9" s="363"/>
      <c r="E9" s="362" t="str">
        <f>akt_monitoring_2!E9</f>
        <v>Dvigatel va shassi raqami*</v>
      </c>
      <c r="F9" s="363"/>
      <c r="G9" s="362" t="str">
        <f>akt_monitoring_2!G9</f>
        <v>Ishlab chiqarilgan yili va rangi**</v>
      </c>
      <c r="H9" s="363"/>
    </row>
    <row r="10" spans="1:9" s="129" customFormat="1" ht="58.5" customHeight="1" x14ac:dyDescent="0.2">
      <c r="A10" s="370" t="str">
        <f>akt_monitoring_2!A10</f>
        <v>CHEVROLET SPARK</v>
      </c>
      <c r="B10" s="370"/>
      <c r="C10" s="370" t="str">
        <f>akt_monitoring_2!C10</f>
        <v>kuzov turi - YENGIL SEDAN, kuzov raqami XWBMA48N1JA528481</v>
      </c>
      <c r="D10" s="370"/>
      <c r="E10" s="370" t="str">
        <f>akt_monitoring_2!E10</f>
        <v>dvigatel raqami B12D211181167HB9X0266, shassi raqami - RAKAMSIZ</v>
      </c>
      <c r="F10" s="370"/>
      <c r="G10" s="370" t="str">
        <f>akt_monitoring_2!G10</f>
        <v>rangi -  OQ BELO DIMCHATIY, ishlab chiqarilgan yili - 2018</v>
      </c>
      <c r="H10" s="370"/>
    </row>
    <row r="11" spans="1:9" ht="19.5" customHeight="1" x14ac:dyDescent="0.2">
      <c r="A11" s="365" t="str">
        <f>dalolatnoma!A22:E22</f>
        <v>-* avtotransport egasi: POSHSHAXANOVA NOZIMA ISMOILOVNA</v>
      </c>
      <c r="B11" s="365"/>
      <c r="C11" s="365"/>
      <c r="D11" s="365"/>
      <c r="E11" s="365"/>
      <c r="F11" s="365"/>
      <c r="G11" s="365"/>
      <c r="H11" s="365"/>
    </row>
    <row r="12" spans="1:9" ht="19.5" customHeight="1" x14ac:dyDescent="0.2">
      <c r="A12" s="365" t="str">
        <f>dalolatnoma!A23:E23</f>
        <v>-* texnik pasport: AAG  0885005    03.02.2023</v>
      </c>
      <c r="B12" s="365"/>
      <c r="C12" s="365"/>
      <c r="D12" s="365"/>
      <c r="E12" s="365"/>
      <c r="F12" s="365"/>
      <c r="G12" s="365"/>
      <c r="H12" s="365"/>
    </row>
    <row r="13" spans="1:9" ht="19.5" customHeight="1" x14ac:dyDescent="0.2">
      <c r="A13" s="365" t="str">
        <f>dalolatnoma!A24:E24</f>
        <v>-* roʻyxatdan oʻtgan manzili/garaj manzili: NAMANGAN VILOYATI CHORTOQ TUMANI ALIXON SHFY ALIXON MFY ROXAT KO'CHASI 31-UY</v>
      </c>
      <c r="B13" s="365"/>
      <c r="C13" s="365"/>
      <c r="D13" s="365"/>
      <c r="E13" s="365"/>
      <c r="F13" s="365"/>
      <c r="G13" s="365"/>
      <c r="H13" s="365"/>
    </row>
    <row r="14" spans="1:9" ht="19.5" customHeight="1" x14ac:dyDescent="0.2">
      <c r="A14" s="365" t="str">
        <f>dalolatnoma!A25:E25</f>
        <v>-* davlat raqami: 50P697RA</v>
      </c>
      <c r="B14" s="365"/>
      <c r="C14" s="365"/>
      <c r="D14" s="365"/>
      <c r="E14" s="365"/>
      <c r="F14" s="365"/>
      <c r="G14" s="365"/>
      <c r="H14" s="365"/>
    </row>
    <row r="15" spans="1:9" ht="33.75" customHeight="1" x14ac:dyDescent="0.2">
      <c r="A15" s="366" t="str">
        <f>+"Shu bilan birga, yuqoridagi mulkning kelishilgan garov qiymati "&amp;dalolatnoma!E30</f>
        <v>Shu bilan birga, yuqoridagi mulkning kelishilgan garov qiymati 50 400 000,00 
(ellik million to'rt yuz ming so'm)</v>
      </c>
      <c r="B15" s="366"/>
      <c r="C15" s="366"/>
      <c r="D15" s="366"/>
      <c r="E15" s="366"/>
      <c r="F15" s="366"/>
      <c r="G15" s="366"/>
      <c r="H15" s="366"/>
    </row>
    <row r="17" spans="1:8" ht="35.25" customHeight="1" x14ac:dyDescent="0.2">
      <c r="A17" s="369" t="s">
        <v>268</v>
      </c>
      <c r="B17" s="369"/>
      <c r="C17" s="369"/>
      <c r="D17" s="369"/>
      <c r="E17" s="369"/>
      <c r="F17" s="369"/>
      <c r="G17" s="369"/>
      <c r="H17" s="369"/>
    </row>
    <row r="21" spans="1:8" s="28" customFormat="1" x14ac:dyDescent="0.2"/>
    <row r="22" spans="1:8" s="28" customFormat="1" x14ac:dyDescent="0.2">
      <c r="A22" s="190" t="str">
        <f>malumot!A161</f>
        <v>Buxoro filiali boshlig'i</v>
      </c>
      <c r="H22" s="132" t="str">
        <f>malumot!B161</f>
        <v>A.Xudayberdiyev</v>
      </c>
    </row>
    <row r="23" spans="1:8" s="28" customFormat="1" x14ac:dyDescent="0.2">
      <c r="H23" s="132"/>
    </row>
    <row r="24" spans="1:8" s="28" customFormat="1" x14ac:dyDescent="0.2"/>
    <row r="25" spans="1:8" s="28" customFormat="1" x14ac:dyDescent="0.2"/>
    <row r="26" spans="1:8" s="28" customFormat="1" x14ac:dyDescent="0.2">
      <c r="H26" s="132"/>
    </row>
    <row r="27" spans="1:8" s="28" customFormat="1" x14ac:dyDescent="0.2">
      <c r="A27" s="28" t="str">
        <f>malumot!A171</f>
        <v>Monitoring bo’limi boshlig’i</v>
      </c>
      <c r="H27" s="28" t="str">
        <f>malumot!B171</f>
        <v>D.Axmedov</v>
      </c>
    </row>
    <row r="28" spans="1:8" s="28" customFormat="1" x14ac:dyDescent="0.2"/>
    <row r="29" spans="1:8" s="28" customFormat="1" x14ac:dyDescent="0.2"/>
    <row r="31" spans="1:8" x14ac:dyDescent="0.2">
      <c r="A31" s="28" t="s">
        <v>270</v>
      </c>
      <c r="H31" s="28" t="str">
        <f>malumot!B7</f>
        <v>XAMRAYEVA X.G.</v>
      </c>
    </row>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00B050"/>
  </sheetPr>
  <dimension ref="A1:I35"/>
  <sheetViews>
    <sheetView view="pageBreakPreview" topLeftCell="A7" zoomScaleNormal="100" zoomScaleSheetLayoutView="100" workbookViewId="0">
      <selection activeCell="A17" sqref="A17:H17"/>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9" width="9.140625" style="21" hidden="1" customWidth="1"/>
    <col min="10" max="10" width="9.140625" style="21" customWidth="1"/>
    <col min="11" max="11" width="0.5703125" style="21" customWidth="1"/>
    <col min="12" max="16384" width="9.140625" style="21"/>
  </cols>
  <sheetData>
    <row r="1" spans="1:9" x14ac:dyDescent="0.2">
      <c r="A1" s="28"/>
      <c r="B1" s="28"/>
      <c r="C1" s="28"/>
      <c r="D1" s="28"/>
      <c r="E1" s="28"/>
      <c r="F1" s="28"/>
      <c r="G1" s="28"/>
      <c r="H1" s="28"/>
      <c r="I1" s="28"/>
    </row>
    <row r="2" spans="1:9" x14ac:dyDescent="0.2">
      <c r="A2" s="364" t="str">
        <f>""&amp;" "&amp;malumot!B74&amp;"-sonli "&amp;" "&amp;malumot!C64&amp;" shartnomasi bo‘yicha
 garovga qo‘yilgan mol-mulkni tekshirish bo’yicha "&amp;malumot!B5&amp;" bilan tuzilgan dalolatnomasi"</f>
        <v xml:space="preserve"> 23 yanvar 2026 y.dan №195-BRS-sonli  Mikroqarz shartnomasi bo‘yicha
 garovga qo‘yilgan mol-mulkni tekshirish bo’yicha XAMRAYEVA XUSHVAXT GAYBULLAYEVNA bilan tuzilgan dalolatnomasi</v>
      </c>
      <c r="B2" s="364"/>
      <c r="C2" s="364"/>
      <c r="D2" s="364"/>
      <c r="E2" s="364"/>
      <c r="F2" s="364"/>
      <c r="G2" s="364"/>
      <c r="H2" s="364"/>
      <c r="I2" s="28"/>
    </row>
    <row r="3" spans="1:9" x14ac:dyDescent="0.2">
      <c r="A3" s="364"/>
      <c r="B3" s="364"/>
      <c r="C3" s="364"/>
      <c r="D3" s="364"/>
      <c r="E3" s="364"/>
      <c r="F3" s="364"/>
      <c r="G3" s="364"/>
      <c r="H3" s="364"/>
      <c r="I3" s="28"/>
    </row>
    <row r="5" spans="1:9" x14ac:dyDescent="0.2">
      <c r="A5" s="21" t="s">
        <v>198</v>
      </c>
      <c r="F5" s="142"/>
      <c r="H5" s="130" t="str">
        <f>TEXT(malumot!D2,"ДД.ММ.ГГГГ")</f>
        <v>22.07.2026</v>
      </c>
    </row>
    <row r="7" spans="1:9" ht="45" customHeight="1" x14ac:dyDescent="0.2">
      <c r="A7" s="367" t="str">
        <f>"      Men, “СLEVER MIKROMOLYA TASHKILOTI” "&amp;malumot!A161&amp;"i "&amp;malumot!B161&amp;", jismoniy shaxs "&amp;" "&amp;malumot!B5&amp;" "&amp;" "&amp;malumot!B74&amp;"-sonli "&amp;malumot!B65&amp;" shartnomasi bo‘yicha garovga qo‘yilgan mol-mulkni ko‘zdan kechirdim"</f>
        <v xml:space="preserve">      Men, “СLEVER MIKROMOLYA TASHKILOTI” Buxoro filiali boshlig'ii A.Xudayberdiyev, jismoniy shaxs  XAMRAYEVA XUSHVAXT GAYBULLAYEVNA  23 yanvar 2026 y.dan №195-BRS-sonli mikroqarz shartnomasi bo‘yicha garovga qo‘yilgan mol-mulkni ko‘zdan kechirdim</v>
      </c>
      <c r="B7" s="367"/>
      <c r="C7" s="367"/>
      <c r="D7" s="367"/>
      <c r="E7" s="367"/>
      <c r="F7" s="367"/>
      <c r="G7" s="367"/>
      <c r="H7" s="367"/>
    </row>
    <row r="8" spans="1:9" ht="19.5" customHeight="1" x14ac:dyDescent="0.2">
      <c r="A8" s="368" t="s">
        <v>267</v>
      </c>
      <c r="B8" s="368"/>
      <c r="C8" s="368"/>
      <c r="D8" s="368"/>
      <c r="E8" s="368"/>
      <c r="F8" s="368"/>
      <c r="G8" s="368"/>
      <c r="H8" s="368"/>
    </row>
    <row r="9" spans="1:9" s="131" customFormat="1" ht="32.25" customHeight="1" x14ac:dyDescent="0.25">
      <c r="A9" s="362" t="str">
        <f>dalolatnoma!A20</f>
        <v>Nomi</v>
      </c>
      <c r="B9" s="363"/>
      <c r="C9" s="362" t="str">
        <f>dalolatnoma!B20</f>
        <v>Kuzov turi  va kuzov raqami*</v>
      </c>
      <c r="D9" s="363"/>
      <c r="E9" s="362" t="str">
        <f>dalolatnoma!D20</f>
        <v>Dvigatel va shassi raqami*</v>
      </c>
      <c r="F9" s="363"/>
      <c r="G9" s="362" t="str">
        <f>dalolatnoma!E20</f>
        <v>Ishlab chiqarilgan yili va rangi**</v>
      </c>
      <c r="H9" s="363"/>
    </row>
    <row r="10" spans="1:9" s="129" customFormat="1" ht="58.5" customHeight="1" x14ac:dyDescent="0.2">
      <c r="A10" s="370" t="str">
        <f>dalolatnoma!A21</f>
        <v>CHEVROLET SPARK</v>
      </c>
      <c r="B10" s="370"/>
      <c r="C10" s="370" t="str">
        <f>dalolatnoma!B21</f>
        <v>kuzov turi - YENGIL SEDAN, kuzov raqami XWBMA48N1JA528481</v>
      </c>
      <c r="D10" s="370"/>
      <c r="E10" s="370" t="str">
        <f>dalolatnoma!D21</f>
        <v>dvigatel raqami B12D211181167HB9X0266, shassi raqami - RAKAMSIZ</v>
      </c>
      <c r="F10" s="370"/>
      <c r="G10" s="370" t="str">
        <f>dalolatnoma!E21</f>
        <v>rangi -  OQ BELO DIMCHATIY, ishlab chiqarilgan yili - 2018</v>
      </c>
      <c r="H10" s="370"/>
    </row>
    <row r="11" spans="1:9" ht="19.5" customHeight="1" x14ac:dyDescent="0.2">
      <c r="A11" s="365" t="str">
        <f>dalolatnoma!A22:E22</f>
        <v>-* avtotransport egasi: POSHSHAXANOVA NOZIMA ISMOILOVNA</v>
      </c>
      <c r="B11" s="365"/>
      <c r="C11" s="365"/>
      <c r="D11" s="365"/>
      <c r="E11" s="365"/>
      <c r="F11" s="365"/>
      <c r="G11" s="365"/>
      <c r="H11" s="365"/>
    </row>
    <row r="12" spans="1:9" ht="19.5" customHeight="1" x14ac:dyDescent="0.2">
      <c r="A12" s="365" t="str">
        <f>dalolatnoma!A23:E23</f>
        <v>-* texnik pasport: AAG  0885005    03.02.2023</v>
      </c>
      <c r="B12" s="365"/>
      <c r="C12" s="365"/>
      <c r="D12" s="365"/>
      <c r="E12" s="365"/>
      <c r="F12" s="365"/>
      <c r="G12" s="365"/>
      <c r="H12" s="365"/>
    </row>
    <row r="13" spans="1:9" ht="19.5" customHeight="1" x14ac:dyDescent="0.2">
      <c r="A13" s="365" t="str">
        <f>dalolatnoma!A24:E24</f>
        <v>-* roʻyxatdan oʻtgan manzili/garaj manzili: NAMANGAN VILOYATI CHORTOQ TUMANI ALIXON SHFY ALIXON MFY ROXAT KO'CHASI 31-UY</v>
      </c>
      <c r="B13" s="365"/>
      <c r="C13" s="365"/>
      <c r="D13" s="365"/>
      <c r="E13" s="365"/>
      <c r="F13" s="365"/>
      <c r="G13" s="365"/>
      <c r="H13" s="365"/>
    </row>
    <row r="14" spans="1:9" ht="19.5" customHeight="1" x14ac:dyDescent="0.2">
      <c r="A14" s="365" t="str">
        <f>dalolatnoma!A25:E25</f>
        <v>-* davlat raqami: 50P697RA</v>
      </c>
      <c r="B14" s="365"/>
      <c r="C14" s="365"/>
      <c r="D14" s="365"/>
      <c r="E14" s="365"/>
      <c r="F14" s="365"/>
      <c r="G14" s="365"/>
      <c r="H14" s="365"/>
    </row>
    <row r="15" spans="1:9" ht="33.75" customHeight="1" x14ac:dyDescent="0.2">
      <c r="A15" s="366" t="str">
        <f>+"Shu bilan birga, yuqoridagi mulkning kelishilgan garov qiymati "&amp;dalolatnoma!E30</f>
        <v>Shu bilan birga, yuqoridagi mulkning kelishilgan garov qiymati 50 400 000,00 
(ellik million to'rt yuz ming so'm)</v>
      </c>
      <c r="B15" s="366"/>
      <c r="C15" s="366"/>
      <c r="D15" s="366"/>
      <c r="E15" s="366"/>
      <c r="F15" s="366"/>
      <c r="G15" s="366"/>
      <c r="H15" s="366"/>
    </row>
    <row r="17" spans="1:8" ht="27" customHeight="1" x14ac:dyDescent="0.2">
      <c r="A17" s="369" t="s">
        <v>268</v>
      </c>
      <c r="B17" s="369"/>
      <c r="C17" s="369"/>
      <c r="D17" s="369"/>
      <c r="E17" s="369"/>
      <c r="F17" s="369"/>
      <c r="G17" s="369"/>
      <c r="H17" s="369"/>
    </row>
    <row r="21" spans="1:8" s="28" customFormat="1" x14ac:dyDescent="0.2"/>
    <row r="22" spans="1:8" s="28" customFormat="1" x14ac:dyDescent="0.2">
      <c r="A22" s="28" t="str">
        <f>malumot!A161</f>
        <v>Buxoro filiali boshlig'i</v>
      </c>
      <c r="H22" s="132" t="str">
        <f>malumot!B161</f>
        <v>A.Xudayberdiyev</v>
      </c>
    </row>
    <row r="23" spans="1:8" s="28" customFormat="1" x14ac:dyDescent="0.2">
      <c r="H23" s="132"/>
    </row>
    <row r="24" spans="1:8" s="28" customFormat="1" x14ac:dyDescent="0.2">
      <c r="H24" s="132"/>
    </row>
    <row r="25" spans="1:8" s="28" customFormat="1" x14ac:dyDescent="0.2">
      <c r="H25" s="132"/>
    </row>
    <row r="26" spans="1:8" s="28" customFormat="1" x14ac:dyDescent="0.2">
      <c r="H26" s="132"/>
    </row>
    <row r="27" spans="1:8" s="28" customFormat="1" ht="16.5" customHeight="1" x14ac:dyDescent="0.2">
      <c r="A27" s="28" t="s">
        <v>269</v>
      </c>
      <c r="H27" s="28" t="str">
        <f>malumot!B171</f>
        <v>D.Axmedov</v>
      </c>
    </row>
    <row r="28" spans="1:8" s="28" customFormat="1" ht="16.5" customHeight="1" x14ac:dyDescent="0.2"/>
    <row r="29" spans="1:8" s="28" customFormat="1" ht="16.5" customHeight="1" x14ac:dyDescent="0.2"/>
    <row r="30" spans="1:8" s="28" customFormat="1" x14ac:dyDescent="0.2"/>
    <row r="31" spans="1:8" s="28" customFormat="1" x14ac:dyDescent="0.2">
      <c r="A31" s="28" t="s">
        <v>270</v>
      </c>
      <c r="H31" s="132" t="str">
        <f>malumot!B7</f>
        <v>XAMRAYEVA X.G.</v>
      </c>
    </row>
    <row r="32" spans="1:8" s="28" customFormat="1" x14ac:dyDescent="0.2"/>
    <row r="33" s="28" customFormat="1" x14ac:dyDescent="0.2"/>
    <row r="34" s="28" customFormat="1" x14ac:dyDescent="0.2"/>
    <row r="35" s="28" customFormat="1" x14ac:dyDescent="0.2"/>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tabColor rgb="FF00B050"/>
  </sheetPr>
  <dimension ref="A1:I34"/>
  <sheetViews>
    <sheetView view="pageBreakPreview" topLeftCell="A7" zoomScaleNormal="100" zoomScaleSheetLayoutView="100" workbookViewId="0">
      <selection activeCell="A28" sqref="A28:XFD28"/>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364" t="str">
        <f>""&amp;" "&amp;malumot!B74&amp;"-sonli "&amp;" "&amp;malumot!C64&amp;" shartnomasi bo‘yicha
 garovga qo‘yilgan mol-mulkni tekshirish bo’yicha "&amp;malumot!B5&amp;" bilan tuzilgan dalolatnomasi"</f>
        <v xml:space="preserve"> 23 yanvar 2026 y.dan №195-BRS-sonli  Mikroqarz shartnomasi bo‘yicha
 garovga qo‘yilgan mol-mulkni tekshirish bo’yicha XAMRAYEVA XUSHVAXT GAYBULLAYEVNA bilan tuzilgan dalolatnomasi</v>
      </c>
      <c r="B2" s="364"/>
      <c r="C2" s="364"/>
      <c r="D2" s="364"/>
      <c r="E2" s="364"/>
      <c r="F2" s="364"/>
      <c r="G2" s="364"/>
      <c r="H2" s="364"/>
      <c r="I2" s="28"/>
    </row>
    <row r="3" spans="1:9" x14ac:dyDescent="0.2">
      <c r="A3" s="364"/>
      <c r="B3" s="364"/>
      <c r="C3" s="364"/>
      <c r="D3" s="364"/>
      <c r="E3" s="364"/>
      <c r="F3" s="364"/>
      <c r="G3" s="364"/>
      <c r="H3" s="364"/>
      <c r="I3" s="28"/>
    </row>
    <row r="5" spans="1:9" x14ac:dyDescent="0.2">
      <c r="A5" s="21" t="s">
        <v>198</v>
      </c>
      <c r="H5" s="130" t="str">
        <f>TEXT(+malumot!B2+540,"ДД.ММ.ГГГГ")</f>
        <v>17.07.2027</v>
      </c>
    </row>
    <row r="7" spans="1:9" ht="45" customHeight="1" x14ac:dyDescent="0.2">
      <c r="A7" s="367" t="str">
        <f>"      Men, "&amp;malumot!B158&amp;" "&amp;malumot!A161&amp;"i "&amp;malumot!B161&amp;", jismoniy shaxs "&amp;" "&amp;malumot!B5&amp;" "&amp;" "&amp;malumot!B74&amp;"-sonli "&amp;malumot!C64&amp;" shartnomasi bo‘yicha garovga qo‘yilgan mol-mulkni ko‘zdan kechirdim"</f>
        <v xml:space="preserve">      Men, «CLEVER MIKROMOLIYA TASHKILOTI» MChJ Buxoro filiali boshlig'ii A.Xudayberdiyev, jismoniy shaxs  XAMRAYEVA XUSHVAXT GAYBULLAYEVNA  23 yanvar 2026 y.dan №195-BRS-sonli Mikroqarz shartnomasi bo‘yicha garovga qo‘yilgan mol-mulkni ko‘zdan kechirdim</v>
      </c>
      <c r="B7" s="367"/>
      <c r="C7" s="367"/>
      <c r="D7" s="367"/>
      <c r="E7" s="367"/>
      <c r="F7" s="367"/>
      <c r="G7" s="367"/>
      <c r="H7" s="367"/>
    </row>
    <row r="8" spans="1:9" ht="19.5" customHeight="1" x14ac:dyDescent="0.2">
      <c r="A8" s="368" t="s">
        <v>267</v>
      </c>
      <c r="B8" s="368"/>
      <c r="C8" s="368"/>
      <c r="D8" s="368"/>
      <c r="E8" s="368"/>
      <c r="F8" s="368"/>
      <c r="G8" s="368"/>
      <c r="H8" s="368"/>
    </row>
    <row r="9" spans="1:9" s="131" customFormat="1" ht="32.25" customHeight="1" x14ac:dyDescent="0.25">
      <c r="A9" s="362" t="str">
        <f>akt_monitoring_2!A9</f>
        <v>Nomi</v>
      </c>
      <c r="B9" s="363"/>
      <c r="C9" s="362" t="str">
        <f>akt_monitoring_2!C9</f>
        <v>Kuzov turi  va kuzov raqami*</v>
      </c>
      <c r="D9" s="363"/>
      <c r="E9" s="362" t="str">
        <f>akt_monitoring_2!E9</f>
        <v>Dvigatel va shassi raqami*</v>
      </c>
      <c r="F9" s="363"/>
      <c r="G9" s="362" t="str">
        <f>akt_monitoring_2!G9</f>
        <v>Ishlab chiqarilgan yili va rangi**</v>
      </c>
      <c r="H9" s="363"/>
    </row>
    <row r="10" spans="1:9" s="129" customFormat="1" ht="58.5" customHeight="1" x14ac:dyDescent="0.2">
      <c r="A10" s="371" t="str">
        <f>akt_monitoring_2!A10</f>
        <v>CHEVROLET SPARK</v>
      </c>
      <c r="B10" s="372"/>
      <c r="C10" s="371" t="str">
        <f>akt_monitoring_2!C10</f>
        <v>kuzov turi - YENGIL SEDAN, kuzov raqami XWBMA48N1JA528481</v>
      </c>
      <c r="D10" s="372"/>
      <c r="E10" s="371" t="str">
        <f>akt_monitoring_2!E10</f>
        <v>dvigatel raqami B12D211181167HB9X0266, shassi raqami - RAKAMSIZ</v>
      </c>
      <c r="F10" s="372"/>
      <c r="G10" s="371" t="str">
        <f>akt_monitoring_2!G10</f>
        <v>rangi -  OQ BELO DIMCHATIY, ishlab chiqarilgan yili - 2018</v>
      </c>
      <c r="H10" s="372"/>
    </row>
    <row r="11" spans="1:9" ht="19.5" customHeight="1" x14ac:dyDescent="0.2">
      <c r="A11" s="365" t="str">
        <f>dalolatnoma!A22:E22</f>
        <v>-* avtotransport egasi: POSHSHAXANOVA NOZIMA ISMOILOVNA</v>
      </c>
      <c r="B11" s="365"/>
      <c r="C11" s="365"/>
      <c r="D11" s="365"/>
      <c r="E11" s="365"/>
      <c r="F11" s="365"/>
      <c r="G11" s="365"/>
      <c r="H11" s="365"/>
    </row>
    <row r="12" spans="1:9" ht="19.5" customHeight="1" x14ac:dyDescent="0.2">
      <c r="A12" s="365" t="str">
        <f>dalolatnoma!A23:E23</f>
        <v>-* texnik pasport: AAG  0885005    03.02.2023</v>
      </c>
      <c r="B12" s="365"/>
      <c r="C12" s="365"/>
      <c r="D12" s="365"/>
      <c r="E12" s="365"/>
      <c r="F12" s="365"/>
      <c r="G12" s="365"/>
      <c r="H12" s="365"/>
    </row>
    <row r="13" spans="1:9" ht="19.5" customHeight="1" x14ac:dyDescent="0.2">
      <c r="A13" s="365" t="str">
        <f>dalolatnoma!A24:E24</f>
        <v>-* roʻyxatdan oʻtgan manzili/garaj manzili: NAMANGAN VILOYATI CHORTOQ TUMANI ALIXON SHFY ALIXON MFY ROXAT KO'CHASI 31-UY</v>
      </c>
      <c r="B13" s="365"/>
      <c r="C13" s="365"/>
      <c r="D13" s="365"/>
      <c r="E13" s="365"/>
      <c r="F13" s="365"/>
      <c r="G13" s="365"/>
      <c r="H13" s="365"/>
    </row>
    <row r="14" spans="1:9" ht="19.5" customHeight="1" x14ac:dyDescent="0.2">
      <c r="A14" s="365" t="str">
        <f>dalolatnoma!A25:E25</f>
        <v>-* davlat raqami: 50P697RA</v>
      </c>
      <c r="B14" s="365"/>
      <c r="C14" s="365"/>
      <c r="D14" s="365"/>
      <c r="E14" s="365"/>
      <c r="F14" s="365"/>
      <c r="G14" s="365"/>
      <c r="H14" s="365"/>
    </row>
    <row r="15" spans="1:9" ht="33.75" customHeight="1" x14ac:dyDescent="0.2">
      <c r="A15" s="366" t="str">
        <f>+"Shu bilan birga, yuqoridagi mulkning kelishilgan garov qiymati "&amp;dalolatnoma!E30</f>
        <v>Shu bilan birga, yuqoridagi mulkning kelishilgan garov qiymati 50 400 000,00 
(ellik million to'rt yuz ming so'm)</v>
      </c>
      <c r="B15" s="366"/>
      <c r="C15" s="366"/>
      <c r="D15" s="366"/>
      <c r="E15" s="366"/>
      <c r="F15" s="366"/>
      <c r="G15" s="366"/>
      <c r="H15" s="366"/>
    </row>
    <row r="17" spans="1:8" s="129" customFormat="1" ht="32.25" customHeight="1" x14ac:dyDescent="0.2">
      <c r="A17" s="369" t="s">
        <v>268</v>
      </c>
      <c r="B17" s="369"/>
      <c r="C17" s="369"/>
      <c r="D17" s="369"/>
      <c r="E17" s="369"/>
      <c r="F17" s="369"/>
      <c r="G17" s="369"/>
      <c r="H17" s="369"/>
    </row>
    <row r="21" spans="1:8" s="28" customFormat="1" x14ac:dyDescent="0.2"/>
    <row r="22" spans="1:8" s="28" customFormat="1" x14ac:dyDescent="0.2">
      <c r="A22" s="28" t="str">
        <f>malumot!A161</f>
        <v>Buxoro filiali boshlig'i</v>
      </c>
      <c r="H22" s="132" t="str">
        <f>malumot!B161</f>
        <v>A.Xudayberdiyev</v>
      </c>
    </row>
    <row r="23" spans="1:8" s="28" customFormat="1" x14ac:dyDescent="0.2">
      <c r="H23" s="132"/>
    </row>
    <row r="24" spans="1:8" s="28" customFormat="1" x14ac:dyDescent="0.2">
      <c r="H24" s="132"/>
    </row>
    <row r="25" spans="1:8" s="28" customFormat="1" x14ac:dyDescent="0.2">
      <c r="H25" s="132"/>
    </row>
    <row r="26" spans="1:8" s="28" customFormat="1" x14ac:dyDescent="0.2">
      <c r="H26" s="132"/>
    </row>
    <row r="27" spans="1:8" s="28" customFormat="1" ht="16.5" customHeight="1" x14ac:dyDescent="0.2">
      <c r="A27" s="28" t="s">
        <v>269</v>
      </c>
      <c r="H27" s="28" t="str">
        <f>malumot!B171</f>
        <v>D.Axmedov</v>
      </c>
    </row>
    <row r="28" spans="1:8" s="28" customFormat="1" ht="16.5" customHeight="1" x14ac:dyDescent="0.2"/>
    <row r="29" spans="1:8" s="28" customFormat="1" ht="16.5" customHeight="1" x14ac:dyDescent="0.2"/>
    <row r="30" spans="1:8" s="28" customFormat="1" x14ac:dyDescent="0.2"/>
    <row r="31" spans="1:8" s="28" customFormat="1" x14ac:dyDescent="0.2">
      <c r="A31" s="28" t="s">
        <v>270</v>
      </c>
      <c r="H31" s="132" t="str">
        <f>malumot!B7</f>
        <v>XAMRAYEVA X.G.</v>
      </c>
    </row>
    <row r="32" spans="1:8" s="28" customFormat="1" x14ac:dyDescent="0.2"/>
    <row r="33" s="28" customFormat="1" x14ac:dyDescent="0.2"/>
    <row r="34" s="28"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8">
    <tabColor rgb="FF00B050"/>
  </sheetPr>
  <dimension ref="A1:I34"/>
  <sheetViews>
    <sheetView view="pageBreakPreview" topLeftCell="A6" zoomScaleNormal="100" zoomScaleSheetLayoutView="100" workbookViewId="0">
      <selection activeCell="D27" sqref="D27"/>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364" t="str">
        <f>""&amp;" "&amp;malumot!B74&amp;"-sonli "&amp;" "&amp;malumot!C64&amp;" shartnomasi bo‘yicha
 garovga qo‘yilgan mol-mulkni tekshirish bo’yicha "&amp;malumot!B5&amp;" bilan tuzilgan dalolatnomasi"</f>
        <v xml:space="preserve"> 23 yanvar 2026 y.dan №195-BRS-sonli  Mikroqarz shartnomasi bo‘yicha
 garovga qo‘yilgan mol-mulkni tekshirish bo’yicha XAMRAYEVA XUSHVAXT GAYBULLAYEVNA bilan tuzilgan dalolatnomasi</v>
      </c>
      <c r="B2" s="364"/>
      <c r="C2" s="364"/>
      <c r="D2" s="364"/>
      <c r="E2" s="364"/>
      <c r="F2" s="364"/>
      <c r="G2" s="364"/>
      <c r="H2" s="364"/>
      <c r="I2" s="28"/>
    </row>
    <row r="3" spans="1:9" x14ac:dyDescent="0.2">
      <c r="A3" s="364"/>
      <c r="B3" s="364"/>
      <c r="C3" s="364"/>
      <c r="D3" s="364"/>
      <c r="E3" s="364"/>
      <c r="F3" s="364"/>
      <c r="G3" s="364"/>
      <c r="H3" s="364"/>
      <c r="I3" s="28"/>
    </row>
    <row r="5" spans="1:9" x14ac:dyDescent="0.2">
      <c r="A5" s="21" t="s">
        <v>198</v>
      </c>
      <c r="H5" s="130" t="str">
        <f>TEXT(+malumot!B2+720,"ДД.ММ.ГГГГ")</f>
        <v>13.01.2028</v>
      </c>
    </row>
    <row r="7" spans="1:9" ht="45" customHeight="1" x14ac:dyDescent="0.2">
      <c r="A7" s="367" t="str">
        <f>"      Men, "&amp;malumot!B158&amp;" "&amp;malumot!A161&amp;"i "&amp;malumot!B161&amp;", jismoniy shaxs "&amp;" "&amp;malumot!B5&amp;" "&amp;" "&amp;malumot!B74&amp;"-sonli "&amp;malumot!C64&amp;" shartnomasi bo‘yicha garovga qo‘yilgan mol-mulkni ko‘zdan kechirdim"</f>
        <v xml:space="preserve">      Men, «CLEVER MIKROMOLIYA TASHKILOTI» MChJ Buxoro filiali boshlig'ii A.Xudayberdiyev, jismoniy shaxs  XAMRAYEVA XUSHVAXT GAYBULLAYEVNA  23 yanvar 2026 y.dan №195-BRS-sonli Mikroqarz shartnomasi bo‘yicha garovga qo‘yilgan mol-mulkni ko‘zdan kechirdim</v>
      </c>
      <c r="B7" s="367"/>
      <c r="C7" s="367"/>
      <c r="D7" s="367"/>
      <c r="E7" s="367"/>
      <c r="F7" s="367"/>
      <c r="G7" s="367"/>
      <c r="H7" s="367"/>
    </row>
    <row r="8" spans="1:9" ht="19.5" customHeight="1" x14ac:dyDescent="0.2">
      <c r="A8" s="368" t="s">
        <v>267</v>
      </c>
      <c r="B8" s="368"/>
      <c r="C8" s="368"/>
      <c r="D8" s="368"/>
      <c r="E8" s="368"/>
      <c r="F8" s="368"/>
      <c r="G8" s="368"/>
      <c r="H8" s="368"/>
    </row>
    <row r="9" spans="1:9" s="131" customFormat="1" ht="32.25" customHeight="1" x14ac:dyDescent="0.25">
      <c r="A9" s="362" t="str">
        <f>akt_monitoring_2!A9</f>
        <v>Nomi</v>
      </c>
      <c r="B9" s="363"/>
      <c r="C9" s="362" t="str">
        <f>akt_monitoring_2!C9</f>
        <v>Kuzov turi  va kuzov raqami*</v>
      </c>
      <c r="D9" s="363"/>
      <c r="E9" s="362" t="str">
        <f>akt_monitoring_2!E9</f>
        <v>Dvigatel va shassi raqami*</v>
      </c>
      <c r="F9" s="363"/>
      <c r="G9" s="362" t="str">
        <f>akt_monitoring_2!G9</f>
        <v>Ishlab chiqarilgan yili va rangi**</v>
      </c>
      <c r="H9" s="363"/>
    </row>
    <row r="10" spans="1:9" s="129" customFormat="1" ht="58.5" customHeight="1" x14ac:dyDescent="0.2">
      <c r="A10" s="370" t="str">
        <f>akt_monitoring_2!A10</f>
        <v>CHEVROLET SPARK</v>
      </c>
      <c r="B10" s="370"/>
      <c r="C10" s="370" t="str">
        <f>akt_monitoring_2!C10</f>
        <v>kuzov turi - YENGIL SEDAN, kuzov raqami XWBMA48N1JA528481</v>
      </c>
      <c r="D10" s="370"/>
      <c r="E10" s="370" t="str">
        <f>akt_monitoring_2!E10</f>
        <v>dvigatel raqami B12D211181167HB9X0266, shassi raqami - RAKAMSIZ</v>
      </c>
      <c r="F10" s="370"/>
      <c r="G10" s="370" t="str">
        <f>akt_monitoring_2!G10</f>
        <v>rangi -  OQ BELO DIMCHATIY, ishlab chiqarilgan yili - 2018</v>
      </c>
      <c r="H10" s="370"/>
    </row>
    <row r="11" spans="1:9" ht="19.5" customHeight="1" x14ac:dyDescent="0.2">
      <c r="A11" s="365" t="str">
        <f>dalolatnoma!A22:E22</f>
        <v>-* avtotransport egasi: POSHSHAXANOVA NOZIMA ISMOILOVNA</v>
      </c>
      <c r="B11" s="365"/>
      <c r="C11" s="365"/>
      <c r="D11" s="365"/>
      <c r="E11" s="365"/>
      <c r="F11" s="365"/>
      <c r="G11" s="365"/>
      <c r="H11" s="365"/>
    </row>
    <row r="12" spans="1:9" ht="19.5" customHeight="1" x14ac:dyDescent="0.2">
      <c r="A12" s="365" t="str">
        <f>dalolatnoma!A23:E23</f>
        <v>-* texnik pasport: AAG  0885005    03.02.2023</v>
      </c>
      <c r="B12" s="365"/>
      <c r="C12" s="365"/>
      <c r="D12" s="365"/>
      <c r="E12" s="365"/>
      <c r="F12" s="365"/>
      <c r="G12" s="365"/>
      <c r="H12" s="365"/>
    </row>
    <row r="13" spans="1:9" ht="19.5" customHeight="1" x14ac:dyDescent="0.2">
      <c r="A13" s="365" t="str">
        <f>dalolatnoma!A24:E24</f>
        <v>-* roʻyxatdan oʻtgan manzili/garaj manzili: NAMANGAN VILOYATI CHORTOQ TUMANI ALIXON SHFY ALIXON MFY ROXAT KO'CHASI 31-UY</v>
      </c>
      <c r="B13" s="365"/>
      <c r="C13" s="365"/>
      <c r="D13" s="365"/>
      <c r="E13" s="365"/>
      <c r="F13" s="365"/>
      <c r="G13" s="365"/>
      <c r="H13" s="365"/>
    </row>
    <row r="14" spans="1:9" ht="19.5" customHeight="1" x14ac:dyDescent="0.2">
      <c r="A14" s="365" t="str">
        <f>dalolatnoma!A25:E25</f>
        <v>-* davlat raqami: 50P697RA</v>
      </c>
      <c r="B14" s="365"/>
      <c r="C14" s="365"/>
      <c r="D14" s="365"/>
      <c r="E14" s="365"/>
      <c r="F14" s="365"/>
      <c r="G14" s="365"/>
      <c r="H14" s="365"/>
    </row>
    <row r="15" spans="1:9" ht="33.75" customHeight="1" x14ac:dyDescent="0.2">
      <c r="A15" s="366" t="str">
        <f>+"Shu bilan birga, yuqoridagi mulkning kelishilgan garov qiymati "&amp;dalolatnoma!E30</f>
        <v>Shu bilan birga, yuqoridagi mulkning kelishilgan garov qiymati 50 400 000,00 
(ellik million to'rt yuz ming so'm)</v>
      </c>
      <c r="B15" s="366"/>
      <c r="C15" s="366"/>
      <c r="D15" s="366"/>
      <c r="E15" s="366"/>
      <c r="F15" s="366"/>
      <c r="G15" s="366"/>
      <c r="H15" s="366"/>
    </row>
    <row r="17" spans="1:8" ht="28.5" customHeight="1" x14ac:dyDescent="0.2">
      <c r="A17" s="369" t="s">
        <v>268</v>
      </c>
      <c r="B17" s="369"/>
      <c r="C17" s="369"/>
      <c r="D17" s="369"/>
      <c r="E17" s="369"/>
      <c r="F17" s="369"/>
      <c r="G17" s="369"/>
      <c r="H17" s="369"/>
    </row>
    <row r="21" spans="1:8" s="28" customFormat="1" x14ac:dyDescent="0.2"/>
    <row r="22" spans="1:8" s="28" customFormat="1" x14ac:dyDescent="0.2">
      <c r="A22" s="28" t="str">
        <f>malumot!A161</f>
        <v>Buxoro filiali boshlig'i</v>
      </c>
      <c r="H22" s="132" t="str">
        <f>malumot!B161</f>
        <v>A.Xudayberdiyev</v>
      </c>
    </row>
    <row r="23" spans="1:8" s="28" customFormat="1" x14ac:dyDescent="0.2">
      <c r="H23" s="132"/>
    </row>
    <row r="24" spans="1:8" s="28" customFormat="1" x14ac:dyDescent="0.2">
      <c r="H24" s="132"/>
    </row>
    <row r="25" spans="1:8" s="28" customFormat="1" x14ac:dyDescent="0.2">
      <c r="H25" s="132"/>
    </row>
    <row r="26" spans="1:8" s="28" customFormat="1" x14ac:dyDescent="0.2">
      <c r="H26" s="132"/>
    </row>
    <row r="27" spans="1:8" s="28" customFormat="1" ht="16.5" customHeight="1" x14ac:dyDescent="0.2">
      <c r="A27" s="28" t="s">
        <v>269</v>
      </c>
      <c r="H27" s="28" t="str">
        <f>malumot!B171</f>
        <v>D.Axmedov</v>
      </c>
    </row>
    <row r="28" spans="1:8" s="28" customFormat="1" x14ac:dyDescent="0.2"/>
    <row r="29" spans="1:8" s="28" customFormat="1" x14ac:dyDescent="0.2"/>
    <row r="30" spans="1:8" s="28" customFormat="1" x14ac:dyDescent="0.2"/>
    <row r="31" spans="1:8" s="28" customFormat="1" x14ac:dyDescent="0.2">
      <c r="A31" s="28" t="s">
        <v>270</v>
      </c>
      <c r="H31" s="132" t="str">
        <f>malumot!B7</f>
        <v>XAMRAYEVA X.G.</v>
      </c>
    </row>
    <row r="32" spans="1:8" s="28" customFormat="1" x14ac:dyDescent="0.2"/>
    <row r="33" s="28" customFormat="1" x14ac:dyDescent="0.2"/>
    <row r="34" s="28"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29"/>
  <sheetViews>
    <sheetView view="pageBreakPreview" zoomScaleNormal="100" zoomScaleSheetLayoutView="100" workbookViewId="0">
      <selection activeCell="B1" sqref="B1:B4"/>
    </sheetView>
  </sheetViews>
  <sheetFormatPr defaultColWidth="16.85546875" defaultRowHeight="15" x14ac:dyDescent="0.25"/>
  <cols>
    <col min="1" max="1" width="16" style="13" customWidth="1"/>
    <col min="2" max="2" width="21.140625" style="13" customWidth="1"/>
    <col min="3" max="3" width="23.85546875" style="13" customWidth="1"/>
    <col min="4" max="4" width="26" style="13" customWidth="1"/>
    <col min="5" max="16384" width="16.85546875" style="13"/>
  </cols>
  <sheetData>
    <row r="1" spans="1:4" x14ac:dyDescent="0.25">
      <c r="B1" s="230" t="s">
        <v>395</v>
      </c>
    </row>
    <row r="2" spans="1:4" x14ac:dyDescent="0.25">
      <c r="B2" s="231" t="s">
        <v>396</v>
      </c>
      <c r="C2" s="227"/>
      <c r="D2" s="227"/>
    </row>
    <row r="3" spans="1:4" x14ac:dyDescent="0.25">
      <c r="B3" s="231" t="s">
        <v>397</v>
      </c>
      <c r="C3" s="227"/>
      <c r="D3" s="227"/>
    </row>
    <row r="4" spans="1:4" x14ac:dyDescent="0.25">
      <c r="B4" s="231" t="s">
        <v>398</v>
      </c>
      <c r="C4" s="227"/>
      <c r="D4" s="227"/>
    </row>
    <row r="6" spans="1:4" x14ac:dyDescent="0.25">
      <c r="A6" s="32" t="str">
        <f>[2]malumot!B109</f>
        <v>05.04.2025 yildagi</v>
      </c>
      <c r="D6" s="34" t="s">
        <v>399</v>
      </c>
    </row>
    <row r="7" spans="1:4" x14ac:dyDescent="0.25">
      <c r="A7" s="13" t="str">
        <f>[2]malumot!B110</f>
        <v>№ 02/04-001</v>
      </c>
      <c r="D7" s="34" t="s">
        <v>400</v>
      </c>
    </row>
    <row r="9" spans="1:4" x14ac:dyDescent="0.25">
      <c r="A9" s="280" t="str">
        <f>"      “CLEVER mikromoliya tashkiloti” MCHJ va " &amp; [2]malumot!B5 &amp; " (pasport: " &amp;[2]malumot!B16 &amp; ", " &amp;[2]malumot!B20 &amp;")" &amp; " o‘rtasida " &amp;[2]malumot!B2 &amp; " yildagi " &amp;[2]malumot!B1 &amp; "-sonli" &amp; [2]notarius!B78 &amp; ", "&amp; [2]malumot!B75 &amp; " (" &amp;[2]malumot!B76 &amp;")" &amp; "miqdorida mikroqarz shartnomasi imzolangan. Mikroqarz shartnomasi bo‘yicha majburiyatlarni o‘z vaqtida bajarish uchun Qarz oluvchi quyidagi mulkni taqdim etdi, xususan:"</f>
        <v xml:space="preserve">      “CLEVER mikromoliya tashkiloti” MCHJ va XAYATOV OTABEK KURBANOVICH (pasport: AB 7858443, BUXORO VILOYATI KOGON TUMAN IIB tomonidan 06.10.2017 yilda berilgan) o‘rtasida 01.04.2025 yildagi № 687-BR-sonli, 26000000 (yigirma olti million so'm)miqdorida mikroqarz shartnomasi imzolangan. Mikroqarz shartnomasi bo‘yicha majburiyatlarni o‘z vaqtida bajarish uchun Qarz oluvchi quyidagi mulkni taqdim etdi, xususan:</v>
      </c>
      <c r="B9" s="280"/>
      <c r="C9" s="280"/>
      <c r="D9" s="280"/>
    </row>
    <row r="11" spans="1:4" ht="28.5" x14ac:dyDescent="0.25">
      <c r="A11" s="36" t="s">
        <v>201</v>
      </c>
      <c r="B11" s="36" t="str">
        <f>IF([2]malumot!B111=[2]malumot!C111,"Kuzov turi  va kuzov raqami*","Foydali maydoni")</f>
        <v>Kuzov turi  va kuzov raqami*</v>
      </c>
      <c r="C11" s="36" t="str">
        <f>IF([2]malumot!B111=[2]malumot!C111,"Dvigatel va shassi raqami*","Yashash maydoni")</f>
        <v>Dvigatel va shassi raqami*</v>
      </c>
      <c r="D11" s="36" t="str">
        <f>IF([2]malumot!B111=[2]malumot!C111,"Ishlab chiqarilgan yili va rangi**","Umumiy maydoni")</f>
        <v>Ishlab chiqarilgan yili va rangi**</v>
      </c>
    </row>
    <row r="12" spans="1:4" ht="60" x14ac:dyDescent="0.25">
      <c r="A12" s="15" t="str">
        <f>IF([2]malumot!B111=[2]malumot!C111,[2]malumot!B133,[2]malumot!C133)</f>
        <v>SPARK</v>
      </c>
      <c r="B12" s="15" t="str">
        <f>IF([2]malumot!B111=[2]malumot!C111,[2]malumot!B135,CONCATENATE([2]malumot!F138," ","kv.m"))</f>
        <v>kuzov turi - YENGIL SEDAN, kuzov raqami XWBMF481EBA580791</v>
      </c>
      <c r="C12" s="15" t="str">
        <f>IF([2]malumot!B111=[2]malumot!C111,[2]malumot!B138,[2]malumot!E141)</f>
        <v>dvigatel raqami B10D1606437KC3, shassi raqami - RAKAMSIZ</v>
      </c>
      <c r="D12" s="15" t="str">
        <f>IF([2]malumot!B111=[2]malumot!C111,[2]malumot!B141,[2]malumot!E138)</f>
        <v>rangi -  OQ BELAYA "KASABLANKA", ishlab chiqarilgan yili - 2011</v>
      </c>
    </row>
    <row r="13" spans="1:4" x14ac:dyDescent="0.25">
      <c r="A13" s="373" t="str">
        <f>"-* "&amp;IF([2]malumot!B111=[2]malumot!C111,"avtotransport "&amp;"egasi: "&amp;[2]malumot!B125&amp;"","ko'chmas mulk"&amp;" egasi: "&amp;[2]malumot!B125&amp;"")</f>
        <v>-* avtotransport egasi: FAYZIYEV JAMSHID KURBONOVICH</v>
      </c>
      <c r="B13" s="373"/>
      <c r="C13" s="373"/>
      <c r="D13" s="373"/>
    </row>
    <row r="14" spans="1:4" x14ac:dyDescent="0.25">
      <c r="A14" s="374" t="str">
        <f>IF([2]malumot!B111=[2]malumot!C111,"-* texnik pasport: "&amp;[2]malumot!B132&amp;"","-* reest raqami: "&amp;[2]malumot!C132&amp;"")</f>
        <v>-* texnik pasport: AAG   4517617  20.08.2024y</v>
      </c>
      <c r="B14" s="374"/>
      <c r="C14" s="374"/>
      <c r="D14" s="374"/>
    </row>
    <row r="15" spans="1:4" x14ac:dyDescent="0.25">
      <c r="A15" s="374" t="str">
        <f>IF([2]malumot!B111=[2]malumot!C111,"-* davlat raqami: "&amp;[2]malumot!B134&amp;"","-* manzili: "&amp;[2]malumot!C131&amp;"")</f>
        <v>-* davlat raqami: 80Y320AB</v>
      </c>
      <c r="B15" s="374"/>
      <c r="C15" s="374"/>
      <c r="D15" s="374"/>
    </row>
    <row r="16" spans="1:4" x14ac:dyDescent="0.25">
      <c r="A16" s="149" t="str">
        <f>"-* garov shartnomasi bo'yicha (reestr № " &amp;[2]malumot!B106&amp; " , " &amp;[2]malumot!B107&amp; " yil)"</f>
        <v>-* garov shartnomasi bo'yicha (reestr № 202502386001856 , 01.04.2025 yil)</v>
      </c>
      <c r="B16" s="39"/>
      <c r="C16" s="39"/>
      <c r="D16" s="39"/>
    </row>
    <row r="17" spans="1:4" x14ac:dyDescent="0.25">
      <c r="A17" s="39"/>
      <c r="B17" s="39"/>
      <c r="C17" s="39"/>
      <c r="D17" s="39"/>
    </row>
    <row r="18" spans="1:4" x14ac:dyDescent="0.25">
      <c r="A18" s="280" t="s">
        <v>401</v>
      </c>
      <c r="B18" s="280"/>
      <c r="C18" s="280"/>
      <c r="D18" s="280"/>
    </row>
    <row r="20" spans="1:4" x14ac:dyDescent="0.25">
      <c r="C20" s="228"/>
    </row>
    <row r="21" spans="1:4" x14ac:dyDescent="0.25">
      <c r="A21" s="229" t="s">
        <v>402</v>
      </c>
    </row>
    <row r="22" spans="1:4" x14ac:dyDescent="0.25">
      <c r="A22" s="229" t="s">
        <v>403</v>
      </c>
      <c r="D22" s="37" t="s">
        <v>387</v>
      </c>
    </row>
    <row r="26" spans="1:4" x14ac:dyDescent="0.25">
      <c r="A26" s="13" t="s">
        <v>404</v>
      </c>
    </row>
    <row r="27" spans="1:4" ht="16.5" customHeight="1" x14ac:dyDescent="0.25">
      <c r="A27" s="13" t="s">
        <v>405</v>
      </c>
    </row>
    <row r="29" spans="1:4" ht="48" customHeight="1" x14ac:dyDescent="0.25">
      <c r="A29" s="280" t="s">
        <v>406</v>
      </c>
      <c r="B29" s="280"/>
      <c r="C29" s="280"/>
      <c r="D29" s="280"/>
    </row>
  </sheetData>
  <mergeCells count="6">
    <mergeCell ref="A29:D29"/>
    <mergeCell ref="A9:D9"/>
    <mergeCell ref="A13:D13"/>
    <mergeCell ref="A14:D14"/>
    <mergeCell ref="A15:D15"/>
    <mergeCell ref="A18:D18"/>
  </mergeCells>
  <printOptions horizontalCentered="1"/>
  <pageMargins left="0.70866141732283472" right="0.70866141732283472" top="0.74803149606299213" bottom="0.74803149606299213" header="0.31496062992125984" footer="0.31496062992125984"/>
  <pageSetup paperSize="9" scale="82"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tabColor rgb="FF00B050"/>
  </sheetPr>
  <dimension ref="A2:H33"/>
  <sheetViews>
    <sheetView view="pageBreakPreview" topLeftCell="A4" zoomScaleNormal="100" zoomScaleSheetLayoutView="100" workbookViewId="0">
      <selection activeCell="I16" sqref="I16"/>
    </sheetView>
  </sheetViews>
  <sheetFormatPr defaultColWidth="9.140625" defaultRowHeight="15.75" x14ac:dyDescent="0.25"/>
  <cols>
    <col min="1" max="2" width="17.42578125" style="112" customWidth="1"/>
    <col min="3" max="3" width="29.85546875" style="112" customWidth="1"/>
    <col min="4" max="4" width="18.140625" style="112" customWidth="1"/>
    <col min="5" max="5" width="6.5703125" style="112" customWidth="1"/>
    <col min="6" max="16384" width="9.140625" style="112"/>
  </cols>
  <sheetData>
    <row r="2" spans="1:5" x14ac:dyDescent="0.25">
      <c r="A2" s="379" t="s">
        <v>232</v>
      </c>
      <c r="B2" s="379"/>
      <c r="C2" s="379"/>
      <c r="D2" s="379"/>
      <c r="E2" s="379"/>
    </row>
    <row r="3" spans="1:5" x14ac:dyDescent="0.25">
      <c r="E3" s="111" t="str">
        <f>malumot!B68</f>
        <v>23 yanvar 2026 y.</v>
      </c>
    </row>
    <row r="5" spans="1:5" s="113" customFormat="1" ht="27" customHeight="1" x14ac:dyDescent="0.25">
      <c r="A5" s="383" t="s">
        <v>233</v>
      </c>
      <c r="B5" s="384"/>
      <c r="C5" s="380" t="str">
        <f>malumot!B8</f>
        <v>XAMRAYEVA XUSHVAXT GAYBULLAYEVNA</v>
      </c>
      <c r="D5" s="381"/>
      <c r="E5" s="382"/>
    </row>
    <row r="7" spans="1:5" ht="15.75" customHeight="1" x14ac:dyDescent="0.25">
      <c r="A7" s="385" t="s">
        <v>346</v>
      </c>
      <c r="B7" s="386"/>
      <c r="C7" s="387"/>
      <c r="D7" s="114" t="s">
        <v>129</v>
      </c>
      <c r="E7" s="114"/>
    </row>
    <row r="8" spans="1:5" x14ac:dyDescent="0.25">
      <c r="A8" s="388"/>
      <c r="B8" s="389"/>
      <c r="C8" s="390"/>
      <c r="D8" s="114" t="s">
        <v>237</v>
      </c>
      <c r="E8" s="114"/>
    </row>
    <row r="9" spans="1:5" ht="15.75" customHeight="1" x14ac:dyDescent="0.25">
      <c r="A9" s="376" t="s">
        <v>234</v>
      </c>
      <c r="B9" s="376"/>
      <c r="C9" s="376"/>
      <c r="D9" s="114" t="s">
        <v>129</v>
      </c>
      <c r="E9" s="114"/>
    </row>
    <row r="10" spans="1:5" x14ac:dyDescent="0.25">
      <c r="A10" s="376"/>
      <c r="B10" s="376"/>
      <c r="C10" s="376"/>
      <c r="D10" s="114" t="s">
        <v>237</v>
      </c>
      <c r="E10" s="114"/>
    </row>
    <row r="11" spans="1:5" ht="15.75" customHeight="1" x14ac:dyDescent="0.25">
      <c r="A11" s="376" t="s">
        <v>235</v>
      </c>
      <c r="B11" s="376"/>
      <c r="C11" s="376"/>
      <c r="D11" s="114" t="s">
        <v>129</v>
      </c>
      <c r="E11" s="114"/>
    </row>
    <row r="12" spans="1:5" x14ac:dyDescent="0.25">
      <c r="A12" s="376"/>
      <c r="B12" s="376"/>
      <c r="C12" s="376"/>
      <c r="D12" s="114" t="s">
        <v>237</v>
      </c>
      <c r="E12" s="114"/>
    </row>
    <row r="13" spans="1:5" ht="34.5" customHeight="1" x14ac:dyDescent="0.25">
      <c r="A13" s="377" t="s">
        <v>236</v>
      </c>
      <c r="B13" s="377"/>
      <c r="C13" s="377"/>
      <c r="D13" s="377"/>
      <c r="E13" s="377"/>
    </row>
    <row r="14" spans="1:5" ht="16.5" thickBot="1" x14ac:dyDescent="0.3">
      <c r="A14" s="378"/>
      <c r="B14" s="378"/>
      <c r="C14" s="378"/>
      <c r="D14" s="378"/>
      <c r="E14" s="378"/>
    </row>
    <row r="15" spans="1:5" ht="16.5" thickBot="1" x14ac:dyDescent="0.3">
      <c r="A15" s="378"/>
      <c r="B15" s="378"/>
      <c r="C15" s="378"/>
      <c r="D15" s="378"/>
      <c r="E15" s="378"/>
    </row>
    <row r="16" spans="1:5" ht="16.5" thickBot="1" x14ac:dyDescent="0.3">
      <c r="A16" s="378"/>
      <c r="B16" s="378"/>
      <c r="C16" s="378"/>
      <c r="D16" s="378"/>
      <c r="E16" s="378"/>
    </row>
    <row r="18" spans="1:8" ht="18.75" customHeight="1" x14ac:dyDescent="0.25">
      <c r="A18" s="376" t="s">
        <v>238</v>
      </c>
      <c r="B18" s="376"/>
      <c r="C18" s="376"/>
      <c r="D18" s="114" t="s">
        <v>129</v>
      </c>
      <c r="E18" s="114"/>
    </row>
    <row r="19" spans="1:8" ht="18.75" customHeight="1" x14ac:dyDescent="0.25">
      <c r="A19" s="376"/>
      <c r="B19" s="376"/>
      <c r="C19" s="376"/>
      <c r="D19" s="114" t="s">
        <v>237</v>
      </c>
      <c r="E19" s="114"/>
    </row>
    <row r="20" spans="1:8" ht="29.25" customHeight="1" x14ac:dyDescent="0.25">
      <c r="A20" s="376" t="s">
        <v>239</v>
      </c>
      <c r="B20" s="376"/>
      <c r="C20" s="376"/>
      <c r="D20" s="114" t="s">
        <v>129</v>
      </c>
      <c r="E20" s="114"/>
    </row>
    <row r="21" spans="1:8" ht="29.25" customHeight="1" x14ac:dyDescent="0.25">
      <c r="A21" s="376"/>
      <c r="B21" s="376"/>
      <c r="C21" s="376"/>
      <c r="D21" s="114" t="s">
        <v>237</v>
      </c>
      <c r="E21" s="114"/>
    </row>
    <row r="23" spans="1:8" ht="15.75" customHeight="1" x14ac:dyDescent="0.25">
      <c r="A23" s="377" t="s">
        <v>240</v>
      </c>
      <c r="B23" s="377"/>
      <c r="C23" s="377"/>
      <c r="D23" s="377"/>
      <c r="E23" s="377"/>
    </row>
    <row r="24" spans="1:8" ht="16.5" thickBot="1" x14ac:dyDescent="0.3">
      <c r="A24" s="378"/>
      <c r="B24" s="378"/>
      <c r="C24" s="378"/>
      <c r="D24" s="378"/>
      <c r="E24" s="378"/>
    </row>
    <row r="25" spans="1:8" ht="16.5" thickBot="1" x14ac:dyDescent="0.3">
      <c r="A25" s="378"/>
      <c r="B25" s="378"/>
      <c r="C25" s="378"/>
      <c r="D25" s="378"/>
      <c r="E25" s="378"/>
    </row>
    <row r="26" spans="1:8" ht="16.5" thickBot="1" x14ac:dyDescent="0.3">
      <c r="A26" s="378"/>
      <c r="B26" s="378"/>
      <c r="C26" s="378"/>
      <c r="D26" s="378"/>
      <c r="E26" s="378"/>
    </row>
    <row r="28" spans="1:8" ht="78.75" customHeight="1" x14ac:dyDescent="0.25">
      <c r="A28" s="375" t="s">
        <v>241</v>
      </c>
      <c r="B28" s="375"/>
      <c r="C28" s="375"/>
      <c r="D28" s="375"/>
      <c r="E28" s="375"/>
    </row>
    <row r="30" spans="1:8" ht="33" customHeight="1" x14ac:dyDescent="0.25">
      <c r="A30" s="375" t="s">
        <v>242</v>
      </c>
      <c r="B30" s="375"/>
      <c r="C30" s="375"/>
      <c r="D30" s="375"/>
      <c r="E30" s="375"/>
      <c r="F30" s="115"/>
      <c r="G30" s="115"/>
      <c r="H30" s="115"/>
    </row>
    <row r="33" spans="1:5" ht="16.5" thickBot="1" x14ac:dyDescent="0.3">
      <c r="A33" s="116" t="str">
        <f>C5</f>
        <v>XAMRAYEVA XUSHVAXT GAYBULLAYEVNA</v>
      </c>
      <c r="D33" s="117"/>
      <c r="E33" s="11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17</vt:i4>
      </vt:variant>
    </vt:vector>
  </HeadingPairs>
  <TitlesOfParts>
    <vt:vector size="40"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garov_ariza</vt:lpstr>
      <vt:lpstr>muqova</vt:lpstr>
      <vt:lpstr>mijoz_anketasi</vt:lpstr>
      <vt:lpstr>majburiyatnoma</vt:lpstr>
      <vt:lpstr>kredit_ariza</vt:lpstr>
      <vt:lpstr>Письмо</vt:lpstr>
      <vt:lpstr>akt_monitoring_1</vt:lpstr>
      <vt:lpstr>akt_monitoring_2</vt:lpstr>
      <vt:lpstr>akt_monitoring_3</vt:lpstr>
      <vt:lpstr>akt_monitoring_4</vt:lpstr>
      <vt:lpstr>notarius</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muqova!Область_печати</vt:lpstr>
      <vt:lpstr>notarius!Область_печати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m.ravshanov</cp:lastModifiedBy>
  <cp:lastPrinted>2025-12-04T10:11:25Z</cp:lastPrinted>
  <dcterms:created xsi:type="dcterms:W3CDTF">2015-06-05T18:19:34Z</dcterms:created>
  <dcterms:modified xsi:type="dcterms:W3CDTF">2026-01-23T15:34:04Z</dcterms:modified>
</cp:coreProperties>
</file>