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ЭтаКнига"/>
  <mc:AlternateContent xmlns:mc="http://schemas.openxmlformats.org/markup-compatibility/2006">
    <mc:Choice Requires="x15">
      <x15ac:absPath xmlns:x15ac="http://schemas.microsoft.com/office/spreadsheetml/2010/11/ac" url="Z:\Кредитный дела 2026\Январь\№244 NVS\"/>
    </mc:Choice>
  </mc:AlternateContent>
  <xr:revisionPtr revIDLastSave="0" documentId="13_ncr:1_{7C1B9EC4-74DC-4820-B8B5-DBFB4A9D9664}" xr6:coauthVersionLast="47" xr6:coauthVersionMax="47" xr10:uidLastSave="{00000000-0000-0000-0000-000000000000}"/>
  <bookViews>
    <workbookView xWindow="-120" yWindow="-120" windowWidth="29040" windowHeight="15720" tabRatio="915"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ariza" sheetId="32" r:id="rId11"/>
    <sheet name="garov_ariza" sheetId="31" r:id="rId12"/>
    <sheet name="muqova" sheetId="9" r:id="rId13"/>
    <sheet name="mijoz_anketasi" sheetId="4" r:id="rId14"/>
    <sheet name="majburiyatnoma" sheetId="24" r:id="rId15"/>
    <sheet name="kredit_ariza" sheetId="2" r:id="rId16"/>
    <sheet name="Письмо" sheetId="20" state="hidden" r:id="rId17"/>
    <sheet name="akt_monitoring_1" sheetId="27" r:id="rId18"/>
    <sheet name="akt_monitoring_2" sheetId="26" r:id="rId19"/>
    <sheet name="akt_monitoring_3" sheetId="28" r:id="rId20"/>
    <sheet name="akt_monitoring_4" sheetId="29" r:id="rId21"/>
    <sheet name="notarius" sheetId="33" r:id="rId22"/>
    <sheet name="Анкета 2" sheetId="22" r:id="rId23"/>
  </sheets>
  <externalReferences>
    <externalReference r:id="rId24"/>
    <externalReference r:id="rId25"/>
  </externalReferences>
  <definedNames>
    <definedName name="mos">'[1]Общие данные'!$C$23:$D$23</definedName>
    <definedName name="mulk">'[1]Общие данные'!$C$24:$W$24</definedName>
    <definedName name="_xlnm.Print_Area" localSheetId="17">akt_monitoring_1!$A$1:$H$34</definedName>
    <definedName name="_xlnm.Print_Area" localSheetId="18">akt_monitoring_2!$A$1:$H$33</definedName>
    <definedName name="_xlnm.Print_Area" localSheetId="19">akt_monitoring_3!$A$1:$H$33</definedName>
    <definedName name="_xlnm.Print_Area" localSheetId="20">akt_monitoring_4!$A$1:$H$33</definedName>
    <definedName name="_xlnm.Print_Area" localSheetId="10">ariza!$A$1:$D$24</definedName>
    <definedName name="_xlnm.Print_Area" localSheetId="3">bayonnoma!$A$1:$E$53</definedName>
    <definedName name="_xlnm.Print_Area" localSheetId="2">buyruq!$A$1:$E$29</definedName>
    <definedName name="_xlnm.Print_Area" localSheetId="8">dalolatnoma!$A$2:$E$63</definedName>
    <definedName name="_xlnm.Print_Area" localSheetId="11">garov_ariza!$A$5:$C$26</definedName>
    <definedName name="_xlnm.Print_Area" localSheetId="9">grafik!$A$1:$F$80</definedName>
    <definedName name="_xlnm.Print_Area" localSheetId="15">kredit_ariza!$A$1:$D$46</definedName>
    <definedName name="_xlnm.Print_Area" localSheetId="13">mijoz_anketasi!$A$1:$F$36</definedName>
    <definedName name="_xlnm.Print_Area" localSheetId="12">muqova!$A$1:$G$41</definedName>
    <definedName name="_xlnm.Print_Area" localSheetId="21">notarius!$A$1:$D$31</definedName>
    <definedName name="_xlnm.Print_Area" localSheetId="1">shartnoma!$A$1:$B$133</definedName>
    <definedName name="_xlnm.Print_Area" localSheetId="7">xulosa!$A$1:$E$70</definedName>
    <definedName name="_xlnm.Print_Area" localSheetId="6">'График аннуитет.'!$A$1:$F$75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32" l="1"/>
  <c r="C44" i="1" l="1"/>
  <c r="C8" i="31" l="1"/>
  <c r="A20" i="32"/>
  <c r="A41" i="23"/>
  <c r="B143" i="1"/>
  <c r="B155" i="1"/>
  <c r="B34" i="1" l="1"/>
  <c r="B27" i="1"/>
  <c r="B9" i="1"/>
  <c r="B11" i="1" s="1"/>
  <c r="B13" i="1" s="1"/>
  <c r="B8" i="1"/>
  <c r="B10" i="1" s="1"/>
  <c r="B12" i="1" s="1"/>
  <c r="A19" i="31" l="1"/>
  <c r="D61" i="7"/>
  <c r="B144" i="1" l="1"/>
  <c r="B145" i="1" s="1"/>
  <c r="B156" i="1" l="1"/>
  <c r="B76" i="1" l="1"/>
  <c r="C23" i="31" l="1"/>
  <c r="A23" i="31"/>
  <c r="A7" i="3"/>
  <c r="C7" i="31"/>
  <c r="A71" i="16"/>
  <c r="D55" i="3"/>
  <c r="A55" i="3"/>
  <c r="A128" i="19"/>
  <c r="A126" i="19"/>
  <c r="A28" i="31" l="1"/>
  <c r="A29" i="31"/>
  <c r="A30" i="31" s="1"/>
  <c r="A32" i="31" s="1"/>
  <c r="A26" i="31"/>
  <c r="B64" i="7" l="1"/>
  <c r="A16" i="33" l="1"/>
  <c r="A15" i="33"/>
  <c r="A14" i="33"/>
  <c r="A13" i="33"/>
  <c r="D12" i="33"/>
  <c r="C12" i="33"/>
  <c r="B12" i="33"/>
  <c r="A12" i="33"/>
  <c r="D11" i="33"/>
  <c r="C11" i="33"/>
  <c r="B11" i="33"/>
  <c r="A9" i="33"/>
  <c r="A7" i="33"/>
  <c r="A6" i="33"/>
  <c r="C19" i="31" l="1"/>
  <c r="C6" i="31" l="1"/>
  <c r="A15" i="31"/>
  <c r="C10" i="31"/>
  <c r="C9" i="31"/>
  <c r="C87" i="1" l="1"/>
  <c r="B87" i="1"/>
  <c r="B83" i="1"/>
  <c r="H31" i="26" l="1"/>
  <c r="H31" i="27"/>
  <c r="H27" i="27"/>
  <c r="A27" i="27"/>
  <c r="D43" i="2"/>
  <c r="A43" i="2"/>
  <c r="E52" i="7"/>
  <c r="D59" i="3"/>
  <c r="D63" i="3"/>
  <c r="A63" i="3"/>
  <c r="A59" i="3"/>
  <c r="D49" i="23"/>
  <c r="D45" i="23"/>
  <c r="A45" i="23"/>
  <c r="A49" i="23"/>
  <c r="A72" i="16" l="1"/>
  <c r="H9" i="23"/>
  <c r="A122" i="19"/>
  <c r="A123" i="19"/>
  <c r="A16" i="32"/>
  <c r="B11" i="32"/>
  <c r="B12" i="32"/>
  <c r="B13" i="32"/>
  <c r="B14" i="32"/>
  <c r="B10" i="32"/>
  <c r="A11" i="32"/>
  <c r="A12" i="32"/>
  <c r="A13" i="32"/>
  <c r="A14" i="32"/>
  <c r="A10" i="32"/>
  <c r="C5" i="32"/>
  <c r="C4" i="32"/>
  <c r="B134" i="1" l="1"/>
  <c r="B77" i="1" l="1"/>
  <c r="A23" i="8"/>
  <c r="A14" i="23"/>
  <c r="A33" i="23"/>
  <c r="A29" i="2"/>
  <c r="A48" i="7" l="1"/>
  <c r="A9" i="32"/>
  <c r="B65" i="1"/>
  <c r="A7" i="23" s="1"/>
  <c r="B126" i="19"/>
  <c r="A52" i="7"/>
  <c r="C1" i="2"/>
  <c r="A27" i="16"/>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C123" i="1"/>
  <c r="C129" i="1" s="1"/>
  <c r="C121" i="1"/>
  <c r="C127" i="1" s="1"/>
  <c r="C120" i="1"/>
  <c r="C126" i="1" s="1"/>
  <c r="C119" i="1"/>
  <c r="C125" i="1" s="1"/>
  <c r="C118" i="1"/>
  <c r="C124" i="1" s="1"/>
  <c r="D59" i="7"/>
  <c r="A62" i="7"/>
  <c r="A61" i="7"/>
  <c r="F61" i="7"/>
  <c r="A25" i="7"/>
  <c r="A23" i="7"/>
  <c r="A14" i="31" l="1"/>
  <c r="A45" i="15"/>
  <c r="A54" i="12"/>
  <c r="A75" i="1"/>
  <c r="A34" i="23"/>
  <c r="A9" i="26"/>
  <c r="A9" i="29" s="1"/>
  <c r="A46" i="15" l="1"/>
  <c r="A55" i="12"/>
  <c r="A9" i="27"/>
  <c r="A9" i="28"/>
  <c r="I133" i="1"/>
  <c r="A47" i="3"/>
  <c r="A35" i="3"/>
  <c r="E30" i="3"/>
  <c r="A30" i="3"/>
  <c r="A33" i="3"/>
  <c r="A47" i="15" l="1"/>
  <c r="D29" i="7"/>
  <c r="D30" i="3" s="1"/>
  <c r="F137" i="1"/>
  <c r="E140" i="1"/>
  <c r="E137" i="1"/>
  <c r="D20" i="7"/>
  <c r="E20" i="7"/>
  <c r="G9" i="26" s="1"/>
  <c r="B20" i="7"/>
  <c r="A48" i="15" l="1"/>
  <c r="G9" i="28"/>
  <c r="G9" i="27"/>
  <c r="G9" i="29"/>
  <c r="B29" i="7"/>
  <c r="B30" i="3" s="1"/>
  <c r="C9" i="26"/>
  <c r="C29" i="7"/>
  <c r="C30" i="3" s="1"/>
  <c r="E9" i="26"/>
  <c r="A49" i="15" l="1"/>
  <c r="E9" i="29"/>
  <c r="E9" i="28"/>
  <c r="E9" i="27"/>
  <c r="C9" i="29"/>
  <c r="C9" i="28"/>
  <c r="C9" i="27"/>
  <c r="A50" i="15" l="1"/>
  <c r="H27" i="29"/>
  <c r="H27" i="28"/>
  <c r="A22" i="26"/>
  <c r="H27" i="26"/>
  <c r="A52" i="3"/>
  <c r="A36" i="3"/>
  <c r="A1" i="3"/>
  <c r="D15" i="23"/>
  <c r="E15" i="23" s="1"/>
  <c r="A1" i="23"/>
  <c r="D70" i="16"/>
  <c r="A51" i="15" l="1"/>
  <c r="A117" i="1"/>
  <c r="A116" i="1"/>
  <c r="A115" i="1"/>
  <c r="A114" i="1"/>
  <c r="C22" i="1"/>
  <c r="A16" i="23"/>
  <c r="A69" i="16"/>
  <c r="A52" i="15" l="1"/>
  <c r="B49" i="1"/>
  <c r="B59" i="1" s="1"/>
  <c r="A53" i="15" l="1"/>
  <c r="A16" i="4"/>
  <c r="A17" i="4"/>
  <c r="A7" i="24"/>
  <c r="B119" i="19"/>
  <c r="B123" i="1"/>
  <c r="B129" i="1" s="1"/>
  <c r="A24" i="7" s="1"/>
  <c r="A34" i="3" s="1"/>
  <c r="B121" i="1"/>
  <c r="B120" i="1"/>
  <c r="B119" i="1"/>
  <c r="B118" i="1"/>
  <c r="A54" i="15" l="1"/>
  <c r="B45" i="1"/>
  <c r="B58" i="1"/>
  <c r="A51" i="7"/>
  <c r="D2" i="2"/>
  <c r="C77" i="1"/>
  <c r="A55" i="15" l="1"/>
  <c r="A31" i="2"/>
  <c r="A31" i="4"/>
  <c r="H79" i="19"/>
  <c r="A79" i="19" s="1"/>
  <c r="H21" i="19"/>
  <c r="A74" i="19"/>
  <c r="H70" i="19"/>
  <c r="A70" i="19" s="1"/>
  <c r="A57" i="19"/>
  <c r="A5" i="23"/>
  <c r="A15" i="19"/>
  <c r="A12" i="19"/>
  <c r="A34" i="19"/>
  <c r="B33" i="19" s="1"/>
  <c r="A32" i="19" s="1"/>
  <c r="A88" i="1"/>
  <c r="A10" i="3"/>
  <c r="A17" i="2"/>
  <c r="A18" i="2"/>
  <c r="A9" i="19"/>
  <c r="A19" i="19"/>
  <c r="A48" i="19"/>
  <c r="A72" i="19"/>
  <c r="A97" i="19"/>
  <c r="C64" i="1"/>
  <c r="C21" i="19"/>
  <c r="A53" i="19"/>
  <c r="A64" i="19"/>
  <c r="A75" i="19"/>
  <c r="C41" i="19"/>
  <c r="A41" i="19" s="1"/>
  <c r="A67" i="19"/>
  <c r="C76" i="19"/>
  <c r="A76" i="19" s="1"/>
  <c r="H17" i="19"/>
  <c r="A17" i="19" s="1"/>
  <c r="I21" i="19"/>
  <c r="A44" i="19"/>
  <c r="A61" i="19"/>
  <c r="A93" i="19"/>
  <c r="A20" i="19"/>
  <c r="C56" i="19"/>
  <c r="A56" i="19" s="1"/>
  <c r="A62" i="19"/>
  <c r="A69" i="19"/>
  <c r="A18" i="23"/>
  <c r="D64" i="1"/>
  <c r="A22" i="19" s="1"/>
  <c r="A1" i="1"/>
  <c r="A80" i="1"/>
  <c r="A86" i="1"/>
  <c r="A2" i="1"/>
  <c r="A82" i="1"/>
  <c r="A87" i="1"/>
  <c r="A76" i="1"/>
  <c r="A83" i="1"/>
  <c r="A90" i="1"/>
  <c r="A79" i="1"/>
  <c r="A85" i="1"/>
  <c r="C31" i="19" l="1"/>
  <c r="A23" i="19"/>
  <c r="E31" i="19"/>
  <c r="D31" i="19" s="1"/>
  <c r="A59" i="16"/>
  <c r="A13" i="2"/>
  <c r="A16" i="2"/>
  <c r="A21" i="2"/>
  <c r="A11" i="23"/>
  <c r="A4" i="2"/>
  <c r="B26" i="9"/>
  <c r="A20" i="23"/>
  <c r="A14" i="19"/>
  <c r="A15" i="2"/>
  <c r="A22" i="23"/>
  <c r="A19" i="23"/>
  <c r="A42" i="19"/>
  <c r="A21" i="23"/>
  <c r="B25" i="9"/>
  <c r="A21" i="19"/>
  <c r="A13" i="19"/>
  <c r="A14" i="2"/>
  <c r="A26" i="3"/>
  <c r="A63" i="19"/>
  <c r="A11" i="19"/>
  <c r="B124" i="1"/>
  <c r="A22" i="7" s="1"/>
  <c r="B125" i="1"/>
  <c r="A31" i="19" l="1"/>
  <c r="A16" i="8"/>
  <c r="A32" i="3"/>
  <c r="H7" i="23"/>
  <c r="A2" i="23" s="1"/>
  <c r="B127" i="1" l="1"/>
  <c r="B126" i="1"/>
  <c r="A120" i="19" l="1"/>
  <c r="A65" i="16" s="1"/>
  <c r="A30" i="4"/>
  <c r="B122" i="19"/>
  <c r="D67" i="16" s="1"/>
  <c r="A15" i="4"/>
  <c r="A14" i="4"/>
  <c r="A13" i="4"/>
  <c r="C8" i="15"/>
  <c r="J12" i="15"/>
  <c r="A10" i="4" l="1"/>
  <c r="A9" i="4" s="1"/>
  <c r="D71" i="16"/>
  <c r="B124" i="19"/>
  <c r="D69" i="16" s="1"/>
  <c r="B123" i="19"/>
  <c r="D68" i="16" s="1"/>
  <c r="D64" i="16"/>
  <c r="B117" i="19"/>
  <c r="D63" i="16" s="1"/>
  <c r="A68" i="16" l="1"/>
  <c r="A67" i="16"/>
  <c r="A121" i="19"/>
  <c r="A66" i="16" s="1"/>
  <c r="A119" i="19"/>
  <c r="A64" i="16" s="1"/>
  <c r="B24" i="9" l="1"/>
  <c r="B2" i="9"/>
  <c r="A22" i="29"/>
  <c r="A22" i="28"/>
  <c r="H5" i="29"/>
  <c r="H5" i="28"/>
  <c r="H5" i="27"/>
  <c r="A22" i="27"/>
  <c r="H22" i="26"/>
  <c r="D2" i="1"/>
  <c r="H5" i="26" s="1"/>
  <c r="A35" i="2"/>
  <c r="A29" i="4"/>
  <c r="A28" i="4"/>
  <c r="A20" i="4"/>
  <c r="A7" i="4"/>
  <c r="A11" i="24"/>
  <c r="A14" i="7"/>
  <c r="A13" i="7"/>
  <c r="A2" i="7"/>
  <c r="A8" i="3"/>
  <c r="A5" i="3"/>
  <c r="A4" i="3"/>
  <c r="A9" i="8"/>
  <c r="A8" i="8"/>
  <c r="A7" i="8"/>
  <c r="A12" i="2"/>
  <c r="A11" i="2"/>
  <c r="A7" i="2"/>
  <c r="B175" i="1"/>
  <c r="H133" i="1"/>
  <c r="I132" i="1"/>
  <c r="F132" i="1" s="1"/>
  <c r="H132" i="1"/>
  <c r="C132" i="1"/>
  <c r="B140" i="1"/>
  <c r="E21" i="7" s="1"/>
  <c r="B137" i="1"/>
  <c r="D21" i="7" s="1"/>
  <c r="E10" i="26" s="1"/>
  <c r="B21" i="7"/>
  <c r="C10" i="26" s="1"/>
  <c r="G10" i="26" l="1"/>
  <c r="D30" i="7"/>
  <c r="D31" i="3" s="1"/>
  <c r="E10" i="28"/>
  <c r="E10" i="27"/>
  <c r="E10" i="29"/>
  <c r="C10" i="28"/>
  <c r="C10" i="27"/>
  <c r="C10" i="29"/>
  <c r="C133" i="1"/>
  <c r="A17" i="7" s="1"/>
  <c r="A21" i="7"/>
  <c r="A10" i="26" s="1"/>
  <c r="C144" i="1"/>
  <c r="A6" i="2"/>
  <c r="E30" i="7"/>
  <c r="E31" i="3" s="1"/>
  <c r="A15" i="7"/>
  <c r="E132" i="1"/>
  <c r="A27" i="3"/>
  <c r="A20" i="3"/>
  <c r="A27" i="2"/>
  <c r="A28" i="2"/>
  <c r="F133" i="1"/>
  <c r="E133" i="1"/>
  <c r="A6" i="8"/>
  <c r="A24" i="2" l="1"/>
  <c r="A28" i="3"/>
  <c r="A15" i="8"/>
  <c r="G10" i="28"/>
  <c r="G10" i="29"/>
  <c r="G10" i="27"/>
  <c r="A14" i="8"/>
  <c r="A25" i="2"/>
  <c r="A16" i="7"/>
  <c r="A18" i="7" s="1"/>
  <c r="A19" i="7" s="1"/>
  <c r="A29" i="3"/>
  <c r="A25" i="23" s="1"/>
  <c r="A37" i="3"/>
  <c r="A21" i="4" l="1"/>
  <c r="A10" i="2"/>
  <c r="A9" i="2"/>
  <c r="A19" i="4"/>
  <c r="B66" i="1" l="1"/>
  <c r="A1" i="19" s="1"/>
  <c r="H31" i="29"/>
  <c r="H31" i="28"/>
  <c r="H22" i="29"/>
  <c r="H22" i="28"/>
  <c r="H22" i="27"/>
  <c r="D56" i="7" l="1"/>
  <c r="A56" i="7"/>
  <c r="A132" i="19"/>
  <c r="B109" i="1"/>
  <c r="R131" i="1" l="1"/>
  <c r="R132" i="1" s="1"/>
  <c r="N133" i="1" s="1"/>
  <c r="Q131" i="1"/>
  <c r="Q132" i="1" s="1"/>
  <c r="N132" i="1" s="1"/>
  <c r="B24" i="4" l="1"/>
  <c r="B67" i="1" l="1"/>
  <c r="C79" i="1" s="1"/>
  <c r="C80" i="1" s="1"/>
  <c r="C81" i="1" s="1"/>
  <c r="B80" i="1" s="1"/>
  <c r="B81" i="1" s="1"/>
  <c r="A13" i="31" s="1"/>
  <c r="B152" i="1" l="1"/>
  <c r="B150" i="1"/>
  <c r="C18" i="1" l="1"/>
  <c r="B20" i="1" l="1"/>
  <c r="B121" i="19" s="1"/>
  <c r="C20" i="1"/>
  <c r="A5" i="19" s="1"/>
  <c r="C122" i="1" l="1"/>
  <c r="C128" i="1" s="1"/>
  <c r="C6" i="32"/>
  <c r="B122" i="1"/>
  <c r="B128" i="1" s="1"/>
  <c r="D65" i="16"/>
  <c r="A8" i="2"/>
  <c r="B26" i="23"/>
  <c r="C26" i="23"/>
  <c r="D26" i="23"/>
  <c r="E26" i="23"/>
  <c r="A26"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3" i="1"/>
  <c r="D49" i="7" l="1"/>
  <c r="E33" i="7"/>
  <c r="A38" i="20"/>
  <c r="A37" i="20"/>
  <c r="B19" i="20"/>
  <c r="C19" i="20"/>
  <c r="D19" i="20"/>
  <c r="E19" i="20"/>
  <c r="A19" i="20"/>
  <c r="L5" i="15" l="1"/>
  <c r="I8" i="15" l="1"/>
  <c r="E20" i="20"/>
  <c r="B26" i="4"/>
  <c r="B27" i="4" s="1"/>
  <c r="C19" i="1" l="1"/>
  <c r="A33" i="20"/>
  <c r="B21" i="1" l="1"/>
  <c r="A6" i="3" s="1"/>
  <c r="C21" i="1"/>
  <c r="B8" i="15"/>
  <c r="C5" i="22"/>
  <c r="A33" i="22" s="1"/>
  <c r="R43" i="15" l="1"/>
  <c r="O43" i="15" s="1"/>
  <c r="P43" i="15" s="1"/>
  <c r="Q43" i="15" s="1"/>
  <c r="B43" i="15" s="1"/>
  <c r="R44" i="15"/>
  <c r="R45" i="15"/>
  <c r="R46" i="15"/>
  <c r="R47" i="15"/>
  <c r="O47" i="15" s="1"/>
  <c r="P47" i="15" s="1"/>
  <c r="Q47" i="15" s="1"/>
  <c r="B47" i="15" s="1"/>
  <c r="R48" i="15"/>
  <c r="O48" i="15" s="1"/>
  <c r="P48" i="15" s="1"/>
  <c r="Q48" i="15" s="1"/>
  <c r="B48" i="15" s="1"/>
  <c r="R49" i="15"/>
  <c r="R50" i="15"/>
  <c r="R51" i="15"/>
  <c r="R52" i="15"/>
  <c r="R53" i="15"/>
  <c r="R54" i="15"/>
  <c r="R55" i="15"/>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O55" i="15" l="1"/>
  <c r="P55" i="15" s="1"/>
  <c r="Q55" i="15" s="1"/>
  <c r="B55" i="15"/>
  <c r="O54" i="15"/>
  <c r="P54" i="15" s="1"/>
  <c r="Q54" i="15" s="1"/>
  <c r="B54" i="15" s="1"/>
  <c r="O53" i="15"/>
  <c r="P53" i="15" s="1"/>
  <c r="Q53" i="15" s="1"/>
  <c r="B53" i="15" s="1"/>
  <c r="O52" i="15"/>
  <c r="P52" i="15" s="1"/>
  <c r="Q52" i="15" s="1"/>
  <c r="B52" i="15" s="1"/>
  <c r="O51" i="15"/>
  <c r="P51" i="15" s="1"/>
  <c r="Q51" i="15" s="1"/>
  <c r="B51" i="15" s="1"/>
  <c r="O50" i="15"/>
  <c r="P50" i="15" s="1"/>
  <c r="Q50" i="15" s="1"/>
  <c r="B50" i="15" s="1"/>
  <c r="O49" i="15"/>
  <c r="P49" i="15" s="1"/>
  <c r="Q49" i="15" s="1"/>
  <c r="B49" i="15" s="1"/>
  <c r="B48" i="12"/>
  <c r="G48" i="15"/>
  <c r="H48" i="15"/>
  <c r="B47" i="12"/>
  <c r="H47" i="15"/>
  <c r="O46" i="15"/>
  <c r="P46" i="15" s="1"/>
  <c r="Q46" i="15" s="1"/>
  <c r="B46" i="15" s="1"/>
  <c r="O45" i="15"/>
  <c r="P45" i="15" s="1"/>
  <c r="Q45" i="15" s="1"/>
  <c r="B45" i="15" s="1"/>
  <c r="O44" i="15"/>
  <c r="P44" i="15" s="1"/>
  <c r="Q44" i="15" s="1"/>
  <c r="B44" i="15" s="1"/>
  <c r="H42" i="12"/>
  <c r="H37" i="12"/>
  <c r="H38" i="12"/>
  <c r="G38" i="12"/>
  <c r="H32" i="15"/>
  <c r="B32" i="12"/>
  <c r="B33" i="16" s="1"/>
  <c r="G39" i="12"/>
  <c r="H39" i="12"/>
  <c r="H40" i="12"/>
  <c r="G40" i="12"/>
  <c r="H43" i="15"/>
  <c r="B43" i="12"/>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B49" i="12" l="1"/>
  <c r="H49" i="15"/>
  <c r="G49" i="15"/>
  <c r="B50" i="12"/>
  <c r="H50" i="15"/>
  <c r="G50" i="15"/>
  <c r="B45" i="12"/>
  <c r="H45" i="15"/>
  <c r="G45" i="15"/>
  <c r="B53" i="12"/>
  <c r="G53" i="15"/>
  <c r="H53" i="15"/>
  <c r="B46" i="12"/>
  <c r="H46" i="15"/>
  <c r="G46" i="15"/>
  <c r="G47" i="15"/>
  <c r="B52" i="12"/>
  <c r="H52" i="15"/>
  <c r="G52" i="15"/>
  <c r="B44" i="12"/>
  <c r="G44" i="12" s="1"/>
  <c r="H44" i="15"/>
  <c r="G44" i="15"/>
  <c r="B49" i="16"/>
  <c r="G48" i="12"/>
  <c r="H48" i="12"/>
  <c r="B51" i="12"/>
  <c r="H51" i="15"/>
  <c r="G51" i="15"/>
  <c r="B54" i="12"/>
  <c r="G54" i="15"/>
  <c r="H54" i="15"/>
  <c r="H47" i="12"/>
  <c r="B48" i="16"/>
  <c r="B55" i="12"/>
  <c r="H55" i="15"/>
  <c r="G55" i="15"/>
  <c r="B44" i="16"/>
  <c r="H32" i="12"/>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B55" i="16" l="1"/>
  <c r="H54" i="12"/>
  <c r="G54" i="12"/>
  <c r="H46" i="12"/>
  <c r="G46" i="12"/>
  <c r="B47" i="16"/>
  <c r="B52" i="16"/>
  <c r="G51" i="12"/>
  <c r="H51" i="12"/>
  <c r="H53" i="12"/>
  <c r="G53" i="12"/>
  <c r="B54" i="16"/>
  <c r="B45" i="16"/>
  <c r="H44" i="12"/>
  <c r="H50" i="12"/>
  <c r="B51" i="16"/>
  <c r="G50" i="12"/>
  <c r="B46" i="16"/>
  <c r="G45" i="12"/>
  <c r="H45" i="12"/>
  <c r="G55" i="12"/>
  <c r="B56" i="16"/>
  <c r="H55" i="12"/>
  <c r="G47" i="12"/>
  <c r="G52" i="12"/>
  <c r="B53" i="16"/>
  <c r="H52" i="12"/>
  <c r="B50" i="16"/>
  <c r="H49" i="12"/>
  <c r="G49" i="12"/>
  <c r="G32" i="12"/>
  <c r="B32" i="16"/>
  <c r="H41" i="12"/>
  <c r="G41" i="12"/>
  <c r="G42" i="12"/>
  <c r="G10" i="15"/>
  <c r="H10" i="15"/>
  <c r="H9" i="15"/>
  <c r="G13" i="15"/>
  <c r="G12" i="15"/>
  <c r="H12" i="15"/>
  <c r="H11" i="15"/>
  <c r="G11" i="15"/>
  <c r="I67" i="1"/>
  <c r="G67" i="1"/>
  <c r="A117" i="19" l="1"/>
  <c r="A63" i="16" s="1"/>
  <c r="F67" i="1" l="1"/>
  <c r="E67" i="1"/>
  <c r="A20" i="2" s="1"/>
  <c r="C67" i="1"/>
  <c r="C65" i="1"/>
  <c r="C66" i="1" l="1"/>
  <c r="I66" i="1"/>
  <c r="G66" i="1"/>
  <c r="D67" i="1"/>
  <c r="B151"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6" i="1"/>
  <c r="A2" i="8" s="1"/>
  <c r="B149" i="1"/>
  <c r="E4" i="7" s="1"/>
  <c r="A39" i="20"/>
  <c r="B40" i="9"/>
  <c r="A19" i="2"/>
  <c r="D72" i="15"/>
  <c r="A70" i="15"/>
  <c r="A68" i="15"/>
  <c r="D64" i="15"/>
  <c r="D60" i="15"/>
  <c r="A60" i="15"/>
  <c r="A23" i="23" l="1"/>
  <c r="A12" i="8"/>
  <c r="A7" i="7"/>
  <c r="A10" i="7"/>
  <c r="A26" i="7"/>
  <c r="A15" i="3"/>
  <c r="H27" i="15"/>
  <c r="G27" i="15"/>
  <c r="G28" i="15"/>
  <c r="H28" i="15"/>
  <c r="G30" i="15"/>
  <c r="G31" i="15"/>
  <c r="H30" i="15"/>
  <c r="G29" i="15"/>
  <c r="H29" i="15"/>
  <c r="G26" i="15"/>
  <c r="H26" i="15"/>
  <c r="H24" i="15"/>
  <c r="G24" i="15"/>
  <c r="G25" i="15"/>
  <c r="A6" i="7" l="1"/>
  <c r="F2" i="15"/>
  <c r="B62" i="1" l="1"/>
  <c r="D67" i="15" l="1"/>
  <c r="D68" i="15" l="1"/>
  <c r="D66"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C149" i="1"/>
  <c r="A35" i="20"/>
  <c r="A34" i="20"/>
  <c r="A9" i="20" l="1"/>
  <c r="N130" i="1"/>
  <c r="E44" i="7"/>
  <c r="E31" i="20" s="1"/>
  <c r="A23" i="2" l="1"/>
  <c r="D72" i="12"/>
  <c r="A70" i="12"/>
  <c r="A68" i="12"/>
  <c r="D64" i="12"/>
  <c r="D60" i="12"/>
  <c r="A60" i="12"/>
  <c r="C8" i="12"/>
  <c r="C9" i="16" s="1"/>
  <c r="A32" i="20"/>
  <c r="A25" i="19" l="1"/>
  <c r="A24" i="19" l="1"/>
  <c r="B12" i="9"/>
  <c r="A10" i="8"/>
  <c r="E17" i="8"/>
  <c r="E11" i="20" s="1"/>
  <c r="D17" i="8"/>
  <c r="D11" i="20" s="1"/>
  <c r="C17" i="8"/>
  <c r="C11" i="20" s="1"/>
  <c r="B17" i="8"/>
  <c r="B11" i="20" s="1"/>
  <c r="A17" i="8"/>
  <c r="A11" i="20" s="1"/>
  <c r="D60" i="7"/>
  <c r="D27" i="23"/>
  <c r="C30" i="7"/>
  <c r="B30" i="7"/>
  <c r="A30" i="7"/>
  <c r="C27" i="23" l="1"/>
  <c r="C31" i="3"/>
  <c r="A27" i="23"/>
  <c r="A31" i="3"/>
  <c r="B27" i="23"/>
  <c r="B31" i="3"/>
  <c r="A31" i="23"/>
  <c r="A14" i="26"/>
  <c r="A14" i="29"/>
  <c r="A14" i="28"/>
  <c r="A14" i="27"/>
  <c r="A29" i="23"/>
  <c r="A12" i="27"/>
  <c r="A12" i="29"/>
  <c r="A12" i="28"/>
  <c r="A12" i="26"/>
  <c r="D18" i="8"/>
  <c r="D12" i="20" s="1"/>
  <c r="C18" i="8"/>
  <c r="C12" i="20" s="1"/>
  <c r="B18" i="8"/>
  <c r="B12" i="20" s="1"/>
  <c r="A22" i="8"/>
  <c r="A16" i="20" s="1"/>
  <c r="A18" i="8"/>
  <c r="A12" i="20" s="1"/>
  <c r="A20" i="8"/>
  <c r="A14" i="20" s="1"/>
  <c r="D35" i="4"/>
  <c r="D27" i="4"/>
  <c r="C27" i="4"/>
  <c r="A14" i="3"/>
  <c r="A41" i="3" s="1"/>
  <c r="A11" i="4"/>
  <c r="A8" i="4"/>
  <c r="A6" i="4"/>
  <c r="A5" i="4"/>
  <c r="A4" i="4"/>
  <c r="A40" i="2"/>
  <c r="A17" i="3"/>
  <c r="A44" i="3" s="1"/>
  <c r="A12" i="3"/>
  <c r="A63" i="15" l="1"/>
  <c r="A67" i="15"/>
  <c r="A72" i="15"/>
  <c r="D74" i="15"/>
  <c r="A62" i="15"/>
  <c r="A66" i="15"/>
  <c r="A65" i="15"/>
  <c r="A64" i="15"/>
  <c r="D63" i="15"/>
  <c r="D70" i="15"/>
  <c r="D62" i="15"/>
  <c r="A72" i="12"/>
  <c r="A66" i="12"/>
  <c r="A63" i="12"/>
  <c r="A67" i="12"/>
  <c r="A64" i="12"/>
  <c r="A13" i="3"/>
  <c r="A40" i="3" s="1"/>
  <c r="A65" i="12"/>
  <c r="D68" i="12"/>
  <c r="D66" i="12"/>
  <c r="D67" i="12"/>
  <c r="D63" i="12"/>
  <c r="D70" i="12"/>
  <c r="D62" i="12"/>
  <c r="A62" i="12"/>
  <c r="A39" i="3"/>
  <c r="A42" i="3"/>
  <c r="A11" i="8"/>
  <c r="A16" i="3"/>
  <c r="A43" i="3" s="1"/>
  <c r="A13" i="8"/>
  <c r="A11" i="3"/>
  <c r="A38" i="3" s="1"/>
  <c r="A26" i="2"/>
  <c r="A22" i="2" s="1"/>
  <c r="A15" i="27" l="1"/>
  <c r="A15" i="26"/>
  <c r="A15" i="29"/>
  <c r="A15" i="28"/>
  <c r="A30" i="23"/>
  <c r="A13" i="27"/>
  <c r="A13" i="28"/>
  <c r="A13" i="29"/>
  <c r="A13" i="26"/>
  <c r="A28" i="23"/>
  <c r="A11" i="29"/>
  <c r="A11" i="28"/>
  <c r="A11" i="27"/>
  <c r="A11" i="26"/>
  <c r="E27" i="23"/>
  <c r="A21" i="8"/>
  <c r="A15" i="20" s="1"/>
  <c r="A19" i="8"/>
  <c r="A13" i="20" s="1"/>
  <c r="E18" i="8"/>
  <c r="E12" i="20" s="1"/>
  <c r="A18" i="3"/>
  <c r="A13" i="23" s="1"/>
  <c r="F2" i="12"/>
  <c r="A45"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D9" i="15" s="1"/>
  <c r="C10" i="15" s="1"/>
  <c r="M8" i="15"/>
  <c r="F8" i="15" s="1"/>
  <c r="I10" i="15"/>
  <c r="I11" i="15" s="1"/>
  <c r="I12" i="15" s="1"/>
  <c r="I13" i="15" s="1"/>
  <c r="I14" i="15" s="1"/>
  <c r="I15" i="15" s="1"/>
  <c r="I16" i="15" s="1"/>
  <c r="I17" i="15" s="1"/>
  <c r="I18" i="15" s="1"/>
  <c r="L9" i="15" l="1"/>
  <c r="E9" i="15" s="1"/>
  <c r="D10" i="15"/>
  <c r="J14" i="15"/>
  <c r="K14" i="15" s="1"/>
  <c r="J13" i="15"/>
  <c r="K13" i="15" s="1"/>
  <c r="J17" i="15"/>
  <c r="K17" i="15" s="1"/>
  <c r="J16" i="15"/>
  <c r="K16" i="15" s="1"/>
  <c r="L10" i="15"/>
  <c r="E10" i="15" s="1"/>
  <c r="J15" i="15"/>
  <c r="K15" i="15" s="1"/>
  <c r="J18" i="15"/>
  <c r="K18" i="15" s="1"/>
  <c r="J19" i="15"/>
  <c r="K19" i="15" s="1"/>
  <c r="I19" i="15" s="1"/>
  <c r="M9" i="15" l="1"/>
  <c r="F9" i="15" s="1"/>
  <c r="C11" i="15"/>
  <c r="D11" i="15" s="1"/>
  <c r="I20" i="15"/>
  <c r="I21" i="15" s="1"/>
  <c r="J20" i="15"/>
  <c r="K20" i="15" s="1"/>
  <c r="M10" i="15"/>
  <c r="F10" i="15" s="1"/>
  <c r="C12" i="15" l="1"/>
  <c r="D12" i="15" s="1"/>
  <c r="C13" i="15" s="1"/>
  <c r="D13" i="15" s="1"/>
  <c r="C14" i="15" s="1"/>
  <c r="L11" i="15"/>
  <c r="E11" i="15" s="1"/>
  <c r="J21" i="15"/>
  <c r="K21" i="15" s="1"/>
  <c r="J22" i="15"/>
  <c r="K22" i="15" s="1"/>
  <c r="I22" i="15" s="1"/>
  <c r="I23" i="15" l="1"/>
  <c r="I24" i="15" s="1"/>
  <c r="J25" i="15" s="1"/>
  <c r="K25" i="15" s="1"/>
  <c r="I25" i="15" s="1"/>
  <c r="I26" i="15" s="1"/>
  <c r="J23" i="15"/>
  <c r="K23" i="15" s="1"/>
  <c r="L12" i="15"/>
  <c r="E12" i="15" s="1"/>
  <c r="M11" i="15"/>
  <c r="F11" i="15" s="1"/>
  <c r="J24" i="15" l="1"/>
  <c r="K24" i="15" s="1"/>
  <c r="J26" i="15"/>
  <c r="K26" i="15" s="1"/>
  <c r="J27" i="15"/>
  <c r="K27" i="15" s="1"/>
  <c r="I27" i="15" s="1"/>
  <c r="M12" i="15"/>
  <c r="F12" i="15" s="1"/>
  <c r="L13" i="15"/>
  <c r="E13" i="15" s="1"/>
  <c r="I28" i="15" l="1"/>
  <c r="J29" i="15" s="1"/>
  <c r="K29" i="15" s="1"/>
  <c r="I29" i="15" s="1"/>
  <c r="J30" i="15" s="1"/>
  <c r="K30" i="15" s="1"/>
  <c r="I30" i="15" s="1"/>
  <c r="J31" i="15" s="1"/>
  <c r="K31" i="15" s="1"/>
  <c r="I31" i="15" s="1"/>
  <c r="J32" i="15" s="1"/>
  <c r="K32" i="15" s="1"/>
  <c r="J28" i="15"/>
  <c r="K28" i="15" s="1"/>
  <c r="L14" i="15"/>
  <c r="I32" i="15" l="1"/>
  <c r="I33" i="15" s="1"/>
  <c r="I34" i="15" s="1"/>
  <c r="E14" i="15"/>
  <c r="D14" i="15"/>
  <c r="C15" i="15" s="1"/>
  <c r="L15" i="15" s="1"/>
  <c r="E15" i="15" s="1"/>
  <c r="M13" i="15"/>
  <c r="F13" i="15" s="1"/>
  <c r="J34" i="15" l="1"/>
  <c r="K34" i="15" s="1"/>
  <c r="J33" i="15"/>
  <c r="K33" i="15" s="1"/>
  <c r="M14" i="15"/>
  <c r="F14" i="15" s="1"/>
  <c r="D15" i="15"/>
  <c r="C16" i="15" s="1"/>
  <c r="L16" i="15" s="1"/>
  <c r="E16" i="15" s="1"/>
  <c r="I35" i="15"/>
  <c r="J35" i="15"/>
  <c r="K35" i="15" s="1"/>
  <c r="M15" i="15" l="1"/>
  <c r="F15" i="15" s="1"/>
  <c r="D16" i="15"/>
  <c r="C17" i="15" s="1"/>
  <c r="L17" i="15" s="1"/>
  <c r="E17" i="15" s="1"/>
  <c r="I36" i="15"/>
  <c r="J36" i="15"/>
  <c r="K36" i="15" s="1"/>
  <c r="M16" i="15" l="1"/>
  <c r="F16" i="15" s="1"/>
  <c r="D17" i="15"/>
  <c r="C18" i="15" s="1"/>
  <c r="L18" i="15" s="1"/>
  <c r="E18" i="15" s="1"/>
  <c r="J37" i="15"/>
  <c r="K37" i="15" s="1"/>
  <c r="I37" i="15" s="1"/>
  <c r="M17" i="15" l="1"/>
  <c r="F17" i="15" s="1"/>
  <c r="D18" i="15"/>
  <c r="C19" i="15" s="1"/>
  <c r="L19" i="15" s="1"/>
  <c r="E19" i="15" s="1"/>
  <c r="I38" i="15"/>
  <c r="J38" i="15"/>
  <c r="K38" i="15" s="1"/>
  <c r="M18" i="15" l="1"/>
  <c r="F18" i="15" s="1"/>
  <c r="D19" i="15"/>
  <c r="C20" i="15" s="1"/>
  <c r="L20" i="15" s="1"/>
  <c r="I39" i="15"/>
  <c r="J39" i="15"/>
  <c r="K39" i="15" s="1"/>
  <c r="M19" i="15" l="1"/>
  <c r="F19" i="15" s="1"/>
  <c r="I40" i="15"/>
  <c r="J40" i="15"/>
  <c r="K40" i="15" s="1"/>
  <c r="E20" i="15"/>
  <c r="D20" i="15"/>
  <c r="C21" i="15" l="1"/>
  <c r="L21" i="15" s="1"/>
  <c r="E21" i="15" s="1"/>
  <c r="I41" i="15"/>
  <c r="J41" i="15"/>
  <c r="K41" i="15" s="1"/>
  <c r="M20" i="15"/>
  <c r="F20" i="15" s="1"/>
  <c r="D21" i="15" l="1"/>
  <c r="C22" i="15" s="1"/>
  <c r="L22" i="15" s="1"/>
  <c r="E22" i="15" s="1"/>
  <c r="I42" i="15"/>
  <c r="J43" i="15" s="1"/>
  <c r="K43" i="15" s="1"/>
  <c r="I43" i="15" s="1"/>
  <c r="J42" i="15"/>
  <c r="K42" i="15" s="1"/>
  <c r="I44" i="15" l="1"/>
  <c r="J44" i="15"/>
  <c r="K44" i="15" s="1"/>
  <c r="D22" i="15"/>
  <c r="C23" i="15" s="1"/>
  <c r="L23" i="15" s="1"/>
  <c r="E23" i="15" s="1"/>
  <c r="M21" i="15"/>
  <c r="F21" i="15" s="1"/>
  <c r="I45" i="15" l="1"/>
  <c r="J45" i="15"/>
  <c r="K45" i="15" s="1"/>
  <c r="M22" i="15"/>
  <c r="F22" i="15" s="1"/>
  <c r="D23" i="15"/>
  <c r="C24" i="15" s="1"/>
  <c r="L24" i="15" s="1"/>
  <c r="E24" i="15" s="1"/>
  <c r="I46" i="15" l="1"/>
  <c r="J46" i="15"/>
  <c r="K46" i="15" s="1"/>
  <c r="M23" i="15"/>
  <c r="F23" i="15" s="1"/>
  <c r="D24" i="15"/>
  <c r="J47" i="15" l="1"/>
  <c r="K47" i="15" s="1"/>
  <c r="I47" i="15" s="1"/>
  <c r="C25" i="15"/>
  <c r="M24" i="15"/>
  <c r="F24" i="15" s="1"/>
  <c r="I48" i="15" l="1"/>
  <c r="J48" i="15"/>
  <c r="K48" i="15" s="1"/>
  <c r="L25" i="15"/>
  <c r="E25" i="15" s="1"/>
  <c r="I49" i="15" l="1"/>
  <c r="J49" i="15"/>
  <c r="K49" i="15" s="1"/>
  <c r="D25" i="15"/>
  <c r="I50" i="15" l="1"/>
  <c r="J50" i="15"/>
  <c r="K50" i="15" s="1"/>
  <c r="C26" i="15"/>
  <c r="M25" i="15"/>
  <c r="F25" i="15" s="1"/>
  <c r="I51" i="15" l="1"/>
  <c r="J51" i="15"/>
  <c r="K51" i="15" s="1"/>
  <c r="L26" i="15"/>
  <c r="D26" i="15" s="1"/>
  <c r="I52" i="15" l="1"/>
  <c r="J52" i="15"/>
  <c r="K52" i="15" s="1"/>
  <c r="E26" i="15"/>
  <c r="M26" i="15" s="1"/>
  <c r="F26" i="15" s="1"/>
  <c r="C27" i="15"/>
  <c r="I53" i="15" l="1"/>
  <c r="J53" i="15"/>
  <c r="K53" i="15" s="1"/>
  <c r="L27" i="15"/>
  <c r="D27" i="15" s="1"/>
  <c r="J54" i="15" l="1"/>
  <c r="K54" i="15" s="1"/>
  <c r="I54" i="15"/>
  <c r="J55" i="15" s="1"/>
  <c r="K55" i="15" s="1"/>
  <c r="I55" i="15" s="1"/>
  <c r="E27" i="15"/>
  <c r="M27" i="15" s="1"/>
  <c r="F27" i="15" s="1"/>
  <c r="C28" i="15"/>
  <c r="L28" i="15" l="1"/>
  <c r="D28" i="15" s="1"/>
  <c r="E28" i="15" l="1"/>
  <c r="M28" i="15" s="1"/>
  <c r="F28" i="15" s="1"/>
  <c r="C29" i="15"/>
  <c r="L29" i="15" l="1"/>
  <c r="D29" i="15" s="1"/>
  <c r="E29" i="15" l="1"/>
  <c r="M29" i="15" s="1"/>
  <c r="F29" i="15" s="1"/>
  <c r="C30" i="15"/>
  <c r="L30" i="15" l="1"/>
  <c r="D30" i="15" s="1"/>
  <c r="E30" i="15" l="1"/>
  <c r="M30" i="15" s="1"/>
  <c r="F30" i="15" s="1"/>
  <c r="C31" i="15"/>
  <c r="L31" i="15" l="1"/>
  <c r="D31" i="15" s="1"/>
  <c r="C32" i="15" s="1"/>
  <c r="E31" i="15" l="1"/>
  <c r="M31" i="15" s="1"/>
  <c r="F31" i="15" s="1"/>
  <c r="L32" i="15"/>
  <c r="E32" i="15" s="1"/>
  <c r="D32" i="15" l="1"/>
  <c r="C33" i="15" s="1"/>
  <c r="L33" i="15" s="1"/>
  <c r="E33" i="15" s="1"/>
  <c r="M32" i="15" l="1"/>
  <c r="F32" i="15" s="1"/>
  <c r="D33" i="15"/>
  <c r="C34" i="15" s="1"/>
  <c r="L34" i="15" s="1"/>
  <c r="E34" i="15" s="1"/>
  <c r="M33" i="15" l="1"/>
  <c r="F33" i="15" s="1"/>
  <c r="D34" i="15"/>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l="1"/>
  <c r="E38" i="15" s="1"/>
  <c r="D38" i="15" l="1"/>
  <c r="C39" i="15" s="1"/>
  <c r="L39" i="15" l="1"/>
  <c r="E39" i="15" s="1"/>
  <c r="M38" i="15"/>
  <c r="F38" i="15" s="1"/>
  <c r="D39" i="15" l="1"/>
  <c r="C40" i="15" l="1"/>
  <c r="M39" i="15"/>
  <c r="F39" i="15" s="1"/>
  <c r="L40" i="15" l="1"/>
  <c r="E40" i="15" s="1"/>
  <c r="D40" i="15" l="1"/>
  <c r="M40" i="15" s="1"/>
  <c r="F40" i="15" s="1"/>
  <c r="C41" i="15" l="1"/>
  <c r="L41" i="15" s="1"/>
  <c r="E41" i="15" s="1"/>
  <c r="D41" i="15" l="1"/>
  <c r="M41" i="15" s="1"/>
  <c r="F41" i="15" s="1"/>
  <c r="C42" i="15" l="1"/>
  <c r="L42" i="15" s="1"/>
  <c r="E42" i="15" s="1"/>
  <c r="D42" i="15" l="1"/>
  <c r="C43" i="15" s="1"/>
  <c r="L43" i="15" l="1"/>
  <c r="E43" i="15" s="1"/>
  <c r="M42" i="15"/>
  <c r="F42" i="15" s="1"/>
  <c r="D43" i="15" l="1"/>
  <c r="M43" i="15" s="1"/>
  <c r="F43" i="15" s="1"/>
  <c r="C44" i="15" l="1"/>
  <c r="L44" i="15" s="1"/>
  <c r="D44" i="15" s="1"/>
  <c r="C45" i="15" l="1"/>
  <c r="E44" i="15"/>
  <c r="L45" i="15" l="1"/>
  <c r="D45" i="15" s="1"/>
  <c r="M44" i="15"/>
  <c r="F44" i="15" s="1"/>
  <c r="C46" i="15" l="1"/>
  <c r="E45" i="15"/>
  <c r="L46" i="15" l="1"/>
  <c r="D46" i="15" s="1"/>
  <c r="C47" i="15" s="1"/>
  <c r="M45" i="15"/>
  <c r="F45" i="15" s="1"/>
  <c r="L47" i="15" l="1"/>
  <c r="D47" i="15" s="1"/>
  <c r="C48" i="15" s="1"/>
  <c r="E46" i="15"/>
  <c r="M46" i="15" l="1"/>
  <c r="F46" i="15" s="1"/>
  <c r="L48" i="15"/>
  <c r="D48" i="15" s="1"/>
  <c r="C49" i="15" s="1"/>
  <c r="E47" i="15"/>
  <c r="M47" i="15" l="1"/>
  <c r="F47" i="15" s="1"/>
  <c r="E48" i="15"/>
  <c r="M48" i="15" s="1"/>
  <c r="F48" i="15" s="1"/>
  <c r="L49" i="15"/>
  <c r="D49" i="15" s="1"/>
  <c r="C50" i="15" s="1"/>
  <c r="L50" i="15" l="1"/>
  <c r="D50" i="15" s="1"/>
  <c r="C51" i="15" s="1"/>
  <c r="E49" i="15"/>
  <c r="E50" i="15" l="1"/>
  <c r="M50" i="15" s="1"/>
  <c r="F50" i="15" s="1"/>
  <c r="M49" i="15"/>
  <c r="F49" i="15" s="1"/>
  <c r="L51" i="15"/>
  <c r="E51" i="15" s="1"/>
  <c r="D51" i="15" l="1"/>
  <c r="C52" i="15" s="1"/>
  <c r="L52" i="15" s="1"/>
  <c r="D52" i="15" s="1"/>
  <c r="C53" i="15" s="1"/>
  <c r="M51" i="15" l="1"/>
  <c r="F51" i="15" s="1"/>
  <c r="E52" i="15"/>
  <c r="M52" i="15" s="1"/>
  <c r="F52" i="15" s="1"/>
  <c r="L53" i="15"/>
  <c r="E53" i="15" s="1"/>
  <c r="D53" i="15" l="1"/>
  <c r="M53" i="15" s="1"/>
  <c r="F53" i="15" s="1"/>
  <c r="C54" i="15" l="1"/>
  <c r="L54" i="15" s="1"/>
  <c r="D54" i="15" s="1"/>
  <c r="C55" i="15" s="1"/>
  <c r="L55" i="15" l="1"/>
  <c r="E55" i="15" s="1"/>
  <c r="E54" i="15"/>
  <c r="D55" i="15" l="1"/>
  <c r="M55" i="15" s="1"/>
  <c r="F55" i="15" s="1"/>
  <c r="E56" i="15"/>
  <c r="M54" i="15"/>
  <c r="F54" i="15" s="1"/>
  <c r="D56" i="15" l="1"/>
  <c r="F56" i="15"/>
  <c r="A10" i="27" l="1"/>
  <c r="A10" i="28"/>
  <c r="A10" i="29"/>
  <c r="F9" i="16" l="1"/>
  <c r="F10" i="16" l="1"/>
  <c r="D9" i="16"/>
  <c r="C10" i="16" l="1"/>
  <c r="F11" i="16"/>
  <c r="F12" i="16" l="1"/>
  <c r="E10" i="16"/>
  <c r="F13" i="16" l="1"/>
  <c r="D10" i="16"/>
  <c r="C11" i="16" l="1"/>
  <c r="F14" i="16"/>
  <c r="F15" i="16" l="1"/>
  <c r="E11" i="16"/>
  <c r="D11" i="16" l="1"/>
  <c r="F16" i="16"/>
  <c r="C12" i="16" l="1"/>
  <c r="F17" i="16"/>
  <c r="F18" i="16" l="1"/>
  <c r="E12" i="16"/>
  <c r="D12" i="16" l="1"/>
  <c r="F19" i="16"/>
  <c r="F20" i="16" l="1"/>
  <c r="C13" i="16"/>
  <c r="F21" i="16" l="1"/>
  <c r="E13" i="16"/>
  <c r="F22" i="16" l="1"/>
  <c r="D13" i="16"/>
  <c r="C14" i="16" l="1"/>
  <c r="F23" i="16"/>
  <c r="F24" i="16" l="1"/>
  <c r="E14" i="16"/>
  <c r="F25" i="16" l="1"/>
  <c r="D14" i="16"/>
  <c r="C15" i="16" l="1"/>
  <c r="F26" i="16"/>
  <c r="B91" i="1" s="1"/>
  <c r="F8" i="12" l="1"/>
  <c r="A24" i="3"/>
  <c r="A23" i="3"/>
  <c r="F27" i="16"/>
  <c r="E15" i="16"/>
  <c r="A22" i="3" l="1"/>
  <c r="D8" i="12"/>
  <c r="C9" i="12" s="1"/>
  <c r="F9" i="12"/>
  <c r="D15" i="16"/>
  <c r="F28" i="16"/>
  <c r="F10" i="12" l="1"/>
  <c r="E9" i="12"/>
  <c r="D9" i="12" s="1"/>
  <c r="C10" i="12" s="1"/>
  <c r="F29" i="16"/>
  <c r="C16" i="16"/>
  <c r="E10" i="12" l="1"/>
  <c r="D10" i="12" s="1"/>
  <c r="C11" i="12" s="1"/>
  <c r="F11" i="12"/>
  <c r="E16" i="16"/>
  <c r="F30" i="16"/>
  <c r="E11" i="12" l="1"/>
  <c r="D11" i="12" s="1"/>
  <c r="C12" i="12" s="1"/>
  <c r="F12" i="12"/>
  <c r="F31" i="16"/>
  <c r="D16" i="16"/>
  <c r="E12" i="12" l="1"/>
  <c r="D12" i="12" s="1"/>
  <c r="C13" i="12" s="1"/>
  <c r="F13" i="12"/>
  <c r="C17" i="16"/>
  <c r="E13" i="12" l="1"/>
  <c r="D13" i="12" s="1"/>
  <c r="C14" i="12" s="1"/>
  <c r="F14" i="12"/>
  <c r="E17" i="16"/>
  <c r="E14" i="12" l="1"/>
  <c r="D14" i="12" s="1"/>
  <c r="C15" i="12" s="1"/>
  <c r="F15" i="12"/>
  <c r="D17" i="16"/>
  <c r="E15" i="12" l="1"/>
  <c r="D15" i="12" s="1"/>
  <c r="C16" i="12" s="1"/>
  <c r="F16" i="12"/>
  <c r="C18" i="16"/>
  <c r="E16" i="12" l="1"/>
  <c r="D16" i="12" s="1"/>
  <c r="C17" i="12" s="1"/>
  <c r="E17" i="12" s="1"/>
  <c r="F17" i="12"/>
  <c r="F18" i="12" s="1"/>
  <c r="F19" i="12" s="1"/>
  <c r="F20" i="12" s="1"/>
  <c r="F21" i="12" s="1"/>
  <c r="F22" i="12" s="1"/>
  <c r="F23" i="12" s="1"/>
  <c r="F24" i="12" s="1"/>
  <c r="F25" i="12" s="1"/>
  <c r="F26" i="12" s="1"/>
  <c r="F27" i="12" s="1"/>
  <c r="F28" i="12" s="1"/>
  <c r="F29" i="12" s="1"/>
  <c r="F30" i="12" s="1"/>
  <c r="E18" i="16"/>
  <c r="D17" i="12" l="1"/>
  <c r="D18" i="16"/>
  <c r="C18" i="12"/>
  <c r="E18" i="12" l="1"/>
  <c r="C19" i="16"/>
  <c r="E19" i="16" l="1"/>
  <c r="D18" i="12"/>
  <c r="D19" i="16" l="1"/>
  <c r="C19" i="12"/>
  <c r="E19" i="12" l="1"/>
  <c r="C20" i="16"/>
  <c r="E20" i="16" l="1"/>
  <c r="C63" i="1" s="1"/>
  <c r="C60" i="1" s="1"/>
  <c r="D19" i="12"/>
  <c r="D20" i="16" l="1"/>
  <c r="C20" i="12"/>
  <c r="E20" i="12" l="1"/>
  <c r="C21" i="16"/>
  <c r="E21" i="16" l="1"/>
  <c r="D20" i="12"/>
  <c r="D21" i="16" l="1"/>
  <c r="C21" i="12"/>
  <c r="C22" i="16" l="1"/>
  <c r="E21" i="12"/>
  <c r="E22" i="16" l="1"/>
  <c r="D21" i="12"/>
  <c r="D22" i="16" l="1"/>
  <c r="C22" i="12"/>
  <c r="C23" i="16" l="1"/>
  <c r="E22" i="12"/>
  <c r="E23" i="16" l="1"/>
  <c r="D22" i="12"/>
  <c r="D23" i="16" l="1"/>
  <c r="C23" i="12"/>
  <c r="C24" i="16" l="1"/>
  <c r="E23" i="12"/>
  <c r="E24" i="16" l="1"/>
  <c r="D23" i="12"/>
  <c r="D24" i="16" l="1"/>
  <c r="C24" i="12"/>
  <c r="E24" i="12" l="1"/>
  <c r="C25" i="16"/>
  <c r="E25" i="16" l="1"/>
  <c r="D24" i="12"/>
  <c r="D25" i="16" l="1"/>
  <c r="C25" i="12"/>
  <c r="C26" i="16" l="1"/>
  <c r="E25" i="12"/>
  <c r="E26" i="16" l="1"/>
  <c r="D25" i="12"/>
  <c r="D26" i="16" l="1"/>
  <c r="C26" i="12"/>
  <c r="C27" i="16" l="1"/>
  <c r="E26" i="12"/>
  <c r="E27" i="16" l="1"/>
  <c r="D26" i="12"/>
  <c r="D27" i="16" l="1"/>
  <c r="C27" i="12"/>
  <c r="E27" i="12" l="1"/>
  <c r="C28" i="16"/>
  <c r="E28" i="16" l="1"/>
  <c r="D27" i="12"/>
  <c r="D28" i="16" l="1"/>
  <c r="C28" i="12"/>
  <c r="E28" i="12" l="1"/>
  <c r="C29" i="16"/>
  <c r="E29" i="16" l="1"/>
  <c r="D28" i="12"/>
  <c r="D29" i="16" l="1"/>
  <c r="C29" i="12"/>
  <c r="E29" i="12" l="1"/>
  <c r="C30" i="16"/>
  <c r="E30" i="16" l="1"/>
  <c r="D29" i="12"/>
  <c r="D30" i="16" l="1"/>
  <c r="C30" i="12"/>
  <c r="C31" i="16" l="1"/>
  <c r="E30" i="12"/>
  <c r="E31" i="16" l="1"/>
  <c r="D30" i="12"/>
  <c r="D31" i="16" l="1"/>
  <c r="C31" i="12"/>
  <c r="E31" i="12" l="1"/>
  <c r="C32" i="16"/>
  <c r="E32" i="16" l="1"/>
  <c r="D32" i="16" l="1"/>
  <c r="C33" i="16" l="1"/>
  <c r="E33" i="16" l="1"/>
  <c r="D33" i="16" l="1"/>
  <c r="C34" i="16" l="1"/>
  <c r="E34" i="16" l="1"/>
  <c r="D34" i="16" l="1"/>
  <c r="C35" i="16" l="1"/>
  <c r="E35" i="16" l="1"/>
  <c r="D35" i="16" l="1"/>
  <c r="C36" i="16" l="1"/>
  <c r="E36" i="16" l="1"/>
  <c r="D36" i="16" l="1"/>
  <c r="C37" i="16" l="1"/>
  <c r="E37" i="16" l="1"/>
  <c r="D37" i="16" l="1"/>
  <c r="C38" i="16" l="1"/>
  <c r="D38" i="16" l="1"/>
  <c r="C39" i="16" l="1"/>
  <c r="F39" i="16"/>
  <c r="D39" i="16" l="1"/>
  <c r="C40" i="16" l="1"/>
  <c r="E40" i="16" l="1"/>
  <c r="D40" i="16" l="1"/>
  <c r="C41" i="16" l="1"/>
  <c r="E41" i="16" l="1"/>
  <c r="D41" i="16" l="1"/>
  <c r="C42" i="16" l="1"/>
  <c r="E42" i="16" l="1"/>
  <c r="D42" i="16" l="1"/>
  <c r="C43" i="16" l="1"/>
  <c r="E43" i="16" l="1"/>
  <c r="D43" i="16" l="1"/>
  <c r="C44" i="16" l="1"/>
  <c r="E44" i="16" l="1"/>
  <c r="D44" i="16" l="1"/>
  <c r="C45" i="16" l="1"/>
  <c r="E45" i="16" l="1"/>
  <c r="D45" i="16" l="1"/>
  <c r="C46" i="16" l="1"/>
  <c r="E46" i="16" l="1"/>
  <c r="D46" i="16" l="1"/>
  <c r="C47" i="16" l="1"/>
  <c r="E47" i="16" l="1"/>
  <c r="D47" i="16" l="1"/>
  <c r="C48" i="16" l="1"/>
  <c r="E48" i="16" l="1"/>
  <c r="D48" i="16" l="1"/>
  <c r="C49" i="16" l="1"/>
  <c r="E49" i="16" l="1"/>
  <c r="D49" i="16" l="1"/>
  <c r="C50" i="16" l="1"/>
  <c r="E50" i="16" l="1"/>
  <c r="D50" i="16" l="1"/>
  <c r="C51" i="16" l="1"/>
  <c r="E51" i="16" l="1"/>
  <c r="D51" i="16" l="1"/>
  <c r="C52" i="16" l="1"/>
  <c r="E52" i="16" l="1"/>
  <c r="D52" i="16" l="1"/>
  <c r="C53" i="16" l="1"/>
  <c r="E53" i="16" l="1"/>
  <c r="D53" i="16" l="1"/>
  <c r="C54" i="16" l="1"/>
  <c r="E54" i="16" l="1"/>
  <c r="D54" i="16" l="1"/>
  <c r="C55" i="16" l="1"/>
  <c r="E55" i="16" l="1"/>
  <c r="D55" i="16" l="1"/>
  <c r="C56" i="16" l="1"/>
  <c r="D56" i="16" l="1"/>
  <c r="D57" i="16" s="1"/>
  <c r="E56" i="16"/>
  <c r="F56" i="16" l="1"/>
  <c r="F32" i="16" l="1"/>
  <c r="F33" i="16"/>
  <c r="F34" i="16"/>
  <c r="F35" i="16"/>
  <c r="F36" i="16"/>
  <c r="F37" i="16"/>
  <c r="F38" i="16"/>
  <c r="F40" i="16"/>
  <c r="F41" i="16"/>
  <c r="F42" i="16"/>
  <c r="F43" i="16"/>
  <c r="F44" i="16"/>
  <c r="F45" i="16"/>
  <c r="F46" i="16"/>
  <c r="F47" i="16"/>
  <c r="F48" i="16"/>
  <c r="F49" i="16"/>
  <c r="F50" i="16"/>
  <c r="F51" i="16"/>
  <c r="F52" i="16"/>
  <c r="F53" i="16"/>
  <c r="F54" i="16"/>
  <c r="F55" i="16"/>
  <c r="E38" i="16"/>
  <c r="E57" i="16" s="1"/>
  <c r="E39" i="16"/>
  <c r="F31" i="12"/>
  <c r="D31" i="12" s="1"/>
  <c r="C32" i="12" s="1"/>
  <c r="F32" i="12" l="1"/>
  <c r="F33" i="12" s="1"/>
  <c r="F34" i="12" s="1"/>
  <c r="F35" i="12" s="1"/>
  <c r="F36" i="12" s="1"/>
  <c r="F37" i="12" s="1"/>
  <c r="F38" i="12" s="1"/>
  <c r="F39" i="12" s="1"/>
  <c r="F40" i="12" s="1"/>
  <c r="F41" i="12" s="1"/>
  <c r="F42" i="12" s="1"/>
  <c r="F43" i="12" s="1"/>
  <c r="F44" i="12" s="1"/>
  <c r="F45" i="12" s="1"/>
  <c r="F46" i="12" s="1"/>
  <c r="F47" i="12" s="1"/>
  <c r="F48" i="12" s="1"/>
  <c r="F49" i="12" s="1"/>
  <c r="F50" i="12" s="1"/>
  <c r="F51" i="12" s="1"/>
  <c r="F52" i="12" s="1"/>
  <c r="F53" i="12" s="1"/>
  <c r="F57" i="16"/>
  <c r="E32" i="12"/>
  <c r="D32" i="12" s="1"/>
  <c r="C33" i="12" l="1"/>
  <c r="F54" i="12"/>
  <c r="E33" i="12" l="1"/>
  <c r="D33" i="12" l="1"/>
  <c r="C34" i="12" l="1"/>
  <c r="E34" i="12" l="1"/>
  <c r="D34" i="12" l="1"/>
  <c r="C35" i="12" l="1"/>
  <c r="E35" i="12" l="1"/>
  <c r="D35" i="12" l="1"/>
  <c r="C36" i="12" l="1"/>
  <c r="E36" i="12" l="1"/>
  <c r="D36" i="12" s="1"/>
  <c r="C37" i="12" l="1"/>
  <c r="E37" i="12" l="1"/>
  <c r="D37" i="12" s="1"/>
  <c r="C38" i="12" s="1"/>
  <c r="E38" i="12" l="1"/>
  <c r="D38" i="12" s="1"/>
  <c r="C39" i="12" s="1"/>
  <c r="E39" i="12" l="1"/>
  <c r="D39" i="12" s="1"/>
  <c r="C40" i="12" s="1"/>
  <c r="E40" i="12" l="1"/>
  <c r="D40" i="12" s="1"/>
  <c r="C41" i="12" s="1"/>
  <c r="E41" i="12" l="1"/>
  <c r="D41" i="12" s="1"/>
  <c r="C42" i="12" s="1"/>
  <c r="E42" i="12" l="1"/>
  <c r="D42" i="12" s="1"/>
  <c r="C43" i="12" s="1"/>
  <c r="E43" i="12" l="1"/>
  <c r="D43" i="12" s="1"/>
  <c r="C44" i="12" s="1"/>
  <c r="E44" i="12" l="1"/>
  <c r="D44" i="12" s="1"/>
  <c r="C45" i="12" s="1"/>
  <c r="E45" i="12" l="1"/>
  <c r="D45" i="12" s="1"/>
  <c r="C46" i="12" s="1"/>
  <c r="E46" i="12" l="1"/>
  <c r="D46" i="12" s="1"/>
  <c r="C47" i="12" s="1"/>
  <c r="E47" i="12" l="1"/>
  <c r="D47" i="12" s="1"/>
  <c r="C48" i="12" s="1"/>
  <c r="E48" i="12" l="1"/>
  <c r="D48" i="12" s="1"/>
  <c r="C49" i="12" s="1"/>
  <c r="E49" i="12" l="1"/>
  <c r="D49" i="12" s="1"/>
  <c r="C50" i="12" s="1"/>
  <c r="E50" i="12" l="1"/>
  <c r="D50" i="12" s="1"/>
  <c r="C51" i="12" s="1"/>
  <c r="E51" i="12" l="1"/>
  <c r="D51" i="12" s="1"/>
  <c r="C52" i="12" s="1"/>
  <c r="E52" i="12" l="1"/>
  <c r="D52" i="12" s="1"/>
  <c r="C53" i="12" s="1"/>
  <c r="E53" i="12" l="1"/>
  <c r="D53" i="12" s="1"/>
  <c r="C54" i="12" s="1"/>
  <c r="E54" i="12" l="1"/>
  <c r="D54" i="12" s="1"/>
  <c r="C55" i="12" s="1"/>
  <c r="E55" i="12" l="1"/>
  <c r="E56" i="12" s="1"/>
  <c r="D55" i="12"/>
  <c r="F55" i="12" l="1"/>
  <c r="F56" i="12" s="1"/>
  <c r="D56" i="12"/>
</calcChain>
</file>

<file path=xl/sharedStrings.xml><?xml version="1.0" encoding="utf-8"?>
<sst xmlns="http://schemas.openxmlformats.org/spreadsheetml/2006/main" count="615" uniqueCount="455">
  <si>
    <t>служебная</t>
  </si>
  <si>
    <t>другое</t>
  </si>
  <si>
    <t>Г.В. Тян</t>
  </si>
  <si>
    <t>-</t>
  </si>
  <si>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</si>
  <si>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</si>
  <si>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</si>
  <si>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</si>
  <si>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</si>
  <si>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</si>
  <si>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</si>
  <si>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</si>
  <si>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</si>
  <si>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</si>
  <si>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</si>
  <si>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</si>
  <si>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</si>
  <si>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</si>
  <si>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</si>
  <si>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</si>
  <si>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</si>
  <si>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</si>
  <si>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июля</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</si>
  <si>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</si>
  <si>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</si>
  <si>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</si>
  <si>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</si>
  <si>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</si>
  <si>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</si>
  <si>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</si>
  <si>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</si>
  <si>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</si>
  <si>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</si>
  <si>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</si>
  <si>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</si>
  <si>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</si>
  <si>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</si>
  <si>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</si>
  <si>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</si>
  <si>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</si>
  <si>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</si>
  <si>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</si>
  <si>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</si>
  <si>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</si>
  <si>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</si>
  <si>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</si>
  <si>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</si>
  <si>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</si>
  <si>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</si>
  <si>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</si>
  <si>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</si>
  <si>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</si>
  <si>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</si>
  <si>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</si>
  <si>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</si>
  <si>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</si>
  <si>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</si>
  <si>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</si>
  <si>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</si>
  <si>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</si>
  <si>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</si>
  <si>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</si>
  <si>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</si>
  <si>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</si>
  <si>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</si>
  <si>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</si>
  <si>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</si>
  <si>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</si>
  <si>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</si>
  <si>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</si>
  <si>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</si>
  <si>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</si>
  <si>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</si>
  <si>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</si>
  <si>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</si>
  <si>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</si>
  <si>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</si>
  <si>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</si>
  <si>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</si>
  <si>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</si>
  <si>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</si>
  <si>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</si>
  <si>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</si>
  <si>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</si>
  <si>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</si>
  <si>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</si>
  <si>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</si>
  <si>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</si>
  <si>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</si>
  <si>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</si>
  <si>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</si>
  <si>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</si>
  <si>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</si>
  <si>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</si>
  <si>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</si>
  <si>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</si>
  <si>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</si>
  <si>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</si>
  <si>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</si>
  <si>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</si>
  <si>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</si>
  <si>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</si>
  <si>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</si>
  <si>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</si>
  <si>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</si>
  <si>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</si>
  <si>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</si>
  <si>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</si>
  <si>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</si>
  <si>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</si>
  <si>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</si>
  <si>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</si>
  <si>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</si>
  <si>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</si>
  <si>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</si>
  <si>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</si>
  <si>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</si>
  <si>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</si>
  <si>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</si>
  <si>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</si>
  <si>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</si>
  <si>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</si>
  <si>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</si>
  <si>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</si>
  <si>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</si>
  <si>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</si>
  <si>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</si>
  <si>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</si>
  <si>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</si>
  <si>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</si>
  <si>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</si>
  <si>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</si>
  <si>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</si>
  <si>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</si>
  <si>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</si>
  <si>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</si>
  <si>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</si>
  <si>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</si>
  <si>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</si>
  <si>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</si>
  <si>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</si>
  <si>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</si>
  <si>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</si>
  <si>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</si>
  <si>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</si>
  <si>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</si>
  <si>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</si>
  <si>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</si>
  <si>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</si>
  <si>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</si>
  <si>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</si>
  <si>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</si>
  <si>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</si>
  <si>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</si>
  <si>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</si>
  <si>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</si>
  <si>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</si>
  <si>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</si>
  <si>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</si>
  <si>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</si>
  <si>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</si>
  <si>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</si>
  <si>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</si>
  <si>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</si>
  <si>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</si>
  <si>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</si>
  <si>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</si>
  <si>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</si>
  <si>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</si>
  <si>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</si>
  <si>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</si>
  <si>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</si>
  <si>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</si>
  <si>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</si>
  <si>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</si>
  <si>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</si>
  <si>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</si>
  <si>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</si>
  <si>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</si>
  <si>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</si>
  <si>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</si>
  <si>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</si>
  <si>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</si>
  <si>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</si>
  <si>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</si>
  <si>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</si>
  <si>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</si>
  <si>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</si>
  <si>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</si>
  <si>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</si>
  <si>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</si>
  <si>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</si>
  <si>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</si>
  <si>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</si>
  <si>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</si>
  <si>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</si>
  <si>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</si>
  <si>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</si>
  <si>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</si>
  <si>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</si>
  <si>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</si>
  <si>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</si>
  <si>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</si>
  <si>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</si>
  <si>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</si>
  <si>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</si>
  <si>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</si>
  <si>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</si>
  <si>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</si>
  <si>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</si>
  <si>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</si>
  <si>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</si>
  <si>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</si>
  <si>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</si>
  <si>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</si>
  <si>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</si>
  <si>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</si>
  <si>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</si>
  <si>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</si>
  <si>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</si>
  <si>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</si>
  <si>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</si>
  <si>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</si>
  <si>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</si>
  <si>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</si>
  <si>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</si>
  <si>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</si>
  <si>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</si>
  <si>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</si>
  <si>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</si>
  <si>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</si>
  <si>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</si>
  <si>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</si>
  <si>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</si>
  <si>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</si>
  <si>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</si>
  <si>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</si>
  <si>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</si>
  <si>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</si>
  <si>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</si>
  <si>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</si>
  <si>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</si>
  <si>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</si>
  <si>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</si>
  <si>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</si>
  <si>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</si>
  <si>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</si>
  <si>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</si>
  <si>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</si>
  <si>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</si>
  <si>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</si>
  <si>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</si>
  <si>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</si>
  <si>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</si>
  <si>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</si>
  <si>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</si>
  <si>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</si>
  <si>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</si>
  <si>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</si>
  <si>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</si>
  <si>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</si>
  <si>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</si>
  <si>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</si>
  <si>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</si>
  <si>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</si>
  <si>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</si>
  <si>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</si>
  <si>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</si>
  <si>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</si>
  <si>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</si>
  <si>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</si>
  <si>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</si>
  <si>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</si>
  <si>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</si>
  <si>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</si>
  <si>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</si>
  <si>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</si>
  <si>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</si>
  <si>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</si>
  <si>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</si>
  <si>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</si>
  <si>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</si>
  <si>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</si>
  <si>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</si>
  <si>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</si>
  <si>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</si>
  <si>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</si>
  <si>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</si>
  <si>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</si>
  <si>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</si>
  <si>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</si>
  <si>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</si>
  <si>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</si>
  <si>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</si>
  <si>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</si>
  <si>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</si>
  <si>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</si>
  <si>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</si>
  <si>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</si>
  <si>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</si>
  <si>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</si>
  <si>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</si>
  <si>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</si>
  <si>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</si>
  <si>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</si>
  <si>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</si>
  <si>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</si>
  <si>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</si>
  <si>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</si>
  <si>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</si>
  <si>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</si>
  <si>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</si>
  <si>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</si>
  <si>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</si>
  <si>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</si>
  <si>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</si>
  <si>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</si>
  <si>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</si>
  <si>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</si>
  <si>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</si>
  <si>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</si>
  <si>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</si>
  <si>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</si>
  <si>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</si>
  <si>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</si>
  <si>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</si>
  <si>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</si>
  <si>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</si>
  <si>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</si>
  <si>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</si>
  <si>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</si>
  <si>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</si>
  <si>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</si>
  <si>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</si>
  <si>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</si>
  <si>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</si>
  <si>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</si>
  <si>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</si>
  <si>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</si>
  <si>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</si>
  <si>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</si>
  <si>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</si>
  <si>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</si>
  <si>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</si>
  <si>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</si>
  <si>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</si>
  <si>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</si>
  <si>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</si>
  <si>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</si>
  <si>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</si>
  <si>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</si>
  <si>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</si>
  <si>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</si>
  <si>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</si>
  <si>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</si>
  <si>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</si>
  <si>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</si>
  <si>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</si>
  <si>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</si>
  <si>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</si>
  <si>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</si>
  <si>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</si>
  <si>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</si>
  <si>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</si>
  <si>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</si>
  <si>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</si>
  <si>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</si>
  <si>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</si>
  <si>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</si>
  <si>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</si>
  <si>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 kadastr raqami</t>
  </si>
  <si>
    <t>Foydalanishga topshirilgan yili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</si>
  <si>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</si>
  <si>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Процент годовой</t>
  </si>
  <si>
    <t>Sug'urta kompaniyasi nomi</t>
  </si>
  <si>
    <t>Summa</t>
  </si>
  <si>
    <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t>
  </si>
  <si>
    <t>3.5. Undiruvni Garov narsasiga (predmetlariga) va/yoki uning (ularning) bir qismiga (qismlariga) qaratishda va/yoki Qarz oluvchining Kafildan qarzini undirishda Mikromoliya tashkiloti undiruvning birinchi navbatdagi obyektini o‘z xohishiga ko‘ra bir tomonlama tanlash yoki bir vaqtning o‘zida undiruvni Garov narsasiga (predmetlariga) qaratish va Kafilga talab qo‘yish huquqini o‘zida saqlab qoladi. Undiruvni garov narsasining bir obyektiga va/yoki uning (ularning) bir qismiga qaratish va/yoki Mikroqarzni Kafildan undirish Mikromoliya tashkilotini undiruvni garov narsasining boshqa obyektiga (obyektlariga) va/yoki uning (ularning) bir qismiga qaratish va/yoki Mikroqarzni Kafildan undirishda cheklamaydi. Qarz oluvchining Mikroqarzni Sug‘urtalovchidan undirish tartibi tegishli sug‘urta shartnomasida belgilanadi.</t>
  </si>
  <si>
    <t>5. Mikroqarz bo‘yicha ta'minot:</t>
  </si>
  <si>
    <t>ARIZA</t>
  </si>
  <si>
    <t>Mijoz plastik kartasi parametrlari</t>
  </si>
  <si>
    <t>Bank nomi:</t>
  </si>
  <si>
    <t>H/r:</t>
  </si>
  <si>
    <t>MFO:</t>
  </si>
  <si>
    <t>STIR:</t>
  </si>
  <si>
    <t>Karta raqami:</t>
  </si>
  <si>
    <t>________________</t>
  </si>
  <si>
    <t>N. Abduraximov</t>
  </si>
  <si>
    <t>sana</t>
  </si>
  <si>
    <t>_______________</t>
  </si>
  <si>
    <t>Imzolaganlar ro'yxati:</t>
  </si>
  <si>
    <t>55</t>
  </si>
  <si>
    <t>105</t>
  </si>
  <si>
    <t>dan</t>
  </si>
  <si>
    <t>Sana:</t>
  </si>
  <si>
    <t>“CLEVER MIKROMOLIYA TASHKILOTI” MChJ</t>
  </si>
  <si>
    <t>Toshkent sh, Olmazor tumani, Sag’bon ko’chasi 30-tup., 6-uy</t>
  </si>
  <si>
    <t>h/r: 2021 6000 7050 6838 0001, STIR: 306 365 847, MFO: 01042,</t>
  </si>
  <si>
    <t>“Kapitalbank” AKB Sergeli filiali</t>
  </si>
  <si>
    <t>O‘zbekiston Respublikasi</t>
  </si>
  <si>
    <t>Notarial idoralariga</t>
  </si>
  <si>
    <r>
      <t xml:space="preserve">“CLEVER mikromoliya tashkiloti” MChJ </t>
    </r>
    <r>
      <rPr>
        <sz val="11"/>
        <color rgb="FF8C0101"/>
        <rFont val="Times New Roman"/>
        <family val="1"/>
        <charset val="204"/>
      </rPr>
      <t xml:space="preserve">20.03.2025 </t>
    </r>
    <r>
      <rPr>
        <sz val="11"/>
        <color theme="1"/>
        <rFont val="Times New Roman"/>
        <family val="1"/>
        <charset val="204"/>
      </rPr>
      <t xml:space="preserve">yildagi № </t>
    </r>
    <r>
      <rPr>
        <sz val="11"/>
        <color rgb="FF8C0101"/>
        <rFont val="Times New Roman"/>
        <family val="1"/>
        <charset val="204"/>
      </rPr>
      <t>647</t>
    </r>
    <r>
      <rPr>
        <sz val="11"/>
        <color theme="1"/>
        <rFont val="Times New Roman"/>
        <family val="1"/>
        <charset val="204"/>
      </rPr>
      <t>-son mikrokredit shartnomasi bo‘yicha Qarz oluvchi tomonidan majburiyatlarini to‘liq to‘laganligini hisobga olib, yuqorida ko‘rsatilgan mol-mulkni garov ta’minotidan ozod qilishga roziligini beradi.</t>
    </r>
  </si>
  <si>
    <t xml:space="preserve">          «CLEVER MIKROMOLIYA</t>
  </si>
  <si>
    <t xml:space="preserve">          TASHKILOTI» MChJ rahbari</t>
  </si>
  <si>
    <t xml:space="preserve">     Ijrochi: B.T.Jumanazarov </t>
  </si>
  <si>
    <t xml:space="preserve">     Tel: (78) 113 31 33</t>
  </si>
  <si>
    <t xml:space="preserve">     Hujjat elektron raqamli imzo bilan tasdiqlangan. "Elektron raqamli imzo to‘g‘risida"gi Qonunning 7-moddasiga asosan elektron raqamli imzo va qo‘lda qo‘yilgan imzo bir xil ahamiyatga ega. Hujjatning haqqoniyligini tekshirish uchun QR-kodni skanerlang.</t>
  </si>
  <si>
    <t>№20216000105068380006</t>
  </si>
  <si>
    <t>№01183</t>
  </si>
  <si>
    <t>bir yuz besh</t>
  </si>
  <si>
    <t>Toshkent sh., "ANOR BANK"</t>
  </si>
  <si>
    <t>sanasidan</t>
  </si>
  <si>
    <t xml:space="preserve">Kreditlash bo’limi boshlig’i </t>
  </si>
  <si>
    <t>Mikroqarz shartnomasining bir nusxasini oldim ______________</t>
  </si>
  <si>
    <t>Ajratilayotgan qarzning sug'urta hisobidan qoplanadigan taminot qismi</t>
  </si>
  <si>
    <t>D.Axmedov</t>
  </si>
  <si>
    <t>J.Sadiriddinzoda</t>
  </si>
  <si>
    <t>B. Ismoilov</t>
  </si>
  <si>
    <t>B. Ismoilovga</t>
  </si>
  <si>
    <t>АО "APEX INSURANCE"</t>
  </si>
  <si>
    <t xml:space="preserve"> -</t>
  </si>
  <si>
    <t>«CLEVER MIKROMOLIYA TASHKILOTI» MChJ ijrochi direktori</t>
  </si>
  <si>
    <t>Navoiy viloyati filial menejeri</t>
  </si>
  <si>
    <t>Sh.Xayriyev</t>
  </si>
  <si>
    <t>Xayriyev Sherali Buriboyevich</t>
  </si>
  <si>
    <t>Mijoz quyidagi majburiyatlarga ega: TOSHKЕNT Sh., "MIKROKRЕDITBANK" ATB BOSH OFISI 33 353 446.00 SO'M. Ayni paytda muddati o'tgan qarzdorligi mavjud emas. O‘rtacha oylik to‘lov 1 075 238.03 so‘mni tashkil qiladi</t>
  </si>
  <si>
    <t>TUYEV SHOXRUX UTKIROVICH</t>
  </si>
  <si>
    <t>TUYEV SH.U.</t>
  </si>
  <si>
    <t>25.01.1990y</t>
  </si>
  <si>
    <t>AE1115640</t>
  </si>
  <si>
    <t>IIV12208</t>
  </si>
  <si>
    <t>NAVOIY VILOYATI  QIZILTEPA TUMANI A.NAVOIY MFY SHODLIK  KO'CHASI 6-UY</t>
  </si>
  <si>
    <t>QIZILTEPA TUMANI</t>
  </si>
  <si>
    <t>3-TRO'G (QIZILTEPA TUMANI)</t>
  </si>
  <si>
    <t>AAG7978970    28.01.2026y</t>
  </si>
  <si>
    <t>CHEVROLET LACETTI</t>
  </si>
  <si>
    <t>85L007TA</t>
  </si>
  <si>
    <t>YENGIL SEDAN</t>
  </si>
  <si>
    <t>XWB5V31BVPA581883</t>
  </si>
  <si>
    <t>B15D211232522 MTDX0591</t>
  </si>
  <si>
    <t>KO'K DARKMOON BLUE MET</t>
  </si>
  <si>
    <t>2023</t>
  </si>
  <si>
    <t>29.01.2026</t>
  </si>
  <si>
    <t>41-MAKTAB YAQINIDA</t>
  </si>
  <si>
    <t>23120000300000205001</t>
  </si>
  <si>
    <t>IPOTEKABANK</t>
  </si>
  <si>
    <t>201946153</t>
  </si>
  <si>
    <t>00205</t>
  </si>
  <si>
    <t>5614 6812 6237 6589</t>
  </si>
  <si>
    <t>99-336-50-00</t>
  </si>
  <si>
    <t>97-335-03-43 TURMUSH O'RTOG'I</t>
  </si>
  <si>
    <t>91-336-50-00 O'G'LI</t>
  </si>
  <si>
    <t>99-336-50-00 MIJOZ</t>
  </si>
  <si>
    <t>№244-NVS</t>
  </si>
  <si>
    <t xml:space="preserve">Ijrochi direktor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</si>
</sst>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 _₽_-;\-* #\ ##0.00\ _₽_-;_-* &quot;-&quot;??\ _₽_-;_-@_-"/>
    <numFmt numFmtId="171" formatCode="_-* #\ ##0.00_-;\-* #\ ##0.00_-;_-* &quot;-&quot;??_-;_-@_-"/>
  </numFmts>
  <fonts count="73"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Arial"/>
      <family val="2"/>
      <charset val="204"/>
    </font>
    <font>
      <sz val="11"/>
      <color theme="1"/>
      <name val="Calibri"/>
      <family val="2"/>
      <charset val="204"/>
      <scheme val="minor"/>
    </font>
    <font>
      <sz val="11"/>
      <color theme="1"/>
      <name val="Calibri"/>
      <family val="2"/>
      <charset val="204"/>
      <scheme val="minor"/>
    </font>
    <font>
      <sz val="11"/>
      <color theme="1"/>
      <name val="Arial"/>
      <family val="2"/>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b/>
      <u/>
      <sz val="12"/>
      <name val="Times New Roman"/>
      <family val="1"/>
      <charset val="204"/>
    </font>
    <font>
      <b/>
      <sz val="12"/>
      <name val="Times New Roman"/>
      <family val="1"/>
      <charset val="204"/>
    </font>
    <font>
      <sz val="11"/>
      <color theme="1"/>
      <name val="Arial"/>
      <family val="2"/>
      <charset val="204"/>
    </font>
    <font>
      <sz val="22"/>
      <color rgb="FFFF0000"/>
      <name val="Arial"/>
      <family val="2"/>
      <charset val="204"/>
    </font>
    <font>
      <sz val="12"/>
      <color theme="0"/>
      <name val="Times New Roman"/>
      <family val="1"/>
      <charset val="204"/>
    </font>
    <font>
      <sz val="9"/>
      <color theme="1"/>
      <name val="Times New Roman"/>
      <family val="1"/>
      <charset val="204"/>
    </font>
    <font>
      <sz val="11"/>
      <color rgb="FF8C0101"/>
      <name val="Times New Roman"/>
      <family val="1"/>
      <charset val="204"/>
    </font>
    <font>
      <sz val="11"/>
      <color theme="1"/>
      <name val="Calibri"/>
      <family val="2"/>
      <charset val="204"/>
      <scheme val="minor"/>
    </font>
    <font>
      <sz val="11"/>
      <color theme="1"/>
      <name val="Calibri"/>
      <family val="2"/>
      <charset val="204"/>
      <scheme val="minor"/>
    </font>
    <font>
      <sz val="11"/>
      <name val="Calibri"/>
      <family val="2"/>
      <charset val="204"/>
    </font>
    <font>
      <b/>
      <sz val="14"/>
      <color theme="1"/>
      <name val="Arial"/>
      <family val="2"/>
      <charset val="204"/>
    </font>
    <font>
      <sz val="11"/>
      <color rgb="FF333333"/>
      <name val="Arial"/>
      <family val="2"/>
      <charset val="204"/>
    </font>
    <font>
      <sz val="11"/>
      <color rgb="FFC00000"/>
      <name val="Arial"/>
      <family val="2"/>
      <charset val="204"/>
    </font>
    <font>
      <sz val="10"/>
      <name val="Arial"/>
      <family val="2"/>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s>
  <cellStyleXfs count="17294">
    <xf numFmtId="0" fontId="0"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7" fillId="0" borderId="0">
      <alignment vertical="center"/>
    </xf>
    <xf numFmtId="0" fontId="57" fillId="0" borderId="0">
      <alignment vertical="center"/>
    </xf>
    <xf numFmtId="43" fontId="1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1" fontId="12"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6" fillId="0" borderId="0"/>
    <xf numFmtId="0" fontId="67" fillId="0" borderId="0"/>
    <xf numFmtId="171" fontId="66" fillId="0" borderId="0" applyFont="0" applyFill="0" applyBorder="0" applyAlignment="0" applyProtection="0"/>
    <xf numFmtId="171" fontId="66" fillId="0" borderId="0" applyFont="0" applyFill="0" applyBorder="0" applyAlignment="0" applyProtection="0"/>
    <xf numFmtId="0" fontId="67" fillId="0" borderId="0"/>
    <xf numFmtId="171" fontId="66" fillId="0" borderId="0" applyFont="0" applyFill="0" applyBorder="0" applyAlignment="0" applyProtection="0"/>
    <xf numFmtId="171" fontId="66" fillId="0" borderId="0" applyFont="0" applyFill="0" applyBorder="0" applyAlignment="0" applyProtection="0"/>
    <xf numFmtId="0" fontId="68" fillId="0" borderId="0">
      <alignment vertical="center"/>
    </xf>
    <xf numFmtId="0" fontId="67" fillId="0" borderId="0"/>
    <xf numFmtId="171" fontId="66" fillId="0" borderId="0" applyFont="0" applyFill="0" applyBorder="0" applyAlignment="0" applyProtection="0"/>
    <xf numFmtId="0" fontId="67" fillId="0" borderId="0"/>
    <xf numFmtId="0" fontId="67" fillId="0" borderId="0"/>
    <xf numFmtId="0" fontId="67" fillId="0" borderId="0"/>
    <xf numFmtId="0" fontId="67" fillId="0" borderId="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0" fontId="68" fillId="0" borderId="0">
      <alignment vertical="center"/>
    </xf>
    <xf numFmtId="171" fontId="66" fillId="0" borderId="0" applyFont="0" applyFill="0" applyBorder="0" applyAlignment="0" applyProtection="0"/>
    <xf numFmtId="0" fontId="67" fillId="0" borderId="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171" fontId="66" fillId="0" borderId="0" applyFont="0" applyFill="0" applyBorder="0" applyAlignment="0" applyProtection="0"/>
    <xf numFmtId="9" fontId="66"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1" fontId="1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1" fontId="1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0" fontId="3" fillId="0" borderId="0"/>
    <xf numFmtId="171" fontId="3" fillId="0" borderId="0" applyFont="0" applyFill="0" applyBorder="0" applyAlignment="0" applyProtection="0"/>
    <xf numFmtId="171" fontId="3" fillId="0" borderId="0" applyFont="0" applyFill="0" applyBorder="0" applyAlignment="0" applyProtection="0"/>
    <xf numFmtId="0" fontId="57" fillId="0" borderId="0">
      <alignment vertical="center"/>
    </xf>
    <xf numFmtId="0" fontId="3" fillId="0" borderId="0"/>
    <xf numFmtId="171" fontId="3" fillId="0" borderId="0" applyFont="0" applyFill="0" applyBorder="0" applyAlignment="0" applyProtection="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0" fontId="57" fillId="0" borderId="0">
      <alignment vertical="center"/>
    </xf>
    <xf numFmtId="171" fontId="3" fillId="0" borderId="0" applyFont="0" applyFill="0" applyBorder="0" applyAlignment="0" applyProtection="0"/>
    <xf numFmtId="0" fontId="3" fillId="0" borderId="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9" fontId="3"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1" fontId="1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1"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1"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1"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1"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cellStyleXfs>
  <cellXfs count="390">
    <xf numFmtId="0" fontId="0" fillId="0" borderId="0" xfId="0"/>
    <xf numFmtId="0" fontId="13" fillId="0" borderId="1" xfId="0" applyFont="1" applyBorder="1" applyAlignment="1">
      <alignment vertical="center" wrapText="1"/>
    </xf>
    <xf numFmtId="49" fontId="13" fillId="0" borderId="1" xfId="0" applyNumberFormat="1" applyFont="1" applyBorder="1" applyAlignment="1">
      <alignment vertical="center" wrapText="1"/>
    </xf>
    <xf numFmtId="0" fontId="14" fillId="2" borderId="1" xfId="0" applyFont="1" applyFill="1" applyBorder="1" applyAlignment="1">
      <alignment vertical="center" wrapText="1"/>
    </xf>
    <xf numFmtId="165" fontId="13" fillId="0" borderId="1" xfId="0" applyNumberFormat="1" applyFont="1" applyBorder="1" applyAlignment="1">
      <alignment vertical="center" wrapText="1"/>
    </xf>
    <xf numFmtId="43" fontId="13" fillId="0" borderId="1" xfId="1" applyFont="1" applyBorder="1" applyAlignment="1">
      <alignment vertical="center" wrapText="1"/>
    </xf>
    <xf numFmtId="0" fontId="15" fillId="0" borderId="0" xfId="0" applyFont="1"/>
    <xf numFmtId="0" fontId="17" fillId="2" borderId="1" xfId="0" applyFont="1" applyFill="1" applyBorder="1" applyAlignment="1">
      <alignment horizontal="left" vertical="center" wrapText="1"/>
    </xf>
    <xf numFmtId="0" fontId="17" fillId="2" borderId="1" xfId="0" applyFont="1" applyFill="1" applyBorder="1" applyAlignment="1">
      <alignment horizontal="center" vertical="center" wrapText="1"/>
    </xf>
    <xf numFmtId="0" fontId="19" fillId="0" borderId="0" xfId="0" applyFont="1" applyAlignment="1" applyProtection="1">
      <alignment horizontal="center" vertical="top"/>
      <protection hidden="1"/>
    </xf>
    <xf numFmtId="0" fontId="19" fillId="0" borderId="0" xfId="0" applyFont="1" applyAlignment="1" applyProtection="1">
      <alignment horizontal="center" vertical="center"/>
      <protection hidden="1"/>
    </xf>
    <xf numFmtId="0" fontId="16" fillId="0" borderId="0" xfId="0" applyFont="1"/>
    <xf numFmtId="0" fontId="16" fillId="0" borderId="0" xfId="0" applyFont="1" applyAlignment="1">
      <alignment horizontal="right"/>
    </xf>
    <xf numFmtId="0" fontId="20" fillId="0" borderId="0" xfId="0" applyFont="1"/>
    <xf numFmtId="0" fontId="20" fillId="0" borderId="0" xfId="0" applyFont="1" applyAlignment="1">
      <alignment horizontal="center" vertical="center" wrapText="1"/>
    </xf>
    <xf numFmtId="0" fontId="20" fillId="0" borderId="1" xfId="0" applyFont="1" applyBorder="1" applyAlignment="1">
      <alignment horizontal="center" vertical="center" wrapText="1"/>
    </xf>
    <xf numFmtId="0" fontId="20" fillId="0" borderId="1" xfId="0" applyFont="1" applyBorder="1"/>
    <xf numFmtId="0" fontId="20" fillId="0" borderId="0" xfId="0" applyFont="1" applyAlignment="1">
      <alignment horizontal="justify" vertical="top" wrapText="1"/>
    </xf>
    <xf numFmtId="0" fontId="20" fillId="0" borderId="0" xfId="0" applyFont="1" applyAlignment="1">
      <alignment wrapText="1"/>
    </xf>
    <xf numFmtId="0" fontId="20" fillId="0" borderId="0" xfId="0" applyFont="1" applyAlignment="1">
      <alignment vertical="top" wrapText="1"/>
    </xf>
    <xf numFmtId="0" fontId="20" fillId="0" borderId="0" xfId="0" applyFont="1" applyAlignment="1">
      <alignment vertical="center" wrapText="1"/>
    </xf>
    <xf numFmtId="0" fontId="23" fillId="0" borderId="0" xfId="0" applyFont="1"/>
    <xf numFmtId="0" fontId="22" fillId="0" borderId="1" xfId="0" applyFont="1" applyBorder="1" applyAlignment="1">
      <alignment horizontal="center" vertical="center" wrapText="1"/>
    </xf>
    <xf numFmtId="0" fontId="22" fillId="0" borderId="0" xfId="0" applyFont="1" applyAlignment="1">
      <alignment horizontal="center" vertical="center" wrapText="1"/>
    </xf>
    <xf numFmtId="0" fontId="23" fillId="0" borderId="1" xfId="0" applyFont="1" applyBorder="1" applyAlignment="1">
      <alignment horizontal="center" vertical="top" wrapText="1"/>
    </xf>
    <xf numFmtId="43" fontId="23" fillId="0" borderId="1" xfId="1" applyFont="1" applyBorder="1" applyAlignment="1">
      <alignment horizontal="center" vertical="top" wrapText="1"/>
    </xf>
    <xf numFmtId="0" fontId="22" fillId="0" borderId="1" xfId="0" applyFont="1" applyBorder="1" applyAlignment="1">
      <alignment horizontal="center" vertical="top" wrapText="1"/>
    </xf>
    <xf numFmtId="43" fontId="22" fillId="0" borderId="1" xfId="0" applyNumberFormat="1" applyFont="1" applyBorder="1" applyAlignment="1">
      <alignment horizontal="center" vertical="top" wrapText="1"/>
    </xf>
    <xf numFmtId="0" fontId="22" fillId="0" borderId="0" xfId="0" applyFont="1"/>
    <xf numFmtId="0" fontId="15" fillId="0" borderId="0" xfId="0" applyFont="1" applyAlignment="1">
      <alignment horizontal="left"/>
    </xf>
    <xf numFmtId="14" fontId="20" fillId="0" borderId="1" xfId="0" applyNumberFormat="1" applyFont="1" applyBorder="1"/>
    <xf numFmtId="43" fontId="20" fillId="0" borderId="1" xfId="1" applyFont="1" applyBorder="1"/>
    <xf numFmtId="14" fontId="20" fillId="0" borderId="0" xfId="0" applyNumberFormat="1" applyFont="1"/>
    <xf numFmtId="43" fontId="20" fillId="0" borderId="0" xfId="1" applyFont="1" applyBorder="1"/>
    <xf numFmtId="0" fontId="21" fillId="0" borderId="0" xfId="0" applyFont="1"/>
    <xf numFmtId="0" fontId="21" fillId="0" borderId="0" xfId="0" applyFont="1" applyAlignment="1">
      <alignment horizontal="right"/>
    </xf>
    <xf numFmtId="0" fontId="21" fillId="0" borderId="1" xfId="0" applyFont="1" applyBorder="1" applyAlignment="1">
      <alignment horizontal="center" vertical="center" wrapText="1"/>
    </xf>
    <xf numFmtId="0" fontId="21" fillId="0" borderId="0" xfId="0" applyFont="1" applyAlignment="1">
      <alignment horizontal="center"/>
    </xf>
    <xf numFmtId="0" fontId="28" fillId="0" borderId="0" xfId="0" applyFont="1" applyAlignment="1">
      <alignment horizontal="center" wrapText="1"/>
    </xf>
    <xf numFmtId="0" fontId="20" fillId="0" borderId="0" xfId="0" applyFont="1" applyAlignment="1">
      <alignment horizontal="center" wrapText="1"/>
    </xf>
    <xf numFmtId="0" fontId="27" fillId="0" borderId="0" xfId="0" applyFont="1" applyAlignment="1">
      <alignment horizontal="center" wrapText="1"/>
    </xf>
    <xf numFmtId="0" fontId="20" fillId="0" borderId="8" xfId="0" applyFont="1" applyBorder="1" applyAlignment="1">
      <alignment horizontal="center" wrapText="1"/>
    </xf>
    <xf numFmtId="0" fontId="20" fillId="0" borderId="9" xfId="0" applyFont="1" applyBorder="1" applyAlignment="1">
      <alignment horizontal="center" wrapText="1"/>
    </xf>
    <xf numFmtId="0" fontId="21" fillId="0" borderId="1" xfId="0" applyFont="1" applyBorder="1"/>
    <xf numFmtId="14" fontId="21" fillId="0" borderId="1" xfId="0" applyNumberFormat="1" applyFont="1" applyBorder="1"/>
    <xf numFmtId="43" fontId="21" fillId="0" borderId="1" xfId="1" applyFont="1" applyBorder="1"/>
    <xf numFmtId="0" fontId="13" fillId="4" borderId="1" xfId="0" applyFont="1" applyFill="1" applyBorder="1" applyAlignment="1">
      <alignment vertical="center" wrapText="1"/>
    </xf>
    <xf numFmtId="0" fontId="21" fillId="0" borderId="0" xfId="0" applyFont="1" applyAlignment="1">
      <alignment horizontal="center" vertical="center" wrapText="1"/>
    </xf>
    <xf numFmtId="43" fontId="33" fillId="0" borderId="1" xfId="1" applyFont="1" applyBorder="1"/>
    <xf numFmtId="43" fontId="13" fillId="4" borderId="1" xfId="1" applyFont="1" applyFill="1" applyBorder="1" applyAlignment="1">
      <alignment vertical="center" wrapText="1"/>
    </xf>
    <xf numFmtId="0" fontId="20" fillId="0" borderId="0" xfId="0" applyFont="1" applyAlignment="1">
      <alignment horizontal="left" vertical="top" wrapText="1"/>
    </xf>
    <xf numFmtId="0" fontId="20" fillId="0" borderId="8" xfId="0" applyFont="1" applyBorder="1" applyAlignment="1">
      <alignment wrapText="1"/>
    </xf>
    <xf numFmtId="0" fontId="20" fillId="0" borderId="9" xfId="0" applyFont="1" applyBorder="1" applyAlignment="1">
      <alignment wrapText="1"/>
    </xf>
    <xf numFmtId="165" fontId="32" fillId="2" borderId="1" xfId="0" applyNumberFormat="1" applyFont="1" applyFill="1" applyBorder="1" applyAlignment="1">
      <alignment vertical="center" wrapText="1"/>
    </xf>
    <xf numFmtId="165" fontId="13" fillId="2" borderId="1" xfId="0" applyNumberFormat="1" applyFont="1" applyFill="1" applyBorder="1" applyAlignment="1">
      <alignment vertical="center" wrapText="1"/>
    </xf>
    <xf numFmtId="0" fontId="13"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6" fillId="4" borderId="1" xfId="0" applyFont="1" applyFill="1" applyBorder="1"/>
    <xf numFmtId="0" fontId="16" fillId="0" borderId="0" xfId="0" applyFont="1" applyAlignment="1">
      <alignment horizontal="center" vertical="center" wrapText="1"/>
    </xf>
    <xf numFmtId="0" fontId="16" fillId="0" borderId="0" xfId="0" applyFont="1" applyAlignment="1">
      <alignment horizontal="center"/>
    </xf>
    <xf numFmtId="0" fontId="15" fillId="0" borderId="0" xfId="0" applyFont="1" applyAlignment="1">
      <alignment horizontal="center" vertical="center"/>
    </xf>
    <xf numFmtId="43" fontId="13" fillId="4" borderId="3" xfId="1" applyFont="1" applyFill="1" applyBorder="1" applyAlignment="1">
      <alignment vertical="center" wrapText="1"/>
    </xf>
    <xf numFmtId="0" fontId="14" fillId="2" borderId="1" xfId="0" applyFont="1" applyFill="1" applyBorder="1" applyAlignment="1">
      <alignment horizontal="right" vertical="center" wrapText="1"/>
    </xf>
    <xf numFmtId="0" fontId="15" fillId="0" borderId="0" xfId="0" applyFont="1" applyAlignment="1">
      <alignment vertical="top" wrapText="1"/>
    </xf>
    <xf numFmtId="0" fontId="16" fillId="0" borderId="0" xfId="0" applyFont="1" applyAlignment="1">
      <alignment horizontal="center" wrapText="1"/>
    </xf>
    <xf numFmtId="0" fontId="15" fillId="0" borderId="0" xfId="0" applyFont="1" applyAlignment="1">
      <alignment vertical="top"/>
    </xf>
    <xf numFmtId="0" fontId="13" fillId="6" borderId="1" xfId="0" applyFont="1" applyFill="1" applyBorder="1" applyAlignment="1">
      <alignment vertical="center" wrapText="1"/>
    </xf>
    <xf numFmtId="165" fontId="13" fillId="2" borderId="1" xfId="0" applyNumberFormat="1" applyFont="1" applyFill="1" applyBorder="1" applyAlignment="1">
      <alignment horizontal="left" vertical="center" wrapText="1"/>
    </xf>
    <xf numFmtId="14" fontId="13" fillId="6" borderId="1" xfId="0" applyNumberFormat="1" applyFont="1" applyFill="1" applyBorder="1" applyAlignment="1">
      <alignment vertical="center" wrapText="1"/>
    </xf>
    <xf numFmtId="165" fontId="13" fillId="6" borderId="1" xfId="0" applyNumberFormat="1" applyFont="1" applyFill="1" applyBorder="1" applyAlignment="1">
      <alignment vertical="center" wrapText="1"/>
    </xf>
    <xf numFmtId="9" fontId="13" fillId="7" borderId="1" xfId="0" applyNumberFormat="1" applyFont="1" applyFill="1" applyBorder="1" applyAlignment="1">
      <alignment vertical="center" wrapText="1"/>
    </xf>
    <xf numFmtId="49" fontId="13" fillId="7" borderId="1" xfId="1" applyNumberFormat="1" applyFont="1" applyFill="1" applyBorder="1" applyAlignment="1">
      <alignment vertical="center" wrapText="1"/>
    </xf>
    <xf numFmtId="40" fontId="13" fillId="7" borderId="1" xfId="1" applyNumberFormat="1" applyFont="1" applyFill="1" applyBorder="1" applyAlignment="1">
      <alignment vertical="center" wrapText="1"/>
    </xf>
    <xf numFmtId="0" fontId="14" fillId="2" borderId="1" xfId="0" applyFont="1" applyFill="1" applyBorder="1" applyAlignment="1">
      <alignment horizontal="center" vertical="center" wrapText="1"/>
    </xf>
    <xf numFmtId="49" fontId="13" fillId="4" borderId="1" xfId="0" applyNumberFormat="1" applyFont="1" applyFill="1" applyBorder="1" applyAlignment="1">
      <alignment horizontal="left" vertical="center" wrapText="1"/>
    </xf>
    <xf numFmtId="0" fontId="39" fillId="0" borderId="0" xfId="0" applyFont="1"/>
    <xf numFmtId="0" fontId="33" fillId="0" borderId="0" xfId="0" applyFont="1"/>
    <xf numFmtId="0" fontId="39" fillId="0" borderId="0" xfId="0" applyFont="1" applyAlignment="1">
      <alignment horizontal="right"/>
    </xf>
    <xf numFmtId="164" fontId="33" fillId="0" borderId="0" xfId="0" applyNumberFormat="1" applyFont="1"/>
    <xf numFmtId="166" fontId="33" fillId="0" borderId="0" xfId="0" applyNumberFormat="1" applyFont="1"/>
    <xf numFmtId="0" fontId="33" fillId="0" borderId="1" xfId="0" applyFont="1" applyBorder="1" applyAlignment="1">
      <alignment horizontal="center" vertical="center" wrapText="1"/>
    </xf>
    <xf numFmtId="0" fontId="33" fillId="0" borderId="0" xfId="0" applyFont="1" applyAlignment="1">
      <alignment horizontal="center" vertical="center" wrapText="1"/>
    </xf>
    <xf numFmtId="0" fontId="33" fillId="0" borderId="1" xfId="0" applyFont="1" applyBorder="1"/>
    <xf numFmtId="14" fontId="33" fillId="0" borderId="1" xfId="0" applyNumberFormat="1" applyFont="1" applyBorder="1"/>
    <xf numFmtId="167" fontId="33" fillId="0" borderId="0" xfId="0" applyNumberFormat="1" applyFont="1"/>
    <xf numFmtId="0" fontId="39" fillId="0" borderId="1" xfId="0" applyFont="1" applyBorder="1"/>
    <xf numFmtId="14" fontId="39" fillId="0" borderId="1" xfId="0" applyNumberFormat="1" applyFont="1" applyBorder="1"/>
    <xf numFmtId="43" fontId="39" fillId="0" borderId="1" xfId="1" applyFont="1" applyBorder="1"/>
    <xf numFmtId="14" fontId="33" fillId="0" borderId="0" xfId="0" applyNumberFormat="1" applyFont="1"/>
    <xf numFmtId="43" fontId="33" fillId="0" borderId="0" xfId="1" applyFont="1" applyBorder="1"/>
    <xf numFmtId="14" fontId="32" fillId="5" borderId="0" xfId="0" applyNumberFormat="1" applyFont="1" applyFill="1"/>
    <xf numFmtId="0" fontId="32" fillId="5" borderId="0" xfId="0" applyFont="1" applyFill="1"/>
    <xf numFmtId="0" fontId="32" fillId="0" borderId="0" xfId="0" applyFont="1"/>
    <xf numFmtId="168" fontId="42" fillId="5" borderId="0" xfId="0" applyNumberFormat="1" applyFont="1" applyFill="1"/>
    <xf numFmtId="0" fontId="32" fillId="4" borderId="0" xfId="0" applyFont="1" applyFill="1"/>
    <xf numFmtId="1" fontId="32" fillId="5" borderId="0" xfId="0" applyNumberFormat="1" applyFont="1" applyFill="1"/>
    <xf numFmtId="49" fontId="33" fillId="0" borderId="0" xfId="0" applyNumberFormat="1" applyFont="1" applyAlignment="1">
      <alignment horizontal="right"/>
    </xf>
    <xf numFmtId="0" fontId="43" fillId="0" borderId="0" xfId="0" applyFont="1" applyAlignment="1">
      <alignment vertical="center"/>
    </xf>
    <xf numFmtId="0" fontId="44" fillId="0" borderId="0" xfId="0" applyFont="1" applyAlignment="1">
      <alignment horizontal="right" vertical="center"/>
    </xf>
    <xf numFmtId="0" fontId="44" fillId="0" borderId="0" xfId="0" applyFont="1" applyAlignment="1">
      <alignment horizontal="right" vertical="center" wrapText="1"/>
    </xf>
    <xf numFmtId="43" fontId="20" fillId="0" borderId="1" xfId="1" applyFont="1" applyBorder="1" applyAlignment="1">
      <alignment horizontal="center" vertical="top" wrapText="1"/>
    </xf>
    <xf numFmtId="0" fontId="45" fillId="7" borderId="1" xfId="0" applyFont="1" applyFill="1" applyBorder="1"/>
    <xf numFmtId="0" fontId="45"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32" fillId="4" borderId="1" xfId="0" applyFont="1" applyFill="1" applyBorder="1"/>
    <xf numFmtId="0" fontId="45"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4" fillId="0" borderId="0" xfId="0" applyFont="1" applyAlignment="1">
      <alignment horizontal="right"/>
    </xf>
    <xf numFmtId="0" fontId="34" fillId="0" borderId="0" xfId="0" applyFont="1" applyAlignment="1">
      <alignment horizontal="justify"/>
    </xf>
    <xf numFmtId="0" fontId="34" fillId="0" borderId="0" xfId="0" applyFont="1" applyAlignment="1">
      <alignment horizontal="justify" vertical="center"/>
    </xf>
    <xf numFmtId="0" fontId="34" fillId="0" borderId="1" xfId="0" applyFont="1" applyBorder="1" applyAlignment="1">
      <alignment horizontal="justify"/>
    </xf>
    <xf numFmtId="0" fontId="34" fillId="0" borderId="0" xfId="0" applyFont="1" applyAlignment="1">
      <alignment horizontal="justify" vertical="center" wrapText="1"/>
    </xf>
    <xf numFmtId="0" fontId="34" fillId="0" borderId="0" xfId="0" applyFont="1" applyAlignment="1">
      <alignment horizontal="left"/>
    </xf>
    <xf numFmtId="0" fontId="34" fillId="0" borderId="11" xfId="0" applyFont="1" applyBorder="1" applyAlignment="1">
      <alignment horizontal="center"/>
    </xf>
    <xf numFmtId="0" fontId="34" fillId="0" borderId="0" xfId="0" applyFont="1" applyAlignment="1">
      <alignment horizontal="center"/>
    </xf>
    <xf numFmtId="0" fontId="13" fillId="3" borderId="1" xfId="0" applyFont="1" applyFill="1" applyBorder="1" applyAlignment="1">
      <alignment horizontal="center" vertical="center" wrapText="1"/>
    </xf>
    <xf numFmtId="0" fontId="20" fillId="0" borderId="0" xfId="0" applyFont="1" applyAlignment="1">
      <alignment vertical="top"/>
    </xf>
    <xf numFmtId="0" fontId="21" fillId="0" borderId="0" xfId="0" applyFont="1" applyAlignment="1">
      <alignment horizontal="left" vertical="center" wrapText="1"/>
    </xf>
    <xf numFmtId="0" fontId="21" fillId="0" borderId="0" xfId="0" applyFont="1" applyAlignment="1">
      <alignment horizontal="right" vertical="center" wrapText="1"/>
    </xf>
    <xf numFmtId="0" fontId="0" fillId="0" borderId="0" xfId="0" applyAlignment="1">
      <alignment horizontal="left" vertical="center"/>
    </xf>
    <xf numFmtId="0" fontId="20" fillId="0" borderId="0" xfId="0" applyFont="1" applyAlignment="1">
      <alignment horizontal="left" vertical="center" wrapText="1"/>
    </xf>
    <xf numFmtId="0" fontId="20" fillId="0" borderId="0" xfId="0" applyFont="1" applyAlignment="1">
      <alignment horizontal="right"/>
    </xf>
    <xf numFmtId="0" fontId="14" fillId="6" borderId="1" xfId="0" applyFont="1" applyFill="1" applyBorder="1" applyAlignment="1">
      <alignment horizontal="left" vertical="center" wrapText="1"/>
    </xf>
    <xf numFmtId="0" fontId="14" fillId="6" borderId="1" xfId="0" applyFont="1" applyFill="1" applyBorder="1" applyAlignment="1">
      <alignment vertical="center" wrapText="1"/>
    </xf>
    <xf numFmtId="0" fontId="17" fillId="4" borderId="1" xfId="0" applyFont="1" applyFill="1" applyBorder="1" applyAlignment="1">
      <alignment horizontal="center" vertical="center" wrapText="1"/>
    </xf>
    <xf numFmtId="0" fontId="23" fillId="0" borderId="0" xfId="0" applyFont="1" applyAlignment="1">
      <alignment wrapText="1"/>
    </xf>
    <xf numFmtId="165" fontId="23" fillId="0" borderId="0" xfId="0" applyNumberFormat="1" applyFont="1"/>
    <xf numFmtId="0" fontId="22" fillId="0" borderId="0" xfId="0" applyFont="1" applyAlignment="1">
      <alignment vertical="center" wrapText="1"/>
    </xf>
    <xf numFmtId="0" fontId="22" fillId="0" borderId="0" xfId="0" applyFont="1" applyAlignment="1">
      <alignment horizontal="left"/>
    </xf>
    <xf numFmtId="0" fontId="16" fillId="0" borderId="0" xfId="0" applyFont="1" applyAlignment="1">
      <alignment horizontal="left"/>
    </xf>
    <xf numFmtId="0" fontId="13" fillId="4" borderId="3" xfId="0" applyFont="1" applyFill="1" applyBorder="1" applyAlignment="1">
      <alignment vertical="center" wrapText="1"/>
    </xf>
    <xf numFmtId="0" fontId="23" fillId="0" borderId="0" xfId="0" applyFont="1" applyAlignment="1">
      <alignment horizontal="center" vertical="top" wrapText="1"/>
    </xf>
    <xf numFmtId="0" fontId="47" fillId="2" borderId="1" xfId="0" applyFont="1" applyFill="1" applyBorder="1" applyAlignment="1">
      <alignment vertical="center" wrapText="1"/>
    </xf>
    <xf numFmtId="0" fontId="13" fillId="9" borderId="1" xfId="0" applyFont="1" applyFill="1" applyBorder="1" applyAlignment="1">
      <alignment vertical="center" wrapText="1"/>
    </xf>
    <xf numFmtId="0" fontId="11" fillId="0" borderId="0" xfId="0" applyFont="1"/>
    <xf numFmtId="0" fontId="48" fillId="0" borderId="0" xfId="0" applyFont="1" applyAlignment="1">
      <alignment vertical="center"/>
    </xf>
    <xf numFmtId="0" fontId="49" fillId="0" borderId="0" xfId="0" applyFont="1" applyAlignment="1">
      <alignment wrapText="1"/>
    </xf>
    <xf numFmtId="0" fontId="15" fillId="0" borderId="0" xfId="0" applyFont="1" applyAlignment="1">
      <alignment wrapText="1"/>
    </xf>
    <xf numFmtId="0" fontId="51" fillId="0" borderId="0" xfId="0" applyFont="1"/>
    <xf numFmtId="0" fontId="16" fillId="0" borderId="0" xfId="0" applyFont="1" applyAlignment="1">
      <alignment horizontal="left" vertical="center" wrapText="1"/>
    </xf>
    <xf numFmtId="0" fontId="15" fillId="0" borderId="0" xfId="0" applyFont="1" applyAlignment="1">
      <alignment horizontal="left" vertical="top" wrapText="1"/>
    </xf>
    <xf numFmtId="0" fontId="37" fillId="0" borderId="0" xfId="0" applyFont="1" applyAlignment="1">
      <alignment horizontal="left"/>
    </xf>
    <xf numFmtId="0" fontId="16" fillId="0" borderId="0" xfId="0" applyFont="1" applyAlignment="1">
      <alignment horizontal="left" vertical="top" wrapText="1"/>
    </xf>
    <xf numFmtId="49" fontId="15" fillId="0" borderId="0" xfId="0" applyNumberFormat="1" applyFont="1" applyAlignment="1">
      <alignment horizontal="left" vertical="top" wrapText="1"/>
    </xf>
    <xf numFmtId="0" fontId="13" fillId="5" borderId="1" xfId="0" applyFont="1" applyFill="1" applyBorder="1" applyAlignment="1">
      <alignment vertical="center" wrapText="1"/>
    </xf>
    <xf numFmtId="0" fontId="20" fillId="0" borderId="0" xfId="0" applyFont="1" applyAlignment="1">
      <alignment horizontal="left"/>
    </xf>
    <xf numFmtId="14" fontId="13" fillId="3" borderId="1" xfId="0" applyNumberFormat="1" applyFont="1" applyFill="1" applyBorder="1" applyAlignment="1">
      <alignment horizontal="center" vertical="center" wrapText="1"/>
    </xf>
    <xf numFmtId="0" fontId="53" fillId="2" borderId="1" xfId="0" applyFont="1" applyFill="1" applyBorder="1" applyAlignment="1">
      <alignment horizontal="left" vertical="center" wrapText="1"/>
    </xf>
    <xf numFmtId="0" fontId="53" fillId="2" borderId="1" xfId="0" applyFont="1" applyFill="1" applyBorder="1" applyAlignment="1">
      <alignment vertical="center" wrapText="1"/>
    </xf>
    <xf numFmtId="0" fontId="35" fillId="4" borderId="1" xfId="0" applyFont="1" applyFill="1" applyBorder="1" applyAlignment="1">
      <alignment vertical="center" wrapText="1"/>
    </xf>
    <xf numFmtId="0" fontId="55" fillId="4" borderId="1" xfId="0" applyFont="1" applyFill="1" applyBorder="1" applyAlignment="1">
      <alignment vertical="center" wrapText="1"/>
    </xf>
    <xf numFmtId="0" fontId="54" fillId="2" borderId="1" xfId="0" applyFont="1" applyFill="1" applyBorder="1" applyAlignment="1">
      <alignment vertical="center" wrapText="1"/>
    </xf>
    <xf numFmtId="0" fontId="53" fillId="10" borderId="2" xfId="0" applyFont="1" applyFill="1" applyBorder="1" applyAlignment="1">
      <alignment horizontal="left" vertical="center" wrapText="1"/>
    </xf>
    <xf numFmtId="0" fontId="53" fillId="10" borderId="24" xfId="0" applyFont="1" applyFill="1" applyBorder="1" applyAlignment="1">
      <alignment horizontal="left" vertical="center" wrapText="1"/>
    </xf>
    <xf numFmtId="43" fontId="55" fillId="4" borderId="1" xfId="1" applyFont="1" applyFill="1" applyBorder="1" applyAlignment="1">
      <alignment vertical="center" wrapText="1"/>
    </xf>
    <xf numFmtId="0" fontId="20" fillId="11" borderId="0" xfId="0" applyFont="1" applyFill="1"/>
    <xf numFmtId="0" fontId="13" fillId="10" borderId="0" xfId="0" applyFont="1" applyFill="1"/>
    <xf numFmtId="0" fontId="14" fillId="10" borderId="0" xfId="0" applyFont="1" applyFill="1" applyAlignment="1">
      <alignment vertical="center" wrapText="1"/>
    </xf>
    <xf numFmtId="49" fontId="13" fillId="10" borderId="0" xfId="0" applyNumberFormat="1" applyFont="1" applyFill="1"/>
    <xf numFmtId="0" fontId="13" fillId="10" borderId="0" xfId="0" applyFont="1" applyFill="1" applyAlignment="1">
      <alignment vertical="center" wrapText="1"/>
    </xf>
    <xf numFmtId="49" fontId="35" fillId="4" borderId="1" xfId="0" applyNumberFormat="1" applyFont="1" applyFill="1" applyBorder="1" applyAlignment="1">
      <alignment vertical="center" wrapText="1"/>
    </xf>
    <xf numFmtId="0" fontId="14" fillId="2" borderId="13" xfId="0" applyFont="1" applyFill="1" applyBorder="1" applyAlignment="1">
      <alignment vertical="center" wrapText="1"/>
    </xf>
    <xf numFmtId="0" fontId="13" fillId="0" borderId="13" xfId="0" applyFont="1" applyBorder="1" applyAlignment="1">
      <alignment vertical="center" wrapText="1"/>
    </xf>
    <xf numFmtId="0" fontId="52" fillId="12" borderId="25" xfId="0" applyFont="1" applyFill="1" applyBorder="1" applyAlignment="1">
      <alignment vertical="center" wrapText="1"/>
    </xf>
    <xf numFmtId="0" fontId="52" fillId="12" borderId="27" xfId="0" applyFont="1" applyFill="1" applyBorder="1" applyAlignment="1">
      <alignment vertical="center" wrapText="1"/>
    </xf>
    <xf numFmtId="43" fontId="13" fillId="12" borderId="28" xfId="1" applyFont="1" applyFill="1" applyBorder="1" applyAlignment="1">
      <alignment vertical="center" wrapText="1"/>
    </xf>
    <xf numFmtId="0" fontId="14" fillId="12" borderId="29" xfId="0" applyFont="1" applyFill="1" applyBorder="1" applyAlignment="1">
      <alignment vertical="center" wrapText="1"/>
    </xf>
    <xf numFmtId="43" fontId="13" fillId="12" borderId="30" xfId="1" applyFont="1" applyFill="1" applyBorder="1" applyAlignment="1">
      <alignment vertical="center" wrapText="1"/>
    </xf>
    <xf numFmtId="0" fontId="21" fillId="0" borderId="0" xfId="0" applyFont="1" applyAlignment="1">
      <alignment horizontal="left" wrapText="1"/>
    </xf>
    <xf numFmtId="0" fontId="15" fillId="0" borderId="0" xfId="0" applyFont="1" applyAlignment="1">
      <alignment vertical="center" wrapText="1"/>
    </xf>
    <xf numFmtId="0" fontId="14" fillId="2" borderId="1" xfId="0" applyFont="1" applyFill="1" applyBorder="1" applyAlignment="1">
      <alignment horizontal="left" vertical="center" wrapText="1"/>
    </xf>
    <xf numFmtId="0" fontId="59" fillId="0" borderId="0" xfId="0" applyFont="1" applyAlignment="1" applyProtection="1">
      <alignment horizontal="center" vertical="center"/>
      <protection hidden="1"/>
    </xf>
    <xf numFmtId="0" fontId="60" fillId="0" borderId="0" xfId="0" applyFont="1" applyAlignment="1" applyProtection="1">
      <alignment horizontal="center" vertical="center"/>
      <protection hidden="1"/>
    </xf>
    <xf numFmtId="0" fontId="24" fillId="0" borderId="0" xfId="0" applyFont="1" applyAlignment="1">
      <alignment horizontal="center"/>
    </xf>
    <xf numFmtId="0" fontId="15" fillId="0" borderId="0" xfId="0" applyFont="1" applyAlignment="1">
      <alignment horizontal="left" vertical="center" wrapText="1"/>
    </xf>
    <xf numFmtId="0" fontId="15" fillId="0" borderId="0" xfId="0" applyFont="1" applyAlignment="1">
      <alignment horizontal="center"/>
    </xf>
    <xf numFmtId="0" fontId="62" fillId="4" borderId="1" xfId="0" applyFont="1" applyFill="1" applyBorder="1" applyAlignment="1">
      <alignment vertical="center" wrapText="1"/>
    </xf>
    <xf numFmtId="170" fontId="61" fillId="0" borderId="1" xfId="0" applyNumberFormat="1" applyFont="1" applyBorder="1" applyAlignment="1">
      <alignment vertical="center" wrapText="1"/>
    </xf>
    <xf numFmtId="43" fontId="61" fillId="4" borderId="1" xfId="1" applyFont="1" applyFill="1" applyBorder="1" applyAlignment="1">
      <alignment vertical="center" wrapText="1"/>
    </xf>
    <xf numFmtId="170" fontId="61" fillId="4" borderId="1" xfId="0" applyNumberFormat="1" applyFont="1" applyFill="1" applyBorder="1" applyAlignment="1">
      <alignment vertical="center" wrapText="1"/>
    </xf>
    <xf numFmtId="0" fontId="15" fillId="5" borderId="0" xfId="0" applyFont="1" applyFill="1"/>
    <xf numFmtId="0" fontId="21" fillId="0" borderId="0" xfId="0" applyFont="1" applyAlignment="1">
      <alignment horizontal="left"/>
    </xf>
    <xf numFmtId="0" fontId="21" fillId="0" borderId="0" xfId="0" applyFont="1" applyAlignment="1">
      <alignment wrapText="1"/>
    </xf>
    <xf numFmtId="0" fontId="21" fillId="0" borderId="0" xfId="0" applyFont="1" applyAlignment="1">
      <alignment vertical="top" wrapText="1"/>
    </xf>
    <xf numFmtId="0" fontId="16" fillId="0" borderId="0" xfId="0" applyFont="1" applyAlignment="1">
      <alignment wrapText="1"/>
    </xf>
    <xf numFmtId="0" fontId="22" fillId="0" borderId="0" xfId="0" applyFont="1" applyAlignment="1">
      <alignment vertical="center"/>
    </xf>
    <xf numFmtId="0" fontId="18" fillId="0" borderId="0" xfId="0" applyFont="1" applyAlignment="1" applyProtection="1">
      <alignment horizontal="center" vertical="center"/>
      <protection hidden="1"/>
    </xf>
    <xf numFmtId="0" fontId="16" fillId="0" borderId="0" xfId="0" applyFont="1" applyAlignment="1">
      <alignment horizontal="center" vertical="center"/>
    </xf>
    <xf numFmtId="0" fontId="16" fillId="0" borderId="0" xfId="0" applyFont="1" applyAlignment="1">
      <alignment horizontal="right" wrapText="1"/>
    </xf>
    <xf numFmtId="0" fontId="63" fillId="0" borderId="0" xfId="0" applyFont="1"/>
    <xf numFmtId="0" fontId="15" fillId="0" borderId="0" xfId="0" applyFont="1" applyAlignment="1">
      <alignment horizontal="right"/>
    </xf>
    <xf numFmtId="49" fontId="15" fillId="0" borderId="0" xfId="0" applyNumberFormat="1" applyFont="1" applyAlignment="1">
      <alignment horizontal="right"/>
    </xf>
    <xf numFmtId="0" fontId="15" fillId="0" borderId="0" xfId="0" applyFont="1" applyAlignment="1">
      <alignment horizontal="left" wrapText="1"/>
    </xf>
    <xf numFmtId="0" fontId="15" fillId="5" borderId="0" xfId="0" applyFont="1" applyFill="1" applyAlignment="1">
      <alignment horizontal="left" wrapText="1"/>
    </xf>
    <xf numFmtId="0" fontId="15" fillId="5" borderId="0" xfId="0" applyFont="1" applyFill="1" applyAlignment="1">
      <alignment horizontal="left" vertical="center" wrapText="1"/>
    </xf>
    <xf numFmtId="0" fontId="13" fillId="10" borderId="1" xfId="0" applyFont="1" applyFill="1" applyBorder="1"/>
    <xf numFmtId="0" fontId="13" fillId="10" borderId="1" xfId="0" applyFont="1" applyFill="1" applyBorder="1" applyAlignment="1">
      <alignment wrapText="1"/>
    </xf>
    <xf numFmtId="10" fontId="35" fillId="10" borderId="0" xfId="287" applyNumberFormat="1" applyFont="1" applyFill="1" applyAlignment="1">
      <alignment horizontal="center"/>
    </xf>
    <xf numFmtId="0" fontId="35" fillId="10" borderId="0" xfId="0" applyFont="1" applyFill="1" applyAlignment="1">
      <alignment horizontal="center"/>
    </xf>
    <xf numFmtId="0" fontId="35" fillId="10" borderId="0" xfId="0" applyFont="1" applyFill="1"/>
    <xf numFmtId="43" fontId="13" fillId="10" borderId="0" xfId="0" applyNumberFormat="1" applyFont="1" applyFill="1"/>
    <xf numFmtId="14" fontId="13" fillId="10" borderId="0" xfId="0" applyNumberFormat="1" applyFont="1" applyFill="1"/>
    <xf numFmtId="0" fontId="58" fillId="10" borderId="16" xfId="0" applyFont="1" applyFill="1" applyBorder="1"/>
    <xf numFmtId="164" fontId="13" fillId="10" borderId="3" xfId="0" applyNumberFormat="1" applyFont="1" applyFill="1" applyBorder="1" applyAlignment="1">
      <alignment horizontal="left" vertical="top" wrapText="1"/>
    </xf>
    <xf numFmtId="168" fontId="14" fillId="10" borderId="0" xfId="0" applyNumberFormat="1" applyFont="1" applyFill="1"/>
    <xf numFmtId="0" fontId="13" fillId="10" borderId="19" xfId="0" applyFont="1" applyFill="1" applyBorder="1"/>
    <xf numFmtId="0" fontId="13" fillId="10" borderId="20" xfId="0" applyFont="1" applyFill="1" applyBorder="1"/>
    <xf numFmtId="0" fontId="17" fillId="10" borderId="1" xfId="0" applyFont="1" applyFill="1" applyBorder="1" applyAlignment="1">
      <alignment horizontal="center" vertical="center" wrapText="1"/>
    </xf>
    <xf numFmtId="0" fontId="13" fillId="10" borderId="1" xfId="0" applyFont="1" applyFill="1" applyBorder="1" applyAlignment="1">
      <alignment horizontal="center" vertical="center"/>
    </xf>
    <xf numFmtId="0" fontId="13" fillId="10" borderId="1" xfId="0" applyFont="1" applyFill="1" applyBorder="1" applyAlignment="1">
      <alignment horizontal="center" vertical="center" wrapText="1"/>
    </xf>
    <xf numFmtId="0" fontId="13" fillId="10" borderId="1" xfId="0" applyFont="1" applyFill="1" applyBorder="1" applyAlignment="1">
      <alignment horizontal="left" vertical="center"/>
    </xf>
    <xf numFmtId="0" fontId="13" fillId="10" borderId="1" xfId="0" applyFont="1" applyFill="1" applyBorder="1" applyAlignment="1">
      <alignment horizontal="left" vertical="center" wrapText="1"/>
    </xf>
    <xf numFmtId="0" fontId="13" fillId="10" borderId="1" xfId="0" applyFont="1" applyFill="1" applyBorder="1" applyAlignment="1">
      <alignment vertical="center" wrapText="1"/>
    </xf>
    <xf numFmtId="0" fontId="14" fillId="10" borderId="0" xfId="0" applyFont="1" applyFill="1" applyAlignment="1">
      <alignment vertical="center"/>
    </xf>
    <xf numFmtId="0" fontId="13" fillId="10" borderId="13" xfId="0" applyFont="1" applyFill="1" applyBorder="1" applyAlignment="1">
      <alignment vertical="center"/>
    </xf>
    <xf numFmtId="0" fontId="13" fillId="10" borderId="15" xfId="0" applyFont="1" applyFill="1" applyBorder="1" applyAlignment="1">
      <alignment vertical="center"/>
    </xf>
    <xf numFmtId="14" fontId="13" fillId="10" borderId="1" xfId="0" applyNumberFormat="1" applyFont="1" applyFill="1" applyBorder="1"/>
    <xf numFmtId="0" fontId="14" fillId="10" borderId="0" xfId="0" applyFont="1" applyFill="1"/>
    <xf numFmtId="49" fontId="13" fillId="10" borderId="1" xfId="0" applyNumberFormat="1" applyFont="1" applyFill="1" applyBorder="1"/>
    <xf numFmtId="0" fontId="14" fillId="10" borderId="0" xfId="0" applyFont="1" applyFill="1" applyAlignment="1">
      <alignment wrapText="1"/>
    </xf>
    <xf numFmtId="164" fontId="13" fillId="10" borderId="1" xfId="0" applyNumberFormat="1" applyFont="1" applyFill="1" applyBorder="1" applyAlignment="1">
      <alignment vertical="center" wrapText="1"/>
    </xf>
    <xf numFmtId="164" fontId="13" fillId="10" borderId="0" xfId="0" applyNumberFormat="1" applyFont="1" applyFill="1" applyAlignment="1">
      <alignment vertical="center" wrapText="1"/>
    </xf>
    <xf numFmtId="0" fontId="20" fillId="0" borderId="0" xfId="0" applyFont="1" applyAlignment="1">
      <alignment vertical="center"/>
    </xf>
    <xf numFmtId="0" fontId="20" fillId="0" borderId="0" xfId="0" applyFont="1" applyAlignment="1">
      <alignment horizontal="right" vertical="center"/>
    </xf>
    <xf numFmtId="0" fontId="21" fillId="0" borderId="0" xfId="0" applyFont="1" applyAlignment="1">
      <alignment vertical="center"/>
    </xf>
    <xf numFmtId="0" fontId="64" fillId="4" borderId="0" xfId="0" applyFont="1" applyFill="1"/>
    <xf numFmtId="0" fontId="64" fillId="4" borderId="0" xfId="0" applyFont="1" applyFill="1" applyAlignment="1">
      <alignment vertical="center"/>
    </xf>
    <xf numFmtId="0" fontId="7" fillId="7" borderId="1" xfId="0" applyFont="1" applyFill="1" applyBorder="1" applyAlignment="1">
      <alignment vertical="center" wrapText="1"/>
    </xf>
    <xf numFmtId="0" fontId="7" fillId="10" borderId="0" xfId="0" applyFont="1" applyFill="1"/>
    <xf numFmtId="0" fontId="7" fillId="0" borderId="1" xfId="0" applyFont="1" applyBorder="1" applyAlignment="1">
      <alignment vertical="center" wrapText="1"/>
    </xf>
    <xf numFmtId="14" fontId="15" fillId="0" borderId="0" xfId="0" applyNumberFormat="1" applyFont="1"/>
    <xf numFmtId="0" fontId="4" fillId="4" borderId="1" xfId="0" applyFont="1" applyFill="1" applyBorder="1" applyAlignment="1">
      <alignment vertical="center" wrapText="1"/>
    </xf>
    <xf numFmtId="49" fontId="4" fillId="4" borderId="1" xfId="0" applyNumberFormat="1" applyFont="1" applyFill="1" applyBorder="1" applyAlignment="1">
      <alignment vertical="center" wrapText="1"/>
    </xf>
    <xf numFmtId="0" fontId="4" fillId="0" borderId="1" xfId="0" applyFont="1" applyBorder="1" applyAlignment="1">
      <alignment vertical="center" wrapText="1"/>
    </xf>
    <xf numFmtId="0" fontId="14" fillId="3" borderId="31" xfId="0" applyFont="1" applyFill="1" applyBorder="1" applyAlignment="1">
      <alignment vertical="center" wrapText="1"/>
    </xf>
    <xf numFmtId="4" fontId="13" fillId="3" borderId="19" xfId="0" applyNumberFormat="1" applyFont="1" applyFill="1" applyBorder="1" applyAlignment="1">
      <alignment vertical="center" wrapText="1"/>
    </xf>
    <xf numFmtId="11" fontId="4" fillId="4" borderId="1" xfId="0" applyNumberFormat="1" applyFont="1" applyFill="1" applyBorder="1" applyAlignment="1">
      <alignment vertical="center" wrapText="1"/>
    </xf>
    <xf numFmtId="0" fontId="69" fillId="4" borderId="1" xfId="0" applyFont="1" applyFill="1" applyBorder="1" applyAlignment="1">
      <alignment horizontal="center" vertical="center" wrapText="1"/>
    </xf>
    <xf numFmtId="49" fontId="69" fillId="4" borderId="1" xfId="0" applyNumberFormat="1" applyFont="1" applyFill="1" applyBorder="1" applyAlignment="1">
      <alignment horizontal="center" vertical="center" wrapText="1"/>
    </xf>
    <xf numFmtId="169" fontId="69" fillId="4" borderId="1" xfId="0" applyNumberFormat="1" applyFont="1" applyFill="1" applyBorder="1" applyAlignment="1">
      <alignment horizontal="center" vertical="center" wrapText="1"/>
    </xf>
    <xf numFmtId="43" fontId="20" fillId="0" borderId="0" xfId="1" applyFont="1"/>
    <xf numFmtId="0" fontId="4" fillId="12" borderId="26" xfId="0" applyFont="1" applyFill="1" applyBorder="1" applyAlignment="1">
      <alignment vertical="center" wrapText="1"/>
    </xf>
    <xf numFmtId="0" fontId="4" fillId="6" borderId="1" xfId="0" applyFont="1" applyFill="1" applyBorder="1" applyAlignment="1">
      <alignment vertical="center" wrapText="1"/>
    </xf>
    <xf numFmtId="169" fontId="4" fillId="4" borderId="1" xfId="0" applyNumberFormat="1" applyFont="1" applyFill="1" applyBorder="1" applyAlignment="1">
      <alignment vertical="center" wrapText="1"/>
    </xf>
    <xf numFmtId="43" fontId="13" fillId="3" borderId="3" xfId="1" applyFont="1" applyFill="1" applyBorder="1" applyAlignment="1">
      <alignment vertical="center" wrapText="1"/>
    </xf>
    <xf numFmtId="0" fontId="14" fillId="4" borderId="1" xfId="0" applyFont="1" applyFill="1" applyBorder="1" applyAlignment="1">
      <alignment horizontal="left" vertical="center" wrapText="1"/>
    </xf>
    <xf numFmtId="43" fontId="4" fillId="4" borderId="1" xfId="1" applyFont="1" applyFill="1" applyBorder="1" applyAlignment="1">
      <alignment vertical="center" wrapText="1"/>
    </xf>
    <xf numFmtId="0" fontId="70" fillId="4" borderId="0" xfId="0" applyFont="1" applyFill="1" applyAlignment="1">
      <alignment horizontal="left" vertical="center" wrapText="1" indent="1"/>
    </xf>
    <xf numFmtId="14" fontId="17" fillId="2" borderId="1" xfId="0" applyNumberFormat="1" applyFont="1" applyFill="1" applyBorder="1" applyAlignment="1">
      <alignment horizontal="center" vertical="center" wrapText="1"/>
    </xf>
    <xf numFmtId="0" fontId="4" fillId="4" borderId="1" xfId="0" applyFont="1" applyFill="1" applyBorder="1" applyAlignment="1">
      <alignment vertical="center" wrapText="1"/>
    </xf>
    <xf numFmtId="0" fontId="71" fillId="4" borderId="1" xfId="0" applyFont="1" applyFill="1" applyBorder="1" applyAlignment="1">
      <alignment vertical="center" wrapText="1"/>
    </xf>
    <xf numFmtId="0" fontId="32" fillId="4" borderId="1" xfId="0" applyFont="1" applyFill="1" applyBorder="1" applyAlignment="1">
      <alignment vertical="center" wrapText="1"/>
    </xf>
    <xf numFmtId="0" fontId="72" fillId="4" borderId="1" xfId="0" applyFont="1" applyFill="1" applyBorder="1" applyAlignment="1">
      <alignment horizontal="left" vertical="center" wrapText="1"/>
    </xf>
    <xf numFmtId="49" fontId="32" fillId="4" borderId="1" xfId="0" applyNumberFormat="1" applyFont="1" applyFill="1" applyBorder="1" applyAlignment="1">
      <alignment vertical="center" wrapText="1"/>
    </xf>
    <xf numFmtId="49" fontId="32" fillId="4" borderId="1" xfId="0" applyNumberFormat="1" applyFont="1" applyFill="1" applyBorder="1" applyAlignment="1">
      <alignment horizontal="left" vertical="center" wrapText="1"/>
    </xf>
    <xf numFmtId="0" fontId="14" fillId="2" borderId="15"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6" fillId="0" borderId="0" xfId="0" applyFont="1" applyAlignment="1">
      <alignment horizontal="center" vertical="center"/>
    </xf>
    <xf numFmtId="0" fontId="15" fillId="5" borderId="0" xfId="0" applyFont="1" applyFill="1" applyAlignment="1">
      <alignment horizontal="left" vertical="top" wrapText="1"/>
    </xf>
    <xf numFmtId="0" fontId="34" fillId="5" borderId="0" xfId="0" applyFont="1" applyFill="1" applyAlignment="1">
      <alignment horizontal="left" vertical="top" wrapText="1"/>
    </xf>
    <xf numFmtId="0" fontId="15" fillId="0" borderId="0" xfId="0" applyFont="1" applyAlignment="1">
      <alignment horizontal="left" vertical="top" wrapText="1"/>
    </xf>
    <xf numFmtId="49" fontId="15" fillId="0" borderId="0" xfId="0" applyNumberFormat="1" applyFont="1" applyAlignment="1">
      <alignment horizontal="left" vertical="top" wrapText="1"/>
    </xf>
    <xf numFmtId="0" fontId="16" fillId="0" borderId="0" xfId="0" applyFont="1" applyAlignment="1">
      <alignment horizontal="center" vertical="center" wrapText="1"/>
    </xf>
    <xf numFmtId="0" fontId="15" fillId="0" borderId="0" xfId="0" applyFont="1" applyAlignment="1">
      <alignment vertical="top" wrapText="1"/>
    </xf>
    <xf numFmtId="0" fontId="37" fillId="0" borderId="0" xfId="0" applyFont="1" applyAlignment="1">
      <alignment horizontal="center" vertical="top" wrapText="1"/>
    </xf>
    <xf numFmtId="0" fontId="16" fillId="0" borderId="0" xfId="0" applyFont="1" applyAlignment="1">
      <alignment horizontal="center" vertical="top" wrapText="1"/>
    </xf>
    <xf numFmtId="0" fontId="37" fillId="0" borderId="0" xfId="0" applyFont="1" applyAlignment="1">
      <alignment horizontal="left"/>
    </xf>
    <xf numFmtId="0" fontId="16" fillId="0" borderId="0" xfId="0" applyFont="1" applyAlignment="1">
      <alignment horizontal="center"/>
    </xf>
    <xf numFmtId="0" fontId="16" fillId="0" borderId="0" xfId="0" applyFont="1" applyAlignment="1">
      <alignment horizontal="center" wrapText="1"/>
    </xf>
    <xf numFmtId="0" fontId="16" fillId="0" borderId="0" xfId="0" applyFont="1" applyAlignment="1">
      <alignment horizontal="right" vertical="center" wrapText="1"/>
    </xf>
    <xf numFmtId="0" fontId="20" fillId="0" borderId="0" xfId="0" applyFont="1" applyAlignment="1">
      <alignment horizontal="justify" vertical="top" wrapText="1"/>
    </xf>
    <xf numFmtId="0" fontId="20" fillId="0" borderId="0" xfId="0" applyFont="1" applyAlignment="1">
      <alignment horizontal="left" vertical="top" wrapText="1"/>
    </xf>
    <xf numFmtId="0" fontId="21" fillId="0" borderId="0" xfId="0" applyFont="1" applyAlignment="1">
      <alignment horizontal="center" vertical="top" wrapText="1"/>
    </xf>
    <xf numFmtId="0" fontId="20" fillId="0" borderId="0" xfId="0" applyFont="1" applyAlignment="1">
      <alignment horizontal="left" vertical="center" wrapText="1"/>
    </xf>
    <xf numFmtId="0" fontId="50" fillId="0" borderId="0" xfId="0" applyFont="1" applyAlignment="1">
      <alignment horizontal="justify" vertical="top" wrapText="1"/>
    </xf>
    <xf numFmtId="0" fontId="21" fillId="0" borderId="0" xfId="0" applyFont="1" applyAlignment="1">
      <alignment horizontal="left" vertical="center" wrapText="1"/>
    </xf>
    <xf numFmtId="0" fontId="21" fillId="0" borderId="0" xfId="0" applyFont="1" applyAlignment="1">
      <alignment horizontal="center" vertical="center" wrapText="1"/>
    </xf>
    <xf numFmtId="0" fontId="39" fillId="0" borderId="0" xfId="0" applyFont="1" applyAlignment="1">
      <alignment horizontal="center" vertical="center" wrapText="1"/>
    </xf>
    <xf numFmtId="0" fontId="33" fillId="0" borderId="0" xfId="0" applyFont="1" applyAlignment="1">
      <alignment horizontal="center"/>
    </xf>
    <xf numFmtId="0" fontId="33" fillId="0" borderId="0" xfId="0" applyFont="1" applyAlignment="1">
      <alignment horizontal="center" vertical="top" wrapText="1"/>
    </xf>
    <xf numFmtId="0" fontId="33" fillId="0" borderId="0" xfId="0" applyFont="1" applyAlignment="1">
      <alignment horizontal="left" wrapText="1"/>
    </xf>
    <xf numFmtId="0" fontId="41" fillId="0" borderId="0" xfId="0" applyFont="1" applyAlignment="1">
      <alignment horizontal="center" vertical="top" wrapText="1"/>
    </xf>
    <xf numFmtId="0" fontId="33" fillId="0" borderId="0" xfId="0" applyFont="1" applyAlignment="1">
      <alignment horizontal="center" wrapText="1"/>
    </xf>
    <xf numFmtId="0" fontId="39" fillId="0" borderId="0" xfId="0" applyFont="1" applyAlignment="1">
      <alignment horizontal="center" vertical="top" wrapText="1"/>
    </xf>
    <xf numFmtId="0" fontId="33" fillId="0" borderId="0" xfId="0" applyFont="1" applyAlignment="1">
      <alignment horizontal="justify" vertical="top" wrapText="1"/>
    </xf>
    <xf numFmtId="0" fontId="40" fillId="0" borderId="0" xfId="0" applyFont="1" applyAlignment="1">
      <alignment horizontal="center" vertical="center" wrapText="1"/>
    </xf>
    <xf numFmtId="0" fontId="39" fillId="0" borderId="0" xfId="0" applyFont="1" applyAlignment="1">
      <alignment horizontal="center" wrapText="1"/>
    </xf>
    <xf numFmtId="0" fontId="39" fillId="0" borderId="0" xfId="0" applyFont="1" applyAlignment="1">
      <alignment horizontal="right"/>
    </xf>
    <xf numFmtId="0" fontId="39" fillId="0" borderId="0" xfId="0" applyFont="1" applyAlignment="1">
      <alignment horizontal="center"/>
    </xf>
    <xf numFmtId="0" fontId="33" fillId="0" borderId="1" xfId="0" applyFont="1" applyBorder="1" applyAlignment="1">
      <alignment horizontal="center" vertical="center"/>
    </xf>
    <xf numFmtId="0" fontId="33" fillId="0" borderId="1" xfId="0" applyFont="1" applyBorder="1" applyAlignment="1">
      <alignment horizontal="center" vertical="center" wrapText="1"/>
    </xf>
    <xf numFmtId="0" fontId="33" fillId="0" borderId="1" xfId="0" applyFont="1" applyBorder="1" applyAlignment="1">
      <alignment horizontal="center"/>
    </xf>
    <xf numFmtId="0" fontId="20" fillId="0" borderId="0" xfId="0" applyFont="1" applyAlignment="1">
      <alignment horizontal="center"/>
    </xf>
    <xf numFmtId="0" fontId="20" fillId="0" borderId="0" xfId="0" applyFont="1" applyAlignment="1">
      <alignment horizontal="center" vertical="top" wrapText="1"/>
    </xf>
    <xf numFmtId="0" fontId="20" fillId="0" borderId="0" xfId="0" applyFont="1" applyAlignment="1">
      <alignment horizontal="left" wrapText="1"/>
    </xf>
    <xf numFmtId="0" fontId="25" fillId="0" borderId="0" xfId="0" applyFont="1" applyAlignment="1">
      <alignment horizontal="center" vertical="top" wrapText="1"/>
    </xf>
    <xf numFmtId="0" fontId="20" fillId="0" borderId="0" xfId="0" applyFont="1" applyAlignment="1">
      <alignment horizontal="center" wrapText="1"/>
    </xf>
    <xf numFmtId="0" fontId="26" fillId="0" borderId="0" xfId="0" applyFont="1" applyAlignment="1">
      <alignment horizontal="center" vertical="center" wrapText="1"/>
    </xf>
    <xf numFmtId="0" fontId="21" fillId="0" borderId="0" xfId="0" applyFont="1" applyAlignment="1">
      <alignment horizontal="center" wrapText="1"/>
    </xf>
    <xf numFmtId="0" fontId="21" fillId="0" borderId="0" xfId="0" applyFont="1" applyAlignment="1">
      <alignment horizontal="right"/>
    </xf>
    <xf numFmtId="0" fontId="21" fillId="0" borderId="0" xfId="0" applyFont="1" applyAlignment="1">
      <alignment horizont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20" fillId="0" borderId="1" xfId="0" applyFont="1" applyBorder="1" applyAlignment="1">
      <alignment horizontal="center"/>
    </xf>
    <xf numFmtId="0" fontId="21" fillId="0" borderId="0" xfId="0" applyFont="1" applyAlignment="1">
      <alignment horizontal="left" vertical="top" wrapText="1"/>
    </xf>
    <xf numFmtId="0" fontId="39" fillId="0" borderId="0" xfId="0" applyFont="1" applyAlignment="1">
      <alignment horizontal="left" vertical="center" wrapText="1"/>
    </xf>
    <xf numFmtId="0" fontId="31" fillId="0" borderId="0" xfId="0" applyFont="1" applyAlignment="1">
      <alignment horizontal="right" vertical="top" wrapText="1"/>
    </xf>
    <xf numFmtId="0" fontId="20" fillId="0" borderId="13"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2" xfId="0" applyFont="1" applyBorder="1" applyAlignment="1">
      <alignment horizontal="center" vertical="center" wrapText="1"/>
    </xf>
    <xf numFmtId="0" fontId="56" fillId="0" borderId="0" xfId="0" applyFont="1" applyAlignment="1">
      <alignment horizontal="center" wrapText="1"/>
    </xf>
    <xf numFmtId="0" fontId="21" fillId="0" borderId="0" xfId="0" applyFont="1" applyAlignment="1">
      <alignment horizontal="right" vertical="top" wrapText="1"/>
    </xf>
    <xf numFmtId="0" fontId="21" fillId="0" borderId="0" xfId="0" applyFont="1" applyAlignment="1">
      <alignment horizontal="right" vertical="center" wrapText="1"/>
    </xf>
    <xf numFmtId="0" fontId="15" fillId="0" borderId="0" xfId="0" applyFont="1" applyAlignment="1">
      <alignment horizontal="left" vertical="center" wrapText="1"/>
    </xf>
    <xf numFmtId="0" fontId="16" fillId="0" borderId="0" xfId="0" applyFont="1" applyAlignment="1">
      <alignment horizontal="left" vertical="center" wrapText="1"/>
    </xf>
    <xf numFmtId="0" fontId="16" fillId="0" borderId="0" xfId="0" applyFont="1" applyAlignment="1">
      <alignment horizontal="left" vertical="top" wrapText="1"/>
    </xf>
    <xf numFmtId="0" fontId="16" fillId="0" borderId="0" xfId="0" applyFont="1" applyAlignment="1">
      <alignment horizontal="right" vertical="center"/>
    </xf>
    <xf numFmtId="0" fontId="15" fillId="0" borderId="0" xfId="0" applyFont="1" applyAlignment="1">
      <alignment horizontal="justify" vertical="top" wrapText="1"/>
    </xf>
    <xf numFmtId="0" fontId="15" fillId="8" borderId="0" xfId="0" applyFont="1" applyFill="1" applyAlignment="1">
      <alignment horizontal="justify" vertical="top" wrapText="1"/>
    </xf>
    <xf numFmtId="0" fontId="15" fillId="0" borderId="0" xfId="0" applyFont="1" applyAlignment="1">
      <alignment horizontal="center" vertical="center" wrapText="1"/>
    </xf>
    <xf numFmtId="0" fontId="21" fillId="0" borderId="10" xfId="0" applyFont="1" applyBorder="1" applyAlignment="1">
      <alignment horizontal="center" wrapText="1"/>
    </xf>
    <xf numFmtId="0" fontId="21" fillId="0" borderId="11" xfId="0" applyFont="1" applyBorder="1" applyAlignment="1">
      <alignment horizontal="center" wrapText="1"/>
    </xf>
    <xf numFmtId="0" fontId="21" fillId="0" borderId="12" xfId="0" applyFont="1" applyBorder="1" applyAlignment="1">
      <alignment horizontal="center" wrapText="1"/>
    </xf>
    <xf numFmtId="0" fontId="20" fillId="0" borderId="8" xfId="0" applyFont="1" applyBorder="1" applyAlignment="1">
      <alignment horizontal="center" wrapText="1"/>
    </xf>
    <xf numFmtId="0" fontId="20" fillId="0" borderId="9" xfId="0" applyFont="1" applyBorder="1" applyAlignment="1">
      <alignment horizontal="center" wrapText="1"/>
    </xf>
    <xf numFmtId="0" fontId="21" fillId="0" borderId="8" xfId="0" applyFont="1" applyBorder="1" applyAlignment="1">
      <alignment horizontal="left" wrapText="1"/>
    </xf>
    <xf numFmtId="0" fontId="21" fillId="0" borderId="0" xfId="0" applyFont="1" applyAlignment="1">
      <alignment horizontal="left" wrapText="1"/>
    </xf>
    <xf numFmtId="0" fontId="21" fillId="0" borderId="9" xfId="0" applyFont="1" applyBorder="1" applyAlignment="1">
      <alignment horizontal="left" wrapText="1"/>
    </xf>
    <xf numFmtId="0" fontId="29" fillId="0" borderId="8" xfId="0" applyFont="1" applyBorder="1" applyAlignment="1">
      <alignment horizontal="center" wrapText="1"/>
    </xf>
    <xf numFmtId="0" fontId="29" fillId="0" borderId="0" xfId="0" applyFont="1" applyAlignment="1">
      <alignment horizontal="center" wrapText="1"/>
    </xf>
    <xf numFmtId="0" fontId="29" fillId="0" borderId="9" xfId="0" applyFont="1" applyBorder="1" applyAlignment="1">
      <alignment horizontal="center" wrapText="1"/>
    </xf>
    <xf numFmtId="0" fontId="30" fillId="0" borderId="5" xfId="0" applyFont="1" applyBorder="1" applyAlignment="1">
      <alignment horizontal="center" wrapText="1"/>
    </xf>
    <xf numFmtId="0" fontId="30" fillId="0" borderId="6" xfId="0" applyFont="1" applyBorder="1" applyAlignment="1">
      <alignment horizontal="center" wrapText="1"/>
    </xf>
    <xf numFmtId="0" fontId="30" fillId="0" borderId="7" xfId="0" applyFont="1" applyBorder="1" applyAlignment="1">
      <alignment horizontal="center" wrapText="1"/>
    </xf>
    <xf numFmtId="0" fontId="38" fillId="0" borderId="8" xfId="0" applyFont="1" applyBorder="1" applyAlignment="1">
      <alignment horizontal="center" wrapText="1"/>
    </xf>
    <xf numFmtId="0" fontId="38" fillId="0" borderId="0" xfId="0" applyFont="1" applyAlignment="1">
      <alignment horizontal="center" wrapText="1"/>
    </xf>
    <xf numFmtId="0" fontId="38" fillId="0" borderId="9" xfId="0" applyFont="1" applyBorder="1" applyAlignment="1">
      <alignment horizontal="center" wrapText="1"/>
    </xf>
    <xf numFmtId="0" fontId="23" fillId="0" borderId="0" xfId="0" applyFont="1" applyAlignment="1">
      <alignment horizontal="justify" vertical="top" wrapText="1"/>
    </xf>
    <xf numFmtId="0" fontId="22" fillId="0" borderId="0" xfId="0" applyFont="1" applyAlignment="1">
      <alignment horizontal="center" vertical="top" wrapText="1"/>
    </xf>
    <xf numFmtId="0" fontId="23" fillId="0" borderId="0" xfId="0" applyFont="1" applyAlignment="1">
      <alignment horizontal="left" vertical="top" wrapText="1"/>
    </xf>
    <xf numFmtId="0" fontId="23" fillId="0" borderId="0" xfId="0" applyFont="1" applyAlignment="1">
      <alignment horizontal="center" vertical="top" wrapText="1"/>
    </xf>
    <xf numFmtId="0" fontId="23" fillId="0" borderId="4" xfId="0" applyFont="1" applyBorder="1" applyAlignment="1">
      <alignment horizontal="center" vertical="top" wrapText="1"/>
    </xf>
    <xf numFmtId="49" fontId="23" fillId="0" borderId="0" xfId="0" applyNumberFormat="1" applyFont="1" applyAlignment="1">
      <alignment horizontal="center" vertical="center" wrapText="1"/>
    </xf>
    <xf numFmtId="0" fontId="20" fillId="0" borderId="0" xfId="0" applyFont="1" applyAlignment="1">
      <alignment horizontal="center" vertical="center"/>
    </xf>
    <xf numFmtId="49" fontId="20" fillId="0" borderId="0" xfId="0" applyNumberFormat="1" applyFont="1" applyAlignment="1">
      <alignment horizontal="justify" vertical="top" wrapText="1"/>
    </xf>
    <xf numFmtId="0" fontId="16" fillId="0" borderId="0" xfId="0" applyFont="1" applyAlignment="1">
      <alignment horizontal="right" vertical="top" wrapText="1"/>
    </xf>
    <xf numFmtId="0" fontId="15" fillId="0" borderId="0" xfId="0" applyFont="1" applyAlignment="1">
      <alignment horizontal="justify" wrapText="1"/>
    </xf>
    <xf numFmtId="0" fontId="44" fillId="0" borderId="0" xfId="0" applyFont="1" applyAlignment="1">
      <alignment vertical="center" wrapText="1"/>
    </xf>
    <xf numFmtId="0" fontId="43" fillId="0" borderId="0" xfId="0" applyFont="1" applyAlignment="1">
      <alignment horizontal="justify" vertical="center" wrapText="1"/>
    </xf>
    <xf numFmtId="0" fontId="20" fillId="0" borderId="0" xfId="0" applyFont="1" applyAlignment="1">
      <alignment vertical="top" wrapText="1"/>
    </xf>
    <xf numFmtId="0" fontId="44" fillId="0" borderId="0" xfId="0" applyFont="1" applyAlignment="1">
      <alignment horizontal="justify" vertical="center" wrapText="1"/>
    </xf>
    <xf numFmtId="0" fontId="43" fillId="0" borderId="0" xfId="0" applyFont="1" applyAlignment="1">
      <alignment horizontal="justify" vertical="top" wrapText="1"/>
    </xf>
    <xf numFmtId="0" fontId="20" fillId="0" borderId="0" xfId="0" applyFont="1" applyAlignment="1">
      <alignment horizontal="left"/>
    </xf>
    <xf numFmtId="0" fontId="22" fillId="8" borderId="3" xfId="0" applyFont="1" applyFill="1" applyBorder="1" applyAlignment="1">
      <alignment horizontal="center" vertical="center" wrapText="1"/>
    </xf>
    <xf numFmtId="0" fontId="22" fillId="8" borderId="2" xfId="0" applyFont="1" applyFill="1" applyBorder="1" applyAlignment="1">
      <alignment horizontal="center" vertical="center" wrapText="1"/>
    </xf>
    <xf numFmtId="0" fontId="22" fillId="0" borderId="0" xfId="0" applyFont="1" applyAlignment="1">
      <alignment horizontal="center" wrapText="1"/>
    </xf>
    <xf numFmtId="0" fontId="23" fillId="0" borderId="0" xfId="0" applyFont="1" applyAlignment="1">
      <alignment horizontal="left"/>
    </xf>
    <xf numFmtId="0" fontId="46" fillId="0" borderId="0" xfId="0" applyFont="1" applyAlignment="1">
      <alignment horizontal="left" vertical="center" wrapText="1" readingOrder="1"/>
    </xf>
    <xf numFmtId="0" fontId="23" fillId="0" borderId="0" xfId="0" applyFont="1" applyAlignment="1">
      <alignment horizontal="justify" vertical="top" wrapText="1" readingOrder="1"/>
    </xf>
    <xf numFmtId="0" fontId="22" fillId="0" borderId="4" xfId="0" applyFont="1" applyBorder="1" applyAlignment="1">
      <alignment horizontal="left" vertical="top"/>
    </xf>
    <xf numFmtId="0" fontId="23" fillId="0" borderId="0" xfId="0" applyFont="1" applyAlignment="1">
      <alignment horizontal="left" wrapText="1"/>
    </xf>
    <xf numFmtId="0" fontId="23" fillId="0" borderId="1"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2" xfId="0" applyFont="1" applyBorder="1" applyAlignment="1">
      <alignment horizontal="center" vertical="center" wrapText="1"/>
    </xf>
    <xf numFmtId="0" fontId="20" fillId="0" borderId="17" xfId="0" applyFont="1" applyBorder="1" applyAlignment="1">
      <alignment horizontal="left" vertical="center"/>
    </xf>
    <xf numFmtId="0" fontId="20" fillId="0" borderId="0" xfId="0" applyFont="1" applyAlignment="1">
      <alignment horizontal="left" vertical="center"/>
    </xf>
    <xf numFmtId="0" fontId="34" fillId="0" borderId="0" xfId="0" applyFont="1" applyAlignment="1">
      <alignment horizontal="justify" vertical="center" wrapText="1"/>
    </xf>
    <xf numFmtId="0" fontId="34" fillId="0" borderId="1" xfId="0" applyFont="1" applyBorder="1" applyAlignment="1">
      <alignment horizontal="justify" vertical="center" wrapText="1"/>
    </xf>
    <xf numFmtId="0" fontId="34" fillId="0" borderId="17" xfId="0" applyFont="1" applyBorder="1" applyAlignment="1">
      <alignment horizontal="justify" vertical="center" wrapText="1"/>
    </xf>
    <xf numFmtId="0" fontId="34" fillId="0" borderId="11" xfId="0" applyFont="1" applyBorder="1" applyAlignment="1">
      <alignment horizontal="justify"/>
    </xf>
    <xf numFmtId="0" fontId="34" fillId="0" borderId="0" xfId="0" applyFont="1" applyAlignment="1">
      <alignment horizontal="center"/>
    </xf>
    <xf numFmtId="0" fontId="34" fillId="0" borderId="3" xfId="0" applyFont="1" applyBorder="1" applyAlignment="1">
      <alignment horizontal="justify" vertical="center" wrapText="1"/>
    </xf>
    <xf numFmtId="0" fontId="34" fillId="0" borderId="18" xfId="0" applyFont="1" applyBorder="1" applyAlignment="1">
      <alignment horizontal="justify" vertical="center" wrapText="1"/>
    </xf>
    <xf numFmtId="0" fontId="34" fillId="0" borderId="2" xfId="0" applyFont="1" applyBorder="1" applyAlignment="1">
      <alignment horizontal="justify" vertical="center" wrapText="1"/>
    </xf>
    <xf numFmtId="0" fontId="34" fillId="0" borderId="3" xfId="0" applyFont="1" applyBorder="1" applyAlignment="1">
      <alignment horizontal="justify" vertical="center"/>
    </xf>
    <xf numFmtId="0" fontId="34" fillId="0" borderId="2" xfId="0" applyFont="1" applyBorder="1" applyAlignment="1">
      <alignment horizontal="justify" vertical="center"/>
    </xf>
    <xf numFmtId="0" fontId="34" fillId="0" borderId="21" xfId="0" applyFont="1" applyBorder="1" applyAlignment="1">
      <alignment horizontal="justify" vertical="center"/>
    </xf>
    <xf numFmtId="0" fontId="34" fillId="0" borderId="17" xfId="0" applyFont="1" applyBorder="1" applyAlignment="1">
      <alignment horizontal="justify" vertical="center"/>
    </xf>
    <xf numFmtId="0" fontId="34" fillId="0" borderId="22" xfId="0" applyFont="1" applyBorder="1" applyAlignment="1">
      <alignment horizontal="justify" vertical="center"/>
    </xf>
    <xf numFmtId="0" fontId="34" fillId="0" borderId="20" xfId="0" applyFont="1" applyBorder="1" applyAlignment="1">
      <alignment horizontal="justify" vertical="center"/>
    </xf>
    <xf numFmtId="0" fontId="34" fillId="0" borderId="4" xfId="0" applyFont="1" applyBorder="1" applyAlignment="1">
      <alignment horizontal="justify" vertical="center"/>
    </xf>
    <xf numFmtId="0" fontId="34" fillId="0" borderId="23" xfId="0" applyFont="1" applyBorder="1" applyAlignment="1">
      <alignment horizontal="justify" vertical="center"/>
    </xf>
  </cellXfs>
  <cellStyles count="17294">
    <cellStyle name="Обычный" xfId="0" builtinId="0"/>
    <cellStyle name="Обычный 10" xfId="72" xr:uid="{00000000-0005-0000-0000-000001000000}"/>
    <cellStyle name="Обычный 10 10" xfId="4326" xr:uid="{00000000-0005-0000-0000-000002000000}"/>
    <cellStyle name="Обычный 10 10 2" xfId="12971" xr:uid="{00000000-0005-0000-0000-000003000000}"/>
    <cellStyle name="Обычный 10 11" xfId="6113" xr:uid="{00000000-0005-0000-0000-000004000000}"/>
    <cellStyle name="Обычный 10 11 2" xfId="14756" xr:uid="{00000000-0005-0000-0000-000005000000}"/>
    <cellStyle name="Обычный 10 12" xfId="8720" xr:uid="{00000000-0005-0000-0000-000006000000}"/>
    <cellStyle name="Обычный 10 2" xfId="208" xr:uid="{00000000-0005-0000-0000-000007000000}"/>
    <cellStyle name="Обычный 10 2 10" xfId="8856" xr:uid="{00000000-0005-0000-0000-000008000000}"/>
    <cellStyle name="Обычный 10 2 2" xfId="1306" xr:uid="{00000000-0005-0000-0000-000009000000}"/>
    <cellStyle name="Обычный 10 2 2 2" xfId="1416" xr:uid="{00000000-0005-0000-0000-00000A000000}"/>
    <cellStyle name="Обычный 10 2 2 2 2" xfId="3200" xr:uid="{00000000-0005-0000-0000-00000B000000}"/>
    <cellStyle name="Обычный 10 2 2 2 2 2" xfId="11845" xr:uid="{00000000-0005-0000-0000-00000C000000}"/>
    <cellStyle name="Обычный 10 2 2 2 3" xfId="4844" xr:uid="{00000000-0005-0000-0000-00000D000000}"/>
    <cellStyle name="Обычный 10 2 2 2 3 2" xfId="13489" xr:uid="{00000000-0005-0000-0000-00000E000000}"/>
    <cellStyle name="Обычный 10 2 2 2 4" xfId="7456" xr:uid="{00000000-0005-0000-0000-00000F000000}"/>
    <cellStyle name="Обычный 10 2 2 2 4 2" xfId="16099" xr:uid="{00000000-0005-0000-0000-000010000000}"/>
    <cellStyle name="Обычный 10 2 2 2 5" xfId="10063" xr:uid="{00000000-0005-0000-0000-000011000000}"/>
    <cellStyle name="Обычный 10 2 2 3" xfId="3090" xr:uid="{00000000-0005-0000-0000-000012000000}"/>
    <cellStyle name="Обычный 10 2 2 3 2" xfId="11735" xr:uid="{00000000-0005-0000-0000-000013000000}"/>
    <cellStyle name="Обычный 10 2 2 4" xfId="4734" xr:uid="{00000000-0005-0000-0000-000014000000}"/>
    <cellStyle name="Обычный 10 2 2 4 2" xfId="13379" xr:uid="{00000000-0005-0000-0000-000015000000}"/>
    <cellStyle name="Обычный 10 2 2 5" xfId="7346" xr:uid="{00000000-0005-0000-0000-000016000000}"/>
    <cellStyle name="Обычный 10 2 2 5 2" xfId="15989" xr:uid="{00000000-0005-0000-0000-000017000000}"/>
    <cellStyle name="Обычный 10 2 2 6" xfId="9953" xr:uid="{00000000-0005-0000-0000-000018000000}"/>
    <cellStyle name="Обычный 10 2 3" xfId="1400" xr:uid="{00000000-0005-0000-0000-000019000000}"/>
    <cellStyle name="Обычный 10 2 3 2" xfId="3184" xr:uid="{00000000-0005-0000-0000-00001A000000}"/>
    <cellStyle name="Обычный 10 2 3 2 2" xfId="11829" xr:uid="{00000000-0005-0000-0000-00001B000000}"/>
    <cellStyle name="Обычный 10 2 3 3" xfId="4828" xr:uid="{00000000-0005-0000-0000-00001C000000}"/>
    <cellStyle name="Обычный 10 2 3 3 2" xfId="13473" xr:uid="{00000000-0005-0000-0000-00001D000000}"/>
    <cellStyle name="Обычный 10 2 3 4" xfId="7440" xr:uid="{00000000-0005-0000-0000-00001E000000}"/>
    <cellStyle name="Обычный 10 2 3 4 2" xfId="16083" xr:uid="{00000000-0005-0000-0000-00001F000000}"/>
    <cellStyle name="Обычный 10 2 3 5" xfId="10047" xr:uid="{00000000-0005-0000-0000-000020000000}"/>
    <cellStyle name="Обычный 10 2 4" xfId="2537" xr:uid="{00000000-0005-0000-0000-000021000000}"/>
    <cellStyle name="Обычный 10 2 4 2" xfId="4182" xr:uid="{00000000-0005-0000-0000-000022000000}"/>
    <cellStyle name="Обычный 10 2 4 2 2" xfId="12827" xr:uid="{00000000-0005-0000-0000-000023000000}"/>
    <cellStyle name="Обычный 10 2 4 3" xfId="5965" xr:uid="{00000000-0005-0000-0000-000024000000}"/>
    <cellStyle name="Обычный 10 2 4 3 2" xfId="14608" xr:uid="{00000000-0005-0000-0000-000025000000}"/>
    <cellStyle name="Обычный 10 2 4 4" xfId="8575" xr:uid="{00000000-0005-0000-0000-000026000000}"/>
    <cellStyle name="Обычный 10 2 4 4 2" xfId="17218" xr:uid="{00000000-0005-0000-0000-000027000000}"/>
    <cellStyle name="Обычный 10 2 4 5" xfId="11182" xr:uid="{00000000-0005-0000-0000-000028000000}"/>
    <cellStyle name="Обычный 10 2 5" xfId="1041" xr:uid="{00000000-0005-0000-0000-000029000000}"/>
    <cellStyle name="Обычный 10 2 5 2" xfId="7081" xr:uid="{00000000-0005-0000-0000-00002A000000}"/>
    <cellStyle name="Обычный 10 2 5 2 2" xfId="15724" xr:uid="{00000000-0005-0000-0000-00002B000000}"/>
    <cellStyle name="Обычный 10 2 5 3" xfId="9688" xr:uid="{00000000-0005-0000-0000-00002C000000}"/>
    <cellStyle name="Обычный 10 2 6" xfId="629" xr:uid="{00000000-0005-0000-0000-00002D000000}"/>
    <cellStyle name="Обычный 10 2 6 2" xfId="6669" xr:uid="{00000000-0005-0000-0000-00002E000000}"/>
    <cellStyle name="Обычный 10 2 6 2 2" xfId="15312" xr:uid="{00000000-0005-0000-0000-00002F000000}"/>
    <cellStyle name="Обычный 10 2 6 3" xfId="9276" xr:uid="{00000000-0005-0000-0000-000030000000}"/>
    <cellStyle name="Обычный 10 2 7" xfId="2818" xr:uid="{00000000-0005-0000-0000-000031000000}"/>
    <cellStyle name="Обычный 10 2 7 2" xfId="11463" xr:uid="{00000000-0005-0000-0000-000032000000}"/>
    <cellStyle name="Обычный 10 2 8" xfId="4462" xr:uid="{00000000-0005-0000-0000-000033000000}"/>
    <cellStyle name="Обычный 10 2 8 2" xfId="13107" xr:uid="{00000000-0005-0000-0000-000034000000}"/>
    <cellStyle name="Обычный 10 2 9" xfId="6249" xr:uid="{00000000-0005-0000-0000-000035000000}"/>
    <cellStyle name="Обычный 10 2 9 2" xfId="14892" xr:uid="{00000000-0005-0000-0000-000036000000}"/>
    <cellStyle name="Обычный 10 3" xfId="357" xr:uid="{00000000-0005-0000-0000-000037000000}"/>
    <cellStyle name="Обычный 10 3 2" xfId="1408" xr:uid="{00000000-0005-0000-0000-000038000000}"/>
    <cellStyle name="Обычный 10 3 2 2" xfId="3192" xr:uid="{00000000-0005-0000-0000-000039000000}"/>
    <cellStyle name="Обычный 10 3 2 2 2" xfId="11837" xr:uid="{00000000-0005-0000-0000-00003A000000}"/>
    <cellStyle name="Обычный 10 3 2 3" xfId="4836" xr:uid="{00000000-0005-0000-0000-00003B000000}"/>
    <cellStyle name="Обычный 10 3 2 3 2" xfId="13481" xr:uid="{00000000-0005-0000-0000-00003C000000}"/>
    <cellStyle name="Обычный 10 3 2 4" xfId="7448" xr:uid="{00000000-0005-0000-0000-00003D000000}"/>
    <cellStyle name="Обычный 10 3 2 4 2" xfId="16091" xr:uid="{00000000-0005-0000-0000-00003E000000}"/>
    <cellStyle name="Обычный 10 3 2 5" xfId="10055" xr:uid="{00000000-0005-0000-0000-00003F000000}"/>
    <cellStyle name="Обычный 10 3 3" xfId="777" xr:uid="{00000000-0005-0000-0000-000040000000}"/>
    <cellStyle name="Обычный 10 3 3 2" xfId="6817" xr:uid="{00000000-0005-0000-0000-000041000000}"/>
    <cellStyle name="Обычный 10 3 3 2 2" xfId="15460" xr:uid="{00000000-0005-0000-0000-000042000000}"/>
    <cellStyle name="Обычный 10 3 3 3" xfId="9424" xr:uid="{00000000-0005-0000-0000-000043000000}"/>
    <cellStyle name="Обычный 10 3 4" xfId="2954" xr:uid="{00000000-0005-0000-0000-000044000000}"/>
    <cellStyle name="Обычный 10 3 4 2" xfId="11599" xr:uid="{00000000-0005-0000-0000-000045000000}"/>
    <cellStyle name="Обычный 10 3 5" xfId="4598" xr:uid="{00000000-0005-0000-0000-000046000000}"/>
    <cellStyle name="Обычный 10 3 5 2" xfId="13243" xr:uid="{00000000-0005-0000-0000-000047000000}"/>
    <cellStyle name="Обычный 10 3 6" xfId="6397" xr:uid="{00000000-0005-0000-0000-000048000000}"/>
    <cellStyle name="Обычный 10 3 6 2" xfId="15040" xr:uid="{00000000-0005-0000-0000-000049000000}"/>
    <cellStyle name="Обычный 10 3 7" xfId="9004" xr:uid="{00000000-0005-0000-0000-00004A000000}"/>
    <cellStyle name="Обычный 10 4" xfId="1426" xr:uid="{00000000-0005-0000-0000-00004B000000}"/>
    <cellStyle name="Обычный 10 4 2" xfId="1880" xr:uid="{00000000-0005-0000-0000-00004C000000}"/>
    <cellStyle name="Обычный 10 4 2 2" xfId="3525" xr:uid="{00000000-0005-0000-0000-00004D000000}"/>
    <cellStyle name="Обычный 10 4 2 2 2" xfId="12170" xr:uid="{00000000-0005-0000-0000-00004E000000}"/>
    <cellStyle name="Обычный 10 4 2 3" xfId="5308" xr:uid="{00000000-0005-0000-0000-00004F000000}"/>
    <cellStyle name="Обычный 10 4 2 3 2" xfId="13951" xr:uid="{00000000-0005-0000-0000-000050000000}"/>
    <cellStyle name="Обычный 10 4 2 4" xfId="7918" xr:uid="{00000000-0005-0000-0000-000051000000}"/>
    <cellStyle name="Обычный 10 4 2 4 2" xfId="16561" xr:uid="{00000000-0005-0000-0000-000052000000}"/>
    <cellStyle name="Обычный 10 4 2 5" xfId="10525" xr:uid="{00000000-0005-0000-0000-000053000000}"/>
    <cellStyle name="Обычный 10 4 3" xfId="4854" xr:uid="{00000000-0005-0000-0000-000054000000}"/>
    <cellStyle name="Обычный 10 4 3 2" xfId="13498" xr:uid="{00000000-0005-0000-0000-000055000000}"/>
    <cellStyle name="Обычный 10 4 4" xfId="7465" xr:uid="{00000000-0005-0000-0000-000056000000}"/>
    <cellStyle name="Обычный 10 4 4 2" xfId="16108" xr:uid="{00000000-0005-0000-0000-000057000000}"/>
    <cellStyle name="Обычный 10 4 5" xfId="10072" xr:uid="{00000000-0005-0000-0000-000058000000}"/>
    <cellStyle name="Обычный 10 5" xfId="1392" xr:uid="{00000000-0005-0000-0000-000059000000}"/>
    <cellStyle name="Обычный 10 5 2" xfId="3176" xr:uid="{00000000-0005-0000-0000-00005A000000}"/>
    <cellStyle name="Обычный 10 5 2 2" xfId="11821" xr:uid="{00000000-0005-0000-0000-00005B000000}"/>
    <cellStyle name="Обычный 10 5 3" xfId="4820" xr:uid="{00000000-0005-0000-0000-00005C000000}"/>
    <cellStyle name="Обычный 10 5 3 2" xfId="13465" xr:uid="{00000000-0005-0000-0000-00005D000000}"/>
    <cellStyle name="Обычный 10 5 4" xfId="7432" xr:uid="{00000000-0005-0000-0000-00005E000000}"/>
    <cellStyle name="Обычный 10 5 4 2" xfId="16075" xr:uid="{00000000-0005-0000-0000-00005F000000}"/>
    <cellStyle name="Обычный 10 5 5" xfId="10039" xr:uid="{00000000-0005-0000-0000-000060000000}"/>
    <cellStyle name="Обычный 10 6" xfId="2401" xr:uid="{00000000-0005-0000-0000-000061000000}"/>
    <cellStyle name="Обычный 10 6 2" xfId="4046" xr:uid="{00000000-0005-0000-0000-000062000000}"/>
    <cellStyle name="Обычный 10 6 2 2" xfId="12691" xr:uid="{00000000-0005-0000-0000-000063000000}"/>
    <cellStyle name="Обычный 10 6 3" xfId="5829" xr:uid="{00000000-0005-0000-0000-000064000000}"/>
    <cellStyle name="Обычный 10 6 3 2" xfId="14472" xr:uid="{00000000-0005-0000-0000-000065000000}"/>
    <cellStyle name="Обычный 10 6 4" xfId="8439" xr:uid="{00000000-0005-0000-0000-000066000000}"/>
    <cellStyle name="Обычный 10 6 4 2" xfId="17082" xr:uid="{00000000-0005-0000-0000-000067000000}"/>
    <cellStyle name="Обычный 10 6 5" xfId="11046" xr:uid="{00000000-0005-0000-0000-000068000000}"/>
    <cellStyle name="Обычный 10 7" xfId="1628" xr:uid="{00000000-0005-0000-0000-000069000000}"/>
    <cellStyle name="Обычный 10 7 2" xfId="3273" xr:uid="{00000000-0005-0000-0000-00006A000000}"/>
    <cellStyle name="Обычный 10 7 2 2" xfId="11918" xr:uid="{00000000-0005-0000-0000-00006B000000}"/>
    <cellStyle name="Обычный 10 7 3" xfId="5056" xr:uid="{00000000-0005-0000-0000-00006C000000}"/>
    <cellStyle name="Обычный 10 7 3 2" xfId="13699" xr:uid="{00000000-0005-0000-0000-00006D000000}"/>
    <cellStyle name="Обычный 10 7 4" xfId="7666" xr:uid="{00000000-0005-0000-0000-00006E000000}"/>
    <cellStyle name="Обычный 10 7 4 2" xfId="16309" xr:uid="{00000000-0005-0000-0000-00006F000000}"/>
    <cellStyle name="Обычный 10 7 5" xfId="10273" xr:uid="{00000000-0005-0000-0000-000070000000}"/>
    <cellStyle name="Обычный 10 8" xfId="493" xr:uid="{00000000-0005-0000-0000-000071000000}"/>
    <cellStyle name="Обычный 10 8 2" xfId="6533" xr:uid="{00000000-0005-0000-0000-000072000000}"/>
    <cellStyle name="Обычный 10 8 2 2" xfId="15176" xr:uid="{00000000-0005-0000-0000-000073000000}"/>
    <cellStyle name="Обычный 10 8 3" xfId="9140" xr:uid="{00000000-0005-0000-0000-000074000000}"/>
    <cellStyle name="Обычный 10 9" xfId="2682" xr:uid="{00000000-0005-0000-0000-000075000000}"/>
    <cellStyle name="Обычный 10 9 2" xfId="11327" xr:uid="{00000000-0005-0000-0000-000076000000}"/>
    <cellStyle name="Обычный 11" xfId="73" xr:uid="{00000000-0005-0000-0000-000077000000}"/>
    <cellStyle name="Обычный 11 10" xfId="4327" xr:uid="{00000000-0005-0000-0000-000078000000}"/>
    <cellStyle name="Обычный 11 10 2" xfId="12972" xr:uid="{00000000-0005-0000-0000-000079000000}"/>
    <cellStyle name="Обычный 11 11" xfId="6114" xr:uid="{00000000-0005-0000-0000-00007A000000}"/>
    <cellStyle name="Обычный 11 11 2" xfId="14757" xr:uid="{00000000-0005-0000-0000-00007B000000}"/>
    <cellStyle name="Обычный 11 12" xfId="8721" xr:uid="{00000000-0005-0000-0000-00007C000000}"/>
    <cellStyle name="Обычный 11 2" xfId="209" xr:uid="{00000000-0005-0000-0000-00007D000000}"/>
    <cellStyle name="Обычный 11 2 10" xfId="8857" xr:uid="{00000000-0005-0000-0000-00007E000000}"/>
    <cellStyle name="Обычный 11 2 2" xfId="1307" xr:uid="{00000000-0005-0000-0000-00007F000000}"/>
    <cellStyle name="Обычный 11 2 2 2" xfId="1417" xr:uid="{00000000-0005-0000-0000-000080000000}"/>
    <cellStyle name="Обычный 11 2 2 2 2" xfId="3201" xr:uid="{00000000-0005-0000-0000-000081000000}"/>
    <cellStyle name="Обычный 11 2 2 2 2 2" xfId="11846" xr:uid="{00000000-0005-0000-0000-000082000000}"/>
    <cellStyle name="Обычный 11 2 2 2 3" xfId="4845" xr:uid="{00000000-0005-0000-0000-000083000000}"/>
    <cellStyle name="Обычный 11 2 2 2 3 2" xfId="13490" xr:uid="{00000000-0005-0000-0000-000084000000}"/>
    <cellStyle name="Обычный 11 2 2 2 4" xfId="7457" xr:uid="{00000000-0005-0000-0000-000085000000}"/>
    <cellStyle name="Обычный 11 2 2 2 4 2" xfId="16100" xr:uid="{00000000-0005-0000-0000-000086000000}"/>
    <cellStyle name="Обычный 11 2 2 2 5" xfId="10064" xr:uid="{00000000-0005-0000-0000-000087000000}"/>
    <cellStyle name="Обычный 11 2 2 3" xfId="3091" xr:uid="{00000000-0005-0000-0000-000088000000}"/>
    <cellStyle name="Обычный 11 2 2 3 2" xfId="11736" xr:uid="{00000000-0005-0000-0000-000089000000}"/>
    <cellStyle name="Обычный 11 2 2 4" xfId="4735" xr:uid="{00000000-0005-0000-0000-00008A000000}"/>
    <cellStyle name="Обычный 11 2 2 4 2" xfId="13380" xr:uid="{00000000-0005-0000-0000-00008B000000}"/>
    <cellStyle name="Обычный 11 2 2 5" xfId="7347" xr:uid="{00000000-0005-0000-0000-00008C000000}"/>
    <cellStyle name="Обычный 11 2 2 5 2" xfId="15990" xr:uid="{00000000-0005-0000-0000-00008D000000}"/>
    <cellStyle name="Обычный 11 2 2 6" xfId="9954" xr:uid="{00000000-0005-0000-0000-00008E000000}"/>
    <cellStyle name="Обычный 11 2 3" xfId="1401" xr:uid="{00000000-0005-0000-0000-00008F000000}"/>
    <cellStyle name="Обычный 11 2 3 2" xfId="3185" xr:uid="{00000000-0005-0000-0000-000090000000}"/>
    <cellStyle name="Обычный 11 2 3 2 2" xfId="11830" xr:uid="{00000000-0005-0000-0000-000091000000}"/>
    <cellStyle name="Обычный 11 2 3 3" xfId="4829" xr:uid="{00000000-0005-0000-0000-000092000000}"/>
    <cellStyle name="Обычный 11 2 3 3 2" xfId="13474" xr:uid="{00000000-0005-0000-0000-000093000000}"/>
    <cellStyle name="Обычный 11 2 3 4" xfId="7441" xr:uid="{00000000-0005-0000-0000-000094000000}"/>
    <cellStyle name="Обычный 11 2 3 4 2" xfId="16084" xr:uid="{00000000-0005-0000-0000-000095000000}"/>
    <cellStyle name="Обычный 11 2 3 5" xfId="10048" xr:uid="{00000000-0005-0000-0000-000096000000}"/>
    <cellStyle name="Обычный 11 2 4" xfId="2538" xr:uid="{00000000-0005-0000-0000-000097000000}"/>
    <cellStyle name="Обычный 11 2 4 2" xfId="4183" xr:uid="{00000000-0005-0000-0000-000098000000}"/>
    <cellStyle name="Обычный 11 2 4 2 2" xfId="12828" xr:uid="{00000000-0005-0000-0000-000099000000}"/>
    <cellStyle name="Обычный 11 2 4 3" xfId="5966" xr:uid="{00000000-0005-0000-0000-00009A000000}"/>
    <cellStyle name="Обычный 11 2 4 3 2" xfId="14609" xr:uid="{00000000-0005-0000-0000-00009B000000}"/>
    <cellStyle name="Обычный 11 2 4 4" xfId="8576" xr:uid="{00000000-0005-0000-0000-00009C000000}"/>
    <cellStyle name="Обычный 11 2 4 4 2" xfId="17219" xr:uid="{00000000-0005-0000-0000-00009D000000}"/>
    <cellStyle name="Обычный 11 2 4 5" xfId="11183" xr:uid="{00000000-0005-0000-0000-00009E000000}"/>
    <cellStyle name="Обычный 11 2 5" xfId="1042" xr:uid="{00000000-0005-0000-0000-00009F000000}"/>
    <cellStyle name="Обычный 11 2 5 2" xfId="7082" xr:uid="{00000000-0005-0000-0000-0000A0000000}"/>
    <cellStyle name="Обычный 11 2 5 2 2" xfId="15725" xr:uid="{00000000-0005-0000-0000-0000A1000000}"/>
    <cellStyle name="Обычный 11 2 5 3" xfId="9689" xr:uid="{00000000-0005-0000-0000-0000A2000000}"/>
    <cellStyle name="Обычный 11 2 6" xfId="630" xr:uid="{00000000-0005-0000-0000-0000A3000000}"/>
    <cellStyle name="Обычный 11 2 6 2" xfId="6670" xr:uid="{00000000-0005-0000-0000-0000A4000000}"/>
    <cellStyle name="Обычный 11 2 6 2 2" xfId="15313" xr:uid="{00000000-0005-0000-0000-0000A5000000}"/>
    <cellStyle name="Обычный 11 2 6 3" xfId="9277" xr:uid="{00000000-0005-0000-0000-0000A6000000}"/>
    <cellStyle name="Обычный 11 2 7" xfId="2819" xr:uid="{00000000-0005-0000-0000-0000A7000000}"/>
    <cellStyle name="Обычный 11 2 7 2" xfId="11464" xr:uid="{00000000-0005-0000-0000-0000A8000000}"/>
    <cellStyle name="Обычный 11 2 8" xfId="4463" xr:uid="{00000000-0005-0000-0000-0000A9000000}"/>
    <cellStyle name="Обычный 11 2 8 2" xfId="13108" xr:uid="{00000000-0005-0000-0000-0000AA000000}"/>
    <cellStyle name="Обычный 11 2 9" xfId="6250" xr:uid="{00000000-0005-0000-0000-0000AB000000}"/>
    <cellStyle name="Обычный 11 2 9 2" xfId="14893" xr:uid="{00000000-0005-0000-0000-0000AC000000}"/>
    <cellStyle name="Обычный 11 3" xfId="358" xr:uid="{00000000-0005-0000-0000-0000AD000000}"/>
    <cellStyle name="Обычный 11 3 2" xfId="1409" xr:uid="{00000000-0005-0000-0000-0000AE000000}"/>
    <cellStyle name="Обычный 11 3 2 2" xfId="3193" xr:uid="{00000000-0005-0000-0000-0000AF000000}"/>
    <cellStyle name="Обычный 11 3 2 2 2" xfId="11838" xr:uid="{00000000-0005-0000-0000-0000B0000000}"/>
    <cellStyle name="Обычный 11 3 2 3" xfId="4837" xr:uid="{00000000-0005-0000-0000-0000B1000000}"/>
    <cellStyle name="Обычный 11 3 2 3 2" xfId="13482" xr:uid="{00000000-0005-0000-0000-0000B2000000}"/>
    <cellStyle name="Обычный 11 3 2 4" xfId="7449" xr:uid="{00000000-0005-0000-0000-0000B3000000}"/>
    <cellStyle name="Обычный 11 3 2 4 2" xfId="16092" xr:uid="{00000000-0005-0000-0000-0000B4000000}"/>
    <cellStyle name="Обычный 11 3 2 5" xfId="10056" xr:uid="{00000000-0005-0000-0000-0000B5000000}"/>
    <cellStyle name="Обычный 11 3 3" xfId="778" xr:uid="{00000000-0005-0000-0000-0000B6000000}"/>
    <cellStyle name="Обычный 11 3 3 2" xfId="6818" xr:uid="{00000000-0005-0000-0000-0000B7000000}"/>
    <cellStyle name="Обычный 11 3 3 2 2" xfId="15461" xr:uid="{00000000-0005-0000-0000-0000B8000000}"/>
    <cellStyle name="Обычный 11 3 3 3" xfId="9425" xr:uid="{00000000-0005-0000-0000-0000B9000000}"/>
    <cellStyle name="Обычный 11 3 4" xfId="2955" xr:uid="{00000000-0005-0000-0000-0000BA000000}"/>
    <cellStyle name="Обычный 11 3 4 2" xfId="11600" xr:uid="{00000000-0005-0000-0000-0000BB000000}"/>
    <cellStyle name="Обычный 11 3 5" xfId="4599" xr:uid="{00000000-0005-0000-0000-0000BC000000}"/>
    <cellStyle name="Обычный 11 3 5 2" xfId="13244" xr:uid="{00000000-0005-0000-0000-0000BD000000}"/>
    <cellStyle name="Обычный 11 3 6" xfId="6398" xr:uid="{00000000-0005-0000-0000-0000BE000000}"/>
    <cellStyle name="Обычный 11 3 6 2" xfId="15041" xr:uid="{00000000-0005-0000-0000-0000BF000000}"/>
    <cellStyle name="Обычный 11 3 7" xfId="9005" xr:uid="{00000000-0005-0000-0000-0000C0000000}"/>
    <cellStyle name="Обычный 11 4" xfId="1442" xr:uid="{00000000-0005-0000-0000-0000C1000000}"/>
    <cellStyle name="Обычный 11 4 2" xfId="1881" xr:uid="{00000000-0005-0000-0000-0000C2000000}"/>
    <cellStyle name="Обычный 11 4 2 2" xfId="3526" xr:uid="{00000000-0005-0000-0000-0000C3000000}"/>
    <cellStyle name="Обычный 11 4 2 2 2" xfId="12171" xr:uid="{00000000-0005-0000-0000-0000C4000000}"/>
    <cellStyle name="Обычный 11 4 2 3" xfId="5309" xr:uid="{00000000-0005-0000-0000-0000C5000000}"/>
    <cellStyle name="Обычный 11 4 2 3 2" xfId="13952" xr:uid="{00000000-0005-0000-0000-0000C6000000}"/>
    <cellStyle name="Обычный 11 4 2 4" xfId="7919" xr:uid="{00000000-0005-0000-0000-0000C7000000}"/>
    <cellStyle name="Обычный 11 4 2 4 2" xfId="16562" xr:uid="{00000000-0005-0000-0000-0000C8000000}"/>
    <cellStyle name="Обычный 11 4 2 5" xfId="10526" xr:uid="{00000000-0005-0000-0000-0000C9000000}"/>
    <cellStyle name="Обычный 11 4 3" xfId="4870" xr:uid="{00000000-0005-0000-0000-0000CA000000}"/>
    <cellStyle name="Обычный 11 4 3 2" xfId="13513" xr:uid="{00000000-0005-0000-0000-0000CB000000}"/>
    <cellStyle name="Обычный 11 4 4" xfId="7480" xr:uid="{00000000-0005-0000-0000-0000CC000000}"/>
    <cellStyle name="Обычный 11 4 4 2" xfId="16123" xr:uid="{00000000-0005-0000-0000-0000CD000000}"/>
    <cellStyle name="Обычный 11 4 5" xfId="10087" xr:uid="{00000000-0005-0000-0000-0000CE000000}"/>
    <cellStyle name="Обычный 11 5" xfId="1393" xr:uid="{00000000-0005-0000-0000-0000CF000000}"/>
    <cellStyle name="Обычный 11 5 2" xfId="3177" xr:uid="{00000000-0005-0000-0000-0000D0000000}"/>
    <cellStyle name="Обычный 11 5 2 2" xfId="11822" xr:uid="{00000000-0005-0000-0000-0000D1000000}"/>
    <cellStyle name="Обычный 11 5 3" xfId="4821" xr:uid="{00000000-0005-0000-0000-0000D2000000}"/>
    <cellStyle name="Обычный 11 5 3 2" xfId="13466" xr:uid="{00000000-0005-0000-0000-0000D3000000}"/>
    <cellStyle name="Обычный 11 5 4" xfId="7433" xr:uid="{00000000-0005-0000-0000-0000D4000000}"/>
    <cellStyle name="Обычный 11 5 4 2" xfId="16076" xr:uid="{00000000-0005-0000-0000-0000D5000000}"/>
    <cellStyle name="Обычный 11 5 5" xfId="10040" xr:uid="{00000000-0005-0000-0000-0000D6000000}"/>
    <cellStyle name="Обычный 11 6" xfId="2402" xr:uid="{00000000-0005-0000-0000-0000D7000000}"/>
    <cellStyle name="Обычный 11 6 2" xfId="4047" xr:uid="{00000000-0005-0000-0000-0000D8000000}"/>
    <cellStyle name="Обычный 11 6 2 2" xfId="12692" xr:uid="{00000000-0005-0000-0000-0000D9000000}"/>
    <cellStyle name="Обычный 11 6 3" xfId="5830" xr:uid="{00000000-0005-0000-0000-0000DA000000}"/>
    <cellStyle name="Обычный 11 6 3 2" xfId="14473" xr:uid="{00000000-0005-0000-0000-0000DB000000}"/>
    <cellStyle name="Обычный 11 6 4" xfId="8440" xr:uid="{00000000-0005-0000-0000-0000DC000000}"/>
    <cellStyle name="Обычный 11 6 4 2" xfId="17083" xr:uid="{00000000-0005-0000-0000-0000DD000000}"/>
    <cellStyle name="Обычный 11 6 5" xfId="11047" xr:uid="{00000000-0005-0000-0000-0000DE000000}"/>
    <cellStyle name="Обычный 11 7" xfId="1629" xr:uid="{00000000-0005-0000-0000-0000DF000000}"/>
    <cellStyle name="Обычный 11 7 2" xfId="3274" xr:uid="{00000000-0005-0000-0000-0000E0000000}"/>
    <cellStyle name="Обычный 11 7 2 2" xfId="11919" xr:uid="{00000000-0005-0000-0000-0000E1000000}"/>
    <cellStyle name="Обычный 11 7 3" xfId="5057" xr:uid="{00000000-0005-0000-0000-0000E2000000}"/>
    <cellStyle name="Обычный 11 7 3 2" xfId="13700" xr:uid="{00000000-0005-0000-0000-0000E3000000}"/>
    <cellStyle name="Обычный 11 7 4" xfId="7667" xr:uid="{00000000-0005-0000-0000-0000E4000000}"/>
    <cellStyle name="Обычный 11 7 4 2" xfId="16310" xr:uid="{00000000-0005-0000-0000-0000E5000000}"/>
    <cellStyle name="Обычный 11 7 5" xfId="10274" xr:uid="{00000000-0005-0000-0000-0000E6000000}"/>
    <cellStyle name="Обычный 11 8" xfId="494" xr:uid="{00000000-0005-0000-0000-0000E7000000}"/>
    <cellStyle name="Обычный 11 8 2" xfId="6534" xr:uid="{00000000-0005-0000-0000-0000E8000000}"/>
    <cellStyle name="Обычный 11 8 2 2" xfId="15177" xr:uid="{00000000-0005-0000-0000-0000E9000000}"/>
    <cellStyle name="Обычный 11 8 3" xfId="9141" xr:uid="{00000000-0005-0000-0000-0000EA000000}"/>
    <cellStyle name="Обычный 11 9" xfId="2683" xr:uid="{00000000-0005-0000-0000-0000EB000000}"/>
    <cellStyle name="Обычный 11 9 2" xfId="11328" xr:uid="{00000000-0005-0000-0000-0000EC000000}"/>
    <cellStyle name="Обычный 12" xfId="1418" xr:uid="{00000000-0005-0000-0000-0000ED000000}"/>
    <cellStyle name="Обычный 12 2" xfId="4846" xr:uid="{00000000-0005-0000-0000-0000EE000000}"/>
    <cellStyle name="Обычный 12 2 2" xfId="13491" xr:uid="{00000000-0005-0000-0000-0000EF000000}"/>
    <cellStyle name="Обычный 12 3" xfId="7458" xr:uid="{00000000-0005-0000-0000-0000F0000000}"/>
    <cellStyle name="Обычный 12 3 2" xfId="16101" xr:uid="{00000000-0005-0000-0000-0000F1000000}"/>
    <cellStyle name="Обычный 12 4" xfId="10065" xr:uid="{00000000-0005-0000-0000-0000F2000000}"/>
    <cellStyle name="Обычный 2" xfId="63" xr:uid="{00000000-0005-0000-0000-0000F3000000}"/>
    <cellStyle name="Обычный 2 2" xfId="1440" xr:uid="{00000000-0005-0000-0000-0000F4000000}"/>
    <cellStyle name="Обычный 2 2 2" xfId="4868" xr:uid="{00000000-0005-0000-0000-0000F5000000}"/>
    <cellStyle name="Обычный 3" xfId="64" xr:uid="{00000000-0005-0000-0000-0000F6000000}"/>
    <cellStyle name="Обычный 3 2" xfId="1425" xr:uid="{00000000-0005-0000-0000-0000F7000000}"/>
    <cellStyle name="Обычный 3 2 2" xfId="4853" xr:uid="{00000000-0005-0000-0000-0000F8000000}"/>
    <cellStyle name="Обычный 4" xfId="66" xr:uid="{00000000-0005-0000-0000-0000F9000000}"/>
    <cellStyle name="Обычный 4 10" xfId="4320" xr:uid="{00000000-0005-0000-0000-0000FA000000}"/>
    <cellStyle name="Обычный 4 10 2" xfId="12965" xr:uid="{00000000-0005-0000-0000-0000FB000000}"/>
    <cellStyle name="Обычный 4 11" xfId="6107" xr:uid="{00000000-0005-0000-0000-0000FC000000}"/>
    <cellStyle name="Обычный 4 11 2" xfId="14750" xr:uid="{00000000-0005-0000-0000-0000FD000000}"/>
    <cellStyle name="Обычный 4 12" xfId="8714" xr:uid="{00000000-0005-0000-0000-0000FE000000}"/>
    <cellStyle name="Обычный 4 2" xfId="202" xr:uid="{00000000-0005-0000-0000-0000FF000000}"/>
    <cellStyle name="Обычный 4 2 10" xfId="8850" xr:uid="{00000000-0005-0000-0000-000000010000}"/>
    <cellStyle name="Обычный 4 2 2" xfId="1300" xr:uid="{00000000-0005-0000-0000-000001010000}"/>
    <cellStyle name="Обычный 4 2 2 2" xfId="1410" xr:uid="{00000000-0005-0000-0000-000002010000}"/>
    <cellStyle name="Обычный 4 2 2 2 2" xfId="3194" xr:uid="{00000000-0005-0000-0000-000003010000}"/>
    <cellStyle name="Обычный 4 2 2 2 2 2" xfId="11839" xr:uid="{00000000-0005-0000-0000-000004010000}"/>
    <cellStyle name="Обычный 4 2 2 2 3" xfId="4838" xr:uid="{00000000-0005-0000-0000-000005010000}"/>
    <cellStyle name="Обычный 4 2 2 2 3 2" xfId="13483" xr:uid="{00000000-0005-0000-0000-000006010000}"/>
    <cellStyle name="Обычный 4 2 2 2 4" xfId="7450" xr:uid="{00000000-0005-0000-0000-000007010000}"/>
    <cellStyle name="Обычный 4 2 2 2 4 2" xfId="16093" xr:uid="{00000000-0005-0000-0000-000008010000}"/>
    <cellStyle name="Обычный 4 2 2 2 5" xfId="10057" xr:uid="{00000000-0005-0000-0000-000009010000}"/>
    <cellStyle name="Обычный 4 2 2 3" xfId="3084" xr:uid="{00000000-0005-0000-0000-00000A010000}"/>
    <cellStyle name="Обычный 4 2 2 3 2" xfId="11729" xr:uid="{00000000-0005-0000-0000-00000B010000}"/>
    <cellStyle name="Обычный 4 2 2 4" xfId="4728" xr:uid="{00000000-0005-0000-0000-00000C010000}"/>
    <cellStyle name="Обычный 4 2 2 4 2" xfId="13373" xr:uid="{00000000-0005-0000-0000-00000D010000}"/>
    <cellStyle name="Обычный 4 2 2 5" xfId="7340" xr:uid="{00000000-0005-0000-0000-00000E010000}"/>
    <cellStyle name="Обычный 4 2 2 5 2" xfId="15983" xr:uid="{00000000-0005-0000-0000-00000F010000}"/>
    <cellStyle name="Обычный 4 2 2 6" xfId="9947" xr:uid="{00000000-0005-0000-0000-000010010000}"/>
    <cellStyle name="Обычный 4 2 3" xfId="1394" xr:uid="{00000000-0005-0000-0000-000011010000}"/>
    <cellStyle name="Обычный 4 2 3 2" xfId="3178" xr:uid="{00000000-0005-0000-0000-000012010000}"/>
    <cellStyle name="Обычный 4 2 3 2 2" xfId="11823" xr:uid="{00000000-0005-0000-0000-000013010000}"/>
    <cellStyle name="Обычный 4 2 3 3" xfId="4822" xr:uid="{00000000-0005-0000-0000-000014010000}"/>
    <cellStyle name="Обычный 4 2 3 3 2" xfId="13467" xr:uid="{00000000-0005-0000-0000-000015010000}"/>
    <cellStyle name="Обычный 4 2 3 4" xfId="7434" xr:uid="{00000000-0005-0000-0000-000016010000}"/>
    <cellStyle name="Обычный 4 2 3 4 2" xfId="16077" xr:uid="{00000000-0005-0000-0000-000017010000}"/>
    <cellStyle name="Обычный 4 2 3 5" xfId="10041" xr:uid="{00000000-0005-0000-0000-000018010000}"/>
    <cellStyle name="Обычный 4 2 4" xfId="2531" xr:uid="{00000000-0005-0000-0000-000019010000}"/>
    <cellStyle name="Обычный 4 2 4 2" xfId="4176" xr:uid="{00000000-0005-0000-0000-00001A010000}"/>
    <cellStyle name="Обычный 4 2 4 2 2" xfId="12821" xr:uid="{00000000-0005-0000-0000-00001B010000}"/>
    <cellStyle name="Обычный 4 2 4 3" xfId="5959" xr:uid="{00000000-0005-0000-0000-00001C010000}"/>
    <cellStyle name="Обычный 4 2 4 3 2" xfId="14602" xr:uid="{00000000-0005-0000-0000-00001D010000}"/>
    <cellStyle name="Обычный 4 2 4 4" xfId="8569" xr:uid="{00000000-0005-0000-0000-00001E010000}"/>
    <cellStyle name="Обычный 4 2 4 4 2" xfId="17212" xr:uid="{00000000-0005-0000-0000-00001F010000}"/>
    <cellStyle name="Обычный 4 2 4 5" xfId="11176" xr:uid="{00000000-0005-0000-0000-000020010000}"/>
    <cellStyle name="Обычный 4 2 5" xfId="1035" xr:uid="{00000000-0005-0000-0000-000021010000}"/>
    <cellStyle name="Обычный 4 2 5 2" xfId="7075" xr:uid="{00000000-0005-0000-0000-000022010000}"/>
    <cellStyle name="Обычный 4 2 5 2 2" xfId="15718" xr:uid="{00000000-0005-0000-0000-000023010000}"/>
    <cellStyle name="Обычный 4 2 5 3" xfId="9682" xr:uid="{00000000-0005-0000-0000-000024010000}"/>
    <cellStyle name="Обычный 4 2 6" xfId="623" xr:uid="{00000000-0005-0000-0000-000025010000}"/>
    <cellStyle name="Обычный 4 2 6 2" xfId="6663" xr:uid="{00000000-0005-0000-0000-000026010000}"/>
    <cellStyle name="Обычный 4 2 6 2 2" xfId="15306" xr:uid="{00000000-0005-0000-0000-000027010000}"/>
    <cellStyle name="Обычный 4 2 6 3" xfId="9270" xr:uid="{00000000-0005-0000-0000-000028010000}"/>
    <cellStyle name="Обычный 4 2 7" xfId="2812" xr:uid="{00000000-0005-0000-0000-000029010000}"/>
    <cellStyle name="Обычный 4 2 7 2" xfId="11457" xr:uid="{00000000-0005-0000-0000-00002A010000}"/>
    <cellStyle name="Обычный 4 2 8" xfId="4456" xr:uid="{00000000-0005-0000-0000-00002B010000}"/>
    <cellStyle name="Обычный 4 2 8 2" xfId="13101" xr:uid="{00000000-0005-0000-0000-00002C010000}"/>
    <cellStyle name="Обычный 4 2 9" xfId="6243" xr:uid="{00000000-0005-0000-0000-00002D010000}"/>
    <cellStyle name="Обычный 4 2 9 2" xfId="14886" xr:uid="{00000000-0005-0000-0000-00002E010000}"/>
    <cellStyle name="Обычный 4 3" xfId="351" xr:uid="{00000000-0005-0000-0000-00002F010000}"/>
    <cellStyle name="Обычный 4 3 2" xfId="1402" xr:uid="{00000000-0005-0000-0000-000030010000}"/>
    <cellStyle name="Обычный 4 3 2 2" xfId="3186" xr:uid="{00000000-0005-0000-0000-000031010000}"/>
    <cellStyle name="Обычный 4 3 2 2 2" xfId="11831" xr:uid="{00000000-0005-0000-0000-000032010000}"/>
    <cellStyle name="Обычный 4 3 2 3" xfId="4830" xr:uid="{00000000-0005-0000-0000-000033010000}"/>
    <cellStyle name="Обычный 4 3 2 3 2" xfId="13475" xr:uid="{00000000-0005-0000-0000-000034010000}"/>
    <cellStyle name="Обычный 4 3 2 4" xfId="7442" xr:uid="{00000000-0005-0000-0000-000035010000}"/>
    <cellStyle name="Обычный 4 3 2 4 2" xfId="16085" xr:uid="{00000000-0005-0000-0000-000036010000}"/>
    <cellStyle name="Обычный 4 3 2 5" xfId="10049" xr:uid="{00000000-0005-0000-0000-000037010000}"/>
    <cellStyle name="Обычный 4 3 3" xfId="771" xr:uid="{00000000-0005-0000-0000-000038010000}"/>
    <cellStyle name="Обычный 4 3 3 2" xfId="6811" xr:uid="{00000000-0005-0000-0000-000039010000}"/>
    <cellStyle name="Обычный 4 3 3 2 2" xfId="15454" xr:uid="{00000000-0005-0000-0000-00003A010000}"/>
    <cellStyle name="Обычный 4 3 3 3" xfId="9418" xr:uid="{00000000-0005-0000-0000-00003B010000}"/>
    <cellStyle name="Обычный 4 3 4" xfId="2948" xr:uid="{00000000-0005-0000-0000-00003C010000}"/>
    <cellStyle name="Обычный 4 3 4 2" xfId="11593" xr:uid="{00000000-0005-0000-0000-00003D010000}"/>
    <cellStyle name="Обычный 4 3 5" xfId="4592" xr:uid="{00000000-0005-0000-0000-00003E010000}"/>
    <cellStyle name="Обычный 4 3 5 2" xfId="13237" xr:uid="{00000000-0005-0000-0000-00003F010000}"/>
    <cellStyle name="Обычный 4 3 6" xfId="6391" xr:uid="{00000000-0005-0000-0000-000040010000}"/>
    <cellStyle name="Обычный 4 3 6 2" xfId="15034" xr:uid="{00000000-0005-0000-0000-000041010000}"/>
    <cellStyle name="Обычный 4 3 7" xfId="8998" xr:uid="{00000000-0005-0000-0000-000042010000}"/>
    <cellStyle name="Обычный 4 4" xfId="1419" xr:uid="{00000000-0005-0000-0000-000043010000}"/>
    <cellStyle name="Обычный 4 4 2" xfId="1874" xr:uid="{00000000-0005-0000-0000-000044010000}"/>
    <cellStyle name="Обычный 4 4 2 2" xfId="3519" xr:uid="{00000000-0005-0000-0000-000045010000}"/>
    <cellStyle name="Обычный 4 4 2 2 2" xfId="12164" xr:uid="{00000000-0005-0000-0000-000046010000}"/>
    <cellStyle name="Обычный 4 4 2 3" xfId="5302" xr:uid="{00000000-0005-0000-0000-000047010000}"/>
    <cellStyle name="Обычный 4 4 2 3 2" xfId="13945" xr:uid="{00000000-0005-0000-0000-000048010000}"/>
    <cellStyle name="Обычный 4 4 2 4" xfId="7912" xr:uid="{00000000-0005-0000-0000-000049010000}"/>
    <cellStyle name="Обычный 4 4 2 4 2" xfId="16555" xr:uid="{00000000-0005-0000-0000-00004A010000}"/>
    <cellStyle name="Обычный 4 4 2 5" xfId="10519" xr:uid="{00000000-0005-0000-0000-00004B010000}"/>
    <cellStyle name="Обычный 4 4 3" xfId="4847" xr:uid="{00000000-0005-0000-0000-00004C010000}"/>
    <cellStyle name="Обычный 4 4 3 2" xfId="13492" xr:uid="{00000000-0005-0000-0000-00004D010000}"/>
    <cellStyle name="Обычный 4 4 4" xfId="7459" xr:uid="{00000000-0005-0000-0000-00004E010000}"/>
    <cellStyle name="Обычный 4 4 4 2" xfId="16102" xr:uid="{00000000-0005-0000-0000-00004F010000}"/>
    <cellStyle name="Обычный 4 4 5" xfId="10066" xr:uid="{00000000-0005-0000-0000-000050010000}"/>
    <cellStyle name="Обычный 4 5" xfId="1386" xr:uid="{00000000-0005-0000-0000-000051010000}"/>
    <cellStyle name="Обычный 4 5 2" xfId="3170" xr:uid="{00000000-0005-0000-0000-000052010000}"/>
    <cellStyle name="Обычный 4 5 2 2" xfId="11815" xr:uid="{00000000-0005-0000-0000-000053010000}"/>
    <cellStyle name="Обычный 4 5 3" xfId="4814" xr:uid="{00000000-0005-0000-0000-000054010000}"/>
    <cellStyle name="Обычный 4 5 3 2" xfId="13459" xr:uid="{00000000-0005-0000-0000-000055010000}"/>
    <cellStyle name="Обычный 4 5 4" xfId="7426" xr:uid="{00000000-0005-0000-0000-000056010000}"/>
    <cellStyle name="Обычный 4 5 4 2" xfId="16069" xr:uid="{00000000-0005-0000-0000-000057010000}"/>
    <cellStyle name="Обычный 4 5 5" xfId="10033" xr:uid="{00000000-0005-0000-0000-000058010000}"/>
    <cellStyle name="Обычный 4 6" xfId="2395" xr:uid="{00000000-0005-0000-0000-000059010000}"/>
    <cellStyle name="Обычный 4 6 2" xfId="4040" xr:uid="{00000000-0005-0000-0000-00005A010000}"/>
    <cellStyle name="Обычный 4 6 2 2" xfId="12685" xr:uid="{00000000-0005-0000-0000-00005B010000}"/>
    <cellStyle name="Обычный 4 6 3" xfId="5823" xr:uid="{00000000-0005-0000-0000-00005C010000}"/>
    <cellStyle name="Обычный 4 6 3 2" xfId="14466" xr:uid="{00000000-0005-0000-0000-00005D010000}"/>
    <cellStyle name="Обычный 4 6 4" xfId="8433" xr:uid="{00000000-0005-0000-0000-00005E010000}"/>
    <cellStyle name="Обычный 4 6 4 2" xfId="17076" xr:uid="{00000000-0005-0000-0000-00005F010000}"/>
    <cellStyle name="Обычный 4 6 5" xfId="11040" xr:uid="{00000000-0005-0000-0000-000060010000}"/>
    <cellStyle name="Обычный 4 7" xfId="1622" xr:uid="{00000000-0005-0000-0000-000061010000}"/>
    <cellStyle name="Обычный 4 7 2" xfId="3267" xr:uid="{00000000-0005-0000-0000-000062010000}"/>
    <cellStyle name="Обычный 4 7 2 2" xfId="11912" xr:uid="{00000000-0005-0000-0000-000063010000}"/>
    <cellStyle name="Обычный 4 7 3" xfId="5050" xr:uid="{00000000-0005-0000-0000-000064010000}"/>
    <cellStyle name="Обычный 4 7 3 2" xfId="13693" xr:uid="{00000000-0005-0000-0000-000065010000}"/>
    <cellStyle name="Обычный 4 7 4" xfId="7660" xr:uid="{00000000-0005-0000-0000-000066010000}"/>
    <cellStyle name="Обычный 4 7 4 2" xfId="16303" xr:uid="{00000000-0005-0000-0000-000067010000}"/>
    <cellStyle name="Обычный 4 7 5" xfId="10267" xr:uid="{00000000-0005-0000-0000-000068010000}"/>
    <cellStyle name="Обычный 4 8" xfId="487" xr:uid="{00000000-0005-0000-0000-000069010000}"/>
    <cellStyle name="Обычный 4 8 2" xfId="6527" xr:uid="{00000000-0005-0000-0000-00006A010000}"/>
    <cellStyle name="Обычный 4 8 2 2" xfId="15170" xr:uid="{00000000-0005-0000-0000-00006B010000}"/>
    <cellStyle name="Обычный 4 8 3" xfId="9134" xr:uid="{00000000-0005-0000-0000-00006C010000}"/>
    <cellStyle name="Обычный 4 9" xfId="2676" xr:uid="{00000000-0005-0000-0000-00006D010000}"/>
    <cellStyle name="Обычный 4 9 2" xfId="11321" xr:uid="{00000000-0005-0000-0000-00006E010000}"/>
    <cellStyle name="Обычный 5" xfId="67" xr:uid="{00000000-0005-0000-0000-00006F010000}"/>
    <cellStyle name="Обычный 5 10" xfId="4321" xr:uid="{00000000-0005-0000-0000-000070010000}"/>
    <cellStyle name="Обычный 5 10 2" xfId="12966" xr:uid="{00000000-0005-0000-0000-000071010000}"/>
    <cellStyle name="Обычный 5 11" xfId="6108" xr:uid="{00000000-0005-0000-0000-000072010000}"/>
    <cellStyle name="Обычный 5 11 2" xfId="14751" xr:uid="{00000000-0005-0000-0000-000073010000}"/>
    <cellStyle name="Обычный 5 12" xfId="8715" xr:uid="{00000000-0005-0000-0000-000074010000}"/>
    <cellStyle name="Обычный 5 2" xfId="203" xr:uid="{00000000-0005-0000-0000-000075010000}"/>
    <cellStyle name="Обычный 5 2 10" xfId="8851" xr:uid="{00000000-0005-0000-0000-000076010000}"/>
    <cellStyle name="Обычный 5 2 2" xfId="1301" xr:uid="{00000000-0005-0000-0000-000077010000}"/>
    <cellStyle name="Обычный 5 2 2 2" xfId="1411" xr:uid="{00000000-0005-0000-0000-000078010000}"/>
    <cellStyle name="Обычный 5 2 2 2 2" xfId="3195" xr:uid="{00000000-0005-0000-0000-000079010000}"/>
    <cellStyle name="Обычный 5 2 2 2 2 2" xfId="11840" xr:uid="{00000000-0005-0000-0000-00007A010000}"/>
    <cellStyle name="Обычный 5 2 2 2 3" xfId="4839" xr:uid="{00000000-0005-0000-0000-00007B010000}"/>
    <cellStyle name="Обычный 5 2 2 2 3 2" xfId="13484" xr:uid="{00000000-0005-0000-0000-00007C010000}"/>
    <cellStyle name="Обычный 5 2 2 2 4" xfId="7451" xr:uid="{00000000-0005-0000-0000-00007D010000}"/>
    <cellStyle name="Обычный 5 2 2 2 4 2" xfId="16094" xr:uid="{00000000-0005-0000-0000-00007E010000}"/>
    <cellStyle name="Обычный 5 2 2 2 5" xfId="10058" xr:uid="{00000000-0005-0000-0000-00007F010000}"/>
    <cellStyle name="Обычный 5 2 2 3" xfId="3085" xr:uid="{00000000-0005-0000-0000-000080010000}"/>
    <cellStyle name="Обычный 5 2 2 3 2" xfId="11730" xr:uid="{00000000-0005-0000-0000-000081010000}"/>
    <cellStyle name="Обычный 5 2 2 4" xfId="4729" xr:uid="{00000000-0005-0000-0000-000082010000}"/>
    <cellStyle name="Обычный 5 2 2 4 2" xfId="13374" xr:uid="{00000000-0005-0000-0000-000083010000}"/>
    <cellStyle name="Обычный 5 2 2 5" xfId="7341" xr:uid="{00000000-0005-0000-0000-000084010000}"/>
    <cellStyle name="Обычный 5 2 2 5 2" xfId="15984" xr:uid="{00000000-0005-0000-0000-000085010000}"/>
    <cellStyle name="Обычный 5 2 2 6" xfId="9948" xr:uid="{00000000-0005-0000-0000-000086010000}"/>
    <cellStyle name="Обычный 5 2 3" xfId="1395" xr:uid="{00000000-0005-0000-0000-000087010000}"/>
    <cellStyle name="Обычный 5 2 3 2" xfId="3179" xr:uid="{00000000-0005-0000-0000-000088010000}"/>
    <cellStyle name="Обычный 5 2 3 2 2" xfId="11824" xr:uid="{00000000-0005-0000-0000-000089010000}"/>
    <cellStyle name="Обычный 5 2 3 3" xfId="4823" xr:uid="{00000000-0005-0000-0000-00008A010000}"/>
    <cellStyle name="Обычный 5 2 3 3 2" xfId="13468" xr:uid="{00000000-0005-0000-0000-00008B010000}"/>
    <cellStyle name="Обычный 5 2 3 4" xfId="7435" xr:uid="{00000000-0005-0000-0000-00008C010000}"/>
    <cellStyle name="Обычный 5 2 3 4 2" xfId="16078" xr:uid="{00000000-0005-0000-0000-00008D010000}"/>
    <cellStyle name="Обычный 5 2 3 5" xfId="10042" xr:uid="{00000000-0005-0000-0000-00008E010000}"/>
    <cellStyle name="Обычный 5 2 4" xfId="2532" xr:uid="{00000000-0005-0000-0000-00008F010000}"/>
    <cellStyle name="Обычный 5 2 4 2" xfId="4177" xr:uid="{00000000-0005-0000-0000-000090010000}"/>
    <cellStyle name="Обычный 5 2 4 2 2" xfId="12822" xr:uid="{00000000-0005-0000-0000-000091010000}"/>
    <cellStyle name="Обычный 5 2 4 3" xfId="5960" xr:uid="{00000000-0005-0000-0000-000092010000}"/>
    <cellStyle name="Обычный 5 2 4 3 2" xfId="14603" xr:uid="{00000000-0005-0000-0000-000093010000}"/>
    <cellStyle name="Обычный 5 2 4 4" xfId="8570" xr:uid="{00000000-0005-0000-0000-000094010000}"/>
    <cellStyle name="Обычный 5 2 4 4 2" xfId="17213" xr:uid="{00000000-0005-0000-0000-000095010000}"/>
    <cellStyle name="Обычный 5 2 4 5" xfId="11177" xr:uid="{00000000-0005-0000-0000-000096010000}"/>
    <cellStyle name="Обычный 5 2 5" xfId="1036" xr:uid="{00000000-0005-0000-0000-000097010000}"/>
    <cellStyle name="Обычный 5 2 5 2" xfId="7076" xr:uid="{00000000-0005-0000-0000-000098010000}"/>
    <cellStyle name="Обычный 5 2 5 2 2" xfId="15719" xr:uid="{00000000-0005-0000-0000-000099010000}"/>
    <cellStyle name="Обычный 5 2 5 3" xfId="9683" xr:uid="{00000000-0005-0000-0000-00009A010000}"/>
    <cellStyle name="Обычный 5 2 6" xfId="624" xr:uid="{00000000-0005-0000-0000-00009B010000}"/>
    <cellStyle name="Обычный 5 2 6 2" xfId="6664" xr:uid="{00000000-0005-0000-0000-00009C010000}"/>
    <cellStyle name="Обычный 5 2 6 2 2" xfId="15307" xr:uid="{00000000-0005-0000-0000-00009D010000}"/>
    <cellStyle name="Обычный 5 2 6 3" xfId="9271" xr:uid="{00000000-0005-0000-0000-00009E010000}"/>
    <cellStyle name="Обычный 5 2 7" xfId="2813" xr:uid="{00000000-0005-0000-0000-00009F010000}"/>
    <cellStyle name="Обычный 5 2 7 2" xfId="11458" xr:uid="{00000000-0005-0000-0000-0000A0010000}"/>
    <cellStyle name="Обычный 5 2 8" xfId="4457" xr:uid="{00000000-0005-0000-0000-0000A1010000}"/>
    <cellStyle name="Обычный 5 2 8 2" xfId="13102" xr:uid="{00000000-0005-0000-0000-0000A2010000}"/>
    <cellStyle name="Обычный 5 2 9" xfId="6244" xr:uid="{00000000-0005-0000-0000-0000A3010000}"/>
    <cellStyle name="Обычный 5 2 9 2" xfId="14887" xr:uid="{00000000-0005-0000-0000-0000A4010000}"/>
    <cellStyle name="Обычный 5 3" xfId="352" xr:uid="{00000000-0005-0000-0000-0000A5010000}"/>
    <cellStyle name="Обычный 5 3 2" xfId="1403" xr:uid="{00000000-0005-0000-0000-0000A6010000}"/>
    <cellStyle name="Обычный 5 3 2 2" xfId="3187" xr:uid="{00000000-0005-0000-0000-0000A7010000}"/>
    <cellStyle name="Обычный 5 3 2 2 2" xfId="11832" xr:uid="{00000000-0005-0000-0000-0000A8010000}"/>
    <cellStyle name="Обычный 5 3 2 3" xfId="4831" xr:uid="{00000000-0005-0000-0000-0000A9010000}"/>
    <cellStyle name="Обычный 5 3 2 3 2" xfId="13476" xr:uid="{00000000-0005-0000-0000-0000AA010000}"/>
    <cellStyle name="Обычный 5 3 2 4" xfId="7443" xr:uid="{00000000-0005-0000-0000-0000AB010000}"/>
    <cellStyle name="Обычный 5 3 2 4 2" xfId="16086" xr:uid="{00000000-0005-0000-0000-0000AC010000}"/>
    <cellStyle name="Обычный 5 3 2 5" xfId="10050" xr:uid="{00000000-0005-0000-0000-0000AD010000}"/>
    <cellStyle name="Обычный 5 3 3" xfId="772" xr:uid="{00000000-0005-0000-0000-0000AE010000}"/>
    <cellStyle name="Обычный 5 3 3 2" xfId="6812" xr:uid="{00000000-0005-0000-0000-0000AF010000}"/>
    <cellStyle name="Обычный 5 3 3 2 2" xfId="15455" xr:uid="{00000000-0005-0000-0000-0000B0010000}"/>
    <cellStyle name="Обычный 5 3 3 3" xfId="9419" xr:uid="{00000000-0005-0000-0000-0000B1010000}"/>
    <cellStyle name="Обычный 5 3 4" xfId="2949" xr:uid="{00000000-0005-0000-0000-0000B2010000}"/>
    <cellStyle name="Обычный 5 3 4 2" xfId="11594" xr:uid="{00000000-0005-0000-0000-0000B3010000}"/>
    <cellStyle name="Обычный 5 3 5" xfId="4593" xr:uid="{00000000-0005-0000-0000-0000B4010000}"/>
    <cellStyle name="Обычный 5 3 5 2" xfId="13238" xr:uid="{00000000-0005-0000-0000-0000B5010000}"/>
    <cellStyle name="Обычный 5 3 6" xfId="6392" xr:uid="{00000000-0005-0000-0000-0000B6010000}"/>
    <cellStyle name="Обычный 5 3 6 2" xfId="15035" xr:uid="{00000000-0005-0000-0000-0000B7010000}"/>
    <cellStyle name="Обычный 5 3 7" xfId="8999" xr:uid="{00000000-0005-0000-0000-0000B8010000}"/>
    <cellStyle name="Обычный 5 4" xfId="1422" xr:uid="{00000000-0005-0000-0000-0000B9010000}"/>
    <cellStyle name="Обычный 5 4 2" xfId="1875" xr:uid="{00000000-0005-0000-0000-0000BA010000}"/>
    <cellStyle name="Обычный 5 4 2 2" xfId="3520" xr:uid="{00000000-0005-0000-0000-0000BB010000}"/>
    <cellStyle name="Обычный 5 4 2 2 2" xfId="12165" xr:uid="{00000000-0005-0000-0000-0000BC010000}"/>
    <cellStyle name="Обычный 5 4 2 3" xfId="5303" xr:uid="{00000000-0005-0000-0000-0000BD010000}"/>
    <cellStyle name="Обычный 5 4 2 3 2" xfId="13946" xr:uid="{00000000-0005-0000-0000-0000BE010000}"/>
    <cellStyle name="Обычный 5 4 2 4" xfId="7913" xr:uid="{00000000-0005-0000-0000-0000BF010000}"/>
    <cellStyle name="Обычный 5 4 2 4 2" xfId="16556" xr:uid="{00000000-0005-0000-0000-0000C0010000}"/>
    <cellStyle name="Обычный 5 4 2 5" xfId="10520" xr:uid="{00000000-0005-0000-0000-0000C1010000}"/>
    <cellStyle name="Обычный 5 4 3" xfId="4850" xr:uid="{00000000-0005-0000-0000-0000C2010000}"/>
    <cellStyle name="Обычный 5 4 3 2" xfId="13495" xr:uid="{00000000-0005-0000-0000-0000C3010000}"/>
    <cellStyle name="Обычный 5 4 4" xfId="7462" xr:uid="{00000000-0005-0000-0000-0000C4010000}"/>
    <cellStyle name="Обычный 5 4 4 2" xfId="16105" xr:uid="{00000000-0005-0000-0000-0000C5010000}"/>
    <cellStyle name="Обычный 5 4 5" xfId="10069" xr:uid="{00000000-0005-0000-0000-0000C6010000}"/>
    <cellStyle name="Обычный 5 5" xfId="1387" xr:uid="{00000000-0005-0000-0000-0000C7010000}"/>
    <cellStyle name="Обычный 5 5 2" xfId="3171" xr:uid="{00000000-0005-0000-0000-0000C8010000}"/>
    <cellStyle name="Обычный 5 5 2 2" xfId="11816" xr:uid="{00000000-0005-0000-0000-0000C9010000}"/>
    <cellStyle name="Обычный 5 5 3" xfId="4815" xr:uid="{00000000-0005-0000-0000-0000CA010000}"/>
    <cellStyle name="Обычный 5 5 3 2" xfId="13460" xr:uid="{00000000-0005-0000-0000-0000CB010000}"/>
    <cellStyle name="Обычный 5 5 4" xfId="7427" xr:uid="{00000000-0005-0000-0000-0000CC010000}"/>
    <cellStyle name="Обычный 5 5 4 2" xfId="16070" xr:uid="{00000000-0005-0000-0000-0000CD010000}"/>
    <cellStyle name="Обычный 5 5 5" xfId="10034" xr:uid="{00000000-0005-0000-0000-0000CE010000}"/>
    <cellStyle name="Обычный 5 6" xfId="2396" xr:uid="{00000000-0005-0000-0000-0000CF010000}"/>
    <cellStyle name="Обычный 5 6 2" xfId="4041" xr:uid="{00000000-0005-0000-0000-0000D0010000}"/>
    <cellStyle name="Обычный 5 6 2 2" xfId="12686" xr:uid="{00000000-0005-0000-0000-0000D1010000}"/>
    <cellStyle name="Обычный 5 6 3" xfId="5824" xr:uid="{00000000-0005-0000-0000-0000D2010000}"/>
    <cellStyle name="Обычный 5 6 3 2" xfId="14467" xr:uid="{00000000-0005-0000-0000-0000D3010000}"/>
    <cellStyle name="Обычный 5 6 4" xfId="8434" xr:uid="{00000000-0005-0000-0000-0000D4010000}"/>
    <cellStyle name="Обычный 5 6 4 2" xfId="17077" xr:uid="{00000000-0005-0000-0000-0000D5010000}"/>
    <cellStyle name="Обычный 5 6 5" xfId="11041" xr:uid="{00000000-0005-0000-0000-0000D6010000}"/>
    <cellStyle name="Обычный 5 7" xfId="1623" xr:uid="{00000000-0005-0000-0000-0000D7010000}"/>
    <cellStyle name="Обычный 5 7 2" xfId="3268" xr:uid="{00000000-0005-0000-0000-0000D8010000}"/>
    <cellStyle name="Обычный 5 7 2 2" xfId="11913" xr:uid="{00000000-0005-0000-0000-0000D9010000}"/>
    <cellStyle name="Обычный 5 7 3" xfId="5051" xr:uid="{00000000-0005-0000-0000-0000DA010000}"/>
    <cellStyle name="Обычный 5 7 3 2" xfId="13694" xr:uid="{00000000-0005-0000-0000-0000DB010000}"/>
    <cellStyle name="Обычный 5 7 4" xfId="7661" xr:uid="{00000000-0005-0000-0000-0000DC010000}"/>
    <cellStyle name="Обычный 5 7 4 2" xfId="16304" xr:uid="{00000000-0005-0000-0000-0000DD010000}"/>
    <cellStyle name="Обычный 5 7 5" xfId="10268" xr:uid="{00000000-0005-0000-0000-0000DE010000}"/>
    <cellStyle name="Обычный 5 8" xfId="488" xr:uid="{00000000-0005-0000-0000-0000DF010000}"/>
    <cellStyle name="Обычный 5 8 2" xfId="6528" xr:uid="{00000000-0005-0000-0000-0000E0010000}"/>
    <cellStyle name="Обычный 5 8 2 2" xfId="15171" xr:uid="{00000000-0005-0000-0000-0000E1010000}"/>
    <cellStyle name="Обычный 5 8 3" xfId="9135" xr:uid="{00000000-0005-0000-0000-0000E2010000}"/>
    <cellStyle name="Обычный 5 9" xfId="2677" xr:uid="{00000000-0005-0000-0000-0000E3010000}"/>
    <cellStyle name="Обычный 5 9 2" xfId="11322" xr:uid="{00000000-0005-0000-0000-0000E4010000}"/>
    <cellStyle name="Обычный 6" xfId="68" xr:uid="{00000000-0005-0000-0000-0000E5010000}"/>
    <cellStyle name="Обычный 6 10" xfId="4322" xr:uid="{00000000-0005-0000-0000-0000E6010000}"/>
    <cellStyle name="Обычный 6 10 2" xfId="12967" xr:uid="{00000000-0005-0000-0000-0000E7010000}"/>
    <cellStyle name="Обычный 6 11" xfId="6109" xr:uid="{00000000-0005-0000-0000-0000E8010000}"/>
    <cellStyle name="Обычный 6 11 2" xfId="14752" xr:uid="{00000000-0005-0000-0000-0000E9010000}"/>
    <cellStyle name="Обычный 6 12" xfId="8716" xr:uid="{00000000-0005-0000-0000-0000EA010000}"/>
    <cellStyle name="Обычный 6 2" xfId="204" xr:uid="{00000000-0005-0000-0000-0000EB010000}"/>
    <cellStyle name="Обычный 6 2 10" xfId="8852" xr:uid="{00000000-0005-0000-0000-0000EC010000}"/>
    <cellStyle name="Обычный 6 2 2" xfId="1302" xr:uid="{00000000-0005-0000-0000-0000ED010000}"/>
    <cellStyle name="Обычный 6 2 2 2" xfId="1412" xr:uid="{00000000-0005-0000-0000-0000EE010000}"/>
    <cellStyle name="Обычный 6 2 2 2 2" xfId="3196" xr:uid="{00000000-0005-0000-0000-0000EF010000}"/>
    <cellStyle name="Обычный 6 2 2 2 2 2" xfId="11841" xr:uid="{00000000-0005-0000-0000-0000F0010000}"/>
    <cellStyle name="Обычный 6 2 2 2 3" xfId="4840" xr:uid="{00000000-0005-0000-0000-0000F1010000}"/>
    <cellStyle name="Обычный 6 2 2 2 3 2" xfId="13485" xr:uid="{00000000-0005-0000-0000-0000F2010000}"/>
    <cellStyle name="Обычный 6 2 2 2 4" xfId="7452" xr:uid="{00000000-0005-0000-0000-0000F3010000}"/>
    <cellStyle name="Обычный 6 2 2 2 4 2" xfId="16095" xr:uid="{00000000-0005-0000-0000-0000F4010000}"/>
    <cellStyle name="Обычный 6 2 2 2 5" xfId="10059" xr:uid="{00000000-0005-0000-0000-0000F5010000}"/>
    <cellStyle name="Обычный 6 2 2 3" xfId="3086" xr:uid="{00000000-0005-0000-0000-0000F6010000}"/>
    <cellStyle name="Обычный 6 2 2 3 2" xfId="11731" xr:uid="{00000000-0005-0000-0000-0000F7010000}"/>
    <cellStyle name="Обычный 6 2 2 4" xfId="4730" xr:uid="{00000000-0005-0000-0000-0000F8010000}"/>
    <cellStyle name="Обычный 6 2 2 4 2" xfId="13375" xr:uid="{00000000-0005-0000-0000-0000F9010000}"/>
    <cellStyle name="Обычный 6 2 2 5" xfId="7342" xr:uid="{00000000-0005-0000-0000-0000FA010000}"/>
    <cellStyle name="Обычный 6 2 2 5 2" xfId="15985" xr:uid="{00000000-0005-0000-0000-0000FB010000}"/>
    <cellStyle name="Обычный 6 2 2 6" xfId="9949" xr:uid="{00000000-0005-0000-0000-0000FC010000}"/>
    <cellStyle name="Обычный 6 2 3" xfId="1396" xr:uid="{00000000-0005-0000-0000-0000FD010000}"/>
    <cellStyle name="Обычный 6 2 3 2" xfId="3180" xr:uid="{00000000-0005-0000-0000-0000FE010000}"/>
    <cellStyle name="Обычный 6 2 3 2 2" xfId="11825" xr:uid="{00000000-0005-0000-0000-0000FF010000}"/>
    <cellStyle name="Обычный 6 2 3 3" xfId="4824" xr:uid="{00000000-0005-0000-0000-000000020000}"/>
    <cellStyle name="Обычный 6 2 3 3 2" xfId="13469" xr:uid="{00000000-0005-0000-0000-000001020000}"/>
    <cellStyle name="Обычный 6 2 3 4" xfId="7436" xr:uid="{00000000-0005-0000-0000-000002020000}"/>
    <cellStyle name="Обычный 6 2 3 4 2" xfId="16079" xr:uid="{00000000-0005-0000-0000-000003020000}"/>
    <cellStyle name="Обычный 6 2 3 5" xfId="10043" xr:uid="{00000000-0005-0000-0000-000004020000}"/>
    <cellStyle name="Обычный 6 2 4" xfId="2533" xr:uid="{00000000-0005-0000-0000-000005020000}"/>
    <cellStyle name="Обычный 6 2 4 2" xfId="4178" xr:uid="{00000000-0005-0000-0000-000006020000}"/>
    <cellStyle name="Обычный 6 2 4 2 2" xfId="12823" xr:uid="{00000000-0005-0000-0000-000007020000}"/>
    <cellStyle name="Обычный 6 2 4 3" xfId="5961" xr:uid="{00000000-0005-0000-0000-000008020000}"/>
    <cellStyle name="Обычный 6 2 4 3 2" xfId="14604" xr:uid="{00000000-0005-0000-0000-000009020000}"/>
    <cellStyle name="Обычный 6 2 4 4" xfId="8571" xr:uid="{00000000-0005-0000-0000-00000A020000}"/>
    <cellStyle name="Обычный 6 2 4 4 2" xfId="17214" xr:uid="{00000000-0005-0000-0000-00000B020000}"/>
    <cellStyle name="Обычный 6 2 4 5" xfId="11178" xr:uid="{00000000-0005-0000-0000-00000C020000}"/>
    <cellStyle name="Обычный 6 2 5" xfId="1037" xr:uid="{00000000-0005-0000-0000-00000D020000}"/>
    <cellStyle name="Обычный 6 2 5 2" xfId="7077" xr:uid="{00000000-0005-0000-0000-00000E020000}"/>
    <cellStyle name="Обычный 6 2 5 2 2" xfId="15720" xr:uid="{00000000-0005-0000-0000-00000F020000}"/>
    <cellStyle name="Обычный 6 2 5 3" xfId="9684" xr:uid="{00000000-0005-0000-0000-000010020000}"/>
    <cellStyle name="Обычный 6 2 6" xfId="625" xr:uid="{00000000-0005-0000-0000-000011020000}"/>
    <cellStyle name="Обычный 6 2 6 2" xfId="6665" xr:uid="{00000000-0005-0000-0000-000012020000}"/>
    <cellStyle name="Обычный 6 2 6 2 2" xfId="15308" xr:uid="{00000000-0005-0000-0000-000013020000}"/>
    <cellStyle name="Обычный 6 2 6 3" xfId="9272" xr:uid="{00000000-0005-0000-0000-000014020000}"/>
    <cellStyle name="Обычный 6 2 7" xfId="2814" xr:uid="{00000000-0005-0000-0000-000015020000}"/>
    <cellStyle name="Обычный 6 2 7 2" xfId="11459" xr:uid="{00000000-0005-0000-0000-000016020000}"/>
    <cellStyle name="Обычный 6 2 8" xfId="4458" xr:uid="{00000000-0005-0000-0000-000017020000}"/>
    <cellStyle name="Обычный 6 2 8 2" xfId="13103" xr:uid="{00000000-0005-0000-0000-000018020000}"/>
    <cellStyle name="Обычный 6 2 9" xfId="6245" xr:uid="{00000000-0005-0000-0000-000019020000}"/>
    <cellStyle name="Обычный 6 2 9 2" xfId="14888" xr:uid="{00000000-0005-0000-0000-00001A020000}"/>
    <cellStyle name="Обычный 6 3" xfId="353" xr:uid="{00000000-0005-0000-0000-00001B020000}"/>
    <cellStyle name="Обычный 6 3 2" xfId="1404" xr:uid="{00000000-0005-0000-0000-00001C020000}"/>
    <cellStyle name="Обычный 6 3 2 2" xfId="3188" xr:uid="{00000000-0005-0000-0000-00001D020000}"/>
    <cellStyle name="Обычный 6 3 2 2 2" xfId="11833" xr:uid="{00000000-0005-0000-0000-00001E020000}"/>
    <cellStyle name="Обычный 6 3 2 3" xfId="4832" xr:uid="{00000000-0005-0000-0000-00001F020000}"/>
    <cellStyle name="Обычный 6 3 2 3 2" xfId="13477" xr:uid="{00000000-0005-0000-0000-000020020000}"/>
    <cellStyle name="Обычный 6 3 2 4" xfId="7444" xr:uid="{00000000-0005-0000-0000-000021020000}"/>
    <cellStyle name="Обычный 6 3 2 4 2" xfId="16087" xr:uid="{00000000-0005-0000-0000-000022020000}"/>
    <cellStyle name="Обычный 6 3 2 5" xfId="10051" xr:uid="{00000000-0005-0000-0000-000023020000}"/>
    <cellStyle name="Обычный 6 3 3" xfId="773" xr:uid="{00000000-0005-0000-0000-000024020000}"/>
    <cellStyle name="Обычный 6 3 3 2" xfId="6813" xr:uid="{00000000-0005-0000-0000-000025020000}"/>
    <cellStyle name="Обычный 6 3 3 2 2" xfId="15456" xr:uid="{00000000-0005-0000-0000-000026020000}"/>
    <cellStyle name="Обычный 6 3 3 3" xfId="9420" xr:uid="{00000000-0005-0000-0000-000027020000}"/>
    <cellStyle name="Обычный 6 3 4" xfId="2950" xr:uid="{00000000-0005-0000-0000-000028020000}"/>
    <cellStyle name="Обычный 6 3 4 2" xfId="11595" xr:uid="{00000000-0005-0000-0000-000029020000}"/>
    <cellStyle name="Обычный 6 3 5" xfId="4594" xr:uid="{00000000-0005-0000-0000-00002A020000}"/>
    <cellStyle name="Обычный 6 3 5 2" xfId="13239" xr:uid="{00000000-0005-0000-0000-00002B020000}"/>
    <cellStyle name="Обычный 6 3 6" xfId="6393" xr:uid="{00000000-0005-0000-0000-00002C020000}"/>
    <cellStyle name="Обычный 6 3 6 2" xfId="15036" xr:uid="{00000000-0005-0000-0000-00002D020000}"/>
    <cellStyle name="Обычный 6 3 7" xfId="9000" xr:uid="{00000000-0005-0000-0000-00002E020000}"/>
    <cellStyle name="Обычный 6 4" xfId="1428" xr:uid="{00000000-0005-0000-0000-00002F020000}"/>
    <cellStyle name="Обычный 6 4 2" xfId="1876" xr:uid="{00000000-0005-0000-0000-000030020000}"/>
    <cellStyle name="Обычный 6 4 2 2" xfId="3521" xr:uid="{00000000-0005-0000-0000-000031020000}"/>
    <cellStyle name="Обычный 6 4 2 2 2" xfId="12166" xr:uid="{00000000-0005-0000-0000-000032020000}"/>
    <cellStyle name="Обычный 6 4 2 3" xfId="5304" xr:uid="{00000000-0005-0000-0000-000033020000}"/>
    <cellStyle name="Обычный 6 4 2 3 2" xfId="13947" xr:uid="{00000000-0005-0000-0000-000034020000}"/>
    <cellStyle name="Обычный 6 4 2 4" xfId="7914" xr:uid="{00000000-0005-0000-0000-000035020000}"/>
    <cellStyle name="Обычный 6 4 2 4 2" xfId="16557" xr:uid="{00000000-0005-0000-0000-000036020000}"/>
    <cellStyle name="Обычный 6 4 2 5" xfId="10521" xr:uid="{00000000-0005-0000-0000-000037020000}"/>
    <cellStyle name="Обычный 6 4 3" xfId="4856" xr:uid="{00000000-0005-0000-0000-000038020000}"/>
    <cellStyle name="Обычный 6 4 3 2" xfId="13500" xr:uid="{00000000-0005-0000-0000-000039020000}"/>
    <cellStyle name="Обычный 6 4 4" xfId="7467" xr:uid="{00000000-0005-0000-0000-00003A020000}"/>
    <cellStyle name="Обычный 6 4 4 2" xfId="16110" xr:uid="{00000000-0005-0000-0000-00003B020000}"/>
    <cellStyle name="Обычный 6 4 5" xfId="10074" xr:uid="{00000000-0005-0000-0000-00003C020000}"/>
    <cellStyle name="Обычный 6 5" xfId="1388" xr:uid="{00000000-0005-0000-0000-00003D020000}"/>
    <cellStyle name="Обычный 6 5 2" xfId="3172" xr:uid="{00000000-0005-0000-0000-00003E020000}"/>
    <cellStyle name="Обычный 6 5 2 2" xfId="11817" xr:uid="{00000000-0005-0000-0000-00003F020000}"/>
    <cellStyle name="Обычный 6 5 3" xfId="4816" xr:uid="{00000000-0005-0000-0000-000040020000}"/>
    <cellStyle name="Обычный 6 5 3 2" xfId="13461" xr:uid="{00000000-0005-0000-0000-000041020000}"/>
    <cellStyle name="Обычный 6 5 4" xfId="7428" xr:uid="{00000000-0005-0000-0000-000042020000}"/>
    <cellStyle name="Обычный 6 5 4 2" xfId="16071" xr:uid="{00000000-0005-0000-0000-000043020000}"/>
    <cellStyle name="Обычный 6 5 5" xfId="10035" xr:uid="{00000000-0005-0000-0000-000044020000}"/>
    <cellStyle name="Обычный 6 6" xfId="2397" xr:uid="{00000000-0005-0000-0000-000045020000}"/>
    <cellStyle name="Обычный 6 6 2" xfId="4042" xr:uid="{00000000-0005-0000-0000-000046020000}"/>
    <cellStyle name="Обычный 6 6 2 2" xfId="12687" xr:uid="{00000000-0005-0000-0000-000047020000}"/>
    <cellStyle name="Обычный 6 6 3" xfId="5825" xr:uid="{00000000-0005-0000-0000-000048020000}"/>
    <cellStyle name="Обычный 6 6 3 2" xfId="14468" xr:uid="{00000000-0005-0000-0000-000049020000}"/>
    <cellStyle name="Обычный 6 6 4" xfId="8435" xr:uid="{00000000-0005-0000-0000-00004A020000}"/>
    <cellStyle name="Обычный 6 6 4 2" xfId="17078" xr:uid="{00000000-0005-0000-0000-00004B020000}"/>
    <cellStyle name="Обычный 6 6 5" xfId="11042" xr:uid="{00000000-0005-0000-0000-00004C020000}"/>
    <cellStyle name="Обычный 6 7" xfId="1624" xr:uid="{00000000-0005-0000-0000-00004D020000}"/>
    <cellStyle name="Обычный 6 7 2" xfId="3269" xr:uid="{00000000-0005-0000-0000-00004E020000}"/>
    <cellStyle name="Обычный 6 7 2 2" xfId="11914" xr:uid="{00000000-0005-0000-0000-00004F020000}"/>
    <cellStyle name="Обычный 6 7 3" xfId="5052" xr:uid="{00000000-0005-0000-0000-000050020000}"/>
    <cellStyle name="Обычный 6 7 3 2" xfId="13695" xr:uid="{00000000-0005-0000-0000-000051020000}"/>
    <cellStyle name="Обычный 6 7 4" xfId="7662" xr:uid="{00000000-0005-0000-0000-000052020000}"/>
    <cellStyle name="Обычный 6 7 4 2" xfId="16305" xr:uid="{00000000-0005-0000-0000-000053020000}"/>
    <cellStyle name="Обычный 6 7 5" xfId="10269" xr:uid="{00000000-0005-0000-0000-000054020000}"/>
    <cellStyle name="Обычный 6 8" xfId="489" xr:uid="{00000000-0005-0000-0000-000055020000}"/>
    <cellStyle name="Обычный 6 8 2" xfId="6529" xr:uid="{00000000-0005-0000-0000-000056020000}"/>
    <cellStyle name="Обычный 6 8 2 2" xfId="15172" xr:uid="{00000000-0005-0000-0000-000057020000}"/>
    <cellStyle name="Обычный 6 8 3" xfId="9136" xr:uid="{00000000-0005-0000-0000-000058020000}"/>
    <cellStyle name="Обычный 6 9" xfId="2678" xr:uid="{00000000-0005-0000-0000-000059020000}"/>
    <cellStyle name="Обычный 6 9 2" xfId="11323" xr:uid="{00000000-0005-0000-0000-00005A020000}"/>
    <cellStyle name="Обычный 7" xfId="69" xr:uid="{00000000-0005-0000-0000-00005B020000}"/>
    <cellStyle name="Обычный 7 10" xfId="4323" xr:uid="{00000000-0005-0000-0000-00005C020000}"/>
    <cellStyle name="Обычный 7 10 2" xfId="12968" xr:uid="{00000000-0005-0000-0000-00005D020000}"/>
    <cellStyle name="Обычный 7 11" xfId="6110" xr:uid="{00000000-0005-0000-0000-00005E020000}"/>
    <cellStyle name="Обычный 7 11 2" xfId="14753" xr:uid="{00000000-0005-0000-0000-00005F020000}"/>
    <cellStyle name="Обычный 7 12" xfId="8717" xr:uid="{00000000-0005-0000-0000-000060020000}"/>
    <cellStyle name="Обычный 7 2" xfId="205" xr:uid="{00000000-0005-0000-0000-000061020000}"/>
    <cellStyle name="Обычный 7 2 10" xfId="8853" xr:uid="{00000000-0005-0000-0000-000062020000}"/>
    <cellStyle name="Обычный 7 2 2" xfId="1303" xr:uid="{00000000-0005-0000-0000-000063020000}"/>
    <cellStyle name="Обычный 7 2 2 2" xfId="1413" xr:uid="{00000000-0005-0000-0000-000064020000}"/>
    <cellStyle name="Обычный 7 2 2 2 2" xfId="3197" xr:uid="{00000000-0005-0000-0000-000065020000}"/>
    <cellStyle name="Обычный 7 2 2 2 2 2" xfId="11842" xr:uid="{00000000-0005-0000-0000-000066020000}"/>
    <cellStyle name="Обычный 7 2 2 2 3" xfId="4841" xr:uid="{00000000-0005-0000-0000-000067020000}"/>
    <cellStyle name="Обычный 7 2 2 2 3 2" xfId="13486" xr:uid="{00000000-0005-0000-0000-000068020000}"/>
    <cellStyle name="Обычный 7 2 2 2 4" xfId="7453" xr:uid="{00000000-0005-0000-0000-000069020000}"/>
    <cellStyle name="Обычный 7 2 2 2 4 2" xfId="16096" xr:uid="{00000000-0005-0000-0000-00006A020000}"/>
    <cellStyle name="Обычный 7 2 2 2 5" xfId="10060" xr:uid="{00000000-0005-0000-0000-00006B020000}"/>
    <cellStyle name="Обычный 7 2 2 3" xfId="3087" xr:uid="{00000000-0005-0000-0000-00006C020000}"/>
    <cellStyle name="Обычный 7 2 2 3 2" xfId="11732" xr:uid="{00000000-0005-0000-0000-00006D020000}"/>
    <cellStyle name="Обычный 7 2 2 4" xfId="4731" xr:uid="{00000000-0005-0000-0000-00006E020000}"/>
    <cellStyle name="Обычный 7 2 2 4 2" xfId="13376" xr:uid="{00000000-0005-0000-0000-00006F020000}"/>
    <cellStyle name="Обычный 7 2 2 5" xfId="7343" xr:uid="{00000000-0005-0000-0000-000070020000}"/>
    <cellStyle name="Обычный 7 2 2 5 2" xfId="15986" xr:uid="{00000000-0005-0000-0000-000071020000}"/>
    <cellStyle name="Обычный 7 2 2 6" xfId="9950" xr:uid="{00000000-0005-0000-0000-000072020000}"/>
    <cellStyle name="Обычный 7 2 3" xfId="1397" xr:uid="{00000000-0005-0000-0000-000073020000}"/>
    <cellStyle name="Обычный 7 2 3 2" xfId="3181" xr:uid="{00000000-0005-0000-0000-000074020000}"/>
    <cellStyle name="Обычный 7 2 3 2 2" xfId="11826" xr:uid="{00000000-0005-0000-0000-000075020000}"/>
    <cellStyle name="Обычный 7 2 3 3" xfId="4825" xr:uid="{00000000-0005-0000-0000-000076020000}"/>
    <cellStyle name="Обычный 7 2 3 3 2" xfId="13470" xr:uid="{00000000-0005-0000-0000-000077020000}"/>
    <cellStyle name="Обычный 7 2 3 4" xfId="7437" xr:uid="{00000000-0005-0000-0000-000078020000}"/>
    <cellStyle name="Обычный 7 2 3 4 2" xfId="16080" xr:uid="{00000000-0005-0000-0000-000079020000}"/>
    <cellStyle name="Обычный 7 2 3 5" xfId="10044" xr:uid="{00000000-0005-0000-0000-00007A020000}"/>
    <cellStyle name="Обычный 7 2 4" xfId="2534" xr:uid="{00000000-0005-0000-0000-00007B020000}"/>
    <cellStyle name="Обычный 7 2 4 2" xfId="4179" xr:uid="{00000000-0005-0000-0000-00007C020000}"/>
    <cellStyle name="Обычный 7 2 4 2 2" xfId="12824" xr:uid="{00000000-0005-0000-0000-00007D020000}"/>
    <cellStyle name="Обычный 7 2 4 3" xfId="5962" xr:uid="{00000000-0005-0000-0000-00007E020000}"/>
    <cellStyle name="Обычный 7 2 4 3 2" xfId="14605" xr:uid="{00000000-0005-0000-0000-00007F020000}"/>
    <cellStyle name="Обычный 7 2 4 4" xfId="8572" xr:uid="{00000000-0005-0000-0000-000080020000}"/>
    <cellStyle name="Обычный 7 2 4 4 2" xfId="17215" xr:uid="{00000000-0005-0000-0000-000081020000}"/>
    <cellStyle name="Обычный 7 2 4 5" xfId="11179" xr:uid="{00000000-0005-0000-0000-000082020000}"/>
    <cellStyle name="Обычный 7 2 5" xfId="1038" xr:uid="{00000000-0005-0000-0000-000083020000}"/>
    <cellStyle name="Обычный 7 2 5 2" xfId="7078" xr:uid="{00000000-0005-0000-0000-000084020000}"/>
    <cellStyle name="Обычный 7 2 5 2 2" xfId="15721" xr:uid="{00000000-0005-0000-0000-000085020000}"/>
    <cellStyle name="Обычный 7 2 5 3" xfId="9685" xr:uid="{00000000-0005-0000-0000-000086020000}"/>
    <cellStyle name="Обычный 7 2 6" xfId="626" xr:uid="{00000000-0005-0000-0000-000087020000}"/>
    <cellStyle name="Обычный 7 2 6 2" xfId="6666" xr:uid="{00000000-0005-0000-0000-000088020000}"/>
    <cellStyle name="Обычный 7 2 6 2 2" xfId="15309" xr:uid="{00000000-0005-0000-0000-000089020000}"/>
    <cellStyle name="Обычный 7 2 6 3" xfId="9273" xr:uid="{00000000-0005-0000-0000-00008A020000}"/>
    <cellStyle name="Обычный 7 2 7" xfId="2815" xr:uid="{00000000-0005-0000-0000-00008B020000}"/>
    <cellStyle name="Обычный 7 2 7 2" xfId="11460" xr:uid="{00000000-0005-0000-0000-00008C020000}"/>
    <cellStyle name="Обычный 7 2 8" xfId="4459" xr:uid="{00000000-0005-0000-0000-00008D020000}"/>
    <cellStyle name="Обычный 7 2 8 2" xfId="13104" xr:uid="{00000000-0005-0000-0000-00008E020000}"/>
    <cellStyle name="Обычный 7 2 9" xfId="6246" xr:uid="{00000000-0005-0000-0000-00008F020000}"/>
    <cellStyle name="Обычный 7 2 9 2" xfId="14889" xr:uid="{00000000-0005-0000-0000-000090020000}"/>
    <cellStyle name="Обычный 7 3" xfId="354" xr:uid="{00000000-0005-0000-0000-000091020000}"/>
    <cellStyle name="Обычный 7 3 2" xfId="1405" xr:uid="{00000000-0005-0000-0000-000092020000}"/>
    <cellStyle name="Обычный 7 3 2 2" xfId="3189" xr:uid="{00000000-0005-0000-0000-000093020000}"/>
    <cellStyle name="Обычный 7 3 2 2 2" xfId="11834" xr:uid="{00000000-0005-0000-0000-000094020000}"/>
    <cellStyle name="Обычный 7 3 2 3" xfId="4833" xr:uid="{00000000-0005-0000-0000-000095020000}"/>
    <cellStyle name="Обычный 7 3 2 3 2" xfId="13478" xr:uid="{00000000-0005-0000-0000-000096020000}"/>
    <cellStyle name="Обычный 7 3 2 4" xfId="7445" xr:uid="{00000000-0005-0000-0000-000097020000}"/>
    <cellStyle name="Обычный 7 3 2 4 2" xfId="16088" xr:uid="{00000000-0005-0000-0000-000098020000}"/>
    <cellStyle name="Обычный 7 3 2 5" xfId="10052" xr:uid="{00000000-0005-0000-0000-000099020000}"/>
    <cellStyle name="Обычный 7 3 3" xfId="774" xr:uid="{00000000-0005-0000-0000-00009A020000}"/>
    <cellStyle name="Обычный 7 3 3 2" xfId="6814" xr:uid="{00000000-0005-0000-0000-00009B020000}"/>
    <cellStyle name="Обычный 7 3 3 2 2" xfId="15457" xr:uid="{00000000-0005-0000-0000-00009C020000}"/>
    <cellStyle name="Обычный 7 3 3 3" xfId="9421" xr:uid="{00000000-0005-0000-0000-00009D020000}"/>
    <cellStyle name="Обычный 7 3 4" xfId="2951" xr:uid="{00000000-0005-0000-0000-00009E020000}"/>
    <cellStyle name="Обычный 7 3 4 2" xfId="11596" xr:uid="{00000000-0005-0000-0000-00009F020000}"/>
    <cellStyle name="Обычный 7 3 5" xfId="4595" xr:uid="{00000000-0005-0000-0000-0000A0020000}"/>
    <cellStyle name="Обычный 7 3 5 2" xfId="13240" xr:uid="{00000000-0005-0000-0000-0000A1020000}"/>
    <cellStyle name="Обычный 7 3 6" xfId="6394" xr:uid="{00000000-0005-0000-0000-0000A2020000}"/>
    <cellStyle name="Обычный 7 3 6 2" xfId="15037" xr:uid="{00000000-0005-0000-0000-0000A3020000}"/>
    <cellStyle name="Обычный 7 3 7" xfId="9001" xr:uid="{00000000-0005-0000-0000-0000A4020000}"/>
    <cellStyle name="Обычный 7 4" xfId="1429" xr:uid="{00000000-0005-0000-0000-0000A5020000}"/>
    <cellStyle name="Обычный 7 4 2" xfId="1877" xr:uid="{00000000-0005-0000-0000-0000A6020000}"/>
    <cellStyle name="Обычный 7 4 2 2" xfId="3522" xr:uid="{00000000-0005-0000-0000-0000A7020000}"/>
    <cellStyle name="Обычный 7 4 2 2 2" xfId="12167" xr:uid="{00000000-0005-0000-0000-0000A8020000}"/>
    <cellStyle name="Обычный 7 4 2 3" xfId="5305" xr:uid="{00000000-0005-0000-0000-0000A9020000}"/>
    <cellStyle name="Обычный 7 4 2 3 2" xfId="13948" xr:uid="{00000000-0005-0000-0000-0000AA020000}"/>
    <cellStyle name="Обычный 7 4 2 4" xfId="7915" xr:uid="{00000000-0005-0000-0000-0000AB020000}"/>
    <cellStyle name="Обычный 7 4 2 4 2" xfId="16558" xr:uid="{00000000-0005-0000-0000-0000AC020000}"/>
    <cellStyle name="Обычный 7 4 2 5" xfId="10522" xr:uid="{00000000-0005-0000-0000-0000AD020000}"/>
    <cellStyle name="Обычный 7 4 3" xfId="4857" xr:uid="{00000000-0005-0000-0000-0000AE020000}"/>
    <cellStyle name="Обычный 7 4 3 2" xfId="13501" xr:uid="{00000000-0005-0000-0000-0000AF020000}"/>
    <cellStyle name="Обычный 7 4 4" xfId="7468" xr:uid="{00000000-0005-0000-0000-0000B0020000}"/>
    <cellStyle name="Обычный 7 4 4 2" xfId="16111" xr:uid="{00000000-0005-0000-0000-0000B1020000}"/>
    <cellStyle name="Обычный 7 4 5" xfId="10075" xr:uid="{00000000-0005-0000-0000-0000B2020000}"/>
    <cellStyle name="Обычный 7 5" xfId="1389" xr:uid="{00000000-0005-0000-0000-0000B3020000}"/>
    <cellStyle name="Обычный 7 5 2" xfId="3173" xr:uid="{00000000-0005-0000-0000-0000B4020000}"/>
    <cellStyle name="Обычный 7 5 2 2" xfId="11818" xr:uid="{00000000-0005-0000-0000-0000B5020000}"/>
    <cellStyle name="Обычный 7 5 3" xfId="4817" xr:uid="{00000000-0005-0000-0000-0000B6020000}"/>
    <cellStyle name="Обычный 7 5 3 2" xfId="13462" xr:uid="{00000000-0005-0000-0000-0000B7020000}"/>
    <cellStyle name="Обычный 7 5 4" xfId="7429" xr:uid="{00000000-0005-0000-0000-0000B8020000}"/>
    <cellStyle name="Обычный 7 5 4 2" xfId="16072" xr:uid="{00000000-0005-0000-0000-0000B9020000}"/>
    <cellStyle name="Обычный 7 5 5" xfId="10036" xr:uid="{00000000-0005-0000-0000-0000BA020000}"/>
    <cellStyle name="Обычный 7 6" xfId="2398" xr:uid="{00000000-0005-0000-0000-0000BB020000}"/>
    <cellStyle name="Обычный 7 6 2" xfId="4043" xr:uid="{00000000-0005-0000-0000-0000BC020000}"/>
    <cellStyle name="Обычный 7 6 2 2" xfId="12688" xr:uid="{00000000-0005-0000-0000-0000BD020000}"/>
    <cellStyle name="Обычный 7 6 3" xfId="5826" xr:uid="{00000000-0005-0000-0000-0000BE020000}"/>
    <cellStyle name="Обычный 7 6 3 2" xfId="14469" xr:uid="{00000000-0005-0000-0000-0000BF020000}"/>
    <cellStyle name="Обычный 7 6 4" xfId="8436" xr:uid="{00000000-0005-0000-0000-0000C0020000}"/>
    <cellStyle name="Обычный 7 6 4 2" xfId="17079" xr:uid="{00000000-0005-0000-0000-0000C1020000}"/>
    <cellStyle name="Обычный 7 6 5" xfId="11043" xr:uid="{00000000-0005-0000-0000-0000C2020000}"/>
    <cellStyle name="Обычный 7 7" xfId="1625" xr:uid="{00000000-0005-0000-0000-0000C3020000}"/>
    <cellStyle name="Обычный 7 7 2" xfId="3270" xr:uid="{00000000-0005-0000-0000-0000C4020000}"/>
    <cellStyle name="Обычный 7 7 2 2" xfId="11915" xr:uid="{00000000-0005-0000-0000-0000C5020000}"/>
    <cellStyle name="Обычный 7 7 3" xfId="5053" xr:uid="{00000000-0005-0000-0000-0000C6020000}"/>
    <cellStyle name="Обычный 7 7 3 2" xfId="13696" xr:uid="{00000000-0005-0000-0000-0000C7020000}"/>
    <cellStyle name="Обычный 7 7 4" xfId="7663" xr:uid="{00000000-0005-0000-0000-0000C8020000}"/>
    <cellStyle name="Обычный 7 7 4 2" xfId="16306" xr:uid="{00000000-0005-0000-0000-0000C9020000}"/>
    <cellStyle name="Обычный 7 7 5" xfId="10270" xr:uid="{00000000-0005-0000-0000-0000CA020000}"/>
    <cellStyle name="Обычный 7 8" xfId="490" xr:uid="{00000000-0005-0000-0000-0000CB020000}"/>
    <cellStyle name="Обычный 7 8 2" xfId="6530" xr:uid="{00000000-0005-0000-0000-0000CC020000}"/>
    <cellStyle name="Обычный 7 8 2 2" xfId="15173" xr:uid="{00000000-0005-0000-0000-0000CD020000}"/>
    <cellStyle name="Обычный 7 8 3" xfId="9137" xr:uid="{00000000-0005-0000-0000-0000CE020000}"/>
    <cellStyle name="Обычный 7 9" xfId="2679" xr:uid="{00000000-0005-0000-0000-0000CF020000}"/>
    <cellStyle name="Обычный 7 9 2" xfId="11324" xr:uid="{00000000-0005-0000-0000-0000D0020000}"/>
    <cellStyle name="Обычный 8" xfId="70" xr:uid="{00000000-0005-0000-0000-0000D1020000}"/>
    <cellStyle name="Обычный 8 10" xfId="4324" xr:uid="{00000000-0005-0000-0000-0000D2020000}"/>
    <cellStyle name="Обычный 8 10 2" xfId="12969" xr:uid="{00000000-0005-0000-0000-0000D3020000}"/>
    <cellStyle name="Обычный 8 11" xfId="6111" xr:uid="{00000000-0005-0000-0000-0000D4020000}"/>
    <cellStyle name="Обычный 8 11 2" xfId="14754" xr:uid="{00000000-0005-0000-0000-0000D5020000}"/>
    <cellStyle name="Обычный 8 12" xfId="8718" xr:uid="{00000000-0005-0000-0000-0000D6020000}"/>
    <cellStyle name="Обычный 8 2" xfId="206" xr:uid="{00000000-0005-0000-0000-0000D7020000}"/>
    <cellStyle name="Обычный 8 2 10" xfId="8854" xr:uid="{00000000-0005-0000-0000-0000D8020000}"/>
    <cellStyle name="Обычный 8 2 2" xfId="1304" xr:uid="{00000000-0005-0000-0000-0000D9020000}"/>
    <cellStyle name="Обычный 8 2 2 2" xfId="1414" xr:uid="{00000000-0005-0000-0000-0000DA020000}"/>
    <cellStyle name="Обычный 8 2 2 2 2" xfId="3198" xr:uid="{00000000-0005-0000-0000-0000DB020000}"/>
    <cellStyle name="Обычный 8 2 2 2 2 2" xfId="11843" xr:uid="{00000000-0005-0000-0000-0000DC020000}"/>
    <cellStyle name="Обычный 8 2 2 2 3" xfId="4842" xr:uid="{00000000-0005-0000-0000-0000DD020000}"/>
    <cellStyle name="Обычный 8 2 2 2 3 2" xfId="13487" xr:uid="{00000000-0005-0000-0000-0000DE020000}"/>
    <cellStyle name="Обычный 8 2 2 2 4" xfId="7454" xr:uid="{00000000-0005-0000-0000-0000DF020000}"/>
    <cellStyle name="Обычный 8 2 2 2 4 2" xfId="16097" xr:uid="{00000000-0005-0000-0000-0000E0020000}"/>
    <cellStyle name="Обычный 8 2 2 2 5" xfId="10061" xr:uid="{00000000-0005-0000-0000-0000E1020000}"/>
    <cellStyle name="Обычный 8 2 2 3" xfId="3088" xr:uid="{00000000-0005-0000-0000-0000E2020000}"/>
    <cellStyle name="Обычный 8 2 2 3 2" xfId="11733" xr:uid="{00000000-0005-0000-0000-0000E3020000}"/>
    <cellStyle name="Обычный 8 2 2 4" xfId="4732" xr:uid="{00000000-0005-0000-0000-0000E4020000}"/>
    <cellStyle name="Обычный 8 2 2 4 2" xfId="13377" xr:uid="{00000000-0005-0000-0000-0000E5020000}"/>
    <cellStyle name="Обычный 8 2 2 5" xfId="7344" xr:uid="{00000000-0005-0000-0000-0000E6020000}"/>
    <cellStyle name="Обычный 8 2 2 5 2" xfId="15987" xr:uid="{00000000-0005-0000-0000-0000E7020000}"/>
    <cellStyle name="Обычный 8 2 2 6" xfId="9951" xr:uid="{00000000-0005-0000-0000-0000E8020000}"/>
    <cellStyle name="Обычный 8 2 3" xfId="1398" xr:uid="{00000000-0005-0000-0000-0000E9020000}"/>
    <cellStyle name="Обычный 8 2 3 2" xfId="3182" xr:uid="{00000000-0005-0000-0000-0000EA020000}"/>
    <cellStyle name="Обычный 8 2 3 2 2" xfId="11827" xr:uid="{00000000-0005-0000-0000-0000EB020000}"/>
    <cellStyle name="Обычный 8 2 3 3" xfId="4826" xr:uid="{00000000-0005-0000-0000-0000EC020000}"/>
    <cellStyle name="Обычный 8 2 3 3 2" xfId="13471" xr:uid="{00000000-0005-0000-0000-0000ED020000}"/>
    <cellStyle name="Обычный 8 2 3 4" xfId="7438" xr:uid="{00000000-0005-0000-0000-0000EE020000}"/>
    <cellStyle name="Обычный 8 2 3 4 2" xfId="16081" xr:uid="{00000000-0005-0000-0000-0000EF020000}"/>
    <cellStyle name="Обычный 8 2 3 5" xfId="10045" xr:uid="{00000000-0005-0000-0000-0000F0020000}"/>
    <cellStyle name="Обычный 8 2 4" xfId="2535" xr:uid="{00000000-0005-0000-0000-0000F1020000}"/>
    <cellStyle name="Обычный 8 2 4 2" xfId="4180" xr:uid="{00000000-0005-0000-0000-0000F2020000}"/>
    <cellStyle name="Обычный 8 2 4 2 2" xfId="12825" xr:uid="{00000000-0005-0000-0000-0000F3020000}"/>
    <cellStyle name="Обычный 8 2 4 3" xfId="5963" xr:uid="{00000000-0005-0000-0000-0000F4020000}"/>
    <cellStyle name="Обычный 8 2 4 3 2" xfId="14606" xr:uid="{00000000-0005-0000-0000-0000F5020000}"/>
    <cellStyle name="Обычный 8 2 4 4" xfId="8573" xr:uid="{00000000-0005-0000-0000-0000F6020000}"/>
    <cellStyle name="Обычный 8 2 4 4 2" xfId="17216" xr:uid="{00000000-0005-0000-0000-0000F7020000}"/>
    <cellStyle name="Обычный 8 2 4 5" xfId="11180" xr:uid="{00000000-0005-0000-0000-0000F8020000}"/>
    <cellStyle name="Обычный 8 2 5" xfId="1039" xr:uid="{00000000-0005-0000-0000-0000F9020000}"/>
    <cellStyle name="Обычный 8 2 5 2" xfId="7079" xr:uid="{00000000-0005-0000-0000-0000FA020000}"/>
    <cellStyle name="Обычный 8 2 5 2 2" xfId="15722" xr:uid="{00000000-0005-0000-0000-0000FB020000}"/>
    <cellStyle name="Обычный 8 2 5 3" xfId="9686" xr:uid="{00000000-0005-0000-0000-0000FC020000}"/>
    <cellStyle name="Обычный 8 2 6" xfId="627" xr:uid="{00000000-0005-0000-0000-0000FD020000}"/>
    <cellStyle name="Обычный 8 2 6 2" xfId="6667" xr:uid="{00000000-0005-0000-0000-0000FE020000}"/>
    <cellStyle name="Обычный 8 2 6 2 2" xfId="15310" xr:uid="{00000000-0005-0000-0000-0000FF020000}"/>
    <cellStyle name="Обычный 8 2 6 3" xfId="9274" xr:uid="{00000000-0005-0000-0000-000000030000}"/>
    <cellStyle name="Обычный 8 2 7" xfId="2816" xr:uid="{00000000-0005-0000-0000-000001030000}"/>
    <cellStyle name="Обычный 8 2 7 2" xfId="11461" xr:uid="{00000000-0005-0000-0000-000002030000}"/>
    <cellStyle name="Обычный 8 2 8" xfId="4460" xr:uid="{00000000-0005-0000-0000-000003030000}"/>
    <cellStyle name="Обычный 8 2 8 2" xfId="13105" xr:uid="{00000000-0005-0000-0000-000004030000}"/>
    <cellStyle name="Обычный 8 2 9" xfId="6247" xr:uid="{00000000-0005-0000-0000-000005030000}"/>
    <cellStyle name="Обычный 8 2 9 2" xfId="14890" xr:uid="{00000000-0005-0000-0000-000006030000}"/>
    <cellStyle name="Обычный 8 3" xfId="355" xr:uid="{00000000-0005-0000-0000-000007030000}"/>
    <cellStyle name="Обычный 8 3 2" xfId="1406" xr:uid="{00000000-0005-0000-0000-000008030000}"/>
    <cellStyle name="Обычный 8 3 2 2" xfId="3190" xr:uid="{00000000-0005-0000-0000-000009030000}"/>
    <cellStyle name="Обычный 8 3 2 2 2" xfId="11835" xr:uid="{00000000-0005-0000-0000-00000A030000}"/>
    <cellStyle name="Обычный 8 3 2 3" xfId="4834" xr:uid="{00000000-0005-0000-0000-00000B030000}"/>
    <cellStyle name="Обычный 8 3 2 3 2" xfId="13479" xr:uid="{00000000-0005-0000-0000-00000C030000}"/>
    <cellStyle name="Обычный 8 3 2 4" xfId="7446" xr:uid="{00000000-0005-0000-0000-00000D030000}"/>
    <cellStyle name="Обычный 8 3 2 4 2" xfId="16089" xr:uid="{00000000-0005-0000-0000-00000E030000}"/>
    <cellStyle name="Обычный 8 3 2 5" xfId="10053" xr:uid="{00000000-0005-0000-0000-00000F030000}"/>
    <cellStyle name="Обычный 8 3 3" xfId="775" xr:uid="{00000000-0005-0000-0000-000010030000}"/>
    <cellStyle name="Обычный 8 3 3 2" xfId="6815" xr:uid="{00000000-0005-0000-0000-000011030000}"/>
    <cellStyle name="Обычный 8 3 3 2 2" xfId="15458" xr:uid="{00000000-0005-0000-0000-000012030000}"/>
    <cellStyle name="Обычный 8 3 3 3" xfId="9422" xr:uid="{00000000-0005-0000-0000-000013030000}"/>
    <cellStyle name="Обычный 8 3 4" xfId="2952" xr:uid="{00000000-0005-0000-0000-000014030000}"/>
    <cellStyle name="Обычный 8 3 4 2" xfId="11597" xr:uid="{00000000-0005-0000-0000-000015030000}"/>
    <cellStyle name="Обычный 8 3 5" xfId="4596" xr:uid="{00000000-0005-0000-0000-000016030000}"/>
    <cellStyle name="Обычный 8 3 5 2" xfId="13241" xr:uid="{00000000-0005-0000-0000-000017030000}"/>
    <cellStyle name="Обычный 8 3 6" xfId="6395" xr:uid="{00000000-0005-0000-0000-000018030000}"/>
    <cellStyle name="Обычный 8 3 6 2" xfId="15038" xr:uid="{00000000-0005-0000-0000-000019030000}"/>
    <cellStyle name="Обычный 8 3 7" xfId="9002" xr:uid="{00000000-0005-0000-0000-00001A030000}"/>
    <cellStyle name="Обычный 8 4" xfId="1430" xr:uid="{00000000-0005-0000-0000-00001B030000}"/>
    <cellStyle name="Обычный 8 4 2" xfId="1878" xr:uid="{00000000-0005-0000-0000-00001C030000}"/>
    <cellStyle name="Обычный 8 4 2 2" xfId="3523" xr:uid="{00000000-0005-0000-0000-00001D030000}"/>
    <cellStyle name="Обычный 8 4 2 2 2" xfId="12168" xr:uid="{00000000-0005-0000-0000-00001E030000}"/>
    <cellStyle name="Обычный 8 4 2 3" xfId="5306" xr:uid="{00000000-0005-0000-0000-00001F030000}"/>
    <cellStyle name="Обычный 8 4 2 3 2" xfId="13949" xr:uid="{00000000-0005-0000-0000-000020030000}"/>
    <cellStyle name="Обычный 8 4 2 4" xfId="7916" xr:uid="{00000000-0005-0000-0000-000021030000}"/>
    <cellStyle name="Обычный 8 4 2 4 2" xfId="16559" xr:uid="{00000000-0005-0000-0000-000022030000}"/>
    <cellStyle name="Обычный 8 4 2 5" xfId="10523" xr:uid="{00000000-0005-0000-0000-000023030000}"/>
    <cellStyle name="Обычный 8 4 3" xfId="4858" xr:uid="{00000000-0005-0000-0000-000024030000}"/>
    <cellStyle name="Обычный 8 4 3 2" xfId="13502" xr:uid="{00000000-0005-0000-0000-000025030000}"/>
    <cellStyle name="Обычный 8 4 4" xfId="7469" xr:uid="{00000000-0005-0000-0000-000026030000}"/>
    <cellStyle name="Обычный 8 4 4 2" xfId="16112" xr:uid="{00000000-0005-0000-0000-000027030000}"/>
    <cellStyle name="Обычный 8 4 5" xfId="10076" xr:uid="{00000000-0005-0000-0000-000028030000}"/>
    <cellStyle name="Обычный 8 5" xfId="1390" xr:uid="{00000000-0005-0000-0000-000029030000}"/>
    <cellStyle name="Обычный 8 5 2" xfId="3174" xr:uid="{00000000-0005-0000-0000-00002A030000}"/>
    <cellStyle name="Обычный 8 5 2 2" xfId="11819" xr:uid="{00000000-0005-0000-0000-00002B030000}"/>
    <cellStyle name="Обычный 8 5 3" xfId="4818" xr:uid="{00000000-0005-0000-0000-00002C030000}"/>
    <cellStyle name="Обычный 8 5 3 2" xfId="13463" xr:uid="{00000000-0005-0000-0000-00002D030000}"/>
    <cellStyle name="Обычный 8 5 4" xfId="7430" xr:uid="{00000000-0005-0000-0000-00002E030000}"/>
    <cellStyle name="Обычный 8 5 4 2" xfId="16073" xr:uid="{00000000-0005-0000-0000-00002F030000}"/>
    <cellStyle name="Обычный 8 5 5" xfId="10037" xr:uid="{00000000-0005-0000-0000-000030030000}"/>
    <cellStyle name="Обычный 8 6" xfId="2399" xr:uid="{00000000-0005-0000-0000-000031030000}"/>
    <cellStyle name="Обычный 8 6 2" xfId="4044" xr:uid="{00000000-0005-0000-0000-000032030000}"/>
    <cellStyle name="Обычный 8 6 2 2" xfId="12689" xr:uid="{00000000-0005-0000-0000-000033030000}"/>
    <cellStyle name="Обычный 8 6 3" xfId="5827" xr:uid="{00000000-0005-0000-0000-000034030000}"/>
    <cellStyle name="Обычный 8 6 3 2" xfId="14470" xr:uid="{00000000-0005-0000-0000-000035030000}"/>
    <cellStyle name="Обычный 8 6 4" xfId="8437" xr:uid="{00000000-0005-0000-0000-000036030000}"/>
    <cellStyle name="Обычный 8 6 4 2" xfId="17080" xr:uid="{00000000-0005-0000-0000-000037030000}"/>
    <cellStyle name="Обычный 8 6 5" xfId="11044" xr:uid="{00000000-0005-0000-0000-000038030000}"/>
    <cellStyle name="Обычный 8 7" xfId="1626" xr:uid="{00000000-0005-0000-0000-000039030000}"/>
    <cellStyle name="Обычный 8 7 2" xfId="3271" xr:uid="{00000000-0005-0000-0000-00003A030000}"/>
    <cellStyle name="Обычный 8 7 2 2" xfId="11916" xr:uid="{00000000-0005-0000-0000-00003B030000}"/>
    <cellStyle name="Обычный 8 7 3" xfId="5054" xr:uid="{00000000-0005-0000-0000-00003C030000}"/>
    <cellStyle name="Обычный 8 7 3 2" xfId="13697" xr:uid="{00000000-0005-0000-0000-00003D030000}"/>
    <cellStyle name="Обычный 8 7 4" xfId="7664" xr:uid="{00000000-0005-0000-0000-00003E030000}"/>
    <cellStyle name="Обычный 8 7 4 2" xfId="16307" xr:uid="{00000000-0005-0000-0000-00003F030000}"/>
    <cellStyle name="Обычный 8 7 5" xfId="10271" xr:uid="{00000000-0005-0000-0000-000040030000}"/>
    <cellStyle name="Обычный 8 8" xfId="491" xr:uid="{00000000-0005-0000-0000-000041030000}"/>
    <cellStyle name="Обычный 8 8 2" xfId="6531" xr:uid="{00000000-0005-0000-0000-000042030000}"/>
    <cellStyle name="Обычный 8 8 2 2" xfId="15174" xr:uid="{00000000-0005-0000-0000-000043030000}"/>
    <cellStyle name="Обычный 8 8 3" xfId="9138" xr:uid="{00000000-0005-0000-0000-000044030000}"/>
    <cellStyle name="Обычный 8 9" xfId="2680" xr:uid="{00000000-0005-0000-0000-000045030000}"/>
    <cellStyle name="Обычный 8 9 2" xfId="11325" xr:uid="{00000000-0005-0000-0000-000046030000}"/>
    <cellStyle name="Обычный 9" xfId="71" xr:uid="{00000000-0005-0000-0000-000047030000}"/>
    <cellStyle name="Обычный 9 10" xfId="4325" xr:uid="{00000000-0005-0000-0000-000048030000}"/>
    <cellStyle name="Обычный 9 10 2" xfId="12970" xr:uid="{00000000-0005-0000-0000-000049030000}"/>
    <cellStyle name="Обычный 9 11" xfId="6112" xr:uid="{00000000-0005-0000-0000-00004A030000}"/>
    <cellStyle name="Обычный 9 11 2" xfId="14755" xr:uid="{00000000-0005-0000-0000-00004B030000}"/>
    <cellStyle name="Обычный 9 12" xfId="8719" xr:uid="{00000000-0005-0000-0000-00004C030000}"/>
    <cellStyle name="Обычный 9 2" xfId="207" xr:uid="{00000000-0005-0000-0000-00004D030000}"/>
    <cellStyle name="Обычный 9 2 10" xfId="8855" xr:uid="{00000000-0005-0000-0000-00004E030000}"/>
    <cellStyle name="Обычный 9 2 2" xfId="1305" xr:uid="{00000000-0005-0000-0000-00004F030000}"/>
    <cellStyle name="Обычный 9 2 2 2" xfId="1415" xr:uid="{00000000-0005-0000-0000-000050030000}"/>
    <cellStyle name="Обычный 9 2 2 2 2" xfId="3199" xr:uid="{00000000-0005-0000-0000-000051030000}"/>
    <cellStyle name="Обычный 9 2 2 2 2 2" xfId="11844" xr:uid="{00000000-0005-0000-0000-000052030000}"/>
    <cellStyle name="Обычный 9 2 2 2 3" xfId="4843" xr:uid="{00000000-0005-0000-0000-000053030000}"/>
    <cellStyle name="Обычный 9 2 2 2 3 2" xfId="13488" xr:uid="{00000000-0005-0000-0000-000054030000}"/>
    <cellStyle name="Обычный 9 2 2 2 4" xfId="7455" xr:uid="{00000000-0005-0000-0000-000055030000}"/>
    <cellStyle name="Обычный 9 2 2 2 4 2" xfId="16098" xr:uid="{00000000-0005-0000-0000-000056030000}"/>
    <cellStyle name="Обычный 9 2 2 2 5" xfId="10062" xr:uid="{00000000-0005-0000-0000-000057030000}"/>
    <cellStyle name="Обычный 9 2 2 3" xfId="3089" xr:uid="{00000000-0005-0000-0000-000058030000}"/>
    <cellStyle name="Обычный 9 2 2 3 2" xfId="11734" xr:uid="{00000000-0005-0000-0000-000059030000}"/>
    <cellStyle name="Обычный 9 2 2 4" xfId="4733" xr:uid="{00000000-0005-0000-0000-00005A030000}"/>
    <cellStyle name="Обычный 9 2 2 4 2" xfId="13378" xr:uid="{00000000-0005-0000-0000-00005B030000}"/>
    <cellStyle name="Обычный 9 2 2 5" xfId="7345" xr:uid="{00000000-0005-0000-0000-00005C030000}"/>
    <cellStyle name="Обычный 9 2 2 5 2" xfId="15988" xr:uid="{00000000-0005-0000-0000-00005D030000}"/>
    <cellStyle name="Обычный 9 2 2 6" xfId="9952" xr:uid="{00000000-0005-0000-0000-00005E030000}"/>
    <cellStyle name="Обычный 9 2 3" xfId="1399" xr:uid="{00000000-0005-0000-0000-00005F030000}"/>
    <cellStyle name="Обычный 9 2 3 2" xfId="3183" xr:uid="{00000000-0005-0000-0000-000060030000}"/>
    <cellStyle name="Обычный 9 2 3 2 2" xfId="11828" xr:uid="{00000000-0005-0000-0000-000061030000}"/>
    <cellStyle name="Обычный 9 2 3 3" xfId="4827" xr:uid="{00000000-0005-0000-0000-000062030000}"/>
    <cellStyle name="Обычный 9 2 3 3 2" xfId="13472" xr:uid="{00000000-0005-0000-0000-000063030000}"/>
    <cellStyle name="Обычный 9 2 3 4" xfId="7439" xr:uid="{00000000-0005-0000-0000-000064030000}"/>
    <cellStyle name="Обычный 9 2 3 4 2" xfId="16082" xr:uid="{00000000-0005-0000-0000-000065030000}"/>
    <cellStyle name="Обычный 9 2 3 5" xfId="10046" xr:uid="{00000000-0005-0000-0000-000066030000}"/>
    <cellStyle name="Обычный 9 2 4" xfId="2536" xr:uid="{00000000-0005-0000-0000-000067030000}"/>
    <cellStyle name="Обычный 9 2 4 2" xfId="4181" xr:uid="{00000000-0005-0000-0000-000068030000}"/>
    <cellStyle name="Обычный 9 2 4 2 2" xfId="12826" xr:uid="{00000000-0005-0000-0000-000069030000}"/>
    <cellStyle name="Обычный 9 2 4 3" xfId="5964" xr:uid="{00000000-0005-0000-0000-00006A030000}"/>
    <cellStyle name="Обычный 9 2 4 3 2" xfId="14607" xr:uid="{00000000-0005-0000-0000-00006B030000}"/>
    <cellStyle name="Обычный 9 2 4 4" xfId="8574" xr:uid="{00000000-0005-0000-0000-00006C030000}"/>
    <cellStyle name="Обычный 9 2 4 4 2" xfId="17217" xr:uid="{00000000-0005-0000-0000-00006D030000}"/>
    <cellStyle name="Обычный 9 2 4 5" xfId="11181" xr:uid="{00000000-0005-0000-0000-00006E030000}"/>
    <cellStyle name="Обычный 9 2 5" xfId="1040" xr:uid="{00000000-0005-0000-0000-00006F030000}"/>
    <cellStyle name="Обычный 9 2 5 2" xfId="7080" xr:uid="{00000000-0005-0000-0000-000070030000}"/>
    <cellStyle name="Обычный 9 2 5 2 2" xfId="15723" xr:uid="{00000000-0005-0000-0000-000071030000}"/>
    <cellStyle name="Обычный 9 2 5 3" xfId="9687" xr:uid="{00000000-0005-0000-0000-000072030000}"/>
    <cellStyle name="Обычный 9 2 6" xfId="628" xr:uid="{00000000-0005-0000-0000-000073030000}"/>
    <cellStyle name="Обычный 9 2 6 2" xfId="6668" xr:uid="{00000000-0005-0000-0000-000074030000}"/>
    <cellStyle name="Обычный 9 2 6 2 2" xfId="15311" xr:uid="{00000000-0005-0000-0000-000075030000}"/>
    <cellStyle name="Обычный 9 2 6 3" xfId="9275" xr:uid="{00000000-0005-0000-0000-000076030000}"/>
    <cellStyle name="Обычный 9 2 7" xfId="2817" xr:uid="{00000000-0005-0000-0000-000077030000}"/>
    <cellStyle name="Обычный 9 2 7 2" xfId="11462" xr:uid="{00000000-0005-0000-0000-000078030000}"/>
    <cellStyle name="Обычный 9 2 8" xfId="4461" xr:uid="{00000000-0005-0000-0000-000079030000}"/>
    <cellStyle name="Обычный 9 2 8 2" xfId="13106" xr:uid="{00000000-0005-0000-0000-00007A030000}"/>
    <cellStyle name="Обычный 9 2 9" xfId="6248" xr:uid="{00000000-0005-0000-0000-00007B030000}"/>
    <cellStyle name="Обычный 9 2 9 2" xfId="14891" xr:uid="{00000000-0005-0000-0000-00007C030000}"/>
    <cellStyle name="Обычный 9 3" xfId="356" xr:uid="{00000000-0005-0000-0000-00007D030000}"/>
    <cellStyle name="Обычный 9 3 2" xfId="1407" xr:uid="{00000000-0005-0000-0000-00007E030000}"/>
    <cellStyle name="Обычный 9 3 2 2" xfId="3191" xr:uid="{00000000-0005-0000-0000-00007F030000}"/>
    <cellStyle name="Обычный 9 3 2 2 2" xfId="11836" xr:uid="{00000000-0005-0000-0000-000080030000}"/>
    <cellStyle name="Обычный 9 3 2 3" xfId="4835" xr:uid="{00000000-0005-0000-0000-000081030000}"/>
    <cellStyle name="Обычный 9 3 2 3 2" xfId="13480" xr:uid="{00000000-0005-0000-0000-000082030000}"/>
    <cellStyle name="Обычный 9 3 2 4" xfId="7447" xr:uid="{00000000-0005-0000-0000-000083030000}"/>
    <cellStyle name="Обычный 9 3 2 4 2" xfId="16090" xr:uid="{00000000-0005-0000-0000-000084030000}"/>
    <cellStyle name="Обычный 9 3 2 5" xfId="10054" xr:uid="{00000000-0005-0000-0000-000085030000}"/>
    <cellStyle name="Обычный 9 3 3" xfId="776" xr:uid="{00000000-0005-0000-0000-000086030000}"/>
    <cellStyle name="Обычный 9 3 3 2" xfId="6816" xr:uid="{00000000-0005-0000-0000-000087030000}"/>
    <cellStyle name="Обычный 9 3 3 2 2" xfId="15459" xr:uid="{00000000-0005-0000-0000-000088030000}"/>
    <cellStyle name="Обычный 9 3 3 3" xfId="9423" xr:uid="{00000000-0005-0000-0000-000089030000}"/>
    <cellStyle name="Обычный 9 3 4" xfId="2953" xr:uid="{00000000-0005-0000-0000-00008A030000}"/>
    <cellStyle name="Обычный 9 3 4 2" xfId="11598" xr:uid="{00000000-0005-0000-0000-00008B030000}"/>
    <cellStyle name="Обычный 9 3 5" xfId="4597" xr:uid="{00000000-0005-0000-0000-00008C030000}"/>
    <cellStyle name="Обычный 9 3 5 2" xfId="13242" xr:uid="{00000000-0005-0000-0000-00008D030000}"/>
    <cellStyle name="Обычный 9 3 6" xfId="6396" xr:uid="{00000000-0005-0000-0000-00008E030000}"/>
    <cellStyle name="Обычный 9 3 6 2" xfId="15039" xr:uid="{00000000-0005-0000-0000-00008F030000}"/>
    <cellStyle name="Обычный 9 3 7" xfId="9003" xr:uid="{00000000-0005-0000-0000-000090030000}"/>
    <cellStyle name="Обычный 9 4" xfId="1431" xr:uid="{00000000-0005-0000-0000-000091030000}"/>
    <cellStyle name="Обычный 9 4 2" xfId="1879" xr:uid="{00000000-0005-0000-0000-000092030000}"/>
    <cellStyle name="Обычный 9 4 2 2" xfId="3524" xr:uid="{00000000-0005-0000-0000-000093030000}"/>
    <cellStyle name="Обычный 9 4 2 2 2" xfId="12169" xr:uid="{00000000-0005-0000-0000-000094030000}"/>
    <cellStyle name="Обычный 9 4 2 3" xfId="5307" xr:uid="{00000000-0005-0000-0000-000095030000}"/>
    <cellStyle name="Обычный 9 4 2 3 2" xfId="13950" xr:uid="{00000000-0005-0000-0000-000096030000}"/>
    <cellStyle name="Обычный 9 4 2 4" xfId="7917" xr:uid="{00000000-0005-0000-0000-000097030000}"/>
    <cellStyle name="Обычный 9 4 2 4 2" xfId="16560" xr:uid="{00000000-0005-0000-0000-000098030000}"/>
    <cellStyle name="Обычный 9 4 2 5" xfId="10524" xr:uid="{00000000-0005-0000-0000-000099030000}"/>
    <cellStyle name="Обычный 9 4 3" xfId="4859" xr:uid="{00000000-0005-0000-0000-00009A030000}"/>
    <cellStyle name="Обычный 9 4 3 2" xfId="13503" xr:uid="{00000000-0005-0000-0000-00009B030000}"/>
    <cellStyle name="Обычный 9 4 4" xfId="7470" xr:uid="{00000000-0005-0000-0000-00009C030000}"/>
    <cellStyle name="Обычный 9 4 4 2" xfId="16113" xr:uid="{00000000-0005-0000-0000-00009D030000}"/>
    <cellStyle name="Обычный 9 4 5" xfId="10077" xr:uid="{00000000-0005-0000-0000-00009E030000}"/>
    <cellStyle name="Обычный 9 5" xfId="1391" xr:uid="{00000000-0005-0000-0000-00009F030000}"/>
    <cellStyle name="Обычный 9 5 2" xfId="3175" xr:uid="{00000000-0005-0000-0000-0000A0030000}"/>
    <cellStyle name="Обычный 9 5 2 2" xfId="11820" xr:uid="{00000000-0005-0000-0000-0000A1030000}"/>
    <cellStyle name="Обычный 9 5 3" xfId="4819" xr:uid="{00000000-0005-0000-0000-0000A2030000}"/>
    <cellStyle name="Обычный 9 5 3 2" xfId="13464" xr:uid="{00000000-0005-0000-0000-0000A3030000}"/>
    <cellStyle name="Обычный 9 5 4" xfId="7431" xr:uid="{00000000-0005-0000-0000-0000A4030000}"/>
    <cellStyle name="Обычный 9 5 4 2" xfId="16074" xr:uid="{00000000-0005-0000-0000-0000A5030000}"/>
    <cellStyle name="Обычный 9 5 5" xfId="10038" xr:uid="{00000000-0005-0000-0000-0000A6030000}"/>
    <cellStyle name="Обычный 9 6" xfId="2400" xr:uid="{00000000-0005-0000-0000-0000A7030000}"/>
    <cellStyle name="Обычный 9 6 2" xfId="4045" xr:uid="{00000000-0005-0000-0000-0000A8030000}"/>
    <cellStyle name="Обычный 9 6 2 2" xfId="12690" xr:uid="{00000000-0005-0000-0000-0000A9030000}"/>
    <cellStyle name="Обычный 9 6 3" xfId="5828" xr:uid="{00000000-0005-0000-0000-0000AA030000}"/>
    <cellStyle name="Обычный 9 6 3 2" xfId="14471" xr:uid="{00000000-0005-0000-0000-0000AB030000}"/>
    <cellStyle name="Обычный 9 6 4" xfId="8438" xr:uid="{00000000-0005-0000-0000-0000AC030000}"/>
    <cellStyle name="Обычный 9 6 4 2" xfId="17081" xr:uid="{00000000-0005-0000-0000-0000AD030000}"/>
    <cellStyle name="Обычный 9 6 5" xfId="11045" xr:uid="{00000000-0005-0000-0000-0000AE030000}"/>
    <cellStyle name="Обычный 9 7" xfId="1627" xr:uid="{00000000-0005-0000-0000-0000AF030000}"/>
    <cellStyle name="Обычный 9 7 2" xfId="3272" xr:uid="{00000000-0005-0000-0000-0000B0030000}"/>
    <cellStyle name="Обычный 9 7 2 2" xfId="11917" xr:uid="{00000000-0005-0000-0000-0000B1030000}"/>
    <cellStyle name="Обычный 9 7 3" xfId="5055" xr:uid="{00000000-0005-0000-0000-0000B2030000}"/>
    <cellStyle name="Обычный 9 7 3 2" xfId="13698" xr:uid="{00000000-0005-0000-0000-0000B3030000}"/>
    <cellStyle name="Обычный 9 7 4" xfId="7665" xr:uid="{00000000-0005-0000-0000-0000B4030000}"/>
    <cellStyle name="Обычный 9 7 4 2" xfId="16308" xr:uid="{00000000-0005-0000-0000-0000B5030000}"/>
    <cellStyle name="Обычный 9 7 5" xfId="10272" xr:uid="{00000000-0005-0000-0000-0000B6030000}"/>
    <cellStyle name="Обычный 9 8" xfId="492" xr:uid="{00000000-0005-0000-0000-0000B7030000}"/>
    <cellStyle name="Обычный 9 8 2" xfId="6532" xr:uid="{00000000-0005-0000-0000-0000B8030000}"/>
    <cellStyle name="Обычный 9 8 2 2" xfId="15175" xr:uid="{00000000-0005-0000-0000-0000B9030000}"/>
    <cellStyle name="Обычный 9 8 3" xfId="9139" xr:uid="{00000000-0005-0000-0000-0000BA030000}"/>
    <cellStyle name="Обычный 9 9" xfId="2681" xr:uid="{00000000-0005-0000-0000-0000BB030000}"/>
    <cellStyle name="Обычный 9 9 2" xfId="11326" xr:uid="{00000000-0005-0000-0000-0000BC030000}"/>
    <cellStyle name="Процентный" xfId="287" builtinId="5"/>
    <cellStyle name="Процентный 2" xfId="1557" xr:uid="{00000000-0005-0000-0000-0000BE030000}"/>
    <cellStyle name="Процентный 2 2" xfId="4985" xr:uid="{00000000-0005-0000-0000-0000BF030000}"/>
    <cellStyle name="Процентный 2 2 2" xfId="13628" xr:uid="{00000000-0005-0000-0000-0000C0030000}"/>
    <cellStyle name="Процентный 2 3" xfId="7595" xr:uid="{00000000-0005-0000-0000-0000C1030000}"/>
    <cellStyle name="Процентный 2 3 2" xfId="16238" xr:uid="{00000000-0005-0000-0000-0000C2030000}"/>
    <cellStyle name="Процентный 2 4" xfId="10202" xr:uid="{00000000-0005-0000-0000-0000C3030000}"/>
    <cellStyle name="Финансовый" xfId="1" builtinId="3"/>
    <cellStyle name="Финансовый [0] 2" xfId="1385" xr:uid="{00000000-0005-0000-0000-0000C5030000}"/>
    <cellStyle name="Финансовый [0] 2 2" xfId="3169" xr:uid="{00000000-0005-0000-0000-0000C6030000}"/>
    <cellStyle name="Финансовый [0] 2 2 2" xfId="11814" xr:uid="{00000000-0005-0000-0000-0000C7030000}"/>
    <cellStyle name="Финансовый [0] 2 3" xfId="4813" xr:uid="{00000000-0005-0000-0000-0000C8030000}"/>
    <cellStyle name="Финансовый [0] 2 3 2" xfId="13458" xr:uid="{00000000-0005-0000-0000-0000C9030000}"/>
    <cellStyle name="Финансовый [0] 2 4" xfId="7425" xr:uid="{00000000-0005-0000-0000-0000CA030000}"/>
    <cellStyle name="Финансовый [0] 2 4 2" xfId="16068" xr:uid="{00000000-0005-0000-0000-0000CB030000}"/>
    <cellStyle name="Финансовый [0] 2 5" xfId="10032" xr:uid="{00000000-0005-0000-0000-0000CC030000}"/>
    <cellStyle name="Финансовый 10" xfId="125" xr:uid="{00000000-0005-0000-0000-0000CD030000}"/>
    <cellStyle name="Финансовый 10 10" xfId="2735" xr:uid="{00000000-0005-0000-0000-0000CE030000}"/>
    <cellStyle name="Финансовый 10 10 2" xfId="11380" xr:uid="{00000000-0005-0000-0000-0000CF030000}"/>
    <cellStyle name="Финансовый 10 11" xfId="4379" xr:uid="{00000000-0005-0000-0000-0000D0030000}"/>
    <cellStyle name="Финансовый 10 11 2" xfId="13024" xr:uid="{00000000-0005-0000-0000-0000D1030000}"/>
    <cellStyle name="Финансовый 10 12" xfId="6166" xr:uid="{00000000-0005-0000-0000-0000D2030000}"/>
    <cellStyle name="Финансовый 10 12 2" xfId="14809" xr:uid="{00000000-0005-0000-0000-0000D3030000}"/>
    <cellStyle name="Финансовый 10 13" xfId="8773" xr:uid="{00000000-0005-0000-0000-0000D4030000}"/>
    <cellStyle name="Финансовый 10 2" xfId="261" xr:uid="{00000000-0005-0000-0000-0000D5030000}"/>
    <cellStyle name="Финансовый 10 2 10" xfId="8909" xr:uid="{00000000-0005-0000-0000-0000D6030000}"/>
    <cellStyle name="Финансовый 10 2 2" xfId="1359" xr:uid="{00000000-0005-0000-0000-0000D7030000}"/>
    <cellStyle name="Финансовый 10 2 2 2" xfId="2317" xr:uid="{00000000-0005-0000-0000-0000D8030000}"/>
    <cellStyle name="Финансовый 10 2 2 2 2" xfId="3962" xr:uid="{00000000-0005-0000-0000-0000D9030000}"/>
    <cellStyle name="Финансовый 10 2 2 2 2 2" xfId="12607" xr:uid="{00000000-0005-0000-0000-0000DA030000}"/>
    <cellStyle name="Финансовый 10 2 2 2 3" xfId="5745" xr:uid="{00000000-0005-0000-0000-0000DB030000}"/>
    <cellStyle name="Финансовый 10 2 2 2 3 2" xfId="14388" xr:uid="{00000000-0005-0000-0000-0000DC030000}"/>
    <cellStyle name="Финансовый 10 2 2 2 4" xfId="8355" xr:uid="{00000000-0005-0000-0000-0000DD030000}"/>
    <cellStyle name="Финансовый 10 2 2 2 4 2" xfId="16998" xr:uid="{00000000-0005-0000-0000-0000DE030000}"/>
    <cellStyle name="Финансовый 10 2 2 2 5" xfId="10962" xr:uid="{00000000-0005-0000-0000-0000DF030000}"/>
    <cellStyle name="Финансовый 10 2 2 3" xfId="3143" xr:uid="{00000000-0005-0000-0000-0000E0030000}"/>
    <cellStyle name="Финансовый 10 2 2 3 2" xfId="11788" xr:uid="{00000000-0005-0000-0000-0000E1030000}"/>
    <cellStyle name="Финансовый 10 2 2 4" xfId="4787" xr:uid="{00000000-0005-0000-0000-0000E2030000}"/>
    <cellStyle name="Финансовый 10 2 2 4 2" xfId="13432" xr:uid="{00000000-0005-0000-0000-0000E3030000}"/>
    <cellStyle name="Финансовый 10 2 2 5" xfId="7399" xr:uid="{00000000-0005-0000-0000-0000E4030000}"/>
    <cellStyle name="Финансовый 10 2 2 5 2" xfId="16042" xr:uid="{00000000-0005-0000-0000-0000E5030000}"/>
    <cellStyle name="Финансовый 10 2 2 6" xfId="10006" xr:uid="{00000000-0005-0000-0000-0000E6030000}"/>
    <cellStyle name="Финансовый 10 2 3" xfId="2061" xr:uid="{00000000-0005-0000-0000-0000E7030000}"/>
    <cellStyle name="Финансовый 10 2 3 2" xfId="3706" xr:uid="{00000000-0005-0000-0000-0000E8030000}"/>
    <cellStyle name="Финансовый 10 2 3 2 2" xfId="12351" xr:uid="{00000000-0005-0000-0000-0000E9030000}"/>
    <cellStyle name="Финансовый 10 2 3 3" xfId="5489" xr:uid="{00000000-0005-0000-0000-0000EA030000}"/>
    <cellStyle name="Финансовый 10 2 3 3 2" xfId="14132" xr:uid="{00000000-0005-0000-0000-0000EB030000}"/>
    <cellStyle name="Финансовый 10 2 3 4" xfId="8099" xr:uid="{00000000-0005-0000-0000-0000EC030000}"/>
    <cellStyle name="Финансовый 10 2 3 4 2" xfId="16742" xr:uid="{00000000-0005-0000-0000-0000ED030000}"/>
    <cellStyle name="Финансовый 10 2 3 5" xfId="10706" xr:uid="{00000000-0005-0000-0000-0000EE030000}"/>
    <cellStyle name="Финансовый 10 2 4" xfId="2590" xr:uid="{00000000-0005-0000-0000-0000EF030000}"/>
    <cellStyle name="Финансовый 10 2 4 2" xfId="4235" xr:uid="{00000000-0005-0000-0000-0000F0030000}"/>
    <cellStyle name="Финансовый 10 2 4 2 2" xfId="12880" xr:uid="{00000000-0005-0000-0000-0000F1030000}"/>
    <cellStyle name="Финансовый 10 2 4 3" xfId="6018" xr:uid="{00000000-0005-0000-0000-0000F2030000}"/>
    <cellStyle name="Финансовый 10 2 4 3 2" xfId="14661" xr:uid="{00000000-0005-0000-0000-0000F3030000}"/>
    <cellStyle name="Финансовый 10 2 4 4" xfId="8628" xr:uid="{00000000-0005-0000-0000-0000F4030000}"/>
    <cellStyle name="Финансовый 10 2 4 4 2" xfId="17271" xr:uid="{00000000-0005-0000-0000-0000F5030000}"/>
    <cellStyle name="Финансовый 10 2 4 5" xfId="11235" xr:uid="{00000000-0005-0000-0000-0000F6030000}"/>
    <cellStyle name="Финансовый 10 2 5" xfId="1094" xr:uid="{00000000-0005-0000-0000-0000F7030000}"/>
    <cellStyle name="Финансовый 10 2 5 2" xfId="7134" xr:uid="{00000000-0005-0000-0000-0000F8030000}"/>
    <cellStyle name="Финансовый 10 2 5 2 2" xfId="15777" xr:uid="{00000000-0005-0000-0000-0000F9030000}"/>
    <cellStyle name="Финансовый 10 2 5 3" xfId="9741" xr:uid="{00000000-0005-0000-0000-0000FA030000}"/>
    <cellStyle name="Финансовый 10 2 6" xfId="682" xr:uid="{00000000-0005-0000-0000-0000FB030000}"/>
    <cellStyle name="Финансовый 10 2 6 2" xfId="6722" xr:uid="{00000000-0005-0000-0000-0000FC030000}"/>
    <cellStyle name="Финансовый 10 2 6 2 2" xfId="15365" xr:uid="{00000000-0005-0000-0000-0000FD030000}"/>
    <cellStyle name="Финансовый 10 2 6 3" xfId="9329" xr:uid="{00000000-0005-0000-0000-0000FE030000}"/>
    <cellStyle name="Финансовый 10 2 7" xfId="2871" xr:uid="{00000000-0005-0000-0000-0000FF030000}"/>
    <cellStyle name="Финансовый 10 2 7 2" xfId="11516" xr:uid="{00000000-0005-0000-0000-000000040000}"/>
    <cellStyle name="Финансовый 10 2 8" xfId="4515" xr:uid="{00000000-0005-0000-0000-000001040000}"/>
    <cellStyle name="Финансовый 10 2 8 2" xfId="13160" xr:uid="{00000000-0005-0000-0000-000002040000}"/>
    <cellStyle name="Финансовый 10 2 9" xfId="6302" xr:uid="{00000000-0005-0000-0000-000003040000}"/>
    <cellStyle name="Финансовый 10 2 9 2" xfId="14945" xr:uid="{00000000-0005-0000-0000-000004040000}"/>
    <cellStyle name="Финансовый 10 3" xfId="410" xr:uid="{00000000-0005-0000-0000-000005040000}"/>
    <cellStyle name="Финансовый 10 3 2" xfId="2189" xr:uid="{00000000-0005-0000-0000-000006040000}"/>
    <cellStyle name="Финансовый 10 3 2 2" xfId="3834" xr:uid="{00000000-0005-0000-0000-000007040000}"/>
    <cellStyle name="Финансовый 10 3 2 2 2" xfId="12479" xr:uid="{00000000-0005-0000-0000-000008040000}"/>
    <cellStyle name="Финансовый 10 3 2 3" xfId="5617" xr:uid="{00000000-0005-0000-0000-000009040000}"/>
    <cellStyle name="Финансовый 10 3 2 3 2" xfId="14260" xr:uid="{00000000-0005-0000-0000-00000A040000}"/>
    <cellStyle name="Финансовый 10 3 2 4" xfId="8227" xr:uid="{00000000-0005-0000-0000-00000B040000}"/>
    <cellStyle name="Финансовый 10 3 2 4 2" xfId="16870" xr:uid="{00000000-0005-0000-0000-00000C040000}"/>
    <cellStyle name="Финансовый 10 3 2 5" xfId="10834" xr:uid="{00000000-0005-0000-0000-00000D040000}"/>
    <cellStyle name="Финансовый 10 3 3" xfId="1223" xr:uid="{00000000-0005-0000-0000-00000E040000}"/>
    <cellStyle name="Финансовый 10 3 3 2" xfId="7263" xr:uid="{00000000-0005-0000-0000-00000F040000}"/>
    <cellStyle name="Финансовый 10 3 3 2 2" xfId="15906" xr:uid="{00000000-0005-0000-0000-000010040000}"/>
    <cellStyle name="Финансовый 10 3 3 3" xfId="9870" xr:uid="{00000000-0005-0000-0000-000011040000}"/>
    <cellStyle name="Финансовый 10 3 4" xfId="830" xr:uid="{00000000-0005-0000-0000-000012040000}"/>
    <cellStyle name="Финансовый 10 3 4 2" xfId="6870" xr:uid="{00000000-0005-0000-0000-000013040000}"/>
    <cellStyle name="Финансовый 10 3 4 2 2" xfId="15513" xr:uid="{00000000-0005-0000-0000-000014040000}"/>
    <cellStyle name="Финансовый 10 3 4 3" xfId="9477" xr:uid="{00000000-0005-0000-0000-000015040000}"/>
    <cellStyle name="Финансовый 10 3 5" xfId="3007" xr:uid="{00000000-0005-0000-0000-000016040000}"/>
    <cellStyle name="Финансовый 10 3 5 2" xfId="11652" xr:uid="{00000000-0005-0000-0000-000017040000}"/>
    <cellStyle name="Финансовый 10 3 6" xfId="4651" xr:uid="{00000000-0005-0000-0000-000018040000}"/>
    <cellStyle name="Финансовый 10 3 6 2" xfId="13296" xr:uid="{00000000-0005-0000-0000-000019040000}"/>
    <cellStyle name="Финансовый 10 3 7" xfId="6450" xr:uid="{00000000-0005-0000-0000-00001A040000}"/>
    <cellStyle name="Финансовый 10 3 7 2" xfId="15093" xr:uid="{00000000-0005-0000-0000-00001B040000}"/>
    <cellStyle name="Финансовый 10 3 8" xfId="9057" xr:uid="{00000000-0005-0000-0000-00001C040000}"/>
    <cellStyle name="Финансовый 10 4" xfId="1444" xr:uid="{00000000-0005-0000-0000-00001D040000}"/>
    <cellStyle name="Финансовый 10 4 2" xfId="1933" xr:uid="{00000000-0005-0000-0000-00001E040000}"/>
    <cellStyle name="Финансовый 10 4 2 2" xfId="3578" xr:uid="{00000000-0005-0000-0000-00001F040000}"/>
    <cellStyle name="Финансовый 10 4 2 2 2" xfId="12223" xr:uid="{00000000-0005-0000-0000-000020040000}"/>
    <cellStyle name="Финансовый 10 4 2 3" xfId="5361" xr:uid="{00000000-0005-0000-0000-000021040000}"/>
    <cellStyle name="Финансовый 10 4 2 3 2" xfId="14004" xr:uid="{00000000-0005-0000-0000-000022040000}"/>
    <cellStyle name="Финансовый 10 4 2 4" xfId="7971" xr:uid="{00000000-0005-0000-0000-000023040000}"/>
    <cellStyle name="Финансовый 10 4 2 4 2" xfId="16614" xr:uid="{00000000-0005-0000-0000-000024040000}"/>
    <cellStyle name="Финансовый 10 4 2 5" xfId="10578" xr:uid="{00000000-0005-0000-0000-000025040000}"/>
    <cellStyle name="Финансовый 10 4 3" xfId="4872" xr:uid="{00000000-0005-0000-0000-000026040000}"/>
    <cellStyle name="Финансовый 10 4 3 2" xfId="13515" xr:uid="{00000000-0005-0000-0000-000027040000}"/>
    <cellStyle name="Финансовый 10 4 4" xfId="7482" xr:uid="{00000000-0005-0000-0000-000028040000}"/>
    <cellStyle name="Финансовый 10 4 4 2" xfId="16125" xr:uid="{00000000-0005-0000-0000-000029040000}"/>
    <cellStyle name="Финансовый 10 4 5" xfId="10089" xr:uid="{00000000-0005-0000-0000-00002A040000}"/>
    <cellStyle name="Финансовый 10 5" xfId="1809" xr:uid="{00000000-0005-0000-0000-00002B040000}"/>
    <cellStyle name="Финансовый 10 5 2" xfId="3454" xr:uid="{00000000-0005-0000-0000-00002C040000}"/>
    <cellStyle name="Финансовый 10 5 2 2" xfId="12099" xr:uid="{00000000-0005-0000-0000-00002D040000}"/>
    <cellStyle name="Финансовый 10 5 3" xfId="5237" xr:uid="{00000000-0005-0000-0000-00002E040000}"/>
    <cellStyle name="Финансовый 10 5 3 2" xfId="13880" xr:uid="{00000000-0005-0000-0000-00002F040000}"/>
    <cellStyle name="Финансовый 10 5 4" xfId="7847" xr:uid="{00000000-0005-0000-0000-000030040000}"/>
    <cellStyle name="Финансовый 10 5 4 2" xfId="16490" xr:uid="{00000000-0005-0000-0000-000031040000}"/>
    <cellStyle name="Финансовый 10 5 5" xfId="10454" xr:uid="{00000000-0005-0000-0000-000032040000}"/>
    <cellStyle name="Финансовый 10 6" xfId="2454" xr:uid="{00000000-0005-0000-0000-000033040000}"/>
    <cellStyle name="Финансовый 10 6 2" xfId="4099" xr:uid="{00000000-0005-0000-0000-000034040000}"/>
    <cellStyle name="Финансовый 10 6 2 2" xfId="12744" xr:uid="{00000000-0005-0000-0000-000035040000}"/>
    <cellStyle name="Финансовый 10 6 3" xfId="5882" xr:uid="{00000000-0005-0000-0000-000036040000}"/>
    <cellStyle name="Финансовый 10 6 3 2" xfId="14525" xr:uid="{00000000-0005-0000-0000-000037040000}"/>
    <cellStyle name="Финансовый 10 6 4" xfId="8492" xr:uid="{00000000-0005-0000-0000-000038040000}"/>
    <cellStyle name="Финансовый 10 6 4 2" xfId="17135" xr:uid="{00000000-0005-0000-0000-000039040000}"/>
    <cellStyle name="Финансовый 10 6 5" xfId="11099" xr:uid="{00000000-0005-0000-0000-00003A040000}"/>
    <cellStyle name="Финансовый 10 7" xfId="1681" xr:uid="{00000000-0005-0000-0000-00003B040000}"/>
    <cellStyle name="Финансовый 10 7 2" xfId="3326" xr:uid="{00000000-0005-0000-0000-00003C040000}"/>
    <cellStyle name="Финансовый 10 7 2 2" xfId="11971" xr:uid="{00000000-0005-0000-0000-00003D040000}"/>
    <cellStyle name="Финансовый 10 7 3" xfId="5109" xr:uid="{00000000-0005-0000-0000-00003E040000}"/>
    <cellStyle name="Финансовый 10 7 3 2" xfId="13752" xr:uid="{00000000-0005-0000-0000-00003F040000}"/>
    <cellStyle name="Финансовый 10 7 4" xfId="7719" xr:uid="{00000000-0005-0000-0000-000040040000}"/>
    <cellStyle name="Финансовый 10 7 4 2" xfId="16362" xr:uid="{00000000-0005-0000-0000-000041040000}"/>
    <cellStyle name="Финансовый 10 7 5" xfId="10326" xr:uid="{00000000-0005-0000-0000-000042040000}"/>
    <cellStyle name="Финансовый 10 8" xfId="958" xr:uid="{00000000-0005-0000-0000-000043040000}"/>
    <cellStyle name="Финансовый 10 8 2" xfId="6998" xr:uid="{00000000-0005-0000-0000-000044040000}"/>
    <cellStyle name="Финансовый 10 8 2 2" xfId="15641" xr:uid="{00000000-0005-0000-0000-000045040000}"/>
    <cellStyle name="Финансовый 10 8 3" xfId="9605" xr:uid="{00000000-0005-0000-0000-000046040000}"/>
    <cellStyle name="Финансовый 10 9" xfId="546" xr:uid="{00000000-0005-0000-0000-000047040000}"/>
    <cellStyle name="Финансовый 10 9 2" xfId="6586" xr:uid="{00000000-0005-0000-0000-000048040000}"/>
    <cellStyle name="Финансовый 10 9 2 2" xfId="15229" xr:uid="{00000000-0005-0000-0000-000049040000}"/>
    <cellStyle name="Финансовый 10 9 3" xfId="9193" xr:uid="{00000000-0005-0000-0000-00004A040000}"/>
    <cellStyle name="Финансовый 11" xfId="61" xr:uid="{00000000-0005-0000-0000-00004B040000}"/>
    <cellStyle name="Финансовый 11 10" xfId="2673" xr:uid="{00000000-0005-0000-0000-00004C040000}"/>
    <cellStyle name="Финансовый 11 10 2" xfId="11318" xr:uid="{00000000-0005-0000-0000-00004D040000}"/>
    <cellStyle name="Финансовый 11 11" xfId="4316" xr:uid="{00000000-0005-0000-0000-00004E040000}"/>
    <cellStyle name="Финансовый 11 11 2" xfId="12961" xr:uid="{00000000-0005-0000-0000-00004F040000}"/>
    <cellStyle name="Финансовый 11 12" xfId="6104" xr:uid="{00000000-0005-0000-0000-000050040000}"/>
    <cellStyle name="Финансовый 11 12 2" xfId="14747" xr:uid="{00000000-0005-0000-0000-000051040000}"/>
    <cellStyle name="Финансовый 11 13" xfId="8711" xr:uid="{00000000-0005-0000-0000-000052040000}"/>
    <cellStyle name="Финансовый 11 2" xfId="199" xr:uid="{00000000-0005-0000-0000-000053040000}"/>
    <cellStyle name="Финансовый 11 2 10" xfId="8847" xr:uid="{00000000-0005-0000-0000-000054040000}"/>
    <cellStyle name="Финансовый 11 2 2" xfId="1297" xr:uid="{00000000-0005-0000-0000-000055040000}"/>
    <cellStyle name="Финансовый 11 2 2 2" xfId="2263" xr:uid="{00000000-0005-0000-0000-000056040000}"/>
    <cellStyle name="Финансовый 11 2 2 2 2" xfId="3908" xr:uid="{00000000-0005-0000-0000-000057040000}"/>
    <cellStyle name="Финансовый 11 2 2 2 2 2" xfId="12553" xr:uid="{00000000-0005-0000-0000-000058040000}"/>
    <cellStyle name="Финансовый 11 2 2 2 3" xfId="5691" xr:uid="{00000000-0005-0000-0000-000059040000}"/>
    <cellStyle name="Финансовый 11 2 2 2 3 2" xfId="14334" xr:uid="{00000000-0005-0000-0000-00005A040000}"/>
    <cellStyle name="Финансовый 11 2 2 2 4" xfId="8301" xr:uid="{00000000-0005-0000-0000-00005B040000}"/>
    <cellStyle name="Финансовый 11 2 2 2 4 2" xfId="16944" xr:uid="{00000000-0005-0000-0000-00005C040000}"/>
    <cellStyle name="Финансовый 11 2 2 2 5" xfId="10908" xr:uid="{00000000-0005-0000-0000-00005D040000}"/>
    <cellStyle name="Финансовый 11 2 2 3" xfId="3081" xr:uid="{00000000-0005-0000-0000-00005E040000}"/>
    <cellStyle name="Финансовый 11 2 2 3 2" xfId="11726" xr:uid="{00000000-0005-0000-0000-00005F040000}"/>
    <cellStyle name="Финансовый 11 2 2 4" xfId="4725" xr:uid="{00000000-0005-0000-0000-000060040000}"/>
    <cellStyle name="Финансовый 11 2 2 4 2" xfId="13370" xr:uid="{00000000-0005-0000-0000-000061040000}"/>
    <cellStyle name="Финансовый 11 2 2 5" xfId="7337" xr:uid="{00000000-0005-0000-0000-000062040000}"/>
    <cellStyle name="Финансовый 11 2 2 5 2" xfId="15980" xr:uid="{00000000-0005-0000-0000-000063040000}"/>
    <cellStyle name="Финансовый 11 2 2 6" xfId="9944" xr:uid="{00000000-0005-0000-0000-000064040000}"/>
    <cellStyle name="Финансовый 11 2 3" xfId="2007" xr:uid="{00000000-0005-0000-0000-000065040000}"/>
    <cellStyle name="Финансовый 11 2 3 2" xfId="3652" xr:uid="{00000000-0005-0000-0000-000066040000}"/>
    <cellStyle name="Финансовый 11 2 3 2 2" xfId="12297" xr:uid="{00000000-0005-0000-0000-000067040000}"/>
    <cellStyle name="Финансовый 11 2 3 3" xfId="5435" xr:uid="{00000000-0005-0000-0000-000068040000}"/>
    <cellStyle name="Финансовый 11 2 3 3 2" xfId="14078" xr:uid="{00000000-0005-0000-0000-000069040000}"/>
    <cellStyle name="Финансовый 11 2 3 4" xfId="8045" xr:uid="{00000000-0005-0000-0000-00006A040000}"/>
    <cellStyle name="Финансовый 11 2 3 4 2" xfId="16688" xr:uid="{00000000-0005-0000-0000-00006B040000}"/>
    <cellStyle name="Финансовый 11 2 3 5" xfId="10652" xr:uid="{00000000-0005-0000-0000-00006C040000}"/>
    <cellStyle name="Финансовый 11 2 4" xfId="2528" xr:uid="{00000000-0005-0000-0000-00006D040000}"/>
    <cellStyle name="Финансовый 11 2 4 2" xfId="4173" xr:uid="{00000000-0005-0000-0000-00006E040000}"/>
    <cellStyle name="Финансовый 11 2 4 2 2" xfId="12818" xr:uid="{00000000-0005-0000-0000-00006F040000}"/>
    <cellStyle name="Финансовый 11 2 4 3" xfId="5956" xr:uid="{00000000-0005-0000-0000-000070040000}"/>
    <cellStyle name="Финансовый 11 2 4 3 2" xfId="14599" xr:uid="{00000000-0005-0000-0000-000071040000}"/>
    <cellStyle name="Финансовый 11 2 4 4" xfId="8566" xr:uid="{00000000-0005-0000-0000-000072040000}"/>
    <cellStyle name="Финансовый 11 2 4 4 2" xfId="17209" xr:uid="{00000000-0005-0000-0000-000073040000}"/>
    <cellStyle name="Финансовый 11 2 4 5" xfId="11173" xr:uid="{00000000-0005-0000-0000-000074040000}"/>
    <cellStyle name="Финансовый 11 2 5" xfId="1032" xr:uid="{00000000-0005-0000-0000-000075040000}"/>
    <cellStyle name="Финансовый 11 2 5 2" xfId="7072" xr:uid="{00000000-0005-0000-0000-000076040000}"/>
    <cellStyle name="Финансовый 11 2 5 2 2" xfId="15715" xr:uid="{00000000-0005-0000-0000-000077040000}"/>
    <cellStyle name="Финансовый 11 2 5 3" xfId="9679" xr:uid="{00000000-0005-0000-0000-000078040000}"/>
    <cellStyle name="Финансовый 11 2 6" xfId="620" xr:uid="{00000000-0005-0000-0000-000079040000}"/>
    <cellStyle name="Финансовый 11 2 6 2" xfId="6660" xr:uid="{00000000-0005-0000-0000-00007A040000}"/>
    <cellStyle name="Финансовый 11 2 6 2 2" xfId="15303" xr:uid="{00000000-0005-0000-0000-00007B040000}"/>
    <cellStyle name="Финансовый 11 2 6 3" xfId="9267" xr:uid="{00000000-0005-0000-0000-00007C040000}"/>
    <cellStyle name="Финансовый 11 2 7" xfId="2809" xr:uid="{00000000-0005-0000-0000-00007D040000}"/>
    <cellStyle name="Финансовый 11 2 7 2" xfId="11454" xr:uid="{00000000-0005-0000-0000-00007E040000}"/>
    <cellStyle name="Финансовый 11 2 8" xfId="4453" xr:uid="{00000000-0005-0000-0000-00007F040000}"/>
    <cellStyle name="Финансовый 11 2 8 2" xfId="13098" xr:uid="{00000000-0005-0000-0000-000080040000}"/>
    <cellStyle name="Финансовый 11 2 9" xfId="6240" xr:uid="{00000000-0005-0000-0000-000081040000}"/>
    <cellStyle name="Финансовый 11 2 9 2" xfId="14883" xr:uid="{00000000-0005-0000-0000-000082040000}"/>
    <cellStyle name="Финансовый 11 3" xfId="348" xr:uid="{00000000-0005-0000-0000-000083040000}"/>
    <cellStyle name="Финансовый 11 3 2" xfId="2135" xr:uid="{00000000-0005-0000-0000-000084040000}"/>
    <cellStyle name="Финансовый 11 3 2 2" xfId="3780" xr:uid="{00000000-0005-0000-0000-000085040000}"/>
    <cellStyle name="Финансовый 11 3 2 2 2" xfId="12425" xr:uid="{00000000-0005-0000-0000-000086040000}"/>
    <cellStyle name="Финансовый 11 3 2 3" xfId="5563" xr:uid="{00000000-0005-0000-0000-000087040000}"/>
    <cellStyle name="Финансовый 11 3 2 3 2" xfId="14206" xr:uid="{00000000-0005-0000-0000-000088040000}"/>
    <cellStyle name="Финансовый 11 3 2 4" xfId="8173" xr:uid="{00000000-0005-0000-0000-000089040000}"/>
    <cellStyle name="Финансовый 11 3 2 4 2" xfId="16816" xr:uid="{00000000-0005-0000-0000-00008A040000}"/>
    <cellStyle name="Финансовый 11 3 2 5" xfId="10780" xr:uid="{00000000-0005-0000-0000-00008B040000}"/>
    <cellStyle name="Финансовый 11 3 3" xfId="1168" xr:uid="{00000000-0005-0000-0000-00008C040000}"/>
    <cellStyle name="Финансовый 11 3 3 2" xfId="7208" xr:uid="{00000000-0005-0000-0000-00008D040000}"/>
    <cellStyle name="Финансовый 11 3 3 2 2" xfId="15851" xr:uid="{00000000-0005-0000-0000-00008E040000}"/>
    <cellStyle name="Финансовый 11 3 3 3" xfId="9815" xr:uid="{00000000-0005-0000-0000-00008F040000}"/>
    <cellStyle name="Финансовый 11 3 4" xfId="768" xr:uid="{00000000-0005-0000-0000-000090040000}"/>
    <cellStyle name="Финансовый 11 3 4 2" xfId="6808" xr:uid="{00000000-0005-0000-0000-000091040000}"/>
    <cellStyle name="Финансовый 11 3 4 2 2" xfId="15451" xr:uid="{00000000-0005-0000-0000-000092040000}"/>
    <cellStyle name="Финансовый 11 3 4 3" xfId="9415" xr:uid="{00000000-0005-0000-0000-000093040000}"/>
    <cellStyle name="Финансовый 11 3 5" xfId="2945" xr:uid="{00000000-0005-0000-0000-000094040000}"/>
    <cellStyle name="Финансовый 11 3 5 2" xfId="11590" xr:uid="{00000000-0005-0000-0000-000095040000}"/>
    <cellStyle name="Финансовый 11 3 6" xfId="4589" xr:uid="{00000000-0005-0000-0000-000096040000}"/>
    <cellStyle name="Финансовый 11 3 6 2" xfId="13234" xr:uid="{00000000-0005-0000-0000-000097040000}"/>
    <cellStyle name="Финансовый 11 3 7" xfId="6388" xr:uid="{00000000-0005-0000-0000-000098040000}"/>
    <cellStyle name="Финансовый 11 3 7 2" xfId="15031" xr:uid="{00000000-0005-0000-0000-000099040000}"/>
    <cellStyle name="Финансовый 11 3 8" xfId="8995" xr:uid="{00000000-0005-0000-0000-00009A040000}"/>
    <cellStyle name="Финансовый 11 4" xfId="1436" xr:uid="{00000000-0005-0000-0000-00009B040000}"/>
    <cellStyle name="Финансовый 11 4 2" xfId="1871" xr:uid="{00000000-0005-0000-0000-00009C040000}"/>
    <cellStyle name="Финансовый 11 4 2 2" xfId="3516" xr:uid="{00000000-0005-0000-0000-00009D040000}"/>
    <cellStyle name="Финансовый 11 4 2 2 2" xfId="12161" xr:uid="{00000000-0005-0000-0000-00009E040000}"/>
    <cellStyle name="Финансовый 11 4 2 3" xfId="5299" xr:uid="{00000000-0005-0000-0000-00009F040000}"/>
    <cellStyle name="Финансовый 11 4 2 3 2" xfId="13942" xr:uid="{00000000-0005-0000-0000-0000A0040000}"/>
    <cellStyle name="Финансовый 11 4 2 4" xfId="7909" xr:uid="{00000000-0005-0000-0000-0000A1040000}"/>
    <cellStyle name="Финансовый 11 4 2 4 2" xfId="16552" xr:uid="{00000000-0005-0000-0000-0000A2040000}"/>
    <cellStyle name="Финансовый 11 4 2 5" xfId="10516" xr:uid="{00000000-0005-0000-0000-0000A3040000}"/>
    <cellStyle name="Финансовый 11 4 3" xfId="4864" xr:uid="{00000000-0005-0000-0000-0000A4040000}"/>
    <cellStyle name="Финансовый 11 4 3 2" xfId="13508" xr:uid="{00000000-0005-0000-0000-0000A5040000}"/>
    <cellStyle name="Финансовый 11 4 4" xfId="7475" xr:uid="{00000000-0005-0000-0000-0000A6040000}"/>
    <cellStyle name="Финансовый 11 4 4 2" xfId="16118" xr:uid="{00000000-0005-0000-0000-0000A7040000}"/>
    <cellStyle name="Финансовый 11 4 5" xfId="10082" xr:uid="{00000000-0005-0000-0000-0000A8040000}"/>
    <cellStyle name="Финансовый 11 5" xfId="1755" xr:uid="{00000000-0005-0000-0000-0000A9040000}"/>
    <cellStyle name="Финансовый 11 5 2" xfId="3400" xr:uid="{00000000-0005-0000-0000-0000AA040000}"/>
    <cellStyle name="Финансовый 11 5 2 2" xfId="12045" xr:uid="{00000000-0005-0000-0000-0000AB040000}"/>
    <cellStyle name="Финансовый 11 5 3" xfId="5183" xr:uid="{00000000-0005-0000-0000-0000AC040000}"/>
    <cellStyle name="Финансовый 11 5 3 2" xfId="13826" xr:uid="{00000000-0005-0000-0000-0000AD040000}"/>
    <cellStyle name="Финансовый 11 5 4" xfId="7793" xr:uid="{00000000-0005-0000-0000-0000AE040000}"/>
    <cellStyle name="Финансовый 11 5 4 2" xfId="16436" xr:uid="{00000000-0005-0000-0000-0000AF040000}"/>
    <cellStyle name="Финансовый 11 5 5" xfId="10400" xr:uid="{00000000-0005-0000-0000-0000B0040000}"/>
    <cellStyle name="Финансовый 11 6" xfId="2391" xr:uid="{00000000-0005-0000-0000-0000B1040000}"/>
    <cellStyle name="Финансовый 11 6 2" xfId="4036" xr:uid="{00000000-0005-0000-0000-0000B2040000}"/>
    <cellStyle name="Финансовый 11 6 2 2" xfId="12681" xr:uid="{00000000-0005-0000-0000-0000B3040000}"/>
    <cellStyle name="Финансовый 11 6 3" xfId="5819" xr:uid="{00000000-0005-0000-0000-0000B4040000}"/>
    <cellStyle name="Финансовый 11 6 3 2" xfId="14462" xr:uid="{00000000-0005-0000-0000-0000B5040000}"/>
    <cellStyle name="Финансовый 11 6 4" xfId="8429" xr:uid="{00000000-0005-0000-0000-0000B6040000}"/>
    <cellStyle name="Финансовый 11 6 4 2" xfId="17072" xr:uid="{00000000-0005-0000-0000-0000B7040000}"/>
    <cellStyle name="Финансовый 11 6 5" xfId="11036" xr:uid="{00000000-0005-0000-0000-0000B8040000}"/>
    <cellStyle name="Финансовый 11 7" xfId="1618" xr:uid="{00000000-0005-0000-0000-0000B9040000}"/>
    <cellStyle name="Финансовый 11 7 2" xfId="3263" xr:uid="{00000000-0005-0000-0000-0000BA040000}"/>
    <cellStyle name="Финансовый 11 7 2 2" xfId="11908" xr:uid="{00000000-0005-0000-0000-0000BB040000}"/>
    <cellStyle name="Финансовый 11 7 3" xfId="5046" xr:uid="{00000000-0005-0000-0000-0000BC040000}"/>
    <cellStyle name="Финансовый 11 7 3 2" xfId="13689" xr:uid="{00000000-0005-0000-0000-0000BD040000}"/>
    <cellStyle name="Финансовый 11 7 4" xfId="7656" xr:uid="{00000000-0005-0000-0000-0000BE040000}"/>
    <cellStyle name="Финансовый 11 7 4 2" xfId="16299" xr:uid="{00000000-0005-0000-0000-0000BF040000}"/>
    <cellStyle name="Финансовый 11 7 5" xfId="10263" xr:uid="{00000000-0005-0000-0000-0000C0040000}"/>
    <cellStyle name="Финансовый 11 8" xfId="904" xr:uid="{00000000-0005-0000-0000-0000C1040000}"/>
    <cellStyle name="Финансовый 11 8 2" xfId="6944" xr:uid="{00000000-0005-0000-0000-0000C2040000}"/>
    <cellStyle name="Финансовый 11 8 2 2" xfId="15587" xr:uid="{00000000-0005-0000-0000-0000C3040000}"/>
    <cellStyle name="Финансовый 11 8 3" xfId="9551" xr:uid="{00000000-0005-0000-0000-0000C4040000}"/>
    <cellStyle name="Финансовый 11 9" xfId="484" xr:uid="{00000000-0005-0000-0000-0000C5040000}"/>
    <cellStyle name="Финансовый 11 9 2" xfId="6524" xr:uid="{00000000-0005-0000-0000-0000C6040000}"/>
    <cellStyle name="Финансовый 11 9 2 2" xfId="15167" xr:uid="{00000000-0005-0000-0000-0000C7040000}"/>
    <cellStyle name="Финансовый 11 9 3" xfId="9131" xr:uid="{00000000-0005-0000-0000-0000C8040000}"/>
    <cellStyle name="Финансовый 12" xfId="49" xr:uid="{00000000-0005-0000-0000-0000C9040000}"/>
    <cellStyle name="Финансовый 12 10" xfId="2661" xr:uid="{00000000-0005-0000-0000-0000CA040000}"/>
    <cellStyle name="Финансовый 12 10 2" xfId="11306" xr:uid="{00000000-0005-0000-0000-0000CB040000}"/>
    <cellStyle name="Финансовый 12 11" xfId="4304" xr:uid="{00000000-0005-0000-0000-0000CC040000}"/>
    <cellStyle name="Финансовый 12 11 2" xfId="12949" xr:uid="{00000000-0005-0000-0000-0000CD040000}"/>
    <cellStyle name="Финансовый 12 12" xfId="6092" xr:uid="{00000000-0005-0000-0000-0000CE040000}"/>
    <cellStyle name="Финансовый 12 12 2" xfId="14735" xr:uid="{00000000-0005-0000-0000-0000CF040000}"/>
    <cellStyle name="Финансовый 12 13" xfId="8699" xr:uid="{00000000-0005-0000-0000-0000D0040000}"/>
    <cellStyle name="Финансовый 12 2" xfId="187" xr:uid="{00000000-0005-0000-0000-0000D1040000}"/>
    <cellStyle name="Финансовый 12 2 10" xfId="8835" xr:uid="{00000000-0005-0000-0000-0000D2040000}"/>
    <cellStyle name="Финансовый 12 2 2" xfId="1285" xr:uid="{00000000-0005-0000-0000-0000D3040000}"/>
    <cellStyle name="Финансовый 12 2 2 2" xfId="2251" xr:uid="{00000000-0005-0000-0000-0000D4040000}"/>
    <cellStyle name="Финансовый 12 2 2 2 2" xfId="3896" xr:uid="{00000000-0005-0000-0000-0000D5040000}"/>
    <cellStyle name="Финансовый 12 2 2 2 2 2" xfId="12541" xr:uid="{00000000-0005-0000-0000-0000D6040000}"/>
    <cellStyle name="Финансовый 12 2 2 2 3" xfId="5679" xr:uid="{00000000-0005-0000-0000-0000D7040000}"/>
    <cellStyle name="Финансовый 12 2 2 2 3 2" xfId="14322" xr:uid="{00000000-0005-0000-0000-0000D8040000}"/>
    <cellStyle name="Финансовый 12 2 2 2 4" xfId="8289" xr:uid="{00000000-0005-0000-0000-0000D9040000}"/>
    <cellStyle name="Финансовый 12 2 2 2 4 2" xfId="16932" xr:uid="{00000000-0005-0000-0000-0000DA040000}"/>
    <cellStyle name="Финансовый 12 2 2 2 5" xfId="10896" xr:uid="{00000000-0005-0000-0000-0000DB040000}"/>
    <cellStyle name="Финансовый 12 2 2 3" xfId="3069" xr:uid="{00000000-0005-0000-0000-0000DC040000}"/>
    <cellStyle name="Финансовый 12 2 2 3 2" xfId="11714" xr:uid="{00000000-0005-0000-0000-0000DD040000}"/>
    <cellStyle name="Финансовый 12 2 2 4" xfId="4713" xr:uid="{00000000-0005-0000-0000-0000DE040000}"/>
    <cellStyle name="Финансовый 12 2 2 4 2" xfId="13358" xr:uid="{00000000-0005-0000-0000-0000DF040000}"/>
    <cellStyle name="Финансовый 12 2 2 5" xfId="7325" xr:uid="{00000000-0005-0000-0000-0000E0040000}"/>
    <cellStyle name="Финансовый 12 2 2 5 2" xfId="15968" xr:uid="{00000000-0005-0000-0000-0000E1040000}"/>
    <cellStyle name="Финансовый 12 2 2 6" xfId="9932" xr:uid="{00000000-0005-0000-0000-0000E2040000}"/>
    <cellStyle name="Финансовый 12 2 3" xfId="1995" xr:uid="{00000000-0005-0000-0000-0000E3040000}"/>
    <cellStyle name="Финансовый 12 2 3 2" xfId="3640" xr:uid="{00000000-0005-0000-0000-0000E4040000}"/>
    <cellStyle name="Финансовый 12 2 3 2 2" xfId="12285" xr:uid="{00000000-0005-0000-0000-0000E5040000}"/>
    <cellStyle name="Финансовый 12 2 3 3" xfId="5423" xr:uid="{00000000-0005-0000-0000-0000E6040000}"/>
    <cellStyle name="Финансовый 12 2 3 3 2" xfId="14066" xr:uid="{00000000-0005-0000-0000-0000E7040000}"/>
    <cellStyle name="Финансовый 12 2 3 4" xfId="8033" xr:uid="{00000000-0005-0000-0000-0000E8040000}"/>
    <cellStyle name="Финансовый 12 2 3 4 2" xfId="16676" xr:uid="{00000000-0005-0000-0000-0000E9040000}"/>
    <cellStyle name="Финансовый 12 2 3 5" xfId="10640" xr:uid="{00000000-0005-0000-0000-0000EA040000}"/>
    <cellStyle name="Финансовый 12 2 4" xfId="2516" xr:uid="{00000000-0005-0000-0000-0000EB040000}"/>
    <cellStyle name="Финансовый 12 2 4 2" xfId="4161" xr:uid="{00000000-0005-0000-0000-0000EC040000}"/>
    <cellStyle name="Финансовый 12 2 4 2 2" xfId="12806" xr:uid="{00000000-0005-0000-0000-0000ED040000}"/>
    <cellStyle name="Финансовый 12 2 4 3" xfId="5944" xr:uid="{00000000-0005-0000-0000-0000EE040000}"/>
    <cellStyle name="Финансовый 12 2 4 3 2" xfId="14587" xr:uid="{00000000-0005-0000-0000-0000EF040000}"/>
    <cellStyle name="Финансовый 12 2 4 4" xfId="8554" xr:uid="{00000000-0005-0000-0000-0000F0040000}"/>
    <cellStyle name="Финансовый 12 2 4 4 2" xfId="17197" xr:uid="{00000000-0005-0000-0000-0000F1040000}"/>
    <cellStyle name="Финансовый 12 2 4 5" xfId="11161" xr:uid="{00000000-0005-0000-0000-0000F2040000}"/>
    <cellStyle name="Финансовый 12 2 5" xfId="1020" xr:uid="{00000000-0005-0000-0000-0000F3040000}"/>
    <cellStyle name="Финансовый 12 2 5 2" xfId="7060" xr:uid="{00000000-0005-0000-0000-0000F4040000}"/>
    <cellStyle name="Финансовый 12 2 5 2 2" xfId="15703" xr:uid="{00000000-0005-0000-0000-0000F5040000}"/>
    <cellStyle name="Финансовый 12 2 5 3" xfId="9667" xr:uid="{00000000-0005-0000-0000-0000F6040000}"/>
    <cellStyle name="Финансовый 12 2 6" xfId="608" xr:uid="{00000000-0005-0000-0000-0000F7040000}"/>
    <cellStyle name="Финансовый 12 2 6 2" xfId="6648" xr:uid="{00000000-0005-0000-0000-0000F8040000}"/>
    <cellStyle name="Финансовый 12 2 6 2 2" xfId="15291" xr:uid="{00000000-0005-0000-0000-0000F9040000}"/>
    <cellStyle name="Финансовый 12 2 6 3" xfId="9255" xr:uid="{00000000-0005-0000-0000-0000FA040000}"/>
    <cellStyle name="Финансовый 12 2 7" xfId="2797" xr:uid="{00000000-0005-0000-0000-0000FB040000}"/>
    <cellStyle name="Финансовый 12 2 7 2" xfId="11442" xr:uid="{00000000-0005-0000-0000-0000FC040000}"/>
    <cellStyle name="Финансовый 12 2 8" xfId="4441" xr:uid="{00000000-0005-0000-0000-0000FD040000}"/>
    <cellStyle name="Финансовый 12 2 8 2" xfId="13086" xr:uid="{00000000-0005-0000-0000-0000FE040000}"/>
    <cellStyle name="Финансовый 12 2 9" xfId="6228" xr:uid="{00000000-0005-0000-0000-0000FF040000}"/>
    <cellStyle name="Финансовый 12 2 9 2" xfId="14871" xr:uid="{00000000-0005-0000-0000-000000050000}"/>
    <cellStyle name="Финансовый 12 3" xfId="336" xr:uid="{00000000-0005-0000-0000-000001050000}"/>
    <cellStyle name="Финансовый 12 3 2" xfId="2123" xr:uid="{00000000-0005-0000-0000-000002050000}"/>
    <cellStyle name="Финансовый 12 3 2 2" xfId="3768" xr:uid="{00000000-0005-0000-0000-000003050000}"/>
    <cellStyle name="Финансовый 12 3 2 2 2" xfId="12413" xr:uid="{00000000-0005-0000-0000-000004050000}"/>
    <cellStyle name="Финансовый 12 3 2 3" xfId="5551" xr:uid="{00000000-0005-0000-0000-000005050000}"/>
    <cellStyle name="Финансовый 12 3 2 3 2" xfId="14194" xr:uid="{00000000-0005-0000-0000-000006050000}"/>
    <cellStyle name="Финансовый 12 3 2 4" xfId="8161" xr:uid="{00000000-0005-0000-0000-000007050000}"/>
    <cellStyle name="Финансовый 12 3 2 4 2" xfId="16804" xr:uid="{00000000-0005-0000-0000-000008050000}"/>
    <cellStyle name="Финансовый 12 3 2 5" xfId="10768" xr:uid="{00000000-0005-0000-0000-000009050000}"/>
    <cellStyle name="Финансовый 12 3 3" xfId="1156" xr:uid="{00000000-0005-0000-0000-00000A050000}"/>
    <cellStyle name="Финансовый 12 3 3 2" xfId="7196" xr:uid="{00000000-0005-0000-0000-00000B050000}"/>
    <cellStyle name="Финансовый 12 3 3 2 2" xfId="15839" xr:uid="{00000000-0005-0000-0000-00000C050000}"/>
    <cellStyle name="Финансовый 12 3 3 3" xfId="9803" xr:uid="{00000000-0005-0000-0000-00000D050000}"/>
    <cellStyle name="Финансовый 12 3 4" xfId="756" xr:uid="{00000000-0005-0000-0000-00000E050000}"/>
    <cellStyle name="Финансовый 12 3 4 2" xfId="6796" xr:uid="{00000000-0005-0000-0000-00000F050000}"/>
    <cellStyle name="Финансовый 12 3 4 2 2" xfId="15439" xr:uid="{00000000-0005-0000-0000-000010050000}"/>
    <cellStyle name="Финансовый 12 3 4 3" xfId="9403" xr:uid="{00000000-0005-0000-0000-000011050000}"/>
    <cellStyle name="Финансовый 12 3 5" xfId="2933" xr:uid="{00000000-0005-0000-0000-000012050000}"/>
    <cellStyle name="Финансовый 12 3 5 2" xfId="11578" xr:uid="{00000000-0005-0000-0000-000013050000}"/>
    <cellStyle name="Финансовый 12 3 6" xfId="4577" xr:uid="{00000000-0005-0000-0000-000014050000}"/>
    <cellStyle name="Финансовый 12 3 6 2" xfId="13222" xr:uid="{00000000-0005-0000-0000-000015050000}"/>
    <cellStyle name="Финансовый 12 3 7" xfId="6376" xr:uid="{00000000-0005-0000-0000-000016050000}"/>
    <cellStyle name="Финансовый 12 3 7 2" xfId="15019" xr:uid="{00000000-0005-0000-0000-000017050000}"/>
    <cellStyle name="Финансовый 12 3 8" xfId="8983" xr:uid="{00000000-0005-0000-0000-000018050000}"/>
    <cellStyle name="Финансовый 12 4" xfId="1438" xr:uid="{00000000-0005-0000-0000-000019050000}"/>
    <cellStyle name="Финансовый 12 4 2" xfId="1859" xr:uid="{00000000-0005-0000-0000-00001A050000}"/>
    <cellStyle name="Финансовый 12 4 2 2" xfId="3504" xr:uid="{00000000-0005-0000-0000-00001B050000}"/>
    <cellStyle name="Финансовый 12 4 2 2 2" xfId="12149" xr:uid="{00000000-0005-0000-0000-00001C050000}"/>
    <cellStyle name="Финансовый 12 4 2 3" xfId="5287" xr:uid="{00000000-0005-0000-0000-00001D050000}"/>
    <cellStyle name="Финансовый 12 4 2 3 2" xfId="13930" xr:uid="{00000000-0005-0000-0000-00001E050000}"/>
    <cellStyle name="Финансовый 12 4 2 4" xfId="7897" xr:uid="{00000000-0005-0000-0000-00001F050000}"/>
    <cellStyle name="Финансовый 12 4 2 4 2" xfId="16540" xr:uid="{00000000-0005-0000-0000-000020050000}"/>
    <cellStyle name="Финансовый 12 4 2 5" xfId="10504" xr:uid="{00000000-0005-0000-0000-000021050000}"/>
    <cellStyle name="Финансовый 12 4 3" xfId="4866" xr:uid="{00000000-0005-0000-0000-000022050000}"/>
    <cellStyle name="Финансовый 12 4 3 2" xfId="13510" xr:uid="{00000000-0005-0000-0000-000023050000}"/>
    <cellStyle name="Финансовый 12 4 4" xfId="7477" xr:uid="{00000000-0005-0000-0000-000024050000}"/>
    <cellStyle name="Финансовый 12 4 4 2" xfId="16120" xr:uid="{00000000-0005-0000-0000-000025050000}"/>
    <cellStyle name="Финансовый 12 4 5" xfId="10084" xr:uid="{00000000-0005-0000-0000-000026050000}"/>
    <cellStyle name="Финансовый 12 5" xfId="1743" xr:uid="{00000000-0005-0000-0000-000027050000}"/>
    <cellStyle name="Финансовый 12 5 2" xfId="3388" xr:uid="{00000000-0005-0000-0000-000028050000}"/>
    <cellStyle name="Финансовый 12 5 2 2" xfId="12033" xr:uid="{00000000-0005-0000-0000-000029050000}"/>
    <cellStyle name="Финансовый 12 5 3" xfId="5171" xr:uid="{00000000-0005-0000-0000-00002A050000}"/>
    <cellStyle name="Финансовый 12 5 3 2" xfId="13814" xr:uid="{00000000-0005-0000-0000-00002B050000}"/>
    <cellStyle name="Финансовый 12 5 4" xfId="7781" xr:uid="{00000000-0005-0000-0000-00002C050000}"/>
    <cellStyle name="Финансовый 12 5 4 2" xfId="16424" xr:uid="{00000000-0005-0000-0000-00002D050000}"/>
    <cellStyle name="Финансовый 12 5 5" xfId="10388" xr:uid="{00000000-0005-0000-0000-00002E050000}"/>
    <cellStyle name="Финансовый 12 6" xfId="2379" xr:uid="{00000000-0005-0000-0000-00002F050000}"/>
    <cellStyle name="Финансовый 12 6 2" xfId="4024" xr:uid="{00000000-0005-0000-0000-000030050000}"/>
    <cellStyle name="Финансовый 12 6 2 2" xfId="12669" xr:uid="{00000000-0005-0000-0000-000031050000}"/>
    <cellStyle name="Финансовый 12 6 3" xfId="5807" xr:uid="{00000000-0005-0000-0000-000032050000}"/>
    <cellStyle name="Финансовый 12 6 3 2" xfId="14450" xr:uid="{00000000-0005-0000-0000-000033050000}"/>
    <cellStyle name="Финансовый 12 6 4" xfId="8417" xr:uid="{00000000-0005-0000-0000-000034050000}"/>
    <cellStyle name="Финансовый 12 6 4 2" xfId="17060" xr:uid="{00000000-0005-0000-0000-000035050000}"/>
    <cellStyle name="Финансовый 12 6 5" xfId="11024" xr:uid="{00000000-0005-0000-0000-000036050000}"/>
    <cellStyle name="Финансовый 12 7" xfId="1606" xr:uid="{00000000-0005-0000-0000-000037050000}"/>
    <cellStyle name="Финансовый 12 7 2" xfId="3251" xr:uid="{00000000-0005-0000-0000-000038050000}"/>
    <cellStyle name="Финансовый 12 7 2 2" xfId="11896" xr:uid="{00000000-0005-0000-0000-000039050000}"/>
    <cellStyle name="Финансовый 12 7 3" xfId="5034" xr:uid="{00000000-0005-0000-0000-00003A050000}"/>
    <cellStyle name="Финансовый 12 7 3 2" xfId="13677" xr:uid="{00000000-0005-0000-0000-00003B050000}"/>
    <cellStyle name="Финансовый 12 7 4" xfId="7644" xr:uid="{00000000-0005-0000-0000-00003C050000}"/>
    <cellStyle name="Финансовый 12 7 4 2" xfId="16287" xr:uid="{00000000-0005-0000-0000-00003D050000}"/>
    <cellStyle name="Финансовый 12 7 5" xfId="10251" xr:uid="{00000000-0005-0000-0000-00003E050000}"/>
    <cellStyle name="Финансовый 12 8" xfId="892" xr:uid="{00000000-0005-0000-0000-00003F050000}"/>
    <cellStyle name="Финансовый 12 8 2" xfId="6932" xr:uid="{00000000-0005-0000-0000-000040050000}"/>
    <cellStyle name="Финансовый 12 8 2 2" xfId="15575" xr:uid="{00000000-0005-0000-0000-000041050000}"/>
    <cellStyle name="Финансовый 12 8 3" xfId="9539" xr:uid="{00000000-0005-0000-0000-000042050000}"/>
    <cellStyle name="Финансовый 12 9" xfId="472" xr:uid="{00000000-0005-0000-0000-000043050000}"/>
    <cellStyle name="Финансовый 12 9 2" xfId="6512" xr:uid="{00000000-0005-0000-0000-000044050000}"/>
    <cellStyle name="Финансовый 12 9 2 2" xfId="15155" xr:uid="{00000000-0005-0000-0000-000045050000}"/>
    <cellStyle name="Финансовый 12 9 3" xfId="9119" xr:uid="{00000000-0005-0000-0000-000046050000}"/>
    <cellStyle name="Финансовый 13" xfId="127" xr:uid="{00000000-0005-0000-0000-000047050000}"/>
    <cellStyle name="Финансовый 13 10" xfId="2737" xr:uid="{00000000-0005-0000-0000-000048050000}"/>
    <cellStyle name="Финансовый 13 10 2" xfId="11382" xr:uid="{00000000-0005-0000-0000-000049050000}"/>
    <cellStyle name="Финансовый 13 11" xfId="4381" xr:uid="{00000000-0005-0000-0000-00004A050000}"/>
    <cellStyle name="Финансовый 13 11 2" xfId="13026" xr:uid="{00000000-0005-0000-0000-00004B050000}"/>
    <cellStyle name="Финансовый 13 12" xfId="6168" xr:uid="{00000000-0005-0000-0000-00004C050000}"/>
    <cellStyle name="Финансовый 13 12 2" xfId="14811" xr:uid="{00000000-0005-0000-0000-00004D050000}"/>
    <cellStyle name="Финансовый 13 13" xfId="8775" xr:uid="{00000000-0005-0000-0000-00004E050000}"/>
    <cellStyle name="Финансовый 13 2" xfId="263" xr:uid="{00000000-0005-0000-0000-00004F050000}"/>
    <cellStyle name="Финансовый 13 2 10" xfId="8911" xr:uid="{00000000-0005-0000-0000-000050050000}"/>
    <cellStyle name="Финансовый 13 2 2" xfId="1361" xr:uid="{00000000-0005-0000-0000-000051050000}"/>
    <cellStyle name="Финансовый 13 2 2 2" xfId="2319" xr:uid="{00000000-0005-0000-0000-000052050000}"/>
    <cellStyle name="Финансовый 13 2 2 2 2" xfId="3964" xr:uid="{00000000-0005-0000-0000-000053050000}"/>
    <cellStyle name="Финансовый 13 2 2 2 2 2" xfId="12609" xr:uid="{00000000-0005-0000-0000-000054050000}"/>
    <cellStyle name="Финансовый 13 2 2 2 3" xfId="5747" xr:uid="{00000000-0005-0000-0000-000055050000}"/>
    <cellStyle name="Финансовый 13 2 2 2 3 2" xfId="14390" xr:uid="{00000000-0005-0000-0000-000056050000}"/>
    <cellStyle name="Финансовый 13 2 2 2 4" xfId="8357" xr:uid="{00000000-0005-0000-0000-000057050000}"/>
    <cellStyle name="Финансовый 13 2 2 2 4 2" xfId="17000" xr:uid="{00000000-0005-0000-0000-000058050000}"/>
    <cellStyle name="Финансовый 13 2 2 2 5" xfId="10964" xr:uid="{00000000-0005-0000-0000-000059050000}"/>
    <cellStyle name="Финансовый 13 2 2 3" xfId="3145" xr:uid="{00000000-0005-0000-0000-00005A050000}"/>
    <cellStyle name="Финансовый 13 2 2 3 2" xfId="11790" xr:uid="{00000000-0005-0000-0000-00005B050000}"/>
    <cellStyle name="Финансовый 13 2 2 4" xfId="4789" xr:uid="{00000000-0005-0000-0000-00005C050000}"/>
    <cellStyle name="Финансовый 13 2 2 4 2" xfId="13434" xr:uid="{00000000-0005-0000-0000-00005D050000}"/>
    <cellStyle name="Финансовый 13 2 2 5" xfId="7401" xr:uid="{00000000-0005-0000-0000-00005E050000}"/>
    <cellStyle name="Финансовый 13 2 2 5 2" xfId="16044" xr:uid="{00000000-0005-0000-0000-00005F050000}"/>
    <cellStyle name="Финансовый 13 2 2 6" xfId="10008" xr:uid="{00000000-0005-0000-0000-000060050000}"/>
    <cellStyle name="Финансовый 13 2 3" xfId="2063" xr:uid="{00000000-0005-0000-0000-000061050000}"/>
    <cellStyle name="Финансовый 13 2 3 2" xfId="3708" xr:uid="{00000000-0005-0000-0000-000062050000}"/>
    <cellStyle name="Финансовый 13 2 3 2 2" xfId="12353" xr:uid="{00000000-0005-0000-0000-000063050000}"/>
    <cellStyle name="Финансовый 13 2 3 3" xfId="5491" xr:uid="{00000000-0005-0000-0000-000064050000}"/>
    <cellStyle name="Финансовый 13 2 3 3 2" xfId="14134" xr:uid="{00000000-0005-0000-0000-000065050000}"/>
    <cellStyle name="Финансовый 13 2 3 4" xfId="8101" xr:uid="{00000000-0005-0000-0000-000066050000}"/>
    <cellStyle name="Финансовый 13 2 3 4 2" xfId="16744" xr:uid="{00000000-0005-0000-0000-000067050000}"/>
    <cellStyle name="Финансовый 13 2 3 5" xfId="10708" xr:uid="{00000000-0005-0000-0000-000068050000}"/>
    <cellStyle name="Финансовый 13 2 4" xfId="2592" xr:uid="{00000000-0005-0000-0000-000069050000}"/>
    <cellStyle name="Финансовый 13 2 4 2" xfId="4237" xr:uid="{00000000-0005-0000-0000-00006A050000}"/>
    <cellStyle name="Финансовый 13 2 4 2 2" xfId="12882" xr:uid="{00000000-0005-0000-0000-00006B050000}"/>
    <cellStyle name="Финансовый 13 2 4 3" xfId="6020" xr:uid="{00000000-0005-0000-0000-00006C050000}"/>
    <cellStyle name="Финансовый 13 2 4 3 2" xfId="14663" xr:uid="{00000000-0005-0000-0000-00006D050000}"/>
    <cellStyle name="Финансовый 13 2 4 4" xfId="8630" xr:uid="{00000000-0005-0000-0000-00006E050000}"/>
    <cellStyle name="Финансовый 13 2 4 4 2" xfId="17273" xr:uid="{00000000-0005-0000-0000-00006F050000}"/>
    <cellStyle name="Финансовый 13 2 4 5" xfId="11237" xr:uid="{00000000-0005-0000-0000-000070050000}"/>
    <cellStyle name="Финансовый 13 2 5" xfId="1096" xr:uid="{00000000-0005-0000-0000-000071050000}"/>
    <cellStyle name="Финансовый 13 2 5 2" xfId="7136" xr:uid="{00000000-0005-0000-0000-000072050000}"/>
    <cellStyle name="Финансовый 13 2 5 2 2" xfId="15779" xr:uid="{00000000-0005-0000-0000-000073050000}"/>
    <cellStyle name="Финансовый 13 2 5 3" xfId="9743" xr:uid="{00000000-0005-0000-0000-000074050000}"/>
    <cellStyle name="Финансовый 13 2 6" xfId="684" xr:uid="{00000000-0005-0000-0000-000075050000}"/>
    <cellStyle name="Финансовый 13 2 6 2" xfId="6724" xr:uid="{00000000-0005-0000-0000-000076050000}"/>
    <cellStyle name="Финансовый 13 2 6 2 2" xfId="15367" xr:uid="{00000000-0005-0000-0000-000077050000}"/>
    <cellStyle name="Финансовый 13 2 6 3" xfId="9331" xr:uid="{00000000-0005-0000-0000-000078050000}"/>
    <cellStyle name="Финансовый 13 2 7" xfId="2873" xr:uid="{00000000-0005-0000-0000-000079050000}"/>
    <cellStyle name="Финансовый 13 2 7 2" xfId="11518" xr:uid="{00000000-0005-0000-0000-00007A050000}"/>
    <cellStyle name="Финансовый 13 2 8" xfId="4517" xr:uid="{00000000-0005-0000-0000-00007B050000}"/>
    <cellStyle name="Финансовый 13 2 8 2" xfId="13162" xr:uid="{00000000-0005-0000-0000-00007C050000}"/>
    <cellStyle name="Финансовый 13 2 9" xfId="6304" xr:uid="{00000000-0005-0000-0000-00007D050000}"/>
    <cellStyle name="Финансовый 13 2 9 2" xfId="14947" xr:uid="{00000000-0005-0000-0000-00007E050000}"/>
    <cellStyle name="Финансовый 13 3" xfId="412" xr:uid="{00000000-0005-0000-0000-00007F050000}"/>
    <cellStyle name="Финансовый 13 3 2" xfId="2191" xr:uid="{00000000-0005-0000-0000-000080050000}"/>
    <cellStyle name="Финансовый 13 3 2 2" xfId="3836" xr:uid="{00000000-0005-0000-0000-000081050000}"/>
    <cellStyle name="Финансовый 13 3 2 2 2" xfId="12481" xr:uid="{00000000-0005-0000-0000-000082050000}"/>
    <cellStyle name="Финансовый 13 3 2 3" xfId="5619" xr:uid="{00000000-0005-0000-0000-000083050000}"/>
    <cellStyle name="Финансовый 13 3 2 3 2" xfId="14262" xr:uid="{00000000-0005-0000-0000-000084050000}"/>
    <cellStyle name="Финансовый 13 3 2 4" xfId="8229" xr:uid="{00000000-0005-0000-0000-000085050000}"/>
    <cellStyle name="Финансовый 13 3 2 4 2" xfId="16872" xr:uid="{00000000-0005-0000-0000-000086050000}"/>
    <cellStyle name="Финансовый 13 3 2 5" xfId="10836" xr:uid="{00000000-0005-0000-0000-000087050000}"/>
    <cellStyle name="Финансовый 13 3 3" xfId="1225" xr:uid="{00000000-0005-0000-0000-000088050000}"/>
    <cellStyle name="Финансовый 13 3 3 2" xfId="7265" xr:uid="{00000000-0005-0000-0000-000089050000}"/>
    <cellStyle name="Финансовый 13 3 3 2 2" xfId="15908" xr:uid="{00000000-0005-0000-0000-00008A050000}"/>
    <cellStyle name="Финансовый 13 3 3 3" xfId="9872" xr:uid="{00000000-0005-0000-0000-00008B050000}"/>
    <cellStyle name="Финансовый 13 3 4" xfId="832" xr:uid="{00000000-0005-0000-0000-00008C050000}"/>
    <cellStyle name="Финансовый 13 3 4 2" xfId="6872" xr:uid="{00000000-0005-0000-0000-00008D050000}"/>
    <cellStyle name="Финансовый 13 3 4 2 2" xfId="15515" xr:uid="{00000000-0005-0000-0000-00008E050000}"/>
    <cellStyle name="Финансовый 13 3 4 3" xfId="9479" xr:uid="{00000000-0005-0000-0000-00008F050000}"/>
    <cellStyle name="Финансовый 13 3 5" xfId="3009" xr:uid="{00000000-0005-0000-0000-000090050000}"/>
    <cellStyle name="Финансовый 13 3 5 2" xfId="11654" xr:uid="{00000000-0005-0000-0000-000091050000}"/>
    <cellStyle name="Финансовый 13 3 6" xfId="4653" xr:uid="{00000000-0005-0000-0000-000092050000}"/>
    <cellStyle name="Финансовый 13 3 6 2" xfId="13298" xr:uid="{00000000-0005-0000-0000-000093050000}"/>
    <cellStyle name="Финансовый 13 3 7" xfId="6452" xr:uid="{00000000-0005-0000-0000-000094050000}"/>
    <cellStyle name="Финансовый 13 3 7 2" xfId="15095" xr:uid="{00000000-0005-0000-0000-000095050000}"/>
    <cellStyle name="Финансовый 13 3 8" xfId="9059" xr:uid="{00000000-0005-0000-0000-000096050000}"/>
    <cellStyle name="Финансовый 13 4" xfId="1439" xr:uid="{00000000-0005-0000-0000-000097050000}"/>
    <cellStyle name="Финансовый 13 4 2" xfId="1935" xr:uid="{00000000-0005-0000-0000-000098050000}"/>
    <cellStyle name="Финансовый 13 4 2 2" xfId="3580" xr:uid="{00000000-0005-0000-0000-000099050000}"/>
    <cellStyle name="Финансовый 13 4 2 2 2" xfId="12225" xr:uid="{00000000-0005-0000-0000-00009A050000}"/>
    <cellStyle name="Финансовый 13 4 2 3" xfId="5363" xr:uid="{00000000-0005-0000-0000-00009B050000}"/>
    <cellStyle name="Финансовый 13 4 2 3 2" xfId="14006" xr:uid="{00000000-0005-0000-0000-00009C050000}"/>
    <cellStyle name="Финансовый 13 4 2 4" xfId="7973" xr:uid="{00000000-0005-0000-0000-00009D050000}"/>
    <cellStyle name="Финансовый 13 4 2 4 2" xfId="16616" xr:uid="{00000000-0005-0000-0000-00009E050000}"/>
    <cellStyle name="Финансовый 13 4 2 5" xfId="10580" xr:uid="{00000000-0005-0000-0000-00009F050000}"/>
    <cellStyle name="Финансовый 13 4 3" xfId="4867" xr:uid="{00000000-0005-0000-0000-0000A0050000}"/>
    <cellStyle name="Финансовый 13 4 3 2" xfId="13511" xr:uid="{00000000-0005-0000-0000-0000A1050000}"/>
    <cellStyle name="Финансовый 13 4 4" xfId="7478" xr:uid="{00000000-0005-0000-0000-0000A2050000}"/>
    <cellStyle name="Финансовый 13 4 4 2" xfId="16121" xr:uid="{00000000-0005-0000-0000-0000A3050000}"/>
    <cellStyle name="Финансовый 13 4 5" xfId="10085" xr:uid="{00000000-0005-0000-0000-0000A4050000}"/>
    <cellStyle name="Финансовый 13 5" xfId="1811" xr:uid="{00000000-0005-0000-0000-0000A5050000}"/>
    <cellStyle name="Финансовый 13 5 2" xfId="3456" xr:uid="{00000000-0005-0000-0000-0000A6050000}"/>
    <cellStyle name="Финансовый 13 5 2 2" xfId="12101" xr:uid="{00000000-0005-0000-0000-0000A7050000}"/>
    <cellStyle name="Финансовый 13 5 3" xfId="5239" xr:uid="{00000000-0005-0000-0000-0000A8050000}"/>
    <cellStyle name="Финансовый 13 5 3 2" xfId="13882" xr:uid="{00000000-0005-0000-0000-0000A9050000}"/>
    <cellStyle name="Финансовый 13 5 4" xfId="7849" xr:uid="{00000000-0005-0000-0000-0000AA050000}"/>
    <cellStyle name="Финансовый 13 5 4 2" xfId="16492" xr:uid="{00000000-0005-0000-0000-0000AB050000}"/>
    <cellStyle name="Финансовый 13 5 5" xfId="10456" xr:uid="{00000000-0005-0000-0000-0000AC050000}"/>
    <cellStyle name="Финансовый 13 6" xfId="2456" xr:uid="{00000000-0005-0000-0000-0000AD050000}"/>
    <cellStyle name="Финансовый 13 6 2" xfId="4101" xr:uid="{00000000-0005-0000-0000-0000AE050000}"/>
    <cellStyle name="Финансовый 13 6 2 2" xfId="12746" xr:uid="{00000000-0005-0000-0000-0000AF050000}"/>
    <cellStyle name="Финансовый 13 6 3" xfId="5884" xr:uid="{00000000-0005-0000-0000-0000B0050000}"/>
    <cellStyle name="Финансовый 13 6 3 2" xfId="14527" xr:uid="{00000000-0005-0000-0000-0000B1050000}"/>
    <cellStyle name="Финансовый 13 6 4" xfId="8494" xr:uid="{00000000-0005-0000-0000-0000B2050000}"/>
    <cellStyle name="Финансовый 13 6 4 2" xfId="17137" xr:uid="{00000000-0005-0000-0000-0000B3050000}"/>
    <cellStyle name="Финансовый 13 6 5" xfId="11101" xr:uid="{00000000-0005-0000-0000-0000B4050000}"/>
    <cellStyle name="Финансовый 13 7" xfId="1683" xr:uid="{00000000-0005-0000-0000-0000B5050000}"/>
    <cellStyle name="Финансовый 13 7 2" xfId="3328" xr:uid="{00000000-0005-0000-0000-0000B6050000}"/>
    <cellStyle name="Финансовый 13 7 2 2" xfId="11973" xr:uid="{00000000-0005-0000-0000-0000B7050000}"/>
    <cellStyle name="Финансовый 13 7 3" xfId="5111" xr:uid="{00000000-0005-0000-0000-0000B8050000}"/>
    <cellStyle name="Финансовый 13 7 3 2" xfId="13754" xr:uid="{00000000-0005-0000-0000-0000B9050000}"/>
    <cellStyle name="Финансовый 13 7 4" xfId="7721" xr:uid="{00000000-0005-0000-0000-0000BA050000}"/>
    <cellStyle name="Финансовый 13 7 4 2" xfId="16364" xr:uid="{00000000-0005-0000-0000-0000BB050000}"/>
    <cellStyle name="Финансовый 13 7 5" xfId="10328" xr:uid="{00000000-0005-0000-0000-0000BC050000}"/>
    <cellStyle name="Финансовый 13 8" xfId="960" xr:uid="{00000000-0005-0000-0000-0000BD050000}"/>
    <cellStyle name="Финансовый 13 8 2" xfId="7000" xr:uid="{00000000-0005-0000-0000-0000BE050000}"/>
    <cellStyle name="Финансовый 13 8 2 2" xfId="15643" xr:uid="{00000000-0005-0000-0000-0000BF050000}"/>
    <cellStyle name="Финансовый 13 8 3" xfId="9607" xr:uid="{00000000-0005-0000-0000-0000C0050000}"/>
    <cellStyle name="Финансовый 13 9" xfId="548" xr:uid="{00000000-0005-0000-0000-0000C1050000}"/>
    <cellStyle name="Финансовый 13 9 2" xfId="6588" xr:uid="{00000000-0005-0000-0000-0000C2050000}"/>
    <cellStyle name="Финансовый 13 9 2 2" xfId="15231" xr:uid="{00000000-0005-0000-0000-0000C3050000}"/>
    <cellStyle name="Финансовый 13 9 3" xfId="9195" xr:uid="{00000000-0005-0000-0000-0000C4050000}"/>
    <cellStyle name="Финансовый 14" xfId="25" xr:uid="{00000000-0005-0000-0000-0000C5050000}"/>
    <cellStyle name="Финансовый 14 10" xfId="2637" xr:uid="{00000000-0005-0000-0000-0000C6050000}"/>
    <cellStyle name="Финансовый 14 10 2" xfId="11282" xr:uid="{00000000-0005-0000-0000-0000C7050000}"/>
    <cellStyle name="Финансовый 14 11" xfId="4280" xr:uid="{00000000-0005-0000-0000-0000C8050000}"/>
    <cellStyle name="Финансовый 14 11 2" xfId="12925" xr:uid="{00000000-0005-0000-0000-0000C9050000}"/>
    <cellStyle name="Финансовый 14 12" xfId="6068" xr:uid="{00000000-0005-0000-0000-0000CA050000}"/>
    <cellStyle name="Финансовый 14 12 2" xfId="14711" xr:uid="{00000000-0005-0000-0000-0000CB050000}"/>
    <cellStyle name="Финансовый 14 13" xfId="8675" xr:uid="{00000000-0005-0000-0000-0000CC050000}"/>
    <cellStyle name="Финансовый 14 2" xfId="163" xr:uid="{00000000-0005-0000-0000-0000CD050000}"/>
    <cellStyle name="Финансовый 14 2 10" xfId="8811" xr:uid="{00000000-0005-0000-0000-0000CE050000}"/>
    <cellStyle name="Финансовый 14 2 2" xfId="1261" xr:uid="{00000000-0005-0000-0000-0000CF050000}"/>
    <cellStyle name="Финансовый 14 2 2 2" xfId="2227" xr:uid="{00000000-0005-0000-0000-0000D0050000}"/>
    <cellStyle name="Финансовый 14 2 2 2 2" xfId="3872" xr:uid="{00000000-0005-0000-0000-0000D1050000}"/>
    <cellStyle name="Финансовый 14 2 2 2 2 2" xfId="12517" xr:uid="{00000000-0005-0000-0000-0000D2050000}"/>
    <cellStyle name="Финансовый 14 2 2 2 3" xfId="5655" xr:uid="{00000000-0005-0000-0000-0000D3050000}"/>
    <cellStyle name="Финансовый 14 2 2 2 3 2" xfId="14298" xr:uid="{00000000-0005-0000-0000-0000D4050000}"/>
    <cellStyle name="Финансовый 14 2 2 2 4" xfId="8265" xr:uid="{00000000-0005-0000-0000-0000D5050000}"/>
    <cellStyle name="Финансовый 14 2 2 2 4 2" xfId="16908" xr:uid="{00000000-0005-0000-0000-0000D6050000}"/>
    <cellStyle name="Финансовый 14 2 2 2 5" xfId="10872" xr:uid="{00000000-0005-0000-0000-0000D7050000}"/>
    <cellStyle name="Финансовый 14 2 2 3" xfId="3045" xr:uid="{00000000-0005-0000-0000-0000D8050000}"/>
    <cellStyle name="Финансовый 14 2 2 3 2" xfId="11690" xr:uid="{00000000-0005-0000-0000-0000D9050000}"/>
    <cellStyle name="Финансовый 14 2 2 4" xfId="4689" xr:uid="{00000000-0005-0000-0000-0000DA050000}"/>
    <cellStyle name="Финансовый 14 2 2 4 2" xfId="13334" xr:uid="{00000000-0005-0000-0000-0000DB050000}"/>
    <cellStyle name="Финансовый 14 2 2 5" xfId="7301" xr:uid="{00000000-0005-0000-0000-0000DC050000}"/>
    <cellStyle name="Финансовый 14 2 2 5 2" xfId="15944" xr:uid="{00000000-0005-0000-0000-0000DD050000}"/>
    <cellStyle name="Финансовый 14 2 2 6" xfId="9908" xr:uid="{00000000-0005-0000-0000-0000DE050000}"/>
    <cellStyle name="Финансовый 14 2 3" xfId="1971" xr:uid="{00000000-0005-0000-0000-0000DF050000}"/>
    <cellStyle name="Финансовый 14 2 3 2" xfId="3616" xr:uid="{00000000-0005-0000-0000-0000E0050000}"/>
    <cellStyle name="Финансовый 14 2 3 2 2" xfId="12261" xr:uid="{00000000-0005-0000-0000-0000E1050000}"/>
    <cellStyle name="Финансовый 14 2 3 3" xfId="5399" xr:uid="{00000000-0005-0000-0000-0000E2050000}"/>
    <cellStyle name="Финансовый 14 2 3 3 2" xfId="14042" xr:uid="{00000000-0005-0000-0000-0000E3050000}"/>
    <cellStyle name="Финансовый 14 2 3 4" xfId="8009" xr:uid="{00000000-0005-0000-0000-0000E4050000}"/>
    <cellStyle name="Финансовый 14 2 3 4 2" xfId="16652" xr:uid="{00000000-0005-0000-0000-0000E5050000}"/>
    <cellStyle name="Финансовый 14 2 3 5" xfId="10616" xr:uid="{00000000-0005-0000-0000-0000E6050000}"/>
    <cellStyle name="Финансовый 14 2 4" xfId="2492" xr:uid="{00000000-0005-0000-0000-0000E7050000}"/>
    <cellStyle name="Финансовый 14 2 4 2" xfId="4137" xr:uid="{00000000-0005-0000-0000-0000E8050000}"/>
    <cellStyle name="Финансовый 14 2 4 2 2" xfId="12782" xr:uid="{00000000-0005-0000-0000-0000E9050000}"/>
    <cellStyle name="Финансовый 14 2 4 3" xfId="5920" xr:uid="{00000000-0005-0000-0000-0000EA050000}"/>
    <cellStyle name="Финансовый 14 2 4 3 2" xfId="14563" xr:uid="{00000000-0005-0000-0000-0000EB050000}"/>
    <cellStyle name="Финансовый 14 2 4 4" xfId="8530" xr:uid="{00000000-0005-0000-0000-0000EC050000}"/>
    <cellStyle name="Финансовый 14 2 4 4 2" xfId="17173" xr:uid="{00000000-0005-0000-0000-0000ED050000}"/>
    <cellStyle name="Финансовый 14 2 4 5" xfId="11137" xr:uid="{00000000-0005-0000-0000-0000EE050000}"/>
    <cellStyle name="Финансовый 14 2 5" xfId="996" xr:uid="{00000000-0005-0000-0000-0000EF050000}"/>
    <cellStyle name="Финансовый 14 2 5 2" xfId="7036" xr:uid="{00000000-0005-0000-0000-0000F0050000}"/>
    <cellStyle name="Финансовый 14 2 5 2 2" xfId="15679" xr:uid="{00000000-0005-0000-0000-0000F1050000}"/>
    <cellStyle name="Финансовый 14 2 5 3" xfId="9643" xr:uid="{00000000-0005-0000-0000-0000F2050000}"/>
    <cellStyle name="Финансовый 14 2 6" xfId="584" xr:uid="{00000000-0005-0000-0000-0000F3050000}"/>
    <cellStyle name="Финансовый 14 2 6 2" xfId="6624" xr:uid="{00000000-0005-0000-0000-0000F4050000}"/>
    <cellStyle name="Финансовый 14 2 6 2 2" xfId="15267" xr:uid="{00000000-0005-0000-0000-0000F5050000}"/>
    <cellStyle name="Финансовый 14 2 6 3" xfId="9231" xr:uid="{00000000-0005-0000-0000-0000F6050000}"/>
    <cellStyle name="Финансовый 14 2 7" xfId="2773" xr:uid="{00000000-0005-0000-0000-0000F7050000}"/>
    <cellStyle name="Финансовый 14 2 7 2" xfId="11418" xr:uid="{00000000-0005-0000-0000-0000F8050000}"/>
    <cellStyle name="Финансовый 14 2 8" xfId="4417" xr:uid="{00000000-0005-0000-0000-0000F9050000}"/>
    <cellStyle name="Финансовый 14 2 8 2" xfId="13062" xr:uid="{00000000-0005-0000-0000-0000FA050000}"/>
    <cellStyle name="Финансовый 14 2 9" xfId="6204" xr:uid="{00000000-0005-0000-0000-0000FB050000}"/>
    <cellStyle name="Финансовый 14 2 9 2" xfId="14847" xr:uid="{00000000-0005-0000-0000-0000FC050000}"/>
    <cellStyle name="Финансовый 14 3" xfId="312" xr:uid="{00000000-0005-0000-0000-0000FD050000}"/>
    <cellStyle name="Финансовый 14 3 2" xfId="2099" xr:uid="{00000000-0005-0000-0000-0000FE050000}"/>
    <cellStyle name="Финансовый 14 3 2 2" xfId="3744" xr:uid="{00000000-0005-0000-0000-0000FF050000}"/>
    <cellStyle name="Финансовый 14 3 2 2 2" xfId="12389" xr:uid="{00000000-0005-0000-0000-000000060000}"/>
    <cellStyle name="Финансовый 14 3 2 3" xfId="5527" xr:uid="{00000000-0005-0000-0000-000001060000}"/>
    <cellStyle name="Финансовый 14 3 2 3 2" xfId="14170" xr:uid="{00000000-0005-0000-0000-000002060000}"/>
    <cellStyle name="Финансовый 14 3 2 4" xfId="8137" xr:uid="{00000000-0005-0000-0000-000003060000}"/>
    <cellStyle name="Финансовый 14 3 2 4 2" xfId="16780" xr:uid="{00000000-0005-0000-0000-000004060000}"/>
    <cellStyle name="Финансовый 14 3 2 5" xfId="10744" xr:uid="{00000000-0005-0000-0000-000005060000}"/>
    <cellStyle name="Финансовый 14 3 3" xfId="1132" xr:uid="{00000000-0005-0000-0000-000006060000}"/>
    <cellStyle name="Финансовый 14 3 3 2" xfId="7172" xr:uid="{00000000-0005-0000-0000-000007060000}"/>
    <cellStyle name="Финансовый 14 3 3 2 2" xfId="15815" xr:uid="{00000000-0005-0000-0000-000008060000}"/>
    <cellStyle name="Финансовый 14 3 3 3" xfId="9779" xr:uid="{00000000-0005-0000-0000-000009060000}"/>
    <cellStyle name="Финансовый 14 3 4" xfId="732" xr:uid="{00000000-0005-0000-0000-00000A060000}"/>
    <cellStyle name="Финансовый 14 3 4 2" xfId="6772" xr:uid="{00000000-0005-0000-0000-00000B060000}"/>
    <cellStyle name="Финансовый 14 3 4 2 2" xfId="15415" xr:uid="{00000000-0005-0000-0000-00000C060000}"/>
    <cellStyle name="Финансовый 14 3 4 3" xfId="9379" xr:uid="{00000000-0005-0000-0000-00000D060000}"/>
    <cellStyle name="Финансовый 14 3 5" xfId="2909" xr:uid="{00000000-0005-0000-0000-00000E060000}"/>
    <cellStyle name="Финансовый 14 3 5 2" xfId="11554" xr:uid="{00000000-0005-0000-0000-00000F060000}"/>
    <cellStyle name="Финансовый 14 3 6" xfId="4553" xr:uid="{00000000-0005-0000-0000-000010060000}"/>
    <cellStyle name="Финансовый 14 3 6 2" xfId="13198" xr:uid="{00000000-0005-0000-0000-000011060000}"/>
    <cellStyle name="Финансовый 14 3 7" xfId="6352" xr:uid="{00000000-0005-0000-0000-000012060000}"/>
    <cellStyle name="Финансовый 14 3 7 2" xfId="14995" xr:uid="{00000000-0005-0000-0000-000013060000}"/>
    <cellStyle name="Финансовый 14 3 8" xfId="8959" xr:uid="{00000000-0005-0000-0000-000014060000}"/>
    <cellStyle name="Финансовый 14 4" xfId="1441" xr:uid="{00000000-0005-0000-0000-000015060000}"/>
    <cellStyle name="Финансовый 14 4 2" xfId="1835" xr:uid="{00000000-0005-0000-0000-000016060000}"/>
    <cellStyle name="Финансовый 14 4 2 2" xfId="3480" xr:uid="{00000000-0005-0000-0000-000017060000}"/>
    <cellStyle name="Финансовый 14 4 2 2 2" xfId="12125" xr:uid="{00000000-0005-0000-0000-000018060000}"/>
    <cellStyle name="Финансовый 14 4 2 3" xfId="5263" xr:uid="{00000000-0005-0000-0000-000019060000}"/>
    <cellStyle name="Финансовый 14 4 2 3 2" xfId="13906" xr:uid="{00000000-0005-0000-0000-00001A060000}"/>
    <cellStyle name="Финансовый 14 4 2 4" xfId="7873" xr:uid="{00000000-0005-0000-0000-00001B060000}"/>
    <cellStyle name="Финансовый 14 4 2 4 2" xfId="16516" xr:uid="{00000000-0005-0000-0000-00001C060000}"/>
    <cellStyle name="Финансовый 14 4 2 5" xfId="10480" xr:uid="{00000000-0005-0000-0000-00001D060000}"/>
    <cellStyle name="Финансовый 14 4 3" xfId="4869" xr:uid="{00000000-0005-0000-0000-00001E060000}"/>
    <cellStyle name="Финансовый 14 4 3 2" xfId="13512" xr:uid="{00000000-0005-0000-0000-00001F060000}"/>
    <cellStyle name="Финансовый 14 4 4" xfId="7479" xr:uid="{00000000-0005-0000-0000-000020060000}"/>
    <cellStyle name="Финансовый 14 4 4 2" xfId="16122" xr:uid="{00000000-0005-0000-0000-000021060000}"/>
    <cellStyle name="Финансовый 14 4 5" xfId="10086" xr:uid="{00000000-0005-0000-0000-000022060000}"/>
    <cellStyle name="Финансовый 14 5" xfId="1719" xr:uid="{00000000-0005-0000-0000-000023060000}"/>
    <cellStyle name="Финансовый 14 5 2" xfId="3364" xr:uid="{00000000-0005-0000-0000-000024060000}"/>
    <cellStyle name="Финансовый 14 5 2 2" xfId="12009" xr:uid="{00000000-0005-0000-0000-000025060000}"/>
    <cellStyle name="Финансовый 14 5 3" xfId="5147" xr:uid="{00000000-0005-0000-0000-000026060000}"/>
    <cellStyle name="Финансовый 14 5 3 2" xfId="13790" xr:uid="{00000000-0005-0000-0000-000027060000}"/>
    <cellStyle name="Финансовый 14 5 4" xfId="7757" xr:uid="{00000000-0005-0000-0000-000028060000}"/>
    <cellStyle name="Финансовый 14 5 4 2" xfId="16400" xr:uid="{00000000-0005-0000-0000-000029060000}"/>
    <cellStyle name="Финансовый 14 5 5" xfId="10364" xr:uid="{00000000-0005-0000-0000-00002A060000}"/>
    <cellStyle name="Финансовый 14 6" xfId="2355" xr:uid="{00000000-0005-0000-0000-00002B060000}"/>
    <cellStyle name="Финансовый 14 6 2" xfId="4000" xr:uid="{00000000-0005-0000-0000-00002C060000}"/>
    <cellStyle name="Финансовый 14 6 2 2" xfId="12645" xr:uid="{00000000-0005-0000-0000-00002D060000}"/>
    <cellStyle name="Финансовый 14 6 3" xfId="5783" xr:uid="{00000000-0005-0000-0000-00002E060000}"/>
    <cellStyle name="Финансовый 14 6 3 2" xfId="14426" xr:uid="{00000000-0005-0000-0000-00002F060000}"/>
    <cellStyle name="Финансовый 14 6 4" xfId="8393" xr:uid="{00000000-0005-0000-0000-000030060000}"/>
    <cellStyle name="Финансовый 14 6 4 2" xfId="17036" xr:uid="{00000000-0005-0000-0000-000031060000}"/>
    <cellStyle name="Финансовый 14 6 5" xfId="11000" xr:uid="{00000000-0005-0000-0000-000032060000}"/>
    <cellStyle name="Финансовый 14 7" xfId="1582" xr:uid="{00000000-0005-0000-0000-000033060000}"/>
    <cellStyle name="Финансовый 14 7 2" xfId="3227" xr:uid="{00000000-0005-0000-0000-000034060000}"/>
    <cellStyle name="Финансовый 14 7 2 2" xfId="11872" xr:uid="{00000000-0005-0000-0000-000035060000}"/>
    <cellStyle name="Финансовый 14 7 3" xfId="5010" xr:uid="{00000000-0005-0000-0000-000036060000}"/>
    <cellStyle name="Финансовый 14 7 3 2" xfId="13653" xr:uid="{00000000-0005-0000-0000-000037060000}"/>
    <cellStyle name="Финансовый 14 7 4" xfId="7620" xr:uid="{00000000-0005-0000-0000-000038060000}"/>
    <cellStyle name="Финансовый 14 7 4 2" xfId="16263" xr:uid="{00000000-0005-0000-0000-000039060000}"/>
    <cellStyle name="Финансовый 14 7 5" xfId="10227" xr:uid="{00000000-0005-0000-0000-00003A060000}"/>
    <cellStyle name="Финансовый 14 8" xfId="868" xr:uid="{00000000-0005-0000-0000-00003B060000}"/>
    <cellStyle name="Финансовый 14 8 2" xfId="6908" xr:uid="{00000000-0005-0000-0000-00003C060000}"/>
    <cellStyle name="Финансовый 14 8 2 2" xfId="15551" xr:uid="{00000000-0005-0000-0000-00003D060000}"/>
    <cellStyle name="Финансовый 14 8 3" xfId="9515" xr:uid="{00000000-0005-0000-0000-00003E060000}"/>
    <cellStyle name="Финансовый 14 9" xfId="448" xr:uid="{00000000-0005-0000-0000-00003F060000}"/>
    <cellStyle name="Финансовый 14 9 2" xfId="6488" xr:uid="{00000000-0005-0000-0000-000040060000}"/>
    <cellStyle name="Финансовый 14 9 2 2" xfId="15131" xr:uid="{00000000-0005-0000-0000-000041060000}"/>
    <cellStyle name="Финансовый 14 9 3" xfId="9095" xr:uid="{00000000-0005-0000-0000-000042060000}"/>
    <cellStyle name="Финансовый 15" xfId="13" xr:uid="{00000000-0005-0000-0000-000043060000}"/>
    <cellStyle name="Финансовый 15 10" xfId="2625" xr:uid="{00000000-0005-0000-0000-000044060000}"/>
    <cellStyle name="Финансовый 15 10 2" xfId="11270" xr:uid="{00000000-0005-0000-0000-000045060000}"/>
    <cellStyle name="Финансовый 15 11" xfId="4268" xr:uid="{00000000-0005-0000-0000-000046060000}"/>
    <cellStyle name="Финансовый 15 11 2" xfId="12913" xr:uid="{00000000-0005-0000-0000-000047060000}"/>
    <cellStyle name="Финансовый 15 12" xfId="6056" xr:uid="{00000000-0005-0000-0000-000048060000}"/>
    <cellStyle name="Финансовый 15 12 2" xfId="14699" xr:uid="{00000000-0005-0000-0000-000049060000}"/>
    <cellStyle name="Финансовый 15 13" xfId="8663" xr:uid="{00000000-0005-0000-0000-00004A060000}"/>
    <cellStyle name="Финансовый 15 2" xfId="151" xr:uid="{00000000-0005-0000-0000-00004B060000}"/>
    <cellStyle name="Финансовый 15 2 10" xfId="8799" xr:uid="{00000000-0005-0000-0000-00004C060000}"/>
    <cellStyle name="Финансовый 15 2 2" xfId="1249" xr:uid="{00000000-0005-0000-0000-00004D060000}"/>
    <cellStyle name="Финансовый 15 2 2 2" xfId="2215" xr:uid="{00000000-0005-0000-0000-00004E060000}"/>
    <cellStyle name="Финансовый 15 2 2 2 2" xfId="3860" xr:uid="{00000000-0005-0000-0000-00004F060000}"/>
    <cellStyle name="Финансовый 15 2 2 2 2 2" xfId="12505" xr:uid="{00000000-0005-0000-0000-000050060000}"/>
    <cellStyle name="Финансовый 15 2 2 2 3" xfId="5643" xr:uid="{00000000-0005-0000-0000-000051060000}"/>
    <cellStyle name="Финансовый 15 2 2 2 3 2" xfId="14286" xr:uid="{00000000-0005-0000-0000-000052060000}"/>
    <cellStyle name="Финансовый 15 2 2 2 4" xfId="8253" xr:uid="{00000000-0005-0000-0000-000053060000}"/>
    <cellStyle name="Финансовый 15 2 2 2 4 2" xfId="16896" xr:uid="{00000000-0005-0000-0000-000054060000}"/>
    <cellStyle name="Финансовый 15 2 2 2 5" xfId="10860" xr:uid="{00000000-0005-0000-0000-000055060000}"/>
    <cellStyle name="Финансовый 15 2 2 3" xfId="3033" xr:uid="{00000000-0005-0000-0000-000056060000}"/>
    <cellStyle name="Финансовый 15 2 2 3 2" xfId="11678" xr:uid="{00000000-0005-0000-0000-000057060000}"/>
    <cellStyle name="Финансовый 15 2 2 4" xfId="4677" xr:uid="{00000000-0005-0000-0000-000058060000}"/>
    <cellStyle name="Финансовый 15 2 2 4 2" xfId="13322" xr:uid="{00000000-0005-0000-0000-000059060000}"/>
    <cellStyle name="Финансовый 15 2 2 5" xfId="7289" xr:uid="{00000000-0005-0000-0000-00005A060000}"/>
    <cellStyle name="Финансовый 15 2 2 5 2" xfId="15932" xr:uid="{00000000-0005-0000-0000-00005B060000}"/>
    <cellStyle name="Финансовый 15 2 2 6" xfId="9896" xr:uid="{00000000-0005-0000-0000-00005C060000}"/>
    <cellStyle name="Финансовый 15 2 3" xfId="1959" xr:uid="{00000000-0005-0000-0000-00005D060000}"/>
    <cellStyle name="Финансовый 15 2 3 2" xfId="3604" xr:uid="{00000000-0005-0000-0000-00005E060000}"/>
    <cellStyle name="Финансовый 15 2 3 2 2" xfId="12249" xr:uid="{00000000-0005-0000-0000-00005F060000}"/>
    <cellStyle name="Финансовый 15 2 3 3" xfId="5387" xr:uid="{00000000-0005-0000-0000-000060060000}"/>
    <cellStyle name="Финансовый 15 2 3 3 2" xfId="14030" xr:uid="{00000000-0005-0000-0000-000061060000}"/>
    <cellStyle name="Финансовый 15 2 3 4" xfId="7997" xr:uid="{00000000-0005-0000-0000-000062060000}"/>
    <cellStyle name="Финансовый 15 2 3 4 2" xfId="16640" xr:uid="{00000000-0005-0000-0000-000063060000}"/>
    <cellStyle name="Финансовый 15 2 3 5" xfId="10604" xr:uid="{00000000-0005-0000-0000-000064060000}"/>
    <cellStyle name="Финансовый 15 2 4" xfId="2480" xr:uid="{00000000-0005-0000-0000-000065060000}"/>
    <cellStyle name="Финансовый 15 2 4 2" xfId="4125" xr:uid="{00000000-0005-0000-0000-000066060000}"/>
    <cellStyle name="Финансовый 15 2 4 2 2" xfId="12770" xr:uid="{00000000-0005-0000-0000-000067060000}"/>
    <cellStyle name="Финансовый 15 2 4 3" xfId="5908" xr:uid="{00000000-0005-0000-0000-000068060000}"/>
    <cellStyle name="Финансовый 15 2 4 3 2" xfId="14551" xr:uid="{00000000-0005-0000-0000-000069060000}"/>
    <cellStyle name="Финансовый 15 2 4 4" xfId="8518" xr:uid="{00000000-0005-0000-0000-00006A060000}"/>
    <cellStyle name="Финансовый 15 2 4 4 2" xfId="17161" xr:uid="{00000000-0005-0000-0000-00006B060000}"/>
    <cellStyle name="Финансовый 15 2 4 5" xfId="11125" xr:uid="{00000000-0005-0000-0000-00006C060000}"/>
    <cellStyle name="Финансовый 15 2 5" xfId="984" xr:uid="{00000000-0005-0000-0000-00006D060000}"/>
    <cellStyle name="Финансовый 15 2 5 2" xfId="7024" xr:uid="{00000000-0005-0000-0000-00006E060000}"/>
    <cellStyle name="Финансовый 15 2 5 2 2" xfId="15667" xr:uid="{00000000-0005-0000-0000-00006F060000}"/>
    <cellStyle name="Финансовый 15 2 5 3" xfId="9631" xr:uid="{00000000-0005-0000-0000-000070060000}"/>
    <cellStyle name="Финансовый 15 2 6" xfId="572" xr:uid="{00000000-0005-0000-0000-000071060000}"/>
    <cellStyle name="Финансовый 15 2 6 2" xfId="6612" xr:uid="{00000000-0005-0000-0000-000072060000}"/>
    <cellStyle name="Финансовый 15 2 6 2 2" xfId="15255" xr:uid="{00000000-0005-0000-0000-000073060000}"/>
    <cellStyle name="Финансовый 15 2 6 3" xfId="9219" xr:uid="{00000000-0005-0000-0000-000074060000}"/>
    <cellStyle name="Финансовый 15 2 7" xfId="2761" xr:uid="{00000000-0005-0000-0000-000075060000}"/>
    <cellStyle name="Финансовый 15 2 7 2" xfId="11406" xr:uid="{00000000-0005-0000-0000-000076060000}"/>
    <cellStyle name="Финансовый 15 2 8" xfId="4405" xr:uid="{00000000-0005-0000-0000-000077060000}"/>
    <cellStyle name="Финансовый 15 2 8 2" xfId="13050" xr:uid="{00000000-0005-0000-0000-000078060000}"/>
    <cellStyle name="Финансовый 15 2 9" xfId="6192" xr:uid="{00000000-0005-0000-0000-000079060000}"/>
    <cellStyle name="Финансовый 15 2 9 2" xfId="14835" xr:uid="{00000000-0005-0000-0000-00007A060000}"/>
    <cellStyle name="Финансовый 15 3" xfId="300" xr:uid="{00000000-0005-0000-0000-00007B060000}"/>
    <cellStyle name="Финансовый 15 3 2" xfId="2087" xr:uid="{00000000-0005-0000-0000-00007C060000}"/>
    <cellStyle name="Финансовый 15 3 2 2" xfId="3732" xr:uid="{00000000-0005-0000-0000-00007D060000}"/>
    <cellStyle name="Финансовый 15 3 2 2 2" xfId="12377" xr:uid="{00000000-0005-0000-0000-00007E060000}"/>
    <cellStyle name="Финансовый 15 3 2 3" xfId="5515" xr:uid="{00000000-0005-0000-0000-00007F060000}"/>
    <cellStyle name="Финансовый 15 3 2 3 2" xfId="14158" xr:uid="{00000000-0005-0000-0000-000080060000}"/>
    <cellStyle name="Финансовый 15 3 2 4" xfId="8125" xr:uid="{00000000-0005-0000-0000-000081060000}"/>
    <cellStyle name="Финансовый 15 3 2 4 2" xfId="16768" xr:uid="{00000000-0005-0000-0000-000082060000}"/>
    <cellStyle name="Финансовый 15 3 2 5" xfId="10732" xr:uid="{00000000-0005-0000-0000-000083060000}"/>
    <cellStyle name="Финансовый 15 3 3" xfId="1120" xr:uid="{00000000-0005-0000-0000-000084060000}"/>
    <cellStyle name="Финансовый 15 3 3 2" xfId="7160" xr:uid="{00000000-0005-0000-0000-000085060000}"/>
    <cellStyle name="Финансовый 15 3 3 2 2" xfId="15803" xr:uid="{00000000-0005-0000-0000-000086060000}"/>
    <cellStyle name="Финансовый 15 3 3 3" xfId="9767" xr:uid="{00000000-0005-0000-0000-000087060000}"/>
    <cellStyle name="Финансовый 15 3 4" xfId="720" xr:uid="{00000000-0005-0000-0000-000088060000}"/>
    <cellStyle name="Финансовый 15 3 4 2" xfId="6760" xr:uid="{00000000-0005-0000-0000-000089060000}"/>
    <cellStyle name="Финансовый 15 3 4 2 2" xfId="15403" xr:uid="{00000000-0005-0000-0000-00008A060000}"/>
    <cellStyle name="Финансовый 15 3 4 3" xfId="9367" xr:uid="{00000000-0005-0000-0000-00008B060000}"/>
    <cellStyle name="Финансовый 15 3 5" xfId="2897" xr:uid="{00000000-0005-0000-0000-00008C060000}"/>
    <cellStyle name="Финансовый 15 3 5 2" xfId="11542" xr:uid="{00000000-0005-0000-0000-00008D060000}"/>
    <cellStyle name="Финансовый 15 3 6" xfId="4541" xr:uid="{00000000-0005-0000-0000-00008E060000}"/>
    <cellStyle name="Финансовый 15 3 6 2" xfId="13186" xr:uid="{00000000-0005-0000-0000-00008F060000}"/>
    <cellStyle name="Финансовый 15 3 7" xfId="6340" xr:uid="{00000000-0005-0000-0000-000090060000}"/>
    <cellStyle name="Финансовый 15 3 7 2" xfId="14983" xr:uid="{00000000-0005-0000-0000-000091060000}"/>
    <cellStyle name="Финансовый 15 3 8" xfId="8947" xr:uid="{00000000-0005-0000-0000-000092060000}"/>
    <cellStyle name="Финансовый 15 4" xfId="1435" xr:uid="{00000000-0005-0000-0000-000093060000}"/>
    <cellStyle name="Финансовый 15 4 2" xfId="1823" xr:uid="{00000000-0005-0000-0000-000094060000}"/>
    <cellStyle name="Финансовый 15 4 2 2" xfId="3468" xr:uid="{00000000-0005-0000-0000-000095060000}"/>
    <cellStyle name="Финансовый 15 4 2 2 2" xfId="12113" xr:uid="{00000000-0005-0000-0000-000096060000}"/>
    <cellStyle name="Финансовый 15 4 2 3" xfId="5251" xr:uid="{00000000-0005-0000-0000-000097060000}"/>
    <cellStyle name="Финансовый 15 4 2 3 2" xfId="13894" xr:uid="{00000000-0005-0000-0000-000098060000}"/>
    <cellStyle name="Финансовый 15 4 2 4" xfId="7861" xr:uid="{00000000-0005-0000-0000-000099060000}"/>
    <cellStyle name="Финансовый 15 4 2 4 2" xfId="16504" xr:uid="{00000000-0005-0000-0000-00009A060000}"/>
    <cellStyle name="Финансовый 15 4 2 5" xfId="10468" xr:uid="{00000000-0005-0000-0000-00009B060000}"/>
    <cellStyle name="Финансовый 15 4 3" xfId="4863" xr:uid="{00000000-0005-0000-0000-00009C060000}"/>
    <cellStyle name="Финансовый 15 4 3 2" xfId="13507" xr:uid="{00000000-0005-0000-0000-00009D060000}"/>
    <cellStyle name="Финансовый 15 4 4" xfId="7474" xr:uid="{00000000-0005-0000-0000-00009E060000}"/>
    <cellStyle name="Финансовый 15 4 4 2" xfId="16117" xr:uid="{00000000-0005-0000-0000-00009F060000}"/>
    <cellStyle name="Финансовый 15 4 5" xfId="10081" xr:uid="{00000000-0005-0000-0000-0000A0060000}"/>
    <cellStyle name="Финансовый 15 5" xfId="1707" xr:uid="{00000000-0005-0000-0000-0000A1060000}"/>
    <cellStyle name="Финансовый 15 5 2" xfId="3352" xr:uid="{00000000-0005-0000-0000-0000A2060000}"/>
    <cellStyle name="Финансовый 15 5 2 2" xfId="11997" xr:uid="{00000000-0005-0000-0000-0000A3060000}"/>
    <cellStyle name="Финансовый 15 5 3" xfId="5135" xr:uid="{00000000-0005-0000-0000-0000A4060000}"/>
    <cellStyle name="Финансовый 15 5 3 2" xfId="13778" xr:uid="{00000000-0005-0000-0000-0000A5060000}"/>
    <cellStyle name="Финансовый 15 5 4" xfId="7745" xr:uid="{00000000-0005-0000-0000-0000A6060000}"/>
    <cellStyle name="Финансовый 15 5 4 2" xfId="16388" xr:uid="{00000000-0005-0000-0000-0000A7060000}"/>
    <cellStyle name="Финансовый 15 5 5" xfId="10352" xr:uid="{00000000-0005-0000-0000-0000A8060000}"/>
    <cellStyle name="Финансовый 15 6" xfId="2343" xr:uid="{00000000-0005-0000-0000-0000A9060000}"/>
    <cellStyle name="Финансовый 15 6 2" xfId="3988" xr:uid="{00000000-0005-0000-0000-0000AA060000}"/>
    <cellStyle name="Финансовый 15 6 2 2" xfId="12633" xr:uid="{00000000-0005-0000-0000-0000AB060000}"/>
    <cellStyle name="Финансовый 15 6 3" xfId="5771" xr:uid="{00000000-0005-0000-0000-0000AC060000}"/>
    <cellStyle name="Финансовый 15 6 3 2" xfId="14414" xr:uid="{00000000-0005-0000-0000-0000AD060000}"/>
    <cellStyle name="Финансовый 15 6 4" xfId="8381" xr:uid="{00000000-0005-0000-0000-0000AE060000}"/>
    <cellStyle name="Финансовый 15 6 4 2" xfId="17024" xr:uid="{00000000-0005-0000-0000-0000AF060000}"/>
    <cellStyle name="Финансовый 15 6 5" xfId="10988" xr:uid="{00000000-0005-0000-0000-0000B0060000}"/>
    <cellStyle name="Финансовый 15 7" xfId="1570" xr:uid="{00000000-0005-0000-0000-0000B1060000}"/>
    <cellStyle name="Финансовый 15 7 2" xfId="3215" xr:uid="{00000000-0005-0000-0000-0000B2060000}"/>
    <cellStyle name="Финансовый 15 7 2 2" xfId="11860" xr:uid="{00000000-0005-0000-0000-0000B3060000}"/>
    <cellStyle name="Финансовый 15 7 3" xfId="4998" xr:uid="{00000000-0005-0000-0000-0000B4060000}"/>
    <cellStyle name="Финансовый 15 7 3 2" xfId="13641" xr:uid="{00000000-0005-0000-0000-0000B5060000}"/>
    <cellStyle name="Финансовый 15 7 4" xfId="7608" xr:uid="{00000000-0005-0000-0000-0000B6060000}"/>
    <cellStyle name="Финансовый 15 7 4 2" xfId="16251" xr:uid="{00000000-0005-0000-0000-0000B7060000}"/>
    <cellStyle name="Финансовый 15 7 5" xfId="10215" xr:uid="{00000000-0005-0000-0000-0000B8060000}"/>
    <cellStyle name="Финансовый 15 8" xfId="856" xr:uid="{00000000-0005-0000-0000-0000B9060000}"/>
    <cellStyle name="Финансовый 15 8 2" xfId="6896" xr:uid="{00000000-0005-0000-0000-0000BA060000}"/>
    <cellStyle name="Финансовый 15 8 2 2" xfId="15539" xr:uid="{00000000-0005-0000-0000-0000BB060000}"/>
    <cellStyle name="Финансовый 15 8 3" xfId="9503" xr:uid="{00000000-0005-0000-0000-0000BC060000}"/>
    <cellStyle name="Финансовый 15 9" xfId="436" xr:uid="{00000000-0005-0000-0000-0000BD060000}"/>
    <cellStyle name="Финансовый 15 9 2" xfId="6476" xr:uid="{00000000-0005-0000-0000-0000BE060000}"/>
    <cellStyle name="Финансовый 15 9 2 2" xfId="15119" xr:uid="{00000000-0005-0000-0000-0000BF060000}"/>
    <cellStyle name="Финансовый 15 9 3" xfId="9083" xr:uid="{00000000-0005-0000-0000-0000C0060000}"/>
    <cellStyle name="Финансовый 16" xfId="139" xr:uid="{00000000-0005-0000-0000-0000C1060000}"/>
    <cellStyle name="Финансовый 16 10" xfId="8787" xr:uid="{00000000-0005-0000-0000-0000C2060000}"/>
    <cellStyle name="Финансовый 16 2" xfId="1237" xr:uid="{00000000-0005-0000-0000-0000C3060000}"/>
    <cellStyle name="Финансовый 16 2 2" xfId="2203" xr:uid="{00000000-0005-0000-0000-0000C4060000}"/>
    <cellStyle name="Финансовый 16 2 2 2" xfId="3848" xr:uid="{00000000-0005-0000-0000-0000C5060000}"/>
    <cellStyle name="Финансовый 16 2 2 2 2" xfId="12493" xr:uid="{00000000-0005-0000-0000-0000C6060000}"/>
    <cellStyle name="Финансовый 16 2 2 3" xfId="5631" xr:uid="{00000000-0005-0000-0000-0000C7060000}"/>
    <cellStyle name="Финансовый 16 2 2 3 2" xfId="14274" xr:uid="{00000000-0005-0000-0000-0000C8060000}"/>
    <cellStyle name="Финансовый 16 2 2 4" xfId="8241" xr:uid="{00000000-0005-0000-0000-0000C9060000}"/>
    <cellStyle name="Финансовый 16 2 2 4 2" xfId="16884" xr:uid="{00000000-0005-0000-0000-0000CA060000}"/>
    <cellStyle name="Финансовый 16 2 2 5" xfId="10848" xr:uid="{00000000-0005-0000-0000-0000CB060000}"/>
    <cellStyle name="Финансовый 16 2 3" xfId="3021" xr:uid="{00000000-0005-0000-0000-0000CC060000}"/>
    <cellStyle name="Финансовый 16 2 3 2" xfId="11666" xr:uid="{00000000-0005-0000-0000-0000CD060000}"/>
    <cellStyle name="Финансовый 16 2 4" xfId="4665" xr:uid="{00000000-0005-0000-0000-0000CE060000}"/>
    <cellStyle name="Финансовый 16 2 4 2" xfId="13310" xr:uid="{00000000-0005-0000-0000-0000CF060000}"/>
    <cellStyle name="Финансовый 16 2 5" xfId="7277" xr:uid="{00000000-0005-0000-0000-0000D0060000}"/>
    <cellStyle name="Финансовый 16 2 5 2" xfId="15920" xr:uid="{00000000-0005-0000-0000-0000D1060000}"/>
    <cellStyle name="Финансовый 16 2 6" xfId="9884" xr:uid="{00000000-0005-0000-0000-0000D2060000}"/>
    <cellStyle name="Финансовый 16 3" xfId="1947" xr:uid="{00000000-0005-0000-0000-0000D3060000}"/>
    <cellStyle name="Финансовый 16 3 2" xfId="3592" xr:uid="{00000000-0005-0000-0000-0000D4060000}"/>
    <cellStyle name="Финансовый 16 3 2 2" xfId="12237" xr:uid="{00000000-0005-0000-0000-0000D5060000}"/>
    <cellStyle name="Финансовый 16 3 3" xfId="5375" xr:uid="{00000000-0005-0000-0000-0000D6060000}"/>
    <cellStyle name="Финансовый 16 3 3 2" xfId="14018" xr:uid="{00000000-0005-0000-0000-0000D7060000}"/>
    <cellStyle name="Финансовый 16 3 4" xfId="7985" xr:uid="{00000000-0005-0000-0000-0000D8060000}"/>
    <cellStyle name="Финансовый 16 3 4 2" xfId="16628" xr:uid="{00000000-0005-0000-0000-0000D9060000}"/>
    <cellStyle name="Финансовый 16 3 5" xfId="10592" xr:uid="{00000000-0005-0000-0000-0000DA060000}"/>
    <cellStyle name="Финансовый 16 4" xfId="2468" xr:uid="{00000000-0005-0000-0000-0000DB060000}"/>
    <cellStyle name="Финансовый 16 4 2" xfId="4113" xr:uid="{00000000-0005-0000-0000-0000DC060000}"/>
    <cellStyle name="Финансовый 16 4 2 2" xfId="12758" xr:uid="{00000000-0005-0000-0000-0000DD060000}"/>
    <cellStyle name="Финансовый 16 4 3" xfId="5896" xr:uid="{00000000-0005-0000-0000-0000DE060000}"/>
    <cellStyle name="Финансовый 16 4 3 2" xfId="14539" xr:uid="{00000000-0005-0000-0000-0000DF060000}"/>
    <cellStyle name="Финансовый 16 4 4" xfId="8506" xr:uid="{00000000-0005-0000-0000-0000E0060000}"/>
    <cellStyle name="Финансовый 16 4 4 2" xfId="17149" xr:uid="{00000000-0005-0000-0000-0000E1060000}"/>
    <cellStyle name="Финансовый 16 4 5" xfId="11113" xr:uid="{00000000-0005-0000-0000-0000E2060000}"/>
    <cellStyle name="Финансовый 16 5" xfId="972" xr:uid="{00000000-0005-0000-0000-0000E3060000}"/>
    <cellStyle name="Финансовый 16 5 2" xfId="7012" xr:uid="{00000000-0005-0000-0000-0000E4060000}"/>
    <cellStyle name="Финансовый 16 5 2 2" xfId="15655" xr:uid="{00000000-0005-0000-0000-0000E5060000}"/>
    <cellStyle name="Финансовый 16 5 3" xfId="9619" xr:uid="{00000000-0005-0000-0000-0000E6060000}"/>
    <cellStyle name="Финансовый 16 6" xfId="560" xr:uid="{00000000-0005-0000-0000-0000E7060000}"/>
    <cellStyle name="Финансовый 16 6 2" xfId="6600" xr:uid="{00000000-0005-0000-0000-0000E8060000}"/>
    <cellStyle name="Финансовый 16 6 2 2" xfId="15243" xr:uid="{00000000-0005-0000-0000-0000E9060000}"/>
    <cellStyle name="Финансовый 16 6 3" xfId="9207" xr:uid="{00000000-0005-0000-0000-0000EA060000}"/>
    <cellStyle name="Финансовый 16 7" xfId="2749" xr:uid="{00000000-0005-0000-0000-0000EB060000}"/>
    <cellStyle name="Финансовый 16 7 2" xfId="11394" xr:uid="{00000000-0005-0000-0000-0000EC060000}"/>
    <cellStyle name="Финансовый 16 8" xfId="4393" xr:uid="{00000000-0005-0000-0000-0000ED060000}"/>
    <cellStyle name="Финансовый 16 8 2" xfId="13038" xr:uid="{00000000-0005-0000-0000-0000EE060000}"/>
    <cellStyle name="Финансовый 16 9" xfId="6180" xr:uid="{00000000-0005-0000-0000-0000EF060000}"/>
    <cellStyle name="Финансовый 16 9 2" xfId="14823" xr:uid="{00000000-0005-0000-0000-0000F0060000}"/>
    <cellStyle name="Финансовый 17" xfId="275" xr:uid="{00000000-0005-0000-0000-0000F1060000}"/>
    <cellStyle name="Финансовый 17 2" xfId="2075" xr:uid="{00000000-0005-0000-0000-0000F2060000}"/>
    <cellStyle name="Финансовый 17 2 2" xfId="3720" xr:uid="{00000000-0005-0000-0000-0000F3060000}"/>
    <cellStyle name="Финансовый 17 2 2 2" xfId="12365" xr:uid="{00000000-0005-0000-0000-0000F4060000}"/>
    <cellStyle name="Финансовый 17 2 3" xfId="5503" xr:uid="{00000000-0005-0000-0000-0000F5060000}"/>
    <cellStyle name="Финансовый 17 2 3 2" xfId="14146" xr:uid="{00000000-0005-0000-0000-0000F6060000}"/>
    <cellStyle name="Финансовый 17 2 4" xfId="8113" xr:uid="{00000000-0005-0000-0000-0000F7060000}"/>
    <cellStyle name="Финансовый 17 2 4 2" xfId="16756" xr:uid="{00000000-0005-0000-0000-0000F8060000}"/>
    <cellStyle name="Финансовый 17 2 5" xfId="10720" xr:uid="{00000000-0005-0000-0000-0000F9060000}"/>
    <cellStyle name="Финансовый 17 3" xfId="1373" xr:uid="{00000000-0005-0000-0000-0000FA060000}"/>
    <cellStyle name="Финансовый 17 3 2" xfId="7413" xr:uid="{00000000-0005-0000-0000-0000FB060000}"/>
    <cellStyle name="Финансовый 17 3 2 2" xfId="16056" xr:uid="{00000000-0005-0000-0000-0000FC060000}"/>
    <cellStyle name="Финансовый 17 3 3" xfId="10020" xr:uid="{00000000-0005-0000-0000-0000FD060000}"/>
    <cellStyle name="Финансовый 17 4" xfId="696" xr:uid="{00000000-0005-0000-0000-0000FE060000}"/>
    <cellStyle name="Финансовый 17 4 2" xfId="6736" xr:uid="{00000000-0005-0000-0000-0000FF060000}"/>
    <cellStyle name="Финансовый 17 4 2 2" xfId="15379" xr:uid="{00000000-0005-0000-0000-000000070000}"/>
    <cellStyle name="Финансовый 17 4 3" xfId="9343" xr:uid="{00000000-0005-0000-0000-000001070000}"/>
    <cellStyle name="Финансовый 17 5" xfId="3157" xr:uid="{00000000-0005-0000-0000-000002070000}"/>
    <cellStyle name="Финансовый 17 5 2" xfId="11802" xr:uid="{00000000-0005-0000-0000-000003070000}"/>
    <cellStyle name="Финансовый 17 6" xfId="4801" xr:uid="{00000000-0005-0000-0000-000004070000}"/>
    <cellStyle name="Финансовый 17 6 2" xfId="13446" xr:uid="{00000000-0005-0000-0000-000005070000}"/>
    <cellStyle name="Финансовый 17 7" xfId="6316" xr:uid="{00000000-0005-0000-0000-000006070000}"/>
    <cellStyle name="Финансовый 17 7 2" xfId="14959" xr:uid="{00000000-0005-0000-0000-000007070000}"/>
    <cellStyle name="Финансовый 17 8" xfId="8923" xr:uid="{00000000-0005-0000-0000-000008070000}"/>
    <cellStyle name="Финансовый 18" xfId="288" xr:uid="{00000000-0005-0000-0000-000009070000}"/>
    <cellStyle name="Финансовый 18 2" xfId="1108" xr:uid="{00000000-0005-0000-0000-00000A070000}"/>
    <cellStyle name="Финансовый 18 2 2" xfId="7148" xr:uid="{00000000-0005-0000-0000-00000B070000}"/>
    <cellStyle name="Финансовый 18 2 2 2" xfId="15791" xr:uid="{00000000-0005-0000-0000-00000C070000}"/>
    <cellStyle name="Финансовый 18 2 3" xfId="9755" xr:uid="{00000000-0005-0000-0000-00000D070000}"/>
    <cellStyle name="Финансовый 18 3" xfId="708" xr:uid="{00000000-0005-0000-0000-00000E070000}"/>
    <cellStyle name="Финансовый 18 3 2" xfId="6748" xr:uid="{00000000-0005-0000-0000-00000F070000}"/>
    <cellStyle name="Финансовый 18 3 2 2" xfId="15391" xr:uid="{00000000-0005-0000-0000-000010070000}"/>
    <cellStyle name="Финансовый 18 3 3" xfId="9355" xr:uid="{00000000-0005-0000-0000-000011070000}"/>
    <cellStyle name="Финансовый 18 4" xfId="2885" xr:uid="{00000000-0005-0000-0000-000012070000}"/>
    <cellStyle name="Финансовый 18 4 2" xfId="11530" xr:uid="{00000000-0005-0000-0000-000013070000}"/>
    <cellStyle name="Финансовый 18 5" xfId="4529" xr:uid="{00000000-0005-0000-0000-000014070000}"/>
    <cellStyle name="Финансовый 18 5 2" xfId="13174" xr:uid="{00000000-0005-0000-0000-000015070000}"/>
    <cellStyle name="Финансовый 18 6" xfId="6328" xr:uid="{00000000-0005-0000-0000-000016070000}"/>
    <cellStyle name="Финансовый 18 6 2" xfId="14971" xr:uid="{00000000-0005-0000-0000-000017070000}"/>
    <cellStyle name="Финансовый 18 7" xfId="8935" xr:uid="{00000000-0005-0000-0000-000018070000}"/>
    <cellStyle name="Финансовый 19" xfId="1421" xr:uid="{00000000-0005-0000-0000-000019070000}"/>
    <cellStyle name="Финансовый 19 2" xfId="1695" xr:uid="{00000000-0005-0000-0000-00001A070000}"/>
    <cellStyle name="Финансовый 19 2 2" xfId="3340" xr:uid="{00000000-0005-0000-0000-00001B070000}"/>
    <cellStyle name="Финансовый 19 2 2 2" xfId="11985" xr:uid="{00000000-0005-0000-0000-00001C070000}"/>
    <cellStyle name="Финансовый 19 2 3" xfId="5123" xr:uid="{00000000-0005-0000-0000-00001D070000}"/>
    <cellStyle name="Финансовый 19 2 3 2" xfId="13766" xr:uid="{00000000-0005-0000-0000-00001E070000}"/>
    <cellStyle name="Финансовый 19 2 4" xfId="7733" xr:uid="{00000000-0005-0000-0000-00001F070000}"/>
    <cellStyle name="Финансовый 19 2 4 2" xfId="16376" xr:uid="{00000000-0005-0000-0000-000020070000}"/>
    <cellStyle name="Финансовый 19 2 5" xfId="10340" xr:uid="{00000000-0005-0000-0000-000021070000}"/>
    <cellStyle name="Финансовый 19 3" xfId="4849" xr:uid="{00000000-0005-0000-0000-000022070000}"/>
    <cellStyle name="Финансовый 19 3 2" xfId="13494" xr:uid="{00000000-0005-0000-0000-000023070000}"/>
    <cellStyle name="Финансовый 19 4" xfId="7461" xr:uid="{00000000-0005-0000-0000-000024070000}"/>
    <cellStyle name="Финансовый 19 4 2" xfId="16104" xr:uid="{00000000-0005-0000-0000-000025070000}"/>
    <cellStyle name="Финансовый 19 5" xfId="10068" xr:uid="{00000000-0005-0000-0000-000026070000}"/>
    <cellStyle name="Финансовый 2" xfId="2" xr:uid="{00000000-0005-0000-0000-000027070000}"/>
    <cellStyle name="Финансовый 2 10" xfId="62" xr:uid="{00000000-0005-0000-0000-000028070000}"/>
    <cellStyle name="Финансовый 2 10 10" xfId="2674" xr:uid="{00000000-0005-0000-0000-000029070000}"/>
    <cellStyle name="Финансовый 2 10 10 2" xfId="11319" xr:uid="{00000000-0005-0000-0000-00002A070000}"/>
    <cellStyle name="Финансовый 2 10 11" xfId="4317" xr:uid="{00000000-0005-0000-0000-00002B070000}"/>
    <cellStyle name="Финансовый 2 10 11 2" xfId="12962" xr:uid="{00000000-0005-0000-0000-00002C070000}"/>
    <cellStyle name="Финансовый 2 10 12" xfId="6105" xr:uid="{00000000-0005-0000-0000-00002D070000}"/>
    <cellStyle name="Финансовый 2 10 12 2" xfId="14748" xr:uid="{00000000-0005-0000-0000-00002E070000}"/>
    <cellStyle name="Финансовый 2 10 13" xfId="8712" xr:uid="{00000000-0005-0000-0000-00002F070000}"/>
    <cellStyle name="Финансовый 2 10 2" xfId="200" xr:uid="{00000000-0005-0000-0000-000030070000}"/>
    <cellStyle name="Финансовый 2 10 2 10" xfId="8848" xr:uid="{00000000-0005-0000-0000-000031070000}"/>
    <cellStyle name="Финансовый 2 10 2 2" xfId="1298" xr:uid="{00000000-0005-0000-0000-000032070000}"/>
    <cellStyle name="Финансовый 2 10 2 2 2" xfId="2264" xr:uid="{00000000-0005-0000-0000-000033070000}"/>
    <cellStyle name="Финансовый 2 10 2 2 2 2" xfId="3909" xr:uid="{00000000-0005-0000-0000-000034070000}"/>
    <cellStyle name="Финансовый 2 10 2 2 2 2 2" xfId="12554" xr:uid="{00000000-0005-0000-0000-000035070000}"/>
    <cellStyle name="Финансовый 2 10 2 2 2 3" xfId="5692" xr:uid="{00000000-0005-0000-0000-000036070000}"/>
    <cellStyle name="Финансовый 2 10 2 2 2 3 2" xfId="14335" xr:uid="{00000000-0005-0000-0000-000037070000}"/>
    <cellStyle name="Финансовый 2 10 2 2 2 4" xfId="8302" xr:uid="{00000000-0005-0000-0000-000038070000}"/>
    <cellStyle name="Финансовый 2 10 2 2 2 4 2" xfId="16945" xr:uid="{00000000-0005-0000-0000-000039070000}"/>
    <cellStyle name="Финансовый 2 10 2 2 2 5" xfId="10909" xr:uid="{00000000-0005-0000-0000-00003A070000}"/>
    <cellStyle name="Финансовый 2 10 2 2 3" xfId="3082" xr:uid="{00000000-0005-0000-0000-00003B070000}"/>
    <cellStyle name="Финансовый 2 10 2 2 3 2" xfId="11727" xr:uid="{00000000-0005-0000-0000-00003C070000}"/>
    <cellStyle name="Финансовый 2 10 2 2 4" xfId="4726" xr:uid="{00000000-0005-0000-0000-00003D070000}"/>
    <cellStyle name="Финансовый 2 10 2 2 4 2" xfId="13371" xr:uid="{00000000-0005-0000-0000-00003E070000}"/>
    <cellStyle name="Финансовый 2 10 2 2 5" xfId="7338" xr:uid="{00000000-0005-0000-0000-00003F070000}"/>
    <cellStyle name="Финансовый 2 10 2 2 5 2" xfId="15981" xr:uid="{00000000-0005-0000-0000-000040070000}"/>
    <cellStyle name="Финансовый 2 10 2 2 6" xfId="9945" xr:uid="{00000000-0005-0000-0000-000041070000}"/>
    <cellStyle name="Финансовый 2 10 2 3" xfId="2008" xr:uid="{00000000-0005-0000-0000-000042070000}"/>
    <cellStyle name="Финансовый 2 10 2 3 2" xfId="3653" xr:uid="{00000000-0005-0000-0000-000043070000}"/>
    <cellStyle name="Финансовый 2 10 2 3 2 2" xfId="12298" xr:uid="{00000000-0005-0000-0000-000044070000}"/>
    <cellStyle name="Финансовый 2 10 2 3 3" xfId="5436" xr:uid="{00000000-0005-0000-0000-000045070000}"/>
    <cellStyle name="Финансовый 2 10 2 3 3 2" xfId="14079" xr:uid="{00000000-0005-0000-0000-000046070000}"/>
    <cellStyle name="Финансовый 2 10 2 3 4" xfId="8046" xr:uid="{00000000-0005-0000-0000-000047070000}"/>
    <cellStyle name="Финансовый 2 10 2 3 4 2" xfId="16689" xr:uid="{00000000-0005-0000-0000-000048070000}"/>
    <cellStyle name="Финансовый 2 10 2 3 5" xfId="10653" xr:uid="{00000000-0005-0000-0000-000049070000}"/>
    <cellStyle name="Финансовый 2 10 2 4" xfId="2529" xr:uid="{00000000-0005-0000-0000-00004A070000}"/>
    <cellStyle name="Финансовый 2 10 2 4 2" xfId="4174" xr:uid="{00000000-0005-0000-0000-00004B070000}"/>
    <cellStyle name="Финансовый 2 10 2 4 2 2" xfId="12819" xr:uid="{00000000-0005-0000-0000-00004C070000}"/>
    <cellStyle name="Финансовый 2 10 2 4 3" xfId="5957" xr:uid="{00000000-0005-0000-0000-00004D070000}"/>
    <cellStyle name="Финансовый 2 10 2 4 3 2" xfId="14600" xr:uid="{00000000-0005-0000-0000-00004E070000}"/>
    <cellStyle name="Финансовый 2 10 2 4 4" xfId="8567" xr:uid="{00000000-0005-0000-0000-00004F070000}"/>
    <cellStyle name="Финансовый 2 10 2 4 4 2" xfId="17210" xr:uid="{00000000-0005-0000-0000-000050070000}"/>
    <cellStyle name="Финансовый 2 10 2 4 5" xfId="11174" xr:uid="{00000000-0005-0000-0000-000051070000}"/>
    <cellStyle name="Финансовый 2 10 2 5" xfId="1033" xr:uid="{00000000-0005-0000-0000-000052070000}"/>
    <cellStyle name="Финансовый 2 10 2 5 2" xfId="7073" xr:uid="{00000000-0005-0000-0000-000053070000}"/>
    <cellStyle name="Финансовый 2 10 2 5 2 2" xfId="15716" xr:uid="{00000000-0005-0000-0000-000054070000}"/>
    <cellStyle name="Финансовый 2 10 2 5 3" xfId="9680" xr:uid="{00000000-0005-0000-0000-000055070000}"/>
    <cellStyle name="Финансовый 2 10 2 6" xfId="621" xr:uid="{00000000-0005-0000-0000-000056070000}"/>
    <cellStyle name="Финансовый 2 10 2 6 2" xfId="6661" xr:uid="{00000000-0005-0000-0000-000057070000}"/>
    <cellStyle name="Финансовый 2 10 2 6 2 2" xfId="15304" xr:uid="{00000000-0005-0000-0000-000058070000}"/>
    <cellStyle name="Финансовый 2 10 2 6 3" xfId="9268" xr:uid="{00000000-0005-0000-0000-000059070000}"/>
    <cellStyle name="Финансовый 2 10 2 7" xfId="2810" xr:uid="{00000000-0005-0000-0000-00005A070000}"/>
    <cellStyle name="Финансовый 2 10 2 7 2" xfId="11455" xr:uid="{00000000-0005-0000-0000-00005B070000}"/>
    <cellStyle name="Финансовый 2 10 2 8" xfId="4454" xr:uid="{00000000-0005-0000-0000-00005C070000}"/>
    <cellStyle name="Финансовый 2 10 2 8 2" xfId="13099" xr:uid="{00000000-0005-0000-0000-00005D070000}"/>
    <cellStyle name="Финансовый 2 10 2 9" xfId="6241" xr:uid="{00000000-0005-0000-0000-00005E070000}"/>
    <cellStyle name="Финансовый 2 10 2 9 2" xfId="14884" xr:uid="{00000000-0005-0000-0000-00005F070000}"/>
    <cellStyle name="Финансовый 2 10 3" xfId="349" xr:uid="{00000000-0005-0000-0000-000060070000}"/>
    <cellStyle name="Финансовый 2 10 3 2" xfId="2136" xr:uid="{00000000-0005-0000-0000-000061070000}"/>
    <cellStyle name="Финансовый 2 10 3 2 2" xfId="3781" xr:uid="{00000000-0005-0000-0000-000062070000}"/>
    <cellStyle name="Финансовый 2 10 3 2 2 2" xfId="12426" xr:uid="{00000000-0005-0000-0000-000063070000}"/>
    <cellStyle name="Финансовый 2 10 3 2 3" xfId="5564" xr:uid="{00000000-0005-0000-0000-000064070000}"/>
    <cellStyle name="Финансовый 2 10 3 2 3 2" xfId="14207" xr:uid="{00000000-0005-0000-0000-000065070000}"/>
    <cellStyle name="Финансовый 2 10 3 2 4" xfId="8174" xr:uid="{00000000-0005-0000-0000-000066070000}"/>
    <cellStyle name="Финансовый 2 10 3 2 4 2" xfId="16817" xr:uid="{00000000-0005-0000-0000-000067070000}"/>
    <cellStyle name="Финансовый 2 10 3 2 5" xfId="10781" xr:uid="{00000000-0005-0000-0000-000068070000}"/>
    <cellStyle name="Финансовый 2 10 3 3" xfId="1169" xr:uid="{00000000-0005-0000-0000-000069070000}"/>
    <cellStyle name="Финансовый 2 10 3 3 2" xfId="7209" xr:uid="{00000000-0005-0000-0000-00006A070000}"/>
    <cellStyle name="Финансовый 2 10 3 3 2 2" xfId="15852" xr:uid="{00000000-0005-0000-0000-00006B070000}"/>
    <cellStyle name="Финансовый 2 10 3 3 3" xfId="9816" xr:uid="{00000000-0005-0000-0000-00006C070000}"/>
    <cellStyle name="Финансовый 2 10 3 4" xfId="769" xr:uid="{00000000-0005-0000-0000-00006D070000}"/>
    <cellStyle name="Финансовый 2 10 3 4 2" xfId="6809" xr:uid="{00000000-0005-0000-0000-00006E070000}"/>
    <cellStyle name="Финансовый 2 10 3 4 2 2" xfId="15452" xr:uid="{00000000-0005-0000-0000-00006F070000}"/>
    <cellStyle name="Финансовый 2 10 3 4 3" xfId="9416" xr:uid="{00000000-0005-0000-0000-000070070000}"/>
    <cellStyle name="Финансовый 2 10 3 5" xfId="2946" xr:uid="{00000000-0005-0000-0000-000071070000}"/>
    <cellStyle name="Финансовый 2 10 3 5 2" xfId="11591" xr:uid="{00000000-0005-0000-0000-000072070000}"/>
    <cellStyle name="Финансовый 2 10 3 6" xfId="4590" xr:uid="{00000000-0005-0000-0000-000073070000}"/>
    <cellStyle name="Финансовый 2 10 3 6 2" xfId="13235" xr:uid="{00000000-0005-0000-0000-000074070000}"/>
    <cellStyle name="Финансовый 2 10 3 7" xfId="6389" xr:uid="{00000000-0005-0000-0000-000075070000}"/>
    <cellStyle name="Финансовый 2 10 3 7 2" xfId="15032" xr:uid="{00000000-0005-0000-0000-000076070000}"/>
    <cellStyle name="Финансовый 2 10 3 8" xfId="8996" xr:uid="{00000000-0005-0000-0000-000077070000}"/>
    <cellStyle name="Финансовый 2 10 4" xfId="1448" xr:uid="{00000000-0005-0000-0000-000078070000}"/>
    <cellStyle name="Финансовый 2 10 4 2" xfId="1872" xr:uid="{00000000-0005-0000-0000-000079070000}"/>
    <cellStyle name="Финансовый 2 10 4 2 2" xfId="3517" xr:uid="{00000000-0005-0000-0000-00007A070000}"/>
    <cellStyle name="Финансовый 2 10 4 2 2 2" xfId="12162" xr:uid="{00000000-0005-0000-0000-00007B070000}"/>
    <cellStyle name="Финансовый 2 10 4 2 3" xfId="5300" xr:uid="{00000000-0005-0000-0000-00007C070000}"/>
    <cellStyle name="Финансовый 2 10 4 2 3 2" xfId="13943" xr:uid="{00000000-0005-0000-0000-00007D070000}"/>
    <cellStyle name="Финансовый 2 10 4 2 4" xfId="7910" xr:uid="{00000000-0005-0000-0000-00007E070000}"/>
    <cellStyle name="Финансовый 2 10 4 2 4 2" xfId="16553" xr:uid="{00000000-0005-0000-0000-00007F070000}"/>
    <cellStyle name="Финансовый 2 10 4 2 5" xfId="10517" xr:uid="{00000000-0005-0000-0000-000080070000}"/>
    <cellStyle name="Финансовый 2 10 4 3" xfId="4876" xr:uid="{00000000-0005-0000-0000-000081070000}"/>
    <cellStyle name="Финансовый 2 10 4 3 2" xfId="13519" xr:uid="{00000000-0005-0000-0000-000082070000}"/>
    <cellStyle name="Финансовый 2 10 4 4" xfId="7486" xr:uid="{00000000-0005-0000-0000-000083070000}"/>
    <cellStyle name="Финансовый 2 10 4 4 2" xfId="16129" xr:uid="{00000000-0005-0000-0000-000084070000}"/>
    <cellStyle name="Финансовый 2 10 4 5" xfId="10093" xr:uid="{00000000-0005-0000-0000-000085070000}"/>
    <cellStyle name="Финансовый 2 10 5" xfId="1756" xr:uid="{00000000-0005-0000-0000-000086070000}"/>
    <cellStyle name="Финансовый 2 10 5 2" xfId="3401" xr:uid="{00000000-0005-0000-0000-000087070000}"/>
    <cellStyle name="Финансовый 2 10 5 2 2" xfId="12046" xr:uid="{00000000-0005-0000-0000-000088070000}"/>
    <cellStyle name="Финансовый 2 10 5 3" xfId="5184" xr:uid="{00000000-0005-0000-0000-000089070000}"/>
    <cellStyle name="Финансовый 2 10 5 3 2" xfId="13827" xr:uid="{00000000-0005-0000-0000-00008A070000}"/>
    <cellStyle name="Финансовый 2 10 5 4" xfId="7794" xr:uid="{00000000-0005-0000-0000-00008B070000}"/>
    <cellStyle name="Финансовый 2 10 5 4 2" xfId="16437" xr:uid="{00000000-0005-0000-0000-00008C070000}"/>
    <cellStyle name="Финансовый 2 10 5 5" xfId="10401" xr:uid="{00000000-0005-0000-0000-00008D070000}"/>
    <cellStyle name="Финансовый 2 10 6" xfId="2392" xr:uid="{00000000-0005-0000-0000-00008E070000}"/>
    <cellStyle name="Финансовый 2 10 6 2" xfId="4037" xr:uid="{00000000-0005-0000-0000-00008F070000}"/>
    <cellStyle name="Финансовый 2 10 6 2 2" xfId="12682" xr:uid="{00000000-0005-0000-0000-000090070000}"/>
    <cellStyle name="Финансовый 2 10 6 3" xfId="5820" xr:uid="{00000000-0005-0000-0000-000091070000}"/>
    <cellStyle name="Финансовый 2 10 6 3 2" xfId="14463" xr:uid="{00000000-0005-0000-0000-000092070000}"/>
    <cellStyle name="Финансовый 2 10 6 4" xfId="8430" xr:uid="{00000000-0005-0000-0000-000093070000}"/>
    <cellStyle name="Финансовый 2 10 6 4 2" xfId="17073" xr:uid="{00000000-0005-0000-0000-000094070000}"/>
    <cellStyle name="Финансовый 2 10 6 5" xfId="11037" xr:uid="{00000000-0005-0000-0000-000095070000}"/>
    <cellStyle name="Финансовый 2 10 7" xfId="1619" xr:uid="{00000000-0005-0000-0000-000096070000}"/>
    <cellStyle name="Финансовый 2 10 7 2" xfId="3264" xr:uid="{00000000-0005-0000-0000-000097070000}"/>
    <cellStyle name="Финансовый 2 10 7 2 2" xfId="11909" xr:uid="{00000000-0005-0000-0000-000098070000}"/>
    <cellStyle name="Финансовый 2 10 7 3" xfId="5047" xr:uid="{00000000-0005-0000-0000-000099070000}"/>
    <cellStyle name="Финансовый 2 10 7 3 2" xfId="13690" xr:uid="{00000000-0005-0000-0000-00009A070000}"/>
    <cellStyle name="Финансовый 2 10 7 4" xfId="7657" xr:uid="{00000000-0005-0000-0000-00009B070000}"/>
    <cellStyle name="Финансовый 2 10 7 4 2" xfId="16300" xr:uid="{00000000-0005-0000-0000-00009C070000}"/>
    <cellStyle name="Финансовый 2 10 7 5" xfId="10264" xr:uid="{00000000-0005-0000-0000-00009D070000}"/>
    <cellStyle name="Финансовый 2 10 8" xfId="905" xr:uid="{00000000-0005-0000-0000-00009E070000}"/>
    <cellStyle name="Финансовый 2 10 8 2" xfId="6945" xr:uid="{00000000-0005-0000-0000-00009F070000}"/>
    <cellStyle name="Финансовый 2 10 8 2 2" xfId="15588" xr:uid="{00000000-0005-0000-0000-0000A0070000}"/>
    <cellStyle name="Финансовый 2 10 8 3" xfId="9552" xr:uid="{00000000-0005-0000-0000-0000A1070000}"/>
    <cellStyle name="Финансовый 2 10 9" xfId="485" xr:uid="{00000000-0005-0000-0000-0000A2070000}"/>
    <cellStyle name="Финансовый 2 10 9 2" xfId="6525" xr:uid="{00000000-0005-0000-0000-0000A3070000}"/>
    <cellStyle name="Финансовый 2 10 9 2 2" xfId="15168" xr:uid="{00000000-0005-0000-0000-0000A4070000}"/>
    <cellStyle name="Финансовый 2 10 9 3" xfId="9132" xr:uid="{00000000-0005-0000-0000-0000A5070000}"/>
    <cellStyle name="Финансовый 2 11" xfId="50" xr:uid="{00000000-0005-0000-0000-0000A6070000}"/>
    <cellStyle name="Финансовый 2 11 10" xfId="2662" xr:uid="{00000000-0005-0000-0000-0000A7070000}"/>
    <cellStyle name="Финансовый 2 11 10 2" xfId="11307" xr:uid="{00000000-0005-0000-0000-0000A8070000}"/>
    <cellStyle name="Финансовый 2 11 11" xfId="4305" xr:uid="{00000000-0005-0000-0000-0000A9070000}"/>
    <cellStyle name="Финансовый 2 11 11 2" xfId="12950" xr:uid="{00000000-0005-0000-0000-0000AA070000}"/>
    <cellStyle name="Финансовый 2 11 12" xfId="6093" xr:uid="{00000000-0005-0000-0000-0000AB070000}"/>
    <cellStyle name="Финансовый 2 11 12 2" xfId="14736" xr:uid="{00000000-0005-0000-0000-0000AC070000}"/>
    <cellStyle name="Финансовый 2 11 13" xfId="8700" xr:uid="{00000000-0005-0000-0000-0000AD070000}"/>
    <cellStyle name="Финансовый 2 11 2" xfId="188" xr:uid="{00000000-0005-0000-0000-0000AE070000}"/>
    <cellStyle name="Финансовый 2 11 2 10" xfId="8836" xr:uid="{00000000-0005-0000-0000-0000AF070000}"/>
    <cellStyle name="Финансовый 2 11 2 2" xfId="1286" xr:uid="{00000000-0005-0000-0000-0000B0070000}"/>
    <cellStyle name="Финансовый 2 11 2 2 2" xfId="2252" xr:uid="{00000000-0005-0000-0000-0000B1070000}"/>
    <cellStyle name="Финансовый 2 11 2 2 2 2" xfId="3897" xr:uid="{00000000-0005-0000-0000-0000B2070000}"/>
    <cellStyle name="Финансовый 2 11 2 2 2 2 2" xfId="12542" xr:uid="{00000000-0005-0000-0000-0000B3070000}"/>
    <cellStyle name="Финансовый 2 11 2 2 2 3" xfId="5680" xr:uid="{00000000-0005-0000-0000-0000B4070000}"/>
    <cellStyle name="Финансовый 2 11 2 2 2 3 2" xfId="14323" xr:uid="{00000000-0005-0000-0000-0000B5070000}"/>
    <cellStyle name="Финансовый 2 11 2 2 2 4" xfId="8290" xr:uid="{00000000-0005-0000-0000-0000B6070000}"/>
    <cellStyle name="Финансовый 2 11 2 2 2 4 2" xfId="16933" xr:uid="{00000000-0005-0000-0000-0000B7070000}"/>
    <cellStyle name="Финансовый 2 11 2 2 2 5" xfId="10897" xr:uid="{00000000-0005-0000-0000-0000B8070000}"/>
    <cellStyle name="Финансовый 2 11 2 2 3" xfId="3070" xr:uid="{00000000-0005-0000-0000-0000B9070000}"/>
    <cellStyle name="Финансовый 2 11 2 2 3 2" xfId="11715" xr:uid="{00000000-0005-0000-0000-0000BA070000}"/>
    <cellStyle name="Финансовый 2 11 2 2 4" xfId="4714" xr:uid="{00000000-0005-0000-0000-0000BB070000}"/>
    <cellStyle name="Финансовый 2 11 2 2 4 2" xfId="13359" xr:uid="{00000000-0005-0000-0000-0000BC070000}"/>
    <cellStyle name="Финансовый 2 11 2 2 5" xfId="7326" xr:uid="{00000000-0005-0000-0000-0000BD070000}"/>
    <cellStyle name="Финансовый 2 11 2 2 5 2" xfId="15969" xr:uid="{00000000-0005-0000-0000-0000BE070000}"/>
    <cellStyle name="Финансовый 2 11 2 2 6" xfId="9933" xr:uid="{00000000-0005-0000-0000-0000BF070000}"/>
    <cellStyle name="Финансовый 2 11 2 3" xfId="1996" xr:uid="{00000000-0005-0000-0000-0000C0070000}"/>
    <cellStyle name="Финансовый 2 11 2 3 2" xfId="3641" xr:uid="{00000000-0005-0000-0000-0000C1070000}"/>
    <cellStyle name="Финансовый 2 11 2 3 2 2" xfId="12286" xr:uid="{00000000-0005-0000-0000-0000C2070000}"/>
    <cellStyle name="Финансовый 2 11 2 3 3" xfId="5424" xr:uid="{00000000-0005-0000-0000-0000C3070000}"/>
    <cellStyle name="Финансовый 2 11 2 3 3 2" xfId="14067" xr:uid="{00000000-0005-0000-0000-0000C4070000}"/>
    <cellStyle name="Финансовый 2 11 2 3 4" xfId="8034" xr:uid="{00000000-0005-0000-0000-0000C5070000}"/>
    <cellStyle name="Финансовый 2 11 2 3 4 2" xfId="16677" xr:uid="{00000000-0005-0000-0000-0000C6070000}"/>
    <cellStyle name="Финансовый 2 11 2 3 5" xfId="10641" xr:uid="{00000000-0005-0000-0000-0000C7070000}"/>
    <cellStyle name="Финансовый 2 11 2 4" xfId="2517" xr:uid="{00000000-0005-0000-0000-0000C8070000}"/>
    <cellStyle name="Финансовый 2 11 2 4 2" xfId="4162" xr:uid="{00000000-0005-0000-0000-0000C9070000}"/>
    <cellStyle name="Финансовый 2 11 2 4 2 2" xfId="12807" xr:uid="{00000000-0005-0000-0000-0000CA070000}"/>
    <cellStyle name="Финансовый 2 11 2 4 3" xfId="5945" xr:uid="{00000000-0005-0000-0000-0000CB070000}"/>
    <cellStyle name="Финансовый 2 11 2 4 3 2" xfId="14588" xr:uid="{00000000-0005-0000-0000-0000CC070000}"/>
    <cellStyle name="Финансовый 2 11 2 4 4" xfId="8555" xr:uid="{00000000-0005-0000-0000-0000CD070000}"/>
    <cellStyle name="Финансовый 2 11 2 4 4 2" xfId="17198" xr:uid="{00000000-0005-0000-0000-0000CE070000}"/>
    <cellStyle name="Финансовый 2 11 2 4 5" xfId="11162" xr:uid="{00000000-0005-0000-0000-0000CF070000}"/>
    <cellStyle name="Финансовый 2 11 2 5" xfId="1021" xr:uid="{00000000-0005-0000-0000-0000D0070000}"/>
    <cellStyle name="Финансовый 2 11 2 5 2" xfId="7061" xr:uid="{00000000-0005-0000-0000-0000D1070000}"/>
    <cellStyle name="Финансовый 2 11 2 5 2 2" xfId="15704" xr:uid="{00000000-0005-0000-0000-0000D2070000}"/>
    <cellStyle name="Финансовый 2 11 2 5 3" xfId="9668" xr:uid="{00000000-0005-0000-0000-0000D3070000}"/>
    <cellStyle name="Финансовый 2 11 2 6" xfId="609" xr:uid="{00000000-0005-0000-0000-0000D4070000}"/>
    <cellStyle name="Финансовый 2 11 2 6 2" xfId="6649" xr:uid="{00000000-0005-0000-0000-0000D5070000}"/>
    <cellStyle name="Финансовый 2 11 2 6 2 2" xfId="15292" xr:uid="{00000000-0005-0000-0000-0000D6070000}"/>
    <cellStyle name="Финансовый 2 11 2 6 3" xfId="9256" xr:uid="{00000000-0005-0000-0000-0000D7070000}"/>
    <cellStyle name="Финансовый 2 11 2 7" xfId="2798" xr:uid="{00000000-0005-0000-0000-0000D8070000}"/>
    <cellStyle name="Финансовый 2 11 2 7 2" xfId="11443" xr:uid="{00000000-0005-0000-0000-0000D9070000}"/>
    <cellStyle name="Финансовый 2 11 2 8" xfId="4442" xr:uid="{00000000-0005-0000-0000-0000DA070000}"/>
    <cellStyle name="Финансовый 2 11 2 8 2" xfId="13087" xr:uid="{00000000-0005-0000-0000-0000DB070000}"/>
    <cellStyle name="Финансовый 2 11 2 9" xfId="6229" xr:uid="{00000000-0005-0000-0000-0000DC070000}"/>
    <cellStyle name="Финансовый 2 11 2 9 2" xfId="14872" xr:uid="{00000000-0005-0000-0000-0000DD070000}"/>
    <cellStyle name="Финансовый 2 11 3" xfId="337" xr:uid="{00000000-0005-0000-0000-0000DE070000}"/>
    <cellStyle name="Финансовый 2 11 3 2" xfId="2124" xr:uid="{00000000-0005-0000-0000-0000DF070000}"/>
    <cellStyle name="Финансовый 2 11 3 2 2" xfId="3769" xr:uid="{00000000-0005-0000-0000-0000E0070000}"/>
    <cellStyle name="Финансовый 2 11 3 2 2 2" xfId="12414" xr:uid="{00000000-0005-0000-0000-0000E1070000}"/>
    <cellStyle name="Финансовый 2 11 3 2 3" xfId="5552" xr:uid="{00000000-0005-0000-0000-0000E2070000}"/>
    <cellStyle name="Финансовый 2 11 3 2 3 2" xfId="14195" xr:uid="{00000000-0005-0000-0000-0000E3070000}"/>
    <cellStyle name="Финансовый 2 11 3 2 4" xfId="8162" xr:uid="{00000000-0005-0000-0000-0000E4070000}"/>
    <cellStyle name="Финансовый 2 11 3 2 4 2" xfId="16805" xr:uid="{00000000-0005-0000-0000-0000E5070000}"/>
    <cellStyle name="Финансовый 2 11 3 2 5" xfId="10769" xr:uid="{00000000-0005-0000-0000-0000E6070000}"/>
    <cellStyle name="Финансовый 2 11 3 3" xfId="1157" xr:uid="{00000000-0005-0000-0000-0000E7070000}"/>
    <cellStyle name="Финансовый 2 11 3 3 2" xfId="7197" xr:uid="{00000000-0005-0000-0000-0000E8070000}"/>
    <cellStyle name="Финансовый 2 11 3 3 2 2" xfId="15840" xr:uid="{00000000-0005-0000-0000-0000E9070000}"/>
    <cellStyle name="Финансовый 2 11 3 3 3" xfId="9804" xr:uid="{00000000-0005-0000-0000-0000EA070000}"/>
    <cellStyle name="Финансовый 2 11 3 4" xfId="757" xr:uid="{00000000-0005-0000-0000-0000EB070000}"/>
    <cellStyle name="Финансовый 2 11 3 4 2" xfId="6797" xr:uid="{00000000-0005-0000-0000-0000EC070000}"/>
    <cellStyle name="Финансовый 2 11 3 4 2 2" xfId="15440" xr:uid="{00000000-0005-0000-0000-0000ED070000}"/>
    <cellStyle name="Финансовый 2 11 3 4 3" xfId="9404" xr:uid="{00000000-0005-0000-0000-0000EE070000}"/>
    <cellStyle name="Финансовый 2 11 3 5" xfId="2934" xr:uid="{00000000-0005-0000-0000-0000EF070000}"/>
    <cellStyle name="Финансовый 2 11 3 5 2" xfId="11579" xr:uid="{00000000-0005-0000-0000-0000F0070000}"/>
    <cellStyle name="Финансовый 2 11 3 6" xfId="4578" xr:uid="{00000000-0005-0000-0000-0000F1070000}"/>
    <cellStyle name="Финансовый 2 11 3 6 2" xfId="13223" xr:uid="{00000000-0005-0000-0000-0000F2070000}"/>
    <cellStyle name="Финансовый 2 11 3 7" xfId="6377" xr:uid="{00000000-0005-0000-0000-0000F3070000}"/>
    <cellStyle name="Финансовый 2 11 3 7 2" xfId="15020" xr:uid="{00000000-0005-0000-0000-0000F4070000}"/>
    <cellStyle name="Финансовый 2 11 3 8" xfId="8984" xr:uid="{00000000-0005-0000-0000-0000F5070000}"/>
    <cellStyle name="Финансовый 2 11 4" xfId="1434" xr:uid="{00000000-0005-0000-0000-0000F6070000}"/>
    <cellStyle name="Финансовый 2 11 4 2" xfId="1860" xr:uid="{00000000-0005-0000-0000-0000F7070000}"/>
    <cellStyle name="Финансовый 2 11 4 2 2" xfId="3505" xr:uid="{00000000-0005-0000-0000-0000F8070000}"/>
    <cellStyle name="Финансовый 2 11 4 2 2 2" xfId="12150" xr:uid="{00000000-0005-0000-0000-0000F9070000}"/>
    <cellStyle name="Финансовый 2 11 4 2 3" xfId="5288" xr:uid="{00000000-0005-0000-0000-0000FA070000}"/>
    <cellStyle name="Финансовый 2 11 4 2 3 2" xfId="13931" xr:uid="{00000000-0005-0000-0000-0000FB070000}"/>
    <cellStyle name="Финансовый 2 11 4 2 4" xfId="7898" xr:uid="{00000000-0005-0000-0000-0000FC070000}"/>
    <cellStyle name="Финансовый 2 11 4 2 4 2" xfId="16541" xr:uid="{00000000-0005-0000-0000-0000FD070000}"/>
    <cellStyle name="Финансовый 2 11 4 2 5" xfId="10505" xr:uid="{00000000-0005-0000-0000-0000FE070000}"/>
    <cellStyle name="Финансовый 2 11 4 3" xfId="4862" xr:uid="{00000000-0005-0000-0000-0000FF070000}"/>
    <cellStyle name="Финансовый 2 11 4 3 2" xfId="13506" xr:uid="{00000000-0005-0000-0000-000000080000}"/>
    <cellStyle name="Финансовый 2 11 4 4" xfId="7473" xr:uid="{00000000-0005-0000-0000-000001080000}"/>
    <cellStyle name="Финансовый 2 11 4 4 2" xfId="16116" xr:uid="{00000000-0005-0000-0000-000002080000}"/>
    <cellStyle name="Финансовый 2 11 4 5" xfId="10080" xr:uid="{00000000-0005-0000-0000-000003080000}"/>
    <cellStyle name="Финансовый 2 11 5" xfId="1744" xr:uid="{00000000-0005-0000-0000-000004080000}"/>
    <cellStyle name="Финансовый 2 11 5 2" xfId="3389" xr:uid="{00000000-0005-0000-0000-000005080000}"/>
    <cellStyle name="Финансовый 2 11 5 2 2" xfId="12034" xr:uid="{00000000-0005-0000-0000-000006080000}"/>
    <cellStyle name="Финансовый 2 11 5 3" xfId="5172" xr:uid="{00000000-0005-0000-0000-000007080000}"/>
    <cellStyle name="Финансовый 2 11 5 3 2" xfId="13815" xr:uid="{00000000-0005-0000-0000-000008080000}"/>
    <cellStyle name="Финансовый 2 11 5 4" xfId="7782" xr:uid="{00000000-0005-0000-0000-000009080000}"/>
    <cellStyle name="Финансовый 2 11 5 4 2" xfId="16425" xr:uid="{00000000-0005-0000-0000-00000A080000}"/>
    <cellStyle name="Финансовый 2 11 5 5" xfId="10389" xr:uid="{00000000-0005-0000-0000-00000B080000}"/>
    <cellStyle name="Финансовый 2 11 6" xfId="2380" xr:uid="{00000000-0005-0000-0000-00000C080000}"/>
    <cellStyle name="Финансовый 2 11 6 2" xfId="4025" xr:uid="{00000000-0005-0000-0000-00000D080000}"/>
    <cellStyle name="Финансовый 2 11 6 2 2" xfId="12670" xr:uid="{00000000-0005-0000-0000-00000E080000}"/>
    <cellStyle name="Финансовый 2 11 6 3" xfId="5808" xr:uid="{00000000-0005-0000-0000-00000F080000}"/>
    <cellStyle name="Финансовый 2 11 6 3 2" xfId="14451" xr:uid="{00000000-0005-0000-0000-000010080000}"/>
    <cellStyle name="Финансовый 2 11 6 4" xfId="8418" xr:uid="{00000000-0005-0000-0000-000011080000}"/>
    <cellStyle name="Финансовый 2 11 6 4 2" xfId="17061" xr:uid="{00000000-0005-0000-0000-000012080000}"/>
    <cellStyle name="Финансовый 2 11 6 5" xfId="11025" xr:uid="{00000000-0005-0000-0000-000013080000}"/>
    <cellStyle name="Финансовый 2 11 7" xfId="1607" xr:uid="{00000000-0005-0000-0000-000014080000}"/>
    <cellStyle name="Финансовый 2 11 7 2" xfId="3252" xr:uid="{00000000-0005-0000-0000-000015080000}"/>
    <cellStyle name="Финансовый 2 11 7 2 2" xfId="11897" xr:uid="{00000000-0005-0000-0000-000016080000}"/>
    <cellStyle name="Финансовый 2 11 7 3" xfId="5035" xr:uid="{00000000-0005-0000-0000-000017080000}"/>
    <cellStyle name="Финансовый 2 11 7 3 2" xfId="13678" xr:uid="{00000000-0005-0000-0000-000018080000}"/>
    <cellStyle name="Финансовый 2 11 7 4" xfId="7645" xr:uid="{00000000-0005-0000-0000-000019080000}"/>
    <cellStyle name="Финансовый 2 11 7 4 2" xfId="16288" xr:uid="{00000000-0005-0000-0000-00001A080000}"/>
    <cellStyle name="Финансовый 2 11 7 5" xfId="10252" xr:uid="{00000000-0005-0000-0000-00001B080000}"/>
    <cellStyle name="Финансовый 2 11 8" xfId="893" xr:uid="{00000000-0005-0000-0000-00001C080000}"/>
    <cellStyle name="Финансовый 2 11 8 2" xfId="6933" xr:uid="{00000000-0005-0000-0000-00001D080000}"/>
    <cellStyle name="Финансовый 2 11 8 2 2" xfId="15576" xr:uid="{00000000-0005-0000-0000-00001E080000}"/>
    <cellStyle name="Финансовый 2 11 8 3" xfId="9540" xr:uid="{00000000-0005-0000-0000-00001F080000}"/>
    <cellStyle name="Финансовый 2 11 9" xfId="473" xr:uid="{00000000-0005-0000-0000-000020080000}"/>
    <cellStyle name="Финансовый 2 11 9 2" xfId="6513" xr:uid="{00000000-0005-0000-0000-000021080000}"/>
    <cellStyle name="Финансовый 2 11 9 2 2" xfId="15156" xr:uid="{00000000-0005-0000-0000-000022080000}"/>
    <cellStyle name="Финансовый 2 11 9 3" xfId="9120" xr:uid="{00000000-0005-0000-0000-000023080000}"/>
    <cellStyle name="Финансовый 2 12" xfId="128" xr:uid="{00000000-0005-0000-0000-000024080000}"/>
    <cellStyle name="Финансовый 2 12 10" xfId="2738" xr:uid="{00000000-0005-0000-0000-000025080000}"/>
    <cellStyle name="Финансовый 2 12 10 2" xfId="11383" xr:uid="{00000000-0005-0000-0000-000026080000}"/>
    <cellStyle name="Финансовый 2 12 11" xfId="4382" xr:uid="{00000000-0005-0000-0000-000027080000}"/>
    <cellStyle name="Финансовый 2 12 11 2" xfId="13027" xr:uid="{00000000-0005-0000-0000-000028080000}"/>
    <cellStyle name="Финансовый 2 12 12" xfId="6169" xr:uid="{00000000-0005-0000-0000-000029080000}"/>
    <cellStyle name="Финансовый 2 12 12 2" xfId="14812" xr:uid="{00000000-0005-0000-0000-00002A080000}"/>
    <cellStyle name="Финансовый 2 12 13" xfId="8776" xr:uid="{00000000-0005-0000-0000-00002B080000}"/>
    <cellStyle name="Финансовый 2 12 2" xfId="264" xr:uid="{00000000-0005-0000-0000-00002C080000}"/>
    <cellStyle name="Финансовый 2 12 2 10" xfId="8912" xr:uid="{00000000-0005-0000-0000-00002D080000}"/>
    <cellStyle name="Финансовый 2 12 2 2" xfId="1362" xr:uid="{00000000-0005-0000-0000-00002E080000}"/>
    <cellStyle name="Финансовый 2 12 2 2 2" xfId="2320" xr:uid="{00000000-0005-0000-0000-00002F080000}"/>
    <cellStyle name="Финансовый 2 12 2 2 2 2" xfId="3965" xr:uid="{00000000-0005-0000-0000-000030080000}"/>
    <cellStyle name="Финансовый 2 12 2 2 2 2 2" xfId="12610" xr:uid="{00000000-0005-0000-0000-000031080000}"/>
    <cellStyle name="Финансовый 2 12 2 2 2 3" xfId="5748" xr:uid="{00000000-0005-0000-0000-000032080000}"/>
    <cellStyle name="Финансовый 2 12 2 2 2 3 2" xfId="14391" xr:uid="{00000000-0005-0000-0000-000033080000}"/>
    <cellStyle name="Финансовый 2 12 2 2 2 4" xfId="8358" xr:uid="{00000000-0005-0000-0000-000034080000}"/>
    <cellStyle name="Финансовый 2 12 2 2 2 4 2" xfId="17001" xr:uid="{00000000-0005-0000-0000-000035080000}"/>
    <cellStyle name="Финансовый 2 12 2 2 2 5" xfId="10965" xr:uid="{00000000-0005-0000-0000-000036080000}"/>
    <cellStyle name="Финансовый 2 12 2 2 3" xfId="3146" xr:uid="{00000000-0005-0000-0000-000037080000}"/>
    <cellStyle name="Финансовый 2 12 2 2 3 2" xfId="11791" xr:uid="{00000000-0005-0000-0000-000038080000}"/>
    <cellStyle name="Финансовый 2 12 2 2 4" xfId="4790" xr:uid="{00000000-0005-0000-0000-000039080000}"/>
    <cellStyle name="Финансовый 2 12 2 2 4 2" xfId="13435" xr:uid="{00000000-0005-0000-0000-00003A080000}"/>
    <cellStyle name="Финансовый 2 12 2 2 5" xfId="7402" xr:uid="{00000000-0005-0000-0000-00003B080000}"/>
    <cellStyle name="Финансовый 2 12 2 2 5 2" xfId="16045" xr:uid="{00000000-0005-0000-0000-00003C080000}"/>
    <cellStyle name="Финансовый 2 12 2 2 6" xfId="10009" xr:uid="{00000000-0005-0000-0000-00003D080000}"/>
    <cellStyle name="Финансовый 2 12 2 3" xfId="2064" xr:uid="{00000000-0005-0000-0000-00003E080000}"/>
    <cellStyle name="Финансовый 2 12 2 3 2" xfId="3709" xr:uid="{00000000-0005-0000-0000-00003F080000}"/>
    <cellStyle name="Финансовый 2 12 2 3 2 2" xfId="12354" xr:uid="{00000000-0005-0000-0000-000040080000}"/>
    <cellStyle name="Финансовый 2 12 2 3 3" xfId="5492" xr:uid="{00000000-0005-0000-0000-000041080000}"/>
    <cellStyle name="Финансовый 2 12 2 3 3 2" xfId="14135" xr:uid="{00000000-0005-0000-0000-000042080000}"/>
    <cellStyle name="Финансовый 2 12 2 3 4" xfId="8102" xr:uid="{00000000-0005-0000-0000-000043080000}"/>
    <cellStyle name="Финансовый 2 12 2 3 4 2" xfId="16745" xr:uid="{00000000-0005-0000-0000-000044080000}"/>
    <cellStyle name="Финансовый 2 12 2 3 5" xfId="10709" xr:uid="{00000000-0005-0000-0000-000045080000}"/>
    <cellStyle name="Финансовый 2 12 2 4" xfId="2593" xr:uid="{00000000-0005-0000-0000-000046080000}"/>
    <cellStyle name="Финансовый 2 12 2 4 2" xfId="4238" xr:uid="{00000000-0005-0000-0000-000047080000}"/>
    <cellStyle name="Финансовый 2 12 2 4 2 2" xfId="12883" xr:uid="{00000000-0005-0000-0000-000048080000}"/>
    <cellStyle name="Финансовый 2 12 2 4 3" xfId="6021" xr:uid="{00000000-0005-0000-0000-000049080000}"/>
    <cellStyle name="Финансовый 2 12 2 4 3 2" xfId="14664" xr:uid="{00000000-0005-0000-0000-00004A080000}"/>
    <cellStyle name="Финансовый 2 12 2 4 4" xfId="8631" xr:uid="{00000000-0005-0000-0000-00004B080000}"/>
    <cellStyle name="Финансовый 2 12 2 4 4 2" xfId="17274" xr:uid="{00000000-0005-0000-0000-00004C080000}"/>
    <cellStyle name="Финансовый 2 12 2 4 5" xfId="11238" xr:uid="{00000000-0005-0000-0000-00004D080000}"/>
    <cellStyle name="Финансовый 2 12 2 5" xfId="1097" xr:uid="{00000000-0005-0000-0000-00004E080000}"/>
    <cellStyle name="Финансовый 2 12 2 5 2" xfId="7137" xr:uid="{00000000-0005-0000-0000-00004F080000}"/>
    <cellStyle name="Финансовый 2 12 2 5 2 2" xfId="15780" xr:uid="{00000000-0005-0000-0000-000050080000}"/>
    <cellStyle name="Финансовый 2 12 2 5 3" xfId="9744" xr:uid="{00000000-0005-0000-0000-000051080000}"/>
    <cellStyle name="Финансовый 2 12 2 6" xfId="685" xr:uid="{00000000-0005-0000-0000-000052080000}"/>
    <cellStyle name="Финансовый 2 12 2 6 2" xfId="6725" xr:uid="{00000000-0005-0000-0000-000053080000}"/>
    <cellStyle name="Финансовый 2 12 2 6 2 2" xfId="15368" xr:uid="{00000000-0005-0000-0000-000054080000}"/>
    <cellStyle name="Финансовый 2 12 2 6 3" xfId="9332" xr:uid="{00000000-0005-0000-0000-000055080000}"/>
    <cellStyle name="Финансовый 2 12 2 7" xfId="2874" xr:uid="{00000000-0005-0000-0000-000056080000}"/>
    <cellStyle name="Финансовый 2 12 2 7 2" xfId="11519" xr:uid="{00000000-0005-0000-0000-000057080000}"/>
    <cellStyle name="Финансовый 2 12 2 8" xfId="4518" xr:uid="{00000000-0005-0000-0000-000058080000}"/>
    <cellStyle name="Финансовый 2 12 2 8 2" xfId="13163" xr:uid="{00000000-0005-0000-0000-000059080000}"/>
    <cellStyle name="Финансовый 2 12 2 9" xfId="6305" xr:uid="{00000000-0005-0000-0000-00005A080000}"/>
    <cellStyle name="Финансовый 2 12 2 9 2" xfId="14948" xr:uid="{00000000-0005-0000-0000-00005B080000}"/>
    <cellStyle name="Финансовый 2 12 3" xfId="413" xr:uid="{00000000-0005-0000-0000-00005C080000}"/>
    <cellStyle name="Финансовый 2 12 3 2" xfId="2192" xr:uid="{00000000-0005-0000-0000-00005D080000}"/>
    <cellStyle name="Финансовый 2 12 3 2 2" xfId="3837" xr:uid="{00000000-0005-0000-0000-00005E080000}"/>
    <cellStyle name="Финансовый 2 12 3 2 2 2" xfId="12482" xr:uid="{00000000-0005-0000-0000-00005F080000}"/>
    <cellStyle name="Финансовый 2 12 3 2 3" xfId="5620" xr:uid="{00000000-0005-0000-0000-000060080000}"/>
    <cellStyle name="Финансовый 2 12 3 2 3 2" xfId="14263" xr:uid="{00000000-0005-0000-0000-000061080000}"/>
    <cellStyle name="Финансовый 2 12 3 2 4" xfId="8230" xr:uid="{00000000-0005-0000-0000-000062080000}"/>
    <cellStyle name="Финансовый 2 12 3 2 4 2" xfId="16873" xr:uid="{00000000-0005-0000-0000-000063080000}"/>
    <cellStyle name="Финансовый 2 12 3 2 5" xfId="10837" xr:uid="{00000000-0005-0000-0000-000064080000}"/>
    <cellStyle name="Финансовый 2 12 3 3" xfId="1226" xr:uid="{00000000-0005-0000-0000-000065080000}"/>
    <cellStyle name="Финансовый 2 12 3 3 2" xfId="7266" xr:uid="{00000000-0005-0000-0000-000066080000}"/>
    <cellStyle name="Финансовый 2 12 3 3 2 2" xfId="15909" xr:uid="{00000000-0005-0000-0000-000067080000}"/>
    <cellStyle name="Финансовый 2 12 3 3 3" xfId="9873" xr:uid="{00000000-0005-0000-0000-000068080000}"/>
    <cellStyle name="Финансовый 2 12 3 4" xfId="833" xr:uid="{00000000-0005-0000-0000-000069080000}"/>
    <cellStyle name="Финансовый 2 12 3 4 2" xfId="6873" xr:uid="{00000000-0005-0000-0000-00006A080000}"/>
    <cellStyle name="Финансовый 2 12 3 4 2 2" xfId="15516" xr:uid="{00000000-0005-0000-0000-00006B080000}"/>
    <cellStyle name="Финансовый 2 12 3 4 3" xfId="9480" xr:uid="{00000000-0005-0000-0000-00006C080000}"/>
    <cellStyle name="Финансовый 2 12 3 5" xfId="3010" xr:uid="{00000000-0005-0000-0000-00006D080000}"/>
    <cellStyle name="Финансовый 2 12 3 5 2" xfId="11655" xr:uid="{00000000-0005-0000-0000-00006E080000}"/>
    <cellStyle name="Финансовый 2 12 3 6" xfId="4654" xr:uid="{00000000-0005-0000-0000-00006F080000}"/>
    <cellStyle name="Финансовый 2 12 3 6 2" xfId="13299" xr:uid="{00000000-0005-0000-0000-000070080000}"/>
    <cellStyle name="Финансовый 2 12 3 7" xfId="6453" xr:uid="{00000000-0005-0000-0000-000071080000}"/>
    <cellStyle name="Финансовый 2 12 3 7 2" xfId="15096" xr:uid="{00000000-0005-0000-0000-000072080000}"/>
    <cellStyle name="Финансовый 2 12 3 8" xfId="9060" xr:uid="{00000000-0005-0000-0000-000073080000}"/>
    <cellStyle name="Финансовый 2 12 4" xfId="1450" xr:uid="{00000000-0005-0000-0000-000074080000}"/>
    <cellStyle name="Финансовый 2 12 4 2" xfId="1936" xr:uid="{00000000-0005-0000-0000-000075080000}"/>
    <cellStyle name="Финансовый 2 12 4 2 2" xfId="3581" xr:uid="{00000000-0005-0000-0000-000076080000}"/>
    <cellStyle name="Финансовый 2 12 4 2 2 2" xfId="12226" xr:uid="{00000000-0005-0000-0000-000077080000}"/>
    <cellStyle name="Финансовый 2 12 4 2 3" xfId="5364" xr:uid="{00000000-0005-0000-0000-000078080000}"/>
    <cellStyle name="Финансовый 2 12 4 2 3 2" xfId="14007" xr:uid="{00000000-0005-0000-0000-000079080000}"/>
    <cellStyle name="Финансовый 2 12 4 2 4" xfId="7974" xr:uid="{00000000-0005-0000-0000-00007A080000}"/>
    <cellStyle name="Финансовый 2 12 4 2 4 2" xfId="16617" xr:uid="{00000000-0005-0000-0000-00007B080000}"/>
    <cellStyle name="Финансовый 2 12 4 2 5" xfId="10581" xr:uid="{00000000-0005-0000-0000-00007C080000}"/>
    <cellStyle name="Финансовый 2 12 4 3" xfId="4878" xr:uid="{00000000-0005-0000-0000-00007D080000}"/>
    <cellStyle name="Финансовый 2 12 4 3 2" xfId="13521" xr:uid="{00000000-0005-0000-0000-00007E080000}"/>
    <cellStyle name="Финансовый 2 12 4 4" xfId="7488" xr:uid="{00000000-0005-0000-0000-00007F080000}"/>
    <cellStyle name="Финансовый 2 12 4 4 2" xfId="16131" xr:uid="{00000000-0005-0000-0000-000080080000}"/>
    <cellStyle name="Финансовый 2 12 4 5" xfId="10095" xr:uid="{00000000-0005-0000-0000-000081080000}"/>
    <cellStyle name="Финансовый 2 12 5" xfId="1812" xr:uid="{00000000-0005-0000-0000-000082080000}"/>
    <cellStyle name="Финансовый 2 12 5 2" xfId="3457" xr:uid="{00000000-0005-0000-0000-000083080000}"/>
    <cellStyle name="Финансовый 2 12 5 2 2" xfId="12102" xr:uid="{00000000-0005-0000-0000-000084080000}"/>
    <cellStyle name="Финансовый 2 12 5 3" xfId="5240" xr:uid="{00000000-0005-0000-0000-000085080000}"/>
    <cellStyle name="Финансовый 2 12 5 3 2" xfId="13883" xr:uid="{00000000-0005-0000-0000-000086080000}"/>
    <cellStyle name="Финансовый 2 12 5 4" xfId="7850" xr:uid="{00000000-0005-0000-0000-000087080000}"/>
    <cellStyle name="Финансовый 2 12 5 4 2" xfId="16493" xr:uid="{00000000-0005-0000-0000-000088080000}"/>
    <cellStyle name="Финансовый 2 12 5 5" xfId="10457" xr:uid="{00000000-0005-0000-0000-000089080000}"/>
    <cellStyle name="Финансовый 2 12 6" xfId="2457" xr:uid="{00000000-0005-0000-0000-00008A080000}"/>
    <cellStyle name="Финансовый 2 12 6 2" xfId="4102" xr:uid="{00000000-0005-0000-0000-00008B080000}"/>
    <cellStyle name="Финансовый 2 12 6 2 2" xfId="12747" xr:uid="{00000000-0005-0000-0000-00008C080000}"/>
    <cellStyle name="Финансовый 2 12 6 3" xfId="5885" xr:uid="{00000000-0005-0000-0000-00008D080000}"/>
    <cellStyle name="Финансовый 2 12 6 3 2" xfId="14528" xr:uid="{00000000-0005-0000-0000-00008E080000}"/>
    <cellStyle name="Финансовый 2 12 6 4" xfId="8495" xr:uid="{00000000-0005-0000-0000-00008F080000}"/>
    <cellStyle name="Финансовый 2 12 6 4 2" xfId="17138" xr:uid="{00000000-0005-0000-0000-000090080000}"/>
    <cellStyle name="Финансовый 2 12 6 5" xfId="11102" xr:uid="{00000000-0005-0000-0000-000091080000}"/>
    <cellStyle name="Финансовый 2 12 7" xfId="1684" xr:uid="{00000000-0005-0000-0000-000092080000}"/>
    <cellStyle name="Финансовый 2 12 7 2" xfId="3329" xr:uid="{00000000-0005-0000-0000-000093080000}"/>
    <cellStyle name="Финансовый 2 12 7 2 2" xfId="11974" xr:uid="{00000000-0005-0000-0000-000094080000}"/>
    <cellStyle name="Финансовый 2 12 7 3" xfId="5112" xr:uid="{00000000-0005-0000-0000-000095080000}"/>
    <cellStyle name="Финансовый 2 12 7 3 2" xfId="13755" xr:uid="{00000000-0005-0000-0000-000096080000}"/>
    <cellStyle name="Финансовый 2 12 7 4" xfId="7722" xr:uid="{00000000-0005-0000-0000-000097080000}"/>
    <cellStyle name="Финансовый 2 12 7 4 2" xfId="16365" xr:uid="{00000000-0005-0000-0000-000098080000}"/>
    <cellStyle name="Финансовый 2 12 7 5" xfId="10329" xr:uid="{00000000-0005-0000-0000-000099080000}"/>
    <cellStyle name="Финансовый 2 12 8" xfId="961" xr:uid="{00000000-0005-0000-0000-00009A080000}"/>
    <cellStyle name="Финансовый 2 12 8 2" xfId="7001" xr:uid="{00000000-0005-0000-0000-00009B080000}"/>
    <cellStyle name="Финансовый 2 12 8 2 2" xfId="15644" xr:uid="{00000000-0005-0000-0000-00009C080000}"/>
    <cellStyle name="Финансовый 2 12 8 3" xfId="9608" xr:uid="{00000000-0005-0000-0000-00009D080000}"/>
    <cellStyle name="Финансовый 2 12 9" xfId="549" xr:uid="{00000000-0005-0000-0000-00009E080000}"/>
    <cellStyle name="Финансовый 2 12 9 2" xfId="6589" xr:uid="{00000000-0005-0000-0000-00009F080000}"/>
    <cellStyle name="Финансовый 2 12 9 2 2" xfId="15232" xr:uid="{00000000-0005-0000-0000-0000A0080000}"/>
    <cellStyle name="Финансовый 2 12 9 3" xfId="9196" xr:uid="{00000000-0005-0000-0000-0000A1080000}"/>
    <cellStyle name="Финансовый 2 13" xfId="26" xr:uid="{00000000-0005-0000-0000-0000A2080000}"/>
    <cellStyle name="Финансовый 2 13 10" xfId="2638" xr:uid="{00000000-0005-0000-0000-0000A3080000}"/>
    <cellStyle name="Финансовый 2 13 10 2" xfId="11283" xr:uid="{00000000-0005-0000-0000-0000A4080000}"/>
    <cellStyle name="Финансовый 2 13 11" xfId="4281" xr:uid="{00000000-0005-0000-0000-0000A5080000}"/>
    <cellStyle name="Финансовый 2 13 11 2" xfId="12926" xr:uid="{00000000-0005-0000-0000-0000A6080000}"/>
    <cellStyle name="Финансовый 2 13 12" xfId="6069" xr:uid="{00000000-0005-0000-0000-0000A7080000}"/>
    <cellStyle name="Финансовый 2 13 12 2" xfId="14712" xr:uid="{00000000-0005-0000-0000-0000A8080000}"/>
    <cellStyle name="Финансовый 2 13 13" xfId="8676" xr:uid="{00000000-0005-0000-0000-0000A9080000}"/>
    <cellStyle name="Финансовый 2 13 2" xfId="164" xr:uid="{00000000-0005-0000-0000-0000AA080000}"/>
    <cellStyle name="Финансовый 2 13 2 10" xfId="8812" xr:uid="{00000000-0005-0000-0000-0000AB080000}"/>
    <cellStyle name="Финансовый 2 13 2 2" xfId="1262" xr:uid="{00000000-0005-0000-0000-0000AC080000}"/>
    <cellStyle name="Финансовый 2 13 2 2 2" xfId="2228" xr:uid="{00000000-0005-0000-0000-0000AD080000}"/>
    <cellStyle name="Финансовый 2 13 2 2 2 2" xfId="3873" xr:uid="{00000000-0005-0000-0000-0000AE080000}"/>
    <cellStyle name="Финансовый 2 13 2 2 2 2 2" xfId="12518" xr:uid="{00000000-0005-0000-0000-0000AF080000}"/>
    <cellStyle name="Финансовый 2 13 2 2 2 3" xfId="5656" xr:uid="{00000000-0005-0000-0000-0000B0080000}"/>
    <cellStyle name="Финансовый 2 13 2 2 2 3 2" xfId="14299" xr:uid="{00000000-0005-0000-0000-0000B1080000}"/>
    <cellStyle name="Финансовый 2 13 2 2 2 4" xfId="8266" xr:uid="{00000000-0005-0000-0000-0000B2080000}"/>
    <cellStyle name="Финансовый 2 13 2 2 2 4 2" xfId="16909" xr:uid="{00000000-0005-0000-0000-0000B3080000}"/>
    <cellStyle name="Финансовый 2 13 2 2 2 5" xfId="10873" xr:uid="{00000000-0005-0000-0000-0000B4080000}"/>
    <cellStyle name="Финансовый 2 13 2 2 3" xfId="3046" xr:uid="{00000000-0005-0000-0000-0000B5080000}"/>
    <cellStyle name="Финансовый 2 13 2 2 3 2" xfId="11691" xr:uid="{00000000-0005-0000-0000-0000B6080000}"/>
    <cellStyle name="Финансовый 2 13 2 2 4" xfId="4690" xr:uid="{00000000-0005-0000-0000-0000B7080000}"/>
    <cellStyle name="Финансовый 2 13 2 2 4 2" xfId="13335" xr:uid="{00000000-0005-0000-0000-0000B8080000}"/>
    <cellStyle name="Финансовый 2 13 2 2 5" xfId="7302" xr:uid="{00000000-0005-0000-0000-0000B9080000}"/>
    <cellStyle name="Финансовый 2 13 2 2 5 2" xfId="15945" xr:uid="{00000000-0005-0000-0000-0000BA080000}"/>
    <cellStyle name="Финансовый 2 13 2 2 6" xfId="9909" xr:uid="{00000000-0005-0000-0000-0000BB080000}"/>
    <cellStyle name="Финансовый 2 13 2 3" xfId="1972" xr:uid="{00000000-0005-0000-0000-0000BC080000}"/>
    <cellStyle name="Финансовый 2 13 2 3 2" xfId="3617" xr:uid="{00000000-0005-0000-0000-0000BD080000}"/>
    <cellStyle name="Финансовый 2 13 2 3 2 2" xfId="12262" xr:uid="{00000000-0005-0000-0000-0000BE080000}"/>
    <cellStyle name="Финансовый 2 13 2 3 3" xfId="5400" xr:uid="{00000000-0005-0000-0000-0000BF080000}"/>
    <cellStyle name="Финансовый 2 13 2 3 3 2" xfId="14043" xr:uid="{00000000-0005-0000-0000-0000C0080000}"/>
    <cellStyle name="Финансовый 2 13 2 3 4" xfId="8010" xr:uid="{00000000-0005-0000-0000-0000C1080000}"/>
    <cellStyle name="Финансовый 2 13 2 3 4 2" xfId="16653" xr:uid="{00000000-0005-0000-0000-0000C2080000}"/>
    <cellStyle name="Финансовый 2 13 2 3 5" xfId="10617" xr:uid="{00000000-0005-0000-0000-0000C3080000}"/>
    <cellStyle name="Финансовый 2 13 2 4" xfId="2493" xr:uid="{00000000-0005-0000-0000-0000C4080000}"/>
    <cellStyle name="Финансовый 2 13 2 4 2" xfId="4138" xr:uid="{00000000-0005-0000-0000-0000C5080000}"/>
    <cellStyle name="Финансовый 2 13 2 4 2 2" xfId="12783" xr:uid="{00000000-0005-0000-0000-0000C6080000}"/>
    <cellStyle name="Финансовый 2 13 2 4 3" xfId="5921" xr:uid="{00000000-0005-0000-0000-0000C7080000}"/>
    <cellStyle name="Финансовый 2 13 2 4 3 2" xfId="14564" xr:uid="{00000000-0005-0000-0000-0000C8080000}"/>
    <cellStyle name="Финансовый 2 13 2 4 4" xfId="8531" xr:uid="{00000000-0005-0000-0000-0000C9080000}"/>
    <cellStyle name="Финансовый 2 13 2 4 4 2" xfId="17174" xr:uid="{00000000-0005-0000-0000-0000CA080000}"/>
    <cellStyle name="Финансовый 2 13 2 4 5" xfId="11138" xr:uid="{00000000-0005-0000-0000-0000CB080000}"/>
    <cellStyle name="Финансовый 2 13 2 5" xfId="997" xr:uid="{00000000-0005-0000-0000-0000CC080000}"/>
    <cellStyle name="Финансовый 2 13 2 5 2" xfId="7037" xr:uid="{00000000-0005-0000-0000-0000CD080000}"/>
    <cellStyle name="Финансовый 2 13 2 5 2 2" xfId="15680" xr:uid="{00000000-0005-0000-0000-0000CE080000}"/>
    <cellStyle name="Финансовый 2 13 2 5 3" xfId="9644" xr:uid="{00000000-0005-0000-0000-0000CF080000}"/>
    <cellStyle name="Финансовый 2 13 2 6" xfId="585" xr:uid="{00000000-0005-0000-0000-0000D0080000}"/>
    <cellStyle name="Финансовый 2 13 2 6 2" xfId="6625" xr:uid="{00000000-0005-0000-0000-0000D1080000}"/>
    <cellStyle name="Финансовый 2 13 2 6 2 2" xfId="15268" xr:uid="{00000000-0005-0000-0000-0000D2080000}"/>
    <cellStyle name="Финансовый 2 13 2 6 3" xfId="9232" xr:uid="{00000000-0005-0000-0000-0000D3080000}"/>
    <cellStyle name="Финансовый 2 13 2 7" xfId="2774" xr:uid="{00000000-0005-0000-0000-0000D4080000}"/>
    <cellStyle name="Финансовый 2 13 2 7 2" xfId="11419" xr:uid="{00000000-0005-0000-0000-0000D5080000}"/>
    <cellStyle name="Финансовый 2 13 2 8" xfId="4418" xr:uid="{00000000-0005-0000-0000-0000D6080000}"/>
    <cellStyle name="Финансовый 2 13 2 8 2" xfId="13063" xr:uid="{00000000-0005-0000-0000-0000D7080000}"/>
    <cellStyle name="Финансовый 2 13 2 9" xfId="6205" xr:uid="{00000000-0005-0000-0000-0000D8080000}"/>
    <cellStyle name="Финансовый 2 13 2 9 2" xfId="14848" xr:uid="{00000000-0005-0000-0000-0000D9080000}"/>
    <cellStyle name="Финансовый 2 13 3" xfId="313" xr:uid="{00000000-0005-0000-0000-0000DA080000}"/>
    <cellStyle name="Финансовый 2 13 3 2" xfId="2100" xr:uid="{00000000-0005-0000-0000-0000DB080000}"/>
    <cellStyle name="Финансовый 2 13 3 2 2" xfId="3745" xr:uid="{00000000-0005-0000-0000-0000DC080000}"/>
    <cellStyle name="Финансовый 2 13 3 2 2 2" xfId="12390" xr:uid="{00000000-0005-0000-0000-0000DD080000}"/>
    <cellStyle name="Финансовый 2 13 3 2 3" xfId="5528" xr:uid="{00000000-0005-0000-0000-0000DE080000}"/>
    <cellStyle name="Финансовый 2 13 3 2 3 2" xfId="14171" xr:uid="{00000000-0005-0000-0000-0000DF080000}"/>
    <cellStyle name="Финансовый 2 13 3 2 4" xfId="8138" xr:uid="{00000000-0005-0000-0000-0000E0080000}"/>
    <cellStyle name="Финансовый 2 13 3 2 4 2" xfId="16781" xr:uid="{00000000-0005-0000-0000-0000E1080000}"/>
    <cellStyle name="Финансовый 2 13 3 2 5" xfId="10745" xr:uid="{00000000-0005-0000-0000-0000E2080000}"/>
    <cellStyle name="Финансовый 2 13 3 3" xfId="1133" xr:uid="{00000000-0005-0000-0000-0000E3080000}"/>
    <cellStyle name="Финансовый 2 13 3 3 2" xfId="7173" xr:uid="{00000000-0005-0000-0000-0000E4080000}"/>
    <cellStyle name="Финансовый 2 13 3 3 2 2" xfId="15816" xr:uid="{00000000-0005-0000-0000-0000E5080000}"/>
    <cellStyle name="Финансовый 2 13 3 3 3" xfId="9780" xr:uid="{00000000-0005-0000-0000-0000E6080000}"/>
    <cellStyle name="Финансовый 2 13 3 4" xfId="733" xr:uid="{00000000-0005-0000-0000-0000E7080000}"/>
    <cellStyle name="Финансовый 2 13 3 4 2" xfId="6773" xr:uid="{00000000-0005-0000-0000-0000E8080000}"/>
    <cellStyle name="Финансовый 2 13 3 4 2 2" xfId="15416" xr:uid="{00000000-0005-0000-0000-0000E9080000}"/>
    <cellStyle name="Финансовый 2 13 3 4 3" xfId="9380" xr:uid="{00000000-0005-0000-0000-0000EA080000}"/>
    <cellStyle name="Финансовый 2 13 3 5" xfId="2910" xr:uid="{00000000-0005-0000-0000-0000EB080000}"/>
    <cellStyle name="Финансовый 2 13 3 5 2" xfId="11555" xr:uid="{00000000-0005-0000-0000-0000EC080000}"/>
    <cellStyle name="Финансовый 2 13 3 6" xfId="4554" xr:uid="{00000000-0005-0000-0000-0000ED080000}"/>
    <cellStyle name="Финансовый 2 13 3 6 2" xfId="13199" xr:uid="{00000000-0005-0000-0000-0000EE080000}"/>
    <cellStyle name="Финансовый 2 13 3 7" xfId="6353" xr:uid="{00000000-0005-0000-0000-0000EF080000}"/>
    <cellStyle name="Финансовый 2 13 3 7 2" xfId="14996" xr:uid="{00000000-0005-0000-0000-0000F0080000}"/>
    <cellStyle name="Финансовый 2 13 3 8" xfId="8960" xr:uid="{00000000-0005-0000-0000-0000F1080000}"/>
    <cellStyle name="Финансовый 2 13 4" xfId="1451" xr:uid="{00000000-0005-0000-0000-0000F2080000}"/>
    <cellStyle name="Финансовый 2 13 4 2" xfId="1836" xr:uid="{00000000-0005-0000-0000-0000F3080000}"/>
    <cellStyle name="Финансовый 2 13 4 2 2" xfId="3481" xr:uid="{00000000-0005-0000-0000-0000F4080000}"/>
    <cellStyle name="Финансовый 2 13 4 2 2 2" xfId="12126" xr:uid="{00000000-0005-0000-0000-0000F5080000}"/>
    <cellStyle name="Финансовый 2 13 4 2 3" xfId="5264" xr:uid="{00000000-0005-0000-0000-0000F6080000}"/>
    <cellStyle name="Финансовый 2 13 4 2 3 2" xfId="13907" xr:uid="{00000000-0005-0000-0000-0000F7080000}"/>
    <cellStyle name="Финансовый 2 13 4 2 4" xfId="7874" xr:uid="{00000000-0005-0000-0000-0000F8080000}"/>
    <cellStyle name="Финансовый 2 13 4 2 4 2" xfId="16517" xr:uid="{00000000-0005-0000-0000-0000F9080000}"/>
    <cellStyle name="Финансовый 2 13 4 2 5" xfId="10481" xr:uid="{00000000-0005-0000-0000-0000FA080000}"/>
    <cellStyle name="Финансовый 2 13 4 3" xfId="4879" xr:uid="{00000000-0005-0000-0000-0000FB080000}"/>
    <cellStyle name="Финансовый 2 13 4 3 2" xfId="13522" xr:uid="{00000000-0005-0000-0000-0000FC080000}"/>
    <cellStyle name="Финансовый 2 13 4 4" xfId="7489" xr:uid="{00000000-0005-0000-0000-0000FD080000}"/>
    <cellStyle name="Финансовый 2 13 4 4 2" xfId="16132" xr:uid="{00000000-0005-0000-0000-0000FE080000}"/>
    <cellStyle name="Финансовый 2 13 4 5" xfId="10096" xr:uid="{00000000-0005-0000-0000-0000FF080000}"/>
    <cellStyle name="Финансовый 2 13 5" xfId="1720" xr:uid="{00000000-0005-0000-0000-000000090000}"/>
    <cellStyle name="Финансовый 2 13 5 2" xfId="3365" xr:uid="{00000000-0005-0000-0000-000001090000}"/>
    <cellStyle name="Финансовый 2 13 5 2 2" xfId="12010" xr:uid="{00000000-0005-0000-0000-000002090000}"/>
    <cellStyle name="Финансовый 2 13 5 3" xfId="5148" xr:uid="{00000000-0005-0000-0000-000003090000}"/>
    <cellStyle name="Финансовый 2 13 5 3 2" xfId="13791" xr:uid="{00000000-0005-0000-0000-000004090000}"/>
    <cellStyle name="Финансовый 2 13 5 4" xfId="7758" xr:uid="{00000000-0005-0000-0000-000005090000}"/>
    <cellStyle name="Финансовый 2 13 5 4 2" xfId="16401" xr:uid="{00000000-0005-0000-0000-000006090000}"/>
    <cellStyle name="Финансовый 2 13 5 5" xfId="10365" xr:uid="{00000000-0005-0000-0000-000007090000}"/>
    <cellStyle name="Финансовый 2 13 6" xfId="2356" xr:uid="{00000000-0005-0000-0000-000008090000}"/>
    <cellStyle name="Финансовый 2 13 6 2" xfId="4001" xr:uid="{00000000-0005-0000-0000-000009090000}"/>
    <cellStyle name="Финансовый 2 13 6 2 2" xfId="12646" xr:uid="{00000000-0005-0000-0000-00000A090000}"/>
    <cellStyle name="Финансовый 2 13 6 3" xfId="5784" xr:uid="{00000000-0005-0000-0000-00000B090000}"/>
    <cellStyle name="Финансовый 2 13 6 3 2" xfId="14427" xr:uid="{00000000-0005-0000-0000-00000C090000}"/>
    <cellStyle name="Финансовый 2 13 6 4" xfId="8394" xr:uid="{00000000-0005-0000-0000-00000D090000}"/>
    <cellStyle name="Финансовый 2 13 6 4 2" xfId="17037" xr:uid="{00000000-0005-0000-0000-00000E090000}"/>
    <cellStyle name="Финансовый 2 13 6 5" xfId="11001" xr:uid="{00000000-0005-0000-0000-00000F090000}"/>
    <cellStyle name="Финансовый 2 13 7" xfId="1583" xr:uid="{00000000-0005-0000-0000-000010090000}"/>
    <cellStyle name="Финансовый 2 13 7 2" xfId="3228" xr:uid="{00000000-0005-0000-0000-000011090000}"/>
    <cellStyle name="Финансовый 2 13 7 2 2" xfId="11873" xr:uid="{00000000-0005-0000-0000-000012090000}"/>
    <cellStyle name="Финансовый 2 13 7 3" xfId="5011" xr:uid="{00000000-0005-0000-0000-000013090000}"/>
    <cellStyle name="Финансовый 2 13 7 3 2" xfId="13654" xr:uid="{00000000-0005-0000-0000-000014090000}"/>
    <cellStyle name="Финансовый 2 13 7 4" xfId="7621" xr:uid="{00000000-0005-0000-0000-000015090000}"/>
    <cellStyle name="Финансовый 2 13 7 4 2" xfId="16264" xr:uid="{00000000-0005-0000-0000-000016090000}"/>
    <cellStyle name="Финансовый 2 13 7 5" xfId="10228" xr:uid="{00000000-0005-0000-0000-000017090000}"/>
    <cellStyle name="Финансовый 2 13 8" xfId="869" xr:uid="{00000000-0005-0000-0000-000018090000}"/>
    <cellStyle name="Финансовый 2 13 8 2" xfId="6909" xr:uid="{00000000-0005-0000-0000-000019090000}"/>
    <cellStyle name="Финансовый 2 13 8 2 2" xfId="15552" xr:uid="{00000000-0005-0000-0000-00001A090000}"/>
    <cellStyle name="Финансовый 2 13 8 3" xfId="9516" xr:uid="{00000000-0005-0000-0000-00001B090000}"/>
    <cellStyle name="Финансовый 2 13 9" xfId="449" xr:uid="{00000000-0005-0000-0000-00001C090000}"/>
    <cellStyle name="Финансовый 2 13 9 2" xfId="6489" xr:uid="{00000000-0005-0000-0000-00001D090000}"/>
    <cellStyle name="Финансовый 2 13 9 2 2" xfId="15132" xr:uid="{00000000-0005-0000-0000-00001E090000}"/>
    <cellStyle name="Финансовый 2 13 9 3" xfId="9096" xr:uid="{00000000-0005-0000-0000-00001F090000}"/>
    <cellStyle name="Финансовый 2 14" xfId="14" xr:uid="{00000000-0005-0000-0000-000020090000}"/>
    <cellStyle name="Финансовый 2 14 10" xfId="2626" xr:uid="{00000000-0005-0000-0000-000021090000}"/>
    <cellStyle name="Финансовый 2 14 10 2" xfId="11271" xr:uid="{00000000-0005-0000-0000-000022090000}"/>
    <cellStyle name="Финансовый 2 14 11" xfId="4269" xr:uid="{00000000-0005-0000-0000-000023090000}"/>
    <cellStyle name="Финансовый 2 14 11 2" xfId="12914" xr:uid="{00000000-0005-0000-0000-000024090000}"/>
    <cellStyle name="Финансовый 2 14 12" xfId="6057" xr:uid="{00000000-0005-0000-0000-000025090000}"/>
    <cellStyle name="Финансовый 2 14 12 2" xfId="14700" xr:uid="{00000000-0005-0000-0000-000026090000}"/>
    <cellStyle name="Финансовый 2 14 13" xfId="8664" xr:uid="{00000000-0005-0000-0000-000027090000}"/>
    <cellStyle name="Финансовый 2 14 2" xfId="152" xr:uid="{00000000-0005-0000-0000-000028090000}"/>
    <cellStyle name="Финансовый 2 14 2 10" xfId="8800" xr:uid="{00000000-0005-0000-0000-000029090000}"/>
    <cellStyle name="Финансовый 2 14 2 2" xfId="1250" xr:uid="{00000000-0005-0000-0000-00002A090000}"/>
    <cellStyle name="Финансовый 2 14 2 2 2" xfId="2216" xr:uid="{00000000-0005-0000-0000-00002B090000}"/>
    <cellStyle name="Финансовый 2 14 2 2 2 2" xfId="3861" xr:uid="{00000000-0005-0000-0000-00002C090000}"/>
    <cellStyle name="Финансовый 2 14 2 2 2 2 2" xfId="12506" xr:uid="{00000000-0005-0000-0000-00002D090000}"/>
    <cellStyle name="Финансовый 2 14 2 2 2 3" xfId="5644" xr:uid="{00000000-0005-0000-0000-00002E090000}"/>
    <cellStyle name="Финансовый 2 14 2 2 2 3 2" xfId="14287" xr:uid="{00000000-0005-0000-0000-00002F090000}"/>
    <cellStyle name="Финансовый 2 14 2 2 2 4" xfId="8254" xr:uid="{00000000-0005-0000-0000-000030090000}"/>
    <cellStyle name="Финансовый 2 14 2 2 2 4 2" xfId="16897" xr:uid="{00000000-0005-0000-0000-000031090000}"/>
    <cellStyle name="Финансовый 2 14 2 2 2 5" xfId="10861" xr:uid="{00000000-0005-0000-0000-000032090000}"/>
    <cellStyle name="Финансовый 2 14 2 2 3" xfId="3034" xr:uid="{00000000-0005-0000-0000-000033090000}"/>
    <cellStyle name="Финансовый 2 14 2 2 3 2" xfId="11679" xr:uid="{00000000-0005-0000-0000-000034090000}"/>
    <cellStyle name="Финансовый 2 14 2 2 4" xfId="4678" xr:uid="{00000000-0005-0000-0000-000035090000}"/>
    <cellStyle name="Финансовый 2 14 2 2 4 2" xfId="13323" xr:uid="{00000000-0005-0000-0000-000036090000}"/>
    <cellStyle name="Финансовый 2 14 2 2 5" xfId="7290" xr:uid="{00000000-0005-0000-0000-000037090000}"/>
    <cellStyle name="Финансовый 2 14 2 2 5 2" xfId="15933" xr:uid="{00000000-0005-0000-0000-000038090000}"/>
    <cellStyle name="Финансовый 2 14 2 2 6" xfId="9897" xr:uid="{00000000-0005-0000-0000-000039090000}"/>
    <cellStyle name="Финансовый 2 14 2 3" xfId="1960" xr:uid="{00000000-0005-0000-0000-00003A090000}"/>
    <cellStyle name="Финансовый 2 14 2 3 2" xfId="3605" xr:uid="{00000000-0005-0000-0000-00003B090000}"/>
    <cellStyle name="Финансовый 2 14 2 3 2 2" xfId="12250" xr:uid="{00000000-0005-0000-0000-00003C090000}"/>
    <cellStyle name="Финансовый 2 14 2 3 3" xfId="5388" xr:uid="{00000000-0005-0000-0000-00003D090000}"/>
    <cellStyle name="Финансовый 2 14 2 3 3 2" xfId="14031" xr:uid="{00000000-0005-0000-0000-00003E090000}"/>
    <cellStyle name="Финансовый 2 14 2 3 4" xfId="7998" xr:uid="{00000000-0005-0000-0000-00003F090000}"/>
    <cellStyle name="Финансовый 2 14 2 3 4 2" xfId="16641" xr:uid="{00000000-0005-0000-0000-000040090000}"/>
    <cellStyle name="Финансовый 2 14 2 3 5" xfId="10605" xr:uid="{00000000-0005-0000-0000-000041090000}"/>
    <cellStyle name="Финансовый 2 14 2 4" xfId="2481" xr:uid="{00000000-0005-0000-0000-000042090000}"/>
    <cellStyle name="Финансовый 2 14 2 4 2" xfId="4126" xr:uid="{00000000-0005-0000-0000-000043090000}"/>
    <cellStyle name="Финансовый 2 14 2 4 2 2" xfId="12771" xr:uid="{00000000-0005-0000-0000-000044090000}"/>
    <cellStyle name="Финансовый 2 14 2 4 3" xfId="5909" xr:uid="{00000000-0005-0000-0000-000045090000}"/>
    <cellStyle name="Финансовый 2 14 2 4 3 2" xfId="14552" xr:uid="{00000000-0005-0000-0000-000046090000}"/>
    <cellStyle name="Финансовый 2 14 2 4 4" xfId="8519" xr:uid="{00000000-0005-0000-0000-000047090000}"/>
    <cellStyle name="Финансовый 2 14 2 4 4 2" xfId="17162" xr:uid="{00000000-0005-0000-0000-000048090000}"/>
    <cellStyle name="Финансовый 2 14 2 4 5" xfId="11126" xr:uid="{00000000-0005-0000-0000-000049090000}"/>
    <cellStyle name="Финансовый 2 14 2 5" xfId="985" xr:uid="{00000000-0005-0000-0000-00004A090000}"/>
    <cellStyle name="Финансовый 2 14 2 5 2" xfId="7025" xr:uid="{00000000-0005-0000-0000-00004B090000}"/>
    <cellStyle name="Финансовый 2 14 2 5 2 2" xfId="15668" xr:uid="{00000000-0005-0000-0000-00004C090000}"/>
    <cellStyle name="Финансовый 2 14 2 5 3" xfId="9632" xr:uid="{00000000-0005-0000-0000-00004D090000}"/>
    <cellStyle name="Финансовый 2 14 2 6" xfId="573" xr:uid="{00000000-0005-0000-0000-00004E090000}"/>
    <cellStyle name="Финансовый 2 14 2 6 2" xfId="6613" xr:uid="{00000000-0005-0000-0000-00004F090000}"/>
    <cellStyle name="Финансовый 2 14 2 6 2 2" xfId="15256" xr:uid="{00000000-0005-0000-0000-000050090000}"/>
    <cellStyle name="Финансовый 2 14 2 6 3" xfId="9220" xr:uid="{00000000-0005-0000-0000-000051090000}"/>
    <cellStyle name="Финансовый 2 14 2 7" xfId="2762" xr:uid="{00000000-0005-0000-0000-000052090000}"/>
    <cellStyle name="Финансовый 2 14 2 7 2" xfId="11407" xr:uid="{00000000-0005-0000-0000-000053090000}"/>
    <cellStyle name="Финансовый 2 14 2 8" xfId="4406" xr:uid="{00000000-0005-0000-0000-000054090000}"/>
    <cellStyle name="Финансовый 2 14 2 8 2" xfId="13051" xr:uid="{00000000-0005-0000-0000-000055090000}"/>
    <cellStyle name="Финансовый 2 14 2 9" xfId="6193" xr:uid="{00000000-0005-0000-0000-000056090000}"/>
    <cellStyle name="Финансовый 2 14 2 9 2" xfId="14836" xr:uid="{00000000-0005-0000-0000-000057090000}"/>
    <cellStyle name="Финансовый 2 14 3" xfId="301" xr:uid="{00000000-0005-0000-0000-000058090000}"/>
    <cellStyle name="Финансовый 2 14 3 2" xfId="2088" xr:uid="{00000000-0005-0000-0000-000059090000}"/>
    <cellStyle name="Финансовый 2 14 3 2 2" xfId="3733" xr:uid="{00000000-0005-0000-0000-00005A090000}"/>
    <cellStyle name="Финансовый 2 14 3 2 2 2" xfId="12378" xr:uid="{00000000-0005-0000-0000-00005B090000}"/>
    <cellStyle name="Финансовый 2 14 3 2 3" xfId="5516" xr:uid="{00000000-0005-0000-0000-00005C090000}"/>
    <cellStyle name="Финансовый 2 14 3 2 3 2" xfId="14159" xr:uid="{00000000-0005-0000-0000-00005D090000}"/>
    <cellStyle name="Финансовый 2 14 3 2 4" xfId="8126" xr:uid="{00000000-0005-0000-0000-00005E090000}"/>
    <cellStyle name="Финансовый 2 14 3 2 4 2" xfId="16769" xr:uid="{00000000-0005-0000-0000-00005F090000}"/>
    <cellStyle name="Финансовый 2 14 3 2 5" xfId="10733" xr:uid="{00000000-0005-0000-0000-000060090000}"/>
    <cellStyle name="Финансовый 2 14 3 3" xfId="1121" xr:uid="{00000000-0005-0000-0000-000061090000}"/>
    <cellStyle name="Финансовый 2 14 3 3 2" xfId="7161" xr:uid="{00000000-0005-0000-0000-000062090000}"/>
    <cellStyle name="Финансовый 2 14 3 3 2 2" xfId="15804" xr:uid="{00000000-0005-0000-0000-000063090000}"/>
    <cellStyle name="Финансовый 2 14 3 3 3" xfId="9768" xr:uid="{00000000-0005-0000-0000-000064090000}"/>
    <cellStyle name="Финансовый 2 14 3 4" xfId="721" xr:uid="{00000000-0005-0000-0000-000065090000}"/>
    <cellStyle name="Финансовый 2 14 3 4 2" xfId="6761" xr:uid="{00000000-0005-0000-0000-000066090000}"/>
    <cellStyle name="Финансовый 2 14 3 4 2 2" xfId="15404" xr:uid="{00000000-0005-0000-0000-000067090000}"/>
    <cellStyle name="Финансовый 2 14 3 4 3" xfId="9368" xr:uid="{00000000-0005-0000-0000-000068090000}"/>
    <cellStyle name="Финансовый 2 14 3 5" xfId="2898" xr:uid="{00000000-0005-0000-0000-000069090000}"/>
    <cellStyle name="Финансовый 2 14 3 5 2" xfId="11543" xr:uid="{00000000-0005-0000-0000-00006A090000}"/>
    <cellStyle name="Финансовый 2 14 3 6" xfId="4542" xr:uid="{00000000-0005-0000-0000-00006B090000}"/>
    <cellStyle name="Финансовый 2 14 3 6 2" xfId="13187" xr:uid="{00000000-0005-0000-0000-00006C090000}"/>
    <cellStyle name="Финансовый 2 14 3 7" xfId="6341" xr:uid="{00000000-0005-0000-0000-00006D090000}"/>
    <cellStyle name="Финансовый 2 14 3 7 2" xfId="14984" xr:uid="{00000000-0005-0000-0000-00006E090000}"/>
    <cellStyle name="Финансовый 2 14 3 8" xfId="8948" xr:uid="{00000000-0005-0000-0000-00006F090000}"/>
    <cellStyle name="Финансовый 2 14 4" xfId="1452" xr:uid="{00000000-0005-0000-0000-000070090000}"/>
    <cellStyle name="Финансовый 2 14 4 2" xfId="1824" xr:uid="{00000000-0005-0000-0000-000071090000}"/>
    <cellStyle name="Финансовый 2 14 4 2 2" xfId="3469" xr:uid="{00000000-0005-0000-0000-000072090000}"/>
    <cellStyle name="Финансовый 2 14 4 2 2 2" xfId="12114" xr:uid="{00000000-0005-0000-0000-000073090000}"/>
    <cellStyle name="Финансовый 2 14 4 2 3" xfId="5252" xr:uid="{00000000-0005-0000-0000-000074090000}"/>
    <cellStyle name="Финансовый 2 14 4 2 3 2" xfId="13895" xr:uid="{00000000-0005-0000-0000-000075090000}"/>
    <cellStyle name="Финансовый 2 14 4 2 4" xfId="7862" xr:uid="{00000000-0005-0000-0000-000076090000}"/>
    <cellStyle name="Финансовый 2 14 4 2 4 2" xfId="16505" xr:uid="{00000000-0005-0000-0000-000077090000}"/>
    <cellStyle name="Финансовый 2 14 4 2 5" xfId="10469" xr:uid="{00000000-0005-0000-0000-000078090000}"/>
    <cellStyle name="Финансовый 2 14 4 3" xfId="4880" xr:uid="{00000000-0005-0000-0000-000079090000}"/>
    <cellStyle name="Финансовый 2 14 4 3 2" xfId="13523" xr:uid="{00000000-0005-0000-0000-00007A090000}"/>
    <cellStyle name="Финансовый 2 14 4 4" xfId="7490" xr:uid="{00000000-0005-0000-0000-00007B090000}"/>
    <cellStyle name="Финансовый 2 14 4 4 2" xfId="16133" xr:uid="{00000000-0005-0000-0000-00007C090000}"/>
    <cellStyle name="Финансовый 2 14 4 5" xfId="10097" xr:uid="{00000000-0005-0000-0000-00007D090000}"/>
    <cellStyle name="Финансовый 2 14 5" xfId="1708" xr:uid="{00000000-0005-0000-0000-00007E090000}"/>
    <cellStyle name="Финансовый 2 14 5 2" xfId="3353" xr:uid="{00000000-0005-0000-0000-00007F090000}"/>
    <cellStyle name="Финансовый 2 14 5 2 2" xfId="11998" xr:uid="{00000000-0005-0000-0000-000080090000}"/>
    <cellStyle name="Финансовый 2 14 5 3" xfId="5136" xr:uid="{00000000-0005-0000-0000-000081090000}"/>
    <cellStyle name="Финансовый 2 14 5 3 2" xfId="13779" xr:uid="{00000000-0005-0000-0000-000082090000}"/>
    <cellStyle name="Финансовый 2 14 5 4" xfId="7746" xr:uid="{00000000-0005-0000-0000-000083090000}"/>
    <cellStyle name="Финансовый 2 14 5 4 2" xfId="16389" xr:uid="{00000000-0005-0000-0000-000084090000}"/>
    <cellStyle name="Финансовый 2 14 5 5" xfId="10353" xr:uid="{00000000-0005-0000-0000-000085090000}"/>
    <cellStyle name="Финансовый 2 14 6" xfId="2344" xr:uid="{00000000-0005-0000-0000-000086090000}"/>
    <cellStyle name="Финансовый 2 14 6 2" xfId="3989" xr:uid="{00000000-0005-0000-0000-000087090000}"/>
    <cellStyle name="Финансовый 2 14 6 2 2" xfId="12634" xr:uid="{00000000-0005-0000-0000-000088090000}"/>
    <cellStyle name="Финансовый 2 14 6 3" xfId="5772" xr:uid="{00000000-0005-0000-0000-000089090000}"/>
    <cellStyle name="Финансовый 2 14 6 3 2" xfId="14415" xr:uid="{00000000-0005-0000-0000-00008A090000}"/>
    <cellStyle name="Финансовый 2 14 6 4" xfId="8382" xr:uid="{00000000-0005-0000-0000-00008B090000}"/>
    <cellStyle name="Финансовый 2 14 6 4 2" xfId="17025" xr:uid="{00000000-0005-0000-0000-00008C090000}"/>
    <cellStyle name="Финансовый 2 14 6 5" xfId="10989" xr:uid="{00000000-0005-0000-0000-00008D090000}"/>
    <cellStyle name="Финансовый 2 14 7" xfId="1571" xr:uid="{00000000-0005-0000-0000-00008E090000}"/>
    <cellStyle name="Финансовый 2 14 7 2" xfId="3216" xr:uid="{00000000-0005-0000-0000-00008F090000}"/>
    <cellStyle name="Финансовый 2 14 7 2 2" xfId="11861" xr:uid="{00000000-0005-0000-0000-000090090000}"/>
    <cellStyle name="Финансовый 2 14 7 3" xfId="4999" xr:uid="{00000000-0005-0000-0000-000091090000}"/>
    <cellStyle name="Финансовый 2 14 7 3 2" xfId="13642" xr:uid="{00000000-0005-0000-0000-000092090000}"/>
    <cellStyle name="Финансовый 2 14 7 4" xfId="7609" xr:uid="{00000000-0005-0000-0000-000093090000}"/>
    <cellStyle name="Финансовый 2 14 7 4 2" xfId="16252" xr:uid="{00000000-0005-0000-0000-000094090000}"/>
    <cellStyle name="Финансовый 2 14 7 5" xfId="10216" xr:uid="{00000000-0005-0000-0000-000095090000}"/>
    <cellStyle name="Финансовый 2 14 8" xfId="857" xr:uid="{00000000-0005-0000-0000-000096090000}"/>
    <cellStyle name="Финансовый 2 14 8 2" xfId="6897" xr:uid="{00000000-0005-0000-0000-000097090000}"/>
    <cellStyle name="Финансовый 2 14 8 2 2" xfId="15540" xr:uid="{00000000-0005-0000-0000-000098090000}"/>
    <cellStyle name="Финансовый 2 14 8 3" xfId="9504" xr:uid="{00000000-0005-0000-0000-000099090000}"/>
    <cellStyle name="Финансовый 2 14 9" xfId="437" xr:uid="{00000000-0005-0000-0000-00009A090000}"/>
    <cellStyle name="Финансовый 2 14 9 2" xfId="6477" xr:uid="{00000000-0005-0000-0000-00009B090000}"/>
    <cellStyle name="Финансовый 2 14 9 2 2" xfId="15120" xr:uid="{00000000-0005-0000-0000-00009C090000}"/>
    <cellStyle name="Финансовый 2 14 9 3" xfId="9084" xr:uid="{00000000-0005-0000-0000-00009D090000}"/>
    <cellStyle name="Финансовый 2 15" xfId="140" xr:uid="{00000000-0005-0000-0000-00009E090000}"/>
    <cellStyle name="Финансовый 2 15 10" xfId="8788" xr:uid="{00000000-0005-0000-0000-00009F090000}"/>
    <cellStyle name="Финансовый 2 15 2" xfId="1238" xr:uid="{00000000-0005-0000-0000-0000A0090000}"/>
    <cellStyle name="Финансовый 2 15 2 2" xfId="2204" xr:uid="{00000000-0005-0000-0000-0000A1090000}"/>
    <cellStyle name="Финансовый 2 15 2 2 2" xfId="3849" xr:uid="{00000000-0005-0000-0000-0000A2090000}"/>
    <cellStyle name="Финансовый 2 15 2 2 2 2" xfId="12494" xr:uid="{00000000-0005-0000-0000-0000A3090000}"/>
    <cellStyle name="Финансовый 2 15 2 2 3" xfId="5632" xr:uid="{00000000-0005-0000-0000-0000A4090000}"/>
    <cellStyle name="Финансовый 2 15 2 2 3 2" xfId="14275" xr:uid="{00000000-0005-0000-0000-0000A5090000}"/>
    <cellStyle name="Финансовый 2 15 2 2 4" xfId="8242" xr:uid="{00000000-0005-0000-0000-0000A6090000}"/>
    <cellStyle name="Финансовый 2 15 2 2 4 2" xfId="16885" xr:uid="{00000000-0005-0000-0000-0000A7090000}"/>
    <cellStyle name="Финансовый 2 15 2 2 5" xfId="10849" xr:uid="{00000000-0005-0000-0000-0000A8090000}"/>
    <cellStyle name="Финансовый 2 15 2 3" xfId="3022" xr:uid="{00000000-0005-0000-0000-0000A9090000}"/>
    <cellStyle name="Финансовый 2 15 2 3 2" xfId="11667" xr:uid="{00000000-0005-0000-0000-0000AA090000}"/>
    <cellStyle name="Финансовый 2 15 2 4" xfId="4666" xr:uid="{00000000-0005-0000-0000-0000AB090000}"/>
    <cellStyle name="Финансовый 2 15 2 4 2" xfId="13311" xr:uid="{00000000-0005-0000-0000-0000AC090000}"/>
    <cellStyle name="Финансовый 2 15 2 5" xfId="7278" xr:uid="{00000000-0005-0000-0000-0000AD090000}"/>
    <cellStyle name="Финансовый 2 15 2 5 2" xfId="15921" xr:uid="{00000000-0005-0000-0000-0000AE090000}"/>
    <cellStyle name="Финансовый 2 15 2 6" xfId="9885" xr:uid="{00000000-0005-0000-0000-0000AF090000}"/>
    <cellStyle name="Финансовый 2 15 3" xfId="1948" xr:uid="{00000000-0005-0000-0000-0000B0090000}"/>
    <cellStyle name="Финансовый 2 15 3 2" xfId="3593" xr:uid="{00000000-0005-0000-0000-0000B1090000}"/>
    <cellStyle name="Финансовый 2 15 3 2 2" xfId="12238" xr:uid="{00000000-0005-0000-0000-0000B2090000}"/>
    <cellStyle name="Финансовый 2 15 3 3" xfId="5376" xr:uid="{00000000-0005-0000-0000-0000B3090000}"/>
    <cellStyle name="Финансовый 2 15 3 3 2" xfId="14019" xr:uid="{00000000-0005-0000-0000-0000B4090000}"/>
    <cellStyle name="Финансовый 2 15 3 4" xfId="7986" xr:uid="{00000000-0005-0000-0000-0000B5090000}"/>
    <cellStyle name="Финансовый 2 15 3 4 2" xfId="16629" xr:uid="{00000000-0005-0000-0000-0000B6090000}"/>
    <cellStyle name="Финансовый 2 15 3 5" xfId="10593" xr:uid="{00000000-0005-0000-0000-0000B7090000}"/>
    <cellStyle name="Финансовый 2 15 4" xfId="2469" xr:uid="{00000000-0005-0000-0000-0000B8090000}"/>
    <cellStyle name="Финансовый 2 15 4 2" xfId="4114" xr:uid="{00000000-0005-0000-0000-0000B9090000}"/>
    <cellStyle name="Финансовый 2 15 4 2 2" xfId="12759" xr:uid="{00000000-0005-0000-0000-0000BA090000}"/>
    <cellStyle name="Финансовый 2 15 4 3" xfId="5897" xr:uid="{00000000-0005-0000-0000-0000BB090000}"/>
    <cellStyle name="Финансовый 2 15 4 3 2" xfId="14540" xr:uid="{00000000-0005-0000-0000-0000BC090000}"/>
    <cellStyle name="Финансовый 2 15 4 4" xfId="8507" xr:uid="{00000000-0005-0000-0000-0000BD090000}"/>
    <cellStyle name="Финансовый 2 15 4 4 2" xfId="17150" xr:uid="{00000000-0005-0000-0000-0000BE090000}"/>
    <cellStyle name="Финансовый 2 15 4 5" xfId="11114" xr:uid="{00000000-0005-0000-0000-0000BF090000}"/>
    <cellStyle name="Финансовый 2 15 5" xfId="973" xr:uid="{00000000-0005-0000-0000-0000C0090000}"/>
    <cellStyle name="Финансовый 2 15 5 2" xfId="7013" xr:uid="{00000000-0005-0000-0000-0000C1090000}"/>
    <cellStyle name="Финансовый 2 15 5 2 2" xfId="15656" xr:uid="{00000000-0005-0000-0000-0000C2090000}"/>
    <cellStyle name="Финансовый 2 15 5 3" xfId="9620" xr:uid="{00000000-0005-0000-0000-0000C3090000}"/>
    <cellStyle name="Финансовый 2 15 6" xfId="561" xr:uid="{00000000-0005-0000-0000-0000C4090000}"/>
    <cellStyle name="Финансовый 2 15 6 2" xfId="6601" xr:uid="{00000000-0005-0000-0000-0000C5090000}"/>
    <cellStyle name="Финансовый 2 15 6 2 2" xfId="15244" xr:uid="{00000000-0005-0000-0000-0000C6090000}"/>
    <cellStyle name="Финансовый 2 15 6 3" xfId="9208" xr:uid="{00000000-0005-0000-0000-0000C7090000}"/>
    <cellStyle name="Финансовый 2 15 7" xfId="2750" xr:uid="{00000000-0005-0000-0000-0000C8090000}"/>
    <cellStyle name="Финансовый 2 15 7 2" xfId="11395" xr:uid="{00000000-0005-0000-0000-0000C9090000}"/>
    <cellStyle name="Финансовый 2 15 8" xfId="4394" xr:uid="{00000000-0005-0000-0000-0000CA090000}"/>
    <cellStyle name="Финансовый 2 15 8 2" xfId="13039" xr:uid="{00000000-0005-0000-0000-0000CB090000}"/>
    <cellStyle name="Финансовый 2 15 9" xfId="6181" xr:uid="{00000000-0005-0000-0000-0000CC090000}"/>
    <cellStyle name="Финансовый 2 15 9 2" xfId="14824" xr:uid="{00000000-0005-0000-0000-0000CD090000}"/>
    <cellStyle name="Финансовый 2 16" xfId="276" xr:uid="{00000000-0005-0000-0000-0000CE090000}"/>
    <cellStyle name="Финансовый 2 16 2" xfId="2076" xr:uid="{00000000-0005-0000-0000-0000CF090000}"/>
    <cellStyle name="Финансовый 2 16 2 2" xfId="3721" xr:uid="{00000000-0005-0000-0000-0000D0090000}"/>
    <cellStyle name="Финансовый 2 16 2 2 2" xfId="12366" xr:uid="{00000000-0005-0000-0000-0000D1090000}"/>
    <cellStyle name="Финансовый 2 16 2 3" xfId="5504" xr:uid="{00000000-0005-0000-0000-0000D2090000}"/>
    <cellStyle name="Финансовый 2 16 2 3 2" xfId="14147" xr:uid="{00000000-0005-0000-0000-0000D3090000}"/>
    <cellStyle name="Финансовый 2 16 2 4" xfId="8114" xr:uid="{00000000-0005-0000-0000-0000D4090000}"/>
    <cellStyle name="Финансовый 2 16 2 4 2" xfId="16757" xr:uid="{00000000-0005-0000-0000-0000D5090000}"/>
    <cellStyle name="Финансовый 2 16 2 5" xfId="10721" xr:uid="{00000000-0005-0000-0000-0000D6090000}"/>
    <cellStyle name="Финансовый 2 16 3" xfId="1374" xr:uid="{00000000-0005-0000-0000-0000D7090000}"/>
    <cellStyle name="Финансовый 2 16 3 2" xfId="7414" xr:uid="{00000000-0005-0000-0000-0000D8090000}"/>
    <cellStyle name="Финансовый 2 16 3 2 2" xfId="16057" xr:uid="{00000000-0005-0000-0000-0000D9090000}"/>
    <cellStyle name="Финансовый 2 16 3 3" xfId="10021" xr:uid="{00000000-0005-0000-0000-0000DA090000}"/>
    <cellStyle name="Финансовый 2 16 4" xfId="697" xr:uid="{00000000-0005-0000-0000-0000DB090000}"/>
    <cellStyle name="Финансовый 2 16 4 2" xfId="6737" xr:uid="{00000000-0005-0000-0000-0000DC090000}"/>
    <cellStyle name="Финансовый 2 16 4 2 2" xfId="15380" xr:uid="{00000000-0005-0000-0000-0000DD090000}"/>
    <cellStyle name="Финансовый 2 16 4 3" xfId="9344" xr:uid="{00000000-0005-0000-0000-0000DE090000}"/>
    <cellStyle name="Финансовый 2 16 5" xfId="3158" xr:uid="{00000000-0005-0000-0000-0000DF090000}"/>
    <cellStyle name="Финансовый 2 16 5 2" xfId="11803" xr:uid="{00000000-0005-0000-0000-0000E0090000}"/>
    <cellStyle name="Финансовый 2 16 6" xfId="4802" xr:uid="{00000000-0005-0000-0000-0000E1090000}"/>
    <cellStyle name="Финансовый 2 16 6 2" xfId="13447" xr:uid="{00000000-0005-0000-0000-0000E2090000}"/>
    <cellStyle name="Финансовый 2 16 7" xfId="6317" xr:uid="{00000000-0005-0000-0000-0000E3090000}"/>
    <cellStyle name="Финансовый 2 16 7 2" xfId="14960" xr:uid="{00000000-0005-0000-0000-0000E4090000}"/>
    <cellStyle name="Финансовый 2 16 8" xfId="8924" xr:uid="{00000000-0005-0000-0000-0000E5090000}"/>
    <cellStyle name="Финансовый 2 17" xfId="289" xr:uid="{00000000-0005-0000-0000-0000E6090000}"/>
    <cellStyle name="Финансовый 2 17 2" xfId="1109" xr:uid="{00000000-0005-0000-0000-0000E7090000}"/>
    <cellStyle name="Финансовый 2 17 2 2" xfId="7149" xr:uid="{00000000-0005-0000-0000-0000E8090000}"/>
    <cellStyle name="Финансовый 2 17 2 2 2" xfId="15792" xr:uid="{00000000-0005-0000-0000-0000E9090000}"/>
    <cellStyle name="Финансовый 2 17 2 3" xfId="9756" xr:uid="{00000000-0005-0000-0000-0000EA090000}"/>
    <cellStyle name="Финансовый 2 17 3" xfId="709" xr:uid="{00000000-0005-0000-0000-0000EB090000}"/>
    <cellStyle name="Финансовый 2 17 3 2" xfId="6749" xr:uid="{00000000-0005-0000-0000-0000EC090000}"/>
    <cellStyle name="Финансовый 2 17 3 2 2" xfId="15392" xr:uid="{00000000-0005-0000-0000-0000ED090000}"/>
    <cellStyle name="Финансовый 2 17 3 3" xfId="9356" xr:uid="{00000000-0005-0000-0000-0000EE090000}"/>
    <cellStyle name="Финансовый 2 17 4" xfId="2886" xr:uid="{00000000-0005-0000-0000-0000EF090000}"/>
    <cellStyle name="Финансовый 2 17 4 2" xfId="11531" xr:uid="{00000000-0005-0000-0000-0000F0090000}"/>
    <cellStyle name="Финансовый 2 17 5" xfId="4530" xr:uid="{00000000-0005-0000-0000-0000F1090000}"/>
    <cellStyle name="Финансовый 2 17 5 2" xfId="13175" xr:uid="{00000000-0005-0000-0000-0000F2090000}"/>
    <cellStyle name="Финансовый 2 17 6" xfId="6329" xr:uid="{00000000-0005-0000-0000-0000F3090000}"/>
    <cellStyle name="Финансовый 2 17 6 2" xfId="14972" xr:uid="{00000000-0005-0000-0000-0000F4090000}"/>
    <cellStyle name="Финансовый 2 17 7" xfId="8936" xr:uid="{00000000-0005-0000-0000-0000F5090000}"/>
    <cellStyle name="Финансовый 2 18" xfId="1445" xr:uid="{00000000-0005-0000-0000-0000F6090000}"/>
    <cellStyle name="Финансовый 2 18 2" xfId="1696" xr:uid="{00000000-0005-0000-0000-0000F7090000}"/>
    <cellStyle name="Финансовый 2 18 2 2" xfId="3341" xr:uid="{00000000-0005-0000-0000-0000F8090000}"/>
    <cellStyle name="Финансовый 2 18 2 2 2" xfId="11986" xr:uid="{00000000-0005-0000-0000-0000F9090000}"/>
    <cellStyle name="Финансовый 2 18 2 3" xfId="5124" xr:uid="{00000000-0005-0000-0000-0000FA090000}"/>
    <cellStyle name="Финансовый 2 18 2 3 2" xfId="13767" xr:uid="{00000000-0005-0000-0000-0000FB090000}"/>
    <cellStyle name="Финансовый 2 18 2 4" xfId="7734" xr:uid="{00000000-0005-0000-0000-0000FC090000}"/>
    <cellStyle name="Финансовый 2 18 2 4 2" xfId="16377" xr:uid="{00000000-0005-0000-0000-0000FD090000}"/>
    <cellStyle name="Финансовый 2 18 2 5" xfId="10341" xr:uid="{00000000-0005-0000-0000-0000FE090000}"/>
    <cellStyle name="Финансовый 2 18 3" xfId="4873" xr:uid="{00000000-0005-0000-0000-0000FF090000}"/>
    <cellStyle name="Финансовый 2 18 3 2" xfId="13516" xr:uid="{00000000-0005-0000-0000-0000000A0000}"/>
    <cellStyle name="Финансовый 2 18 4" xfId="7483" xr:uid="{00000000-0005-0000-0000-0000010A0000}"/>
    <cellStyle name="Финансовый 2 18 4 2" xfId="16126" xr:uid="{00000000-0005-0000-0000-0000020A0000}"/>
    <cellStyle name="Финансовый 2 18 5" xfId="10090" xr:uid="{00000000-0005-0000-0000-0000030A0000}"/>
    <cellStyle name="Финансовый 2 19" xfId="2332" xr:uid="{00000000-0005-0000-0000-0000040A0000}"/>
    <cellStyle name="Финансовый 2 19 2" xfId="3977" xr:uid="{00000000-0005-0000-0000-0000050A0000}"/>
    <cellStyle name="Финансовый 2 19 2 2" xfId="12622" xr:uid="{00000000-0005-0000-0000-0000060A0000}"/>
    <cellStyle name="Финансовый 2 19 3" xfId="5760" xr:uid="{00000000-0005-0000-0000-0000070A0000}"/>
    <cellStyle name="Финансовый 2 19 3 2" xfId="14403" xr:uid="{00000000-0005-0000-0000-0000080A0000}"/>
    <cellStyle name="Финансовый 2 19 4" xfId="8370" xr:uid="{00000000-0005-0000-0000-0000090A0000}"/>
    <cellStyle name="Финансовый 2 19 4 2" xfId="17013" xr:uid="{00000000-0005-0000-0000-00000A0A0000}"/>
    <cellStyle name="Финансовый 2 19 5" xfId="10977" xr:uid="{00000000-0005-0000-0000-00000B0A0000}"/>
    <cellStyle name="Финансовый 2 2" xfId="4" xr:uid="{00000000-0005-0000-0000-00000C0A0000}"/>
    <cellStyle name="Финансовый 2 2 10" xfId="28" xr:uid="{00000000-0005-0000-0000-00000D0A0000}"/>
    <cellStyle name="Финансовый 2 2 10 10" xfId="2640" xr:uid="{00000000-0005-0000-0000-00000E0A0000}"/>
    <cellStyle name="Финансовый 2 2 10 10 2" xfId="11285" xr:uid="{00000000-0005-0000-0000-00000F0A0000}"/>
    <cellStyle name="Финансовый 2 2 10 11" xfId="4283" xr:uid="{00000000-0005-0000-0000-0000100A0000}"/>
    <cellStyle name="Финансовый 2 2 10 11 2" xfId="12928" xr:uid="{00000000-0005-0000-0000-0000110A0000}"/>
    <cellStyle name="Финансовый 2 2 10 12" xfId="6071" xr:uid="{00000000-0005-0000-0000-0000120A0000}"/>
    <cellStyle name="Финансовый 2 2 10 12 2" xfId="14714" xr:uid="{00000000-0005-0000-0000-0000130A0000}"/>
    <cellStyle name="Финансовый 2 2 10 13" xfId="8678" xr:uid="{00000000-0005-0000-0000-0000140A0000}"/>
    <cellStyle name="Финансовый 2 2 10 2" xfId="166" xr:uid="{00000000-0005-0000-0000-0000150A0000}"/>
    <cellStyle name="Финансовый 2 2 10 2 10" xfId="8814" xr:uid="{00000000-0005-0000-0000-0000160A0000}"/>
    <cellStyle name="Финансовый 2 2 10 2 2" xfId="1264" xr:uid="{00000000-0005-0000-0000-0000170A0000}"/>
    <cellStyle name="Финансовый 2 2 10 2 2 2" xfId="2230" xr:uid="{00000000-0005-0000-0000-0000180A0000}"/>
    <cellStyle name="Финансовый 2 2 10 2 2 2 2" xfId="3875" xr:uid="{00000000-0005-0000-0000-0000190A0000}"/>
    <cellStyle name="Финансовый 2 2 10 2 2 2 2 2" xfId="12520" xr:uid="{00000000-0005-0000-0000-00001A0A0000}"/>
    <cellStyle name="Финансовый 2 2 10 2 2 2 3" xfId="5658" xr:uid="{00000000-0005-0000-0000-00001B0A0000}"/>
    <cellStyle name="Финансовый 2 2 10 2 2 2 3 2" xfId="14301" xr:uid="{00000000-0005-0000-0000-00001C0A0000}"/>
    <cellStyle name="Финансовый 2 2 10 2 2 2 4" xfId="8268" xr:uid="{00000000-0005-0000-0000-00001D0A0000}"/>
    <cellStyle name="Финансовый 2 2 10 2 2 2 4 2" xfId="16911" xr:uid="{00000000-0005-0000-0000-00001E0A0000}"/>
    <cellStyle name="Финансовый 2 2 10 2 2 2 5" xfId="10875" xr:uid="{00000000-0005-0000-0000-00001F0A0000}"/>
    <cellStyle name="Финансовый 2 2 10 2 2 3" xfId="3048" xr:uid="{00000000-0005-0000-0000-0000200A0000}"/>
    <cellStyle name="Финансовый 2 2 10 2 2 3 2" xfId="11693" xr:uid="{00000000-0005-0000-0000-0000210A0000}"/>
    <cellStyle name="Финансовый 2 2 10 2 2 4" xfId="4692" xr:uid="{00000000-0005-0000-0000-0000220A0000}"/>
    <cellStyle name="Финансовый 2 2 10 2 2 4 2" xfId="13337" xr:uid="{00000000-0005-0000-0000-0000230A0000}"/>
    <cellStyle name="Финансовый 2 2 10 2 2 5" xfId="7304" xr:uid="{00000000-0005-0000-0000-0000240A0000}"/>
    <cellStyle name="Финансовый 2 2 10 2 2 5 2" xfId="15947" xr:uid="{00000000-0005-0000-0000-0000250A0000}"/>
    <cellStyle name="Финансовый 2 2 10 2 2 6" xfId="9911" xr:uid="{00000000-0005-0000-0000-0000260A0000}"/>
    <cellStyle name="Финансовый 2 2 10 2 3" xfId="1974" xr:uid="{00000000-0005-0000-0000-0000270A0000}"/>
    <cellStyle name="Финансовый 2 2 10 2 3 2" xfId="3619" xr:uid="{00000000-0005-0000-0000-0000280A0000}"/>
    <cellStyle name="Финансовый 2 2 10 2 3 2 2" xfId="12264" xr:uid="{00000000-0005-0000-0000-0000290A0000}"/>
    <cellStyle name="Финансовый 2 2 10 2 3 3" xfId="5402" xr:uid="{00000000-0005-0000-0000-00002A0A0000}"/>
    <cellStyle name="Финансовый 2 2 10 2 3 3 2" xfId="14045" xr:uid="{00000000-0005-0000-0000-00002B0A0000}"/>
    <cellStyle name="Финансовый 2 2 10 2 3 4" xfId="8012" xr:uid="{00000000-0005-0000-0000-00002C0A0000}"/>
    <cellStyle name="Финансовый 2 2 10 2 3 4 2" xfId="16655" xr:uid="{00000000-0005-0000-0000-00002D0A0000}"/>
    <cellStyle name="Финансовый 2 2 10 2 3 5" xfId="10619" xr:uid="{00000000-0005-0000-0000-00002E0A0000}"/>
    <cellStyle name="Финансовый 2 2 10 2 4" xfId="2495" xr:uid="{00000000-0005-0000-0000-00002F0A0000}"/>
    <cellStyle name="Финансовый 2 2 10 2 4 2" xfId="4140" xr:uid="{00000000-0005-0000-0000-0000300A0000}"/>
    <cellStyle name="Финансовый 2 2 10 2 4 2 2" xfId="12785" xr:uid="{00000000-0005-0000-0000-0000310A0000}"/>
    <cellStyle name="Финансовый 2 2 10 2 4 3" xfId="5923" xr:uid="{00000000-0005-0000-0000-0000320A0000}"/>
    <cellStyle name="Финансовый 2 2 10 2 4 3 2" xfId="14566" xr:uid="{00000000-0005-0000-0000-0000330A0000}"/>
    <cellStyle name="Финансовый 2 2 10 2 4 4" xfId="8533" xr:uid="{00000000-0005-0000-0000-0000340A0000}"/>
    <cellStyle name="Финансовый 2 2 10 2 4 4 2" xfId="17176" xr:uid="{00000000-0005-0000-0000-0000350A0000}"/>
    <cellStyle name="Финансовый 2 2 10 2 4 5" xfId="11140" xr:uid="{00000000-0005-0000-0000-0000360A0000}"/>
    <cellStyle name="Финансовый 2 2 10 2 5" xfId="999" xr:uid="{00000000-0005-0000-0000-0000370A0000}"/>
    <cellStyle name="Финансовый 2 2 10 2 5 2" xfId="7039" xr:uid="{00000000-0005-0000-0000-0000380A0000}"/>
    <cellStyle name="Финансовый 2 2 10 2 5 2 2" xfId="15682" xr:uid="{00000000-0005-0000-0000-0000390A0000}"/>
    <cellStyle name="Финансовый 2 2 10 2 5 3" xfId="9646" xr:uid="{00000000-0005-0000-0000-00003A0A0000}"/>
    <cellStyle name="Финансовый 2 2 10 2 6" xfId="587" xr:uid="{00000000-0005-0000-0000-00003B0A0000}"/>
    <cellStyle name="Финансовый 2 2 10 2 6 2" xfId="6627" xr:uid="{00000000-0005-0000-0000-00003C0A0000}"/>
    <cellStyle name="Финансовый 2 2 10 2 6 2 2" xfId="15270" xr:uid="{00000000-0005-0000-0000-00003D0A0000}"/>
    <cellStyle name="Финансовый 2 2 10 2 6 3" xfId="9234" xr:uid="{00000000-0005-0000-0000-00003E0A0000}"/>
    <cellStyle name="Финансовый 2 2 10 2 7" xfId="2776" xr:uid="{00000000-0005-0000-0000-00003F0A0000}"/>
    <cellStyle name="Финансовый 2 2 10 2 7 2" xfId="11421" xr:uid="{00000000-0005-0000-0000-0000400A0000}"/>
    <cellStyle name="Финансовый 2 2 10 2 8" xfId="4420" xr:uid="{00000000-0005-0000-0000-0000410A0000}"/>
    <cellStyle name="Финансовый 2 2 10 2 8 2" xfId="13065" xr:uid="{00000000-0005-0000-0000-0000420A0000}"/>
    <cellStyle name="Финансовый 2 2 10 2 9" xfId="6207" xr:uid="{00000000-0005-0000-0000-0000430A0000}"/>
    <cellStyle name="Финансовый 2 2 10 2 9 2" xfId="14850" xr:uid="{00000000-0005-0000-0000-0000440A0000}"/>
    <cellStyle name="Финансовый 2 2 10 3" xfId="315" xr:uid="{00000000-0005-0000-0000-0000450A0000}"/>
    <cellStyle name="Финансовый 2 2 10 3 2" xfId="2102" xr:uid="{00000000-0005-0000-0000-0000460A0000}"/>
    <cellStyle name="Финансовый 2 2 10 3 2 2" xfId="3747" xr:uid="{00000000-0005-0000-0000-0000470A0000}"/>
    <cellStyle name="Финансовый 2 2 10 3 2 2 2" xfId="12392" xr:uid="{00000000-0005-0000-0000-0000480A0000}"/>
    <cellStyle name="Финансовый 2 2 10 3 2 3" xfId="5530" xr:uid="{00000000-0005-0000-0000-0000490A0000}"/>
    <cellStyle name="Финансовый 2 2 10 3 2 3 2" xfId="14173" xr:uid="{00000000-0005-0000-0000-00004A0A0000}"/>
    <cellStyle name="Финансовый 2 2 10 3 2 4" xfId="8140" xr:uid="{00000000-0005-0000-0000-00004B0A0000}"/>
    <cellStyle name="Финансовый 2 2 10 3 2 4 2" xfId="16783" xr:uid="{00000000-0005-0000-0000-00004C0A0000}"/>
    <cellStyle name="Финансовый 2 2 10 3 2 5" xfId="10747" xr:uid="{00000000-0005-0000-0000-00004D0A0000}"/>
    <cellStyle name="Финансовый 2 2 10 3 3" xfId="1135" xr:uid="{00000000-0005-0000-0000-00004E0A0000}"/>
    <cellStyle name="Финансовый 2 2 10 3 3 2" xfId="7175" xr:uid="{00000000-0005-0000-0000-00004F0A0000}"/>
    <cellStyle name="Финансовый 2 2 10 3 3 2 2" xfId="15818" xr:uid="{00000000-0005-0000-0000-0000500A0000}"/>
    <cellStyle name="Финансовый 2 2 10 3 3 3" xfId="9782" xr:uid="{00000000-0005-0000-0000-0000510A0000}"/>
    <cellStyle name="Финансовый 2 2 10 3 4" xfId="735" xr:uid="{00000000-0005-0000-0000-0000520A0000}"/>
    <cellStyle name="Финансовый 2 2 10 3 4 2" xfId="6775" xr:uid="{00000000-0005-0000-0000-0000530A0000}"/>
    <cellStyle name="Финансовый 2 2 10 3 4 2 2" xfId="15418" xr:uid="{00000000-0005-0000-0000-0000540A0000}"/>
    <cellStyle name="Финансовый 2 2 10 3 4 3" xfId="9382" xr:uid="{00000000-0005-0000-0000-0000550A0000}"/>
    <cellStyle name="Финансовый 2 2 10 3 5" xfId="2912" xr:uid="{00000000-0005-0000-0000-0000560A0000}"/>
    <cellStyle name="Финансовый 2 2 10 3 5 2" xfId="11557" xr:uid="{00000000-0005-0000-0000-0000570A0000}"/>
    <cellStyle name="Финансовый 2 2 10 3 6" xfId="4556" xr:uid="{00000000-0005-0000-0000-0000580A0000}"/>
    <cellStyle name="Финансовый 2 2 10 3 6 2" xfId="13201" xr:uid="{00000000-0005-0000-0000-0000590A0000}"/>
    <cellStyle name="Финансовый 2 2 10 3 7" xfId="6355" xr:uid="{00000000-0005-0000-0000-00005A0A0000}"/>
    <cellStyle name="Финансовый 2 2 10 3 7 2" xfId="14998" xr:uid="{00000000-0005-0000-0000-00005B0A0000}"/>
    <cellStyle name="Финансовый 2 2 10 3 8" xfId="8962" xr:uid="{00000000-0005-0000-0000-00005C0A0000}"/>
    <cellStyle name="Финансовый 2 2 10 4" xfId="1455" xr:uid="{00000000-0005-0000-0000-00005D0A0000}"/>
    <cellStyle name="Финансовый 2 2 10 4 2" xfId="1838" xr:uid="{00000000-0005-0000-0000-00005E0A0000}"/>
    <cellStyle name="Финансовый 2 2 10 4 2 2" xfId="3483" xr:uid="{00000000-0005-0000-0000-00005F0A0000}"/>
    <cellStyle name="Финансовый 2 2 10 4 2 2 2" xfId="12128" xr:uid="{00000000-0005-0000-0000-0000600A0000}"/>
    <cellStyle name="Финансовый 2 2 10 4 2 3" xfId="5266" xr:uid="{00000000-0005-0000-0000-0000610A0000}"/>
    <cellStyle name="Финансовый 2 2 10 4 2 3 2" xfId="13909" xr:uid="{00000000-0005-0000-0000-0000620A0000}"/>
    <cellStyle name="Финансовый 2 2 10 4 2 4" xfId="7876" xr:uid="{00000000-0005-0000-0000-0000630A0000}"/>
    <cellStyle name="Финансовый 2 2 10 4 2 4 2" xfId="16519" xr:uid="{00000000-0005-0000-0000-0000640A0000}"/>
    <cellStyle name="Финансовый 2 2 10 4 2 5" xfId="10483" xr:uid="{00000000-0005-0000-0000-0000650A0000}"/>
    <cellStyle name="Финансовый 2 2 10 4 3" xfId="4883" xr:uid="{00000000-0005-0000-0000-0000660A0000}"/>
    <cellStyle name="Финансовый 2 2 10 4 3 2" xfId="13526" xr:uid="{00000000-0005-0000-0000-0000670A0000}"/>
    <cellStyle name="Финансовый 2 2 10 4 4" xfId="7493" xr:uid="{00000000-0005-0000-0000-0000680A0000}"/>
    <cellStyle name="Финансовый 2 2 10 4 4 2" xfId="16136" xr:uid="{00000000-0005-0000-0000-0000690A0000}"/>
    <cellStyle name="Финансовый 2 2 10 4 5" xfId="10100" xr:uid="{00000000-0005-0000-0000-00006A0A0000}"/>
    <cellStyle name="Финансовый 2 2 10 5" xfId="1722" xr:uid="{00000000-0005-0000-0000-00006B0A0000}"/>
    <cellStyle name="Финансовый 2 2 10 5 2" xfId="3367" xr:uid="{00000000-0005-0000-0000-00006C0A0000}"/>
    <cellStyle name="Финансовый 2 2 10 5 2 2" xfId="12012" xr:uid="{00000000-0005-0000-0000-00006D0A0000}"/>
    <cellStyle name="Финансовый 2 2 10 5 3" xfId="5150" xr:uid="{00000000-0005-0000-0000-00006E0A0000}"/>
    <cellStyle name="Финансовый 2 2 10 5 3 2" xfId="13793" xr:uid="{00000000-0005-0000-0000-00006F0A0000}"/>
    <cellStyle name="Финансовый 2 2 10 5 4" xfId="7760" xr:uid="{00000000-0005-0000-0000-0000700A0000}"/>
    <cellStyle name="Финансовый 2 2 10 5 4 2" xfId="16403" xr:uid="{00000000-0005-0000-0000-0000710A0000}"/>
    <cellStyle name="Финансовый 2 2 10 5 5" xfId="10367" xr:uid="{00000000-0005-0000-0000-0000720A0000}"/>
    <cellStyle name="Финансовый 2 2 10 6" xfId="2358" xr:uid="{00000000-0005-0000-0000-0000730A0000}"/>
    <cellStyle name="Финансовый 2 2 10 6 2" xfId="4003" xr:uid="{00000000-0005-0000-0000-0000740A0000}"/>
    <cellStyle name="Финансовый 2 2 10 6 2 2" xfId="12648" xr:uid="{00000000-0005-0000-0000-0000750A0000}"/>
    <cellStyle name="Финансовый 2 2 10 6 3" xfId="5786" xr:uid="{00000000-0005-0000-0000-0000760A0000}"/>
    <cellStyle name="Финансовый 2 2 10 6 3 2" xfId="14429" xr:uid="{00000000-0005-0000-0000-0000770A0000}"/>
    <cellStyle name="Финансовый 2 2 10 6 4" xfId="8396" xr:uid="{00000000-0005-0000-0000-0000780A0000}"/>
    <cellStyle name="Финансовый 2 2 10 6 4 2" xfId="17039" xr:uid="{00000000-0005-0000-0000-0000790A0000}"/>
    <cellStyle name="Финансовый 2 2 10 6 5" xfId="11003" xr:uid="{00000000-0005-0000-0000-00007A0A0000}"/>
    <cellStyle name="Финансовый 2 2 10 7" xfId="1585" xr:uid="{00000000-0005-0000-0000-00007B0A0000}"/>
    <cellStyle name="Финансовый 2 2 10 7 2" xfId="3230" xr:uid="{00000000-0005-0000-0000-00007C0A0000}"/>
    <cellStyle name="Финансовый 2 2 10 7 2 2" xfId="11875" xr:uid="{00000000-0005-0000-0000-00007D0A0000}"/>
    <cellStyle name="Финансовый 2 2 10 7 3" xfId="5013" xr:uid="{00000000-0005-0000-0000-00007E0A0000}"/>
    <cellStyle name="Финансовый 2 2 10 7 3 2" xfId="13656" xr:uid="{00000000-0005-0000-0000-00007F0A0000}"/>
    <cellStyle name="Финансовый 2 2 10 7 4" xfId="7623" xr:uid="{00000000-0005-0000-0000-0000800A0000}"/>
    <cellStyle name="Финансовый 2 2 10 7 4 2" xfId="16266" xr:uid="{00000000-0005-0000-0000-0000810A0000}"/>
    <cellStyle name="Финансовый 2 2 10 7 5" xfId="10230" xr:uid="{00000000-0005-0000-0000-0000820A0000}"/>
    <cellStyle name="Финансовый 2 2 10 8" xfId="871" xr:uid="{00000000-0005-0000-0000-0000830A0000}"/>
    <cellStyle name="Финансовый 2 2 10 8 2" xfId="6911" xr:uid="{00000000-0005-0000-0000-0000840A0000}"/>
    <cellStyle name="Финансовый 2 2 10 8 2 2" xfId="15554" xr:uid="{00000000-0005-0000-0000-0000850A0000}"/>
    <cellStyle name="Финансовый 2 2 10 8 3" xfId="9518" xr:uid="{00000000-0005-0000-0000-0000860A0000}"/>
    <cellStyle name="Финансовый 2 2 10 9" xfId="451" xr:uid="{00000000-0005-0000-0000-0000870A0000}"/>
    <cellStyle name="Финансовый 2 2 10 9 2" xfId="6491" xr:uid="{00000000-0005-0000-0000-0000880A0000}"/>
    <cellStyle name="Финансовый 2 2 10 9 2 2" xfId="15134" xr:uid="{00000000-0005-0000-0000-0000890A0000}"/>
    <cellStyle name="Финансовый 2 2 10 9 3" xfId="9098" xr:uid="{00000000-0005-0000-0000-00008A0A0000}"/>
    <cellStyle name="Финансовый 2 2 11" xfId="16" xr:uid="{00000000-0005-0000-0000-00008B0A0000}"/>
    <cellStyle name="Финансовый 2 2 11 10" xfId="2628" xr:uid="{00000000-0005-0000-0000-00008C0A0000}"/>
    <cellStyle name="Финансовый 2 2 11 10 2" xfId="11273" xr:uid="{00000000-0005-0000-0000-00008D0A0000}"/>
    <cellStyle name="Финансовый 2 2 11 11" xfId="4271" xr:uid="{00000000-0005-0000-0000-00008E0A0000}"/>
    <cellStyle name="Финансовый 2 2 11 11 2" xfId="12916" xr:uid="{00000000-0005-0000-0000-00008F0A0000}"/>
    <cellStyle name="Финансовый 2 2 11 12" xfId="6059" xr:uid="{00000000-0005-0000-0000-0000900A0000}"/>
    <cellStyle name="Финансовый 2 2 11 12 2" xfId="14702" xr:uid="{00000000-0005-0000-0000-0000910A0000}"/>
    <cellStyle name="Финансовый 2 2 11 13" xfId="8666" xr:uid="{00000000-0005-0000-0000-0000920A0000}"/>
    <cellStyle name="Финансовый 2 2 11 2" xfId="154" xr:uid="{00000000-0005-0000-0000-0000930A0000}"/>
    <cellStyle name="Финансовый 2 2 11 2 10" xfId="8802" xr:uid="{00000000-0005-0000-0000-0000940A0000}"/>
    <cellStyle name="Финансовый 2 2 11 2 2" xfId="1252" xr:uid="{00000000-0005-0000-0000-0000950A0000}"/>
    <cellStyle name="Финансовый 2 2 11 2 2 2" xfId="2218" xr:uid="{00000000-0005-0000-0000-0000960A0000}"/>
    <cellStyle name="Финансовый 2 2 11 2 2 2 2" xfId="3863" xr:uid="{00000000-0005-0000-0000-0000970A0000}"/>
    <cellStyle name="Финансовый 2 2 11 2 2 2 2 2" xfId="12508" xr:uid="{00000000-0005-0000-0000-0000980A0000}"/>
    <cellStyle name="Финансовый 2 2 11 2 2 2 3" xfId="5646" xr:uid="{00000000-0005-0000-0000-0000990A0000}"/>
    <cellStyle name="Финансовый 2 2 11 2 2 2 3 2" xfId="14289" xr:uid="{00000000-0005-0000-0000-00009A0A0000}"/>
    <cellStyle name="Финансовый 2 2 11 2 2 2 4" xfId="8256" xr:uid="{00000000-0005-0000-0000-00009B0A0000}"/>
    <cellStyle name="Финансовый 2 2 11 2 2 2 4 2" xfId="16899" xr:uid="{00000000-0005-0000-0000-00009C0A0000}"/>
    <cellStyle name="Финансовый 2 2 11 2 2 2 5" xfId="10863" xr:uid="{00000000-0005-0000-0000-00009D0A0000}"/>
    <cellStyle name="Финансовый 2 2 11 2 2 3" xfId="3036" xr:uid="{00000000-0005-0000-0000-00009E0A0000}"/>
    <cellStyle name="Финансовый 2 2 11 2 2 3 2" xfId="11681" xr:uid="{00000000-0005-0000-0000-00009F0A0000}"/>
    <cellStyle name="Финансовый 2 2 11 2 2 4" xfId="4680" xr:uid="{00000000-0005-0000-0000-0000A00A0000}"/>
    <cellStyle name="Финансовый 2 2 11 2 2 4 2" xfId="13325" xr:uid="{00000000-0005-0000-0000-0000A10A0000}"/>
    <cellStyle name="Финансовый 2 2 11 2 2 5" xfId="7292" xr:uid="{00000000-0005-0000-0000-0000A20A0000}"/>
    <cellStyle name="Финансовый 2 2 11 2 2 5 2" xfId="15935" xr:uid="{00000000-0005-0000-0000-0000A30A0000}"/>
    <cellStyle name="Финансовый 2 2 11 2 2 6" xfId="9899" xr:uid="{00000000-0005-0000-0000-0000A40A0000}"/>
    <cellStyle name="Финансовый 2 2 11 2 3" xfId="1962" xr:uid="{00000000-0005-0000-0000-0000A50A0000}"/>
    <cellStyle name="Финансовый 2 2 11 2 3 2" xfId="3607" xr:uid="{00000000-0005-0000-0000-0000A60A0000}"/>
    <cellStyle name="Финансовый 2 2 11 2 3 2 2" xfId="12252" xr:uid="{00000000-0005-0000-0000-0000A70A0000}"/>
    <cellStyle name="Финансовый 2 2 11 2 3 3" xfId="5390" xr:uid="{00000000-0005-0000-0000-0000A80A0000}"/>
    <cellStyle name="Финансовый 2 2 11 2 3 3 2" xfId="14033" xr:uid="{00000000-0005-0000-0000-0000A90A0000}"/>
    <cellStyle name="Финансовый 2 2 11 2 3 4" xfId="8000" xr:uid="{00000000-0005-0000-0000-0000AA0A0000}"/>
    <cellStyle name="Финансовый 2 2 11 2 3 4 2" xfId="16643" xr:uid="{00000000-0005-0000-0000-0000AB0A0000}"/>
    <cellStyle name="Финансовый 2 2 11 2 3 5" xfId="10607" xr:uid="{00000000-0005-0000-0000-0000AC0A0000}"/>
    <cellStyle name="Финансовый 2 2 11 2 4" xfId="2483" xr:uid="{00000000-0005-0000-0000-0000AD0A0000}"/>
    <cellStyle name="Финансовый 2 2 11 2 4 2" xfId="4128" xr:uid="{00000000-0005-0000-0000-0000AE0A0000}"/>
    <cellStyle name="Финансовый 2 2 11 2 4 2 2" xfId="12773" xr:uid="{00000000-0005-0000-0000-0000AF0A0000}"/>
    <cellStyle name="Финансовый 2 2 11 2 4 3" xfId="5911" xr:uid="{00000000-0005-0000-0000-0000B00A0000}"/>
    <cellStyle name="Финансовый 2 2 11 2 4 3 2" xfId="14554" xr:uid="{00000000-0005-0000-0000-0000B10A0000}"/>
    <cellStyle name="Финансовый 2 2 11 2 4 4" xfId="8521" xr:uid="{00000000-0005-0000-0000-0000B20A0000}"/>
    <cellStyle name="Финансовый 2 2 11 2 4 4 2" xfId="17164" xr:uid="{00000000-0005-0000-0000-0000B30A0000}"/>
    <cellStyle name="Финансовый 2 2 11 2 4 5" xfId="11128" xr:uid="{00000000-0005-0000-0000-0000B40A0000}"/>
    <cellStyle name="Финансовый 2 2 11 2 5" xfId="987" xr:uid="{00000000-0005-0000-0000-0000B50A0000}"/>
    <cellStyle name="Финансовый 2 2 11 2 5 2" xfId="7027" xr:uid="{00000000-0005-0000-0000-0000B60A0000}"/>
    <cellStyle name="Финансовый 2 2 11 2 5 2 2" xfId="15670" xr:uid="{00000000-0005-0000-0000-0000B70A0000}"/>
    <cellStyle name="Финансовый 2 2 11 2 5 3" xfId="9634" xr:uid="{00000000-0005-0000-0000-0000B80A0000}"/>
    <cellStyle name="Финансовый 2 2 11 2 6" xfId="575" xr:uid="{00000000-0005-0000-0000-0000B90A0000}"/>
    <cellStyle name="Финансовый 2 2 11 2 6 2" xfId="6615" xr:uid="{00000000-0005-0000-0000-0000BA0A0000}"/>
    <cellStyle name="Финансовый 2 2 11 2 6 2 2" xfId="15258" xr:uid="{00000000-0005-0000-0000-0000BB0A0000}"/>
    <cellStyle name="Финансовый 2 2 11 2 6 3" xfId="9222" xr:uid="{00000000-0005-0000-0000-0000BC0A0000}"/>
    <cellStyle name="Финансовый 2 2 11 2 7" xfId="2764" xr:uid="{00000000-0005-0000-0000-0000BD0A0000}"/>
    <cellStyle name="Финансовый 2 2 11 2 7 2" xfId="11409" xr:uid="{00000000-0005-0000-0000-0000BE0A0000}"/>
    <cellStyle name="Финансовый 2 2 11 2 8" xfId="4408" xr:uid="{00000000-0005-0000-0000-0000BF0A0000}"/>
    <cellStyle name="Финансовый 2 2 11 2 8 2" xfId="13053" xr:uid="{00000000-0005-0000-0000-0000C00A0000}"/>
    <cellStyle name="Финансовый 2 2 11 2 9" xfId="6195" xr:uid="{00000000-0005-0000-0000-0000C10A0000}"/>
    <cellStyle name="Финансовый 2 2 11 2 9 2" xfId="14838" xr:uid="{00000000-0005-0000-0000-0000C20A0000}"/>
    <cellStyle name="Финансовый 2 2 11 3" xfId="303" xr:uid="{00000000-0005-0000-0000-0000C30A0000}"/>
    <cellStyle name="Финансовый 2 2 11 3 2" xfId="2090" xr:uid="{00000000-0005-0000-0000-0000C40A0000}"/>
    <cellStyle name="Финансовый 2 2 11 3 2 2" xfId="3735" xr:uid="{00000000-0005-0000-0000-0000C50A0000}"/>
    <cellStyle name="Финансовый 2 2 11 3 2 2 2" xfId="12380" xr:uid="{00000000-0005-0000-0000-0000C60A0000}"/>
    <cellStyle name="Финансовый 2 2 11 3 2 3" xfId="5518" xr:uid="{00000000-0005-0000-0000-0000C70A0000}"/>
    <cellStyle name="Финансовый 2 2 11 3 2 3 2" xfId="14161" xr:uid="{00000000-0005-0000-0000-0000C80A0000}"/>
    <cellStyle name="Финансовый 2 2 11 3 2 4" xfId="8128" xr:uid="{00000000-0005-0000-0000-0000C90A0000}"/>
    <cellStyle name="Финансовый 2 2 11 3 2 4 2" xfId="16771" xr:uid="{00000000-0005-0000-0000-0000CA0A0000}"/>
    <cellStyle name="Финансовый 2 2 11 3 2 5" xfId="10735" xr:uid="{00000000-0005-0000-0000-0000CB0A0000}"/>
    <cellStyle name="Финансовый 2 2 11 3 3" xfId="1123" xr:uid="{00000000-0005-0000-0000-0000CC0A0000}"/>
    <cellStyle name="Финансовый 2 2 11 3 3 2" xfId="7163" xr:uid="{00000000-0005-0000-0000-0000CD0A0000}"/>
    <cellStyle name="Финансовый 2 2 11 3 3 2 2" xfId="15806" xr:uid="{00000000-0005-0000-0000-0000CE0A0000}"/>
    <cellStyle name="Финансовый 2 2 11 3 3 3" xfId="9770" xr:uid="{00000000-0005-0000-0000-0000CF0A0000}"/>
    <cellStyle name="Финансовый 2 2 11 3 4" xfId="723" xr:uid="{00000000-0005-0000-0000-0000D00A0000}"/>
    <cellStyle name="Финансовый 2 2 11 3 4 2" xfId="6763" xr:uid="{00000000-0005-0000-0000-0000D10A0000}"/>
    <cellStyle name="Финансовый 2 2 11 3 4 2 2" xfId="15406" xr:uid="{00000000-0005-0000-0000-0000D20A0000}"/>
    <cellStyle name="Финансовый 2 2 11 3 4 3" xfId="9370" xr:uid="{00000000-0005-0000-0000-0000D30A0000}"/>
    <cellStyle name="Финансовый 2 2 11 3 5" xfId="2900" xr:uid="{00000000-0005-0000-0000-0000D40A0000}"/>
    <cellStyle name="Финансовый 2 2 11 3 5 2" xfId="11545" xr:uid="{00000000-0005-0000-0000-0000D50A0000}"/>
    <cellStyle name="Финансовый 2 2 11 3 6" xfId="4544" xr:uid="{00000000-0005-0000-0000-0000D60A0000}"/>
    <cellStyle name="Финансовый 2 2 11 3 6 2" xfId="13189" xr:uid="{00000000-0005-0000-0000-0000D70A0000}"/>
    <cellStyle name="Финансовый 2 2 11 3 7" xfId="6343" xr:uid="{00000000-0005-0000-0000-0000D80A0000}"/>
    <cellStyle name="Финансовый 2 2 11 3 7 2" xfId="14986" xr:uid="{00000000-0005-0000-0000-0000D90A0000}"/>
    <cellStyle name="Финансовый 2 2 11 3 8" xfId="8950" xr:uid="{00000000-0005-0000-0000-0000DA0A0000}"/>
    <cellStyle name="Финансовый 2 2 11 4" xfId="1424" xr:uid="{00000000-0005-0000-0000-0000DB0A0000}"/>
    <cellStyle name="Финансовый 2 2 11 4 2" xfId="1826" xr:uid="{00000000-0005-0000-0000-0000DC0A0000}"/>
    <cellStyle name="Финансовый 2 2 11 4 2 2" xfId="3471" xr:uid="{00000000-0005-0000-0000-0000DD0A0000}"/>
    <cellStyle name="Финансовый 2 2 11 4 2 2 2" xfId="12116" xr:uid="{00000000-0005-0000-0000-0000DE0A0000}"/>
    <cellStyle name="Финансовый 2 2 11 4 2 3" xfId="5254" xr:uid="{00000000-0005-0000-0000-0000DF0A0000}"/>
    <cellStyle name="Финансовый 2 2 11 4 2 3 2" xfId="13897" xr:uid="{00000000-0005-0000-0000-0000E00A0000}"/>
    <cellStyle name="Финансовый 2 2 11 4 2 4" xfId="7864" xr:uid="{00000000-0005-0000-0000-0000E10A0000}"/>
    <cellStyle name="Финансовый 2 2 11 4 2 4 2" xfId="16507" xr:uid="{00000000-0005-0000-0000-0000E20A0000}"/>
    <cellStyle name="Финансовый 2 2 11 4 2 5" xfId="10471" xr:uid="{00000000-0005-0000-0000-0000E30A0000}"/>
    <cellStyle name="Финансовый 2 2 11 4 3" xfId="4852" xr:uid="{00000000-0005-0000-0000-0000E40A0000}"/>
    <cellStyle name="Финансовый 2 2 11 4 3 2" xfId="13497" xr:uid="{00000000-0005-0000-0000-0000E50A0000}"/>
    <cellStyle name="Финансовый 2 2 11 4 4" xfId="7464" xr:uid="{00000000-0005-0000-0000-0000E60A0000}"/>
    <cellStyle name="Финансовый 2 2 11 4 4 2" xfId="16107" xr:uid="{00000000-0005-0000-0000-0000E70A0000}"/>
    <cellStyle name="Финансовый 2 2 11 4 5" xfId="10071" xr:uid="{00000000-0005-0000-0000-0000E80A0000}"/>
    <cellStyle name="Финансовый 2 2 11 5" xfId="1710" xr:uid="{00000000-0005-0000-0000-0000E90A0000}"/>
    <cellStyle name="Финансовый 2 2 11 5 2" xfId="3355" xr:uid="{00000000-0005-0000-0000-0000EA0A0000}"/>
    <cellStyle name="Финансовый 2 2 11 5 2 2" xfId="12000" xr:uid="{00000000-0005-0000-0000-0000EB0A0000}"/>
    <cellStyle name="Финансовый 2 2 11 5 3" xfId="5138" xr:uid="{00000000-0005-0000-0000-0000EC0A0000}"/>
    <cellStyle name="Финансовый 2 2 11 5 3 2" xfId="13781" xr:uid="{00000000-0005-0000-0000-0000ED0A0000}"/>
    <cellStyle name="Финансовый 2 2 11 5 4" xfId="7748" xr:uid="{00000000-0005-0000-0000-0000EE0A0000}"/>
    <cellStyle name="Финансовый 2 2 11 5 4 2" xfId="16391" xr:uid="{00000000-0005-0000-0000-0000EF0A0000}"/>
    <cellStyle name="Финансовый 2 2 11 5 5" xfId="10355" xr:uid="{00000000-0005-0000-0000-0000F00A0000}"/>
    <cellStyle name="Финансовый 2 2 11 6" xfId="2346" xr:uid="{00000000-0005-0000-0000-0000F10A0000}"/>
    <cellStyle name="Финансовый 2 2 11 6 2" xfId="3991" xr:uid="{00000000-0005-0000-0000-0000F20A0000}"/>
    <cellStyle name="Финансовый 2 2 11 6 2 2" xfId="12636" xr:uid="{00000000-0005-0000-0000-0000F30A0000}"/>
    <cellStyle name="Финансовый 2 2 11 6 3" xfId="5774" xr:uid="{00000000-0005-0000-0000-0000F40A0000}"/>
    <cellStyle name="Финансовый 2 2 11 6 3 2" xfId="14417" xr:uid="{00000000-0005-0000-0000-0000F50A0000}"/>
    <cellStyle name="Финансовый 2 2 11 6 4" xfId="8384" xr:uid="{00000000-0005-0000-0000-0000F60A0000}"/>
    <cellStyle name="Финансовый 2 2 11 6 4 2" xfId="17027" xr:uid="{00000000-0005-0000-0000-0000F70A0000}"/>
    <cellStyle name="Финансовый 2 2 11 6 5" xfId="10991" xr:uid="{00000000-0005-0000-0000-0000F80A0000}"/>
    <cellStyle name="Финансовый 2 2 11 7" xfId="1573" xr:uid="{00000000-0005-0000-0000-0000F90A0000}"/>
    <cellStyle name="Финансовый 2 2 11 7 2" xfId="3218" xr:uid="{00000000-0005-0000-0000-0000FA0A0000}"/>
    <cellStyle name="Финансовый 2 2 11 7 2 2" xfId="11863" xr:uid="{00000000-0005-0000-0000-0000FB0A0000}"/>
    <cellStyle name="Финансовый 2 2 11 7 3" xfId="5001" xr:uid="{00000000-0005-0000-0000-0000FC0A0000}"/>
    <cellStyle name="Финансовый 2 2 11 7 3 2" xfId="13644" xr:uid="{00000000-0005-0000-0000-0000FD0A0000}"/>
    <cellStyle name="Финансовый 2 2 11 7 4" xfId="7611" xr:uid="{00000000-0005-0000-0000-0000FE0A0000}"/>
    <cellStyle name="Финансовый 2 2 11 7 4 2" xfId="16254" xr:uid="{00000000-0005-0000-0000-0000FF0A0000}"/>
    <cellStyle name="Финансовый 2 2 11 7 5" xfId="10218" xr:uid="{00000000-0005-0000-0000-0000000B0000}"/>
    <cellStyle name="Финансовый 2 2 11 8" xfId="859" xr:uid="{00000000-0005-0000-0000-0000010B0000}"/>
    <cellStyle name="Финансовый 2 2 11 8 2" xfId="6899" xr:uid="{00000000-0005-0000-0000-0000020B0000}"/>
    <cellStyle name="Финансовый 2 2 11 8 2 2" xfId="15542" xr:uid="{00000000-0005-0000-0000-0000030B0000}"/>
    <cellStyle name="Финансовый 2 2 11 8 3" xfId="9506" xr:uid="{00000000-0005-0000-0000-0000040B0000}"/>
    <cellStyle name="Финансовый 2 2 11 9" xfId="439" xr:uid="{00000000-0005-0000-0000-0000050B0000}"/>
    <cellStyle name="Финансовый 2 2 11 9 2" xfId="6479" xr:uid="{00000000-0005-0000-0000-0000060B0000}"/>
    <cellStyle name="Финансовый 2 2 11 9 2 2" xfId="15122" xr:uid="{00000000-0005-0000-0000-0000070B0000}"/>
    <cellStyle name="Финансовый 2 2 11 9 3" xfId="9086" xr:uid="{00000000-0005-0000-0000-0000080B0000}"/>
    <cellStyle name="Финансовый 2 2 12" xfId="142" xr:uid="{00000000-0005-0000-0000-0000090B0000}"/>
    <cellStyle name="Финансовый 2 2 12 10" xfId="8790" xr:uid="{00000000-0005-0000-0000-00000A0B0000}"/>
    <cellStyle name="Финансовый 2 2 12 2" xfId="1240" xr:uid="{00000000-0005-0000-0000-00000B0B0000}"/>
    <cellStyle name="Финансовый 2 2 12 2 2" xfId="2206" xr:uid="{00000000-0005-0000-0000-00000C0B0000}"/>
    <cellStyle name="Финансовый 2 2 12 2 2 2" xfId="3851" xr:uid="{00000000-0005-0000-0000-00000D0B0000}"/>
    <cellStyle name="Финансовый 2 2 12 2 2 2 2" xfId="12496" xr:uid="{00000000-0005-0000-0000-00000E0B0000}"/>
    <cellStyle name="Финансовый 2 2 12 2 2 3" xfId="5634" xr:uid="{00000000-0005-0000-0000-00000F0B0000}"/>
    <cellStyle name="Финансовый 2 2 12 2 2 3 2" xfId="14277" xr:uid="{00000000-0005-0000-0000-0000100B0000}"/>
    <cellStyle name="Финансовый 2 2 12 2 2 4" xfId="8244" xr:uid="{00000000-0005-0000-0000-0000110B0000}"/>
    <cellStyle name="Финансовый 2 2 12 2 2 4 2" xfId="16887" xr:uid="{00000000-0005-0000-0000-0000120B0000}"/>
    <cellStyle name="Финансовый 2 2 12 2 2 5" xfId="10851" xr:uid="{00000000-0005-0000-0000-0000130B0000}"/>
    <cellStyle name="Финансовый 2 2 12 2 3" xfId="3024" xr:uid="{00000000-0005-0000-0000-0000140B0000}"/>
    <cellStyle name="Финансовый 2 2 12 2 3 2" xfId="11669" xr:uid="{00000000-0005-0000-0000-0000150B0000}"/>
    <cellStyle name="Финансовый 2 2 12 2 4" xfId="4668" xr:uid="{00000000-0005-0000-0000-0000160B0000}"/>
    <cellStyle name="Финансовый 2 2 12 2 4 2" xfId="13313" xr:uid="{00000000-0005-0000-0000-0000170B0000}"/>
    <cellStyle name="Финансовый 2 2 12 2 5" xfId="7280" xr:uid="{00000000-0005-0000-0000-0000180B0000}"/>
    <cellStyle name="Финансовый 2 2 12 2 5 2" xfId="15923" xr:uid="{00000000-0005-0000-0000-0000190B0000}"/>
    <cellStyle name="Финансовый 2 2 12 2 6" xfId="9887" xr:uid="{00000000-0005-0000-0000-00001A0B0000}"/>
    <cellStyle name="Финансовый 2 2 12 3" xfId="1950" xr:uid="{00000000-0005-0000-0000-00001B0B0000}"/>
    <cellStyle name="Финансовый 2 2 12 3 2" xfId="3595" xr:uid="{00000000-0005-0000-0000-00001C0B0000}"/>
    <cellStyle name="Финансовый 2 2 12 3 2 2" xfId="12240" xr:uid="{00000000-0005-0000-0000-00001D0B0000}"/>
    <cellStyle name="Финансовый 2 2 12 3 3" xfId="5378" xr:uid="{00000000-0005-0000-0000-00001E0B0000}"/>
    <cellStyle name="Финансовый 2 2 12 3 3 2" xfId="14021" xr:uid="{00000000-0005-0000-0000-00001F0B0000}"/>
    <cellStyle name="Финансовый 2 2 12 3 4" xfId="7988" xr:uid="{00000000-0005-0000-0000-0000200B0000}"/>
    <cellStyle name="Финансовый 2 2 12 3 4 2" xfId="16631" xr:uid="{00000000-0005-0000-0000-0000210B0000}"/>
    <cellStyle name="Финансовый 2 2 12 3 5" xfId="10595" xr:uid="{00000000-0005-0000-0000-0000220B0000}"/>
    <cellStyle name="Финансовый 2 2 12 4" xfId="2471" xr:uid="{00000000-0005-0000-0000-0000230B0000}"/>
    <cellStyle name="Финансовый 2 2 12 4 2" xfId="4116" xr:uid="{00000000-0005-0000-0000-0000240B0000}"/>
    <cellStyle name="Финансовый 2 2 12 4 2 2" xfId="12761" xr:uid="{00000000-0005-0000-0000-0000250B0000}"/>
    <cellStyle name="Финансовый 2 2 12 4 3" xfId="5899" xr:uid="{00000000-0005-0000-0000-0000260B0000}"/>
    <cellStyle name="Финансовый 2 2 12 4 3 2" xfId="14542" xr:uid="{00000000-0005-0000-0000-0000270B0000}"/>
    <cellStyle name="Финансовый 2 2 12 4 4" xfId="8509" xr:uid="{00000000-0005-0000-0000-0000280B0000}"/>
    <cellStyle name="Финансовый 2 2 12 4 4 2" xfId="17152" xr:uid="{00000000-0005-0000-0000-0000290B0000}"/>
    <cellStyle name="Финансовый 2 2 12 4 5" xfId="11116" xr:uid="{00000000-0005-0000-0000-00002A0B0000}"/>
    <cellStyle name="Финансовый 2 2 12 5" xfId="975" xr:uid="{00000000-0005-0000-0000-00002B0B0000}"/>
    <cellStyle name="Финансовый 2 2 12 5 2" xfId="7015" xr:uid="{00000000-0005-0000-0000-00002C0B0000}"/>
    <cellStyle name="Финансовый 2 2 12 5 2 2" xfId="15658" xr:uid="{00000000-0005-0000-0000-00002D0B0000}"/>
    <cellStyle name="Финансовый 2 2 12 5 3" xfId="9622" xr:uid="{00000000-0005-0000-0000-00002E0B0000}"/>
    <cellStyle name="Финансовый 2 2 12 6" xfId="563" xr:uid="{00000000-0005-0000-0000-00002F0B0000}"/>
    <cellStyle name="Финансовый 2 2 12 6 2" xfId="6603" xr:uid="{00000000-0005-0000-0000-0000300B0000}"/>
    <cellStyle name="Финансовый 2 2 12 6 2 2" xfId="15246" xr:uid="{00000000-0005-0000-0000-0000310B0000}"/>
    <cellStyle name="Финансовый 2 2 12 6 3" xfId="9210" xr:uid="{00000000-0005-0000-0000-0000320B0000}"/>
    <cellStyle name="Финансовый 2 2 12 7" xfId="2752" xr:uid="{00000000-0005-0000-0000-0000330B0000}"/>
    <cellStyle name="Финансовый 2 2 12 7 2" xfId="11397" xr:uid="{00000000-0005-0000-0000-0000340B0000}"/>
    <cellStyle name="Финансовый 2 2 12 8" xfId="4396" xr:uid="{00000000-0005-0000-0000-0000350B0000}"/>
    <cellStyle name="Финансовый 2 2 12 8 2" xfId="13041" xr:uid="{00000000-0005-0000-0000-0000360B0000}"/>
    <cellStyle name="Финансовый 2 2 12 9" xfId="6183" xr:uid="{00000000-0005-0000-0000-0000370B0000}"/>
    <cellStyle name="Финансовый 2 2 12 9 2" xfId="14826" xr:uid="{00000000-0005-0000-0000-0000380B0000}"/>
    <cellStyle name="Финансовый 2 2 13" xfId="278" xr:uid="{00000000-0005-0000-0000-0000390B0000}"/>
    <cellStyle name="Финансовый 2 2 13 2" xfId="2078" xr:uid="{00000000-0005-0000-0000-00003A0B0000}"/>
    <cellStyle name="Финансовый 2 2 13 2 2" xfId="3723" xr:uid="{00000000-0005-0000-0000-00003B0B0000}"/>
    <cellStyle name="Финансовый 2 2 13 2 2 2" xfId="12368" xr:uid="{00000000-0005-0000-0000-00003C0B0000}"/>
    <cellStyle name="Финансовый 2 2 13 2 3" xfId="5506" xr:uid="{00000000-0005-0000-0000-00003D0B0000}"/>
    <cellStyle name="Финансовый 2 2 13 2 3 2" xfId="14149" xr:uid="{00000000-0005-0000-0000-00003E0B0000}"/>
    <cellStyle name="Финансовый 2 2 13 2 4" xfId="8116" xr:uid="{00000000-0005-0000-0000-00003F0B0000}"/>
    <cellStyle name="Финансовый 2 2 13 2 4 2" xfId="16759" xr:uid="{00000000-0005-0000-0000-0000400B0000}"/>
    <cellStyle name="Финансовый 2 2 13 2 5" xfId="10723" xr:uid="{00000000-0005-0000-0000-0000410B0000}"/>
    <cellStyle name="Финансовый 2 2 13 3" xfId="1376" xr:uid="{00000000-0005-0000-0000-0000420B0000}"/>
    <cellStyle name="Финансовый 2 2 13 3 2" xfId="7416" xr:uid="{00000000-0005-0000-0000-0000430B0000}"/>
    <cellStyle name="Финансовый 2 2 13 3 2 2" xfId="16059" xr:uid="{00000000-0005-0000-0000-0000440B0000}"/>
    <cellStyle name="Финансовый 2 2 13 3 3" xfId="10023" xr:uid="{00000000-0005-0000-0000-0000450B0000}"/>
    <cellStyle name="Финансовый 2 2 13 4" xfId="699" xr:uid="{00000000-0005-0000-0000-0000460B0000}"/>
    <cellStyle name="Финансовый 2 2 13 4 2" xfId="6739" xr:uid="{00000000-0005-0000-0000-0000470B0000}"/>
    <cellStyle name="Финансовый 2 2 13 4 2 2" xfId="15382" xr:uid="{00000000-0005-0000-0000-0000480B0000}"/>
    <cellStyle name="Финансовый 2 2 13 4 3" xfId="9346" xr:uid="{00000000-0005-0000-0000-0000490B0000}"/>
    <cellStyle name="Финансовый 2 2 13 5" xfId="3160" xr:uid="{00000000-0005-0000-0000-00004A0B0000}"/>
    <cellStyle name="Финансовый 2 2 13 5 2" xfId="11805" xr:uid="{00000000-0005-0000-0000-00004B0B0000}"/>
    <cellStyle name="Финансовый 2 2 13 6" xfId="4804" xr:uid="{00000000-0005-0000-0000-00004C0B0000}"/>
    <cellStyle name="Финансовый 2 2 13 6 2" xfId="13449" xr:uid="{00000000-0005-0000-0000-00004D0B0000}"/>
    <cellStyle name="Финансовый 2 2 13 7" xfId="6319" xr:uid="{00000000-0005-0000-0000-00004E0B0000}"/>
    <cellStyle name="Финансовый 2 2 13 7 2" xfId="14962" xr:uid="{00000000-0005-0000-0000-00004F0B0000}"/>
    <cellStyle name="Финансовый 2 2 13 8" xfId="8926" xr:uid="{00000000-0005-0000-0000-0000500B0000}"/>
    <cellStyle name="Финансовый 2 2 14" xfId="291" xr:uid="{00000000-0005-0000-0000-0000510B0000}"/>
    <cellStyle name="Финансовый 2 2 14 2" xfId="1111" xr:uid="{00000000-0005-0000-0000-0000520B0000}"/>
    <cellStyle name="Финансовый 2 2 14 2 2" xfId="7151" xr:uid="{00000000-0005-0000-0000-0000530B0000}"/>
    <cellStyle name="Финансовый 2 2 14 2 2 2" xfId="15794" xr:uid="{00000000-0005-0000-0000-0000540B0000}"/>
    <cellStyle name="Финансовый 2 2 14 2 3" xfId="9758" xr:uid="{00000000-0005-0000-0000-0000550B0000}"/>
    <cellStyle name="Финансовый 2 2 14 3" xfId="711" xr:uid="{00000000-0005-0000-0000-0000560B0000}"/>
    <cellStyle name="Финансовый 2 2 14 3 2" xfId="6751" xr:uid="{00000000-0005-0000-0000-0000570B0000}"/>
    <cellStyle name="Финансовый 2 2 14 3 2 2" xfId="15394" xr:uid="{00000000-0005-0000-0000-0000580B0000}"/>
    <cellStyle name="Финансовый 2 2 14 3 3" xfId="9358" xr:uid="{00000000-0005-0000-0000-0000590B0000}"/>
    <cellStyle name="Финансовый 2 2 14 4" xfId="2888" xr:uid="{00000000-0005-0000-0000-00005A0B0000}"/>
    <cellStyle name="Финансовый 2 2 14 4 2" xfId="11533" xr:uid="{00000000-0005-0000-0000-00005B0B0000}"/>
    <cellStyle name="Финансовый 2 2 14 5" xfId="4532" xr:uid="{00000000-0005-0000-0000-00005C0B0000}"/>
    <cellStyle name="Финансовый 2 2 14 5 2" xfId="13177" xr:uid="{00000000-0005-0000-0000-00005D0B0000}"/>
    <cellStyle name="Финансовый 2 2 14 6" xfId="6331" xr:uid="{00000000-0005-0000-0000-00005E0B0000}"/>
    <cellStyle name="Финансовый 2 2 14 6 2" xfId="14974" xr:uid="{00000000-0005-0000-0000-00005F0B0000}"/>
    <cellStyle name="Финансовый 2 2 14 7" xfId="8938" xr:uid="{00000000-0005-0000-0000-0000600B0000}"/>
    <cellStyle name="Финансовый 2 2 15" xfId="1454" xr:uid="{00000000-0005-0000-0000-0000610B0000}"/>
    <cellStyle name="Финансовый 2 2 15 2" xfId="1698" xr:uid="{00000000-0005-0000-0000-0000620B0000}"/>
    <cellStyle name="Финансовый 2 2 15 2 2" xfId="3343" xr:uid="{00000000-0005-0000-0000-0000630B0000}"/>
    <cellStyle name="Финансовый 2 2 15 2 2 2" xfId="11988" xr:uid="{00000000-0005-0000-0000-0000640B0000}"/>
    <cellStyle name="Финансовый 2 2 15 2 3" xfId="5126" xr:uid="{00000000-0005-0000-0000-0000650B0000}"/>
    <cellStyle name="Финансовый 2 2 15 2 3 2" xfId="13769" xr:uid="{00000000-0005-0000-0000-0000660B0000}"/>
    <cellStyle name="Финансовый 2 2 15 2 4" xfId="7736" xr:uid="{00000000-0005-0000-0000-0000670B0000}"/>
    <cellStyle name="Финансовый 2 2 15 2 4 2" xfId="16379" xr:uid="{00000000-0005-0000-0000-0000680B0000}"/>
    <cellStyle name="Финансовый 2 2 15 2 5" xfId="10343" xr:uid="{00000000-0005-0000-0000-0000690B0000}"/>
    <cellStyle name="Финансовый 2 2 15 3" xfId="4882" xr:uid="{00000000-0005-0000-0000-00006A0B0000}"/>
    <cellStyle name="Финансовый 2 2 15 3 2" xfId="13525" xr:uid="{00000000-0005-0000-0000-00006B0B0000}"/>
    <cellStyle name="Финансовый 2 2 15 4" xfId="7492" xr:uid="{00000000-0005-0000-0000-00006C0B0000}"/>
    <cellStyle name="Финансовый 2 2 15 4 2" xfId="16135" xr:uid="{00000000-0005-0000-0000-00006D0B0000}"/>
    <cellStyle name="Финансовый 2 2 15 5" xfId="10099" xr:uid="{00000000-0005-0000-0000-00006E0B0000}"/>
    <cellStyle name="Финансовый 2 2 16" xfId="2334" xr:uid="{00000000-0005-0000-0000-00006F0B0000}"/>
    <cellStyle name="Финансовый 2 2 16 2" xfId="3979" xr:uid="{00000000-0005-0000-0000-0000700B0000}"/>
    <cellStyle name="Финансовый 2 2 16 2 2" xfId="12624" xr:uid="{00000000-0005-0000-0000-0000710B0000}"/>
    <cellStyle name="Финансовый 2 2 16 3" xfId="5762" xr:uid="{00000000-0005-0000-0000-0000720B0000}"/>
    <cellStyle name="Финансовый 2 2 16 3 2" xfId="14405" xr:uid="{00000000-0005-0000-0000-0000730B0000}"/>
    <cellStyle name="Финансовый 2 2 16 4" xfId="8372" xr:uid="{00000000-0005-0000-0000-0000740B0000}"/>
    <cellStyle name="Финансовый 2 2 16 4 2" xfId="17015" xr:uid="{00000000-0005-0000-0000-0000750B0000}"/>
    <cellStyle name="Финансовый 2 2 16 5" xfId="10979" xr:uid="{00000000-0005-0000-0000-0000760B0000}"/>
    <cellStyle name="Финансовый 2 2 17" xfId="1561" xr:uid="{00000000-0005-0000-0000-0000770B0000}"/>
    <cellStyle name="Финансовый 2 2 17 2" xfId="3206" xr:uid="{00000000-0005-0000-0000-0000780B0000}"/>
    <cellStyle name="Финансовый 2 2 17 2 2" xfId="11851" xr:uid="{00000000-0005-0000-0000-0000790B0000}"/>
    <cellStyle name="Финансовый 2 2 17 3" xfId="4989" xr:uid="{00000000-0005-0000-0000-00007A0B0000}"/>
    <cellStyle name="Финансовый 2 2 17 3 2" xfId="13632" xr:uid="{00000000-0005-0000-0000-00007B0B0000}"/>
    <cellStyle name="Финансовый 2 2 17 4" xfId="7599" xr:uid="{00000000-0005-0000-0000-00007C0B0000}"/>
    <cellStyle name="Финансовый 2 2 17 4 2" xfId="16242" xr:uid="{00000000-0005-0000-0000-00007D0B0000}"/>
    <cellStyle name="Финансовый 2 2 17 5" xfId="10206" xr:uid="{00000000-0005-0000-0000-00007E0B0000}"/>
    <cellStyle name="Финансовый 2 2 18" xfId="847" xr:uid="{00000000-0005-0000-0000-00007F0B0000}"/>
    <cellStyle name="Финансовый 2 2 18 2" xfId="6887" xr:uid="{00000000-0005-0000-0000-0000800B0000}"/>
    <cellStyle name="Финансовый 2 2 18 2 2" xfId="15530" xr:uid="{00000000-0005-0000-0000-0000810B0000}"/>
    <cellStyle name="Финансовый 2 2 18 3" xfId="9494" xr:uid="{00000000-0005-0000-0000-0000820B0000}"/>
    <cellStyle name="Финансовый 2 2 19" xfId="427" xr:uid="{00000000-0005-0000-0000-0000830B0000}"/>
    <cellStyle name="Финансовый 2 2 19 2" xfId="6467" xr:uid="{00000000-0005-0000-0000-0000840B0000}"/>
    <cellStyle name="Финансовый 2 2 19 2 2" xfId="15110" xr:uid="{00000000-0005-0000-0000-0000850B0000}"/>
    <cellStyle name="Финансовый 2 2 19 3" xfId="9074" xr:uid="{00000000-0005-0000-0000-0000860B0000}"/>
    <cellStyle name="Финансовый 2 2 2" xfId="10" xr:uid="{00000000-0005-0000-0000-0000870B0000}"/>
    <cellStyle name="Финансовый 2 2 2 10" xfId="284" xr:uid="{00000000-0005-0000-0000-0000880B0000}"/>
    <cellStyle name="Финансовый 2 2 2 10 2" xfId="2084" xr:uid="{00000000-0005-0000-0000-0000890B0000}"/>
    <cellStyle name="Финансовый 2 2 2 10 2 2" xfId="3729" xr:uid="{00000000-0005-0000-0000-00008A0B0000}"/>
    <cellStyle name="Финансовый 2 2 2 10 2 2 2" xfId="12374" xr:uid="{00000000-0005-0000-0000-00008B0B0000}"/>
    <cellStyle name="Финансовый 2 2 2 10 2 3" xfId="5512" xr:uid="{00000000-0005-0000-0000-00008C0B0000}"/>
    <cellStyle name="Финансовый 2 2 2 10 2 3 2" xfId="14155" xr:uid="{00000000-0005-0000-0000-00008D0B0000}"/>
    <cellStyle name="Финансовый 2 2 2 10 2 4" xfId="8122" xr:uid="{00000000-0005-0000-0000-00008E0B0000}"/>
    <cellStyle name="Финансовый 2 2 2 10 2 4 2" xfId="16765" xr:uid="{00000000-0005-0000-0000-00008F0B0000}"/>
    <cellStyle name="Финансовый 2 2 2 10 2 5" xfId="10729" xr:uid="{00000000-0005-0000-0000-0000900B0000}"/>
    <cellStyle name="Финансовый 2 2 2 10 3" xfId="1382" xr:uid="{00000000-0005-0000-0000-0000910B0000}"/>
    <cellStyle name="Финансовый 2 2 2 10 3 2" xfId="7422" xr:uid="{00000000-0005-0000-0000-0000920B0000}"/>
    <cellStyle name="Финансовый 2 2 2 10 3 2 2" xfId="16065" xr:uid="{00000000-0005-0000-0000-0000930B0000}"/>
    <cellStyle name="Финансовый 2 2 2 10 3 3" xfId="10029" xr:uid="{00000000-0005-0000-0000-0000940B0000}"/>
    <cellStyle name="Финансовый 2 2 2 10 4" xfId="705" xr:uid="{00000000-0005-0000-0000-0000950B0000}"/>
    <cellStyle name="Финансовый 2 2 2 10 4 2" xfId="6745" xr:uid="{00000000-0005-0000-0000-0000960B0000}"/>
    <cellStyle name="Финансовый 2 2 2 10 4 2 2" xfId="15388" xr:uid="{00000000-0005-0000-0000-0000970B0000}"/>
    <cellStyle name="Финансовый 2 2 2 10 4 3" xfId="9352" xr:uid="{00000000-0005-0000-0000-0000980B0000}"/>
    <cellStyle name="Финансовый 2 2 2 10 5" xfId="3166" xr:uid="{00000000-0005-0000-0000-0000990B0000}"/>
    <cellStyle name="Финансовый 2 2 2 10 5 2" xfId="11811" xr:uid="{00000000-0005-0000-0000-00009A0B0000}"/>
    <cellStyle name="Финансовый 2 2 2 10 6" xfId="4810" xr:uid="{00000000-0005-0000-0000-00009B0B0000}"/>
    <cellStyle name="Финансовый 2 2 2 10 6 2" xfId="13455" xr:uid="{00000000-0005-0000-0000-00009C0B0000}"/>
    <cellStyle name="Финансовый 2 2 2 10 7" xfId="6325" xr:uid="{00000000-0005-0000-0000-00009D0B0000}"/>
    <cellStyle name="Финансовый 2 2 2 10 7 2" xfId="14968" xr:uid="{00000000-0005-0000-0000-00009E0B0000}"/>
    <cellStyle name="Финансовый 2 2 2 10 8" xfId="8932" xr:uid="{00000000-0005-0000-0000-00009F0B0000}"/>
    <cellStyle name="Финансовый 2 2 2 11" xfId="297" xr:uid="{00000000-0005-0000-0000-0000A00B0000}"/>
    <cellStyle name="Финансовый 2 2 2 11 2" xfId="1117" xr:uid="{00000000-0005-0000-0000-0000A10B0000}"/>
    <cellStyle name="Финансовый 2 2 2 11 2 2" xfId="7157" xr:uid="{00000000-0005-0000-0000-0000A20B0000}"/>
    <cellStyle name="Финансовый 2 2 2 11 2 2 2" xfId="15800" xr:uid="{00000000-0005-0000-0000-0000A30B0000}"/>
    <cellStyle name="Финансовый 2 2 2 11 2 3" xfId="9764" xr:uid="{00000000-0005-0000-0000-0000A40B0000}"/>
    <cellStyle name="Финансовый 2 2 2 11 3" xfId="717" xr:uid="{00000000-0005-0000-0000-0000A50B0000}"/>
    <cellStyle name="Финансовый 2 2 2 11 3 2" xfId="6757" xr:uid="{00000000-0005-0000-0000-0000A60B0000}"/>
    <cellStyle name="Финансовый 2 2 2 11 3 2 2" xfId="15400" xr:uid="{00000000-0005-0000-0000-0000A70B0000}"/>
    <cellStyle name="Финансовый 2 2 2 11 3 3" xfId="9364" xr:uid="{00000000-0005-0000-0000-0000A80B0000}"/>
    <cellStyle name="Финансовый 2 2 2 11 4" xfId="2894" xr:uid="{00000000-0005-0000-0000-0000A90B0000}"/>
    <cellStyle name="Финансовый 2 2 2 11 4 2" xfId="11539" xr:uid="{00000000-0005-0000-0000-0000AA0B0000}"/>
    <cellStyle name="Финансовый 2 2 2 11 5" xfId="4538" xr:uid="{00000000-0005-0000-0000-0000AB0B0000}"/>
    <cellStyle name="Финансовый 2 2 2 11 5 2" xfId="13183" xr:uid="{00000000-0005-0000-0000-0000AC0B0000}"/>
    <cellStyle name="Финансовый 2 2 2 11 6" xfId="6337" xr:uid="{00000000-0005-0000-0000-0000AD0B0000}"/>
    <cellStyle name="Финансовый 2 2 2 11 6 2" xfId="14980" xr:uid="{00000000-0005-0000-0000-0000AE0B0000}"/>
    <cellStyle name="Финансовый 2 2 2 11 7" xfId="8944" xr:uid="{00000000-0005-0000-0000-0000AF0B0000}"/>
    <cellStyle name="Финансовый 2 2 2 12" xfId="1457" xr:uid="{00000000-0005-0000-0000-0000B00B0000}"/>
    <cellStyle name="Финансовый 2 2 2 12 2" xfId="1704" xr:uid="{00000000-0005-0000-0000-0000B10B0000}"/>
    <cellStyle name="Финансовый 2 2 2 12 2 2" xfId="3349" xr:uid="{00000000-0005-0000-0000-0000B20B0000}"/>
    <cellStyle name="Финансовый 2 2 2 12 2 2 2" xfId="11994" xr:uid="{00000000-0005-0000-0000-0000B30B0000}"/>
    <cellStyle name="Финансовый 2 2 2 12 2 3" xfId="5132" xr:uid="{00000000-0005-0000-0000-0000B40B0000}"/>
    <cellStyle name="Финансовый 2 2 2 12 2 3 2" xfId="13775" xr:uid="{00000000-0005-0000-0000-0000B50B0000}"/>
    <cellStyle name="Финансовый 2 2 2 12 2 4" xfId="7742" xr:uid="{00000000-0005-0000-0000-0000B60B0000}"/>
    <cellStyle name="Финансовый 2 2 2 12 2 4 2" xfId="16385" xr:uid="{00000000-0005-0000-0000-0000B70B0000}"/>
    <cellStyle name="Финансовый 2 2 2 12 2 5" xfId="10349" xr:uid="{00000000-0005-0000-0000-0000B80B0000}"/>
    <cellStyle name="Финансовый 2 2 2 12 3" xfId="4885" xr:uid="{00000000-0005-0000-0000-0000B90B0000}"/>
    <cellStyle name="Финансовый 2 2 2 12 3 2" xfId="13528" xr:uid="{00000000-0005-0000-0000-0000BA0B0000}"/>
    <cellStyle name="Финансовый 2 2 2 12 4" xfId="7495" xr:uid="{00000000-0005-0000-0000-0000BB0B0000}"/>
    <cellStyle name="Финансовый 2 2 2 12 4 2" xfId="16138" xr:uid="{00000000-0005-0000-0000-0000BC0B0000}"/>
    <cellStyle name="Финансовый 2 2 2 12 5" xfId="10102" xr:uid="{00000000-0005-0000-0000-0000BD0B0000}"/>
    <cellStyle name="Финансовый 2 2 2 13" xfId="2340" xr:uid="{00000000-0005-0000-0000-0000BE0B0000}"/>
    <cellStyle name="Финансовый 2 2 2 13 2" xfId="3985" xr:uid="{00000000-0005-0000-0000-0000BF0B0000}"/>
    <cellStyle name="Финансовый 2 2 2 13 2 2" xfId="12630" xr:uid="{00000000-0005-0000-0000-0000C00B0000}"/>
    <cellStyle name="Финансовый 2 2 2 13 3" xfId="5768" xr:uid="{00000000-0005-0000-0000-0000C10B0000}"/>
    <cellStyle name="Финансовый 2 2 2 13 3 2" xfId="14411" xr:uid="{00000000-0005-0000-0000-0000C20B0000}"/>
    <cellStyle name="Финансовый 2 2 2 13 4" xfId="8378" xr:uid="{00000000-0005-0000-0000-0000C30B0000}"/>
    <cellStyle name="Финансовый 2 2 2 13 4 2" xfId="17021" xr:uid="{00000000-0005-0000-0000-0000C40B0000}"/>
    <cellStyle name="Финансовый 2 2 2 13 5" xfId="10985" xr:uid="{00000000-0005-0000-0000-0000C50B0000}"/>
    <cellStyle name="Финансовый 2 2 2 14" xfId="1567" xr:uid="{00000000-0005-0000-0000-0000C60B0000}"/>
    <cellStyle name="Финансовый 2 2 2 14 2" xfId="3212" xr:uid="{00000000-0005-0000-0000-0000C70B0000}"/>
    <cellStyle name="Финансовый 2 2 2 14 2 2" xfId="11857" xr:uid="{00000000-0005-0000-0000-0000C80B0000}"/>
    <cellStyle name="Финансовый 2 2 2 14 3" xfId="4995" xr:uid="{00000000-0005-0000-0000-0000C90B0000}"/>
    <cellStyle name="Финансовый 2 2 2 14 3 2" xfId="13638" xr:uid="{00000000-0005-0000-0000-0000CA0B0000}"/>
    <cellStyle name="Финансовый 2 2 2 14 4" xfId="7605" xr:uid="{00000000-0005-0000-0000-0000CB0B0000}"/>
    <cellStyle name="Финансовый 2 2 2 14 4 2" xfId="16248" xr:uid="{00000000-0005-0000-0000-0000CC0B0000}"/>
    <cellStyle name="Финансовый 2 2 2 14 5" xfId="10212" xr:uid="{00000000-0005-0000-0000-0000CD0B0000}"/>
    <cellStyle name="Финансовый 2 2 2 15" xfId="853" xr:uid="{00000000-0005-0000-0000-0000CE0B0000}"/>
    <cellStyle name="Финансовый 2 2 2 15 2" xfId="6893" xr:uid="{00000000-0005-0000-0000-0000CF0B0000}"/>
    <cellStyle name="Финансовый 2 2 2 15 2 2" xfId="15536" xr:uid="{00000000-0005-0000-0000-0000D00B0000}"/>
    <cellStyle name="Финансовый 2 2 2 15 3" xfId="9500" xr:uid="{00000000-0005-0000-0000-0000D10B0000}"/>
    <cellStyle name="Финансовый 2 2 2 16" xfId="433" xr:uid="{00000000-0005-0000-0000-0000D20B0000}"/>
    <cellStyle name="Финансовый 2 2 2 16 2" xfId="6473" xr:uid="{00000000-0005-0000-0000-0000D30B0000}"/>
    <cellStyle name="Финансовый 2 2 2 16 2 2" xfId="15116" xr:uid="{00000000-0005-0000-0000-0000D40B0000}"/>
    <cellStyle name="Финансовый 2 2 2 16 3" xfId="9080" xr:uid="{00000000-0005-0000-0000-0000D50B0000}"/>
    <cellStyle name="Финансовый 2 2 2 17" xfId="2622" xr:uid="{00000000-0005-0000-0000-0000D60B0000}"/>
    <cellStyle name="Финансовый 2 2 2 17 2" xfId="11267" xr:uid="{00000000-0005-0000-0000-0000D70B0000}"/>
    <cellStyle name="Финансовый 2 2 2 18" xfId="4265" xr:uid="{00000000-0005-0000-0000-0000D80B0000}"/>
    <cellStyle name="Финансовый 2 2 2 18 2" xfId="12910" xr:uid="{00000000-0005-0000-0000-0000D90B0000}"/>
    <cellStyle name="Финансовый 2 2 2 19" xfId="6053" xr:uid="{00000000-0005-0000-0000-0000DA0B0000}"/>
    <cellStyle name="Финансовый 2 2 2 19 2" xfId="14696" xr:uid="{00000000-0005-0000-0000-0000DB0B0000}"/>
    <cellStyle name="Финансовый 2 2 2 2" xfId="46" xr:uid="{00000000-0005-0000-0000-0000DC0B0000}"/>
    <cellStyle name="Финансовый 2 2 2 2 10" xfId="469" xr:uid="{00000000-0005-0000-0000-0000DD0B0000}"/>
    <cellStyle name="Финансовый 2 2 2 2 10 2" xfId="6509" xr:uid="{00000000-0005-0000-0000-0000DE0B0000}"/>
    <cellStyle name="Финансовый 2 2 2 2 10 2 2" xfId="15152" xr:uid="{00000000-0005-0000-0000-0000DF0B0000}"/>
    <cellStyle name="Финансовый 2 2 2 2 10 3" xfId="9116" xr:uid="{00000000-0005-0000-0000-0000E00B0000}"/>
    <cellStyle name="Финансовый 2 2 2 2 11" xfId="2658" xr:uid="{00000000-0005-0000-0000-0000E10B0000}"/>
    <cellStyle name="Финансовый 2 2 2 2 11 2" xfId="11303" xr:uid="{00000000-0005-0000-0000-0000E20B0000}"/>
    <cellStyle name="Финансовый 2 2 2 2 12" xfId="4301" xr:uid="{00000000-0005-0000-0000-0000E30B0000}"/>
    <cellStyle name="Финансовый 2 2 2 2 12 2" xfId="12946" xr:uid="{00000000-0005-0000-0000-0000E40B0000}"/>
    <cellStyle name="Финансовый 2 2 2 2 13" xfId="6089" xr:uid="{00000000-0005-0000-0000-0000E50B0000}"/>
    <cellStyle name="Финансовый 2 2 2 2 13 2" xfId="14732" xr:uid="{00000000-0005-0000-0000-0000E60B0000}"/>
    <cellStyle name="Финансовый 2 2 2 2 14" xfId="8696" xr:uid="{00000000-0005-0000-0000-0000E70B0000}"/>
    <cellStyle name="Финансовый 2 2 2 2 2" xfId="104" xr:uid="{00000000-0005-0000-0000-0000E80B0000}"/>
    <cellStyle name="Финансовый 2 2 2 2 2 10" xfId="2714" xr:uid="{00000000-0005-0000-0000-0000E90B0000}"/>
    <cellStyle name="Финансовый 2 2 2 2 2 10 2" xfId="11359" xr:uid="{00000000-0005-0000-0000-0000EA0B0000}"/>
    <cellStyle name="Финансовый 2 2 2 2 2 11" xfId="4358" xr:uid="{00000000-0005-0000-0000-0000EB0B0000}"/>
    <cellStyle name="Финансовый 2 2 2 2 2 11 2" xfId="13003" xr:uid="{00000000-0005-0000-0000-0000EC0B0000}"/>
    <cellStyle name="Финансовый 2 2 2 2 2 12" xfId="6145" xr:uid="{00000000-0005-0000-0000-0000ED0B0000}"/>
    <cellStyle name="Финансовый 2 2 2 2 2 12 2" xfId="14788" xr:uid="{00000000-0005-0000-0000-0000EE0B0000}"/>
    <cellStyle name="Финансовый 2 2 2 2 2 13" xfId="8752" xr:uid="{00000000-0005-0000-0000-0000EF0B0000}"/>
    <cellStyle name="Финансовый 2 2 2 2 2 2" xfId="240" xr:uid="{00000000-0005-0000-0000-0000F00B0000}"/>
    <cellStyle name="Финансовый 2 2 2 2 2 2 10" xfId="8888" xr:uid="{00000000-0005-0000-0000-0000F10B0000}"/>
    <cellStyle name="Финансовый 2 2 2 2 2 2 2" xfId="1338" xr:uid="{00000000-0005-0000-0000-0000F20B0000}"/>
    <cellStyle name="Финансовый 2 2 2 2 2 2 2 2" xfId="2296" xr:uid="{00000000-0005-0000-0000-0000F30B0000}"/>
    <cellStyle name="Финансовый 2 2 2 2 2 2 2 2 2" xfId="3941" xr:uid="{00000000-0005-0000-0000-0000F40B0000}"/>
    <cellStyle name="Финансовый 2 2 2 2 2 2 2 2 2 2" xfId="12586" xr:uid="{00000000-0005-0000-0000-0000F50B0000}"/>
    <cellStyle name="Финансовый 2 2 2 2 2 2 2 2 3" xfId="5724" xr:uid="{00000000-0005-0000-0000-0000F60B0000}"/>
    <cellStyle name="Финансовый 2 2 2 2 2 2 2 2 3 2" xfId="14367" xr:uid="{00000000-0005-0000-0000-0000F70B0000}"/>
    <cellStyle name="Финансовый 2 2 2 2 2 2 2 2 4" xfId="8334" xr:uid="{00000000-0005-0000-0000-0000F80B0000}"/>
    <cellStyle name="Финансовый 2 2 2 2 2 2 2 2 4 2" xfId="16977" xr:uid="{00000000-0005-0000-0000-0000F90B0000}"/>
    <cellStyle name="Финансовый 2 2 2 2 2 2 2 2 5" xfId="10941" xr:uid="{00000000-0005-0000-0000-0000FA0B0000}"/>
    <cellStyle name="Финансовый 2 2 2 2 2 2 2 3" xfId="3122" xr:uid="{00000000-0005-0000-0000-0000FB0B0000}"/>
    <cellStyle name="Финансовый 2 2 2 2 2 2 2 3 2" xfId="11767" xr:uid="{00000000-0005-0000-0000-0000FC0B0000}"/>
    <cellStyle name="Финансовый 2 2 2 2 2 2 2 4" xfId="4766" xr:uid="{00000000-0005-0000-0000-0000FD0B0000}"/>
    <cellStyle name="Финансовый 2 2 2 2 2 2 2 4 2" xfId="13411" xr:uid="{00000000-0005-0000-0000-0000FE0B0000}"/>
    <cellStyle name="Финансовый 2 2 2 2 2 2 2 5" xfId="7378" xr:uid="{00000000-0005-0000-0000-0000FF0B0000}"/>
    <cellStyle name="Финансовый 2 2 2 2 2 2 2 5 2" xfId="16021" xr:uid="{00000000-0005-0000-0000-0000000C0000}"/>
    <cellStyle name="Финансовый 2 2 2 2 2 2 2 6" xfId="9985" xr:uid="{00000000-0005-0000-0000-0000010C0000}"/>
    <cellStyle name="Финансовый 2 2 2 2 2 2 3" xfId="2040" xr:uid="{00000000-0005-0000-0000-0000020C0000}"/>
    <cellStyle name="Финансовый 2 2 2 2 2 2 3 2" xfId="3685" xr:uid="{00000000-0005-0000-0000-0000030C0000}"/>
    <cellStyle name="Финансовый 2 2 2 2 2 2 3 2 2" xfId="12330" xr:uid="{00000000-0005-0000-0000-0000040C0000}"/>
    <cellStyle name="Финансовый 2 2 2 2 2 2 3 3" xfId="5468" xr:uid="{00000000-0005-0000-0000-0000050C0000}"/>
    <cellStyle name="Финансовый 2 2 2 2 2 2 3 3 2" xfId="14111" xr:uid="{00000000-0005-0000-0000-0000060C0000}"/>
    <cellStyle name="Финансовый 2 2 2 2 2 2 3 4" xfId="8078" xr:uid="{00000000-0005-0000-0000-0000070C0000}"/>
    <cellStyle name="Финансовый 2 2 2 2 2 2 3 4 2" xfId="16721" xr:uid="{00000000-0005-0000-0000-0000080C0000}"/>
    <cellStyle name="Финансовый 2 2 2 2 2 2 3 5" xfId="10685" xr:uid="{00000000-0005-0000-0000-0000090C0000}"/>
    <cellStyle name="Финансовый 2 2 2 2 2 2 4" xfId="2569" xr:uid="{00000000-0005-0000-0000-00000A0C0000}"/>
    <cellStyle name="Финансовый 2 2 2 2 2 2 4 2" xfId="4214" xr:uid="{00000000-0005-0000-0000-00000B0C0000}"/>
    <cellStyle name="Финансовый 2 2 2 2 2 2 4 2 2" xfId="12859" xr:uid="{00000000-0005-0000-0000-00000C0C0000}"/>
    <cellStyle name="Финансовый 2 2 2 2 2 2 4 3" xfId="5997" xr:uid="{00000000-0005-0000-0000-00000D0C0000}"/>
    <cellStyle name="Финансовый 2 2 2 2 2 2 4 3 2" xfId="14640" xr:uid="{00000000-0005-0000-0000-00000E0C0000}"/>
    <cellStyle name="Финансовый 2 2 2 2 2 2 4 4" xfId="8607" xr:uid="{00000000-0005-0000-0000-00000F0C0000}"/>
    <cellStyle name="Финансовый 2 2 2 2 2 2 4 4 2" xfId="17250" xr:uid="{00000000-0005-0000-0000-0000100C0000}"/>
    <cellStyle name="Финансовый 2 2 2 2 2 2 4 5" xfId="11214" xr:uid="{00000000-0005-0000-0000-0000110C0000}"/>
    <cellStyle name="Финансовый 2 2 2 2 2 2 5" xfId="1073" xr:uid="{00000000-0005-0000-0000-0000120C0000}"/>
    <cellStyle name="Финансовый 2 2 2 2 2 2 5 2" xfId="7113" xr:uid="{00000000-0005-0000-0000-0000130C0000}"/>
    <cellStyle name="Финансовый 2 2 2 2 2 2 5 2 2" xfId="15756" xr:uid="{00000000-0005-0000-0000-0000140C0000}"/>
    <cellStyle name="Финансовый 2 2 2 2 2 2 5 3" xfId="9720" xr:uid="{00000000-0005-0000-0000-0000150C0000}"/>
    <cellStyle name="Финансовый 2 2 2 2 2 2 6" xfId="661" xr:uid="{00000000-0005-0000-0000-0000160C0000}"/>
    <cellStyle name="Финансовый 2 2 2 2 2 2 6 2" xfId="6701" xr:uid="{00000000-0005-0000-0000-0000170C0000}"/>
    <cellStyle name="Финансовый 2 2 2 2 2 2 6 2 2" xfId="15344" xr:uid="{00000000-0005-0000-0000-0000180C0000}"/>
    <cellStyle name="Финансовый 2 2 2 2 2 2 6 3" xfId="9308" xr:uid="{00000000-0005-0000-0000-0000190C0000}"/>
    <cellStyle name="Финансовый 2 2 2 2 2 2 7" xfId="2850" xr:uid="{00000000-0005-0000-0000-00001A0C0000}"/>
    <cellStyle name="Финансовый 2 2 2 2 2 2 7 2" xfId="11495" xr:uid="{00000000-0005-0000-0000-00001B0C0000}"/>
    <cellStyle name="Финансовый 2 2 2 2 2 2 8" xfId="4494" xr:uid="{00000000-0005-0000-0000-00001C0C0000}"/>
    <cellStyle name="Финансовый 2 2 2 2 2 2 8 2" xfId="13139" xr:uid="{00000000-0005-0000-0000-00001D0C0000}"/>
    <cellStyle name="Финансовый 2 2 2 2 2 2 9" xfId="6281" xr:uid="{00000000-0005-0000-0000-00001E0C0000}"/>
    <cellStyle name="Финансовый 2 2 2 2 2 2 9 2" xfId="14924" xr:uid="{00000000-0005-0000-0000-00001F0C0000}"/>
    <cellStyle name="Финансовый 2 2 2 2 2 3" xfId="389" xr:uid="{00000000-0005-0000-0000-0000200C0000}"/>
    <cellStyle name="Финансовый 2 2 2 2 2 3 2" xfId="2168" xr:uid="{00000000-0005-0000-0000-0000210C0000}"/>
    <cellStyle name="Финансовый 2 2 2 2 2 3 2 2" xfId="3813" xr:uid="{00000000-0005-0000-0000-0000220C0000}"/>
    <cellStyle name="Финансовый 2 2 2 2 2 3 2 2 2" xfId="12458" xr:uid="{00000000-0005-0000-0000-0000230C0000}"/>
    <cellStyle name="Финансовый 2 2 2 2 2 3 2 3" xfId="5596" xr:uid="{00000000-0005-0000-0000-0000240C0000}"/>
    <cellStyle name="Финансовый 2 2 2 2 2 3 2 3 2" xfId="14239" xr:uid="{00000000-0005-0000-0000-0000250C0000}"/>
    <cellStyle name="Финансовый 2 2 2 2 2 3 2 4" xfId="8206" xr:uid="{00000000-0005-0000-0000-0000260C0000}"/>
    <cellStyle name="Финансовый 2 2 2 2 2 3 2 4 2" xfId="16849" xr:uid="{00000000-0005-0000-0000-0000270C0000}"/>
    <cellStyle name="Финансовый 2 2 2 2 2 3 2 5" xfId="10813" xr:uid="{00000000-0005-0000-0000-0000280C0000}"/>
    <cellStyle name="Финансовый 2 2 2 2 2 3 3" xfId="1202" xr:uid="{00000000-0005-0000-0000-0000290C0000}"/>
    <cellStyle name="Финансовый 2 2 2 2 2 3 3 2" xfId="7242" xr:uid="{00000000-0005-0000-0000-00002A0C0000}"/>
    <cellStyle name="Финансовый 2 2 2 2 2 3 3 2 2" xfId="15885" xr:uid="{00000000-0005-0000-0000-00002B0C0000}"/>
    <cellStyle name="Финансовый 2 2 2 2 2 3 3 3" xfId="9849" xr:uid="{00000000-0005-0000-0000-00002C0C0000}"/>
    <cellStyle name="Финансовый 2 2 2 2 2 3 4" xfId="809" xr:uid="{00000000-0005-0000-0000-00002D0C0000}"/>
    <cellStyle name="Финансовый 2 2 2 2 2 3 4 2" xfId="6849" xr:uid="{00000000-0005-0000-0000-00002E0C0000}"/>
    <cellStyle name="Финансовый 2 2 2 2 2 3 4 2 2" xfId="15492" xr:uid="{00000000-0005-0000-0000-00002F0C0000}"/>
    <cellStyle name="Финансовый 2 2 2 2 2 3 4 3" xfId="9456" xr:uid="{00000000-0005-0000-0000-0000300C0000}"/>
    <cellStyle name="Финансовый 2 2 2 2 2 3 5" xfId="2986" xr:uid="{00000000-0005-0000-0000-0000310C0000}"/>
    <cellStyle name="Финансовый 2 2 2 2 2 3 5 2" xfId="11631" xr:uid="{00000000-0005-0000-0000-0000320C0000}"/>
    <cellStyle name="Финансовый 2 2 2 2 2 3 6" xfId="4630" xr:uid="{00000000-0005-0000-0000-0000330C0000}"/>
    <cellStyle name="Финансовый 2 2 2 2 2 3 6 2" xfId="13275" xr:uid="{00000000-0005-0000-0000-0000340C0000}"/>
    <cellStyle name="Финансовый 2 2 2 2 2 3 7" xfId="6429" xr:uid="{00000000-0005-0000-0000-0000350C0000}"/>
    <cellStyle name="Финансовый 2 2 2 2 2 3 7 2" xfId="15072" xr:uid="{00000000-0005-0000-0000-0000360C0000}"/>
    <cellStyle name="Финансовый 2 2 2 2 2 3 8" xfId="9036" xr:uid="{00000000-0005-0000-0000-0000370C0000}"/>
    <cellStyle name="Финансовый 2 2 2 2 2 4" xfId="1460" xr:uid="{00000000-0005-0000-0000-0000380C0000}"/>
    <cellStyle name="Финансовый 2 2 2 2 2 4 2" xfId="1912" xr:uid="{00000000-0005-0000-0000-0000390C0000}"/>
    <cellStyle name="Финансовый 2 2 2 2 2 4 2 2" xfId="3557" xr:uid="{00000000-0005-0000-0000-00003A0C0000}"/>
    <cellStyle name="Финансовый 2 2 2 2 2 4 2 2 2" xfId="12202" xr:uid="{00000000-0005-0000-0000-00003B0C0000}"/>
    <cellStyle name="Финансовый 2 2 2 2 2 4 2 3" xfId="5340" xr:uid="{00000000-0005-0000-0000-00003C0C0000}"/>
    <cellStyle name="Финансовый 2 2 2 2 2 4 2 3 2" xfId="13983" xr:uid="{00000000-0005-0000-0000-00003D0C0000}"/>
    <cellStyle name="Финансовый 2 2 2 2 2 4 2 4" xfId="7950" xr:uid="{00000000-0005-0000-0000-00003E0C0000}"/>
    <cellStyle name="Финансовый 2 2 2 2 2 4 2 4 2" xfId="16593" xr:uid="{00000000-0005-0000-0000-00003F0C0000}"/>
    <cellStyle name="Финансовый 2 2 2 2 2 4 2 5" xfId="10557" xr:uid="{00000000-0005-0000-0000-0000400C0000}"/>
    <cellStyle name="Финансовый 2 2 2 2 2 4 3" xfId="4888" xr:uid="{00000000-0005-0000-0000-0000410C0000}"/>
    <cellStyle name="Финансовый 2 2 2 2 2 4 3 2" xfId="13531" xr:uid="{00000000-0005-0000-0000-0000420C0000}"/>
    <cellStyle name="Финансовый 2 2 2 2 2 4 4" xfId="7498" xr:uid="{00000000-0005-0000-0000-0000430C0000}"/>
    <cellStyle name="Финансовый 2 2 2 2 2 4 4 2" xfId="16141" xr:uid="{00000000-0005-0000-0000-0000440C0000}"/>
    <cellStyle name="Финансовый 2 2 2 2 2 4 5" xfId="10105" xr:uid="{00000000-0005-0000-0000-0000450C0000}"/>
    <cellStyle name="Финансовый 2 2 2 2 2 5" xfId="1788" xr:uid="{00000000-0005-0000-0000-0000460C0000}"/>
    <cellStyle name="Финансовый 2 2 2 2 2 5 2" xfId="3433" xr:uid="{00000000-0005-0000-0000-0000470C0000}"/>
    <cellStyle name="Финансовый 2 2 2 2 2 5 2 2" xfId="12078" xr:uid="{00000000-0005-0000-0000-0000480C0000}"/>
    <cellStyle name="Финансовый 2 2 2 2 2 5 3" xfId="5216" xr:uid="{00000000-0005-0000-0000-0000490C0000}"/>
    <cellStyle name="Финансовый 2 2 2 2 2 5 3 2" xfId="13859" xr:uid="{00000000-0005-0000-0000-00004A0C0000}"/>
    <cellStyle name="Финансовый 2 2 2 2 2 5 4" xfId="7826" xr:uid="{00000000-0005-0000-0000-00004B0C0000}"/>
    <cellStyle name="Финансовый 2 2 2 2 2 5 4 2" xfId="16469" xr:uid="{00000000-0005-0000-0000-00004C0C0000}"/>
    <cellStyle name="Финансовый 2 2 2 2 2 5 5" xfId="10433" xr:uid="{00000000-0005-0000-0000-00004D0C0000}"/>
    <cellStyle name="Финансовый 2 2 2 2 2 6" xfId="2433" xr:uid="{00000000-0005-0000-0000-00004E0C0000}"/>
    <cellStyle name="Финансовый 2 2 2 2 2 6 2" xfId="4078" xr:uid="{00000000-0005-0000-0000-00004F0C0000}"/>
    <cellStyle name="Финансовый 2 2 2 2 2 6 2 2" xfId="12723" xr:uid="{00000000-0005-0000-0000-0000500C0000}"/>
    <cellStyle name="Финансовый 2 2 2 2 2 6 3" xfId="5861" xr:uid="{00000000-0005-0000-0000-0000510C0000}"/>
    <cellStyle name="Финансовый 2 2 2 2 2 6 3 2" xfId="14504" xr:uid="{00000000-0005-0000-0000-0000520C0000}"/>
    <cellStyle name="Финансовый 2 2 2 2 2 6 4" xfId="8471" xr:uid="{00000000-0005-0000-0000-0000530C0000}"/>
    <cellStyle name="Финансовый 2 2 2 2 2 6 4 2" xfId="17114" xr:uid="{00000000-0005-0000-0000-0000540C0000}"/>
    <cellStyle name="Финансовый 2 2 2 2 2 6 5" xfId="11078" xr:uid="{00000000-0005-0000-0000-0000550C0000}"/>
    <cellStyle name="Финансовый 2 2 2 2 2 7" xfId="1660" xr:uid="{00000000-0005-0000-0000-0000560C0000}"/>
    <cellStyle name="Финансовый 2 2 2 2 2 7 2" xfId="3305" xr:uid="{00000000-0005-0000-0000-0000570C0000}"/>
    <cellStyle name="Финансовый 2 2 2 2 2 7 2 2" xfId="11950" xr:uid="{00000000-0005-0000-0000-0000580C0000}"/>
    <cellStyle name="Финансовый 2 2 2 2 2 7 3" xfId="5088" xr:uid="{00000000-0005-0000-0000-0000590C0000}"/>
    <cellStyle name="Финансовый 2 2 2 2 2 7 3 2" xfId="13731" xr:uid="{00000000-0005-0000-0000-00005A0C0000}"/>
    <cellStyle name="Финансовый 2 2 2 2 2 7 4" xfId="7698" xr:uid="{00000000-0005-0000-0000-00005B0C0000}"/>
    <cellStyle name="Финансовый 2 2 2 2 2 7 4 2" xfId="16341" xr:uid="{00000000-0005-0000-0000-00005C0C0000}"/>
    <cellStyle name="Финансовый 2 2 2 2 2 7 5" xfId="10305" xr:uid="{00000000-0005-0000-0000-00005D0C0000}"/>
    <cellStyle name="Финансовый 2 2 2 2 2 8" xfId="937" xr:uid="{00000000-0005-0000-0000-00005E0C0000}"/>
    <cellStyle name="Финансовый 2 2 2 2 2 8 2" xfId="6977" xr:uid="{00000000-0005-0000-0000-00005F0C0000}"/>
    <cellStyle name="Финансовый 2 2 2 2 2 8 2 2" xfId="15620" xr:uid="{00000000-0005-0000-0000-0000600C0000}"/>
    <cellStyle name="Финансовый 2 2 2 2 2 8 3" xfId="9584" xr:uid="{00000000-0005-0000-0000-0000610C0000}"/>
    <cellStyle name="Финансовый 2 2 2 2 2 9" xfId="525" xr:uid="{00000000-0005-0000-0000-0000620C0000}"/>
    <cellStyle name="Финансовый 2 2 2 2 2 9 2" xfId="6565" xr:uid="{00000000-0005-0000-0000-0000630C0000}"/>
    <cellStyle name="Финансовый 2 2 2 2 2 9 2 2" xfId="15208" xr:uid="{00000000-0005-0000-0000-0000640C0000}"/>
    <cellStyle name="Финансовый 2 2 2 2 2 9 3" xfId="9172" xr:uid="{00000000-0005-0000-0000-0000650C0000}"/>
    <cellStyle name="Финансовый 2 2 2 2 3" xfId="184" xr:uid="{00000000-0005-0000-0000-0000660C0000}"/>
    <cellStyle name="Финансовый 2 2 2 2 3 10" xfId="8832" xr:uid="{00000000-0005-0000-0000-0000670C0000}"/>
    <cellStyle name="Финансовый 2 2 2 2 3 2" xfId="1282" xr:uid="{00000000-0005-0000-0000-0000680C0000}"/>
    <cellStyle name="Финансовый 2 2 2 2 3 2 2" xfId="2248" xr:uid="{00000000-0005-0000-0000-0000690C0000}"/>
    <cellStyle name="Финансовый 2 2 2 2 3 2 2 2" xfId="3893" xr:uid="{00000000-0005-0000-0000-00006A0C0000}"/>
    <cellStyle name="Финансовый 2 2 2 2 3 2 2 2 2" xfId="12538" xr:uid="{00000000-0005-0000-0000-00006B0C0000}"/>
    <cellStyle name="Финансовый 2 2 2 2 3 2 2 3" xfId="5676" xr:uid="{00000000-0005-0000-0000-00006C0C0000}"/>
    <cellStyle name="Финансовый 2 2 2 2 3 2 2 3 2" xfId="14319" xr:uid="{00000000-0005-0000-0000-00006D0C0000}"/>
    <cellStyle name="Финансовый 2 2 2 2 3 2 2 4" xfId="8286" xr:uid="{00000000-0005-0000-0000-00006E0C0000}"/>
    <cellStyle name="Финансовый 2 2 2 2 3 2 2 4 2" xfId="16929" xr:uid="{00000000-0005-0000-0000-00006F0C0000}"/>
    <cellStyle name="Финансовый 2 2 2 2 3 2 2 5" xfId="10893" xr:uid="{00000000-0005-0000-0000-0000700C0000}"/>
    <cellStyle name="Финансовый 2 2 2 2 3 2 3" xfId="3066" xr:uid="{00000000-0005-0000-0000-0000710C0000}"/>
    <cellStyle name="Финансовый 2 2 2 2 3 2 3 2" xfId="11711" xr:uid="{00000000-0005-0000-0000-0000720C0000}"/>
    <cellStyle name="Финансовый 2 2 2 2 3 2 4" xfId="4710" xr:uid="{00000000-0005-0000-0000-0000730C0000}"/>
    <cellStyle name="Финансовый 2 2 2 2 3 2 4 2" xfId="13355" xr:uid="{00000000-0005-0000-0000-0000740C0000}"/>
    <cellStyle name="Финансовый 2 2 2 2 3 2 5" xfId="7322" xr:uid="{00000000-0005-0000-0000-0000750C0000}"/>
    <cellStyle name="Финансовый 2 2 2 2 3 2 5 2" xfId="15965" xr:uid="{00000000-0005-0000-0000-0000760C0000}"/>
    <cellStyle name="Финансовый 2 2 2 2 3 2 6" xfId="9929" xr:uid="{00000000-0005-0000-0000-0000770C0000}"/>
    <cellStyle name="Финансовый 2 2 2 2 3 3" xfId="1992" xr:uid="{00000000-0005-0000-0000-0000780C0000}"/>
    <cellStyle name="Финансовый 2 2 2 2 3 3 2" xfId="3637" xr:uid="{00000000-0005-0000-0000-0000790C0000}"/>
    <cellStyle name="Финансовый 2 2 2 2 3 3 2 2" xfId="12282" xr:uid="{00000000-0005-0000-0000-00007A0C0000}"/>
    <cellStyle name="Финансовый 2 2 2 2 3 3 3" xfId="5420" xr:uid="{00000000-0005-0000-0000-00007B0C0000}"/>
    <cellStyle name="Финансовый 2 2 2 2 3 3 3 2" xfId="14063" xr:uid="{00000000-0005-0000-0000-00007C0C0000}"/>
    <cellStyle name="Финансовый 2 2 2 2 3 3 4" xfId="8030" xr:uid="{00000000-0005-0000-0000-00007D0C0000}"/>
    <cellStyle name="Финансовый 2 2 2 2 3 3 4 2" xfId="16673" xr:uid="{00000000-0005-0000-0000-00007E0C0000}"/>
    <cellStyle name="Финансовый 2 2 2 2 3 3 5" xfId="10637" xr:uid="{00000000-0005-0000-0000-00007F0C0000}"/>
    <cellStyle name="Финансовый 2 2 2 2 3 4" xfId="2513" xr:uid="{00000000-0005-0000-0000-0000800C0000}"/>
    <cellStyle name="Финансовый 2 2 2 2 3 4 2" xfId="4158" xr:uid="{00000000-0005-0000-0000-0000810C0000}"/>
    <cellStyle name="Финансовый 2 2 2 2 3 4 2 2" xfId="12803" xr:uid="{00000000-0005-0000-0000-0000820C0000}"/>
    <cellStyle name="Финансовый 2 2 2 2 3 4 3" xfId="5941" xr:uid="{00000000-0005-0000-0000-0000830C0000}"/>
    <cellStyle name="Финансовый 2 2 2 2 3 4 3 2" xfId="14584" xr:uid="{00000000-0005-0000-0000-0000840C0000}"/>
    <cellStyle name="Финансовый 2 2 2 2 3 4 4" xfId="8551" xr:uid="{00000000-0005-0000-0000-0000850C0000}"/>
    <cellStyle name="Финансовый 2 2 2 2 3 4 4 2" xfId="17194" xr:uid="{00000000-0005-0000-0000-0000860C0000}"/>
    <cellStyle name="Финансовый 2 2 2 2 3 4 5" xfId="11158" xr:uid="{00000000-0005-0000-0000-0000870C0000}"/>
    <cellStyle name="Финансовый 2 2 2 2 3 5" xfId="1017" xr:uid="{00000000-0005-0000-0000-0000880C0000}"/>
    <cellStyle name="Финансовый 2 2 2 2 3 5 2" xfId="7057" xr:uid="{00000000-0005-0000-0000-0000890C0000}"/>
    <cellStyle name="Финансовый 2 2 2 2 3 5 2 2" xfId="15700" xr:uid="{00000000-0005-0000-0000-00008A0C0000}"/>
    <cellStyle name="Финансовый 2 2 2 2 3 5 3" xfId="9664" xr:uid="{00000000-0005-0000-0000-00008B0C0000}"/>
    <cellStyle name="Финансовый 2 2 2 2 3 6" xfId="605" xr:uid="{00000000-0005-0000-0000-00008C0C0000}"/>
    <cellStyle name="Финансовый 2 2 2 2 3 6 2" xfId="6645" xr:uid="{00000000-0005-0000-0000-00008D0C0000}"/>
    <cellStyle name="Финансовый 2 2 2 2 3 6 2 2" xfId="15288" xr:uid="{00000000-0005-0000-0000-00008E0C0000}"/>
    <cellStyle name="Финансовый 2 2 2 2 3 6 3" xfId="9252" xr:uid="{00000000-0005-0000-0000-00008F0C0000}"/>
    <cellStyle name="Финансовый 2 2 2 2 3 7" xfId="2794" xr:uid="{00000000-0005-0000-0000-0000900C0000}"/>
    <cellStyle name="Финансовый 2 2 2 2 3 7 2" xfId="11439" xr:uid="{00000000-0005-0000-0000-0000910C0000}"/>
    <cellStyle name="Финансовый 2 2 2 2 3 8" xfId="4438" xr:uid="{00000000-0005-0000-0000-0000920C0000}"/>
    <cellStyle name="Финансовый 2 2 2 2 3 8 2" xfId="13083" xr:uid="{00000000-0005-0000-0000-0000930C0000}"/>
    <cellStyle name="Финансовый 2 2 2 2 3 9" xfId="6225" xr:uid="{00000000-0005-0000-0000-0000940C0000}"/>
    <cellStyle name="Финансовый 2 2 2 2 3 9 2" xfId="14868" xr:uid="{00000000-0005-0000-0000-0000950C0000}"/>
    <cellStyle name="Финансовый 2 2 2 2 4" xfId="333" xr:uid="{00000000-0005-0000-0000-0000960C0000}"/>
    <cellStyle name="Финансовый 2 2 2 2 4 2" xfId="2120" xr:uid="{00000000-0005-0000-0000-0000970C0000}"/>
    <cellStyle name="Финансовый 2 2 2 2 4 2 2" xfId="3765" xr:uid="{00000000-0005-0000-0000-0000980C0000}"/>
    <cellStyle name="Финансовый 2 2 2 2 4 2 2 2" xfId="12410" xr:uid="{00000000-0005-0000-0000-0000990C0000}"/>
    <cellStyle name="Финансовый 2 2 2 2 4 2 3" xfId="5548" xr:uid="{00000000-0005-0000-0000-00009A0C0000}"/>
    <cellStyle name="Финансовый 2 2 2 2 4 2 3 2" xfId="14191" xr:uid="{00000000-0005-0000-0000-00009B0C0000}"/>
    <cellStyle name="Финансовый 2 2 2 2 4 2 4" xfId="8158" xr:uid="{00000000-0005-0000-0000-00009C0C0000}"/>
    <cellStyle name="Финансовый 2 2 2 2 4 2 4 2" xfId="16801" xr:uid="{00000000-0005-0000-0000-00009D0C0000}"/>
    <cellStyle name="Финансовый 2 2 2 2 4 2 5" xfId="10765" xr:uid="{00000000-0005-0000-0000-00009E0C0000}"/>
    <cellStyle name="Финансовый 2 2 2 2 4 3" xfId="1153" xr:uid="{00000000-0005-0000-0000-00009F0C0000}"/>
    <cellStyle name="Финансовый 2 2 2 2 4 3 2" xfId="7193" xr:uid="{00000000-0005-0000-0000-0000A00C0000}"/>
    <cellStyle name="Финансовый 2 2 2 2 4 3 2 2" xfId="15836" xr:uid="{00000000-0005-0000-0000-0000A10C0000}"/>
    <cellStyle name="Финансовый 2 2 2 2 4 3 3" xfId="9800" xr:uid="{00000000-0005-0000-0000-0000A20C0000}"/>
    <cellStyle name="Финансовый 2 2 2 2 4 4" xfId="753" xr:uid="{00000000-0005-0000-0000-0000A30C0000}"/>
    <cellStyle name="Финансовый 2 2 2 2 4 4 2" xfId="6793" xr:uid="{00000000-0005-0000-0000-0000A40C0000}"/>
    <cellStyle name="Финансовый 2 2 2 2 4 4 2 2" xfId="15436" xr:uid="{00000000-0005-0000-0000-0000A50C0000}"/>
    <cellStyle name="Финансовый 2 2 2 2 4 4 3" xfId="9400" xr:uid="{00000000-0005-0000-0000-0000A60C0000}"/>
    <cellStyle name="Финансовый 2 2 2 2 4 5" xfId="2930" xr:uid="{00000000-0005-0000-0000-0000A70C0000}"/>
    <cellStyle name="Финансовый 2 2 2 2 4 5 2" xfId="11575" xr:uid="{00000000-0005-0000-0000-0000A80C0000}"/>
    <cellStyle name="Финансовый 2 2 2 2 4 6" xfId="4574" xr:uid="{00000000-0005-0000-0000-0000A90C0000}"/>
    <cellStyle name="Финансовый 2 2 2 2 4 6 2" xfId="13219" xr:uid="{00000000-0005-0000-0000-0000AA0C0000}"/>
    <cellStyle name="Финансовый 2 2 2 2 4 7" xfId="6373" xr:uid="{00000000-0005-0000-0000-0000AB0C0000}"/>
    <cellStyle name="Финансовый 2 2 2 2 4 7 2" xfId="15016" xr:uid="{00000000-0005-0000-0000-0000AC0C0000}"/>
    <cellStyle name="Финансовый 2 2 2 2 4 8" xfId="8980" xr:uid="{00000000-0005-0000-0000-0000AD0C0000}"/>
    <cellStyle name="Финансовый 2 2 2 2 5" xfId="1458" xr:uid="{00000000-0005-0000-0000-0000AE0C0000}"/>
    <cellStyle name="Финансовый 2 2 2 2 5 2" xfId="1856" xr:uid="{00000000-0005-0000-0000-0000AF0C0000}"/>
    <cellStyle name="Финансовый 2 2 2 2 5 2 2" xfId="3501" xr:uid="{00000000-0005-0000-0000-0000B00C0000}"/>
    <cellStyle name="Финансовый 2 2 2 2 5 2 2 2" xfId="12146" xr:uid="{00000000-0005-0000-0000-0000B10C0000}"/>
    <cellStyle name="Финансовый 2 2 2 2 5 2 3" xfId="5284" xr:uid="{00000000-0005-0000-0000-0000B20C0000}"/>
    <cellStyle name="Финансовый 2 2 2 2 5 2 3 2" xfId="13927" xr:uid="{00000000-0005-0000-0000-0000B30C0000}"/>
    <cellStyle name="Финансовый 2 2 2 2 5 2 4" xfId="7894" xr:uid="{00000000-0005-0000-0000-0000B40C0000}"/>
    <cellStyle name="Финансовый 2 2 2 2 5 2 4 2" xfId="16537" xr:uid="{00000000-0005-0000-0000-0000B50C0000}"/>
    <cellStyle name="Финансовый 2 2 2 2 5 2 5" xfId="10501" xr:uid="{00000000-0005-0000-0000-0000B60C0000}"/>
    <cellStyle name="Финансовый 2 2 2 2 5 3" xfId="4886" xr:uid="{00000000-0005-0000-0000-0000B70C0000}"/>
    <cellStyle name="Финансовый 2 2 2 2 5 3 2" xfId="13529" xr:uid="{00000000-0005-0000-0000-0000B80C0000}"/>
    <cellStyle name="Финансовый 2 2 2 2 5 4" xfId="7496" xr:uid="{00000000-0005-0000-0000-0000B90C0000}"/>
    <cellStyle name="Финансовый 2 2 2 2 5 4 2" xfId="16139" xr:uid="{00000000-0005-0000-0000-0000BA0C0000}"/>
    <cellStyle name="Финансовый 2 2 2 2 5 5" xfId="10103" xr:uid="{00000000-0005-0000-0000-0000BB0C0000}"/>
    <cellStyle name="Финансовый 2 2 2 2 6" xfId="1740" xr:uid="{00000000-0005-0000-0000-0000BC0C0000}"/>
    <cellStyle name="Финансовый 2 2 2 2 6 2" xfId="3385" xr:uid="{00000000-0005-0000-0000-0000BD0C0000}"/>
    <cellStyle name="Финансовый 2 2 2 2 6 2 2" xfId="12030" xr:uid="{00000000-0005-0000-0000-0000BE0C0000}"/>
    <cellStyle name="Финансовый 2 2 2 2 6 3" xfId="5168" xr:uid="{00000000-0005-0000-0000-0000BF0C0000}"/>
    <cellStyle name="Финансовый 2 2 2 2 6 3 2" xfId="13811" xr:uid="{00000000-0005-0000-0000-0000C00C0000}"/>
    <cellStyle name="Финансовый 2 2 2 2 6 4" xfId="7778" xr:uid="{00000000-0005-0000-0000-0000C10C0000}"/>
    <cellStyle name="Финансовый 2 2 2 2 6 4 2" xfId="16421" xr:uid="{00000000-0005-0000-0000-0000C20C0000}"/>
    <cellStyle name="Финансовый 2 2 2 2 6 5" xfId="10385" xr:uid="{00000000-0005-0000-0000-0000C30C0000}"/>
    <cellStyle name="Финансовый 2 2 2 2 7" xfId="2376" xr:uid="{00000000-0005-0000-0000-0000C40C0000}"/>
    <cellStyle name="Финансовый 2 2 2 2 7 2" xfId="4021" xr:uid="{00000000-0005-0000-0000-0000C50C0000}"/>
    <cellStyle name="Финансовый 2 2 2 2 7 2 2" xfId="12666" xr:uid="{00000000-0005-0000-0000-0000C60C0000}"/>
    <cellStyle name="Финансовый 2 2 2 2 7 3" xfId="5804" xr:uid="{00000000-0005-0000-0000-0000C70C0000}"/>
    <cellStyle name="Финансовый 2 2 2 2 7 3 2" xfId="14447" xr:uid="{00000000-0005-0000-0000-0000C80C0000}"/>
    <cellStyle name="Финансовый 2 2 2 2 7 4" xfId="8414" xr:uid="{00000000-0005-0000-0000-0000C90C0000}"/>
    <cellStyle name="Финансовый 2 2 2 2 7 4 2" xfId="17057" xr:uid="{00000000-0005-0000-0000-0000CA0C0000}"/>
    <cellStyle name="Финансовый 2 2 2 2 7 5" xfId="11021" xr:uid="{00000000-0005-0000-0000-0000CB0C0000}"/>
    <cellStyle name="Финансовый 2 2 2 2 8" xfId="1603" xr:uid="{00000000-0005-0000-0000-0000CC0C0000}"/>
    <cellStyle name="Финансовый 2 2 2 2 8 2" xfId="3248" xr:uid="{00000000-0005-0000-0000-0000CD0C0000}"/>
    <cellStyle name="Финансовый 2 2 2 2 8 2 2" xfId="11893" xr:uid="{00000000-0005-0000-0000-0000CE0C0000}"/>
    <cellStyle name="Финансовый 2 2 2 2 8 3" xfId="5031" xr:uid="{00000000-0005-0000-0000-0000CF0C0000}"/>
    <cellStyle name="Финансовый 2 2 2 2 8 3 2" xfId="13674" xr:uid="{00000000-0005-0000-0000-0000D00C0000}"/>
    <cellStyle name="Финансовый 2 2 2 2 8 4" xfId="7641" xr:uid="{00000000-0005-0000-0000-0000D10C0000}"/>
    <cellStyle name="Финансовый 2 2 2 2 8 4 2" xfId="16284" xr:uid="{00000000-0005-0000-0000-0000D20C0000}"/>
    <cellStyle name="Финансовый 2 2 2 2 8 5" xfId="10248" xr:uid="{00000000-0005-0000-0000-0000D30C0000}"/>
    <cellStyle name="Финансовый 2 2 2 2 9" xfId="889" xr:uid="{00000000-0005-0000-0000-0000D40C0000}"/>
    <cellStyle name="Финансовый 2 2 2 2 9 2" xfId="6929" xr:uid="{00000000-0005-0000-0000-0000D50C0000}"/>
    <cellStyle name="Финансовый 2 2 2 2 9 2 2" xfId="15572" xr:uid="{00000000-0005-0000-0000-0000D60C0000}"/>
    <cellStyle name="Финансовый 2 2 2 2 9 3" xfId="9536" xr:uid="{00000000-0005-0000-0000-0000D70C0000}"/>
    <cellStyle name="Финансовый 2 2 2 20" xfId="8660" xr:uid="{00000000-0005-0000-0000-0000D80C0000}"/>
    <cellStyle name="Финансовый 2 2 2 3" xfId="116" xr:uid="{00000000-0005-0000-0000-0000D90C0000}"/>
    <cellStyle name="Финансовый 2 2 2 3 10" xfId="2726" xr:uid="{00000000-0005-0000-0000-0000DA0C0000}"/>
    <cellStyle name="Финансовый 2 2 2 3 10 2" xfId="11371" xr:uid="{00000000-0005-0000-0000-0000DB0C0000}"/>
    <cellStyle name="Финансовый 2 2 2 3 11" xfId="4370" xr:uid="{00000000-0005-0000-0000-0000DC0C0000}"/>
    <cellStyle name="Финансовый 2 2 2 3 11 2" xfId="13015" xr:uid="{00000000-0005-0000-0000-0000DD0C0000}"/>
    <cellStyle name="Финансовый 2 2 2 3 12" xfId="6157" xr:uid="{00000000-0005-0000-0000-0000DE0C0000}"/>
    <cellStyle name="Финансовый 2 2 2 3 12 2" xfId="14800" xr:uid="{00000000-0005-0000-0000-0000DF0C0000}"/>
    <cellStyle name="Финансовый 2 2 2 3 13" xfId="8764" xr:uid="{00000000-0005-0000-0000-0000E00C0000}"/>
    <cellStyle name="Финансовый 2 2 2 3 2" xfId="252" xr:uid="{00000000-0005-0000-0000-0000E10C0000}"/>
    <cellStyle name="Финансовый 2 2 2 3 2 10" xfId="8900" xr:uid="{00000000-0005-0000-0000-0000E20C0000}"/>
    <cellStyle name="Финансовый 2 2 2 3 2 2" xfId="1350" xr:uid="{00000000-0005-0000-0000-0000E30C0000}"/>
    <cellStyle name="Финансовый 2 2 2 3 2 2 2" xfId="2308" xr:uid="{00000000-0005-0000-0000-0000E40C0000}"/>
    <cellStyle name="Финансовый 2 2 2 3 2 2 2 2" xfId="3953" xr:uid="{00000000-0005-0000-0000-0000E50C0000}"/>
    <cellStyle name="Финансовый 2 2 2 3 2 2 2 2 2" xfId="12598" xr:uid="{00000000-0005-0000-0000-0000E60C0000}"/>
    <cellStyle name="Финансовый 2 2 2 3 2 2 2 3" xfId="5736" xr:uid="{00000000-0005-0000-0000-0000E70C0000}"/>
    <cellStyle name="Финансовый 2 2 2 3 2 2 2 3 2" xfId="14379" xr:uid="{00000000-0005-0000-0000-0000E80C0000}"/>
    <cellStyle name="Финансовый 2 2 2 3 2 2 2 4" xfId="8346" xr:uid="{00000000-0005-0000-0000-0000E90C0000}"/>
    <cellStyle name="Финансовый 2 2 2 3 2 2 2 4 2" xfId="16989" xr:uid="{00000000-0005-0000-0000-0000EA0C0000}"/>
    <cellStyle name="Финансовый 2 2 2 3 2 2 2 5" xfId="10953" xr:uid="{00000000-0005-0000-0000-0000EB0C0000}"/>
    <cellStyle name="Финансовый 2 2 2 3 2 2 3" xfId="3134" xr:uid="{00000000-0005-0000-0000-0000EC0C0000}"/>
    <cellStyle name="Финансовый 2 2 2 3 2 2 3 2" xfId="11779" xr:uid="{00000000-0005-0000-0000-0000ED0C0000}"/>
    <cellStyle name="Финансовый 2 2 2 3 2 2 4" xfId="4778" xr:uid="{00000000-0005-0000-0000-0000EE0C0000}"/>
    <cellStyle name="Финансовый 2 2 2 3 2 2 4 2" xfId="13423" xr:uid="{00000000-0005-0000-0000-0000EF0C0000}"/>
    <cellStyle name="Финансовый 2 2 2 3 2 2 5" xfId="7390" xr:uid="{00000000-0005-0000-0000-0000F00C0000}"/>
    <cellStyle name="Финансовый 2 2 2 3 2 2 5 2" xfId="16033" xr:uid="{00000000-0005-0000-0000-0000F10C0000}"/>
    <cellStyle name="Финансовый 2 2 2 3 2 2 6" xfId="9997" xr:uid="{00000000-0005-0000-0000-0000F20C0000}"/>
    <cellStyle name="Финансовый 2 2 2 3 2 3" xfId="2052" xr:uid="{00000000-0005-0000-0000-0000F30C0000}"/>
    <cellStyle name="Финансовый 2 2 2 3 2 3 2" xfId="3697" xr:uid="{00000000-0005-0000-0000-0000F40C0000}"/>
    <cellStyle name="Финансовый 2 2 2 3 2 3 2 2" xfId="12342" xr:uid="{00000000-0005-0000-0000-0000F50C0000}"/>
    <cellStyle name="Финансовый 2 2 2 3 2 3 3" xfId="5480" xr:uid="{00000000-0005-0000-0000-0000F60C0000}"/>
    <cellStyle name="Финансовый 2 2 2 3 2 3 3 2" xfId="14123" xr:uid="{00000000-0005-0000-0000-0000F70C0000}"/>
    <cellStyle name="Финансовый 2 2 2 3 2 3 4" xfId="8090" xr:uid="{00000000-0005-0000-0000-0000F80C0000}"/>
    <cellStyle name="Финансовый 2 2 2 3 2 3 4 2" xfId="16733" xr:uid="{00000000-0005-0000-0000-0000F90C0000}"/>
    <cellStyle name="Финансовый 2 2 2 3 2 3 5" xfId="10697" xr:uid="{00000000-0005-0000-0000-0000FA0C0000}"/>
    <cellStyle name="Финансовый 2 2 2 3 2 4" xfId="2581" xr:uid="{00000000-0005-0000-0000-0000FB0C0000}"/>
    <cellStyle name="Финансовый 2 2 2 3 2 4 2" xfId="4226" xr:uid="{00000000-0005-0000-0000-0000FC0C0000}"/>
    <cellStyle name="Финансовый 2 2 2 3 2 4 2 2" xfId="12871" xr:uid="{00000000-0005-0000-0000-0000FD0C0000}"/>
    <cellStyle name="Финансовый 2 2 2 3 2 4 3" xfId="6009" xr:uid="{00000000-0005-0000-0000-0000FE0C0000}"/>
    <cellStyle name="Финансовый 2 2 2 3 2 4 3 2" xfId="14652" xr:uid="{00000000-0005-0000-0000-0000FF0C0000}"/>
    <cellStyle name="Финансовый 2 2 2 3 2 4 4" xfId="8619" xr:uid="{00000000-0005-0000-0000-0000000D0000}"/>
    <cellStyle name="Финансовый 2 2 2 3 2 4 4 2" xfId="17262" xr:uid="{00000000-0005-0000-0000-0000010D0000}"/>
    <cellStyle name="Финансовый 2 2 2 3 2 4 5" xfId="11226" xr:uid="{00000000-0005-0000-0000-0000020D0000}"/>
    <cellStyle name="Финансовый 2 2 2 3 2 5" xfId="1085" xr:uid="{00000000-0005-0000-0000-0000030D0000}"/>
    <cellStyle name="Финансовый 2 2 2 3 2 5 2" xfId="7125" xr:uid="{00000000-0005-0000-0000-0000040D0000}"/>
    <cellStyle name="Финансовый 2 2 2 3 2 5 2 2" xfId="15768" xr:uid="{00000000-0005-0000-0000-0000050D0000}"/>
    <cellStyle name="Финансовый 2 2 2 3 2 5 3" xfId="9732" xr:uid="{00000000-0005-0000-0000-0000060D0000}"/>
    <cellStyle name="Финансовый 2 2 2 3 2 6" xfId="673" xr:uid="{00000000-0005-0000-0000-0000070D0000}"/>
    <cellStyle name="Финансовый 2 2 2 3 2 6 2" xfId="6713" xr:uid="{00000000-0005-0000-0000-0000080D0000}"/>
    <cellStyle name="Финансовый 2 2 2 3 2 6 2 2" xfId="15356" xr:uid="{00000000-0005-0000-0000-0000090D0000}"/>
    <cellStyle name="Финансовый 2 2 2 3 2 6 3" xfId="9320" xr:uid="{00000000-0005-0000-0000-00000A0D0000}"/>
    <cellStyle name="Финансовый 2 2 2 3 2 7" xfId="2862" xr:uid="{00000000-0005-0000-0000-00000B0D0000}"/>
    <cellStyle name="Финансовый 2 2 2 3 2 7 2" xfId="11507" xr:uid="{00000000-0005-0000-0000-00000C0D0000}"/>
    <cellStyle name="Финансовый 2 2 2 3 2 8" xfId="4506" xr:uid="{00000000-0005-0000-0000-00000D0D0000}"/>
    <cellStyle name="Финансовый 2 2 2 3 2 8 2" xfId="13151" xr:uid="{00000000-0005-0000-0000-00000E0D0000}"/>
    <cellStyle name="Финансовый 2 2 2 3 2 9" xfId="6293" xr:uid="{00000000-0005-0000-0000-00000F0D0000}"/>
    <cellStyle name="Финансовый 2 2 2 3 2 9 2" xfId="14936" xr:uid="{00000000-0005-0000-0000-0000100D0000}"/>
    <cellStyle name="Финансовый 2 2 2 3 3" xfId="401" xr:uid="{00000000-0005-0000-0000-0000110D0000}"/>
    <cellStyle name="Финансовый 2 2 2 3 3 2" xfId="2180" xr:uid="{00000000-0005-0000-0000-0000120D0000}"/>
    <cellStyle name="Финансовый 2 2 2 3 3 2 2" xfId="3825" xr:uid="{00000000-0005-0000-0000-0000130D0000}"/>
    <cellStyle name="Финансовый 2 2 2 3 3 2 2 2" xfId="12470" xr:uid="{00000000-0005-0000-0000-0000140D0000}"/>
    <cellStyle name="Финансовый 2 2 2 3 3 2 3" xfId="5608" xr:uid="{00000000-0005-0000-0000-0000150D0000}"/>
    <cellStyle name="Финансовый 2 2 2 3 3 2 3 2" xfId="14251" xr:uid="{00000000-0005-0000-0000-0000160D0000}"/>
    <cellStyle name="Финансовый 2 2 2 3 3 2 4" xfId="8218" xr:uid="{00000000-0005-0000-0000-0000170D0000}"/>
    <cellStyle name="Финансовый 2 2 2 3 3 2 4 2" xfId="16861" xr:uid="{00000000-0005-0000-0000-0000180D0000}"/>
    <cellStyle name="Финансовый 2 2 2 3 3 2 5" xfId="10825" xr:uid="{00000000-0005-0000-0000-0000190D0000}"/>
    <cellStyle name="Финансовый 2 2 2 3 3 3" xfId="1214" xr:uid="{00000000-0005-0000-0000-00001A0D0000}"/>
    <cellStyle name="Финансовый 2 2 2 3 3 3 2" xfId="7254" xr:uid="{00000000-0005-0000-0000-00001B0D0000}"/>
    <cellStyle name="Финансовый 2 2 2 3 3 3 2 2" xfId="15897" xr:uid="{00000000-0005-0000-0000-00001C0D0000}"/>
    <cellStyle name="Финансовый 2 2 2 3 3 3 3" xfId="9861" xr:uid="{00000000-0005-0000-0000-00001D0D0000}"/>
    <cellStyle name="Финансовый 2 2 2 3 3 4" xfId="821" xr:uid="{00000000-0005-0000-0000-00001E0D0000}"/>
    <cellStyle name="Финансовый 2 2 2 3 3 4 2" xfId="6861" xr:uid="{00000000-0005-0000-0000-00001F0D0000}"/>
    <cellStyle name="Финансовый 2 2 2 3 3 4 2 2" xfId="15504" xr:uid="{00000000-0005-0000-0000-0000200D0000}"/>
    <cellStyle name="Финансовый 2 2 2 3 3 4 3" xfId="9468" xr:uid="{00000000-0005-0000-0000-0000210D0000}"/>
    <cellStyle name="Финансовый 2 2 2 3 3 5" xfId="2998" xr:uid="{00000000-0005-0000-0000-0000220D0000}"/>
    <cellStyle name="Финансовый 2 2 2 3 3 5 2" xfId="11643" xr:uid="{00000000-0005-0000-0000-0000230D0000}"/>
    <cellStyle name="Финансовый 2 2 2 3 3 6" xfId="4642" xr:uid="{00000000-0005-0000-0000-0000240D0000}"/>
    <cellStyle name="Финансовый 2 2 2 3 3 6 2" xfId="13287" xr:uid="{00000000-0005-0000-0000-0000250D0000}"/>
    <cellStyle name="Финансовый 2 2 2 3 3 7" xfId="6441" xr:uid="{00000000-0005-0000-0000-0000260D0000}"/>
    <cellStyle name="Финансовый 2 2 2 3 3 7 2" xfId="15084" xr:uid="{00000000-0005-0000-0000-0000270D0000}"/>
    <cellStyle name="Финансовый 2 2 2 3 3 8" xfId="9048" xr:uid="{00000000-0005-0000-0000-0000280D0000}"/>
    <cellStyle name="Финансовый 2 2 2 3 4" xfId="1461" xr:uid="{00000000-0005-0000-0000-0000290D0000}"/>
    <cellStyle name="Финансовый 2 2 2 3 4 2" xfId="1924" xr:uid="{00000000-0005-0000-0000-00002A0D0000}"/>
    <cellStyle name="Финансовый 2 2 2 3 4 2 2" xfId="3569" xr:uid="{00000000-0005-0000-0000-00002B0D0000}"/>
    <cellStyle name="Финансовый 2 2 2 3 4 2 2 2" xfId="12214" xr:uid="{00000000-0005-0000-0000-00002C0D0000}"/>
    <cellStyle name="Финансовый 2 2 2 3 4 2 3" xfId="5352" xr:uid="{00000000-0005-0000-0000-00002D0D0000}"/>
    <cellStyle name="Финансовый 2 2 2 3 4 2 3 2" xfId="13995" xr:uid="{00000000-0005-0000-0000-00002E0D0000}"/>
    <cellStyle name="Финансовый 2 2 2 3 4 2 4" xfId="7962" xr:uid="{00000000-0005-0000-0000-00002F0D0000}"/>
    <cellStyle name="Финансовый 2 2 2 3 4 2 4 2" xfId="16605" xr:uid="{00000000-0005-0000-0000-0000300D0000}"/>
    <cellStyle name="Финансовый 2 2 2 3 4 2 5" xfId="10569" xr:uid="{00000000-0005-0000-0000-0000310D0000}"/>
    <cellStyle name="Финансовый 2 2 2 3 4 3" xfId="4889" xr:uid="{00000000-0005-0000-0000-0000320D0000}"/>
    <cellStyle name="Финансовый 2 2 2 3 4 3 2" xfId="13532" xr:uid="{00000000-0005-0000-0000-0000330D0000}"/>
    <cellStyle name="Финансовый 2 2 2 3 4 4" xfId="7499" xr:uid="{00000000-0005-0000-0000-0000340D0000}"/>
    <cellStyle name="Финансовый 2 2 2 3 4 4 2" xfId="16142" xr:uid="{00000000-0005-0000-0000-0000350D0000}"/>
    <cellStyle name="Финансовый 2 2 2 3 4 5" xfId="10106" xr:uid="{00000000-0005-0000-0000-0000360D0000}"/>
    <cellStyle name="Финансовый 2 2 2 3 5" xfId="1800" xr:uid="{00000000-0005-0000-0000-0000370D0000}"/>
    <cellStyle name="Финансовый 2 2 2 3 5 2" xfId="3445" xr:uid="{00000000-0005-0000-0000-0000380D0000}"/>
    <cellStyle name="Финансовый 2 2 2 3 5 2 2" xfId="12090" xr:uid="{00000000-0005-0000-0000-0000390D0000}"/>
    <cellStyle name="Финансовый 2 2 2 3 5 3" xfId="5228" xr:uid="{00000000-0005-0000-0000-00003A0D0000}"/>
    <cellStyle name="Финансовый 2 2 2 3 5 3 2" xfId="13871" xr:uid="{00000000-0005-0000-0000-00003B0D0000}"/>
    <cellStyle name="Финансовый 2 2 2 3 5 4" xfId="7838" xr:uid="{00000000-0005-0000-0000-00003C0D0000}"/>
    <cellStyle name="Финансовый 2 2 2 3 5 4 2" xfId="16481" xr:uid="{00000000-0005-0000-0000-00003D0D0000}"/>
    <cellStyle name="Финансовый 2 2 2 3 5 5" xfId="10445" xr:uid="{00000000-0005-0000-0000-00003E0D0000}"/>
    <cellStyle name="Финансовый 2 2 2 3 6" xfId="2445" xr:uid="{00000000-0005-0000-0000-00003F0D0000}"/>
    <cellStyle name="Финансовый 2 2 2 3 6 2" xfId="4090" xr:uid="{00000000-0005-0000-0000-0000400D0000}"/>
    <cellStyle name="Финансовый 2 2 2 3 6 2 2" xfId="12735" xr:uid="{00000000-0005-0000-0000-0000410D0000}"/>
    <cellStyle name="Финансовый 2 2 2 3 6 3" xfId="5873" xr:uid="{00000000-0005-0000-0000-0000420D0000}"/>
    <cellStyle name="Финансовый 2 2 2 3 6 3 2" xfId="14516" xr:uid="{00000000-0005-0000-0000-0000430D0000}"/>
    <cellStyle name="Финансовый 2 2 2 3 6 4" xfId="8483" xr:uid="{00000000-0005-0000-0000-0000440D0000}"/>
    <cellStyle name="Финансовый 2 2 2 3 6 4 2" xfId="17126" xr:uid="{00000000-0005-0000-0000-0000450D0000}"/>
    <cellStyle name="Финансовый 2 2 2 3 6 5" xfId="11090" xr:uid="{00000000-0005-0000-0000-0000460D0000}"/>
    <cellStyle name="Финансовый 2 2 2 3 7" xfId="1672" xr:uid="{00000000-0005-0000-0000-0000470D0000}"/>
    <cellStyle name="Финансовый 2 2 2 3 7 2" xfId="3317" xr:uid="{00000000-0005-0000-0000-0000480D0000}"/>
    <cellStyle name="Финансовый 2 2 2 3 7 2 2" xfId="11962" xr:uid="{00000000-0005-0000-0000-0000490D0000}"/>
    <cellStyle name="Финансовый 2 2 2 3 7 3" xfId="5100" xr:uid="{00000000-0005-0000-0000-00004A0D0000}"/>
    <cellStyle name="Финансовый 2 2 2 3 7 3 2" xfId="13743" xr:uid="{00000000-0005-0000-0000-00004B0D0000}"/>
    <cellStyle name="Финансовый 2 2 2 3 7 4" xfId="7710" xr:uid="{00000000-0005-0000-0000-00004C0D0000}"/>
    <cellStyle name="Финансовый 2 2 2 3 7 4 2" xfId="16353" xr:uid="{00000000-0005-0000-0000-00004D0D0000}"/>
    <cellStyle name="Финансовый 2 2 2 3 7 5" xfId="10317" xr:uid="{00000000-0005-0000-0000-00004E0D0000}"/>
    <cellStyle name="Финансовый 2 2 2 3 8" xfId="949" xr:uid="{00000000-0005-0000-0000-00004F0D0000}"/>
    <cellStyle name="Финансовый 2 2 2 3 8 2" xfId="6989" xr:uid="{00000000-0005-0000-0000-0000500D0000}"/>
    <cellStyle name="Финансовый 2 2 2 3 8 2 2" xfId="15632" xr:uid="{00000000-0005-0000-0000-0000510D0000}"/>
    <cellStyle name="Финансовый 2 2 2 3 8 3" xfId="9596" xr:uid="{00000000-0005-0000-0000-0000520D0000}"/>
    <cellStyle name="Финансовый 2 2 2 3 9" xfId="537" xr:uid="{00000000-0005-0000-0000-0000530D0000}"/>
    <cellStyle name="Финансовый 2 2 2 3 9 2" xfId="6577" xr:uid="{00000000-0005-0000-0000-0000540D0000}"/>
    <cellStyle name="Финансовый 2 2 2 3 9 2 2" xfId="15220" xr:uid="{00000000-0005-0000-0000-0000550D0000}"/>
    <cellStyle name="Финансовый 2 2 2 3 9 3" xfId="9184" xr:uid="{00000000-0005-0000-0000-0000560D0000}"/>
    <cellStyle name="Финансовый 2 2 2 4" xfId="80" xr:uid="{00000000-0005-0000-0000-0000570D0000}"/>
    <cellStyle name="Финансовый 2 2 2 4 10" xfId="2690" xr:uid="{00000000-0005-0000-0000-0000580D0000}"/>
    <cellStyle name="Финансовый 2 2 2 4 10 2" xfId="11335" xr:uid="{00000000-0005-0000-0000-0000590D0000}"/>
    <cellStyle name="Финансовый 2 2 2 4 11" xfId="4334" xr:uid="{00000000-0005-0000-0000-00005A0D0000}"/>
    <cellStyle name="Финансовый 2 2 2 4 11 2" xfId="12979" xr:uid="{00000000-0005-0000-0000-00005B0D0000}"/>
    <cellStyle name="Финансовый 2 2 2 4 12" xfId="6121" xr:uid="{00000000-0005-0000-0000-00005C0D0000}"/>
    <cellStyle name="Финансовый 2 2 2 4 12 2" xfId="14764" xr:uid="{00000000-0005-0000-0000-00005D0D0000}"/>
    <cellStyle name="Финансовый 2 2 2 4 13" xfId="8728" xr:uid="{00000000-0005-0000-0000-00005E0D0000}"/>
    <cellStyle name="Финансовый 2 2 2 4 2" xfId="216" xr:uid="{00000000-0005-0000-0000-00005F0D0000}"/>
    <cellStyle name="Финансовый 2 2 2 4 2 10" xfId="8864" xr:uid="{00000000-0005-0000-0000-0000600D0000}"/>
    <cellStyle name="Финансовый 2 2 2 4 2 2" xfId="1314" xr:uid="{00000000-0005-0000-0000-0000610D0000}"/>
    <cellStyle name="Финансовый 2 2 2 4 2 2 2" xfId="2272" xr:uid="{00000000-0005-0000-0000-0000620D0000}"/>
    <cellStyle name="Финансовый 2 2 2 4 2 2 2 2" xfId="3917" xr:uid="{00000000-0005-0000-0000-0000630D0000}"/>
    <cellStyle name="Финансовый 2 2 2 4 2 2 2 2 2" xfId="12562" xr:uid="{00000000-0005-0000-0000-0000640D0000}"/>
    <cellStyle name="Финансовый 2 2 2 4 2 2 2 3" xfId="5700" xr:uid="{00000000-0005-0000-0000-0000650D0000}"/>
    <cellStyle name="Финансовый 2 2 2 4 2 2 2 3 2" xfId="14343" xr:uid="{00000000-0005-0000-0000-0000660D0000}"/>
    <cellStyle name="Финансовый 2 2 2 4 2 2 2 4" xfId="8310" xr:uid="{00000000-0005-0000-0000-0000670D0000}"/>
    <cellStyle name="Финансовый 2 2 2 4 2 2 2 4 2" xfId="16953" xr:uid="{00000000-0005-0000-0000-0000680D0000}"/>
    <cellStyle name="Финансовый 2 2 2 4 2 2 2 5" xfId="10917" xr:uid="{00000000-0005-0000-0000-0000690D0000}"/>
    <cellStyle name="Финансовый 2 2 2 4 2 2 3" xfId="3098" xr:uid="{00000000-0005-0000-0000-00006A0D0000}"/>
    <cellStyle name="Финансовый 2 2 2 4 2 2 3 2" xfId="11743" xr:uid="{00000000-0005-0000-0000-00006B0D0000}"/>
    <cellStyle name="Финансовый 2 2 2 4 2 2 4" xfId="4742" xr:uid="{00000000-0005-0000-0000-00006C0D0000}"/>
    <cellStyle name="Финансовый 2 2 2 4 2 2 4 2" xfId="13387" xr:uid="{00000000-0005-0000-0000-00006D0D0000}"/>
    <cellStyle name="Финансовый 2 2 2 4 2 2 5" xfId="7354" xr:uid="{00000000-0005-0000-0000-00006E0D0000}"/>
    <cellStyle name="Финансовый 2 2 2 4 2 2 5 2" xfId="15997" xr:uid="{00000000-0005-0000-0000-00006F0D0000}"/>
    <cellStyle name="Финансовый 2 2 2 4 2 2 6" xfId="9961" xr:uid="{00000000-0005-0000-0000-0000700D0000}"/>
    <cellStyle name="Финансовый 2 2 2 4 2 3" xfId="2016" xr:uid="{00000000-0005-0000-0000-0000710D0000}"/>
    <cellStyle name="Финансовый 2 2 2 4 2 3 2" xfId="3661" xr:uid="{00000000-0005-0000-0000-0000720D0000}"/>
    <cellStyle name="Финансовый 2 2 2 4 2 3 2 2" xfId="12306" xr:uid="{00000000-0005-0000-0000-0000730D0000}"/>
    <cellStyle name="Финансовый 2 2 2 4 2 3 3" xfId="5444" xr:uid="{00000000-0005-0000-0000-0000740D0000}"/>
    <cellStyle name="Финансовый 2 2 2 4 2 3 3 2" xfId="14087" xr:uid="{00000000-0005-0000-0000-0000750D0000}"/>
    <cellStyle name="Финансовый 2 2 2 4 2 3 4" xfId="8054" xr:uid="{00000000-0005-0000-0000-0000760D0000}"/>
    <cellStyle name="Финансовый 2 2 2 4 2 3 4 2" xfId="16697" xr:uid="{00000000-0005-0000-0000-0000770D0000}"/>
    <cellStyle name="Финансовый 2 2 2 4 2 3 5" xfId="10661" xr:uid="{00000000-0005-0000-0000-0000780D0000}"/>
    <cellStyle name="Финансовый 2 2 2 4 2 4" xfId="2545" xr:uid="{00000000-0005-0000-0000-0000790D0000}"/>
    <cellStyle name="Финансовый 2 2 2 4 2 4 2" xfId="4190" xr:uid="{00000000-0005-0000-0000-00007A0D0000}"/>
    <cellStyle name="Финансовый 2 2 2 4 2 4 2 2" xfId="12835" xr:uid="{00000000-0005-0000-0000-00007B0D0000}"/>
    <cellStyle name="Финансовый 2 2 2 4 2 4 3" xfId="5973" xr:uid="{00000000-0005-0000-0000-00007C0D0000}"/>
    <cellStyle name="Финансовый 2 2 2 4 2 4 3 2" xfId="14616" xr:uid="{00000000-0005-0000-0000-00007D0D0000}"/>
    <cellStyle name="Финансовый 2 2 2 4 2 4 4" xfId="8583" xr:uid="{00000000-0005-0000-0000-00007E0D0000}"/>
    <cellStyle name="Финансовый 2 2 2 4 2 4 4 2" xfId="17226" xr:uid="{00000000-0005-0000-0000-00007F0D0000}"/>
    <cellStyle name="Финансовый 2 2 2 4 2 4 5" xfId="11190" xr:uid="{00000000-0005-0000-0000-0000800D0000}"/>
    <cellStyle name="Финансовый 2 2 2 4 2 5" xfId="1049" xr:uid="{00000000-0005-0000-0000-0000810D0000}"/>
    <cellStyle name="Финансовый 2 2 2 4 2 5 2" xfId="7089" xr:uid="{00000000-0005-0000-0000-0000820D0000}"/>
    <cellStyle name="Финансовый 2 2 2 4 2 5 2 2" xfId="15732" xr:uid="{00000000-0005-0000-0000-0000830D0000}"/>
    <cellStyle name="Финансовый 2 2 2 4 2 5 3" xfId="9696" xr:uid="{00000000-0005-0000-0000-0000840D0000}"/>
    <cellStyle name="Финансовый 2 2 2 4 2 6" xfId="637" xr:uid="{00000000-0005-0000-0000-0000850D0000}"/>
    <cellStyle name="Финансовый 2 2 2 4 2 6 2" xfId="6677" xr:uid="{00000000-0005-0000-0000-0000860D0000}"/>
    <cellStyle name="Финансовый 2 2 2 4 2 6 2 2" xfId="15320" xr:uid="{00000000-0005-0000-0000-0000870D0000}"/>
    <cellStyle name="Финансовый 2 2 2 4 2 6 3" xfId="9284" xr:uid="{00000000-0005-0000-0000-0000880D0000}"/>
    <cellStyle name="Финансовый 2 2 2 4 2 7" xfId="2826" xr:uid="{00000000-0005-0000-0000-0000890D0000}"/>
    <cellStyle name="Финансовый 2 2 2 4 2 7 2" xfId="11471" xr:uid="{00000000-0005-0000-0000-00008A0D0000}"/>
    <cellStyle name="Финансовый 2 2 2 4 2 8" xfId="4470" xr:uid="{00000000-0005-0000-0000-00008B0D0000}"/>
    <cellStyle name="Финансовый 2 2 2 4 2 8 2" xfId="13115" xr:uid="{00000000-0005-0000-0000-00008C0D0000}"/>
    <cellStyle name="Финансовый 2 2 2 4 2 9" xfId="6257" xr:uid="{00000000-0005-0000-0000-00008D0D0000}"/>
    <cellStyle name="Финансовый 2 2 2 4 2 9 2" xfId="14900" xr:uid="{00000000-0005-0000-0000-00008E0D0000}"/>
    <cellStyle name="Финансовый 2 2 2 4 3" xfId="365" xr:uid="{00000000-0005-0000-0000-00008F0D0000}"/>
    <cellStyle name="Финансовый 2 2 2 4 3 2" xfId="2144" xr:uid="{00000000-0005-0000-0000-0000900D0000}"/>
    <cellStyle name="Финансовый 2 2 2 4 3 2 2" xfId="3789" xr:uid="{00000000-0005-0000-0000-0000910D0000}"/>
    <cellStyle name="Финансовый 2 2 2 4 3 2 2 2" xfId="12434" xr:uid="{00000000-0005-0000-0000-0000920D0000}"/>
    <cellStyle name="Финансовый 2 2 2 4 3 2 3" xfId="5572" xr:uid="{00000000-0005-0000-0000-0000930D0000}"/>
    <cellStyle name="Финансовый 2 2 2 4 3 2 3 2" xfId="14215" xr:uid="{00000000-0005-0000-0000-0000940D0000}"/>
    <cellStyle name="Финансовый 2 2 2 4 3 2 4" xfId="8182" xr:uid="{00000000-0005-0000-0000-0000950D0000}"/>
    <cellStyle name="Финансовый 2 2 2 4 3 2 4 2" xfId="16825" xr:uid="{00000000-0005-0000-0000-0000960D0000}"/>
    <cellStyle name="Финансовый 2 2 2 4 3 2 5" xfId="10789" xr:uid="{00000000-0005-0000-0000-0000970D0000}"/>
    <cellStyle name="Финансовый 2 2 2 4 3 3" xfId="1178" xr:uid="{00000000-0005-0000-0000-0000980D0000}"/>
    <cellStyle name="Финансовый 2 2 2 4 3 3 2" xfId="7218" xr:uid="{00000000-0005-0000-0000-0000990D0000}"/>
    <cellStyle name="Финансовый 2 2 2 4 3 3 2 2" xfId="15861" xr:uid="{00000000-0005-0000-0000-00009A0D0000}"/>
    <cellStyle name="Финансовый 2 2 2 4 3 3 3" xfId="9825" xr:uid="{00000000-0005-0000-0000-00009B0D0000}"/>
    <cellStyle name="Финансовый 2 2 2 4 3 4" xfId="785" xr:uid="{00000000-0005-0000-0000-00009C0D0000}"/>
    <cellStyle name="Финансовый 2 2 2 4 3 4 2" xfId="6825" xr:uid="{00000000-0005-0000-0000-00009D0D0000}"/>
    <cellStyle name="Финансовый 2 2 2 4 3 4 2 2" xfId="15468" xr:uid="{00000000-0005-0000-0000-00009E0D0000}"/>
    <cellStyle name="Финансовый 2 2 2 4 3 4 3" xfId="9432" xr:uid="{00000000-0005-0000-0000-00009F0D0000}"/>
    <cellStyle name="Финансовый 2 2 2 4 3 5" xfId="2962" xr:uid="{00000000-0005-0000-0000-0000A00D0000}"/>
    <cellStyle name="Финансовый 2 2 2 4 3 5 2" xfId="11607" xr:uid="{00000000-0005-0000-0000-0000A10D0000}"/>
    <cellStyle name="Финансовый 2 2 2 4 3 6" xfId="4606" xr:uid="{00000000-0005-0000-0000-0000A20D0000}"/>
    <cellStyle name="Финансовый 2 2 2 4 3 6 2" xfId="13251" xr:uid="{00000000-0005-0000-0000-0000A30D0000}"/>
    <cellStyle name="Финансовый 2 2 2 4 3 7" xfId="6405" xr:uid="{00000000-0005-0000-0000-0000A40D0000}"/>
    <cellStyle name="Финансовый 2 2 2 4 3 7 2" xfId="15048" xr:uid="{00000000-0005-0000-0000-0000A50D0000}"/>
    <cellStyle name="Финансовый 2 2 2 4 3 8" xfId="9012" xr:uid="{00000000-0005-0000-0000-0000A60D0000}"/>
    <cellStyle name="Финансовый 2 2 2 4 4" xfId="1462" xr:uid="{00000000-0005-0000-0000-0000A70D0000}"/>
    <cellStyle name="Финансовый 2 2 2 4 4 2" xfId="1888" xr:uid="{00000000-0005-0000-0000-0000A80D0000}"/>
    <cellStyle name="Финансовый 2 2 2 4 4 2 2" xfId="3533" xr:uid="{00000000-0005-0000-0000-0000A90D0000}"/>
    <cellStyle name="Финансовый 2 2 2 4 4 2 2 2" xfId="12178" xr:uid="{00000000-0005-0000-0000-0000AA0D0000}"/>
    <cellStyle name="Финансовый 2 2 2 4 4 2 3" xfId="5316" xr:uid="{00000000-0005-0000-0000-0000AB0D0000}"/>
    <cellStyle name="Финансовый 2 2 2 4 4 2 3 2" xfId="13959" xr:uid="{00000000-0005-0000-0000-0000AC0D0000}"/>
    <cellStyle name="Финансовый 2 2 2 4 4 2 4" xfId="7926" xr:uid="{00000000-0005-0000-0000-0000AD0D0000}"/>
    <cellStyle name="Финансовый 2 2 2 4 4 2 4 2" xfId="16569" xr:uid="{00000000-0005-0000-0000-0000AE0D0000}"/>
    <cellStyle name="Финансовый 2 2 2 4 4 2 5" xfId="10533" xr:uid="{00000000-0005-0000-0000-0000AF0D0000}"/>
    <cellStyle name="Финансовый 2 2 2 4 4 3" xfId="4890" xr:uid="{00000000-0005-0000-0000-0000B00D0000}"/>
    <cellStyle name="Финансовый 2 2 2 4 4 3 2" xfId="13533" xr:uid="{00000000-0005-0000-0000-0000B10D0000}"/>
    <cellStyle name="Финансовый 2 2 2 4 4 4" xfId="7500" xr:uid="{00000000-0005-0000-0000-0000B20D0000}"/>
    <cellStyle name="Финансовый 2 2 2 4 4 4 2" xfId="16143" xr:uid="{00000000-0005-0000-0000-0000B30D0000}"/>
    <cellStyle name="Финансовый 2 2 2 4 4 5" xfId="10107" xr:uid="{00000000-0005-0000-0000-0000B40D0000}"/>
    <cellStyle name="Финансовый 2 2 2 4 5" xfId="1764" xr:uid="{00000000-0005-0000-0000-0000B50D0000}"/>
    <cellStyle name="Финансовый 2 2 2 4 5 2" xfId="3409" xr:uid="{00000000-0005-0000-0000-0000B60D0000}"/>
    <cellStyle name="Финансовый 2 2 2 4 5 2 2" xfId="12054" xr:uid="{00000000-0005-0000-0000-0000B70D0000}"/>
    <cellStyle name="Финансовый 2 2 2 4 5 3" xfId="5192" xr:uid="{00000000-0005-0000-0000-0000B80D0000}"/>
    <cellStyle name="Финансовый 2 2 2 4 5 3 2" xfId="13835" xr:uid="{00000000-0005-0000-0000-0000B90D0000}"/>
    <cellStyle name="Финансовый 2 2 2 4 5 4" xfId="7802" xr:uid="{00000000-0005-0000-0000-0000BA0D0000}"/>
    <cellStyle name="Финансовый 2 2 2 4 5 4 2" xfId="16445" xr:uid="{00000000-0005-0000-0000-0000BB0D0000}"/>
    <cellStyle name="Финансовый 2 2 2 4 5 5" xfId="10409" xr:uid="{00000000-0005-0000-0000-0000BC0D0000}"/>
    <cellStyle name="Финансовый 2 2 2 4 6" xfId="2409" xr:uid="{00000000-0005-0000-0000-0000BD0D0000}"/>
    <cellStyle name="Финансовый 2 2 2 4 6 2" xfId="4054" xr:uid="{00000000-0005-0000-0000-0000BE0D0000}"/>
    <cellStyle name="Финансовый 2 2 2 4 6 2 2" xfId="12699" xr:uid="{00000000-0005-0000-0000-0000BF0D0000}"/>
    <cellStyle name="Финансовый 2 2 2 4 6 3" xfId="5837" xr:uid="{00000000-0005-0000-0000-0000C00D0000}"/>
    <cellStyle name="Финансовый 2 2 2 4 6 3 2" xfId="14480" xr:uid="{00000000-0005-0000-0000-0000C10D0000}"/>
    <cellStyle name="Финансовый 2 2 2 4 6 4" xfId="8447" xr:uid="{00000000-0005-0000-0000-0000C20D0000}"/>
    <cellStyle name="Финансовый 2 2 2 4 6 4 2" xfId="17090" xr:uid="{00000000-0005-0000-0000-0000C30D0000}"/>
    <cellStyle name="Финансовый 2 2 2 4 6 5" xfId="11054" xr:uid="{00000000-0005-0000-0000-0000C40D0000}"/>
    <cellStyle name="Финансовый 2 2 2 4 7" xfId="1636" xr:uid="{00000000-0005-0000-0000-0000C50D0000}"/>
    <cellStyle name="Финансовый 2 2 2 4 7 2" xfId="3281" xr:uid="{00000000-0005-0000-0000-0000C60D0000}"/>
    <cellStyle name="Финансовый 2 2 2 4 7 2 2" xfId="11926" xr:uid="{00000000-0005-0000-0000-0000C70D0000}"/>
    <cellStyle name="Финансовый 2 2 2 4 7 3" xfId="5064" xr:uid="{00000000-0005-0000-0000-0000C80D0000}"/>
    <cellStyle name="Финансовый 2 2 2 4 7 3 2" xfId="13707" xr:uid="{00000000-0005-0000-0000-0000C90D0000}"/>
    <cellStyle name="Финансовый 2 2 2 4 7 4" xfId="7674" xr:uid="{00000000-0005-0000-0000-0000CA0D0000}"/>
    <cellStyle name="Финансовый 2 2 2 4 7 4 2" xfId="16317" xr:uid="{00000000-0005-0000-0000-0000CB0D0000}"/>
    <cellStyle name="Финансовый 2 2 2 4 7 5" xfId="10281" xr:uid="{00000000-0005-0000-0000-0000CC0D0000}"/>
    <cellStyle name="Финансовый 2 2 2 4 8" xfId="913" xr:uid="{00000000-0005-0000-0000-0000CD0D0000}"/>
    <cellStyle name="Финансовый 2 2 2 4 8 2" xfId="6953" xr:uid="{00000000-0005-0000-0000-0000CE0D0000}"/>
    <cellStyle name="Финансовый 2 2 2 4 8 2 2" xfId="15596" xr:uid="{00000000-0005-0000-0000-0000CF0D0000}"/>
    <cellStyle name="Финансовый 2 2 2 4 8 3" xfId="9560" xr:uid="{00000000-0005-0000-0000-0000D00D0000}"/>
    <cellStyle name="Финансовый 2 2 2 4 9" xfId="501" xr:uid="{00000000-0005-0000-0000-0000D10D0000}"/>
    <cellStyle name="Финансовый 2 2 2 4 9 2" xfId="6541" xr:uid="{00000000-0005-0000-0000-0000D20D0000}"/>
    <cellStyle name="Финансовый 2 2 2 4 9 2 2" xfId="15184" xr:uid="{00000000-0005-0000-0000-0000D30D0000}"/>
    <cellStyle name="Финансовый 2 2 2 4 9 3" xfId="9148" xr:uid="{00000000-0005-0000-0000-0000D40D0000}"/>
    <cellStyle name="Финансовый 2 2 2 5" xfId="58" xr:uid="{00000000-0005-0000-0000-0000D50D0000}"/>
    <cellStyle name="Финансовый 2 2 2 5 10" xfId="2670" xr:uid="{00000000-0005-0000-0000-0000D60D0000}"/>
    <cellStyle name="Финансовый 2 2 2 5 10 2" xfId="11315" xr:uid="{00000000-0005-0000-0000-0000D70D0000}"/>
    <cellStyle name="Финансовый 2 2 2 5 11" xfId="4313" xr:uid="{00000000-0005-0000-0000-0000D80D0000}"/>
    <cellStyle name="Финансовый 2 2 2 5 11 2" xfId="12958" xr:uid="{00000000-0005-0000-0000-0000D90D0000}"/>
    <cellStyle name="Финансовый 2 2 2 5 12" xfId="6101" xr:uid="{00000000-0005-0000-0000-0000DA0D0000}"/>
    <cellStyle name="Финансовый 2 2 2 5 12 2" xfId="14744" xr:uid="{00000000-0005-0000-0000-0000DB0D0000}"/>
    <cellStyle name="Финансовый 2 2 2 5 13" xfId="8708" xr:uid="{00000000-0005-0000-0000-0000DC0D0000}"/>
    <cellStyle name="Финансовый 2 2 2 5 2" xfId="196" xr:uid="{00000000-0005-0000-0000-0000DD0D0000}"/>
    <cellStyle name="Финансовый 2 2 2 5 2 10" xfId="8844" xr:uid="{00000000-0005-0000-0000-0000DE0D0000}"/>
    <cellStyle name="Финансовый 2 2 2 5 2 2" xfId="1294" xr:uid="{00000000-0005-0000-0000-0000DF0D0000}"/>
    <cellStyle name="Финансовый 2 2 2 5 2 2 2" xfId="2260" xr:uid="{00000000-0005-0000-0000-0000E00D0000}"/>
    <cellStyle name="Финансовый 2 2 2 5 2 2 2 2" xfId="3905" xr:uid="{00000000-0005-0000-0000-0000E10D0000}"/>
    <cellStyle name="Финансовый 2 2 2 5 2 2 2 2 2" xfId="12550" xr:uid="{00000000-0005-0000-0000-0000E20D0000}"/>
    <cellStyle name="Финансовый 2 2 2 5 2 2 2 3" xfId="5688" xr:uid="{00000000-0005-0000-0000-0000E30D0000}"/>
    <cellStyle name="Финансовый 2 2 2 5 2 2 2 3 2" xfId="14331" xr:uid="{00000000-0005-0000-0000-0000E40D0000}"/>
    <cellStyle name="Финансовый 2 2 2 5 2 2 2 4" xfId="8298" xr:uid="{00000000-0005-0000-0000-0000E50D0000}"/>
    <cellStyle name="Финансовый 2 2 2 5 2 2 2 4 2" xfId="16941" xr:uid="{00000000-0005-0000-0000-0000E60D0000}"/>
    <cellStyle name="Финансовый 2 2 2 5 2 2 2 5" xfId="10905" xr:uid="{00000000-0005-0000-0000-0000E70D0000}"/>
    <cellStyle name="Финансовый 2 2 2 5 2 2 3" xfId="3078" xr:uid="{00000000-0005-0000-0000-0000E80D0000}"/>
    <cellStyle name="Финансовый 2 2 2 5 2 2 3 2" xfId="11723" xr:uid="{00000000-0005-0000-0000-0000E90D0000}"/>
    <cellStyle name="Финансовый 2 2 2 5 2 2 4" xfId="4722" xr:uid="{00000000-0005-0000-0000-0000EA0D0000}"/>
    <cellStyle name="Финансовый 2 2 2 5 2 2 4 2" xfId="13367" xr:uid="{00000000-0005-0000-0000-0000EB0D0000}"/>
    <cellStyle name="Финансовый 2 2 2 5 2 2 5" xfId="7334" xr:uid="{00000000-0005-0000-0000-0000EC0D0000}"/>
    <cellStyle name="Финансовый 2 2 2 5 2 2 5 2" xfId="15977" xr:uid="{00000000-0005-0000-0000-0000ED0D0000}"/>
    <cellStyle name="Финансовый 2 2 2 5 2 2 6" xfId="9941" xr:uid="{00000000-0005-0000-0000-0000EE0D0000}"/>
    <cellStyle name="Финансовый 2 2 2 5 2 3" xfId="2004" xr:uid="{00000000-0005-0000-0000-0000EF0D0000}"/>
    <cellStyle name="Финансовый 2 2 2 5 2 3 2" xfId="3649" xr:uid="{00000000-0005-0000-0000-0000F00D0000}"/>
    <cellStyle name="Финансовый 2 2 2 5 2 3 2 2" xfId="12294" xr:uid="{00000000-0005-0000-0000-0000F10D0000}"/>
    <cellStyle name="Финансовый 2 2 2 5 2 3 3" xfId="5432" xr:uid="{00000000-0005-0000-0000-0000F20D0000}"/>
    <cellStyle name="Финансовый 2 2 2 5 2 3 3 2" xfId="14075" xr:uid="{00000000-0005-0000-0000-0000F30D0000}"/>
    <cellStyle name="Финансовый 2 2 2 5 2 3 4" xfId="8042" xr:uid="{00000000-0005-0000-0000-0000F40D0000}"/>
    <cellStyle name="Финансовый 2 2 2 5 2 3 4 2" xfId="16685" xr:uid="{00000000-0005-0000-0000-0000F50D0000}"/>
    <cellStyle name="Финансовый 2 2 2 5 2 3 5" xfId="10649" xr:uid="{00000000-0005-0000-0000-0000F60D0000}"/>
    <cellStyle name="Финансовый 2 2 2 5 2 4" xfId="2525" xr:uid="{00000000-0005-0000-0000-0000F70D0000}"/>
    <cellStyle name="Финансовый 2 2 2 5 2 4 2" xfId="4170" xr:uid="{00000000-0005-0000-0000-0000F80D0000}"/>
    <cellStyle name="Финансовый 2 2 2 5 2 4 2 2" xfId="12815" xr:uid="{00000000-0005-0000-0000-0000F90D0000}"/>
    <cellStyle name="Финансовый 2 2 2 5 2 4 3" xfId="5953" xr:uid="{00000000-0005-0000-0000-0000FA0D0000}"/>
    <cellStyle name="Финансовый 2 2 2 5 2 4 3 2" xfId="14596" xr:uid="{00000000-0005-0000-0000-0000FB0D0000}"/>
    <cellStyle name="Финансовый 2 2 2 5 2 4 4" xfId="8563" xr:uid="{00000000-0005-0000-0000-0000FC0D0000}"/>
    <cellStyle name="Финансовый 2 2 2 5 2 4 4 2" xfId="17206" xr:uid="{00000000-0005-0000-0000-0000FD0D0000}"/>
    <cellStyle name="Финансовый 2 2 2 5 2 4 5" xfId="11170" xr:uid="{00000000-0005-0000-0000-0000FE0D0000}"/>
    <cellStyle name="Финансовый 2 2 2 5 2 5" xfId="1029" xr:uid="{00000000-0005-0000-0000-0000FF0D0000}"/>
    <cellStyle name="Финансовый 2 2 2 5 2 5 2" xfId="7069" xr:uid="{00000000-0005-0000-0000-0000000E0000}"/>
    <cellStyle name="Финансовый 2 2 2 5 2 5 2 2" xfId="15712" xr:uid="{00000000-0005-0000-0000-0000010E0000}"/>
    <cellStyle name="Финансовый 2 2 2 5 2 5 3" xfId="9676" xr:uid="{00000000-0005-0000-0000-0000020E0000}"/>
    <cellStyle name="Финансовый 2 2 2 5 2 6" xfId="617" xr:uid="{00000000-0005-0000-0000-0000030E0000}"/>
    <cellStyle name="Финансовый 2 2 2 5 2 6 2" xfId="6657" xr:uid="{00000000-0005-0000-0000-0000040E0000}"/>
    <cellStyle name="Финансовый 2 2 2 5 2 6 2 2" xfId="15300" xr:uid="{00000000-0005-0000-0000-0000050E0000}"/>
    <cellStyle name="Финансовый 2 2 2 5 2 6 3" xfId="9264" xr:uid="{00000000-0005-0000-0000-0000060E0000}"/>
    <cellStyle name="Финансовый 2 2 2 5 2 7" xfId="2806" xr:uid="{00000000-0005-0000-0000-0000070E0000}"/>
    <cellStyle name="Финансовый 2 2 2 5 2 7 2" xfId="11451" xr:uid="{00000000-0005-0000-0000-0000080E0000}"/>
    <cellStyle name="Финансовый 2 2 2 5 2 8" xfId="4450" xr:uid="{00000000-0005-0000-0000-0000090E0000}"/>
    <cellStyle name="Финансовый 2 2 2 5 2 8 2" xfId="13095" xr:uid="{00000000-0005-0000-0000-00000A0E0000}"/>
    <cellStyle name="Финансовый 2 2 2 5 2 9" xfId="6237" xr:uid="{00000000-0005-0000-0000-00000B0E0000}"/>
    <cellStyle name="Финансовый 2 2 2 5 2 9 2" xfId="14880" xr:uid="{00000000-0005-0000-0000-00000C0E0000}"/>
    <cellStyle name="Финансовый 2 2 2 5 3" xfId="345" xr:uid="{00000000-0005-0000-0000-00000D0E0000}"/>
    <cellStyle name="Финансовый 2 2 2 5 3 2" xfId="2132" xr:uid="{00000000-0005-0000-0000-00000E0E0000}"/>
    <cellStyle name="Финансовый 2 2 2 5 3 2 2" xfId="3777" xr:uid="{00000000-0005-0000-0000-00000F0E0000}"/>
    <cellStyle name="Финансовый 2 2 2 5 3 2 2 2" xfId="12422" xr:uid="{00000000-0005-0000-0000-0000100E0000}"/>
    <cellStyle name="Финансовый 2 2 2 5 3 2 3" xfId="5560" xr:uid="{00000000-0005-0000-0000-0000110E0000}"/>
    <cellStyle name="Финансовый 2 2 2 5 3 2 3 2" xfId="14203" xr:uid="{00000000-0005-0000-0000-0000120E0000}"/>
    <cellStyle name="Финансовый 2 2 2 5 3 2 4" xfId="8170" xr:uid="{00000000-0005-0000-0000-0000130E0000}"/>
    <cellStyle name="Финансовый 2 2 2 5 3 2 4 2" xfId="16813" xr:uid="{00000000-0005-0000-0000-0000140E0000}"/>
    <cellStyle name="Финансовый 2 2 2 5 3 2 5" xfId="10777" xr:uid="{00000000-0005-0000-0000-0000150E0000}"/>
    <cellStyle name="Финансовый 2 2 2 5 3 3" xfId="1165" xr:uid="{00000000-0005-0000-0000-0000160E0000}"/>
    <cellStyle name="Финансовый 2 2 2 5 3 3 2" xfId="7205" xr:uid="{00000000-0005-0000-0000-0000170E0000}"/>
    <cellStyle name="Финансовый 2 2 2 5 3 3 2 2" xfId="15848" xr:uid="{00000000-0005-0000-0000-0000180E0000}"/>
    <cellStyle name="Финансовый 2 2 2 5 3 3 3" xfId="9812" xr:uid="{00000000-0005-0000-0000-0000190E0000}"/>
    <cellStyle name="Финансовый 2 2 2 5 3 4" xfId="765" xr:uid="{00000000-0005-0000-0000-00001A0E0000}"/>
    <cellStyle name="Финансовый 2 2 2 5 3 4 2" xfId="6805" xr:uid="{00000000-0005-0000-0000-00001B0E0000}"/>
    <cellStyle name="Финансовый 2 2 2 5 3 4 2 2" xfId="15448" xr:uid="{00000000-0005-0000-0000-00001C0E0000}"/>
    <cellStyle name="Финансовый 2 2 2 5 3 4 3" xfId="9412" xr:uid="{00000000-0005-0000-0000-00001D0E0000}"/>
    <cellStyle name="Финансовый 2 2 2 5 3 5" xfId="2942" xr:uid="{00000000-0005-0000-0000-00001E0E0000}"/>
    <cellStyle name="Финансовый 2 2 2 5 3 5 2" xfId="11587" xr:uid="{00000000-0005-0000-0000-00001F0E0000}"/>
    <cellStyle name="Финансовый 2 2 2 5 3 6" xfId="4586" xr:uid="{00000000-0005-0000-0000-0000200E0000}"/>
    <cellStyle name="Финансовый 2 2 2 5 3 6 2" xfId="13231" xr:uid="{00000000-0005-0000-0000-0000210E0000}"/>
    <cellStyle name="Финансовый 2 2 2 5 3 7" xfId="6385" xr:uid="{00000000-0005-0000-0000-0000220E0000}"/>
    <cellStyle name="Финансовый 2 2 2 5 3 7 2" xfId="15028" xr:uid="{00000000-0005-0000-0000-0000230E0000}"/>
    <cellStyle name="Финансовый 2 2 2 5 3 8" xfId="8992" xr:uid="{00000000-0005-0000-0000-0000240E0000}"/>
    <cellStyle name="Финансовый 2 2 2 5 4" xfId="1463" xr:uid="{00000000-0005-0000-0000-0000250E0000}"/>
    <cellStyle name="Финансовый 2 2 2 5 4 2" xfId="1868" xr:uid="{00000000-0005-0000-0000-0000260E0000}"/>
    <cellStyle name="Финансовый 2 2 2 5 4 2 2" xfId="3513" xr:uid="{00000000-0005-0000-0000-0000270E0000}"/>
    <cellStyle name="Финансовый 2 2 2 5 4 2 2 2" xfId="12158" xr:uid="{00000000-0005-0000-0000-0000280E0000}"/>
    <cellStyle name="Финансовый 2 2 2 5 4 2 3" xfId="5296" xr:uid="{00000000-0005-0000-0000-0000290E0000}"/>
    <cellStyle name="Финансовый 2 2 2 5 4 2 3 2" xfId="13939" xr:uid="{00000000-0005-0000-0000-00002A0E0000}"/>
    <cellStyle name="Финансовый 2 2 2 5 4 2 4" xfId="7906" xr:uid="{00000000-0005-0000-0000-00002B0E0000}"/>
    <cellStyle name="Финансовый 2 2 2 5 4 2 4 2" xfId="16549" xr:uid="{00000000-0005-0000-0000-00002C0E0000}"/>
    <cellStyle name="Финансовый 2 2 2 5 4 2 5" xfId="10513" xr:uid="{00000000-0005-0000-0000-00002D0E0000}"/>
    <cellStyle name="Финансовый 2 2 2 5 4 3" xfId="4891" xr:uid="{00000000-0005-0000-0000-00002E0E0000}"/>
    <cellStyle name="Финансовый 2 2 2 5 4 3 2" xfId="13534" xr:uid="{00000000-0005-0000-0000-00002F0E0000}"/>
    <cellStyle name="Финансовый 2 2 2 5 4 4" xfId="7501" xr:uid="{00000000-0005-0000-0000-0000300E0000}"/>
    <cellStyle name="Финансовый 2 2 2 5 4 4 2" xfId="16144" xr:uid="{00000000-0005-0000-0000-0000310E0000}"/>
    <cellStyle name="Финансовый 2 2 2 5 4 5" xfId="10108" xr:uid="{00000000-0005-0000-0000-0000320E0000}"/>
    <cellStyle name="Финансовый 2 2 2 5 5" xfId="1752" xr:uid="{00000000-0005-0000-0000-0000330E0000}"/>
    <cellStyle name="Финансовый 2 2 2 5 5 2" xfId="3397" xr:uid="{00000000-0005-0000-0000-0000340E0000}"/>
    <cellStyle name="Финансовый 2 2 2 5 5 2 2" xfId="12042" xr:uid="{00000000-0005-0000-0000-0000350E0000}"/>
    <cellStyle name="Финансовый 2 2 2 5 5 3" xfId="5180" xr:uid="{00000000-0005-0000-0000-0000360E0000}"/>
    <cellStyle name="Финансовый 2 2 2 5 5 3 2" xfId="13823" xr:uid="{00000000-0005-0000-0000-0000370E0000}"/>
    <cellStyle name="Финансовый 2 2 2 5 5 4" xfId="7790" xr:uid="{00000000-0005-0000-0000-0000380E0000}"/>
    <cellStyle name="Финансовый 2 2 2 5 5 4 2" xfId="16433" xr:uid="{00000000-0005-0000-0000-0000390E0000}"/>
    <cellStyle name="Финансовый 2 2 2 5 5 5" xfId="10397" xr:uid="{00000000-0005-0000-0000-00003A0E0000}"/>
    <cellStyle name="Финансовый 2 2 2 5 6" xfId="2388" xr:uid="{00000000-0005-0000-0000-00003B0E0000}"/>
    <cellStyle name="Финансовый 2 2 2 5 6 2" xfId="4033" xr:uid="{00000000-0005-0000-0000-00003C0E0000}"/>
    <cellStyle name="Финансовый 2 2 2 5 6 2 2" xfId="12678" xr:uid="{00000000-0005-0000-0000-00003D0E0000}"/>
    <cellStyle name="Финансовый 2 2 2 5 6 3" xfId="5816" xr:uid="{00000000-0005-0000-0000-00003E0E0000}"/>
    <cellStyle name="Финансовый 2 2 2 5 6 3 2" xfId="14459" xr:uid="{00000000-0005-0000-0000-00003F0E0000}"/>
    <cellStyle name="Финансовый 2 2 2 5 6 4" xfId="8426" xr:uid="{00000000-0005-0000-0000-0000400E0000}"/>
    <cellStyle name="Финансовый 2 2 2 5 6 4 2" xfId="17069" xr:uid="{00000000-0005-0000-0000-0000410E0000}"/>
    <cellStyle name="Финансовый 2 2 2 5 6 5" xfId="11033" xr:uid="{00000000-0005-0000-0000-0000420E0000}"/>
    <cellStyle name="Финансовый 2 2 2 5 7" xfId="1615" xr:uid="{00000000-0005-0000-0000-0000430E0000}"/>
    <cellStyle name="Финансовый 2 2 2 5 7 2" xfId="3260" xr:uid="{00000000-0005-0000-0000-0000440E0000}"/>
    <cellStyle name="Финансовый 2 2 2 5 7 2 2" xfId="11905" xr:uid="{00000000-0005-0000-0000-0000450E0000}"/>
    <cellStyle name="Финансовый 2 2 2 5 7 3" xfId="5043" xr:uid="{00000000-0005-0000-0000-0000460E0000}"/>
    <cellStyle name="Финансовый 2 2 2 5 7 3 2" xfId="13686" xr:uid="{00000000-0005-0000-0000-0000470E0000}"/>
    <cellStyle name="Финансовый 2 2 2 5 7 4" xfId="7653" xr:uid="{00000000-0005-0000-0000-0000480E0000}"/>
    <cellStyle name="Финансовый 2 2 2 5 7 4 2" xfId="16296" xr:uid="{00000000-0005-0000-0000-0000490E0000}"/>
    <cellStyle name="Финансовый 2 2 2 5 7 5" xfId="10260" xr:uid="{00000000-0005-0000-0000-00004A0E0000}"/>
    <cellStyle name="Финансовый 2 2 2 5 8" xfId="901" xr:uid="{00000000-0005-0000-0000-00004B0E0000}"/>
    <cellStyle name="Финансовый 2 2 2 5 8 2" xfId="6941" xr:uid="{00000000-0005-0000-0000-00004C0E0000}"/>
    <cellStyle name="Финансовый 2 2 2 5 8 2 2" xfId="15584" xr:uid="{00000000-0005-0000-0000-00004D0E0000}"/>
    <cellStyle name="Финансовый 2 2 2 5 8 3" xfId="9548" xr:uid="{00000000-0005-0000-0000-00004E0E0000}"/>
    <cellStyle name="Финансовый 2 2 2 5 9" xfId="481" xr:uid="{00000000-0005-0000-0000-00004F0E0000}"/>
    <cellStyle name="Финансовый 2 2 2 5 9 2" xfId="6521" xr:uid="{00000000-0005-0000-0000-0000500E0000}"/>
    <cellStyle name="Финансовый 2 2 2 5 9 2 2" xfId="15164" xr:uid="{00000000-0005-0000-0000-0000510E0000}"/>
    <cellStyle name="Финансовый 2 2 2 5 9 3" xfId="9128" xr:uid="{00000000-0005-0000-0000-0000520E0000}"/>
    <cellStyle name="Финансовый 2 2 2 6" xfId="136" xr:uid="{00000000-0005-0000-0000-0000530E0000}"/>
    <cellStyle name="Финансовый 2 2 2 6 10" xfId="2746" xr:uid="{00000000-0005-0000-0000-0000540E0000}"/>
    <cellStyle name="Финансовый 2 2 2 6 10 2" xfId="11391" xr:uid="{00000000-0005-0000-0000-0000550E0000}"/>
    <cellStyle name="Финансовый 2 2 2 6 11" xfId="4390" xr:uid="{00000000-0005-0000-0000-0000560E0000}"/>
    <cellStyle name="Финансовый 2 2 2 6 11 2" xfId="13035" xr:uid="{00000000-0005-0000-0000-0000570E0000}"/>
    <cellStyle name="Финансовый 2 2 2 6 12" xfId="6177" xr:uid="{00000000-0005-0000-0000-0000580E0000}"/>
    <cellStyle name="Финансовый 2 2 2 6 12 2" xfId="14820" xr:uid="{00000000-0005-0000-0000-0000590E0000}"/>
    <cellStyle name="Финансовый 2 2 2 6 13" xfId="8784" xr:uid="{00000000-0005-0000-0000-00005A0E0000}"/>
    <cellStyle name="Финансовый 2 2 2 6 2" xfId="272" xr:uid="{00000000-0005-0000-0000-00005B0E0000}"/>
    <cellStyle name="Финансовый 2 2 2 6 2 10" xfId="8920" xr:uid="{00000000-0005-0000-0000-00005C0E0000}"/>
    <cellStyle name="Финансовый 2 2 2 6 2 2" xfId="1370" xr:uid="{00000000-0005-0000-0000-00005D0E0000}"/>
    <cellStyle name="Финансовый 2 2 2 6 2 2 2" xfId="2328" xr:uid="{00000000-0005-0000-0000-00005E0E0000}"/>
    <cellStyle name="Финансовый 2 2 2 6 2 2 2 2" xfId="3973" xr:uid="{00000000-0005-0000-0000-00005F0E0000}"/>
    <cellStyle name="Финансовый 2 2 2 6 2 2 2 2 2" xfId="12618" xr:uid="{00000000-0005-0000-0000-0000600E0000}"/>
    <cellStyle name="Финансовый 2 2 2 6 2 2 2 3" xfId="5756" xr:uid="{00000000-0005-0000-0000-0000610E0000}"/>
    <cellStyle name="Финансовый 2 2 2 6 2 2 2 3 2" xfId="14399" xr:uid="{00000000-0005-0000-0000-0000620E0000}"/>
    <cellStyle name="Финансовый 2 2 2 6 2 2 2 4" xfId="8366" xr:uid="{00000000-0005-0000-0000-0000630E0000}"/>
    <cellStyle name="Финансовый 2 2 2 6 2 2 2 4 2" xfId="17009" xr:uid="{00000000-0005-0000-0000-0000640E0000}"/>
    <cellStyle name="Финансовый 2 2 2 6 2 2 2 5" xfId="10973" xr:uid="{00000000-0005-0000-0000-0000650E0000}"/>
    <cellStyle name="Финансовый 2 2 2 6 2 2 3" xfId="3154" xr:uid="{00000000-0005-0000-0000-0000660E0000}"/>
    <cellStyle name="Финансовый 2 2 2 6 2 2 3 2" xfId="11799" xr:uid="{00000000-0005-0000-0000-0000670E0000}"/>
    <cellStyle name="Финансовый 2 2 2 6 2 2 4" xfId="4798" xr:uid="{00000000-0005-0000-0000-0000680E0000}"/>
    <cellStyle name="Финансовый 2 2 2 6 2 2 4 2" xfId="13443" xr:uid="{00000000-0005-0000-0000-0000690E0000}"/>
    <cellStyle name="Финансовый 2 2 2 6 2 2 5" xfId="7410" xr:uid="{00000000-0005-0000-0000-00006A0E0000}"/>
    <cellStyle name="Финансовый 2 2 2 6 2 2 5 2" xfId="16053" xr:uid="{00000000-0005-0000-0000-00006B0E0000}"/>
    <cellStyle name="Финансовый 2 2 2 6 2 2 6" xfId="10017" xr:uid="{00000000-0005-0000-0000-00006C0E0000}"/>
    <cellStyle name="Финансовый 2 2 2 6 2 3" xfId="2072" xr:uid="{00000000-0005-0000-0000-00006D0E0000}"/>
    <cellStyle name="Финансовый 2 2 2 6 2 3 2" xfId="3717" xr:uid="{00000000-0005-0000-0000-00006E0E0000}"/>
    <cellStyle name="Финансовый 2 2 2 6 2 3 2 2" xfId="12362" xr:uid="{00000000-0005-0000-0000-00006F0E0000}"/>
    <cellStyle name="Финансовый 2 2 2 6 2 3 3" xfId="5500" xr:uid="{00000000-0005-0000-0000-0000700E0000}"/>
    <cellStyle name="Финансовый 2 2 2 6 2 3 3 2" xfId="14143" xr:uid="{00000000-0005-0000-0000-0000710E0000}"/>
    <cellStyle name="Финансовый 2 2 2 6 2 3 4" xfId="8110" xr:uid="{00000000-0005-0000-0000-0000720E0000}"/>
    <cellStyle name="Финансовый 2 2 2 6 2 3 4 2" xfId="16753" xr:uid="{00000000-0005-0000-0000-0000730E0000}"/>
    <cellStyle name="Финансовый 2 2 2 6 2 3 5" xfId="10717" xr:uid="{00000000-0005-0000-0000-0000740E0000}"/>
    <cellStyle name="Финансовый 2 2 2 6 2 4" xfId="2601" xr:uid="{00000000-0005-0000-0000-0000750E0000}"/>
    <cellStyle name="Финансовый 2 2 2 6 2 4 2" xfId="4246" xr:uid="{00000000-0005-0000-0000-0000760E0000}"/>
    <cellStyle name="Финансовый 2 2 2 6 2 4 2 2" xfId="12891" xr:uid="{00000000-0005-0000-0000-0000770E0000}"/>
    <cellStyle name="Финансовый 2 2 2 6 2 4 3" xfId="6029" xr:uid="{00000000-0005-0000-0000-0000780E0000}"/>
    <cellStyle name="Финансовый 2 2 2 6 2 4 3 2" xfId="14672" xr:uid="{00000000-0005-0000-0000-0000790E0000}"/>
    <cellStyle name="Финансовый 2 2 2 6 2 4 4" xfId="8639" xr:uid="{00000000-0005-0000-0000-00007A0E0000}"/>
    <cellStyle name="Финансовый 2 2 2 6 2 4 4 2" xfId="17282" xr:uid="{00000000-0005-0000-0000-00007B0E0000}"/>
    <cellStyle name="Финансовый 2 2 2 6 2 4 5" xfId="11246" xr:uid="{00000000-0005-0000-0000-00007C0E0000}"/>
    <cellStyle name="Финансовый 2 2 2 6 2 5" xfId="1105" xr:uid="{00000000-0005-0000-0000-00007D0E0000}"/>
    <cellStyle name="Финансовый 2 2 2 6 2 5 2" xfId="7145" xr:uid="{00000000-0005-0000-0000-00007E0E0000}"/>
    <cellStyle name="Финансовый 2 2 2 6 2 5 2 2" xfId="15788" xr:uid="{00000000-0005-0000-0000-00007F0E0000}"/>
    <cellStyle name="Финансовый 2 2 2 6 2 5 3" xfId="9752" xr:uid="{00000000-0005-0000-0000-0000800E0000}"/>
    <cellStyle name="Финансовый 2 2 2 6 2 6" xfId="693" xr:uid="{00000000-0005-0000-0000-0000810E0000}"/>
    <cellStyle name="Финансовый 2 2 2 6 2 6 2" xfId="6733" xr:uid="{00000000-0005-0000-0000-0000820E0000}"/>
    <cellStyle name="Финансовый 2 2 2 6 2 6 2 2" xfId="15376" xr:uid="{00000000-0005-0000-0000-0000830E0000}"/>
    <cellStyle name="Финансовый 2 2 2 6 2 6 3" xfId="9340" xr:uid="{00000000-0005-0000-0000-0000840E0000}"/>
    <cellStyle name="Финансовый 2 2 2 6 2 7" xfId="2882" xr:uid="{00000000-0005-0000-0000-0000850E0000}"/>
    <cellStyle name="Финансовый 2 2 2 6 2 7 2" xfId="11527" xr:uid="{00000000-0005-0000-0000-0000860E0000}"/>
    <cellStyle name="Финансовый 2 2 2 6 2 8" xfId="4526" xr:uid="{00000000-0005-0000-0000-0000870E0000}"/>
    <cellStyle name="Финансовый 2 2 2 6 2 8 2" xfId="13171" xr:uid="{00000000-0005-0000-0000-0000880E0000}"/>
    <cellStyle name="Финансовый 2 2 2 6 2 9" xfId="6313" xr:uid="{00000000-0005-0000-0000-0000890E0000}"/>
    <cellStyle name="Финансовый 2 2 2 6 2 9 2" xfId="14956" xr:uid="{00000000-0005-0000-0000-00008A0E0000}"/>
    <cellStyle name="Финансовый 2 2 2 6 3" xfId="421" xr:uid="{00000000-0005-0000-0000-00008B0E0000}"/>
    <cellStyle name="Финансовый 2 2 2 6 3 2" xfId="2200" xr:uid="{00000000-0005-0000-0000-00008C0E0000}"/>
    <cellStyle name="Финансовый 2 2 2 6 3 2 2" xfId="3845" xr:uid="{00000000-0005-0000-0000-00008D0E0000}"/>
    <cellStyle name="Финансовый 2 2 2 6 3 2 2 2" xfId="12490" xr:uid="{00000000-0005-0000-0000-00008E0E0000}"/>
    <cellStyle name="Финансовый 2 2 2 6 3 2 3" xfId="5628" xr:uid="{00000000-0005-0000-0000-00008F0E0000}"/>
    <cellStyle name="Финансовый 2 2 2 6 3 2 3 2" xfId="14271" xr:uid="{00000000-0005-0000-0000-0000900E0000}"/>
    <cellStyle name="Финансовый 2 2 2 6 3 2 4" xfId="8238" xr:uid="{00000000-0005-0000-0000-0000910E0000}"/>
    <cellStyle name="Финансовый 2 2 2 6 3 2 4 2" xfId="16881" xr:uid="{00000000-0005-0000-0000-0000920E0000}"/>
    <cellStyle name="Финансовый 2 2 2 6 3 2 5" xfId="10845" xr:uid="{00000000-0005-0000-0000-0000930E0000}"/>
    <cellStyle name="Финансовый 2 2 2 6 3 3" xfId="1234" xr:uid="{00000000-0005-0000-0000-0000940E0000}"/>
    <cellStyle name="Финансовый 2 2 2 6 3 3 2" xfId="7274" xr:uid="{00000000-0005-0000-0000-0000950E0000}"/>
    <cellStyle name="Финансовый 2 2 2 6 3 3 2 2" xfId="15917" xr:uid="{00000000-0005-0000-0000-0000960E0000}"/>
    <cellStyle name="Финансовый 2 2 2 6 3 3 3" xfId="9881" xr:uid="{00000000-0005-0000-0000-0000970E0000}"/>
    <cellStyle name="Финансовый 2 2 2 6 3 4" xfId="841" xr:uid="{00000000-0005-0000-0000-0000980E0000}"/>
    <cellStyle name="Финансовый 2 2 2 6 3 4 2" xfId="6881" xr:uid="{00000000-0005-0000-0000-0000990E0000}"/>
    <cellStyle name="Финансовый 2 2 2 6 3 4 2 2" xfId="15524" xr:uid="{00000000-0005-0000-0000-00009A0E0000}"/>
    <cellStyle name="Финансовый 2 2 2 6 3 4 3" xfId="9488" xr:uid="{00000000-0005-0000-0000-00009B0E0000}"/>
    <cellStyle name="Финансовый 2 2 2 6 3 5" xfId="3018" xr:uid="{00000000-0005-0000-0000-00009C0E0000}"/>
    <cellStyle name="Финансовый 2 2 2 6 3 5 2" xfId="11663" xr:uid="{00000000-0005-0000-0000-00009D0E0000}"/>
    <cellStyle name="Финансовый 2 2 2 6 3 6" xfId="4662" xr:uid="{00000000-0005-0000-0000-00009E0E0000}"/>
    <cellStyle name="Финансовый 2 2 2 6 3 6 2" xfId="13307" xr:uid="{00000000-0005-0000-0000-00009F0E0000}"/>
    <cellStyle name="Финансовый 2 2 2 6 3 7" xfId="6461" xr:uid="{00000000-0005-0000-0000-0000A00E0000}"/>
    <cellStyle name="Финансовый 2 2 2 6 3 7 2" xfId="15104" xr:uid="{00000000-0005-0000-0000-0000A10E0000}"/>
    <cellStyle name="Финансовый 2 2 2 6 3 8" xfId="9068" xr:uid="{00000000-0005-0000-0000-0000A20E0000}"/>
    <cellStyle name="Финансовый 2 2 2 6 4" xfId="1464" xr:uid="{00000000-0005-0000-0000-0000A30E0000}"/>
    <cellStyle name="Финансовый 2 2 2 6 4 2" xfId="1944" xr:uid="{00000000-0005-0000-0000-0000A40E0000}"/>
    <cellStyle name="Финансовый 2 2 2 6 4 2 2" xfId="3589" xr:uid="{00000000-0005-0000-0000-0000A50E0000}"/>
    <cellStyle name="Финансовый 2 2 2 6 4 2 2 2" xfId="12234" xr:uid="{00000000-0005-0000-0000-0000A60E0000}"/>
    <cellStyle name="Финансовый 2 2 2 6 4 2 3" xfId="5372" xr:uid="{00000000-0005-0000-0000-0000A70E0000}"/>
    <cellStyle name="Финансовый 2 2 2 6 4 2 3 2" xfId="14015" xr:uid="{00000000-0005-0000-0000-0000A80E0000}"/>
    <cellStyle name="Финансовый 2 2 2 6 4 2 4" xfId="7982" xr:uid="{00000000-0005-0000-0000-0000A90E0000}"/>
    <cellStyle name="Финансовый 2 2 2 6 4 2 4 2" xfId="16625" xr:uid="{00000000-0005-0000-0000-0000AA0E0000}"/>
    <cellStyle name="Финансовый 2 2 2 6 4 2 5" xfId="10589" xr:uid="{00000000-0005-0000-0000-0000AB0E0000}"/>
    <cellStyle name="Финансовый 2 2 2 6 4 3" xfId="4892" xr:uid="{00000000-0005-0000-0000-0000AC0E0000}"/>
    <cellStyle name="Финансовый 2 2 2 6 4 3 2" xfId="13535" xr:uid="{00000000-0005-0000-0000-0000AD0E0000}"/>
    <cellStyle name="Финансовый 2 2 2 6 4 4" xfId="7502" xr:uid="{00000000-0005-0000-0000-0000AE0E0000}"/>
    <cellStyle name="Финансовый 2 2 2 6 4 4 2" xfId="16145" xr:uid="{00000000-0005-0000-0000-0000AF0E0000}"/>
    <cellStyle name="Финансовый 2 2 2 6 4 5" xfId="10109" xr:uid="{00000000-0005-0000-0000-0000B00E0000}"/>
    <cellStyle name="Финансовый 2 2 2 6 5" xfId="1820" xr:uid="{00000000-0005-0000-0000-0000B10E0000}"/>
    <cellStyle name="Финансовый 2 2 2 6 5 2" xfId="3465" xr:uid="{00000000-0005-0000-0000-0000B20E0000}"/>
    <cellStyle name="Финансовый 2 2 2 6 5 2 2" xfId="12110" xr:uid="{00000000-0005-0000-0000-0000B30E0000}"/>
    <cellStyle name="Финансовый 2 2 2 6 5 3" xfId="5248" xr:uid="{00000000-0005-0000-0000-0000B40E0000}"/>
    <cellStyle name="Финансовый 2 2 2 6 5 3 2" xfId="13891" xr:uid="{00000000-0005-0000-0000-0000B50E0000}"/>
    <cellStyle name="Финансовый 2 2 2 6 5 4" xfId="7858" xr:uid="{00000000-0005-0000-0000-0000B60E0000}"/>
    <cellStyle name="Финансовый 2 2 2 6 5 4 2" xfId="16501" xr:uid="{00000000-0005-0000-0000-0000B70E0000}"/>
    <cellStyle name="Финансовый 2 2 2 6 5 5" xfId="10465" xr:uid="{00000000-0005-0000-0000-0000B80E0000}"/>
    <cellStyle name="Финансовый 2 2 2 6 6" xfId="2465" xr:uid="{00000000-0005-0000-0000-0000B90E0000}"/>
    <cellStyle name="Финансовый 2 2 2 6 6 2" xfId="4110" xr:uid="{00000000-0005-0000-0000-0000BA0E0000}"/>
    <cellStyle name="Финансовый 2 2 2 6 6 2 2" xfId="12755" xr:uid="{00000000-0005-0000-0000-0000BB0E0000}"/>
    <cellStyle name="Финансовый 2 2 2 6 6 3" xfId="5893" xr:uid="{00000000-0005-0000-0000-0000BC0E0000}"/>
    <cellStyle name="Финансовый 2 2 2 6 6 3 2" xfId="14536" xr:uid="{00000000-0005-0000-0000-0000BD0E0000}"/>
    <cellStyle name="Финансовый 2 2 2 6 6 4" xfId="8503" xr:uid="{00000000-0005-0000-0000-0000BE0E0000}"/>
    <cellStyle name="Финансовый 2 2 2 6 6 4 2" xfId="17146" xr:uid="{00000000-0005-0000-0000-0000BF0E0000}"/>
    <cellStyle name="Финансовый 2 2 2 6 6 5" xfId="11110" xr:uid="{00000000-0005-0000-0000-0000C00E0000}"/>
    <cellStyle name="Финансовый 2 2 2 6 7" xfId="1692" xr:uid="{00000000-0005-0000-0000-0000C10E0000}"/>
    <cellStyle name="Финансовый 2 2 2 6 7 2" xfId="3337" xr:uid="{00000000-0005-0000-0000-0000C20E0000}"/>
    <cellStyle name="Финансовый 2 2 2 6 7 2 2" xfId="11982" xr:uid="{00000000-0005-0000-0000-0000C30E0000}"/>
    <cellStyle name="Финансовый 2 2 2 6 7 3" xfId="5120" xr:uid="{00000000-0005-0000-0000-0000C40E0000}"/>
    <cellStyle name="Финансовый 2 2 2 6 7 3 2" xfId="13763" xr:uid="{00000000-0005-0000-0000-0000C50E0000}"/>
    <cellStyle name="Финансовый 2 2 2 6 7 4" xfId="7730" xr:uid="{00000000-0005-0000-0000-0000C60E0000}"/>
    <cellStyle name="Финансовый 2 2 2 6 7 4 2" xfId="16373" xr:uid="{00000000-0005-0000-0000-0000C70E0000}"/>
    <cellStyle name="Финансовый 2 2 2 6 7 5" xfId="10337" xr:uid="{00000000-0005-0000-0000-0000C80E0000}"/>
    <cellStyle name="Финансовый 2 2 2 6 8" xfId="969" xr:uid="{00000000-0005-0000-0000-0000C90E0000}"/>
    <cellStyle name="Финансовый 2 2 2 6 8 2" xfId="7009" xr:uid="{00000000-0005-0000-0000-0000CA0E0000}"/>
    <cellStyle name="Финансовый 2 2 2 6 8 2 2" xfId="15652" xr:uid="{00000000-0005-0000-0000-0000CB0E0000}"/>
    <cellStyle name="Финансовый 2 2 2 6 8 3" xfId="9616" xr:uid="{00000000-0005-0000-0000-0000CC0E0000}"/>
    <cellStyle name="Финансовый 2 2 2 6 9" xfId="557" xr:uid="{00000000-0005-0000-0000-0000CD0E0000}"/>
    <cellStyle name="Финансовый 2 2 2 6 9 2" xfId="6597" xr:uid="{00000000-0005-0000-0000-0000CE0E0000}"/>
    <cellStyle name="Финансовый 2 2 2 6 9 2 2" xfId="15240" xr:uid="{00000000-0005-0000-0000-0000CF0E0000}"/>
    <cellStyle name="Финансовый 2 2 2 6 9 3" xfId="9204" xr:uid="{00000000-0005-0000-0000-0000D00E0000}"/>
    <cellStyle name="Финансовый 2 2 2 7" xfId="34" xr:uid="{00000000-0005-0000-0000-0000D10E0000}"/>
    <cellStyle name="Финансовый 2 2 2 7 10" xfId="2646" xr:uid="{00000000-0005-0000-0000-0000D20E0000}"/>
    <cellStyle name="Финансовый 2 2 2 7 10 2" xfId="11291" xr:uid="{00000000-0005-0000-0000-0000D30E0000}"/>
    <cellStyle name="Финансовый 2 2 2 7 11" xfId="4289" xr:uid="{00000000-0005-0000-0000-0000D40E0000}"/>
    <cellStyle name="Финансовый 2 2 2 7 11 2" xfId="12934" xr:uid="{00000000-0005-0000-0000-0000D50E0000}"/>
    <cellStyle name="Финансовый 2 2 2 7 12" xfId="6077" xr:uid="{00000000-0005-0000-0000-0000D60E0000}"/>
    <cellStyle name="Финансовый 2 2 2 7 12 2" xfId="14720" xr:uid="{00000000-0005-0000-0000-0000D70E0000}"/>
    <cellStyle name="Финансовый 2 2 2 7 13" xfId="8684" xr:uid="{00000000-0005-0000-0000-0000D80E0000}"/>
    <cellStyle name="Финансовый 2 2 2 7 2" xfId="172" xr:uid="{00000000-0005-0000-0000-0000D90E0000}"/>
    <cellStyle name="Финансовый 2 2 2 7 2 10" xfId="8820" xr:uid="{00000000-0005-0000-0000-0000DA0E0000}"/>
    <cellStyle name="Финансовый 2 2 2 7 2 2" xfId="1270" xr:uid="{00000000-0005-0000-0000-0000DB0E0000}"/>
    <cellStyle name="Финансовый 2 2 2 7 2 2 2" xfId="2236" xr:uid="{00000000-0005-0000-0000-0000DC0E0000}"/>
    <cellStyle name="Финансовый 2 2 2 7 2 2 2 2" xfId="3881" xr:uid="{00000000-0005-0000-0000-0000DD0E0000}"/>
    <cellStyle name="Финансовый 2 2 2 7 2 2 2 2 2" xfId="12526" xr:uid="{00000000-0005-0000-0000-0000DE0E0000}"/>
    <cellStyle name="Финансовый 2 2 2 7 2 2 2 3" xfId="5664" xr:uid="{00000000-0005-0000-0000-0000DF0E0000}"/>
    <cellStyle name="Финансовый 2 2 2 7 2 2 2 3 2" xfId="14307" xr:uid="{00000000-0005-0000-0000-0000E00E0000}"/>
    <cellStyle name="Финансовый 2 2 2 7 2 2 2 4" xfId="8274" xr:uid="{00000000-0005-0000-0000-0000E10E0000}"/>
    <cellStyle name="Финансовый 2 2 2 7 2 2 2 4 2" xfId="16917" xr:uid="{00000000-0005-0000-0000-0000E20E0000}"/>
    <cellStyle name="Финансовый 2 2 2 7 2 2 2 5" xfId="10881" xr:uid="{00000000-0005-0000-0000-0000E30E0000}"/>
    <cellStyle name="Финансовый 2 2 2 7 2 2 3" xfId="3054" xr:uid="{00000000-0005-0000-0000-0000E40E0000}"/>
    <cellStyle name="Финансовый 2 2 2 7 2 2 3 2" xfId="11699" xr:uid="{00000000-0005-0000-0000-0000E50E0000}"/>
    <cellStyle name="Финансовый 2 2 2 7 2 2 4" xfId="4698" xr:uid="{00000000-0005-0000-0000-0000E60E0000}"/>
    <cellStyle name="Финансовый 2 2 2 7 2 2 4 2" xfId="13343" xr:uid="{00000000-0005-0000-0000-0000E70E0000}"/>
    <cellStyle name="Финансовый 2 2 2 7 2 2 5" xfId="7310" xr:uid="{00000000-0005-0000-0000-0000E80E0000}"/>
    <cellStyle name="Финансовый 2 2 2 7 2 2 5 2" xfId="15953" xr:uid="{00000000-0005-0000-0000-0000E90E0000}"/>
    <cellStyle name="Финансовый 2 2 2 7 2 2 6" xfId="9917" xr:uid="{00000000-0005-0000-0000-0000EA0E0000}"/>
    <cellStyle name="Финансовый 2 2 2 7 2 3" xfId="1980" xr:uid="{00000000-0005-0000-0000-0000EB0E0000}"/>
    <cellStyle name="Финансовый 2 2 2 7 2 3 2" xfId="3625" xr:uid="{00000000-0005-0000-0000-0000EC0E0000}"/>
    <cellStyle name="Финансовый 2 2 2 7 2 3 2 2" xfId="12270" xr:uid="{00000000-0005-0000-0000-0000ED0E0000}"/>
    <cellStyle name="Финансовый 2 2 2 7 2 3 3" xfId="5408" xr:uid="{00000000-0005-0000-0000-0000EE0E0000}"/>
    <cellStyle name="Финансовый 2 2 2 7 2 3 3 2" xfId="14051" xr:uid="{00000000-0005-0000-0000-0000EF0E0000}"/>
    <cellStyle name="Финансовый 2 2 2 7 2 3 4" xfId="8018" xr:uid="{00000000-0005-0000-0000-0000F00E0000}"/>
    <cellStyle name="Финансовый 2 2 2 7 2 3 4 2" xfId="16661" xr:uid="{00000000-0005-0000-0000-0000F10E0000}"/>
    <cellStyle name="Финансовый 2 2 2 7 2 3 5" xfId="10625" xr:uid="{00000000-0005-0000-0000-0000F20E0000}"/>
    <cellStyle name="Финансовый 2 2 2 7 2 4" xfId="2501" xr:uid="{00000000-0005-0000-0000-0000F30E0000}"/>
    <cellStyle name="Финансовый 2 2 2 7 2 4 2" xfId="4146" xr:uid="{00000000-0005-0000-0000-0000F40E0000}"/>
    <cellStyle name="Финансовый 2 2 2 7 2 4 2 2" xfId="12791" xr:uid="{00000000-0005-0000-0000-0000F50E0000}"/>
    <cellStyle name="Финансовый 2 2 2 7 2 4 3" xfId="5929" xr:uid="{00000000-0005-0000-0000-0000F60E0000}"/>
    <cellStyle name="Финансовый 2 2 2 7 2 4 3 2" xfId="14572" xr:uid="{00000000-0005-0000-0000-0000F70E0000}"/>
    <cellStyle name="Финансовый 2 2 2 7 2 4 4" xfId="8539" xr:uid="{00000000-0005-0000-0000-0000F80E0000}"/>
    <cellStyle name="Финансовый 2 2 2 7 2 4 4 2" xfId="17182" xr:uid="{00000000-0005-0000-0000-0000F90E0000}"/>
    <cellStyle name="Финансовый 2 2 2 7 2 4 5" xfId="11146" xr:uid="{00000000-0005-0000-0000-0000FA0E0000}"/>
    <cellStyle name="Финансовый 2 2 2 7 2 5" xfId="1005" xr:uid="{00000000-0005-0000-0000-0000FB0E0000}"/>
    <cellStyle name="Финансовый 2 2 2 7 2 5 2" xfId="7045" xr:uid="{00000000-0005-0000-0000-0000FC0E0000}"/>
    <cellStyle name="Финансовый 2 2 2 7 2 5 2 2" xfId="15688" xr:uid="{00000000-0005-0000-0000-0000FD0E0000}"/>
    <cellStyle name="Финансовый 2 2 2 7 2 5 3" xfId="9652" xr:uid="{00000000-0005-0000-0000-0000FE0E0000}"/>
    <cellStyle name="Финансовый 2 2 2 7 2 6" xfId="593" xr:uid="{00000000-0005-0000-0000-0000FF0E0000}"/>
    <cellStyle name="Финансовый 2 2 2 7 2 6 2" xfId="6633" xr:uid="{00000000-0005-0000-0000-0000000F0000}"/>
    <cellStyle name="Финансовый 2 2 2 7 2 6 2 2" xfId="15276" xr:uid="{00000000-0005-0000-0000-0000010F0000}"/>
    <cellStyle name="Финансовый 2 2 2 7 2 6 3" xfId="9240" xr:uid="{00000000-0005-0000-0000-0000020F0000}"/>
    <cellStyle name="Финансовый 2 2 2 7 2 7" xfId="2782" xr:uid="{00000000-0005-0000-0000-0000030F0000}"/>
    <cellStyle name="Финансовый 2 2 2 7 2 7 2" xfId="11427" xr:uid="{00000000-0005-0000-0000-0000040F0000}"/>
    <cellStyle name="Финансовый 2 2 2 7 2 8" xfId="4426" xr:uid="{00000000-0005-0000-0000-0000050F0000}"/>
    <cellStyle name="Финансовый 2 2 2 7 2 8 2" xfId="13071" xr:uid="{00000000-0005-0000-0000-0000060F0000}"/>
    <cellStyle name="Финансовый 2 2 2 7 2 9" xfId="6213" xr:uid="{00000000-0005-0000-0000-0000070F0000}"/>
    <cellStyle name="Финансовый 2 2 2 7 2 9 2" xfId="14856" xr:uid="{00000000-0005-0000-0000-0000080F0000}"/>
    <cellStyle name="Финансовый 2 2 2 7 3" xfId="321" xr:uid="{00000000-0005-0000-0000-0000090F0000}"/>
    <cellStyle name="Финансовый 2 2 2 7 3 2" xfId="2108" xr:uid="{00000000-0005-0000-0000-00000A0F0000}"/>
    <cellStyle name="Финансовый 2 2 2 7 3 2 2" xfId="3753" xr:uid="{00000000-0005-0000-0000-00000B0F0000}"/>
    <cellStyle name="Финансовый 2 2 2 7 3 2 2 2" xfId="12398" xr:uid="{00000000-0005-0000-0000-00000C0F0000}"/>
    <cellStyle name="Финансовый 2 2 2 7 3 2 3" xfId="5536" xr:uid="{00000000-0005-0000-0000-00000D0F0000}"/>
    <cellStyle name="Финансовый 2 2 2 7 3 2 3 2" xfId="14179" xr:uid="{00000000-0005-0000-0000-00000E0F0000}"/>
    <cellStyle name="Финансовый 2 2 2 7 3 2 4" xfId="8146" xr:uid="{00000000-0005-0000-0000-00000F0F0000}"/>
    <cellStyle name="Финансовый 2 2 2 7 3 2 4 2" xfId="16789" xr:uid="{00000000-0005-0000-0000-0000100F0000}"/>
    <cellStyle name="Финансовый 2 2 2 7 3 2 5" xfId="10753" xr:uid="{00000000-0005-0000-0000-0000110F0000}"/>
    <cellStyle name="Финансовый 2 2 2 7 3 3" xfId="1141" xr:uid="{00000000-0005-0000-0000-0000120F0000}"/>
    <cellStyle name="Финансовый 2 2 2 7 3 3 2" xfId="7181" xr:uid="{00000000-0005-0000-0000-0000130F0000}"/>
    <cellStyle name="Финансовый 2 2 2 7 3 3 2 2" xfId="15824" xr:uid="{00000000-0005-0000-0000-0000140F0000}"/>
    <cellStyle name="Финансовый 2 2 2 7 3 3 3" xfId="9788" xr:uid="{00000000-0005-0000-0000-0000150F0000}"/>
    <cellStyle name="Финансовый 2 2 2 7 3 4" xfId="741" xr:uid="{00000000-0005-0000-0000-0000160F0000}"/>
    <cellStyle name="Финансовый 2 2 2 7 3 4 2" xfId="6781" xr:uid="{00000000-0005-0000-0000-0000170F0000}"/>
    <cellStyle name="Финансовый 2 2 2 7 3 4 2 2" xfId="15424" xr:uid="{00000000-0005-0000-0000-0000180F0000}"/>
    <cellStyle name="Финансовый 2 2 2 7 3 4 3" xfId="9388" xr:uid="{00000000-0005-0000-0000-0000190F0000}"/>
    <cellStyle name="Финансовый 2 2 2 7 3 5" xfId="2918" xr:uid="{00000000-0005-0000-0000-00001A0F0000}"/>
    <cellStyle name="Финансовый 2 2 2 7 3 5 2" xfId="11563" xr:uid="{00000000-0005-0000-0000-00001B0F0000}"/>
    <cellStyle name="Финансовый 2 2 2 7 3 6" xfId="4562" xr:uid="{00000000-0005-0000-0000-00001C0F0000}"/>
    <cellStyle name="Финансовый 2 2 2 7 3 6 2" xfId="13207" xr:uid="{00000000-0005-0000-0000-00001D0F0000}"/>
    <cellStyle name="Финансовый 2 2 2 7 3 7" xfId="6361" xr:uid="{00000000-0005-0000-0000-00001E0F0000}"/>
    <cellStyle name="Финансовый 2 2 2 7 3 7 2" xfId="15004" xr:uid="{00000000-0005-0000-0000-00001F0F0000}"/>
    <cellStyle name="Финансовый 2 2 2 7 3 8" xfId="8968" xr:uid="{00000000-0005-0000-0000-0000200F0000}"/>
    <cellStyle name="Финансовый 2 2 2 7 4" xfId="1465" xr:uid="{00000000-0005-0000-0000-0000210F0000}"/>
    <cellStyle name="Финансовый 2 2 2 7 4 2" xfId="1844" xr:uid="{00000000-0005-0000-0000-0000220F0000}"/>
    <cellStyle name="Финансовый 2 2 2 7 4 2 2" xfId="3489" xr:uid="{00000000-0005-0000-0000-0000230F0000}"/>
    <cellStyle name="Финансовый 2 2 2 7 4 2 2 2" xfId="12134" xr:uid="{00000000-0005-0000-0000-0000240F0000}"/>
    <cellStyle name="Финансовый 2 2 2 7 4 2 3" xfId="5272" xr:uid="{00000000-0005-0000-0000-0000250F0000}"/>
    <cellStyle name="Финансовый 2 2 2 7 4 2 3 2" xfId="13915" xr:uid="{00000000-0005-0000-0000-0000260F0000}"/>
    <cellStyle name="Финансовый 2 2 2 7 4 2 4" xfId="7882" xr:uid="{00000000-0005-0000-0000-0000270F0000}"/>
    <cellStyle name="Финансовый 2 2 2 7 4 2 4 2" xfId="16525" xr:uid="{00000000-0005-0000-0000-0000280F0000}"/>
    <cellStyle name="Финансовый 2 2 2 7 4 2 5" xfId="10489" xr:uid="{00000000-0005-0000-0000-0000290F0000}"/>
    <cellStyle name="Финансовый 2 2 2 7 4 3" xfId="4893" xr:uid="{00000000-0005-0000-0000-00002A0F0000}"/>
    <cellStyle name="Финансовый 2 2 2 7 4 3 2" xfId="13536" xr:uid="{00000000-0005-0000-0000-00002B0F0000}"/>
    <cellStyle name="Финансовый 2 2 2 7 4 4" xfId="7503" xr:uid="{00000000-0005-0000-0000-00002C0F0000}"/>
    <cellStyle name="Финансовый 2 2 2 7 4 4 2" xfId="16146" xr:uid="{00000000-0005-0000-0000-00002D0F0000}"/>
    <cellStyle name="Финансовый 2 2 2 7 4 5" xfId="10110" xr:uid="{00000000-0005-0000-0000-00002E0F0000}"/>
    <cellStyle name="Финансовый 2 2 2 7 5" xfId="1728" xr:uid="{00000000-0005-0000-0000-00002F0F0000}"/>
    <cellStyle name="Финансовый 2 2 2 7 5 2" xfId="3373" xr:uid="{00000000-0005-0000-0000-0000300F0000}"/>
    <cellStyle name="Финансовый 2 2 2 7 5 2 2" xfId="12018" xr:uid="{00000000-0005-0000-0000-0000310F0000}"/>
    <cellStyle name="Финансовый 2 2 2 7 5 3" xfId="5156" xr:uid="{00000000-0005-0000-0000-0000320F0000}"/>
    <cellStyle name="Финансовый 2 2 2 7 5 3 2" xfId="13799" xr:uid="{00000000-0005-0000-0000-0000330F0000}"/>
    <cellStyle name="Финансовый 2 2 2 7 5 4" xfId="7766" xr:uid="{00000000-0005-0000-0000-0000340F0000}"/>
    <cellStyle name="Финансовый 2 2 2 7 5 4 2" xfId="16409" xr:uid="{00000000-0005-0000-0000-0000350F0000}"/>
    <cellStyle name="Финансовый 2 2 2 7 5 5" xfId="10373" xr:uid="{00000000-0005-0000-0000-0000360F0000}"/>
    <cellStyle name="Финансовый 2 2 2 7 6" xfId="2364" xr:uid="{00000000-0005-0000-0000-0000370F0000}"/>
    <cellStyle name="Финансовый 2 2 2 7 6 2" xfId="4009" xr:uid="{00000000-0005-0000-0000-0000380F0000}"/>
    <cellStyle name="Финансовый 2 2 2 7 6 2 2" xfId="12654" xr:uid="{00000000-0005-0000-0000-0000390F0000}"/>
    <cellStyle name="Финансовый 2 2 2 7 6 3" xfId="5792" xr:uid="{00000000-0005-0000-0000-00003A0F0000}"/>
    <cellStyle name="Финансовый 2 2 2 7 6 3 2" xfId="14435" xr:uid="{00000000-0005-0000-0000-00003B0F0000}"/>
    <cellStyle name="Финансовый 2 2 2 7 6 4" xfId="8402" xr:uid="{00000000-0005-0000-0000-00003C0F0000}"/>
    <cellStyle name="Финансовый 2 2 2 7 6 4 2" xfId="17045" xr:uid="{00000000-0005-0000-0000-00003D0F0000}"/>
    <cellStyle name="Финансовый 2 2 2 7 6 5" xfId="11009" xr:uid="{00000000-0005-0000-0000-00003E0F0000}"/>
    <cellStyle name="Финансовый 2 2 2 7 7" xfId="1591" xr:uid="{00000000-0005-0000-0000-00003F0F0000}"/>
    <cellStyle name="Финансовый 2 2 2 7 7 2" xfId="3236" xr:uid="{00000000-0005-0000-0000-0000400F0000}"/>
    <cellStyle name="Финансовый 2 2 2 7 7 2 2" xfId="11881" xr:uid="{00000000-0005-0000-0000-0000410F0000}"/>
    <cellStyle name="Финансовый 2 2 2 7 7 3" xfId="5019" xr:uid="{00000000-0005-0000-0000-0000420F0000}"/>
    <cellStyle name="Финансовый 2 2 2 7 7 3 2" xfId="13662" xr:uid="{00000000-0005-0000-0000-0000430F0000}"/>
    <cellStyle name="Финансовый 2 2 2 7 7 4" xfId="7629" xr:uid="{00000000-0005-0000-0000-0000440F0000}"/>
    <cellStyle name="Финансовый 2 2 2 7 7 4 2" xfId="16272" xr:uid="{00000000-0005-0000-0000-0000450F0000}"/>
    <cellStyle name="Финансовый 2 2 2 7 7 5" xfId="10236" xr:uid="{00000000-0005-0000-0000-0000460F0000}"/>
    <cellStyle name="Финансовый 2 2 2 7 8" xfId="877" xr:uid="{00000000-0005-0000-0000-0000470F0000}"/>
    <cellStyle name="Финансовый 2 2 2 7 8 2" xfId="6917" xr:uid="{00000000-0005-0000-0000-0000480F0000}"/>
    <cellStyle name="Финансовый 2 2 2 7 8 2 2" xfId="15560" xr:uid="{00000000-0005-0000-0000-0000490F0000}"/>
    <cellStyle name="Финансовый 2 2 2 7 8 3" xfId="9524" xr:uid="{00000000-0005-0000-0000-00004A0F0000}"/>
    <cellStyle name="Финансовый 2 2 2 7 9" xfId="457" xr:uid="{00000000-0005-0000-0000-00004B0F0000}"/>
    <cellStyle name="Финансовый 2 2 2 7 9 2" xfId="6497" xr:uid="{00000000-0005-0000-0000-00004C0F0000}"/>
    <cellStyle name="Финансовый 2 2 2 7 9 2 2" xfId="15140" xr:uid="{00000000-0005-0000-0000-00004D0F0000}"/>
    <cellStyle name="Финансовый 2 2 2 7 9 3" xfId="9104" xr:uid="{00000000-0005-0000-0000-00004E0F0000}"/>
    <cellStyle name="Финансовый 2 2 2 8" xfId="22" xr:uid="{00000000-0005-0000-0000-00004F0F0000}"/>
    <cellStyle name="Финансовый 2 2 2 8 10" xfId="2634" xr:uid="{00000000-0005-0000-0000-0000500F0000}"/>
    <cellStyle name="Финансовый 2 2 2 8 10 2" xfId="11279" xr:uid="{00000000-0005-0000-0000-0000510F0000}"/>
    <cellStyle name="Финансовый 2 2 2 8 11" xfId="4277" xr:uid="{00000000-0005-0000-0000-0000520F0000}"/>
    <cellStyle name="Финансовый 2 2 2 8 11 2" xfId="12922" xr:uid="{00000000-0005-0000-0000-0000530F0000}"/>
    <cellStyle name="Финансовый 2 2 2 8 12" xfId="6065" xr:uid="{00000000-0005-0000-0000-0000540F0000}"/>
    <cellStyle name="Финансовый 2 2 2 8 12 2" xfId="14708" xr:uid="{00000000-0005-0000-0000-0000550F0000}"/>
    <cellStyle name="Финансовый 2 2 2 8 13" xfId="8672" xr:uid="{00000000-0005-0000-0000-0000560F0000}"/>
    <cellStyle name="Финансовый 2 2 2 8 2" xfId="160" xr:uid="{00000000-0005-0000-0000-0000570F0000}"/>
    <cellStyle name="Финансовый 2 2 2 8 2 10" xfId="8808" xr:uid="{00000000-0005-0000-0000-0000580F0000}"/>
    <cellStyle name="Финансовый 2 2 2 8 2 2" xfId="1258" xr:uid="{00000000-0005-0000-0000-0000590F0000}"/>
    <cellStyle name="Финансовый 2 2 2 8 2 2 2" xfId="2224" xr:uid="{00000000-0005-0000-0000-00005A0F0000}"/>
    <cellStyle name="Финансовый 2 2 2 8 2 2 2 2" xfId="3869" xr:uid="{00000000-0005-0000-0000-00005B0F0000}"/>
    <cellStyle name="Финансовый 2 2 2 8 2 2 2 2 2" xfId="12514" xr:uid="{00000000-0005-0000-0000-00005C0F0000}"/>
    <cellStyle name="Финансовый 2 2 2 8 2 2 2 3" xfId="5652" xr:uid="{00000000-0005-0000-0000-00005D0F0000}"/>
    <cellStyle name="Финансовый 2 2 2 8 2 2 2 3 2" xfId="14295" xr:uid="{00000000-0005-0000-0000-00005E0F0000}"/>
    <cellStyle name="Финансовый 2 2 2 8 2 2 2 4" xfId="8262" xr:uid="{00000000-0005-0000-0000-00005F0F0000}"/>
    <cellStyle name="Финансовый 2 2 2 8 2 2 2 4 2" xfId="16905" xr:uid="{00000000-0005-0000-0000-0000600F0000}"/>
    <cellStyle name="Финансовый 2 2 2 8 2 2 2 5" xfId="10869" xr:uid="{00000000-0005-0000-0000-0000610F0000}"/>
    <cellStyle name="Финансовый 2 2 2 8 2 2 3" xfId="3042" xr:uid="{00000000-0005-0000-0000-0000620F0000}"/>
    <cellStyle name="Финансовый 2 2 2 8 2 2 3 2" xfId="11687" xr:uid="{00000000-0005-0000-0000-0000630F0000}"/>
    <cellStyle name="Финансовый 2 2 2 8 2 2 4" xfId="4686" xr:uid="{00000000-0005-0000-0000-0000640F0000}"/>
    <cellStyle name="Финансовый 2 2 2 8 2 2 4 2" xfId="13331" xr:uid="{00000000-0005-0000-0000-0000650F0000}"/>
    <cellStyle name="Финансовый 2 2 2 8 2 2 5" xfId="7298" xr:uid="{00000000-0005-0000-0000-0000660F0000}"/>
    <cellStyle name="Финансовый 2 2 2 8 2 2 5 2" xfId="15941" xr:uid="{00000000-0005-0000-0000-0000670F0000}"/>
    <cellStyle name="Финансовый 2 2 2 8 2 2 6" xfId="9905" xr:uid="{00000000-0005-0000-0000-0000680F0000}"/>
    <cellStyle name="Финансовый 2 2 2 8 2 3" xfId="1968" xr:uid="{00000000-0005-0000-0000-0000690F0000}"/>
    <cellStyle name="Финансовый 2 2 2 8 2 3 2" xfId="3613" xr:uid="{00000000-0005-0000-0000-00006A0F0000}"/>
    <cellStyle name="Финансовый 2 2 2 8 2 3 2 2" xfId="12258" xr:uid="{00000000-0005-0000-0000-00006B0F0000}"/>
    <cellStyle name="Финансовый 2 2 2 8 2 3 3" xfId="5396" xr:uid="{00000000-0005-0000-0000-00006C0F0000}"/>
    <cellStyle name="Финансовый 2 2 2 8 2 3 3 2" xfId="14039" xr:uid="{00000000-0005-0000-0000-00006D0F0000}"/>
    <cellStyle name="Финансовый 2 2 2 8 2 3 4" xfId="8006" xr:uid="{00000000-0005-0000-0000-00006E0F0000}"/>
    <cellStyle name="Финансовый 2 2 2 8 2 3 4 2" xfId="16649" xr:uid="{00000000-0005-0000-0000-00006F0F0000}"/>
    <cellStyle name="Финансовый 2 2 2 8 2 3 5" xfId="10613" xr:uid="{00000000-0005-0000-0000-0000700F0000}"/>
    <cellStyle name="Финансовый 2 2 2 8 2 4" xfId="2489" xr:uid="{00000000-0005-0000-0000-0000710F0000}"/>
    <cellStyle name="Финансовый 2 2 2 8 2 4 2" xfId="4134" xr:uid="{00000000-0005-0000-0000-0000720F0000}"/>
    <cellStyle name="Финансовый 2 2 2 8 2 4 2 2" xfId="12779" xr:uid="{00000000-0005-0000-0000-0000730F0000}"/>
    <cellStyle name="Финансовый 2 2 2 8 2 4 3" xfId="5917" xr:uid="{00000000-0005-0000-0000-0000740F0000}"/>
    <cellStyle name="Финансовый 2 2 2 8 2 4 3 2" xfId="14560" xr:uid="{00000000-0005-0000-0000-0000750F0000}"/>
    <cellStyle name="Финансовый 2 2 2 8 2 4 4" xfId="8527" xr:uid="{00000000-0005-0000-0000-0000760F0000}"/>
    <cellStyle name="Финансовый 2 2 2 8 2 4 4 2" xfId="17170" xr:uid="{00000000-0005-0000-0000-0000770F0000}"/>
    <cellStyle name="Финансовый 2 2 2 8 2 4 5" xfId="11134" xr:uid="{00000000-0005-0000-0000-0000780F0000}"/>
    <cellStyle name="Финансовый 2 2 2 8 2 5" xfId="993" xr:uid="{00000000-0005-0000-0000-0000790F0000}"/>
    <cellStyle name="Финансовый 2 2 2 8 2 5 2" xfId="7033" xr:uid="{00000000-0005-0000-0000-00007A0F0000}"/>
    <cellStyle name="Финансовый 2 2 2 8 2 5 2 2" xfId="15676" xr:uid="{00000000-0005-0000-0000-00007B0F0000}"/>
    <cellStyle name="Финансовый 2 2 2 8 2 5 3" xfId="9640" xr:uid="{00000000-0005-0000-0000-00007C0F0000}"/>
    <cellStyle name="Финансовый 2 2 2 8 2 6" xfId="581" xr:uid="{00000000-0005-0000-0000-00007D0F0000}"/>
    <cellStyle name="Финансовый 2 2 2 8 2 6 2" xfId="6621" xr:uid="{00000000-0005-0000-0000-00007E0F0000}"/>
    <cellStyle name="Финансовый 2 2 2 8 2 6 2 2" xfId="15264" xr:uid="{00000000-0005-0000-0000-00007F0F0000}"/>
    <cellStyle name="Финансовый 2 2 2 8 2 6 3" xfId="9228" xr:uid="{00000000-0005-0000-0000-0000800F0000}"/>
    <cellStyle name="Финансовый 2 2 2 8 2 7" xfId="2770" xr:uid="{00000000-0005-0000-0000-0000810F0000}"/>
    <cellStyle name="Финансовый 2 2 2 8 2 7 2" xfId="11415" xr:uid="{00000000-0005-0000-0000-0000820F0000}"/>
    <cellStyle name="Финансовый 2 2 2 8 2 8" xfId="4414" xr:uid="{00000000-0005-0000-0000-0000830F0000}"/>
    <cellStyle name="Финансовый 2 2 2 8 2 8 2" xfId="13059" xr:uid="{00000000-0005-0000-0000-0000840F0000}"/>
    <cellStyle name="Финансовый 2 2 2 8 2 9" xfId="6201" xr:uid="{00000000-0005-0000-0000-0000850F0000}"/>
    <cellStyle name="Финансовый 2 2 2 8 2 9 2" xfId="14844" xr:uid="{00000000-0005-0000-0000-0000860F0000}"/>
    <cellStyle name="Финансовый 2 2 2 8 3" xfId="309" xr:uid="{00000000-0005-0000-0000-0000870F0000}"/>
    <cellStyle name="Финансовый 2 2 2 8 3 2" xfId="2096" xr:uid="{00000000-0005-0000-0000-0000880F0000}"/>
    <cellStyle name="Финансовый 2 2 2 8 3 2 2" xfId="3741" xr:uid="{00000000-0005-0000-0000-0000890F0000}"/>
    <cellStyle name="Финансовый 2 2 2 8 3 2 2 2" xfId="12386" xr:uid="{00000000-0005-0000-0000-00008A0F0000}"/>
    <cellStyle name="Финансовый 2 2 2 8 3 2 3" xfId="5524" xr:uid="{00000000-0005-0000-0000-00008B0F0000}"/>
    <cellStyle name="Финансовый 2 2 2 8 3 2 3 2" xfId="14167" xr:uid="{00000000-0005-0000-0000-00008C0F0000}"/>
    <cellStyle name="Финансовый 2 2 2 8 3 2 4" xfId="8134" xr:uid="{00000000-0005-0000-0000-00008D0F0000}"/>
    <cellStyle name="Финансовый 2 2 2 8 3 2 4 2" xfId="16777" xr:uid="{00000000-0005-0000-0000-00008E0F0000}"/>
    <cellStyle name="Финансовый 2 2 2 8 3 2 5" xfId="10741" xr:uid="{00000000-0005-0000-0000-00008F0F0000}"/>
    <cellStyle name="Финансовый 2 2 2 8 3 3" xfId="1129" xr:uid="{00000000-0005-0000-0000-0000900F0000}"/>
    <cellStyle name="Финансовый 2 2 2 8 3 3 2" xfId="7169" xr:uid="{00000000-0005-0000-0000-0000910F0000}"/>
    <cellStyle name="Финансовый 2 2 2 8 3 3 2 2" xfId="15812" xr:uid="{00000000-0005-0000-0000-0000920F0000}"/>
    <cellStyle name="Финансовый 2 2 2 8 3 3 3" xfId="9776" xr:uid="{00000000-0005-0000-0000-0000930F0000}"/>
    <cellStyle name="Финансовый 2 2 2 8 3 4" xfId="729" xr:uid="{00000000-0005-0000-0000-0000940F0000}"/>
    <cellStyle name="Финансовый 2 2 2 8 3 4 2" xfId="6769" xr:uid="{00000000-0005-0000-0000-0000950F0000}"/>
    <cellStyle name="Финансовый 2 2 2 8 3 4 2 2" xfId="15412" xr:uid="{00000000-0005-0000-0000-0000960F0000}"/>
    <cellStyle name="Финансовый 2 2 2 8 3 4 3" xfId="9376" xr:uid="{00000000-0005-0000-0000-0000970F0000}"/>
    <cellStyle name="Финансовый 2 2 2 8 3 5" xfId="2906" xr:uid="{00000000-0005-0000-0000-0000980F0000}"/>
    <cellStyle name="Финансовый 2 2 2 8 3 5 2" xfId="11551" xr:uid="{00000000-0005-0000-0000-0000990F0000}"/>
    <cellStyle name="Финансовый 2 2 2 8 3 6" xfId="4550" xr:uid="{00000000-0005-0000-0000-00009A0F0000}"/>
    <cellStyle name="Финансовый 2 2 2 8 3 6 2" xfId="13195" xr:uid="{00000000-0005-0000-0000-00009B0F0000}"/>
    <cellStyle name="Финансовый 2 2 2 8 3 7" xfId="6349" xr:uid="{00000000-0005-0000-0000-00009C0F0000}"/>
    <cellStyle name="Финансовый 2 2 2 8 3 7 2" xfId="14992" xr:uid="{00000000-0005-0000-0000-00009D0F0000}"/>
    <cellStyle name="Финансовый 2 2 2 8 3 8" xfId="8956" xr:uid="{00000000-0005-0000-0000-00009E0F0000}"/>
    <cellStyle name="Финансовый 2 2 2 8 4" xfId="1466" xr:uid="{00000000-0005-0000-0000-00009F0F0000}"/>
    <cellStyle name="Финансовый 2 2 2 8 4 2" xfId="1832" xr:uid="{00000000-0005-0000-0000-0000A00F0000}"/>
    <cellStyle name="Финансовый 2 2 2 8 4 2 2" xfId="3477" xr:uid="{00000000-0005-0000-0000-0000A10F0000}"/>
    <cellStyle name="Финансовый 2 2 2 8 4 2 2 2" xfId="12122" xr:uid="{00000000-0005-0000-0000-0000A20F0000}"/>
    <cellStyle name="Финансовый 2 2 2 8 4 2 3" xfId="5260" xr:uid="{00000000-0005-0000-0000-0000A30F0000}"/>
    <cellStyle name="Финансовый 2 2 2 8 4 2 3 2" xfId="13903" xr:uid="{00000000-0005-0000-0000-0000A40F0000}"/>
    <cellStyle name="Финансовый 2 2 2 8 4 2 4" xfId="7870" xr:uid="{00000000-0005-0000-0000-0000A50F0000}"/>
    <cellStyle name="Финансовый 2 2 2 8 4 2 4 2" xfId="16513" xr:uid="{00000000-0005-0000-0000-0000A60F0000}"/>
    <cellStyle name="Финансовый 2 2 2 8 4 2 5" xfId="10477" xr:uid="{00000000-0005-0000-0000-0000A70F0000}"/>
    <cellStyle name="Финансовый 2 2 2 8 4 3" xfId="4894" xr:uid="{00000000-0005-0000-0000-0000A80F0000}"/>
    <cellStyle name="Финансовый 2 2 2 8 4 3 2" xfId="13537" xr:uid="{00000000-0005-0000-0000-0000A90F0000}"/>
    <cellStyle name="Финансовый 2 2 2 8 4 4" xfId="7504" xr:uid="{00000000-0005-0000-0000-0000AA0F0000}"/>
    <cellStyle name="Финансовый 2 2 2 8 4 4 2" xfId="16147" xr:uid="{00000000-0005-0000-0000-0000AB0F0000}"/>
    <cellStyle name="Финансовый 2 2 2 8 4 5" xfId="10111" xr:uid="{00000000-0005-0000-0000-0000AC0F0000}"/>
    <cellStyle name="Финансовый 2 2 2 8 5" xfId="1716" xr:uid="{00000000-0005-0000-0000-0000AD0F0000}"/>
    <cellStyle name="Финансовый 2 2 2 8 5 2" xfId="3361" xr:uid="{00000000-0005-0000-0000-0000AE0F0000}"/>
    <cellStyle name="Финансовый 2 2 2 8 5 2 2" xfId="12006" xr:uid="{00000000-0005-0000-0000-0000AF0F0000}"/>
    <cellStyle name="Финансовый 2 2 2 8 5 3" xfId="5144" xr:uid="{00000000-0005-0000-0000-0000B00F0000}"/>
    <cellStyle name="Финансовый 2 2 2 8 5 3 2" xfId="13787" xr:uid="{00000000-0005-0000-0000-0000B10F0000}"/>
    <cellStyle name="Финансовый 2 2 2 8 5 4" xfId="7754" xr:uid="{00000000-0005-0000-0000-0000B20F0000}"/>
    <cellStyle name="Финансовый 2 2 2 8 5 4 2" xfId="16397" xr:uid="{00000000-0005-0000-0000-0000B30F0000}"/>
    <cellStyle name="Финансовый 2 2 2 8 5 5" xfId="10361" xr:uid="{00000000-0005-0000-0000-0000B40F0000}"/>
    <cellStyle name="Финансовый 2 2 2 8 6" xfId="2352" xr:uid="{00000000-0005-0000-0000-0000B50F0000}"/>
    <cellStyle name="Финансовый 2 2 2 8 6 2" xfId="3997" xr:uid="{00000000-0005-0000-0000-0000B60F0000}"/>
    <cellStyle name="Финансовый 2 2 2 8 6 2 2" xfId="12642" xr:uid="{00000000-0005-0000-0000-0000B70F0000}"/>
    <cellStyle name="Финансовый 2 2 2 8 6 3" xfId="5780" xr:uid="{00000000-0005-0000-0000-0000B80F0000}"/>
    <cellStyle name="Финансовый 2 2 2 8 6 3 2" xfId="14423" xr:uid="{00000000-0005-0000-0000-0000B90F0000}"/>
    <cellStyle name="Финансовый 2 2 2 8 6 4" xfId="8390" xr:uid="{00000000-0005-0000-0000-0000BA0F0000}"/>
    <cellStyle name="Финансовый 2 2 2 8 6 4 2" xfId="17033" xr:uid="{00000000-0005-0000-0000-0000BB0F0000}"/>
    <cellStyle name="Финансовый 2 2 2 8 6 5" xfId="10997" xr:uid="{00000000-0005-0000-0000-0000BC0F0000}"/>
    <cellStyle name="Финансовый 2 2 2 8 7" xfId="1579" xr:uid="{00000000-0005-0000-0000-0000BD0F0000}"/>
    <cellStyle name="Финансовый 2 2 2 8 7 2" xfId="3224" xr:uid="{00000000-0005-0000-0000-0000BE0F0000}"/>
    <cellStyle name="Финансовый 2 2 2 8 7 2 2" xfId="11869" xr:uid="{00000000-0005-0000-0000-0000BF0F0000}"/>
    <cellStyle name="Финансовый 2 2 2 8 7 3" xfId="5007" xr:uid="{00000000-0005-0000-0000-0000C00F0000}"/>
    <cellStyle name="Финансовый 2 2 2 8 7 3 2" xfId="13650" xr:uid="{00000000-0005-0000-0000-0000C10F0000}"/>
    <cellStyle name="Финансовый 2 2 2 8 7 4" xfId="7617" xr:uid="{00000000-0005-0000-0000-0000C20F0000}"/>
    <cellStyle name="Финансовый 2 2 2 8 7 4 2" xfId="16260" xr:uid="{00000000-0005-0000-0000-0000C30F0000}"/>
    <cellStyle name="Финансовый 2 2 2 8 7 5" xfId="10224" xr:uid="{00000000-0005-0000-0000-0000C40F0000}"/>
    <cellStyle name="Финансовый 2 2 2 8 8" xfId="865" xr:uid="{00000000-0005-0000-0000-0000C50F0000}"/>
    <cellStyle name="Финансовый 2 2 2 8 8 2" xfId="6905" xr:uid="{00000000-0005-0000-0000-0000C60F0000}"/>
    <cellStyle name="Финансовый 2 2 2 8 8 2 2" xfId="15548" xr:uid="{00000000-0005-0000-0000-0000C70F0000}"/>
    <cellStyle name="Финансовый 2 2 2 8 8 3" xfId="9512" xr:uid="{00000000-0005-0000-0000-0000C80F0000}"/>
    <cellStyle name="Финансовый 2 2 2 8 9" xfId="445" xr:uid="{00000000-0005-0000-0000-0000C90F0000}"/>
    <cellStyle name="Финансовый 2 2 2 8 9 2" xfId="6485" xr:uid="{00000000-0005-0000-0000-0000CA0F0000}"/>
    <cellStyle name="Финансовый 2 2 2 8 9 2 2" xfId="15128" xr:uid="{00000000-0005-0000-0000-0000CB0F0000}"/>
    <cellStyle name="Финансовый 2 2 2 8 9 3" xfId="9092" xr:uid="{00000000-0005-0000-0000-0000CC0F0000}"/>
    <cellStyle name="Финансовый 2 2 2 9" xfId="148" xr:uid="{00000000-0005-0000-0000-0000CD0F0000}"/>
    <cellStyle name="Финансовый 2 2 2 9 10" xfId="8796" xr:uid="{00000000-0005-0000-0000-0000CE0F0000}"/>
    <cellStyle name="Финансовый 2 2 2 9 2" xfId="1246" xr:uid="{00000000-0005-0000-0000-0000CF0F0000}"/>
    <cellStyle name="Финансовый 2 2 2 9 2 2" xfId="2212" xr:uid="{00000000-0005-0000-0000-0000D00F0000}"/>
    <cellStyle name="Финансовый 2 2 2 9 2 2 2" xfId="3857" xr:uid="{00000000-0005-0000-0000-0000D10F0000}"/>
    <cellStyle name="Финансовый 2 2 2 9 2 2 2 2" xfId="12502" xr:uid="{00000000-0005-0000-0000-0000D20F0000}"/>
    <cellStyle name="Финансовый 2 2 2 9 2 2 3" xfId="5640" xr:uid="{00000000-0005-0000-0000-0000D30F0000}"/>
    <cellStyle name="Финансовый 2 2 2 9 2 2 3 2" xfId="14283" xr:uid="{00000000-0005-0000-0000-0000D40F0000}"/>
    <cellStyle name="Финансовый 2 2 2 9 2 2 4" xfId="8250" xr:uid="{00000000-0005-0000-0000-0000D50F0000}"/>
    <cellStyle name="Финансовый 2 2 2 9 2 2 4 2" xfId="16893" xr:uid="{00000000-0005-0000-0000-0000D60F0000}"/>
    <cellStyle name="Финансовый 2 2 2 9 2 2 5" xfId="10857" xr:uid="{00000000-0005-0000-0000-0000D70F0000}"/>
    <cellStyle name="Финансовый 2 2 2 9 2 3" xfId="3030" xr:uid="{00000000-0005-0000-0000-0000D80F0000}"/>
    <cellStyle name="Финансовый 2 2 2 9 2 3 2" xfId="11675" xr:uid="{00000000-0005-0000-0000-0000D90F0000}"/>
    <cellStyle name="Финансовый 2 2 2 9 2 4" xfId="4674" xr:uid="{00000000-0005-0000-0000-0000DA0F0000}"/>
    <cellStyle name="Финансовый 2 2 2 9 2 4 2" xfId="13319" xr:uid="{00000000-0005-0000-0000-0000DB0F0000}"/>
    <cellStyle name="Финансовый 2 2 2 9 2 5" xfId="7286" xr:uid="{00000000-0005-0000-0000-0000DC0F0000}"/>
    <cellStyle name="Финансовый 2 2 2 9 2 5 2" xfId="15929" xr:uid="{00000000-0005-0000-0000-0000DD0F0000}"/>
    <cellStyle name="Финансовый 2 2 2 9 2 6" xfId="9893" xr:uid="{00000000-0005-0000-0000-0000DE0F0000}"/>
    <cellStyle name="Финансовый 2 2 2 9 3" xfId="1956" xr:uid="{00000000-0005-0000-0000-0000DF0F0000}"/>
    <cellStyle name="Финансовый 2 2 2 9 3 2" xfId="3601" xr:uid="{00000000-0005-0000-0000-0000E00F0000}"/>
    <cellStyle name="Финансовый 2 2 2 9 3 2 2" xfId="12246" xr:uid="{00000000-0005-0000-0000-0000E10F0000}"/>
    <cellStyle name="Финансовый 2 2 2 9 3 3" xfId="5384" xr:uid="{00000000-0005-0000-0000-0000E20F0000}"/>
    <cellStyle name="Финансовый 2 2 2 9 3 3 2" xfId="14027" xr:uid="{00000000-0005-0000-0000-0000E30F0000}"/>
    <cellStyle name="Финансовый 2 2 2 9 3 4" xfId="7994" xr:uid="{00000000-0005-0000-0000-0000E40F0000}"/>
    <cellStyle name="Финансовый 2 2 2 9 3 4 2" xfId="16637" xr:uid="{00000000-0005-0000-0000-0000E50F0000}"/>
    <cellStyle name="Финансовый 2 2 2 9 3 5" xfId="10601" xr:uid="{00000000-0005-0000-0000-0000E60F0000}"/>
    <cellStyle name="Финансовый 2 2 2 9 4" xfId="2477" xr:uid="{00000000-0005-0000-0000-0000E70F0000}"/>
    <cellStyle name="Финансовый 2 2 2 9 4 2" xfId="4122" xr:uid="{00000000-0005-0000-0000-0000E80F0000}"/>
    <cellStyle name="Финансовый 2 2 2 9 4 2 2" xfId="12767" xr:uid="{00000000-0005-0000-0000-0000E90F0000}"/>
    <cellStyle name="Финансовый 2 2 2 9 4 3" xfId="5905" xr:uid="{00000000-0005-0000-0000-0000EA0F0000}"/>
    <cellStyle name="Финансовый 2 2 2 9 4 3 2" xfId="14548" xr:uid="{00000000-0005-0000-0000-0000EB0F0000}"/>
    <cellStyle name="Финансовый 2 2 2 9 4 4" xfId="8515" xr:uid="{00000000-0005-0000-0000-0000EC0F0000}"/>
    <cellStyle name="Финансовый 2 2 2 9 4 4 2" xfId="17158" xr:uid="{00000000-0005-0000-0000-0000ED0F0000}"/>
    <cellStyle name="Финансовый 2 2 2 9 4 5" xfId="11122" xr:uid="{00000000-0005-0000-0000-0000EE0F0000}"/>
    <cellStyle name="Финансовый 2 2 2 9 5" xfId="981" xr:uid="{00000000-0005-0000-0000-0000EF0F0000}"/>
    <cellStyle name="Финансовый 2 2 2 9 5 2" xfId="7021" xr:uid="{00000000-0005-0000-0000-0000F00F0000}"/>
    <cellStyle name="Финансовый 2 2 2 9 5 2 2" xfId="15664" xr:uid="{00000000-0005-0000-0000-0000F10F0000}"/>
    <cellStyle name="Финансовый 2 2 2 9 5 3" xfId="9628" xr:uid="{00000000-0005-0000-0000-0000F20F0000}"/>
    <cellStyle name="Финансовый 2 2 2 9 6" xfId="569" xr:uid="{00000000-0005-0000-0000-0000F30F0000}"/>
    <cellStyle name="Финансовый 2 2 2 9 6 2" xfId="6609" xr:uid="{00000000-0005-0000-0000-0000F40F0000}"/>
    <cellStyle name="Финансовый 2 2 2 9 6 2 2" xfId="15252" xr:uid="{00000000-0005-0000-0000-0000F50F0000}"/>
    <cellStyle name="Финансовый 2 2 2 9 6 3" xfId="9216" xr:uid="{00000000-0005-0000-0000-0000F60F0000}"/>
    <cellStyle name="Финансовый 2 2 2 9 7" xfId="2758" xr:uid="{00000000-0005-0000-0000-0000F70F0000}"/>
    <cellStyle name="Финансовый 2 2 2 9 7 2" xfId="11403" xr:uid="{00000000-0005-0000-0000-0000F80F0000}"/>
    <cellStyle name="Финансовый 2 2 2 9 8" xfId="4402" xr:uid="{00000000-0005-0000-0000-0000F90F0000}"/>
    <cellStyle name="Финансовый 2 2 2 9 8 2" xfId="13047" xr:uid="{00000000-0005-0000-0000-0000FA0F0000}"/>
    <cellStyle name="Финансовый 2 2 2 9 9" xfId="6189" xr:uid="{00000000-0005-0000-0000-0000FB0F0000}"/>
    <cellStyle name="Финансовый 2 2 2 9 9 2" xfId="14832" xr:uid="{00000000-0005-0000-0000-0000FC0F0000}"/>
    <cellStyle name="Финансовый 2 2 20" xfId="2616" xr:uid="{00000000-0005-0000-0000-0000FD0F0000}"/>
    <cellStyle name="Финансовый 2 2 20 2" xfId="11261" xr:uid="{00000000-0005-0000-0000-0000FE0F0000}"/>
    <cellStyle name="Финансовый 2 2 21" xfId="4259" xr:uid="{00000000-0005-0000-0000-0000FF0F0000}"/>
    <cellStyle name="Финансовый 2 2 21 2" xfId="12904" xr:uid="{00000000-0005-0000-0000-000000100000}"/>
    <cellStyle name="Финансовый 2 2 22" xfId="6047" xr:uid="{00000000-0005-0000-0000-000001100000}"/>
    <cellStyle name="Финансовый 2 2 22 2" xfId="14690" xr:uid="{00000000-0005-0000-0000-000002100000}"/>
    <cellStyle name="Финансовый 2 2 23" xfId="8654" xr:uid="{00000000-0005-0000-0000-000003100000}"/>
    <cellStyle name="Финансовый 2 2 3" xfId="40" xr:uid="{00000000-0005-0000-0000-000004100000}"/>
    <cellStyle name="Финансовый 2 2 3 10" xfId="883" xr:uid="{00000000-0005-0000-0000-000005100000}"/>
    <cellStyle name="Финансовый 2 2 3 10 2" xfId="6923" xr:uid="{00000000-0005-0000-0000-000006100000}"/>
    <cellStyle name="Финансовый 2 2 3 10 2 2" xfId="15566" xr:uid="{00000000-0005-0000-0000-000007100000}"/>
    <cellStyle name="Финансовый 2 2 3 10 3" xfId="9530" xr:uid="{00000000-0005-0000-0000-000008100000}"/>
    <cellStyle name="Финансовый 2 2 3 11" xfId="463" xr:uid="{00000000-0005-0000-0000-000009100000}"/>
    <cellStyle name="Финансовый 2 2 3 11 2" xfId="6503" xr:uid="{00000000-0005-0000-0000-00000A100000}"/>
    <cellStyle name="Финансовый 2 2 3 11 2 2" xfId="15146" xr:uid="{00000000-0005-0000-0000-00000B100000}"/>
    <cellStyle name="Финансовый 2 2 3 11 3" xfId="9110" xr:uid="{00000000-0005-0000-0000-00000C100000}"/>
    <cellStyle name="Финансовый 2 2 3 12" xfId="2652" xr:uid="{00000000-0005-0000-0000-00000D100000}"/>
    <cellStyle name="Финансовый 2 2 3 12 2" xfId="11297" xr:uid="{00000000-0005-0000-0000-00000E100000}"/>
    <cellStyle name="Финансовый 2 2 3 13" xfId="4295" xr:uid="{00000000-0005-0000-0000-00000F100000}"/>
    <cellStyle name="Финансовый 2 2 3 13 2" xfId="12940" xr:uid="{00000000-0005-0000-0000-000010100000}"/>
    <cellStyle name="Финансовый 2 2 3 14" xfId="6083" xr:uid="{00000000-0005-0000-0000-000011100000}"/>
    <cellStyle name="Финансовый 2 2 3 14 2" xfId="14726" xr:uid="{00000000-0005-0000-0000-000012100000}"/>
    <cellStyle name="Финансовый 2 2 3 15" xfId="8690" xr:uid="{00000000-0005-0000-0000-000013100000}"/>
    <cellStyle name="Финансовый 2 2 3 2" xfId="122" xr:uid="{00000000-0005-0000-0000-000014100000}"/>
    <cellStyle name="Финансовый 2 2 3 2 10" xfId="2732" xr:uid="{00000000-0005-0000-0000-000015100000}"/>
    <cellStyle name="Финансовый 2 2 3 2 10 2" xfId="11377" xr:uid="{00000000-0005-0000-0000-000016100000}"/>
    <cellStyle name="Финансовый 2 2 3 2 11" xfId="4376" xr:uid="{00000000-0005-0000-0000-000017100000}"/>
    <cellStyle name="Финансовый 2 2 3 2 11 2" xfId="13021" xr:uid="{00000000-0005-0000-0000-000018100000}"/>
    <cellStyle name="Финансовый 2 2 3 2 12" xfId="6163" xr:uid="{00000000-0005-0000-0000-000019100000}"/>
    <cellStyle name="Финансовый 2 2 3 2 12 2" xfId="14806" xr:uid="{00000000-0005-0000-0000-00001A100000}"/>
    <cellStyle name="Финансовый 2 2 3 2 13" xfId="8770" xr:uid="{00000000-0005-0000-0000-00001B100000}"/>
    <cellStyle name="Финансовый 2 2 3 2 2" xfId="258" xr:uid="{00000000-0005-0000-0000-00001C100000}"/>
    <cellStyle name="Финансовый 2 2 3 2 2 10" xfId="8906" xr:uid="{00000000-0005-0000-0000-00001D100000}"/>
    <cellStyle name="Финансовый 2 2 3 2 2 2" xfId="1356" xr:uid="{00000000-0005-0000-0000-00001E100000}"/>
    <cellStyle name="Финансовый 2 2 3 2 2 2 2" xfId="2314" xr:uid="{00000000-0005-0000-0000-00001F100000}"/>
    <cellStyle name="Финансовый 2 2 3 2 2 2 2 2" xfId="3959" xr:uid="{00000000-0005-0000-0000-000020100000}"/>
    <cellStyle name="Финансовый 2 2 3 2 2 2 2 2 2" xfId="12604" xr:uid="{00000000-0005-0000-0000-000021100000}"/>
    <cellStyle name="Финансовый 2 2 3 2 2 2 2 3" xfId="5742" xr:uid="{00000000-0005-0000-0000-000022100000}"/>
    <cellStyle name="Финансовый 2 2 3 2 2 2 2 3 2" xfId="14385" xr:uid="{00000000-0005-0000-0000-000023100000}"/>
    <cellStyle name="Финансовый 2 2 3 2 2 2 2 4" xfId="8352" xr:uid="{00000000-0005-0000-0000-000024100000}"/>
    <cellStyle name="Финансовый 2 2 3 2 2 2 2 4 2" xfId="16995" xr:uid="{00000000-0005-0000-0000-000025100000}"/>
    <cellStyle name="Финансовый 2 2 3 2 2 2 2 5" xfId="10959" xr:uid="{00000000-0005-0000-0000-000026100000}"/>
    <cellStyle name="Финансовый 2 2 3 2 2 2 3" xfId="3140" xr:uid="{00000000-0005-0000-0000-000027100000}"/>
    <cellStyle name="Финансовый 2 2 3 2 2 2 3 2" xfId="11785" xr:uid="{00000000-0005-0000-0000-000028100000}"/>
    <cellStyle name="Финансовый 2 2 3 2 2 2 4" xfId="4784" xr:uid="{00000000-0005-0000-0000-000029100000}"/>
    <cellStyle name="Финансовый 2 2 3 2 2 2 4 2" xfId="13429" xr:uid="{00000000-0005-0000-0000-00002A100000}"/>
    <cellStyle name="Финансовый 2 2 3 2 2 2 5" xfId="7396" xr:uid="{00000000-0005-0000-0000-00002B100000}"/>
    <cellStyle name="Финансовый 2 2 3 2 2 2 5 2" xfId="16039" xr:uid="{00000000-0005-0000-0000-00002C100000}"/>
    <cellStyle name="Финансовый 2 2 3 2 2 2 6" xfId="10003" xr:uid="{00000000-0005-0000-0000-00002D100000}"/>
    <cellStyle name="Финансовый 2 2 3 2 2 3" xfId="2058" xr:uid="{00000000-0005-0000-0000-00002E100000}"/>
    <cellStyle name="Финансовый 2 2 3 2 2 3 2" xfId="3703" xr:uid="{00000000-0005-0000-0000-00002F100000}"/>
    <cellStyle name="Финансовый 2 2 3 2 2 3 2 2" xfId="12348" xr:uid="{00000000-0005-0000-0000-000030100000}"/>
    <cellStyle name="Финансовый 2 2 3 2 2 3 3" xfId="5486" xr:uid="{00000000-0005-0000-0000-000031100000}"/>
    <cellStyle name="Финансовый 2 2 3 2 2 3 3 2" xfId="14129" xr:uid="{00000000-0005-0000-0000-000032100000}"/>
    <cellStyle name="Финансовый 2 2 3 2 2 3 4" xfId="8096" xr:uid="{00000000-0005-0000-0000-000033100000}"/>
    <cellStyle name="Финансовый 2 2 3 2 2 3 4 2" xfId="16739" xr:uid="{00000000-0005-0000-0000-000034100000}"/>
    <cellStyle name="Финансовый 2 2 3 2 2 3 5" xfId="10703" xr:uid="{00000000-0005-0000-0000-000035100000}"/>
    <cellStyle name="Финансовый 2 2 3 2 2 4" xfId="2587" xr:uid="{00000000-0005-0000-0000-000036100000}"/>
    <cellStyle name="Финансовый 2 2 3 2 2 4 2" xfId="4232" xr:uid="{00000000-0005-0000-0000-000037100000}"/>
    <cellStyle name="Финансовый 2 2 3 2 2 4 2 2" xfId="12877" xr:uid="{00000000-0005-0000-0000-000038100000}"/>
    <cellStyle name="Финансовый 2 2 3 2 2 4 3" xfId="6015" xr:uid="{00000000-0005-0000-0000-000039100000}"/>
    <cellStyle name="Финансовый 2 2 3 2 2 4 3 2" xfId="14658" xr:uid="{00000000-0005-0000-0000-00003A100000}"/>
    <cellStyle name="Финансовый 2 2 3 2 2 4 4" xfId="8625" xr:uid="{00000000-0005-0000-0000-00003B100000}"/>
    <cellStyle name="Финансовый 2 2 3 2 2 4 4 2" xfId="17268" xr:uid="{00000000-0005-0000-0000-00003C100000}"/>
    <cellStyle name="Финансовый 2 2 3 2 2 4 5" xfId="11232" xr:uid="{00000000-0005-0000-0000-00003D100000}"/>
    <cellStyle name="Финансовый 2 2 3 2 2 5" xfId="1091" xr:uid="{00000000-0005-0000-0000-00003E100000}"/>
    <cellStyle name="Финансовый 2 2 3 2 2 5 2" xfId="7131" xr:uid="{00000000-0005-0000-0000-00003F100000}"/>
    <cellStyle name="Финансовый 2 2 3 2 2 5 2 2" xfId="15774" xr:uid="{00000000-0005-0000-0000-000040100000}"/>
    <cellStyle name="Финансовый 2 2 3 2 2 5 3" xfId="9738" xr:uid="{00000000-0005-0000-0000-000041100000}"/>
    <cellStyle name="Финансовый 2 2 3 2 2 6" xfId="679" xr:uid="{00000000-0005-0000-0000-000042100000}"/>
    <cellStyle name="Финансовый 2 2 3 2 2 6 2" xfId="6719" xr:uid="{00000000-0005-0000-0000-000043100000}"/>
    <cellStyle name="Финансовый 2 2 3 2 2 6 2 2" xfId="15362" xr:uid="{00000000-0005-0000-0000-000044100000}"/>
    <cellStyle name="Финансовый 2 2 3 2 2 6 3" xfId="9326" xr:uid="{00000000-0005-0000-0000-000045100000}"/>
    <cellStyle name="Финансовый 2 2 3 2 2 7" xfId="2868" xr:uid="{00000000-0005-0000-0000-000046100000}"/>
    <cellStyle name="Финансовый 2 2 3 2 2 7 2" xfId="11513" xr:uid="{00000000-0005-0000-0000-000047100000}"/>
    <cellStyle name="Финансовый 2 2 3 2 2 8" xfId="4512" xr:uid="{00000000-0005-0000-0000-000048100000}"/>
    <cellStyle name="Финансовый 2 2 3 2 2 8 2" xfId="13157" xr:uid="{00000000-0005-0000-0000-000049100000}"/>
    <cellStyle name="Финансовый 2 2 3 2 2 9" xfId="6299" xr:uid="{00000000-0005-0000-0000-00004A100000}"/>
    <cellStyle name="Финансовый 2 2 3 2 2 9 2" xfId="14942" xr:uid="{00000000-0005-0000-0000-00004B100000}"/>
    <cellStyle name="Финансовый 2 2 3 2 3" xfId="407" xr:uid="{00000000-0005-0000-0000-00004C100000}"/>
    <cellStyle name="Финансовый 2 2 3 2 3 2" xfId="2186" xr:uid="{00000000-0005-0000-0000-00004D100000}"/>
    <cellStyle name="Финансовый 2 2 3 2 3 2 2" xfId="3831" xr:uid="{00000000-0005-0000-0000-00004E100000}"/>
    <cellStyle name="Финансовый 2 2 3 2 3 2 2 2" xfId="12476" xr:uid="{00000000-0005-0000-0000-00004F100000}"/>
    <cellStyle name="Финансовый 2 2 3 2 3 2 3" xfId="5614" xr:uid="{00000000-0005-0000-0000-000050100000}"/>
    <cellStyle name="Финансовый 2 2 3 2 3 2 3 2" xfId="14257" xr:uid="{00000000-0005-0000-0000-000051100000}"/>
    <cellStyle name="Финансовый 2 2 3 2 3 2 4" xfId="8224" xr:uid="{00000000-0005-0000-0000-000052100000}"/>
    <cellStyle name="Финансовый 2 2 3 2 3 2 4 2" xfId="16867" xr:uid="{00000000-0005-0000-0000-000053100000}"/>
    <cellStyle name="Финансовый 2 2 3 2 3 2 5" xfId="10831" xr:uid="{00000000-0005-0000-0000-000054100000}"/>
    <cellStyle name="Финансовый 2 2 3 2 3 3" xfId="1220" xr:uid="{00000000-0005-0000-0000-000055100000}"/>
    <cellStyle name="Финансовый 2 2 3 2 3 3 2" xfId="7260" xr:uid="{00000000-0005-0000-0000-000056100000}"/>
    <cellStyle name="Финансовый 2 2 3 2 3 3 2 2" xfId="15903" xr:uid="{00000000-0005-0000-0000-000057100000}"/>
    <cellStyle name="Финансовый 2 2 3 2 3 3 3" xfId="9867" xr:uid="{00000000-0005-0000-0000-000058100000}"/>
    <cellStyle name="Финансовый 2 2 3 2 3 4" xfId="827" xr:uid="{00000000-0005-0000-0000-000059100000}"/>
    <cellStyle name="Финансовый 2 2 3 2 3 4 2" xfId="6867" xr:uid="{00000000-0005-0000-0000-00005A100000}"/>
    <cellStyle name="Финансовый 2 2 3 2 3 4 2 2" xfId="15510" xr:uid="{00000000-0005-0000-0000-00005B100000}"/>
    <cellStyle name="Финансовый 2 2 3 2 3 4 3" xfId="9474" xr:uid="{00000000-0005-0000-0000-00005C100000}"/>
    <cellStyle name="Финансовый 2 2 3 2 3 5" xfId="3004" xr:uid="{00000000-0005-0000-0000-00005D100000}"/>
    <cellStyle name="Финансовый 2 2 3 2 3 5 2" xfId="11649" xr:uid="{00000000-0005-0000-0000-00005E100000}"/>
    <cellStyle name="Финансовый 2 2 3 2 3 6" xfId="4648" xr:uid="{00000000-0005-0000-0000-00005F100000}"/>
    <cellStyle name="Финансовый 2 2 3 2 3 6 2" xfId="13293" xr:uid="{00000000-0005-0000-0000-000060100000}"/>
    <cellStyle name="Финансовый 2 2 3 2 3 7" xfId="6447" xr:uid="{00000000-0005-0000-0000-000061100000}"/>
    <cellStyle name="Финансовый 2 2 3 2 3 7 2" xfId="15090" xr:uid="{00000000-0005-0000-0000-000062100000}"/>
    <cellStyle name="Финансовый 2 2 3 2 3 8" xfId="9054" xr:uid="{00000000-0005-0000-0000-000063100000}"/>
    <cellStyle name="Финансовый 2 2 3 2 4" xfId="1469" xr:uid="{00000000-0005-0000-0000-000064100000}"/>
    <cellStyle name="Финансовый 2 2 3 2 4 2" xfId="1930" xr:uid="{00000000-0005-0000-0000-000065100000}"/>
    <cellStyle name="Финансовый 2 2 3 2 4 2 2" xfId="3575" xr:uid="{00000000-0005-0000-0000-000066100000}"/>
    <cellStyle name="Финансовый 2 2 3 2 4 2 2 2" xfId="12220" xr:uid="{00000000-0005-0000-0000-000067100000}"/>
    <cellStyle name="Финансовый 2 2 3 2 4 2 3" xfId="5358" xr:uid="{00000000-0005-0000-0000-000068100000}"/>
    <cellStyle name="Финансовый 2 2 3 2 4 2 3 2" xfId="14001" xr:uid="{00000000-0005-0000-0000-000069100000}"/>
    <cellStyle name="Финансовый 2 2 3 2 4 2 4" xfId="7968" xr:uid="{00000000-0005-0000-0000-00006A100000}"/>
    <cellStyle name="Финансовый 2 2 3 2 4 2 4 2" xfId="16611" xr:uid="{00000000-0005-0000-0000-00006B100000}"/>
    <cellStyle name="Финансовый 2 2 3 2 4 2 5" xfId="10575" xr:uid="{00000000-0005-0000-0000-00006C100000}"/>
    <cellStyle name="Финансовый 2 2 3 2 4 3" xfId="4897" xr:uid="{00000000-0005-0000-0000-00006D100000}"/>
    <cellStyle name="Финансовый 2 2 3 2 4 3 2" xfId="13540" xr:uid="{00000000-0005-0000-0000-00006E100000}"/>
    <cellStyle name="Финансовый 2 2 3 2 4 4" xfId="7507" xr:uid="{00000000-0005-0000-0000-00006F100000}"/>
    <cellStyle name="Финансовый 2 2 3 2 4 4 2" xfId="16150" xr:uid="{00000000-0005-0000-0000-000070100000}"/>
    <cellStyle name="Финансовый 2 2 3 2 4 5" xfId="10114" xr:uid="{00000000-0005-0000-0000-000071100000}"/>
    <cellStyle name="Финансовый 2 2 3 2 5" xfId="1806" xr:uid="{00000000-0005-0000-0000-000072100000}"/>
    <cellStyle name="Финансовый 2 2 3 2 5 2" xfId="3451" xr:uid="{00000000-0005-0000-0000-000073100000}"/>
    <cellStyle name="Финансовый 2 2 3 2 5 2 2" xfId="12096" xr:uid="{00000000-0005-0000-0000-000074100000}"/>
    <cellStyle name="Финансовый 2 2 3 2 5 3" xfId="5234" xr:uid="{00000000-0005-0000-0000-000075100000}"/>
    <cellStyle name="Финансовый 2 2 3 2 5 3 2" xfId="13877" xr:uid="{00000000-0005-0000-0000-000076100000}"/>
    <cellStyle name="Финансовый 2 2 3 2 5 4" xfId="7844" xr:uid="{00000000-0005-0000-0000-000077100000}"/>
    <cellStyle name="Финансовый 2 2 3 2 5 4 2" xfId="16487" xr:uid="{00000000-0005-0000-0000-000078100000}"/>
    <cellStyle name="Финансовый 2 2 3 2 5 5" xfId="10451" xr:uid="{00000000-0005-0000-0000-000079100000}"/>
    <cellStyle name="Финансовый 2 2 3 2 6" xfId="2451" xr:uid="{00000000-0005-0000-0000-00007A100000}"/>
    <cellStyle name="Финансовый 2 2 3 2 6 2" xfId="4096" xr:uid="{00000000-0005-0000-0000-00007B100000}"/>
    <cellStyle name="Финансовый 2 2 3 2 6 2 2" xfId="12741" xr:uid="{00000000-0005-0000-0000-00007C100000}"/>
    <cellStyle name="Финансовый 2 2 3 2 6 3" xfId="5879" xr:uid="{00000000-0005-0000-0000-00007D100000}"/>
    <cellStyle name="Финансовый 2 2 3 2 6 3 2" xfId="14522" xr:uid="{00000000-0005-0000-0000-00007E100000}"/>
    <cellStyle name="Финансовый 2 2 3 2 6 4" xfId="8489" xr:uid="{00000000-0005-0000-0000-00007F100000}"/>
    <cellStyle name="Финансовый 2 2 3 2 6 4 2" xfId="17132" xr:uid="{00000000-0005-0000-0000-000080100000}"/>
    <cellStyle name="Финансовый 2 2 3 2 6 5" xfId="11096" xr:uid="{00000000-0005-0000-0000-000081100000}"/>
    <cellStyle name="Финансовый 2 2 3 2 7" xfId="1678" xr:uid="{00000000-0005-0000-0000-000082100000}"/>
    <cellStyle name="Финансовый 2 2 3 2 7 2" xfId="3323" xr:uid="{00000000-0005-0000-0000-000083100000}"/>
    <cellStyle name="Финансовый 2 2 3 2 7 2 2" xfId="11968" xr:uid="{00000000-0005-0000-0000-000084100000}"/>
    <cellStyle name="Финансовый 2 2 3 2 7 3" xfId="5106" xr:uid="{00000000-0005-0000-0000-000085100000}"/>
    <cellStyle name="Финансовый 2 2 3 2 7 3 2" xfId="13749" xr:uid="{00000000-0005-0000-0000-000086100000}"/>
    <cellStyle name="Финансовый 2 2 3 2 7 4" xfId="7716" xr:uid="{00000000-0005-0000-0000-000087100000}"/>
    <cellStyle name="Финансовый 2 2 3 2 7 4 2" xfId="16359" xr:uid="{00000000-0005-0000-0000-000088100000}"/>
    <cellStyle name="Финансовый 2 2 3 2 7 5" xfId="10323" xr:uid="{00000000-0005-0000-0000-000089100000}"/>
    <cellStyle name="Финансовый 2 2 3 2 8" xfId="955" xr:uid="{00000000-0005-0000-0000-00008A100000}"/>
    <cellStyle name="Финансовый 2 2 3 2 8 2" xfId="6995" xr:uid="{00000000-0005-0000-0000-00008B100000}"/>
    <cellStyle name="Финансовый 2 2 3 2 8 2 2" xfId="15638" xr:uid="{00000000-0005-0000-0000-00008C100000}"/>
    <cellStyle name="Финансовый 2 2 3 2 8 3" xfId="9602" xr:uid="{00000000-0005-0000-0000-00008D100000}"/>
    <cellStyle name="Финансовый 2 2 3 2 9" xfId="543" xr:uid="{00000000-0005-0000-0000-00008E100000}"/>
    <cellStyle name="Финансовый 2 2 3 2 9 2" xfId="6583" xr:uid="{00000000-0005-0000-0000-00008F100000}"/>
    <cellStyle name="Финансовый 2 2 3 2 9 2 2" xfId="15226" xr:uid="{00000000-0005-0000-0000-000090100000}"/>
    <cellStyle name="Финансовый 2 2 3 2 9 3" xfId="9190" xr:uid="{00000000-0005-0000-0000-000091100000}"/>
    <cellStyle name="Финансовый 2 2 3 3" xfId="86" xr:uid="{00000000-0005-0000-0000-000092100000}"/>
    <cellStyle name="Финансовый 2 2 3 3 10" xfId="2696" xr:uid="{00000000-0005-0000-0000-000093100000}"/>
    <cellStyle name="Финансовый 2 2 3 3 10 2" xfId="11341" xr:uid="{00000000-0005-0000-0000-000094100000}"/>
    <cellStyle name="Финансовый 2 2 3 3 11" xfId="4340" xr:uid="{00000000-0005-0000-0000-000095100000}"/>
    <cellStyle name="Финансовый 2 2 3 3 11 2" xfId="12985" xr:uid="{00000000-0005-0000-0000-000096100000}"/>
    <cellStyle name="Финансовый 2 2 3 3 12" xfId="6127" xr:uid="{00000000-0005-0000-0000-000097100000}"/>
    <cellStyle name="Финансовый 2 2 3 3 12 2" xfId="14770" xr:uid="{00000000-0005-0000-0000-000098100000}"/>
    <cellStyle name="Финансовый 2 2 3 3 13" xfId="8734" xr:uid="{00000000-0005-0000-0000-000099100000}"/>
    <cellStyle name="Финансовый 2 2 3 3 2" xfId="222" xr:uid="{00000000-0005-0000-0000-00009A100000}"/>
    <cellStyle name="Финансовый 2 2 3 3 2 10" xfId="8870" xr:uid="{00000000-0005-0000-0000-00009B100000}"/>
    <cellStyle name="Финансовый 2 2 3 3 2 2" xfId="1320" xr:uid="{00000000-0005-0000-0000-00009C100000}"/>
    <cellStyle name="Финансовый 2 2 3 3 2 2 2" xfId="2278" xr:uid="{00000000-0005-0000-0000-00009D100000}"/>
    <cellStyle name="Финансовый 2 2 3 3 2 2 2 2" xfId="3923" xr:uid="{00000000-0005-0000-0000-00009E100000}"/>
    <cellStyle name="Финансовый 2 2 3 3 2 2 2 2 2" xfId="12568" xr:uid="{00000000-0005-0000-0000-00009F100000}"/>
    <cellStyle name="Финансовый 2 2 3 3 2 2 2 3" xfId="5706" xr:uid="{00000000-0005-0000-0000-0000A0100000}"/>
    <cellStyle name="Финансовый 2 2 3 3 2 2 2 3 2" xfId="14349" xr:uid="{00000000-0005-0000-0000-0000A1100000}"/>
    <cellStyle name="Финансовый 2 2 3 3 2 2 2 4" xfId="8316" xr:uid="{00000000-0005-0000-0000-0000A2100000}"/>
    <cellStyle name="Финансовый 2 2 3 3 2 2 2 4 2" xfId="16959" xr:uid="{00000000-0005-0000-0000-0000A3100000}"/>
    <cellStyle name="Финансовый 2 2 3 3 2 2 2 5" xfId="10923" xr:uid="{00000000-0005-0000-0000-0000A4100000}"/>
    <cellStyle name="Финансовый 2 2 3 3 2 2 3" xfId="3104" xr:uid="{00000000-0005-0000-0000-0000A5100000}"/>
    <cellStyle name="Финансовый 2 2 3 3 2 2 3 2" xfId="11749" xr:uid="{00000000-0005-0000-0000-0000A6100000}"/>
    <cellStyle name="Финансовый 2 2 3 3 2 2 4" xfId="4748" xr:uid="{00000000-0005-0000-0000-0000A7100000}"/>
    <cellStyle name="Финансовый 2 2 3 3 2 2 4 2" xfId="13393" xr:uid="{00000000-0005-0000-0000-0000A8100000}"/>
    <cellStyle name="Финансовый 2 2 3 3 2 2 5" xfId="7360" xr:uid="{00000000-0005-0000-0000-0000A9100000}"/>
    <cellStyle name="Финансовый 2 2 3 3 2 2 5 2" xfId="16003" xr:uid="{00000000-0005-0000-0000-0000AA100000}"/>
    <cellStyle name="Финансовый 2 2 3 3 2 2 6" xfId="9967" xr:uid="{00000000-0005-0000-0000-0000AB100000}"/>
    <cellStyle name="Финансовый 2 2 3 3 2 3" xfId="2022" xr:uid="{00000000-0005-0000-0000-0000AC100000}"/>
    <cellStyle name="Финансовый 2 2 3 3 2 3 2" xfId="3667" xr:uid="{00000000-0005-0000-0000-0000AD100000}"/>
    <cellStyle name="Финансовый 2 2 3 3 2 3 2 2" xfId="12312" xr:uid="{00000000-0005-0000-0000-0000AE100000}"/>
    <cellStyle name="Финансовый 2 2 3 3 2 3 3" xfId="5450" xr:uid="{00000000-0005-0000-0000-0000AF100000}"/>
    <cellStyle name="Финансовый 2 2 3 3 2 3 3 2" xfId="14093" xr:uid="{00000000-0005-0000-0000-0000B0100000}"/>
    <cellStyle name="Финансовый 2 2 3 3 2 3 4" xfId="8060" xr:uid="{00000000-0005-0000-0000-0000B1100000}"/>
    <cellStyle name="Финансовый 2 2 3 3 2 3 4 2" xfId="16703" xr:uid="{00000000-0005-0000-0000-0000B2100000}"/>
    <cellStyle name="Финансовый 2 2 3 3 2 3 5" xfId="10667" xr:uid="{00000000-0005-0000-0000-0000B3100000}"/>
    <cellStyle name="Финансовый 2 2 3 3 2 4" xfId="2551" xr:uid="{00000000-0005-0000-0000-0000B4100000}"/>
    <cellStyle name="Финансовый 2 2 3 3 2 4 2" xfId="4196" xr:uid="{00000000-0005-0000-0000-0000B5100000}"/>
    <cellStyle name="Финансовый 2 2 3 3 2 4 2 2" xfId="12841" xr:uid="{00000000-0005-0000-0000-0000B6100000}"/>
    <cellStyle name="Финансовый 2 2 3 3 2 4 3" xfId="5979" xr:uid="{00000000-0005-0000-0000-0000B7100000}"/>
    <cellStyle name="Финансовый 2 2 3 3 2 4 3 2" xfId="14622" xr:uid="{00000000-0005-0000-0000-0000B8100000}"/>
    <cellStyle name="Финансовый 2 2 3 3 2 4 4" xfId="8589" xr:uid="{00000000-0005-0000-0000-0000B9100000}"/>
    <cellStyle name="Финансовый 2 2 3 3 2 4 4 2" xfId="17232" xr:uid="{00000000-0005-0000-0000-0000BA100000}"/>
    <cellStyle name="Финансовый 2 2 3 3 2 4 5" xfId="11196" xr:uid="{00000000-0005-0000-0000-0000BB100000}"/>
    <cellStyle name="Финансовый 2 2 3 3 2 5" xfId="1055" xr:uid="{00000000-0005-0000-0000-0000BC100000}"/>
    <cellStyle name="Финансовый 2 2 3 3 2 5 2" xfId="7095" xr:uid="{00000000-0005-0000-0000-0000BD100000}"/>
    <cellStyle name="Финансовый 2 2 3 3 2 5 2 2" xfId="15738" xr:uid="{00000000-0005-0000-0000-0000BE100000}"/>
    <cellStyle name="Финансовый 2 2 3 3 2 5 3" xfId="9702" xr:uid="{00000000-0005-0000-0000-0000BF100000}"/>
    <cellStyle name="Финансовый 2 2 3 3 2 6" xfId="643" xr:uid="{00000000-0005-0000-0000-0000C0100000}"/>
    <cellStyle name="Финансовый 2 2 3 3 2 6 2" xfId="6683" xr:uid="{00000000-0005-0000-0000-0000C1100000}"/>
    <cellStyle name="Финансовый 2 2 3 3 2 6 2 2" xfId="15326" xr:uid="{00000000-0005-0000-0000-0000C2100000}"/>
    <cellStyle name="Финансовый 2 2 3 3 2 6 3" xfId="9290" xr:uid="{00000000-0005-0000-0000-0000C3100000}"/>
    <cellStyle name="Финансовый 2 2 3 3 2 7" xfId="2832" xr:uid="{00000000-0005-0000-0000-0000C4100000}"/>
    <cellStyle name="Финансовый 2 2 3 3 2 7 2" xfId="11477" xr:uid="{00000000-0005-0000-0000-0000C5100000}"/>
    <cellStyle name="Финансовый 2 2 3 3 2 8" xfId="4476" xr:uid="{00000000-0005-0000-0000-0000C6100000}"/>
    <cellStyle name="Финансовый 2 2 3 3 2 8 2" xfId="13121" xr:uid="{00000000-0005-0000-0000-0000C7100000}"/>
    <cellStyle name="Финансовый 2 2 3 3 2 9" xfId="6263" xr:uid="{00000000-0005-0000-0000-0000C8100000}"/>
    <cellStyle name="Финансовый 2 2 3 3 2 9 2" xfId="14906" xr:uid="{00000000-0005-0000-0000-0000C9100000}"/>
    <cellStyle name="Финансовый 2 2 3 3 3" xfId="371" xr:uid="{00000000-0005-0000-0000-0000CA100000}"/>
    <cellStyle name="Финансовый 2 2 3 3 3 2" xfId="2150" xr:uid="{00000000-0005-0000-0000-0000CB100000}"/>
    <cellStyle name="Финансовый 2 2 3 3 3 2 2" xfId="3795" xr:uid="{00000000-0005-0000-0000-0000CC100000}"/>
    <cellStyle name="Финансовый 2 2 3 3 3 2 2 2" xfId="12440" xr:uid="{00000000-0005-0000-0000-0000CD100000}"/>
    <cellStyle name="Финансовый 2 2 3 3 3 2 3" xfId="5578" xr:uid="{00000000-0005-0000-0000-0000CE100000}"/>
    <cellStyle name="Финансовый 2 2 3 3 3 2 3 2" xfId="14221" xr:uid="{00000000-0005-0000-0000-0000CF100000}"/>
    <cellStyle name="Финансовый 2 2 3 3 3 2 4" xfId="8188" xr:uid="{00000000-0005-0000-0000-0000D0100000}"/>
    <cellStyle name="Финансовый 2 2 3 3 3 2 4 2" xfId="16831" xr:uid="{00000000-0005-0000-0000-0000D1100000}"/>
    <cellStyle name="Финансовый 2 2 3 3 3 2 5" xfId="10795" xr:uid="{00000000-0005-0000-0000-0000D2100000}"/>
    <cellStyle name="Финансовый 2 2 3 3 3 3" xfId="1184" xr:uid="{00000000-0005-0000-0000-0000D3100000}"/>
    <cellStyle name="Финансовый 2 2 3 3 3 3 2" xfId="7224" xr:uid="{00000000-0005-0000-0000-0000D4100000}"/>
    <cellStyle name="Финансовый 2 2 3 3 3 3 2 2" xfId="15867" xr:uid="{00000000-0005-0000-0000-0000D5100000}"/>
    <cellStyle name="Финансовый 2 2 3 3 3 3 3" xfId="9831" xr:uid="{00000000-0005-0000-0000-0000D6100000}"/>
    <cellStyle name="Финансовый 2 2 3 3 3 4" xfId="791" xr:uid="{00000000-0005-0000-0000-0000D7100000}"/>
    <cellStyle name="Финансовый 2 2 3 3 3 4 2" xfId="6831" xr:uid="{00000000-0005-0000-0000-0000D8100000}"/>
    <cellStyle name="Финансовый 2 2 3 3 3 4 2 2" xfId="15474" xr:uid="{00000000-0005-0000-0000-0000D9100000}"/>
    <cellStyle name="Финансовый 2 2 3 3 3 4 3" xfId="9438" xr:uid="{00000000-0005-0000-0000-0000DA100000}"/>
    <cellStyle name="Финансовый 2 2 3 3 3 5" xfId="2968" xr:uid="{00000000-0005-0000-0000-0000DB100000}"/>
    <cellStyle name="Финансовый 2 2 3 3 3 5 2" xfId="11613" xr:uid="{00000000-0005-0000-0000-0000DC100000}"/>
    <cellStyle name="Финансовый 2 2 3 3 3 6" xfId="4612" xr:uid="{00000000-0005-0000-0000-0000DD100000}"/>
    <cellStyle name="Финансовый 2 2 3 3 3 6 2" xfId="13257" xr:uid="{00000000-0005-0000-0000-0000DE100000}"/>
    <cellStyle name="Финансовый 2 2 3 3 3 7" xfId="6411" xr:uid="{00000000-0005-0000-0000-0000DF100000}"/>
    <cellStyle name="Финансовый 2 2 3 3 3 7 2" xfId="15054" xr:uid="{00000000-0005-0000-0000-0000E0100000}"/>
    <cellStyle name="Финансовый 2 2 3 3 3 8" xfId="9018" xr:uid="{00000000-0005-0000-0000-0000E1100000}"/>
    <cellStyle name="Финансовый 2 2 3 3 4" xfId="1470" xr:uid="{00000000-0005-0000-0000-0000E2100000}"/>
    <cellStyle name="Финансовый 2 2 3 3 4 2" xfId="1894" xr:uid="{00000000-0005-0000-0000-0000E3100000}"/>
    <cellStyle name="Финансовый 2 2 3 3 4 2 2" xfId="3539" xr:uid="{00000000-0005-0000-0000-0000E4100000}"/>
    <cellStyle name="Финансовый 2 2 3 3 4 2 2 2" xfId="12184" xr:uid="{00000000-0005-0000-0000-0000E5100000}"/>
    <cellStyle name="Финансовый 2 2 3 3 4 2 3" xfId="5322" xr:uid="{00000000-0005-0000-0000-0000E6100000}"/>
    <cellStyle name="Финансовый 2 2 3 3 4 2 3 2" xfId="13965" xr:uid="{00000000-0005-0000-0000-0000E7100000}"/>
    <cellStyle name="Финансовый 2 2 3 3 4 2 4" xfId="7932" xr:uid="{00000000-0005-0000-0000-0000E8100000}"/>
    <cellStyle name="Финансовый 2 2 3 3 4 2 4 2" xfId="16575" xr:uid="{00000000-0005-0000-0000-0000E9100000}"/>
    <cellStyle name="Финансовый 2 2 3 3 4 2 5" xfId="10539" xr:uid="{00000000-0005-0000-0000-0000EA100000}"/>
    <cellStyle name="Финансовый 2 2 3 3 4 3" xfId="4898" xr:uid="{00000000-0005-0000-0000-0000EB100000}"/>
    <cellStyle name="Финансовый 2 2 3 3 4 3 2" xfId="13541" xr:uid="{00000000-0005-0000-0000-0000EC100000}"/>
    <cellStyle name="Финансовый 2 2 3 3 4 4" xfId="7508" xr:uid="{00000000-0005-0000-0000-0000ED100000}"/>
    <cellStyle name="Финансовый 2 2 3 3 4 4 2" xfId="16151" xr:uid="{00000000-0005-0000-0000-0000EE100000}"/>
    <cellStyle name="Финансовый 2 2 3 3 4 5" xfId="10115" xr:uid="{00000000-0005-0000-0000-0000EF100000}"/>
    <cellStyle name="Финансовый 2 2 3 3 5" xfId="1770" xr:uid="{00000000-0005-0000-0000-0000F0100000}"/>
    <cellStyle name="Финансовый 2 2 3 3 5 2" xfId="3415" xr:uid="{00000000-0005-0000-0000-0000F1100000}"/>
    <cellStyle name="Финансовый 2 2 3 3 5 2 2" xfId="12060" xr:uid="{00000000-0005-0000-0000-0000F2100000}"/>
    <cellStyle name="Финансовый 2 2 3 3 5 3" xfId="5198" xr:uid="{00000000-0005-0000-0000-0000F3100000}"/>
    <cellStyle name="Финансовый 2 2 3 3 5 3 2" xfId="13841" xr:uid="{00000000-0005-0000-0000-0000F4100000}"/>
    <cellStyle name="Финансовый 2 2 3 3 5 4" xfId="7808" xr:uid="{00000000-0005-0000-0000-0000F5100000}"/>
    <cellStyle name="Финансовый 2 2 3 3 5 4 2" xfId="16451" xr:uid="{00000000-0005-0000-0000-0000F6100000}"/>
    <cellStyle name="Финансовый 2 2 3 3 5 5" xfId="10415" xr:uid="{00000000-0005-0000-0000-0000F7100000}"/>
    <cellStyle name="Финансовый 2 2 3 3 6" xfId="2415" xr:uid="{00000000-0005-0000-0000-0000F8100000}"/>
    <cellStyle name="Финансовый 2 2 3 3 6 2" xfId="4060" xr:uid="{00000000-0005-0000-0000-0000F9100000}"/>
    <cellStyle name="Финансовый 2 2 3 3 6 2 2" xfId="12705" xr:uid="{00000000-0005-0000-0000-0000FA100000}"/>
    <cellStyle name="Финансовый 2 2 3 3 6 3" xfId="5843" xr:uid="{00000000-0005-0000-0000-0000FB100000}"/>
    <cellStyle name="Финансовый 2 2 3 3 6 3 2" xfId="14486" xr:uid="{00000000-0005-0000-0000-0000FC100000}"/>
    <cellStyle name="Финансовый 2 2 3 3 6 4" xfId="8453" xr:uid="{00000000-0005-0000-0000-0000FD100000}"/>
    <cellStyle name="Финансовый 2 2 3 3 6 4 2" xfId="17096" xr:uid="{00000000-0005-0000-0000-0000FE100000}"/>
    <cellStyle name="Финансовый 2 2 3 3 6 5" xfId="11060" xr:uid="{00000000-0005-0000-0000-0000FF100000}"/>
    <cellStyle name="Финансовый 2 2 3 3 7" xfId="1642" xr:uid="{00000000-0005-0000-0000-000000110000}"/>
    <cellStyle name="Финансовый 2 2 3 3 7 2" xfId="3287" xr:uid="{00000000-0005-0000-0000-000001110000}"/>
    <cellStyle name="Финансовый 2 2 3 3 7 2 2" xfId="11932" xr:uid="{00000000-0005-0000-0000-000002110000}"/>
    <cellStyle name="Финансовый 2 2 3 3 7 3" xfId="5070" xr:uid="{00000000-0005-0000-0000-000003110000}"/>
    <cellStyle name="Финансовый 2 2 3 3 7 3 2" xfId="13713" xr:uid="{00000000-0005-0000-0000-000004110000}"/>
    <cellStyle name="Финансовый 2 2 3 3 7 4" xfId="7680" xr:uid="{00000000-0005-0000-0000-000005110000}"/>
    <cellStyle name="Финансовый 2 2 3 3 7 4 2" xfId="16323" xr:uid="{00000000-0005-0000-0000-000006110000}"/>
    <cellStyle name="Финансовый 2 2 3 3 7 5" xfId="10287" xr:uid="{00000000-0005-0000-0000-000007110000}"/>
    <cellStyle name="Финансовый 2 2 3 3 8" xfId="919" xr:uid="{00000000-0005-0000-0000-000008110000}"/>
    <cellStyle name="Финансовый 2 2 3 3 8 2" xfId="6959" xr:uid="{00000000-0005-0000-0000-000009110000}"/>
    <cellStyle name="Финансовый 2 2 3 3 8 2 2" xfId="15602" xr:uid="{00000000-0005-0000-0000-00000A110000}"/>
    <cellStyle name="Финансовый 2 2 3 3 8 3" xfId="9566" xr:uid="{00000000-0005-0000-0000-00000B110000}"/>
    <cellStyle name="Финансовый 2 2 3 3 9" xfId="507" xr:uid="{00000000-0005-0000-0000-00000C110000}"/>
    <cellStyle name="Финансовый 2 2 3 3 9 2" xfId="6547" xr:uid="{00000000-0005-0000-0000-00000D110000}"/>
    <cellStyle name="Финансовый 2 2 3 3 9 2 2" xfId="15190" xr:uid="{00000000-0005-0000-0000-00000E110000}"/>
    <cellStyle name="Финансовый 2 2 3 3 9 3" xfId="9154" xr:uid="{00000000-0005-0000-0000-00000F110000}"/>
    <cellStyle name="Финансовый 2 2 3 4" xfId="178" xr:uid="{00000000-0005-0000-0000-000010110000}"/>
    <cellStyle name="Финансовый 2 2 3 4 10" xfId="8826" xr:uid="{00000000-0005-0000-0000-000011110000}"/>
    <cellStyle name="Финансовый 2 2 3 4 2" xfId="1276" xr:uid="{00000000-0005-0000-0000-000012110000}"/>
    <cellStyle name="Финансовый 2 2 3 4 2 2" xfId="2242" xr:uid="{00000000-0005-0000-0000-000013110000}"/>
    <cellStyle name="Финансовый 2 2 3 4 2 2 2" xfId="3887" xr:uid="{00000000-0005-0000-0000-000014110000}"/>
    <cellStyle name="Финансовый 2 2 3 4 2 2 2 2" xfId="12532" xr:uid="{00000000-0005-0000-0000-000015110000}"/>
    <cellStyle name="Финансовый 2 2 3 4 2 2 3" xfId="5670" xr:uid="{00000000-0005-0000-0000-000016110000}"/>
    <cellStyle name="Финансовый 2 2 3 4 2 2 3 2" xfId="14313" xr:uid="{00000000-0005-0000-0000-000017110000}"/>
    <cellStyle name="Финансовый 2 2 3 4 2 2 4" xfId="8280" xr:uid="{00000000-0005-0000-0000-000018110000}"/>
    <cellStyle name="Финансовый 2 2 3 4 2 2 4 2" xfId="16923" xr:uid="{00000000-0005-0000-0000-000019110000}"/>
    <cellStyle name="Финансовый 2 2 3 4 2 2 5" xfId="10887" xr:uid="{00000000-0005-0000-0000-00001A110000}"/>
    <cellStyle name="Финансовый 2 2 3 4 2 3" xfId="3060" xr:uid="{00000000-0005-0000-0000-00001B110000}"/>
    <cellStyle name="Финансовый 2 2 3 4 2 3 2" xfId="11705" xr:uid="{00000000-0005-0000-0000-00001C110000}"/>
    <cellStyle name="Финансовый 2 2 3 4 2 4" xfId="4704" xr:uid="{00000000-0005-0000-0000-00001D110000}"/>
    <cellStyle name="Финансовый 2 2 3 4 2 4 2" xfId="13349" xr:uid="{00000000-0005-0000-0000-00001E110000}"/>
    <cellStyle name="Финансовый 2 2 3 4 2 5" xfId="7316" xr:uid="{00000000-0005-0000-0000-00001F110000}"/>
    <cellStyle name="Финансовый 2 2 3 4 2 5 2" xfId="15959" xr:uid="{00000000-0005-0000-0000-000020110000}"/>
    <cellStyle name="Финансовый 2 2 3 4 2 6" xfId="9923" xr:uid="{00000000-0005-0000-0000-000021110000}"/>
    <cellStyle name="Финансовый 2 2 3 4 3" xfId="1986" xr:uid="{00000000-0005-0000-0000-000022110000}"/>
    <cellStyle name="Финансовый 2 2 3 4 3 2" xfId="3631" xr:uid="{00000000-0005-0000-0000-000023110000}"/>
    <cellStyle name="Финансовый 2 2 3 4 3 2 2" xfId="12276" xr:uid="{00000000-0005-0000-0000-000024110000}"/>
    <cellStyle name="Финансовый 2 2 3 4 3 3" xfId="5414" xr:uid="{00000000-0005-0000-0000-000025110000}"/>
    <cellStyle name="Финансовый 2 2 3 4 3 3 2" xfId="14057" xr:uid="{00000000-0005-0000-0000-000026110000}"/>
    <cellStyle name="Финансовый 2 2 3 4 3 4" xfId="8024" xr:uid="{00000000-0005-0000-0000-000027110000}"/>
    <cellStyle name="Финансовый 2 2 3 4 3 4 2" xfId="16667" xr:uid="{00000000-0005-0000-0000-000028110000}"/>
    <cellStyle name="Финансовый 2 2 3 4 3 5" xfId="10631" xr:uid="{00000000-0005-0000-0000-000029110000}"/>
    <cellStyle name="Финансовый 2 2 3 4 4" xfId="2507" xr:uid="{00000000-0005-0000-0000-00002A110000}"/>
    <cellStyle name="Финансовый 2 2 3 4 4 2" xfId="4152" xr:uid="{00000000-0005-0000-0000-00002B110000}"/>
    <cellStyle name="Финансовый 2 2 3 4 4 2 2" xfId="12797" xr:uid="{00000000-0005-0000-0000-00002C110000}"/>
    <cellStyle name="Финансовый 2 2 3 4 4 3" xfId="5935" xr:uid="{00000000-0005-0000-0000-00002D110000}"/>
    <cellStyle name="Финансовый 2 2 3 4 4 3 2" xfId="14578" xr:uid="{00000000-0005-0000-0000-00002E110000}"/>
    <cellStyle name="Финансовый 2 2 3 4 4 4" xfId="8545" xr:uid="{00000000-0005-0000-0000-00002F110000}"/>
    <cellStyle name="Финансовый 2 2 3 4 4 4 2" xfId="17188" xr:uid="{00000000-0005-0000-0000-000030110000}"/>
    <cellStyle name="Финансовый 2 2 3 4 4 5" xfId="11152" xr:uid="{00000000-0005-0000-0000-000031110000}"/>
    <cellStyle name="Финансовый 2 2 3 4 5" xfId="1011" xr:uid="{00000000-0005-0000-0000-000032110000}"/>
    <cellStyle name="Финансовый 2 2 3 4 5 2" xfId="7051" xr:uid="{00000000-0005-0000-0000-000033110000}"/>
    <cellStyle name="Финансовый 2 2 3 4 5 2 2" xfId="15694" xr:uid="{00000000-0005-0000-0000-000034110000}"/>
    <cellStyle name="Финансовый 2 2 3 4 5 3" xfId="9658" xr:uid="{00000000-0005-0000-0000-000035110000}"/>
    <cellStyle name="Финансовый 2 2 3 4 6" xfId="599" xr:uid="{00000000-0005-0000-0000-000036110000}"/>
    <cellStyle name="Финансовый 2 2 3 4 6 2" xfId="6639" xr:uid="{00000000-0005-0000-0000-000037110000}"/>
    <cellStyle name="Финансовый 2 2 3 4 6 2 2" xfId="15282" xr:uid="{00000000-0005-0000-0000-000038110000}"/>
    <cellStyle name="Финансовый 2 2 3 4 6 3" xfId="9246" xr:uid="{00000000-0005-0000-0000-000039110000}"/>
    <cellStyle name="Финансовый 2 2 3 4 7" xfId="2788" xr:uid="{00000000-0005-0000-0000-00003A110000}"/>
    <cellStyle name="Финансовый 2 2 3 4 7 2" xfId="11433" xr:uid="{00000000-0005-0000-0000-00003B110000}"/>
    <cellStyle name="Финансовый 2 2 3 4 8" xfId="4432" xr:uid="{00000000-0005-0000-0000-00003C110000}"/>
    <cellStyle name="Финансовый 2 2 3 4 8 2" xfId="13077" xr:uid="{00000000-0005-0000-0000-00003D110000}"/>
    <cellStyle name="Финансовый 2 2 3 4 9" xfId="6219" xr:uid="{00000000-0005-0000-0000-00003E110000}"/>
    <cellStyle name="Финансовый 2 2 3 4 9 2" xfId="14862" xr:uid="{00000000-0005-0000-0000-00003F110000}"/>
    <cellStyle name="Финансовый 2 2 3 5" xfId="327" xr:uid="{00000000-0005-0000-0000-000040110000}"/>
    <cellStyle name="Финансовый 2 2 3 5 2" xfId="2114" xr:uid="{00000000-0005-0000-0000-000041110000}"/>
    <cellStyle name="Финансовый 2 2 3 5 2 2" xfId="3759" xr:uid="{00000000-0005-0000-0000-000042110000}"/>
    <cellStyle name="Финансовый 2 2 3 5 2 2 2" xfId="12404" xr:uid="{00000000-0005-0000-0000-000043110000}"/>
    <cellStyle name="Финансовый 2 2 3 5 2 3" xfId="5542" xr:uid="{00000000-0005-0000-0000-000044110000}"/>
    <cellStyle name="Финансовый 2 2 3 5 2 3 2" xfId="14185" xr:uid="{00000000-0005-0000-0000-000045110000}"/>
    <cellStyle name="Финансовый 2 2 3 5 2 4" xfId="8152" xr:uid="{00000000-0005-0000-0000-000046110000}"/>
    <cellStyle name="Финансовый 2 2 3 5 2 4 2" xfId="16795" xr:uid="{00000000-0005-0000-0000-000047110000}"/>
    <cellStyle name="Финансовый 2 2 3 5 2 5" xfId="10759" xr:uid="{00000000-0005-0000-0000-000048110000}"/>
    <cellStyle name="Финансовый 2 2 3 5 3" xfId="1147" xr:uid="{00000000-0005-0000-0000-000049110000}"/>
    <cellStyle name="Финансовый 2 2 3 5 3 2" xfId="7187" xr:uid="{00000000-0005-0000-0000-00004A110000}"/>
    <cellStyle name="Финансовый 2 2 3 5 3 2 2" xfId="15830" xr:uid="{00000000-0005-0000-0000-00004B110000}"/>
    <cellStyle name="Финансовый 2 2 3 5 3 3" xfId="9794" xr:uid="{00000000-0005-0000-0000-00004C110000}"/>
    <cellStyle name="Финансовый 2 2 3 5 4" xfId="747" xr:uid="{00000000-0005-0000-0000-00004D110000}"/>
    <cellStyle name="Финансовый 2 2 3 5 4 2" xfId="6787" xr:uid="{00000000-0005-0000-0000-00004E110000}"/>
    <cellStyle name="Финансовый 2 2 3 5 4 2 2" xfId="15430" xr:uid="{00000000-0005-0000-0000-00004F110000}"/>
    <cellStyle name="Финансовый 2 2 3 5 4 3" xfId="9394" xr:uid="{00000000-0005-0000-0000-000050110000}"/>
    <cellStyle name="Финансовый 2 2 3 5 5" xfId="2924" xr:uid="{00000000-0005-0000-0000-000051110000}"/>
    <cellStyle name="Финансовый 2 2 3 5 5 2" xfId="11569" xr:uid="{00000000-0005-0000-0000-000052110000}"/>
    <cellStyle name="Финансовый 2 2 3 5 6" xfId="4568" xr:uid="{00000000-0005-0000-0000-000053110000}"/>
    <cellStyle name="Финансовый 2 2 3 5 6 2" xfId="13213" xr:uid="{00000000-0005-0000-0000-000054110000}"/>
    <cellStyle name="Финансовый 2 2 3 5 7" xfId="6367" xr:uid="{00000000-0005-0000-0000-000055110000}"/>
    <cellStyle name="Финансовый 2 2 3 5 7 2" xfId="15010" xr:uid="{00000000-0005-0000-0000-000056110000}"/>
    <cellStyle name="Финансовый 2 2 3 5 8" xfId="8974" xr:uid="{00000000-0005-0000-0000-000057110000}"/>
    <cellStyle name="Финансовый 2 2 3 6" xfId="1468" xr:uid="{00000000-0005-0000-0000-000058110000}"/>
    <cellStyle name="Финансовый 2 2 3 6 2" xfId="1850" xr:uid="{00000000-0005-0000-0000-000059110000}"/>
    <cellStyle name="Финансовый 2 2 3 6 2 2" xfId="3495" xr:uid="{00000000-0005-0000-0000-00005A110000}"/>
    <cellStyle name="Финансовый 2 2 3 6 2 2 2" xfId="12140" xr:uid="{00000000-0005-0000-0000-00005B110000}"/>
    <cellStyle name="Финансовый 2 2 3 6 2 3" xfId="5278" xr:uid="{00000000-0005-0000-0000-00005C110000}"/>
    <cellStyle name="Финансовый 2 2 3 6 2 3 2" xfId="13921" xr:uid="{00000000-0005-0000-0000-00005D110000}"/>
    <cellStyle name="Финансовый 2 2 3 6 2 4" xfId="7888" xr:uid="{00000000-0005-0000-0000-00005E110000}"/>
    <cellStyle name="Финансовый 2 2 3 6 2 4 2" xfId="16531" xr:uid="{00000000-0005-0000-0000-00005F110000}"/>
    <cellStyle name="Финансовый 2 2 3 6 2 5" xfId="10495" xr:uid="{00000000-0005-0000-0000-000060110000}"/>
    <cellStyle name="Финансовый 2 2 3 6 3" xfId="4896" xr:uid="{00000000-0005-0000-0000-000061110000}"/>
    <cellStyle name="Финансовый 2 2 3 6 3 2" xfId="13539" xr:uid="{00000000-0005-0000-0000-000062110000}"/>
    <cellStyle name="Финансовый 2 2 3 6 4" xfId="7506" xr:uid="{00000000-0005-0000-0000-000063110000}"/>
    <cellStyle name="Финансовый 2 2 3 6 4 2" xfId="16149" xr:uid="{00000000-0005-0000-0000-000064110000}"/>
    <cellStyle name="Финансовый 2 2 3 6 5" xfId="10113" xr:uid="{00000000-0005-0000-0000-000065110000}"/>
    <cellStyle name="Финансовый 2 2 3 7" xfId="1734" xr:uid="{00000000-0005-0000-0000-000066110000}"/>
    <cellStyle name="Финансовый 2 2 3 7 2" xfId="3379" xr:uid="{00000000-0005-0000-0000-000067110000}"/>
    <cellStyle name="Финансовый 2 2 3 7 2 2" xfId="12024" xr:uid="{00000000-0005-0000-0000-000068110000}"/>
    <cellStyle name="Финансовый 2 2 3 7 3" xfId="5162" xr:uid="{00000000-0005-0000-0000-000069110000}"/>
    <cellStyle name="Финансовый 2 2 3 7 3 2" xfId="13805" xr:uid="{00000000-0005-0000-0000-00006A110000}"/>
    <cellStyle name="Финансовый 2 2 3 7 4" xfId="7772" xr:uid="{00000000-0005-0000-0000-00006B110000}"/>
    <cellStyle name="Финансовый 2 2 3 7 4 2" xfId="16415" xr:uid="{00000000-0005-0000-0000-00006C110000}"/>
    <cellStyle name="Финансовый 2 2 3 7 5" xfId="10379" xr:uid="{00000000-0005-0000-0000-00006D110000}"/>
    <cellStyle name="Финансовый 2 2 3 8" xfId="2370" xr:uid="{00000000-0005-0000-0000-00006E110000}"/>
    <cellStyle name="Финансовый 2 2 3 8 2" xfId="4015" xr:uid="{00000000-0005-0000-0000-00006F110000}"/>
    <cellStyle name="Финансовый 2 2 3 8 2 2" xfId="12660" xr:uid="{00000000-0005-0000-0000-000070110000}"/>
    <cellStyle name="Финансовый 2 2 3 8 3" xfId="5798" xr:uid="{00000000-0005-0000-0000-000071110000}"/>
    <cellStyle name="Финансовый 2 2 3 8 3 2" xfId="14441" xr:uid="{00000000-0005-0000-0000-000072110000}"/>
    <cellStyle name="Финансовый 2 2 3 8 4" xfId="8408" xr:uid="{00000000-0005-0000-0000-000073110000}"/>
    <cellStyle name="Финансовый 2 2 3 8 4 2" xfId="17051" xr:uid="{00000000-0005-0000-0000-000074110000}"/>
    <cellStyle name="Финансовый 2 2 3 8 5" xfId="11015" xr:uid="{00000000-0005-0000-0000-000075110000}"/>
    <cellStyle name="Финансовый 2 2 3 9" xfId="1597" xr:uid="{00000000-0005-0000-0000-000076110000}"/>
    <cellStyle name="Финансовый 2 2 3 9 2" xfId="3242" xr:uid="{00000000-0005-0000-0000-000077110000}"/>
    <cellStyle name="Финансовый 2 2 3 9 2 2" xfId="11887" xr:uid="{00000000-0005-0000-0000-000078110000}"/>
    <cellStyle name="Финансовый 2 2 3 9 3" xfId="5025" xr:uid="{00000000-0005-0000-0000-000079110000}"/>
    <cellStyle name="Финансовый 2 2 3 9 3 2" xfId="13668" xr:uid="{00000000-0005-0000-0000-00007A110000}"/>
    <cellStyle name="Финансовый 2 2 3 9 4" xfId="7635" xr:uid="{00000000-0005-0000-0000-00007B110000}"/>
    <cellStyle name="Финансовый 2 2 3 9 4 2" xfId="16278" xr:uid="{00000000-0005-0000-0000-00007C110000}"/>
    <cellStyle name="Финансовый 2 2 3 9 5" xfId="10242" xr:uid="{00000000-0005-0000-0000-00007D110000}"/>
    <cellStyle name="Финансовый 2 2 4" xfId="92" xr:uid="{00000000-0005-0000-0000-00007E110000}"/>
    <cellStyle name="Финансовый 2 2 4 10" xfId="2702" xr:uid="{00000000-0005-0000-0000-00007F110000}"/>
    <cellStyle name="Финансовый 2 2 4 10 2" xfId="11347" xr:uid="{00000000-0005-0000-0000-000080110000}"/>
    <cellStyle name="Финансовый 2 2 4 11" xfId="4346" xr:uid="{00000000-0005-0000-0000-000081110000}"/>
    <cellStyle name="Финансовый 2 2 4 11 2" xfId="12991" xr:uid="{00000000-0005-0000-0000-000082110000}"/>
    <cellStyle name="Финансовый 2 2 4 12" xfId="6133" xr:uid="{00000000-0005-0000-0000-000083110000}"/>
    <cellStyle name="Финансовый 2 2 4 12 2" xfId="14776" xr:uid="{00000000-0005-0000-0000-000084110000}"/>
    <cellStyle name="Финансовый 2 2 4 13" xfId="8740" xr:uid="{00000000-0005-0000-0000-000085110000}"/>
    <cellStyle name="Финансовый 2 2 4 2" xfId="228" xr:uid="{00000000-0005-0000-0000-000086110000}"/>
    <cellStyle name="Финансовый 2 2 4 2 10" xfId="8876" xr:uid="{00000000-0005-0000-0000-000087110000}"/>
    <cellStyle name="Финансовый 2 2 4 2 2" xfId="1326" xr:uid="{00000000-0005-0000-0000-000088110000}"/>
    <cellStyle name="Финансовый 2 2 4 2 2 2" xfId="2284" xr:uid="{00000000-0005-0000-0000-000089110000}"/>
    <cellStyle name="Финансовый 2 2 4 2 2 2 2" xfId="3929" xr:uid="{00000000-0005-0000-0000-00008A110000}"/>
    <cellStyle name="Финансовый 2 2 4 2 2 2 2 2" xfId="12574" xr:uid="{00000000-0005-0000-0000-00008B110000}"/>
    <cellStyle name="Финансовый 2 2 4 2 2 2 3" xfId="5712" xr:uid="{00000000-0005-0000-0000-00008C110000}"/>
    <cellStyle name="Финансовый 2 2 4 2 2 2 3 2" xfId="14355" xr:uid="{00000000-0005-0000-0000-00008D110000}"/>
    <cellStyle name="Финансовый 2 2 4 2 2 2 4" xfId="8322" xr:uid="{00000000-0005-0000-0000-00008E110000}"/>
    <cellStyle name="Финансовый 2 2 4 2 2 2 4 2" xfId="16965" xr:uid="{00000000-0005-0000-0000-00008F110000}"/>
    <cellStyle name="Финансовый 2 2 4 2 2 2 5" xfId="10929" xr:uid="{00000000-0005-0000-0000-000090110000}"/>
    <cellStyle name="Финансовый 2 2 4 2 2 3" xfId="3110" xr:uid="{00000000-0005-0000-0000-000091110000}"/>
    <cellStyle name="Финансовый 2 2 4 2 2 3 2" xfId="11755" xr:uid="{00000000-0005-0000-0000-000092110000}"/>
    <cellStyle name="Финансовый 2 2 4 2 2 4" xfId="4754" xr:uid="{00000000-0005-0000-0000-000093110000}"/>
    <cellStyle name="Финансовый 2 2 4 2 2 4 2" xfId="13399" xr:uid="{00000000-0005-0000-0000-000094110000}"/>
    <cellStyle name="Финансовый 2 2 4 2 2 5" xfId="7366" xr:uid="{00000000-0005-0000-0000-000095110000}"/>
    <cellStyle name="Финансовый 2 2 4 2 2 5 2" xfId="16009" xr:uid="{00000000-0005-0000-0000-000096110000}"/>
    <cellStyle name="Финансовый 2 2 4 2 2 6" xfId="9973" xr:uid="{00000000-0005-0000-0000-000097110000}"/>
    <cellStyle name="Финансовый 2 2 4 2 3" xfId="2028" xr:uid="{00000000-0005-0000-0000-000098110000}"/>
    <cellStyle name="Финансовый 2 2 4 2 3 2" xfId="3673" xr:uid="{00000000-0005-0000-0000-000099110000}"/>
    <cellStyle name="Финансовый 2 2 4 2 3 2 2" xfId="12318" xr:uid="{00000000-0005-0000-0000-00009A110000}"/>
    <cellStyle name="Финансовый 2 2 4 2 3 3" xfId="5456" xr:uid="{00000000-0005-0000-0000-00009B110000}"/>
    <cellStyle name="Финансовый 2 2 4 2 3 3 2" xfId="14099" xr:uid="{00000000-0005-0000-0000-00009C110000}"/>
    <cellStyle name="Финансовый 2 2 4 2 3 4" xfId="8066" xr:uid="{00000000-0005-0000-0000-00009D110000}"/>
    <cellStyle name="Финансовый 2 2 4 2 3 4 2" xfId="16709" xr:uid="{00000000-0005-0000-0000-00009E110000}"/>
    <cellStyle name="Финансовый 2 2 4 2 3 5" xfId="10673" xr:uid="{00000000-0005-0000-0000-00009F110000}"/>
    <cellStyle name="Финансовый 2 2 4 2 4" xfId="2557" xr:uid="{00000000-0005-0000-0000-0000A0110000}"/>
    <cellStyle name="Финансовый 2 2 4 2 4 2" xfId="4202" xr:uid="{00000000-0005-0000-0000-0000A1110000}"/>
    <cellStyle name="Финансовый 2 2 4 2 4 2 2" xfId="12847" xr:uid="{00000000-0005-0000-0000-0000A2110000}"/>
    <cellStyle name="Финансовый 2 2 4 2 4 3" xfId="5985" xr:uid="{00000000-0005-0000-0000-0000A3110000}"/>
    <cellStyle name="Финансовый 2 2 4 2 4 3 2" xfId="14628" xr:uid="{00000000-0005-0000-0000-0000A4110000}"/>
    <cellStyle name="Финансовый 2 2 4 2 4 4" xfId="8595" xr:uid="{00000000-0005-0000-0000-0000A5110000}"/>
    <cellStyle name="Финансовый 2 2 4 2 4 4 2" xfId="17238" xr:uid="{00000000-0005-0000-0000-0000A6110000}"/>
    <cellStyle name="Финансовый 2 2 4 2 4 5" xfId="11202" xr:uid="{00000000-0005-0000-0000-0000A7110000}"/>
    <cellStyle name="Финансовый 2 2 4 2 5" xfId="1061" xr:uid="{00000000-0005-0000-0000-0000A8110000}"/>
    <cellStyle name="Финансовый 2 2 4 2 5 2" xfId="7101" xr:uid="{00000000-0005-0000-0000-0000A9110000}"/>
    <cellStyle name="Финансовый 2 2 4 2 5 2 2" xfId="15744" xr:uid="{00000000-0005-0000-0000-0000AA110000}"/>
    <cellStyle name="Финансовый 2 2 4 2 5 3" xfId="9708" xr:uid="{00000000-0005-0000-0000-0000AB110000}"/>
    <cellStyle name="Финансовый 2 2 4 2 6" xfId="649" xr:uid="{00000000-0005-0000-0000-0000AC110000}"/>
    <cellStyle name="Финансовый 2 2 4 2 6 2" xfId="6689" xr:uid="{00000000-0005-0000-0000-0000AD110000}"/>
    <cellStyle name="Финансовый 2 2 4 2 6 2 2" xfId="15332" xr:uid="{00000000-0005-0000-0000-0000AE110000}"/>
    <cellStyle name="Финансовый 2 2 4 2 6 3" xfId="9296" xr:uid="{00000000-0005-0000-0000-0000AF110000}"/>
    <cellStyle name="Финансовый 2 2 4 2 7" xfId="2838" xr:uid="{00000000-0005-0000-0000-0000B0110000}"/>
    <cellStyle name="Финансовый 2 2 4 2 7 2" xfId="11483" xr:uid="{00000000-0005-0000-0000-0000B1110000}"/>
    <cellStyle name="Финансовый 2 2 4 2 8" xfId="4482" xr:uid="{00000000-0005-0000-0000-0000B2110000}"/>
    <cellStyle name="Финансовый 2 2 4 2 8 2" xfId="13127" xr:uid="{00000000-0005-0000-0000-0000B3110000}"/>
    <cellStyle name="Финансовый 2 2 4 2 9" xfId="6269" xr:uid="{00000000-0005-0000-0000-0000B4110000}"/>
    <cellStyle name="Финансовый 2 2 4 2 9 2" xfId="14912" xr:uid="{00000000-0005-0000-0000-0000B5110000}"/>
    <cellStyle name="Финансовый 2 2 4 3" xfId="377" xr:uid="{00000000-0005-0000-0000-0000B6110000}"/>
    <cellStyle name="Финансовый 2 2 4 3 2" xfId="2156" xr:uid="{00000000-0005-0000-0000-0000B7110000}"/>
    <cellStyle name="Финансовый 2 2 4 3 2 2" xfId="3801" xr:uid="{00000000-0005-0000-0000-0000B8110000}"/>
    <cellStyle name="Финансовый 2 2 4 3 2 2 2" xfId="12446" xr:uid="{00000000-0005-0000-0000-0000B9110000}"/>
    <cellStyle name="Финансовый 2 2 4 3 2 3" xfId="5584" xr:uid="{00000000-0005-0000-0000-0000BA110000}"/>
    <cellStyle name="Финансовый 2 2 4 3 2 3 2" xfId="14227" xr:uid="{00000000-0005-0000-0000-0000BB110000}"/>
    <cellStyle name="Финансовый 2 2 4 3 2 4" xfId="8194" xr:uid="{00000000-0005-0000-0000-0000BC110000}"/>
    <cellStyle name="Финансовый 2 2 4 3 2 4 2" xfId="16837" xr:uid="{00000000-0005-0000-0000-0000BD110000}"/>
    <cellStyle name="Финансовый 2 2 4 3 2 5" xfId="10801" xr:uid="{00000000-0005-0000-0000-0000BE110000}"/>
    <cellStyle name="Финансовый 2 2 4 3 3" xfId="1190" xr:uid="{00000000-0005-0000-0000-0000BF110000}"/>
    <cellStyle name="Финансовый 2 2 4 3 3 2" xfId="7230" xr:uid="{00000000-0005-0000-0000-0000C0110000}"/>
    <cellStyle name="Финансовый 2 2 4 3 3 2 2" xfId="15873" xr:uid="{00000000-0005-0000-0000-0000C1110000}"/>
    <cellStyle name="Финансовый 2 2 4 3 3 3" xfId="9837" xr:uid="{00000000-0005-0000-0000-0000C2110000}"/>
    <cellStyle name="Финансовый 2 2 4 3 4" xfId="797" xr:uid="{00000000-0005-0000-0000-0000C3110000}"/>
    <cellStyle name="Финансовый 2 2 4 3 4 2" xfId="6837" xr:uid="{00000000-0005-0000-0000-0000C4110000}"/>
    <cellStyle name="Финансовый 2 2 4 3 4 2 2" xfId="15480" xr:uid="{00000000-0005-0000-0000-0000C5110000}"/>
    <cellStyle name="Финансовый 2 2 4 3 4 3" xfId="9444" xr:uid="{00000000-0005-0000-0000-0000C6110000}"/>
    <cellStyle name="Финансовый 2 2 4 3 5" xfId="2974" xr:uid="{00000000-0005-0000-0000-0000C7110000}"/>
    <cellStyle name="Финансовый 2 2 4 3 5 2" xfId="11619" xr:uid="{00000000-0005-0000-0000-0000C8110000}"/>
    <cellStyle name="Финансовый 2 2 4 3 6" xfId="4618" xr:uid="{00000000-0005-0000-0000-0000C9110000}"/>
    <cellStyle name="Финансовый 2 2 4 3 6 2" xfId="13263" xr:uid="{00000000-0005-0000-0000-0000CA110000}"/>
    <cellStyle name="Финансовый 2 2 4 3 7" xfId="6417" xr:uid="{00000000-0005-0000-0000-0000CB110000}"/>
    <cellStyle name="Финансовый 2 2 4 3 7 2" xfId="15060" xr:uid="{00000000-0005-0000-0000-0000CC110000}"/>
    <cellStyle name="Финансовый 2 2 4 3 8" xfId="9024" xr:uid="{00000000-0005-0000-0000-0000CD110000}"/>
    <cellStyle name="Финансовый 2 2 4 4" xfId="1471" xr:uid="{00000000-0005-0000-0000-0000CE110000}"/>
    <cellStyle name="Финансовый 2 2 4 4 2" xfId="1900" xr:uid="{00000000-0005-0000-0000-0000CF110000}"/>
    <cellStyle name="Финансовый 2 2 4 4 2 2" xfId="3545" xr:uid="{00000000-0005-0000-0000-0000D0110000}"/>
    <cellStyle name="Финансовый 2 2 4 4 2 2 2" xfId="12190" xr:uid="{00000000-0005-0000-0000-0000D1110000}"/>
    <cellStyle name="Финансовый 2 2 4 4 2 3" xfId="5328" xr:uid="{00000000-0005-0000-0000-0000D2110000}"/>
    <cellStyle name="Финансовый 2 2 4 4 2 3 2" xfId="13971" xr:uid="{00000000-0005-0000-0000-0000D3110000}"/>
    <cellStyle name="Финансовый 2 2 4 4 2 4" xfId="7938" xr:uid="{00000000-0005-0000-0000-0000D4110000}"/>
    <cellStyle name="Финансовый 2 2 4 4 2 4 2" xfId="16581" xr:uid="{00000000-0005-0000-0000-0000D5110000}"/>
    <cellStyle name="Финансовый 2 2 4 4 2 5" xfId="10545" xr:uid="{00000000-0005-0000-0000-0000D6110000}"/>
    <cellStyle name="Финансовый 2 2 4 4 3" xfId="4899" xr:uid="{00000000-0005-0000-0000-0000D7110000}"/>
    <cellStyle name="Финансовый 2 2 4 4 3 2" xfId="13542" xr:uid="{00000000-0005-0000-0000-0000D8110000}"/>
    <cellStyle name="Финансовый 2 2 4 4 4" xfId="7509" xr:uid="{00000000-0005-0000-0000-0000D9110000}"/>
    <cellStyle name="Финансовый 2 2 4 4 4 2" xfId="16152" xr:uid="{00000000-0005-0000-0000-0000DA110000}"/>
    <cellStyle name="Финансовый 2 2 4 4 5" xfId="10116" xr:uid="{00000000-0005-0000-0000-0000DB110000}"/>
    <cellStyle name="Финансовый 2 2 4 5" xfId="1776" xr:uid="{00000000-0005-0000-0000-0000DC110000}"/>
    <cellStyle name="Финансовый 2 2 4 5 2" xfId="3421" xr:uid="{00000000-0005-0000-0000-0000DD110000}"/>
    <cellStyle name="Финансовый 2 2 4 5 2 2" xfId="12066" xr:uid="{00000000-0005-0000-0000-0000DE110000}"/>
    <cellStyle name="Финансовый 2 2 4 5 3" xfId="5204" xr:uid="{00000000-0005-0000-0000-0000DF110000}"/>
    <cellStyle name="Финансовый 2 2 4 5 3 2" xfId="13847" xr:uid="{00000000-0005-0000-0000-0000E0110000}"/>
    <cellStyle name="Финансовый 2 2 4 5 4" xfId="7814" xr:uid="{00000000-0005-0000-0000-0000E1110000}"/>
    <cellStyle name="Финансовый 2 2 4 5 4 2" xfId="16457" xr:uid="{00000000-0005-0000-0000-0000E2110000}"/>
    <cellStyle name="Финансовый 2 2 4 5 5" xfId="10421" xr:uid="{00000000-0005-0000-0000-0000E3110000}"/>
    <cellStyle name="Финансовый 2 2 4 6" xfId="2421" xr:uid="{00000000-0005-0000-0000-0000E4110000}"/>
    <cellStyle name="Финансовый 2 2 4 6 2" xfId="4066" xr:uid="{00000000-0005-0000-0000-0000E5110000}"/>
    <cellStyle name="Финансовый 2 2 4 6 2 2" xfId="12711" xr:uid="{00000000-0005-0000-0000-0000E6110000}"/>
    <cellStyle name="Финансовый 2 2 4 6 3" xfId="5849" xr:uid="{00000000-0005-0000-0000-0000E7110000}"/>
    <cellStyle name="Финансовый 2 2 4 6 3 2" xfId="14492" xr:uid="{00000000-0005-0000-0000-0000E8110000}"/>
    <cellStyle name="Финансовый 2 2 4 6 4" xfId="8459" xr:uid="{00000000-0005-0000-0000-0000E9110000}"/>
    <cellStyle name="Финансовый 2 2 4 6 4 2" xfId="17102" xr:uid="{00000000-0005-0000-0000-0000EA110000}"/>
    <cellStyle name="Финансовый 2 2 4 6 5" xfId="11066" xr:uid="{00000000-0005-0000-0000-0000EB110000}"/>
    <cellStyle name="Финансовый 2 2 4 7" xfId="1648" xr:uid="{00000000-0005-0000-0000-0000EC110000}"/>
    <cellStyle name="Финансовый 2 2 4 7 2" xfId="3293" xr:uid="{00000000-0005-0000-0000-0000ED110000}"/>
    <cellStyle name="Финансовый 2 2 4 7 2 2" xfId="11938" xr:uid="{00000000-0005-0000-0000-0000EE110000}"/>
    <cellStyle name="Финансовый 2 2 4 7 3" xfId="5076" xr:uid="{00000000-0005-0000-0000-0000EF110000}"/>
    <cellStyle name="Финансовый 2 2 4 7 3 2" xfId="13719" xr:uid="{00000000-0005-0000-0000-0000F0110000}"/>
    <cellStyle name="Финансовый 2 2 4 7 4" xfId="7686" xr:uid="{00000000-0005-0000-0000-0000F1110000}"/>
    <cellStyle name="Финансовый 2 2 4 7 4 2" xfId="16329" xr:uid="{00000000-0005-0000-0000-0000F2110000}"/>
    <cellStyle name="Финансовый 2 2 4 7 5" xfId="10293" xr:uid="{00000000-0005-0000-0000-0000F3110000}"/>
    <cellStyle name="Финансовый 2 2 4 8" xfId="925" xr:uid="{00000000-0005-0000-0000-0000F4110000}"/>
    <cellStyle name="Финансовый 2 2 4 8 2" xfId="6965" xr:uid="{00000000-0005-0000-0000-0000F5110000}"/>
    <cellStyle name="Финансовый 2 2 4 8 2 2" xfId="15608" xr:uid="{00000000-0005-0000-0000-0000F6110000}"/>
    <cellStyle name="Финансовый 2 2 4 8 3" xfId="9572" xr:uid="{00000000-0005-0000-0000-0000F7110000}"/>
    <cellStyle name="Финансовый 2 2 4 9" xfId="513" xr:uid="{00000000-0005-0000-0000-0000F8110000}"/>
    <cellStyle name="Финансовый 2 2 4 9 2" xfId="6553" xr:uid="{00000000-0005-0000-0000-0000F9110000}"/>
    <cellStyle name="Финансовый 2 2 4 9 2 2" xfId="15196" xr:uid="{00000000-0005-0000-0000-0000FA110000}"/>
    <cellStyle name="Финансовый 2 2 4 9 3" xfId="9160" xr:uid="{00000000-0005-0000-0000-0000FB110000}"/>
    <cellStyle name="Финансовый 2 2 5" xfId="98" xr:uid="{00000000-0005-0000-0000-0000FC110000}"/>
    <cellStyle name="Финансовый 2 2 5 10" xfId="2708" xr:uid="{00000000-0005-0000-0000-0000FD110000}"/>
    <cellStyle name="Финансовый 2 2 5 10 2" xfId="11353" xr:uid="{00000000-0005-0000-0000-0000FE110000}"/>
    <cellStyle name="Финансовый 2 2 5 11" xfId="4352" xr:uid="{00000000-0005-0000-0000-0000FF110000}"/>
    <cellStyle name="Финансовый 2 2 5 11 2" xfId="12997" xr:uid="{00000000-0005-0000-0000-000000120000}"/>
    <cellStyle name="Финансовый 2 2 5 12" xfId="6139" xr:uid="{00000000-0005-0000-0000-000001120000}"/>
    <cellStyle name="Финансовый 2 2 5 12 2" xfId="14782" xr:uid="{00000000-0005-0000-0000-000002120000}"/>
    <cellStyle name="Финансовый 2 2 5 13" xfId="8746" xr:uid="{00000000-0005-0000-0000-000003120000}"/>
    <cellStyle name="Финансовый 2 2 5 2" xfId="234" xr:uid="{00000000-0005-0000-0000-000004120000}"/>
    <cellStyle name="Финансовый 2 2 5 2 10" xfId="8882" xr:uid="{00000000-0005-0000-0000-000005120000}"/>
    <cellStyle name="Финансовый 2 2 5 2 2" xfId="1332" xr:uid="{00000000-0005-0000-0000-000006120000}"/>
    <cellStyle name="Финансовый 2 2 5 2 2 2" xfId="2290" xr:uid="{00000000-0005-0000-0000-000007120000}"/>
    <cellStyle name="Финансовый 2 2 5 2 2 2 2" xfId="3935" xr:uid="{00000000-0005-0000-0000-000008120000}"/>
    <cellStyle name="Финансовый 2 2 5 2 2 2 2 2" xfId="12580" xr:uid="{00000000-0005-0000-0000-000009120000}"/>
    <cellStyle name="Финансовый 2 2 5 2 2 2 3" xfId="5718" xr:uid="{00000000-0005-0000-0000-00000A120000}"/>
    <cellStyle name="Финансовый 2 2 5 2 2 2 3 2" xfId="14361" xr:uid="{00000000-0005-0000-0000-00000B120000}"/>
    <cellStyle name="Финансовый 2 2 5 2 2 2 4" xfId="8328" xr:uid="{00000000-0005-0000-0000-00000C120000}"/>
    <cellStyle name="Финансовый 2 2 5 2 2 2 4 2" xfId="16971" xr:uid="{00000000-0005-0000-0000-00000D120000}"/>
    <cellStyle name="Финансовый 2 2 5 2 2 2 5" xfId="10935" xr:uid="{00000000-0005-0000-0000-00000E120000}"/>
    <cellStyle name="Финансовый 2 2 5 2 2 3" xfId="3116" xr:uid="{00000000-0005-0000-0000-00000F120000}"/>
    <cellStyle name="Финансовый 2 2 5 2 2 3 2" xfId="11761" xr:uid="{00000000-0005-0000-0000-000010120000}"/>
    <cellStyle name="Финансовый 2 2 5 2 2 4" xfId="4760" xr:uid="{00000000-0005-0000-0000-000011120000}"/>
    <cellStyle name="Финансовый 2 2 5 2 2 4 2" xfId="13405" xr:uid="{00000000-0005-0000-0000-000012120000}"/>
    <cellStyle name="Финансовый 2 2 5 2 2 5" xfId="7372" xr:uid="{00000000-0005-0000-0000-000013120000}"/>
    <cellStyle name="Финансовый 2 2 5 2 2 5 2" xfId="16015" xr:uid="{00000000-0005-0000-0000-000014120000}"/>
    <cellStyle name="Финансовый 2 2 5 2 2 6" xfId="9979" xr:uid="{00000000-0005-0000-0000-000015120000}"/>
    <cellStyle name="Финансовый 2 2 5 2 3" xfId="2034" xr:uid="{00000000-0005-0000-0000-000016120000}"/>
    <cellStyle name="Финансовый 2 2 5 2 3 2" xfId="3679" xr:uid="{00000000-0005-0000-0000-000017120000}"/>
    <cellStyle name="Финансовый 2 2 5 2 3 2 2" xfId="12324" xr:uid="{00000000-0005-0000-0000-000018120000}"/>
    <cellStyle name="Финансовый 2 2 5 2 3 3" xfId="5462" xr:uid="{00000000-0005-0000-0000-000019120000}"/>
    <cellStyle name="Финансовый 2 2 5 2 3 3 2" xfId="14105" xr:uid="{00000000-0005-0000-0000-00001A120000}"/>
    <cellStyle name="Финансовый 2 2 5 2 3 4" xfId="8072" xr:uid="{00000000-0005-0000-0000-00001B120000}"/>
    <cellStyle name="Финансовый 2 2 5 2 3 4 2" xfId="16715" xr:uid="{00000000-0005-0000-0000-00001C120000}"/>
    <cellStyle name="Финансовый 2 2 5 2 3 5" xfId="10679" xr:uid="{00000000-0005-0000-0000-00001D120000}"/>
    <cellStyle name="Финансовый 2 2 5 2 4" xfId="2563" xr:uid="{00000000-0005-0000-0000-00001E120000}"/>
    <cellStyle name="Финансовый 2 2 5 2 4 2" xfId="4208" xr:uid="{00000000-0005-0000-0000-00001F120000}"/>
    <cellStyle name="Финансовый 2 2 5 2 4 2 2" xfId="12853" xr:uid="{00000000-0005-0000-0000-000020120000}"/>
    <cellStyle name="Финансовый 2 2 5 2 4 3" xfId="5991" xr:uid="{00000000-0005-0000-0000-000021120000}"/>
    <cellStyle name="Финансовый 2 2 5 2 4 3 2" xfId="14634" xr:uid="{00000000-0005-0000-0000-000022120000}"/>
    <cellStyle name="Финансовый 2 2 5 2 4 4" xfId="8601" xr:uid="{00000000-0005-0000-0000-000023120000}"/>
    <cellStyle name="Финансовый 2 2 5 2 4 4 2" xfId="17244" xr:uid="{00000000-0005-0000-0000-000024120000}"/>
    <cellStyle name="Финансовый 2 2 5 2 4 5" xfId="11208" xr:uid="{00000000-0005-0000-0000-000025120000}"/>
    <cellStyle name="Финансовый 2 2 5 2 5" xfId="1067" xr:uid="{00000000-0005-0000-0000-000026120000}"/>
    <cellStyle name="Финансовый 2 2 5 2 5 2" xfId="7107" xr:uid="{00000000-0005-0000-0000-000027120000}"/>
    <cellStyle name="Финансовый 2 2 5 2 5 2 2" xfId="15750" xr:uid="{00000000-0005-0000-0000-000028120000}"/>
    <cellStyle name="Финансовый 2 2 5 2 5 3" xfId="9714" xr:uid="{00000000-0005-0000-0000-000029120000}"/>
    <cellStyle name="Финансовый 2 2 5 2 6" xfId="655" xr:uid="{00000000-0005-0000-0000-00002A120000}"/>
    <cellStyle name="Финансовый 2 2 5 2 6 2" xfId="6695" xr:uid="{00000000-0005-0000-0000-00002B120000}"/>
    <cellStyle name="Финансовый 2 2 5 2 6 2 2" xfId="15338" xr:uid="{00000000-0005-0000-0000-00002C120000}"/>
    <cellStyle name="Финансовый 2 2 5 2 6 3" xfId="9302" xr:uid="{00000000-0005-0000-0000-00002D120000}"/>
    <cellStyle name="Финансовый 2 2 5 2 7" xfId="2844" xr:uid="{00000000-0005-0000-0000-00002E120000}"/>
    <cellStyle name="Финансовый 2 2 5 2 7 2" xfId="11489" xr:uid="{00000000-0005-0000-0000-00002F120000}"/>
    <cellStyle name="Финансовый 2 2 5 2 8" xfId="4488" xr:uid="{00000000-0005-0000-0000-000030120000}"/>
    <cellStyle name="Финансовый 2 2 5 2 8 2" xfId="13133" xr:uid="{00000000-0005-0000-0000-000031120000}"/>
    <cellStyle name="Финансовый 2 2 5 2 9" xfId="6275" xr:uid="{00000000-0005-0000-0000-000032120000}"/>
    <cellStyle name="Финансовый 2 2 5 2 9 2" xfId="14918" xr:uid="{00000000-0005-0000-0000-000033120000}"/>
    <cellStyle name="Финансовый 2 2 5 3" xfId="383" xr:uid="{00000000-0005-0000-0000-000034120000}"/>
    <cellStyle name="Финансовый 2 2 5 3 2" xfId="2162" xr:uid="{00000000-0005-0000-0000-000035120000}"/>
    <cellStyle name="Финансовый 2 2 5 3 2 2" xfId="3807" xr:uid="{00000000-0005-0000-0000-000036120000}"/>
    <cellStyle name="Финансовый 2 2 5 3 2 2 2" xfId="12452" xr:uid="{00000000-0005-0000-0000-000037120000}"/>
    <cellStyle name="Финансовый 2 2 5 3 2 3" xfId="5590" xr:uid="{00000000-0005-0000-0000-000038120000}"/>
    <cellStyle name="Финансовый 2 2 5 3 2 3 2" xfId="14233" xr:uid="{00000000-0005-0000-0000-000039120000}"/>
    <cellStyle name="Финансовый 2 2 5 3 2 4" xfId="8200" xr:uid="{00000000-0005-0000-0000-00003A120000}"/>
    <cellStyle name="Финансовый 2 2 5 3 2 4 2" xfId="16843" xr:uid="{00000000-0005-0000-0000-00003B120000}"/>
    <cellStyle name="Финансовый 2 2 5 3 2 5" xfId="10807" xr:uid="{00000000-0005-0000-0000-00003C120000}"/>
    <cellStyle name="Финансовый 2 2 5 3 3" xfId="1196" xr:uid="{00000000-0005-0000-0000-00003D120000}"/>
    <cellStyle name="Финансовый 2 2 5 3 3 2" xfId="7236" xr:uid="{00000000-0005-0000-0000-00003E120000}"/>
    <cellStyle name="Финансовый 2 2 5 3 3 2 2" xfId="15879" xr:uid="{00000000-0005-0000-0000-00003F120000}"/>
    <cellStyle name="Финансовый 2 2 5 3 3 3" xfId="9843" xr:uid="{00000000-0005-0000-0000-000040120000}"/>
    <cellStyle name="Финансовый 2 2 5 3 4" xfId="803" xr:uid="{00000000-0005-0000-0000-000041120000}"/>
    <cellStyle name="Финансовый 2 2 5 3 4 2" xfId="6843" xr:uid="{00000000-0005-0000-0000-000042120000}"/>
    <cellStyle name="Финансовый 2 2 5 3 4 2 2" xfId="15486" xr:uid="{00000000-0005-0000-0000-000043120000}"/>
    <cellStyle name="Финансовый 2 2 5 3 4 3" xfId="9450" xr:uid="{00000000-0005-0000-0000-000044120000}"/>
    <cellStyle name="Финансовый 2 2 5 3 5" xfId="2980" xr:uid="{00000000-0005-0000-0000-000045120000}"/>
    <cellStyle name="Финансовый 2 2 5 3 5 2" xfId="11625" xr:uid="{00000000-0005-0000-0000-000046120000}"/>
    <cellStyle name="Финансовый 2 2 5 3 6" xfId="4624" xr:uid="{00000000-0005-0000-0000-000047120000}"/>
    <cellStyle name="Финансовый 2 2 5 3 6 2" xfId="13269" xr:uid="{00000000-0005-0000-0000-000048120000}"/>
    <cellStyle name="Финансовый 2 2 5 3 7" xfId="6423" xr:uid="{00000000-0005-0000-0000-000049120000}"/>
    <cellStyle name="Финансовый 2 2 5 3 7 2" xfId="15066" xr:uid="{00000000-0005-0000-0000-00004A120000}"/>
    <cellStyle name="Финансовый 2 2 5 3 8" xfId="9030" xr:uid="{00000000-0005-0000-0000-00004B120000}"/>
    <cellStyle name="Финансовый 2 2 5 4" xfId="1472" xr:uid="{00000000-0005-0000-0000-00004C120000}"/>
    <cellStyle name="Финансовый 2 2 5 4 2" xfId="1906" xr:uid="{00000000-0005-0000-0000-00004D120000}"/>
    <cellStyle name="Финансовый 2 2 5 4 2 2" xfId="3551" xr:uid="{00000000-0005-0000-0000-00004E120000}"/>
    <cellStyle name="Финансовый 2 2 5 4 2 2 2" xfId="12196" xr:uid="{00000000-0005-0000-0000-00004F120000}"/>
    <cellStyle name="Финансовый 2 2 5 4 2 3" xfId="5334" xr:uid="{00000000-0005-0000-0000-000050120000}"/>
    <cellStyle name="Финансовый 2 2 5 4 2 3 2" xfId="13977" xr:uid="{00000000-0005-0000-0000-000051120000}"/>
    <cellStyle name="Финансовый 2 2 5 4 2 4" xfId="7944" xr:uid="{00000000-0005-0000-0000-000052120000}"/>
    <cellStyle name="Финансовый 2 2 5 4 2 4 2" xfId="16587" xr:uid="{00000000-0005-0000-0000-000053120000}"/>
    <cellStyle name="Финансовый 2 2 5 4 2 5" xfId="10551" xr:uid="{00000000-0005-0000-0000-000054120000}"/>
    <cellStyle name="Финансовый 2 2 5 4 3" xfId="4900" xr:uid="{00000000-0005-0000-0000-000055120000}"/>
    <cellStyle name="Финансовый 2 2 5 4 3 2" xfId="13543" xr:uid="{00000000-0005-0000-0000-000056120000}"/>
    <cellStyle name="Финансовый 2 2 5 4 4" xfId="7510" xr:uid="{00000000-0005-0000-0000-000057120000}"/>
    <cellStyle name="Финансовый 2 2 5 4 4 2" xfId="16153" xr:uid="{00000000-0005-0000-0000-000058120000}"/>
    <cellStyle name="Финансовый 2 2 5 4 5" xfId="10117" xr:uid="{00000000-0005-0000-0000-000059120000}"/>
    <cellStyle name="Финансовый 2 2 5 5" xfId="1782" xr:uid="{00000000-0005-0000-0000-00005A120000}"/>
    <cellStyle name="Финансовый 2 2 5 5 2" xfId="3427" xr:uid="{00000000-0005-0000-0000-00005B120000}"/>
    <cellStyle name="Финансовый 2 2 5 5 2 2" xfId="12072" xr:uid="{00000000-0005-0000-0000-00005C120000}"/>
    <cellStyle name="Финансовый 2 2 5 5 3" xfId="5210" xr:uid="{00000000-0005-0000-0000-00005D120000}"/>
    <cellStyle name="Финансовый 2 2 5 5 3 2" xfId="13853" xr:uid="{00000000-0005-0000-0000-00005E120000}"/>
    <cellStyle name="Финансовый 2 2 5 5 4" xfId="7820" xr:uid="{00000000-0005-0000-0000-00005F120000}"/>
    <cellStyle name="Финансовый 2 2 5 5 4 2" xfId="16463" xr:uid="{00000000-0005-0000-0000-000060120000}"/>
    <cellStyle name="Финансовый 2 2 5 5 5" xfId="10427" xr:uid="{00000000-0005-0000-0000-000061120000}"/>
    <cellStyle name="Финансовый 2 2 5 6" xfId="2427" xr:uid="{00000000-0005-0000-0000-000062120000}"/>
    <cellStyle name="Финансовый 2 2 5 6 2" xfId="4072" xr:uid="{00000000-0005-0000-0000-000063120000}"/>
    <cellStyle name="Финансовый 2 2 5 6 2 2" xfId="12717" xr:uid="{00000000-0005-0000-0000-000064120000}"/>
    <cellStyle name="Финансовый 2 2 5 6 3" xfId="5855" xr:uid="{00000000-0005-0000-0000-000065120000}"/>
    <cellStyle name="Финансовый 2 2 5 6 3 2" xfId="14498" xr:uid="{00000000-0005-0000-0000-000066120000}"/>
    <cellStyle name="Финансовый 2 2 5 6 4" xfId="8465" xr:uid="{00000000-0005-0000-0000-000067120000}"/>
    <cellStyle name="Финансовый 2 2 5 6 4 2" xfId="17108" xr:uid="{00000000-0005-0000-0000-000068120000}"/>
    <cellStyle name="Финансовый 2 2 5 6 5" xfId="11072" xr:uid="{00000000-0005-0000-0000-000069120000}"/>
    <cellStyle name="Финансовый 2 2 5 7" xfId="1654" xr:uid="{00000000-0005-0000-0000-00006A120000}"/>
    <cellStyle name="Финансовый 2 2 5 7 2" xfId="3299" xr:uid="{00000000-0005-0000-0000-00006B120000}"/>
    <cellStyle name="Финансовый 2 2 5 7 2 2" xfId="11944" xr:uid="{00000000-0005-0000-0000-00006C120000}"/>
    <cellStyle name="Финансовый 2 2 5 7 3" xfId="5082" xr:uid="{00000000-0005-0000-0000-00006D120000}"/>
    <cellStyle name="Финансовый 2 2 5 7 3 2" xfId="13725" xr:uid="{00000000-0005-0000-0000-00006E120000}"/>
    <cellStyle name="Финансовый 2 2 5 7 4" xfId="7692" xr:uid="{00000000-0005-0000-0000-00006F120000}"/>
    <cellStyle name="Финансовый 2 2 5 7 4 2" xfId="16335" xr:uid="{00000000-0005-0000-0000-000070120000}"/>
    <cellStyle name="Финансовый 2 2 5 7 5" xfId="10299" xr:uid="{00000000-0005-0000-0000-000071120000}"/>
    <cellStyle name="Финансовый 2 2 5 8" xfId="931" xr:uid="{00000000-0005-0000-0000-000072120000}"/>
    <cellStyle name="Финансовый 2 2 5 8 2" xfId="6971" xr:uid="{00000000-0005-0000-0000-000073120000}"/>
    <cellStyle name="Финансовый 2 2 5 8 2 2" xfId="15614" xr:uid="{00000000-0005-0000-0000-000074120000}"/>
    <cellStyle name="Финансовый 2 2 5 8 3" xfId="9578" xr:uid="{00000000-0005-0000-0000-000075120000}"/>
    <cellStyle name="Финансовый 2 2 5 9" xfId="519" xr:uid="{00000000-0005-0000-0000-000076120000}"/>
    <cellStyle name="Финансовый 2 2 5 9 2" xfId="6559" xr:uid="{00000000-0005-0000-0000-000077120000}"/>
    <cellStyle name="Финансовый 2 2 5 9 2 2" xfId="15202" xr:uid="{00000000-0005-0000-0000-000078120000}"/>
    <cellStyle name="Финансовый 2 2 5 9 3" xfId="9166" xr:uid="{00000000-0005-0000-0000-000079120000}"/>
    <cellStyle name="Финансовый 2 2 6" xfId="110" xr:uid="{00000000-0005-0000-0000-00007A120000}"/>
    <cellStyle name="Финансовый 2 2 6 10" xfId="2720" xr:uid="{00000000-0005-0000-0000-00007B120000}"/>
    <cellStyle name="Финансовый 2 2 6 10 2" xfId="11365" xr:uid="{00000000-0005-0000-0000-00007C120000}"/>
    <cellStyle name="Финансовый 2 2 6 11" xfId="4364" xr:uid="{00000000-0005-0000-0000-00007D120000}"/>
    <cellStyle name="Финансовый 2 2 6 11 2" xfId="13009" xr:uid="{00000000-0005-0000-0000-00007E120000}"/>
    <cellStyle name="Финансовый 2 2 6 12" xfId="6151" xr:uid="{00000000-0005-0000-0000-00007F120000}"/>
    <cellStyle name="Финансовый 2 2 6 12 2" xfId="14794" xr:uid="{00000000-0005-0000-0000-000080120000}"/>
    <cellStyle name="Финансовый 2 2 6 13" xfId="8758" xr:uid="{00000000-0005-0000-0000-000081120000}"/>
    <cellStyle name="Финансовый 2 2 6 2" xfId="246" xr:uid="{00000000-0005-0000-0000-000082120000}"/>
    <cellStyle name="Финансовый 2 2 6 2 10" xfId="8894" xr:uid="{00000000-0005-0000-0000-000083120000}"/>
    <cellStyle name="Финансовый 2 2 6 2 2" xfId="1344" xr:uid="{00000000-0005-0000-0000-000084120000}"/>
    <cellStyle name="Финансовый 2 2 6 2 2 2" xfId="2302" xr:uid="{00000000-0005-0000-0000-000085120000}"/>
    <cellStyle name="Финансовый 2 2 6 2 2 2 2" xfId="3947" xr:uid="{00000000-0005-0000-0000-000086120000}"/>
    <cellStyle name="Финансовый 2 2 6 2 2 2 2 2" xfId="12592" xr:uid="{00000000-0005-0000-0000-000087120000}"/>
    <cellStyle name="Финансовый 2 2 6 2 2 2 3" xfId="5730" xr:uid="{00000000-0005-0000-0000-000088120000}"/>
    <cellStyle name="Финансовый 2 2 6 2 2 2 3 2" xfId="14373" xr:uid="{00000000-0005-0000-0000-000089120000}"/>
    <cellStyle name="Финансовый 2 2 6 2 2 2 4" xfId="8340" xr:uid="{00000000-0005-0000-0000-00008A120000}"/>
    <cellStyle name="Финансовый 2 2 6 2 2 2 4 2" xfId="16983" xr:uid="{00000000-0005-0000-0000-00008B120000}"/>
    <cellStyle name="Финансовый 2 2 6 2 2 2 5" xfId="10947" xr:uid="{00000000-0005-0000-0000-00008C120000}"/>
    <cellStyle name="Финансовый 2 2 6 2 2 3" xfId="3128" xr:uid="{00000000-0005-0000-0000-00008D120000}"/>
    <cellStyle name="Финансовый 2 2 6 2 2 3 2" xfId="11773" xr:uid="{00000000-0005-0000-0000-00008E120000}"/>
    <cellStyle name="Финансовый 2 2 6 2 2 4" xfId="4772" xr:uid="{00000000-0005-0000-0000-00008F120000}"/>
    <cellStyle name="Финансовый 2 2 6 2 2 4 2" xfId="13417" xr:uid="{00000000-0005-0000-0000-000090120000}"/>
    <cellStyle name="Финансовый 2 2 6 2 2 5" xfId="7384" xr:uid="{00000000-0005-0000-0000-000091120000}"/>
    <cellStyle name="Финансовый 2 2 6 2 2 5 2" xfId="16027" xr:uid="{00000000-0005-0000-0000-000092120000}"/>
    <cellStyle name="Финансовый 2 2 6 2 2 6" xfId="9991" xr:uid="{00000000-0005-0000-0000-000093120000}"/>
    <cellStyle name="Финансовый 2 2 6 2 3" xfId="2046" xr:uid="{00000000-0005-0000-0000-000094120000}"/>
    <cellStyle name="Финансовый 2 2 6 2 3 2" xfId="3691" xr:uid="{00000000-0005-0000-0000-000095120000}"/>
    <cellStyle name="Финансовый 2 2 6 2 3 2 2" xfId="12336" xr:uid="{00000000-0005-0000-0000-000096120000}"/>
    <cellStyle name="Финансовый 2 2 6 2 3 3" xfId="5474" xr:uid="{00000000-0005-0000-0000-000097120000}"/>
    <cellStyle name="Финансовый 2 2 6 2 3 3 2" xfId="14117" xr:uid="{00000000-0005-0000-0000-000098120000}"/>
    <cellStyle name="Финансовый 2 2 6 2 3 4" xfId="8084" xr:uid="{00000000-0005-0000-0000-000099120000}"/>
    <cellStyle name="Финансовый 2 2 6 2 3 4 2" xfId="16727" xr:uid="{00000000-0005-0000-0000-00009A120000}"/>
    <cellStyle name="Финансовый 2 2 6 2 3 5" xfId="10691" xr:uid="{00000000-0005-0000-0000-00009B120000}"/>
    <cellStyle name="Финансовый 2 2 6 2 4" xfId="2575" xr:uid="{00000000-0005-0000-0000-00009C120000}"/>
    <cellStyle name="Финансовый 2 2 6 2 4 2" xfId="4220" xr:uid="{00000000-0005-0000-0000-00009D120000}"/>
    <cellStyle name="Финансовый 2 2 6 2 4 2 2" xfId="12865" xr:uid="{00000000-0005-0000-0000-00009E120000}"/>
    <cellStyle name="Финансовый 2 2 6 2 4 3" xfId="6003" xr:uid="{00000000-0005-0000-0000-00009F120000}"/>
    <cellStyle name="Финансовый 2 2 6 2 4 3 2" xfId="14646" xr:uid="{00000000-0005-0000-0000-0000A0120000}"/>
    <cellStyle name="Финансовый 2 2 6 2 4 4" xfId="8613" xr:uid="{00000000-0005-0000-0000-0000A1120000}"/>
    <cellStyle name="Финансовый 2 2 6 2 4 4 2" xfId="17256" xr:uid="{00000000-0005-0000-0000-0000A2120000}"/>
    <cellStyle name="Финансовый 2 2 6 2 4 5" xfId="11220" xr:uid="{00000000-0005-0000-0000-0000A3120000}"/>
    <cellStyle name="Финансовый 2 2 6 2 5" xfId="1079" xr:uid="{00000000-0005-0000-0000-0000A4120000}"/>
    <cellStyle name="Финансовый 2 2 6 2 5 2" xfId="7119" xr:uid="{00000000-0005-0000-0000-0000A5120000}"/>
    <cellStyle name="Финансовый 2 2 6 2 5 2 2" xfId="15762" xr:uid="{00000000-0005-0000-0000-0000A6120000}"/>
    <cellStyle name="Финансовый 2 2 6 2 5 3" xfId="9726" xr:uid="{00000000-0005-0000-0000-0000A7120000}"/>
    <cellStyle name="Финансовый 2 2 6 2 6" xfId="667" xr:uid="{00000000-0005-0000-0000-0000A8120000}"/>
    <cellStyle name="Финансовый 2 2 6 2 6 2" xfId="6707" xr:uid="{00000000-0005-0000-0000-0000A9120000}"/>
    <cellStyle name="Финансовый 2 2 6 2 6 2 2" xfId="15350" xr:uid="{00000000-0005-0000-0000-0000AA120000}"/>
    <cellStyle name="Финансовый 2 2 6 2 6 3" xfId="9314" xr:uid="{00000000-0005-0000-0000-0000AB120000}"/>
    <cellStyle name="Финансовый 2 2 6 2 7" xfId="2856" xr:uid="{00000000-0005-0000-0000-0000AC120000}"/>
    <cellStyle name="Финансовый 2 2 6 2 7 2" xfId="11501" xr:uid="{00000000-0005-0000-0000-0000AD120000}"/>
    <cellStyle name="Финансовый 2 2 6 2 8" xfId="4500" xr:uid="{00000000-0005-0000-0000-0000AE120000}"/>
    <cellStyle name="Финансовый 2 2 6 2 8 2" xfId="13145" xr:uid="{00000000-0005-0000-0000-0000AF120000}"/>
    <cellStyle name="Финансовый 2 2 6 2 9" xfId="6287" xr:uid="{00000000-0005-0000-0000-0000B0120000}"/>
    <cellStyle name="Финансовый 2 2 6 2 9 2" xfId="14930" xr:uid="{00000000-0005-0000-0000-0000B1120000}"/>
    <cellStyle name="Финансовый 2 2 6 3" xfId="395" xr:uid="{00000000-0005-0000-0000-0000B2120000}"/>
    <cellStyle name="Финансовый 2 2 6 3 2" xfId="2174" xr:uid="{00000000-0005-0000-0000-0000B3120000}"/>
    <cellStyle name="Финансовый 2 2 6 3 2 2" xfId="3819" xr:uid="{00000000-0005-0000-0000-0000B4120000}"/>
    <cellStyle name="Финансовый 2 2 6 3 2 2 2" xfId="12464" xr:uid="{00000000-0005-0000-0000-0000B5120000}"/>
    <cellStyle name="Финансовый 2 2 6 3 2 3" xfId="5602" xr:uid="{00000000-0005-0000-0000-0000B6120000}"/>
    <cellStyle name="Финансовый 2 2 6 3 2 3 2" xfId="14245" xr:uid="{00000000-0005-0000-0000-0000B7120000}"/>
    <cellStyle name="Финансовый 2 2 6 3 2 4" xfId="8212" xr:uid="{00000000-0005-0000-0000-0000B8120000}"/>
    <cellStyle name="Финансовый 2 2 6 3 2 4 2" xfId="16855" xr:uid="{00000000-0005-0000-0000-0000B9120000}"/>
    <cellStyle name="Финансовый 2 2 6 3 2 5" xfId="10819" xr:uid="{00000000-0005-0000-0000-0000BA120000}"/>
    <cellStyle name="Финансовый 2 2 6 3 3" xfId="1208" xr:uid="{00000000-0005-0000-0000-0000BB120000}"/>
    <cellStyle name="Финансовый 2 2 6 3 3 2" xfId="7248" xr:uid="{00000000-0005-0000-0000-0000BC120000}"/>
    <cellStyle name="Финансовый 2 2 6 3 3 2 2" xfId="15891" xr:uid="{00000000-0005-0000-0000-0000BD120000}"/>
    <cellStyle name="Финансовый 2 2 6 3 3 3" xfId="9855" xr:uid="{00000000-0005-0000-0000-0000BE120000}"/>
    <cellStyle name="Финансовый 2 2 6 3 4" xfId="815" xr:uid="{00000000-0005-0000-0000-0000BF120000}"/>
    <cellStyle name="Финансовый 2 2 6 3 4 2" xfId="6855" xr:uid="{00000000-0005-0000-0000-0000C0120000}"/>
    <cellStyle name="Финансовый 2 2 6 3 4 2 2" xfId="15498" xr:uid="{00000000-0005-0000-0000-0000C1120000}"/>
    <cellStyle name="Финансовый 2 2 6 3 4 3" xfId="9462" xr:uid="{00000000-0005-0000-0000-0000C2120000}"/>
    <cellStyle name="Финансовый 2 2 6 3 5" xfId="2992" xr:uid="{00000000-0005-0000-0000-0000C3120000}"/>
    <cellStyle name="Финансовый 2 2 6 3 5 2" xfId="11637" xr:uid="{00000000-0005-0000-0000-0000C4120000}"/>
    <cellStyle name="Финансовый 2 2 6 3 6" xfId="4636" xr:uid="{00000000-0005-0000-0000-0000C5120000}"/>
    <cellStyle name="Финансовый 2 2 6 3 6 2" xfId="13281" xr:uid="{00000000-0005-0000-0000-0000C6120000}"/>
    <cellStyle name="Финансовый 2 2 6 3 7" xfId="6435" xr:uid="{00000000-0005-0000-0000-0000C7120000}"/>
    <cellStyle name="Финансовый 2 2 6 3 7 2" xfId="15078" xr:uid="{00000000-0005-0000-0000-0000C8120000}"/>
    <cellStyle name="Финансовый 2 2 6 3 8" xfId="9042" xr:uid="{00000000-0005-0000-0000-0000C9120000}"/>
    <cellStyle name="Финансовый 2 2 6 4" xfId="1459" xr:uid="{00000000-0005-0000-0000-0000CA120000}"/>
    <cellStyle name="Финансовый 2 2 6 4 2" xfId="1918" xr:uid="{00000000-0005-0000-0000-0000CB120000}"/>
    <cellStyle name="Финансовый 2 2 6 4 2 2" xfId="3563" xr:uid="{00000000-0005-0000-0000-0000CC120000}"/>
    <cellStyle name="Финансовый 2 2 6 4 2 2 2" xfId="12208" xr:uid="{00000000-0005-0000-0000-0000CD120000}"/>
    <cellStyle name="Финансовый 2 2 6 4 2 3" xfId="5346" xr:uid="{00000000-0005-0000-0000-0000CE120000}"/>
    <cellStyle name="Финансовый 2 2 6 4 2 3 2" xfId="13989" xr:uid="{00000000-0005-0000-0000-0000CF120000}"/>
    <cellStyle name="Финансовый 2 2 6 4 2 4" xfId="7956" xr:uid="{00000000-0005-0000-0000-0000D0120000}"/>
    <cellStyle name="Финансовый 2 2 6 4 2 4 2" xfId="16599" xr:uid="{00000000-0005-0000-0000-0000D1120000}"/>
    <cellStyle name="Финансовый 2 2 6 4 2 5" xfId="10563" xr:uid="{00000000-0005-0000-0000-0000D2120000}"/>
    <cellStyle name="Финансовый 2 2 6 4 3" xfId="4887" xr:uid="{00000000-0005-0000-0000-0000D3120000}"/>
    <cellStyle name="Финансовый 2 2 6 4 3 2" xfId="13530" xr:uid="{00000000-0005-0000-0000-0000D4120000}"/>
    <cellStyle name="Финансовый 2 2 6 4 4" xfId="7497" xr:uid="{00000000-0005-0000-0000-0000D5120000}"/>
    <cellStyle name="Финансовый 2 2 6 4 4 2" xfId="16140" xr:uid="{00000000-0005-0000-0000-0000D6120000}"/>
    <cellStyle name="Финансовый 2 2 6 4 5" xfId="10104" xr:uid="{00000000-0005-0000-0000-0000D7120000}"/>
    <cellStyle name="Финансовый 2 2 6 5" xfId="1794" xr:uid="{00000000-0005-0000-0000-0000D8120000}"/>
    <cellStyle name="Финансовый 2 2 6 5 2" xfId="3439" xr:uid="{00000000-0005-0000-0000-0000D9120000}"/>
    <cellStyle name="Финансовый 2 2 6 5 2 2" xfId="12084" xr:uid="{00000000-0005-0000-0000-0000DA120000}"/>
    <cellStyle name="Финансовый 2 2 6 5 3" xfId="5222" xr:uid="{00000000-0005-0000-0000-0000DB120000}"/>
    <cellStyle name="Финансовый 2 2 6 5 3 2" xfId="13865" xr:uid="{00000000-0005-0000-0000-0000DC120000}"/>
    <cellStyle name="Финансовый 2 2 6 5 4" xfId="7832" xr:uid="{00000000-0005-0000-0000-0000DD120000}"/>
    <cellStyle name="Финансовый 2 2 6 5 4 2" xfId="16475" xr:uid="{00000000-0005-0000-0000-0000DE120000}"/>
    <cellStyle name="Финансовый 2 2 6 5 5" xfId="10439" xr:uid="{00000000-0005-0000-0000-0000DF120000}"/>
    <cellStyle name="Финансовый 2 2 6 6" xfId="2439" xr:uid="{00000000-0005-0000-0000-0000E0120000}"/>
    <cellStyle name="Финансовый 2 2 6 6 2" xfId="4084" xr:uid="{00000000-0005-0000-0000-0000E1120000}"/>
    <cellStyle name="Финансовый 2 2 6 6 2 2" xfId="12729" xr:uid="{00000000-0005-0000-0000-0000E2120000}"/>
    <cellStyle name="Финансовый 2 2 6 6 3" xfId="5867" xr:uid="{00000000-0005-0000-0000-0000E3120000}"/>
    <cellStyle name="Финансовый 2 2 6 6 3 2" xfId="14510" xr:uid="{00000000-0005-0000-0000-0000E4120000}"/>
    <cellStyle name="Финансовый 2 2 6 6 4" xfId="8477" xr:uid="{00000000-0005-0000-0000-0000E5120000}"/>
    <cellStyle name="Финансовый 2 2 6 6 4 2" xfId="17120" xr:uid="{00000000-0005-0000-0000-0000E6120000}"/>
    <cellStyle name="Финансовый 2 2 6 6 5" xfId="11084" xr:uid="{00000000-0005-0000-0000-0000E7120000}"/>
    <cellStyle name="Финансовый 2 2 6 7" xfId="1666" xr:uid="{00000000-0005-0000-0000-0000E8120000}"/>
    <cellStyle name="Финансовый 2 2 6 7 2" xfId="3311" xr:uid="{00000000-0005-0000-0000-0000E9120000}"/>
    <cellStyle name="Финансовый 2 2 6 7 2 2" xfId="11956" xr:uid="{00000000-0005-0000-0000-0000EA120000}"/>
    <cellStyle name="Финансовый 2 2 6 7 3" xfId="5094" xr:uid="{00000000-0005-0000-0000-0000EB120000}"/>
    <cellStyle name="Финансовый 2 2 6 7 3 2" xfId="13737" xr:uid="{00000000-0005-0000-0000-0000EC120000}"/>
    <cellStyle name="Финансовый 2 2 6 7 4" xfId="7704" xr:uid="{00000000-0005-0000-0000-0000ED120000}"/>
    <cellStyle name="Финансовый 2 2 6 7 4 2" xfId="16347" xr:uid="{00000000-0005-0000-0000-0000EE120000}"/>
    <cellStyle name="Финансовый 2 2 6 7 5" xfId="10311" xr:uid="{00000000-0005-0000-0000-0000EF120000}"/>
    <cellStyle name="Финансовый 2 2 6 8" xfId="943" xr:uid="{00000000-0005-0000-0000-0000F0120000}"/>
    <cellStyle name="Финансовый 2 2 6 8 2" xfId="6983" xr:uid="{00000000-0005-0000-0000-0000F1120000}"/>
    <cellStyle name="Финансовый 2 2 6 8 2 2" xfId="15626" xr:uid="{00000000-0005-0000-0000-0000F2120000}"/>
    <cellStyle name="Финансовый 2 2 6 8 3" xfId="9590" xr:uid="{00000000-0005-0000-0000-0000F3120000}"/>
    <cellStyle name="Финансовый 2 2 6 9" xfId="531" xr:uid="{00000000-0005-0000-0000-0000F4120000}"/>
    <cellStyle name="Финансовый 2 2 6 9 2" xfId="6571" xr:uid="{00000000-0005-0000-0000-0000F5120000}"/>
    <cellStyle name="Финансовый 2 2 6 9 2 2" xfId="15214" xr:uid="{00000000-0005-0000-0000-0000F6120000}"/>
    <cellStyle name="Финансовый 2 2 6 9 3" xfId="9178" xr:uid="{00000000-0005-0000-0000-0000F7120000}"/>
    <cellStyle name="Финансовый 2 2 7" xfId="65" xr:uid="{00000000-0005-0000-0000-0000F8120000}"/>
    <cellStyle name="Финансовый 2 2 7 10" xfId="2675" xr:uid="{00000000-0005-0000-0000-0000F9120000}"/>
    <cellStyle name="Финансовый 2 2 7 10 2" xfId="11320" xr:uid="{00000000-0005-0000-0000-0000FA120000}"/>
    <cellStyle name="Финансовый 2 2 7 11" xfId="4319" xr:uid="{00000000-0005-0000-0000-0000FB120000}"/>
    <cellStyle name="Финансовый 2 2 7 11 2" xfId="12964" xr:uid="{00000000-0005-0000-0000-0000FC120000}"/>
    <cellStyle name="Финансовый 2 2 7 12" xfId="6106" xr:uid="{00000000-0005-0000-0000-0000FD120000}"/>
    <cellStyle name="Финансовый 2 2 7 12 2" xfId="14749" xr:uid="{00000000-0005-0000-0000-0000FE120000}"/>
    <cellStyle name="Финансовый 2 2 7 13" xfId="8713" xr:uid="{00000000-0005-0000-0000-0000FF120000}"/>
    <cellStyle name="Финансовый 2 2 7 2" xfId="201" xr:uid="{00000000-0005-0000-0000-000000130000}"/>
    <cellStyle name="Финансовый 2 2 7 2 10" xfId="8849" xr:uid="{00000000-0005-0000-0000-000001130000}"/>
    <cellStyle name="Финансовый 2 2 7 2 2" xfId="1299" xr:uid="{00000000-0005-0000-0000-000002130000}"/>
    <cellStyle name="Финансовый 2 2 7 2 2 2" xfId="2265" xr:uid="{00000000-0005-0000-0000-000003130000}"/>
    <cellStyle name="Финансовый 2 2 7 2 2 2 2" xfId="3910" xr:uid="{00000000-0005-0000-0000-000004130000}"/>
    <cellStyle name="Финансовый 2 2 7 2 2 2 2 2" xfId="12555" xr:uid="{00000000-0005-0000-0000-000005130000}"/>
    <cellStyle name="Финансовый 2 2 7 2 2 2 3" xfId="5693" xr:uid="{00000000-0005-0000-0000-000006130000}"/>
    <cellStyle name="Финансовый 2 2 7 2 2 2 3 2" xfId="14336" xr:uid="{00000000-0005-0000-0000-000007130000}"/>
    <cellStyle name="Финансовый 2 2 7 2 2 2 4" xfId="8303" xr:uid="{00000000-0005-0000-0000-000008130000}"/>
    <cellStyle name="Финансовый 2 2 7 2 2 2 4 2" xfId="16946" xr:uid="{00000000-0005-0000-0000-000009130000}"/>
    <cellStyle name="Финансовый 2 2 7 2 2 2 5" xfId="10910" xr:uid="{00000000-0005-0000-0000-00000A130000}"/>
    <cellStyle name="Финансовый 2 2 7 2 2 3" xfId="3083" xr:uid="{00000000-0005-0000-0000-00000B130000}"/>
    <cellStyle name="Финансовый 2 2 7 2 2 3 2" xfId="11728" xr:uid="{00000000-0005-0000-0000-00000C130000}"/>
    <cellStyle name="Финансовый 2 2 7 2 2 4" xfId="4727" xr:uid="{00000000-0005-0000-0000-00000D130000}"/>
    <cellStyle name="Финансовый 2 2 7 2 2 4 2" xfId="13372" xr:uid="{00000000-0005-0000-0000-00000E130000}"/>
    <cellStyle name="Финансовый 2 2 7 2 2 5" xfId="7339" xr:uid="{00000000-0005-0000-0000-00000F130000}"/>
    <cellStyle name="Финансовый 2 2 7 2 2 5 2" xfId="15982" xr:uid="{00000000-0005-0000-0000-000010130000}"/>
    <cellStyle name="Финансовый 2 2 7 2 2 6" xfId="9946" xr:uid="{00000000-0005-0000-0000-000011130000}"/>
    <cellStyle name="Финансовый 2 2 7 2 3" xfId="2009" xr:uid="{00000000-0005-0000-0000-000012130000}"/>
    <cellStyle name="Финансовый 2 2 7 2 3 2" xfId="3654" xr:uid="{00000000-0005-0000-0000-000013130000}"/>
    <cellStyle name="Финансовый 2 2 7 2 3 2 2" xfId="12299" xr:uid="{00000000-0005-0000-0000-000014130000}"/>
    <cellStyle name="Финансовый 2 2 7 2 3 3" xfId="5437" xr:uid="{00000000-0005-0000-0000-000015130000}"/>
    <cellStyle name="Финансовый 2 2 7 2 3 3 2" xfId="14080" xr:uid="{00000000-0005-0000-0000-000016130000}"/>
    <cellStyle name="Финансовый 2 2 7 2 3 4" xfId="8047" xr:uid="{00000000-0005-0000-0000-000017130000}"/>
    <cellStyle name="Финансовый 2 2 7 2 3 4 2" xfId="16690" xr:uid="{00000000-0005-0000-0000-000018130000}"/>
    <cellStyle name="Финансовый 2 2 7 2 3 5" xfId="10654" xr:uid="{00000000-0005-0000-0000-000019130000}"/>
    <cellStyle name="Финансовый 2 2 7 2 4" xfId="2530" xr:uid="{00000000-0005-0000-0000-00001A130000}"/>
    <cellStyle name="Финансовый 2 2 7 2 4 2" xfId="4175" xr:uid="{00000000-0005-0000-0000-00001B130000}"/>
    <cellStyle name="Финансовый 2 2 7 2 4 2 2" xfId="12820" xr:uid="{00000000-0005-0000-0000-00001C130000}"/>
    <cellStyle name="Финансовый 2 2 7 2 4 3" xfId="5958" xr:uid="{00000000-0005-0000-0000-00001D130000}"/>
    <cellStyle name="Финансовый 2 2 7 2 4 3 2" xfId="14601" xr:uid="{00000000-0005-0000-0000-00001E130000}"/>
    <cellStyle name="Финансовый 2 2 7 2 4 4" xfId="8568" xr:uid="{00000000-0005-0000-0000-00001F130000}"/>
    <cellStyle name="Финансовый 2 2 7 2 4 4 2" xfId="17211" xr:uid="{00000000-0005-0000-0000-000020130000}"/>
    <cellStyle name="Финансовый 2 2 7 2 4 5" xfId="11175" xr:uid="{00000000-0005-0000-0000-000021130000}"/>
    <cellStyle name="Финансовый 2 2 7 2 5" xfId="1034" xr:uid="{00000000-0005-0000-0000-000022130000}"/>
    <cellStyle name="Финансовый 2 2 7 2 5 2" xfId="7074" xr:uid="{00000000-0005-0000-0000-000023130000}"/>
    <cellStyle name="Финансовый 2 2 7 2 5 2 2" xfId="15717" xr:uid="{00000000-0005-0000-0000-000024130000}"/>
    <cellStyle name="Финансовый 2 2 7 2 5 3" xfId="9681" xr:uid="{00000000-0005-0000-0000-000025130000}"/>
    <cellStyle name="Финансовый 2 2 7 2 6" xfId="622" xr:uid="{00000000-0005-0000-0000-000026130000}"/>
    <cellStyle name="Финансовый 2 2 7 2 6 2" xfId="6662" xr:uid="{00000000-0005-0000-0000-000027130000}"/>
    <cellStyle name="Финансовый 2 2 7 2 6 2 2" xfId="15305" xr:uid="{00000000-0005-0000-0000-000028130000}"/>
    <cellStyle name="Финансовый 2 2 7 2 6 3" xfId="9269" xr:uid="{00000000-0005-0000-0000-000029130000}"/>
    <cellStyle name="Финансовый 2 2 7 2 7" xfId="2811" xr:uid="{00000000-0005-0000-0000-00002A130000}"/>
    <cellStyle name="Финансовый 2 2 7 2 7 2" xfId="11456" xr:uid="{00000000-0005-0000-0000-00002B130000}"/>
    <cellStyle name="Финансовый 2 2 7 2 8" xfId="4455" xr:uid="{00000000-0005-0000-0000-00002C130000}"/>
    <cellStyle name="Финансовый 2 2 7 2 8 2" xfId="13100" xr:uid="{00000000-0005-0000-0000-00002D130000}"/>
    <cellStyle name="Финансовый 2 2 7 2 9" xfId="6242" xr:uid="{00000000-0005-0000-0000-00002E130000}"/>
    <cellStyle name="Финансовый 2 2 7 2 9 2" xfId="14885" xr:uid="{00000000-0005-0000-0000-00002F130000}"/>
    <cellStyle name="Финансовый 2 2 7 3" xfId="350" xr:uid="{00000000-0005-0000-0000-000030130000}"/>
    <cellStyle name="Финансовый 2 2 7 3 2" xfId="2137" xr:uid="{00000000-0005-0000-0000-000031130000}"/>
    <cellStyle name="Финансовый 2 2 7 3 2 2" xfId="3782" xr:uid="{00000000-0005-0000-0000-000032130000}"/>
    <cellStyle name="Финансовый 2 2 7 3 2 2 2" xfId="12427" xr:uid="{00000000-0005-0000-0000-000033130000}"/>
    <cellStyle name="Финансовый 2 2 7 3 2 3" xfId="5565" xr:uid="{00000000-0005-0000-0000-000034130000}"/>
    <cellStyle name="Финансовый 2 2 7 3 2 3 2" xfId="14208" xr:uid="{00000000-0005-0000-0000-000035130000}"/>
    <cellStyle name="Финансовый 2 2 7 3 2 4" xfId="8175" xr:uid="{00000000-0005-0000-0000-000036130000}"/>
    <cellStyle name="Финансовый 2 2 7 3 2 4 2" xfId="16818" xr:uid="{00000000-0005-0000-0000-000037130000}"/>
    <cellStyle name="Финансовый 2 2 7 3 2 5" xfId="10782" xr:uid="{00000000-0005-0000-0000-000038130000}"/>
    <cellStyle name="Финансовый 2 2 7 3 3" xfId="1170" xr:uid="{00000000-0005-0000-0000-000039130000}"/>
    <cellStyle name="Финансовый 2 2 7 3 3 2" xfId="7210" xr:uid="{00000000-0005-0000-0000-00003A130000}"/>
    <cellStyle name="Финансовый 2 2 7 3 3 2 2" xfId="15853" xr:uid="{00000000-0005-0000-0000-00003B130000}"/>
    <cellStyle name="Финансовый 2 2 7 3 3 3" xfId="9817" xr:uid="{00000000-0005-0000-0000-00003C130000}"/>
    <cellStyle name="Финансовый 2 2 7 3 4" xfId="770" xr:uid="{00000000-0005-0000-0000-00003D130000}"/>
    <cellStyle name="Финансовый 2 2 7 3 4 2" xfId="6810" xr:uid="{00000000-0005-0000-0000-00003E130000}"/>
    <cellStyle name="Финансовый 2 2 7 3 4 2 2" xfId="15453" xr:uid="{00000000-0005-0000-0000-00003F130000}"/>
    <cellStyle name="Финансовый 2 2 7 3 4 3" xfId="9417" xr:uid="{00000000-0005-0000-0000-000040130000}"/>
    <cellStyle name="Финансовый 2 2 7 3 5" xfId="2947" xr:uid="{00000000-0005-0000-0000-000041130000}"/>
    <cellStyle name="Финансовый 2 2 7 3 5 2" xfId="11592" xr:uid="{00000000-0005-0000-0000-000042130000}"/>
    <cellStyle name="Финансовый 2 2 7 3 6" xfId="4591" xr:uid="{00000000-0005-0000-0000-000043130000}"/>
    <cellStyle name="Финансовый 2 2 7 3 6 2" xfId="13236" xr:uid="{00000000-0005-0000-0000-000044130000}"/>
    <cellStyle name="Финансовый 2 2 7 3 7" xfId="6390" xr:uid="{00000000-0005-0000-0000-000045130000}"/>
    <cellStyle name="Финансовый 2 2 7 3 7 2" xfId="15033" xr:uid="{00000000-0005-0000-0000-000046130000}"/>
    <cellStyle name="Финансовый 2 2 7 3 8" xfId="8997" xr:uid="{00000000-0005-0000-0000-000047130000}"/>
    <cellStyle name="Финансовый 2 2 7 4" xfId="1473" xr:uid="{00000000-0005-0000-0000-000048130000}"/>
    <cellStyle name="Финансовый 2 2 7 4 2" xfId="1873" xr:uid="{00000000-0005-0000-0000-000049130000}"/>
    <cellStyle name="Финансовый 2 2 7 4 2 2" xfId="3518" xr:uid="{00000000-0005-0000-0000-00004A130000}"/>
    <cellStyle name="Финансовый 2 2 7 4 2 2 2" xfId="12163" xr:uid="{00000000-0005-0000-0000-00004B130000}"/>
    <cellStyle name="Финансовый 2 2 7 4 2 3" xfId="5301" xr:uid="{00000000-0005-0000-0000-00004C130000}"/>
    <cellStyle name="Финансовый 2 2 7 4 2 3 2" xfId="13944" xr:uid="{00000000-0005-0000-0000-00004D130000}"/>
    <cellStyle name="Финансовый 2 2 7 4 2 4" xfId="7911" xr:uid="{00000000-0005-0000-0000-00004E130000}"/>
    <cellStyle name="Финансовый 2 2 7 4 2 4 2" xfId="16554" xr:uid="{00000000-0005-0000-0000-00004F130000}"/>
    <cellStyle name="Финансовый 2 2 7 4 2 5" xfId="10518" xr:uid="{00000000-0005-0000-0000-000050130000}"/>
    <cellStyle name="Финансовый 2 2 7 4 3" xfId="4901" xr:uid="{00000000-0005-0000-0000-000051130000}"/>
    <cellStyle name="Финансовый 2 2 7 4 3 2" xfId="13544" xr:uid="{00000000-0005-0000-0000-000052130000}"/>
    <cellStyle name="Финансовый 2 2 7 4 4" xfId="7511" xr:uid="{00000000-0005-0000-0000-000053130000}"/>
    <cellStyle name="Финансовый 2 2 7 4 4 2" xfId="16154" xr:uid="{00000000-0005-0000-0000-000054130000}"/>
    <cellStyle name="Финансовый 2 2 7 4 5" xfId="10118" xr:uid="{00000000-0005-0000-0000-000055130000}"/>
    <cellStyle name="Финансовый 2 2 7 5" xfId="1757" xr:uid="{00000000-0005-0000-0000-000056130000}"/>
    <cellStyle name="Финансовый 2 2 7 5 2" xfId="3402" xr:uid="{00000000-0005-0000-0000-000057130000}"/>
    <cellStyle name="Финансовый 2 2 7 5 2 2" xfId="12047" xr:uid="{00000000-0005-0000-0000-000058130000}"/>
    <cellStyle name="Финансовый 2 2 7 5 3" xfId="5185" xr:uid="{00000000-0005-0000-0000-000059130000}"/>
    <cellStyle name="Финансовый 2 2 7 5 3 2" xfId="13828" xr:uid="{00000000-0005-0000-0000-00005A130000}"/>
    <cellStyle name="Финансовый 2 2 7 5 4" xfId="7795" xr:uid="{00000000-0005-0000-0000-00005B130000}"/>
    <cellStyle name="Финансовый 2 2 7 5 4 2" xfId="16438" xr:uid="{00000000-0005-0000-0000-00005C130000}"/>
    <cellStyle name="Финансовый 2 2 7 5 5" xfId="10402" xr:uid="{00000000-0005-0000-0000-00005D130000}"/>
    <cellStyle name="Финансовый 2 2 7 6" xfId="2394" xr:uid="{00000000-0005-0000-0000-00005E130000}"/>
    <cellStyle name="Финансовый 2 2 7 6 2" xfId="4039" xr:uid="{00000000-0005-0000-0000-00005F130000}"/>
    <cellStyle name="Финансовый 2 2 7 6 2 2" xfId="12684" xr:uid="{00000000-0005-0000-0000-000060130000}"/>
    <cellStyle name="Финансовый 2 2 7 6 3" xfId="5822" xr:uid="{00000000-0005-0000-0000-000061130000}"/>
    <cellStyle name="Финансовый 2 2 7 6 3 2" xfId="14465" xr:uid="{00000000-0005-0000-0000-000062130000}"/>
    <cellStyle name="Финансовый 2 2 7 6 4" xfId="8432" xr:uid="{00000000-0005-0000-0000-000063130000}"/>
    <cellStyle name="Финансовый 2 2 7 6 4 2" xfId="17075" xr:uid="{00000000-0005-0000-0000-000064130000}"/>
    <cellStyle name="Финансовый 2 2 7 6 5" xfId="11039" xr:uid="{00000000-0005-0000-0000-000065130000}"/>
    <cellStyle name="Финансовый 2 2 7 7" xfId="1621" xr:uid="{00000000-0005-0000-0000-000066130000}"/>
    <cellStyle name="Финансовый 2 2 7 7 2" xfId="3266" xr:uid="{00000000-0005-0000-0000-000067130000}"/>
    <cellStyle name="Финансовый 2 2 7 7 2 2" xfId="11911" xr:uid="{00000000-0005-0000-0000-000068130000}"/>
    <cellStyle name="Финансовый 2 2 7 7 3" xfId="5049" xr:uid="{00000000-0005-0000-0000-000069130000}"/>
    <cellStyle name="Финансовый 2 2 7 7 3 2" xfId="13692" xr:uid="{00000000-0005-0000-0000-00006A130000}"/>
    <cellStyle name="Финансовый 2 2 7 7 4" xfId="7659" xr:uid="{00000000-0005-0000-0000-00006B130000}"/>
    <cellStyle name="Финансовый 2 2 7 7 4 2" xfId="16302" xr:uid="{00000000-0005-0000-0000-00006C130000}"/>
    <cellStyle name="Финансовый 2 2 7 7 5" xfId="10266" xr:uid="{00000000-0005-0000-0000-00006D130000}"/>
    <cellStyle name="Финансовый 2 2 7 8" xfId="906" xr:uid="{00000000-0005-0000-0000-00006E130000}"/>
    <cellStyle name="Финансовый 2 2 7 8 2" xfId="6946" xr:uid="{00000000-0005-0000-0000-00006F130000}"/>
    <cellStyle name="Финансовый 2 2 7 8 2 2" xfId="15589" xr:uid="{00000000-0005-0000-0000-000070130000}"/>
    <cellStyle name="Финансовый 2 2 7 8 3" xfId="9553" xr:uid="{00000000-0005-0000-0000-000071130000}"/>
    <cellStyle name="Финансовый 2 2 7 9" xfId="486" xr:uid="{00000000-0005-0000-0000-000072130000}"/>
    <cellStyle name="Финансовый 2 2 7 9 2" xfId="6526" xr:uid="{00000000-0005-0000-0000-000073130000}"/>
    <cellStyle name="Финансовый 2 2 7 9 2 2" xfId="15169" xr:uid="{00000000-0005-0000-0000-000074130000}"/>
    <cellStyle name="Финансовый 2 2 7 9 3" xfId="9133" xr:uid="{00000000-0005-0000-0000-000075130000}"/>
    <cellStyle name="Финансовый 2 2 8" xfId="52" xr:uid="{00000000-0005-0000-0000-000076130000}"/>
    <cellStyle name="Финансовый 2 2 8 10" xfId="2664" xr:uid="{00000000-0005-0000-0000-000077130000}"/>
    <cellStyle name="Финансовый 2 2 8 10 2" xfId="11309" xr:uid="{00000000-0005-0000-0000-000078130000}"/>
    <cellStyle name="Финансовый 2 2 8 11" xfId="4307" xr:uid="{00000000-0005-0000-0000-000079130000}"/>
    <cellStyle name="Финансовый 2 2 8 11 2" xfId="12952" xr:uid="{00000000-0005-0000-0000-00007A130000}"/>
    <cellStyle name="Финансовый 2 2 8 12" xfId="6095" xr:uid="{00000000-0005-0000-0000-00007B130000}"/>
    <cellStyle name="Финансовый 2 2 8 12 2" xfId="14738" xr:uid="{00000000-0005-0000-0000-00007C130000}"/>
    <cellStyle name="Финансовый 2 2 8 13" xfId="8702" xr:uid="{00000000-0005-0000-0000-00007D130000}"/>
    <cellStyle name="Финансовый 2 2 8 2" xfId="190" xr:uid="{00000000-0005-0000-0000-00007E130000}"/>
    <cellStyle name="Финансовый 2 2 8 2 10" xfId="8838" xr:uid="{00000000-0005-0000-0000-00007F130000}"/>
    <cellStyle name="Финансовый 2 2 8 2 2" xfId="1288" xr:uid="{00000000-0005-0000-0000-000080130000}"/>
    <cellStyle name="Финансовый 2 2 8 2 2 2" xfId="2254" xr:uid="{00000000-0005-0000-0000-000081130000}"/>
    <cellStyle name="Финансовый 2 2 8 2 2 2 2" xfId="3899" xr:uid="{00000000-0005-0000-0000-000082130000}"/>
    <cellStyle name="Финансовый 2 2 8 2 2 2 2 2" xfId="12544" xr:uid="{00000000-0005-0000-0000-000083130000}"/>
    <cellStyle name="Финансовый 2 2 8 2 2 2 3" xfId="5682" xr:uid="{00000000-0005-0000-0000-000084130000}"/>
    <cellStyle name="Финансовый 2 2 8 2 2 2 3 2" xfId="14325" xr:uid="{00000000-0005-0000-0000-000085130000}"/>
    <cellStyle name="Финансовый 2 2 8 2 2 2 4" xfId="8292" xr:uid="{00000000-0005-0000-0000-000086130000}"/>
    <cellStyle name="Финансовый 2 2 8 2 2 2 4 2" xfId="16935" xr:uid="{00000000-0005-0000-0000-000087130000}"/>
    <cellStyle name="Финансовый 2 2 8 2 2 2 5" xfId="10899" xr:uid="{00000000-0005-0000-0000-000088130000}"/>
    <cellStyle name="Финансовый 2 2 8 2 2 3" xfId="3072" xr:uid="{00000000-0005-0000-0000-000089130000}"/>
    <cellStyle name="Финансовый 2 2 8 2 2 3 2" xfId="11717" xr:uid="{00000000-0005-0000-0000-00008A130000}"/>
    <cellStyle name="Финансовый 2 2 8 2 2 4" xfId="4716" xr:uid="{00000000-0005-0000-0000-00008B130000}"/>
    <cellStyle name="Финансовый 2 2 8 2 2 4 2" xfId="13361" xr:uid="{00000000-0005-0000-0000-00008C130000}"/>
    <cellStyle name="Финансовый 2 2 8 2 2 5" xfId="7328" xr:uid="{00000000-0005-0000-0000-00008D130000}"/>
    <cellStyle name="Финансовый 2 2 8 2 2 5 2" xfId="15971" xr:uid="{00000000-0005-0000-0000-00008E130000}"/>
    <cellStyle name="Финансовый 2 2 8 2 2 6" xfId="9935" xr:uid="{00000000-0005-0000-0000-00008F130000}"/>
    <cellStyle name="Финансовый 2 2 8 2 3" xfId="1998" xr:uid="{00000000-0005-0000-0000-000090130000}"/>
    <cellStyle name="Финансовый 2 2 8 2 3 2" xfId="3643" xr:uid="{00000000-0005-0000-0000-000091130000}"/>
    <cellStyle name="Финансовый 2 2 8 2 3 2 2" xfId="12288" xr:uid="{00000000-0005-0000-0000-000092130000}"/>
    <cellStyle name="Финансовый 2 2 8 2 3 3" xfId="5426" xr:uid="{00000000-0005-0000-0000-000093130000}"/>
    <cellStyle name="Финансовый 2 2 8 2 3 3 2" xfId="14069" xr:uid="{00000000-0005-0000-0000-000094130000}"/>
    <cellStyle name="Финансовый 2 2 8 2 3 4" xfId="8036" xr:uid="{00000000-0005-0000-0000-000095130000}"/>
    <cellStyle name="Финансовый 2 2 8 2 3 4 2" xfId="16679" xr:uid="{00000000-0005-0000-0000-000096130000}"/>
    <cellStyle name="Финансовый 2 2 8 2 3 5" xfId="10643" xr:uid="{00000000-0005-0000-0000-000097130000}"/>
    <cellStyle name="Финансовый 2 2 8 2 4" xfId="2519" xr:uid="{00000000-0005-0000-0000-000098130000}"/>
    <cellStyle name="Финансовый 2 2 8 2 4 2" xfId="4164" xr:uid="{00000000-0005-0000-0000-000099130000}"/>
    <cellStyle name="Финансовый 2 2 8 2 4 2 2" xfId="12809" xr:uid="{00000000-0005-0000-0000-00009A130000}"/>
    <cellStyle name="Финансовый 2 2 8 2 4 3" xfId="5947" xr:uid="{00000000-0005-0000-0000-00009B130000}"/>
    <cellStyle name="Финансовый 2 2 8 2 4 3 2" xfId="14590" xr:uid="{00000000-0005-0000-0000-00009C130000}"/>
    <cellStyle name="Финансовый 2 2 8 2 4 4" xfId="8557" xr:uid="{00000000-0005-0000-0000-00009D130000}"/>
    <cellStyle name="Финансовый 2 2 8 2 4 4 2" xfId="17200" xr:uid="{00000000-0005-0000-0000-00009E130000}"/>
    <cellStyle name="Финансовый 2 2 8 2 4 5" xfId="11164" xr:uid="{00000000-0005-0000-0000-00009F130000}"/>
    <cellStyle name="Финансовый 2 2 8 2 5" xfId="1023" xr:uid="{00000000-0005-0000-0000-0000A0130000}"/>
    <cellStyle name="Финансовый 2 2 8 2 5 2" xfId="7063" xr:uid="{00000000-0005-0000-0000-0000A1130000}"/>
    <cellStyle name="Финансовый 2 2 8 2 5 2 2" xfId="15706" xr:uid="{00000000-0005-0000-0000-0000A2130000}"/>
    <cellStyle name="Финансовый 2 2 8 2 5 3" xfId="9670" xr:uid="{00000000-0005-0000-0000-0000A3130000}"/>
    <cellStyle name="Финансовый 2 2 8 2 6" xfId="611" xr:uid="{00000000-0005-0000-0000-0000A4130000}"/>
    <cellStyle name="Финансовый 2 2 8 2 6 2" xfId="6651" xr:uid="{00000000-0005-0000-0000-0000A5130000}"/>
    <cellStyle name="Финансовый 2 2 8 2 6 2 2" xfId="15294" xr:uid="{00000000-0005-0000-0000-0000A6130000}"/>
    <cellStyle name="Финансовый 2 2 8 2 6 3" xfId="9258" xr:uid="{00000000-0005-0000-0000-0000A7130000}"/>
    <cellStyle name="Финансовый 2 2 8 2 7" xfId="2800" xr:uid="{00000000-0005-0000-0000-0000A8130000}"/>
    <cellStyle name="Финансовый 2 2 8 2 7 2" xfId="11445" xr:uid="{00000000-0005-0000-0000-0000A9130000}"/>
    <cellStyle name="Финансовый 2 2 8 2 8" xfId="4444" xr:uid="{00000000-0005-0000-0000-0000AA130000}"/>
    <cellStyle name="Финансовый 2 2 8 2 8 2" xfId="13089" xr:uid="{00000000-0005-0000-0000-0000AB130000}"/>
    <cellStyle name="Финансовый 2 2 8 2 9" xfId="6231" xr:uid="{00000000-0005-0000-0000-0000AC130000}"/>
    <cellStyle name="Финансовый 2 2 8 2 9 2" xfId="14874" xr:uid="{00000000-0005-0000-0000-0000AD130000}"/>
    <cellStyle name="Финансовый 2 2 8 3" xfId="339" xr:uid="{00000000-0005-0000-0000-0000AE130000}"/>
    <cellStyle name="Финансовый 2 2 8 3 2" xfId="2126" xr:uid="{00000000-0005-0000-0000-0000AF130000}"/>
    <cellStyle name="Финансовый 2 2 8 3 2 2" xfId="3771" xr:uid="{00000000-0005-0000-0000-0000B0130000}"/>
    <cellStyle name="Финансовый 2 2 8 3 2 2 2" xfId="12416" xr:uid="{00000000-0005-0000-0000-0000B1130000}"/>
    <cellStyle name="Финансовый 2 2 8 3 2 3" xfId="5554" xr:uid="{00000000-0005-0000-0000-0000B2130000}"/>
    <cellStyle name="Финансовый 2 2 8 3 2 3 2" xfId="14197" xr:uid="{00000000-0005-0000-0000-0000B3130000}"/>
    <cellStyle name="Финансовый 2 2 8 3 2 4" xfId="8164" xr:uid="{00000000-0005-0000-0000-0000B4130000}"/>
    <cellStyle name="Финансовый 2 2 8 3 2 4 2" xfId="16807" xr:uid="{00000000-0005-0000-0000-0000B5130000}"/>
    <cellStyle name="Финансовый 2 2 8 3 2 5" xfId="10771" xr:uid="{00000000-0005-0000-0000-0000B6130000}"/>
    <cellStyle name="Финансовый 2 2 8 3 3" xfId="1159" xr:uid="{00000000-0005-0000-0000-0000B7130000}"/>
    <cellStyle name="Финансовый 2 2 8 3 3 2" xfId="7199" xr:uid="{00000000-0005-0000-0000-0000B8130000}"/>
    <cellStyle name="Финансовый 2 2 8 3 3 2 2" xfId="15842" xr:uid="{00000000-0005-0000-0000-0000B9130000}"/>
    <cellStyle name="Финансовый 2 2 8 3 3 3" xfId="9806" xr:uid="{00000000-0005-0000-0000-0000BA130000}"/>
    <cellStyle name="Финансовый 2 2 8 3 4" xfId="759" xr:uid="{00000000-0005-0000-0000-0000BB130000}"/>
    <cellStyle name="Финансовый 2 2 8 3 4 2" xfId="6799" xr:uid="{00000000-0005-0000-0000-0000BC130000}"/>
    <cellStyle name="Финансовый 2 2 8 3 4 2 2" xfId="15442" xr:uid="{00000000-0005-0000-0000-0000BD130000}"/>
    <cellStyle name="Финансовый 2 2 8 3 4 3" xfId="9406" xr:uid="{00000000-0005-0000-0000-0000BE130000}"/>
    <cellStyle name="Финансовый 2 2 8 3 5" xfId="2936" xr:uid="{00000000-0005-0000-0000-0000BF130000}"/>
    <cellStyle name="Финансовый 2 2 8 3 5 2" xfId="11581" xr:uid="{00000000-0005-0000-0000-0000C0130000}"/>
    <cellStyle name="Финансовый 2 2 8 3 6" xfId="4580" xr:uid="{00000000-0005-0000-0000-0000C1130000}"/>
    <cellStyle name="Финансовый 2 2 8 3 6 2" xfId="13225" xr:uid="{00000000-0005-0000-0000-0000C2130000}"/>
    <cellStyle name="Финансовый 2 2 8 3 7" xfId="6379" xr:uid="{00000000-0005-0000-0000-0000C3130000}"/>
    <cellStyle name="Финансовый 2 2 8 3 7 2" xfId="15022" xr:uid="{00000000-0005-0000-0000-0000C4130000}"/>
    <cellStyle name="Финансовый 2 2 8 3 8" xfId="8986" xr:uid="{00000000-0005-0000-0000-0000C5130000}"/>
    <cellStyle name="Финансовый 2 2 8 4" xfId="1474" xr:uid="{00000000-0005-0000-0000-0000C6130000}"/>
    <cellStyle name="Финансовый 2 2 8 4 2" xfId="1862" xr:uid="{00000000-0005-0000-0000-0000C7130000}"/>
    <cellStyle name="Финансовый 2 2 8 4 2 2" xfId="3507" xr:uid="{00000000-0005-0000-0000-0000C8130000}"/>
    <cellStyle name="Финансовый 2 2 8 4 2 2 2" xfId="12152" xr:uid="{00000000-0005-0000-0000-0000C9130000}"/>
    <cellStyle name="Финансовый 2 2 8 4 2 3" xfId="5290" xr:uid="{00000000-0005-0000-0000-0000CA130000}"/>
    <cellStyle name="Финансовый 2 2 8 4 2 3 2" xfId="13933" xr:uid="{00000000-0005-0000-0000-0000CB130000}"/>
    <cellStyle name="Финансовый 2 2 8 4 2 4" xfId="7900" xr:uid="{00000000-0005-0000-0000-0000CC130000}"/>
    <cellStyle name="Финансовый 2 2 8 4 2 4 2" xfId="16543" xr:uid="{00000000-0005-0000-0000-0000CD130000}"/>
    <cellStyle name="Финансовый 2 2 8 4 2 5" xfId="10507" xr:uid="{00000000-0005-0000-0000-0000CE130000}"/>
    <cellStyle name="Финансовый 2 2 8 4 3" xfId="4902" xr:uid="{00000000-0005-0000-0000-0000CF130000}"/>
    <cellStyle name="Финансовый 2 2 8 4 3 2" xfId="13545" xr:uid="{00000000-0005-0000-0000-0000D0130000}"/>
    <cellStyle name="Финансовый 2 2 8 4 4" xfId="7512" xr:uid="{00000000-0005-0000-0000-0000D1130000}"/>
    <cellStyle name="Финансовый 2 2 8 4 4 2" xfId="16155" xr:uid="{00000000-0005-0000-0000-0000D2130000}"/>
    <cellStyle name="Финансовый 2 2 8 4 5" xfId="10119" xr:uid="{00000000-0005-0000-0000-0000D3130000}"/>
    <cellStyle name="Финансовый 2 2 8 5" xfId="1746" xr:uid="{00000000-0005-0000-0000-0000D4130000}"/>
    <cellStyle name="Финансовый 2 2 8 5 2" xfId="3391" xr:uid="{00000000-0005-0000-0000-0000D5130000}"/>
    <cellStyle name="Финансовый 2 2 8 5 2 2" xfId="12036" xr:uid="{00000000-0005-0000-0000-0000D6130000}"/>
    <cellStyle name="Финансовый 2 2 8 5 3" xfId="5174" xr:uid="{00000000-0005-0000-0000-0000D7130000}"/>
    <cellStyle name="Финансовый 2 2 8 5 3 2" xfId="13817" xr:uid="{00000000-0005-0000-0000-0000D8130000}"/>
    <cellStyle name="Финансовый 2 2 8 5 4" xfId="7784" xr:uid="{00000000-0005-0000-0000-0000D9130000}"/>
    <cellStyle name="Финансовый 2 2 8 5 4 2" xfId="16427" xr:uid="{00000000-0005-0000-0000-0000DA130000}"/>
    <cellStyle name="Финансовый 2 2 8 5 5" xfId="10391" xr:uid="{00000000-0005-0000-0000-0000DB130000}"/>
    <cellStyle name="Финансовый 2 2 8 6" xfId="2382" xr:uid="{00000000-0005-0000-0000-0000DC130000}"/>
    <cellStyle name="Финансовый 2 2 8 6 2" xfId="4027" xr:uid="{00000000-0005-0000-0000-0000DD130000}"/>
    <cellStyle name="Финансовый 2 2 8 6 2 2" xfId="12672" xr:uid="{00000000-0005-0000-0000-0000DE130000}"/>
    <cellStyle name="Финансовый 2 2 8 6 3" xfId="5810" xr:uid="{00000000-0005-0000-0000-0000DF130000}"/>
    <cellStyle name="Финансовый 2 2 8 6 3 2" xfId="14453" xr:uid="{00000000-0005-0000-0000-0000E0130000}"/>
    <cellStyle name="Финансовый 2 2 8 6 4" xfId="8420" xr:uid="{00000000-0005-0000-0000-0000E1130000}"/>
    <cellStyle name="Финансовый 2 2 8 6 4 2" xfId="17063" xr:uid="{00000000-0005-0000-0000-0000E2130000}"/>
    <cellStyle name="Финансовый 2 2 8 6 5" xfId="11027" xr:uid="{00000000-0005-0000-0000-0000E3130000}"/>
    <cellStyle name="Финансовый 2 2 8 7" xfId="1609" xr:uid="{00000000-0005-0000-0000-0000E4130000}"/>
    <cellStyle name="Финансовый 2 2 8 7 2" xfId="3254" xr:uid="{00000000-0005-0000-0000-0000E5130000}"/>
    <cellStyle name="Финансовый 2 2 8 7 2 2" xfId="11899" xr:uid="{00000000-0005-0000-0000-0000E6130000}"/>
    <cellStyle name="Финансовый 2 2 8 7 3" xfId="5037" xr:uid="{00000000-0005-0000-0000-0000E7130000}"/>
    <cellStyle name="Финансовый 2 2 8 7 3 2" xfId="13680" xr:uid="{00000000-0005-0000-0000-0000E8130000}"/>
    <cellStyle name="Финансовый 2 2 8 7 4" xfId="7647" xr:uid="{00000000-0005-0000-0000-0000E9130000}"/>
    <cellStyle name="Финансовый 2 2 8 7 4 2" xfId="16290" xr:uid="{00000000-0005-0000-0000-0000EA130000}"/>
    <cellStyle name="Финансовый 2 2 8 7 5" xfId="10254" xr:uid="{00000000-0005-0000-0000-0000EB130000}"/>
    <cellStyle name="Финансовый 2 2 8 8" xfId="895" xr:uid="{00000000-0005-0000-0000-0000EC130000}"/>
    <cellStyle name="Финансовый 2 2 8 8 2" xfId="6935" xr:uid="{00000000-0005-0000-0000-0000ED130000}"/>
    <cellStyle name="Финансовый 2 2 8 8 2 2" xfId="15578" xr:uid="{00000000-0005-0000-0000-0000EE130000}"/>
    <cellStyle name="Финансовый 2 2 8 8 3" xfId="9542" xr:uid="{00000000-0005-0000-0000-0000EF130000}"/>
    <cellStyle name="Финансовый 2 2 8 9" xfId="475" xr:uid="{00000000-0005-0000-0000-0000F0130000}"/>
    <cellStyle name="Финансовый 2 2 8 9 2" xfId="6515" xr:uid="{00000000-0005-0000-0000-0000F1130000}"/>
    <cellStyle name="Финансовый 2 2 8 9 2 2" xfId="15158" xr:uid="{00000000-0005-0000-0000-0000F2130000}"/>
    <cellStyle name="Финансовый 2 2 8 9 3" xfId="9122" xr:uid="{00000000-0005-0000-0000-0000F3130000}"/>
    <cellStyle name="Финансовый 2 2 9" xfId="130" xr:uid="{00000000-0005-0000-0000-0000F4130000}"/>
    <cellStyle name="Финансовый 2 2 9 10" xfId="2740" xr:uid="{00000000-0005-0000-0000-0000F5130000}"/>
    <cellStyle name="Финансовый 2 2 9 10 2" xfId="11385" xr:uid="{00000000-0005-0000-0000-0000F6130000}"/>
    <cellStyle name="Финансовый 2 2 9 11" xfId="4384" xr:uid="{00000000-0005-0000-0000-0000F7130000}"/>
    <cellStyle name="Финансовый 2 2 9 11 2" xfId="13029" xr:uid="{00000000-0005-0000-0000-0000F8130000}"/>
    <cellStyle name="Финансовый 2 2 9 12" xfId="6171" xr:uid="{00000000-0005-0000-0000-0000F9130000}"/>
    <cellStyle name="Финансовый 2 2 9 12 2" xfId="14814" xr:uid="{00000000-0005-0000-0000-0000FA130000}"/>
    <cellStyle name="Финансовый 2 2 9 13" xfId="8778" xr:uid="{00000000-0005-0000-0000-0000FB130000}"/>
    <cellStyle name="Финансовый 2 2 9 2" xfId="266" xr:uid="{00000000-0005-0000-0000-0000FC130000}"/>
    <cellStyle name="Финансовый 2 2 9 2 10" xfId="8914" xr:uid="{00000000-0005-0000-0000-0000FD130000}"/>
    <cellStyle name="Финансовый 2 2 9 2 2" xfId="1364" xr:uid="{00000000-0005-0000-0000-0000FE130000}"/>
    <cellStyle name="Финансовый 2 2 9 2 2 2" xfId="2322" xr:uid="{00000000-0005-0000-0000-0000FF130000}"/>
    <cellStyle name="Финансовый 2 2 9 2 2 2 2" xfId="3967" xr:uid="{00000000-0005-0000-0000-000000140000}"/>
    <cellStyle name="Финансовый 2 2 9 2 2 2 2 2" xfId="12612" xr:uid="{00000000-0005-0000-0000-000001140000}"/>
    <cellStyle name="Финансовый 2 2 9 2 2 2 3" xfId="5750" xr:uid="{00000000-0005-0000-0000-000002140000}"/>
    <cellStyle name="Финансовый 2 2 9 2 2 2 3 2" xfId="14393" xr:uid="{00000000-0005-0000-0000-000003140000}"/>
    <cellStyle name="Финансовый 2 2 9 2 2 2 4" xfId="8360" xr:uid="{00000000-0005-0000-0000-000004140000}"/>
    <cellStyle name="Финансовый 2 2 9 2 2 2 4 2" xfId="17003" xr:uid="{00000000-0005-0000-0000-000005140000}"/>
    <cellStyle name="Финансовый 2 2 9 2 2 2 5" xfId="10967" xr:uid="{00000000-0005-0000-0000-000006140000}"/>
    <cellStyle name="Финансовый 2 2 9 2 2 3" xfId="3148" xr:uid="{00000000-0005-0000-0000-000007140000}"/>
    <cellStyle name="Финансовый 2 2 9 2 2 3 2" xfId="11793" xr:uid="{00000000-0005-0000-0000-000008140000}"/>
    <cellStyle name="Финансовый 2 2 9 2 2 4" xfId="4792" xr:uid="{00000000-0005-0000-0000-000009140000}"/>
    <cellStyle name="Финансовый 2 2 9 2 2 4 2" xfId="13437" xr:uid="{00000000-0005-0000-0000-00000A140000}"/>
    <cellStyle name="Финансовый 2 2 9 2 2 5" xfId="7404" xr:uid="{00000000-0005-0000-0000-00000B140000}"/>
    <cellStyle name="Финансовый 2 2 9 2 2 5 2" xfId="16047" xr:uid="{00000000-0005-0000-0000-00000C140000}"/>
    <cellStyle name="Финансовый 2 2 9 2 2 6" xfId="10011" xr:uid="{00000000-0005-0000-0000-00000D140000}"/>
    <cellStyle name="Финансовый 2 2 9 2 3" xfId="2066" xr:uid="{00000000-0005-0000-0000-00000E140000}"/>
    <cellStyle name="Финансовый 2 2 9 2 3 2" xfId="3711" xr:uid="{00000000-0005-0000-0000-00000F140000}"/>
    <cellStyle name="Финансовый 2 2 9 2 3 2 2" xfId="12356" xr:uid="{00000000-0005-0000-0000-000010140000}"/>
    <cellStyle name="Финансовый 2 2 9 2 3 3" xfId="5494" xr:uid="{00000000-0005-0000-0000-000011140000}"/>
    <cellStyle name="Финансовый 2 2 9 2 3 3 2" xfId="14137" xr:uid="{00000000-0005-0000-0000-000012140000}"/>
    <cellStyle name="Финансовый 2 2 9 2 3 4" xfId="8104" xr:uid="{00000000-0005-0000-0000-000013140000}"/>
    <cellStyle name="Финансовый 2 2 9 2 3 4 2" xfId="16747" xr:uid="{00000000-0005-0000-0000-000014140000}"/>
    <cellStyle name="Финансовый 2 2 9 2 3 5" xfId="10711" xr:uid="{00000000-0005-0000-0000-000015140000}"/>
    <cellStyle name="Финансовый 2 2 9 2 4" xfId="2595" xr:uid="{00000000-0005-0000-0000-000016140000}"/>
    <cellStyle name="Финансовый 2 2 9 2 4 2" xfId="4240" xr:uid="{00000000-0005-0000-0000-000017140000}"/>
    <cellStyle name="Финансовый 2 2 9 2 4 2 2" xfId="12885" xr:uid="{00000000-0005-0000-0000-000018140000}"/>
    <cellStyle name="Финансовый 2 2 9 2 4 3" xfId="6023" xr:uid="{00000000-0005-0000-0000-000019140000}"/>
    <cellStyle name="Финансовый 2 2 9 2 4 3 2" xfId="14666" xr:uid="{00000000-0005-0000-0000-00001A140000}"/>
    <cellStyle name="Финансовый 2 2 9 2 4 4" xfId="8633" xr:uid="{00000000-0005-0000-0000-00001B140000}"/>
    <cellStyle name="Финансовый 2 2 9 2 4 4 2" xfId="17276" xr:uid="{00000000-0005-0000-0000-00001C140000}"/>
    <cellStyle name="Финансовый 2 2 9 2 4 5" xfId="11240" xr:uid="{00000000-0005-0000-0000-00001D140000}"/>
    <cellStyle name="Финансовый 2 2 9 2 5" xfId="1099" xr:uid="{00000000-0005-0000-0000-00001E140000}"/>
    <cellStyle name="Финансовый 2 2 9 2 5 2" xfId="7139" xr:uid="{00000000-0005-0000-0000-00001F140000}"/>
    <cellStyle name="Финансовый 2 2 9 2 5 2 2" xfId="15782" xr:uid="{00000000-0005-0000-0000-000020140000}"/>
    <cellStyle name="Финансовый 2 2 9 2 5 3" xfId="9746" xr:uid="{00000000-0005-0000-0000-000021140000}"/>
    <cellStyle name="Финансовый 2 2 9 2 6" xfId="687" xr:uid="{00000000-0005-0000-0000-000022140000}"/>
    <cellStyle name="Финансовый 2 2 9 2 6 2" xfId="6727" xr:uid="{00000000-0005-0000-0000-000023140000}"/>
    <cellStyle name="Финансовый 2 2 9 2 6 2 2" xfId="15370" xr:uid="{00000000-0005-0000-0000-000024140000}"/>
    <cellStyle name="Финансовый 2 2 9 2 6 3" xfId="9334" xr:uid="{00000000-0005-0000-0000-000025140000}"/>
    <cellStyle name="Финансовый 2 2 9 2 7" xfId="2876" xr:uid="{00000000-0005-0000-0000-000026140000}"/>
    <cellStyle name="Финансовый 2 2 9 2 7 2" xfId="11521" xr:uid="{00000000-0005-0000-0000-000027140000}"/>
    <cellStyle name="Финансовый 2 2 9 2 8" xfId="4520" xr:uid="{00000000-0005-0000-0000-000028140000}"/>
    <cellStyle name="Финансовый 2 2 9 2 8 2" xfId="13165" xr:uid="{00000000-0005-0000-0000-000029140000}"/>
    <cellStyle name="Финансовый 2 2 9 2 9" xfId="6307" xr:uid="{00000000-0005-0000-0000-00002A140000}"/>
    <cellStyle name="Финансовый 2 2 9 2 9 2" xfId="14950" xr:uid="{00000000-0005-0000-0000-00002B140000}"/>
    <cellStyle name="Финансовый 2 2 9 3" xfId="415" xr:uid="{00000000-0005-0000-0000-00002C140000}"/>
    <cellStyle name="Финансовый 2 2 9 3 2" xfId="2194" xr:uid="{00000000-0005-0000-0000-00002D140000}"/>
    <cellStyle name="Финансовый 2 2 9 3 2 2" xfId="3839" xr:uid="{00000000-0005-0000-0000-00002E140000}"/>
    <cellStyle name="Финансовый 2 2 9 3 2 2 2" xfId="12484" xr:uid="{00000000-0005-0000-0000-00002F140000}"/>
    <cellStyle name="Финансовый 2 2 9 3 2 3" xfId="5622" xr:uid="{00000000-0005-0000-0000-000030140000}"/>
    <cellStyle name="Финансовый 2 2 9 3 2 3 2" xfId="14265" xr:uid="{00000000-0005-0000-0000-000031140000}"/>
    <cellStyle name="Финансовый 2 2 9 3 2 4" xfId="8232" xr:uid="{00000000-0005-0000-0000-000032140000}"/>
    <cellStyle name="Финансовый 2 2 9 3 2 4 2" xfId="16875" xr:uid="{00000000-0005-0000-0000-000033140000}"/>
    <cellStyle name="Финансовый 2 2 9 3 2 5" xfId="10839" xr:uid="{00000000-0005-0000-0000-000034140000}"/>
    <cellStyle name="Финансовый 2 2 9 3 3" xfId="1228" xr:uid="{00000000-0005-0000-0000-000035140000}"/>
    <cellStyle name="Финансовый 2 2 9 3 3 2" xfId="7268" xr:uid="{00000000-0005-0000-0000-000036140000}"/>
    <cellStyle name="Финансовый 2 2 9 3 3 2 2" xfId="15911" xr:uid="{00000000-0005-0000-0000-000037140000}"/>
    <cellStyle name="Финансовый 2 2 9 3 3 3" xfId="9875" xr:uid="{00000000-0005-0000-0000-000038140000}"/>
    <cellStyle name="Финансовый 2 2 9 3 4" xfId="835" xr:uid="{00000000-0005-0000-0000-000039140000}"/>
    <cellStyle name="Финансовый 2 2 9 3 4 2" xfId="6875" xr:uid="{00000000-0005-0000-0000-00003A140000}"/>
    <cellStyle name="Финансовый 2 2 9 3 4 2 2" xfId="15518" xr:uid="{00000000-0005-0000-0000-00003B140000}"/>
    <cellStyle name="Финансовый 2 2 9 3 4 3" xfId="9482" xr:uid="{00000000-0005-0000-0000-00003C140000}"/>
    <cellStyle name="Финансовый 2 2 9 3 5" xfId="3012" xr:uid="{00000000-0005-0000-0000-00003D140000}"/>
    <cellStyle name="Финансовый 2 2 9 3 5 2" xfId="11657" xr:uid="{00000000-0005-0000-0000-00003E140000}"/>
    <cellStyle name="Финансовый 2 2 9 3 6" xfId="4656" xr:uid="{00000000-0005-0000-0000-00003F140000}"/>
    <cellStyle name="Финансовый 2 2 9 3 6 2" xfId="13301" xr:uid="{00000000-0005-0000-0000-000040140000}"/>
    <cellStyle name="Финансовый 2 2 9 3 7" xfId="6455" xr:uid="{00000000-0005-0000-0000-000041140000}"/>
    <cellStyle name="Финансовый 2 2 9 3 7 2" xfId="15098" xr:uid="{00000000-0005-0000-0000-000042140000}"/>
    <cellStyle name="Финансовый 2 2 9 3 8" xfId="9062" xr:uid="{00000000-0005-0000-0000-000043140000}"/>
    <cellStyle name="Финансовый 2 2 9 4" xfId="1475" xr:uid="{00000000-0005-0000-0000-000044140000}"/>
    <cellStyle name="Финансовый 2 2 9 4 2" xfId="1938" xr:uid="{00000000-0005-0000-0000-000045140000}"/>
    <cellStyle name="Финансовый 2 2 9 4 2 2" xfId="3583" xr:uid="{00000000-0005-0000-0000-000046140000}"/>
    <cellStyle name="Финансовый 2 2 9 4 2 2 2" xfId="12228" xr:uid="{00000000-0005-0000-0000-000047140000}"/>
    <cellStyle name="Финансовый 2 2 9 4 2 3" xfId="5366" xr:uid="{00000000-0005-0000-0000-000048140000}"/>
    <cellStyle name="Финансовый 2 2 9 4 2 3 2" xfId="14009" xr:uid="{00000000-0005-0000-0000-000049140000}"/>
    <cellStyle name="Финансовый 2 2 9 4 2 4" xfId="7976" xr:uid="{00000000-0005-0000-0000-00004A140000}"/>
    <cellStyle name="Финансовый 2 2 9 4 2 4 2" xfId="16619" xr:uid="{00000000-0005-0000-0000-00004B140000}"/>
    <cellStyle name="Финансовый 2 2 9 4 2 5" xfId="10583" xr:uid="{00000000-0005-0000-0000-00004C140000}"/>
    <cellStyle name="Финансовый 2 2 9 4 3" xfId="4903" xr:uid="{00000000-0005-0000-0000-00004D140000}"/>
    <cellStyle name="Финансовый 2 2 9 4 3 2" xfId="13546" xr:uid="{00000000-0005-0000-0000-00004E140000}"/>
    <cellStyle name="Финансовый 2 2 9 4 4" xfId="7513" xr:uid="{00000000-0005-0000-0000-00004F140000}"/>
    <cellStyle name="Финансовый 2 2 9 4 4 2" xfId="16156" xr:uid="{00000000-0005-0000-0000-000050140000}"/>
    <cellStyle name="Финансовый 2 2 9 4 5" xfId="10120" xr:uid="{00000000-0005-0000-0000-000051140000}"/>
    <cellStyle name="Финансовый 2 2 9 5" xfId="1814" xr:uid="{00000000-0005-0000-0000-000052140000}"/>
    <cellStyle name="Финансовый 2 2 9 5 2" xfId="3459" xr:uid="{00000000-0005-0000-0000-000053140000}"/>
    <cellStyle name="Финансовый 2 2 9 5 2 2" xfId="12104" xr:uid="{00000000-0005-0000-0000-000054140000}"/>
    <cellStyle name="Финансовый 2 2 9 5 3" xfId="5242" xr:uid="{00000000-0005-0000-0000-000055140000}"/>
    <cellStyle name="Финансовый 2 2 9 5 3 2" xfId="13885" xr:uid="{00000000-0005-0000-0000-000056140000}"/>
    <cellStyle name="Финансовый 2 2 9 5 4" xfId="7852" xr:uid="{00000000-0005-0000-0000-000057140000}"/>
    <cellStyle name="Финансовый 2 2 9 5 4 2" xfId="16495" xr:uid="{00000000-0005-0000-0000-000058140000}"/>
    <cellStyle name="Финансовый 2 2 9 5 5" xfId="10459" xr:uid="{00000000-0005-0000-0000-000059140000}"/>
    <cellStyle name="Финансовый 2 2 9 6" xfId="2459" xr:uid="{00000000-0005-0000-0000-00005A140000}"/>
    <cellStyle name="Финансовый 2 2 9 6 2" xfId="4104" xr:uid="{00000000-0005-0000-0000-00005B140000}"/>
    <cellStyle name="Финансовый 2 2 9 6 2 2" xfId="12749" xr:uid="{00000000-0005-0000-0000-00005C140000}"/>
    <cellStyle name="Финансовый 2 2 9 6 3" xfId="5887" xr:uid="{00000000-0005-0000-0000-00005D140000}"/>
    <cellStyle name="Финансовый 2 2 9 6 3 2" xfId="14530" xr:uid="{00000000-0005-0000-0000-00005E140000}"/>
    <cellStyle name="Финансовый 2 2 9 6 4" xfId="8497" xr:uid="{00000000-0005-0000-0000-00005F140000}"/>
    <cellStyle name="Финансовый 2 2 9 6 4 2" xfId="17140" xr:uid="{00000000-0005-0000-0000-000060140000}"/>
    <cellStyle name="Финансовый 2 2 9 6 5" xfId="11104" xr:uid="{00000000-0005-0000-0000-000061140000}"/>
    <cellStyle name="Финансовый 2 2 9 7" xfId="1686" xr:uid="{00000000-0005-0000-0000-000062140000}"/>
    <cellStyle name="Финансовый 2 2 9 7 2" xfId="3331" xr:uid="{00000000-0005-0000-0000-000063140000}"/>
    <cellStyle name="Финансовый 2 2 9 7 2 2" xfId="11976" xr:uid="{00000000-0005-0000-0000-000064140000}"/>
    <cellStyle name="Финансовый 2 2 9 7 3" xfId="5114" xr:uid="{00000000-0005-0000-0000-000065140000}"/>
    <cellStyle name="Финансовый 2 2 9 7 3 2" xfId="13757" xr:uid="{00000000-0005-0000-0000-000066140000}"/>
    <cellStyle name="Финансовый 2 2 9 7 4" xfId="7724" xr:uid="{00000000-0005-0000-0000-000067140000}"/>
    <cellStyle name="Финансовый 2 2 9 7 4 2" xfId="16367" xr:uid="{00000000-0005-0000-0000-000068140000}"/>
    <cellStyle name="Финансовый 2 2 9 7 5" xfId="10331" xr:uid="{00000000-0005-0000-0000-000069140000}"/>
    <cellStyle name="Финансовый 2 2 9 8" xfId="963" xr:uid="{00000000-0005-0000-0000-00006A140000}"/>
    <cellStyle name="Финансовый 2 2 9 8 2" xfId="7003" xr:uid="{00000000-0005-0000-0000-00006B140000}"/>
    <cellStyle name="Финансовый 2 2 9 8 2 2" xfId="15646" xr:uid="{00000000-0005-0000-0000-00006C140000}"/>
    <cellStyle name="Финансовый 2 2 9 8 3" xfId="9610" xr:uid="{00000000-0005-0000-0000-00006D140000}"/>
    <cellStyle name="Финансовый 2 2 9 9" xfId="551" xr:uid="{00000000-0005-0000-0000-00006E140000}"/>
    <cellStyle name="Финансовый 2 2 9 9 2" xfId="6591" xr:uid="{00000000-0005-0000-0000-00006F140000}"/>
    <cellStyle name="Финансовый 2 2 9 9 2 2" xfId="15234" xr:uid="{00000000-0005-0000-0000-000070140000}"/>
    <cellStyle name="Финансовый 2 2 9 9 3" xfId="9198" xr:uid="{00000000-0005-0000-0000-000071140000}"/>
    <cellStyle name="Финансовый 2 20" xfId="1559" xr:uid="{00000000-0005-0000-0000-000072140000}"/>
    <cellStyle name="Финансовый 2 20 2" xfId="3204" xr:uid="{00000000-0005-0000-0000-000073140000}"/>
    <cellStyle name="Финансовый 2 20 2 2" xfId="11849" xr:uid="{00000000-0005-0000-0000-000074140000}"/>
    <cellStyle name="Финансовый 2 20 3" xfId="4987" xr:uid="{00000000-0005-0000-0000-000075140000}"/>
    <cellStyle name="Финансовый 2 20 3 2" xfId="13630" xr:uid="{00000000-0005-0000-0000-000076140000}"/>
    <cellStyle name="Финансовый 2 20 4" xfId="7597" xr:uid="{00000000-0005-0000-0000-000077140000}"/>
    <cellStyle name="Финансовый 2 20 4 2" xfId="16240" xr:uid="{00000000-0005-0000-0000-000078140000}"/>
    <cellStyle name="Финансовый 2 20 5" xfId="10204" xr:uid="{00000000-0005-0000-0000-000079140000}"/>
    <cellStyle name="Финансовый 2 21" xfId="845" xr:uid="{00000000-0005-0000-0000-00007A140000}"/>
    <cellStyle name="Финансовый 2 21 2" xfId="6885" xr:uid="{00000000-0005-0000-0000-00007B140000}"/>
    <cellStyle name="Финансовый 2 21 2 2" xfId="15528" xr:uid="{00000000-0005-0000-0000-00007C140000}"/>
    <cellStyle name="Финансовый 2 21 3" xfId="9492" xr:uid="{00000000-0005-0000-0000-00007D140000}"/>
    <cellStyle name="Финансовый 2 22" xfId="425" xr:uid="{00000000-0005-0000-0000-00007E140000}"/>
    <cellStyle name="Финансовый 2 22 2" xfId="6465" xr:uid="{00000000-0005-0000-0000-00007F140000}"/>
    <cellStyle name="Финансовый 2 22 2 2" xfId="15108" xr:uid="{00000000-0005-0000-0000-000080140000}"/>
    <cellStyle name="Финансовый 2 22 3" xfId="9072" xr:uid="{00000000-0005-0000-0000-000081140000}"/>
    <cellStyle name="Финансовый 2 23" xfId="2614" xr:uid="{00000000-0005-0000-0000-000082140000}"/>
    <cellStyle name="Финансовый 2 23 2" xfId="11259" xr:uid="{00000000-0005-0000-0000-000083140000}"/>
    <cellStyle name="Финансовый 2 24" xfId="4257" xr:uid="{00000000-0005-0000-0000-000084140000}"/>
    <cellStyle name="Финансовый 2 24 2" xfId="12902" xr:uid="{00000000-0005-0000-0000-000085140000}"/>
    <cellStyle name="Финансовый 2 25" xfId="6045" xr:uid="{00000000-0005-0000-0000-000086140000}"/>
    <cellStyle name="Финансовый 2 25 2" xfId="14688" xr:uid="{00000000-0005-0000-0000-000087140000}"/>
    <cellStyle name="Финансовый 2 26" xfId="8652" xr:uid="{00000000-0005-0000-0000-000088140000}"/>
    <cellStyle name="Финансовый 2 3" xfId="6" xr:uid="{00000000-0005-0000-0000-000089140000}"/>
    <cellStyle name="Финансовый 2 3 10" xfId="30" xr:uid="{00000000-0005-0000-0000-00008A140000}"/>
    <cellStyle name="Финансовый 2 3 10 10" xfId="2642" xr:uid="{00000000-0005-0000-0000-00008B140000}"/>
    <cellStyle name="Финансовый 2 3 10 10 2" xfId="11287" xr:uid="{00000000-0005-0000-0000-00008C140000}"/>
    <cellStyle name="Финансовый 2 3 10 11" xfId="4285" xr:uid="{00000000-0005-0000-0000-00008D140000}"/>
    <cellStyle name="Финансовый 2 3 10 11 2" xfId="12930" xr:uid="{00000000-0005-0000-0000-00008E140000}"/>
    <cellStyle name="Финансовый 2 3 10 12" xfId="6073" xr:uid="{00000000-0005-0000-0000-00008F140000}"/>
    <cellStyle name="Финансовый 2 3 10 12 2" xfId="14716" xr:uid="{00000000-0005-0000-0000-000090140000}"/>
    <cellStyle name="Финансовый 2 3 10 13" xfId="8680" xr:uid="{00000000-0005-0000-0000-000091140000}"/>
    <cellStyle name="Финансовый 2 3 10 2" xfId="168" xr:uid="{00000000-0005-0000-0000-000092140000}"/>
    <cellStyle name="Финансовый 2 3 10 2 10" xfId="8816" xr:uid="{00000000-0005-0000-0000-000093140000}"/>
    <cellStyle name="Финансовый 2 3 10 2 2" xfId="1266" xr:uid="{00000000-0005-0000-0000-000094140000}"/>
    <cellStyle name="Финансовый 2 3 10 2 2 2" xfId="2232" xr:uid="{00000000-0005-0000-0000-000095140000}"/>
    <cellStyle name="Финансовый 2 3 10 2 2 2 2" xfId="3877" xr:uid="{00000000-0005-0000-0000-000096140000}"/>
    <cellStyle name="Финансовый 2 3 10 2 2 2 2 2" xfId="12522" xr:uid="{00000000-0005-0000-0000-000097140000}"/>
    <cellStyle name="Финансовый 2 3 10 2 2 2 3" xfId="5660" xr:uid="{00000000-0005-0000-0000-000098140000}"/>
    <cellStyle name="Финансовый 2 3 10 2 2 2 3 2" xfId="14303" xr:uid="{00000000-0005-0000-0000-000099140000}"/>
    <cellStyle name="Финансовый 2 3 10 2 2 2 4" xfId="8270" xr:uid="{00000000-0005-0000-0000-00009A140000}"/>
    <cellStyle name="Финансовый 2 3 10 2 2 2 4 2" xfId="16913" xr:uid="{00000000-0005-0000-0000-00009B140000}"/>
    <cellStyle name="Финансовый 2 3 10 2 2 2 5" xfId="10877" xr:uid="{00000000-0005-0000-0000-00009C140000}"/>
    <cellStyle name="Финансовый 2 3 10 2 2 3" xfId="3050" xr:uid="{00000000-0005-0000-0000-00009D140000}"/>
    <cellStyle name="Финансовый 2 3 10 2 2 3 2" xfId="11695" xr:uid="{00000000-0005-0000-0000-00009E140000}"/>
    <cellStyle name="Финансовый 2 3 10 2 2 4" xfId="4694" xr:uid="{00000000-0005-0000-0000-00009F140000}"/>
    <cellStyle name="Финансовый 2 3 10 2 2 4 2" xfId="13339" xr:uid="{00000000-0005-0000-0000-0000A0140000}"/>
    <cellStyle name="Финансовый 2 3 10 2 2 5" xfId="7306" xr:uid="{00000000-0005-0000-0000-0000A1140000}"/>
    <cellStyle name="Финансовый 2 3 10 2 2 5 2" xfId="15949" xr:uid="{00000000-0005-0000-0000-0000A2140000}"/>
    <cellStyle name="Финансовый 2 3 10 2 2 6" xfId="9913" xr:uid="{00000000-0005-0000-0000-0000A3140000}"/>
    <cellStyle name="Финансовый 2 3 10 2 3" xfId="1976" xr:uid="{00000000-0005-0000-0000-0000A4140000}"/>
    <cellStyle name="Финансовый 2 3 10 2 3 2" xfId="3621" xr:uid="{00000000-0005-0000-0000-0000A5140000}"/>
    <cellStyle name="Финансовый 2 3 10 2 3 2 2" xfId="12266" xr:uid="{00000000-0005-0000-0000-0000A6140000}"/>
    <cellStyle name="Финансовый 2 3 10 2 3 3" xfId="5404" xr:uid="{00000000-0005-0000-0000-0000A7140000}"/>
    <cellStyle name="Финансовый 2 3 10 2 3 3 2" xfId="14047" xr:uid="{00000000-0005-0000-0000-0000A8140000}"/>
    <cellStyle name="Финансовый 2 3 10 2 3 4" xfId="8014" xr:uid="{00000000-0005-0000-0000-0000A9140000}"/>
    <cellStyle name="Финансовый 2 3 10 2 3 4 2" xfId="16657" xr:uid="{00000000-0005-0000-0000-0000AA140000}"/>
    <cellStyle name="Финансовый 2 3 10 2 3 5" xfId="10621" xr:uid="{00000000-0005-0000-0000-0000AB140000}"/>
    <cellStyle name="Финансовый 2 3 10 2 4" xfId="2497" xr:uid="{00000000-0005-0000-0000-0000AC140000}"/>
    <cellStyle name="Финансовый 2 3 10 2 4 2" xfId="4142" xr:uid="{00000000-0005-0000-0000-0000AD140000}"/>
    <cellStyle name="Финансовый 2 3 10 2 4 2 2" xfId="12787" xr:uid="{00000000-0005-0000-0000-0000AE140000}"/>
    <cellStyle name="Финансовый 2 3 10 2 4 3" xfId="5925" xr:uid="{00000000-0005-0000-0000-0000AF140000}"/>
    <cellStyle name="Финансовый 2 3 10 2 4 3 2" xfId="14568" xr:uid="{00000000-0005-0000-0000-0000B0140000}"/>
    <cellStyle name="Финансовый 2 3 10 2 4 4" xfId="8535" xr:uid="{00000000-0005-0000-0000-0000B1140000}"/>
    <cellStyle name="Финансовый 2 3 10 2 4 4 2" xfId="17178" xr:uid="{00000000-0005-0000-0000-0000B2140000}"/>
    <cellStyle name="Финансовый 2 3 10 2 4 5" xfId="11142" xr:uid="{00000000-0005-0000-0000-0000B3140000}"/>
    <cellStyle name="Финансовый 2 3 10 2 5" xfId="1001" xr:uid="{00000000-0005-0000-0000-0000B4140000}"/>
    <cellStyle name="Финансовый 2 3 10 2 5 2" xfId="7041" xr:uid="{00000000-0005-0000-0000-0000B5140000}"/>
    <cellStyle name="Финансовый 2 3 10 2 5 2 2" xfId="15684" xr:uid="{00000000-0005-0000-0000-0000B6140000}"/>
    <cellStyle name="Финансовый 2 3 10 2 5 3" xfId="9648" xr:uid="{00000000-0005-0000-0000-0000B7140000}"/>
    <cellStyle name="Финансовый 2 3 10 2 6" xfId="589" xr:uid="{00000000-0005-0000-0000-0000B8140000}"/>
    <cellStyle name="Финансовый 2 3 10 2 6 2" xfId="6629" xr:uid="{00000000-0005-0000-0000-0000B9140000}"/>
    <cellStyle name="Финансовый 2 3 10 2 6 2 2" xfId="15272" xr:uid="{00000000-0005-0000-0000-0000BA140000}"/>
    <cellStyle name="Финансовый 2 3 10 2 6 3" xfId="9236" xr:uid="{00000000-0005-0000-0000-0000BB140000}"/>
    <cellStyle name="Финансовый 2 3 10 2 7" xfId="2778" xr:uid="{00000000-0005-0000-0000-0000BC140000}"/>
    <cellStyle name="Финансовый 2 3 10 2 7 2" xfId="11423" xr:uid="{00000000-0005-0000-0000-0000BD140000}"/>
    <cellStyle name="Финансовый 2 3 10 2 8" xfId="4422" xr:uid="{00000000-0005-0000-0000-0000BE140000}"/>
    <cellStyle name="Финансовый 2 3 10 2 8 2" xfId="13067" xr:uid="{00000000-0005-0000-0000-0000BF140000}"/>
    <cellStyle name="Финансовый 2 3 10 2 9" xfId="6209" xr:uid="{00000000-0005-0000-0000-0000C0140000}"/>
    <cellStyle name="Финансовый 2 3 10 2 9 2" xfId="14852" xr:uid="{00000000-0005-0000-0000-0000C1140000}"/>
    <cellStyle name="Финансовый 2 3 10 3" xfId="317" xr:uid="{00000000-0005-0000-0000-0000C2140000}"/>
    <cellStyle name="Финансовый 2 3 10 3 2" xfId="2104" xr:uid="{00000000-0005-0000-0000-0000C3140000}"/>
    <cellStyle name="Финансовый 2 3 10 3 2 2" xfId="3749" xr:uid="{00000000-0005-0000-0000-0000C4140000}"/>
    <cellStyle name="Финансовый 2 3 10 3 2 2 2" xfId="12394" xr:uid="{00000000-0005-0000-0000-0000C5140000}"/>
    <cellStyle name="Финансовый 2 3 10 3 2 3" xfId="5532" xr:uid="{00000000-0005-0000-0000-0000C6140000}"/>
    <cellStyle name="Финансовый 2 3 10 3 2 3 2" xfId="14175" xr:uid="{00000000-0005-0000-0000-0000C7140000}"/>
    <cellStyle name="Финансовый 2 3 10 3 2 4" xfId="8142" xr:uid="{00000000-0005-0000-0000-0000C8140000}"/>
    <cellStyle name="Финансовый 2 3 10 3 2 4 2" xfId="16785" xr:uid="{00000000-0005-0000-0000-0000C9140000}"/>
    <cellStyle name="Финансовый 2 3 10 3 2 5" xfId="10749" xr:uid="{00000000-0005-0000-0000-0000CA140000}"/>
    <cellStyle name="Финансовый 2 3 10 3 3" xfId="1137" xr:uid="{00000000-0005-0000-0000-0000CB140000}"/>
    <cellStyle name="Финансовый 2 3 10 3 3 2" xfId="7177" xr:uid="{00000000-0005-0000-0000-0000CC140000}"/>
    <cellStyle name="Финансовый 2 3 10 3 3 2 2" xfId="15820" xr:uid="{00000000-0005-0000-0000-0000CD140000}"/>
    <cellStyle name="Финансовый 2 3 10 3 3 3" xfId="9784" xr:uid="{00000000-0005-0000-0000-0000CE140000}"/>
    <cellStyle name="Финансовый 2 3 10 3 4" xfId="737" xr:uid="{00000000-0005-0000-0000-0000CF140000}"/>
    <cellStyle name="Финансовый 2 3 10 3 4 2" xfId="6777" xr:uid="{00000000-0005-0000-0000-0000D0140000}"/>
    <cellStyle name="Финансовый 2 3 10 3 4 2 2" xfId="15420" xr:uid="{00000000-0005-0000-0000-0000D1140000}"/>
    <cellStyle name="Финансовый 2 3 10 3 4 3" xfId="9384" xr:uid="{00000000-0005-0000-0000-0000D2140000}"/>
    <cellStyle name="Финансовый 2 3 10 3 5" xfId="2914" xr:uid="{00000000-0005-0000-0000-0000D3140000}"/>
    <cellStyle name="Финансовый 2 3 10 3 5 2" xfId="11559" xr:uid="{00000000-0005-0000-0000-0000D4140000}"/>
    <cellStyle name="Финансовый 2 3 10 3 6" xfId="4558" xr:uid="{00000000-0005-0000-0000-0000D5140000}"/>
    <cellStyle name="Финансовый 2 3 10 3 6 2" xfId="13203" xr:uid="{00000000-0005-0000-0000-0000D6140000}"/>
    <cellStyle name="Финансовый 2 3 10 3 7" xfId="6357" xr:uid="{00000000-0005-0000-0000-0000D7140000}"/>
    <cellStyle name="Финансовый 2 3 10 3 7 2" xfId="15000" xr:uid="{00000000-0005-0000-0000-0000D8140000}"/>
    <cellStyle name="Финансовый 2 3 10 3 8" xfId="8964" xr:uid="{00000000-0005-0000-0000-0000D9140000}"/>
    <cellStyle name="Финансовый 2 3 10 4" xfId="1479" xr:uid="{00000000-0005-0000-0000-0000DA140000}"/>
    <cellStyle name="Финансовый 2 3 10 4 2" xfId="1840" xr:uid="{00000000-0005-0000-0000-0000DB140000}"/>
    <cellStyle name="Финансовый 2 3 10 4 2 2" xfId="3485" xr:uid="{00000000-0005-0000-0000-0000DC140000}"/>
    <cellStyle name="Финансовый 2 3 10 4 2 2 2" xfId="12130" xr:uid="{00000000-0005-0000-0000-0000DD140000}"/>
    <cellStyle name="Финансовый 2 3 10 4 2 3" xfId="5268" xr:uid="{00000000-0005-0000-0000-0000DE140000}"/>
    <cellStyle name="Финансовый 2 3 10 4 2 3 2" xfId="13911" xr:uid="{00000000-0005-0000-0000-0000DF140000}"/>
    <cellStyle name="Финансовый 2 3 10 4 2 4" xfId="7878" xr:uid="{00000000-0005-0000-0000-0000E0140000}"/>
    <cellStyle name="Финансовый 2 3 10 4 2 4 2" xfId="16521" xr:uid="{00000000-0005-0000-0000-0000E1140000}"/>
    <cellStyle name="Финансовый 2 3 10 4 2 5" xfId="10485" xr:uid="{00000000-0005-0000-0000-0000E2140000}"/>
    <cellStyle name="Финансовый 2 3 10 4 3" xfId="4907" xr:uid="{00000000-0005-0000-0000-0000E3140000}"/>
    <cellStyle name="Финансовый 2 3 10 4 3 2" xfId="13550" xr:uid="{00000000-0005-0000-0000-0000E4140000}"/>
    <cellStyle name="Финансовый 2 3 10 4 4" xfId="7517" xr:uid="{00000000-0005-0000-0000-0000E5140000}"/>
    <cellStyle name="Финансовый 2 3 10 4 4 2" xfId="16160" xr:uid="{00000000-0005-0000-0000-0000E6140000}"/>
    <cellStyle name="Финансовый 2 3 10 4 5" xfId="10124" xr:uid="{00000000-0005-0000-0000-0000E7140000}"/>
    <cellStyle name="Финансовый 2 3 10 5" xfId="1724" xr:uid="{00000000-0005-0000-0000-0000E8140000}"/>
    <cellStyle name="Финансовый 2 3 10 5 2" xfId="3369" xr:uid="{00000000-0005-0000-0000-0000E9140000}"/>
    <cellStyle name="Финансовый 2 3 10 5 2 2" xfId="12014" xr:uid="{00000000-0005-0000-0000-0000EA140000}"/>
    <cellStyle name="Финансовый 2 3 10 5 3" xfId="5152" xr:uid="{00000000-0005-0000-0000-0000EB140000}"/>
    <cellStyle name="Финансовый 2 3 10 5 3 2" xfId="13795" xr:uid="{00000000-0005-0000-0000-0000EC140000}"/>
    <cellStyle name="Финансовый 2 3 10 5 4" xfId="7762" xr:uid="{00000000-0005-0000-0000-0000ED140000}"/>
    <cellStyle name="Финансовый 2 3 10 5 4 2" xfId="16405" xr:uid="{00000000-0005-0000-0000-0000EE140000}"/>
    <cellStyle name="Финансовый 2 3 10 5 5" xfId="10369" xr:uid="{00000000-0005-0000-0000-0000EF140000}"/>
    <cellStyle name="Финансовый 2 3 10 6" xfId="2360" xr:uid="{00000000-0005-0000-0000-0000F0140000}"/>
    <cellStyle name="Финансовый 2 3 10 6 2" xfId="4005" xr:uid="{00000000-0005-0000-0000-0000F1140000}"/>
    <cellStyle name="Финансовый 2 3 10 6 2 2" xfId="12650" xr:uid="{00000000-0005-0000-0000-0000F2140000}"/>
    <cellStyle name="Финансовый 2 3 10 6 3" xfId="5788" xr:uid="{00000000-0005-0000-0000-0000F3140000}"/>
    <cellStyle name="Финансовый 2 3 10 6 3 2" xfId="14431" xr:uid="{00000000-0005-0000-0000-0000F4140000}"/>
    <cellStyle name="Финансовый 2 3 10 6 4" xfId="8398" xr:uid="{00000000-0005-0000-0000-0000F5140000}"/>
    <cellStyle name="Финансовый 2 3 10 6 4 2" xfId="17041" xr:uid="{00000000-0005-0000-0000-0000F6140000}"/>
    <cellStyle name="Финансовый 2 3 10 6 5" xfId="11005" xr:uid="{00000000-0005-0000-0000-0000F7140000}"/>
    <cellStyle name="Финансовый 2 3 10 7" xfId="1587" xr:uid="{00000000-0005-0000-0000-0000F8140000}"/>
    <cellStyle name="Финансовый 2 3 10 7 2" xfId="3232" xr:uid="{00000000-0005-0000-0000-0000F9140000}"/>
    <cellStyle name="Финансовый 2 3 10 7 2 2" xfId="11877" xr:uid="{00000000-0005-0000-0000-0000FA140000}"/>
    <cellStyle name="Финансовый 2 3 10 7 3" xfId="5015" xr:uid="{00000000-0005-0000-0000-0000FB140000}"/>
    <cellStyle name="Финансовый 2 3 10 7 3 2" xfId="13658" xr:uid="{00000000-0005-0000-0000-0000FC140000}"/>
    <cellStyle name="Финансовый 2 3 10 7 4" xfId="7625" xr:uid="{00000000-0005-0000-0000-0000FD140000}"/>
    <cellStyle name="Финансовый 2 3 10 7 4 2" xfId="16268" xr:uid="{00000000-0005-0000-0000-0000FE140000}"/>
    <cellStyle name="Финансовый 2 3 10 7 5" xfId="10232" xr:uid="{00000000-0005-0000-0000-0000FF140000}"/>
    <cellStyle name="Финансовый 2 3 10 8" xfId="873" xr:uid="{00000000-0005-0000-0000-000000150000}"/>
    <cellStyle name="Финансовый 2 3 10 8 2" xfId="6913" xr:uid="{00000000-0005-0000-0000-000001150000}"/>
    <cellStyle name="Финансовый 2 3 10 8 2 2" xfId="15556" xr:uid="{00000000-0005-0000-0000-000002150000}"/>
    <cellStyle name="Финансовый 2 3 10 8 3" xfId="9520" xr:uid="{00000000-0005-0000-0000-000003150000}"/>
    <cellStyle name="Финансовый 2 3 10 9" xfId="453" xr:uid="{00000000-0005-0000-0000-000004150000}"/>
    <cellStyle name="Финансовый 2 3 10 9 2" xfId="6493" xr:uid="{00000000-0005-0000-0000-000005150000}"/>
    <cellStyle name="Финансовый 2 3 10 9 2 2" xfId="15136" xr:uid="{00000000-0005-0000-0000-000006150000}"/>
    <cellStyle name="Финансовый 2 3 10 9 3" xfId="9100" xr:uid="{00000000-0005-0000-0000-000007150000}"/>
    <cellStyle name="Финансовый 2 3 11" xfId="18" xr:uid="{00000000-0005-0000-0000-000008150000}"/>
    <cellStyle name="Финансовый 2 3 11 10" xfId="2630" xr:uid="{00000000-0005-0000-0000-000009150000}"/>
    <cellStyle name="Финансовый 2 3 11 10 2" xfId="11275" xr:uid="{00000000-0005-0000-0000-00000A150000}"/>
    <cellStyle name="Финансовый 2 3 11 11" xfId="4273" xr:uid="{00000000-0005-0000-0000-00000B150000}"/>
    <cellStyle name="Финансовый 2 3 11 11 2" xfId="12918" xr:uid="{00000000-0005-0000-0000-00000C150000}"/>
    <cellStyle name="Финансовый 2 3 11 12" xfId="6061" xr:uid="{00000000-0005-0000-0000-00000D150000}"/>
    <cellStyle name="Финансовый 2 3 11 12 2" xfId="14704" xr:uid="{00000000-0005-0000-0000-00000E150000}"/>
    <cellStyle name="Финансовый 2 3 11 13" xfId="8668" xr:uid="{00000000-0005-0000-0000-00000F150000}"/>
    <cellStyle name="Финансовый 2 3 11 2" xfId="156" xr:uid="{00000000-0005-0000-0000-000010150000}"/>
    <cellStyle name="Финансовый 2 3 11 2 10" xfId="8804" xr:uid="{00000000-0005-0000-0000-000011150000}"/>
    <cellStyle name="Финансовый 2 3 11 2 2" xfId="1254" xr:uid="{00000000-0005-0000-0000-000012150000}"/>
    <cellStyle name="Финансовый 2 3 11 2 2 2" xfId="2220" xr:uid="{00000000-0005-0000-0000-000013150000}"/>
    <cellStyle name="Финансовый 2 3 11 2 2 2 2" xfId="3865" xr:uid="{00000000-0005-0000-0000-000014150000}"/>
    <cellStyle name="Финансовый 2 3 11 2 2 2 2 2" xfId="12510" xr:uid="{00000000-0005-0000-0000-000015150000}"/>
    <cellStyle name="Финансовый 2 3 11 2 2 2 3" xfId="5648" xr:uid="{00000000-0005-0000-0000-000016150000}"/>
    <cellStyle name="Финансовый 2 3 11 2 2 2 3 2" xfId="14291" xr:uid="{00000000-0005-0000-0000-000017150000}"/>
    <cellStyle name="Финансовый 2 3 11 2 2 2 4" xfId="8258" xr:uid="{00000000-0005-0000-0000-000018150000}"/>
    <cellStyle name="Финансовый 2 3 11 2 2 2 4 2" xfId="16901" xr:uid="{00000000-0005-0000-0000-000019150000}"/>
    <cellStyle name="Финансовый 2 3 11 2 2 2 5" xfId="10865" xr:uid="{00000000-0005-0000-0000-00001A150000}"/>
    <cellStyle name="Финансовый 2 3 11 2 2 3" xfId="3038" xr:uid="{00000000-0005-0000-0000-00001B150000}"/>
    <cellStyle name="Финансовый 2 3 11 2 2 3 2" xfId="11683" xr:uid="{00000000-0005-0000-0000-00001C150000}"/>
    <cellStyle name="Финансовый 2 3 11 2 2 4" xfId="4682" xr:uid="{00000000-0005-0000-0000-00001D150000}"/>
    <cellStyle name="Финансовый 2 3 11 2 2 4 2" xfId="13327" xr:uid="{00000000-0005-0000-0000-00001E150000}"/>
    <cellStyle name="Финансовый 2 3 11 2 2 5" xfId="7294" xr:uid="{00000000-0005-0000-0000-00001F150000}"/>
    <cellStyle name="Финансовый 2 3 11 2 2 5 2" xfId="15937" xr:uid="{00000000-0005-0000-0000-000020150000}"/>
    <cellStyle name="Финансовый 2 3 11 2 2 6" xfId="9901" xr:uid="{00000000-0005-0000-0000-000021150000}"/>
    <cellStyle name="Финансовый 2 3 11 2 3" xfId="1964" xr:uid="{00000000-0005-0000-0000-000022150000}"/>
    <cellStyle name="Финансовый 2 3 11 2 3 2" xfId="3609" xr:uid="{00000000-0005-0000-0000-000023150000}"/>
    <cellStyle name="Финансовый 2 3 11 2 3 2 2" xfId="12254" xr:uid="{00000000-0005-0000-0000-000024150000}"/>
    <cellStyle name="Финансовый 2 3 11 2 3 3" xfId="5392" xr:uid="{00000000-0005-0000-0000-000025150000}"/>
    <cellStyle name="Финансовый 2 3 11 2 3 3 2" xfId="14035" xr:uid="{00000000-0005-0000-0000-000026150000}"/>
    <cellStyle name="Финансовый 2 3 11 2 3 4" xfId="8002" xr:uid="{00000000-0005-0000-0000-000027150000}"/>
    <cellStyle name="Финансовый 2 3 11 2 3 4 2" xfId="16645" xr:uid="{00000000-0005-0000-0000-000028150000}"/>
    <cellStyle name="Финансовый 2 3 11 2 3 5" xfId="10609" xr:uid="{00000000-0005-0000-0000-000029150000}"/>
    <cellStyle name="Финансовый 2 3 11 2 4" xfId="2485" xr:uid="{00000000-0005-0000-0000-00002A150000}"/>
    <cellStyle name="Финансовый 2 3 11 2 4 2" xfId="4130" xr:uid="{00000000-0005-0000-0000-00002B150000}"/>
    <cellStyle name="Финансовый 2 3 11 2 4 2 2" xfId="12775" xr:uid="{00000000-0005-0000-0000-00002C150000}"/>
    <cellStyle name="Финансовый 2 3 11 2 4 3" xfId="5913" xr:uid="{00000000-0005-0000-0000-00002D150000}"/>
    <cellStyle name="Финансовый 2 3 11 2 4 3 2" xfId="14556" xr:uid="{00000000-0005-0000-0000-00002E150000}"/>
    <cellStyle name="Финансовый 2 3 11 2 4 4" xfId="8523" xr:uid="{00000000-0005-0000-0000-00002F150000}"/>
    <cellStyle name="Финансовый 2 3 11 2 4 4 2" xfId="17166" xr:uid="{00000000-0005-0000-0000-000030150000}"/>
    <cellStyle name="Финансовый 2 3 11 2 4 5" xfId="11130" xr:uid="{00000000-0005-0000-0000-000031150000}"/>
    <cellStyle name="Финансовый 2 3 11 2 5" xfId="989" xr:uid="{00000000-0005-0000-0000-000032150000}"/>
    <cellStyle name="Финансовый 2 3 11 2 5 2" xfId="7029" xr:uid="{00000000-0005-0000-0000-000033150000}"/>
    <cellStyle name="Финансовый 2 3 11 2 5 2 2" xfId="15672" xr:uid="{00000000-0005-0000-0000-000034150000}"/>
    <cellStyle name="Финансовый 2 3 11 2 5 3" xfId="9636" xr:uid="{00000000-0005-0000-0000-000035150000}"/>
    <cellStyle name="Финансовый 2 3 11 2 6" xfId="577" xr:uid="{00000000-0005-0000-0000-000036150000}"/>
    <cellStyle name="Финансовый 2 3 11 2 6 2" xfId="6617" xr:uid="{00000000-0005-0000-0000-000037150000}"/>
    <cellStyle name="Финансовый 2 3 11 2 6 2 2" xfId="15260" xr:uid="{00000000-0005-0000-0000-000038150000}"/>
    <cellStyle name="Финансовый 2 3 11 2 6 3" xfId="9224" xr:uid="{00000000-0005-0000-0000-000039150000}"/>
    <cellStyle name="Финансовый 2 3 11 2 7" xfId="2766" xr:uid="{00000000-0005-0000-0000-00003A150000}"/>
    <cellStyle name="Финансовый 2 3 11 2 7 2" xfId="11411" xr:uid="{00000000-0005-0000-0000-00003B150000}"/>
    <cellStyle name="Финансовый 2 3 11 2 8" xfId="4410" xr:uid="{00000000-0005-0000-0000-00003C150000}"/>
    <cellStyle name="Финансовый 2 3 11 2 8 2" xfId="13055" xr:uid="{00000000-0005-0000-0000-00003D150000}"/>
    <cellStyle name="Финансовый 2 3 11 2 9" xfId="6197" xr:uid="{00000000-0005-0000-0000-00003E150000}"/>
    <cellStyle name="Финансовый 2 3 11 2 9 2" xfId="14840" xr:uid="{00000000-0005-0000-0000-00003F150000}"/>
    <cellStyle name="Финансовый 2 3 11 3" xfId="305" xr:uid="{00000000-0005-0000-0000-000040150000}"/>
    <cellStyle name="Финансовый 2 3 11 3 2" xfId="2092" xr:uid="{00000000-0005-0000-0000-000041150000}"/>
    <cellStyle name="Финансовый 2 3 11 3 2 2" xfId="3737" xr:uid="{00000000-0005-0000-0000-000042150000}"/>
    <cellStyle name="Финансовый 2 3 11 3 2 2 2" xfId="12382" xr:uid="{00000000-0005-0000-0000-000043150000}"/>
    <cellStyle name="Финансовый 2 3 11 3 2 3" xfId="5520" xr:uid="{00000000-0005-0000-0000-000044150000}"/>
    <cellStyle name="Финансовый 2 3 11 3 2 3 2" xfId="14163" xr:uid="{00000000-0005-0000-0000-000045150000}"/>
    <cellStyle name="Финансовый 2 3 11 3 2 4" xfId="8130" xr:uid="{00000000-0005-0000-0000-000046150000}"/>
    <cellStyle name="Финансовый 2 3 11 3 2 4 2" xfId="16773" xr:uid="{00000000-0005-0000-0000-000047150000}"/>
    <cellStyle name="Финансовый 2 3 11 3 2 5" xfId="10737" xr:uid="{00000000-0005-0000-0000-000048150000}"/>
    <cellStyle name="Финансовый 2 3 11 3 3" xfId="1125" xr:uid="{00000000-0005-0000-0000-000049150000}"/>
    <cellStyle name="Финансовый 2 3 11 3 3 2" xfId="7165" xr:uid="{00000000-0005-0000-0000-00004A150000}"/>
    <cellStyle name="Финансовый 2 3 11 3 3 2 2" xfId="15808" xr:uid="{00000000-0005-0000-0000-00004B150000}"/>
    <cellStyle name="Финансовый 2 3 11 3 3 3" xfId="9772" xr:uid="{00000000-0005-0000-0000-00004C150000}"/>
    <cellStyle name="Финансовый 2 3 11 3 4" xfId="725" xr:uid="{00000000-0005-0000-0000-00004D150000}"/>
    <cellStyle name="Финансовый 2 3 11 3 4 2" xfId="6765" xr:uid="{00000000-0005-0000-0000-00004E150000}"/>
    <cellStyle name="Финансовый 2 3 11 3 4 2 2" xfId="15408" xr:uid="{00000000-0005-0000-0000-00004F150000}"/>
    <cellStyle name="Финансовый 2 3 11 3 4 3" xfId="9372" xr:uid="{00000000-0005-0000-0000-000050150000}"/>
    <cellStyle name="Финансовый 2 3 11 3 5" xfId="2902" xr:uid="{00000000-0005-0000-0000-000051150000}"/>
    <cellStyle name="Финансовый 2 3 11 3 5 2" xfId="11547" xr:uid="{00000000-0005-0000-0000-000052150000}"/>
    <cellStyle name="Финансовый 2 3 11 3 6" xfId="4546" xr:uid="{00000000-0005-0000-0000-000053150000}"/>
    <cellStyle name="Финансовый 2 3 11 3 6 2" xfId="13191" xr:uid="{00000000-0005-0000-0000-000054150000}"/>
    <cellStyle name="Финансовый 2 3 11 3 7" xfId="6345" xr:uid="{00000000-0005-0000-0000-000055150000}"/>
    <cellStyle name="Финансовый 2 3 11 3 7 2" xfId="14988" xr:uid="{00000000-0005-0000-0000-000056150000}"/>
    <cellStyle name="Финансовый 2 3 11 3 8" xfId="8952" xr:uid="{00000000-0005-0000-0000-000057150000}"/>
    <cellStyle name="Финансовый 2 3 11 4" xfId="1447" xr:uid="{00000000-0005-0000-0000-000058150000}"/>
    <cellStyle name="Финансовый 2 3 11 4 2" xfId="1828" xr:uid="{00000000-0005-0000-0000-000059150000}"/>
    <cellStyle name="Финансовый 2 3 11 4 2 2" xfId="3473" xr:uid="{00000000-0005-0000-0000-00005A150000}"/>
    <cellStyle name="Финансовый 2 3 11 4 2 2 2" xfId="12118" xr:uid="{00000000-0005-0000-0000-00005B150000}"/>
    <cellStyle name="Финансовый 2 3 11 4 2 3" xfId="5256" xr:uid="{00000000-0005-0000-0000-00005C150000}"/>
    <cellStyle name="Финансовый 2 3 11 4 2 3 2" xfId="13899" xr:uid="{00000000-0005-0000-0000-00005D150000}"/>
    <cellStyle name="Финансовый 2 3 11 4 2 4" xfId="7866" xr:uid="{00000000-0005-0000-0000-00005E150000}"/>
    <cellStyle name="Финансовый 2 3 11 4 2 4 2" xfId="16509" xr:uid="{00000000-0005-0000-0000-00005F150000}"/>
    <cellStyle name="Финансовый 2 3 11 4 2 5" xfId="10473" xr:uid="{00000000-0005-0000-0000-000060150000}"/>
    <cellStyle name="Финансовый 2 3 11 4 3" xfId="4875" xr:uid="{00000000-0005-0000-0000-000061150000}"/>
    <cellStyle name="Финансовый 2 3 11 4 3 2" xfId="13518" xr:uid="{00000000-0005-0000-0000-000062150000}"/>
    <cellStyle name="Финансовый 2 3 11 4 4" xfId="7485" xr:uid="{00000000-0005-0000-0000-000063150000}"/>
    <cellStyle name="Финансовый 2 3 11 4 4 2" xfId="16128" xr:uid="{00000000-0005-0000-0000-000064150000}"/>
    <cellStyle name="Финансовый 2 3 11 4 5" xfId="10092" xr:uid="{00000000-0005-0000-0000-000065150000}"/>
    <cellStyle name="Финансовый 2 3 11 5" xfId="1712" xr:uid="{00000000-0005-0000-0000-000066150000}"/>
    <cellStyle name="Финансовый 2 3 11 5 2" xfId="3357" xr:uid="{00000000-0005-0000-0000-000067150000}"/>
    <cellStyle name="Финансовый 2 3 11 5 2 2" xfId="12002" xr:uid="{00000000-0005-0000-0000-000068150000}"/>
    <cellStyle name="Финансовый 2 3 11 5 3" xfId="5140" xr:uid="{00000000-0005-0000-0000-000069150000}"/>
    <cellStyle name="Финансовый 2 3 11 5 3 2" xfId="13783" xr:uid="{00000000-0005-0000-0000-00006A150000}"/>
    <cellStyle name="Финансовый 2 3 11 5 4" xfId="7750" xr:uid="{00000000-0005-0000-0000-00006B150000}"/>
    <cellStyle name="Финансовый 2 3 11 5 4 2" xfId="16393" xr:uid="{00000000-0005-0000-0000-00006C150000}"/>
    <cellStyle name="Финансовый 2 3 11 5 5" xfId="10357" xr:uid="{00000000-0005-0000-0000-00006D150000}"/>
    <cellStyle name="Финансовый 2 3 11 6" xfId="2348" xr:uid="{00000000-0005-0000-0000-00006E150000}"/>
    <cellStyle name="Финансовый 2 3 11 6 2" xfId="3993" xr:uid="{00000000-0005-0000-0000-00006F150000}"/>
    <cellStyle name="Финансовый 2 3 11 6 2 2" xfId="12638" xr:uid="{00000000-0005-0000-0000-000070150000}"/>
    <cellStyle name="Финансовый 2 3 11 6 3" xfId="5776" xr:uid="{00000000-0005-0000-0000-000071150000}"/>
    <cellStyle name="Финансовый 2 3 11 6 3 2" xfId="14419" xr:uid="{00000000-0005-0000-0000-000072150000}"/>
    <cellStyle name="Финансовый 2 3 11 6 4" xfId="8386" xr:uid="{00000000-0005-0000-0000-000073150000}"/>
    <cellStyle name="Финансовый 2 3 11 6 4 2" xfId="17029" xr:uid="{00000000-0005-0000-0000-000074150000}"/>
    <cellStyle name="Финансовый 2 3 11 6 5" xfId="10993" xr:uid="{00000000-0005-0000-0000-000075150000}"/>
    <cellStyle name="Финансовый 2 3 11 7" xfId="1575" xr:uid="{00000000-0005-0000-0000-000076150000}"/>
    <cellStyle name="Финансовый 2 3 11 7 2" xfId="3220" xr:uid="{00000000-0005-0000-0000-000077150000}"/>
    <cellStyle name="Финансовый 2 3 11 7 2 2" xfId="11865" xr:uid="{00000000-0005-0000-0000-000078150000}"/>
    <cellStyle name="Финансовый 2 3 11 7 3" xfId="5003" xr:uid="{00000000-0005-0000-0000-000079150000}"/>
    <cellStyle name="Финансовый 2 3 11 7 3 2" xfId="13646" xr:uid="{00000000-0005-0000-0000-00007A150000}"/>
    <cellStyle name="Финансовый 2 3 11 7 4" xfId="7613" xr:uid="{00000000-0005-0000-0000-00007B150000}"/>
    <cellStyle name="Финансовый 2 3 11 7 4 2" xfId="16256" xr:uid="{00000000-0005-0000-0000-00007C150000}"/>
    <cellStyle name="Финансовый 2 3 11 7 5" xfId="10220" xr:uid="{00000000-0005-0000-0000-00007D150000}"/>
    <cellStyle name="Финансовый 2 3 11 8" xfId="861" xr:uid="{00000000-0005-0000-0000-00007E150000}"/>
    <cellStyle name="Финансовый 2 3 11 8 2" xfId="6901" xr:uid="{00000000-0005-0000-0000-00007F150000}"/>
    <cellStyle name="Финансовый 2 3 11 8 2 2" xfId="15544" xr:uid="{00000000-0005-0000-0000-000080150000}"/>
    <cellStyle name="Финансовый 2 3 11 8 3" xfId="9508" xr:uid="{00000000-0005-0000-0000-000081150000}"/>
    <cellStyle name="Финансовый 2 3 11 9" xfId="441" xr:uid="{00000000-0005-0000-0000-000082150000}"/>
    <cellStyle name="Финансовый 2 3 11 9 2" xfId="6481" xr:uid="{00000000-0005-0000-0000-000083150000}"/>
    <cellStyle name="Финансовый 2 3 11 9 2 2" xfId="15124" xr:uid="{00000000-0005-0000-0000-000084150000}"/>
    <cellStyle name="Финансовый 2 3 11 9 3" xfId="9088" xr:uid="{00000000-0005-0000-0000-000085150000}"/>
    <cellStyle name="Финансовый 2 3 12" xfId="144" xr:uid="{00000000-0005-0000-0000-000086150000}"/>
    <cellStyle name="Финансовый 2 3 12 10" xfId="8792" xr:uid="{00000000-0005-0000-0000-000087150000}"/>
    <cellStyle name="Финансовый 2 3 12 2" xfId="1242" xr:uid="{00000000-0005-0000-0000-000088150000}"/>
    <cellStyle name="Финансовый 2 3 12 2 2" xfId="2208" xr:uid="{00000000-0005-0000-0000-000089150000}"/>
    <cellStyle name="Финансовый 2 3 12 2 2 2" xfId="3853" xr:uid="{00000000-0005-0000-0000-00008A150000}"/>
    <cellStyle name="Финансовый 2 3 12 2 2 2 2" xfId="12498" xr:uid="{00000000-0005-0000-0000-00008B150000}"/>
    <cellStyle name="Финансовый 2 3 12 2 2 3" xfId="5636" xr:uid="{00000000-0005-0000-0000-00008C150000}"/>
    <cellStyle name="Финансовый 2 3 12 2 2 3 2" xfId="14279" xr:uid="{00000000-0005-0000-0000-00008D150000}"/>
    <cellStyle name="Финансовый 2 3 12 2 2 4" xfId="8246" xr:uid="{00000000-0005-0000-0000-00008E150000}"/>
    <cellStyle name="Финансовый 2 3 12 2 2 4 2" xfId="16889" xr:uid="{00000000-0005-0000-0000-00008F150000}"/>
    <cellStyle name="Финансовый 2 3 12 2 2 5" xfId="10853" xr:uid="{00000000-0005-0000-0000-000090150000}"/>
    <cellStyle name="Финансовый 2 3 12 2 3" xfId="3026" xr:uid="{00000000-0005-0000-0000-000091150000}"/>
    <cellStyle name="Финансовый 2 3 12 2 3 2" xfId="11671" xr:uid="{00000000-0005-0000-0000-000092150000}"/>
    <cellStyle name="Финансовый 2 3 12 2 4" xfId="4670" xr:uid="{00000000-0005-0000-0000-000093150000}"/>
    <cellStyle name="Финансовый 2 3 12 2 4 2" xfId="13315" xr:uid="{00000000-0005-0000-0000-000094150000}"/>
    <cellStyle name="Финансовый 2 3 12 2 5" xfId="7282" xr:uid="{00000000-0005-0000-0000-000095150000}"/>
    <cellStyle name="Финансовый 2 3 12 2 5 2" xfId="15925" xr:uid="{00000000-0005-0000-0000-000096150000}"/>
    <cellStyle name="Финансовый 2 3 12 2 6" xfId="9889" xr:uid="{00000000-0005-0000-0000-000097150000}"/>
    <cellStyle name="Финансовый 2 3 12 3" xfId="1952" xr:uid="{00000000-0005-0000-0000-000098150000}"/>
    <cellStyle name="Финансовый 2 3 12 3 2" xfId="3597" xr:uid="{00000000-0005-0000-0000-000099150000}"/>
    <cellStyle name="Финансовый 2 3 12 3 2 2" xfId="12242" xr:uid="{00000000-0005-0000-0000-00009A150000}"/>
    <cellStyle name="Финансовый 2 3 12 3 3" xfId="5380" xr:uid="{00000000-0005-0000-0000-00009B150000}"/>
    <cellStyle name="Финансовый 2 3 12 3 3 2" xfId="14023" xr:uid="{00000000-0005-0000-0000-00009C150000}"/>
    <cellStyle name="Финансовый 2 3 12 3 4" xfId="7990" xr:uid="{00000000-0005-0000-0000-00009D150000}"/>
    <cellStyle name="Финансовый 2 3 12 3 4 2" xfId="16633" xr:uid="{00000000-0005-0000-0000-00009E150000}"/>
    <cellStyle name="Финансовый 2 3 12 3 5" xfId="10597" xr:uid="{00000000-0005-0000-0000-00009F150000}"/>
    <cellStyle name="Финансовый 2 3 12 4" xfId="2473" xr:uid="{00000000-0005-0000-0000-0000A0150000}"/>
    <cellStyle name="Финансовый 2 3 12 4 2" xfId="4118" xr:uid="{00000000-0005-0000-0000-0000A1150000}"/>
    <cellStyle name="Финансовый 2 3 12 4 2 2" xfId="12763" xr:uid="{00000000-0005-0000-0000-0000A2150000}"/>
    <cellStyle name="Финансовый 2 3 12 4 3" xfId="5901" xr:uid="{00000000-0005-0000-0000-0000A3150000}"/>
    <cellStyle name="Финансовый 2 3 12 4 3 2" xfId="14544" xr:uid="{00000000-0005-0000-0000-0000A4150000}"/>
    <cellStyle name="Финансовый 2 3 12 4 4" xfId="8511" xr:uid="{00000000-0005-0000-0000-0000A5150000}"/>
    <cellStyle name="Финансовый 2 3 12 4 4 2" xfId="17154" xr:uid="{00000000-0005-0000-0000-0000A6150000}"/>
    <cellStyle name="Финансовый 2 3 12 4 5" xfId="11118" xr:uid="{00000000-0005-0000-0000-0000A7150000}"/>
    <cellStyle name="Финансовый 2 3 12 5" xfId="977" xr:uid="{00000000-0005-0000-0000-0000A8150000}"/>
    <cellStyle name="Финансовый 2 3 12 5 2" xfId="7017" xr:uid="{00000000-0005-0000-0000-0000A9150000}"/>
    <cellStyle name="Финансовый 2 3 12 5 2 2" xfId="15660" xr:uid="{00000000-0005-0000-0000-0000AA150000}"/>
    <cellStyle name="Финансовый 2 3 12 5 3" xfId="9624" xr:uid="{00000000-0005-0000-0000-0000AB150000}"/>
    <cellStyle name="Финансовый 2 3 12 6" xfId="565" xr:uid="{00000000-0005-0000-0000-0000AC150000}"/>
    <cellStyle name="Финансовый 2 3 12 6 2" xfId="6605" xr:uid="{00000000-0005-0000-0000-0000AD150000}"/>
    <cellStyle name="Финансовый 2 3 12 6 2 2" xfId="15248" xr:uid="{00000000-0005-0000-0000-0000AE150000}"/>
    <cellStyle name="Финансовый 2 3 12 6 3" xfId="9212" xr:uid="{00000000-0005-0000-0000-0000AF150000}"/>
    <cellStyle name="Финансовый 2 3 12 7" xfId="2754" xr:uid="{00000000-0005-0000-0000-0000B0150000}"/>
    <cellStyle name="Финансовый 2 3 12 7 2" xfId="11399" xr:uid="{00000000-0005-0000-0000-0000B1150000}"/>
    <cellStyle name="Финансовый 2 3 12 8" xfId="4398" xr:uid="{00000000-0005-0000-0000-0000B2150000}"/>
    <cellStyle name="Финансовый 2 3 12 8 2" xfId="13043" xr:uid="{00000000-0005-0000-0000-0000B3150000}"/>
    <cellStyle name="Финансовый 2 3 12 9" xfId="6185" xr:uid="{00000000-0005-0000-0000-0000B4150000}"/>
    <cellStyle name="Финансовый 2 3 12 9 2" xfId="14828" xr:uid="{00000000-0005-0000-0000-0000B5150000}"/>
    <cellStyle name="Финансовый 2 3 13" xfId="280" xr:uid="{00000000-0005-0000-0000-0000B6150000}"/>
    <cellStyle name="Финансовый 2 3 13 2" xfId="2080" xr:uid="{00000000-0005-0000-0000-0000B7150000}"/>
    <cellStyle name="Финансовый 2 3 13 2 2" xfId="3725" xr:uid="{00000000-0005-0000-0000-0000B8150000}"/>
    <cellStyle name="Финансовый 2 3 13 2 2 2" xfId="12370" xr:uid="{00000000-0005-0000-0000-0000B9150000}"/>
    <cellStyle name="Финансовый 2 3 13 2 3" xfId="5508" xr:uid="{00000000-0005-0000-0000-0000BA150000}"/>
    <cellStyle name="Финансовый 2 3 13 2 3 2" xfId="14151" xr:uid="{00000000-0005-0000-0000-0000BB150000}"/>
    <cellStyle name="Финансовый 2 3 13 2 4" xfId="8118" xr:uid="{00000000-0005-0000-0000-0000BC150000}"/>
    <cellStyle name="Финансовый 2 3 13 2 4 2" xfId="16761" xr:uid="{00000000-0005-0000-0000-0000BD150000}"/>
    <cellStyle name="Финансовый 2 3 13 2 5" xfId="10725" xr:uid="{00000000-0005-0000-0000-0000BE150000}"/>
    <cellStyle name="Финансовый 2 3 13 3" xfId="1378" xr:uid="{00000000-0005-0000-0000-0000BF150000}"/>
    <cellStyle name="Финансовый 2 3 13 3 2" xfId="7418" xr:uid="{00000000-0005-0000-0000-0000C0150000}"/>
    <cellStyle name="Финансовый 2 3 13 3 2 2" xfId="16061" xr:uid="{00000000-0005-0000-0000-0000C1150000}"/>
    <cellStyle name="Финансовый 2 3 13 3 3" xfId="10025" xr:uid="{00000000-0005-0000-0000-0000C2150000}"/>
    <cellStyle name="Финансовый 2 3 13 4" xfId="701" xr:uid="{00000000-0005-0000-0000-0000C3150000}"/>
    <cellStyle name="Финансовый 2 3 13 4 2" xfId="6741" xr:uid="{00000000-0005-0000-0000-0000C4150000}"/>
    <cellStyle name="Финансовый 2 3 13 4 2 2" xfId="15384" xr:uid="{00000000-0005-0000-0000-0000C5150000}"/>
    <cellStyle name="Финансовый 2 3 13 4 3" xfId="9348" xr:uid="{00000000-0005-0000-0000-0000C6150000}"/>
    <cellStyle name="Финансовый 2 3 13 5" xfId="3162" xr:uid="{00000000-0005-0000-0000-0000C7150000}"/>
    <cellStyle name="Финансовый 2 3 13 5 2" xfId="11807" xr:uid="{00000000-0005-0000-0000-0000C8150000}"/>
    <cellStyle name="Финансовый 2 3 13 6" xfId="4806" xr:uid="{00000000-0005-0000-0000-0000C9150000}"/>
    <cellStyle name="Финансовый 2 3 13 6 2" xfId="13451" xr:uid="{00000000-0005-0000-0000-0000CA150000}"/>
    <cellStyle name="Финансовый 2 3 13 7" xfId="6321" xr:uid="{00000000-0005-0000-0000-0000CB150000}"/>
    <cellStyle name="Финансовый 2 3 13 7 2" xfId="14964" xr:uid="{00000000-0005-0000-0000-0000CC150000}"/>
    <cellStyle name="Финансовый 2 3 13 8" xfId="8928" xr:uid="{00000000-0005-0000-0000-0000CD150000}"/>
    <cellStyle name="Финансовый 2 3 14" xfId="293" xr:uid="{00000000-0005-0000-0000-0000CE150000}"/>
    <cellStyle name="Финансовый 2 3 14 2" xfId="1113" xr:uid="{00000000-0005-0000-0000-0000CF150000}"/>
    <cellStyle name="Финансовый 2 3 14 2 2" xfId="7153" xr:uid="{00000000-0005-0000-0000-0000D0150000}"/>
    <cellStyle name="Финансовый 2 3 14 2 2 2" xfId="15796" xr:uid="{00000000-0005-0000-0000-0000D1150000}"/>
    <cellStyle name="Финансовый 2 3 14 2 3" xfId="9760" xr:uid="{00000000-0005-0000-0000-0000D2150000}"/>
    <cellStyle name="Финансовый 2 3 14 3" xfId="713" xr:uid="{00000000-0005-0000-0000-0000D3150000}"/>
    <cellStyle name="Финансовый 2 3 14 3 2" xfId="6753" xr:uid="{00000000-0005-0000-0000-0000D4150000}"/>
    <cellStyle name="Финансовый 2 3 14 3 2 2" xfId="15396" xr:uid="{00000000-0005-0000-0000-0000D5150000}"/>
    <cellStyle name="Финансовый 2 3 14 3 3" xfId="9360" xr:uid="{00000000-0005-0000-0000-0000D6150000}"/>
    <cellStyle name="Финансовый 2 3 14 4" xfId="2890" xr:uid="{00000000-0005-0000-0000-0000D7150000}"/>
    <cellStyle name="Финансовый 2 3 14 4 2" xfId="11535" xr:uid="{00000000-0005-0000-0000-0000D8150000}"/>
    <cellStyle name="Финансовый 2 3 14 5" xfId="4534" xr:uid="{00000000-0005-0000-0000-0000D9150000}"/>
    <cellStyle name="Финансовый 2 3 14 5 2" xfId="13179" xr:uid="{00000000-0005-0000-0000-0000DA150000}"/>
    <cellStyle name="Финансовый 2 3 14 6" xfId="6333" xr:uid="{00000000-0005-0000-0000-0000DB150000}"/>
    <cellStyle name="Финансовый 2 3 14 6 2" xfId="14976" xr:uid="{00000000-0005-0000-0000-0000DC150000}"/>
    <cellStyle name="Финансовый 2 3 14 7" xfId="8940" xr:uid="{00000000-0005-0000-0000-0000DD150000}"/>
    <cellStyle name="Финансовый 2 3 15" xfId="1477" xr:uid="{00000000-0005-0000-0000-0000DE150000}"/>
    <cellStyle name="Финансовый 2 3 15 2" xfId="1700" xr:uid="{00000000-0005-0000-0000-0000DF150000}"/>
    <cellStyle name="Финансовый 2 3 15 2 2" xfId="3345" xr:uid="{00000000-0005-0000-0000-0000E0150000}"/>
    <cellStyle name="Финансовый 2 3 15 2 2 2" xfId="11990" xr:uid="{00000000-0005-0000-0000-0000E1150000}"/>
    <cellStyle name="Финансовый 2 3 15 2 3" xfId="5128" xr:uid="{00000000-0005-0000-0000-0000E2150000}"/>
    <cellStyle name="Финансовый 2 3 15 2 3 2" xfId="13771" xr:uid="{00000000-0005-0000-0000-0000E3150000}"/>
    <cellStyle name="Финансовый 2 3 15 2 4" xfId="7738" xr:uid="{00000000-0005-0000-0000-0000E4150000}"/>
    <cellStyle name="Финансовый 2 3 15 2 4 2" xfId="16381" xr:uid="{00000000-0005-0000-0000-0000E5150000}"/>
    <cellStyle name="Финансовый 2 3 15 2 5" xfId="10345" xr:uid="{00000000-0005-0000-0000-0000E6150000}"/>
    <cellStyle name="Финансовый 2 3 15 3" xfId="4905" xr:uid="{00000000-0005-0000-0000-0000E7150000}"/>
    <cellStyle name="Финансовый 2 3 15 3 2" xfId="13548" xr:uid="{00000000-0005-0000-0000-0000E8150000}"/>
    <cellStyle name="Финансовый 2 3 15 4" xfId="7515" xr:uid="{00000000-0005-0000-0000-0000E9150000}"/>
    <cellStyle name="Финансовый 2 3 15 4 2" xfId="16158" xr:uid="{00000000-0005-0000-0000-0000EA150000}"/>
    <cellStyle name="Финансовый 2 3 15 5" xfId="10122" xr:uid="{00000000-0005-0000-0000-0000EB150000}"/>
    <cellStyle name="Финансовый 2 3 16" xfId="2336" xr:uid="{00000000-0005-0000-0000-0000EC150000}"/>
    <cellStyle name="Финансовый 2 3 16 2" xfId="3981" xr:uid="{00000000-0005-0000-0000-0000ED150000}"/>
    <cellStyle name="Финансовый 2 3 16 2 2" xfId="12626" xr:uid="{00000000-0005-0000-0000-0000EE150000}"/>
    <cellStyle name="Финансовый 2 3 16 3" xfId="5764" xr:uid="{00000000-0005-0000-0000-0000EF150000}"/>
    <cellStyle name="Финансовый 2 3 16 3 2" xfId="14407" xr:uid="{00000000-0005-0000-0000-0000F0150000}"/>
    <cellStyle name="Финансовый 2 3 16 4" xfId="8374" xr:uid="{00000000-0005-0000-0000-0000F1150000}"/>
    <cellStyle name="Финансовый 2 3 16 4 2" xfId="17017" xr:uid="{00000000-0005-0000-0000-0000F2150000}"/>
    <cellStyle name="Финансовый 2 3 16 5" xfId="10981" xr:uid="{00000000-0005-0000-0000-0000F3150000}"/>
    <cellStyle name="Финансовый 2 3 17" xfId="1563" xr:uid="{00000000-0005-0000-0000-0000F4150000}"/>
    <cellStyle name="Финансовый 2 3 17 2" xfId="3208" xr:uid="{00000000-0005-0000-0000-0000F5150000}"/>
    <cellStyle name="Финансовый 2 3 17 2 2" xfId="11853" xr:uid="{00000000-0005-0000-0000-0000F6150000}"/>
    <cellStyle name="Финансовый 2 3 17 3" xfId="4991" xr:uid="{00000000-0005-0000-0000-0000F7150000}"/>
    <cellStyle name="Финансовый 2 3 17 3 2" xfId="13634" xr:uid="{00000000-0005-0000-0000-0000F8150000}"/>
    <cellStyle name="Финансовый 2 3 17 4" xfId="7601" xr:uid="{00000000-0005-0000-0000-0000F9150000}"/>
    <cellStyle name="Финансовый 2 3 17 4 2" xfId="16244" xr:uid="{00000000-0005-0000-0000-0000FA150000}"/>
    <cellStyle name="Финансовый 2 3 17 5" xfId="10208" xr:uid="{00000000-0005-0000-0000-0000FB150000}"/>
    <cellStyle name="Финансовый 2 3 18" xfId="849" xr:uid="{00000000-0005-0000-0000-0000FC150000}"/>
    <cellStyle name="Финансовый 2 3 18 2" xfId="6889" xr:uid="{00000000-0005-0000-0000-0000FD150000}"/>
    <cellStyle name="Финансовый 2 3 18 2 2" xfId="15532" xr:uid="{00000000-0005-0000-0000-0000FE150000}"/>
    <cellStyle name="Финансовый 2 3 18 3" xfId="9496" xr:uid="{00000000-0005-0000-0000-0000FF150000}"/>
    <cellStyle name="Финансовый 2 3 19" xfId="429" xr:uid="{00000000-0005-0000-0000-000000160000}"/>
    <cellStyle name="Финансовый 2 3 19 2" xfId="6469" xr:uid="{00000000-0005-0000-0000-000001160000}"/>
    <cellStyle name="Финансовый 2 3 19 2 2" xfId="15112" xr:uid="{00000000-0005-0000-0000-000002160000}"/>
    <cellStyle name="Финансовый 2 3 19 3" xfId="9076" xr:uid="{00000000-0005-0000-0000-000003160000}"/>
    <cellStyle name="Финансовый 2 3 2" xfId="12" xr:uid="{00000000-0005-0000-0000-000004160000}"/>
    <cellStyle name="Финансовый 2 3 2 10" xfId="286" xr:uid="{00000000-0005-0000-0000-000005160000}"/>
    <cellStyle name="Финансовый 2 3 2 10 2" xfId="2086" xr:uid="{00000000-0005-0000-0000-000006160000}"/>
    <cellStyle name="Финансовый 2 3 2 10 2 2" xfId="3731" xr:uid="{00000000-0005-0000-0000-000007160000}"/>
    <cellStyle name="Финансовый 2 3 2 10 2 2 2" xfId="12376" xr:uid="{00000000-0005-0000-0000-000008160000}"/>
    <cellStyle name="Финансовый 2 3 2 10 2 3" xfId="5514" xr:uid="{00000000-0005-0000-0000-000009160000}"/>
    <cellStyle name="Финансовый 2 3 2 10 2 3 2" xfId="14157" xr:uid="{00000000-0005-0000-0000-00000A160000}"/>
    <cellStyle name="Финансовый 2 3 2 10 2 4" xfId="8124" xr:uid="{00000000-0005-0000-0000-00000B160000}"/>
    <cellStyle name="Финансовый 2 3 2 10 2 4 2" xfId="16767" xr:uid="{00000000-0005-0000-0000-00000C160000}"/>
    <cellStyle name="Финансовый 2 3 2 10 2 5" xfId="10731" xr:uid="{00000000-0005-0000-0000-00000D160000}"/>
    <cellStyle name="Финансовый 2 3 2 10 3" xfId="1384" xr:uid="{00000000-0005-0000-0000-00000E160000}"/>
    <cellStyle name="Финансовый 2 3 2 10 3 2" xfId="7424" xr:uid="{00000000-0005-0000-0000-00000F160000}"/>
    <cellStyle name="Финансовый 2 3 2 10 3 2 2" xfId="16067" xr:uid="{00000000-0005-0000-0000-000010160000}"/>
    <cellStyle name="Финансовый 2 3 2 10 3 3" xfId="10031" xr:uid="{00000000-0005-0000-0000-000011160000}"/>
    <cellStyle name="Финансовый 2 3 2 10 4" xfId="707" xr:uid="{00000000-0005-0000-0000-000012160000}"/>
    <cellStyle name="Финансовый 2 3 2 10 4 2" xfId="6747" xr:uid="{00000000-0005-0000-0000-000013160000}"/>
    <cellStyle name="Финансовый 2 3 2 10 4 2 2" xfId="15390" xr:uid="{00000000-0005-0000-0000-000014160000}"/>
    <cellStyle name="Финансовый 2 3 2 10 4 3" xfId="9354" xr:uid="{00000000-0005-0000-0000-000015160000}"/>
    <cellStyle name="Финансовый 2 3 2 10 5" xfId="3168" xr:uid="{00000000-0005-0000-0000-000016160000}"/>
    <cellStyle name="Финансовый 2 3 2 10 5 2" xfId="11813" xr:uid="{00000000-0005-0000-0000-000017160000}"/>
    <cellStyle name="Финансовый 2 3 2 10 6" xfId="4812" xr:uid="{00000000-0005-0000-0000-000018160000}"/>
    <cellStyle name="Финансовый 2 3 2 10 6 2" xfId="13457" xr:uid="{00000000-0005-0000-0000-000019160000}"/>
    <cellStyle name="Финансовый 2 3 2 10 7" xfId="6327" xr:uid="{00000000-0005-0000-0000-00001A160000}"/>
    <cellStyle name="Финансовый 2 3 2 10 7 2" xfId="14970" xr:uid="{00000000-0005-0000-0000-00001B160000}"/>
    <cellStyle name="Финансовый 2 3 2 10 8" xfId="8934" xr:uid="{00000000-0005-0000-0000-00001C160000}"/>
    <cellStyle name="Финансовый 2 3 2 11" xfId="299" xr:uid="{00000000-0005-0000-0000-00001D160000}"/>
    <cellStyle name="Финансовый 2 3 2 11 2" xfId="1119" xr:uid="{00000000-0005-0000-0000-00001E160000}"/>
    <cellStyle name="Финансовый 2 3 2 11 2 2" xfId="7159" xr:uid="{00000000-0005-0000-0000-00001F160000}"/>
    <cellStyle name="Финансовый 2 3 2 11 2 2 2" xfId="15802" xr:uid="{00000000-0005-0000-0000-000020160000}"/>
    <cellStyle name="Финансовый 2 3 2 11 2 3" xfId="9766" xr:uid="{00000000-0005-0000-0000-000021160000}"/>
    <cellStyle name="Финансовый 2 3 2 11 3" xfId="719" xr:uid="{00000000-0005-0000-0000-000022160000}"/>
    <cellStyle name="Финансовый 2 3 2 11 3 2" xfId="6759" xr:uid="{00000000-0005-0000-0000-000023160000}"/>
    <cellStyle name="Финансовый 2 3 2 11 3 2 2" xfId="15402" xr:uid="{00000000-0005-0000-0000-000024160000}"/>
    <cellStyle name="Финансовый 2 3 2 11 3 3" xfId="9366" xr:uid="{00000000-0005-0000-0000-000025160000}"/>
    <cellStyle name="Финансовый 2 3 2 11 4" xfId="2896" xr:uid="{00000000-0005-0000-0000-000026160000}"/>
    <cellStyle name="Финансовый 2 3 2 11 4 2" xfId="11541" xr:uid="{00000000-0005-0000-0000-000027160000}"/>
    <cellStyle name="Финансовый 2 3 2 11 5" xfId="4540" xr:uid="{00000000-0005-0000-0000-000028160000}"/>
    <cellStyle name="Финансовый 2 3 2 11 5 2" xfId="13185" xr:uid="{00000000-0005-0000-0000-000029160000}"/>
    <cellStyle name="Финансовый 2 3 2 11 6" xfId="6339" xr:uid="{00000000-0005-0000-0000-00002A160000}"/>
    <cellStyle name="Финансовый 2 3 2 11 6 2" xfId="14982" xr:uid="{00000000-0005-0000-0000-00002B160000}"/>
    <cellStyle name="Финансовый 2 3 2 11 7" xfId="8946" xr:uid="{00000000-0005-0000-0000-00002C160000}"/>
    <cellStyle name="Финансовый 2 3 2 12" xfId="1480" xr:uid="{00000000-0005-0000-0000-00002D160000}"/>
    <cellStyle name="Финансовый 2 3 2 12 2" xfId="1706" xr:uid="{00000000-0005-0000-0000-00002E160000}"/>
    <cellStyle name="Финансовый 2 3 2 12 2 2" xfId="3351" xr:uid="{00000000-0005-0000-0000-00002F160000}"/>
    <cellStyle name="Финансовый 2 3 2 12 2 2 2" xfId="11996" xr:uid="{00000000-0005-0000-0000-000030160000}"/>
    <cellStyle name="Финансовый 2 3 2 12 2 3" xfId="5134" xr:uid="{00000000-0005-0000-0000-000031160000}"/>
    <cellStyle name="Финансовый 2 3 2 12 2 3 2" xfId="13777" xr:uid="{00000000-0005-0000-0000-000032160000}"/>
    <cellStyle name="Финансовый 2 3 2 12 2 4" xfId="7744" xr:uid="{00000000-0005-0000-0000-000033160000}"/>
    <cellStyle name="Финансовый 2 3 2 12 2 4 2" xfId="16387" xr:uid="{00000000-0005-0000-0000-000034160000}"/>
    <cellStyle name="Финансовый 2 3 2 12 2 5" xfId="10351" xr:uid="{00000000-0005-0000-0000-000035160000}"/>
    <cellStyle name="Финансовый 2 3 2 12 3" xfId="4908" xr:uid="{00000000-0005-0000-0000-000036160000}"/>
    <cellStyle name="Финансовый 2 3 2 12 3 2" xfId="13551" xr:uid="{00000000-0005-0000-0000-000037160000}"/>
    <cellStyle name="Финансовый 2 3 2 12 4" xfId="7518" xr:uid="{00000000-0005-0000-0000-000038160000}"/>
    <cellStyle name="Финансовый 2 3 2 12 4 2" xfId="16161" xr:uid="{00000000-0005-0000-0000-000039160000}"/>
    <cellStyle name="Финансовый 2 3 2 12 5" xfId="10125" xr:uid="{00000000-0005-0000-0000-00003A160000}"/>
    <cellStyle name="Финансовый 2 3 2 13" xfId="2342" xr:uid="{00000000-0005-0000-0000-00003B160000}"/>
    <cellStyle name="Финансовый 2 3 2 13 2" xfId="3987" xr:uid="{00000000-0005-0000-0000-00003C160000}"/>
    <cellStyle name="Финансовый 2 3 2 13 2 2" xfId="12632" xr:uid="{00000000-0005-0000-0000-00003D160000}"/>
    <cellStyle name="Финансовый 2 3 2 13 3" xfId="5770" xr:uid="{00000000-0005-0000-0000-00003E160000}"/>
    <cellStyle name="Финансовый 2 3 2 13 3 2" xfId="14413" xr:uid="{00000000-0005-0000-0000-00003F160000}"/>
    <cellStyle name="Финансовый 2 3 2 13 4" xfId="8380" xr:uid="{00000000-0005-0000-0000-000040160000}"/>
    <cellStyle name="Финансовый 2 3 2 13 4 2" xfId="17023" xr:uid="{00000000-0005-0000-0000-000041160000}"/>
    <cellStyle name="Финансовый 2 3 2 13 5" xfId="10987" xr:uid="{00000000-0005-0000-0000-000042160000}"/>
    <cellStyle name="Финансовый 2 3 2 14" xfId="1569" xr:uid="{00000000-0005-0000-0000-000043160000}"/>
    <cellStyle name="Финансовый 2 3 2 14 2" xfId="3214" xr:uid="{00000000-0005-0000-0000-000044160000}"/>
    <cellStyle name="Финансовый 2 3 2 14 2 2" xfId="11859" xr:uid="{00000000-0005-0000-0000-000045160000}"/>
    <cellStyle name="Финансовый 2 3 2 14 3" xfId="4997" xr:uid="{00000000-0005-0000-0000-000046160000}"/>
    <cellStyle name="Финансовый 2 3 2 14 3 2" xfId="13640" xr:uid="{00000000-0005-0000-0000-000047160000}"/>
    <cellStyle name="Финансовый 2 3 2 14 4" xfId="7607" xr:uid="{00000000-0005-0000-0000-000048160000}"/>
    <cellStyle name="Финансовый 2 3 2 14 4 2" xfId="16250" xr:uid="{00000000-0005-0000-0000-000049160000}"/>
    <cellStyle name="Финансовый 2 3 2 14 5" xfId="10214" xr:uid="{00000000-0005-0000-0000-00004A160000}"/>
    <cellStyle name="Финансовый 2 3 2 15" xfId="855" xr:uid="{00000000-0005-0000-0000-00004B160000}"/>
    <cellStyle name="Финансовый 2 3 2 15 2" xfId="6895" xr:uid="{00000000-0005-0000-0000-00004C160000}"/>
    <cellStyle name="Финансовый 2 3 2 15 2 2" xfId="15538" xr:uid="{00000000-0005-0000-0000-00004D160000}"/>
    <cellStyle name="Финансовый 2 3 2 15 3" xfId="9502" xr:uid="{00000000-0005-0000-0000-00004E160000}"/>
    <cellStyle name="Финансовый 2 3 2 16" xfId="435" xr:uid="{00000000-0005-0000-0000-00004F160000}"/>
    <cellStyle name="Финансовый 2 3 2 16 2" xfId="6475" xr:uid="{00000000-0005-0000-0000-000050160000}"/>
    <cellStyle name="Финансовый 2 3 2 16 2 2" xfId="15118" xr:uid="{00000000-0005-0000-0000-000051160000}"/>
    <cellStyle name="Финансовый 2 3 2 16 3" xfId="9082" xr:uid="{00000000-0005-0000-0000-000052160000}"/>
    <cellStyle name="Финансовый 2 3 2 17" xfId="2624" xr:uid="{00000000-0005-0000-0000-000053160000}"/>
    <cellStyle name="Финансовый 2 3 2 17 2" xfId="11269" xr:uid="{00000000-0005-0000-0000-000054160000}"/>
    <cellStyle name="Финансовый 2 3 2 18" xfId="4267" xr:uid="{00000000-0005-0000-0000-000055160000}"/>
    <cellStyle name="Финансовый 2 3 2 18 2" xfId="12912" xr:uid="{00000000-0005-0000-0000-000056160000}"/>
    <cellStyle name="Финансовый 2 3 2 19" xfId="6055" xr:uid="{00000000-0005-0000-0000-000057160000}"/>
    <cellStyle name="Финансовый 2 3 2 19 2" xfId="14698" xr:uid="{00000000-0005-0000-0000-000058160000}"/>
    <cellStyle name="Финансовый 2 3 2 2" xfId="48" xr:uid="{00000000-0005-0000-0000-000059160000}"/>
    <cellStyle name="Финансовый 2 3 2 2 10" xfId="471" xr:uid="{00000000-0005-0000-0000-00005A160000}"/>
    <cellStyle name="Финансовый 2 3 2 2 10 2" xfId="6511" xr:uid="{00000000-0005-0000-0000-00005B160000}"/>
    <cellStyle name="Финансовый 2 3 2 2 10 2 2" xfId="15154" xr:uid="{00000000-0005-0000-0000-00005C160000}"/>
    <cellStyle name="Финансовый 2 3 2 2 10 3" xfId="9118" xr:uid="{00000000-0005-0000-0000-00005D160000}"/>
    <cellStyle name="Финансовый 2 3 2 2 11" xfId="2660" xr:uid="{00000000-0005-0000-0000-00005E160000}"/>
    <cellStyle name="Финансовый 2 3 2 2 11 2" xfId="11305" xr:uid="{00000000-0005-0000-0000-00005F160000}"/>
    <cellStyle name="Финансовый 2 3 2 2 12" xfId="4303" xr:uid="{00000000-0005-0000-0000-000060160000}"/>
    <cellStyle name="Финансовый 2 3 2 2 12 2" xfId="12948" xr:uid="{00000000-0005-0000-0000-000061160000}"/>
    <cellStyle name="Финансовый 2 3 2 2 13" xfId="6091" xr:uid="{00000000-0005-0000-0000-000062160000}"/>
    <cellStyle name="Финансовый 2 3 2 2 13 2" xfId="14734" xr:uid="{00000000-0005-0000-0000-000063160000}"/>
    <cellStyle name="Финансовый 2 3 2 2 14" xfId="8698" xr:uid="{00000000-0005-0000-0000-000064160000}"/>
    <cellStyle name="Финансовый 2 3 2 2 2" xfId="106" xr:uid="{00000000-0005-0000-0000-000065160000}"/>
    <cellStyle name="Финансовый 2 3 2 2 2 10" xfId="2716" xr:uid="{00000000-0005-0000-0000-000066160000}"/>
    <cellStyle name="Финансовый 2 3 2 2 2 10 2" xfId="11361" xr:uid="{00000000-0005-0000-0000-000067160000}"/>
    <cellStyle name="Финансовый 2 3 2 2 2 11" xfId="4360" xr:uid="{00000000-0005-0000-0000-000068160000}"/>
    <cellStyle name="Финансовый 2 3 2 2 2 11 2" xfId="13005" xr:uid="{00000000-0005-0000-0000-000069160000}"/>
    <cellStyle name="Финансовый 2 3 2 2 2 12" xfId="6147" xr:uid="{00000000-0005-0000-0000-00006A160000}"/>
    <cellStyle name="Финансовый 2 3 2 2 2 12 2" xfId="14790" xr:uid="{00000000-0005-0000-0000-00006B160000}"/>
    <cellStyle name="Финансовый 2 3 2 2 2 13" xfId="8754" xr:uid="{00000000-0005-0000-0000-00006C160000}"/>
    <cellStyle name="Финансовый 2 3 2 2 2 2" xfId="242" xr:uid="{00000000-0005-0000-0000-00006D160000}"/>
    <cellStyle name="Финансовый 2 3 2 2 2 2 10" xfId="8890" xr:uid="{00000000-0005-0000-0000-00006E160000}"/>
    <cellStyle name="Финансовый 2 3 2 2 2 2 2" xfId="1340" xr:uid="{00000000-0005-0000-0000-00006F160000}"/>
    <cellStyle name="Финансовый 2 3 2 2 2 2 2 2" xfId="2298" xr:uid="{00000000-0005-0000-0000-000070160000}"/>
    <cellStyle name="Финансовый 2 3 2 2 2 2 2 2 2" xfId="3943" xr:uid="{00000000-0005-0000-0000-000071160000}"/>
    <cellStyle name="Финансовый 2 3 2 2 2 2 2 2 2 2" xfId="12588" xr:uid="{00000000-0005-0000-0000-000072160000}"/>
    <cellStyle name="Финансовый 2 3 2 2 2 2 2 2 3" xfId="5726" xr:uid="{00000000-0005-0000-0000-000073160000}"/>
    <cellStyle name="Финансовый 2 3 2 2 2 2 2 2 3 2" xfId="14369" xr:uid="{00000000-0005-0000-0000-000074160000}"/>
    <cellStyle name="Финансовый 2 3 2 2 2 2 2 2 4" xfId="8336" xr:uid="{00000000-0005-0000-0000-000075160000}"/>
    <cellStyle name="Финансовый 2 3 2 2 2 2 2 2 4 2" xfId="16979" xr:uid="{00000000-0005-0000-0000-000076160000}"/>
    <cellStyle name="Финансовый 2 3 2 2 2 2 2 2 5" xfId="10943" xr:uid="{00000000-0005-0000-0000-000077160000}"/>
    <cellStyle name="Финансовый 2 3 2 2 2 2 2 3" xfId="3124" xr:uid="{00000000-0005-0000-0000-000078160000}"/>
    <cellStyle name="Финансовый 2 3 2 2 2 2 2 3 2" xfId="11769" xr:uid="{00000000-0005-0000-0000-000079160000}"/>
    <cellStyle name="Финансовый 2 3 2 2 2 2 2 4" xfId="4768" xr:uid="{00000000-0005-0000-0000-00007A160000}"/>
    <cellStyle name="Финансовый 2 3 2 2 2 2 2 4 2" xfId="13413" xr:uid="{00000000-0005-0000-0000-00007B160000}"/>
    <cellStyle name="Финансовый 2 3 2 2 2 2 2 5" xfId="7380" xr:uid="{00000000-0005-0000-0000-00007C160000}"/>
    <cellStyle name="Финансовый 2 3 2 2 2 2 2 5 2" xfId="16023" xr:uid="{00000000-0005-0000-0000-00007D160000}"/>
    <cellStyle name="Финансовый 2 3 2 2 2 2 2 6" xfId="9987" xr:uid="{00000000-0005-0000-0000-00007E160000}"/>
    <cellStyle name="Финансовый 2 3 2 2 2 2 3" xfId="2042" xr:uid="{00000000-0005-0000-0000-00007F160000}"/>
    <cellStyle name="Финансовый 2 3 2 2 2 2 3 2" xfId="3687" xr:uid="{00000000-0005-0000-0000-000080160000}"/>
    <cellStyle name="Финансовый 2 3 2 2 2 2 3 2 2" xfId="12332" xr:uid="{00000000-0005-0000-0000-000081160000}"/>
    <cellStyle name="Финансовый 2 3 2 2 2 2 3 3" xfId="5470" xr:uid="{00000000-0005-0000-0000-000082160000}"/>
    <cellStyle name="Финансовый 2 3 2 2 2 2 3 3 2" xfId="14113" xr:uid="{00000000-0005-0000-0000-000083160000}"/>
    <cellStyle name="Финансовый 2 3 2 2 2 2 3 4" xfId="8080" xr:uid="{00000000-0005-0000-0000-000084160000}"/>
    <cellStyle name="Финансовый 2 3 2 2 2 2 3 4 2" xfId="16723" xr:uid="{00000000-0005-0000-0000-000085160000}"/>
    <cellStyle name="Финансовый 2 3 2 2 2 2 3 5" xfId="10687" xr:uid="{00000000-0005-0000-0000-000086160000}"/>
    <cellStyle name="Финансовый 2 3 2 2 2 2 4" xfId="2571" xr:uid="{00000000-0005-0000-0000-000087160000}"/>
    <cellStyle name="Финансовый 2 3 2 2 2 2 4 2" xfId="4216" xr:uid="{00000000-0005-0000-0000-000088160000}"/>
    <cellStyle name="Финансовый 2 3 2 2 2 2 4 2 2" xfId="12861" xr:uid="{00000000-0005-0000-0000-000089160000}"/>
    <cellStyle name="Финансовый 2 3 2 2 2 2 4 3" xfId="5999" xr:uid="{00000000-0005-0000-0000-00008A160000}"/>
    <cellStyle name="Финансовый 2 3 2 2 2 2 4 3 2" xfId="14642" xr:uid="{00000000-0005-0000-0000-00008B160000}"/>
    <cellStyle name="Финансовый 2 3 2 2 2 2 4 4" xfId="8609" xr:uid="{00000000-0005-0000-0000-00008C160000}"/>
    <cellStyle name="Финансовый 2 3 2 2 2 2 4 4 2" xfId="17252" xr:uid="{00000000-0005-0000-0000-00008D160000}"/>
    <cellStyle name="Финансовый 2 3 2 2 2 2 4 5" xfId="11216" xr:uid="{00000000-0005-0000-0000-00008E160000}"/>
    <cellStyle name="Финансовый 2 3 2 2 2 2 5" xfId="1075" xr:uid="{00000000-0005-0000-0000-00008F160000}"/>
    <cellStyle name="Финансовый 2 3 2 2 2 2 5 2" xfId="7115" xr:uid="{00000000-0005-0000-0000-000090160000}"/>
    <cellStyle name="Финансовый 2 3 2 2 2 2 5 2 2" xfId="15758" xr:uid="{00000000-0005-0000-0000-000091160000}"/>
    <cellStyle name="Финансовый 2 3 2 2 2 2 5 3" xfId="9722" xr:uid="{00000000-0005-0000-0000-000092160000}"/>
    <cellStyle name="Финансовый 2 3 2 2 2 2 6" xfId="663" xr:uid="{00000000-0005-0000-0000-000093160000}"/>
    <cellStyle name="Финансовый 2 3 2 2 2 2 6 2" xfId="6703" xr:uid="{00000000-0005-0000-0000-000094160000}"/>
    <cellStyle name="Финансовый 2 3 2 2 2 2 6 2 2" xfId="15346" xr:uid="{00000000-0005-0000-0000-000095160000}"/>
    <cellStyle name="Финансовый 2 3 2 2 2 2 6 3" xfId="9310" xr:uid="{00000000-0005-0000-0000-000096160000}"/>
    <cellStyle name="Финансовый 2 3 2 2 2 2 7" xfId="2852" xr:uid="{00000000-0005-0000-0000-000097160000}"/>
    <cellStyle name="Финансовый 2 3 2 2 2 2 7 2" xfId="11497" xr:uid="{00000000-0005-0000-0000-000098160000}"/>
    <cellStyle name="Финансовый 2 3 2 2 2 2 8" xfId="4496" xr:uid="{00000000-0005-0000-0000-000099160000}"/>
    <cellStyle name="Финансовый 2 3 2 2 2 2 8 2" xfId="13141" xr:uid="{00000000-0005-0000-0000-00009A160000}"/>
    <cellStyle name="Финансовый 2 3 2 2 2 2 9" xfId="6283" xr:uid="{00000000-0005-0000-0000-00009B160000}"/>
    <cellStyle name="Финансовый 2 3 2 2 2 2 9 2" xfId="14926" xr:uid="{00000000-0005-0000-0000-00009C160000}"/>
    <cellStyle name="Финансовый 2 3 2 2 2 3" xfId="391" xr:uid="{00000000-0005-0000-0000-00009D160000}"/>
    <cellStyle name="Финансовый 2 3 2 2 2 3 2" xfId="2170" xr:uid="{00000000-0005-0000-0000-00009E160000}"/>
    <cellStyle name="Финансовый 2 3 2 2 2 3 2 2" xfId="3815" xr:uid="{00000000-0005-0000-0000-00009F160000}"/>
    <cellStyle name="Финансовый 2 3 2 2 2 3 2 2 2" xfId="12460" xr:uid="{00000000-0005-0000-0000-0000A0160000}"/>
    <cellStyle name="Финансовый 2 3 2 2 2 3 2 3" xfId="5598" xr:uid="{00000000-0005-0000-0000-0000A1160000}"/>
    <cellStyle name="Финансовый 2 3 2 2 2 3 2 3 2" xfId="14241" xr:uid="{00000000-0005-0000-0000-0000A2160000}"/>
    <cellStyle name="Финансовый 2 3 2 2 2 3 2 4" xfId="8208" xr:uid="{00000000-0005-0000-0000-0000A3160000}"/>
    <cellStyle name="Финансовый 2 3 2 2 2 3 2 4 2" xfId="16851" xr:uid="{00000000-0005-0000-0000-0000A4160000}"/>
    <cellStyle name="Финансовый 2 3 2 2 2 3 2 5" xfId="10815" xr:uid="{00000000-0005-0000-0000-0000A5160000}"/>
    <cellStyle name="Финансовый 2 3 2 2 2 3 3" xfId="1204" xr:uid="{00000000-0005-0000-0000-0000A6160000}"/>
    <cellStyle name="Финансовый 2 3 2 2 2 3 3 2" xfId="7244" xr:uid="{00000000-0005-0000-0000-0000A7160000}"/>
    <cellStyle name="Финансовый 2 3 2 2 2 3 3 2 2" xfId="15887" xr:uid="{00000000-0005-0000-0000-0000A8160000}"/>
    <cellStyle name="Финансовый 2 3 2 2 2 3 3 3" xfId="9851" xr:uid="{00000000-0005-0000-0000-0000A9160000}"/>
    <cellStyle name="Финансовый 2 3 2 2 2 3 4" xfId="811" xr:uid="{00000000-0005-0000-0000-0000AA160000}"/>
    <cellStyle name="Финансовый 2 3 2 2 2 3 4 2" xfId="6851" xr:uid="{00000000-0005-0000-0000-0000AB160000}"/>
    <cellStyle name="Финансовый 2 3 2 2 2 3 4 2 2" xfId="15494" xr:uid="{00000000-0005-0000-0000-0000AC160000}"/>
    <cellStyle name="Финансовый 2 3 2 2 2 3 4 3" xfId="9458" xr:uid="{00000000-0005-0000-0000-0000AD160000}"/>
    <cellStyle name="Финансовый 2 3 2 2 2 3 5" xfId="2988" xr:uid="{00000000-0005-0000-0000-0000AE160000}"/>
    <cellStyle name="Финансовый 2 3 2 2 2 3 5 2" xfId="11633" xr:uid="{00000000-0005-0000-0000-0000AF160000}"/>
    <cellStyle name="Финансовый 2 3 2 2 2 3 6" xfId="4632" xr:uid="{00000000-0005-0000-0000-0000B0160000}"/>
    <cellStyle name="Финансовый 2 3 2 2 2 3 6 2" xfId="13277" xr:uid="{00000000-0005-0000-0000-0000B1160000}"/>
    <cellStyle name="Финансовый 2 3 2 2 2 3 7" xfId="6431" xr:uid="{00000000-0005-0000-0000-0000B2160000}"/>
    <cellStyle name="Финансовый 2 3 2 2 2 3 7 2" xfId="15074" xr:uid="{00000000-0005-0000-0000-0000B3160000}"/>
    <cellStyle name="Финансовый 2 3 2 2 2 3 8" xfId="9038" xr:uid="{00000000-0005-0000-0000-0000B4160000}"/>
    <cellStyle name="Финансовый 2 3 2 2 2 4" xfId="1482" xr:uid="{00000000-0005-0000-0000-0000B5160000}"/>
    <cellStyle name="Финансовый 2 3 2 2 2 4 2" xfId="1914" xr:uid="{00000000-0005-0000-0000-0000B6160000}"/>
    <cellStyle name="Финансовый 2 3 2 2 2 4 2 2" xfId="3559" xr:uid="{00000000-0005-0000-0000-0000B7160000}"/>
    <cellStyle name="Финансовый 2 3 2 2 2 4 2 2 2" xfId="12204" xr:uid="{00000000-0005-0000-0000-0000B8160000}"/>
    <cellStyle name="Финансовый 2 3 2 2 2 4 2 3" xfId="5342" xr:uid="{00000000-0005-0000-0000-0000B9160000}"/>
    <cellStyle name="Финансовый 2 3 2 2 2 4 2 3 2" xfId="13985" xr:uid="{00000000-0005-0000-0000-0000BA160000}"/>
    <cellStyle name="Финансовый 2 3 2 2 2 4 2 4" xfId="7952" xr:uid="{00000000-0005-0000-0000-0000BB160000}"/>
    <cellStyle name="Финансовый 2 3 2 2 2 4 2 4 2" xfId="16595" xr:uid="{00000000-0005-0000-0000-0000BC160000}"/>
    <cellStyle name="Финансовый 2 3 2 2 2 4 2 5" xfId="10559" xr:uid="{00000000-0005-0000-0000-0000BD160000}"/>
    <cellStyle name="Финансовый 2 3 2 2 2 4 3" xfId="4910" xr:uid="{00000000-0005-0000-0000-0000BE160000}"/>
    <cellStyle name="Финансовый 2 3 2 2 2 4 3 2" xfId="13553" xr:uid="{00000000-0005-0000-0000-0000BF160000}"/>
    <cellStyle name="Финансовый 2 3 2 2 2 4 4" xfId="7520" xr:uid="{00000000-0005-0000-0000-0000C0160000}"/>
    <cellStyle name="Финансовый 2 3 2 2 2 4 4 2" xfId="16163" xr:uid="{00000000-0005-0000-0000-0000C1160000}"/>
    <cellStyle name="Финансовый 2 3 2 2 2 4 5" xfId="10127" xr:uid="{00000000-0005-0000-0000-0000C2160000}"/>
    <cellStyle name="Финансовый 2 3 2 2 2 5" xfId="1790" xr:uid="{00000000-0005-0000-0000-0000C3160000}"/>
    <cellStyle name="Финансовый 2 3 2 2 2 5 2" xfId="3435" xr:uid="{00000000-0005-0000-0000-0000C4160000}"/>
    <cellStyle name="Финансовый 2 3 2 2 2 5 2 2" xfId="12080" xr:uid="{00000000-0005-0000-0000-0000C5160000}"/>
    <cellStyle name="Финансовый 2 3 2 2 2 5 3" xfId="5218" xr:uid="{00000000-0005-0000-0000-0000C6160000}"/>
    <cellStyle name="Финансовый 2 3 2 2 2 5 3 2" xfId="13861" xr:uid="{00000000-0005-0000-0000-0000C7160000}"/>
    <cellStyle name="Финансовый 2 3 2 2 2 5 4" xfId="7828" xr:uid="{00000000-0005-0000-0000-0000C8160000}"/>
    <cellStyle name="Финансовый 2 3 2 2 2 5 4 2" xfId="16471" xr:uid="{00000000-0005-0000-0000-0000C9160000}"/>
    <cellStyle name="Финансовый 2 3 2 2 2 5 5" xfId="10435" xr:uid="{00000000-0005-0000-0000-0000CA160000}"/>
    <cellStyle name="Финансовый 2 3 2 2 2 6" xfId="2435" xr:uid="{00000000-0005-0000-0000-0000CB160000}"/>
    <cellStyle name="Финансовый 2 3 2 2 2 6 2" xfId="4080" xr:uid="{00000000-0005-0000-0000-0000CC160000}"/>
    <cellStyle name="Финансовый 2 3 2 2 2 6 2 2" xfId="12725" xr:uid="{00000000-0005-0000-0000-0000CD160000}"/>
    <cellStyle name="Финансовый 2 3 2 2 2 6 3" xfId="5863" xr:uid="{00000000-0005-0000-0000-0000CE160000}"/>
    <cellStyle name="Финансовый 2 3 2 2 2 6 3 2" xfId="14506" xr:uid="{00000000-0005-0000-0000-0000CF160000}"/>
    <cellStyle name="Финансовый 2 3 2 2 2 6 4" xfId="8473" xr:uid="{00000000-0005-0000-0000-0000D0160000}"/>
    <cellStyle name="Финансовый 2 3 2 2 2 6 4 2" xfId="17116" xr:uid="{00000000-0005-0000-0000-0000D1160000}"/>
    <cellStyle name="Финансовый 2 3 2 2 2 6 5" xfId="11080" xr:uid="{00000000-0005-0000-0000-0000D2160000}"/>
    <cellStyle name="Финансовый 2 3 2 2 2 7" xfId="1662" xr:uid="{00000000-0005-0000-0000-0000D3160000}"/>
    <cellStyle name="Финансовый 2 3 2 2 2 7 2" xfId="3307" xr:uid="{00000000-0005-0000-0000-0000D4160000}"/>
    <cellStyle name="Финансовый 2 3 2 2 2 7 2 2" xfId="11952" xr:uid="{00000000-0005-0000-0000-0000D5160000}"/>
    <cellStyle name="Финансовый 2 3 2 2 2 7 3" xfId="5090" xr:uid="{00000000-0005-0000-0000-0000D6160000}"/>
    <cellStyle name="Финансовый 2 3 2 2 2 7 3 2" xfId="13733" xr:uid="{00000000-0005-0000-0000-0000D7160000}"/>
    <cellStyle name="Финансовый 2 3 2 2 2 7 4" xfId="7700" xr:uid="{00000000-0005-0000-0000-0000D8160000}"/>
    <cellStyle name="Финансовый 2 3 2 2 2 7 4 2" xfId="16343" xr:uid="{00000000-0005-0000-0000-0000D9160000}"/>
    <cellStyle name="Финансовый 2 3 2 2 2 7 5" xfId="10307" xr:uid="{00000000-0005-0000-0000-0000DA160000}"/>
    <cellStyle name="Финансовый 2 3 2 2 2 8" xfId="939" xr:uid="{00000000-0005-0000-0000-0000DB160000}"/>
    <cellStyle name="Финансовый 2 3 2 2 2 8 2" xfId="6979" xr:uid="{00000000-0005-0000-0000-0000DC160000}"/>
    <cellStyle name="Финансовый 2 3 2 2 2 8 2 2" xfId="15622" xr:uid="{00000000-0005-0000-0000-0000DD160000}"/>
    <cellStyle name="Финансовый 2 3 2 2 2 8 3" xfId="9586" xr:uid="{00000000-0005-0000-0000-0000DE160000}"/>
    <cellStyle name="Финансовый 2 3 2 2 2 9" xfId="527" xr:uid="{00000000-0005-0000-0000-0000DF160000}"/>
    <cellStyle name="Финансовый 2 3 2 2 2 9 2" xfId="6567" xr:uid="{00000000-0005-0000-0000-0000E0160000}"/>
    <cellStyle name="Финансовый 2 3 2 2 2 9 2 2" xfId="15210" xr:uid="{00000000-0005-0000-0000-0000E1160000}"/>
    <cellStyle name="Финансовый 2 3 2 2 2 9 3" xfId="9174" xr:uid="{00000000-0005-0000-0000-0000E2160000}"/>
    <cellStyle name="Финансовый 2 3 2 2 3" xfId="186" xr:uid="{00000000-0005-0000-0000-0000E3160000}"/>
    <cellStyle name="Финансовый 2 3 2 2 3 10" xfId="8834" xr:uid="{00000000-0005-0000-0000-0000E4160000}"/>
    <cellStyle name="Финансовый 2 3 2 2 3 2" xfId="1284" xr:uid="{00000000-0005-0000-0000-0000E5160000}"/>
    <cellStyle name="Финансовый 2 3 2 2 3 2 2" xfId="2250" xr:uid="{00000000-0005-0000-0000-0000E6160000}"/>
    <cellStyle name="Финансовый 2 3 2 2 3 2 2 2" xfId="3895" xr:uid="{00000000-0005-0000-0000-0000E7160000}"/>
    <cellStyle name="Финансовый 2 3 2 2 3 2 2 2 2" xfId="12540" xr:uid="{00000000-0005-0000-0000-0000E8160000}"/>
    <cellStyle name="Финансовый 2 3 2 2 3 2 2 3" xfId="5678" xr:uid="{00000000-0005-0000-0000-0000E9160000}"/>
    <cellStyle name="Финансовый 2 3 2 2 3 2 2 3 2" xfId="14321" xr:uid="{00000000-0005-0000-0000-0000EA160000}"/>
    <cellStyle name="Финансовый 2 3 2 2 3 2 2 4" xfId="8288" xr:uid="{00000000-0005-0000-0000-0000EB160000}"/>
    <cellStyle name="Финансовый 2 3 2 2 3 2 2 4 2" xfId="16931" xr:uid="{00000000-0005-0000-0000-0000EC160000}"/>
    <cellStyle name="Финансовый 2 3 2 2 3 2 2 5" xfId="10895" xr:uid="{00000000-0005-0000-0000-0000ED160000}"/>
    <cellStyle name="Финансовый 2 3 2 2 3 2 3" xfId="3068" xr:uid="{00000000-0005-0000-0000-0000EE160000}"/>
    <cellStyle name="Финансовый 2 3 2 2 3 2 3 2" xfId="11713" xr:uid="{00000000-0005-0000-0000-0000EF160000}"/>
    <cellStyle name="Финансовый 2 3 2 2 3 2 4" xfId="4712" xr:uid="{00000000-0005-0000-0000-0000F0160000}"/>
    <cellStyle name="Финансовый 2 3 2 2 3 2 4 2" xfId="13357" xr:uid="{00000000-0005-0000-0000-0000F1160000}"/>
    <cellStyle name="Финансовый 2 3 2 2 3 2 5" xfId="7324" xr:uid="{00000000-0005-0000-0000-0000F2160000}"/>
    <cellStyle name="Финансовый 2 3 2 2 3 2 5 2" xfId="15967" xr:uid="{00000000-0005-0000-0000-0000F3160000}"/>
    <cellStyle name="Финансовый 2 3 2 2 3 2 6" xfId="9931" xr:uid="{00000000-0005-0000-0000-0000F4160000}"/>
    <cellStyle name="Финансовый 2 3 2 2 3 3" xfId="1994" xr:uid="{00000000-0005-0000-0000-0000F5160000}"/>
    <cellStyle name="Финансовый 2 3 2 2 3 3 2" xfId="3639" xr:uid="{00000000-0005-0000-0000-0000F6160000}"/>
    <cellStyle name="Финансовый 2 3 2 2 3 3 2 2" xfId="12284" xr:uid="{00000000-0005-0000-0000-0000F7160000}"/>
    <cellStyle name="Финансовый 2 3 2 2 3 3 3" xfId="5422" xr:uid="{00000000-0005-0000-0000-0000F8160000}"/>
    <cellStyle name="Финансовый 2 3 2 2 3 3 3 2" xfId="14065" xr:uid="{00000000-0005-0000-0000-0000F9160000}"/>
    <cellStyle name="Финансовый 2 3 2 2 3 3 4" xfId="8032" xr:uid="{00000000-0005-0000-0000-0000FA160000}"/>
    <cellStyle name="Финансовый 2 3 2 2 3 3 4 2" xfId="16675" xr:uid="{00000000-0005-0000-0000-0000FB160000}"/>
    <cellStyle name="Финансовый 2 3 2 2 3 3 5" xfId="10639" xr:uid="{00000000-0005-0000-0000-0000FC160000}"/>
    <cellStyle name="Финансовый 2 3 2 2 3 4" xfId="2515" xr:uid="{00000000-0005-0000-0000-0000FD160000}"/>
    <cellStyle name="Финансовый 2 3 2 2 3 4 2" xfId="4160" xr:uid="{00000000-0005-0000-0000-0000FE160000}"/>
    <cellStyle name="Финансовый 2 3 2 2 3 4 2 2" xfId="12805" xr:uid="{00000000-0005-0000-0000-0000FF160000}"/>
    <cellStyle name="Финансовый 2 3 2 2 3 4 3" xfId="5943" xr:uid="{00000000-0005-0000-0000-000000170000}"/>
    <cellStyle name="Финансовый 2 3 2 2 3 4 3 2" xfId="14586" xr:uid="{00000000-0005-0000-0000-000001170000}"/>
    <cellStyle name="Финансовый 2 3 2 2 3 4 4" xfId="8553" xr:uid="{00000000-0005-0000-0000-000002170000}"/>
    <cellStyle name="Финансовый 2 3 2 2 3 4 4 2" xfId="17196" xr:uid="{00000000-0005-0000-0000-000003170000}"/>
    <cellStyle name="Финансовый 2 3 2 2 3 4 5" xfId="11160" xr:uid="{00000000-0005-0000-0000-000004170000}"/>
    <cellStyle name="Финансовый 2 3 2 2 3 5" xfId="1019" xr:uid="{00000000-0005-0000-0000-000005170000}"/>
    <cellStyle name="Финансовый 2 3 2 2 3 5 2" xfId="7059" xr:uid="{00000000-0005-0000-0000-000006170000}"/>
    <cellStyle name="Финансовый 2 3 2 2 3 5 2 2" xfId="15702" xr:uid="{00000000-0005-0000-0000-000007170000}"/>
    <cellStyle name="Финансовый 2 3 2 2 3 5 3" xfId="9666" xr:uid="{00000000-0005-0000-0000-000008170000}"/>
    <cellStyle name="Финансовый 2 3 2 2 3 6" xfId="607" xr:uid="{00000000-0005-0000-0000-000009170000}"/>
    <cellStyle name="Финансовый 2 3 2 2 3 6 2" xfId="6647" xr:uid="{00000000-0005-0000-0000-00000A170000}"/>
    <cellStyle name="Финансовый 2 3 2 2 3 6 2 2" xfId="15290" xr:uid="{00000000-0005-0000-0000-00000B170000}"/>
    <cellStyle name="Финансовый 2 3 2 2 3 6 3" xfId="9254" xr:uid="{00000000-0005-0000-0000-00000C170000}"/>
    <cellStyle name="Финансовый 2 3 2 2 3 7" xfId="2796" xr:uid="{00000000-0005-0000-0000-00000D170000}"/>
    <cellStyle name="Финансовый 2 3 2 2 3 7 2" xfId="11441" xr:uid="{00000000-0005-0000-0000-00000E170000}"/>
    <cellStyle name="Финансовый 2 3 2 2 3 8" xfId="4440" xr:uid="{00000000-0005-0000-0000-00000F170000}"/>
    <cellStyle name="Финансовый 2 3 2 2 3 8 2" xfId="13085" xr:uid="{00000000-0005-0000-0000-000010170000}"/>
    <cellStyle name="Финансовый 2 3 2 2 3 9" xfId="6227" xr:uid="{00000000-0005-0000-0000-000011170000}"/>
    <cellStyle name="Финансовый 2 3 2 2 3 9 2" xfId="14870" xr:uid="{00000000-0005-0000-0000-000012170000}"/>
    <cellStyle name="Финансовый 2 3 2 2 4" xfId="335" xr:uid="{00000000-0005-0000-0000-000013170000}"/>
    <cellStyle name="Финансовый 2 3 2 2 4 2" xfId="2122" xr:uid="{00000000-0005-0000-0000-000014170000}"/>
    <cellStyle name="Финансовый 2 3 2 2 4 2 2" xfId="3767" xr:uid="{00000000-0005-0000-0000-000015170000}"/>
    <cellStyle name="Финансовый 2 3 2 2 4 2 2 2" xfId="12412" xr:uid="{00000000-0005-0000-0000-000016170000}"/>
    <cellStyle name="Финансовый 2 3 2 2 4 2 3" xfId="5550" xr:uid="{00000000-0005-0000-0000-000017170000}"/>
    <cellStyle name="Финансовый 2 3 2 2 4 2 3 2" xfId="14193" xr:uid="{00000000-0005-0000-0000-000018170000}"/>
    <cellStyle name="Финансовый 2 3 2 2 4 2 4" xfId="8160" xr:uid="{00000000-0005-0000-0000-000019170000}"/>
    <cellStyle name="Финансовый 2 3 2 2 4 2 4 2" xfId="16803" xr:uid="{00000000-0005-0000-0000-00001A170000}"/>
    <cellStyle name="Финансовый 2 3 2 2 4 2 5" xfId="10767" xr:uid="{00000000-0005-0000-0000-00001B170000}"/>
    <cellStyle name="Финансовый 2 3 2 2 4 3" xfId="1155" xr:uid="{00000000-0005-0000-0000-00001C170000}"/>
    <cellStyle name="Финансовый 2 3 2 2 4 3 2" xfId="7195" xr:uid="{00000000-0005-0000-0000-00001D170000}"/>
    <cellStyle name="Финансовый 2 3 2 2 4 3 2 2" xfId="15838" xr:uid="{00000000-0005-0000-0000-00001E170000}"/>
    <cellStyle name="Финансовый 2 3 2 2 4 3 3" xfId="9802" xr:uid="{00000000-0005-0000-0000-00001F170000}"/>
    <cellStyle name="Финансовый 2 3 2 2 4 4" xfId="755" xr:uid="{00000000-0005-0000-0000-000020170000}"/>
    <cellStyle name="Финансовый 2 3 2 2 4 4 2" xfId="6795" xr:uid="{00000000-0005-0000-0000-000021170000}"/>
    <cellStyle name="Финансовый 2 3 2 2 4 4 2 2" xfId="15438" xr:uid="{00000000-0005-0000-0000-000022170000}"/>
    <cellStyle name="Финансовый 2 3 2 2 4 4 3" xfId="9402" xr:uid="{00000000-0005-0000-0000-000023170000}"/>
    <cellStyle name="Финансовый 2 3 2 2 4 5" xfId="2932" xr:uid="{00000000-0005-0000-0000-000024170000}"/>
    <cellStyle name="Финансовый 2 3 2 2 4 5 2" xfId="11577" xr:uid="{00000000-0005-0000-0000-000025170000}"/>
    <cellStyle name="Финансовый 2 3 2 2 4 6" xfId="4576" xr:uid="{00000000-0005-0000-0000-000026170000}"/>
    <cellStyle name="Финансовый 2 3 2 2 4 6 2" xfId="13221" xr:uid="{00000000-0005-0000-0000-000027170000}"/>
    <cellStyle name="Финансовый 2 3 2 2 4 7" xfId="6375" xr:uid="{00000000-0005-0000-0000-000028170000}"/>
    <cellStyle name="Финансовый 2 3 2 2 4 7 2" xfId="15018" xr:uid="{00000000-0005-0000-0000-000029170000}"/>
    <cellStyle name="Финансовый 2 3 2 2 4 8" xfId="8982" xr:uid="{00000000-0005-0000-0000-00002A170000}"/>
    <cellStyle name="Финансовый 2 3 2 2 5" xfId="1481" xr:uid="{00000000-0005-0000-0000-00002B170000}"/>
    <cellStyle name="Финансовый 2 3 2 2 5 2" xfId="1858" xr:uid="{00000000-0005-0000-0000-00002C170000}"/>
    <cellStyle name="Финансовый 2 3 2 2 5 2 2" xfId="3503" xr:uid="{00000000-0005-0000-0000-00002D170000}"/>
    <cellStyle name="Финансовый 2 3 2 2 5 2 2 2" xfId="12148" xr:uid="{00000000-0005-0000-0000-00002E170000}"/>
    <cellStyle name="Финансовый 2 3 2 2 5 2 3" xfId="5286" xr:uid="{00000000-0005-0000-0000-00002F170000}"/>
    <cellStyle name="Финансовый 2 3 2 2 5 2 3 2" xfId="13929" xr:uid="{00000000-0005-0000-0000-000030170000}"/>
    <cellStyle name="Финансовый 2 3 2 2 5 2 4" xfId="7896" xr:uid="{00000000-0005-0000-0000-000031170000}"/>
    <cellStyle name="Финансовый 2 3 2 2 5 2 4 2" xfId="16539" xr:uid="{00000000-0005-0000-0000-000032170000}"/>
    <cellStyle name="Финансовый 2 3 2 2 5 2 5" xfId="10503" xr:uid="{00000000-0005-0000-0000-000033170000}"/>
    <cellStyle name="Финансовый 2 3 2 2 5 3" xfId="4909" xr:uid="{00000000-0005-0000-0000-000034170000}"/>
    <cellStyle name="Финансовый 2 3 2 2 5 3 2" xfId="13552" xr:uid="{00000000-0005-0000-0000-000035170000}"/>
    <cellStyle name="Финансовый 2 3 2 2 5 4" xfId="7519" xr:uid="{00000000-0005-0000-0000-000036170000}"/>
    <cellStyle name="Финансовый 2 3 2 2 5 4 2" xfId="16162" xr:uid="{00000000-0005-0000-0000-000037170000}"/>
    <cellStyle name="Финансовый 2 3 2 2 5 5" xfId="10126" xr:uid="{00000000-0005-0000-0000-000038170000}"/>
    <cellStyle name="Финансовый 2 3 2 2 6" xfId="1742" xr:uid="{00000000-0005-0000-0000-000039170000}"/>
    <cellStyle name="Финансовый 2 3 2 2 6 2" xfId="3387" xr:uid="{00000000-0005-0000-0000-00003A170000}"/>
    <cellStyle name="Финансовый 2 3 2 2 6 2 2" xfId="12032" xr:uid="{00000000-0005-0000-0000-00003B170000}"/>
    <cellStyle name="Финансовый 2 3 2 2 6 3" xfId="5170" xr:uid="{00000000-0005-0000-0000-00003C170000}"/>
    <cellStyle name="Финансовый 2 3 2 2 6 3 2" xfId="13813" xr:uid="{00000000-0005-0000-0000-00003D170000}"/>
    <cellStyle name="Финансовый 2 3 2 2 6 4" xfId="7780" xr:uid="{00000000-0005-0000-0000-00003E170000}"/>
    <cellStyle name="Финансовый 2 3 2 2 6 4 2" xfId="16423" xr:uid="{00000000-0005-0000-0000-00003F170000}"/>
    <cellStyle name="Финансовый 2 3 2 2 6 5" xfId="10387" xr:uid="{00000000-0005-0000-0000-000040170000}"/>
    <cellStyle name="Финансовый 2 3 2 2 7" xfId="2378" xr:uid="{00000000-0005-0000-0000-000041170000}"/>
    <cellStyle name="Финансовый 2 3 2 2 7 2" xfId="4023" xr:uid="{00000000-0005-0000-0000-000042170000}"/>
    <cellStyle name="Финансовый 2 3 2 2 7 2 2" xfId="12668" xr:uid="{00000000-0005-0000-0000-000043170000}"/>
    <cellStyle name="Финансовый 2 3 2 2 7 3" xfId="5806" xr:uid="{00000000-0005-0000-0000-000044170000}"/>
    <cellStyle name="Финансовый 2 3 2 2 7 3 2" xfId="14449" xr:uid="{00000000-0005-0000-0000-000045170000}"/>
    <cellStyle name="Финансовый 2 3 2 2 7 4" xfId="8416" xr:uid="{00000000-0005-0000-0000-000046170000}"/>
    <cellStyle name="Финансовый 2 3 2 2 7 4 2" xfId="17059" xr:uid="{00000000-0005-0000-0000-000047170000}"/>
    <cellStyle name="Финансовый 2 3 2 2 7 5" xfId="11023" xr:uid="{00000000-0005-0000-0000-000048170000}"/>
    <cellStyle name="Финансовый 2 3 2 2 8" xfId="1605" xr:uid="{00000000-0005-0000-0000-000049170000}"/>
    <cellStyle name="Финансовый 2 3 2 2 8 2" xfId="3250" xr:uid="{00000000-0005-0000-0000-00004A170000}"/>
    <cellStyle name="Финансовый 2 3 2 2 8 2 2" xfId="11895" xr:uid="{00000000-0005-0000-0000-00004B170000}"/>
    <cellStyle name="Финансовый 2 3 2 2 8 3" xfId="5033" xr:uid="{00000000-0005-0000-0000-00004C170000}"/>
    <cellStyle name="Финансовый 2 3 2 2 8 3 2" xfId="13676" xr:uid="{00000000-0005-0000-0000-00004D170000}"/>
    <cellStyle name="Финансовый 2 3 2 2 8 4" xfId="7643" xr:uid="{00000000-0005-0000-0000-00004E170000}"/>
    <cellStyle name="Финансовый 2 3 2 2 8 4 2" xfId="16286" xr:uid="{00000000-0005-0000-0000-00004F170000}"/>
    <cellStyle name="Финансовый 2 3 2 2 8 5" xfId="10250" xr:uid="{00000000-0005-0000-0000-000050170000}"/>
    <cellStyle name="Финансовый 2 3 2 2 9" xfId="891" xr:uid="{00000000-0005-0000-0000-000051170000}"/>
    <cellStyle name="Финансовый 2 3 2 2 9 2" xfId="6931" xr:uid="{00000000-0005-0000-0000-000052170000}"/>
    <cellStyle name="Финансовый 2 3 2 2 9 2 2" xfId="15574" xr:uid="{00000000-0005-0000-0000-000053170000}"/>
    <cellStyle name="Финансовый 2 3 2 2 9 3" xfId="9538" xr:uid="{00000000-0005-0000-0000-000054170000}"/>
    <cellStyle name="Финансовый 2 3 2 20" xfId="8662" xr:uid="{00000000-0005-0000-0000-000055170000}"/>
    <cellStyle name="Финансовый 2 3 2 3" xfId="118" xr:uid="{00000000-0005-0000-0000-000056170000}"/>
    <cellStyle name="Финансовый 2 3 2 3 10" xfId="2728" xr:uid="{00000000-0005-0000-0000-000057170000}"/>
    <cellStyle name="Финансовый 2 3 2 3 10 2" xfId="11373" xr:uid="{00000000-0005-0000-0000-000058170000}"/>
    <cellStyle name="Финансовый 2 3 2 3 11" xfId="4372" xr:uid="{00000000-0005-0000-0000-000059170000}"/>
    <cellStyle name="Финансовый 2 3 2 3 11 2" xfId="13017" xr:uid="{00000000-0005-0000-0000-00005A170000}"/>
    <cellStyle name="Финансовый 2 3 2 3 12" xfId="6159" xr:uid="{00000000-0005-0000-0000-00005B170000}"/>
    <cellStyle name="Финансовый 2 3 2 3 12 2" xfId="14802" xr:uid="{00000000-0005-0000-0000-00005C170000}"/>
    <cellStyle name="Финансовый 2 3 2 3 13" xfId="8766" xr:uid="{00000000-0005-0000-0000-00005D170000}"/>
    <cellStyle name="Финансовый 2 3 2 3 2" xfId="254" xr:uid="{00000000-0005-0000-0000-00005E170000}"/>
    <cellStyle name="Финансовый 2 3 2 3 2 10" xfId="8902" xr:uid="{00000000-0005-0000-0000-00005F170000}"/>
    <cellStyle name="Финансовый 2 3 2 3 2 2" xfId="1352" xr:uid="{00000000-0005-0000-0000-000060170000}"/>
    <cellStyle name="Финансовый 2 3 2 3 2 2 2" xfId="2310" xr:uid="{00000000-0005-0000-0000-000061170000}"/>
    <cellStyle name="Финансовый 2 3 2 3 2 2 2 2" xfId="3955" xr:uid="{00000000-0005-0000-0000-000062170000}"/>
    <cellStyle name="Финансовый 2 3 2 3 2 2 2 2 2" xfId="12600" xr:uid="{00000000-0005-0000-0000-000063170000}"/>
    <cellStyle name="Финансовый 2 3 2 3 2 2 2 3" xfId="5738" xr:uid="{00000000-0005-0000-0000-000064170000}"/>
    <cellStyle name="Финансовый 2 3 2 3 2 2 2 3 2" xfId="14381" xr:uid="{00000000-0005-0000-0000-000065170000}"/>
    <cellStyle name="Финансовый 2 3 2 3 2 2 2 4" xfId="8348" xr:uid="{00000000-0005-0000-0000-000066170000}"/>
    <cellStyle name="Финансовый 2 3 2 3 2 2 2 4 2" xfId="16991" xr:uid="{00000000-0005-0000-0000-000067170000}"/>
    <cellStyle name="Финансовый 2 3 2 3 2 2 2 5" xfId="10955" xr:uid="{00000000-0005-0000-0000-000068170000}"/>
    <cellStyle name="Финансовый 2 3 2 3 2 2 3" xfId="3136" xr:uid="{00000000-0005-0000-0000-000069170000}"/>
    <cellStyle name="Финансовый 2 3 2 3 2 2 3 2" xfId="11781" xr:uid="{00000000-0005-0000-0000-00006A170000}"/>
    <cellStyle name="Финансовый 2 3 2 3 2 2 4" xfId="4780" xr:uid="{00000000-0005-0000-0000-00006B170000}"/>
    <cellStyle name="Финансовый 2 3 2 3 2 2 4 2" xfId="13425" xr:uid="{00000000-0005-0000-0000-00006C170000}"/>
    <cellStyle name="Финансовый 2 3 2 3 2 2 5" xfId="7392" xr:uid="{00000000-0005-0000-0000-00006D170000}"/>
    <cellStyle name="Финансовый 2 3 2 3 2 2 5 2" xfId="16035" xr:uid="{00000000-0005-0000-0000-00006E170000}"/>
    <cellStyle name="Финансовый 2 3 2 3 2 2 6" xfId="9999" xr:uid="{00000000-0005-0000-0000-00006F170000}"/>
    <cellStyle name="Финансовый 2 3 2 3 2 3" xfId="2054" xr:uid="{00000000-0005-0000-0000-000070170000}"/>
    <cellStyle name="Финансовый 2 3 2 3 2 3 2" xfId="3699" xr:uid="{00000000-0005-0000-0000-000071170000}"/>
    <cellStyle name="Финансовый 2 3 2 3 2 3 2 2" xfId="12344" xr:uid="{00000000-0005-0000-0000-000072170000}"/>
    <cellStyle name="Финансовый 2 3 2 3 2 3 3" xfId="5482" xr:uid="{00000000-0005-0000-0000-000073170000}"/>
    <cellStyle name="Финансовый 2 3 2 3 2 3 3 2" xfId="14125" xr:uid="{00000000-0005-0000-0000-000074170000}"/>
    <cellStyle name="Финансовый 2 3 2 3 2 3 4" xfId="8092" xr:uid="{00000000-0005-0000-0000-000075170000}"/>
    <cellStyle name="Финансовый 2 3 2 3 2 3 4 2" xfId="16735" xr:uid="{00000000-0005-0000-0000-000076170000}"/>
    <cellStyle name="Финансовый 2 3 2 3 2 3 5" xfId="10699" xr:uid="{00000000-0005-0000-0000-000077170000}"/>
    <cellStyle name="Финансовый 2 3 2 3 2 4" xfId="2583" xr:uid="{00000000-0005-0000-0000-000078170000}"/>
    <cellStyle name="Финансовый 2 3 2 3 2 4 2" xfId="4228" xr:uid="{00000000-0005-0000-0000-000079170000}"/>
    <cellStyle name="Финансовый 2 3 2 3 2 4 2 2" xfId="12873" xr:uid="{00000000-0005-0000-0000-00007A170000}"/>
    <cellStyle name="Финансовый 2 3 2 3 2 4 3" xfId="6011" xr:uid="{00000000-0005-0000-0000-00007B170000}"/>
    <cellStyle name="Финансовый 2 3 2 3 2 4 3 2" xfId="14654" xr:uid="{00000000-0005-0000-0000-00007C170000}"/>
    <cellStyle name="Финансовый 2 3 2 3 2 4 4" xfId="8621" xr:uid="{00000000-0005-0000-0000-00007D170000}"/>
    <cellStyle name="Финансовый 2 3 2 3 2 4 4 2" xfId="17264" xr:uid="{00000000-0005-0000-0000-00007E170000}"/>
    <cellStyle name="Финансовый 2 3 2 3 2 4 5" xfId="11228" xr:uid="{00000000-0005-0000-0000-00007F170000}"/>
    <cellStyle name="Финансовый 2 3 2 3 2 5" xfId="1087" xr:uid="{00000000-0005-0000-0000-000080170000}"/>
    <cellStyle name="Финансовый 2 3 2 3 2 5 2" xfId="7127" xr:uid="{00000000-0005-0000-0000-000081170000}"/>
    <cellStyle name="Финансовый 2 3 2 3 2 5 2 2" xfId="15770" xr:uid="{00000000-0005-0000-0000-000082170000}"/>
    <cellStyle name="Финансовый 2 3 2 3 2 5 3" xfId="9734" xr:uid="{00000000-0005-0000-0000-000083170000}"/>
    <cellStyle name="Финансовый 2 3 2 3 2 6" xfId="675" xr:uid="{00000000-0005-0000-0000-000084170000}"/>
    <cellStyle name="Финансовый 2 3 2 3 2 6 2" xfId="6715" xr:uid="{00000000-0005-0000-0000-000085170000}"/>
    <cellStyle name="Финансовый 2 3 2 3 2 6 2 2" xfId="15358" xr:uid="{00000000-0005-0000-0000-000086170000}"/>
    <cellStyle name="Финансовый 2 3 2 3 2 6 3" xfId="9322" xr:uid="{00000000-0005-0000-0000-000087170000}"/>
    <cellStyle name="Финансовый 2 3 2 3 2 7" xfId="2864" xr:uid="{00000000-0005-0000-0000-000088170000}"/>
    <cellStyle name="Финансовый 2 3 2 3 2 7 2" xfId="11509" xr:uid="{00000000-0005-0000-0000-000089170000}"/>
    <cellStyle name="Финансовый 2 3 2 3 2 8" xfId="4508" xr:uid="{00000000-0005-0000-0000-00008A170000}"/>
    <cellStyle name="Финансовый 2 3 2 3 2 8 2" xfId="13153" xr:uid="{00000000-0005-0000-0000-00008B170000}"/>
    <cellStyle name="Финансовый 2 3 2 3 2 9" xfId="6295" xr:uid="{00000000-0005-0000-0000-00008C170000}"/>
    <cellStyle name="Финансовый 2 3 2 3 2 9 2" xfId="14938" xr:uid="{00000000-0005-0000-0000-00008D170000}"/>
    <cellStyle name="Финансовый 2 3 2 3 3" xfId="403" xr:uid="{00000000-0005-0000-0000-00008E170000}"/>
    <cellStyle name="Финансовый 2 3 2 3 3 2" xfId="2182" xr:uid="{00000000-0005-0000-0000-00008F170000}"/>
    <cellStyle name="Финансовый 2 3 2 3 3 2 2" xfId="3827" xr:uid="{00000000-0005-0000-0000-000090170000}"/>
    <cellStyle name="Финансовый 2 3 2 3 3 2 2 2" xfId="12472" xr:uid="{00000000-0005-0000-0000-000091170000}"/>
    <cellStyle name="Финансовый 2 3 2 3 3 2 3" xfId="5610" xr:uid="{00000000-0005-0000-0000-000092170000}"/>
    <cellStyle name="Финансовый 2 3 2 3 3 2 3 2" xfId="14253" xr:uid="{00000000-0005-0000-0000-000093170000}"/>
    <cellStyle name="Финансовый 2 3 2 3 3 2 4" xfId="8220" xr:uid="{00000000-0005-0000-0000-000094170000}"/>
    <cellStyle name="Финансовый 2 3 2 3 3 2 4 2" xfId="16863" xr:uid="{00000000-0005-0000-0000-000095170000}"/>
    <cellStyle name="Финансовый 2 3 2 3 3 2 5" xfId="10827" xr:uid="{00000000-0005-0000-0000-000096170000}"/>
    <cellStyle name="Финансовый 2 3 2 3 3 3" xfId="1216" xr:uid="{00000000-0005-0000-0000-000097170000}"/>
    <cellStyle name="Финансовый 2 3 2 3 3 3 2" xfId="7256" xr:uid="{00000000-0005-0000-0000-000098170000}"/>
    <cellStyle name="Финансовый 2 3 2 3 3 3 2 2" xfId="15899" xr:uid="{00000000-0005-0000-0000-000099170000}"/>
    <cellStyle name="Финансовый 2 3 2 3 3 3 3" xfId="9863" xr:uid="{00000000-0005-0000-0000-00009A170000}"/>
    <cellStyle name="Финансовый 2 3 2 3 3 4" xfId="823" xr:uid="{00000000-0005-0000-0000-00009B170000}"/>
    <cellStyle name="Финансовый 2 3 2 3 3 4 2" xfId="6863" xr:uid="{00000000-0005-0000-0000-00009C170000}"/>
    <cellStyle name="Финансовый 2 3 2 3 3 4 2 2" xfId="15506" xr:uid="{00000000-0005-0000-0000-00009D170000}"/>
    <cellStyle name="Финансовый 2 3 2 3 3 4 3" xfId="9470" xr:uid="{00000000-0005-0000-0000-00009E170000}"/>
    <cellStyle name="Финансовый 2 3 2 3 3 5" xfId="3000" xr:uid="{00000000-0005-0000-0000-00009F170000}"/>
    <cellStyle name="Финансовый 2 3 2 3 3 5 2" xfId="11645" xr:uid="{00000000-0005-0000-0000-0000A0170000}"/>
    <cellStyle name="Финансовый 2 3 2 3 3 6" xfId="4644" xr:uid="{00000000-0005-0000-0000-0000A1170000}"/>
    <cellStyle name="Финансовый 2 3 2 3 3 6 2" xfId="13289" xr:uid="{00000000-0005-0000-0000-0000A2170000}"/>
    <cellStyle name="Финансовый 2 3 2 3 3 7" xfId="6443" xr:uid="{00000000-0005-0000-0000-0000A3170000}"/>
    <cellStyle name="Финансовый 2 3 2 3 3 7 2" xfId="15086" xr:uid="{00000000-0005-0000-0000-0000A4170000}"/>
    <cellStyle name="Финансовый 2 3 2 3 3 8" xfId="9050" xr:uid="{00000000-0005-0000-0000-0000A5170000}"/>
    <cellStyle name="Финансовый 2 3 2 3 4" xfId="1483" xr:uid="{00000000-0005-0000-0000-0000A6170000}"/>
    <cellStyle name="Финансовый 2 3 2 3 4 2" xfId="1926" xr:uid="{00000000-0005-0000-0000-0000A7170000}"/>
    <cellStyle name="Финансовый 2 3 2 3 4 2 2" xfId="3571" xr:uid="{00000000-0005-0000-0000-0000A8170000}"/>
    <cellStyle name="Финансовый 2 3 2 3 4 2 2 2" xfId="12216" xr:uid="{00000000-0005-0000-0000-0000A9170000}"/>
    <cellStyle name="Финансовый 2 3 2 3 4 2 3" xfId="5354" xr:uid="{00000000-0005-0000-0000-0000AA170000}"/>
    <cellStyle name="Финансовый 2 3 2 3 4 2 3 2" xfId="13997" xr:uid="{00000000-0005-0000-0000-0000AB170000}"/>
    <cellStyle name="Финансовый 2 3 2 3 4 2 4" xfId="7964" xr:uid="{00000000-0005-0000-0000-0000AC170000}"/>
    <cellStyle name="Финансовый 2 3 2 3 4 2 4 2" xfId="16607" xr:uid="{00000000-0005-0000-0000-0000AD170000}"/>
    <cellStyle name="Финансовый 2 3 2 3 4 2 5" xfId="10571" xr:uid="{00000000-0005-0000-0000-0000AE170000}"/>
    <cellStyle name="Финансовый 2 3 2 3 4 3" xfId="4911" xr:uid="{00000000-0005-0000-0000-0000AF170000}"/>
    <cellStyle name="Финансовый 2 3 2 3 4 3 2" xfId="13554" xr:uid="{00000000-0005-0000-0000-0000B0170000}"/>
    <cellStyle name="Финансовый 2 3 2 3 4 4" xfId="7521" xr:uid="{00000000-0005-0000-0000-0000B1170000}"/>
    <cellStyle name="Финансовый 2 3 2 3 4 4 2" xfId="16164" xr:uid="{00000000-0005-0000-0000-0000B2170000}"/>
    <cellStyle name="Финансовый 2 3 2 3 4 5" xfId="10128" xr:uid="{00000000-0005-0000-0000-0000B3170000}"/>
    <cellStyle name="Финансовый 2 3 2 3 5" xfId="1802" xr:uid="{00000000-0005-0000-0000-0000B4170000}"/>
    <cellStyle name="Финансовый 2 3 2 3 5 2" xfId="3447" xr:uid="{00000000-0005-0000-0000-0000B5170000}"/>
    <cellStyle name="Финансовый 2 3 2 3 5 2 2" xfId="12092" xr:uid="{00000000-0005-0000-0000-0000B6170000}"/>
    <cellStyle name="Финансовый 2 3 2 3 5 3" xfId="5230" xr:uid="{00000000-0005-0000-0000-0000B7170000}"/>
    <cellStyle name="Финансовый 2 3 2 3 5 3 2" xfId="13873" xr:uid="{00000000-0005-0000-0000-0000B8170000}"/>
    <cellStyle name="Финансовый 2 3 2 3 5 4" xfId="7840" xr:uid="{00000000-0005-0000-0000-0000B9170000}"/>
    <cellStyle name="Финансовый 2 3 2 3 5 4 2" xfId="16483" xr:uid="{00000000-0005-0000-0000-0000BA170000}"/>
    <cellStyle name="Финансовый 2 3 2 3 5 5" xfId="10447" xr:uid="{00000000-0005-0000-0000-0000BB170000}"/>
    <cellStyle name="Финансовый 2 3 2 3 6" xfId="2447" xr:uid="{00000000-0005-0000-0000-0000BC170000}"/>
    <cellStyle name="Финансовый 2 3 2 3 6 2" xfId="4092" xr:uid="{00000000-0005-0000-0000-0000BD170000}"/>
    <cellStyle name="Финансовый 2 3 2 3 6 2 2" xfId="12737" xr:uid="{00000000-0005-0000-0000-0000BE170000}"/>
    <cellStyle name="Финансовый 2 3 2 3 6 3" xfId="5875" xr:uid="{00000000-0005-0000-0000-0000BF170000}"/>
    <cellStyle name="Финансовый 2 3 2 3 6 3 2" xfId="14518" xr:uid="{00000000-0005-0000-0000-0000C0170000}"/>
    <cellStyle name="Финансовый 2 3 2 3 6 4" xfId="8485" xr:uid="{00000000-0005-0000-0000-0000C1170000}"/>
    <cellStyle name="Финансовый 2 3 2 3 6 4 2" xfId="17128" xr:uid="{00000000-0005-0000-0000-0000C2170000}"/>
    <cellStyle name="Финансовый 2 3 2 3 6 5" xfId="11092" xr:uid="{00000000-0005-0000-0000-0000C3170000}"/>
    <cellStyle name="Финансовый 2 3 2 3 7" xfId="1674" xr:uid="{00000000-0005-0000-0000-0000C4170000}"/>
    <cellStyle name="Финансовый 2 3 2 3 7 2" xfId="3319" xr:uid="{00000000-0005-0000-0000-0000C5170000}"/>
    <cellStyle name="Финансовый 2 3 2 3 7 2 2" xfId="11964" xr:uid="{00000000-0005-0000-0000-0000C6170000}"/>
    <cellStyle name="Финансовый 2 3 2 3 7 3" xfId="5102" xr:uid="{00000000-0005-0000-0000-0000C7170000}"/>
    <cellStyle name="Финансовый 2 3 2 3 7 3 2" xfId="13745" xr:uid="{00000000-0005-0000-0000-0000C8170000}"/>
    <cellStyle name="Финансовый 2 3 2 3 7 4" xfId="7712" xr:uid="{00000000-0005-0000-0000-0000C9170000}"/>
    <cellStyle name="Финансовый 2 3 2 3 7 4 2" xfId="16355" xr:uid="{00000000-0005-0000-0000-0000CA170000}"/>
    <cellStyle name="Финансовый 2 3 2 3 7 5" xfId="10319" xr:uid="{00000000-0005-0000-0000-0000CB170000}"/>
    <cellStyle name="Финансовый 2 3 2 3 8" xfId="951" xr:uid="{00000000-0005-0000-0000-0000CC170000}"/>
    <cellStyle name="Финансовый 2 3 2 3 8 2" xfId="6991" xr:uid="{00000000-0005-0000-0000-0000CD170000}"/>
    <cellStyle name="Финансовый 2 3 2 3 8 2 2" xfId="15634" xr:uid="{00000000-0005-0000-0000-0000CE170000}"/>
    <cellStyle name="Финансовый 2 3 2 3 8 3" xfId="9598" xr:uid="{00000000-0005-0000-0000-0000CF170000}"/>
    <cellStyle name="Финансовый 2 3 2 3 9" xfId="539" xr:uid="{00000000-0005-0000-0000-0000D0170000}"/>
    <cellStyle name="Финансовый 2 3 2 3 9 2" xfId="6579" xr:uid="{00000000-0005-0000-0000-0000D1170000}"/>
    <cellStyle name="Финансовый 2 3 2 3 9 2 2" xfId="15222" xr:uid="{00000000-0005-0000-0000-0000D2170000}"/>
    <cellStyle name="Финансовый 2 3 2 3 9 3" xfId="9186" xr:uid="{00000000-0005-0000-0000-0000D3170000}"/>
    <cellStyle name="Финансовый 2 3 2 4" xfId="82" xr:uid="{00000000-0005-0000-0000-0000D4170000}"/>
    <cellStyle name="Финансовый 2 3 2 4 10" xfId="2692" xr:uid="{00000000-0005-0000-0000-0000D5170000}"/>
    <cellStyle name="Финансовый 2 3 2 4 10 2" xfId="11337" xr:uid="{00000000-0005-0000-0000-0000D6170000}"/>
    <cellStyle name="Финансовый 2 3 2 4 11" xfId="4336" xr:uid="{00000000-0005-0000-0000-0000D7170000}"/>
    <cellStyle name="Финансовый 2 3 2 4 11 2" xfId="12981" xr:uid="{00000000-0005-0000-0000-0000D8170000}"/>
    <cellStyle name="Финансовый 2 3 2 4 12" xfId="6123" xr:uid="{00000000-0005-0000-0000-0000D9170000}"/>
    <cellStyle name="Финансовый 2 3 2 4 12 2" xfId="14766" xr:uid="{00000000-0005-0000-0000-0000DA170000}"/>
    <cellStyle name="Финансовый 2 3 2 4 13" xfId="8730" xr:uid="{00000000-0005-0000-0000-0000DB170000}"/>
    <cellStyle name="Финансовый 2 3 2 4 2" xfId="218" xr:uid="{00000000-0005-0000-0000-0000DC170000}"/>
    <cellStyle name="Финансовый 2 3 2 4 2 10" xfId="8866" xr:uid="{00000000-0005-0000-0000-0000DD170000}"/>
    <cellStyle name="Финансовый 2 3 2 4 2 2" xfId="1316" xr:uid="{00000000-0005-0000-0000-0000DE170000}"/>
    <cellStyle name="Финансовый 2 3 2 4 2 2 2" xfId="2274" xr:uid="{00000000-0005-0000-0000-0000DF170000}"/>
    <cellStyle name="Финансовый 2 3 2 4 2 2 2 2" xfId="3919" xr:uid="{00000000-0005-0000-0000-0000E0170000}"/>
    <cellStyle name="Финансовый 2 3 2 4 2 2 2 2 2" xfId="12564" xr:uid="{00000000-0005-0000-0000-0000E1170000}"/>
    <cellStyle name="Финансовый 2 3 2 4 2 2 2 3" xfId="5702" xr:uid="{00000000-0005-0000-0000-0000E2170000}"/>
    <cellStyle name="Финансовый 2 3 2 4 2 2 2 3 2" xfId="14345" xr:uid="{00000000-0005-0000-0000-0000E3170000}"/>
    <cellStyle name="Финансовый 2 3 2 4 2 2 2 4" xfId="8312" xr:uid="{00000000-0005-0000-0000-0000E4170000}"/>
    <cellStyle name="Финансовый 2 3 2 4 2 2 2 4 2" xfId="16955" xr:uid="{00000000-0005-0000-0000-0000E5170000}"/>
    <cellStyle name="Финансовый 2 3 2 4 2 2 2 5" xfId="10919" xr:uid="{00000000-0005-0000-0000-0000E6170000}"/>
    <cellStyle name="Финансовый 2 3 2 4 2 2 3" xfId="3100" xr:uid="{00000000-0005-0000-0000-0000E7170000}"/>
    <cellStyle name="Финансовый 2 3 2 4 2 2 3 2" xfId="11745" xr:uid="{00000000-0005-0000-0000-0000E8170000}"/>
    <cellStyle name="Финансовый 2 3 2 4 2 2 4" xfId="4744" xr:uid="{00000000-0005-0000-0000-0000E9170000}"/>
    <cellStyle name="Финансовый 2 3 2 4 2 2 4 2" xfId="13389" xr:uid="{00000000-0005-0000-0000-0000EA170000}"/>
    <cellStyle name="Финансовый 2 3 2 4 2 2 5" xfId="7356" xr:uid="{00000000-0005-0000-0000-0000EB170000}"/>
    <cellStyle name="Финансовый 2 3 2 4 2 2 5 2" xfId="15999" xr:uid="{00000000-0005-0000-0000-0000EC170000}"/>
    <cellStyle name="Финансовый 2 3 2 4 2 2 6" xfId="9963" xr:uid="{00000000-0005-0000-0000-0000ED170000}"/>
    <cellStyle name="Финансовый 2 3 2 4 2 3" xfId="2018" xr:uid="{00000000-0005-0000-0000-0000EE170000}"/>
    <cellStyle name="Финансовый 2 3 2 4 2 3 2" xfId="3663" xr:uid="{00000000-0005-0000-0000-0000EF170000}"/>
    <cellStyle name="Финансовый 2 3 2 4 2 3 2 2" xfId="12308" xr:uid="{00000000-0005-0000-0000-0000F0170000}"/>
    <cellStyle name="Финансовый 2 3 2 4 2 3 3" xfId="5446" xr:uid="{00000000-0005-0000-0000-0000F1170000}"/>
    <cellStyle name="Финансовый 2 3 2 4 2 3 3 2" xfId="14089" xr:uid="{00000000-0005-0000-0000-0000F2170000}"/>
    <cellStyle name="Финансовый 2 3 2 4 2 3 4" xfId="8056" xr:uid="{00000000-0005-0000-0000-0000F3170000}"/>
    <cellStyle name="Финансовый 2 3 2 4 2 3 4 2" xfId="16699" xr:uid="{00000000-0005-0000-0000-0000F4170000}"/>
    <cellStyle name="Финансовый 2 3 2 4 2 3 5" xfId="10663" xr:uid="{00000000-0005-0000-0000-0000F5170000}"/>
    <cellStyle name="Финансовый 2 3 2 4 2 4" xfId="2547" xr:uid="{00000000-0005-0000-0000-0000F6170000}"/>
    <cellStyle name="Финансовый 2 3 2 4 2 4 2" xfId="4192" xr:uid="{00000000-0005-0000-0000-0000F7170000}"/>
    <cellStyle name="Финансовый 2 3 2 4 2 4 2 2" xfId="12837" xr:uid="{00000000-0005-0000-0000-0000F8170000}"/>
    <cellStyle name="Финансовый 2 3 2 4 2 4 3" xfId="5975" xr:uid="{00000000-0005-0000-0000-0000F9170000}"/>
    <cellStyle name="Финансовый 2 3 2 4 2 4 3 2" xfId="14618" xr:uid="{00000000-0005-0000-0000-0000FA170000}"/>
    <cellStyle name="Финансовый 2 3 2 4 2 4 4" xfId="8585" xr:uid="{00000000-0005-0000-0000-0000FB170000}"/>
    <cellStyle name="Финансовый 2 3 2 4 2 4 4 2" xfId="17228" xr:uid="{00000000-0005-0000-0000-0000FC170000}"/>
    <cellStyle name="Финансовый 2 3 2 4 2 4 5" xfId="11192" xr:uid="{00000000-0005-0000-0000-0000FD170000}"/>
    <cellStyle name="Финансовый 2 3 2 4 2 5" xfId="1051" xr:uid="{00000000-0005-0000-0000-0000FE170000}"/>
    <cellStyle name="Финансовый 2 3 2 4 2 5 2" xfId="7091" xr:uid="{00000000-0005-0000-0000-0000FF170000}"/>
    <cellStyle name="Финансовый 2 3 2 4 2 5 2 2" xfId="15734" xr:uid="{00000000-0005-0000-0000-000000180000}"/>
    <cellStyle name="Финансовый 2 3 2 4 2 5 3" xfId="9698" xr:uid="{00000000-0005-0000-0000-000001180000}"/>
    <cellStyle name="Финансовый 2 3 2 4 2 6" xfId="639" xr:uid="{00000000-0005-0000-0000-000002180000}"/>
    <cellStyle name="Финансовый 2 3 2 4 2 6 2" xfId="6679" xr:uid="{00000000-0005-0000-0000-000003180000}"/>
    <cellStyle name="Финансовый 2 3 2 4 2 6 2 2" xfId="15322" xr:uid="{00000000-0005-0000-0000-000004180000}"/>
    <cellStyle name="Финансовый 2 3 2 4 2 6 3" xfId="9286" xr:uid="{00000000-0005-0000-0000-000005180000}"/>
    <cellStyle name="Финансовый 2 3 2 4 2 7" xfId="2828" xr:uid="{00000000-0005-0000-0000-000006180000}"/>
    <cellStyle name="Финансовый 2 3 2 4 2 7 2" xfId="11473" xr:uid="{00000000-0005-0000-0000-000007180000}"/>
    <cellStyle name="Финансовый 2 3 2 4 2 8" xfId="4472" xr:uid="{00000000-0005-0000-0000-000008180000}"/>
    <cellStyle name="Финансовый 2 3 2 4 2 8 2" xfId="13117" xr:uid="{00000000-0005-0000-0000-000009180000}"/>
    <cellStyle name="Финансовый 2 3 2 4 2 9" xfId="6259" xr:uid="{00000000-0005-0000-0000-00000A180000}"/>
    <cellStyle name="Финансовый 2 3 2 4 2 9 2" xfId="14902" xr:uid="{00000000-0005-0000-0000-00000B180000}"/>
    <cellStyle name="Финансовый 2 3 2 4 3" xfId="367" xr:uid="{00000000-0005-0000-0000-00000C180000}"/>
    <cellStyle name="Финансовый 2 3 2 4 3 2" xfId="2146" xr:uid="{00000000-0005-0000-0000-00000D180000}"/>
    <cellStyle name="Финансовый 2 3 2 4 3 2 2" xfId="3791" xr:uid="{00000000-0005-0000-0000-00000E180000}"/>
    <cellStyle name="Финансовый 2 3 2 4 3 2 2 2" xfId="12436" xr:uid="{00000000-0005-0000-0000-00000F180000}"/>
    <cellStyle name="Финансовый 2 3 2 4 3 2 3" xfId="5574" xr:uid="{00000000-0005-0000-0000-000010180000}"/>
    <cellStyle name="Финансовый 2 3 2 4 3 2 3 2" xfId="14217" xr:uid="{00000000-0005-0000-0000-000011180000}"/>
    <cellStyle name="Финансовый 2 3 2 4 3 2 4" xfId="8184" xr:uid="{00000000-0005-0000-0000-000012180000}"/>
    <cellStyle name="Финансовый 2 3 2 4 3 2 4 2" xfId="16827" xr:uid="{00000000-0005-0000-0000-000013180000}"/>
    <cellStyle name="Финансовый 2 3 2 4 3 2 5" xfId="10791" xr:uid="{00000000-0005-0000-0000-000014180000}"/>
    <cellStyle name="Финансовый 2 3 2 4 3 3" xfId="1180" xr:uid="{00000000-0005-0000-0000-000015180000}"/>
    <cellStyle name="Финансовый 2 3 2 4 3 3 2" xfId="7220" xr:uid="{00000000-0005-0000-0000-000016180000}"/>
    <cellStyle name="Финансовый 2 3 2 4 3 3 2 2" xfId="15863" xr:uid="{00000000-0005-0000-0000-000017180000}"/>
    <cellStyle name="Финансовый 2 3 2 4 3 3 3" xfId="9827" xr:uid="{00000000-0005-0000-0000-000018180000}"/>
    <cellStyle name="Финансовый 2 3 2 4 3 4" xfId="787" xr:uid="{00000000-0005-0000-0000-000019180000}"/>
    <cellStyle name="Финансовый 2 3 2 4 3 4 2" xfId="6827" xr:uid="{00000000-0005-0000-0000-00001A180000}"/>
    <cellStyle name="Финансовый 2 3 2 4 3 4 2 2" xfId="15470" xr:uid="{00000000-0005-0000-0000-00001B180000}"/>
    <cellStyle name="Финансовый 2 3 2 4 3 4 3" xfId="9434" xr:uid="{00000000-0005-0000-0000-00001C180000}"/>
    <cellStyle name="Финансовый 2 3 2 4 3 5" xfId="2964" xr:uid="{00000000-0005-0000-0000-00001D180000}"/>
    <cellStyle name="Финансовый 2 3 2 4 3 5 2" xfId="11609" xr:uid="{00000000-0005-0000-0000-00001E180000}"/>
    <cellStyle name="Финансовый 2 3 2 4 3 6" xfId="4608" xr:uid="{00000000-0005-0000-0000-00001F180000}"/>
    <cellStyle name="Финансовый 2 3 2 4 3 6 2" xfId="13253" xr:uid="{00000000-0005-0000-0000-000020180000}"/>
    <cellStyle name="Финансовый 2 3 2 4 3 7" xfId="6407" xr:uid="{00000000-0005-0000-0000-000021180000}"/>
    <cellStyle name="Финансовый 2 3 2 4 3 7 2" xfId="15050" xr:uid="{00000000-0005-0000-0000-000022180000}"/>
    <cellStyle name="Финансовый 2 3 2 4 3 8" xfId="9014" xr:uid="{00000000-0005-0000-0000-000023180000}"/>
    <cellStyle name="Финансовый 2 3 2 4 4" xfId="1484" xr:uid="{00000000-0005-0000-0000-000024180000}"/>
    <cellStyle name="Финансовый 2 3 2 4 4 2" xfId="1890" xr:uid="{00000000-0005-0000-0000-000025180000}"/>
    <cellStyle name="Финансовый 2 3 2 4 4 2 2" xfId="3535" xr:uid="{00000000-0005-0000-0000-000026180000}"/>
    <cellStyle name="Финансовый 2 3 2 4 4 2 2 2" xfId="12180" xr:uid="{00000000-0005-0000-0000-000027180000}"/>
    <cellStyle name="Финансовый 2 3 2 4 4 2 3" xfId="5318" xr:uid="{00000000-0005-0000-0000-000028180000}"/>
    <cellStyle name="Финансовый 2 3 2 4 4 2 3 2" xfId="13961" xr:uid="{00000000-0005-0000-0000-000029180000}"/>
    <cellStyle name="Финансовый 2 3 2 4 4 2 4" xfId="7928" xr:uid="{00000000-0005-0000-0000-00002A180000}"/>
    <cellStyle name="Финансовый 2 3 2 4 4 2 4 2" xfId="16571" xr:uid="{00000000-0005-0000-0000-00002B180000}"/>
    <cellStyle name="Финансовый 2 3 2 4 4 2 5" xfId="10535" xr:uid="{00000000-0005-0000-0000-00002C180000}"/>
    <cellStyle name="Финансовый 2 3 2 4 4 3" xfId="4912" xr:uid="{00000000-0005-0000-0000-00002D180000}"/>
    <cellStyle name="Финансовый 2 3 2 4 4 3 2" xfId="13555" xr:uid="{00000000-0005-0000-0000-00002E180000}"/>
    <cellStyle name="Финансовый 2 3 2 4 4 4" xfId="7522" xr:uid="{00000000-0005-0000-0000-00002F180000}"/>
    <cellStyle name="Финансовый 2 3 2 4 4 4 2" xfId="16165" xr:uid="{00000000-0005-0000-0000-000030180000}"/>
    <cellStyle name="Финансовый 2 3 2 4 4 5" xfId="10129" xr:uid="{00000000-0005-0000-0000-000031180000}"/>
    <cellStyle name="Финансовый 2 3 2 4 5" xfId="1766" xr:uid="{00000000-0005-0000-0000-000032180000}"/>
    <cellStyle name="Финансовый 2 3 2 4 5 2" xfId="3411" xr:uid="{00000000-0005-0000-0000-000033180000}"/>
    <cellStyle name="Финансовый 2 3 2 4 5 2 2" xfId="12056" xr:uid="{00000000-0005-0000-0000-000034180000}"/>
    <cellStyle name="Финансовый 2 3 2 4 5 3" xfId="5194" xr:uid="{00000000-0005-0000-0000-000035180000}"/>
    <cellStyle name="Финансовый 2 3 2 4 5 3 2" xfId="13837" xr:uid="{00000000-0005-0000-0000-000036180000}"/>
    <cellStyle name="Финансовый 2 3 2 4 5 4" xfId="7804" xr:uid="{00000000-0005-0000-0000-000037180000}"/>
    <cellStyle name="Финансовый 2 3 2 4 5 4 2" xfId="16447" xr:uid="{00000000-0005-0000-0000-000038180000}"/>
    <cellStyle name="Финансовый 2 3 2 4 5 5" xfId="10411" xr:uid="{00000000-0005-0000-0000-000039180000}"/>
    <cellStyle name="Финансовый 2 3 2 4 6" xfId="2411" xr:uid="{00000000-0005-0000-0000-00003A180000}"/>
    <cellStyle name="Финансовый 2 3 2 4 6 2" xfId="4056" xr:uid="{00000000-0005-0000-0000-00003B180000}"/>
    <cellStyle name="Финансовый 2 3 2 4 6 2 2" xfId="12701" xr:uid="{00000000-0005-0000-0000-00003C180000}"/>
    <cellStyle name="Финансовый 2 3 2 4 6 3" xfId="5839" xr:uid="{00000000-0005-0000-0000-00003D180000}"/>
    <cellStyle name="Финансовый 2 3 2 4 6 3 2" xfId="14482" xr:uid="{00000000-0005-0000-0000-00003E180000}"/>
    <cellStyle name="Финансовый 2 3 2 4 6 4" xfId="8449" xr:uid="{00000000-0005-0000-0000-00003F180000}"/>
    <cellStyle name="Финансовый 2 3 2 4 6 4 2" xfId="17092" xr:uid="{00000000-0005-0000-0000-000040180000}"/>
    <cellStyle name="Финансовый 2 3 2 4 6 5" xfId="11056" xr:uid="{00000000-0005-0000-0000-000041180000}"/>
    <cellStyle name="Финансовый 2 3 2 4 7" xfId="1638" xr:uid="{00000000-0005-0000-0000-000042180000}"/>
    <cellStyle name="Финансовый 2 3 2 4 7 2" xfId="3283" xr:uid="{00000000-0005-0000-0000-000043180000}"/>
    <cellStyle name="Финансовый 2 3 2 4 7 2 2" xfId="11928" xr:uid="{00000000-0005-0000-0000-000044180000}"/>
    <cellStyle name="Финансовый 2 3 2 4 7 3" xfId="5066" xr:uid="{00000000-0005-0000-0000-000045180000}"/>
    <cellStyle name="Финансовый 2 3 2 4 7 3 2" xfId="13709" xr:uid="{00000000-0005-0000-0000-000046180000}"/>
    <cellStyle name="Финансовый 2 3 2 4 7 4" xfId="7676" xr:uid="{00000000-0005-0000-0000-000047180000}"/>
    <cellStyle name="Финансовый 2 3 2 4 7 4 2" xfId="16319" xr:uid="{00000000-0005-0000-0000-000048180000}"/>
    <cellStyle name="Финансовый 2 3 2 4 7 5" xfId="10283" xr:uid="{00000000-0005-0000-0000-000049180000}"/>
    <cellStyle name="Финансовый 2 3 2 4 8" xfId="915" xr:uid="{00000000-0005-0000-0000-00004A180000}"/>
    <cellStyle name="Финансовый 2 3 2 4 8 2" xfId="6955" xr:uid="{00000000-0005-0000-0000-00004B180000}"/>
    <cellStyle name="Финансовый 2 3 2 4 8 2 2" xfId="15598" xr:uid="{00000000-0005-0000-0000-00004C180000}"/>
    <cellStyle name="Финансовый 2 3 2 4 8 3" xfId="9562" xr:uid="{00000000-0005-0000-0000-00004D180000}"/>
    <cellStyle name="Финансовый 2 3 2 4 9" xfId="503" xr:uid="{00000000-0005-0000-0000-00004E180000}"/>
    <cellStyle name="Финансовый 2 3 2 4 9 2" xfId="6543" xr:uid="{00000000-0005-0000-0000-00004F180000}"/>
    <cellStyle name="Финансовый 2 3 2 4 9 2 2" xfId="15186" xr:uid="{00000000-0005-0000-0000-000050180000}"/>
    <cellStyle name="Финансовый 2 3 2 4 9 3" xfId="9150" xr:uid="{00000000-0005-0000-0000-000051180000}"/>
    <cellStyle name="Финансовый 2 3 2 5" xfId="60" xr:uid="{00000000-0005-0000-0000-000052180000}"/>
    <cellStyle name="Финансовый 2 3 2 5 10" xfId="2672" xr:uid="{00000000-0005-0000-0000-000053180000}"/>
    <cellStyle name="Финансовый 2 3 2 5 10 2" xfId="11317" xr:uid="{00000000-0005-0000-0000-000054180000}"/>
    <cellStyle name="Финансовый 2 3 2 5 11" xfId="4315" xr:uid="{00000000-0005-0000-0000-000055180000}"/>
    <cellStyle name="Финансовый 2 3 2 5 11 2" xfId="12960" xr:uid="{00000000-0005-0000-0000-000056180000}"/>
    <cellStyle name="Финансовый 2 3 2 5 12" xfId="6103" xr:uid="{00000000-0005-0000-0000-000057180000}"/>
    <cellStyle name="Финансовый 2 3 2 5 12 2" xfId="14746" xr:uid="{00000000-0005-0000-0000-000058180000}"/>
    <cellStyle name="Финансовый 2 3 2 5 13" xfId="8710" xr:uid="{00000000-0005-0000-0000-000059180000}"/>
    <cellStyle name="Финансовый 2 3 2 5 2" xfId="198" xr:uid="{00000000-0005-0000-0000-00005A180000}"/>
    <cellStyle name="Финансовый 2 3 2 5 2 10" xfId="8846" xr:uid="{00000000-0005-0000-0000-00005B180000}"/>
    <cellStyle name="Финансовый 2 3 2 5 2 2" xfId="1296" xr:uid="{00000000-0005-0000-0000-00005C180000}"/>
    <cellStyle name="Финансовый 2 3 2 5 2 2 2" xfId="2262" xr:uid="{00000000-0005-0000-0000-00005D180000}"/>
    <cellStyle name="Финансовый 2 3 2 5 2 2 2 2" xfId="3907" xr:uid="{00000000-0005-0000-0000-00005E180000}"/>
    <cellStyle name="Финансовый 2 3 2 5 2 2 2 2 2" xfId="12552" xr:uid="{00000000-0005-0000-0000-00005F180000}"/>
    <cellStyle name="Финансовый 2 3 2 5 2 2 2 3" xfId="5690" xr:uid="{00000000-0005-0000-0000-000060180000}"/>
    <cellStyle name="Финансовый 2 3 2 5 2 2 2 3 2" xfId="14333" xr:uid="{00000000-0005-0000-0000-000061180000}"/>
    <cellStyle name="Финансовый 2 3 2 5 2 2 2 4" xfId="8300" xr:uid="{00000000-0005-0000-0000-000062180000}"/>
    <cellStyle name="Финансовый 2 3 2 5 2 2 2 4 2" xfId="16943" xr:uid="{00000000-0005-0000-0000-000063180000}"/>
    <cellStyle name="Финансовый 2 3 2 5 2 2 2 5" xfId="10907" xr:uid="{00000000-0005-0000-0000-000064180000}"/>
    <cellStyle name="Финансовый 2 3 2 5 2 2 3" xfId="3080" xr:uid="{00000000-0005-0000-0000-000065180000}"/>
    <cellStyle name="Финансовый 2 3 2 5 2 2 3 2" xfId="11725" xr:uid="{00000000-0005-0000-0000-000066180000}"/>
    <cellStyle name="Финансовый 2 3 2 5 2 2 4" xfId="4724" xr:uid="{00000000-0005-0000-0000-000067180000}"/>
    <cellStyle name="Финансовый 2 3 2 5 2 2 4 2" xfId="13369" xr:uid="{00000000-0005-0000-0000-000068180000}"/>
    <cellStyle name="Финансовый 2 3 2 5 2 2 5" xfId="7336" xr:uid="{00000000-0005-0000-0000-000069180000}"/>
    <cellStyle name="Финансовый 2 3 2 5 2 2 5 2" xfId="15979" xr:uid="{00000000-0005-0000-0000-00006A180000}"/>
    <cellStyle name="Финансовый 2 3 2 5 2 2 6" xfId="9943" xr:uid="{00000000-0005-0000-0000-00006B180000}"/>
    <cellStyle name="Финансовый 2 3 2 5 2 3" xfId="2006" xr:uid="{00000000-0005-0000-0000-00006C180000}"/>
    <cellStyle name="Финансовый 2 3 2 5 2 3 2" xfId="3651" xr:uid="{00000000-0005-0000-0000-00006D180000}"/>
    <cellStyle name="Финансовый 2 3 2 5 2 3 2 2" xfId="12296" xr:uid="{00000000-0005-0000-0000-00006E180000}"/>
    <cellStyle name="Финансовый 2 3 2 5 2 3 3" xfId="5434" xr:uid="{00000000-0005-0000-0000-00006F180000}"/>
    <cellStyle name="Финансовый 2 3 2 5 2 3 3 2" xfId="14077" xr:uid="{00000000-0005-0000-0000-000070180000}"/>
    <cellStyle name="Финансовый 2 3 2 5 2 3 4" xfId="8044" xr:uid="{00000000-0005-0000-0000-000071180000}"/>
    <cellStyle name="Финансовый 2 3 2 5 2 3 4 2" xfId="16687" xr:uid="{00000000-0005-0000-0000-000072180000}"/>
    <cellStyle name="Финансовый 2 3 2 5 2 3 5" xfId="10651" xr:uid="{00000000-0005-0000-0000-000073180000}"/>
    <cellStyle name="Финансовый 2 3 2 5 2 4" xfId="2527" xr:uid="{00000000-0005-0000-0000-000074180000}"/>
    <cellStyle name="Финансовый 2 3 2 5 2 4 2" xfId="4172" xr:uid="{00000000-0005-0000-0000-000075180000}"/>
    <cellStyle name="Финансовый 2 3 2 5 2 4 2 2" xfId="12817" xr:uid="{00000000-0005-0000-0000-000076180000}"/>
    <cellStyle name="Финансовый 2 3 2 5 2 4 3" xfId="5955" xr:uid="{00000000-0005-0000-0000-000077180000}"/>
    <cellStyle name="Финансовый 2 3 2 5 2 4 3 2" xfId="14598" xr:uid="{00000000-0005-0000-0000-000078180000}"/>
    <cellStyle name="Финансовый 2 3 2 5 2 4 4" xfId="8565" xr:uid="{00000000-0005-0000-0000-000079180000}"/>
    <cellStyle name="Финансовый 2 3 2 5 2 4 4 2" xfId="17208" xr:uid="{00000000-0005-0000-0000-00007A180000}"/>
    <cellStyle name="Финансовый 2 3 2 5 2 4 5" xfId="11172" xr:uid="{00000000-0005-0000-0000-00007B180000}"/>
    <cellStyle name="Финансовый 2 3 2 5 2 5" xfId="1031" xr:uid="{00000000-0005-0000-0000-00007C180000}"/>
    <cellStyle name="Финансовый 2 3 2 5 2 5 2" xfId="7071" xr:uid="{00000000-0005-0000-0000-00007D180000}"/>
    <cellStyle name="Финансовый 2 3 2 5 2 5 2 2" xfId="15714" xr:uid="{00000000-0005-0000-0000-00007E180000}"/>
    <cellStyle name="Финансовый 2 3 2 5 2 5 3" xfId="9678" xr:uid="{00000000-0005-0000-0000-00007F180000}"/>
    <cellStyle name="Финансовый 2 3 2 5 2 6" xfId="619" xr:uid="{00000000-0005-0000-0000-000080180000}"/>
    <cellStyle name="Финансовый 2 3 2 5 2 6 2" xfId="6659" xr:uid="{00000000-0005-0000-0000-000081180000}"/>
    <cellStyle name="Финансовый 2 3 2 5 2 6 2 2" xfId="15302" xr:uid="{00000000-0005-0000-0000-000082180000}"/>
    <cellStyle name="Финансовый 2 3 2 5 2 6 3" xfId="9266" xr:uid="{00000000-0005-0000-0000-000083180000}"/>
    <cellStyle name="Финансовый 2 3 2 5 2 7" xfId="2808" xr:uid="{00000000-0005-0000-0000-000084180000}"/>
    <cellStyle name="Финансовый 2 3 2 5 2 7 2" xfId="11453" xr:uid="{00000000-0005-0000-0000-000085180000}"/>
    <cellStyle name="Финансовый 2 3 2 5 2 8" xfId="4452" xr:uid="{00000000-0005-0000-0000-000086180000}"/>
    <cellStyle name="Финансовый 2 3 2 5 2 8 2" xfId="13097" xr:uid="{00000000-0005-0000-0000-000087180000}"/>
    <cellStyle name="Финансовый 2 3 2 5 2 9" xfId="6239" xr:uid="{00000000-0005-0000-0000-000088180000}"/>
    <cellStyle name="Финансовый 2 3 2 5 2 9 2" xfId="14882" xr:uid="{00000000-0005-0000-0000-000089180000}"/>
    <cellStyle name="Финансовый 2 3 2 5 3" xfId="347" xr:uid="{00000000-0005-0000-0000-00008A180000}"/>
    <cellStyle name="Финансовый 2 3 2 5 3 2" xfId="2134" xr:uid="{00000000-0005-0000-0000-00008B180000}"/>
    <cellStyle name="Финансовый 2 3 2 5 3 2 2" xfId="3779" xr:uid="{00000000-0005-0000-0000-00008C180000}"/>
    <cellStyle name="Финансовый 2 3 2 5 3 2 2 2" xfId="12424" xr:uid="{00000000-0005-0000-0000-00008D180000}"/>
    <cellStyle name="Финансовый 2 3 2 5 3 2 3" xfId="5562" xr:uid="{00000000-0005-0000-0000-00008E180000}"/>
    <cellStyle name="Финансовый 2 3 2 5 3 2 3 2" xfId="14205" xr:uid="{00000000-0005-0000-0000-00008F180000}"/>
    <cellStyle name="Финансовый 2 3 2 5 3 2 4" xfId="8172" xr:uid="{00000000-0005-0000-0000-000090180000}"/>
    <cellStyle name="Финансовый 2 3 2 5 3 2 4 2" xfId="16815" xr:uid="{00000000-0005-0000-0000-000091180000}"/>
    <cellStyle name="Финансовый 2 3 2 5 3 2 5" xfId="10779" xr:uid="{00000000-0005-0000-0000-000092180000}"/>
    <cellStyle name="Финансовый 2 3 2 5 3 3" xfId="1167" xr:uid="{00000000-0005-0000-0000-000093180000}"/>
    <cellStyle name="Финансовый 2 3 2 5 3 3 2" xfId="7207" xr:uid="{00000000-0005-0000-0000-000094180000}"/>
    <cellStyle name="Финансовый 2 3 2 5 3 3 2 2" xfId="15850" xr:uid="{00000000-0005-0000-0000-000095180000}"/>
    <cellStyle name="Финансовый 2 3 2 5 3 3 3" xfId="9814" xr:uid="{00000000-0005-0000-0000-000096180000}"/>
    <cellStyle name="Финансовый 2 3 2 5 3 4" xfId="767" xr:uid="{00000000-0005-0000-0000-000097180000}"/>
    <cellStyle name="Финансовый 2 3 2 5 3 4 2" xfId="6807" xr:uid="{00000000-0005-0000-0000-000098180000}"/>
    <cellStyle name="Финансовый 2 3 2 5 3 4 2 2" xfId="15450" xr:uid="{00000000-0005-0000-0000-000099180000}"/>
    <cellStyle name="Финансовый 2 3 2 5 3 4 3" xfId="9414" xr:uid="{00000000-0005-0000-0000-00009A180000}"/>
    <cellStyle name="Финансовый 2 3 2 5 3 5" xfId="2944" xr:uid="{00000000-0005-0000-0000-00009B180000}"/>
    <cellStyle name="Финансовый 2 3 2 5 3 5 2" xfId="11589" xr:uid="{00000000-0005-0000-0000-00009C180000}"/>
    <cellStyle name="Финансовый 2 3 2 5 3 6" xfId="4588" xr:uid="{00000000-0005-0000-0000-00009D180000}"/>
    <cellStyle name="Финансовый 2 3 2 5 3 6 2" xfId="13233" xr:uid="{00000000-0005-0000-0000-00009E180000}"/>
    <cellStyle name="Финансовый 2 3 2 5 3 7" xfId="6387" xr:uid="{00000000-0005-0000-0000-00009F180000}"/>
    <cellStyle name="Финансовый 2 3 2 5 3 7 2" xfId="15030" xr:uid="{00000000-0005-0000-0000-0000A0180000}"/>
    <cellStyle name="Финансовый 2 3 2 5 3 8" xfId="8994" xr:uid="{00000000-0005-0000-0000-0000A1180000}"/>
    <cellStyle name="Финансовый 2 3 2 5 4" xfId="1485" xr:uid="{00000000-0005-0000-0000-0000A2180000}"/>
    <cellStyle name="Финансовый 2 3 2 5 4 2" xfId="1870" xr:uid="{00000000-0005-0000-0000-0000A3180000}"/>
    <cellStyle name="Финансовый 2 3 2 5 4 2 2" xfId="3515" xr:uid="{00000000-0005-0000-0000-0000A4180000}"/>
    <cellStyle name="Финансовый 2 3 2 5 4 2 2 2" xfId="12160" xr:uid="{00000000-0005-0000-0000-0000A5180000}"/>
    <cellStyle name="Финансовый 2 3 2 5 4 2 3" xfId="5298" xr:uid="{00000000-0005-0000-0000-0000A6180000}"/>
    <cellStyle name="Финансовый 2 3 2 5 4 2 3 2" xfId="13941" xr:uid="{00000000-0005-0000-0000-0000A7180000}"/>
    <cellStyle name="Финансовый 2 3 2 5 4 2 4" xfId="7908" xr:uid="{00000000-0005-0000-0000-0000A8180000}"/>
    <cellStyle name="Финансовый 2 3 2 5 4 2 4 2" xfId="16551" xr:uid="{00000000-0005-0000-0000-0000A9180000}"/>
    <cellStyle name="Финансовый 2 3 2 5 4 2 5" xfId="10515" xr:uid="{00000000-0005-0000-0000-0000AA180000}"/>
    <cellStyle name="Финансовый 2 3 2 5 4 3" xfId="4913" xr:uid="{00000000-0005-0000-0000-0000AB180000}"/>
    <cellStyle name="Финансовый 2 3 2 5 4 3 2" xfId="13556" xr:uid="{00000000-0005-0000-0000-0000AC180000}"/>
    <cellStyle name="Финансовый 2 3 2 5 4 4" xfId="7523" xr:uid="{00000000-0005-0000-0000-0000AD180000}"/>
    <cellStyle name="Финансовый 2 3 2 5 4 4 2" xfId="16166" xr:uid="{00000000-0005-0000-0000-0000AE180000}"/>
    <cellStyle name="Финансовый 2 3 2 5 4 5" xfId="10130" xr:uid="{00000000-0005-0000-0000-0000AF180000}"/>
    <cellStyle name="Финансовый 2 3 2 5 5" xfId="1754" xr:uid="{00000000-0005-0000-0000-0000B0180000}"/>
    <cellStyle name="Финансовый 2 3 2 5 5 2" xfId="3399" xr:uid="{00000000-0005-0000-0000-0000B1180000}"/>
    <cellStyle name="Финансовый 2 3 2 5 5 2 2" xfId="12044" xr:uid="{00000000-0005-0000-0000-0000B2180000}"/>
    <cellStyle name="Финансовый 2 3 2 5 5 3" xfId="5182" xr:uid="{00000000-0005-0000-0000-0000B3180000}"/>
    <cellStyle name="Финансовый 2 3 2 5 5 3 2" xfId="13825" xr:uid="{00000000-0005-0000-0000-0000B4180000}"/>
    <cellStyle name="Финансовый 2 3 2 5 5 4" xfId="7792" xr:uid="{00000000-0005-0000-0000-0000B5180000}"/>
    <cellStyle name="Финансовый 2 3 2 5 5 4 2" xfId="16435" xr:uid="{00000000-0005-0000-0000-0000B6180000}"/>
    <cellStyle name="Финансовый 2 3 2 5 5 5" xfId="10399" xr:uid="{00000000-0005-0000-0000-0000B7180000}"/>
    <cellStyle name="Финансовый 2 3 2 5 6" xfId="2390" xr:uid="{00000000-0005-0000-0000-0000B8180000}"/>
    <cellStyle name="Финансовый 2 3 2 5 6 2" xfId="4035" xr:uid="{00000000-0005-0000-0000-0000B9180000}"/>
    <cellStyle name="Финансовый 2 3 2 5 6 2 2" xfId="12680" xr:uid="{00000000-0005-0000-0000-0000BA180000}"/>
    <cellStyle name="Финансовый 2 3 2 5 6 3" xfId="5818" xr:uid="{00000000-0005-0000-0000-0000BB180000}"/>
    <cellStyle name="Финансовый 2 3 2 5 6 3 2" xfId="14461" xr:uid="{00000000-0005-0000-0000-0000BC180000}"/>
    <cellStyle name="Финансовый 2 3 2 5 6 4" xfId="8428" xr:uid="{00000000-0005-0000-0000-0000BD180000}"/>
    <cellStyle name="Финансовый 2 3 2 5 6 4 2" xfId="17071" xr:uid="{00000000-0005-0000-0000-0000BE180000}"/>
    <cellStyle name="Финансовый 2 3 2 5 6 5" xfId="11035" xr:uid="{00000000-0005-0000-0000-0000BF180000}"/>
    <cellStyle name="Финансовый 2 3 2 5 7" xfId="1617" xr:uid="{00000000-0005-0000-0000-0000C0180000}"/>
    <cellStyle name="Финансовый 2 3 2 5 7 2" xfId="3262" xr:uid="{00000000-0005-0000-0000-0000C1180000}"/>
    <cellStyle name="Финансовый 2 3 2 5 7 2 2" xfId="11907" xr:uid="{00000000-0005-0000-0000-0000C2180000}"/>
    <cellStyle name="Финансовый 2 3 2 5 7 3" xfId="5045" xr:uid="{00000000-0005-0000-0000-0000C3180000}"/>
    <cellStyle name="Финансовый 2 3 2 5 7 3 2" xfId="13688" xr:uid="{00000000-0005-0000-0000-0000C4180000}"/>
    <cellStyle name="Финансовый 2 3 2 5 7 4" xfId="7655" xr:uid="{00000000-0005-0000-0000-0000C5180000}"/>
    <cellStyle name="Финансовый 2 3 2 5 7 4 2" xfId="16298" xr:uid="{00000000-0005-0000-0000-0000C6180000}"/>
    <cellStyle name="Финансовый 2 3 2 5 7 5" xfId="10262" xr:uid="{00000000-0005-0000-0000-0000C7180000}"/>
    <cellStyle name="Финансовый 2 3 2 5 8" xfId="903" xr:uid="{00000000-0005-0000-0000-0000C8180000}"/>
    <cellStyle name="Финансовый 2 3 2 5 8 2" xfId="6943" xr:uid="{00000000-0005-0000-0000-0000C9180000}"/>
    <cellStyle name="Финансовый 2 3 2 5 8 2 2" xfId="15586" xr:uid="{00000000-0005-0000-0000-0000CA180000}"/>
    <cellStyle name="Финансовый 2 3 2 5 8 3" xfId="9550" xr:uid="{00000000-0005-0000-0000-0000CB180000}"/>
    <cellStyle name="Финансовый 2 3 2 5 9" xfId="483" xr:uid="{00000000-0005-0000-0000-0000CC180000}"/>
    <cellStyle name="Финансовый 2 3 2 5 9 2" xfId="6523" xr:uid="{00000000-0005-0000-0000-0000CD180000}"/>
    <cellStyle name="Финансовый 2 3 2 5 9 2 2" xfId="15166" xr:uid="{00000000-0005-0000-0000-0000CE180000}"/>
    <cellStyle name="Финансовый 2 3 2 5 9 3" xfId="9130" xr:uid="{00000000-0005-0000-0000-0000CF180000}"/>
    <cellStyle name="Финансовый 2 3 2 6" xfId="138" xr:uid="{00000000-0005-0000-0000-0000D0180000}"/>
    <cellStyle name="Финансовый 2 3 2 6 10" xfId="2748" xr:uid="{00000000-0005-0000-0000-0000D1180000}"/>
    <cellStyle name="Финансовый 2 3 2 6 10 2" xfId="11393" xr:uid="{00000000-0005-0000-0000-0000D2180000}"/>
    <cellStyle name="Финансовый 2 3 2 6 11" xfId="4392" xr:uid="{00000000-0005-0000-0000-0000D3180000}"/>
    <cellStyle name="Финансовый 2 3 2 6 11 2" xfId="13037" xr:uid="{00000000-0005-0000-0000-0000D4180000}"/>
    <cellStyle name="Финансовый 2 3 2 6 12" xfId="6179" xr:uid="{00000000-0005-0000-0000-0000D5180000}"/>
    <cellStyle name="Финансовый 2 3 2 6 12 2" xfId="14822" xr:uid="{00000000-0005-0000-0000-0000D6180000}"/>
    <cellStyle name="Финансовый 2 3 2 6 13" xfId="8786" xr:uid="{00000000-0005-0000-0000-0000D7180000}"/>
    <cellStyle name="Финансовый 2 3 2 6 2" xfId="274" xr:uid="{00000000-0005-0000-0000-0000D8180000}"/>
    <cellStyle name="Финансовый 2 3 2 6 2 10" xfId="8922" xr:uid="{00000000-0005-0000-0000-0000D9180000}"/>
    <cellStyle name="Финансовый 2 3 2 6 2 2" xfId="1372" xr:uid="{00000000-0005-0000-0000-0000DA180000}"/>
    <cellStyle name="Финансовый 2 3 2 6 2 2 2" xfId="2330" xr:uid="{00000000-0005-0000-0000-0000DB180000}"/>
    <cellStyle name="Финансовый 2 3 2 6 2 2 2 2" xfId="3975" xr:uid="{00000000-0005-0000-0000-0000DC180000}"/>
    <cellStyle name="Финансовый 2 3 2 6 2 2 2 2 2" xfId="12620" xr:uid="{00000000-0005-0000-0000-0000DD180000}"/>
    <cellStyle name="Финансовый 2 3 2 6 2 2 2 3" xfId="5758" xr:uid="{00000000-0005-0000-0000-0000DE180000}"/>
    <cellStyle name="Финансовый 2 3 2 6 2 2 2 3 2" xfId="14401" xr:uid="{00000000-0005-0000-0000-0000DF180000}"/>
    <cellStyle name="Финансовый 2 3 2 6 2 2 2 4" xfId="8368" xr:uid="{00000000-0005-0000-0000-0000E0180000}"/>
    <cellStyle name="Финансовый 2 3 2 6 2 2 2 4 2" xfId="17011" xr:uid="{00000000-0005-0000-0000-0000E1180000}"/>
    <cellStyle name="Финансовый 2 3 2 6 2 2 2 5" xfId="10975" xr:uid="{00000000-0005-0000-0000-0000E2180000}"/>
    <cellStyle name="Финансовый 2 3 2 6 2 2 3" xfId="3156" xr:uid="{00000000-0005-0000-0000-0000E3180000}"/>
    <cellStyle name="Финансовый 2 3 2 6 2 2 3 2" xfId="11801" xr:uid="{00000000-0005-0000-0000-0000E4180000}"/>
    <cellStyle name="Финансовый 2 3 2 6 2 2 4" xfId="4800" xr:uid="{00000000-0005-0000-0000-0000E5180000}"/>
    <cellStyle name="Финансовый 2 3 2 6 2 2 4 2" xfId="13445" xr:uid="{00000000-0005-0000-0000-0000E6180000}"/>
    <cellStyle name="Финансовый 2 3 2 6 2 2 5" xfId="7412" xr:uid="{00000000-0005-0000-0000-0000E7180000}"/>
    <cellStyle name="Финансовый 2 3 2 6 2 2 5 2" xfId="16055" xr:uid="{00000000-0005-0000-0000-0000E8180000}"/>
    <cellStyle name="Финансовый 2 3 2 6 2 2 6" xfId="10019" xr:uid="{00000000-0005-0000-0000-0000E9180000}"/>
    <cellStyle name="Финансовый 2 3 2 6 2 3" xfId="2074" xr:uid="{00000000-0005-0000-0000-0000EA180000}"/>
    <cellStyle name="Финансовый 2 3 2 6 2 3 2" xfId="3719" xr:uid="{00000000-0005-0000-0000-0000EB180000}"/>
    <cellStyle name="Финансовый 2 3 2 6 2 3 2 2" xfId="12364" xr:uid="{00000000-0005-0000-0000-0000EC180000}"/>
    <cellStyle name="Финансовый 2 3 2 6 2 3 3" xfId="5502" xr:uid="{00000000-0005-0000-0000-0000ED180000}"/>
    <cellStyle name="Финансовый 2 3 2 6 2 3 3 2" xfId="14145" xr:uid="{00000000-0005-0000-0000-0000EE180000}"/>
    <cellStyle name="Финансовый 2 3 2 6 2 3 4" xfId="8112" xr:uid="{00000000-0005-0000-0000-0000EF180000}"/>
    <cellStyle name="Финансовый 2 3 2 6 2 3 4 2" xfId="16755" xr:uid="{00000000-0005-0000-0000-0000F0180000}"/>
    <cellStyle name="Финансовый 2 3 2 6 2 3 5" xfId="10719" xr:uid="{00000000-0005-0000-0000-0000F1180000}"/>
    <cellStyle name="Финансовый 2 3 2 6 2 4" xfId="2603" xr:uid="{00000000-0005-0000-0000-0000F2180000}"/>
    <cellStyle name="Финансовый 2 3 2 6 2 4 2" xfId="4248" xr:uid="{00000000-0005-0000-0000-0000F3180000}"/>
    <cellStyle name="Финансовый 2 3 2 6 2 4 2 2" xfId="12893" xr:uid="{00000000-0005-0000-0000-0000F4180000}"/>
    <cellStyle name="Финансовый 2 3 2 6 2 4 3" xfId="6031" xr:uid="{00000000-0005-0000-0000-0000F5180000}"/>
    <cellStyle name="Финансовый 2 3 2 6 2 4 3 2" xfId="14674" xr:uid="{00000000-0005-0000-0000-0000F6180000}"/>
    <cellStyle name="Финансовый 2 3 2 6 2 4 4" xfId="8641" xr:uid="{00000000-0005-0000-0000-0000F7180000}"/>
    <cellStyle name="Финансовый 2 3 2 6 2 4 4 2" xfId="17284" xr:uid="{00000000-0005-0000-0000-0000F8180000}"/>
    <cellStyle name="Финансовый 2 3 2 6 2 4 5" xfId="11248" xr:uid="{00000000-0005-0000-0000-0000F9180000}"/>
    <cellStyle name="Финансовый 2 3 2 6 2 5" xfId="1107" xr:uid="{00000000-0005-0000-0000-0000FA180000}"/>
    <cellStyle name="Финансовый 2 3 2 6 2 5 2" xfId="7147" xr:uid="{00000000-0005-0000-0000-0000FB180000}"/>
    <cellStyle name="Финансовый 2 3 2 6 2 5 2 2" xfId="15790" xr:uid="{00000000-0005-0000-0000-0000FC180000}"/>
    <cellStyle name="Финансовый 2 3 2 6 2 5 3" xfId="9754" xr:uid="{00000000-0005-0000-0000-0000FD180000}"/>
    <cellStyle name="Финансовый 2 3 2 6 2 6" xfId="695" xr:uid="{00000000-0005-0000-0000-0000FE180000}"/>
    <cellStyle name="Финансовый 2 3 2 6 2 6 2" xfId="6735" xr:uid="{00000000-0005-0000-0000-0000FF180000}"/>
    <cellStyle name="Финансовый 2 3 2 6 2 6 2 2" xfId="15378" xr:uid="{00000000-0005-0000-0000-000000190000}"/>
    <cellStyle name="Финансовый 2 3 2 6 2 6 3" xfId="9342" xr:uid="{00000000-0005-0000-0000-000001190000}"/>
    <cellStyle name="Финансовый 2 3 2 6 2 7" xfId="2884" xr:uid="{00000000-0005-0000-0000-000002190000}"/>
    <cellStyle name="Финансовый 2 3 2 6 2 7 2" xfId="11529" xr:uid="{00000000-0005-0000-0000-000003190000}"/>
    <cellStyle name="Финансовый 2 3 2 6 2 8" xfId="4528" xr:uid="{00000000-0005-0000-0000-000004190000}"/>
    <cellStyle name="Финансовый 2 3 2 6 2 8 2" xfId="13173" xr:uid="{00000000-0005-0000-0000-000005190000}"/>
    <cellStyle name="Финансовый 2 3 2 6 2 9" xfId="6315" xr:uid="{00000000-0005-0000-0000-000006190000}"/>
    <cellStyle name="Финансовый 2 3 2 6 2 9 2" xfId="14958" xr:uid="{00000000-0005-0000-0000-000007190000}"/>
    <cellStyle name="Финансовый 2 3 2 6 3" xfId="423" xr:uid="{00000000-0005-0000-0000-000008190000}"/>
    <cellStyle name="Финансовый 2 3 2 6 3 2" xfId="2202" xr:uid="{00000000-0005-0000-0000-000009190000}"/>
    <cellStyle name="Финансовый 2 3 2 6 3 2 2" xfId="3847" xr:uid="{00000000-0005-0000-0000-00000A190000}"/>
    <cellStyle name="Финансовый 2 3 2 6 3 2 2 2" xfId="12492" xr:uid="{00000000-0005-0000-0000-00000B190000}"/>
    <cellStyle name="Финансовый 2 3 2 6 3 2 3" xfId="5630" xr:uid="{00000000-0005-0000-0000-00000C190000}"/>
    <cellStyle name="Финансовый 2 3 2 6 3 2 3 2" xfId="14273" xr:uid="{00000000-0005-0000-0000-00000D190000}"/>
    <cellStyle name="Финансовый 2 3 2 6 3 2 4" xfId="8240" xr:uid="{00000000-0005-0000-0000-00000E190000}"/>
    <cellStyle name="Финансовый 2 3 2 6 3 2 4 2" xfId="16883" xr:uid="{00000000-0005-0000-0000-00000F190000}"/>
    <cellStyle name="Финансовый 2 3 2 6 3 2 5" xfId="10847" xr:uid="{00000000-0005-0000-0000-000010190000}"/>
    <cellStyle name="Финансовый 2 3 2 6 3 3" xfId="1236" xr:uid="{00000000-0005-0000-0000-000011190000}"/>
    <cellStyle name="Финансовый 2 3 2 6 3 3 2" xfId="7276" xr:uid="{00000000-0005-0000-0000-000012190000}"/>
    <cellStyle name="Финансовый 2 3 2 6 3 3 2 2" xfId="15919" xr:uid="{00000000-0005-0000-0000-000013190000}"/>
    <cellStyle name="Финансовый 2 3 2 6 3 3 3" xfId="9883" xr:uid="{00000000-0005-0000-0000-000014190000}"/>
    <cellStyle name="Финансовый 2 3 2 6 3 4" xfId="843" xr:uid="{00000000-0005-0000-0000-000015190000}"/>
    <cellStyle name="Финансовый 2 3 2 6 3 4 2" xfId="6883" xr:uid="{00000000-0005-0000-0000-000016190000}"/>
    <cellStyle name="Финансовый 2 3 2 6 3 4 2 2" xfId="15526" xr:uid="{00000000-0005-0000-0000-000017190000}"/>
    <cellStyle name="Финансовый 2 3 2 6 3 4 3" xfId="9490" xr:uid="{00000000-0005-0000-0000-000018190000}"/>
    <cellStyle name="Финансовый 2 3 2 6 3 5" xfId="3020" xr:uid="{00000000-0005-0000-0000-000019190000}"/>
    <cellStyle name="Финансовый 2 3 2 6 3 5 2" xfId="11665" xr:uid="{00000000-0005-0000-0000-00001A190000}"/>
    <cellStyle name="Финансовый 2 3 2 6 3 6" xfId="4664" xr:uid="{00000000-0005-0000-0000-00001B190000}"/>
    <cellStyle name="Финансовый 2 3 2 6 3 6 2" xfId="13309" xr:uid="{00000000-0005-0000-0000-00001C190000}"/>
    <cellStyle name="Финансовый 2 3 2 6 3 7" xfId="6463" xr:uid="{00000000-0005-0000-0000-00001D190000}"/>
    <cellStyle name="Финансовый 2 3 2 6 3 7 2" xfId="15106" xr:uid="{00000000-0005-0000-0000-00001E190000}"/>
    <cellStyle name="Финансовый 2 3 2 6 3 8" xfId="9070" xr:uid="{00000000-0005-0000-0000-00001F190000}"/>
    <cellStyle name="Финансовый 2 3 2 6 4" xfId="1486" xr:uid="{00000000-0005-0000-0000-000020190000}"/>
    <cellStyle name="Финансовый 2 3 2 6 4 2" xfId="1946" xr:uid="{00000000-0005-0000-0000-000021190000}"/>
    <cellStyle name="Финансовый 2 3 2 6 4 2 2" xfId="3591" xr:uid="{00000000-0005-0000-0000-000022190000}"/>
    <cellStyle name="Финансовый 2 3 2 6 4 2 2 2" xfId="12236" xr:uid="{00000000-0005-0000-0000-000023190000}"/>
    <cellStyle name="Финансовый 2 3 2 6 4 2 3" xfId="5374" xr:uid="{00000000-0005-0000-0000-000024190000}"/>
    <cellStyle name="Финансовый 2 3 2 6 4 2 3 2" xfId="14017" xr:uid="{00000000-0005-0000-0000-000025190000}"/>
    <cellStyle name="Финансовый 2 3 2 6 4 2 4" xfId="7984" xr:uid="{00000000-0005-0000-0000-000026190000}"/>
    <cellStyle name="Финансовый 2 3 2 6 4 2 4 2" xfId="16627" xr:uid="{00000000-0005-0000-0000-000027190000}"/>
    <cellStyle name="Финансовый 2 3 2 6 4 2 5" xfId="10591" xr:uid="{00000000-0005-0000-0000-000028190000}"/>
    <cellStyle name="Финансовый 2 3 2 6 4 3" xfId="4914" xr:uid="{00000000-0005-0000-0000-000029190000}"/>
    <cellStyle name="Финансовый 2 3 2 6 4 3 2" xfId="13557" xr:uid="{00000000-0005-0000-0000-00002A190000}"/>
    <cellStyle name="Финансовый 2 3 2 6 4 4" xfId="7524" xr:uid="{00000000-0005-0000-0000-00002B190000}"/>
    <cellStyle name="Финансовый 2 3 2 6 4 4 2" xfId="16167" xr:uid="{00000000-0005-0000-0000-00002C190000}"/>
    <cellStyle name="Финансовый 2 3 2 6 4 5" xfId="10131" xr:uid="{00000000-0005-0000-0000-00002D190000}"/>
    <cellStyle name="Финансовый 2 3 2 6 5" xfId="1822" xr:uid="{00000000-0005-0000-0000-00002E190000}"/>
    <cellStyle name="Финансовый 2 3 2 6 5 2" xfId="3467" xr:uid="{00000000-0005-0000-0000-00002F190000}"/>
    <cellStyle name="Финансовый 2 3 2 6 5 2 2" xfId="12112" xr:uid="{00000000-0005-0000-0000-000030190000}"/>
    <cellStyle name="Финансовый 2 3 2 6 5 3" xfId="5250" xr:uid="{00000000-0005-0000-0000-000031190000}"/>
    <cellStyle name="Финансовый 2 3 2 6 5 3 2" xfId="13893" xr:uid="{00000000-0005-0000-0000-000032190000}"/>
    <cellStyle name="Финансовый 2 3 2 6 5 4" xfId="7860" xr:uid="{00000000-0005-0000-0000-000033190000}"/>
    <cellStyle name="Финансовый 2 3 2 6 5 4 2" xfId="16503" xr:uid="{00000000-0005-0000-0000-000034190000}"/>
    <cellStyle name="Финансовый 2 3 2 6 5 5" xfId="10467" xr:uid="{00000000-0005-0000-0000-000035190000}"/>
    <cellStyle name="Финансовый 2 3 2 6 6" xfId="2467" xr:uid="{00000000-0005-0000-0000-000036190000}"/>
    <cellStyle name="Финансовый 2 3 2 6 6 2" xfId="4112" xr:uid="{00000000-0005-0000-0000-000037190000}"/>
    <cellStyle name="Финансовый 2 3 2 6 6 2 2" xfId="12757" xr:uid="{00000000-0005-0000-0000-000038190000}"/>
    <cellStyle name="Финансовый 2 3 2 6 6 3" xfId="5895" xr:uid="{00000000-0005-0000-0000-000039190000}"/>
    <cellStyle name="Финансовый 2 3 2 6 6 3 2" xfId="14538" xr:uid="{00000000-0005-0000-0000-00003A190000}"/>
    <cellStyle name="Финансовый 2 3 2 6 6 4" xfId="8505" xr:uid="{00000000-0005-0000-0000-00003B190000}"/>
    <cellStyle name="Финансовый 2 3 2 6 6 4 2" xfId="17148" xr:uid="{00000000-0005-0000-0000-00003C190000}"/>
    <cellStyle name="Финансовый 2 3 2 6 6 5" xfId="11112" xr:uid="{00000000-0005-0000-0000-00003D190000}"/>
    <cellStyle name="Финансовый 2 3 2 6 7" xfId="1694" xr:uid="{00000000-0005-0000-0000-00003E190000}"/>
    <cellStyle name="Финансовый 2 3 2 6 7 2" xfId="3339" xr:uid="{00000000-0005-0000-0000-00003F190000}"/>
    <cellStyle name="Финансовый 2 3 2 6 7 2 2" xfId="11984" xr:uid="{00000000-0005-0000-0000-000040190000}"/>
    <cellStyle name="Финансовый 2 3 2 6 7 3" xfId="5122" xr:uid="{00000000-0005-0000-0000-000041190000}"/>
    <cellStyle name="Финансовый 2 3 2 6 7 3 2" xfId="13765" xr:uid="{00000000-0005-0000-0000-000042190000}"/>
    <cellStyle name="Финансовый 2 3 2 6 7 4" xfId="7732" xr:uid="{00000000-0005-0000-0000-000043190000}"/>
    <cellStyle name="Финансовый 2 3 2 6 7 4 2" xfId="16375" xr:uid="{00000000-0005-0000-0000-000044190000}"/>
    <cellStyle name="Финансовый 2 3 2 6 7 5" xfId="10339" xr:uid="{00000000-0005-0000-0000-000045190000}"/>
    <cellStyle name="Финансовый 2 3 2 6 8" xfId="971" xr:uid="{00000000-0005-0000-0000-000046190000}"/>
    <cellStyle name="Финансовый 2 3 2 6 8 2" xfId="7011" xr:uid="{00000000-0005-0000-0000-000047190000}"/>
    <cellStyle name="Финансовый 2 3 2 6 8 2 2" xfId="15654" xr:uid="{00000000-0005-0000-0000-000048190000}"/>
    <cellStyle name="Финансовый 2 3 2 6 8 3" xfId="9618" xr:uid="{00000000-0005-0000-0000-000049190000}"/>
    <cellStyle name="Финансовый 2 3 2 6 9" xfId="559" xr:uid="{00000000-0005-0000-0000-00004A190000}"/>
    <cellStyle name="Финансовый 2 3 2 6 9 2" xfId="6599" xr:uid="{00000000-0005-0000-0000-00004B190000}"/>
    <cellStyle name="Финансовый 2 3 2 6 9 2 2" xfId="15242" xr:uid="{00000000-0005-0000-0000-00004C190000}"/>
    <cellStyle name="Финансовый 2 3 2 6 9 3" xfId="9206" xr:uid="{00000000-0005-0000-0000-00004D190000}"/>
    <cellStyle name="Финансовый 2 3 2 7" xfId="36" xr:uid="{00000000-0005-0000-0000-00004E190000}"/>
    <cellStyle name="Финансовый 2 3 2 7 10" xfId="2648" xr:uid="{00000000-0005-0000-0000-00004F190000}"/>
    <cellStyle name="Финансовый 2 3 2 7 10 2" xfId="11293" xr:uid="{00000000-0005-0000-0000-000050190000}"/>
    <cellStyle name="Финансовый 2 3 2 7 11" xfId="4291" xr:uid="{00000000-0005-0000-0000-000051190000}"/>
    <cellStyle name="Финансовый 2 3 2 7 11 2" xfId="12936" xr:uid="{00000000-0005-0000-0000-000052190000}"/>
    <cellStyle name="Финансовый 2 3 2 7 12" xfId="6079" xr:uid="{00000000-0005-0000-0000-000053190000}"/>
    <cellStyle name="Финансовый 2 3 2 7 12 2" xfId="14722" xr:uid="{00000000-0005-0000-0000-000054190000}"/>
    <cellStyle name="Финансовый 2 3 2 7 13" xfId="8686" xr:uid="{00000000-0005-0000-0000-000055190000}"/>
    <cellStyle name="Финансовый 2 3 2 7 2" xfId="174" xr:uid="{00000000-0005-0000-0000-000056190000}"/>
    <cellStyle name="Финансовый 2 3 2 7 2 10" xfId="8822" xr:uid="{00000000-0005-0000-0000-000057190000}"/>
    <cellStyle name="Финансовый 2 3 2 7 2 2" xfId="1272" xr:uid="{00000000-0005-0000-0000-000058190000}"/>
    <cellStyle name="Финансовый 2 3 2 7 2 2 2" xfId="2238" xr:uid="{00000000-0005-0000-0000-000059190000}"/>
    <cellStyle name="Финансовый 2 3 2 7 2 2 2 2" xfId="3883" xr:uid="{00000000-0005-0000-0000-00005A190000}"/>
    <cellStyle name="Финансовый 2 3 2 7 2 2 2 2 2" xfId="12528" xr:uid="{00000000-0005-0000-0000-00005B190000}"/>
    <cellStyle name="Финансовый 2 3 2 7 2 2 2 3" xfId="5666" xr:uid="{00000000-0005-0000-0000-00005C190000}"/>
    <cellStyle name="Финансовый 2 3 2 7 2 2 2 3 2" xfId="14309" xr:uid="{00000000-0005-0000-0000-00005D190000}"/>
    <cellStyle name="Финансовый 2 3 2 7 2 2 2 4" xfId="8276" xr:uid="{00000000-0005-0000-0000-00005E190000}"/>
    <cellStyle name="Финансовый 2 3 2 7 2 2 2 4 2" xfId="16919" xr:uid="{00000000-0005-0000-0000-00005F190000}"/>
    <cellStyle name="Финансовый 2 3 2 7 2 2 2 5" xfId="10883" xr:uid="{00000000-0005-0000-0000-000060190000}"/>
    <cellStyle name="Финансовый 2 3 2 7 2 2 3" xfId="3056" xr:uid="{00000000-0005-0000-0000-000061190000}"/>
    <cellStyle name="Финансовый 2 3 2 7 2 2 3 2" xfId="11701" xr:uid="{00000000-0005-0000-0000-000062190000}"/>
    <cellStyle name="Финансовый 2 3 2 7 2 2 4" xfId="4700" xr:uid="{00000000-0005-0000-0000-000063190000}"/>
    <cellStyle name="Финансовый 2 3 2 7 2 2 4 2" xfId="13345" xr:uid="{00000000-0005-0000-0000-000064190000}"/>
    <cellStyle name="Финансовый 2 3 2 7 2 2 5" xfId="7312" xr:uid="{00000000-0005-0000-0000-000065190000}"/>
    <cellStyle name="Финансовый 2 3 2 7 2 2 5 2" xfId="15955" xr:uid="{00000000-0005-0000-0000-000066190000}"/>
    <cellStyle name="Финансовый 2 3 2 7 2 2 6" xfId="9919" xr:uid="{00000000-0005-0000-0000-000067190000}"/>
    <cellStyle name="Финансовый 2 3 2 7 2 3" xfId="1982" xr:uid="{00000000-0005-0000-0000-000068190000}"/>
    <cellStyle name="Финансовый 2 3 2 7 2 3 2" xfId="3627" xr:uid="{00000000-0005-0000-0000-000069190000}"/>
    <cellStyle name="Финансовый 2 3 2 7 2 3 2 2" xfId="12272" xr:uid="{00000000-0005-0000-0000-00006A190000}"/>
    <cellStyle name="Финансовый 2 3 2 7 2 3 3" xfId="5410" xr:uid="{00000000-0005-0000-0000-00006B190000}"/>
    <cellStyle name="Финансовый 2 3 2 7 2 3 3 2" xfId="14053" xr:uid="{00000000-0005-0000-0000-00006C190000}"/>
    <cellStyle name="Финансовый 2 3 2 7 2 3 4" xfId="8020" xr:uid="{00000000-0005-0000-0000-00006D190000}"/>
    <cellStyle name="Финансовый 2 3 2 7 2 3 4 2" xfId="16663" xr:uid="{00000000-0005-0000-0000-00006E190000}"/>
    <cellStyle name="Финансовый 2 3 2 7 2 3 5" xfId="10627" xr:uid="{00000000-0005-0000-0000-00006F190000}"/>
    <cellStyle name="Финансовый 2 3 2 7 2 4" xfId="2503" xr:uid="{00000000-0005-0000-0000-000070190000}"/>
    <cellStyle name="Финансовый 2 3 2 7 2 4 2" xfId="4148" xr:uid="{00000000-0005-0000-0000-000071190000}"/>
    <cellStyle name="Финансовый 2 3 2 7 2 4 2 2" xfId="12793" xr:uid="{00000000-0005-0000-0000-000072190000}"/>
    <cellStyle name="Финансовый 2 3 2 7 2 4 3" xfId="5931" xr:uid="{00000000-0005-0000-0000-000073190000}"/>
    <cellStyle name="Финансовый 2 3 2 7 2 4 3 2" xfId="14574" xr:uid="{00000000-0005-0000-0000-000074190000}"/>
    <cellStyle name="Финансовый 2 3 2 7 2 4 4" xfId="8541" xr:uid="{00000000-0005-0000-0000-000075190000}"/>
    <cellStyle name="Финансовый 2 3 2 7 2 4 4 2" xfId="17184" xr:uid="{00000000-0005-0000-0000-000076190000}"/>
    <cellStyle name="Финансовый 2 3 2 7 2 4 5" xfId="11148" xr:uid="{00000000-0005-0000-0000-000077190000}"/>
    <cellStyle name="Финансовый 2 3 2 7 2 5" xfId="1007" xr:uid="{00000000-0005-0000-0000-000078190000}"/>
    <cellStyle name="Финансовый 2 3 2 7 2 5 2" xfId="7047" xr:uid="{00000000-0005-0000-0000-000079190000}"/>
    <cellStyle name="Финансовый 2 3 2 7 2 5 2 2" xfId="15690" xr:uid="{00000000-0005-0000-0000-00007A190000}"/>
    <cellStyle name="Финансовый 2 3 2 7 2 5 3" xfId="9654" xr:uid="{00000000-0005-0000-0000-00007B190000}"/>
    <cellStyle name="Финансовый 2 3 2 7 2 6" xfId="595" xr:uid="{00000000-0005-0000-0000-00007C190000}"/>
    <cellStyle name="Финансовый 2 3 2 7 2 6 2" xfId="6635" xr:uid="{00000000-0005-0000-0000-00007D190000}"/>
    <cellStyle name="Финансовый 2 3 2 7 2 6 2 2" xfId="15278" xr:uid="{00000000-0005-0000-0000-00007E190000}"/>
    <cellStyle name="Финансовый 2 3 2 7 2 6 3" xfId="9242" xr:uid="{00000000-0005-0000-0000-00007F190000}"/>
    <cellStyle name="Финансовый 2 3 2 7 2 7" xfId="2784" xr:uid="{00000000-0005-0000-0000-000080190000}"/>
    <cellStyle name="Финансовый 2 3 2 7 2 7 2" xfId="11429" xr:uid="{00000000-0005-0000-0000-000081190000}"/>
    <cellStyle name="Финансовый 2 3 2 7 2 8" xfId="4428" xr:uid="{00000000-0005-0000-0000-000082190000}"/>
    <cellStyle name="Финансовый 2 3 2 7 2 8 2" xfId="13073" xr:uid="{00000000-0005-0000-0000-000083190000}"/>
    <cellStyle name="Финансовый 2 3 2 7 2 9" xfId="6215" xr:uid="{00000000-0005-0000-0000-000084190000}"/>
    <cellStyle name="Финансовый 2 3 2 7 2 9 2" xfId="14858" xr:uid="{00000000-0005-0000-0000-000085190000}"/>
    <cellStyle name="Финансовый 2 3 2 7 3" xfId="323" xr:uid="{00000000-0005-0000-0000-000086190000}"/>
    <cellStyle name="Финансовый 2 3 2 7 3 2" xfId="2110" xr:uid="{00000000-0005-0000-0000-000087190000}"/>
    <cellStyle name="Финансовый 2 3 2 7 3 2 2" xfId="3755" xr:uid="{00000000-0005-0000-0000-000088190000}"/>
    <cellStyle name="Финансовый 2 3 2 7 3 2 2 2" xfId="12400" xr:uid="{00000000-0005-0000-0000-000089190000}"/>
    <cellStyle name="Финансовый 2 3 2 7 3 2 3" xfId="5538" xr:uid="{00000000-0005-0000-0000-00008A190000}"/>
    <cellStyle name="Финансовый 2 3 2 7 3 2 3 2" xfId="14181" xr:uid="{00000000-0005-0000-0000-00008B190000}"/>
    <cellStyle name="Финансовый 2 3 2 7 3 2 4" xfId="8148" xr:uid="{00000000-0005-0000-0000-00008C190000}"/>
    <cellStyle name="Финансовый 2 3 2 7 3 2 4 2" xfId="16791" xr:uid="{00000000-0005-0000-0000-00008D190000}"/>
    <cellStyle name="Финансовый 2 3 2 7 3 2 5" xfId="10755" xr:uid="{00000000-0005-0000-0000-00008E190000}"/>
    <cellStyle name="Финансовый 2 3 2 7 3 3" xfId="1143" xr:uid="{00000000-0005-0000-0000-00008F190000}"/>
    <cellStyle name="Финансовый 2 3 2 7 3 3 2" xfId="7183" xr:uid="{00000000-0005-0000-0000-000090190000}"/>
    <cellStyle name="Финансовый 2 3 2 7 3 3 2 2" xfId="15826" xr:uid="{00000000-0005-0000-0000-000091190000}"/>
    <cellStyle name="Финансовый 2 3 2 7 3 3 3" xfId="9790" xr:uid="{00000000-0005-0000-0000-000092190000}"/>
    <cellStyle name="Финансовый 2 3 2 7 3 4" xfId="743" xr:uid="{00000000-0005-0000-0000-000093190000}"/>
    <cellStyle name="Финансовый 2 3 2 7 3 4 2" xfId="6783" xr:uid="{00000000-0005-0000-0000-000094190000}"/>
    <cellStyle name="Финансовый 2 3 2 7 3 4 2 2" xfId="15426" xr:uid="{00000000-0005-0000-0000-000095190000}"/>
    <cellStyle name="Финансовый 2 3 2 7 3 4 3" xfId="9390" xr:uid="{00000000-0005-0000-0000-000096190000}"/>
    <cellStyle name="Финансовый 2 3 2 7 3 5" xfId="2920" xr:uid="{00000000-0005-0000-0000-000097190000}"/>
    <cellStyle name="Финансовый 2 3 2 7 3 5 2" xfId="11565" xr:uid="{00000000-0005-0000-0000-000098190000}"/>
    <cellStyle name="Финансовый 2 3 2 7 3 6" xfId="4564" xr:uid="{00000000-0005-0000-0000-000099190000}"/>
    <cellStyle name="Финансовый 2 3 2 7 3 6 2" xfId="13209" xr:uid="{00000000-0005-0000-0000-00009A190000}"/>
    <cellStyle name="Финансовый 2 3 2 7 3 7" xfId="6363" xr:uid="{00000000-0005-0000-0000-00009B190000}"/>
    <cellStyle name="Финансовый 2 3 2 7 3 7 2" xfId="15006" xr:uid="{00000000-0005-0000-0000-00009C190000}"/>
    <cellStyle name="Финансовый 2 3 2 7 3 8" xfId="8970" xr:uid="{00000000-0005-0000-0000-00009D190000}"/>
    <cellStyle name="Финансовый 2 3 2 7 4" xfId="1456" xr:uid="{00000000-0005-0000-0000-00009E190000}"/>
    <cellStyle name="Финансовый 2 3 2 7 4 2" xfId="1846" xr:uid="{00000000-0005-0000-0000-00009F190000}"/>
    <cellStyle name="Финансовый 2 3 2 7 4 2 2" xfId="3491" xr:uid="{00000000-0005-0000-0000-0000A0190000}"/>
    <cellStyle name="Финансовый 2 3 2 7 4 2 2 2" xfId="12136" xr:uid="{00000000-0005-0000-0000-0000A1190000}"/>
    <cellStyle name="Финансовый 2 3 2 7 4 2 3" xfId="5274" xr:uid="{00000000-0005-0000-0000-0000A2190000}"/>
    <cellStyle name="Финансовый 2 3 2 7 4 2 3 2" xfId="13917" xr:uid="{00000000-0005-0000-0000-0000A3190000}"/>
    <cellStyle name="Финансовый 2 3 2 7 4 2 4" xfId="7884" xr:uid="{00000000-0005-0000-0000-0000A4190000}"/>
    <cellStyle name="Финансовый 2 3 2 7 4 2 4 2" xfId="16527" xr:uid="{00000000-0005-0000-0000-0000A5190000}"/>
    <cellStyle name="Финансовый 2 3 2 7 4 2 5" xfId="10491" xr:uid="{00000000-0005-0000-0000-0000A6190000}"/>
    <cellStyle name="Финансовый 2 3 2 7 4 3" xfId="4884" xr:uid="{00000000-0005-0000-0000-0000A7190000}"/>
    <cellStyle name="Финансовый 2 3 2 7 4 3 2" xfId="13527" xr:uid="{00000000-0005-0000-0000-0000A8190000}"/>
    <cellStyle name="Финансовый 2 3 2 7 4 4" xfId="7494" xr:uid="{00000000-0005-0000-0000-0000A9190000}"/>
    <cellStyle name="Финансовый 2 3 2 7 4 4 2" xfId="16137" xr:uid="{00000000-0005-0000-0000-0000AA190000}"/>
    <cellStyle name="Финансовый 2 3 2 7 4 5" xfId="10101" xr:uid="{00000000-0005-0000-0000-0000AB190000}"/>
    <cellStyle name="Финансовый 2 3 2 7 5" xfId="1730" xr:uid="{00000000-0005-0000-0000-0000AC190000}"/>
    <cellStyle name="Финансовый 2 3 2 7 5 2" xfId="3375" xr:uid="{00000000-0005-0000-0000-0000AD190000}"/>
    <cellStyle name="Финансовый 2 3 2 7 5 2 2" xfId="12020" xr:uid="{00000000-0005-0000-0000-0000AE190000}"/>
    <cellStyle name="Финансовый 2 3 2 7 5 3" xfId="5158" xr:uid="{00000000-0005-0000-0000-0000AF190000}"/>
    <cellStyle name="Финансовый 2 3 2 7 5 3 2" xfId="13801" xr:uid="{00000000-0005-0000-0000-0000B0190000}"/>
    <cellStyle name="Финансовый 2 3 2 7 5 4" xfId="7768" xr:uid="{00000000-0005-0000-0000-0000B1190000}"/>
    <cellStyle name="Финансовый 2 3 2 7 5 4 2" xfId="16411" xr:uid="{00000000-0005-0000-0000-0000B2190000}"/>
    <cellStyle name="Финансовый 2 3 2 7 5 5" xfId="10375" xr:uid="{00000000-0005-0000-0000-0000B3190000}"/>
    <cellStyle name="Финансовый 2 3 2 7 6" xfId="2366" xr:uid="{00000000-0005-0000-0000-0000B4190000}"/>
    <cellStyle name="Финансовый 2 3 2 7 6 2" xfId="4011" xr:uid="{00000000-0005-0000-0000-0000B5190000}"/>
    <cellStyle name="Финансовый 2 3 2 7 6 2 2" xfId="12656" xr:uid="{00000000-0005-0000-0000-0000B6190000}"/>
    <cellStyle name="Финансовый 2 3 2 7 6 3" xfId="5794" xr:uid="{00000000-0005-0000-0000-0000B7190000}"/>
    <cellStyle name="Финансовый 2 3 2 7 6 3 2" xfId="14437" xr:uid="{00000000-0005-0000-0000-0000B8190000}"/>
    <cellStyle name="Финансовый 2 3 2 7 6 4" xfId="8404" xr:uid="{00000000-0005-0000-0000-0000B9190000}"/>
    <cellStyle name="Финансовый 2 3 2 7 6 4 2" xfId="17047" xr:uid="{00000000-0005-0000-0000-0000BA190000}"/>
    <cellStyle name="Финансовый 2 3 2 7 6 5" xfId="11011" xr:uid="{00000000-0005-0000-0000-0000BB190000}"/>
    <cellStyle name="Финансовый 2 3 2 7 7" xfId="1593" xr:uid="{00000000-0005-0000-0000-0000BC190000}"/>
    <cellStyle name="Финансовый 2 3 2 7 7 2" xfId="3238" xr:uid="{00000000-0005-0000-0000-0000BD190000}"/>
    <cellStyle name="Финансовый 2 3 2 7 7 2 2" xfId="11883" xr:uid="{00000000-0005-0000-0000-0000BE190000}"/>
    <cellStyle name="Финансовый 2 3 2 7 7 3" xfId="5021" xr:uid="{00000000-0005-0000-0000-0000BF190000}"/>
    <cellStyle name="Финансовый 2 3 2 7 7 3 2" xfId="13664" xr:uid="{00000000-0005-0000-0000-0000C0190000}"/>
    <cellStyle name="Финансовый 2 3 2 7 7 4" xfId="7631" xr:uid="{00000000-0005-0000-0000-0000C1190000}"/>
    <cellStyle name="Финансовый 2 3 2 7 7 4 2" xfId="16274" xr:uid="{00000000-0005-0000-0000-0000C2190000}"/>
    <cellStyle name="Финансовый 2 3 2 7 7 5" xfId="10238" xr:uid="{00000000-0005-0000-0000-0000C3190000}"/>
    <cellStyle name="Финансовый 2 3 2 7 8" xfId="879" xr:uid="{00000000-0005-0000-0000-0000C4190000}"/>
    <cellStyle name="Финансовый 2 3 2 7 8 2" xfId="6919" xr:uid="{00000000-0005-0000-0000-0000C5190000}"/>
    <cellStyle name="Финансовый 2 3 2 7 8 2 2" xfId="15562" xr:uid="{00000000-0005-0000-0000-0000C6190000}"/>
    <cellStyle name="Финансовый 2 3 2 7 8 3" xfId="9526" xr:uid="{00000000-0005-0000-0000-0000C7190000}"/>
    <cellStyle name="Финансовый 2 3 2 7 9" xfId="459" xr:uid="{00000000-0005-0000-0000-0000C8190000}"/>
    <cellStyle name="Финансовый 2 3 2 7 9 2" xfId="6499" xr:uid="{00000000-0005-0000-0000-0000C9190000}"/>
    <cellStyle name="Финансовый 2 3 2 7 9 2 2" xfId="15142" xr:uid="{00000000-0005-0000-0000-0000CA190000}"/>
    <cellStyle name="Финансовый 2 3 2 7 9 3" xfId="9106" xr:uid="{00000000-0005-0000-0000-0000CB190000}"/>
    <cellStyle name="Финансовый 2 3 2 8" xfId="24" xr:uid="{00000000-0005-0000-0000-0000CC190000}"/>
    <cellStyle name="Финансовый 2 3 2 8 10" xfId="2636" xr:uid="{00000000-0005-0000-0000-0000CD190000}"/>
    <cellStyle name="Финансовый 2 3 2 8 10 2" xfId="11281" xr:uid="{00000000-0005-0000-0000-0000CE190000}"/>
    <cellStyle name="Финансовый 2 3 2 8 11" xfId="4279" xr:uid="{00000000-0005-0000-0000-0000CF190000}"/>
    <cellStyle name="Финансовый 2 3 2 8 11 2" xfId="12924" xr:uid="{00000000-0005-0000-0000-0000D0190000}"/>
    <cellStyle name="Финансовый 2 3 2 8 12" xfId="6067" xr:uid="{00000000-0005-0000-0000-0000D1190000}"/>
    <cellStyle name="Финансовый 2 3 2 8 12 2" xfId="14710" xr:uid="{00000000-0005-0000-0000-0000D2190000}"/>
    <cellStyle name="Финансовый 2 3 2 8 13" xfId="8674" xr:uid="{00000000-0005-0000-0000-0000D3190000}"/>
    <cellStyle name="Финансовый 2 3 2 8 2" xfId="162" xr:uid="{00000000-0005-0000-0000-0000D4190000}"/>
    <cellStyle name="Финансовый 2 3 2 8 2 10" xfId="8810" xr:uid="{00000000-0005-0000-0000-0000D5190000}"/>
    <cellStyle name="Финансовый 2 3 2 8 2 2" xfId="1260" xr:uid="{00000000-0005-0000-0000-0000D6190000}"/>
    <cellStyle name="Финансовый 2 3 2 8 2 2 2" xfId="2226" xr:uid="{00000000-0005-0000-0000-0000D7190000}"/>
    <cellStyle name="Финансовый 2 3 2 8 2 2 2 2" xfId="3871" xr:uid="{00000000-0005-0000-0000-0000D8190000}"/>
    <cellStyle name="Финансовый 2 3 2 8 2 2 2 2 2" xfId="12516" xr:uid="{00000000-0005-0000-0000-0000D9190000}"/>
    <cellStyle name="Финансовый 2 3 2 8 2 2 2 3" xfId="5654" xr:uid="{00000000-0005-0000-0000-0000DA190000}"/>
    <cellStyle name="Финансовый 2 3 2 8 2 2 2 3 2" xfId="14297" xr:uid="{00000000-0005-0000-0000-0000DB190000}"/>
    <cellStyle name="Финансовый 2 3 2 8 2 2 2 4" xfId="8264" xr:uid="{00000000-0005-0000-0000-0000DC190000}"/>
    <cellStyle name="Финансовый 2 3 2 8 2 2 2 4 2" xfId="16907" xr:uid="{00000000-0005-0000-0000-0000DD190000}"/>
    <cellStyle name="Финансовый 2 3 2 8 2 2 2 5" xfId="10871" xr:uid="{00000000-0005-0000-0000-0000DE190000}"/>
    <cellStyle name="Финансовый 2 3 2 8 2 2 3" xfId="3044" xr:uid="{00000000-0005-0000-0000-0000DF190000}"/>
    <cellStyle name="Финансовый 2 3 2 8 2 2 3 2" xfId="11689" xr:uid="{00000000-0005-0000-0000-0000E0190000}"/>
    <cellStyle name="Финансовый 2 3 2 8 2 2 4" xfId="4688" xr:uid="{00000000-0005-0000-0000-0000E1190000}"/>
    <cellStyle name="Финансовый 2 3 2 8 2 2 4 2" xfId="13333" xr:uid="{00000000-0005-0000-0000-0000E2190000}"/>
    <cellStyle name="Финансовый 2 3 2 8 2 2 5" xfId="7300" xr:uid="{00000000-0005-0000-0000-0000E3190000}"/>
    <cellStyle name="Финансовый 2 3 2 8 2 2 5 2" xfId="15943" xr:uid="{00000000-0005-0000-0000-0000E4190000}"/>
    <cellStyle name="Финансовый 2 3 2 8 2 2 6" xfId="9907" xr:uid="{00000000-0005-0000-0000-0000E5190000}"/>
    <cellStyle name="Финансовый 2 3 2 8 2 3" xfId="1970" xr:uid="{00000000-0005-0000-0000-0000E6190000}"/>
    <cellStyle name="Финансовый 2 3 2 8 2 3 2" xfId="3615" xr:uid="{00000000-0005-0000-0000-0000E7190000}"/>
    <cellStyle name="Финансовый 2 3 2 8 2 3 2 2" xfId="12260" xr:uid="{00000000-0005-0000-0000-0000E8190000}"/>
    <cellStyle name="Финансовый 2 3 2 8 2 3 3" xfId="5398" xr:uid="{00000000-0005-0000-0000-0000E9190000}"/>
    <cellStyle name="Финансовый 2 3 2 8 2 3 3 2" xfId="14041" xr:uid="{00000000-0005-0000-0000-0000EA190000}"/>
    <cellStyle name="Финансовый 2 3 2 8 2 3 4" xfId="8008" xr:uid="{00000000-0005-0000-0000-0000EB190000}"/>
    <cellStyle name="Финансовый 2 3 2 8 2 3 4 2" xfId="16651" xr:uid="{00000000-0005-0000-0000-0000EC190000}"/>
    <cellStyle name="Финансовый 2 3 2 8 2 3 5" xfId="10615" xr:uid="{00000000-0005-0000-0000-0000ED190000}"/>
    <cellStyle name="Финансовый 2 3 2 8 2 4" xfId="2491" xr:uid="{00000000-0005-0000-0000-0000EE190000}"/>
    <cellStyle name="Финансовый 2 3 2 8 2 4 2" xfId="4136" xr:uid="{00000000-0005-0000-0000-0000EF190000}"/>
    <cellStyle name="Финансовый 2 3 2 8 2 4 2 2" xfId="12781" xr:uid="{00000000-0005-0000-0000-0000F0190000}"/>
    <cellStyle name="Финансовый 2 3 2 8 2 4 3" xfId="5919" xr:uid="{00000000-0005-0000-0000-0000F1190000}"/>
    <cellStyle name="Финансовый 2 3 2 8 2 4 3 2" xfId="14562" xr:uid="{00000000-0005-0000-0000-0000F2190000}"/>
    <cellStyle name="Финансовый 2 3 2 8 2 4 4" xfId="8529" xr:uid="{00000000-0005-0000-0000-0000F3190000}"/>
    <cellStyle name="Финансовый 2 3 2 8 2 4 4 2" xfId="17172" xr:uid="{00000000-0005-0000-0000-0000F4190000}"/>
    <cellStyle name="Финансовый 2 3 2 8 2 4 5" xfId="11136" xr:uid="{00000000-0005-0000-0000-0000F5190000}"/>
    <cellStyle name="Финансовый 2 3 2 8 2 5" xfId="995" xr:uid="{00000000-0005-0000-0000-0000F6190000}"/>
    <cellStyle name="Финансовый 2 3 2 8 2 5 2" xfId="7035" xr:uid="{00000000-0005-0000-0000-0000F7190000}"/>
    <cellStyle name="Финансовый 2 3 2 8 2 5 2 2" xfId="15678" xr:uid="{00000000-0005-0000-0000-0000F8190000}"/>
    <cellStyle name="Финансовый 2 3 2 8 2 5 3" xfId="9642" xr:uid="{00000000-0005-0000-0000-0000F9190000}"/>
    <cellStyle name="Финансовый 2 3 2 8 2 6" xfId="583" xr:uid="{00000000-0005-0000-0000-0000FA190000}"/>
    <cellStyle name="Финансовый 2 3 2 8 2 6 2" xfId="6623" xr:uid="{00000000-0005-0000-0000-0000FB190000}"/>
    <cellStyle name="Финансовый 2 3 2 8 2 6 2 2" xfId="15266" xr:uid="{00000000-0005-0000-0000-0000FC190000}"/>
    <cellStyle name="Финансовый 2 3 2 8 2 6 3" xfId="9230" xr:uid="{00000000-0005-0000-0000-0000FD190000}"/>
    <cellStyle name="Финансовый 2 3 2 8 2 7" xfId="2772" xr:uid="{00000000-0005-0000-0000-0000FE190000}"/>
    <cellStyle name="Финансовый 2 3 2 8 2 7 2" xfId="11417" xr:uid="{00000000-0005-0000-0000-0000FF190000}"/>
    <cellStyle name="Финансовый 2 3 2 8 2 8" xfId="4416" xr:uid="{00000000-0005-0000-0000-0000001A0000}"/>
    <cellStyle name="Финансовый 2 3 2 8 2 8 2" xfId="13061" xr:uid="{00000000-0005-0000-0000-0000011A0000}"/>
    <cellStyle name="Финансовый 2 3 2 8 2 9" xfId="6203" xr:uid="{00000000-0005-0000-0000-0000021A0000}"/>
    <cellStyle name="Финансовый 2 3 2 8 2 9 2" xfId="14846" xr:uid="{00000000-0005-0000-0000-0000031A0000}"/>
    <cellStyle name="Финансовый 2 3 2 8 3" xfId="311" xr:uid="{00000000-0005-0000-0000-0000041A0000}"/>
    <cellStyle name="Финансовый 2 3 2 8 3 2" xfId="2098" xr:uid="{00000000-0005-0000-0000-0000051A0000}"/>
    <cellStyle name="Финансовый 2 3 2 8 3 2 2" xfId="3743" xr:uid="{00000000-0005-0000-0000-0000061A0000}"/>
    <cellStyle name="Финансовый 2 3 2 8 3 2 2 2" xfId="12388" xr:uid="{00000000-0005-0000-0000-0000071A0000}"/>
    <cellStyle name="Финансовый 2 3 2 8 3 2 3" xfId="5526" xr:uid="{00000000-0005-0000-0000-0000081A0000}"/>
    <cellStyle name="Финансовый 2 3 2 8 3 2 3 2" xfId="14169" xr:uid="{00000000-0005-0000-0000-0000091A0000}"/>
    <cellStyle name="Финансовый 2 3 2 8 3 2 4" xfId="8136" xr:uid="{00000000-0005-0000-0000-00000A1A0000}"/>
    <cellStyle name="Финансовый 2 3 2 8 3 2 4 2" xfId="16779" xr:uid="{00000000-0005-0000-0000-00000B1A0000}"/>
    <cellStyle name="Финансовый 2 3 2 8 3 2 5" xfId="10743" xr:uid="{00000000-0005-0000-0000-00000C1A0000}"/>
    <cellStyle name="Финансовый 2 3 2 8 3 3" xfId="1131" xr:uid="{00000000-0005-0000-0000-00000D1A0000}"/>
    <cellStyle name="Финансовый 2 3 2 8 3 3 2" xfId="7171" xr:uid="{00000000-0005-0000-0000-00000E1A0000}"/>
    <cellStyle name="Финансовый 2 3 2 8 3 3 2 2" xfId="15814" xr:uid="{00000000-0005-0000-0000-00000F1A0000}"/>
    <cellStyle name="Финансовый 2 3 2 8 3 3 3" xfId="9778" xr:uid="{00000000-0005-0000-0000-0000101A0000}"/>
    <cellStyle name="Финансовый 2 3 2 8 3 4" xfId="731" xr:uid="{00000000-0005-0000-0000-0000111A0000}"/>
    <cellStyle name="Финансовый 2 3 2 8 3 4 2" xfId="6771" xr:uid="{00000000-0005-0000-0000-0000121A0000}"/>
    <cellStyle name="Финансовый 2 3 2 8 3 4 2 2" xfId="15414" xr:uid="{00000000-0005-0000-0000-0000131A0000}"/>
    <cellStyle name="Финансовый 2 3 2 8 3 4 3" xfId="9378" xr:uid="{00000000-0005-0000-0000-0000141A0000}"/>
    <cellStyle name="Финансовый 2 3 2 8 3 5" xfId="2908" xr:uid="{00000000-0005-0000-0000-0000151A0000}"/>
    <cellStyle name="Финансовый 2 3 2 8 3 5 2" xfId="11553" xr:uid="{00000000-0005-0000-0000-0000161A0000}"/>
    <cellStyle name="Финансовый 2 3 2 8 3 6" xfId="4552" xr:uid="{00000000-0005-0000-0000-0000171A0000}"/>
    <cellStyle name="Финансовый 2 3 2 8 3 6 2" xfId="13197" xr:uid="{00000000-0005-0000-0000-0000181A0000}"/>
    <cellStyle name="Финансовый 2 3 2 8 3 7" xfId="6351" xr:uid="{00000000-0005-0000-0000-0000191A0000}"/>
    <cellStyle name="Финансовый 2 3 2 8 3 7 2" xfId="14994" xr:uid="{00000000-0005-0000-0000-00001A1A0000}"/>
    <cellStyle name="Финансовый 2 3 2 8 3 8" xfId="8958" xr:uid="{00000000-0005-0000-0000-00001B1A0000}"/>
    <cellStyle name="Финансовый 2 3 2 8 4" xfId="1467" xr:uid="{00000000-0005-0000-0000-00001C1A0000}"/>
    <cellStyle name="Финансовый 2 3 2 8 4 2" xfId="1834" xr:uid="{00000000-0005-0000-0000-00001D1A0000}"/>
    <cellStyle name="Финансовый 2 3 2 8 4 2 2" xfId="3479" xr:uid="{00000000-0005-0000-0000-00001E1A0000}"/>
    <cellStyle name="Финансовый 2 3 2 8 4 2 2 2" xfId="12124" xr:uid="{00000000-0005-0000-0000-00001F1A0000}"/>
    <cellStyle name="Финансовый 2 3 2 8 4 2 3" xfId="5262" xr:uid="{00000000-0005-0000-0000-0000201A0000}"/>
    <cellStyle name="Финансовый 2 3 2 8 4 2 3 2" xfId="13905" xr:uid="{00000000-0005-0000-0000-0000211A0000}"/>
    <cellStyle name="Финансовый 2 3 2 8 4 2 4" xfId="7872" xr:uid="{00000000-0005-0000-0000-0000221A0000}"/>
    <cellStyle name="Финансовый 2 3 2 8 4 2 4 2" xfId="16515" xr:uid="{00000000-0005-0000-0000-0000231A0000}"/>
    <cellStyle name="Финансовый 2 3 2 8 4 2 5" xfId="10479" xr:uid="{00000000-0005-0000-0000-0000241A0000}"/>
    <cellStyle name="Финансовый 2 3 2 8 4 3" xfId="4895" xr:uid="{00000000-0005-0000-0000-0000251A0000}"/>
    <cellStyle name="Финансовый 2 3 2 8 4 3 2" xfId="13538" xr:uid="{00000000-0005-0000-0000-0000261A0000}"/>
    <cellStyle name="Финансовый 2 3 2 8 4 4" xfId="7505" xr:uid="{00000000-0005-0000-0000-0000271A0000}"/>
    <cellStyle name="Финансовый 2 3 2 8 4 4 2" xfId="16148" xr:uid="{00000000-0005-0000-0000-0000281A0000}"/>
    <cellStyle name="Финансовый 2 3 2 8 4 5" xfId="10112" xr:uid="{00000000-0005-0000-0000-0000291A0000}"/>
    <cellStyle name="Финансовый 2 3 2 8 5" xfId="1718" xr:uid="{00000000-0005-0000-0000-00002A1A0000}"/>
    <cellStyle name="Финансовый 2 3 2 8 5 2" xfId="3363" xr:uid="{00000000-0005-0000-0000-00002B1A0000}"/>
    <cellStyle name="Финансовый 2 3 2 8 5 2 2" xfId="12008" xr:uid="{00000000-0005-0000-0000-00002C1A0000}"/>
    <cellStyle name="Финансовый 2 3 2 8 5 3" xfId="5146" xr:uid="{00000000-0005-0000-0000-00002D1A0000}"/>
    <cellStyle name="Финансовый 2 3 2 8 5 3 2" xfId="13789" xr:uid="{00000000-0005-0000-0000-00002E1A0000}"/>
    <cellStyle name="Финансовый 2 3 2 8 5 4" xfId="7756" xr:uid="{00000000-0005-0000-0000-00002F1A0000}"/>
    <cellStyle name="Финансовый 2 3 2 8 5 4 2" xfId="16399" xr:uid="{00000000-0005-0000-0000-0000301A0000}"/>
    <cellStyle name="Финансовый 2 3 2 8 5 5" xfId="10363" xr:uid="{00000000-0005-0000-0000-0000311A0000}"/>
    <cellStyle name="Финансовый 2 3 2 8 6" xfId="2354" xr:uid="{00000000-0005-0000-0000-0000321A0000}"/>
    <cellStyle name="Финансовый 2 3 2 8 6 2" xfId="3999" xr:uid="{00000000-0005-0000-0000-0000331A0000}"/>
    <cellStyle name="Финансовый 2 3 2 8 6 2 2" xfId="12644" xr:uid="{00000000-0005-0000-0000-0000341A0000}"/>
    <cellStyle name="Финансовый 2 3 2 8 6 3" xfId="5782" xr:uid="{00000000-0005-0000-0000-0000351A0000}"/>
    <cellStyle name="Финансовый 2 3 2 8 6 3 2" xfId="14425" xr:uid="{00000000-0005-0000-0000-0000361A0000}"/>
    <cellStyle name="Финансовый 2 3 2 8 6 4" xfId="8392" xr:uid="{00000000-0005-0000-0000-0000371A0000}"/>
    <cellStyle name="Финансовый 2 3 2 8 6 4 2" xfId="17035" xr:uid="{00000000-0005-0000-0000-0000381A0000}"/>
    <cellStyle name="Финансовый 2 3 2 8 6 5" xfId="10999" xr:uid="{00000000-0005-0000-0000-0000391A0000}"/>
    <cellStyle name="Финансовый 2 3 2 8 7" xfId="1581" xr:uid="{00000000-0005-0000-0000-00003A1A0000}"/>
    <cellStyle name="Финансовый 2 3 2 8 7 2" xfId="3226" xr:uid="{00000000-0005-0000-0000-00003B1A0000}"/>
    <cellStyle name="Финансовый 2 3 2 8 7 2 2" xfId="11871" xr:uid="{00000000-0005-0000-0000-00003C1A0000}"/>
    <cellStyle name="Финансовый 2 3 2 8 7 3" xfId="5009" xr:uid="{00000000-0005-0000-0000-00003D1A0000}"/>
    <cellStyle name="Финансовый 2 3 2 8 7 3 2" xfId="13652" xr:uid="{00000000-0005-0000-0000-00003E1A0000}"/>
    <cellStyle name="Финансовый 2 3 2 8 7 4" xfId="7619" xr:uid="{00000000-0005-0000-0000-00003F1A0000}"/>
    <cellStyle name="Финансовый 2 3 2 8 7 4 2" xfId="16262" xr:uid="{00000000-0005-0000-0000-0000401A0000}"/>
    <cellStyle name="Финансовый 2 3 2 8 7 5" xfId="10226" xr:uid="{00000000-0005-0000-0000-0000411A0000}"/>
    <cellStyle name="Финансовый 2 3 2 8 8" xfId="867" xr:uid="{00000000-0005-0000-0000-0000421A0000}"/>
    <cellStyle name="Финансовый 2 3 2 8 8 2" xfId="6907" xr:uid="{00000000-0005-0000-0000-0000431A0000}"/>
    <cellStyle name="Финансовый 2 3 2 8 8 2 2" xfId="15550" xr:uid="{00000000-0005-0000-0000-0000441A0000}"/>
    <cellStyle name="Финансовый 2 3 2 8 8 3" xfId="9514" xr:uid="{00000000-0005-0000-0000-0000451A0000}"/>
    <cellStyle name="Финансовый 2 3 2 8 9" xfId="447" xr:uid="{00000000-0005-0000-0000-0000461A0000}"/>
    <cellStyle name="Финансовый 2 3 2 8 9 2" xfId="6487" xr:uid="{00000000-0005-0000-0000-0000471A0000}"/>
    <cellStyle name="Финансовый 2 3 2 8 9 2 2" xfId="15130" xr:uid="{00000000-0005-0000-0000-0000481A0000}"/>
    <cellStyle name="Финансовый 2 3 2 8 9 3" xfId="9094" xr:uid="{00000000-0005-0000-0000-0000491A0000}"/>
    <cellStyle name="Финансовый 2 3 2 9" xfId="150" xr:uid="{00000000-0005-0000-0000-00004A1A0000}"/>
    <cellStyle name="Финансовый 2 3 2 9 10" xfId="8798" xr:uid="{00000000-0005-0000-0000-00004B1A0000}"/>
    <cellStyle name="Финансовый 2 3 2 9 2" xfId="1248" xr:uid="{00000000-0005-0000-0000-00004C1A0000}"/>
    <cellStyle name="Финансовый 2 3 2 9 2 2" xfId="2214" xr:uid="{00000000-0005-0000-0000-00004D1A0000}"/>
    <cellStyle name="Финансовый 2 3 2 9 2 2 2" xfId="3859" xr:uid="{00000000-0005-0000-0000-00004E1A0000}"/>
    <cellStyle name="Финансовый 2 3 2 9 2 2 2 2" xfId="12504" xr:uid="{00000000-0005-0000-0000-00004F1A0000}"/>
    <cellStyle name="Финансовый 2 3 2 9 2 2 3" xfId="5642" xr:uid="{00000000-0005-0000-0000-0000501A0000}"/>
    <cellStyle name="Финансовый 2 3 2 9 2 2 3 2" xfId="14285" xr:uid="{00000000-0005-0000-0000-0000511A0000}"/>
    <cellStyle name="Финансовый 2 3 2 9 2 2 4" xfId="8252" xr:uid="{00000000-0005-0000-0000-0000521A0000}"/>
    <cellStyle name="Финансовый 2 3 2 9 2 2 4 2" xfId="16895" xr:uid="{00000000-0005-0000-0000-0000531A0000}"/>
    <cellStyle name="Финансовый 2 3 2 9 2 2 5" xfId="10859" xr:uid="{00000000-0005-0000-0000-0000541A0000}"/>
    <cellStyle name="Финансовый 2 3 2 9 2 3" xfId="3032" xr:uid="{00000000-0005-0000-0000-0000551A0000}"/>
    <cellStyle name="Финансовый 2 3 2 9 2 3 2" xfId="11677" xr:uid="{00000000-0005-0000-0000-0000561A0000}"/>
    <cellStyle name="Финансовый 2 3 2 9 2 4" xfId="4676" xr:uid="{00000000-0005-0000-0000-0000571A0000}"/>
    <cellStyle name="Финансовый 2 3 2 9 2 4 2" xfId="13321" xr:uid="{00000000-0005-0000-0000-0000581A0000}"/>
    <cellStyle name="Финансовый 2 3 2 9 2 5" xfId="7288" xr:uid="{00000000-0005-0000-0000-0000591A0000}"/>
    <cellStyle name="Финансовый 2 3 2 9 2 5 2" xfId="15931" xr:uid="{00000000-0005-0000-0000-00005A1A0000}"/>
    <cellStyle name="Финансовый 2 3 2 9 2 6" xfId="9895" xr:uid="{00000000-0005-0000-0000-00005B1A0000}"/>
    <cellStyle name="Финансовый 2 3 2 9 3" xfId="1958" xr:uid="{00000000-0005-0000-0000-00005C1A0000}"/>
    <cellStyle name="Финансовый 2 3 2 9 3 2" xfId="3603" xr:uid="{00000000-0005-0000-0000-00005D1A0000}"/>
    <cellStyle name="Финансовый 2 3 2 9 3 2 2" xfId="12248" xr:uid="{00000000-0005-0000-0000-00005E1A0000}"/>
    <cellStyle name="Финансовый 2 3 2 9 3 3" xfId="5386" xr:uid="{00000000-0005-0000-0000-00005F1A0000}"/>
    <cellStyle name="Финансовый 2 3 2 9 3 3 2" xfId="14029" xr:uid="{00000000-0005-0000-0000-0000601A0000}"/>
    <cellStyle name="Финансовый 2 3 2 9 3 4" xfId="7996" xr:uid="{00000000-0005-0000-0000-0000611A0000}"/>
    <cellStyle name="Финансовый 2 3 2 9 3 4 2" xfId="16639" xr:uid="{00000000-0005-0000-0000-0000621A0000}"/>
    <cellStyle name="Финансовый 2 3 2 9 3 5" xfId="10603" xr:uid="{00000000-0005-0000-0000-0000631A0000}"/>
    <cellStyle name="Финансовый 2 3 2 9 4" xfId="2479" xr:uid="{00000000-0005-0000-0000-0000641A0000}"/>
    <cellStyle name="Финансовый 2 3 2 9 4 2" xfId="4124" xr:uid="{00000000-0005-0000-0000-0000651A0000}"/>
    <cellStyle name="Финансовый 2 3 2 9 4 2 2" xfId="12769" xr:uid="{00000000-0005-0000-0000-0000661A0000}"/>
    <cellStyle name="Финансовый 2 3 2 9 4 3" xfId="5907" xr:uid="{00000000-0005-0000-0000-0000671A0000}"/>
    <cellStyle name="Финансовый 2 3 2 9 4 3 2" xfId="14550" xr:uid="{00000000-0005-0000-0000-0000681A0000}"/>
    <cellStyle name="Финансовый 2 3 2 9 4 4" xfId="8517" xr:uid="{00000000-0005-0000-0000-0000691A0000}"/>
    <cellStyle name="Финансовый 2 3 2 9 4 4 2" xfId="17160" xr:uid="{00000000-0005-0000-0000-00006A1A0000}"/>
    <cellStyle name="Финансовый 2 3 2 9 4 5" xfId="11124" xr:uid="{00000000-0005-0000-0000-00006B1A0000}"/>
    <cellStyle name="Финансовый 2 3 2 9 5" xfId="983" xr:uid="{00000000-0005-0000-0000-00006C1A0000}"/>
    <cellStyle name="Финансовый 2 3 2 9 5 2" xfId="7023" xr:uid="{00000000-0005-0000-0000-00006D1A0000}"/>
    <cellStyle name="Финансовый 2 3 2 9 5 2 2" xfId="15666" xr:uid="{00000000-0005-0000-0000-00006E1A0000}"/>
    <cellStyle name="Финансовый 2 3 2 9 5 3" xfId="9630" xr:uid="{00000000-0005-0000-0000-00006F1A0000}"/>
    <cellStyle name="Финансовый 2 3 2 9 6" xfId="571" xr:uid="{00000000-0005-0000-0000-0000701A0000}"/>
    <cellStyle name="Финансовый 2 3 2 9 6 2" xfId="6611" xr:uid="{00000000-0005-0000-0000-0000711A0000}"/>
    <cellStyle name="Финансовый 2 3 2 9 6 2 2" xfId="15254" xr:uid="{00000000-0005-0000-0000-0000721A0000}"/>
    <cellStyle name="Финансовый 2 3 2 9 6 3" xfId="9218" xr:uid="{00000000-0005-0000-0000-0000731A0000}"/>
    <cellStyle name="Финансовый 2 3 2 9 7" xfId="2760" xr:uid="{00000000-0005-0000-0000-0000741A0000}"/>
    <cellStyle name="Финансовый 2 3 2 9 7 2" xfId="11405" xr:uid="{00000000-0005-0000-0000-0000751A0000}"/>
    <cellStyle name="Финансовый 2 3 2 9 8" xfId="4404" xr:uid="{00000000-0005-0000-0000-0000761A0000}"/>
    <cellStyle name="Финансовый 2 3 2 9 8 2" xfId="13049" xr:uid="{00000000-0005-0000-0000-0000771A0000}"/>
    <cellStyle name="Финансовый 2 3 2 9 9" xfId="6191" xr:uid="{00000000-0005-0000-0000-0000781A0000}"/>
    <cellStyle name="Финансовый 2 3 2 9 9 2" xfId="14834" xr:uid="{00000000-0005-0000-0000-0000791A0000}"/>
    <cellStyle name="Финансовый 2 3 20" xfId="2618" xr:uid="{00000000-0005-0000-0000-00007A1A0000}"/>
    <cellStyle name="Финансовый 2 3 20 2" xfId="11263" xr:uid="{00000000-0005-0000-0000-00007B1A0000}"/>
    <cellStyle name="Финансовый 2 3 21" xfId="4261" xr:uid="{00000000-0005-0000-0000-00007C1A0000}"/>
    <cellStyle name="Финансовый 2 3 21 2" xfId="12906" xr:uid="{00000000-0005-0000-0000-00007D1A0000}"/>
    <cellStyle name="Финансовый 2 3 22" xfId="6049" xr:uid="{00000000-0005-0000-0000-00007E1A0000}"/>
    <cellStyle name="Финансовый 2 3 22 2" xfId="14692" xr:uid="{00000000-0005-0000-0000-00007F1A0000}"/>
    <cellStyle name="Финансовый 2 3 23" xfId="8656" xr:uid="{00000000-0005-0000-0000-0000801A0000}"/>
    <cellStyle name="Финансовый 2 3 3" xfId="42" xr:uid="{00000000-0005-0000-0000-0000811A0000}"/>
    <cellStyle name="Финансовый 2 3 3 10" xfId="885" xr:uid="{00000000-0005-0000-0000-0000821A0000}"/>
    <cellStyle name="Финансовый 2 3 3 10 2" xfId="6925" xr:uid="{00000000-0005-0000-0000-0000831A0000}"/>
    <cellStyle name="Финансовый 2 3 3 10 2 2" xfId="15568" xr:uid="{00000000-0005-0000-0000-0000841A0000}"/>
    <cellStyle name="Финансовый 2 3 3 10 3" xfId="9532" xr:uid="{00000000-0005-0000-0000-0000851A0000}"/>
    <cellStyle name="Финансовый 2 3 3 11" xfId="465" xr:uid="{00000000-0005-0000-0000-0000861A0000}"/>
    <cellStyle name="Финансовый 2 3 3 11 2" xfId="6505" xr:uid="{00000000-0005-0000-0000-0000871A0000}"/>
    <cellStyle name="Финансовый 2 3 3 11 2 2" xfId="15148" xr:uid="{00000000-0005-0000-0000-0000881A0000}"/>
    <cellStyle name="Финансовый 2 3 3 11 3" xfId="9112" xr:uid="{00000000-0005-0000-0000-0000891A0000}"/>
    <cellStyle name="Финансовый 2 3 3 12" xfId="2654" xr:uid="{00000000-0005-0000-0000-00008A1A0000}"/>
    <cellStyle name="Финансовый 2 3 3 12 2" xfId="11299" xr:uid="{00000000-0005-0000-0000-00008B1A0000}"/>
    <cellStyle name="Финансовый 2 3 3 13" xfId="4297" xr:uid="{00000000-0005-0000-0000-00008C1A0000}"/>
    <cellStyle name="Финансовый 2 3 3 13 2" xfId="12942" xr:uid="{00000000-0005-0000-0000-00008D1A0000}"/>
    <cellStyle name="Финансовый 2 3 3 14" xfId="6085" xr:uid="{00000000-0005-0000-0000-00008E1A0000}"/>
    <cellStyle name="Финансовый 2 3 3 14 2" xfId="14728" xr:uid="{00000000-0005-0000-0000-00008F1A0000}"/>
    <cellStyle name="Финансовый 2 3 3 15" xfId="8692" xr:uid="{00000000-0005-0000-0000-0000901A0000}"/>
    <cellStyle name="Финансовый 2 3 3 2" xfId="124" xr:uid="{00000000-0005-0000-0000-0000911A0000}"/>
    <cellStyle name="Финансовый 2 3 3 2 10" xfId="2734" xr:uid="{00000000-0005-0000-0000-0000921A0000}"/>
    <cellStyle name="Финансовый 2 3 3 2 10 2" xfId="11379" xr:uid="{00000000-0005-0000-0000-0000931A0000}"/>
    <cellStyle name="Финансовый 2 3 3 2 11" xfId="4378" xr:uid="{00000000-0005-0000-0000-0000941A0000}"/>
    <cellStyle name="Финансовый 2 3 3 2 11 2" xfId="13023" xr:uid="{00000000-0005-0000-0000-0000951A0000}"/>
    <cellStyle name="Финансовый 2 3 3 2 12" xfId="6165" xr:uid="{00000000-0005-0000-0000-0000961A0000}"/>
    <cellStyle name="Финансовый 2 3 3 2 12 2" xfId="14808" xr:uid="{00000000-0005-0000-0000-0000971A0000}"/>
    <cellStyle name="Финансовый 2 3 3 2 13" xfId="8772" xr:uid="{00000000-0005-0000-0000-0000981A0000}"/>
    <cellStyle name="Финансовый 2 3 3 2 2" xfId="260" xr:uid="{00000000-0005-0000-0000-0000991A0000}"/>
    <cellStyle name="Финансовый 2 3 3 2 2 10" xfId="8908" xr:uid="{00000000-0005-0000-0000-00009A1A0000}"/>
    <cellStyle name="Финансовый 2 3 3 2 2 2" xfId="1358" xr:uid="{00000000-0005-0000-0000-00009B1A0000}"/>
    <cellStyle name="Финансовый 2 3 3 2 2 2 2" xfId="2316" xr:uid="{00000000-0005-0000-0000-00009C1A0000}"/>
    <cellStyle name="Финансовый 2 3 3 2 2 2 2 2" xfId="3961" xr:uid="{00000000-0005-0000-0000-00009D1A0000}"/>
    <cellStyle name="Финансовый 2 3 3 2 2 2 2 2 2" xfId="12606" xr:uid="{00000000-0005-0000-0000-00009E1A0000}"/>
    <cellStyle name="Финансовый 2 3 3 2 2 2 2 3" xfId="5744" xr:uid="{00000000-0005-0000-0000-00009F1A0000}"/>
    <cellStyle name="Финансовый 2 3 3 2 2 2 2 3 2" xfId="14387" xr:uid="{00000000-0005-0000-0000-0000A01A0000}"/>
    <cellStyle name="Финансовый 2 3 3 2 2 2 2 4" xfId="8354" xr:uid="{00000000-0005-0000-0000-0000A11A0000}"/>
    <cellStyle name="Финансовый 2 3 3 2 2 2 2 4 2" xfId="16997" xr:uid="{00000000-0005-0000-0000-0000A21A0000}"/>
    <cellStyle name="Финансовый 2 3 3 2 2 2 2 5" xfId="10961" xr:uid="{00000000-0005-0000-0000-0000A31A0000}"/>
    <cellStyle name="Финансовый 2 3 3 2 2 2 3" xfId="3142" xr:uid="{00000000-0005-0000-0000-0000A41A0000}"/>
    <cellStyle name="Финансовый 2 3 3 2 2 2 3 2" xfId="11787" xr:uid="{00000000-0005-0000-0000-0000A51A0000}"/>
    <cellStyle name="Финансовый 2 3 3 2 2 2 4" xfId="4786" xr:uid="{00000000-0005-0000-0000-0000A61A0000}"/>
    <cellStyle name="Финансовый 2 3 3 2 2 2 4 2" xfId="13431" xr:uid="{00000000-0005-0000-0000-0000A71A0000}"/>
    <cellStyle name="Финансовый 2 3 3 2 2 2 5" xfId="7398" xr:uid="{00000000-0005-0000-0000-0000A81A0000}"/>
    <cellStyle name="Финансовый 2 3 3 2 2 2 5 2" xfId="16041" xr:uid="{00000000-0005-0000-0000-0000A91A0000}"/>
    <cellStyle name="Финансовый 2 3 3 2 2 2 6" xfId="10005" xr:uid="{00000000-0005-0000-0000-0000AA1A0000}"/>
    <cellStyle name="Финансовый 2 3 3 2 2 3" xfId="2060" xr:uid="{00000000-0005-0000-0000-0000AB1A0000}"/>
    <cellStyle name="Финансовый 2 3 3 2 2 3 2" xfId="3705" xr:uid="{00000000-0005-0000-0000-0000AC1A0000}"/>
    <cellStyle name="Финансовый 2 3 3 2 2 3 2 2" xfId="12350" xr:uid="{00000000-0005-0000-0000-0000AD1A0000}"/>
    <cellStyle name="Финансовый 2 3 3 2 2 3 3" xfId="5488" xr:uid="{00000000-0005-0000-0000-0000AE1A0000}"/>
    <cellStyle name="Финансовый 2 3 3 2 2 3 3 2" xfId="14131" xr:uid="{00000000-0005-0000-0000-0000AF1A0000}"/>
    <cellStyle name="Финансовый 2 3 3 2 2 3 4" xfId="8098" xr:uid="{00000000-0005-0000-0000-0000B01A0000}"/>
    <cellStyle name="Финансовый 2 3 3 2 2 3 4 2" xfId="16741" xr:uid="{00000000-0005-0000-0000-0000B11A0000}"/>
    <cellStyle name="Финансовый 2 3 3 2 2 3 5" xfId="10705" xr:uid="{00000000-0005-0000-0000-0000B21A0000}"/>
    <cellStyle name="Финансовый 2 3 3 2 2 4" xfId="2589" xr:uid="{00000000-0005-0000-0000-0000B31A0000}"/>
    <cellStyle name="Финансовый 2 3 3 2 2 4 2" xfId="4234" xr:uid="{00000000-0005-0000-0000-0000B41A0000}"/>
    <cellStyle name="Финансовый 2 3 3 2 2 4 2 2" xfId="12879" xr:uid="{00000000-0005-0000-0000-0000B51A0000}"/>
    <cellStyle name="Финансовый 2 3 3 2 2 4 3" xfId="6017" xr:uid="{00000000-0005-0000-0000-0000B61A0000}"/>
    <cellStyle name="Финансовый 2 3 3 2 2 4 3 2" xfId="14660" xr:uid="{00000000-0005-0000-0000-0000B71A0000}"/>
    <cellStyle name="Финансовый 2 3 3 2 2 4 4" xfId="8627" xr:uid="{00000000-0005-0000-0000-0000B81A0000}"/>
    <cellStyle name="Финансовый 2 3 3 2 2 4 4 2" xfId="17270" xr:uid="{00000000-0005-0000-0000-0000B91A0000}"/>
    <cellStyle name="Финансовый 2 3 3 2 2 4 5" xfId="11234" xr:uid="{00000000-0005-0000-0000-0000BA1A0000}"/>
    <cellStyle name="Финансовый 2 3 3 2 2 5" xfId="1093" xr:uid="{00000000-0005-0000-0000-0000BB1A0000}"/>
    <cellStyle name="Финансовый 2 3 3 2 2 5 2" xfId="7133" xr:uid="{00000000-0005-0000-0000-0000BC1A0000}"/>
    <cellStyle name="Финансовый 2 3 3 2 2 5 2 2" xfId="15776" xr:uid="{00000000-0005-0000-0000-0000BD1A0000}"/>
    <cellStyle name="Финансовый 2 3 3 2 2 5 3" xfId="9740" xr:uid="{00000000-0005-0000-0000-0000BE1A0000}"/>
    <cellStyle name="Финансовый 2 3 3 2 2 6" xfId="681" xr:uid="{00000000-0005-0000-0000-0000BF1A0000}"/>
    <cellStyle name="Финансовый 2 3 3 2 2 6 2" xfId="6721" xr:uid="{00000000-0005-0000-0000-0000C01A0000}"/>
    <cellStyle name="Финансовый 2 3 3 2 2 6 2 2" xfId="15364" xr:uid="{00000000-0005-0000-0000-0000C11A0000}"/>
    <cellStyle name="Финансовый 2 3 3 2 2 6 3" xfId="9328" xr:uid="{00000000-0005-0000-0000-0000C21A0000}"/>
    <cellStyle name="Финансовый 2 3 3 2 2 7" xfId="2870" xr:uid="{00000000-0005-0000-0000-0000C31A0000}"/>
    <cellStyle name="Финансовый 2 3 3 2 2 7 2" xfId="11515" xr:uid="{00000000-0005-0000-0000-0000C41A0000}"/>
    <cellStyle name="Финансовый 2 3 3 2 2 8" xfId="4514" xr:uid="{00000000-0005-0000-0000-0000C51A0000}"/>
    <cellStyle name="Финансовый 2 3 3 2 2 8 2" xfId="13159" xr:uid="{00000000-0005-0000-0000-0000C61A0000}"/>
    <cellStyle name="Финансовый 2 3 3 2 2 9" xfId="6301" xr:uid="{00000000-0005-0000-0000-0000C71A0000}"/>
    <cellStyle name="Финансовый 2 3 3 2 2 9 2" xfId="14944" xr:uid="{00000000-0005-0000-0000-0000C81A0000}"/>
    <cellStyle name="Финансовый 2 3 3 2 3" xfId="409" xr:uid="{00000000-0005-0000-0000-0000C91A0000}"/>
    <cellStyle name="Финансовый 2 3 3 2 3 2" xfId="2188" xr:uid="{00000000-0005-0000-0000-0000CA1A0000}"/>
    <cellStyle name="Финансовый 2 3 3 2 3 2 2" xfId="3833" xr:uid="{00000000-0005-0000-0000-0000CB1A0000}"/>
    <cellStyle name="Финансовый 2 3 3 2 3 2 2 2" xfId="12478" xr:uid="{00000000-0005-0000-0000-0000CC1A0000}"/>
    <cellStyle name="Финансовый 2 3 3 2 3 2 3" xfId="5616" xr:uid="{00000000-0005-0000-0000-0000CD1A0000}"/>
    <cellStyle name="Финансовый 2 3 3 2 3 2 3 2" xfId="14259" xr:uid="{00000000-0005-0000-0000-0000CE1A0000}"/>
    <cellStyle name="Финансовый 2 3 3 2 3 2 4" xfId="8226" xr:uid="{00000000-0005-0000-0000-0000CF1A0000}"/>
    <cellStyle name="Финансовый 2 3 3 2 3 2 4 2" xfId="16869" xr:uid="{00000000-0005-0000-0000-0000D01A0000}"/>
    <cellStyle name="Финансовый 2 3 3 2 3 2 5" xfId="10833" xr:uid="{00000000-0005-0000-0000-0000D11A0000}"/>
    <cellStyle name="Финансовый 2 3 3 2 3 3" xfId="1222" xr:uid="{00000000-0005-0000-0000-0000D21A0000}"/>
    <cellStyle name="Финансовый 2 3 3 2 3 3 2" xfId="7262" xr:uid="{00000000-0005-0000-0000-0000D31A0000}"/>
    <cellStyle name="Финансовый 2 3 3 2 3 3 2 2" xfId="15905" xr:uid="{00000000-0005-0000-0000-0000D41A0000}"/>
    <cellStyle name="Финансовый 2 3 3 2 3 3 3" xfId="9869" xr:uid="{00000000-0005-0000-0000-0000D51A0000}"/>
    <cellStyle name="Финансовый 2 3 3 2 3 4" xfId="829" xr:uid="{00000000-0005-0000-0000-0000D61A0000}"/>
    <cellStyle name="Финансовый 2 3 3 2 3 4 2" xfId="6869" xr:uid="{00000000-0005-0000-0000-0000D71A0000}"/>
    <cellStyle name="Финансовый 2 3 3 2 3 4 2 2" xfId="15512" xr:uid="{00000000-0005-0000-0000-0000D81A0000}"/>
    <cellStyle name="Финансовый 2 3 3 2 3 4 3" xfId="9476" xr:uid="{00000000-0005-0000-0000-0000D91A0000}"/>
    <cellStyle name="Финансовый 2 3 3 2 3 5" xfId="3006" xr:uid="{00000000-0005-0000-0000-0000DA1A0000}"/>
    <cellStyle name="Финансовый 2 3 3 2 3 5 2" xfId="11651" xr:uid="{00000000-0005-0000-0000-0000DB1A0000}"/>
    <cellStyle name="Финансовый 2 3 3 2 3 6" xfId="4650" xr:uid="{00000000-0005-0000-0000-0000DC1A0000}"/>
    <cellStyle name="Финансовый 2 3 3 2 3 6 2" xfId="13295" xr:uid="{00000000-0005-0000-0000-0000DD1A0000}"/>
    <cellStyle name="Финансовый 2 3 3 2 3 7" xfId="6449" xr:uid="{00000000-0005-0000-0000-0000DE1A0000}"/>
    <cellStyle name="Финансовый 2 3 3 2 3 7 2" xfId="15092" xr:uid="{00000000-0005-0000-0000-0000DF1A0000}"/>
    <cellStyle name="Финансовый 2 3 3 2 3 8" xfId="9056" xr:uid="{00000000-0005-0000-0000-0000E01A0000}"/>
    <cellStyle name="Финансовый 2 3 3 2 4" xfId="1488" xr:uid="{00000000-0005-0000-0000-0000E11A0000}"/>
    <cellStyle name="Финансовый 2 3 3 2 4 2" xfId="1932" xr:uid="{00000000-0005-0000-0000-0000E21A0000}"/>
    <cellStyle name="Финансовый 2 3 3 2 4 2 2" xfId="3577" xr:uid="{00000000-0005-0000-0000-0000E31A0000}"/>
    <cellStyle name="Финансовый 2 3 3 2 4 2 2 2" xfId="12222" xr:uid="{00000000-0005-0000-0000-0000E41A0000}"/>
    <cellStyle name="Финансовый 2 3 3 2 4 2 3" xfId="5360" xr:uid="{00000000-0005-0000-0000-0000E51A0000}"/>
    <cellStyle name="Финансовый 2 3 3 2 4 2 3 2" xfId="14003" xr:uid="{00000000-0005-0000-0000-0000E61A0000}"/>
    <cellStyle name="Финансовый 2 3 3 2 4 2 4" xfId="7970" xr:uid="{00000000-0005-0000-0000-0000E71A0000}"/>
    <cellStyle name="Финансовый 2 3 3 2 4 2 4 2" xfId="16613" xr:uid="{00000000-0005-0000-0000-0000E81A0000}"/>
    <cellStyle name="Финансовый 2 3 3 2 4 2 5" xfId="10577" xr:uid="{00000000-0005-0000-0000-0000E91A0000}"/>
    <cellStyle name="Финансовый 2 3 3 2 4 3" xfId="4916" xr:uid="{00000000-0005-0000-0000-0000EA1A0000}"/>
    <cellStyle name="Финансовый 2 3 3 2 4 3 2" xfId="13559" xr:uid="{00000000-0005-0000-0000-0000EB1A0000}"/>
    <cellStyle name="Финансовый 2 3 3 2 4 4" xfId="7526" xr:uid="{00000000-0005-0000-0000-0000EC1A0000}"/>
    <cellStyle name="Финансовый 2 3 3 2 4 4 2" xfId="16169" xr:uid="{00000000-0005-0000-0000-0000ED1A0000}"/>
    <cellStyle name="Финансовый 2 3 3 2 4 5" xfId="10133" xr:uid="{00000000-0005-0000-0000-0000EE1A0000}"/>
    <cellStyle name="Финансовый 2 3 3 2 5" xfId="1808" xr:uid="{00000000-0005-0000-0000-0000EF1A0000}"/>
    <cellStyle name="Финансовый 2 3 3 2 5 2" xfId="3453" xr:uid="{00000000-0005-0000-0000-0000F01A0000}"/>
    <cellStyle name="Финансовый 2 3 3 2 5 2 2" xfId="12098" xr:uid="{00000000-0005-0000-0000-0000F11A0000}"/>
    <cellStyle name="Финансовый 2 3 3 2 5 3" xfId="5236" xr:uid="{00000000-0005-0000-0000-0000F21A0000}"/>
    <cellStyle name="Финансовый 2 3 3 2 5 3 2" xfId="13879" xr:uid="{00000000-0005-0000-0000-0000F31A0000}"/>
    <cellStyle name="Финансовый 2 3 3 2 5 4" xfId="7846" xr:uid="{00000000-0005-0000-0000-0000F41A0000}"/>
    <cellStyle name="Финансовый 2 3 3 2 5 4 2" xfId="16489" xr:uid="{00000000-0005-0000-0000-0000F51A0000}"/>
    <cellStyle name="Финансовый 2 3 3 2 5 5" xfId="10453" xr:uid="{00000000-0005-0000-0000-0000F61A0000}"/>
    <cellStyle name="Финансовый 2 3 3 2 6" xfId="2453" xr:uid="{00000000-0005-0000-0000-0000F71A0000}"/>
    <cellStyle name="Финансовый 2 3 3 2 6 2" xfId="4098" xr:uid="{00000000-0005-0000-0000-0000F81A0000}"/>
    <cellStyle name="Финансовый 2 3 3 2 6 2 2" xfId="12743" xr:uid="{00000000-0005-0000-0000-0000F91A0000}"/>
    <cellStyle name="Финансовый 2 3 3 2 6 3" xfId="5881" xr:uid="{00000000-0005-0000-0000-0000FA1A0000}"/>
    <cellStyle name="Финансовый 2 3 3 2 6 3 2" xfId="14524" xr:uid="{00000000-0005-0000-0000-0000FB1A0000}"/>
    <cellStyle name="Финансовый 2 3 3 2 6 4" xfId="8491" xr:uid="{00000000-0005-0000-0000-0000FC1A0000}"/>
    <cellStyle name="Финансовый 2 3 3 2 6 4 2" xfId="17134" xr:uid="{00000000-0005-0000-0000-0000FD1A0000}"/>
    <cellStyle name="Финансовый 2 3 3 2 6 5" xfId="11098" xr:uid="{00000000-0005-0000-0000-0000FE1A0000}"/>
    <cellStyle name="Финансовый 2 3 3 2 7" xfId="1680" xr:uid="{00000000-0005-0000-0000-0000FF1A0000}"/>
    <cellStyle name="Финансовый 2 3 3 2 7 2" xfId="3325" xr:uid="{00000000-0005-0000-0000-0000001B0000}"/>
    <cellStyle name="Финансовый 2 3 3 2 7 2 2" xfId="11970" xr:uid="{00000000-0005-0000-0000-0000011B0000}"/>
    <cellStyle name="Финансовый 2 3 3 2 7 3" xfId="5108" xr:uid="{00000000-0005-0000-0000-0000021B0000}"/>
    <cellStyle name="Финансовый 2 3 3 2 7 3 2" xfId="13751" xr:uid="{00000000-0005-0000-0000-0000031B0000}"/>
    <cellStyle name="Финансовый 2 3 3 2 7 4" xfId="7718" xr:uid="{00000000-0005-0000-0000-0000041B0000}"/>
    <cellStyle name="Финансовый 2 3 3 2 7 4 2" xfId="16361" xr:uid="{00000000-0005-0000-0000-0000051B0000}"/>
    <cellStyle name="Финансовый 2 3 3 2 7 5" xfId="10325" xr:uid="{00000000-0005-0000-0000-0000061B0000}"/>
    <cellStyle name="Финансовый 2 3 3 2 8" xfId="957" xr:uid="{00000000-0005-0000-0000-0000071B0000}"/>
    <cellStyle name="Финансовый 2 3 3 2 8 2" xfId="6997" xr:uid="{00000000-0005-0000-0000-0000081B0000}"/>
    <cellStyle name="Финансовый 2 3 3 2 8 2 2" xfId="15640" xr:uid="{00000000-0005-0000-0000-0000091B0000}"/>
    <cellStyle name="Финансовый 2 3 3 2 8 3" xfId="9604" xr:uid="{00000000-0005-0000-0000-00000A1B0000}"/>
    <cellStyle name="Финансовый 2 3 3 2 9" xfId="545" xr:uid="{00000000-0005-0000-0000-00000B1B0000}"/>
    <cellStyle name="Финансовый 2 3 3 2 9 2" xfId="6585" xr:uid="{00000000-0005-0000-0000-00000C1B0000}"/>
    <cellStyle name="Финансовый 2 3 3 2 9 2 2" xfId="15228" xr:uid="{00000000-0005-0000-0000-00000D1B0000}"/>
    <cellStyle name="Финансовый 2 3 3 2 9 3" xfId="9192" xr:uid="{00000000-0005-0000-0000-00000E1B0000}"/>
    <cellStyle name="Финансовый 2 3 3 3" xfId="88" xr:uid="{00000000-0005-0000-0000-00000F1B0000}"/>
    <cellStyle name="Финансовый 2 3 3 3 10" xfId="2698" xr:uid="{00000000-0005-0000-0000-0000101B0000}"/>
    <cellStyle name="Финансовый 2 3 3 3 10 2" xfId="11343" xr:uid="{00000000-0005-0000-0000-0000111B0000}"/>
    <cellStyle name="Финансовый 2 3 3 3 11" xfId="4342" xr:uid="{00000000-0005-0000-0000-0000121B0000}"/>
    <cellStyle name="Финансовый 2 3 3 3 11 2" xfId="12987" xr:uid="{00000000-0005-0000-0000-0000131B0000}"/>
    <cellStyle name="Финансовый 2 3 3 3 12" xfId="6129" xr:uid="{00000000-0005-0000-0000-0000141B0000}"/>
    <cellStyle name="Финансовый 2 3 3 3 12 2" xfId="14772" xr:uid="{00000000-0005-0000-0000-0000151B0000}"/>
    <cellStyle name="Финансовый 2 3 3 3 13" xfId="8736" xr:uid="{00000000-0005-0000-0000-0000161B0000}"/>
    <cellStyle name="Финансовый 2 3 3 3 2" xfId="224" xr:uid="{00000000-0005-0000-0000-0000171B0000}"/>
    <cellStyle name="Финансовый 2 3 3 3 2 10" xfId="8872" xr:uid="{00000000-0005-0000-0000-0000181B0000}"/>
    <cellStyle name="Финансовый 2 3 3 3 2 2" xfId="1322" xr:uid="{00000000-0005-0000-0000-0000191B0000}"/>
    <cellStyle name="Финансовый 2 3 3 3 2 2 2" xfId="2280" xr:uid="{00000000-0005-0000-0000-00001A1B0000}"/>
    <cellStyle name="Финансовый 2 3 3 3 2 2 2 2" xfId="3925" xr:uid="{00000000-0005-0000-0000-00001B1B0000}"/>
    <cellStyle name="Финансовый 2 3 3 3 2 2 2 2 2" xfId="12570" xr:uid="{00000000-0005-0000-0000-00001C1B0000}"/>
    <cellStyle name="Финансовый 2 3 3 3 2 2 2 3" xfId="5708" xr:uid="{00000000-0005-0000-0000-00001D1B0000}"/>
    <cellStyle name="Финансовый 2 3 3 3 2 2 2 3 2" xfId="14351" xr:uid="{00000000-0005-0000-0000-00001E1B0000}"/>
    <cellStyle name="Финансовый 2 3 3 3 2 2 2 4" xfId="8318" xr:uid="{00000000-0005-0000-0000-00001F1B0000}"/>
    <cellStyle name="Финансовый 2 3 3 3 2 2 2 4 2" xfId="16961" xr:uid="{00000000-0005-0000-0000-0000201B0000}"/>
    <cellStyle name="Финансовый 2 3 3 3 2 2 2 5" xfId="10925" xr:uid="{00000000-0005-0000-0000-0000211B0000}"/>
    <cellStyle name="Финансовый 2 3 3 3 2 2 3" xfId="3106" xr:uid="{00000000-0005-0000-0000-0000221B0000}"/>
    <cellStyle name="Финансовый 2 3 3 3 2 2 3 2" xfId="11751" xr:uid="{00000000-0005-0000-0000-0000231B0000}"/>
    <cellStyle name="Финансовый 2 3 3 3 2 2 4" xfId="4750" xr:uid="{00000000-0005-0000-0000-0000241B0000}"/>
    <cellStyle name="Финансовый 2 3 3 3 2 2 4 2" xfId="13395" xr:uid="{00000000-0005-0000-0000-0000251B0000}"/>
    <cellStyle name="Финансовый 2 3 3 3 2 2 5" xfId="7362" xr:uid="{00000000-0005-0000-0000-0000261B0000}"/>
    <cellStyle name="Финансовый 2 3 3 3 2 2 5 2" xfId="16005" xr:uid="{00000000-0005-0000-0000-0000271B0000}"/>
    <cellStyle name="Финансовый 2 3 3 3 2 2 6" xfId="9969" xr:uid="{00000000-0005-0000-0000-0000281B0000}"/>
    <cellStyle name="Финансовый 2 3 3 3 2 3" xfId="2024" xr:uid="{00000000-0005-0000-0000-0000291B0000}"/>
    <cellStyle name="Финансовый 2 3 3 3 2 3 2" xfId="3669" xr:uid="{00000000-0005-0000-0000-00002A1B0000}"/>
    <cellStyle name="Финансовый 2 3 3 3 2 3 2 2" xfId="12314" xr:uid="{00000000-0005-0000-0000-00002B1B0000}"/>
    <cellStyle name="Финансовый 2 3 3 3 2 3 3" xfId="5452" xr:uid="{00000000-0005-0000-0000-00002C1B0000}"/>
    <cellStyle name="Финансовый 2 3 3 3 2 3 3 2" xfId="14095" xr:uid="{00000000-0005-0000-0000-00002D1B0000}"/>
    <cellStyle name="Финансовый 2 3 3 3 2 3 4" xfId="8062" xr:uid="{00000000-0005-0000-0000-00002E1B0000}"/>
    <cellStyle name="Финансовый 2 3 3 3 2 3 4 2" xfId="16705" xr:uid="{00000000-0005-0000-0000-00002F1B0000}"/>
    <cellStyle name="Финансовый 2 3 3 3 2 3 5" xfId="10669" xr:uid="{00000000-0005-0000-0000-0000301B0000}"/>
    <cellStyle name="Финансовый 2 3 3 3 2 4" xfId="2553" xr:uid="{00000000-0005-0000-0000-0000311B0000}"/>
    <cellStyle name="Финансовый 2 3 3 3 2 4 2" xfId="4198" xr:uid="{00000000-0005-0000-0000-0000321B0000}"/>
    <cellStyle name="Финансовый 2 3 3 3 2 4 2 2" xfId="12843" xr:uid="{00000000-0005-0000-0000-0000331B0000}"/>
    <cellStyle name="Финансовый 2 3 3 3 2 4 3" xfId="5981" xr:uid="{00000000-0005-0000-0000-0000341B0000}"/>
    <cellStyle name="Финансовый 2 3 3 3 2 4 3 2" xfId="14624" xr:uid="{00000000-0005-0000-0000-0000351B0000}"/>
    <cellStyle name="Финансовый 2 3 3 3 2 4 4" xfId="8591" xr:uid="{00000000-0005-0000-0000-0000361B0000}"/>
    <cellStyle name="Финансовый 2 3 3 3 2 4 4 2" xfId="17234" xr:uid="{00000000-0005-0000-0000-0000371B0000}"/>
    <cellStyle name="Финансовый 2 3 3 3 2 4 5" xfId="11198" xr:uid="{00000000-0005-0000-0000-0000381B0000}"/>
    <cellStyle name="Финансовый 2 3 3 3 2 5" xfId="1057" xr:uid="{00000000-0005-0000-0000-0000391B0000}"/>
    <cellStyle name="Финансовый 2 3 3 3 2 5 2" xfId="7097" xr:uid="{00000000-0005-0000-0000-00003A1B0000}"/>
    <cellStyle name="Финансовый 2 3 3 3 2 5 2 2" xfId="15740" xr:uid="{00000000-0005-0000-0000-00003B1B0000}"/>
    <cellStyle name="Финансовый 2 3 3 3 2 5 3" xfId="9704" xr:uid="{00000000-0005-0000-0000-00003C1B0000}"/>
    <cellStyle name="Финансовый 2 3 3 3 2 6" xfId="645" xr:uid="{00000000-0005-0000-0000-00003D1B0000}"/>
    <cellStyle name="Финансовый 2 3 3 3 2 6 2" xfId="6685" xr:uid="{00000000-0005-0000-0000-00003E1B0000}"/>
    <cellStyle name="Финансовый 2 3 3 3 2 6 2 2" xfId="15328" xr:uid="{00000000-0005-0000-0000-00003F1B0000}"/>
    <cellStyle name="Финансовый 2 3 3 3 2 6 3" xfId="9292" xr:uid="{00000000-0005-0000-0000-0000401B0000}"/>
    <cellStyle name="Финансовый 2 3 3 3 2 7" xfId="2834" xr:uid="{00000000-0005-0000-0000-0000411B0000}"/>
    <cellStyle name="Финансовый 2 3 3 3 2 7 2" xfId="11479" xr:uid="{00000000-0005-0000-0000-0000421B0000}"/>
    <cellStyle name="Финансовый 2 3 3 3 2 8" xfId="4478" xr:uid="{00000000-0005-0000-0000-0000431B0000}"/>
    <cellStyle name="Финансовый 2 3 3 3 2 8 2" xfId="13123" xr:uid="{00000000-0005-0000-0000-0000441B0000}"/>
    <cellStyle name="Финансовый 2 3 3 3 2 9" xfId="6265" xr:uid="{00000000-0005-0000-0000-0000451B0000}"/>
    <cellStyle name="Финансовый 2 3 3 3 2 9 2" xfId="14908" xr:uid="{00000000-0005-0000-0000-0000461B0000}"/>
    <cellStyle name="Финансовый 2 3 3 3 3" xfId="373" xr:uid="{00000000-0005-0000-0000-0000471B0000}"/>
    <cellStyle name="Финансовый 2 3 3 3 3 2" xfId="2152" xr:uid="{00000000-0005-0000-0000-0000481B0000}"/>
    <cellStyle name="Финансовый 2 3 3 3 3 2 2" xfId="3797" xr:uid="{00000000-0005-0000-0000-0000491B0000}"/>
    <cellStyle name="Финансовый 2 3 3 3 3 2 2 2" xfId="12442" xr:uid="{00000000-0005-0000-0000-00004A1B0000}"/>
    <cellStyle name="Финансовый 2 3 3 3 3 2 3" xfId="5580" xr:uid="{00000000-0005-0000-0000-00004B1B0000}"/>
    <cellStyle name="Финансовый 2 3 3 3 3 2 3 2" xfId="14223" xr:uid="{00000000-0005-0000-0000-00004C1B0000}"/>
    <cellStyle name="Финансовый 2 3 3 3 3 2 4" xfId="8190" xr:uid="{00000000-0005-0000-0000-00004D1B0000}"/>
    <cellStyle name="Финансовый 2 3 3 3 3 2 4 2" xfId="16833" xr:uid="{00000000-0005-0000-0000-00004E1B0000}"/>
    <cellStyle name="Финансовый 2 3 3 3 3 2 5" xfId="10797" xr:uid="{00000000-0005-0000-0000-00004F1B0000}"/>
    <cellStyle name="Финансовый 2 3 3 3 3 3" xfId="1186" xr:uid="{00000000-0005-0000-0000-0000501B0000}"/>
    <cellStyle name="Финансовый 2 3 3 3 3 3 2" xfId="7226" xr:uid="{00000000-0005-0000-0000-0000511B0000}"/>
    <cellStyle name="Финансовый 2 3 3 3 3 3 2 2" xfId="15869" xr:uid="{00000000-0005-0000-0000-0000521B0000}"/>
    <cellStyle name="Финансовый 2 3 3 3 3 3 3" xfId="9833" xr:uid="{00000000-0005-0000-0000-0000531B0000}"/>
    <cellStyle name="Финансовый 2 3 3 3 3 4" xfId="793" xr:uid="{00000000-0005-0000-0000-0000541B0000}"/>
    <cellStyle name="Финансовый 2 3 3 3 3 4 2" xfId="6833" xr:uid="{00000000-0005-0000-0000-0000551B0000}"/>
    <cellStyle name="Финансовый 2 3 3 3 3 4 2 2" xfId="15476" xr:uid="{00000000-0005-0000-0000-0000561B0000}"/>
    <cellStyle name="Финансовый 2 3 3 3 3 4 3" xfId="9440" xr:uid="{00000000-0005-0000-0000-0000571B0000}"/>
    <cellStyle name="Финансовый 2 3 3 3 3 5" xfId="2970" xr:uid="{00000000-0005-0000-0000-0000581B0000}"/>
    <cellStyle name="Финансовый 2 3 3 3 3 5 2" xfId="11615" xr:uid="{00000000-0005-0000-0000-0000591B0000}"/>
    <cellStyle name="Финансовый 2 3 3 3 3 6" xfId="4614" xr:uid="{00000000-0005-0000-0000-00005A1B0000}"/>
    <cellStyle name="Финансовый 2 3 3 3 3 6 2" xfId="13259" xr:uid="{00000000-0005-0000-0000-00005B1B0000}"/>
    <cellStyle name="Финансовый 2 3 3 3 3 7" xfId="6413" xr:uid="{00000000-0005-0000-0000-00005C1B0000}"/>
    <cellStyle name="Финансовый 2 3 3 3 3 7 2" xfId="15056" xr:uid="{00000000-0005-0000-0000-00005D1B0000}"/>
    <cellStyle name="Финансовый 2 3 3 3 3 8" xfId="9020" xr:uid="{00000000-0005-0000-0000-00005E1B0000}"/>
    <cellStyle name="Финансовый 2 3 3 3 4" xfId="1489" xr:uid="{00000000-0005-0000-0000-00005F1B0000}"/>
    <cellStyle name="Финансовый 2 3 3 3 4 2" xfId="1896" xr:uid="{00000000-0005-0000-0000-0000601B0000}"/>
    <cellStyle name="Финансовый 2 3 3 3 4 2 2" xfId="3541" xr:uid="{00000000-0005-0000-0000-0000611B0000}"/>
    <cellStyle name="Финансовый 2 3 3 3 4 2 2 2" xfId="12186" xr:uid="{00000000-0005-0000-0000-0000621B0000}"/>
    <cellStyle name="Финансовый 2 3 3 3 4 2 3" xfId="5324" xr:uid="{00000000-0005-0000-0000-0000631B0000}"/>
    <cellStyle name="Финансовый 2 3 3 3 4 2 3 2" xfId="13967" xr:uid="{00000000-0005-0000-0000-0000641B0000}"/>
    <cellStyle name="Финансовый 2 3 3 3 4 2 4" xfId="7934" xr:uid="{00000000-0005-0000-0000-0000651B0000}"/>
    <cellStyle name="Финансовый 2 3 3 3 4 2 4 2" xfId="16577" xr:uid="{00000000-0005-0000-0000-0000661B0000}"/>
    <cellStyle name="Финансовый 2 3 3 3 4 2 5" xfId="10541" xr:uid="{00000000-0005-0000-0000-0000671B0000}"/>
    <cellStyle name="Финансовый 2 3 3 3 4 3" xfId="4917" xr:uid="{00000000-0005-0000-0000-0000681B0000}"/>
    <cellStyle name="Финансовый 2 3 3 3 4 3 2" xfId="13560" xr:uid="{00000000-0005-0000-0000-0000691B0000}"/>
    <cellStyle name="Финансовый 2 3 3 3 4 4" xfId="7527" xr:uid="{00000000-0005-0000-0000-00006A1B0000}"/>
    <cellStyle name="Финансовый 2 3 3 3 4 4 2" xfId="16170" xr:uid="{00000000-0005-0000-0000-00006B1B0000}"/>
    <cellStyle name="Финансовый 2 3 3 3 4 5" xfId="10134" xr:uid="{00000000-0005-0000-0000-00006C1B0000}"/>
    <cellStyle name="Финансовый 2 3 3 3 5" xfId="1772" xr:uid="{00000000-0005-0000-0000-00006D1B0000}"/>
    <cellStyle name="Финансовый 2 3 3 3 5 2" xfId="3417" xr:uid="{00000000-0005-0000-0000-00006E1B0000}"/>
    <cellStyle name="Финансовый 2 3 3 3 5 2 2" xfId="12062" xr:uid="{00000000-0005-0000-0000-00006F1B0000}"/>
    <cellStyle name="Финансовый 2 3 3 3 5 3" xfId="5200" xr:uid="{00000000-0005-0000-0000-0000701B0000}"/>
    <cellStyle name="Финансовый 2 3 3 3 5 3 2" xfId="13843" xr:uid="{00000000-0005-0000-0000-0000711B0000}"/>
    <cellStyle name="Финансовый 2 3 3 3 5 4" xfId="7810" xr:uid="{00000000-0005-0000-0000-0000721B0000}"/>
    <cellStyle name="Финансовый 2 3 3 3 5 4 2" xfId="16453" xr:uid="{00000000-0005-0000-0000-0000731B0000}"/>
    <cellStyle name="Финансовый 2 3 3 3 5 5" xfId="10417" xr:uid="{00000000-0005-0000-0000-0000741B0000}"/>
    <cellStyle name="Финансовый 2 3 3 3 6" xfId="2417" xr:uid="{00000000-0005-0000-0000-0000751B0000}"/>
    <cellStyle name="Финансовый 2 3 3 3 6 2" xfId="4062" xr:uid="{00000000-0005-0000-0000-0000761B0000}"/>
    <cellStyle name="Финансовый 2 3 3 3 6 2 2" xfId="12707" xr:uid="{00000000-0005-0000-0000-0000771B0000}"/>
    <cellStyle name="Финансовый 2 3 3 3 6 3" xfId="5845" xr:uid="{00000000-0005-0000-0000-0000781B0000}"/>
    <cellStyle name="Финансовый 2 3 3 3 6 3 2" xfId="14488" xr:uid="{00000000-0005-0000-0000-0000791B0000}"/>
    <cellStyle name="Финансовый 2 3 3 3 6 4" xfId="8455" xr:uid="{00000000-0005-0000-0000-00007A1B0000}"/>
    <cellStyle name="Финансовый 2 3 3 3 6 4 2" xfId="17098" xr:uid="{00000000-0005-0000-0000-00007B1B0000}"/>
    <cellStyle name="Финансовый 2 3 3 3 6 5" xfId="11062" xr:uid="{00000000-0005-0000-0000-00007C1B0000}"/>
    <cellStyle name="Финансовый 2 3 3 3 7" xfId="1644" xr:uid="{00000000-0005-0000-0000-00007D1B0000}"/>
    <cellStyle name="Финансовый 2 3 3 3 7 2" xfId="3289" xr:uid="{00000000-0005-0000-0000-00007E1B0000}"/>
    <cellStyle name="Финансовый 2 3 3 3 7 2 2" xfId="11934" xr:uid="{00000000-0005-0000-0000-00007F1B0000}"/>
    <cellStyle name="Финансовый 2 3 3 3 7 3" xfId="5072" xr:uid="{00000000-0005-0000-0000-0000801B0000}"/>
    <cellStyle name="Финансовый 2 3 3 3 7 3 2" xfId="13715" xr:uid="{00000000-0005-0000-0000-0000811B0000}"/>
    <cellStyle name="Финансовый 2 3 3 3 7 4" xfId="7682" xr:uid="{00000000-0005-0000-0000-0000821B0000}"/>
    <cellStyle name="Финансовый 2 3 3 3 7 4 2" xfId="16325" xr:uid="{00000000-0005-0000-0000-0000831B0000}"/>
    <cellStyle name="Финансовый 2 3 3 3 7 5" xfId="10289" xr:uid="{00000000-0005-0000-0000-0000841B0000}"/>
    <cellStyle name="Финансовый 2 3 3 3 8" xfId="921" xr:uid="{00000000-0005-0000-0000-0000851B0000}"/>
    <cellStyle name="Финансовый 2 3 3 3 8 2" xfId="6961" xr:uid="{00000000-0005-0000-0000-0000861B0000}"/>
    <cellStyle name="Финансовый 2 3 3 3 8 2 2" xfId="15604" xr:uid="{00000000-0005-0000-0000-0000871B0000}"/>
    <cellStyle name="Финансовый 2 3 3 3 8 3" xfId="9568" xr:uid="{00000000-0005-0000-0000-0000881B0000}"/>
    <cellStyle name="Финансовый 2 3 3 3 9" xfId="509" xr:uid="{00000000-0005-0000-0000-0000891B0000}"/>
    <cellStyle name="Финансовый 2 3 3 3 9 2" xfId="6549" xr:uid="{00000000-0005-0000-0000-00008A1B0000}"/>
    <cellStyle name="Финансовый 2 3 3 3 9 2 2" xfId="15192" xr:uid="{00000000-0005-0000-0000-00008B1B0000}"/>
    <cellStyle name="Финансовый 2 3 3 3 9 3" xfId="9156" xr:uid="{00000000-0005-0000-0000-00008C1B0000}"/>
    <cellStyle name="Финансовый 2 3 3 4" xfId="180" xr:uid="{00000000-0005-0000-0000-00008D1B0000}"/>
    <cellStyle name="Финансовый 2 3 3 4 10" xfId="8828" xr:uid="{00000000-0005-0000-0000-00008E1B0000}"/>
    <cellStyle name="Финансовый 2 3 3 4 2" xfId="1278" xr:uid="{00000000-0005-0000-0000-00008F1B0000}"/>
    <cellStyle name="Финансовый 2 3 3 4 2 2" xfId="2244" xr:uid="{00000000-0005-0000-0000-0000901B0000}"/>
    <cellStyle name="Финансовый 2 3 3 4 2 2 2" xfId="3889" xr:uid="{00000000-0005-0000-0000-0000911B0000}"/>
    <cellStyle name="Финансовый 2 3 3 4 2 2 2 2" xfId="12534" xr:uid="{00000000-0005-0000-0000-0000921B0000}"/>
    <cellStyle name="Финансовый 2 3 3 4 2 2 3" xfId="5672" xr:uid="{00000000-0005-0000-0000-0000931B0000}"/>
    <cellStyle name="Финансовый 2 3 3 4 2 2 3 2" xfId="14315" xr:uid="{00000000-0005-0000-0000-0000941B0000}"/>
    <cellStyle name="Финансовый 2 3 3 4 2 2 4" xfId="8282" xr:uid="{00000000-0005-0000-0000-0000951B0000}"/>
    <cellStyle name="Финансовый 2 3 3 4 2 2 4 2" xfId="16925" xr:uid="{00000000-0005-0000-0000-0000961B0000}"/>
    <cellStyle name="Финансовый 2 3 3 4 2 2 5" xfId="10889" xr:uid="{00000000-0005-0000-0000-0000971B0000}"/>
    <cellStyle name="Финансовый 2 3 3 4 2 3" xfId="3062" xr:uid="{00000000-0005-0000-0000-0000981B0000}"/>
    <cellStyle name="Финансовый 2 3 3 4 2 3 2" xfId="11707" xr:uid="{00000000-0005-0000-0000-0000991B0000}"/>
    <cellStyle name="Финансовый 2 3 3 4 2 4" xfId="4706" xr:uid="{00000000-0005-0000-0000-00009A1B0000}"/>
    <cellStyle name="Финансовый 2 3 3 4 2 4 2" xfId="13351" xr:uid="{00000000-0005-0000-0000-00009B1B0000}"/>
    <cellStyle name="Финансовый 2 3 3 4 2 5" xfId="7318" xr:uid="{00000000-0005-0000-0000-00009C1B0000}"/>
    <cellStyle name="Финансовый 2 3 3 4 2 5 2" xfId="15961" xr:uid="{00000000-0005-0000-0000-00009D1B0000}"/>
    <cellStyle name="Финансовый 2 3 3 4 2 6" xfId="9925" xr:uid="{00000000-0005-0000-0000-00009E1B0000}"/>
    <cellStyle name="Финансовый 2 3 3 4 3" xfId="1988" xr:uid="{00000000-0005-0000-0000-00009F1B0000}"/>
    <cellStyle name="Финансовый 2 3 3 4 3 2" xfId="3633" xr:uid="{00000000-0005-0000-0000-0000A01B0000}"/>
    <cellStyle name="Финансовый 2 3 3 4 3 2 2" xfId="12278" xr:uid="{00000000-0005-0000-0000-0000A11B0000}"/>
    <cellStyle name="Финансовый 2 3 3 4 3 3" xfId="5416" xr:uid="{00000000-0005-0000-0000-0000A21B0000}"/>
    <cellStyle name="Финансовый 2 3 3 4 3 3 2" xfId="14059" xr:uid="{00000000-0005-0000-0000-0000A31B0000}"/>
    <cellStyle name="Финансовый 2 3 3 4 3 4" xfId="8026" xr:uid="{00000000-0005-0000-0000-0000A41B0000}"/>
    <cellStyle name="Финансовый 2 3 3 4 3 4 2" xfId="16669" xr:uid="{00000000-0005-0000-0000-0000A51B0000}"/>
    <cellStyle name="Финансовый 2 3 3 4 3 5" xfId="10633" xr:uid="{00000000-0005-0000-0000-0000A61B0000}"/>
    <cellStyle name="Финансовый 2 3 3 4 4" xfId="2509" xr:uid="{00000000-0005-0000-0000-0000A71B0000}"/>
    <cellStyle name="Финансовый 2 3 3 4 4 2" xfId="4154" xr:uid="{00000000-0005-0000-0000-0000A81B0000}"/>
    <cellStyle name="Финансовый 2 3 3 4 4 2 2" xfId="12799" xr:uid="{00000000-0005-0000-0000-0000A91B0000}"/>
    <cellStyle name="Финансовый 2 3 3 4 4 3" xfId="5937" xr:uid="{00000000-0005-0000-0000-0000AA1B0000}"/>
    <cellStyle name="Финансовый 2 3 3 4 4 3 2" xfId="14580" xr:uid="{00000000-0005-0000-0000-0000AB1B0000}"/>
    <cellStyle name="Финансовый 2 3 3 4 4 4" xfId="8547" xr:uid="{00000000-0005-0000-0000-0000AC1B0000}"/>
    <cellStyle name="Финансовый 2 3 3 4 4 4 2" xfId="17190" xr:uid="{00000000-0005-0000-0000-0000AD1B0000}"/>
    <cellStyle name="Финансовый 2 3 3 4 4 5" xfId="11154" xr:uid="{00000000-0005-0000-0000-0000AE1B0000}"/>
    <cellStyle name="Финансовый 2 3 3 4 5" xfId="1013" xr:uid="{00000000-0005-0000-0000-0000AF1B0000}"/>
    <cellStyle name="Финансовый 2 3 3 4 5 2" xfId="7053" xr:uid="{00000000-0005-0000-0000-0000B01B0000}"/>
    <cellStyle name="Финансовый 2 3 3 4 5 2 2" xfId="15696" xr:uid="{00000000-0005-0000-0000-0000B11B0000}"/>
    <cellStyle name="Финансовый 2 3 3 4 5 3" xfId="9660" xr:uid="{00000000-0005-0000-0000-0000B21B0000}"/>
    <cellStyle name="Финансовый 2 3 3 4 6" xfId="601" xr:uid="{00000000-0005-0000-0000-0000B31B0000}"/>
    <cellStyle name="Финансовый 2 3 3 4 6 2" xfId="6641" xr:uid="{00000000-0005-0000-0000-0000B41B0000}"/>
    <cellStyle name="Финансовый 2 3 3 4 6 2 2" xfId="15284" xr:uid="{00000000-0005-0000-0000-0000B51B0000}"/>
    <cellStyle name="Финансовый 2 3 3 4 6 3" xfId="9248" xr:uid="{00000000-0005-0000-0000-0000B61B0000}"/>
    <cellStyle name="Финансовый 2 3 3 4 7" xfId="2790" xr:uid="{00000000-0005-0000-0000-0000B71B0000}"/>
    <cellStyle name="Финансовый 2 3 3 4 7 2" xfId="11435" xr:uid="{00000000-0005-0000-0000-0000B81B0000}"/>
    <cellStyle name="Финансовый 2 3 3 4 8" xfId="4434" xr:uid="{00000000-0005-0000-0000-0000B91B0000}"/>
    <cellStyle name="Финансовый 2 3 3 4 8 2" xfId="13079" xr:uid="{00000000-0005-0000-0000-0000BA1B0000}"/>
    <cellStyle name="Финансовый 2 3 3 4 9" xfId="6221" xr:uid="{00000000-0005-0000-0000-0000BB1B0000}"/>
    <cellStyle name="Финансовый 2 3 3 4 9 2" xfId="14864" xr:uid="{00000000-0005-0000-0000-0000BC1B0000}"/>
    <cellStyle name="Финансовый 2 3 3 5" xfId="329" xr:uid="{00000000-0005-0000-0000-0000BD1B0000}"/>
    <cellStyle name="Финансовый 2 3 3 5 2" xfId="2116" xr:uid="{00000000-0005-0000-0000-0000BE1B0000}"/>
    <cellStyle name="Финансовый 2 3 3 5 2 2" xfId="3761" xr:uid="{00000000-0005-0000-0000-0000BF1B0000}"/>
    <cellStyle name="Финансовый 2 3 3 5 2 2 2" xfId="12406" xr:uid="{00000000-0005-0000-0000-0000C01B0000}"/>
    <cellStyle name="Финансовый 2 3 3 5 2 3" xfId="5544" xr:uid="{00000000-0005-0000-0000-0000C11B0000}"/>
    <cellStyle name="Финансовый 2 3 3 5 2 3 2" xfId="14187" xr:uid="{00000000-0005-0000-0000-0000C21B0000}"/>
    <cellStyle name="Финансовый 2 3 3 5 2 4" xfId="8154" xr:uid="{00000000-0005-0000-0000-0000C31B0000}"/>
    <cellStyle name="Финансовый 2 3 3 5 2 4 2" xfId="16797" xr:uid="{00000000-0005-0000-0000-0000C41B0000}"/>
    <cellStyle name="Финансовый 2 3 3 5 2 5" xfId="10761" xr:uid="{00000000-0005-0000-0000-0000C51B0000}"/>
    <cellStyle name="Финансовый 2 3 3 5 3" xfId="1149" xr:uid="{00000000-0005-0000-0000-0000C61B0000}"/>
    <cellStyle name="Финансовый 2 3 3 5 3 2" xfId="7189" xr:uid="{00000000-0005-0000-0000-0000C71B0000}"/>
    <cellStyle name="Финансовый 2 3 3 5 3 2 2" xfId="15832" xr:uid="{00000000-0005-0000-0000-0000C81B0000}"/>
    <cellStyle name="Финансовый 2 3 3 5 3 3" xfId="9796" xr:uid="{00000000-0005-0000-0000-0000C91B0000}"/>
    <cellStyle name="Финансовый 2 3 3 5 4" xfId="749" xr:uid="{00000000-0005-0000-0000-0000CA1B0000}"/>
    <cellStyle name="Финансовый 2 3 3 5 4 2" xfId="6789" xr:uid="{00000000-0005-0000-0000-0000CB1B0000}"/>
    <cellStyle name="Финансовый 2 3 3 5 4 2 2" xfId="15432" xr:uid="{00000000-0005-0000-0000-0000CC1B0000}"/>
    <cellStyle name="Финансовый 2 3 3 5 4 3" xfId="9396" xr:uid="{00000000-0005-0000-0000-0000CD1B0000}"/>
    <cellStyle name="Финансовый 2 3 3 5 5" xfId="2926" xr:uid="{00000000-0005-0000-0000-0000CE1B0000}"/>
    <cellStyle name="Финансовый 2 3 3 5 5 2" xfId="11571" xr:uid="{00000000-0005-0000-0000-0000CF1B0000}"/>
    <cellStyle name="Финансовый 2 3 3 5 6" xfId="4570" xr:uid="{00000000-0005-0000-0000-0000D01B0000}"/>
    <cellStyle name="Финансовый 2 3 3 5 6 2" xfId="13215" xr:uid="{00000000-0005-0000-0000-0000D11B0000}"/>
    <cellStyle name="Финансовый 2 3 3 5 7" xfId="6369" xr:uid="{00000000-0005-0000-0000-0000D21B0000}"/>
    <cellStyle name="Финансовый 2 3 3 5 7 2" xfId="15012" xr:uid="{00000000-0005-0000-0000-0000D31B0000}"/>
    <cellStyle name="Финансовый 2 3 3 5 8" xfId="8976" xr:uid="{00000000-0005-0000-0000-0000D41B0000}"/>
    <cellStyle name="Финансовый 2 3 3 6" xfId="1487" xr:uid="{00000000-0005-0000-0000-0000D51B0000}"/>
    <cellStyle name="Финансовый 2 3 3 6 2" xfId="1852" xr:uid="{00000000-0005-0000-0000-0000D61B0000}"/>
    <cellStyle name="Финансовый 2 3 3 6 2 2" xfId="3497" xr:uid="{00000000-0005-0000-0000-0000D71B0000}"/>
    <cellStyle name="Финансовый 2 3 3 6 2 2 2" xfId="12142" xr:uid="{00000000-0005-0000-0000-0000D81B0000}"/>
    <cellStyle name="Финансовый 2 3 3 6 2 3" xfId="5280" xr:uid="{00000000-0005-0000-0000-0000D91B0000}"/>
    <cellStyle name="Финансовый 2 3 3 6 2 3 2" xfId="13923" xr:uid="{00000000-0005-0000-0000-0000DA1B0000}"/>
    <cellStyle name="Финансовый 2 3 3 6 2 4" xfId="7890" xr:uid="{00000000-0005-0000-0000-0000DB1B0000}"/>
    <cellStyle name="Финансовый 2 3 3 6 2 4 2" xfId="16533" xr:uid="{00000000-0005-0000-0000-0000DC1B0000}"/>
    <cellStyle name="Финансовый 2 3 3 6 2 5" xfId="10497" xr:uid="{00000000-0005-0000-0000-0000DD1B0000}"/>
    <cellStyle name="Финансовый 2 3 3 6 3" xfId="4915" xr:uid="{00000000-0005-0000-0000-0000DE1B0000}"/>
    <cellStyle name="Финансовый 2 3 3 6 3 2" xfId="13558" xr:uid="{00000000-0005-0000-0000-0000DF1B0000}"/>
    <cellStyle name="Финансовый 2 3 3 6 4" xfId="7525" xr:uid="{00000000-0005-0000-0000-0000E01B0000}"/>
    <cellStyle name="Финансовый 2 3 3 6 4 2" xfId="16168" xr:uid="{00000000-0005-0000-0000-0000E11B0000}"/>
    <cellStyle name="Финансовый 2 3 3 6 5" xfId="10132" xr:uid="{00000000-0005-0000-0000-0000E21B0000}"/>
    <cellStyle name="Финансовый 2 3 3 7" xfId="1736" xr:uid="{00000000-0005-0000-0000-0000E31B0000}"/>
    <cellStyle name="Финансовый 2 3 3 7 2" xfId="3381" xr:uid="{00000000-0005-0000-0000-0000E41B0000}"/>
    <cellStyle name="Финансовый 2 3 3 7 2 2" xfId="12026" xr:uid="{00000000-0005-0000-0000-0000E51B0000}"/>
    <cellStyle name="Финансовый 2 3 3 7 3" xfId="5164" xr:uid="{00000000-0005-0000-0000-0000E61B0000}"/>
    <cellStyle name="Финансовый 2 3 3 7 3 2" xfId="13807" xr:uid="{00000000-0005-0000-0000-0000E71B0000}"/>
    <cellStyle name="Финансовый 2 3 3 7 4" xfId="7774" xr:uid="{00000000-0005-0000-0000-0000E81B0000}"/>
    <cellStyle name="Финансовый 2 3 3 7 4 2" xfId="16417" xr:uid="{00000000-0005-0000-0000-0000E91B0000}"/>
    <cellStyle name="Финансовый 2 3 3 7 5" xfId="10381" xr:uid="{00000000-0005-0000-0000-0000EA1B0000}"/>
    <cellStyle name="Финансовый 2 3 3 8" xfId="2372" xr:uid="{00000000-0005-0000-0000-0000EB1B0000}"/>
    <cellStyle name="Финансовый 2 3 3 8 2" xfId="4017" xr:uid="{00000000-0005-0000-0000-0000EC1B0000}"/>
    <cellStyle name="Финансовый 2 3 3 8 2 2" xfId="12662" xr:uid="{00000000-0005-0000-0000-0000ED1B0000}"/>
    <cellStyle name="Финансовый 2 3 3 8 3" xfId="5800" xr:uid="{00000000-0005-0000-0000-0000EE1B0000}"/>
    <cellStyle name="Финансовый 2 3 3 8 3 2" xfId="14443" xr:uid="{00000000-0005-0000-0000-0000EF1B0000}"/>
    <cellStyle name="Финансовый 2 3 3 8 4" xfId="8410" xr:uid="{00000000-0005-0000-0000-0000F01B0000}"/>
    <cellStyle name="Финансовый 2 3 3 8 4 2" xfId="17053" xr:uid="{00000000-0005-0000-0000-0000F11B0000}"/>
    <cellStyle name="Финансовый 2 3 3 8 5" xfId="11017" xr:uid="{00000000-0005-0000-0000-0000F21B0000}"/>
    <cellStyle name="Финансовый 2 3 3 9" xfId="1599" xr:uid="{00000000-0005-0000-0000-0000F31B0000}"/>
    <cellStyle name="Финансовый 2 3 3 9 2" xfId="3244" xr:uid="{00000000-0005-0000-0000-0000F41B0000}"/>
    <cellStyle name="Финансовый 2 3 3 9 2 2" xfId="11889" xr:uid="{00000000-0005-0000-0000-0000F51B0000}"/>
    <cellStyle name="Финансовый 2 3 3 9 3" xfId="5027" xr:uid="{00000000-0005-0000-0000-0000F61B0000}"/>
    <cellStyle name="Финансовый 2 3 3 9 3 2" xfId="13670" xr:uid="{00000000-0005-0000-0000-0000F71B0000}"/>
    <cellStyle name="Финансовый 2 3 3 9 4" xfId="7637" xr:uid="{00000000-0005-0000-0000-0000F81B0000}"/>
    <cellStyle name="Финансовый 2 3 3 9 4 2" xfId="16280" xr:uid="{00000000-0005-0000-0000-0000F91B0000}"/>
    <cellStyle name="Финансовый 2 3 3 9 5" xfId="10244" xr:uid="{00000000-0005-0000-0000-0000FA1B0000}"/>
    <cellStyle name="Финансовый 2 3 4" xfId="94" xr:uid="{00000000-0005-0000-0000-0000FB1B0000}"/>
    <cellStyle name="Финансовый 2 3 4 10" xfId="2704" xr:uid="{00000000-0005-0000-0000-0000FC1B0000}"/>
    <cellStyle name="Финансовый 2 3 4 10 2" xfId="11349" xr:uid="{00000000-0005-0000-0000-0000FD1B0000}"/>
    <cellStyle name="Финансовый 2 3 4 11" xfId="4348" xr:uid="{00000000-0005-0000-0000-0000FE1B0000}"/>
    <cellStyle name="Финансовый 2 3 4 11 2" xfId="12993" xr:uid="{00000000-0005-0000-0000-0000FF1B0000}"/>
    <cellStyle name="Финансовый 2 3 4 12" xfId="6135" xr:uid="{00000000-0005-0000-0000-0000001C0000}"/>
    <cellStyle name="Финансовый 2 3 4 12 2" xfId="14778" xr:uid="{00000000-0005-0000-0000-0000011C0000}"/>
    <cellStyle name="Финансовый 2 3 4 13" xfId="8742" xr:uid="{00000000-0005-0000-0000-0000021C0000}"/>
    <cellStyle name="Финансовый 2 3 4 2" xfId="230" xr:uid="{00000000-0005-0000-0000-0000031C0000}"/>
    <cellStyle name="Финансовый 2 3 4 2 10" xfId="8878" xr:uid="{00000000-0005-0000-0000-0000041C0000}"/>
    <cellStyle name="Финансовый 2 3 4 2 2" xfId="1328" xr:uid="{00000000-0005-0000-0000-0000051C0000}"/>
    <cellStyle name="Финансовый 2 3 4 2 2 2" xfId="2286" xr:uid="{00000000-0005-0000-0000-0000061C0000}"/>
    <cellStyle name="Финансовый 2 3 4 2 2 2 2" xfId="3931" xr:uid="{00000000-0005-0000-0000-0000071C0000}"/>
    <cellStyle name="Финансовый 2 3 4 2 2 2 2 2" xfId="12576" xr:uid="{00000000-0005-0000-0000-0000081C0000}"/>
    <cellStyle name="Финансовый 2 3 4 2 2 2 3" xfId="5714" xr:uid="{00000000-0005-0000-0000-0000091C0000}"/>
    <cellStyle name="Финансовый 2 3 4 2 2 2 3 2" xfId="14357" xr:uid="{00000000-0005-0000-0000-00000A1C0000}"/>
    <cellStyle name="Финансовый 2 3 4 2 2 2 4" xfId="8324" xr:uid="{00000000-0005-0000-0000-00000B1C0000}"/>
    <cellStyle name="Финансовый 2 3 4 2 2 2 4 2" xfId="16967" xr:uid="{00000000-0005-0000-0000-00000C1C0000}"/>
    <cellStyle name="Финансовый 2 3 4 2 2 2 5" xfId="10931" xr:uid="{00000000-0005-0000-0000-00000D1C0000}"/>
    <cellStyle name="Финансовый 2 3 4 2 2 3" xfId="3112" xr:uid="{00000000-0005-0000-0000-00000E1C0000}"/>
    <cellStyle name="Финансовый 2 3 4 2 2 3 2" xfId="11757" xr:uid="{00000000-0005-0000-0000-00000F1C0000}"/>
    <cellStyle name="Финансовый 2 3 4 2 2 4" xfId="4756" xr:uid="{00000000-0005-0000-0000-0000101C0000}"/>
    <cellStyle name="Финансовый 2 3 4 2 2 4 2" xfId="13401" xr:uid="{00000000-0005-0000-0000-0000111C0000}"/>
    <cellStyle name="Финансовый 2 3 4 2 2 5" xfId="7368" xr:uid="{00000000-0005-0000-0000-0000121C0000}"/>
    <cellStyle name="Финансовый 2 3 4 2 2 5 2" xfId="16011" xr:uid="{00000000-0005-0000-0000-0000131C0000}"/>
    <cellStyle name="Финансовый 2 3 4 2 2 6" xfId="9975" xr:uid="{00000000-0005-0000-0000-0000141C0000}"/>
    <cellStyle name="Финансовый 2 3 4 2 3" xfId="2030" xr:uid="{00000000-0005-0000-0000-0000151C0000}"/>
    <cellStyle name="Финансовый 2 3 4 2 3 2" xfId="3675" xr:uid="{00000000-0005-0000-0000-0000161C0000}"/>
    <cellStyle name="Финансовый 2 3 4 2 3 2 2" xfId="12320" xr:uid="{00000000-0005-0000-0000-0000171C0000}"/>
    <cellStyle name="Финансовый 2 3 4 2 3 3" xfId="5458" xr:uid="{00000000-0005-0000-0000-0000181C0000}"/>
    <cellStyle name="Финансовый 2 3 4 2 3 3 2" xfId="14101" xr:uid="{00000000-0005-0000-0000-0000191C0000}"/>
    <cellStyle name="Финансовый 2 3 4 2 3 4" xfId="8068" xr:uid="{00000000-0005-0000-0000-00001A1C0000}"/>
    <cellStyle name="Финансовый 2 3 4 2 3 4 2" xfId="16711" xr:uid="{00000000-0005-0000-0000-00001B1C0000}"/>
    <cellStyle name="Финансовый 2 3 4 2 3 5" xfId="10675" xr:uid="{00000000-0005-0000-0000-00001C1C0000}"/>
    <cellStyle name="Финансовый 2 3 4 2 4" xfId="2559" xr:uid="{00000000-0005-0000-0000-00001D1C0000}"/>
    <cellStyle name="Финансовый 2 3 4 2 4 2" xfId="4204" xr:uid="{00000000-0005-0000-0000-00001E1C0000}"/>
    <cellStyle name="Финансовый 2 3 4 2 4 2 2" xfId="12849" xr:uid="{00000000-0005-0000-0000-00001F1C0000}"/>
    <cellStyle name="Финансовый 2 3 4 2 4 3" xfId="5987" xr:uid="{00000000-0005-0000-0000-0000201C0000}"/>
    <cellStyle name="Финансовый 2 3 4 2 4 3 2" xfId="14630" xr:uid="{00000000-0005-0000-0000-0000211C0000}"/>
    <cellStyle name="Финансовый 2 3 4 2 4 4" xfId="8597" xr:uid="{00000000-0005-0000-0000-0000221C0000}"/>
    <cellStyle name="Финансовый 2 3 4 2 4 4 2" xfId="17240" xr:uid="{00000000-0005-0000-0000-0000231C0000}"/>
    <cellStyle name="Финансовый 2 3 4 2 4 5" xfId="11204" xr:uid="{00000000-0005-0000-0000-0000241C0000}"/>
    <cellStyle name="Финансовый 2 3 4 2 5" xfId="1063" xr:uid="{00000000-0005-0000-0000-0000251C0000}"/>
    <cellStyle name="Финансовый 2 3 4 2 5 2" xfId="7103" xr:uid="{00000000-0005-0000-0000-0000261C0000}"/>
    <cellStyle name="Финансовый 2 3 4 2 5 2 2" xfId="15746" xr:uid="{00000000-0005-0000-0000-0000271C0000}"/>
    <cellStyle name="Финансовый 2 3 4 2 5 3" xfId="9710" xr:uid="{00000000-0005-0000-0000-0000281C0000}"/>
    <cellStyle name="Финансовый 2 3 4 2 6" xfId="651" xr:uid="{00000000-0005-0000-0000-0000291C0000}"/>
    <cellStyle name="Финансовый 2 3 4 2 6 2" xfId="6691" xr:uid="{00000000-0005-0000-0000-00002A1C0000}"/>
    <cellStyle name="Финансовый 2 3 4 2 6 2 2" xfId="15334" xr:uid="{00000000-0005-0000-0000-00002B1C0000}"/>
    <cellStyle name="Финансовый 2 3 4 2 6 3" xfId="9298" xr:uid="{00000000-0005-0000-0000-00002C1C0000}"/>
    <cellStyle name="Финансовый 2 3 4 2 7" xfId="2840" xr:uid="{00000000-0005-0000-0000-00002D1C0000}"/>
    <cellStyle name="Финансовый 2 3 4 2 7 2" xfId="11485" xr:uid="{00000000-0005-0000-0000-00002E1C0000}"/>
    <cellStyle name="Финансовый 2 3 4 2 8" xfId="4484" xr:uid="{00000000-0005-0000-0000-00002F1C0000}"/>
    <cellStyle name="Финансовый 2 3 4 2 8 2" xfId="13129" xr:uid="{00000000-0005-0000-0000-0000301C0000}"/>
    <cellStyle name="Финансовый 2 3 4 2 9" xfId="6271" xr:uid="{00000000-0005-0000-0000-0000311C0000}"/>
    <cellStyle name="Финансовый 2 3 4 2 9 2" xfId="14914" xr:uid="{00000000-0005-0000-0000-0000321C0000}"/>
    <cellStyle name="Финансовый 2 3 4 3" xfId="379" xr:uid="{00000000-0005-0000-0000-0000331C0000}"/>
    <cellStyle name="Финансовый 2 3 4 3 2" xfId="2158" xr:uid="{00000000-0005-0000-0000-0000341C0000}"/>
    <cellStyle name="Финансовый 2 3 4 3 2 2" xfId="3803" xr:uid="{00000000-0005-0000-0000-0000351C0000}"/>
    <cellStyle name="Финансовый 2 3 4 3 2 2 2" xfId="12448" xr:uid="{00000000-0005-0000-0000-0000361C0000}"/>
    <cellStyle name="Финансовый 2 3 4 3 2 3" xfId="5586" xr:uid="{00000000-0005-0000-0000-0000371C0000}"/>
    <cellStyle name="Финансовый 2 3 4 3 2 3 2" xfId="14229" xr:uid="{00000000-0005-0000-0000-0000381C0000}"/>
    <cellStyle name="Финансовый 2 3 4 3 2 4" xfId="8196" xr:uid="{00000000-0005-0000-0000-0000391C0000}"/>
    <cellStyle name="Финансовый 2 3 4 3 2 4 2" xfId="16839" xr:uid="{00000000-0005-0000-0000-00003A1C0000}"/>
    <cellStyle name="Финансовый 2 3 4 3 2 5" xfId="10803" xr:uid="{00000000-0005-0000-0000-00003B1C0000}"/>
    <cellStyle name="Финансовый 2 3 4 3 3" xfId="1192" xr:uid="{00000000-0005-0000-0000-00003C1C0000}"/>
    <cellStyle name="Финансовый 2 3 4 3 3 2" xfId="7232" xr:uid="{00000000-0005-0000-0000-00003D1C0000}"/>
    <cellStyle name="Финансовый 2 3 4 3 3 2 2" xfId="15875" xr:uid="{00000000-0005-0000-0000-00003E1C0000}"/>
    <cellStyle name="Финансовый 2 3 4 3 3 3" xfId="9839" xr:uid="{00000000-0005-0000-0000-00003F1C0000}"/>
    <cellStyle name="Финансовый 2 3 4 3 4" xfId="799" xr:uid="{00000000-0005-0000-0000-0000401C0000}"/>
    <cellStyle name="Финансовый 2 3 4 3 4 2" xfId="6839" xr:uid="{00000000-0005-0000-0000-0000411C0000}"/>
    <cellStyle name="Финансовый 2 3 4 3 4 2 2" xfId="15482" xr:uid="{00000000-0005-0000-0000-0000421C0000}"/>
    <cellStyle name="Финансовый 2 3 4 3 4 3" xfId="9446" xr:uid="{00000000-0005-0000-0000-0000431C0000}"/>
    <cellStyle name="Финансовый 2 3 4 3 5" xfId="2976" xr:uid="{00000000-0005-0000-0000-0000441C0000}"/>
    <cellStyle name="Финансовый 2 3 4 3 5 2" xfId="11621" xr:uid="{00000000-0005-0000-0000-0000451C0000}"/>
    <cellStyle name="Финансовый 2 3 4 3 6" xfId="4620" xr:uid="{00000000-0005-0000-0000-0000461C0000}"/>
    <cellStyle name="Финансовый 2 3 4 3 6 2" xfId="13265" xr:uid="{00000000-0005-0000-0000-0000471C0000}"/>
    <cellStyle name="Финансовый 2 3 4 3 7" xfId="6419" xr:uid="{00000000-0005-0000-0000-0000481C0000}"/>
    <cellStyle name="Финансовый 2 3 4 3 7 2" xfId="15062" xr:uid="{00000000-0005-0000-0000-0000491C0000}"/>
    <cellStyle name="Финансовый 2 3 4 3 8" xfId="9026" xr:uid="{00000000-0005-0000-0000-00004A1C0000}"/>
    <cellStyle name="Финансовый 2 3 4 4" xfId="1490" xr:uid="{00000000-0005-0000-0000-00004B1C0000}"/>
    <cellStyle name="Финансовый 2 3 4 4 2" xfId="1902" xr:uid="{00000000-0005-0000-0000-00004C1C0000}"/>
    <cellStyle name="Финансовый 2 3 4 4 2 2" xfId="3547" xr:uid="{00000000-0005-0000-0000-00004D1C0000}"/>
    <cellStyle name="Финансовый 2 3 4 4 2 2 2" xfId="12192" xr:uid="{00000000-0005-0000-0000-00004E1C0000}"/>
    <cellStyle name="Финансовый 2 3 4 4 2 3" xfId="5330" xr:uid="{00000000-0005-0000-0000-00004F1C0000}"/>
    <cellStyle name="Финансовый 2 3 4 4 2 3 2" xfId="13973" xr:uid="{00000000-0005-0000-0000-0000501C0000}"/>
    <cellStyle name="Финансовый 2 3 4 4 2 4" xfId="7940" xr:uid="{00000000-0005-0000-0000-0000511C0000}"/>
    <cellStyle name="Финансовый 2 3 4 4 2 4 2" xfId="16583" xr:uid="{00000000-0005-0000-0000-0000521C0000}"/>
    <cellStyle name="Финансовый 2 3 4 4 2 5" xfId="10547" xr:uid="{00000000-0005-0000-0000-0000531C0000}"/>
    <cellStyle name="Финансовый 2 3 4 4 3" xfId="4918" xr:uid="{00000000-0005-0000-0000-0000541C0000}"/>
    <cellStyle name="Финансовый 2 3 4 4 3 2" xfId="13561" xr:uid="{00000000-0005-0000-0000-0000551C0000}"/>
    <cellStyle name="Финансовый 2 3 4 4 4" xfId="7528" xr:uid="{00000000-0005-0000-0000-0000561C0000}"/>
    <cellStyle name="Финансовый 2 3 4 4 4 2" xfId="16171" xr:uid="{00000000-0005-0000-0000-0000571C0000}"/>
    <cellStyle name="Финансовый 2 3 4 4 5" xfId="10135" xr:uid="{00000000-0005-0000-0000-0000581C0000}"/>
    <cellStyle name="Финансовый 2 3 4 5" xfId="1778" xr:uid="{00000000-0005-0000-0000-0000591C0000}"/>
    <cellStyle name="Финансовый 2 3 4 5 2" xfId="3423" xr:uid="{00000000-0005-0000-0000-00005A1C0000}"/>
    <cellStyle name="Финансовый 2 3 4 5 2 2" xfId="12068" xr:uid="{00000000-0005-0000-0000-00005B1C0000}"/>
    <cellStyle name="Финансовый 2 3 4 5 3" xfId="5206" xr:uid="{00000000-0005-0000-0000-00005C1C0000}"/>
    <cellStyle name="Финансовый 2 3 4 5 3 2" xfId="13849" xr:uid="{00000000-0005-0000-0000-00005D1C0000}"/>
    <cellStyle name="Финансовый 2 3 4 5 4" xfId="7816" xr:uid="{00000000-0005-0000-0000-00005E1C0000}"/>
    <cellStyle name="Финансовый 2 3 4 5 4 2" xfId="16459" xr:uid="{00000000-0005-0000-0000-00005F1C0000}"/>
    <cellStyle name="Финансовый 2 3 4 5 5" xfId="10423" xr:uid="{00000000-0005-0000-0000-0000601C0000}"/>
    <cellStyle name="Финансовый 2 3 4 6" xfId="2423" xr:uid="{00000000-0005-0000-0000-0000611C0000}"/>
    <cellStyle name="Финансовый 2 3 4 6 2" xfId="4068" xr:uid="{00000000-0005-0000-0000-0000621C0000}"/>
    <cellStyle name="Финансовый 2 3 4 6 2 2" xfId="12713" xr:uid="{00000000-0005-0000-0000-0000631C0000}"/>
    <cellStyle name="Финансовый 2 3 4 6 3" xfId="5851" xr:uid="{00000000-0005-0000-0000-0000641C0000}"/>
    <cellStyle name="Финансовый 2 3 4 6 3 2" xfId="14494" xr:uid="{00000000-0005-0000-0000-0000651C0000}"/>
    <cellStyle name="Финансовый 2 3 4 6 4" xfId="8461" xr:uid="{00000000-0005-0000-0000-0000661C0000}"/>
    <cellStyle name="Финансовый 2 3 4 6 4 2" xfId="17104" xr:uid="{00000000-0005-0000-0000-0000671C0000}"/>
    <cellStyle name="Финансовый 2 3 4 6 5" xfId="11068" xr:uid="{00000000-0005-0000-0000-0000681C0000}"/>
    <cellStyle name="Финансовый 2 3 4 7" xfId="1650" xr:uid="{00000000-0005-0000-0000-0000691C0000}"/>
    <cellStyle name="Финансовый 2 3 4 7 2" xfId="3295" xr:uid="{00000000-0005-0000-0000-00006A1C0000}"/>
    <cellStyle name="Финансовый 2 3 4 7 2 2" xfId="11940" xr:uid="{00000000-0005-0000-0000-00006B1C0000}"/>
    <cellStyle name="Финансовый 2 3 4 7 3" xfId="5078" xr:uid="{00000000-0005-0000-0000-00006C1C0000}"/>
    <cellStyle name="Финансовый 2 3 4 7 3 2" xfId="13721" xr:uid="{00000000-0005-0000-0000-00006D1C0000}"/>
    <cellStyle name="Финансовый 2 3 4 7 4" xfId="7688" xr:uid="{00000000-0005-0000-0000-00006E1C0000}"/>
    <cellStyle name="Финансовый 2 3 4 7 4 2" xfId="16331" xr:uid="{00000000-0005-0000-0000-00006F1C0000}"/>
    <cellStyle name="Финансовый 2 3 4 7 5" xfId="10295" xr:uid="{00000000-0005-0000-0000-0000701C0000}"/>
    <cellStyle name="Финансовый 2 3 4 8" xfId="927" xr:uid="{00000000-0005-0000-0000-0000711C0000}"/>
    <cellStyle name="Финансовый 2 3 4 8 2" xfId="6967" xr:uid="{00000000-0005-0000-0000-0000721C0000}"/>
    <cellStyle name="Финансовый 2 3 4 8 2 2" xfId="15610" xr:uid="{00000000-0005-0000-0000-0000731C0000}"/>
    <cellStyle name="Финансовый 2 3 4 8 3" xfId="9574" xr:uid="{00000000-0005-0000-0000-0000741C0000}"/>
    <cellStyle name="Финансовый 2 3 4 9" xfId="515" xr:uid="{00000000-0005-0000-0000-0000751C0000}"/>
    <cellStyle name="Финансовый 2 3 4 9 2" xfId="6555" xr:uid="{00000000-0005-0000-0000-0000761C0000}"/>
    <cellStyle name="Финансовый 2 3 4 9 2 2" xfId="15198" xr:uid="{00000000-0005-0000-0000-0000771C0000}"/>
    <cellStyle name="Финансовый 2 3 4 9 3" xfId="9162" xr:uid="{00000000-0005-0000-0000-0000781C0000}"/>
    <cellStyle name="Финансовый 2 3 5" xfId="100" xr:uid="{00000000-0005-0000-0000-0000791C0000}"/>
    <cellStyle name="Финансовый 2 3 5 10" xfId="2710" xr:uid="{00000000-0005-0000-0000-00007A1C0000}"/>
    <cellStyle name="Финансовый 2 3 5 10 2" xfId="11355" xr:uid="{00000000-0005-0000-0000-00007B1C0000}"/>
    <cellStyle name="Финансовый 2 3 5 11" xfId="4354" xr:uid="{00000000-0005-0000-0000-00007C1C0000}"/>
    <cellStyle name="Финансовый 2 3 5 11 2" xfId="12999" xr:uid="{00000000-0005-0000-0000-00007D1C0000}"/>
    <cellStyle name="Финансовый 2 3 5 12" xfId="6141" xr:uid="{00000000-0005-0000-0000-00007E1C0000}"/>
    <cellStyle name="Финансовый 2 3 5 12 2" xfId="14784" xr:uid="{00000000-0005-0000-0000-00007F1C0000}"/>
    <cellStyle name="Финансовый 2 3 5 13" xfId="8748" xr:uid="{00000000-0005-0000-0000-0000801C0000}"/>
    <cellStyle name="Финансовый 2 3 5 2" xfId="236" xr:uid="{00000000-0005-0000-0000-0000811C0000}"/>
    <cellStyle name="Финансовый 2 3 5 2 10" xfId="8884" xr:uid="{00000000-0005-0000-0000-0000821C0000}"/>
    <cellStyle name="Финансовый 2 3 5 2 2" xfId="1334" xr:uid="{00000000-0005-0000-0000-0000831C0000}"/>
    <cellStyle name="Финансовый 2 3 5 2 2 2" xfId="2292" xr:uid="{00000000-0005-0000-0000-0000841C0000}"/>
    <cellStyle name="Финансовый 2 3 5 2 2 2 2" xfId="3937" xr:uid="{00000000-0005-0000-0000-0000851C0000}"/>
    <cellStyle name="Финансовый 2 3 5 2 2 2 2 2" xfId="12582" xr:uid="{00000000-0005-0000-0000-0000861C0000}"/>
    <cellStyle name="Финансовый 2 3 5 2 2 2 3" xfId="5720" xr:uid="{00000000-0005-0000-0000-0000871C0000}"/>
    <cellStyle name="Финансовый 2 3 5 2 2 2 3 2" xfId="14363" xr:uid="{00000000-0005-0000-0000-0000881C0000}"/>
    <cellStyle name="Финансовый 2 3 5 2 2 2 4" xfId="8330" xr:uid="{00000000-0005-0000-0000-0000891C0000}"/>
    <cellStyle name="Финансовый 2 3 5 2 2 2 4 2" xfId="16973" xr:uid="{00000000-0005-0000-0000-00008A1C0000}"/>
    <cellStyle name="Финансовый 2 3 5 2 2 2 5" xfId="10937" xr:uid="{00000000-0005-0000-0000-00008B1C0000}"/>
    <cellStyle name="Финансовый 2 3 5 2 2 3" xfId="3118" xr:uid="{00000000-0005-0000-0000-00008C1C0000}"/>
    <cellStyle name="Финансовый 2 3 5 2 2 3 2" xfId="11763" xr:uid="{00000000-0005-0000-0000-00008D1C0000}"/>
    <cellStyle name="Финансовый 2 3 5 2 2 4" xfId="4762" xr:uid="{00000000-0005-0000-0000-00008E1C0000}"/>
    <cellStyle name="Финансовый 2 3 5 2 2 4 2" xfId="13407" xr:uid="{00000000-0005-0000-0000-00008F1C0000}"/>
    <cellStyle name="Финансовый 2 3 5 2 2 5" xfId="7374" xr:uid="{00000000-0005-0000-0000-0000901C0000}"/>
    <cellStyle name="Финансовый 2 3 5 2 2 5 2" xfId="16017" xr:uid="{00000000-0005-0000-0000-0000911C0000}"/>
    <cellStyle name="Финансовый 2 3 5 2 2 6" xfId="9981" xr:uid="{00000000-0005-0000-0000-0000921C0000}"/>
    <cellStyle name="Финансовый 2 3 5 2 3" xfId="2036" xr:uid="{00000000-0005-0000-0000-0000931C0000}"/>
    <cellStyle name="Финансовый 2 3 5 2 3 2" xfId="3681" xr:uid="{00000000-0005-0000-0000-0000941C0000}"/>
    <cellStyle name="Финансовый 2 3 5 2 3 2 2" xfId="12326" xr:uid="{00000000-0005-0000-0000-0000951C0000}"/>
    <cellStyle name="Финансовый 2 3 5 2 3 3" xfId="5464" xr:uid="{00000000-0005-0000-0000-0000961C0000}"/>
    <cellStyle name="Финансовый 2 3 5 2 3 3 2" xfId="14107" xr:uid="{00000000-0005-0000-0000-0000971C0000}"/>
    <cellStyle name="Финансовый 2 3 5 2 3 4" xfId="8074" xr:uid="{00000000-0005-0000-0000-0000981C0000}"/>
    <cellStyle name="Финансовый 2 3 5 2 3 4 2" xfId="16717" xr:uid="{00000000-0005-0000-0000-0000991C0000}"/>
    <cellStyle name="Финансовый 2 3 5 2 3 5" xfId="10681" xr:uid="{00000000-0005-0000-0000-00009A1C0000}"/>
    <cellStyle name="Финансовый 2 3 5 2 4" xfId="2565" xr:uid="{00000000-0005-0000-0000-00009B1C0000}"/>
    <cellStyle name="Финансовый 2 3 5 2 4 2" xfId="4210" xr:uid="{00000000-0005-0000-0000-00009C1C0000}"/>
    <cellStyle name="Финансовый 2 3 5 2 4 2 2" xfId="12855" xr:uid="{00000000-0005-0000-0000-00009D1C0000}"/>
    <cellStyle name="Финансовый 2 3 5 2 4 3" xfId="5993" xr:uid="{00000000-0005-0000-0000-00009E1C0000}"/>
    <cellStyle name="Финансовый 2 3 5 2 4 3 2" xfId="14636" xr:uid="{00000000-0005-0000-0000-00009F1C0000}"/>
    <cellStyle name="Финансовый 2 3 5 2 4 4" xfId="8603" xr:uid="{00000000-0005-0000-0000-0000A01C0000}"/>
    <cellStyle name="Финансовый 2 3 5 2 4 4 2" xfId="17246" xr:uid="{00000000-0005-0000-0000-0000A11C0000}"/>
    <cellStyle name="Финансовый 2 3 5 2 4 5" xfId="11210" xr:uid="{00000000-0005-0000-0000-0000A21C0000}"/>
    <cellStyle name="Финансовый 2 3 5 2 5" xfId="1069" xr:uid="{00000000-0005-0000-0000-0000A31C0000}"/>
    <cellStyle name="Финансовый 2 3 5 2 5 2" xfId="7109" xr:uid="{00000000-0005-0000-0000-0000A41C0000}"/>
    <cellStyle name="Финансовый 2 3 5 2 5 2 2" xfId="15752" xr:uid="{00000000-0005-0000-0000-0000A51C0000}"/>
    <cellStyle name="Финансовый 2 3 5 2 5 3" xfId="9716" xr:uid="{00000000-0005-0000-0000-0000A61C0000}"/>
    <cellStyle name="Финансовый 2 3 5 2 6" xfId="657" xr:uid="{00000000-0005-0000-0000-0000A71C0000}"/>
    <cellStyle name="Финансовый 2 3 5 2 6 2" xfId="6697" xr:uid="{00000000-0005-0000-0000-0000A81C0000}"/>
    <cellStyle name="Финансовый 2 3 5 2 6 2 2" xfId="15340" xr:uid="{00000000-0005-0000-0000-0000A91C0000}"/>
    <cellStyle name="Финансовый 2 3 5 2 6 3" xfId="9304" xr:uid="{00000000-0005-0000-0000-0000AA1C0000}"/>
    <cellStyle name="Финансовый 2 3 5 2 7" xfId="2846" xr:uid="{00000000-0005-0000-0000-0000AB1C0000}"/>
    <cellStyle name="Финансовый 2 3 5 2 7 2" xfId="11491" xr:uid="{00000000-0005-0000-0000-0000AC1C0000}"/>
    <cellStyle name="Финансовый 2 3 5 2 8" xfId="4490" xr:uid="{00000000-0005-0000-0000-0000AD1C0000}"/>
    <cellStyle name="Финансовый 2 3 5 2 8 2" xfId="13135" xr:uid="{00000000-0005-0000-0000-0000AE1C0000}"/>
    <cellStyle name="Финансовый 2 3 5 2 9" xfId="6277" xr:uid="{00000000-0005-0000-0000-0000AF1C0000}"/>
    <cellStyle name="Финансовый 2 3 5 2 9 2" xfId="14920" xr:uid="{00000000-0005-0000-0000-0000B01C0000}"/>
    <cellStyle name="Финансовый 2 3 5 3" xfId="385" xr:uid="{00000000-0005-0000-0000-0000B11C0000}"/>
    <cellStyle name="Финансовый 2 3 5 3 2" xfId="2164" xr:uid="{00000000-0005-0000-0000-0000B21C0000}"/>
    <cellStyle name="Финансовый 2 3 5 3 2 2" xfId="3809" xr:uid="{00000000-0005-0000-0000-0000B31C0000}"/>
    <cellStyle name="Финансовый 2 3 5 3 2 2 2" xfId="12454" xr:uid="{00000000-0005-0000-0000-0000B41C0000}"/>
    <cellStyle name="Финансовый 2 3 5 3 2 3" xfId="5592" xr:uid="{00000000-0005-0000-0000-0000B51C0000}"/>
    <cellStyle name="Финансовый 2 3 5 3 2 3 2" xfId="14235" xr:uid="{00000000-0005-0000-0000-0000B61C0000}"/>
    <cellStyle name="Финансовый 2 3 5 3 2 4" xfId="8202" xr:uid="{00000000-0005-0000-0000-0000B71C0000}"/>
    <cellStyle name="Финансовый 2 3 5 3 2 4 2" xfId="16845" xr:uid="{00000000-0005-0000-0000-0000B81C0000}"/>
    <cellStyle name="Финансовый 2 3 5 3 2 5" xfId="10809" xr:uid="{00000000-0005-0000-0000-0000B91C0000}"/>
    <cellStyle name="Финансовый 2 3 5 3 3" xfId="1198" xr:uid="{00000000-0005-0000-0000-0000BA1C0000}"/>
    <cellStyle name="Финансовый 2 3 5 3 3 2" xfId="7238" xr:uid="{00000000-0005-0000-0000-0000BB1C0000}"/>
    <cellStyle name="Финансовый 2 3 5 3 3 2 2" xfId="15881" xr:uid="{00000000-0005-0000-0000-0000BC1C0000}"/>
    <cellStyle name="Финансовый 2 3 5 3 3 3" xfId="9845" xr:uid="{00000000-0005-0000-0000-0000BD1C0000}"/>
    <cellStyle name="Финансовый 2 3 5 3 4" xfId="805" xr:uid="{00000000-0005-0000-0000-0000BE1C0000}"/>
    <cellStyle name="Финансовый 2 3 5 3 4 2" xfId="6845" xr:uid="{00000000-0005-0000-0000-0000BF1C0000}"/>
    <cellStyle name="Финансовый 2 3 5 3 4 2 2" xfId="15488" xr:uid="{00000000-0005-0000-0000-0000C01C0000}"/>
    <cellStyle name="Финансовый 2 3 5 3 4 3" xfId="9452" xr:uid="{00000000-0005-0000-0000-0000C11C0000}"/>
    <cellStyle name="Финансовый 2 3 5 3 5" xfId="2982" xr:uid="{00000000-0005-0000-0000-0000C21C0000}"/>
    <cellStyle name="Финансовый 2 3 5 3 5 2" xfId="11627" xr:uid="{00000000-0005-0000-0000-0000C31C0000}"/>
    <cellStyle name="Финансовый 2 3 5 3 6" xfId="4626" xr:uid="{00000000-0005-0000-0000-0000C41C0000}"/>
    <cellStyle name="Финансовый 2 3 5 3 6 2" xfId="13271" xr:uid="{00000000-0005-0000-0000-0000C51C0000}"/>
    <cellStyle name="Финансовый 2 3 5 3 7" xfId="6425" xr:uid="{00000000-0005-0000-0000-0000C61C0000}"/>
    <cellStyle name="Финансовый 2 3 5 3 7 2" xfId="15068" xr:uid="{00000000-0005-0000-0000-0000C71C0000}"/>
    <cellStyle name="Финансовый 2 3 5 3 8" xfId="9032" xr:uid="{00000000-0005-0000-0000-0000C81C0000}"/>
    <cellStyle name="Финансовый 2 3 5 4" xfId="1491" xr:uid="{00000000-0005-0000-0000-0000C91C0000}"/>
    <cellStyle name="Финансовый 2 3 5 4 2" xfId="1908" xr:uid="{00000000-0005-0000-0000-0000CA1C0000}"/>
    <cellStyle name="Финансовый 2 3 5 4 2 2" xfId="3553" xr:uid="{00000000-0005-0000-0000-0000CB1C0000}"/>
    <cellStyle name="Финансовый 2 3 5 4 2 2 2" xfId="12198" xr:uid="{00000000-0005-0000-0000-0000CC1C0000}"/>
    <cellStyle name="Финансовый 2 3 5 4 2 3" xfId="5336" xr:uid="{00000000-0005-0000-0000-0000CD1C0000}"/>
    <cellStyle name="Финансовый 2 3 5 4 2 3 2" xfId="13979" xr:uid="{00000000-0005-0000-0000-0000CE1C0000}"/>
    <cellStyle name="Финансовый 2 3 5 4 2 4" xfId="7946" xr:uid="{00000000-0005-0000-0000-0000CF1C0000}"/>
    <cellStyle name="Финансовый 2 3 5 4 2 4 2" xfId="16589" xr:uid="{00000000-0005-0000-0000-0000D01C0000}"/>
    <cellStyle name="Финансовый 2 3 5 4 2 5" xfId="10553" xr:uid="{00000000-0005-0000-0000-0000D11C0000}"/>
    <cellStyle name="Финансовый 2 3 5 4 3" xfId="4919" xr:uid="{00000000-0005-0000-0000-0000D21C0000}"/>
    <cellStyle name="Финансовый 2 3 5 4 3 2" xfId="13562" xr:uid="{00000000-0005-0000-0000-0000D31C0000}"/>
    <cellStyle name="Финансовый 2 3 5 4 4" xfId="7529" xr:uid="{00000000-0005-0000-0000-0000D41C0000}"/>
    <cellStyle name="Финансовый 2 3 5 4 4 2" xfId="16172" xr:uid="{00000000-0005-0000-0000-0000D51C0000}"/>
    <cellStyle name="Финансовый 2 3 5 4 5" xfId="10136" xr:uid="{00000000-0005-0000-0000-0000D61C0000}"/>
    <cellStyle name="Финансовый 2 3 5 5" xfId="1784" xr:uid="{00000000-0005-0000-0000-0000D71C0000}"/>
    <cellStyle name="Финансовый 2 3 5 5 2" xfId="3429" xr:uid="{00000000-0005-0000-0000-0000D81C0000}"/>
    <cellStyle name="Финансовый 2 3 5 5 2 2" xfId="12074" xr:uid="{00000000-0005-0000-0000-0000D91C0000}"/>
    <cellStyle name="Финансовый 2 3 5 5 3" xfId="5212" xr:uid="{00000000-0005-0000-0000-0000DA1C0000}"/>
    <cellStyle name="Финансовый 2 3 5 5 3 2" xfId="13855" xr:uid="{00000000-0005-0000-0000-0000DB1C0000}"/>
    <cellStyle name="Финансовый 2 3 5 5 4" xfId="7822" xr:uid="{00000000-0005-0000-0000-0000DC1C0000}"/>
    <cellStyle name="Финансовый 2 3 5 5 4 2" xfId="16465" xr:uid="{00000000-0005-0000-0000-0000DD1C0000}"/>
    <cellStyle name="Финансовый 2 3 5 5 5" xfId="10429" xr:uid="{00000000-0005-0000-0000-0000DE1C0000}"/>
    <cellStyle name="Финансовый 2 3 5 6" xfId="2429" xr:uid="{00000000-0005-0000-0000-0000DF1C0000}"/>
    <cellStyle name="Финансовый 2 3 5 6 2" xfId="4074" xr:uid="{00000000-0005-0000-0000-0000E01C0000}"/>
    <cellStyle name="Финансовый 2 3 5 6 2 2" xfId="12719" xr:uid="{00000000-0005-0000-0000-0000E11C0000}"/>
    <cellStyle name="Финансовый 2 3 5 6 3" xfId="5857" xr:uid="{00000000-0005-0000-0000-0000E21C0000}"/>
    <cellStyle name="Финансовый 2 3 5 6 3 2" xfId="14500" xr:uid="{00000000-0005-0000-0000-0000E31C0000}"/>
    <cellStyle name="Финансовый 2 3 5 6 4" xfId="8467" xr:uid="{00000000-0005-0000-0000-0000E41C0000}"/>
    <cellStyle name="Финансовый 2 3 5 6 4 2" xfId="17110" xr:uid="{00000000-0005-0000-0000-0000E51C0000}"/>
    <cellStyle name="Финансовый 2 3 5 6 5" xfId="11074" xr:uid="{00000000-0005-0000-0000-0000E61C0000}"/>
    <cellStyle name="Финансовый 2 3 5 7" xfId="1656" xr:uid="{00000000-0005-0000-0000-0000E71C0000}"/>
    <cellStyle name="Финансовый 2 3 5 7 2" xfId="3301" xr:uid="{00000000-0005-0000-0000-0000E81C0000}"/>
    <cellStyle name="Финансовый 2 3 5 7 2 2" xfId="11946" xr:uid="{00000000-0005-0000-0000-0000E91C0000}"/>
    <cellStyle name="Финансовый 2 3 5 7 3" xfId="5084" xr:uid="{00000000-0005-0000-0000-0000EA1C0000}"/>
    <cellStyle name="Финансовый 2 3 5 7 3 2" xfId="13727" xr:uid="{00000000-0005-0000-0000-0000EB1C0000}"/>
    <cellStyle name="Финансовый 2 3 5 7 4" xfId="7694" xr:uid="{00000000-0005-0000-0000-0000EC1C0000}"/>
    <cellStyle name="Финансовый 2 3 5 7 4 2" xfId="16337" xr:uid="{00000000-0005-0000-0000-0000ED1C0000}"/>
    <cellStyle name="Финансовый 2 3 5 7 5" xfId="10301" xr:uid="{00000000-0005-0000-0000-0000EE1C0000}"/>
    <cellStyle name="Финансовый 2 3 5 8" xfId="933" xr:uid="{00000000-0005-0000-0000-0000EF1C0000}"/>
    <cellStyle name="Финансовый 2 3 5 8 2" xfId="6973" xr:uid="{00000000-0005-0000-0000-0000F01C0000}"/>
    <cellStyle name="Финансовый 2 3 5 8 2 2" xfId="15616" xr:uid="{00000000-0005-0000-0000-0000F11C0000}"/>
    <cellStyle name="Финансовый 2 3 5 8 3" xfId="9580" xr:uid="{00000000-0005-0000-0000-0000F21C0000}"/>
    <cellStyle name="Финансовый 2 3 5 9" xfId="521" xr:uid="{00000000-0005-0000-0000-0000F31C0000}"/>
    <cellStyle name="Финансовый 2 3 5 9 2" xfId="6561" xr:uid="{00000000-0005-0000-0000-0000F41C0000}"/>
    <cellStyle name="Финансовый 2 3 5 9 2 2" xfId="15204" xr:uid="{00000000-0005-0000-0000-0000F51C0000}"/>
    <cellStyle name="Финансовый 2 3 5 9 3" xfId="9168" xr:uid="{00000000-0005-0000-0000-0000F61C0000}"/>
    <cellStyle name="Финансовый 2 3 6" xfId="112" xr:uid="{00000000-0005-0000-0000-0000F71C0000}"/>
    <cellStyle name="Финансовый 2 3 6 10" xfId="2722" xr:uid="{00000000-0005-0000-0000-0000F81C0000}"/>
    <cellStyle name="Финансовый 2 3 6 10 2" xfId="11367" xr:uid="{00000000-0005-0000-0000-0000F91C0000}"/>
    <cellStyle name="Финансовый 2 3 6 11" xfId="4366" xr:uid="{00000000-0005-0000-0000-0000FA1C0000}"/>
    <cellStyle name="Финансовый 2 3 6 11 2" xfId="13011" xr:uid="{00000000-0005-0000-0000-0000FB1C0000}"/>
    <cellStyle name="Финансовый 2 3 6 12" xfId="6153" xr:uid="{00000000-0005-0000-0000-0000FC1C0000}"/>
    <cellStyle name="Финансовый 2 3 6 12 2" xfId="14796" xr:uid="{00000000-0005-0000-0000-0000FD1C0000}"/>
    <cellStyle name="Финансовый 2 3 6 13" xfId="8760" xr:uid="{00000000-0005-0000-0000-0000FE1C0000}"/>
    <cellStyle name="Финансовый 2 3 6 2" xfId="248" xr:uid="{00000000-0005-0000-0000-0000FF1C0000}"/>
    <cellStyle name="Финансовый 2 3 6 2 10" xfId="8896" xr:uid="{00000000-0005-0000-0000-0000001D0000}"/>
    <cellStyle name="Финансовый 2 3 6 2 2" xfId="1346" xr:uid="{00000000-0005-0000-0000-0000011D0000}"/>
    <cellStyle name="Финансовый 2 3 6 2 2 2" xfId="2304" xr:uid="{00000000-0005-0000-0000-0000021D0000}"/>
    <cellStyle name="Финансовый 2 3 6 2 2 2 2" xfId="3949" xr:uid="{00000000-0005-0000-0000-0000031D0000}"/>
    <cellStyle name="Финансовый 2 3 6 2 2 2 2 2" xfId="12594" xr:uid="{00000000-0005-0000-0000-0000041D0000}"/>
    <cellStyle name="Финансовый 2 3 6 2 2 2 3" xfId="5732" xr:uid="{00000000-0005-0000-0000-0000051D0000}"/>
    <cellStyle name="Финансовый 2 3 6 2 2 2 3 2" xfId="14375" xr:uid="{00000000-0005-0000-0000-0000061D0000}"/>
    <cellStyle name="Финансовый 2 3 6 2 2 2 4" xfId="8342" xr:uid="{00000000-0005-0000-0000-0000071D0000}"/>
    <cellStyle name="Финансовый 2 3 6 2 2 2 4 2" xfId="16985" xr:uid="{00000000-0005-0000-0000-0000081D0000}"/>
    <cellStyle name="Финансовый 2 3 6 2 2 2 5" xfId="10949" xr:uid="{00000000-0005-0000-0000-0000091D0000}"/>
    <cellStyle name="Финансовый 2 3 6 2 2 3" xfId="3130" xr:uid="{00000000-0005-0000-0000-00000A1D0000}"/>
    <cellStyle name="Финансовый 2 3 6 2 2 3 2" xfId="11775" xr:uid="{00000000-0005-0000-0000-00000B1D0000}"/>
    <cellStyle name="Финансовый 2 3 6 2 2 4" xfId="4774" xr:uid="{00000000-0005-0000-0000-00000C1D0000}"/>
    <cellStyle name="Финансовый 2 3 6 2 2 4 2" xfId="13419" xr:uid="{00000000-0005-0000-0000-00000D1D0000}"/>
    <cellStyle name="Финансовый 2 3 6 2 2 5" xfId="7386" xr:uid="{00000000-0005-0000-0000-00000E1D0000}"/>
    <cellStyle name="Финансовый 2 3 6 2 2 5 2" xfId="16029" xr:uid="{00000000-0005-0000-0000-00000F1D0000}"/>
    <cellStyle name="Финансовый 2 3 6 2 2 6" xfId="9993" xr:uid="{00000000-0005-0000-0000-0000101D0000}"/>
    <cellStyle name="Финансовый 2 3 6 2 3" xfId="2048" xr:uid="{00000000-0005-0000-0000-0000111D0000}"/>
    <cellStyle name="Финансовый 2 3 6 2 3 2" xfId="3693" xr:uid="{00000000-0005-0000-0000-0000121D0000}"/>
    <cellStyle name="Финансовый 2 3 6 2 3 2 2" xfId="12338" xr:uid="{00000000-0005-0000-0000-0000131D0000}"/>
    <cellStyle name="Финансовый 2 3 6 2 3 3" xfId="5476" xr:uid="{00000000-0005-0000-0000-0000141D0000}"/>
    <cellStyle name="Финансовый 2 3 6 2 3 3 2" xfId="14119" xr:uid="{00000000-0005-0000-0000-0000151D0000}"/>
    <cellStyle name="Финансовый 2 3 6 2 3 4" xfId="8086" xr:uid="{00000000-0005-0000-0000-0000161D0000}"/>
    <cellStyle name="Финансовый 2 3 6 2 3 4 2" xfId="16729" xr:uid="{00000000-0005-0000-0000-0000171D0000}"/>
    <cellStyle name="Финансовый 2 3 6 2 3 5" xfId="10693" xr:uid="{00000000-0005-0000-0000-0000181D0000}"/>
    <cellStyle name="Финансовый 2 3 6 2 4" xfId="2577" xr:uid="{00000000-0005-0000-0000-0000191D0000}"/>
    <cellStyle name="Финансовый 2 3 6 2 4 2" xfId="4222" xr:uid="{00000000-0005-0000-0000-00001A1D0000}"/>
    <cellStyle name="Финансовый 2 3 6 2 4 2 2" xfId="12867" xr:uid="{00000000-0005-0000-0000-00001B1D0000}"/>
    <cellStyle name="Финансовый 2 3 6 2 4 3" xfId="6005" xr:uid="{00000000-0005-0000-0000-00001C1D0000}"/>
    <cellStyle name="Финансовый 2 3 6 2 4 3 2" xfId="14648" xr:uid="{00000000-0005-0000-0000-00001D1D0000}"/>
    <cellStyle name="Финансовый 2 3 6 2 4 4" xfId="8615" xr:uid="{00000000-0005-0000-0000-00001E1D0000}"/>
    <cellStyle name="Финансовый 2 3 6 2 4 4 2" xfId="17258" xr:uid="{00000000-0005-0000-0000-00001F1D0000}"/>
    <cellStyle name="Финансовый 2 3 6 2 4 5" xfId="11222" xr:uid="{00000000-0005-0000-0000-0000201D0000}"/>
    <cellStyle name="Финансовый 2 3 6 2 5" xfId="1081" xr:uid="{00000000-0005-0000-0000-0000211D0000}"/>
    <cellStyle name="Финансовый 2 3 6 2 5 2" xfId="7121" xr:uid="{00000000-0005-0000-0000-0000221D0000}"/>
    <cellStyle name="Финансовый 2 3 6 2 5 2 2" xfId="15764" xr:uid="{00000000-0005-0000-0000-0000231D0000}"/>
    <cellStyle name="Финансовый 2 3 6 2 5 3" xfId="9728" xr:uid="{00000000-0005-0000-0000-0000241D0000}"/>
    <cellStyle name="Финансовый 2 3 6 2 6" xfId="669" xr:uid="{00000000-0005-0000-0000-0000251D0000}"/>
    <cellStyle name="Финансовый 2 3 6 2 6 2" xfId="6709" xr:uid="{00000000-0005-0000-0000-0000261D0000}"/>
    <cellStyle name="Финансовый 2 3 6 2 6 2 2" xfId="15352" xr:uid="{00000000-0005-0000-0000-0000271D0000}"/>
    <cellStyle name="Финансовый 2 3 6 2 6 3" xfId="9316" xr:uid="{00000000-0005-0000-0000-0000281D0000}"/>
    <cellStyle name="Финансовый 2 3 6 2 7" xfId="2858" xr:uid="{00000000-0005-0000-0000-0000291D0000}"/>
    <cellStyle name="Финансовый 2 3 6 2 7 2" xfId="11503" xr:uid="{00000000-0005-0000-0000-00002A1D0000}"/>
    <cellStyle name="Финансовый 2 3 6 2 8" xfId="4502" xr:uid="{00000000-0005-0000-0000-00002B1D0000}"/>
    <cellStyle name="Финансовый 2 3 6 2 8 2" xfId="13147" xr:uid="{00000000-0005-0000-0000-00002C1D0000}"/>
    <cellStyle name="Финансовый 2 3 6 2 9" xfId="6289" xr:uid="{00000000-0005-0000-0000-00002D1D0000}"/>
    <cellStyle name="Финансовый 2 3 6 2 9 2" xfId="14932" xr:uid="{00000000-0005-0000-0000-00002E1D0000}"/>
    <cellStyle name="Финансовый 2 3 6 3" xfId="397" xr:uid="{00000000-0005-0000-0000-00002F1D0000}"/>
    <cellStyle name="Финансовый 2 3 6 3 2" xfId="2176" xr:uid="{00000000-0005-0000-0000-0000301D0000}"/>
    <cellStyle name="Финансовый 2 3 6 3 2 2" xfId="3821" xr:uid="{00000000-0005-0000-0000-0000311D0000}"/>
    <cellStyle name="Финансовый 2 3 6 3 2 2 2" xfId="12466" xr:uid="{00000000-0005-0000-0000-0000321D0000}"/>
    <cellStyle name="Финансовый 2 3 6 3 2 3" xfId="5604" xr:uid="{00000000-0005-0000-0000-0000331D0000}"/>
    <cellStyle name="Финансовый 2 3 6 3 2 3 2" xfId="14247" xr:uid="{00000000-0005-0000-0000-0000341D0000}"/>
    <cellStyle name="Финансовый 2 3 6 3 2 4" xfId="8214" xr:uid="{00000000-0005-0000-0000-0000351D0000}"/>
    <cellStyle name="Финансовый 2 3 6 3 2 4 2" xfId="16857" xr:uid="{00000000-0005-0000-0000-0000361D0000}"/>
    <cellStyle name="Финансовый 2 3 6 3 2 5" xfId="10821" xr:uid="{00000000-0005-0000-0000-0000371D0000}"/>
    <cellStyle name="Финансовый 2 3 6 3 3" xfId="1210" xr:uid="{00000000-0005-0000-0000-0000381D0000}"/>
    <cellStyle name="Финансовый 2 3 6 3 3 2" xfId="7250" xr:uid="{00000000-0005-0000-0000-0000391D0000}"/>
    <cellStyle name="Финансовый 2 3 6 3 3 2 2" xfId="15893" xr:uid="{00000000-0005-0000-0000-00003A1D0000}"/>
    <cellStyle name="Финансовый 2 3 6 3 3 3" xfId="9857" xr:uid="{00000000-0005-0000-0000-00003B1D0000}"/>
    <cellStyle name="Финансовый 2 3 6 3 4" xfId="817" xr:uid="{00000000-0005-0000-0000-00003C1D0000}"/>
    <cellStyle name="Финансовый 2 3 6 3 4 2" xfId="6857" xr:uid="{00000000-0005-0000-0000-00003D1D0000}"/>
    <cellStyle name="Финансовый 2 3 6 3 4 2 2" xfId="15500" xr:uid="{00000000-0005-0000-0000-00003E1D0000}"/>
    <cellStyle name="Финансовый 2 3 6 3 4 3" xfId="9464" xr:uid="{00000000-0005-0000-0000-00003F1D0000}"/>
    <cellStyle name="Финансовый 2 3 6 3 5" xfId="2994" xr:uid="{00000000-0005-0000-0000-0000401D0000}"/>
    <cellStyle name="Финансовый 2 3 6 3 5 2" xfId="11639" xr:uid="{00000000-0005-0000-0000-0000411D0000}"/>
    <cellStyle name="Финансовый 2 3 6 3 6" xfId="4638" xr:uid="{00000000-0005-0000-0000-0000421D0000}"/>
    <cellStyle name="Финансовый 2 3 6 3 6 2" xfId="13283" xr:uid="{00000000-0005-0000-0000-0000431D0000}"/>
    <cellStyle name="Финансовый 2 3 6 3 7" xfId="6437" xr:uid="{00000000-0005-0000-0000-0000441D0000}"/>
    <cellStyle name="Финансовый 2 3 6 3 7 2" xfId="15080" xr:uid="{00000000-0005-0000-0000-0000451D0000}"/>
    <cellStyle name="Финансовый 2 3 6 3 8" xfId="9044" xr:uid="{00000000-0005-0000-0000-0000461D0000}"/>
    <cellStyle name="Финансовый 2 3 6 4" xfId="1492" xr:uid="{00000000-0005-0000-0000-0000471D0000}"/>
    <cellStyle name="Финансовый 2 3 6 4 2" xfId="1920" xr:uid="{00000000-0005-0000-0000-0000481D0000}"/>
    <cellStyle name="Финансовый 2 3 6 4 2 2" xfId="3565" xr:uid="{00000000-0005-0000-0000-0000491D0000}"/>
    <cellStyle name="Финансовый 2 3 6 4 2 2 2" xfId="12210" xr:uid="{00000000-0005-0000-0000-00004A1D0000}"/>
    <cellStyle name="Финансовый 2 3 6 4 2 3" xfId="5348" xr:uid="{00000000-0005-0000-0000-00004B1D0000}"/>
    <cellStyle name="Финансовый 2 3 6 4 2 3 2" xfId="13991" xr:uid="{00000000-0005-0000-0000-00004C1D0000}"/>
    <cellStyle name="Финансовый 2 3 6 4 2 4" xfId="7958" xr:uid="{00000000-0005-0000-0000-00004D1D0000}"/>
    <cellStyle name="Финансовый 2 3 6 4 2 4 2" xfId="16601" xr:uid="{00000000-0005-0000-0000-00004E1D0000}"/>
    <cellStyle name="Финансовый 2 3 6 4 2 5" xfId="10565" xr:uid="{00000000-0005-0000-0000-00004F1D0000}"/>
    <cellStyle name="Финансовый 2 3 6 4 3" xfId="4920" xr:uid="{00000000-0005-0000-0000-0000501D0000}"/>
    <cellStyle name="Финансовый 2 3 6 4 3 2" xfId="13563" xr:uid="{00000000-0005-0000-0000-0000511D0000}"/>
    <cellStyle name="Финансовый 2 3 6 4 4" xfId="7530" xr:uid="{00000000-0005-0000-0000-0000521D0000}"/>
    <cellStyle name="Финансовый 2 3 6 4 4 2" xfId="16173" xr:uid="{00000000-0005-0000-0000-0000531D0000}"/>
    <cellStyle name="Финансовый 2 3 6 4 5" xfId="10137" xr:uid="{00000000-0005-0000-0000-0000541D0000}"/>
    <cellStyle name="Финансовый 2 3 6 5" xfId="1796" xr:uid="{00000000-0005-0000-0000-0000551D0000}"/>
    <cellStyle name="Финансовый 2 3 6 5 2" xfId="3441" xr:uid="{00000000-0005-0000-0000-0000561D0000}"/>
    <cellStyle name="Финансовый 2 3 6 5 2 2" xfId="12086" xr:uid="{00000000-0005-0000-0000-0000571D0000}"/>
    <cellStyle name="Финансовый 2 3 6 5 3" xfId="5224" xr:uid="{00000000-0005-0000-0000-0000581D0000}"/>
    <cellStyle name="Финансовый 2 3 6 5 3 2" xfId="13867" xr:uid="{00000000-0005-0000-0000-0000591D0000}"/>
    <cellStyle name="Финансовый 2 3 6 5 4" xfId="7834" xr:uid="{00000000-0005-0000-0000-00005A1D0000}"/>
    <cellStyle name="Финансовый 2 3 6 5 4 2" xfId="16477" xr:uid="{00000000-0005-0000-0000-00005B1D0000}"/>
    <cellStyle name="Финансовый 2 3 6 5 5" xfId="10441" xr:uid="{00000000-0005-0000-0000-00005C1D0000}"/>
    <cellStyle name="Финансовый 2 3 6 6" xfId="2441" xr:uid="{00000000-0005-0000-0000-00005D1D0000}"/>
    <cellStyle name="Финансовый 2 3 6 6 2" xfId="4086" xr:uid="{00000000-0005-0000-0000-00005E1D0000}"/>
    <cellStyle name="Финансовый 2 3 6 6 2 2" xfId="12731" xr:uid="{00000000-0005-0000-0000-00005F1D0000}"/>
    <cellStyle name="Финансовый 2 3 6 6 3" xfId="5869" xr:uid="{00000000-0005-0000-0000-0000601D0000}"/>
    <cellStyle name="Финансовый 2 3 6 6 3 2" xfId="14512" xr:uid="{00000000-0005-0000-0000-0000611D0000}"/>
    <cellStyle name="Финансовый 2 3 6 6 4" xfId="8479" xr:uid="{00000000-0005-0000-0000-0000621D0000}"/>
    <cellStyle name="Финансовый 2 3 6 6 4 2" xfId="17122" xr:uid="{00000000-0005-0000-0000-0000631D0000}"/>
    <cellStyle name="Финансовый 2 3 6 6 5" xfId="11086" xr:uid="{00000000-0005-0000-0000-0000641D0000}"/>
    <cellStyle name="Финансовый 2 3 6 7" xfId="1668" xr:uid="{00000000-0005-0000-0000-0000651D0000}"/>
    <cellStyle name="Финансовый 2 3 6 7 2" xfId="3313" xr:uid="{00000000-0005-0000-0000-0000661D0000}"/>
    <cellStyle name="Финансовый 2 3 6 7 2 2" xfId="11958" xr:uid="{00000000-0005-0000-0000-0000671D0000}"/>
    <cellStyle name="Финансовый 2 3 6 7 3" xfId="5096" xr:uid="{00000000-0005-0000-0000-0000681D0000}"/>
    <cellStyle name="Финансовый 2 3 6 7 3 2" xfId="13739" xr:uid="{00000000-0005-0000-0000-0000691D0000}"/>
    <cellStyle name="Финансовый 2 3 6 7 4" xfId="7706" xr:uid="{00000000-0005-0000-0000-00006A1D0000}"/>
    <cellStyle name="Финансовый 2 3 6 7 4 2" xfId="16349" xr:uid="{00000000-0005-0000-0000-00006B1D0000}"/>
    <cellStyle name="Финансовый 2 3 6 7 5" xfId="10313" xr:uid="{00000000-0005-0000-0000-00006C1D0000}"/>
    <cellStyle name="Финансовый 2 3 6 8" xfId="945" xr:uid="{00000000-0005-0000-0000-00006D1D0000}"/>
    <cellStyle name="Финансовый 2 3 6 8 2" xfId="6985" xr:uid="{00000000-0005-0000-0000-00006E1D0000}"/>
    <cellStyle name="Финансовый 2 3 6 8 2 2" xfId="15628" xr:uid="{00000000-0005-0000-0000-00006F1D0000}"/>
    <cellStyle name="Финансовый 2 3 6 8 3" xfId="9592" xr:uid="{00000000-0005-0000-0000-0000701D0000}"/>
    <cellStyle name="Финансовый 2 3 6 9" xfId="533" xr:uid="{00000000-0005-0000-0000-0000711D0000}"/>
    <cellStyle name="Финансовый 2 3 6 9 2" xfId="6573" xr:uid="{00000000-0005-0000-0000-0000721D0000}"/>
    <cellStyle name="Финансовый 2 3 6 9 2 2" xfId="15216" xr:uid="{00000000-0005-0000-0000-0000731D0000}"/>
    <cellStyle name="Финансовый 2 3 6 9 3" xfId="9180" xr:uid="{00000000-0005-0000-0000-0000741D0000}"/>
    <cellStyle name="Финансовый 2 3 7" xfId="76" xr:uid="{00000000-0005-0000-0000-0000751D0000}"/>
    <cellStyle name="Финансовый 2 3 7 10" xfId="2686" xr:uid="{00000000-0005-0000-0000-0000761D0000}"/>
    <cellStyle name="Финансовый 2 3 7 10 2" xfId="11331" xr:uid="{00000000-0005-0000-0000-0000771D0000}"/>
    <cellStyle name="Финансовый 2 3 7 11" xfId="4330" xr:uid="{00000000-0005-0000-0000-0000781D0000}"/>
    <cellStyle name="Финансовый 2 3 7 11 2" xfId="12975" xr:uid="{00000000-0005-0000-0000-0000791D0000}"/>
    <cellStyle name="Финансовый 2 3 7 12" xfId="6117" xr:uid="{00000000-0005-0000-0000-00007A1D0000}"/>
    <cellStyle name="Финансовый 2 3 7 12 2" xfId="14760" xr:uid="{00000000-0005-0000-0000-00007B1D0000}"/>
    <cellStyle name="Финансовый 2 3 7 13" xfId="8724" xr:uid="{00000000-0005-0000-0000-00007C1D0000}"/>
    <cellStyle name="Финансовый 2 3 7 2" xfId="212" xr:uid="{00000000-0005-0000-0000-00007D1D0000}"/>
    <cellStyle name="Финансовый 2 3 7 2 10" xfId="8860" xr:uid="{00000000-0005-0000-0000-00007E1D0000}"/>
    <cellStyle name="Финансовый 2 3 7 2 2" xfId="1310" xr:uid="{00000000-0005-0000-0000-00007F1D0000}"/>
    <cellStyle name="Финансовый 2 3 7 2 2 2" xfId="2268" xr:uid="{00000000-0005-0000-0000-0000801D0000}"/>
    <cellStyle name="Финансовый 2 3 7 2 2 2 2" xfId="3913" xr:uid="{00000000-0005-0000-0000-0000811D0000}"/>
    <cellStyle name="Финансовый 2 3 7 2 2 2 2 2" xfId="12558" xr:uid="{00000000-0005-0000-0000-0000821D0000}"/>
    <cellStyle name="Финансовый 2 3 7 2 2 2 3" xfId="5696" xr:uid="{00000000-0005-0000-0000-0000831D0000}"/>
    <cellStyle name="Финансовый 2 3 7 2 2 2 3 2" xfId="14339" xr:uid="{00000000-0005-0000-0000-0000841D0000}"/>
    <cellStyle name="Финансовый 2 3 7 2 2 2 4" xfId="8306" xr:uid="{00000000-0005-0000-0000-0000851D0000}"/>
    <cellStyle name="Финансовый 2 3 7 2 2 2 4 2" xfId="16949" xr:uid="{00000000-0005-0000-0000-0000861D0000}"/>
    <cellStyle name="Финансовый 2 3 7 2 2 2 5" xfId="10913" xr:uid="{00000000-0005-0000-0000-0000871D0000}"/>
    <cellStyle name="Финансовый 2 3 7 2 2 3" xfId="3094" xr:uid="{00000000-0005-0000-0000-0000881D0000}"/>
    <cellStyle name="Финансовый 2 3 7 2 2 3 2" xfId="11739" xr:uid="{00000000-0005-0000-0000-0000891D0000}"/>
    <cellStyle name="Финансовый 2 3 7 2 2 4" xfId="4738" xr:uid="{00000000-0005-0000-0000-00008A1D0000}"/>
    <cellStyle name="Финансовый 2 3 7 2 2 4 2" xfId="13383" xr:uid="{00000000-0005-0000-0000-00008B1D0000}"/>
    <cellStyle name="Финансовый 2 3 7 2 2 5" xfId="7350" xr:uid="{00000000-0005-0000-0000-00008C1D0000}"/>
    <cellStyle name="Финансовый 2 3 7 2 2 5 2" xfId="15993" xr:uid="{00000000-0005-0000-0000-00008D1D0000}"/>
    <cellStyle name="Финансовый 2 3 7 2 2 6" xfId="9957" xr:uid="{00000000-0005-0000-0000-00008E1D0000}"/>
    <cellStyle name="Финансовый 2 3 7 2 3" xfId="2012" xr:uid="{00000000-0005-0000-0000-00008F1D0000}"/>
    <cellStyle name="Финансовый 2 3 7 2 3 2" xfId="3657" xr:uid="{00000000-0005-0000-0000-0000901D0000}"/>
    <cellStyle name="Финансовый 2 3 7 2 3 2 2" xfId="12302" xr:uid="{00000000-0005-0000-0000-0000911D0000}"/>
    <cellStyle name="Финансовый 2 3 7 2 3 3" xfId="5440" xr:uid="{00000000-0005-0000-0000-0000921D0000}"/>
    <cellStyle name="Финансовый 2 3 7 2 3 3 2" xfId="14083" xr:uid="{00000000-0005-0000-0000-0000931D0000}"/>
    <cellStyle name="Финансовый 2 3 7 2 3 4" xfId="8050" xr:uid="{00000000-0005-0000-0000-0000941D0000}"/>
    <cellStyle name="Финансовый 2 3 7 2 3 4 2" xfId="16693" xr:uid="{00000000-0005-0000-0000-0000951D0000}"/>
    <cellStyle name="Финансовый 2 3 7 2 3 5" xfId="10657" xr:uid="{00000000-0005-0000-0000-0000961D0000}"/>
    <cellStyle name="Финансовый 2 3 7 2 4" xfId="2541" xr:uid="{00000000-0005-0000-0000-0000971D0000}"/>
    <cellStyle name="Финансовый 2 3 7 2 4 2" xfId="4186" xr:uid="{00000000-0005-0000-0000-0000981D0000}"/>
    <cellStyle name="Финансовый 2 3 7 2 4 2 2" xfId="12831" xr:uid="{00000000-0005-0000-0000-0000991D0000}"/>
    <cellStyle name="Финансовый 2 3 7 2 4 3" xfId="5969" xr:uid="{00000000-0005-0000-0000-00009A1D0000}"/>
    <cellStyle name="Финансовый 2 3 7 2 4 3 2" xfId="14612" xr:uid="{00000000-0005-0000-0000-00009B1D0000}"/>
    <cellStyle name="Финансовый 2 3 7 2 4 4" xfId="8579" xr:uid="{00000000-0005-0000-0000-00009C1D0000}"/>
    <cellStyle name="Финансовый 2 3 7 2 4 4 2" xfId="17222" xr:uid="{00000000-0005-0000-0000-00009D1D0000}"/>
    <cellStyle name="Финансовый 2 3 7 2 4 5" xfId="11186" xr:uid="{00000000-0005-0000-0000-00009E1D0000}"/>
    <cellStyle name="Финансовый 2 3 7 2 5" xfId="1045" xr:uid="{00000000-0005-0000-0000-00009F1D0000}"/>
    <cellStyle name="Финансовый 2 3 7 2 5 2" xfId="7085" xr:uid="{00000000-0005-0000-0000-0000A01D0000}"/>
    <cellStyle name="Финансовый 2 3 7 2 5 2 2" xfId="15728" xr:uid="{00000000-0005-0000-0000-0000A11D0000}"/>
    <cellStyle name="Финансовый 2 3 7 2 5 3" xfId="9692" xr:uid="{00000000-0005-0000-0000-0000A21D0000}"/>
    <cellStyle name="Финансовый 2 3 7 2 6" xfId="633" xr:uid="{00000000-0005-0000-0000-0000A31D0000}"/>
    <cellStyle name="Финансовый 2 3 7 2 6 2" xfId="6673" xr:uid="{00000000-0005-0000-0000-0000A41D0000}"/>
    <cellStyle name="Финансовый 2 3 7 2 6 2 2" xfId="15316" xr:uid="{00000000-0005-0000-0000-0000A51D0000}"/>
    <cellStyle name="Финансовый 2 3 7 2 6 3" xfId="9280" xr:uid="{00000000-0005-0000-0000-0000A61D0000}"/>
    <cellStyle name="Финансовый 2 3 7 2 7" xfId="2822" xr:uid="{00000000-0005-0000-0000-0000A71D0000}"/>
    <cellStyle name="Финансовый 2 3 7 2 7 2" xfId="11467" xr:uid="{00000000-0005-0000-0000-0000A81D0000}"/>
    <cellStyle name="Финансовый 2 3 7 2 8" xfId="4466" xr:uid="{00000000-0005-0000-0000-0000A91D0000}"/>
    <cellStyle name="Финансовый 2 3 7 2 8 2" xfId="13111" xr:uid="{00000000-0005-0000-0000-0000AA1D0000}"/>
    <cellStyle name="Финансовый 2 3 7 2 9" xfId="6253" xr:uid="{00000000-0005-0000-0000-0000AB1D0000}"/>
    <cellStyle name="Финансовый 2 3 7 2 9 2" xfId="14896" xr:uid="{00000000-0005-0000-0000-0000AC1D0000}"/>
    <cellStyle name="Финансовый 2 3 7 3" xfId="361" xr:uid="{00000000-0005-0000-0000-0000AD1D0000}"/>
    <cellStyle name="Финансовый 2 3 7 3 2" xfId="2140" xr:uid="{00000000-0005-0000-0000-0000AE1D0000}"/>
    <cellStyle name="Финансовый 2 3 7 3 2 2" xfId="3785" xr:uid="{00000000-0005-0000-0000-0000AF1D0000}"/>
    <cellStyle name="Финансовый 2 3 7 3 2 2 2" xfId="12430" xr:uid="{00000000-0005-0000-0000-0000B01D0000}"/>
    <cellStyle name="Финансовый 2 3 7 3 2 3" xfId="5568" xr:uid="{00000000-0005-0000-0000-0000B11D0000}"/>
    <cellStyle name="Финансовый 2 3 7 3 2 3 2" xfId="14211" xr:uid="{00000000-0005-0000-0000-0000B21D0000}"/>
    <cellStyle name="Финансовый 2 3 7 3 2 4" xfId="8178" xr:uid="{00000000-0005-0000-0000-0000B31D0000}"/>
    <cellStyle name="Финансовый 2 3 7 3 2 4 2" xfId="16821" xr:uid="{00000000-0005-0000-0000-0000B41D0000}"/>
    <cellStyle name="Финансовый 2 3 7 3 2 5" xfId="10785" xr:uid="{00000000-0005-0000-0000-0000B51D0000}"/>
    <cellStyle name="Финансовый 2 3 7 3 3" xfId="1174" xr:uid="{00000000-0005-0000-0000-0000B61D0000}"/>
    <cellStyle name="Финансовый 2 3 7 3 3 2" xfId="7214" xr:uid="{00000000-0005-0000-0000-0000B71D0000}"/>
    <cellStyle name="Финансовый 2 3 7 3 3 2 2" xfId="15857" xr:uid="{00000000-0005-0000-0000-0000B81D0000}"/>
    <cellStyle name="Финансовый 2 3 7 3 3 3" xfId="9821" xr:uid="{00000000-0005-0000-0000-0000B91D0000}"/>
    <cellStyle name="Финансовый 2 3 7 3 4" xfId="781" xr:uid="{00000000-0005-0000-0000-0000BA1D0000}"/>
    <cellStyle name="Финансовый 2 3 7 3 4 2" xfId="6821" xr:uid="{00000000-0005-0000-0000-0000BB1D0000}"/>
    <cellStyle name="Финансовый 2 3 7 3 4 2 2" xfId="15464" xr:uid="{00000000-0005-0000-0000-0000BC1D0000}"/>
    <cellStyle name="Финансовый 2 3 7 3 4 3" xfId="9428" xr:uid="{00000000-0005-0000-0000-0000BD1D0000}"/>
    <cellStyle name="Финансовый 2 3 7 3 5" xfId="2958" xr:uid="{00000000-0005-0000-0000-0000BE1D0000}"/>
    <cellStyle name="Финансовый 2 3 7 3 5 2" xfId="11603" xr:uid="{00000000-0005-0000-0000-0000BF1D0000}"/>
    <cellStyle name="Финансовый 2 3 7 3 6" xfId="4602" xr:uid="{00000000-0005-0000-0000-0000C01D0000}"/>
    <cellStyle name="Финансовый 2 3 7 3 6 2" xfId="13247" xr:uid="{00000000-0005-0000-0000-0000C11D0000}"/>
    <cellStyle name="Финансовый 2 3 7 3 7" xfId="6401" xr:uid="{00000000-0005-0000-0000-0000C21D0000}"/>
    <cellStyle name="Финансовый 2 3 7 3 7 2" xfId="15044" xr:uid="{00000000-0005-0000-0000-0000C31D0000}"/>
    <cellStyle name="Финансовый 2 3 7 3 8" xfId="9008" xr:uid="{00000000-0005-0000-0000-0000C41D0000}"/>
    <cellStyle name="Финансовый 2 3 7 4" xfId="1493" xr:uid="{00000000-0005-0000-0000-0000C51D0000}"/>
    <cellStyle name="Финансовый 2 3 7 4 2" xfId="1884" xr:uid="{00000000-0005-0000-0000-0000C61D0000}"/>
    <cellStyle name="Финансовый 2 3 7 4 2 2" xfId="3529" xr:uid="{00000000-0005-0000-0000-0000C71D0000}"/>
    <cellStyle name="Финансовый 2 3 7 4 2 2 2" xfId="12174" xr:uid="{00000000-0005-0000-0000-0000C81D0000}"/>
    <cellStyle name="Финансовый 2 3 7 4 2 3" xfId="5312" xr:uid="{00000000-0005-0000-0000-0000C91D0000}"/>
    <cellStyle name="Финансовый 2 3 7 4 2 3 2" xfId="13955" xr:uid="{00000000-0005-0000-0000-0000CA1D0000}"/>
    <cellStyle name="Финансовый 2 3 7 4 2 4" xfId="7922" xr:uid="{00000000-0005-0000-0000-0000CB1D0000}"/>
    <cellStyle name="Финансовый 2 3 7 4 2 4 2" xfId="16565" xr:uid="{00000000-0005-0000-0000-0000CC1D0000}"/>
    <cellStyle name="Финансовый 2 3 7 4 2 5" xfId="10529" xr:uid="{00000000-0005-0000-0000-0000CD1D0000}"/>
    <cellStyle name="Финансовый 2 3 7 4 3" xfId="4921" xr:uid="{00000000-0005-0000-0000-0000CE1D0000}"/>
    <cellStyle name="Финансовый 2 3 7 4 3 2" xfId="13564" xr:uid="{00000000-0005-0000-0000-0000CF1D0000}"/>
    <cellStyle name="Финансовый 2 3 7 4 4" xfId="7531" xr:uid="{00000000-0005-0000-0000-0000D01D0000}"/>
    <cellStyle name="Финансовый 2 3 7 4 4 2" xfId="16174" xr:uid="{00000000-0005-0000-0000-0000D11D0000}"/>
    <cellStyle name="Финансовый 2 3 7 4 5" xfId="10138" xr:uid="{00000000-0005-0000-0000-0000D21D0000}"/>
    <cellStyle name="Финансовый 2 3 7 5" xfId="1760" xr:uid="{00000000-0005-0000-0000-0000D31D0000}"/>
    <cellStyle name="Финансовый 2 3 7 5 2" xfId="3405" xr:uid="{00000000-0005-0000-0000-0000D41D0000}"/>
    <cellStyle name="Финансовый 2 3 7 5 2 2" xfId="12050" xr:uid="{00000000-0005-0000-0000-0000D51D0000}"/>
    <cellStyle name="Финансовый 2 3 7 5 3" xfId="5188" xr:uid="{00000000-0005-0000-0000-0000D61D0000}"/>
    <cellStyle name="Финансовый 2 3 7 5 3 2" xfId="13831" xr:uid="{00000000-0005-0000-0000-0000D71D0000}"/>
    <cellStyle name="Финансовый 2 3 7 5 4" xfId="7798" xr:uid="{00000000-0005-0000-0000-0000D81D0000}"/>
    <cellStyle name="Финансовый 2 3 7 5 4 2" xfId="16441" xr:uid="{00000000-0005-0000-0000-0000D91D0000}"/>
    <cellStyle name="Финансовый 2 3 7 5 5" xfId="10405" xr:uid="{00000000-0005-0000-0000-0000DA1D0000}"/>
    <cellStyle name="Финансовый 2 3 7 6" xfId="2405" xr:uid="{00000000-0005-0000-0000-0000DB1D0000}"/>
    <cellStyle name="Финансовый 2 3 7 6 2" xfId="4050" xr:uid="{00000000-0005-0000-0000-0000DC1D0000}"/>
    <cellStyle name="Финансовый 2 3 7 6 2 2" xfId="12695" xr:uid="{00000000-0005-0000-0000-0000DD1D0000}"/>
    <cellStyle name="Финансовый 2 3 7 6 3" xfId="5833" xr:uid="{00000000-0005-0000-0000-0000DE1D0000}"/>
    <cellStyle name="Финансовый 2 3 7 6 3 2" xfId="14476" xr:uid="{00000000-0005-0000-0000-0000DF1D0000}"/>
    <cellStyle name="Финансовый 2 3 7 6 4" xfId="8443" xr:uid="{00000000-0005-0000-0000-0000E01D0000}"/>
    <cellStyle name="Финансовый 2 3 7 6 4 2" xfId="17086" xr:uid="{00000000-0005-0000-0000-0000E11D0000}"/>
    <cellStyle name="Финансовый 2 3 7 6 5" xfId="11050" xr:uid="{00000000-0005-0000-0000-0000E21D0000}"/>
    <cellStyle name="Финансовый 2 3 7 7" xfId="1632" xr:uid="{00000000-0005-0000-0000-0000E31D0000}"/>
    <cellStyle name="Финансовый 2 3 7 7 2" xfId="3277" xr:uid="{00000000-0005-0000-0000-0000E41D0000}"/>
    <cellStyle name="Финансовый 2 3 7 7 2 2" xfId="11922" xr:uid="{00000000-0005-0000-0000-0000E51D0000}"/>
    <cellStyle name="Финансовый 2 3 7 7 3" xfId="5060" xr:uid="{00000000-0005-0000-0000-0000E61D0000}"/>
    <cellStyle name="Финансовый 2 3 7 7 3 2" xfId="13703" xr:uid="{00000000-0005-0000-0000-0000E71D0000}"/>
    <cellStyle name="Финансовый 2 3 7 7 4" xfId="7670" xr:uid="{00000000-0005-0000-0000-0000E81D0000}"/>
    <cellStyle name="Финансовый 2 3 7 7 4 2" xfId="16313" xr:uid="{00000000-0005-0000-0000-0000E91D0000}"/>
    <cellStyle name="Финансовый 2 3 7 7 5" xfId="10277" xr:uid="{00000000-0005-0000-0000-0000EA1D0000}"/>
    <cellStyle name="Финансовый 2 3 7 8" xfId="909" xr:uid="{00000000-0005-0000-0000-0000EB1D0000}"/>
    <cellStyle name="Финансовый 2 3 7 8 2" xfId="6949" xr:uid="{00000000-0005-0000-0000-0000EC1D0000}"/>
    <cellStyle name="Финансовый 2 3 7 8 2 2" xfId="15592" xr:uid="{00000000-0005-0000-0000-0000ED1D0000}"/>
    <cellStyle name="Финансовый 2 3 7 8 3" xfId="9556" xr:uid="{00000000-0005-0000-0000-0000EE1D0000}"/>
    <cellStyle name="Финансовый 2 3 7 9" xfId="497" xr:uid="{00000000-0005-0000-0000-0000EF1D0000}"/>
    <cellStyle name="Финансовый 2 3 7 9 2" xfId="6537" xr:uid="{00000000-0005-0000-0000-0000F01D0000}"/>
    <cellStyle name="Финансовый 2 3 7 9 2 2" xfId="15180" xr:uid="{00000000-0005-0000-0000-0000F11D0000}"/>
    <cellStyle name="Финансовый 2 3 7 9 3" xfId="9144" xr:uid="{00000000-0005-0000-0000-0000F21D0000}"/>
    <cellStyle name="Финансовый 2 3 8" xfId="54" xr:uid="{00000000-0005-0000-0000-0000F31D0000}"/>
    <cellStyle name="Финансовый 2 3 8 10" xfId="2666" xr:uid="{00000000-0005-0000-0000-0000F41D0000}"/>
    <cellStyle name="Финансовый 2 3 8 10 2" xfId="11311" xr:uid="{00000000-0005-0000-0000-0000F51D0000}"/>
    <cellStyle name="Финансовый 2 3 8 11" xfId="4309" xr:uid="{00000000-0005-0000-0000-0000F61D0000}"/>
    <cellStyle name="Финансовый 2 3 8 11 2" xfId="12954" xr:uid="{00000000-0005-0000-0000-0000F71D0000}"/>
    <cellStyle name="Финансовый 2 3 8 12" xfId="6097" xr:uid="{00000000-0005-0000-0000-0000F81D0000}"/>
    <cellStyle name="Финансовый 2 3 8 12 2" xfId="14740" xr:uid="{00000000-0005-0000-0000-0000F91D0000}"/>
    <cellStyle name="Финансовый 2 3 8 13" xfId="8704" xr:uid="{00000000-0005-0000-0000-0000FA1D0000}"/>
    <cellStyle name="Финансовый 2 3 8 2" xfId="192" xr:uid="{00000000-0005-0000-0000-0000FB1D0000}"/>
    <cellStyle name="Финансовый 2 3 8 2 10" xfId="8840" xr:uid="{00000000-0005-0000-0000-0000FC1D0000}"/>
    <cellStyle name="Финансовый 2 3 8 2 2" xfId="1290" xr:uid="{00000000-0005-0000-0000-0000FD1D0000}"/>
    <cellStyle name="Финансовый 2 3 8 2 2 2" xfId="2256" xr:uid="{00000000-0005-0000-0000-0000FE1D0000}"/>
    <cellStyle name="Финансовый 2 3 8 2 2 2 2" xfId="3901" xr:uid="{00000000-0005-0000-0000-0000FF1D0000}"/>
    <cellStyle name="Финансовый 2 3 8 2 2 2 2 2" xfId="12546" xr:uid="{00000000-0005-0000-0000-0000001E0000}"/>
    <cellStyle name="Финансовый 2 3 8 2 2 2 3" xfId="5684" xr:uid="{00000000-0005-0000-0000-0000011E0000}"/>
    <cellStyle name="Финансовый 2 3 8 2 2 2 3 2" xfId="14327" xr:uid="{00000000-0005-0000-0000-0000021E0000}"/>
    <cellStyle name="Финансовый 2 3 8 2 2 2 4" xfId="8294" xr:uid="{00000000-0005-0000-0000-0000031E0000}"/>
    <cellStyle name="Финансовый 2 3 8 2 2 2 4 2" xfId="16937" xr:uid="{00000000-0005-0000-0000-0000041E0000}"/>
    <cellStyle name="Финансовый 2 3 8 2 2 2 5" xfId="10901" xr:uid="{00000000-0005-0000-0000-0000051E0000}"/>
    <cellStyle name="Финансовый 2 3 8 2 2 3" xfId="3074" xr:uid="{00000000-0005-0000-0000-0000061E0000}"/>
    <cellStyle name="Финансовый 2 3 8 2 2 3 2" xfId="11719" xr:uid="{00000000-0005-0000-0000-0000071E0000}"/>
    <cellStyle name="Финансовый 2 3 8 2 2 4" xfId="4718" xr:uid="{00000000-0005-0000-0000-0000081E0000}"/>
    <cellStyle name="Финансовый 2 3 8 2 2 4 2" xfId="13363" xr:uid="{00000000-0005-0000-0000-0000091E0000}"/>
    <cellStyle name="Финансовый 2 3 8 2 2 5" xfId="7330" xr:uid="{00000000-0005-0000-0000-00000A1E0000}"/>
    <cellStyle name="Финансовый 2 3 8 2 2 5 2" xfId="15973" xr:uid="{00000000-0005-0000-0000-00000B1E0000}"/>
    <cellStyle name="Финансовый 2 3 8 2 2 6" xfId="9937" xr:uid="{00000000-0005-0000-0000-00000C1E0000}"/>
    <cellStyle name="Финансовый 2 3 8 2 3" xfId="2000" xr:uid="{00000000-0005-0000-0000-00000D1E0000}"/>
    <cellStyle name="Финансовый 2 3 8 2 3 2" xfId="3645" xr:uid="{00000000-0005-0000-0000-00000E1E0000}"/>
    <cellStyle name="Финансовый 2 3 8 2 3 2 2" xfId="12290" xr:uid="{00000000-0005-0000-0000-00000F1E0000}"/>
    <cellStyle name="Финансовый 2 3 8 2 3 3" xfId="5428" xr:uid="{00000000-0005-0000-0000-0000101E0000}"/>
    <cellStyle name="Финансовый 2 3 8 2 3 3 2" xfId="14071" xr:uid="{00000000-0005-0000-0000-0000111E0000}"/>
    <cellStyle name="Финансовый 2 3 8 2 3 4" xfId="8038" xr:uid="{00000000-0005-0000-0000-0000121E0000}"/>
    <cellStyle name="Финансовый 2 3 8 2 3 4 2" xfId="16681" xr:uid="{00000000-0005-0000-0000-0000131E0000}"/>
    <cellStyle name="Финансовый 2 3 8 2 3 5" xfId="10645" xr:uid="{00000000-0005-0000-0000-0000141E0000}"/>
    <cellStyle name="Финансовый 2 3 8 2 4" xfId="2521" xr:uid="{00000000-0005-0000-0000-0000151E0000}"/>
    <cellStyle name="Финансовый 2 3 8 2 4 2" xfId="4166" xr:uid="{00000000-0005-0000-0000-0000161E0000}"/>
    <cellStyle name="Финансовый 2 3 8 2 4 2 2" xfId="12811" xr:uid="{00000000-0005-0000-0000-0000171E0000}"/>
    <cellStyle name="Финансовый 2 3 8 2 4 3" xfId="5949" xr:uid="{00000000-0005-0000-0000-0000181E0000}"/>
    <cellStyle name="Финансовый 2 3 8 2 4 3 2" xfId="14592" xr:uid="{00000000-0005-0000-0000-0000191E0000}"/>
    <cellStyle name="Финансовый 2 3 8 2 4 4" xfId="8559" xr:uid="{00000000-0005-0000-0000-00001A1E0000}"/>
    <cellStyle name="Финансовый 2 3 8 2 4 4 2" xfId="17202" xr:uid="{00000000-0005-0000-0000-00001B1E0000}"/>
    <cellStyle name="Финансовый 2 3 8 2 4 5" xfId="11166" xr:uid="{00000000-0005-0000-0000-00001C1E0000}"/>
    <cellStyle name="Финансовый 2 3 8 2 5" xfId="1025" xr:uid="{00000000-0005-0000-0000-00001D1E0000}"/>
    <cellStyle name="Финансовый 2 3 8 2 5 2" xfId="7065" xr:uid="{00000000-0005-0000-0000-00001E1E0000}"/>
    <cellStyle name="Финансовый 2 3 8 2 5 2 2" xfId="15708" xr:uid="{00000000-0005-0000-0000-00001F1E0000}"/>
    <cellStyle name="Финансовый 2 3 8 2 5 3" xfId="9672" xr:uid="{00000000-0005-0000-0000-0000201E0000}"/>
    <cellStyle name="Финансовый 2 3 8 2 6" xfId="613" xr:uid="{00000000-0005-0000-0000-0000211E0000}"/>
    <cellStyle name="Финансовый 2 3 8 2 6 2" xfId="6653" xr:uid="{00000000-0005-0000-0000-0000221E0000}"/>
    <cellStyle name="Финансовый 2 3 8 2 6 2 2" xfId="15296" xr:uid="{00000000-0005-0000-0000-0000231E0000}"/>
    <cellStyle name="Финансовый 2 3 8 2 6 3" xfId="9260" xr:uid="{00000000-0005-0000-0000-0000241E0000}"/>
    <cellStyle name="Финансовый 2 3 8 2 7" xfId="2802" xr:uid="{00000000-0005-0000-0000-0000251E0000}"/>
    <cellStyle name="Финансовый 2 3 8 2 7 2" xfId="11447" xr:uid="{00000000-0005-0000-0000-0000261E0000}"/>
    <cellStyle name="Финансовый 2 3 8 2 8" xfId="4446" xr:uid="{00000000-0005-0000-0000-0000271E0000}"/>
    <cellStyle name="Финансовый 2 3 8 2 8 2" xfId="13091" xr:uid="{00000000-0005-0000-0000-0000281E0000}"/>
    <cellStyle name="Финансовый 2 3 8 2 9" xfId="6233" xr:uid="{00000000-0005-0000-0000-0000291E0000}"/>
    <cellStyle name="Финансовый 2 3 8 2 9 2" xfId="14876" xr:uid="{00000000-0005-0000-0000-00002A1E0000}"/>
    <cellStyle name="Финансовый 2 3 8 3" xfId="341" xr:uid="{00000000-0005-0000-0000-00002B1E0000}"/>
    <cellStyle name="Финансовый 2 3 8 3 2" xfId="2128" xr:uid="{00000000-0005-0000-0000-00002C1E0000}"/>
    <cellStyle name="Финансовый 2 3 8 3 2 2" xfId="3773" xr:uid="{00000000-0005-0000-0000-00002D1E0000}"/>
    <cellStyle name="Финансовый 2 3 8 3 2 2 2" xfId="12418" xr:uid="{00000000-0005-0000-0000-00002E1E0000}"/>
    <cellStyle name="Финансовый 2 3 8 3 2 3" xfId="5556" xr:uid="{00000000-0005-0000-0000-00002F1E0000}"/>
    <cellStyle name="Финансовый 2 3 8 3 2 3 2" xfId="14199" xr:uid="{00000000-0005-0000-0000-0000301E0000}"/>
    <cellStyle name="Финансовый 2 3 8 3 2 4" xfId="8166" xr:uid="{00000000-0005-0000-0000-0000311E0000}"/>
    <cellStyle name="Финансовый 2 3 8 3 2 4 2" xfId="16809" xr:uid="{00000000-0005-0000-0000-0000321E0000}"/>
    <cellStyle name="Финансовый 2 3 8 3 2 5" xfId="10773" xr:uid="{00000000-0005-0000-0000-0000331E0000}"/>
    <cellStyle name="Финансовый 2 3 8 3 3" xfId="1161" xr:uid="{00000000-0005-0000-0000-0000341E0000}"/>
    <cellStyle name="Финансовый 2 3 8 3 3 2" xfId="7201" xr:uid="{00000000-0005-0000-0000-0000351E0000}"/>
    <cellStyle name="Финансовый 2 3 8 3 3 2 2" xfId="15844" xr:uid="{00000000-0005-0000-0000-0000361E0000}"/>
    <cellStyle name="Финансовый 2 3 8 3 3 3" xfId="9808" xr:uid="{00000000-0005-0000-0000-0000371E0000}"/>
    <cellStyle name="Финансовый 2 3 8 3 4" xfId="761" xr:uid="{00000000-0005-0000-0000-0000381E0000}"/>
    <cellStyle name="Финансовый 2 3 8 3 4 2" xfId="6801" xr:uid="{00000000-0005-0000-0000-0000391E0000}"/>
    <cellStyle name="Финансовый 2 3 8 3 4 2 2" xfId="15444" xr:uid="{00000000-0005-0000-0000-00003A1E0000}"/>
    <cellStyle name="Финансовый 2 3 8 3 4 3" xfId="9408" xr:uid="{00000000-0005-0000-0000-00003B1E0000}"/>
    <cellStyle name="Финансовый 2 3 8 3 5" xfId="2938" xr:uid="{00000000-0005-0000-0000-00003C1E0000}"/>
    <cellStyle name="Финансовый 2 3 8 3 5 2" xfId="11583" xr:uid="{00000000-0005-0000-0000-00003D1E0000}"/>
    <cellStyle name="Финансовый 2 3 8 3 6" xfId="4582" xr:uid="{00000000-0005-0000-0000-00003E1E0000}"/>
    <cellStyle name="Финансовый 2 3 8 3 6 2" xfId="13227" xr:uid="{00000000-0005-0000-0000-00003F1E0000}"/>
    <cellStyle name="Финансовый 2 3 8 3 7" xfId="6381" xr:uid="{00000000-0005-0000-0000-0000401E0000}"/>
    <cellStyle name="Финансовый 2 3 8 3 7 2" xfId="15024" xr:uid="{00000000-0005-0000-0000-0000411E0000}"/>
    <cellStyle name="Финансовый 2 3 8 3 8" xfId="8988" xr:uid="{00000000-0005-0000-0000-0000421E0000}"/>
    <cellStyle name="Финансовый 2 3 8 4" xfId="1494" xr:uid="{00000000-0005-0000-0000-0000431E0000}"/>
    <cellStyle name="Финансовый 2 3 8 4 2" xfId="1864" xr:uid="{00000000-0005-0000-0000-0000441E0000}"/>
    <cellStyle name="Финансовый 2 3 8 4 2 2" xfId="3509" xr:uid="{00000000-0005-0000-0000-0000451E0000}"/>
    <cellStyle name="Финансовый 2 3 8 4 2 2 2" xfId="12154" xr:uid="{00000000-0005-0000-0000-0000461E0000}"/>
    <cellStyle name="Финансовый 2 3 8 4 2 3" xfId="5292" xr:uid="{00000000-0005-0000-0000-0000471E0000}"/>
    <cellStyle name="Финансовый 2 3 8 4 2 3 2" xfId="13935" xr:uid="{00000000-0005-0000-0000-0000481E0000}"/>
    <cellStyle name="Финансовый 2 3 8 4 2 4" xfId="7902" xr:uid="{00000000-0005-0000-0000-0000491E0000}"/>
    <cellStyle name="Финансовый 2 3 8 4 2 4 2" xfId="16545" xr:uid="{00000000-0005-0000-0000-00004A1E0000}"/>
    <cellStyle name="Финансовый 2 3 8 4 2 5" xfId="10509" xr:uid="{00000000-0005-0000-0000-00004B1E0000}"/>
    <cellStyle name="Финансовый 2 3 8 4 3" xfId="4922" xr:uid="{00000000-0005-0000-0000-00004C1E0000}"/>
    <cellStyle name="Финансовый 2 3 8 4 3 2" xfId="13565" xr:uid="{00000000-0005-0000-0000-00004D1E0000}"/>
    <cellStyle name="Финансовый 2 3 8 4 4" xfId="7532" xr:uid="{00000000-0005-0000-0000-00004E1E0000}"/>
    <cellStyle name="Финансовый 2 3 8 4 4 2" xfId="16175" xr:uid="{00000000-0005-0000-0000-00004F1E0000}"/>
    <cellStyle name="Финансовый 2 3 8 4 5" xfId="10139" xr:uid="{00000000-0005-0000-0000-0000501E0000}"/>
    <cellStyle name="Финансовый 2 3 8 5" xfId="1748" xr:uid="{00000000-0005-0000-0000-0000511E0000}"/>
    <cellStyle name="Финансовый 2 3 8 5 2" xfId="3393" xr:uid="{00000000-0005-0000-0000-0000521E0000}"/>
    <cellStyle name="Финансовый 2 3 8 5 2 2" xfId="12038" xr:uid="{00000000-0005-0000-0000-0000531E0000}"/>
    <cellStyle name="Финансовый 2 3 8 5 3" xfId="5176" xr:uid="{00000000-0005-0000-0000-0000541E0000}"/>
    <cellStyle name="Финансовый 2 3 8 5 3 2" xfId="13819" xr:uid="{00000000-0005-0000-0000-0000551E0000}"/>
    <cellStyle name="Финансовый 2 3 8 5 4" xfId="7786" xr:uid="{00000000-0005-0000-0000-0000561E0000}"/>
    <cellStyle name="Финансовый 2 3 8 5 4 2" xfId="16429" xr:uid="{00000000-0005-0000-0000-0000571E0000}"/>
    <cellStyle name="Финансовый 2 3 8 5 5" xfId="10393" xr:uid="{00000000-0005-0000-0000-0000581E0000}"/>
    <cellStyle name="Финансовый 2 3 8 6" xfId="2384" xr:uid="{00000000-0005-0000-0000-0000591E0000}"/>
    <cellStyle name="Финансовый 2 3 8 6 2" xfId="4029" xr:uid="{00000000-0005-0000-0000-00005A1E0000}"/>
    <cellStyle name="Финансовый 2 3 8 6 2 2" xfId="12674" xr:uid="{00000000-0005-0000-0000-00005B1E0000}"/>
    <cellStyle name="Финансовый 2 3 8 6 3" xfId="5812" xr:uid="{00000000-0005-0000-0000-00005C1E0000}"/>
    <cellStyle name="Финансовый 2 3 8 6 3 2" xfId="14455" xr:uid="{00000000-0005-0000-0000-00005D1E0000}"/>
    <cellStyle name="Финансовый 2 3 8 6 4" xfId="8422" xr:uid="{00000000-0005-0000-0000-00005E1E0000}"/>
    <cellStyle name="Финансовый 2 3 8 6 4 2" xfId="17065" xr:uid="{00000000-0005-0000-0000-00005F1E0000}"/>
    <cellStyle name="Финансовый 2 3 8 6 5" xfId="11029" xr:uid="{00000000-0005-0000-0000-0000601E0000}"/>
    <cellStyle name="Финансовый 2 3 8 7" xfId="1611" xr:uid="{00000000-0005-0000-0000-0000611E0000}"/>
    <cellStyle name="Финансовый 2 3 8 7 2" xfId="3256" xr:uid="{00000000-0005-0000-0000-0000621E0000}"/>
    <cellStyle name="Финансовый 2 3 8 7 2 2" xfId="11901" xr:uid="{00000000-0005-0000-0000-0000631E0000}"/>
    <cellStyle name="Финансовый 2 3 8 7 3" xfId="5039" xr:uid="{00000000-0005-0000-0000-0000641E0000}"/>
    <cellStyle name="Финансовый 2 3 8 7 3 2" xfId="13682" xr:uid="{00000000-0005-0000-0000-0000651E0000}"/>
    <cellStyle name="Финансовый 2 3 8 7 4" xfId="7649" xr:uid="{00000000-0005-0000-0000-0000661E0000}"/>
    <cellStyle name="Финансовый 2 3 8 7 4 2" xfId="16292" xr:uid="{00000000-0005-0000-0000-0000671E0000}"/>
    <cellStyle name="Финансовый 2 3 8 7 5" xfId="10256" xr:uid="{00000000-0005-0000-0000-0000681E0000}"/>
    <cellStyle name="Финансовый 2 3 8 8" xfId="897" xr:uid="{00000000-0005-0000-0000-0000691E0000}"/>
    <cellStyle name="Финансовый 2 3 8 8 2" xfId="6937" xr:uid="{00000000-0005-0000-0000-00006A1E0000}"/>
    <cellStyle name="Финансовый 2 3 8 8 2 2" xfId="15580" xr:uid="{00000000-0005-0000-0000-00006B1E0000}"/>
    <cellStyle name="Финансовый 2 3 8 8 3" xfId="9544" xr:uid="{00000000-0005-0000-0000-00006C1E0000}"/>
    <cellStyle name="Финансовый 2 3 8 9" xfId="477" xr:uid="{00000000-0005-0000-0000-00006D1E0000}"/>
    <cellStyle name="Финансовый 2 3 8 9 2" xfId="6517" xr:uid="{00000000-0005-0000-0000-00006E1E0000}"/>
    <cellStyle name="Финансовый 2 3 8 9 2 2" xfId="15160" xr:uid="{00000000-0005-0000-0000-00006F1E0000}"/>
    <cellStyle name="Финансовый 2 3 8 9 3" xfId="9124" xr:uid="{00000000-0005-0000-0000-0000701E0000}"/>
    <cellStyle name="Финансовый 2 3 9" xfId="132" xr:uid="{00000000-0005-0000-0000-0000711E0000}"/>
    <cellStyle name="Финансовый 2 3 9 10" xfId="2742" xr:uid="{00000000-0005-0000-0000-0000721E0000}"/>
    <cellStyle name="Финансовый 2 3 9 10 2" xfId="11387" xr:uid="{00000000-0005-0000-0000-0000731E0000}"/>
    <cellStyle name="Финансовый 2 3 9 11" xfId="4386" xr:uid="{00000000-0005-0000-0000-0000741E0000}"/>
    <cellStyle name="Финансовый 2 3 9 11 2" xfId="13031" xr:uid="{00000000-0005-0000-0000-0000751E0000}"/>
    <cellStyle name="Финансовый 2 3 9 12" xfId="6173" xr:uid="{00000000-0005-0000-0000-0000761E0000}"/>
    <cellStyle name="Финансовый 2 3 9 12 2" xfId="14816" xr:uid="{00000000-0005-0000-0000-0000771E0000}"/>
    <cellStyle name="Финансовый 2 3 9 13" xfId="8780" xr:uid="{00000000-0005-0000-0000-0000781E0000}"/>
    <cellStyle name="Финансовый 2 3 9 2" xfId="268" xr:uid="{00000000-0005-0000-0000-0000791E0000}"/>
    <cellStyle name="Финансовый 2 3 9 2 10" xfId="8916" xr:uid="{00000000-0005-0000-0000-00007A1E0000}"/>
    <cellStyle name="Финансовый 2 3 9 2 2" xfId="1366" xr:uid="{00000000-0005-0000-0000-00007B1E0000}"/>
    <cellStyle name="Финансовый 2 3 9 2 2 2" xfId="2324" xr:uid="{00000000-0005-0000-0000-00007C1E0000}"/>
    <cellStyle name="Финансовый 2 3 9 2 2 2 2" xfId="3969" xr:uid="{00000000-0005-0000-0000-00007D1E0000}"/>
    <cellStyle name="Финансовый 2 3 9 2 2 2 2 2" xfId="12614" xr:uid="{00000000-0005-0000-0000-00007E1E0000}"/>
    <cellStyle name="Финансовый 2 3 9 2 2 2 3" xfId="5752" xr:uid="{00000000-0005-0000-0000-00007F1E0000}"/>
    <cellStyle name="Финансовый 2 3 9 2 2 2 3 2" xfId="14395" xr:uid="{00000000-0005-0000-0000-0000801E0000}"/>
    <cellStyle name="Финансовый 2 3 9 2 2 2 4" xfId="8362" xr:uid="{00000000-0005-0000-0000-0000811E0000}"/>
    <cellStyle name="Финансовый 2 3 9 2 2 2 4 2" xfId="17005" xr:uid="{00000000-0005-0000-0000-0000821E0000}"/>
    <cellStyle name="Финансовый 2 3 9 2 2 2 5" xfId="10969" xr:uid="{00000000-0005-0000-0000-0000831E0000}"/>
    <cellStyle name="Финансовый 2 3 9 2 2 3" xfId="3150" xr:uid="{00000000-0005-0000-0000-0000841E0000}"/>
    <cellStyle name="Финансовый 2 3 9 2 2 3 2" xfId="11795" xr:uid="{00000000-0005-0000-0000-0000851E0000}"/>
    <cellStyle name="Финансовый 2 3 9 2 2 4" xfId="4794" xr:uid="{00000000-0005-0000-0000-0000861E0000}"/>
    <cellStyle name="Финансовый 2 3 9 2 2 4 2" xfId="13439" xr:uid="{00000000-0005-0000-0000-0000871E0000}"/>
    <cellStyle name="Финансовый 2 3 9 2 2 5" xfId="7406" xr:uid="{00000000-0005-0000-0000-0000881E0000}"/>
    <cellStyle name="Финансовый 2 3 9 2 2 5 2" xfId="16049" xr:uid="{00000000-0005-0000-0000-0000891E0000}"/>
    <cellStyle name="Финансовый 2 3 9 2 2 6" xfId="10013" xr:uid="{00000000-0005-0000-0000-00008A1E0000}"/>
    <cellStyle name="Финансовый 2 3 9 2 3" xfId="2068" xr:uid="{00000000-0005-0000-0000-00008B1E0000}"/>
    <cellStyle name="Финансовый 2 3 9 2 3 2" xfId="3713" xr:uid="{00000000-0005-0000-0000-00008C1E0000}"/>
    <cellStyle name="Финансовый 2 3 9 2 3 2 2" xfId="12358" xr:uid="{00000000-0005-0000-0000-00008D1E0000}"/>
    <cellStyle name="Финансовый 2 3 9 2 3 3" xfId="5496" xr:uid="{00000000-0005-0000-0000-00008E1E0000}"/>
    <cellStyle name="Финансовый 2 3 9 2 3 3 2" xfId="14139" xr:uid="{00000000-0005-0000-0000-00008F1E0000}"/>
    <cellStyle name="Финансовый 2 3 9 2 3 4" xfId="8106" xr:uid="{00000000-0005-0000-0000-0000901E0000}"/>
    <cellStyle name="Финансовый 2 3 9 2 3 4 2" xfId="16749" xr:uid="{00000000-0005-0000-0000-0000911E0000}"/>
    <cellStyle name="Финансовый 2 3 9 2 3 5" xfId="10713" xr:uid="{00000000-0005-0000-0000-0000921E0000}"/>
    <cellStyle name="Финансовый 2 3 9 2 4" xfId="2597" xr:uid="{00000000-0005-0000-0000-0000931E0000}"/>
    <cellStyle name="Финансовый 2 3 9 2 4 2" xfId="4242" xr:uid="{00000000-0005-0000-0000-0000941E0000}"/>
    <cellStyle name="Финансовый 2 3 9 2 4 2 2" xfId="12887" xr:uid="{00000000-0005-0000-0000-0000951E0000}"/>
    <cellStyle name="Финансовый 2 3 9 2 4 3" xfId="6025" xr:uid="{00000000-0005-0000-0000-0000961E0000}"/>
    <cellStyle name="Финансовый 2 3 9 2 4 3 2" xfId="14668" xr:uid="{00000000-0005-0000-0000-0000971E0000}"/>
    <cellStyle name="Финансовый 2 3 9 2 4 4" xfId="8635" xr:uid="{00000000-0005-0000-0000-0000981E0000}"/>
    <cellStyle name="Финансовый 2 3 9 2 4 4 2" xfId="17278" xr:uid="{00000000-0005-0000-0000-0000991E0000}"/>
    <cellStyle name="Финансовый 2 3 9 2 4 5" xfId="11242" xr:uid="{00000000-0005-0000-0000-00009A1E0000}"/>
    <cellStyle name="Финансовый 2 3 9 2 5" xfId="1101" xr:uid="{00000000-0005-0000-0000-00009B1E0000}"/>
    <cellStyle name="Финансовый 2 3 9 2 5 2" xfId="7141" xr:uid="{00000000-0005-0000-0000-00009C1E0000}"/>
    <cellStyle name="Финансовый 2 3 9 2 5 2 2" xfId="15784" xr:uid="{00000000-0005-0000-0000-00009D1E0000}"/>
    <cellStyle name="Финансовый 2 3 9 2 5 3" xfId="9748" xr:uid="{00000000-0005-0000-0000-00009E1E0000}"/>
    <cellStyle name="Финансовый 2 3 9 2 6" xfId="689" xr:uid="{00000000-0005-0000-0000-00009F1E0000}"/>
    <cellStyle name="Финансовый 2 3 9 2 6 2" xfId="6729" xr:uid="{00000000-0005-0000-0000-0000A01E0000}"/>
    <cellStyle name="Финансовый 2 3 9 2 6 2 2" xfId="15372" xr:uid="{00000000-0005-0000-0000-0000A11E0000}"/>
    <cellStyle name="Финансовый 2 3 9 2 6 3" xfId="9336" xr:uid="{00000000-0005-0000-0000-0000A21E0000}"/>
    <cellStyle name="Финансовый 2 3 9 2 7" xfId="2878" xr:uid="{00000000-0005-0000-0000-0000A31E0000}"/>
    <cellStyle name="Финансовый 2 3 9 2 7 2" xfId="11523" xr:uid="{00000000-0005-0000-0000-0000A41E0000}"/>
    <cellStyle name="Финансовый 2 3 9 2 8" xfId="4522" xr:uid="{00000000-0005-0000-0000-0000A51E0000}"/>
    <cellStyle name="Финансовый 2 3 9 2 8 2" xfId="13167" xr:uid="{00000000-0005-0000-0000-0000A61E0000}"/>
    <cellStyle name="Финансовый 2 3 9 2 9" xfId="6309" xr:uid="{00000000-0005-0000-0000-0000A71E0000}"/>
    <cellStyle name="Финансовый 2 3 9 2 9 2" xfId="14952" xr:uid="{00000000-0005-0000-0000-0000A81E0000}"/>
    <cellStyle name="Финансовый 2 3 9 3" xfId="417" xr:uid="{00000000-0005-0000-0000-0000A91E0000}"/>
    <cellStyle name="Финансовый 2 3 9 3 2" xfId="2196" xr:uid="{00000000-0005-0000-0000-0000AA1E0000}"/>
    <cellStyle name="Финансовый 2 3 9 3 2 2" xfId="3841" xr:uid="{00000000-0005-0000-0000-0000AB1E0000}"/>
    <cellStyle name="Финансовый 2 3 9 3 2 2 2" xfId="12486" xr:uid="{00000000-0005-0000-0000-0000AC1E0000}"/>
    <cellStyle name="Финансовый 2 3 9 3 2 3" xfId="5624" xr:uid="{00000000-0005-0000-0000-0000AD1E0000}"/>
    <cellStyle name="Финансовый 2 3 9 3 2 3 2" xfId="14267" xr:uid="{00000000-0005-0000-0000-0000AE1E0000}"/>
    <cellStyle name="Финансовый 2 3 9 3 2 4" xfId="8234" xr:uid="{00000000-0005-0000-0000-0000AF1E0000}"/>
    <cellStyle name="Финансовый 2 3 9 3 2 4 2" xfId="16877" xr:uid="{00000000-0005-0000-0000-0000B01E0000}"/>
    <cellStyle name="Финансовый 2 3 9 3 2 5" xfId="10841" xr:uid="{00000000-0005-0000-0000-0000B11E0000}"/>
    <cellStyle name="Финансовый 2 3 9 3 3" xfId="1230" xr:uid="{00000000-0005-0000-0000-0000B21E0000}"/>
    <cellStyle name="Финансовый 2 3 9 3 3 2" xfId="7270" xr:uid="{00000000-0005-0000-0000-0000B31E0000}"/>
    <cellStyle name="Финансовый 2 3 9 3 3 2 2" xfId="15913" xr:uid="{00000000-0005-0000-0000-0000B41E0000}"/>
    <cellStyle name="Финансовый 2 3 9 3 3 3" xfId="9877" xr:uid="{00000000-0005-0000-0000-0000B51E0000}"/>
    <cellStyle name="Финансовый 2 3 9 3 4" xfId="837" xr:uid="{00000000-0005-0000-0000-0000B61E0000}"/>
    <cellStyle name="Финансовый 2 3 9 3 4 2" xfId="6877" xr:uid="{00000000-0005-0000-0000-0000B71E0000}"/>
    <cellStyle name="Финансовый 2 3 9 3 4 2 2" xfId="15520" xr:uid="{00000000-0005-0000-0000-0000B81E0000}"/>
    <cellStyle name="Финансовый 2 3 9 3 4 3" xfId="9484" xr:uid="{00000000-0005-0000-0000-0000B91E0000}"/>
    <cellStyle name="Финансовый 2 3 9 3 5" xfId="3014" xr:uid="{00000000-0005-0000-0000-0000BA1E0000}"/>
    <cellStyle name="Финансовый 2 3 9 3 5 2" xfId="11659" xr:uid="{00000000-0005-0000-0000-0000BB1E0000}"/>
    <cellStyle name="Финансовый 2 3 9 3 6" xfId="4658" xr:uid="{00000000-0005-0000-0000-0000BC1E0000}"/>
    <cellStyle name="Финансовый 2 3 9 3 6 2" xfId="13303" xr:uid="{00000000-0005-0000-0000-0000BD1E0000}"/>
    <cellStyle name="Финансовый 2 3 9 3 7" xfId="6457" xr:uid="{00000000-0005-0000-0000-0000BE1E0000}"/>
    <cellStyle name="Финансовый 2 3 9 3 7 2" xfId="15100" xr:uid="{00000000-0005-0000-0000-0000BF1E0000}"/>
    <cellStyle name="Финансовый 2 3 9 3 8" xfId="9064" xr:uid="{00000000-0005-0000-0000-0000C01E0000}"/>
    <cellStyle name="Финансовый 2 3 9 4" xfId="1495" xr:uid="{00000000-0005-0000-0000-0000C11E0000}"/>
    <cellStyle name="Финансовый 2 3 9 4 2" xfId="1940" xr:uid="{00000000-0005-0000-0000-0000C21E0000}"/>
    <cellStyle name="Финансовый 2 3 9 4 2 2" xfId="3585" xr:uid="{00000000-0005-0000-0000-0000C31E0000}"/>
    <cellStyle name="Финансовый 2 3 9 4 2 2 2" xfId="12230" xr:uid="{00000000-0005-0000-0000-0000C41E0000}"/>
    <cellStyle name="Финансовый 2 3 9 4 2 3" xfId="5368" xr:uid="{00000000-0005-0000-0000-0000C51E0000}"/>
    <cellStyle name="Финансовый 2 3 9 4 2 3 2" xfId="14011" xr:uid="{00000000-0005-0000-0000-0000C61E0000}"/>
    <cellStyle name="Финансовый 2 3 9 4 2 4" xfId="7978" xr:uid="{00000000-0005-0000-0000-0000C71E0000}"/>
    <cellStyle name="Финансовый 2 3 9 4 2 4 2" xfId="16621" xr:uid="{00000000-0005-0000-0000-0000C81E0000}"/>
    <cellStyle name="Финансовый 2 3 9 4 2 5" xfId="10585" xr:uid="{00000000-0005-0000-0000-0000C91E0000}"/>
    <cellStyle name="Финансовый 2 3 9 4 3" xfId="4923" xr:uid="{00000000-0005-0000-0000-0000CA1E0000}"/>
    <cellStyle name="Финансовый 2 3 9 4 3 2" xfId="13566" xr:uid="{00000000-0005-0000-0000-0000CB1E0000}"/>
    <cellStyle name="Финансовый 2 3 9 4 4" xfId="7533" xr:uid="{00000000-0005-0000-0000-0000CC1E0000}"/>
    <cellStyle name="Финансовый 2 3 9 4 4 2" xfId="16176" xr:uid="{00000000-0005-0000-0000-0000CD1E0000}"/>
    <cellStyle name="Финансовый 2 3 9 4 5" xfId="10140" xr:uid="{00000000-0005-0000-0000-0000CE1E0000}"/>
    <cellStyle name="Финансовый 2 3 9 5" xfId="1816" xr:uid="{00000000-0005-0000-0000-0000CF1E0000}"/>
    <cellStyle name="Финансовый 2 3 9 5 2" xfId="3461" xr:uid="{00000000-0005-0000-0000-0000D01E0000}"/>
    <cellStyle name="Финансовый 2 3 9 5 2 2" xfId="12106" xr:uid="{00000000-0005-0000-0000-0000D11E0000}"/>
    <cellStyle name="Финансовый 2 3 9 5 3" xfId="5244" xr:uid="{00000000-0005-0000-0000-0000D21E0000}"/>
    <cellStyle name="Финансовый 2 3 9 5 3 2" xfId="13887" xr:uid="{00000000-0005-0000-0000-0000D31E0000}"/>
    <cellStyle name="Финансовый 2 3 9 5 4" xfId="7854" xr:uid="{00000000-0005-0000-0000-0000D41E0000}"/>
    <cellStyle name="Финансовый 2 3 9 5 4 2" xfId="16497" xr:uid="{00000000-0005-0000-0000-0000D51E0000}"/>
    <cellStyle name="Финансовый 2 3 9 5 5" xfId="10461" xr:uid="{00000000-0005-0000-0000-0000D61E0000}"/>
    <cellStyle name="Финансовый 2 3 9 6" xfId="2461" xr:uid="{00000000-0005-0000-0000-0000D71E0000}"/>
    <cellStyle name="Финансовый 2 3 9 6 2" xfId="4106" xr:uid="{00000000-0005-0000-0000-0000D81E0000}"/>
    <cellStyle name="Финансовый 2 3 9 6 2 2" xfId="12751" xr:uid="{00000000-0005-0000-0000-0000D91E0000}"/>
    <cellStyle name="Финансовый 2 3 9 6 3" xfId="5889" xr:uid="{00000000-0005-0000-0000-0000DA1E0000}"/>
    <cellStyle name="Финансовый 2 3 9 6 3 2" xfId="14532" xr:uid="{00000000-0005-0000-0000-0000DB1E0000}"/>
    <cellStyle name="Финансовый 2 3 9 6 4" xfId="8499" xr:uid="{00000000-0005-0000-0000-0000DC1E0000}"/>
    <cellStyle name="Финансовый 2 3 9 6 4 2" xfId="17142" xr:uid="{00000000-0005-0000-0000-0000DD1E0000}"/>
    <cellStyle name="Финансовый 2 3 9 6 5" xfId="11106" xr:uid="{00000000-0005-0000-0000-0000DE1E0000}"/>
    <cellStyle name="Финансовый 2 3 9 7" xfId="1688" xr:uid="{00000000-0005-0000-0000-0000DF1E0000}"/>
    <cellStyle name="Финансовый 2 3 9 7 2" xfId="3333" xr:uid="{00000000-0005-0000-0000-0000E01E0000}"/>
    <cellStyle name="Финансовый 2 3 9 7 2 2" xfId="11978" xr:uid="{00000000-0005-0000-0000-0000E11E0000}"/>
    <cellStyle name="Финансовый 2 3 9 7 3" xfId="5116" xr:uid="{00000000-0005-0000-0000-0000E21E0000}"/>
    <cellStyle name="Финансовый 2 3 9 7 3 2" xfId="13759" xr:uid="{00000000-0005-0000-0000-0000E31E0000}"/>
    <cellStyle name="Финансовый 2 3 9 7 4" xfId="7726" xr:uid="{00000000-0005-0000-0000-0000E41E0000}"/>
    <cellStyle name="Финансовый 2 3 9 7 4 2" xfId="16369" xr:uid="{00000000-0005-0000-0000-0000E51E0000}"/>
    <cellStyle name="Финансовый 2 3 9 7 5" xfId="10333" xr:uid="{00000000-0005-0000-0000-0000E61E0000}"/>
    <cellStyle name="Финансовый 2 3 9 8" xfId="965" xr:uid="{00000000-0005-0000-0000-0000E71E0000}"/>
    <cellStyle name="Финансовый 2 3 9 8 2" xfId="7005" xr:uid="{00000000-0005-0000-0000-0000E81E0000}"/>
    <cellStyle name="Финансовый 2 3 9 8 2 2" xfId="15648" xr:uid="{00000000-0005-0000-0000-0000E91E0000}"/>
    <cellStyle name="Финансовый 2 3 9 8 3" xfId="9612" xr:uid="{00000000-0005-0000-0000-0000EA1E0000}"/>
    <cellStyle name="Финансовый 2 3 9 9" xfId="553" xr:uid="{00000000-0005-0000-0000-0000EB1E0000}"/>
    <cellStyle name="Финансовый 2 3 9 9 2" xfId="6593" xr:uid="{00000000-0005-0000-0000-0000EC1E0000}"/>
    <cellStyle name="Финансовый 2 3 9 9 2 2" xfId="15236" xr:uid="{00000000-0005-0000-0000-0000ED1E0000}"/>
    <cellStyle name="Финансовый 2 3 9 9 3" xfId="9200" xr:uid="{00000000-0005-0000-0000-0000EE1E0000}"/>
    <cellStyle name="Финансовый 2 4" xfId="8" xr:uid="{00000000-0005-0000-0000-0000EF1E0000}"/>
    <cellStyle name="Финансовый 2 4 10" xfId="282" xr:uid="{00000000-0005-0000-0000-0000F01E0000}"/>
    <cellStyle name="Финансовый 2 4 10 2" xfId="2082" xr:uid="{00000000-0005-0000-0000-0000F11E0000}"/>
    <cellStyle name="Финансовый 2 4 10 2 2" xfId="3727" xr:uid="{00000000-0005-0000-0000-0000F21E0000}"/>
    <cellStyle name="Финансовый 2 4 10 2 2 2" xfId="12372" xr:uid="{00000000-0005-0000-0000-0000F31E0000}"/>
    <cellStyle name="Финансовый 2 4 10 2 3" xfId="5510" xr:uid="{00000000-0005-0000-0000-0000F41E0000}"/>
    <cellStyle name="Финансовый 2 4 10 2 3 2" xfId="14153" xr:uid="{00000000-0005-0000-0000-0000F51E0000}"/>
    <cellStyle name="Финансовый 2 4 10 2 4" xfId="8120" xr:uid="{00000000-0005-0000-0000-0000F61E0000}"/>
    <cellStyle name="Финансовый 2 4 10 2 4 2" xfId="16763" xr:uid="{00000000-0005-0000-0000-0000F71E0000}"/>
    <cellStyle name="Финансовый 2 4 10 2 5" xfId="10727" xr:uid="{00000000-0005-0000-0000-0000F81E0000}"/>
    <cellStyle name="Финансовый 2 4 10 3" xfId="1380" xr:uid="{00000000-0005-0000-0000-0000F91E0000}"/>
    <cellStyle name="Финансовый 2 4 10 3 2" xfId="7420" xr:uid="{00000000-0005-0000-0000-0000FA1E0000}"/>
    <cellStyle name="Финансовый 2 4 10 3 2 2" xfId="16063" xr:uid="{00000000-0005-0000-0000-0000FB1E0000}"/>
    <cellStyle name="Финансовый 2 4 10 3 3" xfId="10027" xr:uid="{00000000-0005-0000-0000-0000FC1E0000}"/>
    <cellStyle name="Финансовый 2 4 10 4" xfId="703" xr:uid="{00000000-0005-0000-0000-0000FD1E0000}"/>
    <cellStyle name="Финансовый 2 4 10 4 2" xfId="6743" xr:uid="{00000000-0005-0000-0000-0000FE1E0000}"/>
    <cellStyle name="Финансовый 2 4 10 4 2 2" xfId="15386" xr:uid="{00000000-0005-0000-0000-0000FF1E0000}"/>
    <cellStyle name="Финансовый 2 4 10 4 3" xfId="9350" xr:uid="{00000000-0005-0000-0000-0000001F0000}"/>
    <cellStyle name="Финансовый 2 4 10 5" xfId="3164" xr:uid="{00000000-0005-0000-0000-0000011F0000}"/>
    <cellStyle name="Финансовый 2 4 10 5 2" xfId="11809" xr:uid="{00000000-0005-0000-0000-0000021F0000}"/>
    <cellStyle name="Финансовый 2 4 10 6" xfId="4808" xr:uid="{00000000-0005-0000-0000-0000031F0000}"/>
    <cellStyle name="Финансовый 2 4 10 6 2" xfId="13453" xr:uid="{00000000-0005-0000-0000-0000041F0000}"/>
    <cellStyle name="Финансовый 2 4 10 7" xfId="6323" xr:uid="{00000000-0005-0000-0000-0000051F0000}"/>
    <cellStyle name="Финансовый 2 4 10 7 2" xfId="14966" xr:uid="{00000000-0005-0000-0000-0000061F0000}"/>
    <cellStyle name="Финансовый 2 4 10 8" xfId="8930" xr:uid="{00000000-0005-0000-0000-0000071F0000}"/>
    <cellStyle name="Финансовый 2 4 11" xfId="295" xr:uid="{00000000-0005-0000-0000-0000081F0000}"/>
    <cellStyle name="Финансовый 2 4 11 2" xfId="1115" xr:uid="{00000000-0005-0000-0000-0000091F0000}"/>
    <cellStyle name="Финансовый 2 4 11 2 2" xfId="7155" xr:uid="{00000000-0005-0000-0000-00000A1F0000}"/>
    <cellStyle name="Финансовый 2 4 11 2 2 2" xfId="15798" xr:uid="{00000000-0005-0000-0000-00000B1F0000}"/>
    <cellStyle name="Финансовый 2 4 11 2 3" xfId="9762" xr:uid="{00000000-0005-0000-0000-00000C1F0000}"/>
    <cellStyle name="Финансовый 2 4 11 3" xfId="715" xr:uid="{00000000-0005-0000-0000-00000D1F0000}"/>
    <cellStyle name="Финансовый 2 4 11 3 2" xfId="6755" xr:uid="{00000000-0005-0000-0000-00000E1F0000}"/>
    <cellStyle name="Финансовый 2 4 11 3 2 2" xfId="15398" xr:uid="{00000000-0005-0000-0000-00000F1F0000}"/>
    <cellStyle name="Финансовый 2 4 11 3 3" xfId="9362" xr:uid="{00000000-0005-0000-0000-0000101F0000}"/>
    <cellStyle name="Финансовый 2 4 11 4" xfId="2892" xr:uid="{00000000-0005-0000-0000-0000111F0000}"/>
    <cellStyle name="Финансовый 2 4 11 4 2" xfId="11537" xr:uid="{00000000-0005-0000-0000-0000121F0000}"/>
    <cellStyle name="Финансовый 2 4 11 5" xfId="4536" xr:uid="{00000000-0005-0000-0000-0000131F0000}"/>
    <cellStyle name="Финансовый 2 4 11 5 2" xfId="13181" xr:uid="{00000000-0005-0000-0000-0000141F0000}"/>
    <cellStyle name="Финансовый 2 4 11 6" xfId="6335" xr:uid="{00000000-0005-0000-0000-0000151F0000}"/>
    <cellStyle name="Финансовый 2 4 11 6 2" xfId="14978" xr:uid="{00000000-0005-0000-0000-0000161F0000}"/>
    <cellStyle name="Финансовый 2 4 11 7" xfId="8942" xr:uid="{00000000-0005-0000-0000-0000171F0000}"/>
    <cellStyle name="Финансовый 2 4 12" xfId="1497" xr:uid="{00000000-0005-0000-0000-0000181F0000}"/>
    <cellStyle name="Финансовый 2 4 12 2" xfId="1702" xr:uid="{00000000-0005-0000-0000-0000191F0000}"/>
    <cellStyle name="Финансовый 2 4 12 2 2" xfId="3347" xr:uid="{00000000-0005-0000-0000-00001A1F0000}"/>
    <cellStyle name="Финансовый 2 4 12 2 2 2" xfId="11992" xr:uid="{00000000-0005-0000-0000-00001B1F0000}"/>
    <cellStyle name="Финансовый 2 4 12 2 3" xfId="5130" xr:uid="{00000000-0005-0000-0000-00001C1F0000}"/>
    <cellStyle name="Финансовый 2 4 12 2 3 2" xfId="13773" xr:uid="{00000000-0005-0000-0000-00001D1F0000}"/>
    <cellStyle name="Финансовый 2 4 12 2 4" xfId="7740" xr:uid="{00000000-0005-0000-0000-00001E1F0000}"/>
    <cellStyle name="Финансовый 2 4 12 2 4 2" xfId="16383" xr:uid="{00000000-0005-0000-0000-00001F1F0000}"/>
    <cellStyle name="Финансовый 2 4 12 2 5" xfId="10347" xr:uid="{00000000-0005-0000-0000-0000201F0000}"/>
    <cellStyle name="Финансовый 2 4 12 3" xfId="4925" xr:uid="{00000000-0005-0000-0000-0000211F0000}"/>
    <cellStyle name="Финансовый 2 4 12 3 2" xfId="13568" xr:uid="{00000000-0005-0000-0000-0000221F0000}"/>
    <cellStyle name="Финансовый 2 4 12 4" xfId="7535" xr:uid="{00000000-0005-0000-0000-0000231F0000}"/>
    <cellStyle name="Финансовый 2 4 12 4 2" xfId="16178" xr:uid="{00000000-0005-0000-0000-0000241F0000}"/>
    <cellStyle name="Финансовый 2 4 12 5" xfId="10142" xr:uid="{00000000-0005-0000-0000-0000251F0000}"/>
    <cellStyle name="Финансовый 2 4 13" xfId="2338" xr:uid="{00000000-0005-0000-0000-0000261F0000}"/>
    <cellStyle name="Финансовый 2 4 13 2" xfId="3983" xr:uid="{00000000-0005-0000-0000-0000271F0000}"/>
    <cellStyle name="Финансовый 2 4 13 2 2" xfId="12628" xr:uid="{00000000-0005-0000-0000-0000281F0000}"/>
    <cellStyle name="Финансовый 2 4 13 3" xfId="5766" xr:uid="{00000000-0005-0000-0000-0000291F0000}"/>
    <cellStyle name="Финансовый 2 4 13 3 2" xfId="14409" xr:uid="{00000000-0005-0000-0000-00002A1F0000}"/>
    <cellStyle name="Финансовый 2 4 13 4" xfId="8376" xr:uid="{00000000-0005-0000-0000-00002B1F0000}"/>
    <cellStyle name="Финансовый 2 4 13 4 2" xfId="17019" xr:uid="{00000000-0005-0000-0000-00002C1F0000}"/>
    <cellStyle name="Финансовый 2 4 13 5" xfId="10983" xr:uid="{00000000-0005-0000-0000-00002D1F0000}"/>
    <cellStyle name="Финансовый 2 4 14" xfId="1565" xr:uid="{00000000-0005-0000-0000-00002E1F0000}"/>
    <cellStyle name="Финансовый 2 4 14 2" xfId="3210" xr:uid="{00000000-0005-0000-0000-00002F1F0000}"/>
    <cellStyle name="Финансовый 2 4 14 2 2" xfId="11855" xr:uid="{00000000-0005-0000-0000-0000301F0000}"/>
    <cellStyle name="Финансовый 2 4 14 3" xfId="4993" xr:uid="{00000000-0005-0000-0000-0000311F0000}"/>
    <cellStyle name="Финансовый 2 4 14 3 2" xfId="13636" xr:uid="{00000000-0005-0000-0000-0000321F0000}"/>
    <cellStyle name="Финансовый 2 4 14 4" xfId="7603" xr:uid="{00000000-0005-0000-0000-0000331F0000}"/>
    <cellStyle name="Финансовый 2 4 14 4 2" xfId="16246" xr:uid="{00000000-0005-0000-0000-0000341F0000}"/>
    <cellStyle name="Финансовый 2 4 14 5" xfId="10210" xr:uid="{00000000-0005-0000-0000-0000351F0000}"/>
    <cellStyle name="Финансовый 2 4 15" xfId="851" xr:uid="{00000000-0005-0000-0000-0000361F0000}"/>
    <cellStyle name="Финансовый 2 4 15 2" xfId="6891" xr:uid="{00000000-0005-0000-0000-0000371F0000}"/>
    <cellStyle name="Финансовый 2 4 15 2 2" xfId="15534" xr:uid="{00000000-0005-0000-0000-0000381F0000}"/>
    <cellStyle name="Финансовый 2 4 15 3" xfId="9498" xr:uid="{00000000-0005-0000-0000-0000391F0000}"/>
    <cellStyle name="Финансовый 2 4 16" xfId="431" xr:uid="{00000000-0005-0000-0000-00003A1F0000}"/>
    <cellStyle name="Финансовый 2 4 16 2" xfId="6471" xr:uid="{00000000-0005-0000-0000-00003B1F0000}"/>
    <cellStyle name="Финансовый 2 4 16 2 2" xfId="15114" xr:uid="{00000000-0005-0000-0000-00003C1F0000}"/>
    <cellStyle name="Финансовый 2 4 16 3" xfId="9078" xr:uid="{00000000-0005-0000-0000-00003D1F0000}"/>
    <cellStyle name="Финансовый 2 4 17" xfId="2620" xr:uid="{00000000-0005-0000-0000-00003E1F0000}"/>
    <cellStyle name="Финансовый 2 4 17 2" xfId="11265" xr:uid="{00000000-0005-0000-0000-00003F1F0000}"/>
    <cellStyle name="Финансовый 2 4 18" xfId="4263" xr:uid="{00000000-0005-0000-0000-0000401F0000}"/>
    <cellStyle name="Финансовый 2 4 18 2" xfId="12908" xr:uid="{00000000-0005-0000-0000-0000411F0000}"/>
    <cellStyle name="Финансовый 2 4 19" xfId="6051" xr:uid="{00000000-0005-0000-0000-0000421F0000}"/>
    <cellStyle name="Финансовый 2 4 19 2" xfId="14694" xr:uid="{00000000-0005-0000-0000-0000431F0000}"/>
    <cellStyle name="Финансовый 2 4 2" xfId="44" xr:uid="{00000000-0005-0000-0000-0000441F0000}"/>
    <cellStyle name="Финансовый 2 4 2 10" xfId="467" xr:uid="{00000000-0005-0000-0000-0000451F0000}"/>
    <cellStyle name="Финансовый 2 4 2 10 2" xfId="6507" xr:uid="{00000000-0005-0000-0000-0000461F0000}"/>
    <cellStyle name="Финансовый 2 4 2 10 2 2" xfId="15150" xr:uid="{00000000-0005-0000-0000-0000471F0000}"/>
    <cellStyle name="Финансовый 2 4 2 10 3" xfId="9114" xr:uid="{00000000-0005-0000-0000-0000481F0000}"/>
    <cellStyle name="Финансовый 2 4 2 11" xfId="2656" xr:uid="{00000000-0005-0000-0000-0000491F0000}"/>
    <cellStyle name="Финансовый 2 4 2 11 2" xfId="11301" xr:uid="{00000000-0005-0000-0000-00004A1F0000}"/>
    <cellStyle name="Финансовый 2 4 2 12" xfId="4299" xr:uid="{00000000-0005-0000-0000-00004B1F0000}"/>
    <cellStyle name="Финансовый 2 4 2 12 2" xfId="12944" xr:uid="{00000000-0005-0000-0000-00004C1F0000}"/>
    <cellStyle name="Финансовый 2 4 2 13" xfId="6087" xr:uid="{00000000-0005-0000-0000-00004D1F0000}"/>
    <cellStyle name="Финансовый 2 4 2 13 2" xfId="14730" xr:uid="{00000000-0005-0000-0000-00004E1F0000}"/>
    <cellStyle name="Финансовый 2 4 2 14" xfId="8694" xr:uid="{00000000-0005-0000-0000-00004F1F0000}"/>
    <cellStyle name="Финансовый 2 4 2 2" xfId="102" xr:uid="{00000000-0005-0000-0000-0000501F0000}"/>
    <cellStyle name="Финансовый 2 4 2 2 10" xfId="2712" xr:uid="{00000000-0005-0000-0000-0000511F0000}"/>
    <cellStyle name="Финансовый 2 4 2 2 10 2" xfId="11357" xr:uid="{00000000-0005-0000-0000-0000521F0000}"/>
    <cellStyle name="Финансовый 2 4 2 2 11" xfId="4356" xr:uid="{00000000-0005-0000-0000-0000531F0000}"/>
    <cellStyle name="Финансовый 2 4 2 2 11 2" xfId="13001" xr:uid="{00000000-0005-0000-0000-0000541F0000}"/>
    <cellStyle name="Финансовый 2 4 2 2 12" xfId="6143" xr:uid="{00000000-0005-0000-0000-0000551F0000}"/>
    <cellStyle name="Финансовый 2 4 2 2 12 2" xfId="14786" xr:uid="{00000000-0005-0000-0000-0000561F0000}"/>
    <cellStyle name="Финансовый 2 4 2 2 13" xfId="8750" xr:uid="{00000000-0005-0000-0000-0000571F0000}"/>
    <cellStyle name="Финансовый 2 4 2 2 2" xfId="238" xr:uid="{00000000-0005-0000-0000-0000581F0000}"/>
    <cellStyle name="Финансовый 2 4 2 2 2 10" xfId="8886" xr:uid="{00000000-0005-0000-0000-0000591F0000}"/>
    <cellStyle name="Финансовый 2 4 2 2 2 2" xfId="1336" xr:uid="{00000000-0005-0000-0000-00005A1F0000}"/>
    <cellStyle name="Финансовый 2 4 2 2 2 2 2" xfId="2294" xr:uid="{00000000-0005-0000-0000-00005B1F0000}"/>
    <cellStyle name="Финансовый 2 4 2 2 2 2 2 2" xfId="3939" xr:uid="{00000000-0005-0000-0000-00005C1F0000}"/>
    <cellStyle name="Финансовый 2 4 2 2 2 2 2 2 2" xfId="12584" xr:uid="{00000000-0005-0000-0000-00005D1F0000}"/>
    <cellStyle name="Финансовый 2 4 2 2 2 2 2 3" xfId="5722" xr:uid="{00000000-0005-0000-0000-00005E1F0000}"/>
    <cellStyle name="Финансовый 2 4 2 2 2 2 2 3 2" xfId="14365" xr:uid="{00000000-0005-0000-0000-00005F1F0000}"/>
    <cellStyle name="Финансовый 2 4 2 2 2 2 2 4" xfId="8332" xr:uid="{00000000-0005-0000-0000-0000601F0000}"/>
    <cellStyle name="Финансовый 2 4 2 2 2 2 2 4 2" xfId="16975" xr:uid="{00000000-0005-0000-0000-0000611F0000}"/>
    <cellStyle name="Финансовый 2 4 2 2 2 2 2 5" xfId="10939" xr:uid="{00000000-0005-0000-0000-0000621F0000}"/>
    <cellStyle name="Финансовый 2 4 2 2 2 2 3" xfId="3120" xr:uid="{00000000-0005-0000-0000-0000631F0000}"/>
    <cellStyle name="Финансовый 2 4 2 2 2 2 3 2" xfId="11765" xr:uid="{00000000-0005-0000-0000-0000641F0000}"/>
    <cellStyle name="Финансовый 2 4 2 2 2 2 4" xfId="4764" xr:uid="{00000000-0005-0000-0000-0000651F0000}"/>
    <cellStyle name="Финансовый 2 4 2 2 2 2 4 2" xfId="13409" xr:uid="{00000000-0005-0000-0000-0000661F0000}"/>
    <cellStyle name="Финансовый 2 4 2 2 2 2 5" xfId="7376" xr:uid="{00000000-0005-0000-0000-0000671F0000}"/>
    <cellStyle name="Финансовый 2 4 2 2 2 2 5 2" xfId="16019" xr:uid="{00000000-0005-0000-0000-0000681F0000}"/>
    <cellStyle name="Финансовый 2 4 2 2 2 2 6" xfId="9983" xr:uid="{00000000-0005-0000-0000-0000691F0000}"/>
    <cellStyle name="Финансовый 2 4 2 2 2 3" xfId="2038" xr:uid="{00000000-0005-0000-0000-00006A1F0000}"/>
    <cellStyle name="Финансовый 2 4 2 2 2 3 2" xfId="3683" xr:uid="{00000000-0005-0000-0000-00006B1F0000}"/>
    <cellStyle name="Финансовый 2 4 2 2 2 3 2 2" xfId="12328" xr:uid="{00000000-0005-0000-0000-00006C1F0000}"/>
    <cellStyle name="Финансовый 2 4 2 2 2 3 3" xfId="5466" xr:uid="{00000000-0005-0000-0000-00006D1F0000}"/>
    <cellStyle name="Финансовый 2 4 2 2 2 3 3 2" xfId="14109" xr:uid="{00000000-0005-0000-0000-00006E1F0000}"/>
    <cellStyle name="Финансовый 2 4 2 2 2 3 4" xfId="8076" xr:uid="{00000000-0005-0000-0000-00006F1F0000}"/>
    <cellStyle name="Финансовый 2 4 2 2 2 3 4 2" xfId="16719" xr:uid="{00000000-0005-0000-0000-0000701F0000}"/>
    <cellStyle name="Финансовый 2 4 2 2 2 3 5" xfId="10683" xr:uid="{00000000-0005-0000-0000-0000711F0000}"/>
    <cellStyle name="Финансовый 2 4 2 2 2 4" xfId="2567" xr:uid="{00000000-0005-0000-0000-0000721F0000}"/>
    <cellStyle name="Финансовый 2 4 2 2 2 4 2" xfId="4212" xr:uid="{00000000-0005-0000-0000-0000731F0000}"/>
    <cellStyle name="Финансовый 2 4 2 2 2 4 2 2" xfId="12857" xr:uid="{00000000-0005-0000-0000-0000741F0000}"/>
    <cellStyle name="Финансовый 2 4 2 2 2 4 3" xfId="5995" xr:uid="{00000000-0005-0000-0000-0000751F0000}"/>
    <cellStyle name="Финансовый 2 4 2 2 2 4 3 2" xfId="14638" xr:uid="{00000000-0005-0000-0000-0000761F0000}"/>
    <cellStyle name="Финансовый 2 4 2 2 2 4 4" xfId="8605" xr:uid="{00000000-0005-0000-0000-0000771F0000}"/>
    <cellStyle name="Финансовый 2 4 2 2 2 4 4 2" xfId="17248" xr:uid="{00000000-0005-0000-0000-0000781F0000}"/>
    <cellStyle name="Финансовый 2 4 2 2 2 4 5" xfId="11212" xr:uid="{00000000-0005-0000-0000-0000791F0000}"/>
    <cellStyle name="Финансовый 2 4 2 2 2 5" xfId="1071" xr:uid="{00000000-0005-0000-0000-00007A1F0000}"/>
    <cellStyle name="Финансовый 2 4 2 2 2 5 2" xfId="7111" xr:uid="{00000000-0005-0000-0000-00007B1F0000}"/>
    <cellStyle name="Финансовый 2 4 2 2 2 5 2 2" xfId="15754" xr:uid="{00000000-0005-0000-0000-00007C1F0000}"/>
    <cellStyle name="Финансовый 2 4 2 2 2 5 3" xfId="9718" xr:uid="{00000000-0005-0000-0000-00007D1F0000}"/>
    <cellStyle name="Финансовый 2 4 2 2 2 6" xfId="659" xr:uid="{00000000-0005-0000-0000-00007E1F0000}"/>
    <cellStyle name="Финансовый 2 4 2 2 2 6 2" xfId="6699" xr:uid="{00000000-0005-0000-0000-00007F1F0000}"/>
    <cellStyle name="Финансовый 2 4 2 2 2 6 2 2" xfId="15342" xr:uid="{00000000-0005-0000-0000-0000801F0000}"/>
    <cellStyle name="Финансовый 2 4 2 2 2 6 3" xfId="9306" xr:uid="{00000000-0005-0000-0000-0000811F0000}"/>
    <cellStyle name="Финансовый 2 4 2 2 2 7" xfId="2848" xr:uid="{00000000-0005-0000-0000-0000821F0000}"/>
    <cellStyle name="Финансовый 2 4 2 2 2 7 2" xfId="11493" xr:uid="{00000000-0005-0000-0000-0000831F0000}"/>
    <cellStyle name="Финансовый 2 4 2 2 2 8" xfId="4492" xr:uid="{00000000-0005-0000-0000-0000841F0000}"/>
    <cellStyle name="Финансовый 2 4 2 2 2 8 2" xfId="13137" xr:uid="{00000000-0005-0000-0000-0000851F0000}"/>
    <cellStyle name="Финансовый 2 4 2 2 2 9" xfId="6279" xr:uid="{00000000-0005-0000-0000-0000861F0000}"/>
    <cellStyle name="Финансовый 2 4 2 2 2 9 2" xfId="14922" xr:uid="{00000000-0005-0000-0000-0000871F0000}"/>
    <cellStyle name="Финансовый 2 4 2 2 3" xfId="387" xr:uid="{00000000-0005-0000-0000-0000881F0000}"/>
    <cellStyle name="Финансовый 2 4 2 2 3 2" xfId="2166" xr:uid="{00000000-0005-0000-0000-0000891F0000}"/>
    <cellStyle name="Финансовый 2 4 2 2 3 2 2" xfId="3811" xr:uid="{00000000-0005-0000-0000-00008A1F0000}"/>
    <cellStyle name="Финансовый 2 4 2 2 3 2 2 2" xfId="12456" xr:uid="{00000000-0005-0000-0000-00008B1F0000}"/>
    <cellStyle name="Финансовый 2 4 2 2 3 2 3" xfId="5594" xr:uid="{00000000-0005-0000-0000-00008C1F0000}"/>
    <cellStyle name="Финансовый 2 4 2 2 3 2 3 2" xfId="14237" xr:uid="{00000000-0005-0000-0000-00008D1F0000}"/>
    <cellStyle name="Финансовый 2 4 2 2 3 2 4" xfId="8204" xr:uid="{00000000-0005-0000-0000-00008E1F0000}"/>
    <cellStyle name="Финансовый 2 4 2 2 3 2 4 2" xfId="16847" xr:uid="{00000000-0005-0000-0000-00008F1F0000}"/>
    <cellStyle name="Финансовый 2 4 2 2 3 2 5" xfId="10811" xr:uid="{00000000-0005-0000-0000-0000901F0000}"/>
    <cellStyle name="Финансовый 2 4 2 2 3 3" xfId="1200" xr:uid="{00000000-0005-0000-0000-0000911F0000}"/>
    <cellStyle name="Финансовый 2 4 2 2 3 3 2" xfId="7240" xr:uid="{00000000-0005-0000-0000-0000921F0000}"/>
    <cellStyle name="Финансовый 2 4 2 2 3 3 2 2" xfId="15883" xr:uid="{00000000-0005-0000-0000-0000931F0000}"/>
    <cellStyle name="Финансовый 2 4 2 2 3 3 3" xfId="9847" xr:uid="{00000000-0005-0000-0000-0000941F0000}"/>
    <cellStyle name="Финансовый 2 4 2 2 3 4" xfId="807" xr:uid="{00000000-0005-0000-0000-0000951F0000}"/>
    <cellStyle name="Финансовый 2 4 2 2 3 4 2" xfId="6847" xr:uid="{00000000-0005-0000-0000-0000961F0000}"/>
    <cellStyle name="Финансовый 2 4 2 2 3 4 2 2" xfId="15490" xr:uid="{00000000-0005-0000-0000-0000971F0000}"/>
    <cellStyle name="Финансовый 2 4 2 2 3 4 3" xfId="9454" xr:uid="{00000000-0005-0000-0000-0000981F0000}"/>
    <cellStyle name="Финансовый 2 4 2 2 3 5" xfId="2984" xr:uid="{00000000-0005-0000-0000-0000991F0000}"/>
    <cellStyle name="Финансовый 2 4 2 2 3 5 2" xfId="11629" xr:uid="{00000000-0005-0000-0000-00009A1F0000}"/>
    <cellStyle name="Финансовый 2 4 2 2 3 6" xfId="4628" xr:uid="{00000000-0005-0000-0000-00009B1F0000}"/>
    <cellStyle name="Финансовый 2 4 2 2 3 6 2" xfId="13273" xr:uid="{00000000-0005-0000-0000-00009C1F0000}"/>
    <cellStyle name="Финансовый 2 4 2 2 3 7" xfId="6427" xr:uid="{00000000-0005-0000-0000-00009D1F0000}"/>
    <cellStyle name="Финансовый 2 4 2 2 3 7 2" xfId="15070" xr:uid="{00000000-0005-0000-0000-00009E1F0000}"/>
    <cellStyle name="Финансовый 2 4 2 2 3 8" xfId="9034" xr:uid="{00000000-0005-0000-0000-00009F1F0000}"/>
    <cellStyle name="Финансовый 2 4 2 2 4" xfId="1499" xr:uid="{00000000-0005-0000-0000-0000A01F0000}"/>
    <cellStyle name="Финансовый 2 4 2 2 4 2" xfId="1910" xr:uid="{00000000-0005-0000-0000-0000A11F0000}"/>
    <cellStyle name="Финансовый 2 4 2 2 4 2 2" xfId="3555" xr:uid="{00000000-0005-0000-0000-0000A21F0000}"/>
    <cellStyle name="Финансовый 2 4 2 2 4 2 2 2" xfId="12200" xr:uid="{00000000-0005-0000-0000-0000A31F0000}"/>
    <cellStyle name="Финансовый 2 4 2 2 4 2 3" xfId="5338" xr:uid="{00000000-0005-0000-0000-0000A41F0000}"/>
    <cellStyle name="Финансовый 2 4 2 2 4 2 3 2" xfId="13981" xr:uid="{00000000-0005-0000-0000-0000A51F0000}"/>
    <cellStyle name="Финансовый 2 4 2 2 4 2 4" xfId="7948" xr:uid="{00000000-0005-0000-0000-0000A61F0000}"/>
    <cellStyle name="Финансовый 2 4 2 2 4 2 4 2" xfId="16591" xr:uid="{00000000-0005-0000-0000-0000A71F0000}"/>
    <cellStyle name="Финансовый 2 4 2 2 4 2 5" xfId="10555" xr:uid="{00000000-0005-0000-0000-0000A81F0000}"/>
    <cellStyle name="Финансовый 2 4 2 2 4 3" xfId="4927" xr:uid="{00000000-0005-0000-0000-0000A91F0000}"/>
    <cellStyle name="Финансовый 2 4 2 2 4 3 2" xfId="13570" xr:uid="{00000000-0005-0000-0000-0000AA1F0000}"/>
    <cellStyle name="Финансовый 2 4 2 2 4 4" xfId="7537" xr:uid="{00000000-0005-0000-0000-0000AB1F0000}"/>
    <cellStyle name="Финансовый 2 4 2 2 4 4 2" xfId="16180" xr:uid="{00000000-0005-0000-0000-0000AC1F0000}"/>
    <cellStyle name="Финансовый 2 4 2 2 4 5" xfId="10144" xr:uid="{00000000-0005-0000-0000-0000AD1F0000}"/>
    <cellStyle name="Финансовый 2 4 2 2 5" xfId="1786" xr:uid="{00000000-0005-0000-0000-0000AE1F0000}"/>
    <cellStyle name="Финансовый 2 4 2 2 5 2" xfId="3431" xr:uid="{00000000-0005-0000-0000-0000AF1F0000}"/>
    <cellStyle name="Финансовый 2 4 2 2 5 2 2" xfId="12076" xr:uid="{00000000-0005-0000-0000-0000B01F0000}"/>
    <cellStyle name="Финансовый 2 4 2 2 5 3" xfId="5214" xr:uid="{00000000-0005-0000-0000-0000B11F0000}"/>
    <cellStyle name="Финансовый 2 4 2 2 5 3 2" xfId="13857" xr:uid="{00000000-0005-0000-0000-0000B21F0000}"/>
    <cellStyle name="Финансовый 2 4 2 2 5 4" xfId="7824" xr:uid="{00000000-0005-0000-0000-0000B31F0000}"/>
    <cellStyle name="Финансовый 2 4 2 2 5 4 2" xfId="16467" xr:uid="{00000000-0005-0000-0000-0000B41F0000}"/>
    <cellStyle name="Финансовый 2 4 2 2 5 5" xfId="10431" xr:uid="{00000000-0005-0000-0000-0000B51F0000}"/>
    <cellStyle name="Финансовый 2 4 2 2 6" xfId="2431" xr:uid="{00000000-0005-0000-0000-0000B61F0000}"/>
    <cellStyle name="Финансовый 2 4 2 2 6 2" xfId="4076" xr:uid="{00000000-0005-0000-0000-0000B71F0000}"/>
    <cellStyle name="Финансовый 2 4 2 2 6 2 2" xfId="12721" xr:uid="{00000000-0005-0000-0000-0000B81F0000}"/>
    <cellStyle name="Финансовый 2 4 2 2 6 3" xfId="5859" xr:uid="{00000000-0005-0000-0000-0000B91F0000}"/>
    <cellStyle name="Финансовый 2 4 2 2 6 3 2" xfId="14502" xr:uid="{00000000-0005-0000-0000-0000BA1F0000}"/>
    <cellStyle name="Финансовый 2 4 2 2 6 4" xfId="8469" xr:uid="{00000000-0005-0000-0000-0000BB1F0000}"/>
    <cellStyle name="Финансовый 2 4 2 2 6 4 2" xfId="17112" xr:uid="{00000000-0005-0000-0000-0000BC1F0000}"/>
    <cellStyle name="Финансовый 2 4 2 2 6 5" xfId="11076" xr:uid="{00000000-0005-0000-0000-0000BD1F0000}"/>
    <cellStyle name="Финансовый 2 4 2 2 7" xfId="1658" xr:uid="{00000000-0005-0000-0000-0000BE1F0000}"/>
    <cellStyle name="Финансовый 2 4 2 2 7 2" xfId="3303" xr:uid="{00000000-0005-0000-0000-0000BF1F0000}"/>
    <cellStyle name="Финансовый 2 4 2 2 7 2 2" xfId="11948" xr:uid="{00000000-0005-0000-0000-0000C01F0000}"/>
    <cellStyle name="Финансовый 2 4 2 2 7 3" xfId="5086" xr:uid="{00000000-0005-0000-0000-0000C11F0000}"/>
    <cellStyle name="Финансовый 2 4 2 2 7 3 2" xfId="13729" xr:uid="{00000000-0005-0000-0000-0000C21F0000}"/>
    <cellStyle name="Финансовый 2 4 2 2 7 4" xfId="7696" xr:uid="{00000000-0005-0000-0000-0000C31F0000}"/>
    <cellStyle name="Финансовый 2 4 2 2 7 4 2" xfId="16339" xr:uid="{00000000-0005-0000-0000-0000C41F0000}"/>
    <cellStyle name="Финансовый 2 4 2 2 7 5" xfId="10303" xr:uid="{00000000-0005-0000-0000-0000C51F0000}"/>
    <cellStyle name="Финансовый 2 4 2 2 8" xfId="935" xr:uid="{00000000-0005-0000-0000-0000C61F0000}"/>
    <cellStyle name="Финансовый 2 4 2 2 8 2" xfId="6975" xr:uid="{00000000-0005-0000-0000-0000C71F0000}"/>
    <cellStyle name="Финансовый 2 4 2 2 8 2 2" xfId="15618" xr:uid="{00000000-0005-0000-0000-0000C81F0000}"/>
    <cellStyle name="Финансовый 2 4 2 2 8 3" xfId="9582" xr:uid="{00000000-0005-0000-0000-0000C91F0000}"/>
    <cellStyle name="Финансовый 2 4 2 2 9" xfId="523" xr:uid="{00000000-0005-0000-0000-0000CA1F0000}"/>
    <cellStyle name="Финансовый 2 4 2 2 9 2" xfId="6563" xr:uid="{00000000-0005-0000-0000-0000CB1F0000}"/>
    <cellStyle name="Финансовый 2 4 2 2 9 2 2" xfId="15206" xr:uid="{00000000-0005-0000-0000-0000CC1F0000}"/>
    <cellStyle name="Финансовый 2 4 2 2 9 3" xfId="9170" xr:uid="{00000000-0005-0000-0000-0000CD1F0000}"/>
    <cellStyle name="Финансовый 2 4 2 3" xfId="182" xr:uid="{00000000-0005-0000-0000-0000CE1F0000}"/>
    <cellStyle name="Финансовый 2 4 2 3 10" xfId="8830" xr:uid="{00000000-0005-0000-0000-0000CF1F0000}"/>
    <cellStyle name="Финансовый 2 4 2 3 2" xfId="1280" xr:uid="{00000000-0005-0000-0000-0000D01F0000}"/>
    <cellStyle name="Финансовый 2 4 2 3 2 2" xfId="2246" xr:uid="{00000000-0005-0000-0000-0000D11F0000}"/>
    <cellStyle name="Финансовый 2 4 2 3 2 2 2" xfId="3891" xr:uid="{00000000-0005-0000-0000-0000D21F0000}"/>
    <cellStyle name="Финансовый 2 4 2 3 2 2 2 2" xfId="12536" xr:uid="{00000000-0005-0000-0000-0000D31F0000}"/>
    <cellStyle name="Финансовый 2 4 2 3 2 2 3" xfId="5674" xr:uid="{00000000-0005-0000-0000-0000D41F0000}"/>
    <cellStyle name="Финансовый 2 4 2 3 2 2 3 2" xfId="14317" xr:uid="{00000000-0005-0000-0000-0000D51F0000}"/>
    <cellStyle name="Финансовый 2 4 2 3 2 2 4" xfId="8284" xr:uid="{00000000-0005-0000-0000-0000D61F0000}"/>
    <cellStyle name="Финансовый 2 4 2 3 2 2 4 2" xfId="16927" xr:uid="{00000000-0005-0000-0000-0000D71F0000}"/>
    <cellStyle name="Финансовый 2 4 2 3 2 2 5" xfId="10891" xr:uid="{00000000-0005-0000-0000-0000D81F0000}"/>
    <cellStyle name="Финансовый 2 4 2 3 2 3" xfId="3064" xr:uid="{00000000-0005-0000-0000-0000D91F0000}"/>
    <cellStyle name="Финансовый 2 4 2 3 2 3 2" xfId="11709" xr:uid="{00000000-0005-0000-0000-0000DA1F0000}"/>
    <cellStyle name="Финансовый 2 4 2 3 2 4" xfId="4708" xr:uid="{00000000-0005-0000-0000-0000DB1F0000}"/>
    <cellStyle name="Финансовый 2 4 2 3 2 4 2" xfId="13353" xr:uid="{00000000-0005-0000-0000-0000DC1F0000}"/>
    <cellStyle name="Финансовый 2 4 2 3 2 5" xfId="7320" xr:uid="{00000000-0005-0000-0000-0000DD1F0000}"/>
    <cellStyle name="Финансовый 2 4 2 3 2 5 2" xfId="15963" xr:uid="{00000000-0005-0000-0000-0000DE1F0000}"/>
    <cellStyle name="Финансовый 2 4 2 3 2 6" xfId="9927" xr:uid="{00000000-0005-0000-0000-0000DF1F0000}"/>
    <cellStyle name="Финансовый 2 4 2 3 3" xfId="1990" xr:uid="{00000000-0005-0000-0000-0000E01F0000}"/>
    <cellStyle name="Финансовый 2 4 2 3 3 2" xfId="3635" xr:uid="{00000000-0005-0000-0000-0000E11F0000}"/>
    <cellStyle name="Финансовый 2 4 2 3 3 2 2" xfId="12280" xr:uid="{00000000-0005-0000-0000-0000E21F0000}"/>
    <cellStyle name="Финансовый 2 4 2 3 3 3" xfId="5418" xr:uid="{00000000-0005-0000-0000-0000E31F0000}"/>
    <cellStyle name="Финансовый 2 4 2 3 3 3 2" xfId="14061" xr:uid="{00000000-0005-0000-0000-0000E41F0000}"/>
    <cellStyle name="Финансовый 2 4 2 3 3 4" xfId="8028" xr:uid="{00000000-0005-0000-0000-0000E51F0000}"/>
    <cellStyle name="Финансовый 2 4 2 3 3 4 2" xfId="16671" xr:uid="{00000000-0005-0000-0000-0000E61F0000}"/>
    <cellStyle name="Финансовый 2 4 2 3 3 5" xfId="10635" xr:uid="{00000000-0005-0000-0000-0000E71F0000}"/>
    <cellStyle name="Финансовый 2 4 2 3 4" xfId="2511" xr:uid="{00000000-0005-0000-0000-0000E81F0000}"/>
    <cellStyle name="Финансовый 2 4 2 3 4 2" xfId="4156" xr:uid="{00000000-0005-0000-0000-0000E91F0000}"/>
    <cellStyle name="Финансовый 2 4 2 3 4 2 2" xfId="12801" xr:uid="{00000000-0005-0000-0000-0000EA1F0000}"/>
    <cellStyle name="Финансовый 2 4 2 3 4 3" xfId="5939" xr:uid="{00000000-0005-0000-0000-0000EB1F0000}"/>
    <cellStyle name="Финансовый 2 4 2 3 4 3 2" xfId="14582" xr:uid="{00000000-0005-0000-0000-0000EC1F0000}"/>
    <cellStyle name="Финансовый 2 4 2 3 4 4" xfId="8549" xr:uid="{00000000-0005-0000-0000-0000ED1F0000}"/>
    <cellStyle name="Финансовый 2 4 2 3 4 4 2" xfId="17192" xr:uid="{00000000-0005-0000-0000-0000EE1F0000}"/>
    <cellStyle name="Финансовый 2 4 2 3 4 5" xfId="11156" xr:uid="{00000000-0005-0000-0000-0000EF1F0000}"/>
    <cellStyle name="Финансовый 2 4 2 3 5" xfId="1015" xr:uid="{00000000-0005-0000-0000-0000F01F0000}"/>
    <cellStyle name="Финансовый 2 4 2 3 5 2" xfId="7055" xr:uid="{00000000-0005-0000-0000-0000F11F0000}"/>
    <cellStyle name="Финансовый 2 4 2 3 5 2 2" xfId="15698" xr:uid="{00000000-0005-0000-0000-0000F21F0000}"/>
    <cellStyle name="Финансовый 2 4 2 3 5 3" xfId="9662" xr:uid="{00000000-0005-0000-0000-0000F31F0000}"/>
    <cellStyle name="Финансовый 2 4 2 3 6" xfId="603" xr:uid="{00000000-0005-0000-0000-0000F41F0000}"/>
    <cellStyle name="Финансовый 2 4 2 3 6 2" xfId="6643" xr:uid="{00000000-0005-0000-0000-0000F51F0000}"/>
    <cellStyle name="Финансовый 2 4 2 3 6 2 2" xfId="15286" xr:uid="{00000000-0005-0000-0000-0000F61F0000}"/>
    <cellStyle name="Финансовый 2 4 2 3 6 3" xfId="9250" xr:uid="{00000000-0005-0000-0000-0000F71F0000}"/>
    <cellStyle name="Финансовый 2 4 2 3 7" xfId="2792" xr:uid="{00000000-0005-0000-0000-0000F81F0000}"/>
    <cellStyle name="Финансовый 2 4 2 3 7 2" xfId="11437" xr:uid="{00000000-0005-0000-0000-0000F91F0000}"/>
    <cellStyle name="Финансовый 2 4 2 3 8" xfId="4436" xr:uid="{00000000-0005-0000-0000-0000FA1F0000}"/>
    <cellStyle name="Финансовый 2 4 2 3 8 2" xfId="13081" xr:uid="{00000000-0005-0000-0000-0000FB1F0000}"/>
    <cellStyle name="Финансовый 2 4 2 3 9" xfId="6223" xr:uid="{00000000-0005-0000-0000-0000FC1F0000}"/>
    <cellStyle name="Финансовый 2 4 2 3 9 2" xfId="14866" xr:uid="{00000000-0005-0000-0000-0000FD1F0000}"/>
    <cellStyle name="Финансовый 2 4 2 4" xfId="331" xr:uid="{00000000-0005-0000-0000-0000FE1F0000}"/>
    <cellStyle name="Финансовый 2 4 2 4 2" xfId="2118" xr:uid="{00000000-0005-0000-0000-0000FF1F0000}"/>
    <cellStyle name="Финансовый 2 4 2 4 2 2" xfId="3763" xr:uid="{00000000-0005-0000-0000-000000200000}"/>
    <cellStyle name="Финансовый 2 4 2 4 2 2 2" xfId="12408" xr:uid="{00000000-0005-0000-0000-000001200000}"/>
    <cellStyle name="Финансовый 2 4 2 4 2 3" xfId="5546" xr:uid="{00000000-0005-0000-0000-000002200000}"/>
    <cellStyle name="Финансовый 2 4 2 4 2 3 2" xfId="14189" xr:uid="{00000000-0005-0000-0000-000003200000}"/>
    <cellStyle name="Финансовый 2 4 2 4 2 4" xfId="8156" xr:uid="{00000000-0005-0000-0000-000004200000}"/>
    <cellStyle name="Финансовый 2 4 2 4 2 4 2" xfId="16799" xr:uid="{00000000-0005-0000-0000-000005200000}"/>
    <cellStyle name="Финансовый 2 4 2 4 2 5" xfId="10763" xr:uid="{00000000-0005-0000-0000-000006200000}"/>
    <cellStyle name="Финансовый 2 4 2 4 3" xfId="1151" xr:uid="{00000000-0005-0000-0000-000007200000}"/>
    <cellStyle name="Финансовый 2 4 2 4 3 2" xfId="7191" xr:uid="{00000000-0005-0000-0000-000008200000}"/>
    <cellStyle name="Финансовый 2 4 2 4 3 2 2" xfId="15834" xr:uid="{00000000-0005-0000-0000-000009200000}"/>
    <cellStyle name="Финансовый 2 4 2 4 3 3" xfId="9798" xr:uid="{00000000-0005-0000-0000-00000A200000}"/>
    <cellStyle name="Финансовый 2 4 2 4 4" xfId="751" xr:uid="{00000000-0005-0000-0000-00000B200000}"/>
    <cellStyle name="Финансовый 2 4 2 4 4 2" xfId="6791" xr:uid="{00000000-0005-0000-0000-00000C200000}"/>
    <cellStyle name="Финансовый 2 4 2 4 4 2 2" xfId="15434" xr:uid="{00000000-0005-0000-0000-00000D200000}"/>
    <cellStyle name="Финансовый 2 4 2 4 4 3" xfId="9398" xr:uid="{00000000-0005-0000-0000-00000E200000}"/>
    <cellStyle name="Финансовый 2 4 2 4 5" xfId="2928" xr:uid="{00000000-0005-0000-0000-00000F200000}"/>
    <cellStyle name="Финансовый 2 4 2 4 5 2" xfId="11573" xr:uid="{00000000-0005-0000-0000-000010200000}"/>
    <cellStyle name="Финансовый 2 4 2 4 6" xfId="4572" xr:uid="{00000000-0005-0000-0000-000011200000}"/>
    <cellStyle name="Финансовый 2 4 2 4 6 2" xfId="13217" xr:uid="{00000000-0005-0000-0000-000012200000}"/>
    <cellStyle name="Финансовый 2 4 2 4 7" xfId="6371" xr:uid="{00000000-0005-0000-0000-000013200000}"/>
    <cellStyle name="Финансовый 2 4 2 4 7 2" xfId="15014" xr:uid="{00000000-0005-0000-0000-000014200000}"/>
    <cellStyle name="Финансовый 2 4 2 4 8" xfId="8978" xr:uid="{00000000-0005-0000-0000-000015200000}"/>
    <cellStyle name="Финансовый 2 4 2 5" xfId="1498" xr:uid="{00000000-0005-0000-0000-000016200000}"/>
    <cellStyle name="Финансовый 2 4 2 5 2" xfId="1854" xr:uid="{00000000-0005-0000-0000-000017200000}"/>
    <cellStyle name="Финансовый 2 4 2 5 2 2" xfId="3499" xr:uid="{00000000-0005-0000-0000-000018200000}"/>
    <cellStyle name="Финансовый 2 4 2 5 2 2 2" xfId="12144" xr:uid="{00000000-0005-0000-0000-000019200000}"/>
    <cellStyle name="Финансовый 2 4 2 5 2 3" xfId="5282" xr:uid="{00000000-0005-0000-0000-00001A200000}"/>
    <cellStyle name="Финансовый 2 4 2 5 2 3 2" xfId="13925" xr:uid="{00000000-0005-0000-0000-00001B200000}"/>
    <cellStyle name="Финансовый 2 4 2 5 2 4" xfId="7892" xr:uid="{00000000-0005-0000-0000-00001C200000}"/>
    <cellStyle name="Финансовый 2 4 2 5 2 4 2" xfId="16535" xr:uid="{00000000-0005-0000-0000-00001D200000}"/>
    <cellStyle name="Финансовый 2 4 2 5 2 5" xfId="10499" xr:uid="{00000000-0005-0000-0000-00001E200000}"/>
    <cellStyle name="Финансовый 2 4 2 5 3" xfId="4926" xr:uid="{00000000-0005-0000-0000-00001F200000}"/>
    <cellStyle name="Финансовый 2 4 2 5 3 2" xfId="13569" xr:uid="{00000000-0005-0000-0000-000020200000}"/>
    <cellStyle name="Финансовый 2 4 2 5 4" xfId="7536" xr:uid="{00000000-0005-0000-0000-000021200000}"/>
    <cellStyle name="Финансовый 2 4 2 5 4 2" xfId="16179" xr:uid="{00000000-0005-0000-0000-000022200000}"/>
    <cellStyle name="Финансовый 2 4 2 5 5" xfId="10143" xr:uid="{00000000-0005-0000-0000-000023200000}"/>
    <cellStyle name="Финансовый 2 4 2 6" xfId="1738" xr:uid="{00000000-0005-0000-0000-000024200000}"/>
    <cellStyle name="Финансовый 2 4 2 6 2" xfId="3383" xr:uid="{00000000-0005-0000-0000-000025200000}"/>
    <cellStyle name="Финансовый 2 4 2 6 2 2" xfId="12028" xr:uid="{00000000-0005-0000-0000-000026200000}"/>
    <cellStyle name="Финансовый 2 4 2 6 3" xfId="5166" xr:uid="{00000000-0005-0000-0000-000027200000}"/>
    <cellStyle name="Финансовый 2 4 2 6 3 2" xfId="13809" xr:uid="{00000000-0005-0000-0000-000028200000}"/>
    <cellStyle name="Финансовый 2 4 2 6 4" xfId="7776" xr:uid="{00000000-0005-0000-0000-000029200000}"/>
    <cellStyle name="Финансовый 2 4 2 6 4 2" xfId="16419" xr:uid="{00000000-0005-0000-0000-00002A200000}"/>
    <cellStyle name="Финансовый 2 4 2 6 5" xfId="10383" xr:uid="{00000000-0005-0000-0000-00002B200000}"/>
    <cellStyle name="Финансовый 2 4 2 7" xfId="2374" xr:uid="{00000000-0005-0000-0000-00002C200000}"/>
    <cellStyle name="Финансовый 2 4 2 7 2" xfId="4019" xr:uid="{00000000-0005-0000-0000-00002D200000}"/>
    <cellStyle name="Финансовый 2 4 2 7 2 2" xfId="12664" xr:uid="{00000000-0005-0000-0000-00002E200000}"/>
    <cellStyle name="Финансовый 2 4 2 7 3" xfId="5802" xr:uid="{00000000-0005-0000-0000-00002F200000}"/>
    <cellStyle name="Финансовый 2 4 2 7 3 2" xfId="14445" xr:uid="{00000000-0005-0000-0000-000030200000}"/>
    <cellStyle name="Финансовый 2 4 2 7 4" xfId="8412" xr:uid="{00000000-0005-0000-0000-000031200000}"/>
    <cellStyle name="Финансовый 2 4 2 7 4 2" xfId="17055" xr:uid="{00000000-0005-0000-0000-000032200000}"/>
    <cellStyle name="Финансовый 2 4 2 7 5" xfId="11019" xr:uid="{00000000-0005-0000-0000-000033200000}"/>
    <cellStyle name="Финансовый 2 4 2 8" xfId="1601" xr:uid="{00000000-0005-0000-0000-000034200000}"/>
    <cellStyle name="Финансовый 2 4 2 8 2" xfId="3246" xr:uid="{00000000-0005-0000-0000-000035200000}"/>
    <cellStyle name="Финансовый 2 4 2 8 2 2" xfId="11891" xr:uid="{00000000-0005-0000-0000-000036200000}"/>
    <cellStyle name="Финансовый 2 4 2 8 3" xfId="5029" xr:uid="{00000000-0005-0000-0000-000037200000}"/>
    <cellStyle name="Финансовый 2 4 2 8 3 2" xfId="13672" xr:uid="{00000000-0005-0000-0000-000038200000}"/>
    <cellStyle name="Финансовый 2 4 2 8 4" xfId="7639" xr:uid="{00000000-0005-0000-0000-000039200000}"/>
    <cellStyle name="Финансовый 2 4 2 8 4 2" xfId="16282" xr:uid="{00000000-0005-0000-0000-00003A200000}"/>
    <cellStyle name="Финансовый 2 4 2 8 5" xfId="10246" xr:uid="{00000000-0005-0000-0000-00003B200000}"/>
    <cellStyle name="Финансовый 2 4 2 9" xfId="887" xr:uid="{00000000-0005-0000-0000-00003C200000}"/>
    <cellStyle name="Финансовый 2 4 2 9 2" xfId="6927" xr:uid="{00000000-0005-0000-0000-00003D200000}"/>
    <cellStyle name="Финансовый 2 4 2 9 2 2" xfId="15570" xr:uid="{00000000-0005-0000-0000-00003E200000}"/>
    <cellStyle name="Финансовый 2 4 2 9 3" xfId="9534" xr:uid="{00000000-0005-0000-0000-00003F200000}"/>
    <cellStyle name="Финансовый 2 4 20" xfId="8658" xr:uid="{00000000-0005-0000-0000-000040200000}"/>
    <cellStyle name="Финансовый 2 4 3" xfId="114" xr:uid="{00000000-0005-0000-0000-000041200000}"/>
    <cellStyle name="Финансовый 2 4 3 10" xfId="2724" xr:uid="{00000000-0005-0000-0000-000042200000}"/>
    <cellStyle name="Финансовый 2 4 3 10 2" xfId="11369" xr:uid="{00000000-0005-0000-0000-000043200000}"/>
    <cellStyle name="Финансовый 2 4 3 11" xfId="4368" xr:uid="{00000000-0005-0000-0000-000044200000}"/>
    <cellStyle name="Финансовый 2 4 3 11 2" xfId="13013" xr:uid="{00000000-0005-0000-0000-000045200000}"/>
    <cellStyle name="Финансовый 2 4 3 12" xfId="6155" xr:uid="{00000000-0005-0000-0000-000046200000}"/>
    <cellStyle name="Финансовый 2 4 3 12 2" xfId="14798" xr:uid="{00000000-0005-0000-0000-000047200000}"/>
    <cellStyle name="Финансовый 2 4 3 13" xfId="8762" xr:uid="{00000000-0005-0000-0000-000048200000}"/>
    <cellStyle name="Финансовый 2 4 3 2" xfId="250" xr:uid="{00000000-0005-0000-0000-000049200000}"/>
    <cellStyle name="Финансовый 2 4 3 2 10" xfId="8898" xr:uid="{00000000-0005-0000-0000-00004A200000}"/>
    <cellStyle name="Финансовый 2 4 3 2 2" xfId="1348" xr:uid="{00000000-0005-0000-0000-00004B200000}"/>
    <cellStyle name="Финансовый 2 4 3 2 2 2" xfId="2306" xr:uid="{00000000-0005-0000-0000-00004C200000}"/>
    <cellStyle name="Финансовый 2 4 3 2 2 2 2" xfId="3951" xr:uid="{00000000-0005-0000-0000-00004D200000}"/>
    <cellStyle name="Финансовый 2 4 3 2 2 2 2 2" xfId="12596" xr:uid="{00000000-0005-0000-0000-00004E200000}"/>
    <cellStyle name="Финансовый 2 4 3 2 2 2 3" xfId="5734" xr:uid="{00000000-0005-0000-0000-00004F200000}"/>
    <cellStyle name="Финансовый 2 4 3 2 2 2 3 2" xfId="14377" xr:uid="{00000000-0005-0000-0000-000050200000}"/>
    <cellStyle name="Финансовый 2 4 3 2 2 2 4" xfId="8344" xr:uid="{00000000-0005-0000-0000-000051200000}"/>
    <cellStyle name="Финансовый 2 4 3 2 2 2 4 2" xfId="16987" xr:uid="{00000000-0005-0000-0000-000052200000}"/>
    <cellStyle name="Финансовый 2 4 3 2 2 2 5" xfId="10951" xr:uid="{00000000-0005-0000-0000-000053200000}"/>
    <cellStyle name="Финансовый 2 4 3 2 2 3" xfId="3132" xr:uid="{00000000-0005-0000-0000-000054200000}"/>
    <cellStyle name="Финансовый 2 4 3 2 2 3 2" xfId="11777" xr:uid="{00000000-0005-0000-0000-000055200000}"/>
    <cellStyle name="Финансовый 2 4 3 2 2 4" xfId="4776" xr:uid="{00000000-0005-0000-0000-000056200000}"/>
    <cellStyle name="Финансовый 2 4 3 2 2 4 2" xfId="13421" xr:uid="{00000000-0005-0000-0000-000057200000}"/>
    <cellStyle name="Финансовый 2 4 3 2 2 5" xfId="7388" xr:uid="{00000000-0005-0000-0000-000058200000}"/>
    <cellStyle name="Финансовый 2 4 3 2 2 5 2" xfId="16031" xr:uid="{00000000-0005-0000-0000-000059200000}"/>
    <cellStyle name="Финансовый 2 4 3 2 2 6" xfId="9995" xr:uid="{00000000-0005-0000-0000-00005A200000}"/>
    <cellStyle name="Финансовый 2 4 3 2 3" xfId="2050" xr:uid="{00000000-0005-0000-0000-00005B200000}"/>
    <cellStyle name="Финансовый 2 4 3 2 3 2" xfId="3695" xr:uid="{00000000-0005-0000-0000-00005C200000}"/>
    <cellStyle name="Финансовый 2 4 3 2 3 2 2" xfId="12340" xr:uid="{00000000-0005-0000-0000-00005D200000}"/>
    <cellStyle name="Финансовый 2 4 3 2 3 3" xfId="5478" xr:uid="{00000000-0005-0000-0000-00005E200000}"/>
    <cellStyle name="Финансовый 2 4 3 2 3 3 2" xfId="14121" xr:uid="{00000000-0005-0000-0000-00005F200000}"/>
    <cellStyle name="Финансовый 2 4 3 2 3 4" xfId="8088" xr:uid="{00000000-0005-0000-0000-000060200000}"/>
    <cellStyle name="Финансовый 2 4 3 2 3 4 2" xfId="16731" xr:uid="{00000000-0005-0000-0000-000061200000}"/>
    <cellStyle name="Финансовый 2 4 3 2 3 5" xfId="10695" xr:uid="{00000000-0005-0000-0000-000062200000}"/>
    <cellStyle name="Финансовый 2 4 3 2 4" xfId="2579" xr:uid="{00000000-0005-0000-0000-000063200000}"/>
    <cellStyle name="Финансовый 2 4 3 2 4 2" xfId="4224" xr:uid="{00000000-0005-0000-0000-000064200000}"/>
    <cellStyle name="Финансовый 2 4 3 2 4 2 2" xfId="12869" xr:uid="{00000000-0005-0000-0000-000065200000}"/>
    <cellStyle name="Финансовый 2 4 3 2 4 3" xfId="6007" xr:uid="{00000000-0005-0000-0000-000066200000}"/>
    <cellStyle name="Финансовый 2 4 3 2 4 3 2" xfId="14650" xr:uid="{00000000-0005-0000-0000-000067200000}"/>
    <cellStyle name="Финансовый 2 4 3 2 4 4" xfId="8617" xr:uid="{00000000-0005-0000-0000-000068200000}"/>
    <cellStyle name="Финансовый 2 4 3 2 4 4 2" xfId="17260" xr:uid="{00000000-0005-0000-0000-000069200000}"/>
    <cellStyle name="Финансовый 2 4 3 2 4 5" xfId="11224" xr:uid="{00000000-0005-0000-0000-00006A200000}"/>
    <cellStyle name="Финансовый 2 4 3 2 5" xfId="1083" xr:uid="{00000000-0005-0000-0000-00006B200000}"/>
    <cellStyle name="Финансовый 2 4 3 2 5 2" xfId="7123" xr:uid="{00000000-0005-0000-0000-00006C200000}"/>
    <cellStyle name="Финансовый 2 4 3 2 5 2 2" xfId="15766" xr:uid="{00000000-0005-0000-0000-00006D200000}"/>
    <cellStyle name="Финансовый 2 4 3 2 5 3" xfId="9730" xr:uid="{00000000-0005-0000-0000-00006E200000}"/>
    <cellStyle name="Финансовый 2 4 3 2 6" xfId="671" xr:uid="{00000000-0005-0000-0000-00006F200000}"/>
    <cellStyle name="Финансовый 2 4 3 2 6 2" xfId="6711" xr:uid="{00000000-0005-0000-0000-000070200000}"/>
    <cellStyle name="Финансовый 2 4 3 2 6 2 2" xfId="15354" xr:uid="{00000000-0005-0000-0000-000071200000}"/>
    <cellStyle name="Финансовый 2 4 3 2 6 3" xfId="9318" xr:uid="{00000000-0005-0000-0000-000072200000}"/>
    <cellStyle name="Финансовый 2 4 3 2 7" xfId="2860" xr:uid="{00000000-0005-0000-0000-000073200000}"/>
    <cellStyle name="Финансовый 2 4 3 2 7 2" xfId="11505" xr:uid="{00000000-0005-0000-0000-000074200000}"/>
    <cellStyle name="Финансовый 2 4 3 2 8" xfId="4504" xr:uid="{00000000-0005-0000-0000-000075200000}"/>
    <cellStyle name="Финансовый 2 4 3 2 8 2" xfId="13149" xr:uid="{00000000-0005-0000-0000-000076200000}"/>
    <cellStyle name="Финансовый 2 4 3 2 9" xfId="6291" xr:uid="{00000000-0005-0000-0000-000077200000}"/>
    <cellStyle name="Финансовый 2 4 3 2 9 2" xfId="14934" xr:uid="{00000000-0005-0000-0000-000078200000}"/>
    <cellStyle name="Финансовый 2 4 3 3" xfId="399" xr:uid="{00000000-0005-0000-0000-000079200000}"/>
    <cellStyle name="Финансовый 2 4 3 3 2" xfId="2178" xr:uid="{00000000-0005-0000-0000-00007A200000}"/>
    <cellStyle name="Финансовый 2 4 3 3 2 2" xfId="3823" xr:uid="{00000000-0005-0000-0000-00007B200000}"/>
    <cellStyle name="Финансовый 2 4 3 3 2 2 2" xfId="12468" xr:uid="{00000000-0005-0000-0000-00007C200000}"/>
    <cellStyle name="Финансовый 2 4 3 3 2 3" xfId="5606" xr:uid="{00000000-0005-0000-0000-00007D200000}"/>
    <cellStyle name="Финансовый 2 4 3 3 2 3 2" xfId="14249" xr:uid="{00000000-0005-0000-0000-00007E200000}"/>
    <cellStyle name="Финансовый 2 4 3 3 2 4" xfId="8216" xr:uid="{00000000-0005-0000-0000-00007F200000}"/>
    <cellStyle name="Финансовый 2 4 3 3 2 4 2" xfId="16859" xr:uid="{00000000-0005-0000-0000-000080200000}"/>
    <cellStyle name="Финансовый 2 4 3 3 2 5" xfId="10823" xr:uid="{00000000-0005-0000-0000-000081200000}"/>
    <cellStyle name="Финансовый 2 4 3 3 3" xfId="1212" xr:uid="{00000000-0005-0000-0000-000082200000}"/>
    <cellStyle name="Финансовый 2 4 3 3 3 2" xfId="7252" xr:uid="{00000000-0005-0000-0000-000083200000}"/>
    <cellStyle name="Финансовый 2 4 3 3 3 2 2" xfId="15895" xr:uid="{00000000-0005-0000-0000-000084200000}"/>
    <cellStyle name="Финансовый 2 4 3 3 3 3" xfId="9859" xr:uid="{00000000-0005-0000-0000-000085200000}"/>
    <cellStyle name="Финансовый 2 4 3 3 4" xfId="819" xr:uid="{00000000-0005-0000-0000-000086200000}"/>
    <cellStyle name="Финансовый 2 4 3 3 4 2" xfId="6859" xr:uid="{00000000-0005-0000-0000-000087200000}"/>
    <cellStyle name="Финансовый 2 4 3 3 4 2 2" xfId="15502" xr:uid="{00000000-0005-0000-0000-000088200000}"/>
    <cellStyle name="Финансовый 2 4 3 3 4 3" xfId="9466" xr:uid="{00000000-0005-0000-0000-000089200000}"/>
    <cellStyle name="Финансовый 2 4 3 3 5" xfId="2996" xr:uid="{00000000-0005-0000-0000-00008A200000}"/>
    <cellStyle name="Финансовый 2 4 3 3 5 2" xfId="11641" xr:uid="{00000000-0005-0000-0000-00008B200000}"/>
    <cellStyle name="Финансовый 2 4 3 3 6" xfId="4640" xr:uid="{00000000-0005-0000-0000-00008C200000}"/>
    <cellStyle name="Финансовый 2 4 3 3 6 2" xfId="13285" xr:uid="{00000000-0005-0000-0000-00008D200000}"/>
    <cellStyle name="Финансовый 2 4 3 3 7" xfId="6439" xr:uid="{00000000-0005-0000-0000-00008E200000}"/>
    <cellStyle name="Финансовый 2 4 3 3 7 2" xfId="15082" xr:uid="{00000000-0005-0000-0000-00008F200000}"/>
    <cellStyle name="Финансовый 2 4 3 3 8" xfId="9046" xr:uid="{00000000-0005-0000-0000-000090200000}"/>
    <cellStyle name="Финансовый 2 4 3 4" xfId="1500" xr:uid="{00000000-0005-0000-0000-000091200000}"/>
    <cellStyle name="Финансовый 2 4 3 4 2" xfId="1922" xr:uid="{00000000-0005-0000-0000-000092200000}"/>
    <cellStyle name="Финансовый 2 4 3 4 2 2" xfId="3567" xr:uid="{00000000-0005-0000-0000-000093200000}"/>
    <cellStyle name="Финансовый 2 4 3 4 2 2 2" xfId="12212" xr:uid="{00000000-0005-0000-0000-000094200000}"/>
    <cellStyle name="Финансовый 2 4 3 4 2 3" xfId="5350" xr:uid="{00000000-0005-0000-0000-000095200000}"/>
    <cellStyle name="Финансовый 2 4 3 4 2 3 2" xfId="13993" xr:uid="{00000000-0005-0000-0000-000096200000}"/>
    <cellStyle name="Финансовый 2 4 3 4 2 4" xfId="7960" xr:uid="{00000000-0005-0000-0000-000097200000}"/>
    <cellStyle name="Финансовый 2 4 3 4 2 4 2" xfId="16603" xr:uid="{00000000-0005-0000-0000-000098200000}"/>
    <cellStyle name="Финансовый 2 4 3 4 2 5" xfId="10567" xr:uid="{00000000-0005-0000-0000-000099200000}"/>
    <cellStyle name="Финансовый 2 4 3 4 3" xfId="4928" xr:uid="{00000000-0005-0000-0000-00009A200000}"/>
    <cellStyle name="Финансовый 2 4 3 4 3 2" xfId="13571" xr:uid="{00000000-0005-0000-0000-00009B200000}"/>
    <cellStyle name="Финансовый 2 4 3 4 4" xfId="7538" xr:uid="{00000000-0005-0000-0000-00009C200000}"/>
    <cellStyle name="Финансовый 2 4 3 4 4 2" xfId="16181" xr:uid="{00000000-0005-0000-0000-00009D200000}"/>
    <cellStyle name="Финансовый 2 4 3 4 5" xfId="10145" xr:uid="{00000000-0005-0000-0000-00009E200000}"/>
    <cellStyle name="Финансовый 2 4 3 5" xfId="1798" xr:uid="{00000000-0005-0000-0000-00009F200000}"/>
    <cellStyle name="Финансовый 2 4 3 5 2" xfId="3443" xr:uid="{00000000-0005-0000-0000-0000A0200000}"/>
    <cellStyle name="Финансовый 2 4 3 5 2 2" xfId="12088" xr:uid="{00000000-0005-0000-0000-0000A1200000}"/>
    <cellStyle name="Финансовый 2 4 3 5 3" xfId="5226" xr:uid="{00000000-0005-0000-0000-0000A2200000}"/>
    <cellStyle name="Финансовый 2 4 3 5 3 2" xfId="13869" xr:uid="{00000000-0005-0000-0000-0000A3200000}"/>
    <cellStyle name="Финансовый 2 4 3 5 4" xfId="7836" xr:uid="{00000000-0005-0000-0000-0000A4200000}"/>
    <cellStyle name="Финансовый 2 4 3 5 4 2" xfId="16479" xr:uid="{00000000-0005-0000-0000-0000A5200000}"/>
    <cellStyle name="Финансовый 2 4 3 5 5" xfId="10443" xr:uid="{00000000-0005-0000-0000-0000A6200000}"/>
    <cellStyle name="Финансовый 2 4 3 6" xfId="2443" xr:uid="{00000000-0005-0000-0000-0000A7200000}"/>
    <cellStyle name="Финансовый 2 4 3 6 2" xfId="4088" xr:uid="{00000000-0005-0000-0000-0000A8200000}"/>
    <cellStyle name="Финансовый 2 4 3 6 2 2" xfId="12733" xr:uid="{00000000-0005-0000-0000-0000A9200000}"/>
    <cellStyle name="Финансовый 2 4 3 6 3" xfId="5871" xr:uid="{00000000-0005-0000-0000-0000AA200000}"/>
    <cellStyle name="Финансовый 2 4 3 6 3 2" xfId="14514" xr:uid="{00000000-0005-0000-0000-0000AB200000}"/>
    <cellStyle name="Финансовый 2 4 3 6 4" xfId="8481" xr:uid="{00000000-0005-0000-0000-0000AC200000}"/>
    <cellStyle name="Финансовый 2 4 3 6 4 2" xfId="17124" xr:uid="{00000000-0005-0000-0000-0000AD200000}"/>
    <cellStyle name="Финансовый 2 4 3 6 5" xfId="11088" xr:uid="{00000000-0005-0000-0000-0000AE200000}"/>
    <cellStyle name="Финансовый 2 4 3 7" xfId="1670" xr:uid="{00000000-0005-0000-0000-0000AF200000}"/>
    <cellStyle name="Финансовый 2 4 3 7 2" xfId="3315" xr:uid="{00000000-0005-0000-0000-0000B0200000}"/>
    <cellStyle name="Финансовый 2 4 3 7 2 2" xfId="11960" xr:uid="{00000000-0005-0000-0000-0000B1200000}"/>
    <cellStyle name="Финансовый 2 4 3 7 3" xfId="5098" xr:uid="{00000000-0005-0000-0000-0000B2200000}"/>
    <cellStyle name="Финансовый 2 4 3 7 3 2" xfId="13741" xr:uid="{00000000-0005-0000-0000-0000B3200000}"/>
    <cellStyle name="Финансовый 2 4 3 7 4" xfId="7708" xr:uid="{00000000-0005-0000-0000-0000B4200000}"/>
    <cellStyle name="Финансовый 2 4 3 7 4 2" xfId="16351" xr:uid="{00000000-0005-0000-0000-0000B5200000}"/>
    <cellStyle name="Финансовый 2 4 3 7 5" xfId="10315" xr:uid="{00000000-0005-0000-0000-0000B6200000}"/>
    <cellStyle name="Финансовый 2 4 3 8" xfId="947" xr:uid="{00000000-0005-0000-0000-0000B7200000}"/>
    <cellStyle name="Финансовый 2 4 3 8 2" xfId="6987" xr:uid="{00000000-0005-0000-0000-0000B8200000}"/>
    <cellStyle name="Финансовый 2 4 3 8 2 2" xfId="15630" xr:uid="{00000000-0005-0000-0000-0000B9200000}"/>
    <cellStyle name="Финансовый 2 4 3 8 3" xfId="9594" xr:uid="{00000000-0005-0000-0000-0000BA200000}"/>
    <cellStyle name="Финансовый 2 4 3 9" xfId="535" xr:uid="{00000000-0005-0000-0000-0000BB200000}"/>
    <cellStyle name="Финансовый 2 4 3 9 2" xfId="6575" xr:uid="{00000000-0005-0000-0000-0000BC200000}"/>
    <cellStyle name="Финансовый 2 4 3 9 2 2" xfId="15218" xr:uid="{00000000-0005-0000-0000-0000BD200000}"/>
    <cellStyle name="Финансовый 2 4 3 9 3" xfId="9182" xr:uid="{00000000-0005-0000-0000-0000BE200000}"/>
    <cellStyle name="Финансовый 2 4 4" xfId="78" xr:uid="{00000000-0005-0000-0000-0000BF200000}"/>
    <cellStyle name="Финансовый 2 4 4 10" xfId="2688" xr:uid="{00000000-0005-0000-0000-0000C0200000}"/>
    <cellStyle name="Финансовый 2 4 4 10 2" xfId="11333" xr:uid="{00000000-0005-0000-0000-0000C1200000}"/>
    <cellStyle name="Финансовый 2 4 4 11" xfId="4332" xr:uid="{00000000-0005-0000-0000-0000C2200000}"/>
    <cellStyle name="Финансовый 2 4 4 11 2" xfId="12977" xr:uid="{00000000-0005-0000-0000-0000C3200000}"/>
    <cellStyle name="Финансовый 2 4 4 12" xfId="6119" xr:uid="{00000000-0005-0000-0000-0000C4200000}"/>
    <cellStyle name="Финансовый 2 4 4 12 2" xfId="14762" xr:uid="{00000000-0005-0000-0000-0000C5200000}"/>
    <cellStyle name="Финансовый 2 4 4 13" xfId="8726" xr:uid="{00000000-0005-0000-0000-0000C6200000}"/>
    <cellStyle name="Финансовый 2 4 4 2" xfId="214" xr:uid="{00000000-0005-0000-0000-0000C7200000}"/>
    <cellStyle name="Финансовый 2 4 4 2 10" xfId="8862" xr:uid="{00000000-0005-0000-0000-0000C8200000}"/>
    <cellStyle name="Финансовый 2 4 4 2 2" xfId="1312" xr:uid="{00000000-0005-0000-0000-0000C9200000}"/>
    <cellStyle name="Финансовый 2 4 4 2 2 2" xfId="2270" xr:uid="{00000000-0005-0000-0000-0000CA200000}"/>
    <cellStyle name="Финансовый 2 4 4 2 2 2 2" xfId="3915" xr:uid="{00000000-0005-0000-0000-0000CB200000}"/>
    <cellStyle name="Финансовый 2 4 4 2 2 2 2 2" xfId="12560" xr:uid="{00000000-0005-0000-0000-0000CC200000}"/>
    <cellStyle name="Финансовый 2 4 4 2 2 2 3" xfId="5698" xr:uid="{00000000-0005-0000-0000-0000CD200000}"/>
    <cellStyle name="Финансовый 2 4 4 2 2 2 3 2" xfId="14341" xr:uid="{00000000-0005-0000-0000-0000CE200000}"/>
    <cellStyle name="Финансовый 2 4 4 2 2 2 4" xfId="8308" xr:uid="{00000000-0005-0000-0000-0000CF200000}"/>
    <cellStyle name="Финансовый 2 4 4 2 2 2 4 2" xfId="16951" xr:uid="{00000000-0005-0000-0000-0000D0200000}"/>
    <cellStyle name="Финансовый 2 4 4 2 2 2 5" xfId="10915" xr:uid="{00000000-0005-0000-0000-0000D1200000}"/>
    <cellStyle name="Финансовый 2 4 4 2 2 3" xfId="3096" xr:uid="{00000000-0005-0000-0000-0000D2200000}"/>
    <cellStyle name="Финансовый 2 4 4 2 2 3 2" xfId="11741" xr:uid="{00000000-0005-0000-0000-0000D3200000}"/>
    <cellStyle name="Финансовый 2 4 4 2 2 4" xfId="4740" xr:uid="{00000000-0005-0000-0000-0000D4200000}"/>
    <cellStyle name="Финансовый 2 4 4 2 2 4 2" xfId="13385" xr:uid="{00000000-0005-0000-0000-0000D5200000}"/>
    <cellStyle name="Финансовый 2 4 4 2 2 5" xfId="7352" xr:uid="{00000000-0005-0000-0000-0000D6200000}"/>
    <cellStyle name="Финансовый 2 4 4 2 2 5 2" xfId="15995" xr:uid="{00000000-0005-0000-0000-0000D7200000}"/>
    <cellStyle name="Финансовый 2 4 4 2 2 6" xfId="9959" xr:uid="{00000000-0005-0000-0000-0000D8200000}"/>
    <cellStyle name="Финансовый 2 4 4 2 3" xfId="2014" xr:uid="{00000000-0005-0000-0000-0000D9200000}"/>
    <cellStyle name="Финансовый 2 4 4 2 3 2" xfId="3659" xr:uid="{00000000-0005-0000-0000-0000DA200000}"/>
    <cellStyle name="Финансовый 2 4 4 2 3 2 2" xfId="12304" xr:uid="{00000000-0005-0000-0000-0000DB200000}"/>
    <cellStyle name="Финансовый 2 4 4 2 3 3" xfId="5442" xr:uid="{00000000-0005-0000-0000-0000DC200000}"/>
    <cellStyle name="Финансовый 2 4 4 2 3 3 2" xfId="14085" xr:uid="{00000000-0005-0000-0000-0000DD200000}"/>
    <cellStyle name="Финансовый 2 4 4 2 3 4" xfId="8052" xr:uid="{00000000-0005-0000-0000-0000DE200000}"/>
    <cellStyle name="Финансовый 2 4 4 2 3 4 2" xfId="16695" xr:uid="{00000000-0005-0000-0000-0000DF200000}"/>
    <cellStyle name="Финансовый 2 4 4 2 3 5" xfId="10659" xr:uid="{00000000-0005-0000-0000-0000E0200000}"/>
    <cellStyle name="Финансовый 2 4 4 2 4" xfId="2543" xr:uid="{00000000-0005-0000-0000-0000E1200000}"/>
    <cellStyle name="Финансовый 2 4 4 2 4 2" xfId="4188" xr:uid="{00000000-0005-0000-0000-0000E2200000}"/>
    <cellStyle name="Финансовый 2 4 4 2 4 2 2" xfId="12833" xr:uid="{00000000-0005-0000-0000-0000E3200000}"/>
    <cellStyle name="Финансовый 2 4 4 2 4 3" xfId="5971" xr:uid="{00000000-0005-0000-0000-0000E4200000}"/>
    <cellStyle name="Финансовый 2 4 4 2 4 3 2" xfId="14614" xr:uid="{00000000-0005-0000-0000-0000E5200000}"/>
    <cellStyle name="Финансовый 2 4 4 2 4 4" xfId="8581" xr:uid="{00000000-0005-0000-0000-0000E6200000}"/>
    <cellStyle name="Финансовый 2 4 4 2 4 4 2" xfId="17224" xr:uid="{00000000-0005-0000-0000-0000E7200000}"/>
    <cellStyle name="Финансовый 2 4 4 2 4 5" xfId="11188" xr:uid="{00000000-0005-0000-0000-0000E8200000}"/>
    <cellStyle name="Финансовый 2 4 4 2 5" xfId="1047" xr:uid="{00000000-0005-0000-0000-0000E9200000}"/>
    <cellStyle name="Финансовый 2 4 4 2 5 2" xfId="7087" xr:uid="{00000000-0005-0000-0000-0000EA200000}"/>
    <cellStyle name="Финансовый 2 4 4 2 5 2 2" xfId="15730" xr:uid="{00000000-0005-0000-0000-0000EB200000}"/>
    <cellStyle name="Финансовый 2 4 4 2 5 3" xfId="9694" xr:uid="{00000000-0005-0000-0000-0000EC200000}"/>
    <cellStyle name="Финансовый 2 4 4 2 6" xfId="635" xr:uid="{00000000-0005-0000-0000-0000ED200000}"/>
    <cellStyle name="Финансовый 2 4 4 2 6 2" xfId="6675" xr:uid="{00000000-0005-0000-0000-0000EE200000}"/>
    <cellStyle name="Финансовый 2 4 4 2 6 2 2" xfId="15318" xr:uid="{00000000-0005-0000-0000-0000EF200000}"/>
    <cellStyle name="Финансовый 2 4 4 2 6 3" xfId="9282" xr:uid="{00000000-0005-0000-0000-0000F0200000}"/>
    <cellStyle name="Финансовый 2 4 4 2 7" xfId="2824" xr:uid="{00000000-0005-0000-0000-0000F1200000}"/>
    <cellStyle name="Финансовый 2 4 4 2 7 2" xfId="11469" xr:uid="{00000000-0005-0000-0000-0000F2200000}"/>
    <cellStyle name="Финансовый 2 4 4 2 8" xfId="4468" xr:uid="{00000000-0005-0000-0000-0000F3200000}"/>
    <cellStyle name="Финансовый 2 4 4 2 8 2" xfId="13113" xr:uid="{00000000-0005-0000-0000-0000F4200000}"/>
    <cellStyle name="Финансовый 2 4 4 2 9" xfId="6255" xr:uid="{00000000-0005-0000-0000-0000F5200000}"/>
    <cellStyle name="Финансовый 2 4 4 2 9 2" xfId="14898" xr:uid="{00000000-0005-0000-0000-0000F6200000}"/>
    <cellStyle name="Финансовый 2 4 4 3" xfId="363" xr:uid="{00000000-0005-0000-0000-0000F7200000}"/>
    <cellStyle name="Финансовый 2 4 4 3 2" xfId="2142" xr:uid="{00000000-0005-0000-0000-0000F8200000}"/>
    <cellStyle name="Финансовый 2 4 4 3 2 2" xfId="3787" xr:uid="{00000000-0005-0000-0000-0000F9200000}"/>
    <cellStyle name="Финансовый 2 4 4 3 2 2 2" xfId="12432" xr:uid="{00000000-0005-0000-0000-0000FA200000}"/>
    <cellStyle name="Финансовый 2 4 4 3 2 3" xfId="5570" xr:uid="{00000000-0005-0000-0000-0000FB200000}"/>
    <cellStyle name="Финансовый 2 4 4 3 2 3 2" xfId="14213" xr:uid="{00000000-0005-0000-0000-0000FC200000}"/>
    <cellStyle name="Финансовый 2 4 4 3 2 4" xfId="8180" xr:uid="{00000000-0005-0000-0000-0000FD200000}"/>
    <cellStyle name="Финансовый 2 4 4 3 2 4 2" xfId="16823" xr:uid="{00000000-0005-0000-0000-0000FE200000}"/>
    <cellStyle name="Финансовый 2 4 4 3 2 5" xfId="10787" xr:uid="{00000000-0005-0000-0000-0000FF200000}"/>
    <cellStyle name="Финансовый 2 4 4 3 3" xfId="1176" xr:uid="{00000000-0005-0000-0000-000000210000}"/>
    <cellStyle name="Финансовый 2 4 4 3 3 2" xfId="7216" xr:uid="{00000000-0005-0000-0000-000001210000}"/>
    <cellStyle name="Финансовый 2 4 4 3 3 2 2" xfId="15859" xr:uid="{00000000-0005-0000-0000-000002210000}"/>
    <cellStyle name="Финансовый 2 4 4 3 3 3" xfId="9823" xr:uid="{00000000-0005-0000-0000-000003210000}"/>
    <cellStyle name="Финансовый 2 4 4 3 4" xfId="783" xr:uid="{00000000-0005-0000-0000-000004210000}"/>
    <cellStyle name="Финансовый 2 4 4 3 4 2" xfId="6823" xr:uid="{00000000-0005-0000-0000-000005210000}"/>
    <cellStyle name="Финансовый 2 4 4 3 4 2 2" xfId="15466" xr:uid="{00000000-0005-0000-0000-000006210000}"/>
    <cellStyle name="Финансовый 2 4 4 3 4 3" xfId="9430" xr:uid="{00000000-0005-0000-0000-000007210000}"/>
    <cellStyle name="Финансовый 2 4 4 3 5" xfId="2960" xr:uid="{00000000-0005-0000-0000-000008210000}"/>
    <cellStyle name="Финансовый 2 4 4 3 5 2" xfId="11605" xr:uid="{00000000-0005-0000-0000-000009210000}"/>
    <cellStyle name="Финансовый 2 4 4 3 6" xfId="4604" xr:uid="{00000000-0005-0000-0000-00000A210000}"/>
    <cellStyle name="Финансовый 2 4 4 3 6 2" xfId="13249" xr:uid="{00000000-0005-0000-0000-00000B210000}"/>
    <cellStyle name="Финансовый 2 4 4 3 7" xfId="6403" xr:uid="{00000000-0005-0000-0000-00000C210000}"/>
    <cellStyle name="Финансовый 2 4 4 3 7 2" xfId="15046" xr:uid="{00000000-0005-0000-0000-00000D210000}"/>
    <cellStyle name="Финансовый 2 4 4 3 8" xfId="9010" xr:uid="{00000000-0005-0000-0000-00000E210000}"/>
    <cellStyle name="Финансовый 2 4 4 4" xfId="1501" xr:uid="{00000000-0005-0000-0000-00000F210000}"/>
    <cellStyle name="Финансовый 2 4 4 4 2" xfId="1886" xr:uid="{00000000-0005-0000-0000-000010210000}"/>
    <cellStyle name="Финансовый 2 4 4 4 2 2" xfId="3531" xr:uid="{00000000-0005-0000-0000-000011210000}"/>
    <cellStyle name="Финансовый 2 4 4 4 2 2 2" xfId="12176" xr:uid="{00000000-0005-0000-0000-000012210000}"/>
    <cellStyle name="Финансовый 2 4 4 4 2 3" xfId="5314" xr:uid="{00000000-0005-0000-0000-000013210000}"/>
    <cellStyle name="Финансовый 2 4 4 4 2 3 2" xfId="13957" xr:uid="{00000000-0005-0000-0000-000014210000}"/>
    <cellStyle name="Финансовый 2 4 4 4 2 4" xfId="7924" xr:uid="{00000000-0005-0000-0000-000015210000}"/>
    <cellStyle name="Финансовый 2 4 4 4 2 4 2" xfId="16567" xr:uid="{00000000-0005-0000-0000-000016210000}"/>
    <cellStyle name="Финансовый 2 4 4 4 2 5" xfId="10531" xr:uid="{00000000-0005-0000-0000-000017210000}"/>
    <cellStyle name="Финансовый 2 4 4 4 3" xfId="4929" xr:uid="{00000000-0005-0000-0000-000018210000}"/>
    <cellStyle name="Финансовый 2 4 4 4 3 2" xfId="13572" xr:uid="{00000000-0005-0000-0000-000019210000}"/>
    <cellStyle name="Финансовый 2 4 4 4 4" xfId="7539" xr:uid="{00000000-0005-0000-0000-00001A210000}"/>
    <cellStyle name="Финансовый 2 4 4 4 4 2" xfId="16182" xr:uid="{00000000-0005-0000-0000-00001B210000}"/>
    <cellStyle name="Финансовый 2 4 4 4 5" xfId="10146" xr:uid="{00000000-0005-0000-0000-00001C210000}"/>
    <cellStyle name="Финансовый 2 4 4 5" xfId="1762" xr:uid="{00000000-0005-0000-0000-00001D210000}"/>
    <cellStyle name="Финансовый 2 4 4 5 2" xfId="3407" xr:uid="{00000000-0005-0000-0000-00001E210000}"/>
    <cellStyle name="Финансовый 2 4 4 5 2 2" xfId="12052" xr:uid="{00000000-0005-0000-0000-00001F210000}"/>
    <cellStyle name="Финансовый 2 4 4 5 3" xfId="5190" xr:uid="{00000000-0005-0000-0000-000020210000}"/>
    <cellStyle name="Финансовый 2 4 4 5 3 2" xfId="13833" xr:uid="{00000000-0005-0000-0000-000021210000}"/>
    <cellStyle name="Финансовый 2 4 4 5 4" xfId="7800" xr:uid="{00000000-0005-0000-0000-000022210000}"/>
    <cellStyle name="Финансовый 2 4 4 5 4 2" xfId="16443" xr:uid="{00000000-0005-0000-0000-000023210000}"/>
    <cellStyle name="Финансовый 2 4 4 5 5" xfId="10407" xr:uid="{00000000-0005-0000-0000-000024210000}"/>
    <cellStyle name="Финансовый 2 4 4 6" xfId="2407" xr:uid="{00000000-0005-0000-0000-000025210000}"/>
    <cellStyle name="Финансовый 2 4 4 6 2" xfId="4052" xr:uid="{00000000-0005-0000-0000-000026210000}"/>
    <cellStyle name="Финансовый 2 4 4 6 2 2" xfId="12697" xr:uid="{00000000-0005-0000-0000-000027210000}"/>
    <cellStyle name="Финансовый 2 4 4 6 3" xfId="5835" xr:uid="{00000000-0005-0000-0000-000028210000}"/>
    <cellStyle name="Финансовый 2 4 4 6 3 2" xfId="14478" xr:uid="{00000000-0005-0000-0000-000029210000}"/>
    <cellStyle name="Финансовый 2 4 4 6 4" xfId="8445" xr:uid="{00000000-0005-0000-0000-00002A210000}"/>
    <cellStyle name="Финансовый 2 4 4 6 4 2" xfId="17088" xr:uid="{00000000-0005-0000-0000-00002B210000}"/>
    <cellStyle name="Финансовый 2 4 4 6 5" xfId="11052" xr:uid="{00000000-0005-0000-0000-00002C210000}"/>
    <cellStyle name="Финансовый 2 4 4 7" xfId="1634" xr:uid="{00000000-0005-0000-0000-00002D210000}"/>
    <cellStyle name="Финансовый 2 4 4 7 2" xfId="3279" xr:uid="{00000000-0005-0000-0000-00002E210000}"/>
    <cellStyle name="Финансовый 2 4 4 7 2 2" xfId="11924" xr:uid="{00000000-0005-0000-0000-00002F210000}"/>
    <cellStyle name="Финансовый 2 4 4 7 3" xfId="5062" xr:uid="{00000000-0005-0000-0000-000030210000}"/>
    <cellStyle name="Финансовый 2 4 4 7 3 2" xfId="13705" xr:uid="{00000000-0005-0000-0000-000031210000}"/>
    <cellStyle name="Финансовый 2 4 4 7 4" xfId="7672" xr:uid="{00000000-0005-0000-0000-000032210000}"/>
    <cellStyle name="Финансовый 2 4 4 7 4 2" xfId="16315" xr:uid="{00000000-0005-0000-0000-000033210000}"/>
    <cellStyle name="Финансовый 2 4 4 7 5" xfId="10279" xr:uid="{00000000-0005-0000-0000-000034210000}"/>
    <cellStyle name="Финансовый 2 4 4 8" xfId="911" xr:uid="{00000000-0005-0000-0000-000035210000}"/>
    <cellStyle name="Финансовый 2 4 4 8 2" xfId="6951" xr:uid="{00000000-0005-0000-0000-000036210000}"/>
    <cellStyle name="Финансовый 2 4 4 8 2 2" xfId="15594" xr:uid="{00000000-0005-0000-0000-000037210000}"/>
    <cellStyle name="Финансовый 2 4 4 8 3" xfId="9558" xr:uid="{00000000-0005-0000-0000-000038210000}"/>
    <cellStyle name="Финансовый 2 4 4 9" xfId="499" xr:uid="{00000000-0005-0000-0000-000039210000}"/>
    <cellStyle name="Финансовый 2 4 4 9 2" xfId="6539" xr:uid="{00000000-0005-0000-0000-00003A210000}"/>
    <cellStyle name="Финансовый 2 4 4 9 2 2" xfId="15182" xr:uid="{00000000-0005-0000-0000-00003B210000}"/>
    <cellStyle name="Финансовый 2 4 4 9 3" xfId="9146" xr:uid="{00000000-0005-0000-0000-00003C210000}"/>
    <cellStyle name="Финансовый 2 4 5" xfId="56" xr:uid="{00000000-0005-0000-0000-00003D210000}"/>
    <cellStyle name="Финансовый 2 4 5 10" xfId="2668" xr:uid="{00000000-0005-0000-0000-00003E210000}"/>
    <cellStyle name="Финансовый 2 4 5 10 2" xfId="11313" xr:uid="{00000000-0005-0000-0000-00003F210000}"/>
    <cellStyle name="Финансовый 2 4 5 11" xfId="4311" xr:uid="{00000000-0005-0000-0000-000040210000}"/>
    <cellStyle name="Финансовый 2 4 5 11 2" xfId="12956" xr:uid="{00000000-0005-0000-0000-000041210000}"/>
    <cellStyle name="Финансовый 2 4 5 12" xfId="6099" xr:uid="{00000000-0005-0000-0000-000042210000}"/>
    <cellStyle name="Финансовый 2 4 5 12 2" xfId="14742" xr:uid="{00000000-0005-0000-0000-000043210000}"/>
    <cellStyle name="Финансовый 2 4 5 13" xfId="8706" xr:uid="{00000000-0005-0000-0000-000044210000}"/>
    <cellStyle name="Финансовый 2 4 5 2" xfId="194" xr:uid="{00000000-0005-0000-0000-000045210000}"/>
    <cellStyle name="Финансовый 2 4 5 2 10" xfId="8842" xr:uid="{00000000-0005-0000-0000-000046210000}"/>
    <cellStyle name="Финансовый 2 4 5 2 2" xfId="1292" xr:uid="{00000000-0005-0000-0000-000047210000}"/>
    <cellStyle name="Финансовый 2 4 5 2 2 2" xfId="2258" xr:uid="{00000000-0005-0000-0000-000048210000}"/>
    <cellStyle name="Финансовый 2 4 5 2 2 2 2" xfId="3903" xr:uid="{00000000-0005-0000-0000-000049210000}"/>
    <cellStyle name="Финансовый 2 4 5 2 2 2 2 2" xfId="12548" xr:uid="{00000000-0005-0000-0000-00004A210000}"/>
    <cellStyle name="Финансовый 2 4 5 2 2 2 3" xfId="5686" xr:uid="{00000000-0005-0000-0000-00004B210000}"/>
    <cellStyle name="Финансовый 2 4 5 2 2 2 3 2" xfId="14329" xr:uid="{00000000-0005-0000-0000-00004C210000}"/>
    <cellStyle name="Финансовый 2 4 5 2 2 2 4" xfId="8296" xr:uid="{00000000-0005-0000-0000-00004D210000}"/>
    <cellStyle name="Финансовый 2 4 5 2 2 2 4 2" xfId="16939" xr:uid="{00000000-0005-0000-0000-00004E210000}"/>
    <cellStyle name="Финансовый 2 4 5 2 2 2 5" xfId="10903" xr:uid="{00000000-0005-0000-0000-00004F210000}"/>
    <cellStyle name="Финансовый 2 4 5 2 2 3" xfId="3076" xr:uid="{00000000-0005-0000-0000-000050210000}"/>
    <cellStyle name="Финансовый 2 4 5 2 2 3 2" xfId="11721" xr:uid="{00000000-0005-0000-0000-000051210000}"/>
    <cellStyle name="Финансовый 2 4 5 2 2 4" xfId="4720" xr:uid="{00000000-0005-0000-0000-000052210000}"/>
    <cellStyle name="Финансовый 2 4 5 2 2 4 2" xfId="13365" xr:uid="{00000000-0005-0000-0000-000053210000}"/>
    <cellStyle name="Финансовый 2 4 5 2 2 5" xfId="7332" xr:uid="{00000000-0005-0000-0000-000054210000}"/>
    <cellStyle name="Финансовый 2 4 5 2 2 5 2" xfId="15975" xr:uid="{00000000-0005-0000-0000-000055210000}"/>
    <cellStyle name="Финансовый 2 4 5 2 2 6" xfId="9939" xr:uid="{00000000-0005-0000-0000-000056210000}"/>
    <cellStyle name="Финансовый 2 4 5 2 3" xfId="2002" xr:uid="{00000000-0005-0000-0000-000057210000}"/>
    <cellStyle name="Финансовый 2 4 5 2 3 2" xfId="3647" xr:uid="{00000000-0005-0000-0000-000058210000}"/>
    <cellStyle name="Финансовый 2 4 5 2 3 2 2" xfId="12292" xr:uid="{00000000-0005-0000-0000-000059210000}"/>
    <cellStyle name="Финансовый 2 4 5 2 3 3" xfId="5430" xr:uid="{00000000-0005-0000-0000-00005A210000}"/>
    <cellStyle name="Финансовый 2 4 5 2 3 3 2" xfId="14073" xr:uid="{00000000-0005-0000-0000-00005B210000}"/>
    <cellStyle name="Финансовый 2 4 5 2 3 4" xfId="8040" xr:uid="{00000000-0005-0000-0000-00005C210000}"/>
    <cellStyle name="Финансовый 2 4 5 2 3 4 2" xfId="16683" xr:uid="{00000000-0005-0000-0000-00005D210000}"/>
    <cellStyle name="Финансовый 2 4 5 2 3 5" xfId="10647" xr:uid="{00000000-0005-0000-0000-00005E210000}"/>
    <cellStyle name="Финансовый 2 4 5 2 4" xfId="2523" xr:uid="{00000000-0005-0000-0000-00005F210000}"/>
    <cellStyle name="Финансовый 2 4 5 2 4 2" xfId="4168" xr:uid="{00000000-0005-0000-0000-000060210000}"/>
    <cellStyle name="Финансовый 2 4 5 2 4 2 2" xfId="12813" xr:uid="{00000000-0005-0000-0000-000061210000}"/>
    <cellStyle name="Финансовый 2 4 5 2 4 3" xfId="5951" xr:uid="{00000000-0005-0000-0000-000062210000}"/>
    <cellStyle name="Финансовый 2 4 5 2 4 3 2" xfId="14594" xr:uid="{00000000-0005-0000-0000-000063210000}"/>
    <cellStyle name="Финансовый 2 4 5 2 4 4" xfId="8561" xr:uid="{00000000-0005-0000-0000-000064210000}"/>
    <cellStyle name="Финансовый 2 4 5 2 4 4 2" xfId="17204" xr:uid="{00000000-0005-0000-0000-000065210000}"/>
    <cellStyle name="Финансовый 2 4 5 2 4 5" xfId="11168" xr:uid="{00000000-0005-0000-0000-000066210000}"/>
    <cellStyle name="Финансовый 2 4 5 2 5" xfId="1027" xr:uid="{00000000-0005-0000-0000-000067210000}"/>
    <cellStyle name="Финансовый 2 4 5 2 5 2" xfId="7067" xr:uid="{00000000-0005-0000-0000-000068210000}"/>
    <cellStyle name="Финансовый 2 4 5 2 5 2 2" xfId="15710" xr:uid="{00000000-0005-0000-0000-000069210000}"/>
    <cellStyle name="Финансовый 2 4 5 2 5 3" xfId="9674" xr:uid="{00000000-0005-0000-0000-00006A210000}"/>
    <cellStyle name="Финансовый 2 4 5 2 6" xfId="615" xr:uid="{00000000-0005-0000-0000-00006B210000}"/>
    <cellStyle name="Финансовый 2 4 5 2 6 2" xfId="6655" xr:uid="{00000000-0005-0000-0000-00006C210000}"/>
    <cellStyle name="Финансовый 2 4 5 2 6 2 2" xfId="15298" xr:uid="{00000000-0005-0000-0000-00006D210000}"/>
    <cellStyle name="Финансовый 2 4 5 2 6 3" xfId="9262" xr:uid="{00000000-0005-0000-0000-00006E210000}"/>
    <cellStyle name="Финансовый 2 4 5 2 7" xfId="2804" xr:uid="{00000000-0005-0000-0000-00006F210000}"/>
    <cellStyle name="Финансовый 2 4 5 2 7 2" xfId="11449" xr:uid="{00000000-0005-0000-0000-000070210000}"/>
    <cellStyle name="Финансовый 2 4 5 2 8" xfId="4448" xr:uid="{00000000-0005-0000-0000-000071210000}"/>
    <cellStyle name="Финансовый 2 4 5 2 8 2" xfId="13093" xr:uid="{00000000-0005-0000-0000-000072210000}"/>
    <cellStyle name="Финансовый 2 4 5 2 9" xfId="6235" xr:uid="{00000000-0005-0000-0000-000073210000}"/>
    <cellStyle name="Финансовый 2 4 5 2 9 2" xfId="14878" xr:uid="{00000000-0005-0000-0000-000074210000}"/>
    <cellStyle name="Финансовый 2 4 5 3" xfId="343" xr:uid="{00000000-0005-0000-0000-000075210000}"/>
    <cellStyle name="Финансовый 2 4 5 3 2" xfId="2130" xr:uid="{00000000-0005-0000-0000-000076210000}"/>
    <cellStyle name="Финансовый 2 4 5 3 2 2" xfId="3775" xr:uid="{00000000-0005-0000-0000-000077210000}"/>
    <cellStyle name="Финансовый 2 4 5 3 2 2 2" xfId="12420" xr:uid="{00000000-0005-0000-0000-000078210000}"/>
    <cellStyle name="Финансовый 2 4 5 3 2 3" xfId="5558" xr:uid="{00000000-0005-0000-0000-000079210000}"/>
    <cellStyle name="Финансовый 2 4 5 3 2 3 2" xfId="14201" xr:uid="{00000000-0005-0000-0000-00007A210000}"/>
    <cellStyle name="Финансовый 2 4 5 3 2 4" xfId="8168" xr:uid="{00000000-0005-0000-0000-00007B210000}"/>
    <cellStyle name="Финансовый 2 4 5 3 2 4 2" xfId="16811" xr:uid="{00000000-0005-0000-0000-00007C210000}"/>
    <cellStyle name="Финансовый 2 4 5 3 2 5" xfId="10775" xr:uid="{00000000-0005-0000-0000-00007D210000}"/>
    <cellStyle name="Финансовый 2 4 5 3 3" xfId="1163" xr:uid="{00000000-0005-0000-0000-00007E210000}"/>
    <cellStyle name="Финансовый 2 4 5 3 3 2" xfId="7203" xr:uid="{00000000-0005-0000-0000-00007F210000}"/>
    <cellStyle name="Финансовый 2 4 5 3 3 2 2" xfId="15846" xr:uid="{00000000-0005-0000-0000-000080210000}"/>
    <cellStyle name="Финансовый 2 4 5 3 3 3" xfId="9810" xr:uid="{00000000-0005-0000-0000-000081210000}"/>
    <cellStyle name="Финансовый 2 4 5 3 4" xfId="763" xr:uid="{00000000-0005-0000-0000-000082210000}"/>
    <cellStyle name="Финансовый 2 4 5 3 4 2" xfId="6803" xr:uid="{00000000-0005-0000-0000-000083210000}"/>
    <cellStyle name="Финансовый 2 4 5 3 4 2 2" xfId="15446" xr:uid="{00000000-0005-0000-0000-000084210000}"/>
    <cellStyle name="Финансовый 2 4 5 3 4 3" xfId="9410" xr:uid="{00000000-0005-0000-0000-000085210000}"/>
    <cellStyle name="Финансовый 2 4 5 3 5" xfId="2940" xr:uid="{00000000-0005-0000-0000-000086210000}"/>
    <cellStyle name="Финансовый 2 4 5 3 5 2" xfId="11585" xr:uid="{00000000-0005-0000-0000-000087210000}"/>
    <cellStyle name="Финансовый 2 4 5 3 6" xfId="4584" xr:uid="{00000000-0005-0000-0000-000088210000}"/>
    <cellStyle name="Финансовый 2 4 5 3 6 2" xfId="13229" xr:uid="{00000000-0005-0000-0000-000089210000}"/>
    <cellStyle name="Финансовый 2 4 5 3 7" xfId="6383" xr:uid="{00000000-0005-0000-0000-00008A210000}"/>
    <cellStyle name="Финансовый 2 4 5 3 7 2" xfId="15026" xr:uid="{00000000-0005-0000-0000-00008B210000}"/>
    <cellStyle name="Финансовый 2 4 5 3 8" xfId="8990" xr:uid="{00000000-0005-0000-0000-00008C210000}"/>
    <cellStyle name="Финансовый 2 4 5 4" xfId="1502" xr:uid="{00000000-0005-0000-0000-00008D210000}"/>
    <cellStyle name="Финансовый 2 4 5 4 2" xfId="1866" xr:uid="{00000000-0005-0000-0000-00008E210000}"/>
    <cellStyle name="Финансовый 2 4 5 4 2 2" xfId="3511" xr:uid="{00000000-0005-0000-0000-00008F210000}"/>
    <cellStyle name="Финансовый 2 4 5 4 2 2 2" xfId="12156" xr:uid="{00000000-0005-0000-0000-000090210000}"/>
    <cellStyle name="Финансовый 2 4 5 4 2 3" xfId="5294" xr:uid="{00000000-0005-0000-0000-000091210000}"/>
    <cellStyle name="Финансовый 2 4 5 4 2 3 2" xfId="13937" xr:uid="{00000000-0005-0000-0000-000092210000}"/>
    <cellStyle name="Финансовый 2 4 5 4 2 4" xfId="7904" xr:uid="{00000000-0005-0000-0000-000093210000}"/>
    <cellStyle name="Финансовый 2 4 5 4 2 4 2" xfId="16547" xr:uid="{00000000-0005-0000-0000-000094210000}"/>
    <cellStyle name="Финансовый 2 4 5 4 2 5" xfId="10511" xr:uid="{00000000-0005-0000-0000-000095210000}"/>
    <cellStyle name="Финансовый 2 4 5 4 3" xfId="4930" xr:uid="{00000000-0005-0000-0000-000096210000}"/>
    <cellStyle name="Финансовый 2 4 5 4 3 2" xfId="13573" xr:uid="{00000000-0005-0000-0000-000097210000}"/>
    <cellStyle name="Финансовый 2 4 5 4 4" xfId="7540" xr:uid="{00000000-0005-0000-0000-000098210000}"/>
    <cellStyle name="Финансовый 2 4 5 4 4 2" xfId="16183" xr:uid="{00000000-0005-0000-0000-000099210000}"/>
    <cellStyle name="Финансовый 2 4 5 4 5" xfId="10147" xr:uid="{00000000-0005-0000-0000-00009A210000}"/>
    <cellStyle name="Финансовый 2 4 5 5" xfId="1750" xr:uid="{00000000-0005-0000-0000-00009B210000}"/>
    <cellStyle name="Финансовый 2 4 5 5 2" xfId="3395" xr:uid="{00000000-0005-0000-0000-00009C210000}"/>
    <cellStyle name="Финансовый 2 4 5 5 2 2" xfId="12040" xr:uid="{00000000-0005-0000-0000-00009D210000}"/>
    <cellStyle name="Финансовый 2 4 5 5 3" xfId="5178" xr:uid="{00000000-0005-0000-0000-00009E210000}"/>
    <cellStyle name="Финансовый 2 4 5 5 3 2" xfId="13821" xr:uid="{00000000-0005-0000-0000-00009F210000}"/>
    <cellStyle name="Финансовый 2 4 5 5 4" xfId="7788" xr:uid="{00000000-0005-0000-0000-0000A0210000}"/>
    <cellStyle name="Финансовый 2 4 5 5 4 2" xfId="16431" xr:uid="{00000000-0005-0000-0000-0000A1210000}"/>
    <cellStyle name="Финансовый 2 4 5 5 5" xfId="10395" xr:uid="{00000000-0005-0000-0000-0000A2210000}"/>
    <cellStyle name="Финансовый 2 4 5 6" xfId="2386" xr:uid="{00000000-0005-0000-0000-0000A3210000}"/>
    <cellStyle name="Финансовый 2 4 5 6 2" xfId="4031" xr:uid="{00000000-0005-0000-0000-0000A4210000}"/>
    <cellStyle name="Финансовый 2 4 5 6 2 2" xfId="12676" xr:uid="{00000000-0005-0000-0000-0000A5210000}"/>
    <cellStyle name="Финансовый 2 4 5 6 3" xfId="5814" xr:uid="{00000000-0005-0000-0000-0000A6210000}"/>
    <cellStyle name="Финансовый 2 4 5 6 3 2" xfId="14457" xr:uid="{00000000-0005-0000-0000-0000A7210000}"/>
    <cellStyle name="Финансовый 2 4 5 6 4" xfId="8424" xr:uid="{00000000-0005-0000-0000-0000A8210000}"/>
    <cellStyle name="Финансовый 2 4 5 6 4 2" xfId="17067" xr:uid="{00000000-0005-0000-0000-0000A9210000}"/>
    <cellStyle name="Финансовый 2 4 5 6 5" xfId="11031" xr:uid="{00000000-0005-0000-0000-0000AA210000}"/>
    <cellStyle name="Финансовый 2 4 5 7" xfId="1613" xr:uid="{00000000-0005-0000-0000-0000AB210000}"/>
    <cellStyle name="Финансовый 2 4 5 7 2" xfId="3258" xr:uid="{00000000-0005-0000-0000-0000AC210000}"/>
    <cellStyle name="Финансовый 2 4 5 7 2 2" xfId="11903" xr:uid="{00000000-0005-0000-0000-0000AD210000}"/>
    <cellStyle name="Финансовый 2 4 5 7 3" xfId="5041" xr:uid="{00000000-0005-0000-0000-0000AE210000}"/>
    <cellStyle name="Финансовый 2 4 5 7 3 2" xfId="13684" xr:uid="{00000000-0005-0000-0000-0000AF210000}"/>
    <cellStyle name="Финансовый 2 4 5 7 4" xfId="7651" xr:uid="{00000000-0005-0000-0000-0000B0210000}"/>
    <cellStyle name="Финансовый 2 4 5 7 4 2" xfId="16294" xr:uid="{00000000-0005-0000-0000-0000B1210000}"/>
    <cellStyle name="Финансовый 2 4 5 7 5" xfId="10258" xr:uid="{00000000-0005-0000-0000-0000B2210000}"/>
    <cellStyle name="Финансовый 2 4 5 8" xfId="899" xr:uid="{00000000-0005-0000-0000-0000B3210000}"/>
    <cellStyle name="Финансовый 2 4 5 8 2" xfId="6939" xr:uid="{00000000-0005-0000-0000-0000B4210000}"/>
    <cellStyle name="Финансовый 2 4 5 8 2 2" xfId="15582" xr:uid="{00000000-0005-0000-0000-0000B5210000}"/>
    <cellStyle name="Финансовый 2 4 5 8 3" xfId="9546" xr:uid="{00000000-0005-0000-0000-0000B6210000}"/>
    <cellStyle name="Финансовый 2 4 5 9" xfId="479" xr:uid="{00000000-0005-0000-0000-0000B7210000}"/>
    <cellStyle name="Финансовый 2 4 5 9 2" xfId="6519" xr:uid="{00000000-0005-0000-0000-0000B8210000}"/>
    <cellStyle name="Финансовый 2 4 5 9 2 2" xfId="15162" xr:uid="{00000000-0005-0000-0000-0000B9210000}"/>
    <cellStyle name="Финансовый 2 4 5 9 3" xfId="9126" xr:uid="{00000000-0005-0000-0000-0000BA210000}"/>
    <cellStyle name="Финансовый 2 4 6" xfId="134" xr:uid="{00000000-0005-0000-0000-0000BB210000}"/>
    <cellStyle name="Финансовый 2 4 6 10" xfId="2744" xr:uid="{00000000-0005-0000-0000-0000BC210000}"/>
    <cellStyle name="Финансовый 2 4 6 10 2" xfId="11389" xr:uid="{00000000-0005-0000-0000-0000BD210000}"/>
    <cellStyle name="Финансовый 2 4 6 11" xfId="4388" xr:uid="{00000000-0005-0000-0000-0000BE210000}"/>
    <cellStyle name="Финансовый 2 4 6 11 2" xfId="13033" xr:uid="{00000000-0005-0000-0000-0000BF210000}"/>
    <cellStyle name="Финансовый 2 4 6 12" xfId="6175" xr:uid="{00000000-0005-0000-0000-0000C0210000}"/>
    <cellStyle name="Финансовый 2 4 6 12 2" xfId="14818" xr:uid="{00000000-0005-0000-0000-0000C1210000}"/>
    <cellStyle name="Финансовый 2 4 6 13" xfId="8782" xr:uid="{00000000-0005-0000-0000-0000C2210000}"/>
    <cellStyle name="Финансовый 2 4 6 2" xfId="270" xr:uid="{00000000-0005-0000-0000-0000C3210000}"/>
    <cellStyle name="Финансовый 2 4 6 2 10" xfId="8918" xr:uid="{00000000-0005-0000-0000-0000C4210000}"/>
    <cellStyle name="Финансовый 2 4 6 2 2" xfId="1368" xr:uid="{00000000-0005-0000-0000-0000C5210000}"/>
    <cellStyle name="Финансовый 2 4 6 2 2 2" xfId="2326" xr:uid="{00000000-0005-0000-0000-0000C6210000}"/>
    <cellStyle name="Финансовый 2 4 6 2 2 2 2" xfId="3971" xr:uid="{00000000-0005-0000-0000-0000C7210000}"/>
    <cellStyle name="Финансовый 2 4 6 2 2 2 2 2" xfId="12616" xr:uid="{00000000-0005-0000-0000-0000C8210000}"/>
    <cellStyle name="Финансовый 2 4 6 2 2 2 3" xfId="5754" xr:uid="{00000000-0005-0000-0000-0000C9210000}"/>
    <cellStyle name="Финансовый 2 4 6 2 2 2 3 2" xfId="14397" xr:uid="{00000000-0005-0000-0000-0000CA210000}"/>
    <cellStyle name="Финансовый 2 4 6 2 2 2 4" xfId="8364" xr:uid="{00000000-0005-0000-0000-0000CB210000}"/>
    <cellStyle name="Финансовый 2 4 6 2 2 2 4 2" xfId="17007" xr:uid="{00000000-0005-0000-0000-0000CC210000}"/>
    <cellStyle name="Финансовый 2 4 6 2 2 2 5" xfId="10971" xr:uid="{00000000-0005-0000-0000-0000CD210000}"/>
    <cellStyle name="Финансовый 2 4 6 2 2 3" xfId="3152" xr:uid="{00000000-0005-0000-0000-0000CE210000}"/>
    <cellStyle name="Финансовый 2 4 6 2 2 3 2" xfId="11797" xr:uid="{00000000-0005-0000-0000-0000CF210000}"/>
    <cellStyle name="Финансовый 2 4 6 2 2 4" xfId="4796" xr:uid="{00000000-0005-0000-0000-0000D0210000}"/>
    <cellStyle name="Финансовый 2 4 6 2 2 4 2" xfId="13441" xr:uid="{00000000-0005-0000-0000-0000D1210000}"/>
    <cellStyle name="Финансовый 2 4 6 2 2 5" xfId="7408" xr:uid="{00000000-0005-0000-0000-0000D2210000}"/>
    <cellStyle name="Финансовый 2 4 6 2 2 5 2" xfId="16051" xr:uid="{00000000-0005-0000-0000-0000D3210000}"/>
    <cellStyle name="Финансовый 2 4 6 2 2 6" xfId="10015" xr:uid="{00000000-0005-0000-0000-0000D4210000}"/>
    <cellStyle name="Финансовый 2 4 6 2 3" xfId="2070" xr:uid="{00000000-0005-0000-0000-0000D5210000}"/>
    <cellStyle name="Финансовый 2 4 6 2 3 2" xfId="3715" xr:uid="{00000000-0005-0000-0000-0000D6210000}"/>
    <cellStyle name="Финансовый 2 4 6 2 3 2 2" xfId="12360" xr:uid="{00000000-0005-0000-0000-0000D7210000}"/>
    <cellStyle name="Финансовый 2 4 6 2 3 3" xfId="5498" xr:uid="{00000000-0005-0000-0000-0000D8210000}"/>
    <cellStyle name="Финансовый 2 4 6 2 3 3 2" xfId="14141" xr:uid="{00000000-0005-0000-0000-0000D9210000}"/>
    <cellStyle name="Финансовый 2 4 6 2 3 4" xfId="8108" xr:uid="{00000000-0005-0000-0000-0000DA210000}"/>
    <cellStyle name="Финансовый 2 4 6 2 3 4 2" xfId="16751" xr:uid="{00000000-0005-0000-0000-0000DB210000}"/>
    <cellStyle name="Финансовый 2 4 6 2 3 5" xfId="10715" xr:uid="{00000000-0005-0000-0000-0000DC210000}"/>
    <cellStyle name="Финансовый 2 4 6 2 4" xfId="2599" xr:uid="{00000000-0005-0000-0000-0000DD210000}"/>
    <cellStyle name="Финансовый 2 4 6 2 4 2" xfId="4244" xr:uid="{00000000-0005-0000-0000-0000DE210000}"/>
    <cellStyle name="Финансовый 2 4 6 2 4 2 2" xfId="12889" xr:uid="{00000000-0005-0000-0000-0000DF210000}"/>
    <cellStyle name="Финансовый 2 4 6 2 4 3" xfId="6027" xr:uid="{00000000-0005-0000-0000-0000E0210000}"/>
    <cellStyle name="Финансовый 2 4 6 2 4 3 2" xfId="14670" xr:uid="{00000000-0005-0000-0000-0000E1210000}"/>
    <cellStyle name="Финансовый 2 4 6 2 4 4" xfId="8637" xr:uid="{00000000-0005-0000-0000-0000E2210000}"/>
    <cellStyle name="Финансовый 2 4 6 2 4 4 2" xfId="17280" xr:uid="{00000000-0005-0000-0000-0000E3210000}"/>
    <cellStyle name="Финансовый 2 4 6 2 4 5" xfId="11244" xr:uid="{00000000-0005-0000-0000-0000E4210000}"/>
    <cellStyle name="Финансовый 2 4 6 2 5" xfId="1103" xr:uid="{00000000-0005-0000-0000-0000E5210000}"/>
    <cellStyle name="Финансовый 2 4 6 2 5 2" xfId="7143" xr:uid="{00000000-0005-0000-0000-0000E6210000}"/>
    <cellStyle name="Финансовый 2 4 6 2 5 2 2" xfId="15786" xr:uid="{00000000-0005-0000-0000-0000E7210000}"/>
    <cellStyle name="Финансовый 2 4 6 2 5 3" xfId="9750" xr:uid="{00000000-0005-0000-0000-0000E8210000}"/>
    <cellStyle name="Финансовый 2 4 6 2 6" xfId="691" xr:uid="{00000000-0005-0000-0000-0000E9210000}"/>
    <cellStyle name="Финансовый 2 4 6 2 6 2" xfId="6731" xr:uid="{00000000-0005-0000-0000-0000EA210000}"/>
    <cellStyle name="Финансовый 2 4 6 2 6 2 2" xfId="15374" xr:uid="{00000000-0005-0000-0000-0000EB210000}"/>
    <cellStyle name="Финансовый 2 4 6 2 6 3" xfId="9338" xr:uid="{00000000-0005-0000-0000-0000EC210000}"/>
    <cellStyle name="Финансовый 2 4 6 2 7" xfId="2880" xr:uid="{00000000-0005-0000-0000-0000ED210000}"/>
    <cellStyle name="Финансовый 2 4 6 2 7 2" xfId="11525" xr:uid="{00000000-0005-0000-0000-0000EE210000}"/>
    <cellStyle name="Финансовый 2 4 6 2 8" xfId="4524" xr:uid="{00000000-0005-0000-0000-0000EF210000}"/>
    <cellStyle name="Финансовый 2 4 6 2 8 2" xfId="13169" xr:uid="{00000000-0005-0000-0000-0000F0210000}"/>
    <cellStyle name="Финансовый 2 4 6 2 9" xfId="6311" xr:uid="{00000000-0005-0000-0000-0000F1210000}"/>
    <cellStyle name="Финансовый 2 4 6 2 9 2" xfId="14954" xr:uid="{00000000-0005-0000-0000-0000F2210000}"/>
    <cellStyle name="Финансовый 2 4 6 3" xfId="419" xr:uid="{00000000-0005-0000-0000-0000F3210000}"/>
    <cellStyle name="Финансовый 2 4 6 3 2" xfId="2198" xr:uid="{00000000-0005-0000-0000-0000F4210000}"/>
    <cellStyle name="Финансовый 2 4 6 3 2 2" xfId="3843" xr:uid="{00000000-0005-0000-0000-0000F5210000}"/>
    <cellStyle name="Финансовый 2 4 6 3 2 2 2" xfId="12488" xr:uid="{00000000-0005-0000-0000-0000F6210000}"/>
    <cellStyle name="Финансовый 2 4 6 3 2 3" xfId="5626" xr:uid="{00000000-0005-0000-0000-0000F7210000}"/>
    <cellStyle name="Финансовый 2 4 6 3 2 3 2" xfId="14269" xr:uid="{00000000-0005-0000-0000-0000F8210000}"/>
    <cellStyle name="Финансовый 2 4 6 3 2 4" xfId="8236" xr:uid="{00000000-0005-0000-0000-0000F9210000}"/>
    <cellStyle name="Финансовый 2 4 6 3 2 4 2" xfId="16879" xr:uid="{00000000-0005-0000-0000-0000FA210000}"/>
    <cellStyle name="Финансовый 2 4 6 3 2 5" xfId="10843" xr:uid="{00000000-0005-0000-0000-0000FB210000}"/>
    <cellStyle name="Финансовый 2 4 6 3 3" xfId="1232" xr:uid="{00000000-0005-0000-0000-0000FC210000}"/>
    <cellStyle name="Финансовый 2 4 6 3 3 2" xfId="7272" xr:uid="{00000000-0005-0000-0000-0000FD210000}"/>
    <cellStyle name="Финансовый 2 4 6 3 3 2 2" xfId="15915" xr:uid="{00000000-0005-0000-0000-0000FE210000}"/>
    <cellStyle name="Финансовый 2 4 6 3 3 3" xfId="9879" xr:uid="{00000000-0005-0000-0000-0000FF210000}"/>
    <cellStyle name="Финансовый 2 4 6 3 4" xfId="839" xr:uid="{00000000-0005-0000-0000-000000220000}"/>
    <cellStyle name="Финансовый 2 4 6 3 4 2" xfId="6879" xr:uid="{00000000-0005-0000-0000-000001220000}"/>
    <cellStyle name="Финансовый 2 4 6 3 4 2 2" xfId="15522" xr:uid="{00000000-0005-0000-0000-000002220000}"/>
    <cellStyle name="Финансовый 2 4 6 3 4 3" xfId="9486" xr:uid="{00000000-0005-0000-0000-000003220000}"/>
    <cellStyle name="Финансовый 2 4 6 3 5" xfId="3016" xr:uid="{00000000-0005-0000-0000-000004220000}"/>
    <cellStyle name="Финансовый 2 4 6 3 5 2" xfId="11661" xr:uid="{00000000-0005-0000-0000-000005220000}"/>
    <cellStyle name="Финансовый 2 4 6 3 6" xfId="4660" xr:uid="{00000000-0005-0000-0000-000006220000}"/>
    <cellStyle name="Финансовый 2 4 6 3 6 2" xfId="13305" xr:uid="{00000000-0005-0000-0000-000007220000}"/>
    <cellStyle name="Финансовый 2 4 6 3 7" xfId="6459" xr:uid="{00000000-0005-0000-0000-000008220000}"/>
    <cellStyle name="Финансовый 2 4 6 3 7 2" xfId="15102" xr:uid="{00000000-0005-0000-0000-000009220000}"/>
    <cellStyle name="Финансовый 2 4 6 3 8" xfId="9066" xr:uid="{00000000-0005-0000-0000-00000A220000}"/>
    <cellStyle name="Финансовый 2 4 6 4" xfId="1503" xr:uid="{00000000-0005-0000-0000-00000B220000}"/>
    <cellStyle name="Финансовый 2 4 6 4 2" xfId="1942" xr:uid="{00000000-0005-0000-0000-00000C220000}"/>
    <cellStyle name="Финансовый 2 4 6 4 2 2" xfId="3587" xr:uid="{00000000-0005-0000-0000-00000D220000}"/>
    <cellStyle name="Финансовый 2 4 6 4 2 2 2" xfId="12232" xr:uid="{00000000-0005-0000-0000-00000E220000}"/>
    <cellStyle name="Финансовый 2 4 6 4 2 3" xfId="5370" xr:uid="{00000000-0005-0000-0000-00000F220000}"/>
    <cellStyle name="Финансовый 2 4 6 4 2 3 2" xfId="14013" xr:uid="{00000000-0005-0000-0000-000010220000}"/>
    <cellStyle name="Финансовый 2 4 6 4 2 4" xfId="7980" xr:uid="{00000000-0005-0000-0000-000011220000}"/>
    <cellStyle name="Финансовый 2 4 6 4 2 4 2" xfId="16623" xr:uid="{00000000-0005-0000-0000-000012220000}"/>
    <cellStyle name="Финансовый 2 4 6 4 2 5" xfId="10587" xr:uid="{00000000-0005-0000-0000-000013220000}"/>
    <cellStyle name="Финансовый 2 4 6 4 3" xfId="4931" xr:uid="{00000000-0005-0000-0000-000014220000}"/>
    <cellStyle name="Финансовый 2 4 6 4 3 2" xfId="13574" xr:uid="{00000000-0005-0000-0000-000015220000}"/>
    <cellStyle name="Финансовый 2 4 6 4 4" xfId="7541" xr:uid="{00000000-0005-0000-0000-000016220000}"/>
    <cellStyle name="Финансовый 2 4 6 4 4 2" xfId="16184" xr:uid="{00000000-0005-0000-0000-000017220000}"/>
    <cellStyle name="Финансовый 2 4 6 4 5" xfId="10148" xr:uid="{00000000-0005-0000-0000-000018220000}"/>
    <cellStyle name="Финансовый 2 4 6 5" xfId="1818" xr:uid="{00000000-0005-0000-0000-000019220000}"/>
    <cellStyle name="Финансовый 2 4 6 5 2" xfId="3463" xr:uid="{00000000-0005-0000-0000-00001A220000}"/>
    <cellStyle name="Финансовый 2 4 6 5 2 2" xfId="12108" xr:uid="{00000000-0005-0000-0000-00001B220000}"/>
    <cellStyle name="Финансовый 2 4 6 5 3" xfId="5246" xr:uid="{00000000-0005-0000-0000-00001C220000}"/>
    <cellStyle name="Финансовый 2 4 6 5 3 2" xfId="13889" xr:uid="{00000000-0005-0000-0000-00001D220000}"/>
    <cellStyle name="Финансовый 2 4 6 5 4" xfId="7856" xr:uid="{00000000-0005-0000-0000-00001E220000}"/>
    <cellStyle name="Финансовый 2 4 6 5 4 2" xfId="16499" xr:uid="{00000000-0005-0000-0000-00001F220000}"/>
    <cellStyle name="Финансовый 2 4 6 5 5" xfId="10463" xr:uid="{00000000-0005-0000-0000-000020220000}"/>
    <cellStyle name="Финансовый 2 4 6 6" xfId="2463" xr:uid="{00000000-0005-0000-0000-000021220000}"/>
    <cellStyle name="Финансовый 2 4 6 6 2" xfId="4108" xr:uid="{00000000-0005-0000-0000-000022220000}"/>
    <cellStyle name="Финансовый 2 4 6 6 2 2" xfId="12753" xr:uid="{00000000-0005-0000-0000-000023220000}"/>
    <cellStyle name="Финансовый 2 4 6 6 3" xfId="5891" xr:uid="{00000000-0005-0000-0000-000024220000}"/>
    <cellStyle name="Финансовый 2 4 6 6 3 2" xfId="14534" xr:uid="{00000000-0005-0000-0000-000025220000}"/>
    <cellStyle name="Финансовый 2 4 6 6 4" xfId="8501" xr:uid="{00000000-0005-0000-0000-000026220000}"/>
    <cellStyle name="Финансовый 2 4 6 6 4 2" xfId="17144" xr:uid="{00000000-0005-0000-0000-000027220000}"/>
    <cellStyle name="Финансовый 2 4 6 6 5" xfId="11108" xr:uid="{00000000-0005-0000-0000-000028220000}"/>
    <cellStyle name="Финансовый 2 4 6 7" xfId="1690" xr:uid="{00000000-0005-0000-0000-000029220000}"/>
    <cellStyle name="Финансовый 2 4 6 7 2" xfId="3335" xr:uid="{00000000-0005-0000-0000-00002A220000}"/>
    <cellStyle name="Финансовый 2 4 6 7 2 2" xfId="11980" xr:uid="{00000000-0005-0000-0000-00002B220000}"/>
    <cellStyle name="Финансовый 2 4 6 7 3" xfId="5118" xr:uid="{00000000-0005-0000-0000-00002C220000}"/>
    <cellStyle name="Финансовый 2 4 6 7 3 2" xfId="13761" xr:uid="{00000000-0005-0000-0000-00002D220000}"/>
    <cellStyle name="Финансовый 2 4 6 7 4" xfId="7728" xr:uid="{00000000-0005-0000-0000-00002E220000}"/>
    <cellStyle name="Финансовый 2 4 6 7 4 2" xfId="16371" xr:uid="{00000000-0005-0000-0000-00002F220000}"/>
    <cellStyle name="Финансовый 2 4 6 7 5" xfId="10335" xr:uid="{00000000-0005-0000-0000-000030220000}"/>
    <cellStyle name="Финансовый 2 4 6 8" xfId="967" xr:uid="{00000000-0005-0000-0000-000031220000}"/>
    <cellStyle name="Финансовый 2 4 6 8 2" xfId="7007" xr:uid="{00000000-0005-0000-0000-000032220000}"/>
    <cellStyle name="Финансовый 2 4 6 8 2 2" xfId="15650" xr:uid="{00000000-0005-0000-0000-000033220000}"/>
    <cellStyle name="Финансовый 2 4 6 8 3" xfId="9614" xr:uid="{00000000-0005-0000-0000-000034220000}"/>
    <cellStyle name="Финансовый 2 4 6 9" xfId="555" xr:uid="{00000000-0005-0000-0000-000035220000}"/>
    <cellStyle name="Финансовый 2 4 6 9 2" xfId="6595" xr:uid="{00000000-0005-0000-0000-000036220000}"/>
    <cellStyle name="Финансовый 2 4 6 9 2 2" xfId="15238" xr:uid="{00000000-0005-0000-0000-000037220000}"/>
    <cellStyle name="Финансовый 2 4 6 9 3" xfId="9202" xr:uid="{00000000-0005-0000-0000-000038220000}"/>
    <cellStyle name="Финансовый 2 4 7" xfId="32" xr:uid="{00000000-0005-0000-0000-000039220000}"/>
    <cellStyle name="Финансовый 2 4 7 10" xfId="2644" xr:uid="{00000000-0005-0000-0000-00003A220000}"/>
    <cellStyle name="Финансовый 2 4 7 10 2" xfId="11289" xr:uid="{00000000-0005-0000-0000-00003B220000}"/>
    <cellStyle name="Финансовый 2 4 7 11" xfId="4287" xr:uid="{00000000-0005-0000-0000-00003C220000}"/>
    <cellStyle name="Финансовый 2 4 7 11 2" xfId="12932" xr:uid="{00000000-0005-0000-0000-00003D220000}"/>
    <cellStyle name="Финансовый 2 4 7 12" xfId="6075" xr:uid="{00000000-0005-0000-0000-00003E220000}"/>
    <cellStyle name="Финансовый 2 4 7 12 2" xfId="14718" xr:uid="{00000000-0005-0000-0000-00003F220000}"/>
    <cellStyle name="Финансовый 2 4 7 13" xfId="8682" xr:uid="{00000000-0005-0000-0000-000040220000}"/>
    <cellStyle name="Финансовый 2 4 7 2" xfId="170" xr:uid="{00000000-0005-0000-0000-000041220000}"/>
    <cellStyle name="Финансовый 2 4 7 2 10" xfId="8818" xr:uid="{00000000-0005-0000-0000-000042220000}"/>
    <cellStyle name="Финансовый 2 4 7 2 2" xfId="1268" xr:uid="{00000000-0005-0000-0000-000043220000}"/>
    <cellStyle name="Финансовый 2 4 7 2 2 2" xfId="2234" xr:uid="{00000000-0005-0000-0000-000044220000}"/>
    <cellStyle name="Финансовый 2 4 7 2 2 2 2" xfId="3879" xr:uid="{00000000-0005-0000-0000-000045220000}"/>
    <cellStyle name="Финансовый 2 4 7 2 2 2 2 2" xfId="12524" xr:uid="{00000000-0005-0000-0000-000046220000}"/>
    <cellStyle name="Финансовый 2 4 7 2 2 2 3" xfId="5662" xr:uid="{00000000-0005-0000-0000-000047220000}"/>
    <cellStyle name="Финансовый 2 4 7 2 2 2 3 2" xfId="14305" xr:uid="{00000000-0005-0000-0000-000048220000}"/>
    <cellStyle name="Финансовый 2 4 7 2 2 2 4" xfId="8272" xr:uid="{00000000-0005-0000-0000-000049220000}"/>
    <cellStyle name="Финансовый 2 4 7 2 2 2 4 2" xfId="16915" xr:uid="{00000000-0005-0000-0000-00004A220000}"/>
    <cellStyle name="Финансовый 2 4 7 2 2 2 5" xfId="10879" xr:uid="{00000000-0005-0000-0000-00004B220000}"/>
    <cellStyle name="Финансовый 2 4 7 2 2 3" xfId="3052" xr:uid="{00000000-0005-0000-0000-00004C220000}"/>
    <cellStyle name="Финансовый 2 4 7 2 2 3 2" xfId="11697" xr:uid="{00000000-0005-0000-0000-00004D220000}"/>
    <cellStyle name="Финансовый 2 4 7 2 2 4" xfId="4696" xr:uid="{00000000-0005-0000-0000-00004E220000}"/>
    <cellStyle name="Финансовый 2 4 7 2 2 4 2" xfId="13341" xr:uid="{00000000-0005-0000-0000-00004F220000}"/>
    <cellStyle name="Финансовый 2 4 7 2 2 5" xfId="7308" xr:uid="{00000000-0005-0000-0000-000050220000}"/>
    <cellStyle name="Финансовый 2 4 7 2 2 5 2" xfId="15951" xr:uid="{00000000-0005-0000-0000-000051220000}"/>
    <cellStyle name="Финансовый 2 4 7 2 2 6" xfId="9915" xr:uid="{00000000-0005-0000-0000-000052220000}"/>
    <cellStyle name="Финансовый 2 4 7 2 3" xfId="1978" xr:uid="{00000000-0005-0000-0000-000053220000}"/>
    <cellStyle name="Финансовый 2 4 7 2 3 2" xfId="3623" xr:uid="{00000000-0005-0000-0000-000054220000}"/>
    <cellStyle name="Финансовый 2 4 7 2 3 2 2" xfId="12268" xr:uid="{00000000-0005-0000-0000-000055220000}"/>
    <cellStyle name="Финансовый 2 4 7 2 3 3" xfId="5406" xr:uid="{00000000-0005-0000-0000-000056220000}"/>
    <cellStyle name="Финансовый 2 4 7 2 3 3 2" xfId="14049" xr:uid="{00000000-0005-0000-0000-000057220000}"/>
    <cellStyle name="Финансовый 2 4 7 2 3 4" xfId="8016" xr:uid="{00000000-0005-0000-0000-000058220000}"/>
    <cellStyle name="Финансовый 2 4 7 2 3 4 2" xfId="16659" xr:uid="{00000000-0005-0000-0000-000059220000}"/>
    <cellStyle name="Финансовый 2 4 7 2 3 5" xfId="10623" xr:uid="{00000000-0005-0000-0000-00005A220000}"/>
    <cellStyle name="Финансовый 2 4 7 2 4" xfId="2499" xr:uid="{00000000-0005-0000-0000-00005B220000}"/>
    <cellStyle name="Финансовый 2 4 7 2 4 2" xfId="4144" xr:uid="{00000000-0005-0000-0000-00005C220000}"/>
    <cellStyle name="Финансовый 2 4 7 2 4 2 2" xfId="12789" xr:uid="{00000000-0005-0000-0000-00005D220000}"/>
    <cellStyle name="Финансовый 2 4 7 2 4 3" xfId="5927" xr:uid="{00000000-0005-0000-0000-00005E220000}"/>
    <cellStyle name="Финансовый 2 4 7 2 4 3 2" xfId="14570" xr:uid="{00000000-0005-0000-0000-00005F220000}"/>
    <cellStyle name="Финансовый 2 4 7 2 4 4" xfId="8537" xr:uid="{00000000-0005-0000-0000-000060220000}"/>
    <cellStyle name="Финансовый 2 4 7 2 4 4 2" xfId="17180" xr:uid="{00000000-0005-0000-0000-000061220000}"/>
    <cellStyle name="Финансовый 2 4 7 2 4 5" xfId="11144" xr:uid="{00000000-0005-0000-0000-000062220000}"/>
    <cellStyle name="Финансовый 2 4 7 2 5" xfId="1003" xr:uid="{00000000-0005-0000-0000-000063220000}"/>
    <cellStyle name="Финансовый 2 4 7 2 5 2" xfId="7043" xr:uid="{00000000-0005-0000-0000-000064220000}"/>
    <cellStyle name="Финансовый 2 4 7 2 5 2 2" xfId="15686" xr:uid="{00000000-0005-0000-0000-000065220000}"/>
    <cellStyle name="Финансовый 2 4 7 2 5 3" xfId="9650" xr:uid="{00000000-0005-0000-0000-000066220000}"/>
    <cellStyle name="Финансовый 2 4 7 2 6" xfId="591" xr:uid="{00000000-0005-0000-0000-000067220000}"/>
    <cellStyle name="Финансовый 2 4 7 2 6 2" xfId="6631" xr:uid="{00000000-0005-0000-0000-000068220000}"/>
    <cellStyle name="Финансовый 2 4 7 2 6 2 2" xfId="15274" xr:uid="{00000000-0005-0000-0000-000069220000}"/>
    <cellStyle name="Финансовый 2 4 7 2 6 3" xfId="9238" xr:uid="{00000000-0005-0000-0000-00006A220000}"/>
    <cellStyle name="Финансовый 2 4 7 2 7" xfId="2780" xr:uid="{00000000-0005-0000-0000-00006B220000}"/>
    <cellStyle name="Финансовый 2 4 7 2 7 2" xfId="11425" xr:uid="{00000000-0005-0000-0000-00006C220000}"/>
    <cellStyle name="Финансовый 2 4 7 2 8" xfId="4424" xr:uid="{00000000-0005-0000-0000-00006D220000}"/>
    <cellStyle name="Финансовый 2 4 7 2 8 2" xfId="13069" xr:uid="{00000000-0005-0000-0000-00006E220000}"/>
    <cellStyle name="Финансовый 2 4 7 2 9" xfId="6211" xr:uid="{00000000-0005-0000-0000-00006F220000}"/>
    <cellStyle name="Финансовый 2 4 7 2 9 2" xfId="14854" xr:uid="{00000000-0005-0000-0000-000070220000}"/>
    <cellStyle name="Финансовый 2 4 7 3" xfId="319" xr:uid="{00000000-0005-0000-0000-000071220000}"/>
    <cellStyle name="Финансовый 2 4 7 3 2" xfId="2106" xr:uid="{00000000-0005-0000-0000-000072220000}"/>
    <cellStyle name="Финансовый 2 4 7 3 2 2" xfId="3751" xr:uid="{00000000-0005-0000-0000-000073220000}"/>
    <cellStyle name="Финансовый 2 4 7 3 2 2 2" xfId="12396" xr:uid="{00000000-0005-0000-0000-000074220000}"/>
    <cellStyle name="Финансовый 2 4 7 3 2 3" xfId="5534" xr:uid="{00000000-0005-0000-0000-000075220000}"/>
    <cellStyle name="Финансовый 2 4 7 3 2 3 2" xfId="14177" xr:uid="{00000000-0005-0000-0000-000076220000}"/>
    <cellStyle name="Финансовый 2 4 7 3 2 4" xfId="8144" xr:uid="{00000000-0005-0000-0000-000077220000}"/>
    <cellStyle name="Финансовый 2 4 7 3 2 4 2" xfId="16787" xr:uid="{00000000-0005-0000-0000-000078220000}"/>
    <cellStyle name="Финансовый 2 4 7 3 2 5" xfId="10751" xr:uid="{00000000-0005-0000-0000-000079220000}"/>
    <cellStyle name="Финансовый 2 4 7 3 3" xfId="1139" xr:uid="{00000000-0005-0000-0000-00007A220000}"/>
    <cellStyle name="Финансовый 2 4 7 3 3 2" xfId="7179" xr:uid="{00000000-0005-0000-0000-00007B220000}"/>
    <cellStyle name="Финансовый 2 4 7 3 3 2 2" xfId="15822" xr:uid="{00000000-0005-0000-0000-00007C220000}"/>
    <cellStyle name="Финансовый 2 4 7 3 3 3" xfId="9786" xr:uid="{00000000-0005-0000-0000-00007D220000}"/>
    <cellStyle name="Финансовый 2 4 7 3 4" xfId="739" xr:uid="{00000000-0005-0000-0000-00007E220000}"/>
    <cellStyle name="Финансовый 2 4 7 3 4 2" xfId="6779" xr:uid="{00000000-0005-0000-0000-00007F220000}"/>
    <cellStyle name="Финансовый 2 4 7 3 4 2 2" xfId="15422" xr:uid="{00000000-0005-0000-0000-000080220000}"/>
    <cellStyle name="Финансовый 2 4 7 3 4 3" xfId="9386" xr:uid="{00000000-0005-0000-0000-000081220000}"/>
    <cellStyle name="Финансовый 2 4 7 3 5" xfId="2916" xr:uid="{00000000-0005-0000-0000-000082220000}"/>
    <cellStyle name="Финансовый 2 4 7 3 5 2" xfId="11561" xr:uid="{00000000-0005-0000-0000-000083220000}"/>
    <cellStyle name="Финансовый 2 4 7 3 6" xfId="4560" xr:uid="{00000000-0005-0000-0000-000084220000}"/>
    <cellStyle name="Финансовый 2 4 7 3 6 2" xfId="13205" xr:uid="{00000000-0005-0000-0000-000085220000}"/>
    <cellStyle name="Финансовый 2 4 7 3 7" xfId="6359" xr:uid="{00000000-0005-0000-0000-000086220000}"/>
    <cellStyle name="Финансовый 2 4 7 3 7 2" xfId="15002" xr:uid="{00000000-0005-0000-0000-000087220000}"/>
    <cellStyle name="Финансовый 2 4 7 3 8" xfId="8966" xr:uid="{00000000-0005-0000-0000-000088220000}"/>
    <cellStyle name="Финансовый 2 4 7 4" xfId="1504" xr:uid="{00000000-0005-0000-0000-000089220000}"/>
    <cellStyle name="Финансовый 2 4 7 4 2" xfId="1842" xr:uid="{00000000-0005-0000-0000-00008A220000}"/>
    <cellStyle name="Финансовый 2 4 7 4 2 2" xfId="3487" xr:uid="{00000000-0005-0000-0000-00008B220000}"/>
    <cellStyle name="Финансовый 2 4 7 4 2 2 2" xfId="12132" xr:uid="{00000000-0005-0000-0000-00008C220000}"/>
    <cellStyle name="Финансовый 2 4 7 4 2 3" xfId="5270" xr:uid="{00000000-0005-0000-0000-00008D220000}"/>
    <cellStyle name="Финансовый 2 4 7 4 2 3 2" xfId="13913" xr:uid="{00000000-0005-0000-0000-00008E220000}"/>
    <cellStyle name="Финансовый 2 4 7 4 2 4" xfId="7880" xr:uid="{00000000-0005-0000-0000-00008F220000}"/>
    <cellStyle name="Финансовый 2 4 7 4 2 4 2" xfId="16523" xr:uid="{00000000-0005-0000-0000-000090220000}"/>
    <cellStyle name="Финансовый 2 4 7 4 2 5" xfId="10487" xr:uid="{00000000-0005-0000-0000-000091220000}"/>
    <cellStyle name="Финансовый 2 4 7 4 3" xfId="4932" xr:uid="{00000000-0005-0000-0000-000092220000}"/>
    <cellStyle name="Финансовый 2 4 7 4 3 2" xfId="13575" xr:uid="{00000000-0005-0000-0000-000093220000}"/>
    <cellStyle name="Финансовый 2 4 7 4 4" xfId="7542" xr:uid="{00000000-0005-0000-0000-000094220000}"/>
    <cellStyle name="Финансовый 2 4 7 4 4 2" xfId="16185" xr:uid="{00000000-0005-0000-0000-000095220000}"/>
    <cellStyle name="Финансовый 2 4 7 4 5" xfId="10149" xr:uid="{00000000-0005-0000-0000-000096220000}"/>
    <cellStyle name="Финансовый 2 4 7 5" xfId="1726" xr:uid="{00000000-0005-0000-0000-000097220000}"/>
    <cellStyle name="Финансовый 2 4 7 5 2" xfId="3371" xr:uid="{00000000-0005-0000-0000-000098220000}"/>
    <cellStyle name="Финансовый 2 4 7 5 2 2" xfId="12016" xr:uid="{00000000-0005-0000-0000-000099220000}"/>
    <cellStyle name="Финансовый 2 4 7 5 3" xfId="5154" xr:uid="{00000000-0005-0000-0000-00009A220000}"/>
    <cellStyle name="Финансовый 2 4 7 5 3 2" xfId="13797" xr:uid="{00000000-0005-0000-0000-00009B220000}"/>
    <cellStyle name="Финансовый 2 4 7 5 4" xfId="7764" xr:uid="{00000000-0005-0000-0000-00009C220000}"/>
    <cellStyle name="Финансовый 2 4 7 5 4 2" xfId="16407" xr:uid="{00000000-0005-0000-0000-00009D220000}"/>
    <cellStyle name="Финансовый 2 4 7 5 5" xfId="10371" xr:uid="{00000000-0005-0000-0000-00009E220000}"/>
    <cellStyle name="Финансовый 2 4 7 6" xfId="2362" xr:uid="{00000000-0005-0000-0000-00009F220000}"/>
    <cellStyle name="Финансовый 2 4 7 6 2" xfId="4007" xr:uid="{00000000-0005-0000-0000-0000A0220000}"/>
    <cellStyle name="Финансовый 2 4 7 6 2 2" xfId="12652" xr:uid="{00000000-0005-0000-0000-0000A1220000}"/>
    <cellStyle name="Финансовый 2 4 7 6 3" xfId="5790" xr:uid="{00000000-0005-0000-0000-0000A2220000}"/>
    <cellStyle name="Финансовый 2 4 7 6 3 2" xfId="14433" xr:uid="{00000000-0005-0000-0000-0000A3220000}"/>
    <cellStyle name="Финансовый 2 4 7 6 4" xfId="8400" xr:uid="{00000000-0005-0000-0000-0000A4220000}"/>
    <cellStyle name="Финансовый 2 4 7 6 4 2" xfId="17043" xr:uid="{00000000-0005-0000-0000-0000A5220000}"/>
    <cellStyle name="Финансовый 2 4 7 6 5" xfId="11007" xr:uid="{00000000-0005-0000-0000-0000A6220000}"/>
    <cellStyle name="Финансовый 2 4 7 7" xfId="1589" xr:uid="{00000000-0005-0000-0000-0000A7220000}"/>
    <cellStyle name="Финансовый 2 4 7 7 2" xfId="3234" xr:uid="{00000000-0005-0000-0000-0000A8220000}"/>
    <cellStyle name="Финансовый 2 4 7 7 2 2" xfId="11879" xr:uid="{00000000-0005-0000-0000-0000A9220000}"/>
    <cellStyle name="Финансовый 2 4 7 7 3" xfId="5017" xr:uid="{00000000-0005-0000-0000-0000AA220000}"/>
    <cellStyle name="Финансовый 2 4 7 7 3 2" xfId="13660" xr:uid="{00000000-0005-0000-0000-0000AB220000}"/>
    <cellStyle name="Финансовый 2 4 7 7 4" xfId="7627" xr:uid="{00000000-0005-0000-0000-0000AC220000}"/>
    <cellStyle name="Финансовый 2 4 7 7 4 2" xfId="16270" xr:uid="{00000000-0005-0000-0000-0000AD220000}"/>
    <cellStyle name="Финансовый 2 4 7 7 5" xfId="10234" xr:uid="{00000000-0005-0000-0000-0000AE220000}"/>
    <cellStyle name="Финансовый 2 4 7 8" xfId="875" xr:uid="{00000000-0005-0000-0000-0000AF220000}"/>
    <cellStyle name="Финансовый 2 4 7 8 2" xfId="6915" xr:uid="{00000000-0005-0000-0000-0000B0220000}"/>
    <cellStyle name="Финансовый 2 4 7 8 2 2" xfId="15558" xr:uid="{00000000-0005-0000-0000-0000B1220000}"/>
    <cellStyle name="Финансовый 2 4 7 8 3" xfId="9522" xr:uid="{00000000-0005-0000-0000-0000B2220000}"/>
    <cellStyle name="Финансовый 2 4 7 9" xfId="455" xr:uid="{00000000-0005-0000-0000-0000B3220000}"/>
    <cellStyle name="Финансовый 2 4 7 9 2" xfId="6495" xr:uid="{00000000-0005-0000-0000-0000B4220000}"/>
    <cellStyle name="Финансовый 2 4 7 9 2 2" xfId="15138" xr:uid="{00000000-0005-0000-0000-0000B5220000}"/>
    <cellStyle name="Финансовый 2 4 7 9 3" xfId="9102" xr:uid="{00000000-0005-0000-0000-0000B6220000}"/>
    <cellStyle name="Финансовый 2 4 8" xfId="20" xr:uid="{00000000-0005-0000-0000-0000B7220000}"/>
    <cellStyle name="Финансовый 2 4 8 10" xfId="2632" xr:uid="{00000000-0005-0000-0000-0000B8220000}"/>
    <cellStyle name="Финансовый 2 4 8 10 2" xfId="11277" xr:uid="{00000000-0005-0000-0000-0000B9220000}"/>
    <cellStyle name="Финансовый 2 4 8 11" xfId="4275" xr:uid="{00000000-0005-0000-0000-0000BA220000}"/>
    <cellStyle name="Финансовый 2 4 8 11 2" xfId="12920" xr:uid="{00000000-0005-0000-0000-0000BB220000}"/>
    <cellStyle name="Финансовый 2 4 8 12" xfId="6063" xr:uid="{00000000-0005-0000-0000-0000BC220000}"/>
    <cellStyle name="Финансовый 2 4 8 12 2" xfId="14706" xr:uid="{00000000-0005-0000-0000-0000BD220000}"/>
    <cellStyle name="Финансовый 2 4 8 13" xfId="8670" xr:uid="{00000000-0005-0000-0000-0000BE220000}"/>
    <cellStyle name="Финансовый 2 4 8 2" xfId="158" xr:uid="{00000000-0005-0000-0000-0000BF220000}"/>
    <cellStyle name="Финансовый 2 4 8 2 10" xfId="8806" xr:uid="{00000000-0005-0000-0000-0000C0220000}"/>
    <cellStyle name="Финансовый 2 4 8 2 2" xfId="1256" xr:uid="{00000000-0005-0000-0000-0000C1220000}"/>
    <cellStyle name="Финансовый 2 4 8 2 2 2" xfId="2222" xr:uid="{00000000-0005-0000-0000-0000C2220000}"/>
    <cellStyle name="Финансовый 2 4 8 2 2 2 2" xfId="3867" xr:uid="{00000000-0005-0000-0000-0000C3220000}"/>
    <cellStyle name="Финансовый 2 4 8 2 2 2 2 2" xfId="12512" xr:uid="{00000000-0005-0000-0000-0000C4220000}"/>
    <cellStyle name="Финансовый 2 4 8 2 2 2 3" xfId="5650" xr:uid="{00000000-0005-0000-0000-0000C5220000}"/>
    <cellStyle name="Финансовый 2 4 8 2 2 2 3 2" xfId="14293" xr:uid="{00000000-0005-0000-0000-0000C6220000}"/>
    <cellStyle name="Финансовый 2 4 8 2 2 2 4" xfId="8260" xr:uid="{00000000-0005-0000-0000-0000C7220000}"/>
    <cellStyle name="Финансовый 2 4 8 2 2 2 4 2" xfId="16903" xr:uid="{00000000-0005-0000-0000-0000C8220000}"/>
    <cellStyle name="Финансовый 2 4 8 2 2 2 5" xfId="10867" xr:uid="{00000000-0005-0000-0000-0000C9220000}"/>
    <cellStyle name="Финансовый 2 4 8 2 2 3" xfId="3040" xr:uid="{00000000-0005-0000-0000-0000CA220000}"/>
    <cellStyle name="Финансовый 2 4 8 2 2 3 2" xfId="11685" xr:uid="{00000000-0005-0000-0000-0000CB220000}"/>
    <cellStyle name="Финансовый 2 4 8 2 2 4" xfId="4684" xr:uid="{00000000-0005-0000-0000-0000CC220000}"/>
    <cellStyle name="Финансовый 2 4 8 2 2 4 2" xfId="13329" xr:uid="{00000000-0005-0000-0000-0000CD220000}"/>
    <cellStyle name="Финансовый 2 4 8 2 2 5" xfId="7296" xr:uid="{00000000-0005-0000-0000-0000CE220000}"/>
    <cellStyle name="Финансовый 2 4 8 2 2 5 2" xfId="15939" xr:uid="{00000000-0005-0000-0000-0000CF220000}"/>
    <cellStyle name="Финансовый 2 4 8 2 2 6" xfId="9903" xr:uid="{00000000-0005-0000-0000-0000D0220000}"/>
    <cellStyle name="Финансовый 2 4 8 2 3" xfId="1966" xr:uid="{00000000-0005-0000-0000-0000D1220000}"/>
    <cellStyle name="Финансовый 2 4 8 2 3 2" xfId="3611" xr:uid="{00000000-0005-0000-0000-0000D2220000}"/>
    <cellStyle name="Финансовый 2 4 8 2 3 2 2" xfId="12256" xr:uid="{00000000-0005-0000-0000-0000D3220000}"/>
    <cellStyle name="Финансовый 2 4 8 2 3 3" xfId="5394" xr:uid="{00000000-0005-0000-0000-0000D4220000}"/>
    <cellStyle name="Финансовый 2 4 8 2 3 3 2" xfId="14037" xr:uid="{00000000-0005-0000-0000-0000D5220000}"/>
    <cellStyle name="Финансовый 2 4 8 2 3 4" xfId="8004" xr:uid="{00000000-0005-0000-0000-0000D6220000}"/>
    <cellStyle name="Финансовый 2 4 8 2 3 4 2" xfId="16647" xr:uid="{00000000-0005-0000-0000-0000D7220000}"/>
    <cellStyle name="Финансовый 2 4 8 2 3 5" xfId="10611" xr:uid="{00000000-0005-0000-0000-0000D8220000}"/>
    <cellStyle name="Финансовый 2 4 8 2 4" xfId="2487" xr:uid="{00000000-0005-0000-0000-0000D9220000}"/>
    <cellStyle name="Финансовый 2 4 8 2 4 2" xfId="4132" xr:uid="{00000000-0005-0000-0000-0000DA220000}"/>
    <cellStyle name="Финансовый 2 4 8 2 4 2 2" xfId="12777" xr:uid="{00000000-0005-0000-0000-0000DB220000}"/>
    <cellStyle name="Финансовый 2 4 8 2 4 3" xfId="5915" xr:uid="{00000000-0005-0000-0000-0000DC220000}"/>
    <cellStyle name="Финансовый 2 4 8 2 4 3 2" xfId="14558" xr:uid="{00000000-0005-0000-0000-0000DD220000}"/>
    <cellStyle name="Финансовый 2 4 8 2 4 4" xfId="8525" xr:uid="{00000000-0005-0000-0000-0000DE220000}"/>
    <cellStyle name="Финансовый 2 4 8 2 4 4 2" xfId="17168" xr:uid="{00000000-0005-0000-0000-0000DF220000}"/>
    <cellStyle name="Финансовый 2 4 8 2 4 5" xfId="11132" xr:uid="{00000000-0005-0000-0000-0000E0220000}"/>
    <cellStyle name="Финансовый 2 4 8 2 5" xfId="991" xr:uid="{00000000-0005-0000-0000-0000E1220000}"/>
    <cellStyle name="Финансовый 2 4 8 2 5 2" xfId="7031" xr:uid="{00000000-0005-0000-0000-0000E2220000}"/>
    <cellStyle name="Финансовый 2 4 8 2 5 2 2" xfId="15674" xr:uid="{00000000-0005-0000-0000-0000E3220000}"/>
    <cellStyle name="Финансовый 2 4 8 2 5 3" xfId="9638" xr:uid="{00000000-0005-0000-0000-0000E4220000}"/>
    <cellStyle name="Финансовый 2 4 8 2 6" xfId="579" xr:uid="{00000000-0005-0000-0000-0000E5220000}"/>
    <cellStyle name="Финансовый 2 4 8 2 6 2" xfId="6619" xr:uid="{00000000-0005-0000-0000-0000E6220000}"/>
    <cellStyle name="Финансовый 2 4 8 2 6 2 2" xfId="15262" xr:uid="{00000000-0005-0000-0000-0000E7220000}"/>
    <cellStyle name="Финансовый 2 4 8 2 6 3" xfId="9226" xr:uid="{00000000-0005-0000-0000-0000E8220000}"/>
    <cellStyle name="Финансовый 2 4 8 2 7" xfId="2768" xr:uid="{00000000-0005-0000-0000-0000E9220000}"/>
    <cellStyle name="Финансовый 2 4 8 2 7 2" xfId="11413" xr:uid="{00000000-0005-0000-0000-0000EA220000}"/>
    <cellStyle name="Финансовый 2 4 8 2 8" xfId="4412" xr:uid="{00000000-0005-0000-0000-0000EB220000}"/>
    <cellStyle name="Финансовый 2 4 8 2 8 2" xfId="13057" xr:uid="{00000000-0005-0000-0000-0000EC220000}"/>
    <cellStyle name="Финансовый 2 4 8 2 9" xfId="6199" xr:uid="{00000000-0005-0000-0000-0000ED220000}"/>
    <cellStyle name="Финансовый 2 4 8 2 9 2" xfId="14842" xr:uid="{00000000-0005-0000-0000-0000EE220000}"/>
    <cellStyle name="Финансовый 2 4 8 3" xfId="307" xr:uid="{00000000-0005-0000-0000-0000EF220000}"/>
    <cellStyle name="Финансовый 2 4 8 3 2" xfId="2094" xr:uid="{00000000-0005-0000-0000-0000F0220000}"/>
    <cellStyle name="Финансовый 2 4 8 3 2 2" xfId="3739" xr:uid="{00000000-0005-0000-0000-0000F1220000}"/>
    <cellStyle name="Финансовый 2 4 8 3 2 2 2" xfId="12384" xr:uid="{00000000-0005-0000-0000-0000F2220000}"/>
    <cellStyle name="Финансовый 2 4 8 3 2 3" xfId="5522" xr:uid="{00000000-0005-0000-0000-0000F3220000}"/>
    <cellStyle name="Финансовый 2 4 8 3 2 3 2" xfId="14165" xr:uid="{00000000-0005-0000-0000-0000F4220000}"/>
    <cellStyle name="Финансовый 2 4 8 3 2 4" xfId="8132" xr:uid="{00000000-0005-0000-0000-0000F5220000}"/>
    <cellStyle name="Финансовый 2 4 8 3 2 4 2" xfId="16775" xr:uid="{00000000-0005-0000-0000-0000F6220000}"/>
    <cellStyle name="Финансовый 2 4 8 3 2 5" xfId="10739" xr:uid="{00000000-0005-0000-0000-0000F7220000}"/>
    <cellStyle name="Финансовый 2 4 8 3 3" xfId="1127" xr:uid="{00000000-0005-0000-0000-0000F8220000}"/>
    <cellStyle name="Финансовый 2 4 8 3 3 2" xfId="7167" xr:uid="{00000000-0005-0000-0000-0000F9220000}"/>
    <cellStyle name="Финансовый 2 4 8 3 3 2 2" xfId="15810" xr:uid="{00000000-0005-0000-0000-0000FA220000}"/>
    <cellStyle name="Финансовый 2 4 8 3 3 3" xfId="9774" xr:uid="{00000000-0005-0000-0000-0000FB220000}"/>
    <cellStyle name="Финансовый 2 4 8 3 4" xfId="727" xr:uid="{00000000-0005-0000-0000-0000FC220000}"/>
    <cellStyle name="Финансовый 2 4 8 3 4 2" xfId="6767" xr:uid="{00000000-0005-0000-0000-0000FD220000}"/>
    <cellStyle name="Финансовый 2 4 8 3 4 2 2" xfId="15410" xr:uid="{00000000-0005-0000-0000-0000FE220000}"/>
    <cellStyle name="Финансовый 2 4 8 3 4 3" xfId="9374" xr:uid="{00000000-0005-0000-0000-0000FF220000}"/>
    <cellStyle name="Финансовый 2 4 8 3 5" xfId="2904" xr:uid="{00000000-0005-0000-0000-000000230000}"/>
    <cellStyle name="Финансовый 2 4 8 3 5 2" xfId="11549" xr:uid="{00000000-0005-0000-0000-000001230000}"/>
    <cellStyle name="Финансовый 2 4 8 3 6" xfId="4548" xr:uid="{00000000-0005-0000-0000-000002230000}"/>
    <cellStyle name="Финансовый 2 4 8 3 6 2" xfId="13193" xr:uid="{00000000-0005-0000-0000-000003230000}"/>
    <cellStyle name="Финансовый 2 4 8 3 7" xfId="6347" xr:uid="{00000000-0005-0000-0000-000004230000}"/>
    <cellStyle name="Финансовый 2 4 8 3 7 2" xfId="14990" xr:uid="{00000000-0005-0000-0000-000005230000}"/>
    <cellStyle name="Финансовый 2 4 8 3 8" xfId="8954" xr:uid="{00000000-0005-0000-0000-000006230000}"/>
    <cellStyle name="Финансовый 2 4 8 4" xfId="1505" xr:uid="{00000000-0005-0000-0000-000007230000}"/>
    <cellStyle name="Финансовый 2 4 8 4 2" xfId="1830" xr:uid="{00000000-0005-0000-0000-000008230000}"/>
    <cellStyle name="Финансовый 2 4 8 4 2 2" xfId="3475" xr:uid="{00000000-0005-0000-0000-000009230000}"/>
    <cellStyle name="Финансовый 2 4 8 4 2 2 2" xfId="12120" xr:uid="{00000000-0005-0000-0000-00000A230000}"/>
    <cellStyle name="Финансовый 2 4 8 4 2 3" xfId="5258" xr:uid="{00000000-0005-0000-0000-00000B230000}"/>
    <cellStyle name="Финансовый 2 4 8 4 2 3 2" xfId="13901" xr:uid="{00000000-0005-0000-0000-00000C230000}"/>
    <cellStyle name="Финансовый 2 4 8 4 2 4" xfId="7868" xr:uid="{00000000-0005-0000-0000-00000D230000}"/>
    <cellStyle name="Финансовый 2 4 8 4 2 4 2" xfId="16511" xr:uid="{00000000-0005-0000-0000-00000E230000}"/>
    <cellStyle name="Финансовый 2 4 8 4 2 5" xfId="10475" xr:uid="{00000000-0005-0000-0000-00000F230000}"/>
    <cellStyle name="Финансовый 2 4 8 4 3" xfId="4933" xr:uid="{00000000-0005-0000-0000-000010230000}"/>
    <cellStyle name="Финансовый 2 4 8 4 3 2" xfId="13576" xr:uid="{00000000-0005-0000-0000-000011230000}"/>
    <cellStyle name="Финансовый 2 4 8 4 4" xfId="7543" xr:uid="{00000000-0005-0000-0000-000012230000}"/>
    <cellStyle name="Финансовый 2 4 8 4 4 2" xfId="16186" xr:uid="{00000000-0005-0000-0000-000013230000}"/>
    <cellStyle name="Финансовый 2 4 8 4 5" xfId="10150" xr:uid="{00000000-0005-0000-0000-000014230000}"/>
    <cellStyle name="Финансовый 2 4 8 5" xfId="1714" xr:uid="{00000000-0005-0000-0000-000015230000}"/>
    <cellStyle name="Финансовый 2 4 8 5 2" xfId="3359" xr:uid="{00000000-0005-0000-0000-000016230000}"/>
    <cellStyle name="Финансовый 2 4 8 5 2 2" xfId="12004" xr:uid="{00000000-0005-0000-0000-000017230000}"/>
    <cellStyle name="Финансовый 2 4 8 5 3" xfId="5142" xr:uid="{00000000-0005-0000-0000-000018230000}"/>
    <cellStyle name="Финансовый 2 4 8 5 3 2" xfId="13785" xr:uid="{00000000-0005-0000-0000-000019230000}"/>
    <cellStyle name="Финансовый 2 4 8 5 4" xfId="7752" xr:uid="{00000000-0005-0000-0000-00001A230000}"/>
    <cellStyle name="Финансовый 2 4 8 5 4 2" xfId="16395" xr:uid="{00000000-0005-0000-0000-00001B230000}"/>
    <cellStyle name="Финансовый 2 4 8 5 5" xfId="10359" xr:uid="{00000000-0005-0000-0000-00001C230000}"/>
    <cellStyle name="Финансовый 2 4 8 6" xfId="2350" xr:uid="{00000000-0005-0000-0000-00001D230000}"/>
    <cellStyle name="Финансовый 2 4 8 6 2" xfId="3995" xr:uid="{00000000-0005-0000-0000-00001E230000}"/>
    <cellStyle name="Финансовый 2 4 8 6 2 2" xfId="12640" xr:uid="{00000000-0005-0000-0000-00001F230000}"/>
    <cellStyle name="Финансовый 2 4 8 6 3" xfId="5778" xr:uid="{00000000-0005-0000-0000-000020230000}"/>
    <cellStyle name="Финансовый 2 4 8 6 3 2" xfId="14421" xr:uid="{00000000-0005-0000-0000-000021230000}"/>
    <cellStyle name="Финансовый 2 4 8 6 4" xfId="8388" xr:uid="{00000000-0005-0000-0000-000022230000}"/>
    <cellStyle name="Финансовый 2 4 8 6 4 2" xfId="17031" xr:uid="{00000000-0005-0000-0000-000023230000}"/>
    <cellStyle name="Финансовый 2 4 8 6 5" xfId="10995" xr:uid="{00000000-0005-0000-0000-000024230000}"/>
    <cellStyle name="Финансовый 2 4 8 7" xfId="1577" xr:uid="{00000000-0005-0000-0000-000025230000}"/>
    <cellStyle name="Финансовый 2 4 8 7 2" xfId="3222" xr:uid="{00000000-0005-0000-0000-000026230000}"/>
    <cellStyle name="Финансовый 2 4 8 7 2 2" xfId="11867" xr:uid="{00000000-0005-0000-0000-000027230000}"/>
    <cellStyle name="Финансовый 2 4 8 7 3" xfId="5005" xr:uid="{00000000-0005-0000-0000-000028230000}"/>
    <cellStyle name="Финансовый 2 4 8 7 3 2" xfId="13648" xr:uid="{00000000-0005-0000-0000-000029230000}"/>
    <cellStyle name="Финансовый 2 4 8 7 4" xfId="7615" xr:uid="{00000000-0005-0000-0000-00002A230000}"/>
    <cellStyle name="Финансовый 2 4 8 7 4 2" xfId="16258" xr:uid="{00000000-0005-0000-0000-00002B230000}"/>
    <cellStyle name="Финансовый 2 4 8 7 5" xfId="10222" xr:uid="{00000000-0005-0000-0000-00002C230000}"/>
    <cellStyle name="Финансовый 2 4 8 8" xfId="863" xr:uid="{00000000-0005-0000-0000-00002D230000}"/>
    <cellStyle name="Финансовый 2 4 8 8 2" xfId="6903" xr:uid="{00000000-0005-0000-0000-00002E230000}"/>
    <cellStyle name="Финансовый 2 4 8 8 2 2" xfId="15546" xr:uid="{00000000-0005-0000-0000-00002F230000}"/>
    <cellStyle name="Финансовый 2 4 8 8 3" xfId="9510" xr:uid="{00000000-0005-0000-0000-000030230000}"/>
    <cellStyle name="Финансовый 2 4 8 9" xfId="443" xr:uid="{00000000-0005-0000-0000-000031230000}"/>
    <cellStyle name="Финансовый 2 4 8 9 2" xfId="6483" xr:uid="{00000000-0005-0000-0000-000032230000}"/>
    <cellStyle name="Финансовый 2 4 8 9 2 2" xfId="15126" xr:uid="{00000000-0005-0000-0000-000033230000}"/>
    <cellStyle name="Финансовый 2 4 8 9 3" xfId="9090" xr:uid="{00000000-0005-0000-0000-000034230000}"/>
    <cellStyle name="Финансовый 2 4 9" xfId="146" xr:uid="{00000000-0005-0000-0000-000035230000}"/>
    <cellStyle name="Финансовый 2 4 9 10" xfId="8794" xr:uid="{00000000-0005-0000-0000-000036230000}"/>
    <cellStyle name="Финансовый 2 4 9 2" xfId="1244" xr:uid="{00000000-0005-0000-0000-000037230000}"/>
    <cellStyle name="Финансовый 2 4 9 2 2" xfId="2210" xr:uid="{00000000-0005-0000-0000-000038230000}"/>
    <cellStyle name="Финансовый 2 4 9 2 2 2" xfId="3855" xr:uid="{00000000-0005-0000-0000-000039230000}"/>
    <cellStyle name="Финансовый 2 4 9 2 2 2 2" xfId="12500" xr:uid="{00000000-0005-0000-0000-00003A230000}"/>
    <cellStyle name="Финансовый 2 4 9 2 2 3" xfId="5638" xr:uid="{00000000-0005-0000-0000-00003B230000}"/>
    <cellStyle name="Финансовый 2 4 9 2 2 3 2" xfId="14281" xr:uid="{00000000-0005-0000-0000-00003C230000}"/>
    <cellStyle name="Финансовый 2 4 9 2 2 4" xfId="8248" xr:uid="{00000000-0005-0000-0000-00003D230000}"/>
    <cellStyle name="Финансовый 2 4 9 2 2 4 2" xfId="16891" xr:uid="{00000000-0005-0000-0000-00003E230000}"/>
    <cellStyle name="Финансовый 2 4 9 2 2 5" xfId="10855" xr:uid="{00000000-0005-0000-0000-00003F230000}"/>
    <cellStyle name="Финансовый 2 4 9 2 3" xfId="3028" xr:uid="{00000000-0005-0000-0000-000040230000}"/>
    <cellStyle name="Финансовый 2 4 9 2 3 2" xfId="11673" xr:uid="{00000000-0005-0000-0000-000041230000}"/>
    <cellStyle name="Финансовый 2 4 9 2 4" xfId="4672" xr:uid="{00000000-0005-0000-0000-000042230000}"/>
    <cellStyle name="Финансовый 2 4 9 2 4 2" xfId="13317" xr:uid="{00000000-0005-0000-0000-000043230000}"/>
    <cellStyle name="Финансовый 2 4 9 2 5" xfId="7284" xr:uid="{00000000-0005-0000-0000-000044230000}"/>
    <cellStyle name="Финансовый 2 4 9 2 5 2" xfId="15927" xr:uid="{00000000-0005-0000-0000-000045230000}"/>
    <cellStyle name="Финансовый 2 4 9 2 6" xfId="9891" xr:uid="{00000000-0005-0000-0000-000046230000}"/>
    <cellStyle name="Финансовый 2 4 9 3" xfId="1954" xr:uid="{00000000-0005-0000-0000-000047230000}"/>
    <cellStyle name="Финансовый 2 4 9 3 2" xfId="3599" xr:uid="{00000000-0005-0000-0000-000048230000}"/>
    <cellStyle name="Финансовый 2 4 9 3 2 2" xfId="12244" xr:uid="{00000000-0005-0000-0000-000049230000}"/>
    <cellStyle name="Финансовый 2 4 9 3 3" xfId="5382" xr:uid="{00000000-0005-0000-0000-00004A230000}"/>
    <cellStyle name="Финансовый 2 4 9 3 3 2" xfId="14025" xr:uid="{00000000-0005-0000-0000-00004B230000}"/>
    <cellStyle name="Финансовый 2 4 9 3 4" xfId="7992" xr:uid="{00000000-0005-0000-0000-00004C230000}"/>
    <cellStyle name="Финансовый 2 4 9 3 4 2" xfId="16635" xr:uid="{00000000-0005-0000-0000-00004D230000}"/>
    <cellStyle name="Финансовый 2 4 9 3 5" xfId="10599" xr:uid="{00000000-0005-0000-0000-00004E230000}"/>
    <cellStyle name="Финансовый 2 4 9 4" xfId="2475" xr:uid="{00000000-0005-0000-0000-00004F230000}"/>
    <cellStyle name="Финансовый 2 4 9 4 2" xfId="4120" xr:uid="{00000000-0005-0000-0000-000050230000}"/>
    <cellStyle name="Финансовый 2 4 9 4 2 2" xfId="12765" xr:uid="{00000000-0005-0000-0000-000051230000}"/>
    <cellStyle name="Финансовый 2 4 9 4 3" xfId="5903" xr:uid="{00000000-0005-0000-0000-000052230000}"/>
    <cellStyle name="Финансовый 2 4 9 4 3 2" xfId="14546" xr:uid="{00000000-0005-0000-0000-000053230000}"/>
    <cellStyle name="Финансовый 2 4 9 4 4" xfId="8513" xr:uid="{00000000-0005-0000-0000-000054230000}"/>
    <cellStyle name="Финансовый 2 4 9 4 4 2" xfId="17156" xr:uid="{00000000-0005-0000-0000-000055230000}"/>
    <cellStyle name="Финансовый 2 4 9 4 5" xfId="11120" xr:uid="{00000000-0005-0000-0000-000056230000}"/>
    <cellStyle name="Финансовый 2 4 9 5" xfId="979" xr:uid="{00000000-0005-0000-0000-000057230000}"/>
    <cellStyle name="Финансовый 2 4 9 5 2" xfId="7019" xr:uid="{00000000-0005-0000-0000-000058230000}"/>
    <cellStyle name="Финансовый 2 4 9 5 2 2" xfId="15662" xr:uid="{00000000-0005-0000-0000-000059230000}"/>
    <cellStyle name="Финансовый 2 4 9 5 3" xfId="9626" xr:uid="{00000000-0005-0000-0000-00005A230000}"/>
    <cellStyle name="Финансовый 2 4 9 6" xfId="567" xr:uid="{00000000-0005-0000-0000-00005B230000}"/>
    <cellStyle name="Финансовый 2 4 9 6 2" xfId="6607" xr:uid="{00000000-0005-0000-0000-00005C230000}"/>
    <cellStyle name="Финансовый 2 4 9 6 2 2" xfId="15250" xr:uid="{00000000-0005-0000-0000-00005D230000}"/>
    <cellStyle name="Финансовый 2 4 9 6 3" xfId="9214" xr:uid="{00000000-0005-0000-0000-00005E230000}"/>
    <cellStyle name="Финансовый 2 4 9 7" xfId="2756" xr:uid="{00000000-0005-0000-0000-00005F230000}"/>
    <cellStyle name="Финансовый 2 4 9 7 2" xfId="11401" xr:uid="{00000000-0005-0000-0000-000060230000}"/>
    <cellStyle name="Финансовый 2 4 9 8" xfId="4400" xr:uid="{00000000-0005-0000-0000-000061230000}"/>
    <cellStyle name="Финансовый 2 4 9 8 2" xfId="13045" xr:uid="{00000000-0005-0000-0000-000062230000}"/>
    <cellStyle name="Финансовый 2 4 9 9" xfId="6187" xr:uid="{00000000-0005-0000-0000-000063230000}"/>
    <cellStyle name="Финансовый 2 4 9 9 2" xfId="14830" xr:uid="{00000000-0005-0000-0000-000064230000}"/>
    <cellStyle name="Финансовый 2 5" xfId="38" xr:uid="{00000000-0005-0000-0000-000065230000}"/>
    <cellStyle name="Финансовый 2 5 10" xfId="881" xr:uid="{00000000-0005-0000-0000-000066230000}"/>
    <cellStyle name="Финансовый 2 5 10 2" xfId="6921" xr:uid="{00000000-0005-0000-0000-000067230000}"/>
    <cellStyle name="Финансовый 2 5 10 2 2" xfId="15564" xr:uid="{00000000-0005-0000-0000-000068230000}"/>
    <cellStyle name="Финансовый 2 5 10 3" xfId="9528" xr:uid="{00000000-0005-0000-0000-000069230000}"/>
    <cellStyle name="Финансовый 2 5 11" xfId="461" xr:uid="{00000000-0005-0000-0000-00006A230000}"/>
    <cellStyle name="Финансовый 2 5 11 2" xfId="6501" xr:uid="{00000000-0005-0000-0000-00006B230000}"/>
    <cellStyle name="Финансовый 2 5 11 2 2" xfId="15144" xr:uid="{00000000-0005-0000-0000-00006C230000}"/>
    <cellStyle name="Финансовый 2 5 11 3" xfId="9108" xr:uid="{00000000-0005-0000-0000-00006D230000}"/>
    <cellStyle name="Финансовый 2 5 12" xfId="2650" xr:uid="{00000000-0005-0000-0000-00006E230000}"/>
    <cellStyle name="Финансовый 2 5 12 2" xfId="11295" xr:uid="{00000000-0005-0000-0000-00006F230000}"/>
    <cellStyle name="Финансовый 2 5 13" xfId="4293" xr:uid="{00000000-0005-0000-0000-000070230000}"/>
    <cellStyle name="Финансовый 2 5 13 2" xfId="12938" xr:uid="{00000000-0005-0000-0000-000071230000}"/>
    <cellStyle name="Финансовый 2 5 14" xfId="6081" xr:uid="{00000000-0005-0000-0000-000072230000}"/>
    <cellStyle name="Финансовый 2 5 14 2" xfId="14724" xr:uid="{00000000-0005-0000-0000-000073230000}"/>
    <cellStyle name="Финансовый 2 5 15" xfId="8688" xr:uid="{00000000-0005-0000-0000-000074230000}"/>
    <cellStyle name="Финансовый 2 5 2" xfId="120" xr:uid="{00000000-0005-0000-0000-000075230000}"/>
    <cellStyle name="Финансовый 2 5 2 10" xfId="2730" xr:uid="{00000000-0005-0000-0000-000076230000}"/>
    <cellStyle name="Финансовый 2 5 2 10 2" xfId="11375" xr:uid="{00000000-0005-0000-0000-000077230000}"/>
    <cellStyle name="Финансовый 2 5 2 11" xfId="4374" xr:uid="{00000000-0005-0000-0000-000078230000}"/>
    <cellStyle name="Финансовый 2 5 2 11 2" xfId="13019" xr:uid="{00000000-0005-0000-0000-000079230000}"/>
    <cellStyle name="Финансовый 2 5 2 12" xfId="6161" xr:uid="{00000000-0005-0000-0000-00007A230000}"/>
    <cellStyle name="Финансовый 2 5 2 12 2" xfId="14804" xr:uid="{00000000-0005-0000-0000-00007B230000}"/>
    <cellStyle name="Финансовый 2 5 2 13" xfId="8768" xr:uid="{00000000-0005-0000-0000-00007C230000}"/>
    <cellStyle name="Финансовый 2 5 2 2" xfId="256" xr:uid="{00000000-0005-0000-0000-00007D230000}"/>
    <cellStyle name="Финансовый 2 5 2 2 10" xfId="8904" xr:uid="{00000000-0005-0000-0000-00007E230000}"/>
    <cellStyle name="Финансовый 2 5 2 2 2" xfId="1354" xr:uid="{00000000-0005-0000-0000-00007F230000}"/>
    <cellStyle name="Финансовый 2 5 2 2 2 2" xfId="2312" xr:uid="{00000000-0005-0000-0000-000080230000}"/>
    <cellStyle name="Финансовый 2 5 2 2 2 2 2" xfId="3957" xr:uid="{00000000-0005-0000-0000-000081230000}"/>
    <cellStyle name="Финансовый 2 5 2 2 2 2 2 2" xfId="12602" xr:uid="{00000000-0005-0000-0000-000082230000}"/>
    <cellStyle name="Финансовый 2 5 2 2 2 2 3" xfId="5740" xr:uid="{00000000-0005-0000-0000-000083230000}"/>
    <cellStyle name="Финансовый 2 5 2 2 2 2 3 2" xfId="14383" xr:uid="{00000000-0005-0000-0000-000084230000}"/>
    <cellStyle name="Финансовый 2 5 2 2 2 2 4" xfId="8350" xr:uid="{00000000-0005-0000-0000-000085230000}"/>
    <cellStyle name="Финансовый 2 5 2 2 2 2 4 2" xfId="16993" xr:uid="{00000000-0005-0000-0000-000086230000}"/>
    <cellStyle name="Финансовый 2 5 2 2 2 2 5" xfId="10957" xr:uid="{00000000-0005-0000-0000-000087230000}"/>
    <cellStyle name="Финансовый 2 5 2 2 2 3" xfId="3138" xr:uid="{00000000-0005-0000-0000-000088230000}"/>
    <cellStyle name="Финансовый 2 5 2 2 2 3 2" xfId="11783" xr:uid="{00000000-0005-0000-0000-000089230000}"/>
    <cellStyle name="Финансовый 2 5 2 2 2 4" xfId="4782" xr:uid="{00000000-0005-0000-0000-00008A230000}"/>
    <cellStyle name="Финансовый 2 5 2 2 2 4 2" xfId="13427" xr:uid="{00000000-0005-0000-0000-00008B230000}"/>
    <cellStyle name="Финансовый 2 5 2 2 2 5" xfId="7394" xr:uid="{00000000-0005-0000-0000-00008C230000}"/>
    <cellStyle name="Финансовый 2 5 2 2 2 5 2" xfId="16037" xr:uid="{00000000-0005-0000-0000-00008D230000}"/>
    <cellStyle name="Финансовый 2 5 2 2 2 6" xfId="10001" xr:uid="{00000000-0005-0000-0000-00008E230000}"/>
    <cellStyle name="Финансовый 2 5 2 2 3" xfId="2056" xr:uid="{00000000-0005-0000-0000-00008F230000}"/>
    <cellStyle name="Финансовый 2 5 2 2 3 2" xfId="3701" xr:uid="{00000000-0005-0000-0000-000090230000}"/>
    <cellStyle name="Финансовый 2 5 2 2 3 2 2" xfId="12346" xr:uid="{00000000-0005-0000-0000-000091230000}"/>
    <cellStyle name="Финансовый 2 5 2 2 3 3" xfId="5484" xr:uid="{00000000-0005-0000-0000-000092230000}"/>
    <cellStyle name="Финансовый 2 5 2 2 3 3 2" xfId="14127" xr:uid="{00000000-0005-0000-0000-000093230000}"/>
    <cellStyle name="Финансовый 2 5 2 2 3 4" xfId="8094" xr:uid="{00000000-0005-0000-0000-000094230000}"/>
    <cellStyle name="Финансовый 2 5 2 2 3 4 2" xfId="16737" xr:uid="{00000000-0005-0000-0000-000095230000}"/>
    <cellStyle name="Финансовый 2 5 2 2 3 5" xfId="10701" xr:uid="{00000000-0005-0000-0000-000096230000}"/>
    <cellStyle name="Финансовый 2 5 2 2 4" xfId="2585" xr:uid="{00000000-0005-0000-0000-000097230000}"/>
    <cellStyle name="Финансовый 2 5 2 2 4 2" xfId="4230" xr:uid="{00000000-0005-0000-0000-000098230000}"/>
    <cellStyle name="Финансовый 2 5 2 2 4 2 2" xfId="12875" xr:uid="{00000000-0005-0000-0000-000099230000}"/>
    <cellStyle name="Финансовый 2 5 2 2 4 3" xfId="6013" xr:uid="{00000000-0005-0000-0000-00009A230000}"/>
    <cellStyle name="Финансовый 2 5 2 2 4 3 2" xfId="14656" xr:uid="{00000000-0005-0000-0000-00009B230000}"/>
    <cellStyle name="Финансовый 2 5 2 2 4 4" xfId="8623" xr:uid="{00000000-0005-0000-0000-00009C230000}"/>
    <cellStyle name="Финансовый 2 5 2 2 4 4 2" xfId="17266" xr:uid="{00000000-0005-0000-0000-00009D230000}"/>
    <cellStyle name="Финансовый 2 5 2 2 4 5" xfId="11230" xr:uid="{00000000-0005-0000-0000-00009E230000}"/>
    <cellStyle name="Финансовый 2 5 2 2 5" xfId="1089" xr:uid="{00000000-0005-0000-0000-00009F230000}"/>
    <cellStyle name="Финансовый 2 5 2 2 5 2" xfId="7129" xr:uid="{00000000-0005-0000-0000-0000A0230000}"/>
    <cellStyle name="Финансовый 2 5 2 2 5 2 2" xfId="15772" xr:uid="{00000000-0005-0000-0000-0000A1230000}"/>
    <cellStyle name="Финансовый 2 5 2 2 5 3" xfId="9736" xr:uid="{00000000-0005-0000-0000-0000A2230000}"/>
    <cellStyle name="Финансовый 2 5 2 2 6" xfId="677" xr:uid="{00000000-0005-0000-0000-0000A3230000}"/>
    <cellStyle name="Финансовый 2 5 2 2 6 2" xfId="6717" xr:uid="{00000000-0005-0000-0000-0000A4230000}"/>
    <cellStyle name="Финансовый 2 5 2 2 6 2 2" xfId="15360" xr:uid="{00000000-0005-0000-0000-0000A5230000}"/>
    <cellStyle name="Финансовый 2 5 2 2 6 3" xfId="9324" xr:uid="{00000000-0005-0000-0000-0000A6230000}"/>
    <cellStyle name="Финансовый 2 5 2 2 7" xfId="2866" xr:uid="{00000000-0005-0000-0000-0000A7230000}"/>
    <cellStyle name="Финансовый 2 5 2 2 7 2" xfId="11511" xr:uid="{00000000-0005-0000-0000-0000A8230000}"/>
    <cellStyle name="Финансовый 2 5 2 2 8" xfId="4510" xr:uid="{00000000-0005-0000-0000-0000A9230000}"/>
    <cellStyle name="Финансовый 2 5 2 2 8 2" xfId="13155" xr:uid="{00000000-0005-0000-0000-0000AA230000}"/>
    <cellStyle name="Финансовый 2 5 2 2 9" xfId="6297" xr:uid="{00000000-0005-0000-0000-0000AB230000}"/>
    <cellStyle name="Финансовый 2 5 2 2 9 2" xfId="14940" xr:uid="{00000000-0005-0000-0000-0000AC230000}"/>
    <cellStyle name="Финансовый 2 5 2 3" xfId="405" xr:uid="{00000000-0005-0000-0000-0000AD230000}"/>
    <cellStyle name="Финансовый 2 5 2 3 2" xfId="2184" xr:uid="{00000000-0005-0000-0000-0000AE230000}"/>
    <cellStyle name="Финансовый 2 5 2 3 2 2" xfId="3829" xr:uid="{00000000-0005-0000-0000-0000AF230000}"/>
    <cellStyle name="Финансовый 2 5 2 3 2 2 2" xfId="12474" xr:uid="{00000000-0005-0000-0000-0000B0230000}"/>
    <cellStyle name="Финансовый 2 5 2 3 2 3" xfId="5612" xr:uid="{00000000-0005-0000-0000-0000B1230000}"/>
    <cellStyle name="Финансовый 2 5 2 3 2 3 2" xfId="14255" xr:uid="{00000000-0005-0000-0000-0000B2230000}"/>
    <cellStyle name="Финансовый 2 5 2 3 2 4" xfId="8222" xr:uid="{00000000-0005-0000-0000-0000B3230000}"/>
    <cellStyle name="Финансовый 2 5 2 3 2 4 2" xfId="16865" xr:uid="{00000000-0005-0000-0000-0000B4230000}"/>
    <cellStyle name="Финансовый 2 5 2 3 2 5" xfId="10829" xr:uid="{00000000-0005-0000-0000-0000B5230000}"/>
    <cellStyle name="Финансовый 2 5 2 3 3" xfId="1218" xr:uid="{00000000-0005-0000-0000-0000B6230000}"/>
    <cellStyle name="Финансовый 2 5 2 3 3 2" xfId="7258" xr:uid="{00000000-0005-0000-0000-0000B7230000}"/>
    <cellStyle name="Финансовый 2 5 2 3 3 2 2" xfId="15901" xr:uid="{00000000-0005-0000-0000-0000B8230000}"/>
    <cellStyle name="Финансовый 2 5 2 3 3 3" xfId="9865" xr:uid="{00000000-0005-0000-0000-0000B9230000}"/>
    <cellStyle name="Финансовый 2 5 2 3 4" xfId="825" xr:uid="{00000000-0005-0000-0000-0000BA230000}"/>
    <cellStyle name="Финансовый 2 5 2 3 4 2" xfId="6865" xr:uid="{00000000-0005-0000-0000-0000BB230000}"/>
    <cellStyle name="Финансовый 2 5 2 3 4 2 2" xfId="15508" xr:uid="{00000000-0005-0000-0000-0000BC230000}"/>
    <cellStyle name="Финансовый 2 5 2 3 4 3" xfId="9472" xr:uid="{00000000-0005-0000-0000-0000BD230000}"/>
    <cellStyle name="Финансовый 2 5 2 3 5" xfId="3002" xr:uid="{00000000-0005-0000-0000-0000BE230000}"/>
    <cellStyle name="Финансовый 2 5 2 3 5 2" xfId="11647" xr:uid="{00000000-0005-0000-0000-0000BF230000}"/>
    <cellStyle name="Финансовый 2 5 2 3 6" xfId="4646" xr:uid="{00000000-0005-0000-0000-0000C0230000}"/>
    <cellStyle name="Финансовый 2 5 2 3 6 2" xfId="13291" xr:uid="{00000000-0005-0000-0000-0000C1230000}"/>
    <cellStyle name="Финансовый 2 5 2 3 7" xfId="6445" xr:uid="{00000000-0005-0000-0000-0000C2230000}"/>
    <cellStyle name="Финансовый 2 5 2 3 7 2" xfId="15088" xr:uid="{00000000-0005-0000-0000-0000C3230000}"/>
    <cellStyle name="Финансовый 2 5 2 3 8" xfId="9052" xr:uid="{00000000-0005-0000-0000-0000C4230000}"/>
    <cellStyle name="Финансовый 2 5 2 4" xfId="1507" xr:uid="{00000000-0005-0000-0000-0000C5230000}"/>
    <cellStyle name="Финансовый 2 5 2 4 2" xfId="1928" xr:uid="{00000000-0005-0000-0000-0000C6230000}"/>
    <cellStyle name="Финансовый 2 5 2 4 2 2" xfId="3573" xr:uid="{00000000-0005-0000-0000-0000C7230000}"/>
    <cellStyle name="Финансовый 2 5 2 4 2 2 2" xfId="12218" xr:uid="{00000000-0005-0000-0000-0000C8230000}"/>
    <cellStyle name="Финансовый 2 5 2 4 2 3" xfId="5356" xr:uid="{00000000-0005-0000-0000-0000C9230000}"/>
    <cellStyle name="Финансовый 2 5 2 4 2 3 2" xfId="13999" xr:uid="{00000000-0005-0000-0000-0000CA230000}"/>
    <cellStyle name="Финансовый 2 5 2 4 2 4" xfId="7966" xr:uid="{00000000-0005-0000-0000-0000CB230000}"/>
    <cellStyle name="Финансовый 2 5 2 4 2 4 2" xfId="16609" xr:uid="{00000000-0005-0000-0000-0000CC230000}"/>
    <cellStyle name="Финансовый 2 5 2 4 2 5" xfId="10573" xr:uid="{00000000-0005-0000-0000-0000CD230000}"/>
    <cellStyle name="Финансовый 2 5 2 4 3" xfId="4935" xr:uid="{00000000-0005-0000-0000-0000CE230000}"/>
    <cellStyle name="Финансовый 2 5 2 4 3 2" xfId="13578" xr:uid="{00000000-0005-0000-0000-0000CF230000}"/>
    <cellStyle name="Финансовый 2 5 2 4 4" xfId="7545" xr:uid="{00000000-0005-0000-0000-0000D0230000}"/>
    <cellStyle name="Финансовый 2 5 2 4 4 2" xfId="16188" xr:uid="{00000000-0005-0000-0000-0000D1230000}"/>
    <cellStyle name="Финансовый 2 5 2 4 5" xfId="10152" xr:uid="{00000000-0005-0000-0000-0000D2230000}"/>
    <cellStyle name="Финансовый 2 5 2 5" xfId="1804" xr:uid="{00000000-0005-0000-0000-0000D3230000}"/>
    <cellStyle name="Финансовый 2 5 2 5 2" xfId="3449" xr:uid="{00000000-0005-0000-0000-0000D4230000}"/>
    <cellStyle name="Финансовый 2 5 2 5 2 2" xfId="12094" xr:uid="{00000000-0005-0000-0000-0000D5230000}"/>
    <cellStyle name="Финансовый 2 5 2 5 3" xfId="5232" xr:uid="{00000000-0005-0000-0000-0000D6230000}"/>
    <cellStyle name="Финансовый 2 5 2 5 3 2" xfId="13875" xr:uid="{00000000-0005-0000-0000-0000D7230000}"/>
    <cellStyle name="Финансовый 2 5 2 5 4" xfId="7842" xr:uid="{00000000-0005-0000-0000-0000D8230000}"/>
    <cellStyle name="Финансовый 2 5 2 5 4 2" xfId="16485" xr:uid="{00000000-0005-0000-0000-0000D9230000}"/>
    <cellStyle name="Финансовый 2 5 2 5 5" xfId="10449" xr:uid="{00000000-0005-0000-0000-0000DA230000}"/>
    <cellStyle name="Финансовый 2 5 2 6" xfId="2449" xr:uid="{00000000-0005-0000-0000-0000DB230000}"/>
    <cellStyle name="Финансовый 2 5 2 6 2" xfId="4094" xr:uid="{00000000-0005-0000-0000-0000DC230000}"/>
    <cellStyle name="Финансовый 2 5 2 6 2 2" xfId="12739" xr:uid="{00000000-0005-0000-0000-0000DD230000}"/>
    <cellStyle name="Финансовый 2 5 2 6 3" xfId="5877" xr:uid="{00000000-0005-0000-0000-0000DE230000}"/>
    <cellStyle name="Финансовый 2 5 2 6 3 2" xfId="14520" xr:uid="{00000000-0005-0000-0000-0000DF230000}"/>
    <cellStyle name="Финансовый 2 5 2 6 4" xfId="8487" xr:uid="{00000000-0005-0000-0000-0000E0230000}"/>
    <cellStyle name="Финансовый 2 5 2 6 4 2" xfId="17130" xr:uid="{00000000-0005-0000-0000-0000E1230000}"/>
    <cellStyle name="Финансовый 2 5 2 6 5" xfId="11094" xr:uid="{00000000-0005-0000-0000-0000E2230000}"/>
    <cellStyle name="Финансовый 2 5 2 7" xfId="1676" xr:uid="{00000000-0005-0000-0000-0000E3230000}"/>
    <cellStyle name="Финансовый 2 5 2 7 2" xfId="3321" xr:uid="{00000000-0005-0000-0000-0000E4230000}"/>
    <cellStyle name="Финансовый 2 5 2 7 2 2" xfId="11966" xr:uid="{00000000-0005-0000-0000-0000E5230000}"/>
    <cellStyle name="Финансовый 2 5 2 7 3" xfId="5104" xr:uid="{00000000-0005-0000-0000-0000E6230000}"/>
    <cellStyle name="Финансовый 2 5 2 7 3 2" xfId="13747" xr:uid="{00000000-0005-0000-0000-0000E7230000}"/>
    <cellStyle name="Финансовый 2 5 2 7 4" xfId="7714" xr:uid="{00000000-0005-0000-0000-0000E8230000}"/>
    <cellStyle name="Финансовый 2 5 2 7 4 2" xfId="16357" xr:uid="{00000000-0005-0000-0000-0000E9230000}"/>
    <cellStyle name="Финансовый 2 5 2 7 5" xfId="10321" xr:uid="{00000000-0005-0000-0000-0000EA230000}"/>
    <cellStyle name="Финансовый 2 5 2 8" xfId="953" xr:uid="{00000000-0005-0000-0000-0000EB230000}"/>
    <cellStyle name="Финансовый 2 5 2 8 2" xfId="6993" xr:uid="{00000000-0005-0000-0000-0000EC230000}"/>
    <cellStyle name="Финансовый 2 5 2 8 2 2" xfId="15636" xr:uid="{00000000-0005-0000-0000-0000ED230000}"/>
    <cellStyle name="Финансовый 2 5 2 8 3" xfId="9600" xr:uid="{00000000-0005-0000-0000-0000EE230000}"/>
    <cellStyle name="Финансовый 2 5 2 9" xfId="541" xr:uid="{00000000-0005-0000-0000-0000EF230000}"/>
    <cellStyle name="Финансовый 2 5 2 9 2" xfId="6581" xr:uid="{00000000-0005-0000-0000-0000F0230000}"/>
    <cellStyle name="Финансовый 2 5 2 9 2 2" xfId="15224" xr:uid="{00000000-0005-0000-0000-0000F1230000}"/>
    <cellStyle name="Финансовый 2 5 2 9 3" xfId="9188" xr:uid="{00000000-0005-0000-0000-0000F2230000}"/>
    <cellStyle name="Финансовый 2 5 3" xfId="84" xr:uid="{00000000-0005-0000-0000-0000F3230000}"/>
    <cellStyle name="Финансовый 2 5 3 10" xfId="2694" xr:uid="{00000000-0005-0000-0000-0000F4230000}"/>
    <cellStyle name="Финансовый 2 5 3 10 2" xfId="11339" xr:uid="{00000000-0005-0000-0000-0000F5230000}"/>
    <cellStyle name="Финансовый 2 5 3 11" xfId="4338" xr:uid="{00000000-0005-0000-0000-0000F6230000}"/>
    <cellStyle name="Финансовый 2 5 3 11 2" xfId="12983" xr:uid="{00000000-0005-0000-0000-0000F7230000}"/>
    <cellStyle name="Финансовый 2 5 3 12" xfId="6125" xr:uid="{00000000-0005-0000-0000-0000F8230000}"/>
    <cellStyle name="Финансовый 2 5 3 12 2" xfId="14768" xr:uid="{00000000-0005-0000-0000-0000F9230000}"/>
    <cellStyle name="Финансовый 2 5 3 13" xfId="8732" xr:uid="{00000000-0005-0000-0000-0000FA230000}"/>
    <cellStyle name="Финансовый 2 5 3 2" xfId="220" xr:uid="{00000000-0005-0000-0000-0000FB230000}"/>
    <cellStyle name="Финансовый 2 5 3 2 10" xfId="8868" xr:uid="{00000000-0005-0000-0000-0000FC230000}"/>
    <cellStyle name="Финансовый 2 5 3 2 2" xfId="1318" xr:uid="{00000000-0005-0000-0000-0000FD230000}"/>
    <cellStyle name="Финансовый 2 5 3 2 2 2" xfId="2276" xr:uid="{00000000-0005-0000-0000-0000FE230000}"/>
    <cellStyle name="Финансовый 2 5 3 2 2 2 2" xfId="3921" xr:uid="{00000000-0005-0000-0000-0000FF230000}"/>
    <cellStyle name="Финансовый 2 5 3 2 2 2 2 2" xfId="12566" xr:uid="{00000000-0005-0000-0000-000000240000}"/>
    <cellStyle name="Финансовый 2 5 3 2 2 2 3" xfId="5704" xr:uid="{00000000-0005-0000-0000-000001240000}"/>
    <cellStyle name="Финансовый 2 5 3 2 2 2 3 2" xfId="14347" xr:uid="{00000000-0005-0000-0000-000002240000}"/>
    <cellStyle name="Финансовый 2 5 3 2 2 2 4" xfId="8314" xr:uid="{00000000-0005-0000-0000-000003240000}"/>
    <cellStyle name="Финансовый 2 5 3 2 2 2 4 2" xfId="16957" xr:uid="{00000000-0005-0000-0000-000004240000}"/>
    <cellStyle name="Финансовый 2 5 3 2 2 2 5" xfId="10921" xr:uid="{00000000-0005-0000-0000-000005240000}"/>
    <cellStyle name="Финансовый 2 5 3 2 2 3" xfId="3102" xr:uid="{00000000-0005-0000-0000-000006240000}"/>
    <cellStyle name="Финансовый 2 5 3 2 2 3 2" xfId="11747" xr:uid="{00000000-0005-0000-0000-000007240000}"/>
    <cellStyle name="Финансовый 2 5 3 2 2 4" xfId="4746" xr:uid="{00000000-0005-0000-0000-000008240000}"/>
    <cellStyle name="Финансовый 2 5 3 2 2 4 2" xfId="13391" xr:uid="{00000000-0005-0000-0000-000009240000}"/>
    <cellStyle name="Финансовый 2 5 3 2 2 5" xfId="7358" xr:uid="{00000000-0005-0000-0000-00000A240000}"/>
    <cellStyle name="Финансовый 2 5 3 2 2 5 2" xfId="16001" xr:uid="{00000000-0005-0000-0000-00000B240000}"/>
    <cellStyle name="Финансовый 2 5 3 2 2 6" xfId="9965" xr:uid="{00000000-0005-0000-0000-00000C240000}"/>
    <cellStyle name="Финансовый 2 5 3 2 3" xfId="2020" xr:uid="{00000000-0005-0000-0000-00000D240000}"/>
    <cellStyle name="Финансовый 2 5 3 2 3 2" xfId="3665" xr:uid="{00000000-0005-0000-0000-00000E240000}"/>
    <cellStyle name="Финансовый 2 5 3 2 3 2 2" xfId="12310" xr:uid="{00000000-0005-0000-0000-00000F240000}"/>
    <cellStyle name="Финансовый 2 5 3 2 3 3" xfId="5448" xr:uid="{00000000-0005-0000-0000-000010240000}"/>
    <cellStyle name="Финансовый 2 5 3 2 3 3 2" xfId="14091" xr:uid="{00000000-0005-0000-0000-000011240000}"/>
    <cellStyle name="Финансовый 2 5 3 2 3 4" xfId="8058" xr:uid="{00000000-0005-0000-0000-000012240000}"/>
    <cellStyle name="Финансовый 2 5 3 2 3 4 2" xfId="16701" xr:uid="{00000000-0005-0000-0000-000013240000}"/>
    <cellStyle name="Финансовый 2 5 3 2 3 5" xfId="10665" xr:uid="{00000000-0005-0000-0000-000014240000}"/>
    <cellStyle name="Финансовый 2 5 3 2 4" xfId="2549" xr:uid="{00000000-0005-0000-0000-000015240000}"/>
    <cellStyle name="Финансовый 2 5 3 2 4 2" xfId="4194" xr:uid="{00000000-0005-0000-0000-000016240000}"/>
    <cellStyle name="Финансовый 2 5 3 2 4 2 2" xfId="12839" xr:uid="{00000000-0005-0000-0000-000017240000}"/>
    <cellStyle name="Финансовый 2 5 3 2 4 3" xfId="5977" xr:uid="{00000000-0005-0000-0000-000018240000}"/>
    <cellStyle name="Финансовый 2 5 3 2 4 3 2" xfId="14620" xr:uid="{00000000-0005-0000-0000-000019240000}"/>
    <cellStyle name="Финансовый 2 5 3 2 4 4" xfId="8587" xr:uid="{00000000-0005-0000-0000-00001A240000}"/>
    <cellStyle name="Финансовый 2 5 3 2 4 4 2" xfId="17230" xr:uid="{00000000-0005-0000-0000-00001B240000}"/>
    <cellStyle name="Финансовый 2 5 3 2 4 5" xfId="11194" xr:uid="{00000000-0005-0000-0000-00001C240000}"/>
    <cellStyle name="Финансовый 2 5 3 2 5" xfId="1053" xr:uid="{00000000-0005-0000-0000-00001D240000}"/>
    <cellStyle name="Финансовый 2 5 3 2 5 2" xfId="7093" xr:uid="{00000000-0005-0000-0000-00001E240000}"/>
    <cellStyle name="Финансовый 2 5 3 2 5 2 2" xfId="15736" xr:uid="{00000000-0005-0000-0000-00001F240000}"/>
    <cellStyle name="Финансовый 2 5 3 2 5 3" xfId="9700" xr:uid="{00000000-0005-0000-0000-000020240000}"/>
    <cellStyle name="Финансовый 2 5 3 2 6" xfId="641" xr:uid="{00000000-0005-0000-0000-000021240000}"/>
    <cellStyle name="Финансовый 2 5 3 2 6 2" xfId="6681" xr:uid="{00000000-0005-0000-0000-000022240000}"/>
    <cellStyle name="Финансовый 2 5 3 2 6 2 2" xfId="15324" xr:uid="{00000000-0005-0000-0000-000023240000}"/>
    <cellStyle name="Финансовый 2 5 3 2 6 3" xfId="9288" xr:uid="{00000000-0005-0000-0000-000024240000}"/>
    <cellStyle name="Финансовый 2 5 3 2 7" xfId="2830" xr:uid="{00000000-0005-0000-0000-000025240000}"/>
    <cellStyle name="Финансовый 2 5 3 2 7 2" xfId="11475" xr:uid="{00000000-0005-0000-0000-000026240000}"/>
    <cellStyle name="Финансовый 2 5 3 2 8" xfId="4474" xr:uid="{00000000-0005-0000-0000-000027240000}"/>
    <cellStyle name="Финансовый 2 5 3 2 8 2" xfId="13119" xr:uid="{00000000-0005-0000-0000-000028240000}"/>
    <cellStyle name="Финансовый 2 5 3 2 9" xfId="6261" xr:uid="{00000000-0005-0000-0000-000029240000}"/>
    <cellStyle name="Финансовый 2 5 3 2 9 2" xfId="14904" xr:uid="{00000000-0005-0000-0000-00002A240000}"/>
    <cellStyle name="Финансовый 2 5 3 3" xfId="369" xr:uid="{00000000-0005-0000-0000-00002B240000}"/>
    <cellStyle name="Финансовый 2 5 3 3 2" xfId="2148" xr:uid="{00000000-0005-0000-0000-00002C240000}"/>
    <cellStyle name="Финансовый 2 5 3 3 2 2" xfId="3793" xr:uid="{00000000-0005-0000-0000-00002D240000}"/>
    <cellStyle name="Финансовый 2 5 3 3 2 2 2" xfId="12438" xr:uid="{00000000-0005-0000-0000-00002E240000}"/>
    <cellStyle name="Финансовый 2 5 3 3 2 3" xfId="5576" xr:uid="{00000000-0005-0000-0000-00002F240000}"/>
    <cellStyle name="Финансовый 2 5 3 3 2 3 2" xfId="14219" xr:uid="{00000000-0005-0000-0000-000030240000}"/>
    <cellStyle name="Финансовый 2 5 3 3 2 4" xfId="8186" xr:uid="{00000000-0005-0000-0000-000031240000}"/>
    <cellStyle name="Финансовый 2 5 3 3 2 4 2" xfId="16829" xr:uid="{00000000-0005-0000-0000-000032240000}"/>
    <cellStyle name="Финансовый 2 5 3 3 2 5" xfId="10793" xr:uid="{00000000-0005-0000-0000-000033240000}"/>
    <cellStyle name="Финансовый 2 5 3 3 3" xfId="1182" xr:uid="{00000000-0005-0000-0000-000034240000}"/>
    <cellStyle name="Финансовый 2 5 3 3 3 2" xfId="7222" xr:uid="{00000000-0005-0000-0000-000035240000}"/>
    <cellStyle name="Финансовый 2 5 3 3 3 2 2" xfId="15865" xr:uid="{00000000-0005-0000-0000-000036240000}"/>
    <cellStyle name="Финансовый 2 5 3 3 3 3" xfId="9829" xr:uid="{00000000-0005-0000-0000-000037240000}"/>
    <cellStyle name="Финансовый 2 5 3 3 4" xfId="789" xr:uid="{00000000-0005-0000-0000-000038240000}"/>
    <cellStyle name="Финансовый 2 5 3 3 4 2" xfId="6829" xr:uid="{00000000-0005-0000-0000-000039240000}"/>
    <cellStyle name="Финансовый 2 5 3 3 4 2 2" xfId="15472" xr:uid="{00000000-0005-0000-0000-00003A240000}"/>
    <cellStyle name="Финансовый 2 5 3 3 4 3" xfId="9436" xr:uid="{00000000-0005-0000-0000-00003B240000}"/>
    <cellStyle name="Финансовый 2 5 3 3 5" xfId="2966" xr:uid="{00000000-0005-0000-0000-00003C240000}"/>
    <cellStyle name="Финансовый 2 5 3 3 5 2" xfId="11611" xr:uid="{00000000-0005-0000-0000-00003D240000}"/>
    <cellStyle name="Финансовый 2 5 3 3 6" xfId="4610" xr:uid="{00000000-0005-0000-0000-00003E240000}"/>
    <cellStyle name="Финансовый 2 5 3 3 6 2" xfId="13255" xr:uid="{00000000-0005-0000-0000-00003F240000}"/>
    <cellStyle name="Финансовый 2 5 3 3 7" xfId="6409" xr:uid="{00000000-0005-0000-0000-000040240000}"/>
    <cellStyle name="Финансовый 2 5 3 3 7 2" xfId="15052" xr:uid="{00000000-0005-0000-0000-000041240000}"/>
    <cellStyle name="Финансовый 2 5 3 3 8" xfId="9016" xr:uid="{00000000-0005-0000-0000-000042240000}"/>
    <cellStyle name="Финансовый 2 5 3 4" xfId="1437" xr:uid="{00000000-0005-0000-0000-000043240000}"/>
    <cellStyle name="Финансовый 2 5 3 4 2" xfId="1892" xr:uid="{00000000-0005-0000-0000-000044240000}"/>
    <cellStyle name="Финансовый 2 5 3 4 2 2" xfId="3537" xr:uid="{00000000-0005-0000-0000-000045240000}"/>
    <cellStyle name="Финансовый 2 5 3 4 2 2 2" xfId="12182" xr:uid="{00000000-0005-0000-0000-000046240000}"/>
    <cellStyle name="Финансовый 2 5 3 4 2 3" xfId="5320" xr:uid="{00000000-0005-0000-0000-000047240000}"/>
    <cellStyle name="Финансовый 2 5 3 4 2 3 2" xfId="13963" xr:uid="{00000000-0005-0000-0000-000048240000}"/>
    <cellStyle name="Финансовый 2 5 3 4 2 4" xfId="7930" xr:uid="{00000000-0005-0000-0000-000049240000}"/>
    <cellStyle name="Финансовый 2 5 3 4 2 4 2" xfId="16573" xr:uid="{00000000-0005-0000-0000-00004A240000}"/>
    <cellStyle name="Финансовый 2 5 3 4 2 5" xfId="10537" xr:uid="{00000000-0005-0000-0000-00004B240000}"/>
    <cellStyle name="Финансовый 2 5 3 4 3" xfId="4865" xr:uid="{00000000-0005-0000-0000-00004C240000}"/>
    <cellStyle name="Финансовый 2 5 3 4 3 2" xfId="13509" xr:uid="{00000000-0005-0000-0000-00004D240000}"/>
    <cellStyle name="Финансовый 2 5 3 4 4" xfId="7476" xr:uid="{00000000-0005-0000-0000-00004E240000}"/>
    <cellStyle name="Финансовый 2 5 3 4 4 2" xfId="16119" xr:uid="{00000000-0005-0000-0000-00004F240000}"/>
    <cellStyle name="Финансовый 2 5 3 4 5" xfId="10083" xr:uid="{00000000-0005-0000-0000-000050240000}"/>
    <cellStyle name="Финансовый 2 5 3 5" xfId="1768" xr:uid="{00000000-0005-0000-0000-000051240000}"/>
    <cellStyle name="Финансовый 2 5 3 5 2" xfId="3413" xr:uid="{00000000-0005-0000-0000-000052240000}"/>
    <cellStyle name="Финансовый 2 5 3 5 2 2" xfId="12058" xr:uid="{00000000-0005-0000-0000-000053240000}"/>
    <cellStyle name="Финансовый 2 5 3 5 3" xfId="5196" xr:uid="{00000000-0005-0000-0000-000054240000}"/>
    <cellStyle name="Финансовый 2 5 3 5 3 2" xfId="13839" xr:uid="{00000000-0005-0000-0000-000055240000}"/>
    <cellStyle name="Финансовый 2 5 3 5 4" xfId="7806" xr:uid="{00000000-0005-0000-0000-000056240000}"/>
    <cellStyle name="Финансовый 2 5 3 5 4 2" xfId="16449" xr:uid="{00000000-0005-0000-0000-000057240000}"/>
    <cellStyle name="Финансовый 2 5 3 5 5" xfId="10413" xr:uid="{00000000-0005-0000-0000-000058240000}"/>
    <cellStyle name="Финансовый 2 5 3 6" xfId="2413" xr:uid="{00000000-0005-0000-0000-000059240000}"/>
    <cellStyle name="Финансовый 2 5 3 6 2" xfId="4058" xr:uid="{00000000-0005-0000-0000-00005A240000}"/>
    <cellStyle name="Финансовый 2 5 3 6 2 2" xfId="12703" xr:uid="{00000000-0005-0000-0000-00005B240000}"/>
    <cellStyle name="Финансовый 2 5 3 6 3" xfId="5841" xr:uid="{00000000-0005-0000-0000-00005C240000}"/>
    <cellStyle name="Финансовый 2 5 3 6 3 2" xfId="14484" xr:uid="{00000000-0005-0000-0000-00005D240000}"/>
    <cellStyle name="Финансовый 2 5 3 6 4" xfId="8451" xr:uid="{00000000-0005-0000-0000-00005E240000}"/>
    <cellStyle name="Финансовый 2 5 3 6 4 2" xfId="17094" xr:uid="{00000000-0005-0000-0000-00005F240000}"/>
    <cellStyle name="Финансовый 2 5 3 6 5" xfId="11058" xr:uid="{00000000-0005-0000-0000-000060240000}"/>
    <cellStyle name="Финансовый 2 5 3 7" xfId="1640" xr:uid="{00000000-0005-0000-0000-000061240000}"/>
    <cellStyle name="Финансовый 2 5 3 7 2" xfId="3285" xr:uid="{00000000-0005-0000-0000-000062240000}"/>
    <cellStyle name="Финансовый 2 5 3 7 2 2" xfId="11930" xr:uid="{00000000-0005-0000-0000-000063240000}"/>
    <cellStyle name="Финансовый 2 5 3 7 3" xfId="5068" xr:uid="{00000000-0005-0000-0000-000064240000}"/>
    <cellStyle name="Финансовый 2 5 3 7 3 2" xfId="13711" xr:uid="{00000000-0005-0000-0000-000065240000}"/>
    <cellStyle name="Финансовый 2 5 3 7 4" xfId="7678" xr:uid="{00000000-0005-0000-0000-000066240000}"/>
    <cellStyle name="Финансовый 2 5 3 7 4 2" xfId="16321" xr:uid="{00000000-0005-0000-0000-000067240000}"/>
    <cellStyle name="Финансовый 2 5 3 7 5" xfId="10285" xr:uid="{00000000-0005-0000-0000-000068240000}"/>
    <cellStyle name="Финансовый 2 5 3 8" xfId="917" xr:uid="{00000000-0005-0000-0000-000069240000}"/>
    <cellStyle name="Финансовый 2 5 3 8 2" xfId="6957" xr:uid="{00000000-0005-0000-0000-00006A240000}"/>
    <cellStyle name="Финансовый 2 5 3 8 2 2" xfId="15600" xr:uid="{00000000-0005-0000-0000-00006B240000}"/>
    <cellStyle name="Финансовый 2 5 3 8 3" xfId="9564" xr:uid="{00000000-0005-0000-0000-00006C240000}"/>
    <cellStyle name="Финансовый 2 5 3 9" xfId="505" xr:uid="{00000000-0005-0000-0000-00006D240000}"/>
    <cellStyle name="Финансовый 2 5 3 9 2" xfId="6545" xr:uid="{00000000-0005-0000-0000-00006E240000}"/>
    <cellStyle name="Финансовый 2 5 3 9 2 2" xfId="15188" xr:uid="{00000000-0005-0000-0000-00006F240000}"/>
    <cellStyle name="Финансовый 2 5 3 9 3" xfId="9152" xr:uid="{00000000-0005-0000-0000-000070240000}"/>
    <cellStyle name="Финансовый 2 5 4" xfId="176" xr:uid="{00000000-0005-0000-0000-000071240000}"/>
    <cellStyle name="Финансовый 2 5 4 10" xfId="8824" xr:uid="{00000000-0005-0000-0000-000072240000}"/>
    <cellStyle name="Финансовый 2 5 4 2" xfId="1274" xr:uid="{00000000-0005-0000-0000-000073240000}"/>
    <cellStyle name="Финансовый 2 5 4 2 2" xfId="2240" xr:uid="{00000000-0005-0000-0000-000074240000}"/>
    <cellStyle name="Финансовый 2 5 4 2 2 2" xfId="3885" xr:uid="{00000000-0005-0000-0000-000075240000}"/>
    <cellStyle name="Финансовый 2 5 4 2 2 2 2" xfId="12530" xr:uid="{00000000-0005-0000-0000-000076240000}"/>
    <cellStyle name="Финансовый 2 5 4 2 2 3" xfId="5668" xr:uid="{00000000-0005-0000-0000-000077240000}"/>
    <cellStyle name="Финансовый 2 5 4 2 2 3 2" xfId="14311" xr:uid="{00000000-0005-0000-0000-000078240000}"/>
    <cellStyle name="Финансовый 2 5 4 2 2 4" xfId="8278" xr:uid="{00000000-0005-0000-0000-000079240000}"/>
    <cellStyle name="Финансовый 2 5 4 2 2 4 2" xfId="16921" xr:uid="{00000000-0005-0000-0000-00007A240000}"/>
    <cellStyle name="Финансовый 2 5 4 2 2 5" xfId="10885" xr:uid="{00000000-0005-0000-0000-00007B240000}"/>
    <cellStyle name="Финансовый 2 5 4 2 3" xfId="3058" xr:uid="{00000000-0005-0000-0000-00007C240000}"/>
    <cellStyle name="Финансовый 2 5 4 2 3 2" xfId="11703" xr:uid="{00000000-0005-0000-0000-00007D240000}"/>
    <cellStyle name="Финансовый 2 5 4 2 4" xfId="4702" xr:uid="{00000000-0005-0000-0000-00007E240000}"/>
    <cellStyle name="Финансовый 2 5 4 2 4 2" xfId="13347" xr:uid="{00000000-0005-0000-0000-00007F240000}"/>
    <cellStyle name="Финансовый 2 5 4 2 5" xfId="7314" xr:uid="{00000000-0005-0000-0000-000080240000}"/>
    <cellStyle name="Финансовый 2 5 4 2 5 2" xfId="15957" xr:uid="{00000000-0005-0000-0000-000081240000}"/>
    <cellStyle name="Финансовый 2 5 4 2 6" xfId="9921" xr:uid="{00000000-0005-0000-0000-000082240000}"/>
    <cellStyle name="Финансовый 2 5 4 3" xfId="1984" xr:uid="{00000000-0005-0000-0000-000083240000}"/>
    <cellStyle name="Финансовый 2 5 4 3 2" xfId="3629" xr:uid="{00000000-0005-0000-0000-000084240000}"/>
    <cellStyle name="Финансовый 2 5 4 3 2 2" xfId="12274" xr:uid="{00000000-0005-0000-0000-000085240000}"/>
    <cellStyle name="Финансовый 2 5 4 3 3" xfId="5412" xr:uid="{00000000-0005-0000-0000-000086240000}"/>
    <cellStyle name="Финансовый 2 5 4 3 3 2" xfId="14055" xr:uid="{00000000-0005-0000-0000-000087240000}"/>
    <cellStyle name="Финансовый 2 5 4 3 4" xfId="8022" xr:uid="{00000000-0005-0000-0000-000088240000}"/>
    <cellStyle name="Финансовый 2 5 4 3 4 2" xfId="16665" xr:uid="{00000000-0005-0000-0000-000089240000}"/>
    <cellStyle name="Финансовый 2 5 4 3 5" xfId="10629" xr:uid="{00000000-0005-0000-0000-00008A240000}"/>
    <cellStyle name="Финансовый 2 5 4 4" xfId="2505" xr:uid="{00000000-0005-0000-0000-00008B240000}"/>
    <cellStyle name="Финансовый 2 5 4 4 2" xfId="4150" xr:uid="{00000000-0005-0000-0000-00008C240000}"/>
    <cellStyle name="Финансовый 2 5 4 4 2 2" xfId="12795" xr:uid="{00000000-0005-0000-0000-00008D240000}"/>
    <cellStyle name="Финансовый 2 5 4 4 3" xfId="5933" xr:uid="{00000000-0005-0000-0000-00008E240000}"/>
    <cellStyle name="Финансовый 2 5 4 4 3 2" xfId="14576" xr:uid="{00000000-0005-0000-0000-00008F240000}"/>
    <cellStyle name="Финансовый 2 5 4 4 4" xfId="8543" xr:uid="{00000000-0005-0000-0000-000090240000}"/>
    <cellStyle name="Финансовый 2 5 4 4 4 2" xfId="17186" xr:uid="{00000000-0005-0000-0000-000091240000}"/>
    <cellStyle name="Финансовый 2 5 4 4 5" xfId="11150" xr:uid="{00000000-0005-0000-0000-000092240000}"/>
    <cellStyle name="Финансовый 2 5 4 5" xfId="1009" xr:uid="{00000000-0005-0000-0000-000093240000}"/>
    <cellStyle name="Финансовый 2 5 4 5 2" xfId="7049" xr:uid="{00000000-0005-0000-0000-000094240000}"/>
    <cellStyle name="Финансовый 2 5 4 5 2 2" xfId="15692" xr:uid="{00000000-0005-0000-0000-000095240000}"/>
    <cellStyle name="Финансовый 2 5 4 5 3" xfId="9656" xr:uid="{00000000-0005-0000-0000-000096240000}"/>
    <cellStyle name="Финансовый 2 5 4 6" xfId="597" xr:uid="{00000000-0005-0000-0000-000097240000}"/>
    <cellStyle name="Финансовый 2 5 4 6 2" xfId="6637" xr:uid="{00000000-0005-0000-0000-000098240000}"/>
    <cellStyle name="Финансовый 2 5 4 6 2 2" xfId="15280" xr:uid="{00000000-0005-0000-0000-000099240000}"/>
    <cellStyle name="Финансовый 2 5 4 6 3" xfId="9244" xr:uid="{00000000-0005-0000-0000-00009A240000}"/>
    <cellStyle name="Финансовый 2 5 4 7" xfId="2786" xr:uid="{00000000-0005-0000-0000-00009B240000}"/>
    <cellStyle name="Финансовый 2 5 4 7 2" xfId="11431" xr:uid="{00000000-0005-0000-0000-00009C240000}"/>
    <cellStyle name="Финансовый 2 5 4 8" xfId="4430" xr:uid="{00000000-0005-0000-0000-00009D240000}"/>
    <cellStyle name="Финансовый 2 5 4 8 2" xfId="13075" xr:uid="{00000000-0005-0000-0000-00009E240000}"/>
    <cellStyle name="Финансовый 2 5 4 9" xfId="6217" xr:uid="{00000000-0005-0000-0000-00009F240000}"/>
    <cellStyle name="Финансовый 2 5 4 9 2" xfId="14860" xr:uid="{00000000-0005-0000-0000-0000A0240000}"/>
    <cellStyle name="Финансовый 2 5 5" xfId="325" xr:uid="{00000000-0005-0000-0000-0000A1240000}"/>
    <cellStyle name="Финансовый 2 5 5 2" xfId="2112" xr:uid="{00000000-0005-0000-0000-0000A2240000}"/>
    <cellStyle name="Финансовый 2 5 5 2 2" xfId="3757" xr:uid="{00000000-0005-0000-0000-0000A3240000}"/>
    <cellStyle name="Финансовый 2 5 5 2 2 2" xfId="12402" xr:uid="{00000000-0005-0000-0000-0000A4240000}"/>
    <cellStyle name="Финансовый 2 5 5 2 3" xfId="5540" xr:uid="{00000000-0005-0000-0000-0000A5240000}"/>
    <cellStyle name="Финансовый 2 5 5 2 3 2" xfId="14183" xr:uid="{00000000-0005-0000-0000-0000A6240000}"/>
    <cellStyle name="Финансовый 2 5 5 2 4" xfId="8150" xr:uid="{00000000-0005-0000-0000-0000A7240000}"/>
    <cellStyle name="Финансовый 2 5 5 2 4 2" xfId="16793" xr:uid="{00000000-0005-0000-0000-0000A8240000}"/>
    <cellStyle name="Финансовый 2 5 5 2 5" xfId="10757" xr:uid="{00000000-0005-0000-0000-0000A9240000}"/>
    <cellStyle name="Финансовый 2 5 5 3" xfId="1145" xr:uid="{00000000-0005-0000-0000-0000AA240000}"/>
    <cellStyle name="Финансовый 2 5 5 3 2" xfId="7185" xr:uid="{00000000-0005-0000-0000-0000AB240000}"/>
    <cellStyle name="Финансовый 2 5 5 3 2 2" xfId="15828" xr:uid="{00000000-0005-0000-0000-0000AC240000}"/>
    <cellStyle name="Финансовый 2 5 5 3 3" xfId="9792" xr:uid="{00000000-0005-0000-0000-0000AD240000}"/>
    <cellStyle name="Финансовый 2 5 5 4" xfId="745" xr:uid="{00000000-0005-0000-0000-0000AE240000}"/>
    <cellStyle name="Финансовый 2 5 5 4 2" xfId="6785" xr:uid="{00000000-0005-0000-0000-0000AF240000}"/>
    <cellStyle name="Финансовый 2 5 5 4 2 2" xfId="15428" xr:uid="{00000000-0005-0000-0000-0000B0240000}"/>
    <cellStyle name="Финансовый 2 5 5 4 3" xfId="9392" xr:uid="{00000000-0005-0000-0000-0000B1240000}"/>
    <cellStyle name="Финансовый 2 5 5 5" xfId="2922" xr:uid="{00000000-0005-0000-0000-0000B2240000}"/>
    <cellStyle name="Финансовый 2 5 5 5 2" xfId="11567" xr:uid="{00000000-0005-0000-0000-0000B3240000}"/>
    <cellStyle name="Финансовый 2 5 5 6" xfId="4566" xr:uid="{00000000-0005-0000-0000-0000B4240000}"/>
    <cellStyle name="Финансовый 2 5 5 6 2" xfId="13211" xr:uid="{00000000-0005-0000-0000-0000B5240000}"/>
    <cellStyle name="Финансовый 2 5 5 7" xfId="6365" xr:uid="{00000000-0005-0000-0000-0000B6240000}"/>
    <cellStyle name="Финансовый 2 5 5 7 2" xfId="15008" xr:uid="{00000000-0005-0000-0000-0000B7240000}"/>
    <cellStyle name="Финансовый 2 5 5 8" xfId="8972" xr:uid="{00000000-0005-0000-0000-0000B8240000}"/>
    <cellStyle name="Финансовый 2 5 6" xfId="1506" xr:uid="{00000000-0005-0000-0000-0000B9240000}"/>
    <cellStyle name="Финансовый 2 5 6 2" xfId="1848" xr:uid="{00000000-0005-0000-0000-0000BA240000}"/>
    <cellStyle name="Финансовый 2 5 6 2 2" xfId="3493" xr:uid="{00000000-0005-0000-0000-0000BB240000}"/>
    <cellStyle name="Финансовый 2 5 6 2 2 2" xfId="12138" xr:uid="{00000000-0005-0000-0000-0000BC240000}"/>
    <cellStyle name="Финансовый 2 5 6 2 3" xfId="5276" xr:uid="{00000000-0005-0000-0000-0000BD240000}"/>
    <cellStyle name="Финансовый 2 5 6 2 3 2" xfId="13919" xr:uid="{00000000-0005-0000-0000-0000BE240000}"/>
    <cellStyle name="Финансовый 2 5 6 2 4" xfId="7886" xr:uid="{00000000-0005-0000-0000-0000BF240000}"/>
    <cellStyle name="Финансовый 2 5 6 2 4 2" xfId="16529" xr:uid="{00000000-0005-0000-0000-0000C0240000}"/>
    <cellStyle name="Финансовый 2 5 6 2 5" xfId="10493" xr:uid="{00000000-0005-0000-0000-0000C1240000}"/>
    <cellStyle name="Финансовый 2 5 6 3" xfId="4934" xr:uid="{00000000-0005-0000-0000-0000C2240000}"/>
    <cellStyle name="Финансовый 2 5 6 3 2" xfId="13577" xr:uid="{00000000-0005-0000-0000-0000C3240000}"/>
    <cellStyle name="Финансовый 2 5 6 4" xfId="7544" xr:uid="{00000000-0005-0000-0000-0000C4240000}"/>
    <cellStyle name="Финансовый 2 5 6 4 2" xfId="16187" xr:uid="{00000000-0005-0000-0000-0000C5240000}"/>
    <cellStyle name="Финансовый 2 5 6 5" xfId="10151" xr:uid="{00000000-0005-0000-0000-0000C6240000}"/>
    <cellStyle name="Финансовый 2 5 7" xfId="1732" xr:uid="{00000000-0005-0000-0000-0000C7240000}"/>
    <cellStyle name="Финансовый 2 5 7 2" xfId="3377" xr:uid="{00000000-0005-0000-0000-0000C8240000}"/>
    <cellStyle name="Финансовый 2 5 7 2 2" xfId="12022" xr:uid="{00000000-0005-0000-0000-0000C9240000}"/>
    <cellStyle name="Финансовый 2 5 7 3" xfId="5160" xr:uid="{00000000-0005-0000-0000-0000CA240000}"/>
    <cellStyle name="Финансовый 2 5 7 3 2" xfId="13803" xr:uid="{00000000-0005-0000-0000-0000CB240000}"/>
    <cellStyle name="Финансовый 2 5 7 4" xfId="7770" xr:uid="{00000000-0005-0000-0000-0000CC240000}"/>
    <cellStyle name="Финансовый 2 5 7 4 2" xfId="16413" xr:uid="{00000000-0005-0000-0000-0000CD240000}"/>
    <cellStyle name="Финансовый 2 5 7 5" xfId="10377" xr:uid="{00000000-0005-0000-0000-0000CE240000}"/>
    <cellStyle name="Финансовый 2 5 8" xfId="2368" xr:uid="{00000000-0005-0000-0000-0000CF240000}"/>
    <cellStyle name="Финансовый 2 5 8 2" xfId="4013" xr:uid="{00000000-0005-0000-0000-0000D0240000}"/>
    <cellStyle name="Финансовый 2 5 8 2 2" xfId="12658" xr:uid="{00000000-0005-0000-0000-0000D1240000}"/>
    <cellStyle name="Финансовый 2 5 8 3" xfId="5796" xr:uid="{00000000-0005-0000-0000-0000D2240000}"/>
    <cellStyle name="Финансовый 2 5 8 3 2" xfId="14439" xr:uid="{00000000-0005-0000-0000-0000D3240000}"/>
    <cellStyle name="Финансовый 2 5 8 4" xfId="8406" xr:uid="{00000000-0005-0000-0000-0000D4240000}"/>
    <cellStyle name="Финансовый 2 5 8 4 2" xfId="17049" xr:uid="{00000000-0005-0000-0000-0000D5240000}"/>
    <cellStyle name="Финансовый 2 5 8 5" xfId="11013" xr:uid="{00000000-0005-0000-0000-0000D6240000}"/>
    <cellStyle name="Финансовый 2 5 9" xfId="1595" xr:uid="{00000000-0005-0000-0000-0000D7240000}"/>
    <cellStyle name="Финансовый 2 5 9 2" xfId="3240" xr:uid="{00000000-0005-0000-0000-0000D8240000}"/>
    <cellStyle name="Финансовый 2 5 9 2 2" xfId="11885" xr:uid="{00000000-0005-0000-0000-0000D9240000}"/>
    <cellStyle name="Финансовый 2 5 9 3" xfId="5023" xr:uid="{00000000-0005-0000-0000-0000DA240000}"/>
    <cellStyle name="Финансовый 2 5 9 3 2" xfId="13666" xr:uid="{00000000-0005-0000-0000-0000DB240000}"/>
    <cellStyle name="Финансовый 2 5 9 4" xfId="7633" xr:uid="{00000000-0005-0000-0000-0000DC240000}"/>
    <cellStyle name="Финансовый 2 5 9 4 2" xfId="16276" xr:uid="{00000000-0005-0000-0000-0000DD240000}"/>
    <cellStyle name="Финансовый 2 5 9 5" xfId="10240" xr:uid="{00000000-0005-0000-0000-0000DE240000}"/>
    <cellStyle name="Финансовый 2 6" xfId="90" xr:uid="{00000000-0005-0000-0000-0000DF240000}"/>
    <cellStyle name="Финансовый 2 6 10" xfId="2700" xr:uid="{00000000-0005-0000-0000-0000E0240000}"/>
    <cellStyle name="Финансовый 2 6 10 2" xfId="11345" xr:uid="{00000000-0005-0000-0000-0000E1240000}"/>
    <cellStyle name="Финансовый 2 6 11" xfId="4344" xr:uid="{00000000-0005-0000-0000-0000E2240000}"/>
    <cellStyle name="Финансовый 2 6 11 2" xfId="12989" xr:uid="{00000000-0005-0000-0000-0000E3240000}"/>
    <cellStyle name="Финансовый 2 6 12" xfId="6131" xr:uid="{00000000-0005-0000-0000-0000E4240000}"/>
    <cellStyle name="Финансовый 2 6 12 2" xfId="14774" xr:uid="{00000000-0005-0000-0000-0000E5240000}"/>
    <cellStyle name="Финансовый 2 6 13" xfId="8738" xr:uid="{00000000-0005-0000-0000-0000E6240000}"/>
    <cellStyle name="Финансовый 2 6 2" xfId="226" xr:uid="{00000000-0005-0000-0000-0000E7240000}"/>
    <cellStyle name="Финансовый 2 6 2 10" xfId="8874" xr:uid="{00000000-0005-0000-0000-0000E8240000}"/>
    <cellStyle name="Финансовый 2 6 2 2" xfId="1324" xr:uid="{00000000-0005-0000-0000-0000E9240000}"/>
    <cellStyle name="Финансовый 2 6 2 2 2" xfId="2282" xr:uid="{00000000-0005-0000-0000-0000EA240000}"/>
    <cellStyle name="Финансовый 2 6 2 2 2 2" xfId="3927" xr:uid="{00000000-0005-0000-0000-0000EB240000}"/>
    <cellStyle name="Финансовый 2 6 2 2 2 2 2" xfId="12572" xr:uid="{00000000-0005-0000-0000-0000EC240000}"/>
    <cellStyle name="Финансовый 2 6 2 2 2 3" xfId="5710" xr:uid="{00000000-0005-0000-0000-0000ED240000}"/>
    <cellStyle name="Финансовый 2 6 2 2 2 3 2" xfId="14353" xr:uid="{00000000-0005-0000-0000-0000EE240000}"/>
    <cellStyle name="Финансовый 2 6 2 2 2 4" xfId="8320" xr:uid="{00000000-0005-0000-0000-0000EF240000}"/>
    <cellStyle name="Финансовый 2 6 2 2 2 4 2" xfId="16963" xr:uid="{00000000-0005-0000-0000-0000F0240000}"/>
    <cellStyle name="Финансовый 2 6 2 2 2 5" xfId="10927" xr:uid="{00000000-0005-0000-0000-0000F1240000}"/>
    <cellStyle name="Финансовый 2 6 2 2 3" xfId="3108" xr:uid="{00000000-0005-0000-0000-0000F2240000}"/>
    <cellStyle name="Финансовый 2 6 2 2 3 2" xfId="11753" xr:uid="{00000000-0005-0000-0000-0000F3240000}"/>
    <cellStyle name="Финансовый 2 6 2 2 4" xfId="4752" xr:uid="{00000000-0005-0000-0000-0000F4240000}"/>
    <cellStyle name="Финансовый 2 6 2 2 4 2" xfId="13397" xr:uid="{00000000-0005-0000-0000-0000F5240000}"/>
    <cellStyle name="Финансовый 2 6 2 2 5" xfId="7364" xr:uid="{00000000-0005-0000-0000-0000F6240000}"/>
    <cellStyle name="Финансовый 2 6 2 2 5 2" xfId="16007" xr:uid="{00000000-0005-0000-0000-0000F7240000}"/>
    <cellStyle name="Финансовый 2 6 2 2 6" xfId="9971" xr:uid="{00000000-0005-0000-0000-0000F8240000}"/>
    <cellStyle name="Финансовый 2 6 2 3" xfId="2026" xr:uid="{00000000-0005-0000-0000-0000F9240000}"/>
    <cellStyle name="Финансовый 2 6 2 3 2" xfId="3671" xr:uid="{00000000-0005-0000-0000-0000FA240000}"/>
    <cellStyle name="Финансовый 2 6 2 3 2 2" xfId="12316" xr:uid="{00000000-0005-0000-0000-0000FB240000}"/>
    <cellStyle name="Финансовый 2 6 2 3 3" xfId="5454" xr:uid="{00000000-0005-0000-0000-0000FC240000}"/>
    <cellStyle name="Финансовый 2 6 2 3 3 2" xfId="14097" xr:uid="{00000000-0005-0000-0000-0000FD240000}"/>
    <cellStyle name="Финансовый 2 6 2 3 4" xfId="8064" xr:uid="{00000000-0005-0000-0000-0000FE240000}"/>
    <cellStyle name="Финансовый 2 6 2 3 4 2" xfId="16707" xr:uid="{00000000-0005-0000-0000-0000FF240000}"/>
    <cellStyle name="Финансовый 2 6 2 3 5" xfId="10671" xr:uid="{00000000-0005-0000-0000-000000250000}"/>
    <cellStyle name="Финансовый 2 6 2 4" xfId="2555" xr:uid="{00000000-0005-0000-0000-000001250000}"/>
    <cellStyle name="Финансовый 2 6 2 4 2" xfId="4200" xr:uid="{00000000-0005-0000-0000-000002250000}"/>
    <cellStyle name="Финансовый 2 6 2 4 2 2" xfId="12845" xr:uid="{00000000-0005-0000-0000-000003250000}"/>
    <cellStyle name="Финансовый 2 6 2 4 3" xfId="5983" xr:uid="{00000000-0005-0000-0000-000004250000}"/>
    <cellStyle name="Финансовый 2 6 2 4 3 2" xfId="14626" xr:uid="{00000000-0005-0000-0000-000005250000}"/>
    <cellStyle name="Финансовый 2 6 2 4 4" xfId="8593" xr:uid="{00000000-0005-0000-0000-000006250000}"/>
    <cellStyle name="Финансовый 2 6 2 4 4 2" xfId="17236" xr:uid="{00000000-0005-0000-0000-000007250000}"/>
    <cellStyle name="Финансовый 2 6 2 4 5" xfId="11200" xr:uid="{00000000-0005-0000-0000-000008250000}"/>
    <cellStyle name="Финансовый 2 6 2 5" xfId="1059" xr:uid="{00000000-0005-0000-0000-000009250000}"/>
    <cellStyle name="Финансовый 2 6 2 5 2" xfId="7099" xr:uid="{00000000-0005-0000-0000-00000A250000}"/>
    <cellStyle name="Финансовый 2 6 2 5 2 2" xfId="15742" xr:uid="{00000000-0005-0000-0000-00000B250000}"/>
    <cellStyle name="Финансовый 2 6 2 5 3" xfId="9706" xr:uid="{00000000-0005-0000-0000-00000C250000}"/>
    <cellStyle name="Финансовый 2 6 2 6" xfId="647" xr:uid="{00000000-0005-0000-0000-00000D250000}"/>
    <cellStyle name="Финансовый 2 6 2 6 2" xfId="6687" xr:uid="{00000000-0005-0000-0000-00000E250000}"/>
    <cellStyle name="Финансовый 2 6 2 6 2 2" xfId="15330" xr:uid="{00000000-0005-0000-0000-00000F250000}"/>
    <cellStyle name="Финансовый 2 6 2 6 3" xfId="9294" xr:uid="{00000000-0005-0000-0000-000010250000}"/>
    <cellStyle name="Финансовый 2 6 2 7" xfId="2836" xr:uid="{00000000-0005-0000-0000-000011250000}"/>
    <cellStyle name="Финансовый 2 6 2 7 2" xfId="11481" xr:uid="{00000000-0005-0000-0000-000012250000}"/>
    <cellStyle name="Финансовый 2 6 2 8" xfId="4480" xr:uid="{00000000-0005-0000-0000-000013250000}"/>
    <cellStyle name="Финансовый 2 6 2 8 2" xfId="13125" xr:uid="{00000000-0005-0000-0000-000014250000}"/>
    <cellStyle name="Финансовый 2 6 2 9" xfId="6267" xr:uid="{00000000-0005-0000-0000-000015250000}"/>
    <cellStyle name="Финансовый 2 6 2 9 2" xfId="14910" xr:uid="{00000000-0005-0000-0000-000016250000}"/>
    <cellStyle name="Финансовый 2 6 3" xfId="375" xr:uid="{00000000-0005-0000-0000-000017250000}"/>
    <cellStyle name="Финансовый 2 6 3 2" xfId="2154" xr:uid="{00000000-0005-0000-0000-000018250000}"/>
    <cellStyle name="Финансовый 2 6 3 2 2" xfId="3799" xr:uid="{00000000-0005-0000-0000-000019250000}"/>
    <cellStyle name="Финансовый 2 6 3 2 2 2" xfId="12444" xr:uid="{00000000-0005-0000-0000-00001A250000}"/>
    <cellStyle name="Финансовый 2 6 3 2 3" xfId="5582" xr:uid="{00000000-0005-0000-0000-00001B250000}"/>
    <cellStyle name="Финансовый 2 6 3 2 3 2" xfId="14225" xr:uid="{00000000-0005-0000-0000-00001C250000}"/>
    <cellStyle name="Финансовый 2 6 3 2 4" xfId="8192" xr:uid="{00000000-0005-0000-0000-00001D250000}"/>
    <cellStyle name="Финансовый 2 6 3 2 4 2" xfId="16835" xr:uid="{00000000-0005-0000-0000-00001E250000}"/>
    <cellStyle name="Финансовый 2 6 3 2 5" xfId="10799" xr:uid="{00000000-0005-0000-0000-00001F250000}"/>
    <cellStyle name="Финансовый 2 6 3 3" xfId="1188" xr:uid="{00000000-0005-0000-0000-000020250000}"/>
    <cellStyle name="Финансовый 2 6 3 3 2" xfId="7228" xr:uid="{00000000-0005-0000-0000-000021250000}"/>
    <cellStyle name="Финансовый 2 6 3 3 2 2" xfId="15871" xr:uid="{00000000-0005-0000-0000-000022250000}"/>
    <cellStyle name="Финансовый 2 6 3 3 3" xfId="9835" xr:uid="{00000000-0005-0000-0000-000023250000}"/>
    <cellStyle name="Финансовый 2 6 3 4" xfId="795" xr:uid="{00000000-0005-0000-0000-000024250000}"/>
    <cellStyle name="Финансовый 2 6 3 4 2" xfId="6835" xr:uid="{00000000-0005-0000-0000-000025250000}"/>
    <cellStyle name="Финансовый 2 6 3 4 2 2" xfId="15478" xr:uid="{00000000-0005-0000-0000-000026250000}"/>
    <cellStyle name="Финансовый 2 6 3 4 3" xfId="9442" xr:uid="{00000000-0005-0000-0000-000027250000}"/>
    <cellStyle name="Финансовый 2 6 3 5" xfId="2972" xr:uid="{00000000-0005-0000-0000-000028250000}"/>
    <cellStyle name="Финансовый 2 6 3 5 2" xfId="11617" xr:uid="{00000000-0005-0000-0000-000029250000}"/>
    <cellStyle name="Финансовый 2 6 3 6" xfId="4616" xr:uid="{00000000-0005-0000-0000-00002A250000}"/>
    <cellStyle name="Финансовый 2 6 3 6 2" xfId="13261" xr:uid="{00000000-0005-0000-0000-00002B250000}"/>
    <cellStyle name="Финансовый 2 6 3 7" xfId="6415" xr:uid="{00000000-0005-0000-0000-00002C250000}"/>
    <cellStyle name="Финансовый 2 6 3 7 2" xfId="15058" xr:uid="{00000000-0005-0000-0000-00002D250000}"/>
    <cellStyle name="Финансовый 2 6 3 8" xfId="9022" xr:uid="{00000000-0005-0000-0000-00002E250000}"/>
    <cellStyle name="Финансовый 2 6 4" xfId="1508" xr:uid="{00000000-0005-0000-0000-00002F250000}"/>
    <cellStyle name="Финансовый 2 6 4 2" xfId="1898" xr:uid="{00000000-0005-0000-0000-000030250000}"/>
    <cellStyle name="Финансовый 2 6 4 2 2" xfId="3543" xr:uid="{00000000-0005-0000-0000-000031250000}"/>
    <cellStyle name="Финансовый 2 6 4 2 2 2" xfId="12188" xr:uid="{00000000-0005-0000-0000-000032250000}"/>
    <cellStyle name="Финансовый 2 6 4 2 3" xfId="5326" xr:uid="{00000000-0005-0000-0000-000033250000}"/>
    <cellStyle name="Финансовый 2 6 4 2 3 2" xfId="13969" xr:uid="{00000000-0005-0000-0000-000034250000}"/>
    <cellStyle name="Финансовый 2 6 4 2 4" xfId="7936" xr:uid="{00000000-0005-0000-0000-000035250000}"/>
    <cellStyle name="Финансовый 2 6 4 2 4 2" xfId="16579" xr:uid="{00000000-0005-0000-0000-000036250000}"/>
    <cellStyle name="Финансовый 2 6 4 2 5" xfId="10543" xr:uid="{00000000-0005-0000-0000-000037250000}"/>
    <cellStyle name="Финансовый 2 6 4 3" xfId="4936" xr:uid="{00000000-0005-0000-0000-000038250000}"/>
    <cellStyle name="Финансовый 2 6 4 3 2" xfId="13579" xr:uid="{00000000-0005-0000-0000-000039250000}"/>
    <cellStyle name="Финансовый 2 6 4 4" xfId="7546" xr:uid="{00000000-0005-0000-0000-00003A250000}"/>
    <cellStyle name="Финансовый 2 6 4 4 2" xfId="16189" xr:uid="{00000000-0005-0000-0000-00003B250000}"/>
    <cellStyle name="Финансовый 2 6 4 5" xfId="10153" xr:uid="{00000000-0005-0000-0000-00003C250000}"/>
    <cellStyle name="Финансовый 2 6 5" xfId="1774" xr:uid="{00000000-0005-0000-0000-00003D250000}"/>
    <cellStyle name="Финансовый 2 6 5 2" xfId="3419" xr:uid="{00000000-0005-0000-0000-00003E250000}"/>
    <cellStyle name="Финансовый 2 6 5 2 2" xfId="12064" xr:uid="{00000000-0005-0000-0000-00003F250000}"/>
    <cellStyle name="Финансовый 2 6 5 3" xfId="5202" xr:uid="{00000000-0005-0000-0000-000040250000}"/>
    <cellStyle name="Финансовый 2 6 5 3 2" xfId="13845" xr:uid="{00000000-0005-0000-0000-000041250000}"/>
    <cellStyle name="Финансовый 2 6 5 4" xfId="7812" xr:uid="{00000000-0005-0000-0000-000042250000}"/>
    <cellStyle name="Финансовый 2 6 5 4 2" xfId="16455" xr:uid="{00000000-0005-0000-0000-000043250000}"/>
    <cellStyle name="Финансовый 2 6 5 5" xfId="10419" xr:uid="{00000000-0005-0000-0000-000044250000}"/>
    <cellStyle name="Финансовый 2 6 6" xfId="2419" xr:uid="{00000000-0005-0000-0000-000045250000}"/>
    <cellStyle name="Финансовый 2 6 6 2" xfId="4064" xr:uid="{00000000-0005-0000-0000-000046250000}"/>
    <cellStyle name="Финансовый 2 6 6 2 2" xfId="12709" xr:uid="{00000000-0005-0000-0000-000047250000}"/>
    <cellStyle name="Финансовый 2 6 6 3" xfId="5847" xr:uid="{00000000-0005-0000-0000-000048250000}"/>
    <cellStyle name="Финансовый 2 6 6 3 2" xfId="14490" xr:uid="{00000000-0005-0000-0000-000049250000}"/>
    <cellStyle name="Финансовый 2 6 6 4" xfId="8457" xr:uid="{00000000-0005-0000-0000-00004A250000}"/>
    <cellStyle name="Финансовый 2 6 6 4 2" xfId="17100" xr:uid="{00000000-0005-0000-0000-00004B250000}"/>
    <cellStyle name="Финансовый 2 6 6 5" xfId="11064" xr:uid="{00000000-0005-0000-0000-00004C250000}"/>
    <cellStyle name="Финансовый 2 6 7" xfId="1646" xr:uid="{00000000-0005-0000-0000-00004D250000}"/>
    <cellStyle name="Финансовый 2 6 7 2" xfId="3291" xr:uid="{00000000-0005-0000-0000-00004E250000}"/>
    <cellStyle name="Финансовый 2 6 7 2 2" xfId="11936" xr:uid="{00000000-0005-0000-0000-00004F250000}"/>
    <cellStyle name="Финансовый 2 6 7 3" xfId="5074" xr:uid="{00000000-0005-0000-0000-000050250000}"/>
    <cellStyle name="Финансовый 2 6 7 3 2" xfId="13717" xr:uid="{00000000-0005-0000-0000-000051250000}"/>
    <cellStyle name="Финансовый 2 6 7 4" xfId="7684" xr:uid="{00000000-0005-0000-0000-000052250000}"/>
    <cellStyle name="Финансовый 2 6 7 4 2" xfId="16327" xr:uid="{00000000-0005-0000-0000-000053250000}"/>
    <cellStyle name="Финансовый 2 6 7 5" xfId="10291" xr:uid="{00000000-0005-0000-0000-000054250000}"/>
    <cellStyle name="Финансовый 2 6 8" xfId="923" xr:uid="{00000000-0005-0000-0000-000055250000}"/>
    <cellStyle name="Финансовый 2 6 8 2" xfId="6963" xr:uid="{00000000-0005-0000-0000-000056250000}"/>
    <cellStyle name="Финансовый 2 6 8 2 2" xfId="15606" xr:uid="{00000000-0005-0000-0000-000057250000}"/>
    <cellStyle name="Финансовый 2 6 8 3" xfId="9570" xr:uid="{00000000-0005-0000-0000-000058250000}"/>
    <cellStyle name="Финансовый 2 6 9" xfId="511" xr:uid="{00000000-0005-0000-0000-000059250000}"/>
    <cellStyle name="Финансовый 2 6 9 2" xfId="6551" xr:uid="{00000000-0005-0000-0000-00005A250000}"/>
    <cellStyle name="Финансовый 2 6 9 2 2" xfId="15194" xr:uid="{00000000-0005-0000-0000-00005B250000}"/>
    <cellStyle name="Финансовый 2 6 9 3" xfId="9158" xr:uid="{00000000-0005-0000-0000-00005C250000}"/>
    <cellStyle name="Финансовый 2 7" xfId="96" xr:uid="{00000000-0005-0000-0000-00005D250000}"/>
    <cellStyle name="Финансовый 2 7 10" xfId="2706" xr:uid="{00000000-0005-0000-0000-00005E250000}"/>
    <cellStyle name="Финансовый 2 7 10 2" xfId="11351" xr:uid="{00000000-0005-0000-0000-00005F250000}"/>
    <cellStyle name="Финансовый 2 7 11" xfId="4350" xr:uid="{00000000-0005-0000-0000-000060250000}"/>
    <cellStyle name="Финансовый 2 7 11 2" xfId="12995" xr:uid="{00000000-0005-0000-0000-000061250000}"/>
    <cellStyle name="Финансовый 2 7 12" xfId="6137" xr:uid="{00000000-0005-0000-0000-000062250000}"/>
    <cellStyle name="Финансовый 2 7 12 2" xfId="14780" xr:uid="{00000000-0005-0000-0000-000063250000}"/>
    <cellStyle name="Финансовый 2 7 13" xfId="8744" xr:uid="{00000000-0005-0000-0000-000064250000}"/>
    <cellStyle name="Финансовый 2 7 2" xfId="232" xr:uid="{00000000-0005-0000-0000-000065250000}"/>
    <cellStyle name="Финансовый 2 7 2 10" xfId="8880" xr:uid="{00000000-0005-0000-0000-000066250000}"/>
    <cellStyle name="Финансовый 2 7 2 2" xfId="1330" xr:uid="{00000000-0005-0000-0000-000067250000}"/>
    <cellStyle name="Финансовый 2 7 2 2 2" xfId="2288" xr:uid="{00000000-0005-0000-0000-000068250000}"/>
    <cellStyle name="Финансовый 2 7 2 2 2 2" xfId="3933" xr:uid="{00000000-0005-0000-0000-000069250000}"/>
    <cellStyle name="Финансовый 2 7 2 2 2 2 2" xfId="12578" xr:uid="{00000000-0005-0000-0000-00006A250000}"/>
    <cellStyle name="Финансовый 2 7 2 2 2 3" xfId="5716" xr:uid="{00000000-0005-0000-0000-00006B250000}"/>
    <cellStyle name="Финансовый 2 7 2 2 2 3 2" xfId="14359" xr:uid="{00000000-0005-0000-0000-00006C250000}"/>
    <cellStyle name="Финансовый 2 7 2 2 2 4" xfId="8326" xr:uid="{00000000-0005-0000-0000-00006D250000}"/>
    <cellStyle name="Финансовый 2 7 2 2 2 4 2" xfId="16969" xr:uid="{00000000-0005-0000-0000-00006E250000}"/>
    <cellStyle name="Финансовый 2 7 2 2 2 5" xfId="10933" xr:uid="{00000000-0005-0000-0000-00006F250000}"/>
    <cellStyle name="Финансовый 2 7 2 2 3" xfId="3114" xr:uid="{00000000-0005-0000-0000-000070250000}"/>
    <cellStyle name="Финансовый 2 7 2 2 3 2" xfId="11759" xr:uid="{00000000-0005-0000-0000-000071250000}"/>
    <cellStyle name="Финансовый 2 7 2 2 4" xfId="4758" xr:uid="{00000000-0005-0000-0000-000072250000}"/>
    <cellStyle name="Финансовый 2 7 2 2 4 2" xfId="13403" xr:uid="{00000000-0005-0000-0000-000073250000}"/>
    <cellStyle name="Финансовый 2 7 2 2 5" xfId="7370" xr:uid="{00000000-0005-0000-0000-000074250000}"/>
    <cellStyle name="Финансовый 2 7 2 2 5 2" xfId="16013" xr:uid="{00000000-0005-0000-0000-000075250000}"/>
    <cellStyle name="Финансовый 2 7 2 2 6" xfId="9977" xr:uid="{00000000-0005-0000-0000-000076250000}"/>
    <cellStyle name="Финансовый 2 7 2 3" xfId="2032" xr:uid="{00000000-0005-0000-0000-000077250000}"/>
    <cellStyle name="Финансовый 2 7 2 3 2" xfId="3677" xr:uid="{00000000-0005-0000-0000-000078250000}"/>
    <cellStyle name="Финансовый 2 7 2 3 2 2" xfId="12322" xr:uid="{00000000-0005-0000-0000-000079250000}"/>
    <cellStyle name="Финансовый 2 7 2 3 3" xfId="5460" xr:uid="{00000000-0005-0000-0000-00007A250000}"/>
    <cellStyle name="Финансовый 2 7 2 3 3 2" xfId="14103" xr:uid="{00000000-0005-0000-0000-00007B250000}"/>
    <cellStyle name="Финансовый 2 7 2 3 4" xfId="8070" xr:uid="{00000000-0005-0000-0000-00007C250000}"/>
    <cellStyle name="Финансовый 2 7 2 3 4 2" xfId="16713" xr:uid="{00000000-0005-0000-0000-00007D250000}"/>
    <cellStyle name="Финансовый 2 7 2 3 5" xfId="10677" xr:uid="{00000000-0005-0000-0000-00007E250000}"/>
    <cellStyle name="Финансовый 2 7 2 4" xfId="2561" xr:uid="{00000000-0005-0000-0000-00007F250000}"/>
    <cellStyle name="Финансовый 2 7 2 4 2" xfId="4206" xr:uid="{00000000-0005-0000-0000-000080250000}"/>
    <cellStyle name="Финансовый 2 7 2 4 2 2" xfId="12851" xr:uid="{00000000-0005-0000-0000-000081250000}"/>
    <cellStyle name="Финансовый 2 7 2 4 3" xfId="5989" xr:uid="{00000000-0005-0000-0000-000082250000}"/>
    <cellStyle name="Финансовый 2 7 2 4 3 2" xfId="14632" xr:uid="{00000000-0005-0000-0000-000083250000}"/>
    <cellStyle name="Финансовый 2 7 2 4 4" xfId="8599" xr:uid="{00000000-0005-0000-0000-000084250000}"/>
    <cellStyle name="Финансовый 2 7 2 4 4 2" xfId="17242" xr:uid="{00000000-0005-0000-0000-000085250000}"/>
    <cellStyle name="Финансовый 2 7 2 4 5" xfId="11206" xr:uid="{00000000-0005-0000-0000-000086250000}"/>
    <cellStyle name="Финансовый 2 7 2 5" xfId="1065" xr:uid="{00000000-0005-0000-0000-000087250000}"/>
    <cellStyle name="Финансовый 2 7 2 5 2" xfId="7105" xr:uid="{00000000-0005-0000-0000-000088250000}"/>
    <cellStyle name="Финансовый 2 7 2 5 2 2" xfId="15748" xr:uid="{00000000-0005-0000-0000-000089250000}"/>
    <cellStyle name="Финансовый 2 7 2 5 3" xfId="9712" xr:uid="{00000000-0005-0000-0000-00008A250000}"/>
    <cellStyle name="Финансовый 2 7 2 6" xfId="653" xr:uid="{00000000-0005-0000-0000-00008B250000}"/>
    <cellStyle name="Финансовый 2 7 2 6 2" xfId="6693" xr:uid="{00000000-0005-0000-0000-00008C250000}"/>
    <cellStyle name="Финансовый 2 7 2 6 2 2" xfId="15336" xr:uid="{00000000-0005-0000-0000-00008D250000}"/>
    <cellStyle name="Финансовый 2 7 2 6 3" xfId="9300" xr:uid="{00000000-0005-0000-0000-00008E250000}"/>
    <cellStyle name="Финансовый 2 7 2 7" xfId="2842" xr:uid="{00000000-0005-0000-0000-00008F250000}"/>
    <cellStyle name="Финансовый 2 7 2 7 2" xfId="11487" xr:uid="{00000000-0005-0000-0000-000090250000}"/>
    <cellStyle name="Финансовый 2 7 2 8" xfId="4486" xr:uid="{00000000-0005-0000-0000-000091250000}"/>
    <cellStyle name="Финансовый 2 7 2 8 2" xfId="13131" xr:uid="{00000000-0005-0000-0000-000092250000}"/>
    <cellStyle name="Финансовый 2 7 2 9" xfId="6273" xr:uid="{00000000-0005-0000-0000-000093250000}"/>
    <cellStyle name="Финансовый 2 7 2 9 2" xfId="14916" xr:uid="{00000000-0005-0000-0000-000094250000}"/>
    <cellStyle name="Финансовый 2 7 3" xfId="381" xr:uid="{00000000-0005-0000-0000-000095250000}"/>
    <cellStyle name="Финансовый 2 7 3 2" xfId="2160" xr:uid="{00000000-0005-0000-0000-000096250000}"/>
    <cellStyle name="Финансовый 2 7 3 2 2" xfId="3805" xr:uid="{00000000-0005-0000-0000-000097250000}"/>
    <cellStyle name="Финансовый 2 7 3 2 2 2" xfId="12450" xr:uid="{00000000-0005-0000-0000-000098250000}"/>
    <cellStyle name="Финансовый 2 7 3 2 3" xfId="5588" xr:uid="{00000000-0005-0000-0000-000099250000}"/>
    <cellStyle name="Финансовый 2 7 3 2 3 2" xfId="14231" xr:uid="{00000000-0005-0000-0000-00009A250000}"/>
    <cellStyle name="Финансовый 2 7 3 2 4" xfId="8198" xr:uid="{00000000-0005-0000-0000-00009B250000}"/>
    <cellStyle name="Финансовый 2 7 3 2 4 2" xfId="16841" xr:uid="{00000000-0005-0000-0000-00009C250000}"/>
    <cellStyle name="Финансовый 2 7 3 2 5" xfId="10805" xr:uid="{00000000-0005-0000-0000-00009D250000}"/>
    <cellStyle name="Финансовый 2 7 3 3" xfId="1194" xr:uid="{00000000-0005-0000-0000-00009E250000}"/>
    <cellStyle name="Финансовый 2 7 3 3 2" xfId="7234" xr:uid="{00000000-0005-0000-0000-00009F250000}"/>
    <cellStyle name="Финансовый 2 7 3 3 2 2" xfId="15877" xr:uid="{00000000-0005-0000-0000-0000A0250000}"/>
    <cellStyle name="Финансовый 2 7 3 3 3" xfId="9841" xr:uid="{00000000-0005-0000-0000-0000A1250000}"/>
    <cellStyle name="Финансовый 2 7 3 4" xfId="801" xr:uid="{00000000-0005-0000-0000-0000A2250000}"/>
    <cellStyle name="Финансовый 2 7 3 4 2" xfId="6841" xr:uid="{00000000-0005-0000-0000-0000A3250000}"/>
    <cellStyle name="Финансовый 2 7 3 4 2 2" xfId="15484" xr:uid="{00000000-0005-0000-0000-0000A4250000}"/>
    <cellStyle name="Финансовый 2 7 3 4 3" xfId="9448" xr:uid="{00000000-0005-0000-0000-0000A5250000}"/>
    <cellStyle name="Финансовый 2 7 3 5" xfId="2978" xr:uid="{00000000-0005-0000-0000-0000A6250000}"/>
    <cellStyle name="Финансовый 2 7 3 5 2" xfId="11623" xr:uid="{00000000-0005-0000-0000-0000A7250000}"/>
    <cellStyle name="Финансовый 2 7 3 6" xfId="4622" xr:uid="{00000000-0005-0000-0000-0000A8250000}"/>
    <cellStyle name="Финансовый 2 7 3 6 2" xfId="13267" xr:uid="{00000000-0005-0000-0000-0000A9250000}"/>
    <cellStyle name="Финансовый 2 7 3 7" xfId="6421" xr:uid="{00000000-0005-0000-0000-0000AA250000}"/>
    <cellStyle name="Финансовый 2 7 3 7 2" xfId="15064" xr:uid="{00000000-0005-0000-0000-0000AB250000}"/>
    <cellStyle name="Финансовый 2 7 3 8" xfId="9028" xr:uid="{00000000-0005-0000-0000-0000AC250000}"/>
    <cellStyle name="Финансовый 2 7 4" xfId="1509" xr:uid="{00000000-0005-0000-0000-0000AD250000}"/>
    <cellStyle name="Финансовый 2 7 4 2" xfId="1904" xr:uid="{00000000-0005-0000-0000-0000AE250000}"/>
    <cellStyle name="Финансовый 2 7 4 2 2" xfId="3549" xr:uid="{00000000-0005-0000-0000-0000AF250000}"/>
    <cellStyle name="Финансовый 2 7 4 2 2 2" xfId="12194" xr:uid="{00000000-0005-0000-0000-0000B0250000}"/>
    <cellStyle name="Финансовый 2 7 4 2 3" xfId="5332" xr:uid="{00000000-0005-0000-0000-0000B1250000}"/>
    <cellStyle name="Финансовый 2 7 4 2 3 2" xfId="13975" xr:uid="{00000000-0005-0000-0000-0000B2250000}"/>
    <cellStyle name="Финансовый 2 7 4 2 4" xfId="7942" xr:uid="{00000000-0005-0000-0000-0000B3250000}"/>
    <cellStyle name="Финансовый 2 7 4 2 4 2" xfId="16585" xr:uid="{00000000-0005-0000-0000-0000B4250000}"/>
    <cellStyle name="Финансовый 2 7 4 2 5" xfId="10549" xr:uid="{00000000-0005-0000-0000-0000B5250000}"/>
    <cellStyle name="Финансовый 2 7 4 3" xfId="4937" xr:uid="{00000000-0005-0000-0000-0000B6250000}"/>
    <cellStyle name="Финансовый 2 7 4 3 2" xfId="13580" xr:uid="{00000000-0005-0000-0000-0000B7250000}"/>
    <cellStyle name="Финансовый 2 7 4 4" xfId="7547" xr:uid="{00000000-0005-0000-0000-0000B8250000}"/>
    <cellStyle name="Финансовый 2 7 4 4 2" xfId="16190" xr:uid="{00000000-0005-0000-0000-0000B9250000}"/>
    <cellStyle name="Финансовый 2 7 4 5" xfId="10154" xr:uid="{00000000-0005-0000-0000-0000BA250000}"/>
    <cellStyle name="Финансовый 2 7 5" xfId="1780" xr:uid="{00000000-0005-0000-0000-0000BB250000}"/>
    <cellStyle name="Финансовый 2 7 5 2" xfId="3425" xr:uid="{00000000-0005-0000-0000-0000BC250000}"/>
    <cellStyle name="Финансовый 2 7 5 2 2" xfId="12070" xr:uid="{00000000-0005-0000-0000-0000BD250000}"/>
    <cellStyle name="Финансовый 2 7 5 3" xfId="5208" xr:uid="{00000000-0005-0000-0000-0000BE250000}"/>
    <cellStyle name="Финансовый 2 7 5 3 2" xfId="13851" xr:uid="{00000000-0005-0000-0000-0000BF250000}"/>
    <cellStyle name="Финансовый 2 7 5 4" xfId="7818" xr:uid="{00000000-0005-0000-0000-0000C0250000}"/>
    <cellStyle name="Финансовый 2 7 5 4 2" xfId="16461" xr:uid="{00000000-0005-0000-0000-0000C1250000}"/>
    <cellStyle name="Финансовый 2 7 5 5" xfId="10425" xr:uid="{00000000-0005-0000-0000-0000C2250000}"/>
    <cellStyle name="Финансовый 2 7 6" xfId="2425" xr:uid="{00000000-0005-0000-0000-0000C3250000}"/>
    <cellStyle name="Финансовый 2 7 6 2" xfId="4070" xr:uid="{00000000-0005-0000-0000-0000C4250000}"/>
    <cellStyle name="Финансовый 2 7 6 2 2" xfId="12715" xr:uid="{00000000-0005-0000-0000-0000C5250000}"/>
    <cellStyle name="Финансовый 2 7 6 3" xfId="5853" xr:uid="{00000000-0005-0000-0000-0000C6250000}"/>
    <cellStyle name="Финансовый 2 7 6 3 2" xfId="14496" xr:uid="{00000000-0005-0000-0000-0000C7250000}"/>
    <cellStyle name="Финансовый 2 7 6 4" xfId="8463" xr:uid="{00000000-0005-0000-0000-0000C8250000}"/>
    <cellStyle name="Финансовый 2 7 6 4 2" xfId="17106" xr:uid="{00000000-0005-0000-0000-0000C9250000}"/>
    <cellStyle name="Финансовый 2 7 6 5" xfId="11070" xr:uid="{00000000-0005-0000-0000-0000CA250000}"/>
    <cellStyle name="Финансовый 2 7 7" xfId="1652" xr:uid="{00000000-0005-0000-0000-0000CB250000}"/>
    <cellStyle name="Финансовый 2 7 7 2" xfId="3297" xr:uid="{00000000-0005-0000-0000-0000CC250000}"/>
    <cellStyle name="Финансовый 2 7 7 2 2" xfId="11942" xr:uid="{00000000-0005-0000-0000-0000CD250000}"/>
    <cellStyle name="Финансовый 2 7 7 3" xfId="5080" xr:uid="{00000000-0005-0000-0000-0000CE250000}"/>
    <cellStyle name="Финансовый 2 7 7 3 2" xfId="13723" xr:uid="{00000000-0005-0000-0000-0000CF250000}"/>
    <cellStyle name="Финансовый 2 7 7 4" xfId="7690" xr:uid="{00000000-0005-0000-0000-0000D0250000}"/>
    <cellStyle name="Финансовый 2 7 7 4 2" xfId="16333" xr:uid="{00000000-0005-0000-0000-0000D1250000}"/>
    <cellStyle name="Финансовый 2 7 7 5" xfId="10297" xr:uid="{00000000-0005-0000-0000-0000D2250000}"/>
    <cellStyle name="Финансовый 2 7 8" xfId="929" xr:uid="{00000000-0005-0000-0000-0000D3250000}"/>
    <cellStyle name="Финансовый 2 7 8 2" xfId="6969" xr:uid="{00000000-0005-0000-0000-0000D4250000}"/>
    <cellStyle name="Финансовый 2 7 8 2 2" xfId="15612" xr:uid="{00000000-0005-0000-0000-0000D5250000}"/>
    <cellStyle name="Финансовый 2 7 8 3" xfId="9576" xr:uid="{00000000-0005-0000-0000-0000D6250000}"/>
    <cellStyle name="Финансовый 2 7 9" xfId="517" xr:uid="{00000000-0005-0000-0000-0000D7250000}"/>
    <cellStyle name="Финансовый 2 7 9 2" xfId="6557" xr:uid="{00000000-0005-0000-0000-0000D8250000}"/>
    <cellStyle name="Финансовый 2 7 9 2 2" xfId="15200" xr:uid="{00000000-0005-0000-0000-0000D9250000}"/>
    <cellStyle name="Финансовый 2 7 9 3" xfId="9164" xr:uid="{00000000-0005-0000-0000-0000DA250000}"/>
    <cellStyle name="Финансовый 2 8" xfId="108" xr:uid="{00000000-0005-0000-0000-0000DB250000}"/>
    <cellStyle name="Финансовый 2 8 10" xfId="2718" xr:uid="{00000000-0005-0000-0000-0000DC250000}"/>
    <cellStyle name="Финансовый 2 8 10 2" xfId="11363" xr:uid="{00000000-0005-0000-0000-0000DD250000}"/>
    <cellStyle name="Финансовый 2 8 11" xfId="4362" xr:uid="{00000000-0005-0000-0000-0000DE250000}"/>
    <cellStyle name="Финансовый 2 8 11 2" xfId="13007" xr:uid="{00000000-0005-0000-0000-0000DF250000}"/>
    <cellStyle name="Финансовый 2 8 12" xfId="6149" xr:uid="{00000000-0005-0000-0000-0000E0250000}"/>
    <cellStyle name="Финансовый 2 8 12 2" xfId="14792" xr:uid="{00000000-0005-0000-0000-0000E1250000}"/>
    <cellStyle name="Финансовый 2 8 13" xfId="8756" xr:uid="{00000000-0005-0000-0000-0000E2250000}"/>
    <cellStyle name="Финансовый 2 8 2" xfId="244" xr:uid="{00000000-0005-0000-0000-0000E3250000}"/>
    <cellStyle name="Финансовый 2 8 2 10" xfId="8892" xr:uid="{00000000-0005-0000-0000-0000E4250000}"/>
    <cellStyle name="Финансовый 2 8 2 2" xfId="1342" xr:uid="{00000000-0005-0000-0000-0000E5250000}"/>
    <cellStyle name="Финансовый 2 8 2 2 2" xfId="2300" xr:uid="{00000000-0005-0000-0000-0000E6250000}"/>
    <cellStyle name="Финансовый 2 8 2 2 2 2" xfId="3945" xr:uid="{00000000-0005-0000-0000-0000E7250000}"/>
    <cellStyle name="Финансовый 2 8 2 2 2 2 2" xfId="12590" xr:uid="{00000000-0005-0000-0000-0000E8250000}"/>
    <cellStyle name="Финансовый 2 8 2 2 2 3" xfId="5728" xr:uid="{00000000-0005-0000-0000-0000E9250000}"/>
    <cellStyle name="Финансовый 2 8 2 2 2 3 2" xfId="14371" xr:uid="{00000000-0005-0000-0000-0000EA250000}"/>
    <cellStyle name="Финансовый 2 8 2 2 2 4" xfId="8338" xr:uid="{00000000-0005-0000-0000-0000EB250000}"/>
    <cellStyle name="Финансовый 2 8 2 2 2 4 2" xfId="16981" xr:uid="{00000000-0005-0000-0000-0000EC250000}"/>
    <cellStyle name="Финансовый 2 8 2 2 2 5" xfId="10945" xr:uid="{00000000-0005-0000-0000-0000ED250000}"/>
    <cellStyle name="Финансовый 2 8 2 2 3" xfId="3126" xr:uid="{00000000-0005-0000-0000-0000EE250000}"/>
    <cellStyle name="Финансовый 2 8 2 2 3 2" xfId="11771" xr:uid="{00000000-0005-0000-0000-0000EF250000}"/>
    <cellStyle name="Финансовый 2 8 2 2 4" xfId="4770" xr:uid="{00000000-0005-0000-0000-0000F0250000}"/>
    <cellStyle name="Финансовый 2 8 2 2 4 2" xfId="13415" xr:uid="{00000000-0005-0000-0000-0000F1250000}"/>
    <cellStyle name="Финансовый 2 8 2 2 5" xfId="7382" xr:uid="{00000000-0005-0000-0000-0000F2250000}"/>
    <cellStyle name="Финансовый 2 8 2 2 5 2" xfId="16025" xr:uid="{00000000-0005-0000-0000-0000F3250000}"/>
    <cellStyle name="Финансовый 2 8 2 2 6" xfId="9989" xr:uid="{00000000-0005-0000-0000-0000F4250000}"/>
    <cellStyle name="Финансовый 2 8 2 3" xfId="2044" xr:uid="{00000000-0005-0000-0000-0000F5250000}"/>
    <cellStyle name="Финансовый 2 8 2 3 2" xfId="3689" xr:uid="{00000000-0005-0000-0000-0000F6250000}"/>
    <cellStyle name="Финансовый 2 8 2 3 2 2" xfId="12334" xr:uid="{00000000-0005-0000-0000-0000F7250000}"/>
    <cellStyle name="Финансовый 2 8 2 3 3" xfId="5472" xr:uid="{00000000-0005-0000-0000-0000F8250000}"/>
    <cellStyle name="Финансовый 2 8 2 3 3 2" xfId="14115" xr:uid="{00000000-0005-0000-0000-0000F9250000}"/>
    <cellStyle name="Финансовый 2 8 2 3 4" xfId="8082" xr:uid="{00000000-0005-0000-0000-0000FA250000}"/>
    <cellStyle name="Финансовый 2 8 2 3 4 2" xfId="16725" xr:uid="{00000000-0005-0000-0000-0000FB250000}"/>
    <cellStyle name="Финансовый 2 8 2 3 5" xfId="10689" xr:uid="{00000000-0005-0000-0000-0000FC250000}"/>
    <cellStyle name="Финансовый 2 8 2 4" xfId="2573" xr:uid="{00000000-0005-0000-0000-0000FD250000}"/>
    <cellStyle name="Финансовый 2 8 2 4 2" xfId="4218" xr:uid="{00000000-0005-0000-0000-0000FE250000}"/>
    <cellStyle name="Финансовый 2 8 2 4 2 2" xfId="12863" xr:uid="{00000000-0005-0000-0000-0000FF250000}"/>
    <cellStyle name="Финансовый 2 8 2 4 3" xfId="6001" xr:uid="{00000000-0005-0000-0000-000000260000}"/>
    <cellStyle name="Финансовый 2 8 2 4 3 2" xfId="14644" xr:uid="{00000000-0005-0000-0000-000001260000}"/>
    <cellStyle name="Финансовый 2 8 2 4 4" xfId="8611" xr:uid="{00000000-0005-0000-0000-000002260000}"/>
    <cellStyle name="Финансовый 2 8 2 4 4 2" xfId="17254" xr:uid="{00000000-0005-0000-0000-000003260000}"/>
    <cellStyle name="Финансовый 2 8 2 4 5" xfId="11218" xr:uid="{00000000-0005-0000-0000-000004260000}"/>
    <cellStyle name="Финансовый 2 8 2 5" xfId="1077" xr:uid="{00000000-0005-0000-0000-000005260000}"/>
    <cellStyle name="Финансовый 2 8 2 5 2" xfId="7117" xr:uid="{00000000-0005-0000-0000-000006260000}"/>
    <cellStyle name="Финансовый 2 8 2 5 2 2" xfId="15760" xr:uid="{00000000-0005-0000-0000-000007260000}"/>
    <cellStyle name="Финансовый 2 8 2 5 3" xfId="9724" xr:uid="{00000000-0005-0000-0000-000008260000}"/>
    <cellStyle name="Финансовый 2 8 2 6" xfId="665" xr:uid="{00000000-0005-0000-0000-000009260000}"/>
    <cellStyle name="Финансовый 2 8 2 6 2" xfId="6705" xr:uid="{00000000-0005-0000-0000-00000A260000}"/>
    <cellStyle name="Финансовый 2 8 2 6 2 2" xfId="15348" xr:uid="{00000000-0005-0000-0000-00000B260000}"/>
    <cellStyle name="Финансовый 2 8 2 6 3" xfId="9312" xr:uid="{00000000-0005-0000-0000-00000C260000}"/>
    <cellStyle name="Финансовый 2 8 2 7" xfId="2854" xr:uid="{00000000-0005-0000-0000-00000D260000}"/>
    <cellStyle name="Финансовый 2 8 2 7 2" xfId="11499" xr:uid="{00000000-0005-0000-0000-00000E260000}"/>
    <cellStyle name="Финансовый 2 8 2 8" xfId="4498" xr:uid="{00000000-0005-0000-0000-00000F260000}"/>
    <cellStyle name="Финансовый 2 8 2 8 2" xfId="13143" xr:uid="{00000000-0005-0000-0000-000010260000}"/>
    <cellStyle name="Финансовый 2 8 2 9" xfId="6285" xr:uid="{00000000-0005-0000-0000-000011260000}"/>
    <cellStyle name="Финансовый 2 8 2 9 2" xfId="14928" xr:uid="{00000000-0005-0000-0000-000012260000}"/>
    <cellStyle name="Финансовый 2 8 3" xfId="393" xr:uid="{00000000-0005-0000-0000-000013260000}"/>
    <cellStyle name="Финансовый 2 8 3 2" xfId="2172" xr:uid="{00000000-0005-0000-0000-000014260000}"/>
    <cellStyle name="Финансовый 2 8 3 2 2" xfId="3817" xr:uid="{00000000-0005-0000-0000-000015260000}"/>
    <cellStyle name="Финансовый 2 8 3 2 2 2" xfId="12462" xr:uid="{00000000-0005-0000-0000-000016260000}"/>
    <cellStyle name="Финансовый 2 8 3 2 3" xfId="5600" xr:uid="{00000000-0005-0000-0000-000017260000}"/>
    <cellStyle name="Финансовый 2 8 3 2 3 2" xfId="14243" xr:uid="{00000000-0005-0000-0000-000018260000}"/>
    <cellStyle name="Финансовый 2 8 3 2 4" xfId="8210" xr:uid="{00000000-0005-0000-0000-000019260000}"/>
    <cellStyle name="Финансовый 2 8 3 2 4 2" xfId="16853" xr:uid="{00000000-0005-0000-0000-00001A260000}"/>
    <cellStyle name="Финансовый 2 8 3 2 5" xfId="10817" xr:uid="{00000000-0005-0000-0000-00001B260000}"/>
    <cellStyle name="Финансовый 2 8 3 3" xfId="1206" xr:uid="{00000000-0005-0000-0000-00001C260000}"/>
    <cellStyle name="Финансовый 2 8 3 3 2" xfId="7246" xr:uid="{00000000-0005-0000-0000-00001D260000}"/>
    <cellStyle name="Финансовый 2 8 3 3 2 2" xfId="15889" xr:uid="{00000000-0005-0000-0000-00001E260000}"/>
    <cellStyle name="Финансовый 2 8 3 3 3" xfId="9853" xr:uid="{00000000-0005-0000-0000-00001F260000}"/>
    <cellStyle name="Финансовый 2 8 3 4" xfId="813" xr:uid="{00000000-0005-0000-0000-000020260000}"/>
    <cellStyle name="Финансовый 2 8 3 4 2" xfId="6853" xr:uid="{00000000-0005-0000-0000-000021260000}"/>
    <cellStyle name="Финансовый 2 8 3 4 2 2" xfId="15496" xr:uid="{00000000-0005-0000-0000-000022260000}"/>
    <cellStyle name="Финансовый 2 8 3 4 3" xfId="9460" xr:uid="{00000000-0005-0000-0000-000023260000}"/>
    <cellStyle name="Финансовый 2 8 3 5" xfId="2990" xr:uid="{00000000-0005-0000-0000-000024260000}"/>
    <cellStyle name="Финансовый 2 8 3 5 2" xfId="11635" xr:uid="{00000000-0005-0000-0000-000025260000}"/>
    <cellStyle name="Финансовый 2 8 3 6" xfId="4634" xr:uid="{00000000-0005-0000-0000-000026260000}"/>
    <cellStyle name="Финансовый 2 8 3 6 2" xfId="13279" xr:uid="{00000000-0005-0000-0000-000027260000}"/>
    <cellStyle name="Финансовый 2 8 3 7" xfId="6433" xr:uid="{00000000-0005-0000-0000-000028260000}"/>
    <cellStyle name="Финансовый 2 8 3 7 2" xfId="15076" xr:uid="{00000000-0005-0000-0000-000029260000}"/>
    <cellStyle name="Финансовый 2 8 3 8" xfId="9040" xr:uid="{00000000-0005-0000-0000-00002A260000}"/>
    <cellStyle name="Финансовый 2 8 4" xfId="1510" xr:uid="{00000000-0005-0000-0000-00002B260000}"/>
    <cellStyle name="Финансовый 2 8 4 2" xfId="1916" xr:uid="{00000000-0005-0000-0000-00002C260000}"/>
    <cellStyle name="Финансовый 2 8 4 2 2" xfId="3561" xr:uid="{00000000-0005-0000-0000-00002D260000}"/>
    <cellStyle name="Финансовый 2 8 4 2 2 2" xfId="12206" xr:uid="{00000000-0005-0000-0000-00002E260000}"/>
    <cellStyle name="Финансовый 2 8 4 2 3" xfId="5344" xr:uid="{00000000-0005-0000-0000-00002F260000}"/>
    <cellStyle name="Финансовый 2 8 4 2 3 2" xfId="13987" xr:uid="{00000000-0005-0000-0000-000030260000}"/>
    <cellStyle name="Финансовый 2 8 4 2 4" xfId="7954" xr:uid="{00000000-0005-0000-0000-000031260000}"/>
    <cellStyle name="Финансовый 2 8 4 2 4 2" xfId="16597" xr:uid="{00000000-0005-0000-0000-000032260000}"/>
    <cellStyle name="Финансовый 2 8 4 2 5" xfId="10561" xr:uid="{00000000-0005-0000-0000-000033260000}"/>
    <cellStyle name="Финансовый 2 8 4 3" xfId="4938" xr:uid="{00000000-0005-0000-0000-000034260000}"/>
    <cellStyle name="Финансовый 2 8 4 3 2" xfId="13581" xr:uid="{00000000-0005-0000-0000-000035260000}"/>
    <cellStyle name="Финансовый 2 8 4 4" xfId="7548" xr:uid="{00000000-0005-0000-0000-000036260000}"/>
    <cellStyle name="Финансовый 2 8 4 4 2" xfId="16191" xr:uid="{00000000-0005-0000-0000-000037260000}"/>
    <cellStyle name="Финансовый 2 8 4 5" xfId="10155" xr:uid="{00000000-0005-0000-0000-000038260000}"/>
    <cellStyle name="Финансовый 2 8 5" xfId="1792" xr:uid="{00000000-0005-0000-0000-000039260000}"/>
    <cellStyle name="Финансовый 2 8 5 2" xfId="3437" xr:uid="{00000000-0005-0000-0000-00003A260000}"/>
    <cellStyle name="Финансовый 2 8 5 2 2" xfId="12082" xr:uid="{00000000-0005-0000-0000-00003B260000}"/>
    <cellStyle name="Финансовый 2 8 5 3" xfId="5220" xr:uid="{00000000-0005-0000-0000-00003C260000}"/>
    <cellStyle name="Финансовый 2 8 5 3 2" xfId="13863" xr:uid="{00000000-0005-0000-0000-00003D260000}"/>
    <cellStyle name="Финансовый 2 8 5 4" xfId="7830" xr:uid="{00000000-0005-0000-0000-00003E260000}"/>
    <cellStyle name="Финансовый 2 8 5 4 2" xfId="16473" xr:uid="{00000000-0005-0000-0000-00003F260000}"/>
    <cellStyle name="Финансовый 2 8 5 5" xfId="10437" xr:uid="{00000000-0005-0000-0000-000040260000}"/>
    <cellStyle name="Финансовый 2 8 6" xfId="2437" xr:uid="{00000000-0005-0000-0000-000041260000}"/>
    <cellStyle name="Финансовый 2 8 6 2" xfId="4082" xr:uid="{00000000-0005-0000-0000-000042260000}"/>
    <cellStyle name="Финансовый 2 8 6 2 2" xfId="12727" xr:uid="{00000000-0005-0000-0000-000043260000}"/>
    <cellStyle name="Финансовый 2 8 6 3" xfId="5865" xr:uid="{00000000-0005-0000-0000-000044260000}"/>
    <cellStyle name="Финансовый 2 8 6 3 2" xfId="14508" xr:uid="{00000000-0005-0000-0000-000045260000}"/>
    <cellStyle name="Финансовый 2 8 6 4" xfId="8475" xr:uid="{00000000-0005-0000-0000-000046260000}"/>
    <cellStyle name="Финансовый 2 8 6 4 2" xfId="17118" xr:uid="{00000000-0005-0000-0000-000047260000}"/>
    <cellStyle name="Финансовый 2 8 6 5" xfId="11082" xr:uid="{00000000-0005-0000-0000-000048260000}"/>
    <cellStyle name="Финансовый 2 8 7" xfId="1664" xr:uid="{00000000-0005-0000-0000-000049260000}"/>
    <cellStyle name="Финансовый 2 8 7 2" xfId="3309" xr:uid="{00000000-0005-0000-0000-00004A260000}"/>
    <cellStyle name="Финансовый 2 8 7 2 2" xfId="11954" xr:uid="{00000000-0005-0000-0000-00004B260000}"/>
    <cellStyle name="Финансовый 2 8 7 3" xfId="5092" xr:uid="{00000000-0005-0000-0000-00004C260000}"/>
    <cellStyle name="Финансовый 2 8 7 3 2" xfId="13735" xr:uid="{00000000-0005-0000-0000-00004D260000}"/>
    <cellStyle name="Финансовый 2 8 7 4" xfId="7702" xr:uid="{00000000-0005-0000-0000-00004E260000}"/>
    <cellStyle name="Финансовый 2 8 7 4 2" xfId="16345" xr:uid="{00000000-0005-0000-0000-00004F260000}"/>
    <cellStyle name="Финансовый 2 8 7 5" xfId="10309" xr:uid="{00000000-0005-0000-0000-000050260000}"/>
    <cellStyle name="Финансовый 2 8 8" xfId="941" xr:uid="{00000000-0005-0000-0000-000051260000}"/>
    <cellStyle name="Финансовый 2 8 8 2" xfId="6981" xr:uid="{00000000-0005-0000-0000-000052260000}"/>
    <cellStyle name="Финансовый 2 8 8 2 2" xfId="15624" xr:uid="{00000000-0005-0000-0000-000053260000}"/>
    <cellStyle name="Финансовый 2 8 8 3" xfId="9588" xr:uid="{00000000-0005-0000-0000-000054260000}"/>
    <cellStyle name="Финансовый 2 8 9" xfId="529" xr:uid="{00000000-0005-0000-0000-000055260000}"/>
    <cellStyle name="Финансовый 2 8 9 2" xfId="6569" xr:uid="{00000000-0005-0000-0000-000056260000}"/>
    <cellStyle name="Финансовый 2 8 9 2 2" xfId="15212" xr:uid="{00000000-0005-0000-0000-000057260000}"/>
    <cellStyle name="Финансовый 2 8 9 3" xfId="9176" xr:uid="{00000000-0005-0000-0000-000058260000}"/>
    <cellStyle name="Финансовый 2 9" xfId="126" xr:uid="{00000000-0005-0000-0000-000059260000}"/>
    <cellStyle name="Финансовый 2 9 10" xfId="2736" xr:uid="{00000000-0005-0000-0000-00005A260000}"/>
    <cellStyle name="Финансовый 2 9 10 2" xfId="11381" xr:uid="{00000000-0005-0000-0000-00005B260000}"/>
    <cellStyle name="Финансовый 2 9 11" xfId="4380" xr:uid="{00000000-0005-0000-0000-00005C260000}"/>
    <cellStyle name="Финансовый 2 9 11 2" xfId="13025" xr:uid="{00000000-0005-0000-0000-00005D260000}"/>
    <cellStyle name="Финансовый 2 9 12" xfId="6167" xr:uid="{00000000-0005-0000-0000-00005E260000}"/>
    <cellStyle name="Финансовый 2 9 12 2" xfId="14810" xr:uid="{00000000-0005-0000-0000-00005F260000}"/>
    <cellStyle name="Финансовый 2 9 13" xfId="8774" xr:uid="{00000000-0005-0000-0000-000060260000}"/>
    <cellStyle name="Финансовый 2 9 2" xfId="262" xr:uid="{00000000-0005-0000-0000-000061260000}"/>
    <cellStyle name="Финансовый 2 9 2 10" xfId="8910" xr:uid="{00000000-0005-0000-0000-000062260000}"/>
    <cellStyle name="Финансовый 2 9 2 2" xfId="1360" xr:uid="{00000000-0005-0000-0000-000063260000}"/>
    <cellStyle name="Финансовый 2 9 2 2 2" xfId="2318" xr:uid="{00000000-0005-0000-0000-000064260000}"/>
    <cellStyle name="Финансовый 2 9 2 2 2 2" xfId="3963" xr:uid="{00000000-0005-0000-0000-000065260000}"/>
    <cellStyle name="Финансовый 2 9 2 2 2 2 2" xfId="12608" xr:uid="{00000000-0005-0000-0000-000066260000}"/>
    <cellStyle name="Финансовый 2 9 2 2 2 3" xfId="5746" xr:uid="{00000000-0005-0000-0000-000067260000}"/>
    <cellStyle name="Финансовый 2 9 2 2 2 3 2" xfId="14389" xr:uid="{00000000-0005-0000-0000-000068260000}"/>
    <cellStyle name="Финансовый 2 9 2 2 2 4" xfId="8356" xr:uid="{00000000-0005-0000-0000-000069260000}"/>
    <cellStyle name="Финансовый 2 9 2 2 2 4 2" xfId="16999" xr:uid="{00000000-0005-0000-0000-00006A260000}"/>
    <cellStyle name="Финансовый 2 9 2 2 2 5" xfId="10963" xr:uid="{00000000-0005-0000-0000-00006B260000}"/>
    <cellStyle name="Финансовый 2 9 2 2 3" xfId="3144" xr:uid="{00000000-0005-0000-0000-00006C260000}"/>
    <cellStyle name="Финансовый 2 9 2 2 3 2" xfId="11789" xr:uid="{00000000-0005-0000-0000-00006D260000}"/>
    <cellStyle name="Финансовый 2 9 2 2 4" xfId="4788" xr:uid="{00000000-0005-0000-0000-00006E260000}"/>
    <cellStyle name="Финансовый 2 9 2 2 4 2" xfId="13433" xr:uid="{00000000-0005-0000-0000-00006F260000}"/>
    <cellStyle name="Финансовый 2 9 2 2 5" xfId="7400" xr:uid="{00000000-0005-0000-0000-000070260000}"/>
    <cellStyle name="Финансовый 2 9 2 2 5 2" xfId="16043" xr:uid="{00000000-0005-0000-0000-000071260000}"/>
    <cellStyle name="Финансовый 2 9 2 2 6" xfId="10007" xr:uid="{00000000-0005-0000-0000-000072260000}"/>
    <cellStyle name="Финансовый 2 9 2 3" xfId="2062" xr:uid="{00000000-0005-0000-0000-000073260000}"/>
    <cellStyle name="Финансовый 2 9 2 3 2" xfId="3707" xr:uid="{00000000-0005-0000-0000-000074260000}"/>
    <cellStyle name="Финансовый 2 9 2 3 2 2" xfId="12352" xr:uid="{00000000-0005-0000-0000-000075260000}"/>
    <cellStyle name="Финансовый 2 9 2 3 3" xfId="5490" xr:uid="{00000000-0005-0000-0000-000076260000}"/>
    <cellStyle name="Финансовый 2 9 2 3 3 2" xfId="14133" xr:uid="{00000000-0005-0000-0000-000077260000}"/>
    <cellStyle name="Финансовый 2 9 2 3 4" xfId="8100" xr:uid="{00000000-0005-0000-0000-000078260000}"/>
    <cellStyle name="Финансовый 2 9 2 3 4 2" xfId="16743" xr:uid="{00000000-0005-0000-0000-000079260000}"/>
    <cellStyle name="Финансовый 2 9 2 3 5" xfId="10707" xr:uid="{00000000-0005-0000-0000-00007A260000}"/>
    <cellStyle name="Финансовый 2 9 2 4" xfId="2591" xr:uid="{00000000-0005-0000-0000-00007B260000}"/>
    <cellStyle name="Финансовый 2 9 2 4 2" xfId="4236" xr:uid="{00000000-0005-0000-0000-00007C260000}"/>
    <cellStyle name="Финансовый 2 9 2 4 2 2" xfId="12881" xr:uid="{00000000-0005-0000-0000-00007D260000}"/>
    <cellStyle name="Финансовый 2 9 2 4 3" xfId="6019" xr:uid="{00000000-0005-0000-0000-00007E260000}"/>
    <cellStyle name="Финансовый 2 9 2 4 3 2" xfId="14662" xr:uid="{00000000-0005-0000-0000-00007F260000}"/>
    <cellStyle name="Финансовый 2 9 2 4 4" xfId="8629" xr:uid="{00000000-0005-0000-0000-000080260000}"/>
    <cellStyle name="Финансовый 2 9 2 4 4 2" xfId="17272" xr:uid="{00000000-0005-0000-0000-000081260000}"/>
    <cellStyle name="Финансовый 2 9 2 4 5" xfId="11236" xr:uid="{00000000-0005-0000-0000-000082260000}"/>
    <cellStyle name="Финансовый 2 9 2 5" xfId="1095" xr:uid="{00000000-0005-0000-0000-000083260000}"/>
    <cellStyle name="Финансовый 2 9 2 5 2" xfId="7135" xr:uid="{00000000-0005-0000-0000-000084260000}"/>
    <cellStyle name="Финансовый 2 9 2 5 2 2" xfId="15778" xr:uid="{00000000-0005-0000-0000-000085260000}"/>
    <cellStyle name="Финансовый 2 9 2 5 3" xfId="9742" xr:uid="{00000000-0005-0000-0000-000086260000}"/>
    <cellStyle name="Финансовый 2 9 2 6" xfId="683" xr:uid="{00000000-0005-0000-0000-000087260000}"/>
    <cellStyle name="Финансовый 2 9 2 6 2" xfId="6723" xr:uid="{00000000-0005-0000-0000-000088260000}"/>
    <cellStyle name="Финансовый 2 9 2 6 2 2" xfId="15366" xr:uid="{00000000-0005-0000-0000-000089260000}"/>
    <cellStyle name="Финансовый 2 9 2 6 3" xfId="9330" xr:uid="{00000000-0005-0000-0000-00008A260000}"/>
    <cellStyle name="Финансовый 2 9 2 7" xfId="2872" xr:uid="{00000000-0005-0000-0000-00008B260000}"/>
    <cellStyle name="Финансовый 2 9 2 7 2" xfId="11517" xr:uid="{00000000-0005-0000-0000-00008C260000}"/>
    <cellStyle name="Финансовый 2 9 2 8" xfId="4516" xr:uid="{00000000-0005-0000-0000-00008D260000}"/>
    <cellStyle name="Финансовый 2 9 2 8 2" xfId="13161" xr:uid="{00000000-0005-0000-0000-00008E260000}"/>
    <cellStyle name="Финансовый 2 9 2 9" xfId="6303" xr:uid="{00000000-0005-0000-0000-00008F260000}"/>
    <cellStyle name="Финансовый 2 9 2 9 2" xfId="14946" xr:uid="{00000000-0005-0000-0000-000090260000}"/>
    <cellStyle name="Финансовый 2 9 3" xfId="411" xr:uid="{00000000-0005-0000-0000-000091260000}"/>
    <cellStyle name="Финансовый 2 9 3 2" xfId="2190" xr:uid="{00000000-0005-0000-0000-000092260000}"/>
    <cellStyle name="Финансовый 2 9 3 2 2" xfId="3835" xr:uid="{00000000-0005-0000-0000-000093260000}"/>
    <cellStyle name="Финансовый 2 9 3 2 2 2" xfId="12480" xr:uid="{00000000-0005-0000-0000-000094260000}"/>
    <cellStyle name="Финансовый 2 9 3 2 3" xfId="5618" xr:uid="{00000000-0005-0000-0000-000095260000}"/>
    <cellStyle name="Финансовый 2 9 3 2 3 2" xfId="14261" xr:uid="{00000000-0005-0000-0000-000096260000}"/>
    <cellStyle name="Финансовый 2 9 3 2 4" xfId="8228" xr:uid="{00000000-0005-0000-0000-000097260000}"/>
    <cellStyle name="Финансовый 2 9 3 2 4 2" xfId="16871" xr:uid="{00000000-0005-0000-0000-000098260000}"/>
    <cellStyle name="Финансовый 2 9 3 2 5" xfId="10835" xr:uid="{00000000-0005-0000-0000-000099260000}"/>
    <cellStyle name="Финансовый 2 9 3 3" xfId="1224" xr:uid="{00000000-0005-0000-0000-00009A260000}"/>
    <cellStyle name="Финансовый 2 9 3 3 2" xfId="7264" xr:uid="{00000000-0005-0000-0000-00009B260000}"/>
    <cellStyle name="Финансовый 2 9 3 3 2 2" xfId="15907" xr:uid="{00000000-0005-0000-0000-00009C260000}"/>
    <cellStyle name="Финансовый 2 9 3 3 3" xfId="9871" xr:uid="{00000000-0005-0000-0000-00009D260000}"/>
    <cellStyle name="Финансовый 2 9 3 4" xfId="831" xr:uid="{00000000-0005-0000-0000-00009E260000}"/>
    <cellStyle name="Финансовый 2 9 3 4 2" xfId="6871" xr:uid="{00000000-0005-0000-0000-00009F260000}"/>
    <cellStyle name="Финансовый 2 9 3 4 2 2" xfId="15514" xr:uid="{00000000-0005-0000-0000-0000A0260000}"/>
    <cellStyle name="Финансовый 2 9 3 4 3" xfId="9478" xr:uid="{00000000-0005-0000-0000-0000A1260000}"/>
    <cellStyle name="Финансовый 2 9 3 5" xfId="3008" xr:uid="{00000000-0005-0000-0000-0000A2260000}"/>
    <cellStyle name="Финансовый 2 9 3 5 2" xfId="11653" xr:uid="{00000000-0005-0000-0000-0000A3260000}"/>
    <cellStyle name="Финансовый 2 9 3 6" xfId="4652" xr:uid="{00000000-0005-0000-0000-0000A4260000}"/>
    <cellStyle name="Финансовый 2 9 3 6 2" xfId="13297" xr:uid="{00000000-0005-0000-0000-0000A5260000}"/>
    <cellStyle name="Финансовый 2 9 3 7" xfId="6451" xr:uid="{00000000-0005-0000-0000-0000A6260000}"/>
    <cellStyle name="Финансовый 2 9 3 7 2" xfId="15094" xr:uid="{00000000-0005-0000-0000-0000A7260000}"/>
    <cellStyle name="Финансовый 2 9 3 8" xfId="9058" xr:uid="{00000000-0005-0000-0000-0000A8260000}"/>
    <cellStyle name="Финансовый 2 9 4" xfId="1511" xr:uid="{00000000-0005-0000-0000-0000A9260000}"/>
    <cellStyle name="Финансовый 2 9 4 2" xfId="1934" xr:uid="{00000000-0005-0000-0000-0000AA260000}"/>
    <cellStyle name="Финансовый 2 9 4 2 2" xfId="3579" xr:uid="{00000000-0005-0000-0000-0000AB260000}"/>
    <cellStyle name="Финансовый 2 9 4 2 2 2" xfId="12224" xr:uid="{00000000-0005-0000-0000-0000AC260000}"/>
    <cellStyle name="Финансовый 2 9 4 2 3" xfId="5362" xr:uid="{00000000-0005-0000-0000-0000AD260000}"/>
    <cellStyle name="Финансовый 2 9 4 2 3 2" xfId="14005" xr:uid="{00000000-0005-0000-0000-0000AE260000}"/>
    <cellStyle name="Финансовый 2 9 4 2 4" xfId="7972" xr:uid="{00000000-0005-0000-0000-0000AF260000}"/>
    <cellStyle name="Финансовый 2 9 4 2 4 2" xfId="16615" xr:uid="{00000000-0005-0000-0000-0000B0260000}"/>
    <cellStyle name="Финансовый 2 9 4 2 5" xfId="10579" xr:uid="{00000000-0005-0000-0000-0000B1260000}"/>
    <cellStyle name="Финансовый 2 9 4 3" xfId="4939" xr:uid="{00000000-0005-0000-0000-0000B2260000}"/>
    <cellStyle name="Финансовый 2 9 4 3 2" xfId="13582" xr:uid="{00000000-0005-0000-0000-0000B3260000}"/>
    <cellStyle name="Финансовый 2 9 4 4" xfId="7549" xr:uid="{00000000-0005-0000-0000-0000B4260000}"/>
    <cellStyle name="Финансовый 2 9 4 4 2" xfId="16192" xr:uid="{00000000-0005-0000-0000-0000B5260000}"/>
    <cellStyle name="Финансовый 2 9 4 5" xfId="10156" xr:uid="{00000000-0005-0000-0000-0000B6260000}"/>
    <cellStyle name="Финансовый 2 9 5" xfId="1810" xr:uid="{00000000-0005-0000-0000-0000B7260000}"/>
    <cellStyle name="Финансовый 2 9 5 2" xfId="3455" xr:uid="{00000000-0005-0000-0000-0000B8260000}"/>
    <cellStyle name="Финансовый 2 9 5 2 2" xfId="12100" xr:uid="{00000000-0005-0000-0000-0000B9260000}"/>
    <cellStyle name="Финансовый 2 9 5 3" xfId="5238" xr:uid="{00000000-0005-0000-0000-0000BA260000}"/>
    <cellStyle name="Финансовый 2 9 5 3 2" xfId="13881" xr:uid="{00000000-0005-0000-0000-0000BB260000}"/>
    <cellStyle name="Финансовый 2 9 5 4" xfId="7848" xr:uid="{00000000-0005-0000-0000-0000BC260000}"/>
    <cellStyle name="Финансовый 2 9 5 4 2" xfId="16491" xr:uid="{00000000-0005-0000-0000-0000BD260000}"/>
    <cellStyle name="Финансовый 2 9 5 5" xfId="10455" xr:uid="{00000000-0005-0000-0000-0000BE260000}"/>
    <cellStyle name="Финансовый 2 9 6" xfId="2455" xr:uid="{00000000-0005-0000-0000-0000BF260000}"/>
    <cellStyle name="Финансовый 2 9 6 2" xfId="4100" xr:uid="{00000000-0005-0000-0000-0000C0260000}"/>
    <cellStyle name="Финансовый 2 9 6 2 2" xfId="12745" xr:uid="{00000000-0005-0000-0000-0000C1260000}"/>
    <cellStyle name="Финансовый 2 9 6 3" xfId="5883" xr:uid="{00000000-0005-0000-0000-0000C2260000}"/>
    <cellStyle name="Финансовый 2 9 6 3 2" xfId="14526" xr:uid="{00000000-0005-0000-0000-0000C3260000}"/>
    <cellStyle name="Финансовый 2 9 6 4" xfId="8493" xr:uid="{00000000-0005-0000-0000-0000C4260000}"/>
    <cellStyle name="Финансовый 2 9 6 4 2" xfId="17136" xr:uid="{00000000-0005-0000-0000-0000C5260000}"/>
    <cellStyle name="Финансовый 2 9 6 5" xfId="11100" xr:uid="{00000000-0005-0000-0000-0000C6260000}"/>
    <cellStyle name="Финансовый 2 9 7" xfId="1682" xr:uid="{00000000-0005-0000-0000-0000C7260000}"/>
    <cellStyle name="Финансовый 2 9 7 2" xfId="3327" xr:uid="{00000000-0005-0000-0000-0000C8260000}"/>
    <cellStyle name="Финансовый 2 9 7 2 2" xfId="11972" xr:uid="{00000000-0005-0000-0000-0000C9260000}"/>
    <cellStyle name="Финансовый 2 9 7 3" xfId="5110" xr:uid="{00000000-0005-0000-0000-0000CA260000}"/>
    <cellStyle name="Финансовый 2 9 7 3 2" xfId="13753" xr:uid="{00000000-0005-0000-0000-0000CB260000}"/>
    <cellStyle name="Финансовый 2 9 7 4" xfId="7720" xr:uid="{00000000-0005-0000-0000-0000CC260000}"/>
    <cellStyle name="Финансовый 2 9 7 4 2" xfId="16363" xr:uid="{00000000-0005-0000-0000-0000CD260000}"/>
    <cellStyle name="Финансовый 2 9 7 5" xfId="10327" xr:uid="{00000000-0005-0000-0000-0000CE260000}"/>
    <cellStyle name="Финансовый 2 9 8" xfId="959" xr:uid="{00000000-0005-0000-0000-0000CF260000}"/>
    <cellStyle name="Финансовый 2 9 8 2" xfId="6999" xr:uid="{00000000-0005-0000-0000-0000D0260000}"/>
    <cellStyle name="Финансовый 2 9 8 2 2" xfId="15642" xr:uid="{00000000-0005-0000-0000-0000D1260000}"/>
    <cellStyle name="Финансовый 2 9 8 3" xfId="9606" xr:uid="{00000000-0005-0000-0000-0000D2260000}"/>
    <cellStyle name="Финансовый 2 9 9" xfId="547" xr:uid="{00000000-0005-0000-0000-0000D3260000}"/>
    <cellStyle name="Финансовый 2 9 9 2" xfId="6587" xr:uid="{00000000-0005-0000-0000-0000D4260000}"/>
    <cellStyle name="Финансовый 2 9 9 2 2" xfId="15230" xr:uid="{00000000-0005-0000-0000-0000D5260000}"/>
    <cellStyle name="Финансовый 2 9 9 3" xfId="9194" xr:uid="{00000000-0005-0000-0000-0000D6260000}"/>
    <cellStyle name="Финансовый 20" xfId="2331" xr:uid="{00000000-0005-0000-0000-0000D7260000}"/>
    <cellStyle name="Финансовый 20 2" xfId="3976" xr:uid="{00000000-0005-0000-0000-0000D8260000}"/>
    <cellStyle name="Финансовый 20 2 2" xfId="12621" xr:uid="{00000000-0005-0000-0000-0000D9260000}"/>
    <cellStyle name="Финансовый 20 3" xfId="5759" xr:uid="{00000000-0005-0000-0000-0000DA260000}"/>
    <cellStyle name="Финансовый 20 3 2" xfId="14402" xr:uid="{00000000-0005-0000-0000-0000DB260000}"/>
    <cellStyle name="Финансовый 20 4" xfId="8369" xr:uid="{00000000-0005-0000-0000-0000DC260000}"/>
    <cellStyle name="Финансовый 20 4 2" xfId="17012" xr:uid="{00000000-0005-0000-0000-0000DD260000}"/>
    <cellStyle name="Финансовый 20 5" xfId="10976" xr:uid="{00000000-0005-0000-0000-0000DE260000}"/>
    <cellStyle name="Финансовый 21" xfId="2393" xr:uid="{00000000-0005-0000-0000-0000DF260000}"/>
    <cellStyle name="Финансовый 21 2" xfId="4038" xr:uid="{00000000-0005-0000-0000-0000E0260000}"/>
    <cellStyle name="Финансовый 21 2 2" xfId="12683" xr:uid="{00000000-0005-0000-0000-0000E1260000}"/>
    <cellStyle name="Финансовый 21 3" xfId="5821" xr:uid="{00000000-0005-0000-0000-0000E2260000}"/>
    <cellStyle name="Финансовый 21 3 2" xfId="14464" xr:uid="{00000000-0005-0000-0000-0000E3260000}"/>
    <cellStyle name="Финансовый 21 4" xfId="8431" xr:uid="{00000000-0005-0000-0000-0000E4260000}"/>
    <cellStyle name="Финансовый 21 4 2" xfId="17074" xr:uid="{00000000-0005-0000-0000-0000E5260000}"/>
    <cellStyle name="Финансовый 21 5" xfId="11038" xr:uid="{00000000-0005-0000-0000-0000E6260000}"/>
    <cellStyle name="Финансовый 22" xfId="2606" xr:uid="{00000000-0005-0000-0000-0000E7260000}"/>
    <cellStyle name="Финансовый 22 2" xfId="4251" xr:uid="{00000000-0005-0000-0000-0000E8260000}"/>
    <cellStyle name="Финансовый 22 2 2" xfId="12896" xr:uid="{00000000-0005-0000-0000-0000E9260000}"/>
    <cellStyle name="Финансовый 22 3" xfId="6034" xr:uid="{00000000-0005-0000-0000-0000EA260000}"/>
    <cellStyle name="Финансовый 22 3 2" xfId="14677" xr:uid="{00000000-0005-0000-0000-0000EB260000}"/>
    <cellStyle name="Финансовый 22 4" xfId="8644" xr:uid="{00000000-0005-0000-0000-0000EC260000}"/>
    <cellStyle name="Финансовый 22 4 2" xfId="17287" xr:uid="{00000000-0005-0000-0000-0000ED260000}"/>
    <cellStyle name="Финансовый 22 5" xfId="11251" xr:uid="{00000000-0005-0000-0000-0000EE260000}"/>
    <cellStyle name="Финансовый 23" xfId="2604" xr:uid="{00000000-0005-0000-0000-0000EF260000}"/>
    <cellStyle name="Финансовый 23 2" xfId="4249" xr:uid="{00000000-0005-0000-0000-0000F0260000}"/>
    <cellStyle name="Финансовый 23 2 2" xfId="12894" xr:uid="{00000000-0005-0000-0000-0000F1260000}"/>
    <cellStyle name="Финансовый 23 3" xfId="6032" xr:uid="{00000000-0005-0000-0000-0000F2260000}"/>
    <cellStyle name="Финансовый 23 3 2" xfId="14675" xr:uid="{00000000-0005-0000-0000-0000F3260000}"/>
    <cellStyle name="Финансовый 23 4" xfId="8642" xr:uid="{00000000-0005-0000-0000-0000F4260000}"/>
    <cellStyle name="Финансовый 23 4 2" xfId="17285" xr:uid="{00000000-0005-0000-0000-0000F5260000}"/>
    <cellStyle name="Финансовый 23 5" xfId="11249" xr:uid="{00000000-0005-0000-0000-0000F6260000}"/>
    <cellStyle name="Финансовый 24" xfId="2610" xr:uid="{00000000-0005-0000-0000-0000F7260000}"/>
    <cellStyle name="Финансовый 24 2" xfId="4255" xr:uid="{00000000-0005-0000-0000-0000F8260000}"/>
    <cellStyle name="Финансовый 24 2 2" xfId="12900" xr:uid="{00000000-0005-0000-0000-0000F9260000}"/>
    <cellStyle name="Финансовый 24 3" xfId="6038" xr:uid="{00000000-0005-0000-0000-0000FA260000}"/>
    <cellStyle name="Финансовый 24 3 2" xfId="14681" xr:uid="{00000000-0005-0000-0000-0000FB260000}"/>
    <cellStyle name="Финансовый 24 4" xfId="8648" xr:uid="{00000000-0005-0000-0000-0000FC260000}"/>
    <cellStyle name="Финансовый 24 4 2" xfId="17291" xr:uid="{00000000-0005-0000-0000-0000FD260000}"/>
    <cellStyle name="Финансовый 24 5" xfId="11255" xr:uid="{00000000-0005-0000-0000-0000FE260000}"/>
    <cellStyle name="Финансовый 25" xfId="2608" xr:uid="{00000000-0005-0000-0000-0000FF260000}"/>
    <cellStyle name="Финансовый 25 2" xfId="4253" xr:uid="{00000000-0005-0000-0000-000000270000}"/>
    <cellStyle name="Финансовый 25 2 2" xfId="12898" xr:uid="{00000000-0005-0000-0000-000001270000}"/>
    <cellStyle name="Финансовый 25 3" xfId="6036" xr:uid="{00000000-0005-0000-0000-000002270000}"/>
    <cellStyle name="Финансовый 25 3 2" xfId="14679" xr:uid="{00000000-0005-0000-0000-000003270000}"/>
    <cellStyle name="Финансовый 25 4" xfId="8646" xr:uid="{00000000-0005-0000-0000-000004270000}"/>
    <cellStyle name="Финансовый 25 4 2" xfId="17289" xr:uid="{00000000-0005-0000-0000-000005270000}"/>
    <cellStyle name="Финансовый 25 5" xfId="11253" xr:uid="{00000000-0005-0000-0000-000006270000}"/>
    <cellStyle name="Финансовый 26" xfId="2607" xr:uid="{00000000-0005-0000-0000-000007270000}"/>
    <cellStyle name="Финансовый 26 2" xfId="4252" xr:uid="{00000000-0005-0000-0000-000008270000}"/>
    <cellStyle name="Финансовый 26 2 2" xfId="12897" xr:uid="{00000000-0005-0000-0000-000009270000}"/>
    <cellStyle name="Финансовый 26 3" xfId="6035" xr:uid="{00000000-0005-0000-0000-00000A270000}"/>
    <cellStyle name="Финансовый 26 3 2" xfId="14678" xr:uid="{00000000-0005-0000-0000-00000B270000}"/>
    <cellStyle name="Финансовый 26 4" xfId="8645" xr:uid="{00000000-0005-0000-0000-00000C270000}"/>
    <cellStyle name="Финансовый 26 4 2" xfId="17288" xr:uid="{00000000-0005-0000-0000-00000D270000}"/>
    <cellStyle name="Финансовый 26 5" xfId="11252" xr:uid="{00000000-0005-0000-0000-00000E270000}"/>
    <cellStyle name="Финансовый 27" xfId="2605" xr:uid="{00000000-0005-0000-0000-00000F270000}"/>
    <cellStyle name="Финансовый 27 2" xfId="4250" xr:uid="{00000000-0005-0000-0000-000010270000}"/>
    <cellStyle name="Финансовый 27 2 2" xfId="12895" xr:uid="{00000000-0005-0000-0000-000011270000}"/>
    <cellStyle name="Финансовый 27 3" xfId="6033" xr:uid="{00000000-0005-0000-0000-000012270000}"/>
    <cellStyle name="Финансовый 27 3 2" xfId="14676" xr:uid="{00000000-0005-0000-0000-000013270000}"/>
    <cellStyle name="Финансовый 27 4" xfId="8643" xr:uid="{00000000-0005-0000-0000-000014270000}"/>
    <cellStyle name="Финансовый 27 4 2" xfId="17286" xr:uid="{00000000-0005-0000-0000-000015270000}"/>
    <cellStyle name="Финансовый 27 5" xfId="11250" xr:uid="{00000000-0005-0000-0000-000016270000}"/>
    <cellStyle name="Финансовый 28" xfId="2609" xr:uid="{00000000-0005-0000-0000-000017270000}"/>
    <cellStyle name="Финансовый 28 2" xfId="4254" xr:uid="{00000000-0005-0000-0000-000018270000}"/>
    <cellStyle name="Финансовый 28 2 2" xfId="12899" xr:uid="{00000000-0005-0000-0000-000019270000}"/>
    <cellStyle name="Финансовый 28 3" xfId="6037" xr:uid="{00000000-0005-0000-0000-00001A270000}"/>
    <cellStyle name="Финансовый 28 3 2" xfId="14680" xr:uid="{00000000-0005-0000-0000-00001B270000}"/>
    <cellStyle name="Финансовый 28 4" xfId="8647" xr:uid="{00000000-0005-0000-0000-00001C270000}"/>
    <cellStyle name="Финансовый 28 4 2" xfId="17290" xr:uid="{00000000-0005-0000-0000-00001D270000}"/>
    <cellStyle name="Финансовый 28 5" xfId="11254" xr:uid="{00000000-0005-0000-0000-00001E270000}"/>
    <cellStyle name="Финансовый 29" xfId="1558" xr:uid="{00000000-0005-0000-0000-00001F270000}"/>
    <cellStyle name="Финансовый 29 2" xfId="3203" xr:uid="{00000000-0005-0000-0000-000020270000}"/>
    <cellStyle name="Финансовый 29 2 2" xfId="11848" xr:uid="{00000000-0005-0000-0000-000021270000}"/>
    <cellStyle name="Финансовый 29 3" xfId="4986" xr:uid="{00000000-0005-0000-0000-000022270000}"/>
    <cellStyle name="Финансовый 29 3 2" xfId="13629" xr:uid="{00000000-0005-0000-0000-000023270000}"/>
    <cellStyle name="Финансовый 29 4" xfId="7596" xr:uid="{00000000-0005-0000-0000-000024270000}"/>
    <cellStyle name="Финансовый 29 4 2" xfId="16239" xr:uid="{00000000-0005-0000-0000-000025270000}"/>
    <cellStyle name="Финансовый 29 5" xfId="10203" xr:uid="{00000000-0005-0000-0000-000026270000}"/>
    <cellStyle name="Финансовый 3" xfId="3" xr:uid="{00000000-0005-0000-0000-000027270000}"/>
    <cellStyle name="Финансовый 3 10" xfId="27" xr:uid="{00000000-0005-0000-0000-000028270000}"/>
    <cellStyle name="Финансовый 3 10 10" xfId="2639" xr:uid="{00000000-0005-0000-0000-000029270000}"/>
    <cellStyle name="Финансовый 3 10 10 2" xfId="11284" xr:uid="{00000000-0005-0000-0000-00002A270000}"/>
    <cellStyle name="Финансовый 3 10 11" xfId="4282" xr:uid="{00000000-0005-0000-0000-00002B270000}"/>
    <cellStyle name="Финансовый 3 10 11 2" xfId="12927" xr:uid="{00000000-0005-0000-0000-00002C270000}"/>
    <cellStyle name="Финансовый 3 10 12" xfId="6070" xr:uid="{00000000-0005-0000-0000-00002D270000}"/>
    <cellStyle name="Финансовый 3 10 12 2" xfId="14713" xr:uid="{00000000-0005-0000-0000-00002E270000}"/>
    <cellStyle name="Финансовый 3 10 13" xfId="8677" xr:uid="{00000000-0005-0000-0000-00002F270000}"/>
    <cellStyle name="Финансовый 3 10 2" xfId="165" xr:uid="{00000000-0005-0000-0000-000030270000}"/>
    <cellStyle name="Финансовый 3 10 2 10" xfId="8813" xr:uid="{00000000-0005-0000-0000-000031270000}"/>
    <cellStyle name="Финансовый 3 10 2 2" xfId="1263" xr:uid="{00000000-0005-0000-0000-000032270000}"/>
    <cellStyle name="Финансовый 3 10 2 2 2" xfId="2229" xr:uid="{00000000-0005-0000-0000-000033270000}"/>
    <cellStyle name="Финансовый 3 10 2 2 2 2" xfId="3874" xr:uid="{00000000-0005-0000-0000-000034270000}"/>
    <cellStyle name="Финансовый 3 10 2 2 2 2 2" xfId="12519" xr:uid="{00000000-0005-0000-0000-000035270000}"/>
    <cellStyle name="Финансовый 3 10 2 2 2 3" xfId="5657" xr:uid="{00000000-0005-0000-0000-000036270000}"/>
    <cellStyle name="Финансовый 3 10 2 2 2 3 2" xfId="14300" xr:uid="{00000000-0005-0000-0000-000037270000}"/>
    <cellStyle name="Финансовый 3 10 2 2 2 4" xfId="8267" xr:uid="{00000000-0005-0000-0000-000038270000}"/>
    <cellStyle name="Финансовый 3 10 2 2 2 4 2" xfId="16910" xr:uid="{00000000-0005-0000-0000-000039270000}"/>
    <cellStyle name="Финансовый 3 10 2 2 2 5" xfId="10874" xr:uid="{00000000-0005-0000-0000-00003A270000}"/>
    <cellStyle name="Финансовый 3 10 2 2 3" xfId="3047" xr:uid="{00000000-0005-0000-0000-00003B270000}"/>
    <cellStyle name="Финансовый 3 10 2 2 3 2" xfId="11692" xr:uid="{00000000-0005-0000-0000-00003C270000}"/>
    <cellStyle name="Финансовый 3 10 2 2 4" xfId="4691" xr:uid="{00000000-0005-0000-0000-00003D270000}"/>
    <cellStyle name="Финансовый 3 10 2 2 4 2" xfId="13336" xr:uid="{00000000-0005-0000-0000-00003E270000}"/>
    <cellStyle name="Финансовый 3 10 2 2 5" xfId="7303" xr:uid="{00000000-0005-0000-0000-00003F270000}"/>
    <cellStyle name="Финансовый 3 10 2 2 5 2" xfId="15946" xr:uid="{00000000-0005-0000-0000-000040270000}"/>
    <cellStyle name="Финансовый 3 10 2 2 6" xfId="9910" xr:uid="{00000000-0005-0000-0000-000041270000}"/>
    <cellStyle name="Финансовый 3 10 2 3" xfId="1973" xr:uid="{00000000-0005-0000-0000-000042270000}"/>
    <cellStyle name="Финансовый 3 10 2 3 2" xfId="3618" xr:uid="{00000000-0005-0000-0000-000043270000}"/>
    <cellStyle name="Финансовый 3 10 2 3 2 2" xfId="12263" xr:uid="{00000000-0005-0000-0000-000044270000}"/>
    <cellStyle name="Финансовый 3 10 2 3 3" xfId="5401" xr:uid="{00000000-0005-0000-0000-000045270000}"/>
    <cellStyle name="Финансовый 3 10 2 3 3 2" xfId="14044" xr:uid="{00000000-0005-0000-0000-000046270000}"/>
    <cellStyle name="Финансовый 3 10 2 3 4" xfId="8011" xr:uid="{00000000-0005-0000-0000-000047270000}"/>
    <cellStyle name="Финансовый 3 10 2 3 4 2" xfId="16654" xr:uid="{00000000-0005-0000-0000-000048270000}"/>
    <cellStyle name="Финансовый 3 10 2 3 5" xfId="10618" xr:uid="{00000000-0005-0000-0000-000049270000}"/>
    <cellStyle name="Финансовый 3 10 2 4" xfId="2494" xr:uid="{00000000-0005-0000-0000-00004A270000}"/>
    <cellStyle name="Финансовый 3 10 2 4 2" xfId="4139" xr:uid="{00000000-0005-0000-0000-00004B270000}"/>
    <cellStyle name="Финансовый 3 10 2 4 2 2" xfId="12784" xr:uid="{00000000-0005-0000-0000-00004C270000}"/>
    <cellStyle name="Финансовый 3 10 2 4 3" xfId="5922" xr:uid="{00000000-0005-0000-0000-00004D270000}"/>
    <cellStyle name="Финансовый 3 10 2 4 3 2" xfId="14565" xr:uid="{00000000-0005-0000-0000-00004E270000}"/>
    <cellStyle name="Финансовый 3 10 2 4 4" xfId="8532" xr:uid="{00000000-0005-0000-0000-00004F270000}"/>
    <cellStyle name="Финансовый 3 10 2 4 4 2" xfId="17175" xr:uid="{00000000-0005-0000-0000-000050270000}"/>
    <cellStyle name="Финансовый 3 10 2 4 5" xfId="11139" xr:uid="{00000000-0005-0000-0000-000051270000}"/>
    <cellStyle name="Финансовый 3 10 2 5" xfId="998" xr:uid="{00000000-0005-0000-0000-000052270000}"/>
    <cellStyle name="Финансовый 3 10 2 5 2" xfId="7038" xr:uid="{00000000-0005-0000-0000-000053270000}"/>
    <cellStyle name="Финансовый 3 10 2 5 2 2" xfId="15681" xr:uid="{00000000-0005-0000-0000-000054270000}"/>
    <cellStyle name="Финансовый 3 10 2 5 3" xfId="9645" xr:uid="{00000000-0005-0000-0000-000055270000}"/>
    <cellStyle name="Финансовый 3 10 2 6" xfId="586" xr:uid="{00000000-0005-0000-0000-000056270000}"/>
    <cellStyle name="Финансовый 3 10 2 6 2" xfId="6626" xr:uid="{00000000-0005-0000-0000-000057270000}"/>
    <cellStyle name="Финансовый 3 10 2 6 2 2" xfId="15269" xr:uid="{00000000-0005-0000-0000-000058270000}"/>
    <cellStyle name="Финансовый 3 10 2 6 3" xfId="9233" xr:uid="{00000000-0005-0000-0000-000059270000}"/>
    <cellStyle name="Финансовый 3 10 2 7" xfId="2775" xr:uid="{00000000-0005-0000-0000-00005A270000}"/>
    <cellStyle name="Финансовый 3 10 2 7 2" xfId="11420" xr:uid="{00000000-0005-0000-0000-00005B270000}"/>
    <cellStyle name="Финансовый 3 10 2 8" xfId="4419" xr:uid="{00000000-0005-0000-0000-00005C270000}"/>
    <cellStyle name="Финансовый 3 10 2 8 2" xfId="13064" xr:uid="{00000000-0005-0000-0000-00005D270000}"/>
    <cellStyle name="Финансовый 3 10 2 9" xfId="6206" xr:uid="{00000000-0005-0000-0000-00005E270000}"/>
    <cellStyle name="Финансовый 3 10 2 9 2" xfId="14849" xr:uid="{00000000-0005-0000-0000-00005F270000}"/>
    <cellStyle name="Финансовый 3 10 3" xfId="314" xr:uid="{00000000-0005-0000-0000-000060270000}"/>
    <cellStyle name="Финансовый 3 10 3 2" xfId="2101" xr:uid="{00000000-0005-0000-0000-000061270000}"/>
    <cellStyle name="Финансовый 3 10 3 2 2" xfId="3746" xr:uid="{00000000-0005-0000-0000-000062270000}"/>
    <cellStyle name="Финансовый 3 10 3 2 2 2" xfId="12391" xr:uid="{00000000-0005-0000-0000-000063270000}"/>
    <cellStyle name="Финансовый 3 10 3 2 3" xfId="5529" xr:uid="{00000000-0005-0000-0000-000064270000}"/>
    <cellStyle name="Финансовый 3 10 3 2 3 2" xfId="14172" xr:uid="{00000000-0005-0000-0000-000065270000}"/>
    <cellStyle name="Финансовый 3 10 3 2 4" xfId="8139" xr:uid="{00000000-0005-0000-0000-000066270000}"/>
    <cellStyle name="Финансовый 3 10 3 2 4 2" xfId="16782" xr:uid="{00000000-0005-0000-0000-000067270000}"/>
    <cellStyle name="Финансовый 3 10 3 2 5" xfId="10746" xr:uid="{00000000-0005-0000-0000-000068270000}"/>
    <cellStyle name="Финансовый 3 10 3 3" xfId="1134" xr:uid="{00000000-0005-0000-0000-000069270000}"/>
    <cellStyle name="Финансовый 3 10 3 3 2" xfId="7174" xr:uid="{00000000-0005-0000-0000-00006A270000}"/>
    <cellStyle name="Финансовый 3 10 3 3 2 2" xfId="15817" xr:uid="{00000000-0005-0000-0000-00006B270000}"/>
    <cellStyle name="Финансовый 3 10 3 3 3" xfId="9781" xr:uid="{00000000-0005-0000-0000-00006C270000}"/>
    <cellStyle name="Финансовый 3 10 3 4" xfId="734" xr:uid="{00000000-0005-0000-0000-00006D270000}"/>
    <cellStyle name="Финансовый 3 10 3 4 2" xfId="6774" xr:uid="{00000000-0005-0000-0000-00006E270000}"/>
    <cellStyle name="Финансовый 3 10 3 4 2 2" xfId="15417" xr:uid="{00000000-0005-0000-0000-00006F270000}"/>
    <cellStyle name="Финансовый 3 10 3 4 3" xfId="9381" xr:uid="{00000000-0005-0000-0000-000070270000}"/>
    <cellStyle name="Финансовый 3 10 3 5" xfId="2911" xr:uid="{00000000-0005-0000-0000-000071270000}"/>
    <cellStyle name="Финансовый 3 10 3 5 2" xfId="11556" xr:uid="{00000000-0005-0000-0000-000072270000}"/>
    <cellStyle name="Финансовый 3 10 3 6" xfId="4555" xr:uid="{00000000-0005-0000-0000-000073270000}"/>
    <cellStyle name="Финансовый 3 10 3 6 2" xfId="13200" xr:uid="{00000000-0005-0000-0000-000074270000}"/>
    <cellStyle name="Финансовый 3 10 3 7" xfId="6354" xr:uid="{00000000-0005-0000-0000-000075270000}"/>
    <cellStyle name="Финансовый 3 10 3 7 2" xfId="14997" xr:uid="{00000000-0005-0000-0000-000076270000}"/>
    <cellStyle name="Финансовый 3 10 3 8" xfId="8961" xr:uid="{00000000-0005-0000-0000-000077270000}"/>
    <cellStyle name="Финансовый 3 10 4" xfId="1513" xr:uid="{00000000-0005-0000-0000-000078270000}"/>
    <cellStyle name="Финансовый 3 10 4 2" xfId="1837" xr:uid="{00000000-0005-0000-0000-000079270000}"/>
    <cellStyle name="Финансовый 3 10 4 2 2" xfId="3482" xr:uid="{00000000-0005-0000-0000-00007A270000}"/>
    <cellStyle name="Финансовый 3 10 4 2 2 2" xfId="12127" xr:uid="{00000000-0005-0000-0000-00007B270000}"/>
    <cellStyle name="Финансовый 3 10 4 2 3" xfId="5265" xr:uid="{00000000-0005-0000-0000-00007C270000}"/>
    <cellStyle name="Финансовый 3 10 4 2 3 2" xfId="13908" xr:uid="{00000000-0005-0000-0000-00007D270000}"/>
    <cellStyle name="Финансовый 3 10 4 2 4" xfId="7875" xr:uid="{00000000-0005-0000-0000-00007E270000}"/>
    <cellStyle name="Финансовый 3 10 4 2 4 2" xfId="16518" xr:uid="{00000000-0005-0000-0000-00007F270000}"/>
    <cellStyle name="Финансовый 3 10 4 2 5" xfId="10482" xr:uid="{00000000-0005-0000-0000-000080270000}"/>
    <cellStyle name="Финансовый 3 10 4 3" xfId="4941" xr:uid="{00000000-0005-0000-0000-000081270000}"/>
    <cellStyle name="Финансовый 3 10 4 3 2" xfId="13584" xr:uid="{00000000-0005-0000-0000-000082270000}"/>
    <cellStyle name="Финансовый 3 10 4 4" xfId="7551" xr:uid="{00000000-0005-0000-0000-000083270000}"/>
    <cellStyle name="Финансовый 3 10 4 4 2" xfId="16194" xr:uid="{00000000-0005-0000-0000-000084270000}"/>
    <cellStyle name="Финансовый 3 10 4 5" xfId="10158" xr:uid="{00000000-0005-0000-0000-000085270000}"/>
    <cellStyle name="Финансовый 3 10 5" xfId="1721" xr:uid="{00000000-0005-0000-0000-000086270000}"/>
    <cellStyle name="Финансовый 3 10 5 2" xfId="3366" xr:uid="{00000000-0005-0000-0000-000087270000}"/>
    <cellStyle name="Финансовый 3 10 5 2 2" xfId="12011" xr:uid="{00000000-0005-0000-0000-000088270000}"/>
    <cellStyle name="Финансовый 3 10 5 3" xfId="5149" xr:uid="{00000000-0005-0000-0000-000089270000}"/>
    <cellStyle name="Финансовый 3 10 5 3 2" xfId="13792" xr:uid="{00000000-0005-0000-0000-00008A270000}"/>
    <cellStyle name="Финансовый 3 10 5 4" xfId="7759" xr:uid="{00000000-0005-0000-0000-00008B270000}"/>
    <cellStyle name="Финансовый 3 10 5 4 2" xfId="16402" xr:uid="{00000000-0005-0000-0000-00008C270000}"/>
    <cellStyle name="Финансовый 3 10 5 5" xfId="10366" xr:uid="{00000000-0005-0000-0000-00008D270000}"/>
    <cellStyle name="Финансовый 3 10 6" xfId="2357" xr:uid="{00000000-0005-0000-0000-00008E270000}"/>
    <cellStyle name="Финансовый 3 10 6 2" xfId="4002" xr:uid="{00000000-0005-0000-0000-00008F270000}"/>
    <cellStyle name="Финансовый 3 10 6 2 2" xfId="12647" xr:uid="{00000000-0005-0000-0000-000090270000}"/>
    <cellStyle name="Финансовый 3 10 6 3" xfId="5785" xr:uid="{00000000-0005-0000-0000-000091270000}"/>
    <cellStyle name="Финансовый 3 10 6 3 2" xfId="14428" xr:uid="{00000000-0005-0000-0000-000092270000}"/>
    <cellStyle name="Финансовый 3 10 6 4" xfId="8395" xr:uid="{00000000-0005-0000-0000-000093270000}"/>
    <cellStyle name="Финансовый 3 10 6 4 2" xfId="17038" xr:uid="{00000000-0005-0000-0000-000094270000}"/>
    <cellStyle name="Финансовый 3 10 6 5" xfId="11002" xr:uid="{00000000-0005-0000-0000-000095270000}"/>
    <cellStyle name="Финансовый 3 10 7" xfId="1584" xr:uid="{00000000-0005-0000-0000-000096270000}"/>
    <cellStyle name="Финансовый 3 10 7 2" xfId="3229" xr:uid="{00000000-0005-0000-0000-000097270000}"/>
    <cellStyle name="Финансовый 3 10 7 2 2" xfId="11874" xr:uid="{00000000-0005-0000-0000-000098270000}"/>
    <cellStyle name="Финансовый 3 10 7 3" xfId="5012" xr:uid="{00000000-0005-0000-0000-000099270000}"/>
    <cellStyle name="Финансовый 3 10 7 3 2" xfId="13655" xr:uid="{00000000-0005-0000-0000-00009A270000}"/>
    <cellStyle name="Финансовый 3 10 7 4" xfId="7622" xr:uid="{00000000-0005-0000-0000-00009B270000}"/>
    <cellStyle name="Финансовый 3 10 7 4 2" xfId="16265" xr:uid="{00000000-0005-0000-0000-00009C270000}"/>
    <cellStyle name="Финансовый 3 10 7 5" xfId="10229" xr:uid="{00000000-0005-0000-0000-00009D270000}"/>
    <cellStyle name="Финансовый 3 10 8" xfId="870" xr:uid="{00000000-0005-0000-0000-00009E270000}"/>
    <cellStyle name="Финансовый 3 10 8 2" xfId="6910" xr:uid="{00000000-0005-0000-0000-00009F270000}"/>
    <cellStyle name="Финансовый 3 10 8 2 2" xfId="15553" xr:uid="{00000000-0005-0000-0000-0000A0270000}"/>
    <cellStyle name="Финансовый 3 10 8 3" xfId="9517" xr:uid="{00000000-0005-0000-0000-0000A1270000}"/>
    <cellStyle name="Финансовый 3 10 9" xfId="450" xr:uid="{00000000-0005-0000-0000-0000A2270000}"/>
    <cellStyle name="Финансовый 3 10 9 2" xfId="6490" xr:uid="{00000000-0005-0000-0000-0000A3270000}"/>
    <cellStyle name="Финансовый 3 10 9 2 2" xfId="15133" xr:uid="{00000000-0005-0000-0000-0000A4270000}"/>
    <cellStyle name="Финансовый 3 10 9 3" xfId="9097" xr:uid="{00000000-0005-0000-0000-0000A5270000}"/>
    <cellStyle name="Финансовый 3 11" xfId="15" xr:uid="{00000000-0005-0000-0000-0000A6270000}"/>
    <cellStyle name="Финансовый 3 11 10" xfId="2627" xr:uid="{00000000-0005-0000-0000-0000A7270000}"/>
    <cellStyle name="Финансовый 3 11 10 2" xfId="11272" xr:uid="{00000000-0005-0000-0000-0000A8270000}"/>
    <cellStyle name="Финансовый 3 11 11" xfId="4270" xr:uid="{00000000-0005-0000-0000-0000A9270000}"/>
    <cellStyle name="Финансовый 3 11 11 2" xfId="12915" xr:uid="{00000000-0005-0000-0000-0000AA270000}"/>
    <cellStyle name="Финансовый 3 11 12" xfId="6058" xr:uid="{00000000-0005-0000-0000-0000AB270000}"/>
    <cellStyle name="Финансовый 3 11 12 2" xfId="14701" xr:uid="{00000000-0005-0000-0000-0000AC270000}"/>
    <cellStyle name="Финансовый 3 11 13" xfId="8665" xr:uid="{00000000-0005-0000-0000-0000AD270000}"/>
    <cellStyle name="Финансовый 3 11 2" xfId="153" xr:uid="{00000000-0005-0000-0000-0000AE270000}"/>
    <cellStyle name="Финансовый 3 11 2 10" xfId="8801" xr:uid="{00000000-0005-0000-0000-0000AF270000}"/>
    <cellStyle name="Финансовый 3 11 2 2" xfId="1251" xr:uid="{00000000-0005-0000-0000-0000B0270000}"/>
    <cellStyle name="Финансовый 3 11 2 2 2" xfId="2217" xr:uid="{00000000-0005-0000-0000-0000B1270000}"/>
    <cellStyle name="Финансовый 3 11 2 2 2 2" xfId="3862" xr:uid="{00000000-0005-0000-0000-0000B2270000}"/>
    <cellStyle name="Финансовый 3 11 2 2 2 2 2" xfId="12507" xr:uid="{00000000-0005-0000-0000-0000B3270000}"/>
    <cellStyle name="Финансовый 3 11 2 2 2 3" xfId="5645" xr:uid="{00000000-0005-0000-0000-0000B4270000}"/>
    <cellStyle name="Финансовый 3 11 2 2 2 3 2" xfId="14288" xr:uid="{00000000-0005-0000-0000-0000B5270000}"/>
    <cellStyle name="Финансовый 3 11 2 2 2 4" xfId="8255" xr:uid="{00000000-0005-0000-0000-0000B6270000}"/>
    <cellStyle name="Финансовый 3 11 2 2 2 4 2" xfId="16898" xr:uid="{00000000-0005-0000-0000-0000B7270000}"/>
    <cellStyle name="Финансовый 3 11 2 2 2 5" xfId="10862" xr:uid="{00000000-0005-0000-0000-0000B8270000}"/>
    <cellStyle name="Финансовый 3 11 2 2 3" xfId="3035" xr:uid="{00000000-0005-0000-0000-0000B9270000}"/>
    <cellStyle name="Финансовый 3 11 2 2 3 2" xfId="11680" xr:uid="{00000000-0005-0000-0000-0000BA270000}"/>
    <cellStyle name="Финансовый 3 11 2 2 4" xfId="4679" xr:uid="{00000000-0005-0000-0000-0000BB270000}"/>
    <cellStyle name="Финансовый 3 11 2 2 4 2" xfId="13324" xr:uid="{00000000-0005-0000-0000-0000BC270000}"/>
    <cellStyle name="Финансовый 3 11 2 2 5" xfId="7291" xr:uid="{00000000-0005-0000-0000-0000BD270000}"/>
    <cellStyle name="Финансовый 3 11 2 2 5 2" xfId="15934" xr:uid="{00000000-0005-0000-0000-0000BE270000}"/>
    <cellStyle name="Финансовый 3 11 2 2 6" xfId="9898" xr:uid="{00000000-0005-0000-0000-0000BF270000}"/>
    <cellStyle name="Финансовый 3 11 2 3" xfId="1961" xr:uid="{00000000-0005-0000-0000-0000C0270000}"/>
    <cellStyle name="Финансовый 3 11 2 3 2" xfId="3606" xr:uid="{00000000-0005-0000-0000-0000C1270000}"/>
    <cellStyle name="Финансовый 3 11 2 3 2 2" xfId="12251" xr:uid="{00000000-0005-0000-0000-0000C2270000}"/>
    <cellStyle name="Финансовый 3 11 2 3 3" xfId="5389" xr:uid="{00000000-0005-0000-0000-0000C3270000}"/>
    <cellStyle name="Финансовый 3 11 2 3 3 2" xfId="14032" xr:uid="{00000000-0005-0000-0000-0000C4270000}"/>
    <cellStyle name="Финансовый 3 11 2 3 4" xfId="7999" xr:uid="{00000000-0005-0000-0000-0000C5270000}"/>
    <cellStyle name="Финансовый 3 11 2 3 4 2" xfId="16642" xr:uid="{00000000-0005-0000-0000-0000C6270000}"/>
    <cellStyle name="Финансовый 3 11 2 3 5" xfId="10606" xr:uid="{00000000-0005-0000-0000-0000C7270000}"/>
    <cellStyle name="Финансовый 3 11 2 4" xfId="2482" xr:uid="{00000000-0005-0000-0000-0000C8270000}"/>
    <cellStyle name="Финансовый 3 11 2 4 2" xfId="4127" xr:uid="{00000000-0005-0000-0000-0000C9270000}"/>
    <cellStyle name="Финансовый 3 11 2 4 2 2" xfId="12772" xr:uid="{00000000-0005-0000-0000-0000CA270000}"/>
    <cellStyle name="Финансовый 3 11 2 4 3" xfId="5910" xr:uid="{00000000-0005-0000-0000-0000CB270000}"/>
    <cellStyle name="Финансовый 3 11 2 4 3 2" xfId="14553" xr:uid="{00000000-0005-0000-0000-0000CC270000}"/>
    <cellStyle name="Финансовый 3 11 2 4 4" xfId="8520" xr:uid="{00000000-0005-0000-0000-0000CD270000}"/>
    <cellStyle name="Финансовый 3 11 2 4 4 2" xfId="17163" xr:uid="{00000000-0005-0000-0000-0000CE270000}"/>
    <cellStyle name="Финансовый 3 11 2 4 5" xfId="11127" xr:uid="{00000000-0005-0000-0000-0000CF270000}"/>
    <cellStyle name="Финансовый 3 11 2 5" xfId="986" xr:uid="{00000000-0005-0000-0000-0000D0270000}"/>
    <cellStyle name="Финансовый 3 11 2 5 2" xfId="7026" xr:uid="{00000000-0005-0000-0000-0000D1270000}"/>
    <cellStyle name="Финансовый 3 11 2 5 2 2" xfId="15669" xr:uid="{00000000-0005-0000-0000-0000D2270000}"/>
    <cellStyle name="Финансовый 3 11 2 5 3" xfId="9633" xr:uid="{00000000-0005-0000-0000-0000D3270000}"/>
    <cellStyle name="Финансовый 3 11 2 6" xfId="574" xr:uid="{00000000-0005-0000-0000-0000D4270000}"/>
    <cellStyle name="Финансовый 3 11 2 6 2" xfId="6614" xr:uid="{00000000-0005-0000-0000-0000D5270000}"/>
    <cellStyle name="Финансовый 3 11 2 6 2 2" xfId="15257" xr:uid="{00000000-0005-0000-0000-0000D6270000}"/>
    <cellStyle name="Финансовый 3 11 2 6 3" xfId="9221" xr:uid="{00000000-0005-0000-0000-0000D7270000}"/>
    <cellStyle name="Финансовый 3 11 2 7" xfId="2763" xr:uid="{00000000-0005-0000-0000-0000D8270000}"/>
    <cellStyle name="Финансовый 3 11 2 7 2" xfId="11408" xr:uid="{00000000-0005-0000-0000-0000D9270000}"/>
    <cellStyle name="Финансовый 3 11 2 8" xfId="4407" xr:uid="{00000000-0005-0000-0000-0000DA270000}"/>
    <cellStyle name="Финансовый 3 11 2 8 2" xfId="13052" xr:uid="{00000000-0005-0000-0000-0000DB270000}"/>
    <cellStyle name="Финансовый 3 11 2 9" xfId="6194" xr:uid="{00000000-0005-0000-0000-0000DC270000}"/>
    <cellStyle name="Финансовый 3 11 2 9 2" xfId="14837" xr:uid="{00000000-0005-0000-0000-0000DD270000}"/>
    <cellStyle name="Финансовый 3 11 3" xfId="302" xr:uid="{00000000-0005-0000-0000-0000DE270000}"/>
    <cellStyle name="Финансовый 3 11 3 2" xfId="2089" xr:uid="{00000000-0005-0000-0000-0000DF270000}"/>
    <cellStyle name="Финансовый 3 11 3 2 2" xfId="3734" xr:uid="{00000000-0005-0000-0000-0000E0270000}"/>
    <cellStyle name="Финансовый 3 11 3 2 2 2" xfId="12379" xr:uid="{00000000-0005-0000-0000-0000E1270000}"/>
    <cellStyle name="Финансовый 3 11 3 2 3" xfId="5517" xr:uid="{00000000-0005-0000-0000-0000E2270000}"/>
    <cellStyle name="Финансовый 3 11 3 2 3 2" xfId="14160" xr:uid="{00000000-0005-0000-0000-0000E3270000}"/>
    <cellStyle name="Финансовый 3 11 3 2 4" xfId="8127" xr:uid="{00000000-0005-0000-0000-0000E4270000}"/>
    <cellStyle name="Финансовый 3 11 3 2 4 2" xfId="16770" xr:uid="{00000000-0005-0000-0000-0000E5270000}"/>
    <cellStyle name="Финансовый 3 11 3 2 5" xfId="10734" xr:uid="{00000000-0005-0000-0000-0000E6270000}"/>
    <cellStyle name="Финансовый 3 11 3 3" xfId="1122" xr:uid="{00000000-0005-0000-0000-0000E7270000}"/>
    <cellStyle name="Финансовый 3 11 3 3 2" xfId="7162" xr:uid="{00000000-0005-0000-0000-0000E8270000}"/>
    <cellStyle name="Финансовый 3 11 3 3 2 2" xfId="15805" xr:uid="{00000000-0005-0000-0000-0000E9270000}"/>
    <cellStyle name="Финансовый 3 11 3 3 3" xfId="9769" xr:uid="{00000000-0005-0000-0000-0000EA270000}"/>
    <cellStyle name="Финансовый 3 11 3 4" xfId="722" xr:uid="{00000000-0005-0000-0000-0000EB270000}"/>
    <cellStyle name="Финансовый 3 11 3 4 2" xfId="6762" xr:uid="{00000000-0005-0000-0000-0000EC270000}"/>
    <cellStyle name="Финансовый 3 11 3 4 2 2" xfId="15405" xr:uid="{00000000-0005-0000-0000-0000ED270000}"/>
    <cellStyle name="Финансовый 3 11 3 4 3" xfId="9369" xr:uid="{00000000-0005-0000-0000-0000EE270000}"/>
    <cellStyle name="Финансовый 3 11 3 5" xfId="2899" xr:uid="{00000000-0005-0000-0000-0000EF270000}"/>
    <cellStyle name="Финансовый 3 11 3 5 2" xfId="11544" xr:uid="{00000000-0005-0000-0000-0000F0270000}"/>
    <cellStyle name="Финансовый 3 11 3 6" xfId="4543" xr:uid="{00000000-0005-0000-0000-0000F1270000}"/>
    <cellStyle name="Финансовый 3 11 3 6 2" xfId="13188" xr:uid="{00000000-0005-0000-0000-0000F2270000}"/>
    <cellStyle name="Финансовый 3 11 3 7" xfId="6342" xr:uid="{00000000-0005-0000-0000-0000F3270000}"/>
    <cellStyle name="Финансовый 3 11 3 7 2" xfId="14985" xr:uid="{00000000-0005-0000-0000-0000F4270000}"/>
    <cellStyle name="Финансовый 3 11 3 8" xfId="8949" xr:uid="{00000000-0005-0000-0000-0000F5270000}"/>
    <cellStyle name="Финансовый 3 11 4" xfId="1514" xr:uid="{00000000-0005-0000-0000-0000F6270000}"/>
    <cellStyle name="Финансовый 3 11 4 2" xfId="1825" xr:uid="{00000000-0005-0000-0000-0000F7270000}"/>
    <cellStyle name="Финансовый 3 11 4 2 2" xfId="3470" xr:uid="{00000000-0005-0000-0000-0000F8270000}"/>
    <cellStyle name="Финансовый 3 11 4 2 2 2" xfId="12115" xr:uid="{00000000-0005-0000-0000-0000F9270000}"/>
    <cellStyle name="Финансовый 3 11 4 2 3" xfId="5253" xr:uid="{00000000-0005-0000-0000-0000FA270000}"/>
    <cellStyle name="Финансовый 3 11 4 2 3 2" xfId="13896" xr:uid="{00000000-0005-0000-0000-0000FB270000}"/>
    <cellStyle name="Финансовый 3 11 4 2 4" xfId="7863" xr:uid="{00000000-0005-0000-0000-0000FC270000}"/>
    <cellStyle name="Финансовый 3 11 4 2 4 2" xfId="16506" xr:uid="{00000000-0005-0000-0000-0000FD270000}"/>
    <cellStyle name="Финансовый 3 11 4 2 5" xfId="10470" xr:uid="{00000000-0005-0000-0000-0000FE270000}"/>
    <cellStyle name="Финансовый 3 11 4 3" xfId="4942" xr:uid="{00000000-0005-0000-0000-0000FF270000}"/>
    <cellStyle name="Финансовый 3 11 4 3 2" xfId="13585" xr:uid="{00000000-0005-0000-0000-000000280000}"/>
    <cellStyle name="Финансовый 3 11 4 4" xfId="7552" xr:uid="{00000000-0005-0000-0000-000001280000}"/>
    <cellStyle name="Финансовый 3 11 4 4 2" xfId="16195" xr:uid="{00000000-0005-0000-0000-000002280000}"/>
    <cellStyle name="Финансовый 3 11 4 5" xfId="10159" xr:uid="{00000000-0005-0000-0000-000003280000}"/>
    <cellStyle name="Финансовый 3 11 5" xfId="1709" xr:uid="{00000000-0005-0000-0000-000004280000}"/>
    <cellStyle name="Финансовый 3 11 5 2" xfId="3354" xr:uid="{00000000-0005-0000-0000-000005280000}"/>
    <cellStyle name="Финансовый 3 11 5 2 2" xfId="11999" xr:uid="{00000000-0005-0000-0000-000006280000}"/>
    <cellStyle name="Финансовый 3 11 5 3" xfId="5137" xr:uid="{00000000-0005-0000-0000-000007280000}"/>
    <cellStyle name="Финансовый 3 11 5 3 2" xfId="13780" xr:uid="{00000000-0005-0000-0000-000008280000}"/>
    <cellStyle name="Финансовый 3 11 5 4" xfId="7747" xr:uid="{00000000-0005-0000-0000-000009280000}"/>
    <cellStyle name="Финансовый 3 11 5 4 2" xfId="16390" xr:uid="{00000000-0005-0000-0000-00000A280000}"/>
    <cellStyle name="Финансовый 3 11 5 5" xfId="10354" xr:uid="{00000000-0005-0000-0000-00000B280000}"/>
    <cellStyle name="Финансовый 3 11 6" xfId="2345" xr:uid="{00000000-0005-0000-0000-00000C280000}"/>
    <cellStyle name="Финансовый 3 11 6 2" xfId="3990" xr:uid="{00000000-0005-0000-0000-00000D280000}"/>
    <cellStyle name="Финансовый 3 11 6 2 2" xfId="12635" xr:uid="{00000000-0005-0000-0000-00000E280000}"/>
    <cellStyle name="Финансовый 3 11 6 3" xfId="5773" xr:uid="{00000000-0005-0000-0000-00000F280000}"/>
    <cellStyle name="Финансовый 3 11 6 3 2" xfId="14416" xr:uid="{00000000-0005-0000-0000-000010280000}"/>
    <cellStyle name="Финансовый 3 11 6 4" xfId="8383" xr:uid="{00000000-0005-0000-0000-000011280000}"/>
    <cellStyle name="Финансовый 3 11 6 4 2" xfId="17026" xr:uid="{00000000-0005-0000-0000-000012280000}"/>
    <cellStyle name="Финансовый 3 11 6 5" xfId="10990" xr:uid="{00000000-0005-0000-0000-000013280000}"/>
    <cellStyle name="Финансовый 3 11 7" xfId="1572" xr:uid="{00000000-0005-0000-0000-000014280000}"/>
    <cellStyle name="Финансовый 3 11 7 2" xfId="3217" xr:uid="{00000000-0005-0000-0000-000015280000}"/>
    <cellStyle name="Финансовый 3 11 7 2 2" xfId="11862" xr:uid="{00000000-0005-0000-0000-000016280000}"/>
    <cellStyle name="Финансовый 3 11 7 3" xfId="5000" xr:uid="{00000000-0005-0000-0000-000017280000}"/>
    <cellStyle name="Финансовый 3 11 7 3 2" xfId="13643" xr:uid="{00000000-0005-0000-0000-000018280000}"/>
    <cellStyle name="Финансовый 3 11 7 4" xfId="7610" xr:uid="{00000000-0005-0000-0000-000019280000}"/>
    <cellStyle name="Финансовый 3 11 7 4 2" xfId="16253" xr:uid="{00000000-0005-0000-0000-00001A280000}"/>
    <cellStyle name="Финансовый 3 11 7 5" xfId="10217" xr:uid="{00000000-0005-0000-0000-00001B280000}"/>
    <cellStyle name="Финансовый 3 11 8" xfId="858" xr:uid="{00000000-0005-0000-0000-00001C280000}"/>
    <cellStyle name="Финансовый 3 11 8 2" xfId="6898" xr:uid="{00000000-0005-0000-0000-00001D280000}"/>
    <cellStyle name="Финансовый 3 11 8 2 2" xfId="15541" xr:uid="{00000000-0005-0000-0000-00001E280000}"/>
    <cellStyle name="Финансовый 3 11 8 3" xfId="9505" xr:uid="{00000000-0005-0000-0000-00001F280000}"/>
    <cellStyle name="Финансовый 3 11 9" xfId="438" xr:uid="{00000000-0005-0000-0000-000020280000}"/>
    <cellStyle name="Финансовый 3 11 9 2" xfId="6478" xr:uid="{00000000-0005-0000-0000-000021280000}"/>
    <cellStyle name="Финансовый 3 11 9 2 2" xfId="15121" xr:uid="{00000000-0005-0000-0000-000022280000}"/>
    <cellStyle name="Финансовый 3 11 9 3" xfId="9085" xr:uid="{00000000-0005-0000-0000-000023280000}"/>
    <cellStyle name="Финансовый 3 12" xfId="141" xr:uid="{00000000-0005-0000-0000-000024280000}"/>
    <cellStyle name="Финансовый 3 12 10" xfId="8789" xr:uid="{00000000-0005-0000-0000-000025280000}"/>
    <cellStyle name="Финансовый 3 12 2" xfId="1239" xr:uid="{00000000-0005-0000-0000-000026280000}"/>
    <cellStyle name="Финансовый 3 12 2 2" xfId="2205" xr:uid="{00000000-0005-0000-0000-000027280000}"/>
    <cellStyle name="Финансовый 3 12 2 2 2" xfId="3850" xr:uid="{00000000-0005-0000-0000-000028280000}"/>
    <cellStyle name="Финансовый 3 12 2 2 2 2" xfId="12495" xr:uid="{00000000-0005-0000-0000-000029280000}"/>
    <cellStyle name="Финансовый 3 12 2 2 3" xfId="5633" xr:uid="{00000000-0005-0000-0000-00002A280000}"/>
    <cellStyle name="Финансовый 3 12 2 2 3 2" xfId="14276" xr:uid="{00000000-0005-0000-0000-00002B280000}"/>
    <cellStyle name="Финансовый 3 12 2 2 4" xfId="8243" xr:uid="{00000000-0005-0000-0000-00002C280000}"/>
    <cellStyle name="Финансовый 3 12 2 2 4 2" xfId="16886" xr:uid="{00000000-0005-0000-0000-00002D280000}"/>
    <cellStyle name="Финансовый 3 12 2 2 5" xfId="10850" xr:uid="{00000000-0005-0000-0000-00002E280000}"/>
    <cellStyle name="Финансовый 3 12 2 3" xfId="3023" xr:uid="{00000000-0005-0000-0000-00002F280000}"/>
    <cellStyle name="Финансовый 3 12 2 3 2" xfId="11668" xr:uid="{00000000-0005-0000-0000-000030280000}"/>
    <cellStyle name="Финансовый 3 12 2 4" xfId="4667" xr:uid="{00000000-0005-0000-0000-000031280000}"/>
    <cellStyle name="Финансовый 3 12 2 4 2" xfId="13312" xr:uid="{00000000-0005-0000-0000-000032280000}"/>
    <cellStyle name="Финансовый 3 12 2 5" xfId="7279" xr:uid="{00000000-0005-0000-0000-000033280000}"/>
    <cellStyle name="Финансовый 3 12 2 5 2" xfId="15922" xr:uid="{00000000-0005-0000-0000-000034280000}"/>
    <cellStyle name="Финансовый 3 12 2 6" xfId="9886" xr:uid="{00000000-0005-0000-0000-000035280000}"/>
    <cellStyle name="Финансовый 3 12 3" xfId="1949" xr:uid="{00000000-0005-0000-0000-000036280000}"/>
    <cellStyle name="Финансовый 3 12 3 2" xfId="3594" xr:uid="{00000000-0005-0000-0000-000037280000}"/>
    <cellStyle name="Финансовый 3 12 3 2 2" xfId="12239" xr:uid="{00000000-0005-0000-0000-000038280000}"/>
    <cellStyle name="Финансовый 3 12 3 3" xfId="5377" xr:uid="{00000000-0005-0000-0000-000039280000}"/>
    <cellStyle name="Финансовый 3 12 3 3 2" xfId="14020" xr:uid="{00000000-0005-0000-0000-00003A280000}"/>
    <cellStyle name="Финансовый 3 12 3 4" xfId="7987" xr:uid="{00000000-0005-0000-0000-00003B280000}"/>
    <cellStyle name="Финансовый 3 12 3 4 2" xfId="16630" xr:uid="{00000000-0005-0000-0000-00003C280000}"/>
    <cellStyle name="Финансовый 3 12 3 5" xfId="10594" xr:uid="{00000000-0005-0000-0000-00003D280000}"/>
    <cellStyle name="Финансовый 3 12 4" xfId="2470" xr:uid="{00000000-0005-0000-0000-00003E280000}"/>
    <cellStyle name="Финансовый 3 12 4 2" xfId="4115" xr:uid="{00000000-0005-0000-0000-00003F280000}"/>
    <cellStyle name="Финансовый 3 12 4 2 2" xfId="12760" xr:uid="{00000000-0005-0000-0000-000040280000}"/>
    <cellStyle name="Финансовый 3 12 4 3" xfId="5898" xr:uid="{00000000-0005-0000-0000-000041280000}"/>
    <cellStyle name="Финансовый 3 12 4 3 2" xfId="14541" xr:uid="{00000000-0005-0000-0000-000042280000}"/>
    <cellStyle name="Финансовый 3 12 4 4" xfId="8508" xr:uid="{00000000-0005-0000-0000-000043280000}"/>
    <cellStyle name="Финансовый 3 12 4 4 2" xfId="17151" xr:uid="{00000000-0005-0000-0000-000044280000}"/>
    <cellStyle name="Финансовый 3 12 4 5" xfId="11115" xr:uid="{00000000-0005-0000-0000-000045280000}"/>
    <cellStyle name="Финансовый 3 12 5" xfId="974" xr:uid="{00000000-0005-0000-0000-000046280000}"/>
    <cellStyle name="Финансовый 3 12 5 2" xfId="7014" xr:uid="{00000000-0005-0000-0000-000047280000}"/>
    <cellStyle name="Финансовый 3 12 5 2 2" xfId="15657" xr:uid="{00000000-0005-0000-0000-000048280000}"/>
    <cellStyle name="Финансовый 3 12 5 3" xfId="9621" xr:uid="{00000000-0005-0000-0000-000049280000}"/>
    <cellStyle name="Финансовый 3 12 6" xfId="562" xr:uid="{00000000-0005-0000-0000-00004A280000}"/>
    <cellStyle name="Финансовый 3 12 6 2" xfId="6602" xr:uid="{00000000-0005-0000-0000-00004B280000}"/>
    <cellStyle name="Финансовый 3 12 6 2 2" xfId="15245" xr:uid="{00000000-0005-0000-0000-00004C280000}"/>
    <cellStyle name="Финансовый 3 12 6 3" xfId="9209" xr:uid="{00000000-0005-0000-0000-00004D280000}"/>
    <cellStyle name="Финансовый 3 12 7" xfId="2751" xr:uid="{00000000-0005-0000-0000-00004E280000}"/>
    <cellStyle name="Финансовый 3 12 7 2" xfId="11396" xr:uid="{00000000-0005-0000-0000-00004F280000}"/>
    <cellStyle name="Финансовый 3 12 8" xfId="4395" xr:uid="{00000000-0005-0000-0000-000050280000}"/>
    <cellStyle name="Финансовый 3 12 8 2" xfId="13040" xr:uid="{00000000-0005-0000-0000-000051280000}"/>
    <cellStyle name="Финансовый 3 12 9" xfId="6182" xr:uid="{00000000-0005-0000-0000-000052280000}"/>
    <cellStyle name="Финансовый 3 12 9 2" xfId="14825" xr:uid="{00000000-0005-0000-0000-000053280000}"/>
    <cellStyle name="Финансовый 3 13" xfId="277" xr:uid="{00000000-0005-0000-0000-000054280000}"/>
    <cellStyle name="Финансовый 3 13 2" xfId="2077" xr:uid="{00000000-0005-0000-0000-000055280000}"/>
    <cellStyle name="Финансовый 3 13 2 2" xfId="3722" xr:uid="{00000000-0005-0000-0000-000056280000}"/>
    <cellStyle name="Финансовый 3 13 2 2 2" xfId="12367" xr:uid="{00000000-0005-0000-0000-000057280000}"/>
    <cellStyle name="Финансовый 3 13 2 3" xfId="5505" xr:uid="{00000000-0005-0000-0000-000058280000}"/>
    <cellStyle name="Финансовый 3 13 2 3 2" xfId="14148" xr:uid="{00000000-0005-0000-0000-000059280000}"/>
    <cellStyle name="Финансовый 3 13 2 4" xfId="8115" xr:uid="{00000000-0005-0000-0000-00005A280000}"/>
    <cellStyle name="Финансовый 3 13 2 4 2" xfId="16758" xr:uid="{00000000-0005-0000-0000-00005B280000}"/>
    <cellStyle name="Финансовый 3 13 2 5" xfId="10722" xr:uid="{00000000-0005-0000-0000-00005C280000}"/>
    <cellStyle name="Финансовый 3 13 3" xfId="1375" xr:uid="{00000000-0005-0000-0000-00005D280000}"/>
    <cellStyle name="Финансовый 3 13 3 2" xfId="7415" xr:uid="{00000000-0005-0000-0000-00005E280000}"/>
    <cellStyle name="Финансовый 3 13 3 2 2" xfId="16058" xr:uid="{00000000-0005-0000-0000-00005F280000}"/>
    <cellStyle name="Финансовый 3 13 3 3" xfId="10022" xr:uid="{00000000-0005-0000-0000-000060280000}"/>
    <cellStyle name="Финансовый 3 13 4" xfId="698" xr:uid="{00000000-0005-0000-0000-000061280000}"/>
    <cellStyle name="Финансовый 3 13 4 2" xfId="6738" xr:uid="{00000000-0005-0000-0000-000062280000}"/>
    <cellStyle name="Финансовый 3 13 4 2 2" xfId="15381" xr:uid="{00000000-0005-0000-0000-000063280000}"/>
    <cellStyle name="Финансовый 3 13 4 3" xfId="9345" xr:uid="{00000000-0005-0000-0000-000064280000}"/>
    <cellStyle name="Финансовый 3 13 5" xfId="3159" xr:uid="{00000000-0005-0000-0000-000065280000}"/>
    <cellStyle name="Финансовый 3 13 5 2" xfId="11804" xr:uid="{00000000-0005-0000-0000-000066280000}"/>
    <cellStyle name="Финансовый 3 13 6" xfId="4803" xr:uid="{00000000-0005-0000-0000-000067280000}"/>
    <cellStyle name="Финансовый 3 13 6 2" xfId="13448" xr:uid="{00000000-0005-0000-0000-000068280000}"/>
    <cellStyle name="Финансовый 3 13 7" xfId="6318" xr:uid="{00000000-0005-0000-0000-000069280000}"/>
    <cellStyle name="Финансовый 3 13 7 2" xfId="14961" xr:uid="{00000000-0005-0000-0000-00006A280000}"/>
    <cellStyle name="Финансовый 3 13 8" xfId="8925" xr:uid="{00000000-0005-0000-0000-00006B280000}"/>
    <cellStyle name="Финансовый 3 14" xfId="290" xr:uid="{00000000-0005-0000-0000-00006C280000}"/>
    <cellStyle name="Финансовый 3 14 2" xfId="1110" xr:uid="{00000000-0005-0000-0000-00006D280000}"/>
    <cellStyle name="Финансовый 3 14 2 2" xfId="7150" xr:uid="{00000000-0005-0000-0000-00006E280000}"/>
    <cellStyle name="Финансовый 3 14 2 2 2" xfId="15793" xr:uid="{00000000-0005-0000-0000-00006F280000}"/>
    <cellStyle name="Финансовый 3 14 2 3" xfId="9757" xr:uid="{00000000-0005-0000-0000-000070280000}"/>
    <cellStyle name="Финансовый 3 14 3" xfId="710" xr:uid="{00000000-0005-0000-0000-000071280000}"/>
    <cellStyle name="Финансовый 3 14 3 2" xfId="6750" xr:uid="{00000000-0005-0000-0000-000072280000}"/>
    <cellStyle name="Финансовый 3 14 3 2 2" xfId="15393" xr:uid="{00000000-0005-0000-0000-000073280000}"/>
    <cellStyle name="Финансовый 3 14 3 3" xfId="9357" xr:uid="{00000000-0005-0000-0000-000074280000}"/>
    <cellStyle name="Финансовый 3 14 4" xfId="2887" xr:uid="{00000000-0005-0000-0000-000075280000}"/>
    <cellStyle name="Финансовый 3 14 4 2" xfId="11532" xr:uid="{00000000-0005-0000-0000-000076280000}"/>
    <cellStyle name="Финансовый 3 14 5" xfId="4531" xr:uid="{00000000-0005-0000-0000-000077280000}"/>
    <cellStyle name="Финансовый 3 14 5 2" xfId="13176" xr:uid="{00000000-0005-0000-0000-000078280000}"/>
    <cellStyle name="Финансовый 3 14 6" xfId="6330" xr:uid="{00000000-0005-0000-0000-000079280000}"/>
    <cellStyle name="Финансовый 3 14 6 2" xfId="14973" xr:uid="{00000000-0005-0000-0000-00007A280000}"/>
    <cellStyle name="Финансовый 3 14 7" xfId="8937" xr:uid="{00000000-0005-0000-0000-00007B280000}"/>
    <cellStyle name="Финансовый 3 15" xfId="1512" xr:uid="{00000000-0005-0000-0000-00007C280000}"/>
    <cellStyle name="Финансовый 3 15 2" xfId="1697" xr:uid="{00000000-0005-0000-0000-00007D280000}"/>
    <cellStyle name="Финансовый 3 15 2 2" xfId="3342" xr:uid="{00000000-0005-0000-0000-00007E280000}"/>
    <cellStyle name="Финансовый 3 15 2 2 2" xfId="11987" xr:uid="{00000000-0005-0000-0000-00007F280000}"/>
    <cellStyle name="Финансовый 3 15 2 3" xfId="5125" xr:uid="{00000000-0005-0000-0000-000080280000}"/>
    <cellStyle name="Финансовый 3 15 2 3 2" xfId="13768" xr:uid="{00000000-0005-0000-0000-000081280000}"/>
    <cellStyle name="Финансовый 3 15 2 4" xfId="7735" xr:uid="{00000000-0005-0000-0000-000082280000}"/>
    <cellStyle name="Финансовый 3 15 2 4 2" xfId="16378" xr:uid="{00000000-0005-0000-0000-000083280000}"/>
    <cellStyle name="Финансовый 3 15 2 5" xfId="10342" xr:uid="{00000000-0005-0000-0000-000084280000}"/>
    <cellStyle name="Финансовый 3 15 3" xfId="4940" xr:uid="{00000000-0005-0000-0000-000085280000}"/>
    <cellStyle name="Финансовый 3 15 3 2" xfId="13583" xr:uid="{00000000-0005-0000-0000-000086280000}"/>
    <cellStyle name="Финансовый 3 15 4" xfId="7550" xr:uid="{00000000-0005-0000-0000-000087280000}"/>
    <cellStyle name="Финансовый 3 15 4 2" xfId="16193" xr:uid="{00000000-0005-0000-0000-000088280000}"/>
    <cellStyle name="Финансовый 3 15 5" xfId="10157" xr:uid="{00000000-0005-0000-0000-000089280000}"/>
    <cellStyle name="Финансовый 3 16" xfId="2333" xr:uid="{00000000-0005-0000-0000-00008A280000}"/>
    <cellStyle name="Финансовый 3 16 2" xfId="3978" xr:uid="{00000000-0005-0000-0000-00008B280000}"/>
    <cellStyle name="Финансовый 3 16 2 2" xfId="12623" xr:uid="{00000000-0005-0000-0000-00008C280000}"/>
    <cellStyle name="Финансовый 3 16 3" xfId="5761" xr:uid="{00000000-0005-0000-0000-00008D280000}"/>
    <cellStyle name="Финансовый 3 16 3 2" xfId="14404" xr:uid="{00000000-0005-0000-0000-00008E280000}"/>
    <cellStyle name="Финансовый 3 16 4" xfId="8371" xr:uid="{00000000-0005-0000-0000-00008F280000}"/>
    <cellStyle name="Финансовый 3 16 4 2" xfId="17014" xr:uid="{00000000-0005-0000-0000-000090280000}"/>
    <cellStyle name="Финансовый 3 16 5" xfId="10978" xr:uid="{00000000-0005-0000-0000-000091280000}"/>
    <cellStyle name="Финансовый 3 17" xfId="1560" xr:uid="{00000000-0005-0000-0000-000092280000}"/>
    <cellStyle name="Финансовый 3 17 2" xfId="3205" xr:uid="{00000000-0005-0000-0000-000093280000}"/>
    <cellStyle name="Финансовый 3 17 2 2" xfId="11850" xr:uid="{00000000-0005-0000-0000-000094280000}"/>
    <cellStyle name="Финансовый 3 17 3" xfId="4988" xr:uid="{00000000-0005-0000-0000-000095280000}"/>
    <cellStyle name="Финансовый 3 17 3 2" xfId="13631" xr:uid="{00000000-0005-0000-0000-000096280000}"/>
    <cellStyle name="Финансовый 3 17 4" xfId="7598" xr:uid="{00000000-0005-0000-0000-000097280000}"/>
    <cellStyle name="Финансовый 3 17 4 2" xfId="16241" xr:uid="{00000000-0005-0000-0000-000098280000}"/>
    <cellStyle name="Финансовый 3 17 5" xfId="10205" xr:uid="{00000000-0005-0000-0000-000099280000}"/>
    <cellStyle name="Финансовый 3 18" xfId="846" xr:uid="{00000000-0005-0000-0000-00009A280000}"/>
    <cellStyle name="Финансовый 3 18 2" xfId="6886" xr:uid="{00000000-0005-0000-0000-00009B280000}"/>
    <cellStyle name="Финансовый 3 18 2 2" xfId="15529" xr:uid="{00000000-0005-0000-0000-00009C280000}"/>
    <cellStyle name="Финансовый 3 18 3" xfId="9493" xr:uid="{00000000-0005-0000-0000-00009D280000}"/>
    <cellStyle name="Финансовый 3 19" xfId="426" xr:uid="{00000000-0005-0000-0000-00009E280000}"/>
    <cellStyle name="Финансовый 3 19 2" xfId="6466" xr:uid="{00000000-0005-0000-0000-00009F280000}"/>
    <cellStyle name="Финансовый 3 19 2 2" xfId="15109" xr:uid="{00000000-0005-0000-0000-0000A0280000}"/>
    <cellStyle name="Финансовый 3 19 3" xfId="9073" xr:uid="{00000000-0005-0000-0000-0000A1280000}"/>
    <cellStyle name="Финансовый 3 2" xfId="9" xr:uid="{00000000-0005-0000-0000-0000A2280000}"/>
    <cellStyle name="Финансовый 3 2 10" xfId="283" xr:uid="{00000000-0005-0000-0000-0000A3280000}"/>
    <cellStyle name="Финансовый 3 2 10 2" xfId="2083" xr:uid="{00000000-0005-0000-0000-0000A4280000}"/>
    <cellStyle name="Финансовый 3 2 10 2 2" xfId="3728" xr:uid="{00000000-0005-0000-0000-0000A5280000}"/>
    <cellStyle name="Финансовый 3 2 10 2 2 2" xfId="12373" xr:uid="{00000000-0005-0000-0000-0000A6280000}"/>
    <cellStyle name="Финансовый 3 2 10 2 3" xfId="5511" xr:uid="{00000000-0005-0000-0000-0000A7280000}"/>
    <cellStyle name="Финансовый 3 2 10 2 3 2" xfId="14154" xr:uid="{00000000-0005-0000-0000-0000A8280000}"/>
    <cellStyle name="Финансовый 3 2 10 2 4" xfId="8121" xr:uid="{00000000-0005-0000-0000-0000A9280000}"/>
    <cellStyle name="Финансовый 3 2 10 2 4 2" xfId="16764" xr:uid="{00000000-0005-0000-0000-0000AA280000}"/>
    <cellStyle name="Финансовый 3 2 10 2 5" xfId="10728" xr:uid="{00000000-0005-0000-0000-0000AB280000}"/>
    <cellStyle name="Финансовый 3 2 10 3" xfId="1381" xr:uid="{00000000-0005-0000-0000-0000AC280000}"/>
    <cellStyle name="Финансовый 3 2 10 3 2" xfId="7421" xr:uid="{00000000-0005-0000-0000-0000AD280000}"/>
    <cellStyle name="Финансовый 3 2 10 3 2 2" xfId="16064" xr:uid="{00000000-0005-0000-0000-0000AE280000}"/>
    <cellStyle name="Финансовый 3 2 10 3 3" xfId="10028" xr:uid="{00000000-0005-0000-0000-0000AF280000}"/>
    <cellStyle name="Финансовый 3 2 10 4" xfId="704" xr:uid="{00000000-0005-0000-0000-0000B0280000}"/>
    <cellStyle name="Финансовый 3 2 10 4 2" xfId="6744" xr:uid="{00000000-0005-0000-0000-0000B1280000}"/>
    <cellStyle name="Финансовый 3 2 10 4 2 2" xfId="15387" xr:uid="{00000000-0005-0000-0000-0000B2280000}"/>
    <cellStyle name="Финансовый 3 2 10 4 3" xfId="9351" xr:uid="{00000000-0005-0000-0000-0000B3280000}"/>
    <cellStyle name="Финансовый 3 2 10 5" xfId="3165" xr:uid="{00000000-0005-0000-0000-0000B4280000}"/>
    <cellStyle name="Финансовый 3 2 10 5 2" xfId="11810" xr:uid="{00000000-0005-0000-0000-0000B5280000}"/>
    <cellStyle name="Финансовый 3 2 10 6" xfId="4809" xr:uid="{00000000-0005-0000-0000-0000B6280000}"/>
    <cellStyle name="Финансовый 3 2 10 6 2" xfId="13454" xr:uid="{00000000-0005-0000-0000-0000B7280000}"/>
    <cellStyle name="Финансовый 3 2 10 7" xfId="6324" xr:uid="{00000000-0005-0000-0000-0000B8280000}"/>
    <cellStyle name="Финансовый 3 2 10 7 2" xfId="14967" xr:uid="{00000000-0005-0000-0000-0000B9280000}"/>
    <cellStyle name="Финансовый 3 2 10 8" xfId="8931" xr:uid="{00000000-0005-0000-0000-0000BA280000}"/>
    <cellStyle name="Финансовый 3 2 11" xfId="296" xr:uid="{00000000-0005-0000-0000-0000BB280000}"/>
    <cellStyle name="Финансовый 3 2 11 2" xfId="1116" xr:uid="{00000000-0005-0000-0000-0000BC280000}"/>
    <cellStyle name="Финансовый 3 2 11 2 2" xfId="7156" xr:uid="{00000000-0005-0000-0000-0000BD280000}"/>
    <cellStyle name="Финансовый 3 2 11 2 2 2" xfId="15799" xr:uid="{00000000-0005-0000-0000-0000BE280000}"/>
    <cellStyle name="Финансовый 3 2 11 2 3" xfId="9763" xr:uid="{00000000-0005-0000-0000-0000BF280000}"/>
    <cellStyle name="Финансовый 3 2 11 3" xfId="716" xr:uid="{00000000-0005-0000-0000-0000C0280000}"/>
    <cellStyle name="Финансовый 3 2 11 3 2" xfId="6756" xr:uid="{00000000-0005-0000-0000-0000C1280000}"/>
    <cellStyle name="Финансовый 3 2 11 3 2 2" xfId="15399" xr:uid="{00000000-0005-0000-0000-0000C2280000}"/>
    <cellStyle name="Финансовый 3 2 11 3 3" xfId="9363" xr:uid="{00000000-0005-0000-0000-0000C3280000}"/>
    <cellStyle name="Финансовый 3 2 11 4" xfId="2893" xr:uid="{00000000-0005-0000-0000-0000C4280000}"/>
    <cellStyle name="Финансовый 3 2 11 4 2" xfId="11538" xr:uid="{00000000-0005-0000-0000-0000C5280000}"/>
    <cellStyle name="Финансовый 3 2 11 5" xfId="4537" xr:uid="{00000000-0005-0000-0000-0000C6280000}"/>
    <cellStyle name="Финансовый 3 2 11 5 2" xfId="13182" xr:uid="{00000000-0005-0000-0000-0000C7280000}"/>
    <cellStyle name="Финансовый 3 2 11 6" xfId="6336" xr:uid="{00000000-0005-0000-0000-0000C8280000}"/>
    <cellStyle name="Финансовый 3 2 11 6 2" xfId="14979" xr:uid="{00000000-0005-0000-0000-0000C9280000}"/>
    <cellStyle name="Финансовый 3 2 11 7" xfId="8943" xr:uid="{00000000-0005-0000-0000-0000CA280000}"/>
    <cellStyle name="Финансовый 3 2 12" xfId="1515" xr:uid="{00000000-0005-0000-0000-0000CB280000}"/>
    <cellStyle name="Финансовый 3 2 12 2" xfId="1703" xr:uid="{00000000-0005-0000-0000-0000CC280000}"/>
    <cellStyle name="Финансовый 3 2 12 2 2" xfId="3348" xr:uid="{00000000-0005-0000-0000-0000CD280000}"/>
    <cellStyle name="Финансовый 3 2 12 2 2 2" xfId="11993" xr:uid="{00000000-0005-0000-0000-0000CE280000}"/>
    <cellStyle name="Финансовый 3 2 12 2 3" xfId="5131" xr:uid="{00000000-0005-0000-0000-0000CF280000}"/>
    <cellStyle name="Финансовый 3 2 12 2 3 2" xfId="13774" xr:uid="{00000000-0005-0000-0000-0000D0280000}"/>
    <cellStyle name="Финансовый 3 2 12 2 4" xfId="7741" xr:uid="{00000000-0005-0000-0000-0000D1280000}"/>
    <cellStyle name="Финансовый 3 2 12 2 4 2" xfId="16384" xr:uid="{00000000-0005-0000-0000-0000D2280000}"/>
    <cellStyle name="Финансовый 3 2 12 2 5" xfId="10348" xr:uid="{00000000-0005-0000-0000-0000D3280000}"/>
    <cellStyle name="Финансовый 3 2 12 3" xfId="4943" xr:uid="{00000000-0005-0000-0000-0000D4280000}"/>
    <cellStyle name="Финансовый 3 2 12 3 2" xfId="13586" xr:uid="{00000000-0005-0000-0000-0000D5280000}"/>
    <cellStyle name="Финансовый 3 2 12 4" xfId="7553" xr:uid="{00000000-0005-0000-0000-0000D6280000}"/>
    <cellStyle name="Финансовый 3 2 12 4 2" xfId="16196" xr:uid="{00000000-0005-0000-0000-0000D7280000}"/>
    <cellStyle name="Финансовый 3 2 12 5" xfId="10160" xr:uid="{00000000-0005-0000-0000-0000D8280000}"/>
    <cellStyle name="Финансовый 3 2 13" xfId="2339" xr:uid="{00000000-0005-0000-0000-0000D9280000}"/>
    <cellStyle name="Финансовый 3 2 13 2" xfId="3984" xr:uid="{00000000-0005-0000-0000-0000DA280000}"/>
    <cellStyle name="Финансовый 3 2 13 2 2" xfId="12629" xr:uid="{00000000-0005-0000-0000-0000DB280000}"/>
    <cellStyle name="Финансовый 3 2 13 3" xfId="5767" xr:uid="{00000000-0005-0000-0000-0000DC280000}"/>
    <cellStyle name="Финансовый 3 2 13 3 2" xfId="14410" xr:uid="{00000000-0005-0000-0000-0000DD280000}"/>
    <cellStyle name="Финансовый 3 2 13 4" xfId="8377" xr:uid="{00000000-0005-0000-0000-0000DE280000}"/>
    <cellStyle name="Финансовый 3 2 13 4 2" xfId="17020" xr:uid="{00000000-0005-0000-0000-0000DF280000}"/>
    <cellStyle name="Финансовый 3 2 13 5" xfId="10984" xr:uid="{00000000-0005-0000-0000-0000E0280000}"/>
    <cellStyle name="Финансовый 3 2 14" xfId="1566" xr:uid="{00000000-0005-0000-0000-0000E1280000}"/>
    <cellStyle name="Финансовый 3 2 14 2" xfId="3211" xr:uid="{00000000-0005-0000-0000-0000E2280000}"/>
    <cellStyle name="Финансовый 3 2 14 2 2" xfId="11856" xr:uid="{00000000-0005-0000-0000-0000E3280000}"/>
    <cellStyle name="Финансовый 3 2 14 3" xfId="4994" xr:uid="{00000000-0005-0000-0000-0000E4280000}"/>
    <cellStyle name="Финансовый 3 2 14 3 2" xfId="13637" xr:uid="{00000000-0005-0000-0000-0000E5280000}"/>
    <cellStyle name="Финансовый 3 2 14 4" xfId="7604" xr:uid="{00000000-0005-0000-0000-0000E6280000}"/>
    <cellStyle name="Финансовый 3 2 14 4 2" xfId="16247" xr:uid="{00000000-0005-0000-0000-0000E7280000}"/>
    <cellStyle name="Финансовый 3 2 14 5" xfId="10211" xr:uid="{00000000-0005-0000-0000-0000E8280000}"/>
    <cellStyle name="Финансовый 3 2 15" xfId="852" xr:uid="{00000000-0005-0000-0000-0000E9280000}"/>
    <cellStyle name="Финансовый 3 2 15 2" xfId="6892" xr:uid="{00000000-0005-0000-0000-0000EA280000}"/>
    <cellStyle name="Финансовый 3 2 15 2 2" xfId="15535" xr:uid="{00000000-0005-0000-0000-0000EB280000}"/>
    <cellStyle name="Финансовый 3 2 15 3" xfId="9499" xr:uid="{00000000-0005-0000-0000-0000EC280000}"/>
    <cellStyle name="Финансовый 3 2 16" xfId="432" xr:uid="{00000000-0005-0000-0000-0000ED280000}"/>
    <cellStyle name="Финансовый 3 2 16 2" xfId="6472" xr:uid="{00000000-0005-0000-0000-0000EE280000}"/>
    <cellStyle name="Финансовый 3 2 16 2 2" xfId="15115" xr:uid="{00000000-0005-0000-0000-0000EF280000}"/>
    <cellStyle name="Финансовый 3 2 16 3" xfId="9079" xr:uid="{00000000-0005-0000-0000-0000F0280000}"/>
    <cellStyle name="Финансовый 3 2 17" xfId="2621" xr:uid="{00000000-0005-0000-0000-0000F1280000}"/>
    <cellStyle name="Финансовый 3 2 17 2" xfId="11266" xr:uid="{00000000-0005-0000-0000-0000F2280000}"/>
    <cellStyle name="Финансовый 3 2 18" xfId="4264" xr:uid="{00000000-0005-0000-0000-0000F3280000}"/>
    <cellStyle name="Финансовый 3 2 18 2" xfId="12909" xr:uid="{00000000-0005-0000-0000-0000F4280000}"/>
    <cellStyle name="Финансовый 3 2 19" xfId="6052" xr:uid="{00000000-0005-0000-0000-0000F5280000}"/>
    <cellStyle name="Финансовый 3 2 19 2" xfId="14695" xr:uid="{00000000-0005-0000-0000-0000F6280000}"/>
    <cellStyle name="Финансовый 3 2 2" xfId="45" xr:uid="{00000000-0005-0000-0000-0000F7280000}"/>
    <cellStyle name="Финансовый 3 2 2 10" xfId="468" xr:uid="{00000000-0005-0000-0000-0000F8280000}"/>
    <cellStyle name="Финансовый 3 2 2 10 2" xfId="6508" xr:uid="{00000000-0005-0000-0000-0000F9280000}"/>
    <cellStyle name="Финансовый 3 2 2 10 2 2" xfId="15151" xr:uid="{00000000-0005-0000-0000-0000FA280000}"/>
    <cellStyle name="Финансовый 3 2 2 10 3" xfId="9115" xr:uid="{00000000-0005-0000-0000-0000FB280000}"/>
    <cellStyle name="Финансовый 3 2 2 11" xfId="2657" xr:uid="{00000000-0005-0000-0000-0000FC280000}"/>
    <cellStyle name="Финансовый 3 2 2 11 2" xfId="11302" xr:uid="{00000000-0005-0000-0000-0000FD280000}"/>
    <cellStyle name="Финансовый 3 2 2 12" xfId="4300" xr:uid="{00000000-0005-0000-0000-0000FE280000}"/>
    <cellStyle name="Финансовый 3 2 2 12 2" xfId="12945" xr:uid="{00000000-0005-0000-0000-0000FF280000}"/>
    <cellStyle name="Финансовый 3 2 2 13" xfId="6088" xr:uid="{00000000-0005-0000-0000-000000290000}"/>
    <cellStyle name="Финансовый 3 2 2 13 2" xfId="14731" xr:uid="{00000000-0005-0000-0000-000001290000}"/>
    <cellStyle name="Финансовый 3 2 2 14" xfId="8695" xr:uid="{00000000-0005-0000-0000-000002290000}"/>
    <cellStyle name="Финансовый 3 2 2 2" xfId="103" xr:uid="{00000000-0005-0000-0000-000003290000}"/>
    <cellStyle name="Финансовый 3 2 2 2 10" xfId="2713" xr:uid="{00000000-0005-0000-0000-000004290000}"/>
    <cellStyle name="Финансовый 3 2 2 2 10 2" xfId="11358" xr:uid="{00000000-0005-0000-0000-000005290000}"/>
    <cellStyle name="Финансовый 3 2 2 2 11" xfId="4357" xr:uid="{00000000-0005-0000-0000-000006290000}"/>
    <cellStyle name="Финансовый 3 2 2 2 11 2" xfId="13002" xr:uid="{00000000-0005-0000-0000-000007290000}"/>
    <cellStyle name="Финансовый 3 2 2 2 12" xfId="6144" xr:uid="{00000000-0005-0000-0000-000008290000}"/>
    <cellStyle name="Финансовый 3 2 2 2 12 2" xfId="14787" xr:uid="{00000000-0005-0000-0000-000009290000}"/>
    <cellStyle name="Финансовый 3 2 2 2 13" xfId="8751" xr:uid="{00000000-0005-0000-0000-00000A290000}"/>
    <cellStyle name="Финансовый 3 2 2 2 2" xfId="239" xr:uid="{00000000-0005-0000-0000-00000B290000}"/>
    <cellStyle name="Финансовый 3 2 2 2 2 10" xfId="8887" xr:uid="{00000000-0005-0000-0000-00000C290000}"/>
    <cellStyle name="Финансовый 3 2 2 2 2 2" xfId="1337" xr:uid="{00000000-0005-0000-0000-00000D290000}"/>
    <cellStyle name="Финансовый 3 2 2 2 2 2 2" xfId="2295" xr:uid="{00000000-0005-0000-0000-00000E290000}"/>
    <cellStyle name="Финансовый 3 2 2 2 2 2 2 2" xfId="3940" xr:uid="{00000000-0005-0000-0000-00000F290000}"/>
    <cellStyle name="Финансовый 3 2 2 2 2 2 2 2 2" xfId="12585" xr:uid="{00000000-0005-0000-0000-000010290000}"/>
    <cellStyle name="Финансовый 3 2 2 2 2 2 2 3" xfId="5723" xr:uid="{00000000-0005-0000-0000-000011290000}"/>
    <cellStyle name="Финансовый 3 2 2 2 2 2 2 3 2" xfId="14366" xr:uid="{00000000-0005-0000-0000-000012290000}"/>
    <cellStyle name="Финансовый 3 2 2 2 2 2 2 4" xfId="8333" xr:uid="{00000000-0005-0000-0000-000013290000}"/>
    <cellStyle name="Финансовый 3 2 2 2 2 2 2 4 2" xfId="16976" xr:uid="{00000000-0005-0000-0000-000014290000}"/>
    <cellStyle name="Финансовый 3 2 2 2 2 2 2 5" xfId="10940" xr:uid="{00000000-0005-0000-0000-000015290000}"/>
    <cellStyle name="Финансовый 3 2 2 2 2 2 3" xfId="3121" xr:uid="{00000000-0005-0000-0000-000016290000}"/>
    <cellStyle name="Финансовый 3 2 2 2 2 2 3 2" xfId="11766" xr:uid="{00000000-0005-0000-0000-000017290000}"/>
    <cellStyle name="Финансовый 3 2 2 2 2 2 4" xfId="4765" xr:uid="{00000000-0005-0000-0000-000018290000}"/>
    <cellStyle name="Финансовый 3 2 2 2 2 2 4 2" xfId="13410" xr:uid="{00000000-0005-0000-0000-000019290000}"/>
    <cellStyle name="Финансовый 3 2 2 2 2 2 5" xfId="7377" xr:uid="{00000000-0005-0000-0000-00001A290000}"/>
    <cellStyle name="Финансовый 3 2 2 2 2 2 5 2" xfId="16020" xr:uid="{00000000-0005-0000-0000-00001B290000}"/>
    <cellStyle name="Финансовый 3 2 2 2 2 2 6" xfId="9984" xr:uid="{00000000-0005-0000-0000-00001C290000}"/>
    <cellStyle name="Финансовый 3 2 2 2 2 3" xfId="2039" xr:uid="{00000000-0005-0000-0000-00001D290000}"/>
    <cellStyle name="Финансовый 3 2 2 2 2 3 2" xfId="3684" xr:uid="{00000000-0005-0000-0000-00001E290000}"/>
    <cellStyle name="Финансовый 3 2 2 2 2 3 2 2" xfId="12329" xr:uid="{00000000-0005-0000-0000-00001F290000}"/>
    <cellStyle name="Финансовый 3 2 2 2 2 3 3" xfId="5467" xr:uid="{00000000-0005-0000-0000-000020290000}"/>
    <cellStyle name="Финансовый 3 2 2 2 2 3 3 2" xfId="14110" xr:uid="{00000000-0005-0000-0000-000021290000}"/>
    <cellStyle name="Финансовый 3 2 2 2 2 3 4" xfId="8077" xr:uid="{00000000-0005-0000-0000-000022290000}"/>
    <cellStyle name="Финансовый 3 2 2 2 2 3 4 2" xfId="16720" xr:uid="{00000000-0005-0000-0000-000023290000}"/>
    <cellStyle name="Финансовый 3 2 2 2 2 3 5" xfId="10684" xr:uid="{00000000-0005-0000-0000-000024290000}"/>
    <cellStyle name="Финансовый 3 2 2 2 2 4" xfId="2568" xr:uid="{00000000-0005-0000-0000-000025290000}"/>
    <cellStyle name="Финансовый 3 2 2 2 2 4 2" xfId="4213" xr:uid="{00000000-0005-0000-0000-000026290000}"/>
    <cellStyle name="Финансовый 3 2 2 2 2 4 2 2" xfId="12858" xr:uid="{00000000-0005-0000-0000-000027290000}"/>
    <cellStyle name="Финансовый 3 2 2 2 2 4 3" xfId="5996" xr:uid="{00000000-0005-0000-0000-000028290000}"/>
    <cellStyle name="Финансовый 3 2 2 2 2 4 3 2" xfId="14639" xr:uid="{00000000-0005-0000-0000-000029290000}"/>
    <cellStyle name="Финансовый 3 2 2 2 2 4 4" xfId="8606" xr:uid="{00000000-0005-0000-0000-00002A290000}"/>
    <cellStyle name="Финансовый 3 2 2 2 2 4 4 2" xfId="17249" xr:uid="{00000000-0005-0000-0000-00002B290000}"/>
    <cellStyle name="Финансовый 3 2 2 2 2 4 5" xfId="11213" xr:uid="{00000000-0005-0000-0000-00002C290000}"/>
    <cellStyle name="Финансовый 3 2 2 2 2 5" xfId="1072" xr:uid="{00000000-0005-0000-0000-00002D290000}"/>
    <cellStyle name="Финансовый 3 2 2 2 2 5 2" xfId="7112" xr:uid="{00000000-0005-0000-0000-00002E290000}"/>
    <cellStyle name="Финансовый 3 2 2 2 2 5 2 2" xfId="15755" xr:uid="{00000000-0005-0000-0000-00002F290000}"/>
    <cellStyle name="Финансовый 3 2 2 2 2 5 3" xfId="9719" xr:uid="{00000000-0005-0000-0000-000030290000}"/>
    <cellStyle name="Финансовый 3 2 2 2 2 6" xfId="660" xr:uid="{00000000-0005-0000-0000-000031290000}"/>
    <cellStyle name="Финансовый 3 2 2 2 2 6 2" xfId="6700" xr:uid="{00000000-0005-0000-0000-000032290000}"/>
    <cellStyle name="Финансовый 3 2 2 2 2 6 2 2" xfId="15343" xr:uid="{00000000-0005-0000-0000-000033290000}"/>
    <cellStyle name="Финансовый 3 2 2 2 2 6 3" xfId="9307" xr:uid="{00000000-0005-0000-0000-000034290000}"/>
    <cellStyle name="Финансовый 3 2 2 2 2 7" xfId="2849" xr:uid="{00000000-0005-0000-0000-000035290000}"/>
    <cellStyle name="Финансовый 3 2 2 2 2 7 2" xfId="11494" xr:uid="{00000000-0005-0000-0000-000036290000}"/>
    <cellStyle name="Финансовый 3 2 2 2 2 8" xfId="4493" xr:uid="{00000000-0005-0000-0000-000037290000}"/>
    <cellStyle name="Финансовый 3 2 2 2 2 8 2" xfId="13138" xr:uid="{00000000-0005-0000-0000-000038290000}"/>
    <cellStyle name="Финансовый 3 2 2 2 2 9" xfId="6280" xr:uid="{00000000-0005-0000-0000-000039290000}"/>
    <cellStyle name="Финансовый 3 2 2 2 2 9 2" xfId="14923" xr:uid="{00000000-0005-0000-0000-00003A290000}"/>
    <cellStyle name="Финансовый 3 2 2 2 3" xfId="388" xr:uid="{00000000-0005-0000-0000-00003B290000}"/>
    <cellStyle name="Финансовый 3 2 2 2 3 2" xfId="2167" xr:uid="{00000000-0005-0000-0000-00003C290000}"/>
    <cellStyle name="Финансовый 3 2 2 2 3 2 2" xfId="3812" xr:uid="{00000000-0005-0000-0000-00003D290000}"/>
    <cellStyle name="Финансовый 3 2 2 2 3 2 2 2" xfId="12457" xr:uid="{00000000-0005-0000-0000-00003E290000}"/>
    <cellStyle name="Финансовый 3 2 2 2 3 2 3" xfId="5595" xr:uid="{00000000-0005-0000-0000-00003F290000}"/>
    <cellStyle name="Финансовый 3 2 2 2 3 2 3 2" xfId="14238" xr:uid="{00000000-0005-0000-0000-000040290000}"/>
    <cellStyle name="Финансовый 3 2 2 2 3 2 4" xfId="8205" xr:uid="{00000000-0005-0000-0000-000041290000}"/>
    <cellStyle name="Финансовый 3 2 2 2 3 2 4 2" xfId="16848" xr:uid="{00000000-0005-0000-0000-000042290000}"/>
    <cellStyle name="Финансовый 3 2 2 2 3 2 5" xfId="10812" xr:uid="{00000000-0005-0000-0000-000043290000}"/>
    <cellStyle name="Финансовый 3 2 2 2 3 3" xfId="1201" xr:uid="{00000000-0005-0000-0000-000044290000}"/>
    <cellStyle name="Финансовый 3 2 2 2 3 3 2" xfId="7241" xr:uid="{00000000-0005-0000-0000-000045290000}"/>
    <cellStyle name="Финансовый 3 2 2 2 3 3 2 2" xfId="15884" xr:uid="{00000000-0005-0000-0000-000046290000}"/>
    <cellStyle name="Финансовый 3 2 2 2 3 3 3" xfId="9848" xr:uid="{00000000-0005-0000-0000-000047290000}"/>
    <cellStyle name="Финансовый 3 2 2 2 3 4" xfId="808" xr:uid="{00000000-0005-0000-0000-000048290000}"/>
    <cellStyle name="Финансовый 3 2 2 2 3 4 2" xfId="6848" xr:uid="{00000000-0005-0000-0000-000049290000}"/>
    <cellStyle name="Финансовый 3 2 2 2 3 4 2 2" xfId="15491" xr:uid="{00000000-0005-0000-0000-00004A290000}"/>
    <cellStyle name="Финансовый 3 2 2 2 3 4 3" xfId="9455" xr:uid="{00000000-0005-0000-0000-00004B290000}"/>
    <cellStyle name="Финансовый 3 2 2 2 3 5" xfId="2985" xr:uid="{00000000-0005-0000-0000-00004C290000}"/>
    <cellStyle name="Финансовый 3 2 2 2 3 5 2" xfId="11630" xr:uid="{00000000-0005-0000-0000-00004D290000}"/>
    <cellStyle name="Финансовый 3 2 2 2 3 6" xfId="4629" xr:uid="{00000000-0005-0000-0000-00004E290000}"/>
    <cellStyle name="Финансовый 3 2 2 2 3 6 2" xfId="13274" xr:uid="{00000000-0005-0000-0000-00004F290000}"/>
    <cellStyle name="Финансовый 3 2 2 2 3 7" xfId="6428" xr:uid="{00000000-0005-0000-0000-000050290000}"/>
    <cellStyle name="Финансовый 3 2 2 2 3 7 2" xfId="15071" xr:uid="{00000000-0005-0000-0000-000051290000}"/>
    <cellStyle name="Финансовый 3 2 2 2 3 8" xfId="9035" xr:uid="{00000000-0005-0000-0000-000052290000}"/>
    <cellStyle name="Финансовый 3 2 2 2 4" xfId="1517" xr:uid="{00000000-0005-0000-0000-000053290000}"/>
    <cellStyle name="Финансовый 3 2 2 2 4 2" xfId="1911" xr:uid="{00000000-0005-0000-0000-000054290000}"/>
    <cellStyle name="Финансовый 3 2 2 2 4 2 2" xfId="3556" xr:uid="{00000000-0005-0000-0000-000055290000}"/>
    <cellStyle name="Финансовый 3 2 2 2 4 2 2 2" xfId="12201" xr:uid="{00000000-0005-0000-0000-000056290000}"/>
    <cellStyle name="Финансовый 3 2 2 2 4 2 3" xfId="5339" xr:uid="{00000000-0005-0000-0000-000057290000}"/>
    <cellStyle name="Финансовый 3 2 2 2 4 2 3 2" xfId="13982" xr:uid="{00000000-0005-0000-0000-000058290000}"/>
    <cellStyle name="Финансовый 3 2 2 2 4 2 4" xfId="7949" xr:uid="{00000000-0005-0000-0000-000059290000}"/>
    <cellStyle name="Финансовый 3 2 2 2 4 2 4 2" xfId="16592" xr:uid="{00000000-0005-0000-0000-00005A290000}"/>
    <cellStyle name="Финансовый 3 2 2 2 4 2 5" xfId="10556" xr:uid="{00000000-0005-0000-0000-00005B290000}"/>
    <cellStyle name="Финансовый 3 2 2 2 4 3" xfId="4945" xr:uid="{00000000-0005-0000-0000-00005C290000}"/>
    <cellStyle name="Финансовый 3 2 2 2 4 3 2" xfId="13588" xr:uid="{00000000-0005-0000-0000-00005D290000}"/>
    <cellStyle name="Финансовый 3 2 2 2 4 4" xfId="7555" xr:uid="{00000000-0005-0000-0000-00005E290000}"/>
    <cellStyle name="Финансовый 3 2 2 2 4 4 2" xfId="16198" xr:uid="{00000000-0005-0000-0000-00005F290000}"/>
    <cellStyle name="Финансовый 3 2 2 2 4 5" xfId="10162" xr:uid="{00000000-0005-0000-0000-000060290000}"/>
    <cellStyle name="Финансовый 3 2 2 2 5" xfId="1787" xr:uid="{00000000-0005-0000-0000-000061290000}"/>
    <cellStyle name="Финансовый 3 2 2 2 5 2" xfId="3432" xr:uid="{00000000-0005-0000-0000-000062290000}"/>
    <cellStyle name="Финансовый 3 2 2 2 5 2 2" xfId="12077" xr:uid="{00000000-0005-0000-0000-000063290000}"/>
    <cellStyle name="Финансовый 3 2 2 2 5 3" xfId="5215" xr:uid="{00000000-0005-0000-0000-000064290000}"/>
    <cellStyle name="Финансовый 3 2 2 2 5 3 2" xfId="13858" xr:uid="{00000000-0005-0000-0000-000065290000}"/>
    <cellStyle name="Финансовый 3 2 2 2 5 4" xfId="7825" xr:uid="{00000000-0005-0000-0000-000066290000}"/>
    <cellStyle name="Финансовый 3 2 2 2 5 4 2" xfId="16468" xr:uid="{00000000-0005-0000-0000-000067290000}"/>
    <cellStyle name="Финансовый 3 2 2 2 5 5" xfId="10432" xr:uid="{00000000-0005-0000-0000-000068290000}"/>
    <cellStyle name="Финансовый 3 2 2 2 6" xfId="2432" xr:uid="{00000000-0005-0000-0000-000069290000}"/>
    <cellStyle name="Финансовый 3 2 2 2 6 2" xfId="4077" xr:uid="{00000000-0005-0000-0000-00006A290000}"/>
    <cellStyle name="Финансовый 3 2 2 2 6 2 2" xfId="12722" xr:uid="{00000000-0005-0000-0000-00006B290000}"/>
    <cellStyle name="Финансовый 3 2 2 2 6 3" xfId="5860" xr:uid="{00000000-0005-0000-0000-00006C290000}"/>
    <cellStyle name="Финансовый 3 2 2 2 6 3 2" xfId="14503" xr:uid="{00000000-0005-0000-0000-00006D290000}"/>
    <cellStyle name="Финансовый 3 2 2 2 6 4" xfId="8470" xr:uid="{00000000-0005-0000-0000-00006E290000}"/>
    <cellStyle name="Финансовый 3 2 2 2 6 4 2" xfId="17113" xr:uid="{00000000-0005-0000-0000-00006F290000}"/>
    <cellStyle name="Финансовый 3 2 2 2 6 5" xfId="11077" xr:uid="{00000000-0005-0000-0000-000070290000}"/>
    <cellStyle name="Финансовый 3 2 2 2 7" xfId="1659" xr:uid="{00000000-0005-0000-0000-000071290000}"/>
    <cellStyle name="Финансовый 3 2 2 2 7 2" xfId="3304" xr:uid="{00000000-0005-0000-0000-000072290000}"/>
    <cellStyle name="Финансовый 3 2 2 2 7 2 2" xfId="11949" xr:uid="{00000000-0005-0000-0000-000073290000}"/>
    <cellStyle name="Финансовый 3 2 2 2 7 3" xfId="5087" xr:uid="{00000000-0005-0000-0000-000074290000}"/>
    <cellStyle name="Финансовый 3 2 2 2 7 3 2" xfId="13730" xr:uid="{00000000-0005-0000-0000-000075290000}"/>
    <cellStyle name="Финансовый 3 2 2 2 7 4" xfId="7697" xr:uid="{00000000-0005-0000-0000-000076290000}"/>
    <cellStyle name="Финансовый 3 2 2 2 7 4 2" xfId="16340" xr:uid="{00000000-0005-0000-0000-000077290000}"/>
    <cellStyle name="Финансовый 3 2 2 2 7 5" xfId="10304" xr:uid="{00000000-0005-0000-0000-000078290000}"/>
    <cellStyle name="Финансовый 3 2 2 2 8" xfId="936" xr:uid="{00000000-0005-0000-0000-000079290000}"/>
    <cellStyle name="Финансовый 3 2 2 2 8 2" xfId="6976" xr:uid="{00000000-0005-0000-0000-00007A290000}"/>
    <cellStyle name="Финансовый 3 2 2 2 8 2 2" xfId="15619" xr:uid="{00000000-0005-0000-0000-00007B290000}"/>
    <cellStyle name="Финансовый 3 2 2 2 8 3" xfId="9583" xr:uid="{00000000-0005-0000-0000-00007C290000}"/>
    <cellStyle name="Финансовый 3 2 2 2 9" xfId="524" xr:uid="{00000000-0005-0000-0000-00007D290000}"/>
    <cellStyle name="Финансовый 3 2 2 2 9 2" xfId="6564" xr:uid="{00000000-0005-0000-0000-00007E290000}"/>
    <cellStyle name="Финансовый 3 2 2 2 9 2 2" xfId="15207" xr:uid="{00000000-0005-0000-0000-00007F290000}"/>
    <cellStyle name="Финансовый 3 2 2 2 9 3" xfId="9171" xr:uid="{00000000-0005-0000-0000-000080290000}"/>
    <cellStyle name="Финансовый 3 2 2 3" xfId="183" xr:uid="{00000000-0005-0000-0000-000081290000}"/>
    <cellStyle name="Финансовый 3 2 2 3 10" xfId="8831" xr:uid="{00000000-0005-0000-0000-000082290000}"/>
    <cellStyle name="Финансовый 3 2 2 3 2" xfId="1281" xr:uid="{00000000-0005-0000-0000-000083290000}"/>
    <cellStyle name="Финансовый 3 2 2 3 2 2" xfId="2247" xr:uid="{00000000-0005-0000-0000-000084290000}"/>
    <cellStyle name="Финансовый 3 2 2 3 2 2 2" xfId="3892" xr:uid="{00000000-0005-0000-0000-000085290000}"/>
    <cellStyle name="Финансовый 3 2 2 3 2 2 2 2" xfId="12537" xr:uid="{00000000-0005-0000-0000-000086290000}"/>
    <cellStyle name="Финансовый 3 2 2 3 2 2 3" xfId="5675" xr:uid="{00000000-0005-0000-0000-000087290000}"/>
    <cellStyle name="Финансовый 3 2 2 3 2 2 3 2" xfId="14318" xr:uid="{00000000-0005-0000-0000-000088290000}"/>
    <cellStyle name="Финансовый 3 2 2 3 2 2 4" xfId="8285" xr:uid="{00000000-0005-0000-0000-000089290000}"/>
    <cellStyle name="Финансовый 3 2 2 3 2 2 4 2" xfId="16928" xr:uid="{00000000-0005-0000-0000-00008A290000}"/>
    <cellStyle name="Финансовый 3 2 2 3 2 2 5" xfId="10892" xr:uid="{00000000-0005-0000-0000-00008B290000}"/>
    <cellStyle name="Финансовый 3 2 2 3 2 3" xfId="3065" xr:uid="{00000000-0005-0000-0000-00008C290000}"/>
    <cellStyle name="Финансовый 3 2 2 3 2 3 2" xfId="11710" xr:uid="{00000000-0005-0000-0000-00008D290000}"/>
    <cellStyle name="Финансовый 3 2 2 3 2 4" xfId="4709" xr:uid="{00000000-0005-0000-0000-00008E290000}"/>
    <cellStyle name="Финансовый 3 2 2 3 2 4 2" xfId="13354" xr:uid="{00000000-0005-0000-0000-00008F290000}"/>
    <cellStyle name="Финансовый 3 2 2 3 2 5" xfId="7321" xr:uid="{00000000-0005-0000-0000-000090290000}"/>
    <cellStyle name="Финансовый 3 2 2 3 2 5 2" xfId="15964" xr:uid="{00000000-0005-0000-0000-000091290000}"/>
    <cellStyle name="Финансовый 3 2 2 3 2 6" xfId="9928" xr:uid="{00000000-0005-0000-0000-000092290000}"/>
    <cellStyle name="Финансовый 3 2 2 3 3" xfId="1991" xr:uid="{00000000-0005-0000-0000-000093290000}"/>
    <cellStyle name="Финансовый 3 2 2 3 3 2" xfId="3636" xr:uid="{00000000-0005-0000-0000-000094290000}"/>
    <cellStyle name="Финансовый 3 2 2 3 3 2 2" xfId="12281" xr:uid="{00000000-0005-0000-0000-000095290000}"/>
    <cellStyle name="Финансовый 3 2 2 3 3 3" xfId="5419" xr:uid="{00000000-0005-0000-0000-000096290000}"/>
    <cellStyle name="Финансовый 3 2 2 3 3 3 2" xfId="14062" xr:uid="{00000000-0005-0000-0000-000097290000}"/>
    <cellStyle name="Финансовый 3 2 2 3 3 4" xfId="8029" xr:uid="{00000000-0005-0000-0000-000098290000}"/>
    <cellStyle name="Финансовый 3 2 2 3 3 4 2" xfId="16672" xr:uid="{00000000-0005-0000-0000-000099290000}"/>
    <cellStyle name="Финансовый 3 2 2 3 3 5" xfId="10636" xr:uid="{00000000-0005-0000-0000-00009A290000}"/>
    <cellStyle name="Финансовый 3 2 2 3 4" xfId="2512" xr:uid="{00000000-0005-0000-0000-00009B290000}"/>
    <cellStyle name="Финансовый 3 2 2 3 4 2" xfId="4157" xr:uid="{00000000-0005-0000-0000-00009C290000}"/>
    <cellStyle name="Финансовый 3 2 2 3 4 2 2" xfId="12802" xr:uid="{00000000-0005-0000-0000-00009D290000}"/>
    <cellStyle name="Финансовый 3 2 2 3 4 3" xfId="5940" xr:uid="{00000000-0005-0000-0000-00009E290000}"/>
    <cellStyle name="Финансовый 3 2 2 3 4 3 2" xfId="14583" xr:uid="{00000000-0005-0000-0000-00009F290000}"/>
    <cellStyle name="Финансовый 3 2 2 3 4 4" xfId="8550" xr:uid="{00000000-0005-0000-0000-0000A0290000}"/>
    <cellStyle name="Финансовый 3 2 2 3 4 4 2" xfId="17193" xr:uid="{00000000-0005-0000-0000-0000A1290000}"/>
    <cellStyle name="Финансовый 3 2 2 3 4 5" xfId="11157" xr:uid="{00000000-0005-0000-0000-0000A2290000}"/>
    <cellStyle name="Финансовый 3 2 2 3 5" xfId="1016" xr:uid="{00000000-0005-0000-0000-0000A3290000}"/>
    <cellStyle name="Финансовый 3 2 2 3 5 2" xfId="7056" xr:uid="{00000000-0005-0000-0000-0000A4290000}"/>
    <cellStyle name="Финансовый 3 2 2 3 5 2 2" xfId="15699" xr:uid="{00000000-0005-0000-0000-0000A5290000}"/>
    <cellStyle name="Финансовый 3 2 2 3 5 3" xfId="9663" xr:uid="{00000000-0005-0000-0000-0000A6290000}"/>
    <cellStyle name="Финансовый 3 2 2 3 6" xfId="604" xr:uid="{00000000-0005-0000-0000-0000A7290000}"/>
    <cellStyle name="Финансовый 3 2 2 3 6 2" xfId="6644" xr:uid="{00000000-0005-0000-0000-0000A8290000}"/>
    <cellStyle name="Финансовый 3 2 2 3 6 2 2" xfId="15287" xr:uid="{00000000-0005-0000-0000-0000A9290000}"/>
    <cellStyle name="Финансовый 3 2 2 3 6 3" xfId="9251" xr:uid="{00000000-0005-0000-0000-0000AA290000}"/>
    <cellStyle name="Финансовый 3 2 2 3 7" xfId="2793" xr:uid="{00000000-0005-0000-0000-0000AB290000}"/>
    <cellStyle name="Финансовый 3 2 2 3 7 2" xfId="11438" xr:uid="{00000000-0005-0000-0000-0000AC290000}"/>
    <cellStyle name="Финансовый 3 2 2 3 8" xfId="4437" xr:uid="{00000000-0005-0000-0000-0000AD290000}"/>
    <cellStyle name="Финансовый 3 2 2 3 8 2" xfId="13082" xr:uid="{00000000-0005-0000-0000-0000AE290000}"/>
    <cellStyle name="Финансовый 3 2 2 3 9" xfId="6224" xr:uid="{00000000-0005-0000-0000-0000AF290000}"/>
    <cellStyle name="Финансовый 3 2 2 3 9 2" xfId="14867" xr:uid="{00000000-0005-0000-0000-0000B0290000}"/>
    <cellStyle name="Финансовый 3 2 2 4" xfId="332" xr:uid="{00000000-0005-0000-0000-0000B1290000}"/>
    <cellStyle name="Финансовый 3 2 2 4 2" xfId="2119" xr:uid="{00000000-0005-0000-0000-0000B2290000}"/>
    <cellStyle name="Финансовый 3 2 2 4 2 2" xfId="3764" xr:uid="{00000000-0005-0000-0000-0000B3290000}"/>
    <cellStyle name="Финансовый 3 2 2 4 2 2 2" xfId="12409" xr:uid="{00000000-0005-0000-0000-0000B4290000}"/>
    <cellStyle name="Финансовый 3 2 2 4 2 3" xfId="5547" xr:uid="{00000000-0005-0000-0000-0000B5290000}"/>
    <cellStyle name="Финансовый 3 2 2 4 2 3 2" xfId="14190" xr:uid="{00000000-0005-0000-0000-0000B6290000}"/>
    <cellStyle name="Финансовый 3 2 2 4 2 4" xfId="8157" xr:uid="{00000000-0005-0000-0000-0000B7290000}"/>
    <cellStyle name="Финансовый 3 2 2 4 2 4 2" xfId="16800" xr:uid="{00000000-0005-0000-0000-0000B8290000}"/>
    <cellStyle name="Финансовый 3 2 2 4 2 5" xfId="10764" xr:uid="{00000000-0005-0000-0000-0000B9290000}"/>
    <cellStyle name="Финансовый 3 2 2 4 3" xfId="1152" xr:uid="{00000000-0005-0000-0000-0000BA290000}"/>
    <cellStyle name="Финансовый 3 2 2 4 3 2" xfId="7192" xr:uid="{00000000-0005-0000-0000-0000BB290000}"/>
    <cellStyle name="Финансовый 3 2 2 4 3 2 2" xfId="15835" xr:uid="{00000000-0005-0000-0000-0000BC290000}"/>
    <cellStyle name="Финансовый 3 2 2 4 3 3" xfId="9799" xr:uid="{00000000-0005-0000-0000-0000BD290000}"/>
    <cellStyle name="Финансовый 3 2 2 4 4" xfId="752" xr:uid="{00000000-0005-0000-0000-0000BE290000}"/>
    <cellStyle name="Финансовый 3 2 2 4 4 2" xfId="6792" xr:uid="{00000000-0005-0000-0000-0000BF290000}"/>
    <cellStyle name="Финансовый 3 2 2 4 4 2 2" xfId="15435" xr:uid="{00000000-0005-0000-0000-0000C0290000}"/>
    <cellStyle name="Финансовый 3 2 2 4 4 3" xfId="9399" xr:uid="{00000000-0005-0000-0000-0000C1290000}"/>
    <cellStyle name="Финансовый 3 2 2 4 5" xfId="2929" xr:uid="{00000000-0005-0000-0000-0000C2290000}"/>
    <cellStyle name="Финансовый 3 2 2 4 5 2" xfId="11574" xr:uid="{00000000-0005-0000-0000-0000C3290000}"/>
    <cellStyle name="Финансовый 3 2 2 4 6" xfId="4573" xr:uid="{00000000-0005-0000-0000-0000C4290000}"/>
    <cellStyle name="Финансовый 3 2 2 4 6 2" xfId="13218" xr:uid="{00000000-0005-0000-0000-0000C5290000}"/>
    <cellStyle name="Финансовый 3 2 2 4 7" xfId="6372" xr:uid="{00000000-0005-0000-0000-0000C6290000}"/>
    <cellStyle name="Финансовый 3 2 2 4 7 2" xfId="15015" xr:uid="{00000000-0005-0000-0000-0000C7290000}"/>
    <cellStyle name="Финансовый 3 2 2 4 8" xfId="8979" xr:uid="{00000000-0005-0000-0000-0000C8290000}"/>
    <cellStyle name="Финансовый 3 2 2 5" xfId="1516" xr:uid="{00000000-0005-0000-0000-0000C9290000}"/>
    <cellStyle name="Финансовый 3 2 2 5 2" xfId="1855" xr:uid="{00000000-0005-0000-0000-0000CA290000}"/>
    <cellStyle name="Финансовый 3 2 2 5 2 2" xfId="3500" xr:uid="{00000000-0005-0000-0000-0000CB290000}"/>
    <cellStyle name="Финансовый 3 2 2 5 2 2 2" xfId="12145" xr:uid="{00000000-0005-0000-0000-0000CC290000}"/>
    <cellStyle name="Финансовый 3 2 2 5 2 3" xfId="5283" xr:uid="{00000000-0005-0000-0000-0000CD290000}"/>
    <cellStyle name="Финансовый 3 2 2 5 2 3 2" xfId="13926" xr:uid="{00000000-0005-0000-0000-0000CE290000}"/>
    <cellStyle name="Финансовый 3 2 2 5 2 4" xfId="7893" xr:uid="{00000000-0005-0000-0000-0000CF290000}"/>
    <cellStyle name="Финансовый 3 2 2 5 2 4 2" xfId="16536" xr:uid="{00000000-0005-0000-0000-0000D0290000}"/>
    <cellStyle name="Финансовый 3 2 2 5 2 5" xfId="10500" xr:uid="{00000000-0005-0000-0000-0000D1290000}"/>
    <cellStyle name="Финансовый 3 2 2 5 3" xfId="4944" xr:uid="{00000000-0005-0000-0000-0000D2290000}"/>
    <cellStyle name="Финансовый 3 2 2 5 3 2" xfId="13587" xr:uid="{00000000-0005-0000-0000-0000D3290000}"/>
    <cellStyle name="Финансовый 3 2 2 5 4" xfId="7554" xr:uid="{00000000-0005-0000-0000-0000D4290000}"/>
    <cellStyle name="Финансовый 3 2 2 5 4 2" xfId="16197" xr:uid="{00000000-0005-0000-0000-0000D5290000}"/>
    <cellStyle name="Финансовый 3 2 2 5 5" xfId="10161" xr:uid="{00000000-0005-0000-0000-0000D6290000}"/>
    <cellStyle name="Финансовый 3 2 2 6" xfId="1739" xr:uid="{00000000-0005-0000-0000-0000D7290000}"/>
    <cellStyle name="Финансовый 3 2 2 6 2" xfId="3384" xr:uid="{00000000-0005-0000-0000-0000D8290000}"/>
    <cellStyle name="Финансовый 3 2 2 6 2 2" xfId="12029" xr:uid="{00000000-0005-0000-0000-0000D9290000}"/>
    <cellStyle name="Финансовый 3 2 2 6 3" xfId="5167" xr:uid="{00000000-0005-0000-0000-0000DA290000}"/>
    <cellStyle name="Финансовый 3 2 2 6 3 2" xfId="13810" xr:uid="{00000000-0005-0000-0000-0000DB290000}"/>
    <cellStyle name="Финансовый 3 2 2 6 4" xfId="7777" xr:uid="{00000000-0005-0000-0000-0000DC290000}"/>
    <cellStyle name="Финансовый 3 2 2 6 4 2" xfId="16420" xr:uid="{00000000-0005-0000-0000-0000DD290000}"/>
    <cellStyle name="Финансовый 3 2 2 6 5" xfId="10384" xr:uid="{00000000-0005-0000-0000-0000DE290000}"/>
    <cellStyle name="Финансовый 3 2 2 7" xfId="2375" xr:uid="{00000000-0005-0000-0000-0000DF290000}"/>
    <cellStyle name="Финансовый 3 2 2 7 2" xfId="4020" xr:uid="{00000000-0005-0000-0000-0000E0290000}"/>
    <cellStyle name="Финансовый 3 2 2 7 2 2" xfId="12665" xr:uid="{00000000-0005-0000-0000-0000E1290000}"/>
    <cellStyle name="Финансовый 3 2 2 7 3" xfId="5803" xr:uid="{00000000-0005-0000-0000-0000E2290000}"/>
    <cellStyle name="Финансовый 3 2 2 7 3 2" xfId="14446" xr:uid="{00000000-0005-0000-0000-0000E3290000}"/>
    <cellStyle name="Финансовый 3 2 2 7 4" xfId="8413" xr:uid="{00000000-0005-0000-0000-0000E4290000}"/>
    <cellStyle name="Финансовый 3 2 2 7 4 2" xfId="17056" xr:uid="{00000000-0005-0000-0000-0000E5290000}"/>
    <cellStyle name="Финансовый 3 2 2 7 5" xfId="11020" xr:uid="{00000000-0005-0000-0000-0000E6290000}"/>
    <cellStyle name="Финансовый 3 2 2 8" xfId="1602" xr:uid="{00000000-0005-0000-0000-0000E7290000}"/>
    <cellStyle name="Финансовый 3 2 2 8 2" xfId="3247" xr:uid="{00000000-0005-0000-0000-0000E8290000}"/>
    <cellStyle name="Финансовый 3 2 2 8 2 2" xfId="11892" xr:uid="{00000000-0005-0000-0000-0000E9290000}"/>
    <cellStyle name="Финансовый 3 2 2 8 3" xfId="5030" xr:uid="{00000000-0005-0000-0000-0000EA290000}"/>
    <cellStyle name="Финансовый 3 2 2 8 3 2" xfId="13673" xr:uid="{00000000-0005-0000-0000-0000EB290000}"/>
    <cellStyle name="Финансовый 3 2 2 8 4" xfId="7640" xr:uid="{00000000-0005-0000-0000-0000EC290000}"/>
    <cellStyle name="Финансовый 3 2 2 8 4 2" xfId="16283" xr:uid="{00000000-0005-0000-0000-0000ED290000}"/>
    <cellStyle name="Финансовый 3 2 2 8 5" xfId="10247" xr:uid="{00000000-0005-0000-0000-0000EE290000}"/>
    <cellStyle name="Финансовый 3 2 2 9" xfId="888" xr:uid="{00000000-0005-0000-0000-0000EF290000}"/>
    <cellStyle name="Финансовый 3 2 2 9 2" xfId="6928" xr:uid="{00000000-0005-0000-0000-0000F0290000}"/>
    <cellStyle name="Финансовый 3 2 2 9 2 2" xfId="15571" xr:uid="{00000000-0005-0000-0000-0000F1290000}"/>
    <cellStyle name="Финансовый 3 2 2 9 3" xfId="9535" xr:uid="{00000000-0005-0000-0000-0000F2290000}"/>
    <cellStyle name="Финансовый 3 2 20" xfId="8659" xr:uid="{00000000-0005-0000-0000-0000F3290000}"/>
    <cellStyle name="Финансовый 3 2 3" xfId="115" xr:uid="{00000000-0005-0000-0000-0000F4290000}"/>
    <cellStyle name="Финансовый 3 2 3 10" xfId="2725" xr:uid="{00000000-0005-0000-0000-0000F5290000}"/>
    <cellStyle name="Финансовый 3 2 3 10 2" xfId="11370" xr:uid="{00000000-0005-0000-0000-0000F6290000}"/>
    <cellStyle name="Финансовый 3 2 3 11" xfId="4369" xr:uid="{00000000-0005-0000-0000-0000F7290000}"/>
    <cellStyle name="Финансовый 3 2 3 11 2" xfId="13014" xr:uid="{00000000-0005-0000-0000-0000F8290000}"/>
    <cellStyle name="Финансовый 3 2 3 12" xfId="6156" xr:uid="{00000000-0005-0000-0000-0000F9290000}"/>
    <cellStyle name="Финансовый 3 2 3 12 2" xfId="14799" xr:uid="{00000000-0005-0000-0000-0000FA290000}"/>
    <cellStyle name="Финансовый 3 2 3 13" xfId="8763" xr:uid="{00000000-0005-0000-0000-0000FB290000}"/>
    <cellStyle name="Финансовый 3 2 3 2" xfId="251" xr:uid="{00000000-0005-0000-0000-0000FC290000}"/>
    <cellStyle name="Финансовый 3 2 3 2 10" xfId="8899" xr:uid="{00000000-0005-0000-0000-0000FD290000}"/>
    <cellStyle name="Финансовый 3 2 3 2 2" xfId="1349" xr:uid="{00000000-0005-0000-0000-0000FE290000}"/>
    <cellStyle name="Финансовый 3 2 3 2 2 2" xfId="2307" xr:uid="{00000000-0005-0000-0000-0000FF290000}"/>
    <cellStyle name="Финансовый 3 2 3 2 2 2 2" xfId="3952" xr:uid="{00000000-0005-0000-0000-0000002A0000}"/>
    <cellStyle name="Финансовый 3 2 3 2 2 2 2 2" xfId="12597" xr:uid="{00000000-0005-0000-0000-0000012A0000}"/>
    <cellStyle name="Финансовый 3 2 3 2 2 2 3" xfId="5735" xr:uid="{00000000-0005-0000-0000-0000022A0000}"/>
    <cellStyle name="Финансовый 3 2 3 2 2 2 3 2" xfId="14378" xr:uid="{00000000-0005-0000-0000-0000032A0000}"/>
    <cellStyle name="Финансовый 3 2 3 2 2 2 4" xfId="8345" xr:uid="{00000000-0005-0000-0000-0000042A0000}"/>
    <cellStyle name="Финансовый 3 2 3 2 2 2 4 2" xfId="16988" xr:uid="{00000000-0005-0000-0000-0000052A0000}"/>
    <cellStyle name="Финансовый 3 2 3 2 2 2 5" xfId="10952" xr:uid="{00000000-0005-0000-0000-0000062A0000}"/>
    <cellStyle name="Финансовый 3 2 3 2 2 3" xfId="3133" xr:uid="{00000000-0005-0000-0000-0000072A0000}"/>
    <cellStyle name="Финансовый 3 2 3 2 2 3 2" xfId="11778" xr:uid="{00000000-0005-0000-0000-0000082A0000}"/>
    <cellStyle name="Финансовый 3 2 3 2 2 4" xfId="4777" xr:uid="{00000000-0005-0000-0000-0000092A0000}"/>
    <cellStyle name="Финансовый 3 2 3 2 2 4 2" xfId="13422" xr:uid="{00000000-0005-0000-0000-00000A2A0000}"/>
    <cellStyle name="Финансовый 3 2 3 2 2 5" xfId="7389" xr:uid="{00000000-0005-0000-0000-00000B2A0000}"/>
    <cellStyle name="Финансовый 3 2 3 2 2 5 2" xfId="16032" xr:uid="{00000000-0005-0000-0000-00000C2A0000}"/>
    <cellStyle name="Финансовый 3 2 3 2 2 6" xfId="9996" xr:uid="{00000000-0005-0000-0000-00000D2A0000}"/>
    <cellStyle name="Финансовый 3 2 3 2 3" xfId="2051" xr:uid="{00000000-0005-0000-0000-00000E2A0000}"/>
    <cellStyle name="Финансовый 3 2 3 2 3 2" xfId="3696" xr:uid="{00000000-0005-0000-0000-00000F2A0000}"/>
    <cellStyle name="Финансовый 3 2 3 2 3 2 2" xfId="12341" xr:uid="{00000000-0005-0000-0000-0000102A0000}"/>
    <cellStyle name="Финансовый 3 2 3 2 3 3" xfId="5479" xr:uid="{00000000-0005-0000-0000-0000112A0000}"/>
    <cellStyle name="Финансовый 3 2 3 2 3 3 2" xfId="14122" xr:uid="{00000000-0005-0000-0000-0000122A0000}"/>
    <cellStyle name="Финансовый 3 2 3 2 3 4" xfId="8089" xr:uid="{00000000-0005-0000-0000-0000132A0000}"/>
    <cellStyle name="Финансовый 3 2 3 2 3 4 2" xfId="16732" xr:uid="{00000000-0005-0000-0000-0000142A0000}"/>
    <cellStyle name="Финансовый 3 2 3 2 3 5" xfId="10696" xr:uid="{00000000-0005-0000-0000-0000152A0000}"/>
    <cellStyle name="Финансовый 3 2 3 2 4" xfId="2580" xr:uid="{00000000-0005-0000-0000-0000162A0000}"/>
    <cellStyle name="Финансовый 3 2 3 2 4 2" xfId="4225" xr:uid="{00000000-0005-0000-0000-0000172A0000}"/>
    <cellStyle name="Финансовый 3 2 3 2 4 2 2" xfId="12870" xr:uid="{00000000-0005-0000-0000-0000182A0000}"/>
    <cellStyle name="Финансовый 3 2 3 2 4 3" xfId="6008" xr:uid="{00000000-0005-0000-0000-0000192A0000}"/>
    <cellStyle name="Финансовый 3 2 3 2 4 3 2" xfId="14651" xr:uid="{00000000-0005-0000-0000-00001A2A0000}"/>
    <cellStyle name="Финансовый 3 2 3 2 4 4" xfId="8618" xr:uid="{00000000-0005-0000-0000-00001B2A0000}"/>
    <cellStyle name="Финансовый 3 2 3 2 4 4 2" xfId="17261" xr:uid="{00000000-0005-0000-0000-00001C2A0000}"/>
    <cellStyle name="Финансовый 3 2 3 2 4 5" xfId="11225" xr:uid="{00000000-0005-0000-0000-00001D2A0000}"/>
    <cellStyle name="Финансовый 3 2 3 2 5" xfId="1084" xr:uid="{00000000-0005-0000-0000-00001E2A0000}"/>
    <cellStyle name="Финансовый 3 2 3 2 5 2" xfId="7124" xr:uid="{00000000-0005-0000-0000-00001F2A0000}"/>
    <cellStyle name="Финансовый 3 2 3 2 5 2 2" xfId="15767" xr:uid="{00000000-0005-0000-0000-0000202A0000}"/>
    <cellStyle name="Финансовый 3 2 3 2 5 3" xfId="9731" xr:uid="{00000000-0005-0000-0000-0000212A0000}"/>
    <cellStyle name="Финансовый 3 2 3 2 6" xfId="672" xr:uid="{00000000-0005-0000-0000-0000222A0000}"/>
    <cellStyle name="Финансовый 3 2 3 2 6 2" xfId="6712" xr:uid="{00000000-0005-0000-0000-0000232A0000}"/>
    <cellStyle name="Финансовый 3 2 3 2 6 2 2" xfId="15355" xr:uid="{00000000-0005-0000-0000-0000242A0000}"/>
    <cellStyle name="Финансовый 3 2 3 2 6 3" xfId="9319" xr:uid="{00000000-0005-0000-0000-0000252A0000}"/>
    <cellStyle name="Финансовый 3 2 3 2 7" xfId="2861" xr:uid="{00000000-0005-0000-0000-0000262A0000}"/>
    <cellStyle name="Финансовый 3 2 3 2 7 2" xfId="11506" xr:uid="{00000000-0005-0000-0000-0000272A0000}"/>
    <cellStyle name="Финансовый 3 2 3 2 8" xfId="4505" xr:uid="{00000000-0005-0000-0000-0000282A0000}"/>
    <cellStyle name="Финансовый 3 2 3 2 8 2" xfId="13150" xr:uid="{00000000-0005-0000-0000-0000292A0000}"/>
    <cellStyle name="Финансовый 3 2 3 2 9" xfId="6292" xr:uid="{00000000-0005-0000-0000-00002A2A0000}"/>
    <cellStyle name="Финансовый 3 2 3 2 9 2" xfId="14935" xr:uid="{00000000-0005-0000-0000-00002B2A0000}"/>
    <cellStyle name="Финансовый 3 2 3 3" xfId="400" xr:uid="{00000000-0005-0000-0000-00002C2A0000}"/>
    <cellStyle name="Финансовый 3 2 3 3 2" xfId="2179" xr:uid="{00000000-0005-0000-0000-00002D2A0000}"/>
    <cellStyle name="Финансовый 3 2 3 3 2 2" xfId="3824" xr:uid="{00000000-0005-0000-0000-00002E2A0000}"/>
    <cellStyle name="Финансовый 3 2 3 3 2 2 2" xfId="12469" xr:uid="{00000000-0005-0000-0000-00002F2A0000}"/>
    <cellStyle name="Финансовый 3 2 3 3 2 3" xfId="5607" xr:uid="{00000000-0005-0000-0000-0000302A0000}"/>
    <cellStyle name="Финансовый 3 2 3 3 2 3 2" xfId="14250" xr:uid="{00000000-0005-0000-0000-0000312A0000}"/>
    <cellStyle name="Финансовый 3 2 3 3 2 4" xfId="8217" xr:uid="{00000000-0005-0000-0000-0000322A0000}"/>
    <cellStyle name="Финансовый 3 2 3 3 2 4 2" xfId="16860" xr:uid="{00000000-0005-0000-0000-0000332A0000}"/>
    <cellStyle name="Финансовый 3 2 3 3 2 5" xfId="10824" xr:uid="{00000000-0005-0000-0000-0000342A0000}"/>
    <cellStyle name="Финансовый 3 2 3 3 3" xfId="1213" xr:uid="{00000000-0005-0000-0000-0000352A0000}"/>
    <cellStyle name="Финансовый 3 2 3 3 3 2" xfId="7253" xr:uid="{00000000-0005-0000-0000-0000362A0000}"/>
    <cellStyle name="Финансовый 3 2 3 3 3 2 2" xfId="15896" xr:uid="{00000000-0005-0000-0000-0000372A0000}"/>
    <cellStyle name="Финансовый 3 2 3 3 3 3" xfId="9860" xr:uid="{00000000-0005-0000-0000-0000382A0000}"/>
    <cellStyle name="Финансовый 3 2 3 3 4" xfId="820" xr:uid="{00000000-0005-0000-0000-0000392A0000}"/>
    <cellStyle name="Финансовый 3 2 3 3 4 2" xfId="6860" xr:uid="{00000000-0005-0000-0000-00003A2A0000}"/>
    <cellStyle name="Финансовый 3 2 3 3 4 2 2" xfId="15503" xr:uid="{00000000-0005-0000-0000-00003B2A0000}"/>
    <cellStyle name="Финансовый 3 2 3 3 4 3" xfId="9467" xr:uid="{00000000-0005-0000-0000-00003C2A0000}"/>
    <cellStyle name="Финансовый 3 2 3 3 5" xfId="2997" xr:uid="{00000000-0005-0000-0000-00003D2A0000}"/>
    <cellStyle name="Финансовый 3 2 3 3 5 2" xfId="11642" xr:uid="{00000000-0005-0000-0000-00003E2A0000}"/>
    <cellStyle name="Финансовый 3 2 3 3 6" xfId="4641" xr:uid="{00000000-0005-0000-0000-00003F2A0000}"/>
    <cellStyle name="Финансовый 3 2 3 3 6 2" xfId="13286" xr:uid="{00000000-0005-0000-0000-0000402A0000}"/>
    <cellStyle name="Финансовый 3 2 3 3 7" xfId="6440" xr:uid="{00000000-0005-0000-0000-0000412A0000}"/>
    <cellStyle name="Финансовый 3 2 3 3 7 2" xfId="15083" xr:uid="{00000000-0005-0000-0000-0000422A0000}"/>
    <cellStyle name="Финансовый 3 2 3 3 8" xfId="9047" xr:uid="{00000000-0005-0000-0000-0000432A0000}"/>
    <cellStyle name="Финансовый 3 2 3 4" xfId="1518" xr:uid="{00000000-0005-0000-0000-0000442A0000}"/>
    <cellStyle name="Финансовый 3 2 3 4 2" xfId="1923" xr:uid="{00000000-0005-0000-0000-0000452A0000}"/>
    <cellStyle name="Финансовый 3 2 3 4 2 2" xfId="3568" xr:uid="{00000000-0005-0000-0000-0000462A0000}"/>
    <cellStyle name="Финансовый 3 2 3 4 2 2 2" xfId="12213" xr:uid="{00000000-0005-0000-0000-0000472A0000}"/>
    <cellStyle name="Финансовый 3 2 3 4 2 3" xfId="5351" xr:uid="{00000000-0005-0000-0000-0000482A0000}"/>
    <cellStyle name="Финансовый 3 2 3 4 2 3 2" xfId="13994" xr:uid="{00000000-0005-0000-0000-0000492A0000}"/>
    <cellStyle name="Финансовый 3 2 3 4 2 4" xfId="7961" xr:uid="{00000000-0005-0000-0000-00004A2A0000}"/>
    <cellStyle name="Финансовый 3 2 3 4 2 4 2" xfId="16604" xr:uid="{00000000-0005-0000-0000-00004B2A0000}"/>
    <cellStyle name="Финансовый 3 2 3 4 2 5" xfId="10568" xr:uid="{00000000-0005-0000-0000-00004C2A0000}"/>
    <cellStyle name="Финансовый 3 2 3 4 3" xfId="4946" xr:uid="{00000000-0005-0000-0000-00004D2A0000}"/>
    <cellStyle name="Финансовый 3 2 3 4 3 2" xfId="13589" xr:uid="{00000000-0005-0000-0000-00004E2A0000}"/>
    <cellStyle name="Финансовый 3 2 3 4 4" xfId="7556" xr:uid="{00000000-0005-0000-0000-00004F2A0000}"/>
    <cellStyle name="Финансовый 3 2 3 4 4 2" xfId="16199" xr:uid="{00000000-0005-0000-0000-0000502A0000}"/>
    <cellStyle name="Финансовый 3 2 3 4 5" xfId="10163" xr:uid="{00000000-0005-0000-0000-0000512A0000}"/>
    <cellStyle name="Финансовый 3 2 3 5" xfId="1799" xr:uid="{00000000-0005-0000-0000-0000522A0000}"/>
    <cellStyle name="Финансовый 3 2 3 5 2" xfId="3444" xr:uid="{00000000-0005-0000-0000-0000532A0000}"/>
    <cellStyle name="Финансовый 3 2 3 5 2 2" xfId="12089" xr:uid="{00000000-0005-0000-0000-0000542A0000}"/>
    <cellStyle name="Финансовый 3 2 3 5 3" xfId="5227" xr:uid="{00000000-0005-0000-0000-0000552A0000}"/>
    <cellStyle name="Финансовый 3 2 3 5 3 2" xfId="13870" xr:uid="{00000000-0005-0000-0000-0000562A0000}"/>
    <cellStyle name="Финансовый 3 2 3 5 4" xfId="7837" xr:uid="{00000000-0005-0000-0000-0000572A0000}"/>
    <cellStyle name="Финансовый 3 2 3 5 4 2" xfId="16480" xr:uid="{00000000-0005-0000-0000-0000582A0000}"/>
    <cellStyle name="Финансовый 3 2 3 5 5" xfId="10444" xr:uid="{00000000-0005-0000-0000-0000592A0000}"/>
    <cellStyle name="Финансовый 3 2 3 6" xfId="2444" xr:uid="{00000000-0005-0000-0000-00005A2A0000}"/>
    <cellStyle name="Финансовый 3 2 3 6 2" xfId="4089" xr:uid="{00000000-0005-0000-0000-00005B2A0000}"/>
    <cellStyle name="Финансовый 3 2 3 6 2 2" xfId="12734" xr:uid="{00000000-0005-0000-0000-00005C2A0000}"/>
    <cellStyle name="Финансовый 3 2 3 6 3" xfId="5872" xr:uid="{00000000-0005-0000-0000-00005D2A0000}"/>
    <cellStyle name="Финансовый 3 2 3 6 3 2" xfId="14515" xr:uid="{00000000-0005-0000-0000-00005E2A0000}"/>
    <cellStyle name="Финансовый 3 2 3 6 4" xfId="8482" xr:uid="{00000000-0005-0000-0000-00005F2A0000}"/>
    <cellStyle name="Финансовый 3 2 3 6 4 2" xfId="17125" xr:uid="{00000000-0005-0000-0000-0000602A0000}"/>
    <cellStyle name="Финансовый 3 2 3 6 5" xfId="11089" xr:uid="{00000000-0005-0000-0000-0000612A0000}"/>
    <cellStyle name="Финансовый 3 2 3 7" xfId="1671" xr:uid="{00000000-0005-0000-0000-0000622A0000}"/>
    <cellStyle name="Финансовый 3 2 3 7 2" xfId="3316" xr:uid="{00000000-0005-0000-0000-0000632A0000}"/>
    <cellStyle name="Финансовый 3 2 3 7 2 2" xfId="11961" xr:uid="{00000000-0005-0000-0000-0000642A0000}"/>
    <cellStyle name="Финансовый 3 2 3 7 3" xfId="5099" xr:uid="{00000000-0005-0000-0000-0000652A0000}"/>
    <cellStyle name="Финансовый 3 2 3 7 3 2" xfId="13742" xr:uid="{00000000-0005-0000-0000-0000662A0000}"/>
    <cellStyle name="Финансовый 3 2 3 7 4" xfId="7709" xr:uid="{00000000-0005-0000-0000-0000672A0000}"/>
    <cellStyle name="Финансовый 3 2 3 7 4 2" xfId="16352" xr:uid="{00000000-0005-0000-0000-0000682A0000}"/>
    <cellStyle name="Финансовый 3 2 3 7 5" xfId="10316" xr:uid="{00000000-0005-0000-0000-0000692A0000}"/>
    <cellStyle name="Финансовый 3 2 3 8" xfId="948" xr:uid="{00000000-0005-0000-0000-00006A2A0000}"/>
    <cellStyle name="Финансовый 3 2 3 8 2" xfId="6988" xr:uid="{00000000-0005-0000-0000-00006B2A0000}"/>
    <cellStyle name="Финансовый 3 2 3 8 2 2" xfId="15631" xr:uid="{00000000-0005-0000-0000-00006C2A0000}"/>
    <cellStyle name="Финансовый 3 2 3 8 3" xfId="9595" xr:uid="{00000000-0005-0000-0000-00006D2A0000}"/>
    <cellStyle name="Финансовый 3 2 3 9" xfId="536" xr:uid="{00000000-0005-0000-0000-00006E2A0000}"/>
    <cellStyle name="Финансовый 3 2 3 9 2" xfId="6576" xr:uid="{00000000-0005-0000-0000-00006F2A0000}"/>
    <cellStyle name="Финансовый 3 2 3 9 2 2" xfId="15219" xr:uid="{00000000-0005-0000-0000-0000702A0000}"/>
    <cellStyle name="Финансовый 3 2 3 9 3" xfId="9183" xr:uid="{00000000-0005-0000-0000-0000712A0000}"/>
    <cellStyle name="Финансовый 3 2 4" xfId="79" xr:uid="{00000000-0005-0000-0000-0000722A0000}"/>
    <cellStyle name="Финансовый 3 2 4 10" xfId="2689" xr:uid="{00000000-0005-0000-0000-0000732A0000}"/>
    <cellStyle name="Финансовый 3 2 4 10 2" xfId="11334" xr:uid="{00000000-0005-0000-0000-0000742A0000}"/>
    <cellStyle name="Финансовый 3 2 4 11" xfId="4333" xr:uid="{00000000-0005-0000-0000-0000752A0000}"/>
    <cellStyle name="Финансовый 3 2 4 11 2" xfId="12978" xr:uid="{00000000-0005-0000-0000-0000762A0000}"/>
    <cellStyle name="Финансовый 3 2 4 12" xfId="6120" xr:uid="{00000000-0005-0000-0000-0000772A0000}"/>
    <cellStyle name="Финансовый 3 2 4 12 2" xfId="14763" xr:uid="{00000000-0005-0000-0000-0000782A0000}"/>
    <cellStyle name="Финансовый 3 2 4 13" xfId="8727" xr:uid="{00000000-0005-0000-0000-0000792A0000}"/>
    <cellStyle name="Финансовый 3 2 4 2" xfId="215" xr:uid="{00000000-0005-0000-0000-00007A2A0000}"/>
    <cellStyle name="Финансовый 3 2 4 2 10" xfId="8863" xr:uid="{00000000-0005-0000-0000-00007B2A0000}"/>
    <cellStyle name="Финансовый 3 2 4 2 2" xfId="1313" xr:uid="{00000000-0005-0000-0000-00007C2A0000}"/>
    <cellStyle name="Финансовый 3 2 4 2 2 2" xfId="2271" xr:uid="{00000000-0005-0000-0000-00007D2A0000}"/>
    <cellStyle name="Финансовый 3 2 4 2 2 2 2" xfId="3916" xr:uid="{00000000-0005-0000-0000-00007E2A0000}"/>
    <cellStyle name="Финансовый 3 2 4 2 2 2 2 2" xfId="12561" xr:uid="{00000000-0005-0000-0000-00007F2A0000}"/>
    <cellStyle name="Финансовый 3 2 4 2 2 2 3" xfId="5699" xr:uid="{00000000-0005-0000-0000-0000802A0000}"/>
    <cellStyle name="Финансовый 3 2 4 2 2 2 3 2" xfId="14342" xr:uid="{00000000-0005-0000-0000-0000812A0000}"/>
    <cellStyle name="Финансовый 3 2 4 2 2 2 4" xfId="8309" xr:uid="{00000000-0005-0000-0000-0000822A0000}"/>
    <cellStyle name="Финансовый 3 2 4 2 2 2 4 2" xfId="16952" xr:uid="{00000000-0005-0000-0000-0000832A0000}"/>
    <cellStyle name="Финансовый 3 2 4 2 2 2 5" xfId="10916" xr:uid="{00000000-0005-0000-0000-0000842A0000}"/>
    <cellStyle name="Финансовый 3 2 4 2 2 3" xfId="3097" xr:uid="{00000000-0005-0000-0000-0000852A0000}"/>
    <cellStyle name="Финансовый 3 2 4 2 2 3 2" xfId="11742" xr:uid="{00000000-0005-0000-0000-0000862A0000}"/>
    <cellStyle name="Финансовый 3 2 4 2 2 4" xfId="4741" xr:uid="{00000000-0005-0000-0000-0000872A0000}"/>
    <cellStyle name="Финансовый 3 2 4 2 2 4 2" xfId="13386" xr:uid="{00000000-0005-0000-0000-0000882A0000}"/>
    <cellStyle name="Финансовый 3 2 4 2 2 5" xfId="7353" xr:uid="{00000000-0005-0000-0000-0000892A0000}"/>
    <cellStyle name="Финансовый 3 2 4 2 2 5 2" xfId="15996" xr:uid="{00000000-0005-0000-0000-00008A2A0000}"/>
    <cellStyle name="Финансовый 3 2 4 2 2 6" xfId="9960" xr:uid="{00000000-0005-0000-0000-00008B2A0000}"/>
    <cellStyle name="Финансовый 3 2 4 2 3" xfId="2015" xr:uid="{00000000-0005-0000-0000-00008C2A0000}"/>
    <cellStyle name="Финансовый 3 2 4 2 3 2" xfId="3660" xr:uid="{00000000-0005-0000-0000-00008D2A0000}"/>
    <cellStyle name="Финансовый 3 2 4 2 3 2 2" xfId="12305" xr:uid="{00000000-0005-0000-0000-00008E2A0000}"/>
    <cellStyle name="Финансовый 3 2 4 2 3 3" xfId="5443" xr:uid="{00000000-0005-0000-0000-00008F2A0000}"/>
    <cellStyle name="Финансовый 3 2 4 2 3 3 2" xfId="14086" xr:uid="{00000000-0005-0000-0000-0000902A0000}"/>
    <cellStyle name="Финансовый 3 2 4 2 3 4" xfId="8053" xr:uid="{00000000-0005-0000-0000-0000912A0000}"/>
    <cellStyle name="Финансовый 3 2 4 2 3 4 2" xfId="16696" xr:uid="{00000000-0005-0000-0000-0000922A0000}"/>
    <cellStyle name="Финансовый 3 2 4 2 3 5" xfId="10660" xr:uid="{00000000-0005-0000-0000-0000932A0000}"/>
    <cellStyle name="Финансовый 3 2 4 2 4" xfId="2544" xr:uid="{00000000-0005-0000-0000-0000942A0000}"/>
    <cellStyle name="Финансовый 3 2 4 2 4 2" xfId="4189" xr:uid="{00000000-0005-0000-0000-0000952A0000}"/>
    <cellStyle name="Финансовый 3 2 4 2 4 2 2" xfId="12834" xr:uid="{00000000-0005-0000-0000-0000962A0000}"/>
    <cellStyle name="Финансовый 3 2 4 2 4 3" xfId="5972" xr:uid="{00000000-0005-0000-0000-0000972A0000}"/>
    <cellStyle name="Финансовый 3 2 4 2 4 3 2" xfId="14615" xr:uid="{00000000-0005-0000-0000-0000982A0000}"/>
    <cellStyle name="Финансовый 3 2 4 2 4 4" xfId="8582" xr:uid="{00000000-0005-0000-0000-0000992A0000}"/>
    <cellStyle name="Финансовый 3 2 4 2 4 4 2" xfId="17225" xr:uid="{00000000-0005-0000-0000-00009A2A0000}"/>
    <cellStyle name="Финансовый 3 2 4 2 4 5" xfId="11189" xr:uid="{00000000-0005-0000-0000-00009B2A0000}"/>
    <cellStyle name="Финансовый 3 2 4 2 5" xfId="1048" xr:uid="{00000000-0005-0000-0000-00009C2A0000}"/>
    <cellStyle name="Финансовый 3 2 4 2 5 2" xfId="7088" xr:uid="{00000000-0005-0000-0000-00009D2A0000}"/>
    <cellStyle name="Финансовый 3 2 4 2 5 2 2" xfId="15731" xr:uid="{00000000-0005-0000-0000-00009E2A0000}"/>
    <cellStyle name="Финансовый 3 2 4 2 5 3" xfId="9695" xr:uid="{00000000-0005-0000-0000-00009F2A0000}"/>
    <cellStyle name="Финансовый 3 2 4 2 6" xfId="636" xr:uid="{00000000-0005-0000-0000-0000A02A0000}"/>
    <cellStyle name="Финансовый 3 2 4 2 6 2" xfId="6676" xr:uid="{00000000-0005-0000-0000-0000A12A0000}"/>
    <cellStyle name="Финансовый 3 2 4 2 6 2 2" xfId="15319" xr:uid="{00000000-0005-0000-0000-0000A22A0000}"/>
    <cellStyle name="Финансовый 3 2 4 2 6 3" xfId="9283" xr:uid="{00000000-0005-0000-0000-0000A32A0000}"/>
    <cellStyle name="Финансовый 3 2 4 2 7" xfId="2825" xr:uid="{00000000-0005-0000-0000-0000A42A0000}"/>
    <cellStyle name="Финансовый 3 2 4 2 7 2" xfId="11470" xr:uid="{00000000-0005-0000-0000-0000A52A0000}"/>
    <cellStyle name="Финансовый 3 2 4 2 8" xfId="4469" xr:uid="{00000000-0005-0000-0000-0000A62A0000}"/>
    <cellStyle name="Финансовый 3 2 4 2 8 2" xfId="13114" xr:uid="{00000000-0005-0000-0000-0000A72A0000}"/>
    <cellStyle name="Финансовый 3 2 4 2 9" xfId="6256" xr:uid="{00000000-0005-0000-0000-0000A82A0000}"/>
    <cellStyle name="Финансовый 3 2 4 2 9 2" xfId="14899" xr:uid="{00000000-0005-0000-0000-0000A92A0000}"/>
    <cellStyle name="Финансовый 3 2 4 3" xfId="364" xr:uid="{00000000-0005-0000-0000-0000AA2A0000}"/>
    <cellStyle name="Финансовый 3 2 4 3 2" xfId="2143" xr:uid="{00000000-0005-0000-0000-0000AB2A0000}"/>
    <cellStyle name="Финансовый 3 2 4 3 2 2" xfId="3788" xr:uid="{00000000-0005-0000-0000-0000AC2A0000}"/>
    <cellStyle name="Финансовый 3 2 4 3 2 2 2" xfId="12433" xr:uid="{00000000-0005-0000-0000-0000AD2A0000}"/>
    <cellStyle name="Финансовый 3 2 4 3 2 3" xfId="5571" xr:uid="{00000000-0005-0000-0000-0000AE2A0000}"/>
    <cellStyle name="Финансовый 3 2 4 3 2 3 2" xfId="14214" xr:uid="{00000000-0005-0000-0000-0000AF2A0000}"/>
    <cellStyle name="Финансовый 3 2 4 3 2 4" xfId="8181" xr:uid="{00000000-0005-0000-0000-0000B02A0000}"/>
    <cellStyle name="Финансовый 3 2 4 3 2 4 2" xfId="16824" xr:uid="{00000000-0005-0000-0000-0000B12A0000}"/>
    <cellStyle name="Финансовый 3 2 4 3 2 5" xfId="10788" xr:uid="{00000000-0005-0000-0000-0000B22A0000}"/>
    <cellStyle name="Финансовый 3 2 4 3 3" xfId="1177" xr:uid="{00000000-0005-0000-0000-0000B32A0000}"/>
    <cellStyle name="Финансовый 3 2 4 3 3 2" xfId="7217" xr:uid="{00000000-0005-0000-0000-0000B42A0000}"/>
    <cellStyle name="Финансовый 3 2 4 3 3 2 2" xfId="15860" xr:uid="{00000000-0005-0000-0000-0000B52A0000}"/>
    <cellStyle name="Финансовый 3 2 4 3 3 3" xfId="9824" xr:uid="{00000000-0005-0000-0000-0000B62A0000}"/>
    <cellStyle name="Финансовый 3 2 4 3 4" xfId="784" xr:uid="{00000000-0005-0000-0000-0000B72A0000}"/>
    <cellStyle name="Финансовый 3 2 4 3 4 2" xfId="6824" xr:uid="{00000000-0005-0000-0000-0000B82A0000}"/>
    <cellStyle name="Финансовый 3 2 4 3 4 2 2" xfId="15467" xr:uid="{00000000-0005-0000-0000-0000B92A0000}"/>
    <cellStyle name="Финансовый 3 2 4 3 4 3" xfId="9431" xr:uid="{00000000-0005-0000-0000-0000BA2A0000}"/>
    <cellStyle name="Финансовый 3 2 4 3 5" xfId="2961" xr:uid="{00000000-0005-0000-0000-0000BB2A0000}"/>
    <cellStyle name="Финансовый 3 2 4 3 5 2" xfId="11606" xr:uid="{00000000-0005-0000-0000-0000BC2A0000}"/>
    <cellStyle name="Финансовый 3 2 4 3 6" xfId="4605" xr:uid="{00000000-0005-0000-0000-0000BD2A0000}"/>
    <cellStyle name="Финансовый 3 2 4 3 6 2" xfId="13250" xr:uid="{00000000-0005-0000-0000-0000BE2A0000}"/>
    <cellStyle name="Финансовый 3 2 4 3 7" xfId="6404" xr:uid="{00000000-0005-0000-0000-0000BF2A0000}"/>
    <cellStyle name="Финансовый 3 2 4 3 7 2" xfId="15047" xr:uid="{00000000-0005-0000-0000-0000C02A0000}"/>
    <cellStyle name="Финансовый 3 2 4 3 8" xfId="9011" xr:uid="{00000000-0005-0000-0000-0000C12A0000}"/>
    <cellStyle name="Финансовый 3 2 4 4" xfId="1519" xr:uid="{00000000-0005-0000-0000-0000C22A0000}"/>
    <cellStyle name="Финансовый 3 2 4 4 2" xfId="1887" xr:uid="{00000000-0005-0000-0000-0000C32A0000}"/>
    <cellStyle name="Финансовый 3 2 4 4 2 2" xfId="3532" xr:uid="{00000000-0005-0000-0000-0000C42A0000}"/>
    <cellStyle name="Финансовый 3 2 4 4 2 2 2" xfId="12177" xr:uid="{00000000-0005-0000-0000-0000C52A0000}"/>
    <cellStyle name="Финансовый 3 2 4 4 2 3" xfId="5315" xr:uid="{00000000-0005-0000-0000-0000C62A0000}"/>
    <cellStyle name="Финансовый 3 2 4 4 2 3 2" xfId="13958" xr:uid="{00000000-0005-0000-0000-0000C72A0000}"/>
    <cellStyle name="Финансовый 3 2 4 4 2 4" xfId="7925" xr:uid="{00000000-0005-0000-0000-0000C82A0000}"/>
    <cellStyle name="Финансовый 3 2 4 4 2 4 2" xfId="16568" xr:uid="{00000000-0005-0000-0000-0000C92A0000}"/>
    <cellStyle name="Финансовый 3 2 4 4 2 5" xfId="10532" xr:uid="{00000000-0005-0000-0000-0000CA2A0000}"/>
    <cellStyle name="Финансовый 3 2 4 4 3" xfId="4947" xr:uid="{00000000-0005-0000-0000-0000CB2A0000}"/>
    <cellStyle name="Финансовый 3 2 4 4 3 2" xfId="13590" xr:uid="{00000000-0005-0000-0000-0000CC2A0000}"/>
    <cellStyle name="Финансовый 3 2 4 4 4" xfId="7557" xr:uid="{00000000-0005-0000-0000-0000CD2A0000}"/>
    <cellStyle name="Финансовый 3 2 4 4 4 2" xfId="16200" xr:uid="{00000000-0005-0000-0000-0000CE2A0000}"/>
    <cellStyle name="Финансовый 3 2 4 4 5" xfId="10164" xr:uid="{00000000-0005-0000-0000-0000CF2A0000}"/>
    <cellStyle name="Финансовый 3 2 4 5" xfId="1763" xr:uid="{00000000-0005-0000-0000-0000D02A0000}"/>
    <cellStyle name="Финансовый 3 2 4 5 2" xfId="3408" xr:uid="{00000000-0005-0000-0000-0000D12A0000}"/>
    <cellStyle name="Финансовый 3 2 4 5 2 2" xfId="12053" xr:uid="{00000000-0005-0000-0000-0000D22A0000}"/>
    <cellStyle name="Финансовый 3 2 4 5 3" xfId="5191" xr:uid="{00000000-0005-0000-0000-0000D32A0000}"/>
    <cellStyle name="Финансовый 3 2 4 5 3 2" xfId="13834" xr:uid="{00000000-0005-0000-0000-0000D42A0000}"/>
    <cellStyle name="Финансовый 3 2 4 5 4" xfId="7801" xr:uid="{00000000-0005-0000-0000-0000D52A0000}"/>
    <cellStyle name="Финансовый 3 2 4 5 4 2" xfId="16444" xr:uid="{00000000-0005-0000-0000-0000D62A0000}"/>
    <cellStyle name="Финансовый 3 2 4 5 5" xfId="10408" xr:uid="{00000000-0005-0000-0000-0000D72A0000}"/>
    <cellStyle name="Финансовый 3 2 4 6" xfId="2408" xr:uid="{00000000-0005-0000-0000-0000D82A0000}"/>
    <cellStyle name="Финансовый 3 2 4 6 2" xfId="4053" xr:uid="{00000000-0005-0000-0000-0000D92A0000}"/>
    <cellStyle name="Финансовый 3 2 4 6 2 2" xfId="12698" xr:uid="{00000000-0005-0000-0000-0000DA2A0000}"/>
    <cellStyle name="Финансовый 3 2 4 6 3" xfId="5836" xr:uid="{00000000-0005-0000-0000-0000DB2A0000}"/>
    <cellStyle name="Финансовый 3 2 4 6 3 2" xfId="14479" xr:uid="{00000000-0005-0000-0000-0000DC2A0000}"/>
    <cellStyle name="Финансовый 3 2 4 6 4" xfId="8446" xr:uid="{00000000-0005-0000-0000-0000DD2A0000}"/>
    <cellStyle name="Финансовый 3 2 4 6 4 2" xfId="17089" xr:uid="{00000000-0005-0000-0000-0000DE2A0000}"/>
    <cellStyle name="Финансовый 3 2 4 6 5" xfId="11053" xr:uid="{00000000-0005-0000-0000-0000DF2A0000}"/>
    <cellStyle name="Финансовый 3 2 4 7" xfId="1635" xr:uid="{00000000-0005-0000-0000-0000E02A0000}"/>
    <cellStyle name="Финансовый 3 2 4 7 2" xfId="3280" xr:uid="{00000000-0005-0000-0000-0000E12A0000}"/>
    <cellStyle name="Финансовый 3 2 4 7 2 2" xfId="11925" xr:uid="{00000000-0005-0000-0000-0000E22A0000}"/>
    <cellStyle name="Финансовый 3 2 4 7 3" xfId="5063" xr:uid="{00000000-0005-0000-0000-0000E32A0000}"/>
    <cellStyle name="Финансовый 3 2 4 7 3 2" xfId="13706" xr:uid="{00000000-0005-0000-0000-0000E42A0000}"/>
    <cellStyle name="Финансовый 3 2 4 7 4" xfId="7673" xr:uid="{00000000-0005-0000-0000-0000E52A0000}"/>
    <cellStyle name="Финансовый 3 2 4 7 4 2" xfId="16316" xr:uid="{00000000-0005-0000-0000-0000E62A0000}"/>
    <cellStyle name="Финансовый 3 2 4 7 5" xfId="10280" xr:uid="{00000000-0005-0000-0000-0000E72A0000}"/>
    <cellStyle name="Финансовый 3 2 4 8" xfId="912" xr:uid="{00000000-0005-0000-0000-0000E82A0000}"/>
    <cellStyle name="Финансовый 3 2 4 8 2" xfId="6952" xr:uid="{00000000-0005-0000-0000-0000E92A0000}"/>
    <cellStyle name="Финансовый 3 2 4 8 2 2" xfId="15595" xr:uid="{00000000-0005-0000-0000-0000EA2A0000}"/>
    <cellStyle name="Финансовый 3 2 4 8 3" xfId="9559" xr:uid="{00000000-0005-0000-0000-0000EB2A0000}"/>
    <cellStyle name="Финансовый 3 2 4 9" xfId="500" xr:uid="{00000000-0005-0000-0000-0000EC2A0000}"/>
    <cellStyle name="Финансовый 3 2 4 9 2" xfId="6540" xr:uid="{00000000-0005-0000-0000-0000ED2A0000}"/>
    <cellStyle name="Финансовый 3 2 4 9 2 2" xfId="15183" xr:uid="{00000000-0005-0000-0000-0000EE2A0000}"/>
    <cellStyle name="Финансовый 3 2 4 9 3" xfId="9147" xr:uid="{00000000-0005-0000-0000-0000EF2A0000}"/>
    <cellStyle name="Финансовый 3 2 5" xfId="57" xr:uid="{00000000-0005-0000-0000-0000F02A0000}"/>
    <cellStyle name="Финансовый 3 2 5 10" xfId="2669" xr:uid="{00000000-0005-0000-0000-0000F12A0000}"/>
    <cellStyle name="Финансовый 3 2 5 10 2" xfId="11314" xr:uid="{00000000-0005-0000-0000-0000F22A0000}"/>
    <cellStyle name="Финансовый 3 2 5 11" xfId="4312" xr:uid="{00000000-0005-0000-0000-0000F32A0000}"/>
    <cellStyle name="Финансовый 3 2 5 11 2" xfId="12957" xr:uid="{00000000-0005-0000-0000-0000F42A0000}"/>
    <cellStyle name="Финансовый 3 2 5 12" xfId="6100" xr:uid="{00000000-0005-0000-0000-0000F52A0000}"/>
    <cellStyle name="Финансовый 3 2 5 12 2" xfId="14743" xr:uid="{00000000-0005-0000-0000-0000F62A0000}"/>
    <cellStyle name="Финансовый 3 2 5 13" xfId="8707" xr:uid="{00000000-0005-0000-0000-0000F72A0000}"/>
    <cellStyle name="Финансовый 3 2 5 2" xfId="195" xr:uid="{00000000-0005-0000-0000-0000F82A0000}"/>
    <cellStyle name="Финансовый 3 2 5 2 10" xfId="8843" xr:uid="{00000000-0005-0000-0000-0000F92A0000}"/>
    <cellStyle name="Финансовый 3 2 5 2 2" xfId="1293" xr:uid="{00000000-0005-0000-0000-0000FA2A0000}"/>
    <cellStyle name="Финансовый 3 2 5 2 2 2" xfId="2259" xr:uid="{00000000-0005-0000-0000-0000FB2A0000}"/>
    <cellStyle name="Финансовый 3 2 5 2 2 2 2" xfId="3904" xr:uid="{00000000-0005-0000-0000-0000FC2A0000}"/>
    <cellStyle name="Финансовый 3 2 5 2 2 2 2 2" xfId="12549" xr:uid="{00000000-0005-0000-0000-0000FD2A0000}"/>
    <cellStyle name="Финансовый 3 2 5 2 2 2 3" xfId="5687" xr:uid="{00000000-0005-0000-0000-0000FE2A0000}"/>
    <cellStyle name="Финансовый 3 2 5 2 2 2 3 2" xfId="14330" xr:uid="{00000000-0005-0000-0000-0000FF2A0000}"/>
    <cellStyle name="Финансовый 3 2 5 2 2 2 4" xfId="8297" xr:uid="{00000000-0005-0000-0000-0000002B0000}"/>
    <cellStyle name="Финансовый 3 2 5 2 2 2 4 2" xfId="16940" xr:uid="{00000000-0005-0000-0000-0000012B0000}"/>
    <cellStyle name="Финансовый 3 2 5 2 2 2 5" xfId="10904" xr:uid="{00000000-0005-0000-0000-0000022B0000}"/>
    <cellStyle name="Финансовый 3 2 5 2 2 3" xfId="3077" xr:uid="{00000000-0005-0000-0000-0000032B0000}"/>
    <cellStyle name="Финансовый 3 2 5 2 2 3 2" xfId="11722" xr:uid="{00000000-0005-0000-0000-0000042B0000}"/>
    <cellStyle name="Финансовый 3 2 5 2 2 4" xfId="4721" xr:uid="{00000000-0005-0000-0000-0000052B0000}"/>
    <cellStyle name="Финансовый 3 2 5 2 2 4 2" xfId="13366" xr:uid="{00000000-0005-0000-0000-0000062B0000}"/>
    <cellStyle name="Финансовый 3 2 5 2 2 5" xfId="7333" xr:uid="{00000000-0005-0000-0000-0000072B0000}"/>
    <cellStyle name="Финансовый 3 2 5 2 2 5 2" xfId="15976" xr:uid="{00000000-0005-0000-0000-0000082B0000}"/>
    <cellStyle name="Финансовый 3 2 5 2 2 6" xfId="9940" xr:uid="{00000000-0005-0000-0000-0000092B0000}"/>
    <cellStyle name="Финансовый 3 2 5 2 3" xfId="2003" xr:uid="{00000000-0005-0000-0000-00000A2B0000}"/>
    <cellStyle name="Финансовый 3 2 5 2 3 2" xfId="3648" xr:uid="{00000000-0005-0000-0000-00000B2B0000}"/>
    <cellStyle name="Финансовый 3 2 5 2 3 2 2" xfId="12293" xr:uid="{00000000-0005-0000-0000-00000C2B0000}"/>
    <cellStyle name="Финансовый 3 2 5 2 3 3" xfId="5431" xr:uid="{00000000-0005-0000-0000-00000D2B0000}"/>
    <cellStyle name="Финансовый 3 2 5 2 3 3 2" xfId="14074" xr:uid="{00000000-0005-0000-0000-00000E2B0000}"/>
    <cellStyle name="Финансовый 3 2 5 2 3 4" xfId="8041" xr:uid="{00000000-0005-0000-0000-00000F2B0000}"/>
    <cellStyle name="Финансовый 3 2 5 2 3 4 2" xfId="16684" xr:uid="{00000000-0005-0000-0000-0000102B0000}"/>
    <cellStyle name="Финансовый 3 2 5 2 3 5" xfId="10648" xr:uid="{00000000-0005-0000-0000-0000112B0000}"/>
    <cellStyle name="Финансовый 3 2 5 2 4" xfId="2524" xr:uid="{00000000-0005-0000-0000-0000122B0000}"/>
    <cellStyle name="Финансовый 3 2 5 2 4 2" xfId="4169" xr:uid="{00000000-0005-0000-0000-0000132B0000}"/>
    <cellStyle name="Финансовый 3 2 5 2 4 2 2" xfId="12814" xr:uid="{00000000-0005-0000-0000-0000142B0000}"/>
    <cellStyle name="Финансовый 3 2 5 2 4 3" xfId="5952" xr:uid="{00000000-0005-0000-0000-0000152B0000}"/>
    <cellStyle name="Финансовый 3 2 5 2 4 3 2" xfId="14595" xr:uid="{00000000-0005-0000-0000-0000162B0000}"/>
    <cellStyle name="Финансовый 3 2 5 2 4 4" xfId="8562" xr:uid="{00000000-0005-0000-0000-0000172B0000}"/>
    <cellStyle name="Финансовый 3 2 5 2 4 4 2" xfId="17205" xr:uid="{00000000-0005-0000-0000-0000182B0000}"/>
    <cellStyle name="Финансовый 3 2 5 2 4 5" xfId="11169" xr:uid="{00000000-0005-0000-0000-0000192B0000}"/>
    <cellStyle name="Финансовый 3 2 5 2 5" xfId="1028" xr:uid="{00000000-0005-0000-0000-00001A2B0000}"/>
    <cellStyle name="Финансовый 3 2 5 2 5 2" xfId="7068" xr:uid="{00000000-0005-0000-0000-00001B2B0000}"/>
    <cellStyle name="Финансовый 3 2 5 2 5 2 2" xfId="15711" xr:uid="{00000000-0005-0000-0000-00001C2B0000}"/>
    <cellStyle name="Финансовый 3 2 5 2 5 3" xfId="9675" xr:uid="{00000000-0005-0000-0000-00001D2B0000}"/>
    <cellStyle name="Финансовый 3 2 5 2 6" xfId="616" xr:uid="{00000000-0005-0000-0000-00001E2B0000}"/>
    <cellStyle name="Финансовый 3 2 5 2 6 2" xfId="6656" xr:uid="{00000000-0005-0000-0000-00001F2B0000}"/>
    <cellStyle name="Финансовый 3 2 5 2 6 2 2" xfId="15299" xr:uid="{00000000-0005-0000-0000-0000202B0000}"/>
    <cellStyle name="Финансовый 3 2 5 2 6 3" xfId="9263" xr:uid="{00000000-0005-0000-0000-0000212B0000}"/>
    <cellStyle name="Финансовый 3 2 5 2 7" xfId="2805" xr:uid="{00000000-0005-0000-0000-0000222B0000}"/>
    <cellStyle name="Финансовый 3 2 5 2 7 2" xfId="11450" xr:uid="{00000000-0005-0000-0000-0000232B0000}"/>
    <cellStyle name="Финансовый 3 2 5 2 8" xfId="4449" xr:uid="{00000000-0005-0000-0000-0000242B0000}"/>
    <cellStyle name="Финансовый 3 2 5 2 8 2" xfId="13094" xr:uid="{00000000-0005-0000-0000-0000252B0000}"/>
    <cellStyle name="Финансовый 3 2 5 2 9" xfId="6236" xr:uid="{00000000-0005-0000-0000-0000262B0000}"/>
    <cellStyle name="Финансовый 3 2 5 2 9 2" xfId="14879" xr:uid="{00000000-0005-0000-0000-0000272B0000}"/>
    <cellStyle name="Финансовый 3 2 5 3" xfId="344" xr:uid="{00000000-0005-0000-0000-0000282B0000}"/>
    <cellStyle name="Финансовый 3 2 5 3 2" xfId="2131" xr:uid="{00000000-0005-0000-0000-0000292B0000}"/>
    <cellStyle name="Финансовый 3 2 5 3 2 2" xfId="3776" xr:uid="{00000000-0005-0000-0000-00002A2B0000}"/>
    <cellStyle name="Финансовый 3 2 5 3 2 2 2" xfId="12421" xr:uid="{00000000-0005-0000-0000-00002B2B0000}"/>
    <cellStyle name="Финансовый 3 2 5 3 2 3" xfId="5559" xr:uid="{00000000-0005-0000-0000-00002C2B0000}"/>
    <cellStyle name="Финансовый 3 2 5 3 2 3 2" xfId="14202" xr:uid="{00000000-0005-0000-0000-00002D2B0000}"/>
    <cellStyle name="Финансовый 3 2 5 3 2 4" xfId="8169" xr:uid="{00000000-0005-0000-0000-00002E2B0000}"/>
    <cellStyle name="Финансовый 3 2 5 3 2 4 2" xfId="16812" xr:uid="{00000000-0005-0000-0000-00002F2B0000}"/>
    <cellStyle name="Финансовый 3 2 5 3 2 5" xfId="10776" xr:uid="{00000000-0005-0000-0000-0000302B0000}"/>
    <cellStyle name="Финансовый 3 2 5 3 3" xfId="1164" xr:uid="{00000000-0005-0000-0000-0000312B0000}"/>
    <cellStyle name="Финансовый 3 2 5 3 3 2" xfId="7204" xr:uid="{00000000-0005-0000-0000-0000322B0000}"/>
    <cellStyle name="Финансовый 3 2 5 3 3 2 2" xfId="15847" xr:uid="{00000000-0005-0000-0000-0000332B0000}"/>
    <cellStyle name="Финансовый 3 2 5 3 3 3" xfId="9811" xr:uid="{00000000-0005-0000-0000-0000342B0000}"/>
    <cellStyle name="Финансовый 3 2 5 3 4" xfId="764" xr:uid="{00000000-0005-0000-0000-0000352B0000}"/>
    <cellStyle name="Финансовый 3 2 5 3 4 2" xfId="6804" xr:uid="{00000000-0005-0000-0000-0000362B0000}"/>
    <cellStyle name="Финансовый 3 2 5 3 4 2 2" xfId="15447" xr:uid="{00000000-0005-0000-0000-0000372B0000}"/>
    <cellStyle name="Финансовый 3 2 5 3 4 3" xfId="9411" xr:uid="{00000000-0005-0000-0000-0000382B0000}"/>
    <cellStyle name="Финансовый 3 2 5 3 5" xfId="2941" xr:uid="{00000000-0005-0000-0000-0000392B0000}"/>
    <cellStyle name="Финансовый 3 2 5 3 5 2" xfId="11586" xr:uid="{00000000-0005-0000-0000-00003A2B0000}"/>
    <cellStyle name="Финансовый 3 2 5 3 6" xfId="4585" xr:uid="{00000000-0005-0000-0000-00003B2B0000}"/>
    <cellStyle name="Финансовый 3 2 5 3 6 2" xfId="13230" xr:uid="{00000000-0005-0000-0000-00003C2B0000}"/>
    <cellStyle name="Финансовый 3 2 5 3 7" xfId="6384" xr:uid="{00000000-0005-0000-0000-00003D2B0000}"/>
    <cellStyle name="Финансовый 3 2 5 3 7 2" xfId="15027" xr:uid="{00000000-0005-0000-0000-00003E2B0000}"/>
    <cellStyle name="Финансовый 3 2 5 3 8" xfId="8991" xr:uid="{00000000-0005-0000-0000-00003F2B0000}"/>
    <cellStyle name="Финансовый 3 2 5 4" xfId="1520" xr:uid="{00000000-0005-0000-0000-0000402B0000}"/>
    <cellStyle name="Финансовый 3 2 5 4 2" xfId="1867" xr:uid="{00000000-0005-0000-0000-0000412B0000}"/>
    <cellStyle name="Финансовый 3 2 5 4 2 2" xfId="3512" xr:uid="{00000000-0005-0000-0000-0000422B0000}"/>
    <cellStyle name="Финансовый 3 2 5 4 2 2 2" xfId="12157" xr:uid="{00000000-0005-0000-0000-0000432B0000}"/>
    <cellStyle name="Финансовый 3 2 5 4 2 3" xfId="5295" xr:uid="{00000000-0005-0000-0000-0000442B0000}"/>
    <cellStyle name="Финансовый 3 2 5 4 2 3 2" xfId="13938" xr:uid="{00000000-0005-0000-0000-0000452B0000}"/>
    <cellStyle name="Финансовый 3 2 5 4 2 4" xfId="7905" xr:uid="{00000000-0005-0000-0000-0000462B0000}"/>
    <cellStyle name="Финансовый 3 2 5 4 2 4 2" xfId="16548" xr:uid="{00000000-0005-0000-0000-0000472B0000}"/>
    <cellStyle name="Финансовый 3 2 5 4 2 5" xfId="10512" xr:uid="{00000000-0005-0000-0000-0000482B0000}"/>
    <cellStyle name="Финансовый 3 2 5 4 3" xfId="4948" xr:uid="{00000000-0005-0000-0000-0000492B0000}"/>
    <cellStyle name="Финансовый 3 2 5 4 3 2" xfId="13591" xr:uid="{00000000-0005-0000-0000-00004A2B0000}"/>
    <cellStyle name="Финансовый 3 2 5 4 4" xfId="7558" xr:uid="{00000000-0005-0000-0000-00004B2B0000}"/>
    <cellStyle name="Финансовый 3 2 5 4 4 2" xfId="16201" xr:uid="{00000000-0005-0000-0000-00004C2B0000}"/>
    <cellStyle name="Финансовый 3 2 5 4 5" xfId="10165" xr:uid="{00000000-0005-0000-0000-00004D2B0000}"/>
    <cellStyle name="Финансовый 3 2 5 5" xfId="1751" xr:uid="{00000000-0005-0000-0000-00004E2B0000}"/>
    <cellStyle name="Финансовый 3 2 5 5 2" xfId="3396" xr:uid="{00000000-0005-0000-0000-00004F2B0000}"/>
    <cellStyle name="Финансовый 3 2 5 5 2 2" xfId="12041" xr:uid="{00000000-0005-0000-0000-0000502B0000}"/>
    <cellStyle name="Финансовый 3 2 5 5 3" xfId="5179" xr:uid="{00000000-0005-0000-0000-0000512B0000}"/>
    <cellStyle name="Финансовый 3 2 5 5 3 2" xfId="13822" xr:uid="{00000000-0005-0000-0000-0000522B0000}"/>
    <cellStyle name="Финансовый 3 2 5 5 4" xfId="7789" xr:uid="{00000000-0005-0000-0000-0000532B0000}"/>
    <cellStyle name="Финансовый 3 2 5 5 4 2" xfId="16432" xr:uid="{00000000-0005-0000-0000-0000542B0000}"/>
    <cellStyle name="Финансовый 3 2 5 5 5" xfId="10396" xr:uid="{00000000-0005-0000-0000-0000552B0000}"/>
    <cellStyle name="Финансовый 3 2 5 6" xfId="2387" xr:uid="{00000000-0005-0000-0000-0000562B0000}"/>
    <cellStyle name="Финансовый 3 2 5 6 2" xfId="4032" xr:uid="{00000000-0005-0000-0000-0000572B0000}"/>
    <cellStyle name="Финансовый 3 2 5 6 2 2" xfId="12677" xr:uid="{00000000-0005-0000-0000-0000582B0000}"/>
    <cellStyle name="Финансовый 3 2 5 6 3" xfId="5815" xr:uid="{00000000-0005-0000-0000-0000592B0000}"/>
    <cellStyle name="Финансовый 3 2 5 6 3 2" xfId="14458" xr:uid="{00000000-0005-0000-0000-00005A2B0000}"/>
    <cellStyle name="Финансовый 3 2 5 6 4" xfId="8425" xr:uid="{00000000-0005-0000-0000-00005B2B0000}"/>
    <cellStyle name="Финансовый 3 2 5 6 4 2" xfId="17068" xr:uid="{00000000-0005-0000-0000-00005C2B0000}"/>
    <cellStyle name="Финансовый 3 2 5 6 5" xfId="11032" xr:uid="{00000000-0005-0000-0000-00005D2B0000}"/>
    <cellStyle name="Финансовый 3 2 5 7" xfId="1614" xr:uid="{00000000-0005-0000-0000-00005E2B0000}"/>
    <cellStyle name="Финансовый 3 2 5 7 2" xfId="3259" xr:uid="{00000000-0005-0000-0000-00005F2B0000}"/>
    <cellStyle name="Финансовый 3 2 5 7 2 2" xfId="11904" xr:uid="{00000000-0005-0000-0000-0000602B0000}"/>
    <cellStyle name="Финансовый 3 2 5 7 3" xfId="5042" xr:uid="{00000000-0005-0000-0000-0000612B0000}"/>
    <cellStyle name="Финансовый 3 2 5 7 3 2" xfId="13685" xr:uid="{00000000-0005-0000-0000-0000622B0000}"/>
    <cellStyle name="Финансовый 3 2 5 7 4" xfId="7652" xr:uid="{00000000-0005-0000-0000-0000632B0000}"/>
    <cellStyle name="Финансовый 3 2 5 7 4 2" xfId="16295" xr:uid="{00000000-0005-0000-0000-0000642B0000}"/>
    <cellStyle name="Финансовый 3 2 5 7 5" xfId="10259" xr:uid="{00000000-0005-0000-0000-0000652B0000}"/>
    <cellStyle name="Финансовый 3 2 5 8" xfId="900" xr:uid="{00000000-0005-0000-0000-0000662B0000}"/>
    <cellStyle name="Финансовый 3 2 5 8 2" xfId="6940" xr:uid="{00000000-0005-0000-0000-0000672B0000}"/>
    <cellStyle name="Финансовый 3 2 5 8 2 2" xfId="15583" xr:uid="{00000000-0005-0000-0000-0000682B0000}"/>
    <cellStyle name="Финансовый 3 2 5 8 3" xfId="9547" xr:uid="{00000000-0005-0000-0000-0000692B0000}"/>
    <cellStyle name="Финансовый 3 2 5 9" xfId="480" xr:uid="{00000000-0005-0000-0000-00006A2B0000}"/>
    <cellStyle name="Финансовый 3 2 5 9 2" xfId="6520" xr:uid="{00000000-0005-0000-0000-00006B2B0000}"/>
    <cellStyle name="Финансовый 3 2 5 9 2 2" xfId="15163" xr:uid="{00000000-0005-0000-0000-00006C2B0000}"/>
    <cellStyle name="Финансовый 3 2 5 9 3" xfId="9127" xr:uid="{00000000-0005-0000-0000-00006D2B0000}"/>
    <cellStyle name="Финансовый 3 2 6" xfId="135" xr:uid="{00000000-0005-0000-0000-00006E2B0000}"/>
    <cellStyle name="Финансовый 3 2 6 10" xfId="2745" xr:uid="{00000000-0005-0000-0000-00006F2B0000}"/>
    <cellStyle name="Финансовый 3 2 6 10 2" xfId="11390" xr:uid="{00000000-0005-0000-0000-0000702B0000}"/>
    <cellStyle name="Финансовый 3 2 6 11" xfId="4389" xr:uid="{00000000-0005-0000-0000-0000712B0000}"/>
    <cellStyle name="Финансовый 3 2 6 11 2" xfId="13034" xr:uid="{00000000-0005-0000-0000-0000722B0000}"/>
    <cellStyle name="Финансовый 3 2 6 12" xfId="6176" xr:uid="{00000000-0005-0000-0000-0000732B0000}"/>
    <cellStyle name="Финансовый 3 2 6 12 2" xfId="14819" xr:uid="{00000000-0005-0000-0000-0000742B0000}"/>
    <cellStyle name="Финансовый 3 2 6 13" xfId="8783" xr:uid="{00000000-0005-0000-0000-0000752B0000}"/>
    <cellStyle name="Финансовый 3 2 6 2" xfId="271" xr:uid="{00000000-0005-0000-0000-0000762B0000}"/>
    <cellStyle name="Финансовый 3 2 6 2 10" xfId="8919" xr:uid="{00000000-0005-0000-0000-0000772B0000}"/>
    <cellStyle name="Финансовый 3 2 6 2 2" xfId="1369" xr:uid="{00000000-0005-0000-0000-0000782B0000}"/>
    <cellStyle name="Финансовый 3 2 6 2 2 2" xfId="2327" xr:uid="{00000000-0005-0000-0000-0000792B0000}"/>
    <cellStyle name="Финансовый 3 2 6 2 2 2 2" xfId="3972" xr:uid="{00000000-0005-0000-0000-00007A2B0000}"/>
    <cellStyle name="Финансовый 3 2 6 2 2 2 2 2" xfId="12617" xr:uid="{00000000-0005-0000-0000-00007B2B0000}"/>
    <cellStyle name="Финансовый 3 2 6 2 2 2 3" xfId="5755" xr:uid="{00000000-0005-0000-0000-00007C2B0000}"/>
    <cellStyle name="Финансовый 3 2 6 2 2 2 3 2" xfId="14398" xr:uid="{00000000-0005-0000-0000-00007D2B0000}"/>
    <cellStyle name="Финансовый 3 2 6 2 2 2 4" xfId="8365" xr:uid="{00000000-0005-0000-0000-00007E2B0000}"/>
    <cellStyle name="Финансовый 3 2 6 2 2 2 4 2" xfId="17008" xr:uid="{00000000-0005-0000-0000-00007F2B0000}"/>
    <cellStyle name="Финансовый 3 2 6 2 2 2 5" xfId="10972" xr:uid="{00000000-0005-0000-0000-0000802B0000}"/>
    <cellStyle name="Финансовый 3 2 6 2 2 3" xfId="3153" xr:uid="{00000000-0005-0000-0000-0000812B0000}"/>
    <cellStyle name="Финансовый 3 2 6 2 2 3 2" xfId="11798" xr:uid="{00000000-0005-0000-0000-0000822B0000}"/>
    <cellStyle name="Финансовый 3 2 6 2 2 4" xfId="4797" xr:uid="{00000000-0005-0000-0000-0000832B0000}"/>
    <cellStyle name="Финансовый 3 2 6 2 2 4 2" xfId="13442" xr:uid="{00000000-0005-0000-0000-0000842B0000}"/>
    <cellStyle name="Финансовый 3 2 6 2 2 5" xfId="7409" xr:uid="{00000000-0005-0000-0000-0000852B0000}"/>
    <cellStyle name="Финансовый 3 2 6 2 2 5 2" xfId="16052" xr:uid="{00000000-0005-0000-0000-0000862B0000}"/>
    <cellStyle name="Финансовый 3 2 6 2 2 6" xfId="10016" xr:uid="{00000000-0005-0000-0000-0000872B0000}"/>
    <cellStyle name="Финансовый 3 2 6 2 3" xfId="2071" xr:uid="{00000000-0005-0000-0000-0000882B0000}"/>
    <cellStyle name="Финансовый 3 2 6 2 3 2" xfId="3716" xr:uid="{00000000-0005-0000-0000-0000892B0000}"/>
    <cellStyle name="Финансовый 3 2 6 2 3 2 2" xfId="12361" xr:uid="{00000000-0005-0000-0000-00008A2B0000}"/>
    <cellStyle name="Финансовый 3 2 6 2 3 3" xfId="5499" xr:uid="{00000000-0005-0000-0000-00008B2B0000}"/>
    <cellStyle name="Финансовый 3 2 6 2 3 3 2" xfId="14142" xr:uid="{00000000-0005-0000-0000-00008C2B0000}"/>
    <cellStyle name="Финансовый 3 2 6 2 3 4" xfId="8109" xr:uid="{00000000-0005-0000-0000-00008D2B0000}"/>
    <cellStyle name="Финансовый 3 2 6 2 3 4 2" xfId="16752" xr:uid="{00000000-0005-0000-0000-00008E2B0000}"/>
    <cellStyle name="Финансовый 3 2 6 2 3 5" xfId="10716" xr:uid="{00000000-0005-0000-0000-00008F2B0000}"/>
    <cellStyle name="Финансовый 3 2 6 2 4" xfId="2600" xr:uid="{00000000-0005-0000-0000-0000902B0000}"/>
    <cellStyle name="Финансовый 3 2 6 2 4 2" xfId="4245" xr:uid="{00000000-0005-0000-0000-0000912B0000}"/>
    <cellStyle name="Финансовый 3 2 6 2 4 2 2" xfId="12890" xr:uid="{00000000-0005-0000-0000-0000922B0000}"/>
    <cellStyle name="Финансовый 3 2 6 2 4 3" xfId="6028" xr:uid="{00000000-0005-0000-0000-0000932B0000}"/>
    <cellStyle name="Финансовый 3 2 6 2 4 3 2" xfId="14671" xr:uid="{00000000-0005-0000-0000-0000942B0000}"/>
    <cellStyle name="Финансовый 3 2 6 2 4 4" xfId="8638" xr:uid="{00000000-0005-0000-0000-0000952B0000}"/>
    <cellStyle name="Финансовый 3 2 6 2 4 4 2" xfId="17281" xr:uid="{00000000-0005-0000-0000-0000962B0000}"/>
    <cellStyle name="Финансовый 3 2 6 2 4 5" xfId="11245" xr:uid="{00000000-0005-0000-0000-0000972B0000}"/>
    <cellStyle name="Финансовый 3 2 6 2 5" xfId="1104" xr:uid="{00000000-0005-0000-0000-0000982B0000}"/>
    <cellStyle name="Финансовый 3 2 6 2 5 2" xfId="7144" xr:uid="{00000000-0005-0000-0000-0000992B0000}"/>
    <cellStyle name="Финансовый 3 2 6 2 5 2 2" xfId="15787" xr:uid="{00000000-0005-0000-0000-00009A2B0000}"/>
    <cellStyle name="Финансовый 3 2 6 2 5 3" xfId="9751" xr:uid="{00000000-0005-0000-0000-00009B2B0000}"/>
    <cellStyle name="Финансовый 3 2 6 2 6" xfId="692" xr:uid="{00000000-0005-0000-0000-00009C2B0000}"/>
    <cellStyle name="Финансовый 3 2 6 2 6 2" xfId="6732" xr:uid="{00000000-0005-0000-0000-00009D2B0000}"/>
    <cellStyle name="Финансовый 3 2 6 2 6 2 2" xfId="15375" xr:uid="{00000000-0005-0000-0000-00009E2B0000}"/>
    <cellStyle name="Финансовый 3 2 6 2 6 3" xfId="9339" xr:uid="{00000000-0005-0000-0000-00009F2B0000}"/>
    <cellStyle name="Финансовый 3 2 6 2 7" xfId="2881" xr:uid="{00000000-0005-0000-0000-0000A02B0000}"/>
    <cellStyle name="Финансовый 3 2 6 2 7 2" xfId="11526" xr:uid="{00000000-0005-0000-0000-0000A12B0000}"/>
    <cellStyle name="Финансовый 3 2 6 2 8" xfId="4525" xr:uid="{00000000-0005-0000-0000-0000A22B0000}"/>
    <cellStyle name="Финансовый 3 2 6 2 8 2" xfId="13170" xr:uid="{00000000-0005-0000-0000-0000A32B0000}"/>
    <cellStyle name="Финансовый 3 2 6 2 9" xfId="6312" xr:uid="{00000000-0005-0000-0000-0000A42B0000}"/>
    <cellStyle name="Финансовый 3 2 6 2 9 2" xfId="14955" xr:uid="{00000000-0005-0000-0000-0000A52B0000}"/>
    <cellStyle name="Финансовый 3 2 6 3" xfId="420" xr:uid="{00000000-0005-0000-0000-0000A62B0000}"/>
    <cellStyle name="Финансовый 3 2 6 3 2" xfId="2199" xr:uid="{00000000-0005-0000-0000-0000A72B0000}"/>
    <cellStyle name="Финансовый 3 2 6 3 2 2" xfId="3844" xr:uid="{00000000-0005-0000-0000-0000A82B0000}"/>
    <cellStyle name="Финансовый 3 2 6 3 2 2 2" xfId="12489" xr:uid="{00000000-0005-0000-0000-0000A92B0000}"/>
    <cellStyle name="Финансовый 3 2 6 3 2 3" xfId="5627" xr:uid="{00000000-0005-0000-0000-0000AA2B0000}"/>
    <cellStyle name="Финансовый 3 2 6 3 2 3 2" xfId="14270" xr:uid="{00000000-0005-0000-0000-0000AB2B0000}"/>
    <cellStyle name="Финансовый 3 2 6 3 2 4" xfId="8237" xr:uid="{00000000-0005-0000-0000-0000AC2B0000}"/>
    <cellStyle name="Финансовый 3 2 6 3 2 4 2" xfId="16880" xr:uid="{00000000-0005-0000-0000-0000AD2B0000}"/>
    <cellStyle name="Финансовый 3 2 6 3 2 5" xfId="10844" xr:uid="{00000000-0005-0000-0000-0000AE2B0000}"/>
    <cellStyle name="Финансовый 3 2 6 3 3" xfId="1233" xr:uid="{00000000-0005-0000-0000-0000AF2B0000}"/>
    <cellStyle name="Финансовый 3 2 6 3 3 2" xfId="7273" xr:uid="{00000000-0005-0000-0000-0000B02B0000}"/>
    <cellStyle name="Финансовый 3 2 6 3 3 2 2" xfId="15916" xr:uid="{00000000-0005-0000-0000-0000B12B0000}"/>
    <cellStyle name="Финансовый 3 2 6 3 3 3" xfId="9880" xr:uid="{00000000-0005-0000-0000-0000B22B0000}"/>
    <cellStyle name="Финансовый 3 2 6 3 4" xfId="840" xr:uid="{00000000-0005-0000-0000-0000B32B0000}"/>
    <cellStyle name="Финансовый 3 2 6 3 4 2" xfId="6880" xr:uid="{00000000-0005-0000-0000-0000B42B0000}"/>
    <cellStyle name="Финансовый 3 2 6 3 4 2 2" xfId="15523" xr:uid="{00000000-0005-0000-0000-0000B52B0000}"/>
    <cellStyle name="Финансовый 3 2 6 3 4 3" xfId="9487" xr:uid="{00000000-0005-0000-0000-0000B62B0000}"/>
    <cellStyle name="Финансовый 3 2 6 3 5" xfId="3017" xr:uid="{00000000-0005-0000-0000-0000B72B0000}"/>
    <cellStyle name="Финансовый 3 2 6 3 5 2" xfId="11662" xr:uid="{00000000-0005-0000-0000-0000B82B0000}"/>
    <cellStyle name="Финансовый 3 2 6 3 6" xfId="4661" xr:uid="{00000000-0005-0000-0000-0000B92B0000}"/>
    <cellStyle name="Финансовый 3 2 6 3 6 2" xfId="13306" xr:uid="{00000000-0005-0000-0000-0000BA2B0000}"/>
    <cellStyle name="Финансовый 3 2 6 3 7" xfId="6460" xr:uid="{00000000-0005-0000-0000-0000BB2B0000}"/>
    <cellStyle name="Финансовый 3 2 6 3 7 2" xfId="15103" xr:uid="{00000000-0005-0000-0000-0000BC2B0000}"/>
    <cellStyle name="Финансовый 3 2 6 3 8" xfId="9067" xr:uid="{00000000-0005-0000-0000-0000BD2B0000}"/>
    <cellStyle name="Финансовый 3 2 6 4" xfId="1521" xr:uid="{00000000-0005-0000-0000-0000BE2B0000}"/>
    <cellStyle name="Финансовый 3 2 6 4 2" xfId="1943" xr:uid="{00000000-0005-0000-0000-0000BF2B0000}"/>
    <cellStyle name="Финансовый 3 2 6 4 2 2" xfId="3588" xr:uid="{00000000-0005-0000-0000-0000C02B0000}"/>
    <cellStyle name="Финансовый 3 2 6 4 2 2 2" xfId="12233" xr:uid="{00000000-0005-0000-0000-0000C12B0000}"/>
    <cellStyle name="Финансовый 3 2 6 4 2 3" xfId="5371" xr:uid="{00000000-0005-0000-0000-0000C22B0000}"/>
    <cellStyle name="Финансовый 3 2 6 4 2 3 2" xfId="14014" xr:uid="{00000000-0005-0000-0000-0000C32B0000}"/>
    <cellStyle name="Финансовый 3 2 6 4 2 4" xfId="7981" xr:uid="{00000000-0005-0000-0000-0000C42B0000}"/>
    <cellStyle name="Финансовый 3 2 6 4 2 4 2" xfId="16624" xr:uid="{00000000-0005-0000-0000-0000C52B0000}"/>
    <cellStyle name="Финансовый 3 2 6 4 2 5" xfId="10588" xr:uid="{00000000-0005-0000-0000-0000C62B0000}"/>
    <cellStyle name="Финансовый 3 2 6 4 3" xfId="4949" xr:uid="{00000000-0005-0000-0000-0000C72B0000}"/>
    <cellStyle name="Финансовый 3 2 6 4 3 2" xfId="13592" xr:uid="{00000000-0005-0000-0000-0000C82B0000}"/>
    <cellStyle name="Финансовый 3 2 6 4 4" xfId="7559" xr:uid="{00000000-0005-0000-0000-0000C92B0000}"/>
    <cellStyle name="Финансовый 3 2 6 4 4 2" xfId="16202" xr:uid="{00000000-0005-0000-0000-0000CA2B0000}"/>
    <cellStyle name="Финансовый 3 2 6 4 5" xfId="10166" xr:uid="{00000000-0005-0000-0000-0000CB2B0000}"/>
    <cellStyle name="Финансовый 3 2 6 5" xfId="1819" xr:uid="{00000000-0005-0000-0000-0000CC2B0000}"/>
    <cellStyle name="Финансовый 3 2 6 5 2" xfId="3464" xr:uid="{00000000-0005-0000-0000-0000CD2B0000}"/>
    <cellStyle name="Финансовый 3 2 6 5 2 2" xfId="12109" xr:uid="{00000000-0005-0000-0000-0000CE2B0000}"/>
    <cellStyle name="Финансовый 3 2 6 5 3" xfId="5247" xr:uid="{00000000-0005-0000-0000-0000CF2B0000}"/>
    <cellStyle name="Финансовый 3 2 6 5 3 2" xfId="13890" xr:uid="{00000000-0005-0000-0000-0000D02B0000}"/>
    <cellStyle name="Финансовый 3 2 6 5 4" xfId="7857" xr:uid="{00000000-0005-0000-0000-0000D12B0000}"/>
    <cellStyle name="Финансовый 3 2 6 5 4 2" xfId="16500" xr:uid="{00000000-0005-0000-0000-0000D22B0000}"/>
    <cellStyle name="Финансовый 3 2 6 5 5" xfId="10464" xr:uid="{00000000-0005-0000-0000-0000D32B0000}"/>
    <cellStyle name="Финансовый 3 2 6 6" xfId="2464" xr:uid="{00000000-0005-0000-0000-0000D42B0000}"/>
    <cellStyle name="Финансовый 3 2 6 6 2" xfId="4109" xr:uid="{00000000-0005-0000-0000-0000D52B0000}"/>
    <cellStyle name="Финансовый 3 2 6 6 2 2" xfId="12754" xr:uid="{00000000-0005-0000-0000-0000D62B0000}"/>
    <cellStyle name="Финансовый 3 2 6 6 3" xfId="5892" xr:uid="{00000000-0005-0000-0000-0000D72B0000}"/>
    <cellStyle name="Финансовый 3 2 6 6 3 2" xfId="14535" xr:uid="{00000000-0005-0000-0000-0000D82B0000}"/>
    <cellStyle name="Финансовый 3 2 6 6 4" xfId="8502" xr:uid="{00000000-0005-0000-0000-0000D92B0000}"/>
    <cellStyle name="Финансовый 3 2 6 6 4 2" xfId="17145" xr:uid="{00000000-0005-0000-0000-0000DA2B0000}"/>
    <cellStyle name="Финансовый 3 2 6 6 5" xfId="11109" xr:uid="{00000000-0005-0000-0000-0000DB2B0000}"/>
    <cellStyle name="Финансовый 3 2 6 7" xfId="1691" xr:uid="{00000000-0005-0000-0000-0000DC2B0000}"/>
    <cellStyle name="Финансовый 3 2 6 7 2" xfId="3336" xr:uid="{00000000-0005-0000-0000-0000DD2B0000}"/>
    <cellStyle name="Финансовый 3 2 6 7 2 2" xfId="11981" xr:uid="{00000000-0005-0000-0000-0000DE2B0000}"/>
    <cellStyle name="Финансовый 3 2 6 7 3" xfId="5119" xr:uid="{00000000-0005-0000-0000-0000DF2B0000}"/>
    <cellStyle name="Финансовый 3 2 6 7 3 2" xfId="13762" xr:uid="{00000000-0005-0000-0000-0000E02B0000}"/>
    <cellStyle name="Финансовый 3 2 6 7 4" xfId="7729" xr:uid="{00000000-0005-0000-0000-0000E12B0000}"/>
    <cellStyle name="Финансовый 3 2 6 7 4 2" xfId="16372" xr:uid="{00000000-0005-0000-0000-0000E22B0000}"/>
    <cellStyle name="Финансовый 3 2 6 7 5" xfId="10336" xr:uid="{00000000-0005-0000-0000-0000E32B0000}"/>
    <cellStyle name="Финансовый 3 2 6 8" xfId="968" xr:uid="{00000000-0005-0000-0000-0000E42B0000}"/>
    <cellStyle name="Финансовый 3 2 6 8 2" xfId="7008" xr:uid="{00000000-0005-0000-0000-0000E52B0000}"/>
    <cellStyle name="Финансовый 3 2 6 8 2 2" xfId="15651" xr:uid="{00000000-0005-0000-0000-0000E62B0000}"/>
    <cellStyle name="Финансовый 3 2 6 8 3" xfId="9615" xr:uid="{00000000-0005-0000-0000-0000E72B0000}"/>
    <cellStyle name="Финансовый 3 2 6 9" xfId="556" xr:uid="{00000000-0005-0000-0000-0000E82B0000}"/>
    <cellStyle name="Финансовый 3 2 6 9 2" xfId="6596" xr:uid="{00000000-0005-0000-0000-0000E92B0000}"/>
    <cellStyle name="Финансовый 3 2 6 9 2 2" xfId="15239" xr:uid="{00000000-0005-0000-0000-0000EA2B0000}"/>
    <cellStyle name="Финансовый 3 2 6 9 3" xfId="9203" xr:uid="{00000000-0005-0000-0000-0000EB2B0000}"/>
    <cellStyle name="Финансовый 3 2 7" xfId="33" xr:uid="{00000000-0005-0000-0000-0000EC2B0000}"/>
    <cellStyle name="Финансовый 3 2 7 10" xfId="2645" xr:uid="{00000000-0005-0000-0000-0000ED2B0000}"/>
    <cellStyle name="Финансовый 3 2 7 10 2" xfId="11290" xr:uid="{00000000-0005-0000-0000-0000EE2B0000}"/>
    <cellStyle name="Финансовый 3 2 7 11" xfId="4288" xr:uid="{00000000-0005-0000-0000-0000EF2B0000}"/>
    <cellStyle name="Финансовый 3 2 7 11 2" xfId="12933" xr:uid="{00000000-0005-0000-0000-0000F02B0000}"/>
    <cellStyle name="Финансовый 3 2 7 12" xfId="6076" xr:uid="{00000000-0005-0000-0000-0000F12B0000}"/>
    <cellStyle name="Финансовый 3 2 7 12 2" xfId="14719" xr:uid="{00000000-0005-0000-0000-0000F22B0000}"/>
    <cellStyle name="Финансовый 3 2 7 13" xfId="8683" xr:uid="{00000000-0005-0000-0000-0000F32B0000}"/>
    <cellStyle name="Финансовый 3 2 7 2" xfId="171" xr:uid="{00000000-0005-0000-0000-0000F42B0000}"/>
    <cellStyle name="Финансовый 3 2 7 2 10" xfId="8819" xr:uid="{00000000-0005-0000-0000-0000F52B0000}"/>
    <cellStyle name="Финансовый 3 2 7 2 2" xfId="1269" xr:uid="{00000000-0005-0000-0000-0000F62B0000}"/>
    <cellStyle name="Финансовый 3 2 7 2 2 2" xfId="2235" xr:uid="{00000000-0005-0000-0000-0000F72B0000}"/>
    <cellStyle name="Финансовый 3 2 7 2 2 2 2" xfId="3880" xr:uid="{00000000-0005-0000-0000-0000F82B0000}"/>
    <cellStyle name="Финансовый 3 2 7 2 2 2 2 2" xfId="12525" xr:uid="{00000000-0005-0000-0000-0000F92B0000}"/>
    <cellStyle name="Финансовый 3 2 7 2 2 2 3" xfId="5663" xr:uid="{00000000-0005-0000-0000-0000FA2B0000}"/>
    <cellStyle name="Финансовый 3 2 7 2 2 2 3 2" xfId="14306" xr:uid="{00000000-0005-0000-0000-0000FB2B0000}"/>
    <cellStyle name="Финансовый 3 2 7 2 2 2 4" xfId="8273" xr:uid="{00000000-0005-0000-0000-0000FC2B0000}"/>
    <cellStyle name="Финансовый 3 2 7 2 2 2 4 2" xfId="16916" xr:uid="{00000000-0005-0000-0000-0000FD2B0000}"/>
    <cellStyle name="Финансовый 3 2 7 2 2 2 5" xfId="10880" xr:uid="{00000000-0005-0000-0000-0000FE2B0000}"/>
    <cellStyle name="Финансовый 3 2 7 2 2 3" xfId="3053" xr:uid="{00000000-0005-0000-0000-0000FF2B0000}"/>
    <cellStyle name="Финансовый 3 2 7 2 2 3 2" xfId="11698" xr:uid="{00000000-0005-0000-0000-0000002C0000}"/>
    <cellStyle name="Финансовый 3 2 7 2 2 4" xfId="4697" xr:uid="{00000000-0005-0000-0000-0000012C0000}"/>
    <cellStyle name="Финансовый 3 2 7 2 2 4 2" xfId="13342" xr:uid="{00000000-0005-0000-0000-0000022C0000}"/>
    <cellStyle name="Финансовый 3 2 7 2 2 5" xfId="7309" xr:uid="{00000000-0005-0000-0000-0000032C0000}"/>
    <cellStyle name="Финансовый 3 2 7 2 2 5 2" xfId="15952" xr:uid="{00000000-0005-0000-0000-0000042C0000}"/>
    <cellStyle name="Финансовый 3 2 7 2 2 6" xfId="9916" xr:uid="{00000000-0005-0000-0000-0000052C0000}"/>
    <cellStyle name="Финансовый 3 2 7 2 3" xfId="1979" xr:uid="{00000000-0005-0000-0000-0000062C0000}"/>
    <cellStyle name="Финансовый 3 2 7 2 3 2" xfId="3624" xr:uid="{00000000-0005-0000-0000-0000072C0000}"/>
    <cellStyle name="Финансовый 3 2 7 2 3 2 2" xfId="12269" xr:uid="{00000000-0005-0000-0000-0000082C0000}"/>
    <cellStyle name="Финансовый 3 2 7 2 3 3" xfId="5407" xr:uid="{00000000-0005-0000-0000-0000092C0000}"/>
    <cellStyle name="Финансовый 3 2 7 2 3 3 2" xfId="14050" xr:uid="{00000000-0005-0000-0000-00000A2C0000}"/>
    <cellStyle name="Финансовый 3 2 7 2 3 4" xfId="8017" xr:uid="{00000000-0005-0000-0000-00000B2C0000}"/>
    <cellStyle name="Финансовый 3 2 7 2 3 4 2" xfId="16660" xr:uid="{00000000-0005-0000-0000-00000C2C0000}"/>
    <cellStyle name="Финансовый 3 2 7 2 3 5" xfId="10624" xr:uid="{00000000-0005-0000-0000-00000D2C0000}"/>
    <cellStyle name="Финансовый 3 2 7 2 4" xfId="2500" xr:uid="{00000000-0005-0000-0000-00000E2C0000}"/>
    <cellStyle name="Финансовый 3 2 7 2 4 2" xfId="4145" xr:uid="{00000000-0005-0000-0000-00000F2C0000}"/>
    <cellStyle name="Финансовый 3 2 7 2 4 2 2" xfId="12790" xr:uid="{00000000-0005-0000-0000-0000102C0000}"/>
    <cellStyle name="Финансовый 3 2 7 2 4 3" xfId="5928" xr:uid="{00000000-0005-0000-0000-0000112C0000}"/>
    <cellStyle name="Финансовый 3 2 7 2 4 3 2" xfId="14571" xr:uid="{00000000-0005-0000-0000-0000122C0000}"/>
    <cellStyle name="Финансовый 3 2 7 2 4 4" xfId="8538" xr:uid="{00000000-0005-0000-0000-0000132C0000}"/>
    <cellStyle name="Финансовый 3 2 7 2 4 4 2" xfId="17181" xr:uid="{00000000-0005-0000-0000-0000142C0000}"/>
    <cellStyle name="Финансовый 3 2 7 2 4 5" xfId="11145" xr:uid="{00000000-0005-0000-0000-0000152C0000}"/>
    <cellStyle name="Финансовый 3 2 7 2 5" xfId="1004" xr:uid="{00000000-0005-0000-0000-0000162C0000}"/>
    <cellStyle name="Финансовый 3 2 7 2 5 2" xfId="7044" xr:uid="{00000000-0005-0000-0000-0000172C0000}"/>
    <cellStyle name="Финансовый 3 2 7 2 5 2 2" xfId="15687" xr:uid="{00000000-0005-0000-0000-0000182C0000}"/>
    <cellStyle name="Финансовый 3 2 7 2 5 3" xfId="9651" xr:uid="{00000000-0005-0000-0000-0000192C0000}"/>
    <cellStyle name="Финансовый 3 2 7 2 6" xfId="592" xr:uid="{00000000-0005-0000-0000-00001A2C0000}"/>
    <cellStyle name="Финансовый 3 2 7 2 6 2" xfId="6632" xr:uid="{00000000-0005-0000-0000-00001B2C0000}"/>
    <cellStyle name="Финансовый 3 2 7 2 6 2 2" xfId="15275" xr:uid="{00000000-0005-0000-0000-00001C2C0000}"/>
    <cellStyle name="Финансовый 3 2 7 2 6 3" xfId="9239" xr:uid="{00000000-0005-0000-0000-00001D2C0000}"/>
    <cellStyle name="Финансовый 3 2 7 2 7" xfId="2781" xr:uid="{00000000-0005-0000-0000-00001E2C0000}"/>
    <cellStyle name="Финансовый 3 2 7 2 7 2" xfId="11426" xr:uid="{00000000-0005-0000-0000-00001F2C0000}"/>
    <cellStyle name="Финансовый 3 2 7 2 8" xfId="4425" xr:uid="{00000000-0005-0000-0000-0000202C0000}"/>
    <cellStyle name="Финансовый 3 2 7 2 8 2" xfId="13070" xr:uid="{00000000-0005-0000-0000-0000212C0000}"/>
    <cellStyle name="Финансовый 3 2 7 2 9" xfId="6212" xr:uid="{00000000-0005-0000-0000-0000222C0000}"/>
    <cellStyle name="Финансовый 3 2 7 2 9 2" xfId="14855" xr:uid="{00000000-0005-0000-0000-0000232C0000}"/>
    <cellStyle name="Финансовый 3 2 7 3" xfId="320" xr:uid="{00000000-0005-0000-0000-0000242C0000}"/>
    <cellStyle name="Финансовый 3 2 7 3 2" xfId="2107" xr:uid="{00000000-0005-0000-0000-0000252C0000}"/>
    <cellStyle name="Финансовый 3 2 7 3 2 2" xfId="3752" xr:uid="{00000000-0005-0000-0000-0000262C0000}"/>
    <cellStyle name="Финансовый 3 2 7 3 2 2 2" xfId="12397" xr:uid="{00000000-0005-0000-0000-0000272C0000}"/>
    <cellStyle name="Финансовый 3 2 7 3 2 3" xfId="5535" xr:uid="{00000000-0005-0000-0000-0000282C0000}"/>
    <cellStyle name="Финансовый 3 2 7 3 2 3 2" xfId="14178" xr:uid="{00000000-0005-0000-0000-0000292C0000}"/>
    <cellStyle name="Финансовый 3 2 7 3 2 4" xfId="8145" xr:uid="{00000000-0005-0000-0000-00002A2C0000}"/>
    <cellStyle name="Финансовый 3 2 7 3 2 4 2" xfId="16788" xr:uid="{00000000-0005-0000-0000-00002B2C0000}"/>
    <cellStyle name="Финансовый 3 2 7 3 2 5" xfId="10752" xr:uid="{00000000-0005-0000-0000-00002C2C0000}"/>
    <cellStyle name="Финансовый 3 2 7 3 3" xfId="1140" xr:uid="{00000000-0005-0000-0000-00002D2C0000}"/>
    <cellStyle name="Финансовый 3 2 7 3 3 2" xfId="7180" xr:uid="{00000000-0005-0000-0000-00002E2C0000}"/>
    <cellStyle name="Финансовый 3 2 7 3 3 2 2" xfId="15823" xr:uid="{00000000-0005-0000-0000-00002F2C0000}"/>
    <cellStyle name="Финансовый 3 2 7 3 3 3" xfId="9787" xr:uid="{00000000-0005-0000-0000-0000302C0000}"/>
    <cellStyle name="Финансовый 3 2 7 3 4" xfId="740" xr:uid="{00000000-0005-0000-0000-0000312C0000}"/>
    <cellStyle name="Финансовый 3 2 7 3 4 2" xfId="6780" xr:uid="{00000000-0005-0000-0000-0000322C0000}"/>
    <cellStyle name="Финансовый 3 2 7 3 4 2 2" xfId="15423" xr:uid="{00000000-0005-0000-0000-0000332C0000}"/>
    <cellStyle name="Финансовый 3 2 7 3 4 3" xfId="9387" xr:uid="{00000000-0005-0000-0000-0000342C0000}"/>
    <cellStyle name="Финансовый 3 2 7 3 5" xfId="2917" xr:uid="{00000000-0005-0000-0000-0000352C0000}"/>
    <cellStyle name="Финансовый 3 2 7 3 5 2" xfId="11562" xr:uid="{00000000-0005-0000-0000-0000362C0000}"/>
    <cellStyle name="Финансовый 3 2 7 3 6" xfId="4561" xr:uid="{00000000-0005-0000-0000-0000372C0000}"/>
    <cellStyle name="Финансовый 3 2 7 3 6 2" xfId="13206" xr:uid="{00000000-0005-0000-0000-0000382C0000}"/>
    <cellStyle name="Финансовый 3 2 7 3 7" xfId="6360" xr:uid="{00000000-0005-0000-0000-0000392C0000}"/>
    <cellStyle name="Финансовый 3 2 7 3 7 2" xfId="15003" xr:uid="{00000000-0005-0000-0000-00003A2C0000}"/>
    <cellStyle name="Финансовый 3 2 7 3 8" xfId="8967" xr:uid="{00000000-0005-0000-0000-00003B2C0000}"/>
    <cellStyle name="Финансовый 3 2 7 4" xfId="1522" xr:uid="{00000000-0005-0000-0000-00003C2C0000}"/>
    <cellStyle name="Финансовый 3 2 7 4 2" xfId="1843" xr:uid="{00000000-0005-0000-0000-00003D2C0000}"/>
    <cellStyle name="Финансовый 3 2 7 4 2 2" xfId="3488" xr:uid="{00000000-0005-0000-0000-00003E2C0000}"/>
    <cellStyle name="Финансовый 3 2 7 4 2 2 2" xfId="12133" xr:uid="{00000000-0005-0000-0000-00003F2C0000}"/>
    <cellStyle name="Финансовый 3 2 7 4 2 3" xfId="5271" xr:uid="{00000000-0005-0000-0000-0000402C0000}"/>
    <cellStyle name="Финансовый 3 2 7 4 2 3 2" xfId="13914" xr:uid="{00000000-0005-0000-0000-0000412C0000}"/>
    <cellStyle name="Финансовый 3 2 7 4 2 4" xfId="7881" xr:uid="{00000000-0005-0000-0000-0000422C0000}"/>
    <cellStyle name="Финансовый 3 2 7 4 2 4 2" xfId="16524" xr:uid="{00000000-0005-0000-0000-0000432C0000}"/>
    <cellStyle name="Финансовый 3 2 7 4 2 5" xfId="10488" xr:uid="{00000000-0005-0000-0000-0000442C0000}"/>
    <cellStyle name="Финансовый 3 2 7 4 3" xfId="4950" xr:uid="{00000000-0005-0000-0000-0000452C0000}"/>
    <cellStyle name="Финансовый 3 2 7 4 3 2" xfId="13593" xr:uid="{00000000-0005-0000-0000-0000462C0000}"/>
    <cellStyle name="Финансовый 3 2 7 4 4" xfId="7560" xr:uid="{00000000-0005-0000-0000-0000472C0000}"/>
    <cellStyle name="Финансовый 3 2 7 4 4 2" xfId="16203" xr:uid="{00000000-0005-0000-0000-0000482C0000}"/>
    <cellStyle name="Финансовый 3 2 7 4 5" xfId="10167" xr:uid="{00000000-0005-0000-0000-0000492C0000}"/>
    <cellStyle name="Финансовый 3 2 7 5" xfId="1727" xr:uid="{00000000-0005-0000-0000-00004A2C0000}"/>
    <cellStyle name="Финансовый 3 2 7 5 2" xfId="3372" xr:uid="{00000000-0005-0000-0000-00004B2C0000}"/>
    <cellStyle name="Финансовый 3 2 7 5 2 2" xfId="12017" xr:uid="{00000000-0005-0000-0000-00004C2C0000}"/>
    <cellStyle name="Финансовый 3 2 7 5 3" xfId="5155" xr:uid="{00000000-0005-0000-0000-00004D2C0000}"/>
    <cellStyle name="Финансовый 3 2 7 5 3 2" xfId="13798" xr:uid="{00000000-0005-0000-0000-00004E2C0000}"/>
    <cellStyle name="Финансовый 3 2 7 5 4" xfId="7765" xr:uid="{00000000-0005-0000-0000-00004F2C0000}"/>
    <cellStyle name="Финансовый 3 2 7 5 4 2" xfId="16408" xr:uid="{00000000-0005-0000-0000-0000502C0000}"/>
    <cellStyle name="Финансовый 3 2 7 5 5" xfId="10372" xr:uid="{00000000-0005-0000-0000-0000512C0000}"/>
    <cellStyle name="Финансовый 3 2 7 6" xfId="2363" xr:uid="{00000000-0005-0000-0000-0000522C0000}"/>
    <cellStyle name="Финансовый 3 2 7 6 2" xfId="4008" xr:uid="{00000000-0005-0000-0000-0000532C0000}"/>
    <cellStyle name="Финансовый 3 2 7 6 2 2" xfId="12653" xr:uid="{00000000-0005-0000-0000-0000542C0000}"/>
    <cellStyle name="Финансовый 3 2 7 6 3" xfId="5791" xr:uid="{00000000-0005-0000-0000-0000552C0000}"/>
    <cellStyle name="Финансовый 3 2 7 6 3 2" xfId="14434" xr:uid="{00000000-0005-0000-0000-0000562C0000}"/>
    <cellStyle name="Финансовый 3 2 7 6 4" xfId="8401" xr:uid="{00000000-0005-0000-0000-0000572C0000}"/>
    <cellStyle name="Финансовый 3 2 7 6 4 2" xfId="17044" xr:uid="{00000000-0005-0000-0000-0000582C0000}"/>
    <cellStyle name="Финансовый 3 2 7 6 5" xfId="11008" xr:uid="{00000000-0005-0000-0000-0000592C0000}"/>
    <cellStyle name="Финансовый 3 2 7 7" xfId="1590" xr:uid="{00000000-0005-0000-0000-00005A2C0000}"/>
    <cellStyle name="Финансовый 3 2 7 7 2" xfId="3235" xr:uid="{00000000-0005-0000-0000-00005B2C0000}"/>
    <cellStyle name="Финансовый 3 2 7 7 2 2" xfId="11880" xr:uid="{00000000-0005-0000-0000-00005C2C0000}"/>
    <cellStyle name="Финансовый 3 2 7 7 3" xfId="5018" xr:uid="{00000000-0005-0000-0000-00005D2C0000}"/>
    <cellStyle name="Финансовый 3 2 7 7 3 2" xfId="13661" xr:uid="{00000000-0005-0000-0000-00005E2C0000}"/>
    <cellStyle name="Финансовый 3 2 7 7 4" xfId="7628" xr:uid="{00000000-0005-0000-0000-00005F2C0000}"/>
    <cellStyle name="Финансовый 3 2 7 7 4 2" xfId="16271" xr:uid="{00000000-0005-0000-0000-0000602C0000}"/>
    <cellStyle name="Финансовый 3 2 7 7 5" xfId="10235" xr:uid="{00000000-0005-0000-0000-0000612C0000}"/>
    <cellStyle name="Финансовый 3 2 7 8" xfId="876" xr:uid="{00000000-0005-0000-0000-0000622C0000}"/>
    <cellStyle name="Финансовый 3 2 7 8 2" xfId="6916" xr:uid="{00000000-0005-0000-0000-0000632C0000}"/>
    <cellStyle name="Финансовый 3 2 7 8 2 2" xfId="15559" xr:uid="{00000000-0005-0000-0000-0000642C0000}"/>
    <cellStyle name="Финансовый 3 2 7 8 3" xfId="9523" xr:uid="{00000000-0005-0000-0000-0000652C0000}"/>
    <cellStyle name="Финансовый 3 2 7 9" xfId="456" xr:uid="{00000000-0005-0000-0000-0000662C0000}"/>
    <cellStyle name="Финансовый 3 2 7 9 2" xfId="6496" xr:uid="{00000000-0005-0000-0000-0000672C0000}"/>
    <cellStyle name="Финансовый 3 2 7 9 2 2" xfId="15139" xr:uid="{00000000-0005-0000-0000-0000682C0000}"/>
    <cellStyle name="Финансовый 3 2 7 9 3" xfId="9103" xr:uid="{00000000-0005-0000-0000-0000692C0000}"/>
    <cellStyle name="Финансовый 3 2 8" xfId="21" xr:uid="{00000000-0005-0000-0000-00006A2C0000}"/>
    <cellStyle name="Финансовый 3 2 8 10" xfId="2633" xr:uid="{00000000-0005-0000-0000-00006B2C0000}"/>
    <cellStyle name="Финансовый 3 2 8 10 2" xfId="11278" xr:uid="{00000000-0005-0000-0000-00006C2C0000}"/>
    <cellStyle name="Финансовый 3 2 8 11" xfId="4276" xr:uid="{00000000-0005-0000-0000-00006D2C0000}"/>
    <cellStyle name="Финансовый 3 2 8 11 2" xfId="12921" xr:uid="{00000000-0005-0000-0000-00006E2C0000}"/>
    <cellStyle name="Финансовый 3 2 8 12" xfId="6064" xr:uid="{00000000-0005-0000-0000-00006F2C0000}"/>
    <cellStyle name="Финансовый 3 2 8 12 2" xfId="14707" xr:uid="{00000000-0005-0000-0000-0000702C0000}"/>
    <cellStyle name="Финансовый 3 2 8 13" xfId="8671" xr:uid="{00000000-0005-0000-0000-0000712C0000}"/>
    <cellStyle name="Финансовый 3 2 8 2" xfId="159" xr:uid="{00000000-0005-0000-0000-0000722C0000}"/>
    <cellStyle name="Финансовый 3 2 8 2 10" xfId="8807" xr:uid="{00000000-0005-0000-0000-0000732C0000}"/>
    <cellStyle name="Финансовый 3 2 8 2 2" xfId="1257" xr:uid="{00000000-0005-0000-0000-0000742C0000}"/>
    <cellStyle name="Финансовый 3 2 8 2 2 2" xfId="2223" xr:uid="{00000000-0005-0000-0000-0000752C0000}"/>
    <cellStyle name="Финансовый 3 2 8 2 2 2 2" xfId="3868" xr:uid="{00000000-0005-0000-0000-0000762C0000}"/>
    <cellStyle name="Финансовый 3 2 8 2 2 2 2 2" xfId="12513" xr:uid="{00000000-0005-0000-0000-0000772C0000}"/>
    <cellStyle name="Финансовый 3 2 8 2 2 2 3" xfId="5651" xr:uid="{00000000-0005-0000-0000-0000782C0000}"/>
    <cellStyle name="Финансовый 3 2 8 2 2 2 3 2" xfId="14294" xr:uid="{00000000-0005-0000-0000-0000792C0000}"/>
    <cellStyle name="Финансовый 3 2 8 2 2 2 4" xfId="8261" xr:uid="{00000000-0005-0000-0000-00007A2C0000}"/>
    <cellStyle name="Финансовый 3 2 8 2 2 2 4 2" xfId="16904" xr:uid="{00000000-0005-0000-0000-00007B2C0000}"/>
    <cellStyle name="Финансовый 3 2 8 2 2 2 5" xfId="10868" xr:uid="{00000000-0005-0000-0000-00007C2C0000}"/>
    <cellStyle name="Финансовый 3 2 8 2 2 3" xfId="3041" xr:uid="{00000000-0005-0000-0000-00007D2C0000}"/>
    <cellStyle name="Финансовый 3 2 8 2 2 3 2" xfId="11686" xr:uid="{00000000-0005-0000-0000-00007E2C0000}"/>
    <cellStyle name="Финансовый 3 2 8 2 2 4" xfId="4685" xr:uid="{00000000-0005-0000-0000-00007F2C0000}"/>
    <cellStyle name="Финансовый 3 2 8 2 2 4 2" xfId="13330" xr:uid="{00000000-0005-0000-0000-0000802C0000}"/>
    <cellStyle name="Финансовый 3 2 8 2 2 5" xfId="7297" xr:uid="{00000000-0005-0000-0000-0000812C0000}"/>
    <cellStyle name="Финансовый 3 2 8 2 2 5 2" xfId="15940" xr:uid="{00000000-0005-0000-0000-0000822C0000}"/>
    <cellStyle name="Финансовый 3 2 8 2 2 6" xfId="9904" xr:uid="{00000000-0005-0000-0000-0000832C0000}"/>
    <cellStyle name="Финансовый 3 2 8 2 3" xfId="1967" xr:uid="{00000000-0005-0000-0000-0000842C0000}"/>
    <cellStyle name="Финансовый 3 2 8 2 3 2" xfId="3612" xr:uid="{00000000-0005-0000-0000-0000852C0000}"/>
    <cellStyle name="Финансовый 3 2 8 2 3 2 2" xfId="12257" xr:uid="{00000000-0005-0000-0000-0000862C0000}"/>
    <cellStyle name="Финансовый 3 2 8 2 3 3" xfId="5395" xr:uid="{00000000-0005-0000-0000-0000872C0000}"/>
    <cellStyle name="Финансовый 3 2 8 2 3 3 2" xfId="14038" xr:uid="{00000000-0005-0000-0000-0000882C0000}"/>
    <cellStyle name="Финансовый 3 2 8 2 3 4" xfId="8005" xr:uid="{00000000-0005-0000-0000-0000892C0000}"/>
    <cellStyle name="Финансовый 3 2 8 2 3 4 2" xfId="16648" xr:uid="{00000000-0005-0000-0000-00008A2C0000}"/>
    <cellStyle name="Финансовый 3 2 8 2 3 5" xfId="10612" xr:uid="{00000000-0005-0000-0000-00008B2C0000}"/>
    <cellStyle name="Финансовый 3 2 8 2 4" xfId="2488" xr:uid="{00000000-0005-0000-0000-00008C2C0000}"/>
    <cellStyle name="Финансовый 3 2 8 2 4 2" xfId="4133" xr:uid="{00000000-0005-0000-0000-00008D2C0000}"/>
    <cellStyle name="Финансовый 3 2 8 2 4 2 2" xfId="12778" xr:uid="{00000000-0005-0000-0000-00008E2C0000}"/>
    <cellStyle name="Финансовый 3 2 8 2 4 3" xfId="5916" xr:uid="{00000000-0005-0000-0000-00008F2C0000}"/>
    <cellStyle name="Финансовый 3 2 8 2 4 3 2" xfId="14559" xr:uid="{00000000-0005-0000-0000-0000902C0000}"/>
    <cellStyle name="Финансовый 3 2 8 2 4 4" xfId="8526" xr:uid="{00000000-0005-0000-0000-0000912C0000}"/>
    <cellStyle name="Финансовый 3 2 8 2 4 4 2" xfId="17169" xr:uid="{00000000-0005-0000-0000-0000922C0000}"/>
    <cellStyle name="Финансовый 3 2 8 2 4 5" xfId="11133" xr:uid="{00000000-0005-0000-0000-0000932C0000}"/>
    <cellStyle name="Финансовый 3 2 8 2 5" xfId="992" xr:uid="{00000000-0005-0000-0000-0000942C0000}"/>
    <cellStyle name="Финансовый 3 2 8 2 5 2" xfId="7032" xr:uid="{00000000-0005-0000-0000-0000952C0000}"/>
    <cellStyle name="Финансовый 3 2 8 2 5 2 2" xfId="15675" xr:uid="{00000000-0005-0000-0000-0000962C0000}"/>
    <cellStyle name="Финансовый 3 2 8 2 5 3" xfId="9639" xr:uid="{00000000-0005-0000-0000-0000972C0000}"/>
    <cellStyle name="Финансовый 3 2 8 2 6" xfId="580" xr:uid="{00000000-0005-0000-0000-0000982C0000}"/>
    <cellStyle name="Финансовый 3 2 8 2 6 2" xfId="6620" xr:uid="{00000000-0005-0000-0000-0000992C0000}"/>
    <cellStyle name="Финансовый 3 2 8 2 6 2 2" xfId="15263" xr:uid="{00000000-0005-0000-0000-00009A2C0000}"/>
    <cellStyle name="Финансовый 3 2 8 2 6 3" xfId="9227" xr:uid="{00000000-0005-0000-0000-00009B2C0000}"/>
    <cellStyle name="Финансовый 3 2 8 2 7" xfId="2769" xr:uid="{00000000-0005-0000-0000-00009C2C0000}"/>
    <cellStyle name="Финансовый 3 2 8 2 7 2" xfId="11414" xr:uid="{00000000-0005-0000-0000-00009D2C0000}"/>
    <cellStyle name="Финансовый 3 2 8 2 8" xfId="4413" xr:uid="{00000000-0005-0000-0000-00009E2C0000}"/>
    <cellStyle name="Финансовый 3 2 8 2 8 2" xfId="13058" xr:uid="{00000000-0005-0000-0000-00009F2C0000}"/>
    <cellStyle name="Финансовый 3 2 8 2 9" xfId="6200" xr:uid="{00000000-0005-0000-0000-0000A02C0000}"/>
    <cellStyle name="Финансовый 3 2 8 2 9 2" xfId="14843" xr:uid="{00000000-0005-0000-0000-0000A12C0000}"/>
    <cellStyle name="Финансовый 3 2 8 3" xfId="308" xr:uid="{00000000-0005-0000-0000-0000A22C0000}"/>
    <cellStyle name="Финансовый 3 2 8 3 2" xfId="2095" xr:uid="{00000000-0005-0000-0000-0000A32C0000}"/>
    <cellStyle name="Финансовый 3 2 8 3 2 2" xfId="3740" xr:uid="{00000000-0005-0000-0000-0000A42C0000}"/>
    <cellStyle name="Финансовый 3 2 8 3 2 2 2" xfId="12385" xr:uid="{00000000-0005-0000-0000-0000A52C0000}"/>
    <cellStyle name="Финансовый 3 2 8 3 2 3" xfId="5523" xr:uid="{00000000-0005-0000-0000-0000A62C0000}"/>
    <cellStyle name="Финансовый 3 2 8 3 2 3 2" xfId="14166" xr:uid="{00000000-0005-0000-0000-0000A72C0000}"/>
    <cellStyle name="Финансовый 3 2 8 3 2 4" xfId="8133" xr:uid="{00000000-0005-0000-0000-0000A82C0000}"/>
    <cellStyle name="Финансовый 3 2 8 3 2 4 2" xfId="16776" xr:uid="{00000000-0005-0000-0000-0000A92C0000}"/>
    <cellStyle name="Финансовый 3 2 8 3 2 5" xfId="10740" xr:uid="{00000000-0005-0000-0000-0000AA2C0000}"/>
    <cellStyle name="Финансовый 3 2 8 3 3" xfId="1128" xr:uid="{00000000-0005-0000-0000-0000AB2C0000}"/>
    <cellStyle name="Финансовый 3 2 8 3 3 2" xfId="7168" xr:uid="{00000000-0005-0000-0000-0000AC2C0000}"/>
    <cellStyle name="Финансовый 3 2 8 3 3 2 2" xfId="15811" xr:uid="{00000000-0005-0000-0000-0000AD2C0000}"/>
    <cellStyle name="Финансовый 3 2 8 3 3 3" xfId="9775" xr:uid="{00000000-0005-0000-0000-0000AE2C0000}"/>
    <cellStyle name="Финансовый 3 2 8 3 4" xfId="728" xr:uid="{00000000-0005-0000-0000-0000AF2C0000}"/>
    <cellStyle name="Финансовый 3 2 8 3 4 2" xfId="6768" xr:uid="{00000000-0005-0000-0000-0000B02C0000}"/>
    <cellStyle name="Финансовый 3 2 8 3 4 2 2" xfId="15411" xr:uid="{00000000-0005-0000-0000-0000B12C0000}"/>
    <cellStyle name="Финансовый 3 2 8 3 4 3" xfId="9375" xr:uid="{00000000-0005-0000-0000-0000B22C0000}"/>
    <cellStyle name="Финансовый 3 2 8 3 5" xfId="2905" xr:uid="{00000000-0005-0000-0000-0000B32C0000}"/>
    <cellStyle name="Финансовый 3 2 8 3 5 2" xfId="11550" xr:uid="{00000000-0005-0000-0000-0000B42C0000}"/>
    <cellStyle name="Финансовый 3 2 8 3 6" xfId="4549" xr:uid="{00000000-0005-0000-0000-0000B52C0000}"/>
    <cellStyle name="Финансовый 3 2 8 3 6 2" xfId="13194" xr:uid="{00000000-0005-0000-0000-0000B62C0000}"/>
    <cellStyle name="Финансовый 3 2 8 3 7" xfId="6348" xr:uid="{00000000-0005-0000-0000-0000B72C0000}"/>
    <cellStyle name="Финансовый 3 2 8 3 7 2" xfId="14991" xr:uid="{00000000-0005-0000-0000-0000B82C0000}"/>
    <cellStyle name="Финансовый 3 2 8 3 8" xfId="8955" xr:uid="{00000000-0005-0000-0000-0000B92C0000}"/>
    <cellStyle name="Финансовый 3 2 8 4" xfId="1523" xr:uid="{00000000-0005-0000-0000-0000BA2C0000}"/>
    <cellStyle name="Финансовый 3 2 8 4 2" xfId="1831" xr:uid="{00000000-0005-0000-0000-0000BB2C0000}"/>
    <cellStyle name="Финансовый 3 2 8 4 2 2" xfId="3476" xr:uid="{00000000-0005-0000-0000-0000BC2C0000}"/>
    <cellStyle name="Финансовый 3 2 8 4 2 2 2" xfId="12121" xr:uid="{00000000-0005-0000-0000-0000BD2C0000}"/>
    <cellStyle name="Финансовый 3 2 8 4 2 3" xfId="5259" xr:uid="{00000000-0005-0000-0000-0000BE2C0000}"/>
    <cellStyle name="Финансовый 3 2 8 4 2 3 2" xfId="13902" xr:uid="{00000000-0005-0000-0000-0000BF2C0000}"/>
    <cellStyle name="Финансовый 3 2 8 4 2 4" xfId="7869" xr:uid="{00000000-0005-0000-0000-0000C02C0000}"/>
    <cellStyle name="Финансовый 3 2 8 4 2 4 2" xfId="16512" xr:uid="{00000000-0005-0000-0000-0000C12C0000}"/>
    <cellStyle name="Финансовый 3 2 8 4 2 5" xfId="10476" xr:uid="{00000000-0005-0000-0000-0000C22C0000}"/>
    <cellStyle name="Финансовый 3 2 8 4 3" xfId="4951" xr:uid="{00000000-0005-0000-0000-0000C32C0000}"/>
    <cellStyle name="Финансовый 3 2 8 4 3 2" xfId="13594" xr:uid="{00000000-0005-0000-0000-0000C42C0000}"/>
    <cellStyle name="Финансовый 3 2 8 4 4" xfId="7561" xr:uid="{00000000-0005-0000-0000-0000C52C0000}"/>
    <cellStyle name="Финансовый 3 2 8 4 4 2" xfId="16204" xr:uid="{00000000-0005-0000-0000-0000C62C0000}"/>
    <cellStyle name="Финансовый 3 2 8 4 5" xfId="10168" xr:uid="{00000000-0005-0000-0000-0000C72C0000}"/>
    <cellStyle name="Финансовый 3 2 8 5" xfId="1715" xr:uid="{00000000-0005-0000-0000-0000C82C0000}"/>
    <cellStyle name="Финансовый 3 2 8 5 2" xfId="3360" xr:uid="{00000000-0005-0000-0000-0000C92C0000}"/>
    <cellStyle name="Финансовый 3 2 8 5 2 2" xfId="12005" xr:uid="{00000000-0005-0000-0000-0000CA2C0000}"/>
    <cellStyle name="Финансовый 3 2 8 5 3" xfId="5143" xr:uid="{00000000-0005-0000-0000-0000CB2C0000}"/>
    <cellStyle name="Финансовый 3 2 8 5 3 2" xfId="13786" xr:uid="{00000000-0005-0000-0000-0000CC2C0000}"/>
    <cellStyle name="Финансовый 3 2 8 5 4" xfId="7753" xr:uid="{00000000-0005-0000-0000-0000CD2C0000}"/>
    <cellStyle name="Финансовый 3 2 8 5 4 2" xfId="16396" xr:uid="{00000000-0005-0000-0000-0000CE2C0000}"/>
    <cellStyle name="Финансовый 3 2 8 5 5" xfId="10360" xr:uid="{00000000-0005-0000-0000-0000CF2C0000}"/>
    <cellStyle name="Финансовый 3 2 8 6" xfId="2351" xr:uid="{00000000-0005-0000-0000-0000D02C0000}"/>
    <cellStyle name="Финансовый 3 2 8 6 2" xfId="3996" xr:uid="{00000000-0005-0000-0000-0000D12C0000}"/>
    <cellStyle name="Финансовый 3 2 8 6 2 2" xfId="12641" xr:uid="{00000000-0005-0000-0000-0000D22C0000}"/>
    <cellStyle name="Финансовый 3 2 8 6 3" xfId="5779" xr:uid="{00000000-0005-0000-0000-0000D32C0000}"/>
    <cellStyle name="Финансовый 3 2 8 6 3 2" xfId="14422" xr:uid="{00000000-0005-0000-0000-0000D42C0000}"/>
    <cellStyle name="Финансовый 3 2 8 6 4" xfId="8389" xr:uid="{00000000-0005-0000-0000-0000D52C0000}"/>
    <cellStyle name="Финансовый 3 2 8 6 4 2" xfId="17032" xr:uid="{00000000-0005-0000-0000-0000D62C0000}"/>
    <cellStyle name="Финансовый 3 2 8 6 5" xfId="10996" xr:uid="{00000000-0005-0000-0000-0000D72C0000}"/>
    <cellStyle name="Финансовый 3 2 8 7" xfId="1578" xr:uid="{00000000-0005-0000-0000-0000D82C0000}"/>
    <cellStyle name="Финансовый 3 2 8 7 2" xfId="3223" xr:uid="{00000000-0005-0000-0000-0000D92C0000}"/>
    <cellStyle name="Финансовый 3 2 8 7 2 2" xfId="11868" xr:uid="{00000000-0005-0000-0000-0000DA2C0000}"/>
    <cellStyle name="Финансовый 3 2 8 7 3" xfId="5006" xr:uid="{00000000-0005-0000-0000-0000DB2C0000}"/>
    <cellStyle name="Финансовый 3 2 8 7 3 2" xfId="13649" xr:uid="{00000000-0005-0000-0000-0000DC2C0000}"/>
    <cellStyle name="Финансовый 3 2 8 7 4" xfId="7616" xr:uid="{00000000-0005-0000-0000-0000DD2C0000}"/>
    <cellStyle name="Финансовый 3 2 8 7 4 2" xfId="16259" xr:uid="{00000000-0005-0000-0000-0000DE2C0000}"/>
    <cellStyle name="Финансовый 3 2 8 7 5" xfId="10223" xr:uid="{00000000-0005-0000-0000-0000DF2C0000}"/>
    <cellStyle name="Финансовый 3 2 8 8" xfId="864" xr:uid="{00000000-0005-0000-0000-0000E02C0000}"/>
    <cellStyle name="Финансовый 3 2 8 8 2" xfId="6904" xr:uid="{00000000-0005-0000-0000-0000E12C0000}"/>
    <cellStyle name="Финансовый 3 2 8 8 2 2" xfId="15547" xr:uid="{00000000-0005-0000-0000-0000E22C0000}"/>
    <cellStyle name="Финансовый 3 2 8 8 3" xfId="9511" xr:uid="{00000000-0005-0000-0000-0000E32C0000}"/>
    <cellStyle name="Финансовый 3 2 8 9" xfId="444" xr:uid="{00000000-0005-0000-0000-0000E42C0000}"/>
    <cellStyle name="Финансовый 3 2 8 9 2" xfId="6484" xr:uid="{00000000-0005-0000-0000-0000E52C0000}"/>
    <cellStyle name="Финансовый 3 2 8 9 2 2" xfId="15127" xr:uid="{00000000-0005-0000-0000-0000E62C0000}"/>
    <cellStyle name="Финансовый 3 2 8 9 3" xfId="9091" xr:uid="{00000000-0005-0000-0000-0000E72C0000}"/>
    <cellStyle name="Финансовый 3 2 9" xfId="147" xr:uid="{00000000-0005-0000-0000-0000E82C0000}"/>
    <cellStyle name="Финансовый 3 2 9 10" xfId="8795" xr:uid="{00000000-0005-0000-0000-0000E92C0000}"/>
    <cellStyle name="Финансовый 3 2 9 2" xfId="1245" xr:uid="{00000000-0005-0000-0000-0000EA2C0000}"/>
    <cellStyle name="Финансовый 3 2 9 2 2" xfId="2211" xr:uid="{00000000-0005-0000-0000-0000EB2C0000}"/>
    <cellStyle name="Финансовый 3 2 9 2 2 2" xfId="3856" xr:uid="{00000000-0005-0000-0000-0000EC2C0000}"/>
    <cellStyle name="Финансовый 3 2 9 2 2 2 2" xfId="12501" xr:uid="{00000000-0005-0000-0000-0000ED2C0000}"/>
    <cellStyle name="Финансовый 3 2 9 2 2 3" xfId="5639" xr:uid="{00000000-0005-0000-0000-0000EE2C0000}"/>
    <cellStyle name="Финансовый 3 2 9 2 2 3 2" xfId="14282" xr:uid="{00000000-0005-0000-0000-0000EF2C0000}"/>
    <cellStyle name="Финансовый 3 2 9 2 2 4" xfId="8249" xr:uid="{00000000-0005-0000-0000-0000F02C0000}"/>
    <cellStyle name="Финансовый 3 2 9 2 2 4 2" xfId="16892" xr:uid="{00000000-0005-0000-0000-0000F12C0000}"/>
    <cellStyle name="Финансовый 3 2 9 2 2 5" xfId="10856" xr:uid="{00000000-0005-0000-0000-0000F22C0000}"/>
    <cellStyle name="Финансовый 3 2 9 2 3" xfId="3029" xr:uid="{00000000-0005-0000-0000-0000F32C0000}"/>
    <cellStyle name="Финансовый 3 2 9 2 3 2" xfId="11674" xr:uid="{00000000-0005-0000-0000-0000F42C0000}"/>
    <cellStyle name="Финансовый 3 2 9 2 4" xfId="4673" xr:uid="{00000000-0005-0000-0000-0000F52C0000}"/>
    <cellStyle name="Финансовый 3 2 9 2 4 2" xfId="13318" xr:uid="{00000000-0005-0000-0000-0000F62C0000}"/>
    <cellStyle name="Финансовый 3 2 9 2 5" xfId="7285" xr:uid="{00000000-0005-0000-0000-0000F72C0000}"/>
    <cellStyle name="Финансовый 3 2 9 2 5 2" xfId="15928" xr:uid="{00000000-0005-0000-0000-0000F82C0000}"/>
    <cellStyle name="Финансовый 3 2 9 2 6" xfId="9892" xr:uid="{00000000-0005-0000-0000-0000F92C0000}"/>
    <cellStyle name="Финансовый 3 2 9 3" xfId="1955" xr:uid="{00000000-0005-0000-0000-0000FA2C0000}"/>
    <cellStyle name="Финансовый 3 2 9 3 2" xfId="3600" xr:uid="{00000000-0005-0000-0000-0000FB2C0000}"/>
    <cellStyle name="Финансовый 3 2 9 3 2 2" xfId="12245" xr:uid="{00000000-0005-0000-0000-0000FC2C0000}"/>
    <cellStyle name="Финансовый 3 2 9 3 3" xfId="5383" xr:uid="{00000000-0005-0000-0000-0000FD2C0000}"/>
    <cellStyle name="Финансовый 3 2 9 3 3 2" xfId="14026" xr:uid="{00000000-0005-0000-0000-0000FE2C0000}"/>
    <cellStyle name="Финансовый 3 2 9 3 4" xfId="7993" xr:uid="{00000000-0005-0000-0000-0000FF2C0000}"/>
    <cellStyle name="Финансовый 3 2 9 3 4 2" xfId="16636" xr:uid="{00000000-0005-0000-0000-0000002D0000}"/>
    <cellStyle name="Финансовый 3 2 9 3 5" xfId="10600" xr:uid="{00000000-0005-0000-0000-0000012D0000}"/>
    <cellStyle name="Финансовый 3 2 9 4" xfId="2476" xr:uid="{00000000-0005-0000-0000-0000022D0000}"/>
    <cellStyle name="Финансовый 3 2 9 4 2" xfId="4121" xr:uid="{00000000-0005-0000-0000-0000032D0000}"/>
    <cellStyle name="Финансовый 3 2 9 4 2 2" xfId="12766" xr:uid="{00000000-0005-0000-0000-0000042D0000}"/>
    <cellStyle name="Финансовый 3 2 9 4 3" xfId="5904" xr:uid="{00000000-0005-0000-0000-0000052D0000}"/>
    <cellStyle name="Финансовый 3 2 9 4 3 2" xfId="14547" xr:uid="{00000000-0005-0000-0000-0000062D0000}"/>
    <cellStyle name="Финансовый 3 2 9 4 4" xfId="8514" xr:uid="{00000000-0005-0000-0000-0000072D0000}"/>
    <cellStyle name="Финансовый 3 2 9 4 4 2" xfId="17157" xr:uid="{00000000-0005-0000-0000-0000082D0000}"/>
    <cellStyle name="Финансовый 3 2 9 4 5" xfId="11121" xr:uid="{00000000-0005-0000-0000-0000092D0000}"/>
    <cellStyle name="Финансовый 3 2 9 5" xfId="980" xr:uid="{00000000-0005-0000-0000-00000A2D0000}"/>
    <cellStyle name="Финансовый 3 2 9 5 2" xfId="7020" xr:uid="{00000000-0005-0000-0000-00000B2D0000}"/>
    <cellStyle name="Финансовый 3 2 9 5 2 2" xfId="15663" xr:uid="{00000000-0005-0000-0000-00000C2D0000}"/>
    <cellStyle name="Финансовый 3 2 9 5 3" xfId="9627" xr:uid="{00000000-0005-0000-0000-00000D2D0000}"/>
    <cellStyle name="Финансовый 3 2 9 6" xfId="568" xr:uid="{00000000-0005-0000-0000-00000E2D0000}"/>
    <cellStyle name="Финансовый 3 2 9 6 2" xfId="6608" xr:uid="{00000000-0005-0000-0000-00000F2D0000}"/>
    <cellStyle name="Финансовый 3 2 9 6 2 2" xfId="15251" xr:uid="{00000000-0005-0000-0000-0000102D0000}"/>
    <cellStyle name="Финансовый 3 2 9 6 3" xfId="9215" xr:uid="{00000000-0005-0000-0000-0000112D0000}"/>
    <cellStyle name="Финансовый 3 2 9 7" xfId="2757" xr:uid="{00000000-0005-0000-0000-0000122D0000}"/>
    <cellStyle name="Финансовый 3 2 9 7 2" xfId="11402" xr:uid="{00000000-0005-0000-0000-0000132D0000}"/>
    <cellStyle name="Финансовый 3 2 9 8" xfId="4401" xr:uid="{00000000-0005-0000-0000-0000142D0000}"/>
    <cellStyle name="Финансовый 3 2 9 8 2" xfId="13046" xr:uid="{00000000-0005-0000-0000-0000152D0000}"/>
    <cellStyle name="Финансовый 3 2 9 9" xfId="6188" xr:uid="{00000000-0005-0000-0000-0000162D0000}"/>
    <cellStyle name="Финансовый 3 2 9 9 2" xfId="14831" xr:uid="{00000000-0005-0000-0000-0000172D0000}"/>
    <cellStyle name="Финансовый 3 20" xfId="2615" xr:uid="{00000000-0005-0000-0000-0000182D0000}"/>
    <cellStyle name="Финансовый 3 20 2" xfId="11260" xr:uid="{00000000-0005-0000-0000-0000192D0000}"/>
    <cellStyle name="Финансовый 3 21" xfId="4258" xr:uid="{00000000-0005-0000-0000-00001A2D0000}"/>
    <cellStyle name="Финансовый 3 21 2" xfId="12903" xr:uid="{00000000-0005-0000-0000-00001B2D0000}"/>
    <cellStyle name="Финансовый 3 22" xfId="6046" xr:uid="{00000000-0005-0000-0000-00001C2D0000}"/>
    <cellStyle name="Финансовый 3 22 2" xfId="14689" xr:uid="{00000000-0005-0000-0000-00001D2D0000}"/>
    <cellStyle name="Финансовый 3 23" xfId="8653" xr:uid="{00000000-0005-0000-0000-00001E2D0000}"/>
    <cellStyle name="Финансовый 3 3" xfId="39" xr:uid="{00000000-0005-0000-0000-00001F2D0000}"/>
    <cellStyle name="Финансовый 3 3 10" xfId="882" xr:uid="{00000000-0005-0000-0000-0000202D0000}"/>
    <cellStyle name="Финансовый 3 3 10 2" xfId="6922" xr:uid="{00000000-0005-0000-0000-0000212D0000}"/>
    <cellStyle name="Финансовый 3 3 10 2 2" xfId="15565" xr:uid="{00000000-0005-0000-0000-0000222D0000}"/>
    <cellStyle name="Финансовый 3 3 10 3" xfId="9529" xr:uid="{00000000-0005-0000-0000-0000232D0000}"/>
    <cellStyle name="Финансовый 3 3 11" xfId="462" xr:uid="{00000000-0005-0000-0000-0000242D0000}"/>
    <cellStyle name="Финансовый 3 3 11 2" xfId="6502" xr:uid="{00000000-0005-0000-0000-0000252D0000}"/>
    <cellStyle name="Финансовый 3 3 11 2 2" xfId="15145" xr:uid="{00000000-0005-0000-0000-0000262D0000}"/>
    <cellStyle name="Финансовый 3 3 11 3" xfId="9109" xr:uid="{00000000-0005-0000-0000-0000272D0000}"/>
    <cellStyle name="Финансовый 3 3 12" xfId="2651" xr:uid="{00000000-0005-0000-0000-0000282D0000}"/>
    <cellStyle name="Финансовый 3 3 12 2" xfId="11296" xr:uid="{00000000-0005-0000-0000-0000292D0000}"/>
    <cellStyle name="Финансовый 3 3 13" xfId="4294" xr:uid="{00000000-0005-0000-0000-00002A2D0000}"/>
    <cellStyle name="Финансовый 3 3 13 2" xfId="12939" xr:uid="{00000000-0005-0000-0000-00002B2D0000}"/>
    <cellStyle name="Финансовый 3 3 14" xfId="6082" xr:uid="{00000000-0005-0000-0000-00002C2D0000}"/>
    <cellStyle name="Финансовый 3 3 14 2" xfId="14725" xr:uid="{00000000-0005-0000-0000-00002D2D0000}"/>
    <cellStyle name="Финансовый 3 3 15" xfId="8689" xr:uid="{00000000-0005-0000-0000-00002E2D0000}"/>
    <cellStyle name="Финансовый 3 3 2" xfId="121" xr:uid="{00000000-0005-0000-0000-00002F2D0000}"/>
    <cellStyle name="Финансовый 3 3 2 10" xfId="2731" xr:uid="{00000000-0005-0000-0000-0000302D0000}"/>
    <cellStyle name="Финансовый 3 3 2 10 2" xfId="11376" xr:uid="{00000000-0005-0000-0000-0000312D0000}"/>
    <cellStyle name="Финансовый 3 3 2 11" xfId="4375" xr:uid="{00000000-0005-0000-0000-0000322D0000}"/>
    <cellStyle name="Финансовый 3 3 2 11 2" xfId="13020" xr:uid="{00000000-0005-0000-0000-0000332D0000}"/>
    <cellStyle name="Финансовый 3 3 2 12" xfId="6162" xr:uid="{00000000-0005-0000-0000-0000342D0000}"/>
    <cellStyle name="Финансовый 3 3 2 12 2" xfId="14805" xr:uid="{00000000-0005-0000-0000-0000352D0000}"/>
    <cellStyle name="Финансовый 3 3 2 13" xfId="8769" xr:uid="{00000000-0005-0000-0000-0000362D0000}"/>
    <cellStyle name="Финансовый 3 3 2 2" xfId="257" xr:uid="{00000000-0005-0000-0000-0000372D0000}"/>
    <cellStyle name="Финансовый 3 3 2 2 10" xfId="8905" xr:uid="{00000000-0005-0000-0000-0000382D0000}"/>
    <cellStyle name="Финансовый 3 3 2 2 2" xfId="1355" xr:uid="{00000000-0005-0000-0000-0000392D0000}"/>
    <cellStyle name="Финансовый 3 3 2 2 2 2" xfId="2313" xr:uid="{00000000-0005-0000-0000-00003A2D0000}"/>
    <cellStyle name="Финансовый 3 3 2 2 2 2 2" xfId="3958" xr:uid="{00000000-0005-0000-0000-00003B2D0000}"/>
    <cellStyle name="Финансовый 3 3 2 2 2 2 2 2" xfId="12603" xr:uid="{00000000-0005-0000-0000-00003C2D0000}"/>
    <cellStyle name="Финансовый 3 3 2 2 2 2 3" xfId="5741" xr:uid="{00000000-0005-0000-0000-00003D2D0000}"/>
    <cellStyle name="Финансовый 3 3 2 2 2 2 3 2" xfId="14384" xr:uid="{00000000-0005-0000-0000-00003E2D0000}"/>
    <cellStyle name="Финансовый 3 3 2 2 2 2 4" xfId="8351" xr:uid="{00000000-0005-0000-0000-00003F2D0000}"/>
    <cellStyle name="Финансовый 3 3 2 2 2 2 4 2" xfId="16994" xr:uid="{00000000-0005-0000-0000-0000402D0000}"/>
    <cellStyle name="Финансовый 3 3 2 2 2 2 5" xfId="10958" xr:uid="{00000000-0005-0000-0000-0000412D0000}"/>
    <cellStyle name="Финансовый 3 3 2 2 2 3" xfId="3139" xr:uid="{00000000-0005-0000-0000-0000422D0000}"/>
    <cellStyle name="Финансовый 3 3 2 2 2 3 2" xfId="11784" xr:uid="{00000000-0005-0000-0000-0000432D0000}"/>
    <cellStyle name="Финансовый 3 3 2 2 2 4" xfId="4783" xr:uid="{00000000-0005-0000-0000-0000442D0000}"/>
    <cellStyle name="Финансовый 3 3 2 2 2 4 2" xfId="13428" xr:uid="{00000000-0005-0000-0000-0000452D0000}"/>
    <cellStyle name="Финансовый 3 3 2 2 2 5" xfId="7395" xr:uid="{00000000-0005-0000-0000-0000462D0000}"/>
    <cellStyle name="Финансовый 3 3 2 2 2 5 2" xfId="16038" xr:uid="{00000000-0005-0000-0000-0000472D0000}"/>
    <cellStyle name="Финансовый 3 3 2 2 2 6" xfId="10002" xr:uid="{00000000-0005-0000-0000-0000482D0000}"/>
    <cellStyle name="Финансовый 3 3 2 2 3" xfId="2057" xr:uid="{00000000-0005-0000-0000-0000492D0000}"/>
    <cellStyle name="Финансовый 3 3 2 2 3 2" xfId="3702" xr:uid="{00000000-0005-0000-0000-00004A2D0000}"/>
    <cellStyle name="Финансовый 3 3 2 2 3 2 2" xfId="12347" xr:uid="{00000000-0005-0000-0000-00004B2D0000}"/>
    <cellStyle name="Финансовый 3 3 2 2 3 3" xfId="5485" xr:uid="{00000000-0005-0000-0000-00004C2D0000}"/>
    <cellStyle name="Финансовый 3 3 2 2 3 3 2" xfId="14128" xr:uid="{00000000-0005-0000-0000-00004D2D0000}"/>
    <cellStyle name="Финансовый 3 3 2 2 3 4" xfId="8095" xr:uid="{00000000-0005-0000-0000-00004E2D0000}"/>
    <cellStyle name="Финансовый 3 3 2 2 3 4 2" xfId="16738" xr:uid="{00000000-0005-0000-0000-00004F2D0000}"/>
    <cellStyle name="Финансовый 3 3 2 2 3 5" xfId="10702" xr:uid="{00000000-0005-0000-0000-0000502D0000}"/>
    <cellStyle name="Финансовый 3 3 2 2 4" xfId="2586" xr:uid="{00000000-0005-0000-0000-0000512D0000}"/>
    <cellStyle name="Финансовый 3 3 2 2 4 2" xfId="4231" xr:uid="{00000000-0005-0000-0000-0000522D0000}"/>
    <cellStyle name="Финансовый 3 3 2 2 4 2 2" xfId="12876" xr:uid="{00000000-0005-0000-0000-0000532D0000}"/>
    <cellStyle name="Финансовый 3 3 2 2 4 3" xfId="6014" xr:uid="{00000000-0005-0000-0000-0000542D0000}"/>
    <cellStyle name="Финансовый 3 3 2 2 4 3 2" xfId="14657" xr:uid="{00000000-0005-0000-0000-0000552D0000}"/>
    <cellStyle name="Финансовый 3 3 2 2 4 4" xfId="8624" xr:uid="{00000000-0005-0000-0000-0000562D0000}"/>
    <cellStyle name="Финансовый 3 3 2 2 4 4 2" xfId="17267" xr:uid="{00000000-0005-0000-0000-0000572D0000}"/>
    <cellStyle name="Финансовый 3 3 2 2 4 5" xfId="11231" xr:uid="{00000000-0005-0000-0000-0000582D0000}"/>
    <cellStyle name="Финансовый 3 3 2 2 5" xfId="1090" xr:uid="{00000000-0005-0000-0000-0000592D0000}"/>
    <cellStyle name="Финансовый 3 3 2 2 5 2" xfId="7130" xr:uid="{00000000-0005-0000-0000-00005A2D0000}"/>
    <cellStyle name="Финансовый 3 3 2 2 5 2 2" xfId="15773" xr:uid="{00000000-0005-0000-0000-00005B2D0000}"/>
    <cellStyle name="Финансовый 3 3 2 2 5 3" xfId="9737" xr:uid="{00000000-0005-0000-0000-00005C2D0000}"/>
    <cellStyle name="Финансовый 3 3 2 2 6" xfId="678" xr:uid="{00000000-0005-0000-0000-00005D2D0000}"/>
    <cellStyle name="Финансовый 3 3 2 2 6 2" xfId="6718" xr:uid="{00000000-0005-0000-0000-00005E2D0000}"/>
    <cellStyle name="Финансовый 3 3 2 2 6 2 2" xfId="15361" xr:uid="{00000000-0005-0000-0000-00005F2D0000}"/>
    <cellStyle name="Финансовый 3 3 2 2 6 3" xfId="9325" xr:uid="{00000000-0005-0000-0000-0000602D0000}"/>
    <cellStyle name="Финансовый 3 3 2 2 7" xfId="2867" xr:uid="{00000000-0005-0000-0000-0000612D0000}"/>
    <cellStyle name="Финансовый 3 3 2 2 7 2" xfId="11512" xr:uid="{00000000-0005-0000-0000-0000622D0000}"/>
    <cellStyle name="Финансовый 3 3 2 2 8" xfId="4511" xr:uid="{00000000-0005-0000-0000-0000632D0000}"/>
    <cellStyle name="Финансовый 3 3 2 2 8 2" xfId="13156" xr:uid="{00000000-0005-0000-0000-0000642D0000}"/>
    <cellStyle name="Финансовый 3 3 2 2 9" xfId="6298" xr:uid="{00000000-0005-0000-0000-0000652D0000}"/>
    <cellStyle name="Финансовый 3 3 2 2 9 2" xfId="14941" xr:uid="{00000000-0005-0000-0000-0000662D0000}"/>
    <cellStyle name="Финансовый 3 3 2 3" xfId="406" xr:uid="{00000000-0005-0000-0000-0000672D0000}"/>
    <cellStyle name="Финансовый 3 3 2 3 2" xfId="2185" xr:uid="{00000000-0005-0000-0000-0000682D0000}"/>
    <cellStyle name="Финансовый 3 3 2 3 2 2" xfId="3830" xr:uid="{00000000-0005-0000-0000-0000692D0000}"/>
    <cellStyle name="Финансовый 3 3 2 3 2 2 2" xfId="12475" xr:uid="{00000000-0005-0000-0000-00006A2D0000}"/>
    <cellStyle name="Финансовый 3 3 2 3 2 3" xfId="5613" xr:uid="{00000000-0005-0000-0000-00006B2D0000}"/>
    <cellStyle name="Финансовый 3 3 2 3 2 3 2" xfId="14256" xr:uid="{00000000-0005-0000-0000-00006C2D0000}"/>
    <cellStyle name="Финансовый 3 3 2 3 2 4" xfId="8223" xr:uid="{00000000-0005-0000-0000-00006D2D0000}"/>
    <cellStyle name="Финансовый 3 3 2 3 2 4 2" xfId="16866" xr:uid="{00000000-0005-0000-0000-00006E2D0000}"/>
    <cellStyle name="Финансовый 3 3 2 3 2 5" xfId="10830" xr:uid="{00000000-0005-0000-0000-00006F2D0000}"/>
    <cellStyle name="Финансовый 3 3 2 3 3" xfId="1219" xr:uid="{00000000-0005-0000-0000-0000702D0000}"/>
    <cellStyle name="Финансовый 3 3 2 3 3 2" xfId="7259" xr:uid="{00000000-0005-0000-0000-0000712D0000}"/>
    <cellStyle name="Финансовый 3 3 2 3 3 2 2" xfId="15902" xr:uid="{00000000-0005-0000-0000-0000722D0000}"/>
    <cellStyle name="Финансовый 3 3 2 3 3 3" xfId="9866" xr:uid="{00000000-0005-0000-0000-0000732D0000}"/>
    <cellStyle name="Финансовый 3 3 2 3 4" xfId="826" xr:uid="{00000000-0005-0000-0000-0000742D0000}"/>
    <cellStyle name="Финансовый 3 3 2 3 4 2" xfId="6866" xr:uid="{00000000-0005-0000-0000-0000752D0000}"/>
    <cellStyle name="Финансовый 3 3 2 3 4 2 2" xfId="15509" xr:uid="{00000000-0005-0000-0000-0000762D0000}"/>
    <cellStyle name="Финансовый 3 3 2 3 4 3" xfId="9473" xr:uid="{00000000-0005-0000-0000-0000772D0000}"/>
    <cellStyle name="Финансовый 3 3 2 3 5" xfId="3003" xr:uid="{00000000-0005-0000-0000-0000782D0000}"/>
    <cellStyle name="Финансовый 3 3 2 3 5 2" xfId="11648" xr:uid="{00000000-0005-0000-0000-0000792D0000}"/>
    <cellStyle name="Финансовый 3 3 2 3 6" xfId="4647" xr:uid="{00000000-0005-0000-0000-00007A2D0000}"/>
    <cellStyle name="Финансовый 3 3 2 3 6 2" xfId="13292" xr:uid="{00000000-0005-0000-0000-00007B2D0000}"/>
    <cellStyle name="Финансовый 3 3 2 3 7" xfId="6446" xr:uid="{00000000-0005-0000-0000-00007C2D0000}"/>
    <cellStyle name="Финансовый 3 3 2 3 7 2" xfId="15089" xr:uid="{00000000-0005-0000-0000-00007D2D0000}"/>
    <cellStyle name="Финансовый 3 3 2 3 8" xfId="9053" xr:uid="{00000000-0005-0000-0000-00007E2D0000}"/>
    <cellStyle name="Финансовый 3 3 2 4" xfId="1525" xr:uid="{00000000-0005-0000-0000-00007F2D0000}"/>
    <cellStyle name="Финансовый 3 3 2 4 2" xfId="1929" xr:uid="{00000000-0005-0000-0000-0000802D0000}"/>
    <cellStyle name="Финансовый 3 3 2 4 2 2" xfId="3574" xr:uid="{00000000-0005-0000-0000-0000812D0000}"/>
    <cellStyle name="Финансовый 3 3 2 4 2 2 2" xfId="12219" xr:uid="{00000000-0005-0000-0000-0000822D0000}"/>
    <cellStyle name="Финансовый 3 3 2 4 2 3" xfId="5357" xr:uid="{00000000-0005-0000-0000-0000832D0000}"/>
    <cellStyle name="Финансовый 3 3 2 4 2 3 2" xfId="14000" xr:uid="{00000000-0005-0000-0000-0000842D0000}"/>
    <cellStyle name="Финансовый 3 3 2 4 2 4" xfId="7967" xr:uid="{00000000-0005-0000-0000-0000852D0000}"/>
    <cellStyle name="Финансовый 3 3 2 4 2 4 2" xfId="16610" xr:uid="{00000000-0005-0000-0000-0000862D0000}"/>
    <cellStyle name="Финансовый 3 3 2 4 2 5" xfId="10574" xr:uid="{00000000-0005-0000-0000-0000872D0000}"/>
    <cellStyle name="Финансовый 3 3 2 4 3" xfId="4953" xr:uid="{00000000-0005-0000-0000-0000882D0000}"/>
    <cellStyle name="Финансовый 3 3 2 4 3 2" xfId="13596" xr:uid="{00000000-0005-0000-0000-0000892D0000}"/>
    <cellStyle name="Финансовый 3 3 2 4 4" xfId="7563" xr:uid="{00000000-0005-0000-0000-00008A2D0000}"/>
    <cellStyle name="Финансовый 3 3 2 4 4 2" xfId="16206" xr:uid="{00000000-0005-0000-0000-00008B2D0000}"/>
    <cellStyle name="Финансовый 3 3 2 4 5" xfId="10170" xr:uid="{00000000-0005-0000-0000-00008C2D0000}"/>
    <cellStyle name="Финансовый 3 3 2 5" xfId="1805" xr:uid="{00000000-0005-0000-0000-00008D2D0000}"/>
    <cellStyle name="Финансовый 3 3 2 5 2" xfId="3450" xr:uid="{00000000-0005-0000-0000-00008E2D0000}"/>
    <cellStyle name="Финансовый 3 3 2 5 2 2" xfId="12095" xr:uid="{00000000-0005-0000-0000-00008F2D0000}"/>
    <cellStyle name="Финансовый 3 3 2 5 3" xfId="5233" xr:uid="{00000000-0005-0000-0000-0000902D0000}"/>
    <cellStyle name="Финансовый 3 3 2 5 3 2" xfId="13876" xr:uid="{00000000-0005-0000-0000-0000912D0000}"/>
    <cellStyle name="Финансовый 3 3 2 5 4" xfId="7843" xr:uid="{00000000-0005-0000-0000-0000922D0000}"/>
    <cellStyle name="Финансовый 3 3 2 5 4 2" xfId="16486" xr:uid="{00000000-0005-0000-0000-0000932D0000}"/>
    <cellStyle name="Финансовый 3 3 2 5 5" xfId="10450" xr:uid="{00000000-0005-0000-0000-0000942D0000}"/>
    <cellStyle name="Финансовый 3 3 2 6" xfId="2450" xr:uid="{00000000-0005-0000-0000-0000952D0000}"/>
    <cellStyle name="Финансовый 3 3 2 6 2" xfId="4095" xr:uid="{00000000-0005-0000-0000-0000962D0000}"/>
    <cellStyle name="Финансовый 3 3 2 6 2 2" xfId="12740" xr:uid="{00000000-0005-0000-0000-0000972D0000}"/>
    <cellStyle name="Финансовый 3 3 2 6 3" xfId="5878" xr:uid="{00000000-0005-0000-0000-0000982D0000}"/>
    <cellStyle name="Финансовый 3 3 2 6 3 2" xfId="14521" xr:uid="{00000000-0005-0000-0000-0000992D0000}"/>
    <cellStyle name="Финансовый 3 3 2 6 4" xfId="8488" xr:uid="{00000000-0005-0000-0000-00009A2D0000}"/>
    <cellStyle name="Финансовый 3 3 2 6 4 2" xfId="17131" xr:uid="{00000000-0005-0000-0000-00009B2D0000}"/>
    <cellStyle name="Финансовый 3 3 2 6 5" xfId="11095" xr:uid="{00000000-0005-0000-0000-00009C2D0000}"/>
    <cellStyle name="Финансовый 3 3 2 7" xfId="1677" xr:uid="{00000000-0005-0000-0000-00009D2D0000}"/>
    <cellStyle name="Финансовый 3 3 2 7 2" xfId="3322" xr:uid="{00000000-0005-0000-0000-00009E2D0000}"/>
    <cellStyle name="Финансовый 3 3 2 7 2 2" xfId="11967" xr:uid="{00000000-0005-0000-0000-00009F2D0000}"/>
    <cellStyle name="Финансовый 3 3 2 7 3" xfId="5105" xr:uid="{00000000-0005-0000-0000-0000A02D0000}"/>
    <cellStyle name="Финансовый 3 3 2 7 3 2" xfId="13748" xr:uid="{00000000-0005-0000-0000-0000A12D0000}"/>
    <cellStyle name="Финансовый 3 3 2 7 4" xfId="7715" xr:uid="{00000000-0005-0000-0000-0000A22D0000}"/>
    <cellStyle name="Финансовый 3 3 2 7 4 2" xfId="16358" xr:uid="{00000000-0005-0000-0000-0000A32D0000}"/>
    <cellStyle name="Финансовый 3 3 2 7 5" xfId="10322" xr:uid="{00000000-0005-0000-0000-0000A42D0000}"/>
    <cellStyle name="Финансовый 3 3 2 8" xfId="954" xr:uid="{00000000-0005-0000-0000-0000A52D0000}"/>
    <cellStyle name="Финансовый 3 3 2 8 2" xfId="6994" xr:uid="{00000000-0005-0000-0000-0000A62D0000}"/>
    <cellStyle name="Финансовый 3 3 2 8 2 2" xfId="15637" xr:uid="{00000000-0005-0000-0000-0000A72D0000}"/>
    <cellStyle name="Финансовый 3 3 2 8 3" xfId="9601" xr:uid="{00000000-0005-0000-0000-0000A82D0000}"/>
    <cellStyle name="Финансовый 3 3 2 9" xfId="542" xr:uid="{00000000-0005-0000-0000-0000A92D0000}"/>
    <cellStyle name="Финансовый 3 3 2 9 2" xfId="6582" xr:uid="{00000000-0005-0000-0000-0000AA2D0000}"/>
    <cellStyle name="Финансовый 3 3 2 9 2 2" xfId="15225" xr:uid="{00000000-0005-0000-0000-0000AB2D0000}"/>
    <cellStyle name="Финансовый 3 3 2 9 3" xfId="9189" xr:uid="{00000000-0005-0000-0000-0000AC2D0000}"/>
    <cellStyle name="Финансовый 3 3 3" xfId="85" xr:uid="{00000000-0005-0000-0000-0000AD2D0000}"/>
    <cellStyle name="Финансовый 3 3 3 10" xfId="2695" xr:uid="{00000000-0005-0000-0000-0000AE2D0000}"/>
    <cellStyle name="Финансовый 3 3 3 10 2" xfId="11340" xr:uid="{00000000-0005-0000-0000-0000AF2D0000}"/>
    <cellStyle name="Финансовый 3 3 3 11" xfId="4339" xr:uid="{00000000-0005-0000-0000-0000B02D0000}"/>
    <cellStyle name="Финансовый 3 3 3 11 2" xfId="12984" xr:uid="{00000000-0005-0000-0000-0000B12D0000}"/>
    <cellStyle name="Финансовый 3 3 3 12" xfId="6126" xr:uid="{00000000-0005-0000-0000-0000B22D0000}"/>
    <cellStyle name="Финансовый 3 3 3 12 2" xfId="14769" xr:uid="{00000000-0005-0000-0000-0000B32D0000}"/>
    <cellStyle name="Финансовый 3 3 3 13" xfId="8733" xr:uid="{00000000-0005-0000-0000-0000B42D0000}"/>
    <cellStyle name="Финансовый 3 3 3 2" xfId="221" xr:uid="{00000000-0005-0000-0000-0000B52D0000}"/>
    <cellStyle name="Финансовый 3 3 3 2 10" xfId="8869" xr:uid="{00000000-0005-0000-0000-0000B62D0000}"/>
    <cellStyle name="Финансовый 3 3 3 2 2" xfId="1319" xr:uid="{00000000-0005-0000-0000-0000B72D0000}"/>
    <cellStyle name="Финансовый 3 3 3 2 2 2" xfId="2277" xr:uid="{00000000-0005-0000-0000-0000B82D0000}"/>
    <cellStyle name="Финансовый 3 3 3 2 2 2 2" xfId="3922" xr:uid="{00000000-0005-0000-0000-0000B92D0000}"/>
    <cellStyle name="Финансовый 3 3 3 2 2 2 2 2" xfId="12567" xr:uid="{00000000-0005-0000-0000-0000BA2D0000}"/>
    <cellStyle name="Финансовый 3 3 3 2 2 2 3" xfId="5705" xr:uid="{00000000-0005-0000-0000-0000BB2D0000}"/>
    <cellStyle name="Финансовый 3 3 3 2 2 2 3 2" xfId="14348" xr:uid="{00000000-0005-0000-0000-0000BC2D0000}"/>
    <cellStyle name="Финансовый 3 3 3 2 2 2 4" xfId="8315" xr:uid="{00000000-0005-0000-0000-0000BD2D0000}"/>
    <cellStyle name="Финансовый 3 3 3 2 2 2 4 2" xfId="16958" xr:uid="{00000000-0005-0000-0000-0000BE2D0000}"/>
    <cellStyle name="Финансовый 3 3 3 2 2 2 5" xfId="10922" xr:uid="{00000000-0005-0000-0000-0000BF2D0000}"/>
    <cellStyle name="Финансовый 3 3 3 2 2 3" xfId="3103" xr:uid="{00000000-0005-0000-0000-0000C02D0000}"/>
    <cellStyle name="Финансовый 3 3 3 2 2 3 2" xfId="11748" xr:uid="{00000000-0005-0000-0000-0000C12D0000}"/>
    <cellStyle name="Финансовый 3 3 3 2 2 4" xfId="4747" xr:uid="{00000000-0005-0000-0000-0000C22D0000}"/>
    <cellStyle name="Финансовый 3 3 3 2 2 4 2" xfId="13392" xr:uid="{00000000-0005-0000-0000-0000C32D0000}"/>
    <cellStyle name="Финансовый 3 3 3 2 2 5" xfId="7359" xr:uid="{00000000-0005-0000-0000-0000C42D0000}"/>
    <cellStyle name="Финансовый 3 3 3 2 2 5 2" xfId="16002" xr:uid="{00000000-0005-0000-0000-0000C52D0000}"/>
    <cellStyle name="Финансовый 3 3 3 2 2 6" xfId="9966" xr:uid="{00000000-0005-0000-0000-0000C62D0000}"/>
    <cellStyle name="Финансовый 3 3 3 2 3" xfId="2021" xr:uid="{00000000-0005-0000-0000-0000C72D0000}"/>
    <cellStyle name="Финансовый 3 3 3 2 3 2" xfId="3666" xr:uid="{00000000-0005-0000-0000-0000C82D0000}"/>
    <cellStyle name="Финансовый 3 3 3 2 3 2 2" xfId="12311" xr:uid="{00000000-0005-0000-0000-0000C92D0000}"/>
    <cellStyle name="Финансовый 3 3 3 2 3 3" xfId="5449" xr:uid="{00000000-0005-0000-0000-0000CA2D0000}"/>
    <cellStyle name="Финансовый 3 3 3 2 3 3 2" xfId="14092" xr:uid="{00000000-0005-0000-0000-0000CB2D0000}"/>
    <cellStyle name="Финансовый 3 3 3 2 3 4" xfId="8059" xr:uid="{00000000-0005-0000-0000-0000CC2D0000}"/>
    <cellStyle name="Финансовый 3 3 3 2 3 4 2" xfId="16702" xr:uid="{00000000-0005-0000-0000-0000CD2D0000}"/>
    <cellStyle name="Финансовый 3 3 3 2 3 5" xfId="10666" xr:uid="{00000000-0005-0000-0000-0000CE2D0000}"/>
    <cellStyle name="Финансовый 3 3 3 2 4" xfId="2550" xr:uid="{00000000-0005-0000-0000-0000CF2D0000}"/>
    <cellStyle name="Финансовый 3 3 3 2 4 2" xfId="4195" xr:uid="{00000000-0005-0000-0000-0000D02D0000}"/>
    <cellStyle name="Финансовый 3 3 3 2 4 2 2" xfId="12840" xr:uid="{00000000-0005-0000-0000-0000D12D0000}"/>
    <cellStyle name="Финансовый 3 3 3 2 4 3" xfId="5978" xr:uid="{00000000-0005-0000-0000-0000D22D0000}"/>
    <cellStyle name="Финансовый 3 3 3 2 4 3 2" xfId="14621" xr:uid="{00000000-0005-0000-0000-0000D32D0000}"/>
    <cellStyle name="Финансовый 3 3 3 2 4 4" xfId="8588" xr:uid="{00000000-0005-0000-0000-0000D42D0000}"/>
    <cellStyle name="Финансовый 3 3 3 2 4 4 2" xfId="17231" xr:uid="{00000000-0005-0000-0000-0000D52D0000}"/>
    <cellStyle name="Финансовый 3 3 3 2 4 5" xfId="11195" xr:uid="{00000000-0005-0000-0000-0000D62D0000}"/>
    <cellStyle name="Финансовый 3 3 3 2 5" xfId="1054" xr:uid="{00000000-0005-0000-0000-0000D72D0000}"/>
    <cellStyle name="Финансовый 3 3 3 2 5 2" xfId="7094" xr:uid="{00000000-0005-0000-0000-0000D82D0000}"/>
    <cellStyle name="Финансовый 3 3 3 2 5 2 2" xfId="15737" xr:uid="{00000000-0005-0000-0000-0000D92D0000}"/>
    <cellStyle name="Финансовый 3 3 3 2 5 3" xfId="9701" xr:uid="{00000000-0005-0000-0000-0000DA2D0000}"/>
    <cellStyle name="Финансовый 3 3 3 2 6" xfId="642" xr:uid="{00000000-0005-0000-0000-0000DB2D0000}"/>
    <cellStyle name="Финансовый 3 3 3 2 6 2" xfId="6682" xr:uid="{00000000-0005-0000-0000-0000DC2D0000}"/>
    <cellStyle name="Финансовый 3 3 3 2 6 2 2" xfId="15325" xr:uid="{00000000-0005-0000-0000-0000DD2D0000}"/>
    <cellStyle name="Финансовый 3 3 3 2 6 3" xfId="9289" xr:uid="{00000000-0005-0000-0000-0000DE2D0000}"/>
    <cellStyle name="Финансовый 3 3 3 2 7" xfId="2831" xr:uid="{00000000-0005-0000-0000-0000DF2D0000}"/>
    <cellStyle name="Финансовый 3 3 3 2 7 2" xfId="11476" xr:uid="{00000000-0005-0000-0000-0000E02D0000}"/>
    <cellStyle name="Финансовый 3 3 3 2 8" xfId="4475" xr:uid="{00000000-0005-0000-0000-0000E12D0000}"/>
    <cellStyle name="Финансовый 3 3 3 2 8 2" xfId="13120" xr:uid="{00000000-0005-0000-0000-0000E22D0000}"/>
    <cellStyle name="Финансовый 3 3 3 2 9" xfId="6262" xr:uid="{00000000-0005-0000-0000-0000E32D0000}"/>
    <cellStyle name="Финансовый 3 3 3 2 9 2" xfId="14905" xr:uid="{00000000-0005-0000-0000-0000E42D0000}"/>
    <cellStyle name="Финансовый 3 3 3 3" xfId="370" xr:uid="{00000000-0005-0000-0000-0000E52D0000}"/>
    <cellStyle name="Финансовый 3 3 3 3 2" xfId="2149" xr:uid="{00000000-0005-0000-0000-0000E62D0000}"/>
    <cellStyle name="Финансовый 3 3 3 3 2 2" xfId="3794" xr:uid="{00000000-0005-0000-0000-0000E72D0000}"/>
    <cellStyle name="Финансовый 3 3 3 3 2 2 2" xfId="12439" xr:uid="{00000000-0005-0000-0000-0000E82D0000}"/>
    <cellStyle name="Финансовый 3 3 3 3 2 3" xfId="5577" xr:uid="{00000000-0005-0000-0000-0000E92D0000}"/>
    <cellStyle name="Финансовый 3 3 3 3 2 3 2" xfId="14220" xr:uid="{00000000-0005-0000-0000-0000EA2D0000}"/>
    <cellStyle name="Финансовый 3 3 3 3 2 4" xfId="8187" xr:uid="{00000000-0005-0000-0000-0000EB2D0000}"/>
    <cellStyle name="Финансовый 3 3 3 3 2 4 2" xfId="16830" xr:uid="{00000000-0005-0000-0000-0000EC2D0000}"/>
    <cellStyle name="Финансовый 3 3 3 3 2 5" xfId="10794" xr:uid="{00000000-0005-0000-0000-0000ED2D0000}"/>
    <cellStyle name="Финансовый 3 3 3 3 3" xfId="1183" xr:uid="{00000000-0005-0000-0000-0000EE2D0000}"/>
    <cellStyle name="Финансовый 3 3 3 3 3 2" xfId="7223" xr:uid="{00000000-0005-0000-0000-0000EF2D0000}"/>
    <cellStyle name="Финансовый 3 3 3 3 3 2 2" xfId="15866" xr:uid="{00000000-0005-0000-0000-0000F02D0000}"/>
    <cellStyle name="Финансовый 3 3 3 3 3 3" xfId="9830" xr:uid="{00000000-0005-0000-0000-0000F12D0000}"/>
    <cellStyle name="Финансовый 3 3 3 3 4" xfId="790" xr:uid="{00000000-0005-0000-0000-0000F22D0000}"/>
    <cellStyle name="Финансовый 3 3 3 3 4 2" xfId="6830" xr:uid="{00000000-0005-0000-0000-0000F32D0000}"/>
    <cellStyle name="Финансовый 3 3 3 3 4 2 2" xfId="15473" xr:uid="{00000000-0005-0000-0000-0000F42D0000}"/>
    <cellStyle name="Финансовый 3 3 3 3 4 3" xfId="9437" xr:uid="{00000000-0005-0000-0000-0000F52D0000}"/>
    <cellStyle name="Финансовый 3 3 3 3 5" xfId="2967" xr:uid="{00000000-0005-0000-0000-0000F62D0000}"/>
    <cellStyle name="Финансовый 3 3 3 3 5 2" xfId="11612" xr:uid="{00000000-0005-0000-0000-0000F72D0000}"/>
    <cellStyle name="Финансовый 3 3 3 3 6" xfId="4611" xr:uid="{00000000-0005-0000-0000-0000F82D0000}"/>
    <cellStyle name="Финансовый 3 3 3 3 6 2" xfId="13256" xr:uid="{00000000-0005-0000-0000-0000F92D0000}"/>
    <cellStyle name="Финансовый 3 3 3 3 7" xfId="6410" xr:uid="{00000000-0005-0000-0000-0000FA2D0000}"/>
    <cellStyle name="Финансовый 3 3 3 3 7 2" xfId="15053" xr:uid="{00000000-0005-0000-0000-0000FB2D0000}"/>
    <cellStyle name="Финансовый 3 3 3 3 8" xfId="9017" xr:uid="{00000000-0005-0000-0000-0000FC2D0000}"/>
    <cellStyle name="Финансовый 3 3 3 4" xfId="1526" xr:uid="{00000000-0005-0000-0000-0000FD2D0000}"/>
    <cellStyle name="Финансовый 3 3 3 4 2" xfId="1893" xr:uid="{00000000-0005-0000-0000-0000FE2D0000}"/>
    <cellStyle name="Финансовый 3 3 3 4 2 2" xfId="3538" xr:uid="{00000000-0005-0000-0000-0000FF2D0000}"/>
    <cellStyle name="Финансовый 3 3 3 4 2 2 2" xfId="12183" xr:uid="{00000000-0005-0000-0000-0000002E0000}"/>
    <cellStyle name="Финансовый 3 3 3 4 2 3" xfId="5321" xr:uid="{00000000-0005-0000-0000-0000012E0000}"/>
    <cellStyle name="Финансовый 3 3 3 4 2 3 2" xfId="13964" xr:uid="{00000000-0005-0000-0000-0000022E0000}"/>
    <cellStyle name="Финансовый 3 3 3 4 2 4" xfId="7931" xr:uid="{00000000-0005-0000-0000-0000032E0000}"/>
    <cellStyle name="Финансовый 3 3 3 4 2 4 2" xfId="16574" xr:uid="{00000000-0005-0000-0000-0000042E0000}"/>
    <cellStyle name="Финансовый 3 3 3 4 2 5" xfId="10538" xr:uid="{00000000-0005-0000-0000-0000052E0000}"/>
    <cellStyle name="Финансовый 3 3 3 4 3" xfId="4954" xr:uid="{00000000-0005-0000-0000-0000062E0000}"/>
    <cellStyle name="Финансовый 3 3 3 4 3 2" xfId="13597" xr:uid="{00000000-0005-0000-0000-0000072E0000}"/>
    <cellStyle name="Финансовый 3 3 3 4 4" xfId="7564" xr:uid="{00000000-0005-0000-0000-0000082E0000}"/>
    <cellStyle name="Финансовый 3 3 3 4 4 2" xfId="16207" xr:uid="{00000000-0005-0000-0000-0000092E0000}"/>
    <cellStyle name="Финансовый 3 3 3 4 5" xfId="10171" xr:uid="{00000000-0005-0000-0000-00000A2E0000}"/>
    <cellStyle name="Финансовый 3 3 3 5" xfId="1769" xr:uid="{00000000-0005-0000-0000-00000B2E0000}"/>
    <cellStyle name="Финансовый 3 3 3 5 2" xfId="3414" xr:uid="{00000000-0005-0000-0000-00000C2E0000}"/>
    <cellStyle name="Финансовый 3 3 3 5 2 2" xfId="12059" xr:uid="{00000000-0005-0000-0000-00000D2E0000}"/>
    <cellStyle name="Финансовый 3 3 3 5 3" xfId="5197" xr:uid="{00000000-0005-0000-0000-00000E2E0000}"/>
    <cellStyle name="Финансовый 3 3 3 5 3 2" xfId="13840" xr:uid="{00000000-0005-0000-0000-00000F2E0000}"/>
    <cellStyle name="Финансовый 3 3 3 5 4" xfId="7807" xr:uid="{00000000-0005-0000-0000-0000102E0000}"/>
    <cellStyle name="Финансовый 3 3 3 5 4 2" xfId="16450" xr:uid="{00000000-0005-0000-0000-0000112E0000}"/>
    <cellStyle name="Финансовый 3 3 3 5 5" xfId="10414" xr:uid="{00000000-0005-0000-0000-0000122E0000}"/>
    <cellStyle name="Финансовый 3 3 3 6" xfId="2414" xr:uid="{00000000-0005-0000-0000-0000132E0000}"/>
    <cellStyle name="Финансовый 3 3 3 6 2" xfId="4059" xr:uid="{00000000-0005-0000-0000-0000142E0000}"/>
    <cellStyle name="Финансовый 3 3 3 6 2 2" xfId="12704" xr:uid="{00000000-0005-0000-0000-0000152E0000}"/>
    <cellStyle name="Финансовый 3 3 3 6 3" xfId="5842" xr:uid="{00000000-0005-0000-0000-0000162E0000}"/>
    <cellStyle name="Финансовый 3 3 3 6 3 2" xfId="14485" xr:uid="{00000000-0005-0000-0000-0000172E0000}"/>
    <cellStyle name="Финансовый 3 3 3 6 4" xfId="8452" xr:uid="{00000000-0005-0000-0000-0000182E0000}"/>
    <cellStyle name="Финансовый 3 3 3 6 4 2" xfId="17095" xr:uid="{00000000-0005-0000-0000-0000192E0000}"/>
    <cellStyle name="Финансовый 3 3 3 6 5" xfId="11059" xr:uid="{00000000-0005-0000-0000-00001A2E0000}"/>
    <cellStyle name="Финансовый 3 3 3 7" xfId="1641" xr:uid="{00000000-0005-0000-0000-00001B2E0000}"/>
    <cellStyle name="Финансовый 3 3 3 7 2" xfId="3286" xr:uid="{00000000-0005-0000-0000-00001C2E0000}"/>
    <cellStyle name="Финансовый 3 3 3 7 2 2" xfId="11931" xr:uid="{00000000-0005-0000-0000-00001D2E0000}"/>
    <cellStyle name="Финансовый 3 3 3 7 3" xfId="5069" xr:uid="{00000000-0005-0000-0000-00001E2E0000}"/>
    <cellStyle name="Финансовый 3 3 3 7 3 2" xfId="13712" xr:uid="{00000000-0005-0000-0000-00001F2E0000}"/>
    <cellStyle name="Финансовый 3 3 3 7 4" xfId="7679" xr:uid="{00000000-0005-0000-0000-0000202E0000}"/>
    <cellStyle name="Финансовый 3 3 3 7 4 2" xfId="16322" xr:uid="{00000000-0005-0000-0000-0000212E0000}"/>
    <cellStyle name="Финансовый 3 3 3 7 5" xfId="10286" xr:uid="{00000000-0005-0000-0000-0000222E0000}"/>
    <cellStyle name="Финансовый 3 3 3 8" xfId="918" xr:uid="{00000000-0005-0000-0000-0000232E0000}"/>
    <cellStyle name="Финансовый 3 3 3 8 2" xfId="6958" xr:uid="{00000000-0005-0000-0000-0000242E0000}"/>
    <cellStyle name="Финансовый 3 3 3 8 2 2" xfId="15601" xr:uid="{00000000-0005-0000-0000-0000252E0000}"/>
    <cellStyle name="Финансовый 3 3 3 8 3" xfId="9565" xr:uid="{00000000-0005-0000-0000-0000262E0000}"/>
    <cellStyle name="Финансовый 3 3 3 9" xfId="506" xr:uid="{00000000-0005-0000-0000-0000272E0000}"/>
    <cellStyle name="Финансовый 3 3 3 9 2" xfId="6546" xr:uid="{00000000-0005-0000-0000-0000282E0000}"/>
    <cellStyle name="Финансовый 3 3 3 9 2 2" xfId="15189" xr:uid="{00000000-0005-0000-0000-0000292E0000}"/>
    <cellStyle name="Финансовый 3 3 3 9 3" xfId="9153" xr:uid="{00000000-0005-0000-0000-00002A2E0000}"/>
    <cellStyle name="Финансовый 3 3 4" xfId="177" xr:uid="{00000000-0005-0000-0000-00002B2E0000}"/>
    <cellStyle name="Финансовый 3 3 4 10" xfId="8825" xr:uid="{00000000-0005-0000-0000-00002C2E0000}"/>
    <cellStyle name="Финансовый 3 3 4 2" xfId="1275" xr:uid="{00000000-0005-0000-0000-00002D2E0000}"/>
    <cellStyle name="Финансовый 3 3 4 2 2" xfId="2241" xr:uid="{00000000-0005-0000-0000-00002E2E0000}"/>
    <cellStyle name="Финансовый 3 3 4 2 2 2" xfId="3886" xr:uid="{00000000-0005-0000-0000-00002F2E0000}"/>
    <cellStyle name="Финансовый 3 3 4 2 2 2 2" xfId="12531" xr:uid="{00000000-0005-0000-0000-0000302E0000}"/>
    <cellStyle name="Финансовый 3 3 4 2 2 3" xfId="5669" xr:uid="{00000000-0005-0000-0000-0000312E0000}"/>
    <cellStyle name="Финансовый 3 3 4 2 2 3 2" xfId="14312" xr:uid="{00000000-0005-0000-0000-0000322E0000}"/>
    <cellStyle name="Финансовый 3 3 4 2 2 4" xfId="8279" xr:uid="{00000000-0005-0000-0000-0000332E0000}"/>
    <cellStyle name="Финансовый 3 3 4 2 2 4 2" xfId="16922" xr:uid="{00000000-0005-0000-0000-0000342E0000}"/>
    <cellStyle name="Финансовый 3 3 4 2 2 5" xfId="10886" xr:uid="{00000000-0005-0000-0000-0000352E0000}"/>
    <cellStyle name="Финансовый 3 3 4 2 3" xfId="3059" xr:uid="{00000000-0005-0000-0000-0000362E0000}"/>
    <cellStyle name="Финансовый 3 3 4 2 3 2" xfId="11704" xr:uid="{00000000-0005-0000-0000-0000372E0000}"/>
    <cellStyle name="Финансовый 3 3 4 2 4" xfId="4703" xr:uid="{00000000-0005-0000-0000-0000382E0000}"/>
    <cellStyle name="Финансовый 3 3 4 2 4 2" xfId="13348" xr:uid="{00000000-0005-0000-0000-0000392E0000}"/>
    <cellStyle name="Финансовый 3 3 4 2 5" xfId="7315" xr:uid="{00000000-0005-0000-0000-00003A2E0000}"/>
    <cellStyle name="Финансовый 3 3 4 2 5 2" xfId="15958" xr:uid="{00000000-0005-0000-0000-00003B2E0000}"/>
    <cellStyle name="Финансовый 3 3 4 2 6" xfId="9922" xr:uid="{00000000-0005-0000-0000-00003C2E0000}"/>
    <cellStyle name="Финансовый 3 3 4 3" xfId="1985" xr:uid="{00000000-0005-0000-0000-00003D2E0000}"/>
    <cellStyle name="Финансовый 3 3 4 3 2" xfId="3630" xr:uid="{00000000-0005-0000-0000-00003E2E0000}"/>
    <cellStyle name="Финансовый 3 3 4 3 2 2" xfId="12275" xr:uid="{00000000-0005-0000-0000-00003F2E0000}"/>
    <cellStyle name="Финансовый 3 3 4 3 3" xfId="5413" xr:uid="{00000000-0005-0000-0000-0000402E0000}"/>
    <cellStyle name="Финансовый 3 3 4 3 3 2" xfId="14056" xr:uid="{00000000-0005-0000-0000-0000412E0000}"/>
    <cellStyle name="Финансовый 3 3 4 3 4" xfId="8023" xr:uid="{00000000-0005-0000-0000-0000422E0000}"/>
    <cellStyle name="Финансовый 3 3 4 3 4 2" xfId="16666" xr:uid="{00000000-0005-0000-0000-0000432E0000}"/>
    <cellStyle name="Финансовый 3 3 4 3 5" xfId="10630" xr:uid="{00000000-0005-0000-0000-0000442E0000}"/>
    <cellStyle name="Финансовый 3 3 4 4" xfId="2506" xr:uid="{00000000-0005-0000-0000-0000452E0000}"/>
    <cellStyle name="Финансовый 3 3 4 4 2" xfId="4151" xr:uid="{00000000-0005-0000-0000-0000462E0000}"/>
    <cellStyle name="Финансовый 3 3 4 4 2 2" xfId="12796" xr:uid="{00000000-0005-0000-0000-0000472E0000}"/>
    <cellStyle name="Финансовый 3 3 4 4 3" xfId="5934" xr:uid="{00000000-0005-0000-0000-0000482E0000}"/>
    <cellStyle name="Финансовый 3 3 4 4 3 2" xfId="14577" xr:uid="{00000000-0005-0000-0000-0000492E0000}"/>
    <cellStyle name="Финансовый 3 3 4 4 4" xfId="8544" xr:uid="{00000000-0005-0000-0000-00004A2E0000}"/>
    <cellStyle name="Финансовый 3 3 4 4 4 2" xfId="17187" xr:uid="{00000000-0005-0000-0000-00004B2E0000}"/>
    <cellStyle name="Финансовый 3 3 4 4 5" xfId="11151" xr:uid="{00000000-0005-0000-0000-00004C2E0000}"/>
    <cellStyle name="Финансовый 3 3 4 5" xfId="1010" xr:uid="{00000000-0005-0000-0000-00004D2E0000}"/>
    <cellStyle name="Финансовый 3 3 4 5 2" xfId="7050" xr:uid="{00000000-0005-0000-0000-00004E2E0000}"/>
    <cellStyle name="Финансовый 3 3 4 5 2 2" xfId="15693" xr:uid="{00000000-0005-0000-0000-00004F2E0000}"/>
    <cellStyle name="Финансовый 3 3 4 5 3" xfId="9657" xr:uid="{00000000-0005-0000-0000-0000502E0000}"/>
    <cellStyle name="Финансовый 3 3 4 6" xfId="598" xr:uid="{00000000-0005-0000-0000-0000512E0000}"/>
    <cellStyle name="Финансовый 3 3 4 6 2" xfId="6638" xr:uid="{00000000-0005-0000-0000-0000522E0000}"/>
    <cellStyle name="Финансовый 3 3 4 6 2 2" xfId="15281" xr:uid="{00000000-0005-0000-0000-0000532E0000}"/>
    <cellStyle name="Финансовый 3 3 4 6 3" xfId="9245" xr:uid="{00000000-0005-0000-0000-0000542E0000}"/>
    <cellStyle name="Финансовый 3 3 4 7" xfId="2787" xr:uid="{00000000-0005-0000-0000-0000552E0000}"/>
    <cellStyle name="Финансовый 3 3 4 7 2" xfId="11432" xr:uid="{00000000-0005-0000-0000-0000562E0000}"/>
    <cellStyle name="Финансовый 3 3 4 8" xfId="4431" xr:uid="{00000000-0005-0000-0000-0000572E0000}"/>
    <cellStyle name="Финансовый 3 3 4 8 2" xfId="13076" xr:uid="{00000000-0005-0000-0000-0000582E0000}"/>
    <cellStyle name="Финансовый 3 3 4 9" xfId="6218" xr:uid="{00000000-0005-0000-0000-0000592E0000}"/>
    <cellStyle name="Финансовый 3 3 4 9 2" xfId="14861" xr:uid="{00000000-0005-0000-0000-00005A2E0000}"/>
    <cellStyle name="Финансовый 3 3 5" xfId="326" xr:uid="{00000000-0005-0000-0000-00005B2E0000}"/>
    <cellStyle name="Финансовый 3 3 5 2" xfId="2113" xr:uid="{00000000-0005-0000-0000-00005C2E0000}"/>
    <cellStyle name="Финансовый 3 3 5 2 2" xfId="3758" xr:uid="{00000000-0005-0000-0000-00005D2E0000}"/>
    <cellStyle name="Финансовый 3 3 5 2 2 2" xfId="12403" xr:uid="{00000000-0005-0000-0000-00005E2E0000}"/>
    <cellStyle name="Финансовый 3 3 5 2 3" xfId="5541" xr:uid="{00000000-0005-0000-0000-00005F2E0000}"/>
    <cellStyle name="Финансовый 3 3 5 2 3 2" xfId="14184" xr:uid="{00000000-0005-0000-0000-0000602E0000}"/>
    <cellStyle name="Финансовый 3 3 5 2 4" xfId="8151" xr:uid="{00000000-0005-0000-0000-0000612E0000}"/>
    <cellStyle name="Финансовый 3 3 5 2 4 2" xfId="16794" xr:uid="{00000000-0005-0000-0000-0000622E0000}"/>
    <cellStyle name="Финансовый 3 3 5 2 5" xfId="10758" xr:uid="{00000000-0005-0000-0000-0000632E0000}"/>
    <cellStyle name="Финансовый 3 3 5 3" xfId="1146" xr:uid="{00000000-0005-0000-0000-0000642E0000}"/>
    <cellStyle name="Финансовый 3 3 5 3 2" xfId="7186" xr:uid="{00000000-0005-0000-0000-0000652E0000}"/>
    <cellStyle name="Финансовый 3 3 5 3 2 2" xfId="15829" xr:uid="{00000000-0005-0000-0000-0000662E0000}"/>
    <cellStyle name="Финансовый 3 3 5 3 3" xfId="9793" xr:uid="{00000000-0005-0000-0000-0000672E0000}"/>
    <cellStyle name="Финансовый 3 3 5 4" xfId="746" xr:uid="{00000000-0005-0000-0000-0000682E0000}"/>
    <cellStyle name="Финансовый 3 3 5 4 2" xfId="6786" xr:uid="{00000000-0005-0000-0000-0000692E0000}"/>
    <cellStyle name="Финансовый 3 3 5 4 2 2" xfId="15429" xr:uid="{00000000-0005-0000-0000-00006A2E0000}"/>
    <cellStyle name="Финансовый 3 3 5 4 3" xfId="9393" xr:uid="{00000000-0005-0000-0000-00006B2E0000}"/>
    <cellStyle name="Финансовый 3 3 5 5" xfId="2923" xr:uid="{00000000-0005-0000-0000-00006C2E0000}"/>
    <cellStyle name="Финансовый 3 3 5 5 2" xfId="11568" xr:uid="{00000000-0005-0000-0000-00006D2E0000}"/>
    <cellStyle name="Финансовый 3 3 5 6" xfId="4567" xr:uid="{00000000-0005-0000-0000-00006E2E0000}"/>
    <cellStyle name="Финансовый 3 3 5 6 2" xfId="13212" xr:uid="{00000000-0005-0000-0000-00006F2E0000}"/>
    <cellStyle name="Финансовый 3 3 5 7" xfId="6366" xr:uid="{00000000-0005-0000-0000-0000702E0000}"/>
    <cellStyle name="Финансовый 3 3 5 7 2" xfId="15009" xr:uid="{00000000-0005-0000-0000-0000712E0000}"/>
    <cellStyle name="Финансовый 3 3 5 8" xfId="8973" xr:uid="{00000000-0005-0000-0000-0000722E0000}"/>
    <cellStyle name="Финансовый 3 3 6" xfId="1524" xr:uid="{00000000-0005-0000-0000-0000732E0000}"/>
    <cellStyle name="Финансовый 3 3 6 2" xfId="1849" xr:uid="{00000000-0005-0000-0000-0000742E0000}"/>
    <cellStyle name="Финансовый 3 3 6 2 2" xfId="3494" xr:uid="{00000000-0005-0000-0000-0000752E0000}"/>
    <cellStyle name="Финансовый 3 3 6 2 2 2" xfId="12139" xr:uid="{00000000-0005-0000-0000-0000762E0000}"/>
    <cellStyle name="Финансовый 3 3 6 2 3" xfId="5277" xr:uid="{00000000-0005-0000-0000-0000772E0000}"/>
    <cellStyle name="Финансовый 3 3 6 2 3 2" xfId="13920" xr:uid="{00000000-0005-0000-0000-0000782E0000}"/>
    <cellStyle name="Финансовый 3 3 6 2 4" xfId="7887" xr:uid="{00000000-0005-0000-0000-0000792E0000}"/>
    <cellStyle name="Финансовый 3 3 6 2 4 2" xfId="16530" xr:uid="{00000000-0005-0000-0000-00007A2E0000}"/>
    <cellStyle name="Финансовый 3 3 6 2 5" xfId="10494" xr:uid="{00000000-0005-0000-0000-00007B2E0000}"/>
    <cellStyle name="Финансовый 3 3 6 3" xfId="4952" xr:uid="{00000000-0005-0000-0000-00007C2E0000}"/>
    <cellStyle name="Финансовый 3 3 6 3 2" xfId="13595" xr:uid="{00000000-0005-0000-0000-00007D2E0000}"/>
    <cellStyle name="Финансовый 3 3 6 4" xfId="7562" xr:uid="{00000000-0005-0000-0000-00007E2E0000}"/>
    <cellStyle name="Финансовый 3 3 6 4 2" xfId="16205" xr:uid="{00000000-0005-0000-0000-00007F2E0000}"/>
    <cellStyle name="Финансовый 3 3 6 5" xfId="10169" xr:uid="{00000000-0005-0000-0000-0000802E0000}"/>
    <cellStyle name="Финансовый 3 3 7" xfId="1733" xr:uid="{00000000-0005-0000-0000-0000812E0000}"/>
    <cellStyle name="Финансовый 3 3 7 2" xfId="3378" xr:uid="{00000000-0005-0000-0000-0000822E0000}"/>
    <cellStyle name="Финансовый 3 3 7 2 2" xfId="12023" xr:uid="{00000000-0005-0000-0000-0000832E0000}"/>
    <cellStyle name="Финансовый 3 3 7 3" xfId="5161" xr:uid="{00000000-0005-0000-0000-0000842E0000}"/>
    <cellStyle name="Финансовый 3 3 7 3 2" xfId="13804" xr:uid="{00000000-0005-0000-0000-0000852E0000}"/>
    <cellStyle name="Финансовый 3 3 7 4" xfId="7771" xr:uid="{00000000-0005-0000-0000-0000862E0000}"/>
    <cellStyle name="Финансовый 3 3 7 4 2" xfId="16414" xr:uid="{00000000-0005-0000-0000-0000872E0000}"/>
    <cellStyle name="Финансовый 3 3 7 5" xfId="10378" xr:uid="{00000000-0005-0000-0000-0000882E0000}"/>
    <cellStyle name="Финансовый 3 3 8" xfId="2369" xr:uid="{00000000-0005-0000-0000-0000892E0000}"/>
    <cellStyle name="Финансовый 3 3 8 2" xfId="4014" xr:uid="{00000000-0005-0000-0000-00008A2E0000}"/>
    <cellStyle name="Финансовый 3 3 8 2 2" xfId="12659" xr:uid="{00000000-0005-0000-0000-00008B2E0000}"/>
    <cellStyle name="Финансовый 3 3 8 3" xfId="5797" xr:uid="{00000000-0005-0000-0000-00008C2E0000}"/>
    <cellStyle name="Финансовый 3 3 8 3 2" xfId="14440" xr:uid="{00000000-0005-0000-0000-00008D2E0000}"/>
    <cellStyle name="Финансовый 3 3 8 4" xfId="8407" xr:uid="{00000000-0005-0000-0000-00008E2E0000}"/>
    <cellStyle name="Финансовый 3 3 8 4 2" xfId="17050" xr:uid="{00000000-0005-0000-0000-00008F2E0000}"/>
    <cellStyle name="Финансовый 3 3 8 5" xfId="11014" xr:uid="{00000000-0005-0000-0000-0000902E0000}"/>
    <cellStyle name="Финансовый 3 3 9" xfId="1596" xr:uid="{00000000-0005-0000-0000-0000912E0000}"/>
    <cellStyle name="Финансовый 3 3 9 2" xfId="3241" xr:uid="{00000000-0005-0000-0000-0000922E0000}"/>
    <cellStyle name="Финансовый 3 3 9 2 2" xfId="11886" xr:uid="{00000000-0005-0000-0000-0000932E0000}"/>
    <cellStyle name="Финансовый 3 3 9 3" xfId="5024" xr:uid="{00000000-0005-0000-0000-0000942E0000}"/>
    <cellStyle name="Финансовый 3 3 9 3 2" xfId="13667" xr:uid="{00000000-0005-0000-0000-0000952E0000}"/>
    <cellStyle name="Финансовый 3 3 9 4" xfId="7634" xr:uid="{00000000-0005-0000-0000-0000962E0000}"/>
    <cellStyle name="Финансовый 3 3 9 4 2" xfId="16277" xr:uid="{00000000-0005-0000-0000-0000972E0000}"/>
    <cellStyle name="Финансовый 3 3 9 5" xfId="10241" xr:uid="{00000000-0005-0000-0000-0000982E0000}"/>
    <cellStyle name="Финансовый 3 4" xfId="91" xr:uid="{00000000-0005-0000-0000-0000992E0000}"/>
    <cellStyle name="Финансовый 3 4 10" xfId="2701" xr:uid="{00000000-0005-0000-0000-00009A2E0000}"/>
    <cellStyle name="Финансовый 3 4 10 2" xfId="11346" xr:uid="{00000000-0005-0000-0000-00009B2E0000}"/>
    <cellStyle name="Финансовый 3 4 11" xfId="4345" xr:uid="{00000000-0005-0000-0000-00009C2E0000}"/>
    <cellStyle name="Финансовый 3 4 11 2" xfId="12990" xr:uid="{00000000-0005-0000-0000-00009D2E0000}"/>
    <cellStyle name="Финансовый 3 4 12" xfId="6132" xr:uid="{00000000-0005-0000-0000-00009E2E0000}"/>
    <cellStyle name="Финансовый 3 4 12 2" xfId="14775" xr:uid="{00000000-0005-0000-0000-00009F2E0000}"/>
    <cellStyle name="Финансовый 3 4 13" xfId="8739" xr:uid="{00000000-0005-0000-0000-0000A02E0000}"/>
    <cellStyle name="Финансовый 3 4 2" xfId="227" xr:uid="{00000000-0005-0000-0000-0000A12E0000}"/>
    <cellStyle name="Финансовый 3 4 2 10" xfId="8875" xr:uid="{00000000-0005-0000-0000-0000A22E0000}"/>
    <cellStyle name="Финансовый 3 4 2 2" xfId="1325" xr:uid="{00000000-0005-0000-0000-0000A32E0000}"/>
    <cellStyle name="Финансовый 3 4 2 2 2" xfId="2283" xr:uid="{00000000-0005-0000-0000-0000A42E0000}"/>
    <cellStyle name="Финансовый 3 4 2 2 2 2" xfId="3928" xr:uid="{00000000-0005-0000-0000-0000A52E0000}"/>
    <cellStyle name="Финансовый 3 4 2 2 2 2 2" xfId="12573" xr:uid="{00000000-0005-0000-0000-0000A62E0000}"/>
    <cellStyle name="Финансовый 3 4 2 2 2 3" xfId="5711" xr:uid="{00000000-0005-0000-0000-0000A72E0000}"/>
    <cellStyle name="Финансовый 3 4 2 2 2 3 2" xfId="14354" xr:uid="{00000000-0005-0000-0000-0000A82E0000}"/>
    <cellStyle name="Финансовый 3 4 2 2 2 4" xfId="8321" xr:uid="{00000000-0005-0000-0000-0000A92E0000}"/>
    <cellStyle name="Финансовый 3 4 2 2 2 4 2" xfId="16964" xr:uid="{00000000-0005-0000-0000-0000AA2E0000}"/>
    <cellStyle name="Финансовый 3 4 2 2 2 5" xfId="10928" xr:uid="{00000000-0005-0000-0000-0000AB2E0000}"/>
    <cellStyle name="Финансовый 3 4 2 2 3" xfId="3109" xr:uid="{00000000-0005-0000-0000-0000AC2E0000}"/>
    <cellStyle name="Финансовый 3 4 2 2 3 2" xfId="11754" xr:uid="{00000000-0005-0000-0000-0000AD2E0000}"/>
    <cellStyle name="Финансовый 3 4 2 2 4" xfId="4753" xr:uid="{00000000-0005-0000-0000-0000AE2E0000}"/>
    <cellStyle name="Финансовый 3 4 2 2 4 2" xfId="13398" xr:uid="{00000000-0005-0000-0000-0000AF2E0000}"/>
    <cellStyle name="Финансовый 3 4 2 2 5" xfId="7365" xr:uid="{00000000-0005-0000-0000-0000B02E0000}"/>
    <cellStyle name="Финансовый 3 4 2 2 5 2" xfId="16008" xr:uid="{00000000-0005-0000-0000-0000B12E0000}"/>
    <cellStyle name="Финансовый 3 4 2 2 6" xfId="9972" xr:uid="{00000000-0005-0000-0000-0000B22E0000}"/>
    <cellStyle name="Финансовый 3 4 2 3" xfId="2027" xr:uid="{00000000-0005-0000-0000-0000B32E0000}"/>
    <cellStyle name="Финансовый 3 4 2 3 2" xfId="3672" xr:uid="{00000000-0005-0000-0000-0000B42E0000}"/>
    <cellStyle name="Финансовый 3 4 2 3 2 2" xfId="12317" xr:uid="{00000000-0005-0000-0000-0000B52E0000}"/>
    <cellStyle name="Финансовый 3 4 2 3 3" xfId="5455" xr:uid="{00000000-0005-0000-0000-0000B62E0000}"/>
    <cellStyle name="Финансовый 3 4 2 3 3 2" xfId="14098" xr:uid="{00000000-0005-0000-0000-0000B72E0000}"/>
    <cellStyle name="Финансовый 3 4 2 3 4" xfId="8065" xr:uid="{00000000-0005-0000-0000-0000B82E0000}"/>
    <cellStyle name="Финансовый 3 4 2 3 4 2" xfId="16708" xr:uid="{00000000-0005-0000-0000-0000B92E0000}"/>
    <cellStyle name="Финансовый 3 4 2 3 5" xfId="10672" xr:uid="{00000000-0005-0000-0000-0000BA2E0000}"/>
    <cellStyle name="Финансовый 3 4 2 4" xfId="2556" xr:uid="{00000000-0005-0000-0000-0000BB2E0000}"/>
    <cellStyle name="Финансовый 3 4 2 4 2" xfId="4201" xr:uid="{00000000-0005-0000-0000-0000BC2E0000}"/>
    <cellStyle name="Финансовый 3 4 2 4 2 2" xfId="12846" xr:uid="{00000000-0005-0000-0000-0000BD2E0000}"/>
    <cellStyle name="Финансовый 3 4 2 4 3" xfId="5984" xr:uid="{00000000-0005-0000-0000-0000BE2E0000}"/>
    <cellStyle name="Финансовый 3 4 2 4 3 2" xfId="14627" xr:uid="{00000000-0005-0000-0000-0000BF2E0000}"/>
    <cellStyle name="Финансовый 3 4 2 4 4" xfId="8594" xr:uid="{00000000-0005-0000-0000-0000C02E0000}"/>
    <cellStyle name="Финансовый 3 4 2 4 4 2" xfId="17237" xr:uid="{00000000-0005-0000-0000-0000C12E0000}"/>
    <cellStyle name="Финансовый 3 4 2 4 5" xfId="11201" xr:uid="{00000000-0005-0000-0000-0000C22E0000}"/>
    <cellStyle name="Финансовый 3 4 2 5" xfId="1060" xr:uid="{00000000-0005-0000-0000-0000C32E0000}"/>
    <cellStyle name="Финансовый 3 4 2 5 2" xfId="7100" xr:uid="{00000000-0005-0000-0000-0000C42E0000}"/>
    <cellStyle name="Финансовый 3 4 2 5 2 2" xfId="15743" xr:uid="{00000000-0005-0000-0000-0000C52E0000}"/>
    <cellStyle name="Финансовый 3 4 2 5 3" xfId="9707" xr:uid="{00000000-0005-0000-0000-0000C62E0000}"/>
    <cellStyle name="Финансовый 3 4 2 6" xfId="648" xr:uid="{00000000-0005-0000-0000-0000C72E0000}"/>
    <cellStyle name="Финансовый 3 4 2 6 2" xfId="6688" xr:uid="{00000000-0005-0000-0000-0000C82E0000}"/>
    <cellStyle name="Финансовый 3 4 2 6 2 2" xfId="15331" xr:uid="{00000000-0005-0000-0000-0000C92E0000}"/>
    <cellStyle name="Финансовый 3 4 2 6 3" xfId="9295" xr:uid="{00000000-0005-0000-0000-0000CA2E0000}"/>
    <cellStyle name="Финансовый 3 4 2 7" xfId="2837" xr:uid="{00000000-0005-0000-0000-0000CB2E0000}"/>
    <cellStyle name="Финансовый 3 4 2 7 2" xfId="11482" xr:uid="{00000000-0005-0000-0000-0000CC2E0000}"/>
    <cellStyle name="Финансовый 3 4 2 8" xfId="4481" xr:uid="{00000000-0005-0000-0000-0000CD2E0000}"/>
    <cellStyle name="Финансовый 3 4 2 8 2" xfId="13126" xr:uid="{00000000-0005-0000-0000-0000CE2E0000}"/>
    <cellStyle name="Финансовый 3 4 2 9" xfId="6268" xr:uid="{00000000-0005-0000-0000-0000CF2E0000}"/>
    <cellStyle name="Финансовый 3 4 2 9 2" xfId="14911" xr:uid="{00000000-0005-0000-0000-0000D02E0000}"/>
    <cellStyle name="Финансовый 3 4 3" xfId="376" xr:uid="{00000000-0005-0000-0000-0000D12E0000}"/>
    <cellStyle name="Финансовый 3 4 3 2" xfId="2155" xr:uid="{00000000-0005-0000-0000-0000D22E0000}"/>
    <cellStyle name="Финансовый 3 4 3 2 2" xfId="3800" xr:uid="{00000000-0005-0000-0000-0000D32E0000}"/>
    <cellStyle name="Финансовый 3 4 3 2 2 2" xfId="12445" xr:uid="{00000000-0005-0000-0000-0000D42E0000}"/>
    <cellStyle name="Финансовый 3 4 3 2 3" xfId="5583" xr:uid="{00000000-0005-0000-0000-0000D52E0000}"/>
    <cellStyle name="Финансовый 3 4 3 2 3 2" xfId="14226" xr:uid="{00000000-0005-0000-0000-0000D62E0000}"/>
    <cellStyle name="Финансовый 3 4 3 2 4" xfId="8193" xr:uid="{00000000-0005-0000-0000-0000D72E0000}"/>
    <cellStyle name="Финансовый 3 4 3 2 4 2" xfId="16836" xr:uid="{00000000-0005-0000-0000-0000D82E0000}"/>
    <cellStyle name="Финансовый 3 4 3 2 5" xfId="10800" xr:uid="{00000000-0005-0000-0000-0000D92E0000}"/>
    <cellStyle name="Финансовый 3 4 3 3" xfId="1189" xr:uid="{00000000-0005-0000-0000-0000DA2E0000}"/>
    <cellStyle name="Финансовый 3 4 3 3 2" xfId="7229" xr:uid="{00000000-0005-0000-0000-0000DB2E0000}"/>
    <cellStyle name="Финансовый 3 4 3 3 2 2" xfId="15872" xr:uid="{00000000-0005-0000-0000-0000DC2E0000}"/>
    <cellStyle name="Финансовый 3 4 3 3 3" xfId="9836" xr:uid="{00000000-0005-0000-0000-0000DD2E0000}"/>
    <cellStyle name="Финансовый 3 4 3 4" xfId="796" xr:uid="{00000000-0005-0000-0000-0000DE2E0000}"/>
    <cellStyle name="Финансовый 3 4 3 4 2" xfId="6836" xr:uid="{00000000-0005-0000-0000-0000DF2E0000}"/>
    <cellStyle name="Финансовый 3 4 3 4 2 2" xfId="15479" xr:uid="{00000000-0005-0000-0000-0000E02E0000}"/>
    <cellStyle name="Финансовый 3 4 3 4 3" xfId="9443" xr:uid="{00000000-0005-0000-0000-0000E12E0000}"/>
    <cellStyle name="Финансовый 3 4 3 5" xfId="2973" xr:uid="{00000000-0005-0000-0000-0000E22E0000}"/>
    <cellStyle name="Финансовый 3 4 3 5 2" xfId="11618" xr:uid="{00000000-0005-0000-0000-0000E32E0000}"/>
    <cellStyle name="Финансовый 3 4 3 6" xfId="4617" xr:uid="{00000000-0005-0000-0000-0000E42E0000}"/>
    <cellStyle name="Финансовый 3 4 3 6 2" xfId="13262" xr:uid="{00000000-0005-0000-0000-0000E52E0000}"/>
    <cellStyle name="Финансовый 3 4 3 7" xfId="6416" xr:uid="{00000000-0005-0000-0000-0000E62E0000}"/>
    <cellStyle name="Финансовый 3 4 3 7 2" xfId="15059" xr:uid="{00000000-0005-0000-0000-0000E72E0000}"/>
    <cellStyle name="Финансовый 3 4 3 8" xfId="9023" xr:uid="{00000000-0005-0000-0000-0000E82E0000}"/>
    <cellStyle name="Финансовый 3 4 4" xfId="1527" xr:uid="{00000000-0005-0000-0000-0000E92E0000}"/>
    <cellStyle name="Финансовый 3 4 4 2" xfId="1899" xr:uid="{00000000-0005-0000-0000-0000EA2E0000}"/>
    <cellStyle name="Финансовый 3 4 4 2 2" xfId="3544" xr:uid="{00000000-0005-0000-0000-0000EB2E0000}"/>
    <cellStyle name="Финансовый 3 4 4 2 2 2" xfId="12189" xr:uid="{00000000-0005-0000-0000-0000EC2E0000}"/>
    <cellStyle name="Финансовый 3 4 4 2 3" xfId="5327" xr:uid="{00000000-0005-0000-0000-0000ED2E0000}"/>
    <cellStyle name="Финансовый 3 4 4 2 3 2" xfId="13970" xr:uid="{00000000-0005-0000-0000-0000EE2E0000}"/>
    <cellStyle name="Финансовый 3 4 4 2 4" xfId="7937" xr:uid="{00000000-0005-0000-0000-0000EF2E0000}"/>
    <cellStyle name="Финансовый 3 4 4 2 4 2" xfId="16580" xr:uid="{00000000-0005-0000-0000-0000F02E0000}"/>
    <cellStyle name="Финансовый 3 4 4 2 5" xfId="10544" xr:uid="{00000000-0005-0000-0000-0000F12E0000}"/>
    <cellStyle name="Финансовый 3 4 4 3" xfId="4955" xr:uid="{00000000-0005-0000-0000-0000F22E0000}"/>
    <cellStyle name="Финансовый 3 4 4 3 2" xfId="13598" xr:uid="{00000000-0005-0000-0000-0000F32E0000}"/>
    <cellStyle name="Финансовый 3 4 4 4" xfId="7565" xr:uid="{00000000-0005-0000-0000-0000F42E0000}"/>
    <cellStyle name="Финансовый 3 4 4 4 2" xfId="16208" xr:uid="{00000000-0005-0000-0000-0000F52E0000}"/>
    <cellStyle name="Финансовый 3 4 4 5" xfId="10172" xr:uid="{00000000-0005-0000-0000-0000F62E0000}"/>
    <cellStyle name="Финансовый 3 4 5" xfId="1775" xr:uid="{00000000-0005-0000-0000-0000F72E0000}"/>
    <cellStyle name="Финансовый 3 4 5 2" xfId="3420" xr:uid="{00000000-0005-0000-0000-0000F82E0000}"/>
    <cellStyle name="Финансовый 3 4 5 2 2" xfId="12065" xr:uid="{00000000-0005-0000-0000-0000F92E0000}"/>
    <cellStyle name="Финансовый 3 4 5 3" xfId="5203" xr:uid="{00000000-0005-0000-0000-0000FA2E0000}"/>
    <cellStyle name="Финансовый 3 4 5 3 2" xfId="13846" xr:uid="{00000000-0005-0000-0000-0000FB2E0000}"/>
    <cellStyle name="Финансовый 3 4 5 4" xfId="7813" xr:uid="{00000000-0005-0000-0000-0000FC2E0000}"/>
    <cellStyle name="Финансовый 3 4 5 4 2" xfId="16456" xr:uid="{00000000-0005-0000-0000-0000FD2E0000}"/>
    <cellStyle name="Финансовый 3 4 5 5" xfId="10420" xr:uid="{00000000-0005-0000-0000-0000FE2E0000}"/>
    <cellStyle name="Финансовый 3 4 6" xfId="2420" xr:uid="{00000000-0005-0000-0000-0000FF2E0000}"/>
    <cellStyle name="Финансовый 3 4 6 2" xfId="4065" xr:uid="{00000000-0005-0000-0000-0000002F0000}"/>
    <cellStyle name="Финансовый 3 4 6 2 2" xfId="12710" xr:uid="{00000000-0005-0000-0000-0000012F0000}"/>
    <cellStyle name="Финансовый 3 4 6 3" xfId="5848" xr:uid="{00000000-0005-0000-0000-0000022F0000}"/>
    <cellStyle name="Финансовый 3 4 6 3 2" xfId="14491" xr:uid="{00000000-0005-0000-0000-0000032F0000}"/>
    <cellStyle name="Финансовый 3 4 6 4" xfId="8458" xr:uid="{00000000-0005-0000-0000-0000042F0000}"/>
    <cellStyle name="Финансовый 3 4 6 4 2" xfId="17101" xr:uid="{00000000-0005-0000-0000-0000052F0000}"/>
    <cellStyle name="Финансовый 3 4 6 5" xfId="11065" xr:uid="{00000000-0005-0000-0000-0000062F0000}"/>
    <cellStyle name="Финансовый 3 4 7" xfId="1647" xr:uid="{00000000-0005-0000-0000-0000072F0000}"/>
    <cellStyle name="Финансовый 3 4 7 2" xfId="3292" xr:uid="{00000000-0005-0000-0000-0000082F0000}"/>
    <cellStyle name="Финансовый 3 4 7 2 2" xfId="11937" xr:uid="{00000000-0005-0000-0000-0000092F0000}"/>
    <cellStyle name="Финансовый 3 4 7 3" xfId="5075" xr:uid="{00000000-0005-0000-0000-00000A2F0000}"/>
    <cellStyle name="Финансовый 3 4 7 3 2" xfId="13718" xr:uid="{00000000-0005-0000-0000-00000B2F0000}"/>
    <cellStyle name="Финансовый 3 4 7 4" xfId="7685" xr:uid="{00000000-0005-0000-0000-00000C2F0000}"/>
    <cellStyle name="Финансовый 3 4 7 4 2" xfId="16328" xr:uid="{00000000-0005-0000-0000-00000D2F0000}"/>
    <cellStyle name="Финансовый 3 4 7 5" xfId="10292" xr:uid="{00000000-0005-0000-0000-00000E2F0000}"/>
    <cellStyle name="Финансовый 3 4 8" xfId="924" xr:uid="{00000000-0005-0000-0000-00000F2F0000}"/>
    <cellStyle name="Финансовый 3 4 8 2" xfId="6964" xr:uid="{00000000-0005-0000-0000-0000102F0000}"/>
    <cellStyle name="Финансовый 3 4 8 2 2" xfId="15607" xr:uid="{00000000-0005-0000-0000-0000112F0000}"/>
    <cellStyle name="Финансовый 3 4 8 3" xfId="9571" xr:uid="{00000000-0005-0000-0000-0000122F0000}"/>
    <cellStyle name="Финансовый 3 4 9" xfId="512" xr:uid="{00000000-0005-0000-0000-0000132F0000}"/>
    <cellStyle name="Финансовый 3 4 9 2" xfId="6552" xr:uid="{00000000-0005-0000-0000-0000142F0000}"/>
    <cellStyle name="Финансовый 3 4 9 2 2" xfId="15195" xr:uid="{00000000-0005-0000-0000-0000152F0000}"/>
    <cellStyle name="Финансовый 3 4 9 3" xfId="9159" xr:uid="{00000000-0005-0000-0000-0000162F0000}"/>
    <cellStyle name="Финансовый 3 5" xfId="97" xr:uid="{00000000-0005-0000-0000-0000172F0000}"/>
    <cellStyle name="Финансовый 3 5 10" xfId="2707" xr:uid="{00000000-0005-0000-0000-0000182F0000}"/>
    <cellStyle name="Финансовый 3 5 10 2" xfId="11352" xr:uid="{00000000-0005-0000-0000-0000192F0000}"/>
    <cellStyle name="Финансовый 3 5 11" xfId="4351" xr:uid="{00000000-0005-0000-0000-00001A2F0000}"/>
    <cellStyle name="Финансовый 3 5 11 2" xfId="12996" xr:uid="{00000000-0005-0000-0000-00001B2F0000}"/>
    <cellStyle name="Финансовый 3 5 12" xfId="6138" xr:uid="{00000000-0005-0000-0000-00001C2F0000}"/>
    <cellStyle name="Финансовый 3 5 12 2" xfId="14781" xr:uid="{00000000-0005-0000-0000-00001D2F0000}"/>
    <cellStyle name="Финансовый 3 5 13" xfId="8745" xr:uid="{00000000-0005-0000-0000-00001E2F0000}"/>
    <cellStyle name="Финансовый 3 5 2" xfId="233" xr:uid="{00000000-0005-0000-0000-00001F2F0000}"/>
    <cellStyle name="Финансовый 3 5 2 10" xfId="8881" xr:uid="{00000000-0005-0000-0000-0000202F0000}"/>
    <cellStyle name="Финансовый 3 5 2 2" xfId="1331" xr:uid="{00000000-0005-0000-0000-0000212F0000}"/>
    <cellStyle name="Финансовый 3 5 2 2 2" xfId="2289" xr:uid="{00000000-0005-0000-0000-0000222F0000}"/>
    <cellStyle name="Финансовый 3 5 2 2 2 2" xfId="3934" xr:uid="{00000000-0005-0000-0000-0000232F0000}"/>
    <cellStyle name="Финансовый 3 5 2 2 2 2 2" xfId="12579" xr:uid="{00000000-0005-0000-0000-0000242F0000}"/>
    <cellStyle name="Финансовый 3 5 2 2 2 3" xfId="5717" xr:uid="{00000000-0005-0000-0000-0000252F0000}"/>
    <cellStyle name="Финансовый 3 5 2 2 2 3 2" xfId="14360" xr:uid="{00000000-0005-0000-0000-0000262F0000}"/>
    <cellStyle name="Финансовый 3 5 2 2 2 4" xfId="8327" xr:uid="{00000000-0005-0000-0000-0000272F0000}"/>
    <cellStyle name="Финансовый 3 5 2 2 2 4 2" xfId="16970" xr:uid="{00000000-0005-0000-0000-0000282F0000}"/>
    <cellStyle name="Финансовый 3 5 2 2 2 5" xfId="10934" xr:uid="{00000000-0005-0000-0000-0000292F0000}"/>
    <cellStyle name="Финансовый 3 5 2 2 3" xfId="3115" xr:uid="{00000000-0005-0000-0000-00002A2F0000}"/>
    <cellStyle name="Финансовый 3 5 2 2 3 2" xfId="11760" xr:uid="{00000000-0005-0000-0000-00002B2F0000}"/>
    <cellStyle name="Финансовый 3 5 2 2 4" xfId="4759" xr:uid="{00000000-0005-0000-0000-00002C2F0000}"/>
    <cellStyle name="Финансовый 3 5 2 2 4 2" xfId="13404" xr:uid="{00000000-0005-0000-0000-00002D2F0000}"/>
    <cellStyle name="Финансовый 3 5 2 2 5" xfId="7371" xr:uid="{00000000-0005-0000-0000-00002E2F0000}"/>
    <cellStyle name="Финансовый 3 5 2 2 5 2" xfId="16014" xr:uid="{00000000-0005-0000-0000-00002F2F0000}"/>
    <cellStyle name="Финансовый 3 5 2 2 6" xfId="9978" xr:uid="{00000000-0005-0000-0000-0000302F0000}"/>
    <cellStyle name="Финансовый 3 5 2 3" xfId="2033" xr:uid="{00000000-0005-0000-0000-0000312F0000}"/>
    <cellStyle name="Финансовый 3 5 2 3 2" xfId="3678" xr:uid="{00000000-0005-0000-0000-0000322F0000}"/>
    <cellStyle name="Финансовый 3 5 2 3 2 2" xfId="12323" xr:uid="{00000000-0005-0000-0000-0000332F0000}"/>
    <cellStyle name="Финансовый 3 5 2 3 3" xfId="5461" xr:uid="{00000000-0005-0000-0000-0000342F0000}"/>
    <cellStyle name="Финансовый 3 5 2 3 3 2" xfId="14104" xr:uid="{00000000-0005-0000-0000-0000352F0000}"/>
    <cellStyle name="Финансовый 3 5 2 3 4" xfId="8071" xr:uid="{00000000-0005-0000-0000-0000362F0000}"/>
    <cellStyle name="Финансовый 3 5 2 3 4 2" xfId="16714" xr:uid="{00000000-0005-0000-0000-0000372F0000}"/>
    <cellStyle name="Финансовый 3 5 2 3 5" xfId="10678" xr:uid="{00000000-0005-0000-0000-0000382F0000}"/>
    <cellStyle name="Финансовый 3 5 2 4" xfId="2562" xr:uid="{00000000-0005-0000-0000-0000392F0000}"/>
    <cellStyle name="Финансовый 3 5 2 4 2" xfId="4207" xr:uid="{00000000-0005-0000-0000-00003A2F0000}"/>
    <cellStyle name="Финансовый 3 5 2 4 2 2" xfId="12852" xr:uid="{00000000-0005-0000-0000-00003B2F0000}"/>
    <cellStyle name="Финансовый 3 5 2 4 3" xfId="5990" xr:uid="{00000000-0005-0000-0000-00003C2F0000}"/>
    <cellStyle name="Финансовый 3 5 2 4 3 2" xfId="14633" xr:uid="{00000000-0005-0000-0000-00003D2F0000}"/>
    <cellStyle name="Финансовый 3 5 2 4 4" xfId="8600" xr:uid="{00000000-0005-0000-0000-00003E2F0000}"/>
    <cellStyle name="Финансовый 3 5 2 4 4 2" xfId="17243" xr:uid="{00000000-0005-0000-0000-00003F2F0000}"/>
    <cellStyle name="Финансовый 3 5 2 4 5" xfId="11207" xr:uid="{00000000-0005-0000-0000-0000402F0000}"/>
    <cellStyle name="Финансовый 3 5 2 5" xfId="1066" xr:uid="{00000000-0005-0000-0000-0000412F0000}"/>
    <cellStyle name="Финансовый 3 5 2 5 2" xfId="7106" xr:uid="{00000000-0005-0000-0000-0000422F0000}"/>
    <cellStyle name="Финансовый 3 5 2 5 2 2" xfId="15749" xr:uid="{00000000-0005-0000-0000-0000432F0000}"/>
    <cellStyle name="Финансовый 3 5 2 5 3" xfId="9713" xr:uid="{00000000-0005-0000-0000-0000442F0000}"/>
    <cellStyle name="Финансовый 3 5 2 6" xfId="654" xr:uid="{00000000-0005-0000-0000-0000452F0000}"/>
    <cellStyle name="Финансовый 3 5 2 6 2" xfId="6694" xr:uid="{00000000-0005-0000-0000-0000462F0000}"/>
    <cellStyle name="Финансовый 3 5 2 6 2 2" xfId="15337" xr:uid="{00000000-0005-0000-0000-0000472F0000}"/>
    <cellStyle name="Финансовый 3 5 2 6 3" xfId="9301" xr:uid="{00000000-0005-0000-0000-0000482F0000}"/>
    <cellStyle name="Финансовый 3 5 2 7" xfId="2843" xr:uid="{00000000-0005-0000-0000-0000492F0000}"/>
    <cellStyle name="Финансовый 3 5 2 7 2" xfId="11488" xr:uid="{00000000-0005-0000-0000-00004A2F0000}"/>
    <cellStyle name="Финансовый 3 5 2 8" xfId="4487" xr:uid="{00000000-0005-0000-0000-00004B2F0000}"/>
    <cellStyle name="Финансовый 3 5 2 8 2" xfId="13132" xr:uid="{00000000-0005-0000-0000-00004C2F0000}"/>
    <cellStyle name="Финансовый 3 5 2 9" xfId="6274" xr:uid="{00000000-0005-0000-0000-00004D2F0000}"/>
    <cellStyle name="Финансовый 3 5 2 9 2" xfId="14917" xr:uid="{00000000-0005-0000-0000-00004E2F0000}"/>
    <cellStyle name="Финансовый 3 5 3" xfId="382" xr:uid="{00000000-0005-0000-0000-00004F2F0000}"/>
    <cellStyle name="Финансовый 3 5 3 2" xfId="2161" xr:uid="{00000000-0005-0000-0000-0000502F0000}"/>
    <cellStyle name="Финансовый 3 5 3 2 2" xfId="3806" xr:uid="{00000000-0005-0000-0000-0000512F0000}"/>
    <cellStyle name="Финансовый 3 5 3 2 2 2" xfId="12451" xr:uid="{00000000-0005-0000-0000-0000522F0000}"/>
    <cellStyle name="Финансовый 3 5 3 2 3" xfId="5589" xr:uid="{00000000-0005-0000-0000-0000532F0000}"/>
    <cellStyle name="Финансовый 3 5 3 2 3 2" xfId="14232" xr:uid="{00000000-0005-0000-0000-0000542F0000}"/>
    <cellStyle name="Финансовый 3 5 3 2 4" xfId="8199" xr:uid="{00000000-0005-0000-0000-0000552F0000}"/>
    <cellStyle name="Финансовый 3 5 3 2 4 2" xfId="16842" xr:uid="{00000000-0005-0000-0000-0000562F0000}"/>
    <cellStyle name="Финансовый 3 5 3 2 5" xfId="10806" xr:uid="{00000000-0005-0000-0000-0000572F0000}"/>
    <cellStyle name="Финансовый 3 5 3 3" xfId="1195" xr:uid="{00000000-0005-0000-0000-0000582F0000}"/>
    <cellStyle name="Финансовый 3 5 3 3 2" xfId="7235" xr:uid="{00000000-0005-0000-0000-0000592F0000}"/>
    <cellStyle name="Финансовый 3 5 3 3 2 2" xfId="15878" xr:uid="{00000000-0005-0000-0000-00005A2F0000}"/>
    <cellStyle name="Финансовый 3 5 3 3 3" xfId="9842" xr:uid="{00000000-0005-0000-0000-00005B2F0000}"/>
    <cellStyle name="Финансовый 3 5 3 4" xfId="802" xr:uid="{00000000-0005-0000-0000-00005C2F0000}"/>
    <cellStyle name="Финансовый 3 5 3 4 2" xfId="6842" xr:uid="{00000000-0005-0000-0000-00005D2F0000}"/>
    <cellStyle name="Финансовый 3 5 3 4 2 2" xfId="15485" xr:uid="{00000000-0005-0000-0000-00005E2F0000}"/>
    <cellStyle name="Финансовый 3 5 3 4 3" xfId="9449" xr:uid="{00000000-0005-0000-0000-00005F2F0000}"/>
    <cellStyle name="Финансовый 3 5 3 5" xfId="2979" xr:uid="{00000000-0005-0000-0000-0000602F0000}"/>
    <cellStyle name="Финансовый 3 5 3 5 2" xfId="11624" xr:uid="{00000000-0005-0000-0000-0000612F0000}"/>
    <cellStyle name="Финансовый 3 5 3 6" xfId="4623" xr:uid="{00000000-0005-0000-0000-0000622F0000}"/>
    <cellStyle name="Финансовый 3 5 3 6 2" xfId="13268" xr:uid="{00000000-0005-0000-0000-0000632F0000}"/>
    <cellStyle name="Финансовый 3 5 3 7" xfId="6422" xr:uid="{00000000-0005-0000-0000-0000642F0000}"/>
    <cellStyle name="Финансовый 3 5 3 7 2" xfId="15065" xr:uid="{00000000-0005-0000-0000-0000652F0000}"/>
    <cellStyle name="Финансовый 3 5 3 8" xfId="9029" xr:uid="{00000000-0005-0000-0000-0000662F0000}"/>
    <cellStyle name="Финансовый 3 5 4" xfId="1528" xr:uid="{00000000-0005-0000-0000-0000672F0000}"/>
    <cellStyle name="Финансовый 3 5 4 2" xfId="1905" xr:uid="{00000000-0005-0000-0000-0000682F0000}"/>
    <cellStyle name="Финансовый 3 5 4 2 2" xfId="3550" xr:uid="{00000000-0005-0000-0000-0000692F0000}"/>
    <cellStyle name="Финансовый 3 5 4 2 2 2" xfId="12195" xr:uid="{00000000-0005-0000-0000-00006A2F0000}"/>
    <cellStyle name="Финансовый 3 5 4 2 3" xfId="5333" xr:uid="{00000000-0005-0000-0000-00006B2F0000}"/>
    <cellStyle name="Финансовый 3 5 4 2 3 2" xfId="13976" xr:uid="{00000000-0005-0000-0000-00006C2F0000}"/>
    <cellStyle name="Финансовый 3 5 4 2 4" xfId="7943" xr:uid="{00000000-0005-0000-0000-00006D2F0000}"/>
    <cellStyle name="Финансовый 3 5 4 2 4 2" xfId="16586" xr:uid="{00000000-0005-0000-0000-00006E2F0000}"/>
    <cellStyle name="Финансовый 3 5 4 2 5" xfId="10550" xr:uid="{00000000-0005-0000-0000-00006F2F0000}"/>
    <cellStyle name="Финансовый 3 5 4 3" xfId="4956" xr:uid="{00000000-0005-0000-0000-0000702F0000}"/>
    <cellStyle name="Финансовый 3 5 4 3 2" xfId="13599" xr:uid="{00000000-0005-0000-0000-0000712F0000}"/>
    <cellStyle name="Финансовый 3 5 4 4" xfId="7566" xr:uid="{00000000-0005-0000-0000-0000722F0000}"/>
    <cellStyle name="Финансовый 3 5 4 4 2" xfId="16209" xr:uid="{00000000-0005-0000-0000-0000732F0000}"/>
    <cellStyle name="Финансовый 3 5 4 5" xfId="10173" xr:uid="{00000000-0005-0000-0000-0000742F0000}"/>
    <cellStyle name="Финансовый 3 5 5" xfId="1781" xr:uid="{00000000-0005-0000-0000-0000752F0000}"/>
    <cellStyle name="Финансовый 3 5 5 2" xfId="3426" xr:uid="{00000000-0005-0000-0000-0000762F0000}"/>
    <cellStyle name="Финансовый 3 5 5 2 2" xfId="12071" xr:uid="{00000000-0005-0000-0000-0000772F0000}"/>
    <cellStyle name="Финансовый 3 5 5 3" xfId="5209" xr:uid="{00000000-0005-0000-0000-0000782F0000}"/>
    <cellStyle name="Финансовый 3 5 5 3 2" xfId="13852" xr:uid="{00000000-0005-0000-0000-0000792F0000}"/>
    <cellStyle name="Финансовый 3 5 5 4" xfId="7819" xr:uid="{00000000-0005-0000-0000-00007A2F0000}"/>
    <cellStyle name="Финансовый 3 5 5 4 2" xfId="16462" xr:uid="{00000000-0005-0000-0000-00007B2F0000}"/>
    <cellStyle name="Финансовый 3 5 5 5" xfId="10426" xr:uid="{00000000-0005-0000-0000-00007C2F0000}"/>
    <cellStyle name="Финансовый 3 5 6" xfId="2426" xr:uid="{00000000-0005-0000-0000-00007D2F0000}"/>
    <cellStyle name="Финансовый 3 5 6 2" xfId="4071" xr:uid="{00000000-0005-0000-0000-00007E2F0000}"/>
    <cellStyle name="Финансовый 3 5 6 2 2" xfId="12716" xr:uid="{00000000-0005-0000-0000-00007F2F0000}"/>
    <cellStyle name="Финансовый 3 5 6 3" xfId="5854" xr:uid="{00000000-0005-0000-0000-0000802F0000}"/>
    <cellStyle name="Финансовый 3 5 6 3 2" xfId="14497" xr:uid="{00000000-0005-0000-0000-0000812F0000}"/>
    <cellStyle name="Финансовый 3 5 6 4" xfId="8464" xr:uid="{00000000-0005-0000-0000-0000822F0000}"/>
    <cellStyle name="Финансовый 3 5 6 4 2" xfId="17107" xr:uid="{00000000-0005-0000-0000-0000832F0000}"/>
    <cellStyle name="Финансовый 3 5 6 5" xfId="11071" xr:uid="{00000000-0005-0000-0000-0000842F0000}"/>
    <cellStyle name="Финансовый 3 5 7" xfId="1653" xr:uid="{00000000-0005-0000-0000-0000852F0000}"/>
    <cellStyle name="Финансовый 3 5 7 2" xfId="3298" xr:uid="{00000000-0005-0000-0000-0000862F0000}"/>
    <cellStyle name="Финансовый 3 5 7 2 2" xfId="11943" xr:uid="{00000000-0005-0000-0000-0000872F0000}"/>
    <cellStyle name="Финансовый 3 5 7 3" xfId="5081" xr:uid="{00000000-0005-0000-0000-0000882F0000}"/>
    <cellStyle name="Финансовый 3 5 7 3 2" xfId="13724" xr:uid="{00000000-0005-0000-0000-0000892F0000}"/>
    <cellStyle name="Финансовый 3 5 7 4" xfId="7691" xr:uid="{00000000-0005-0000-0000-00008A2F0000}"/>
    <cellStyle name="Финансовый 3 5 7 4 2" xfId="16334" xr:uid="{00000000-0005-0000-0000-00008B2F0000}"/>
    <cellStyle name="Финансовый 3 5 7 5" xfId="10298" xr:uid="{00000000-0005-0000-0000-00008C2F0000}"/>
    <cellStyle name="Финансовый 3 5 8" xfId="930" xr:uid="{00000000-0005-0000-0000-00008D2F0000}"/>
    <cellStyle name="Финансовый 3 5 8 2" xfId="6970" xr:uid="{00000000-0005-0000-0000-00008E2F0000}"/>
    <cellStyle name="Финансовый 3 5 8 2 2" xfId="15613" xr:uid="{00000000-0005-0000-0000-00008F2F0000}"/>
    <cellStyle name="Финансовый 3 5 8 3" xfId="9577" xr:uid="{00000000-0005-0000-0000-0000902F0000}"/>
    <cellStyle name="Финансовый 3 5 9" xfId="518" xr:uid="{00000000-0005-0000-0000-0000912F0000}"/>
    <cellStyle name="Финансовый 3 5 9 2" xfId="6558" xr:uid="{00000000-0005-0000-0000-0000922F0000}"/>
    <cellStyle name="Финансовый 3 5 9 2 2" xfId="15201" xr:uid="{00000000-0005-0000-0000-0000932F0000}"/>
    <cellStyle name="Финансовый 3 5 9 3" xfId="9165" xr:uid="{00000000-0005-0000-0000-0000942F0000}"/>
    <cellStyle name="Финансовый 3 6" xfId="109" xr:uid="{00000000-0005-0000-0000-0000952F0000}"/>
    <cellStyle name="Финансовый 3 6 10" xfId="2719" xr:uid="{00000000-0005-0000-0000-0000962F0000}"/>
    <cellStyle name="Финансовый 3 6 10 2" xfId="11364" xr:uid="{00000000-0005-0000-0000-0000972F0000}"/>
    <cellStyle name="Финансовый 3 6 11" xfId="4363" xr:uid="{00000000-0005-0000-0000-0000982F0000}"/>
    <cellStyle name="Финансовый 3 6 11 2" xfId="13008" xr:uid="{00000000-0005-0000-0000-0000992F0000}"/>
    <cellStyle name="Финансовый 3 6 12" xfId="6150" xr:uid="{00000000-0005-0000-0000-00009A2F0000}"/>
    <cellStyle name="Финансовый 3 6 12 2" xfId="14793" xr:uid="{00000000-0005-0000-0000-00009B2F0000}"/>
    <cellStyle name="Финансовый 3 6 13" xfId="8757" xr:uid="{00000000-0005-0000-0000-00009C2F0000}"/>
    <cellStyle name="Финансовый 3 6 2" xfId="245" xr:uid="{00000000-0005-0000-0000-00009D2F0000}"/>
    <cellStyle name="Финансовый 3 6 2 10" xfId="8893" xr:uid="{00000000-0005-0000-0000-00009E2F0000}"/>
    <cellStyle name="Финансовый 3 6 2 2" xfId="1343" xr:uid="{00000000-0005-0000-0000-00009F2F0000}"/>
    <cellStyle name="Финансовый 3 6 2 2 2" xfId="2301" xr:uid="{00000000-0005-0000-0000-0000A02F0000}"/>
    <cellStyle name="Финансовый 3 6 2 2 2 2" xfId="3946" xr:uid="{00000000-0005-0000-0000-0000A12F0000}"/>
    <cellStyle name="Финансовый 3 6 2 2 2 2 2" xfId="12591" xr:uid="{00000000-0005-0000-0000-0000A22F0000}"/>
    <cellStyle name="Финансовый 3 6 2 2 2 3" xfId="5729" xr:uid="{00000000-0005-0000-0000-0000A32F0000}"/>
    <cellStyle name="Финансовый 3 6 2 2 2 3 2" xfId="14372" xr:uid="{00000000-0005-0000-0000-0000A42F0000}"/>
    <cellStyle name="Финансовый 3 6 2 2 2 4" xfId="8339" xr:uid="{00000000-0005-0000-0000-0000A52F0000}"/>
    <cellStyle name="Финансовый 3 6 2 2 2 4 2" xfId="16982" xr:uid="{00000000-0005-0000-0000-0000A62F0000}"/>
    <cellStyle name="Финансовый 3 6 2 2 2 5" xfId="10946" xr:uid="{00000000-0005-0000-0000-0000A72F0000}"/>
    <cellStyle name="Финансовый 3 6 2 2 3" xfId="3127" xr:uid="{00000000-0005-0000-0000-0000A82F0000}"/>
    <cellStyle name="Финансовый 3 6 2 2 3 2" xfId="11772" xr:uid="{00000000-0005-0000-0000-0000A92F0000}"/>
    <cellStyle name="Финансовый 3 6 2 2 4" xfId="4771" xr:uid="{00000000-0005-0000-0000-0000AA2F0000}"/>
    <cellStyle name="Финансовый 3 6 2 2 4 2" xfId="13416" xr:uid="{00000000-0005-0000-0000-0000AB2F0000}"/>
    <cellStyle name="Финансовый 3 6 2 2 5" xfId="7383" xr:uid="{00000000-0005-0000-0000-0000AC2F0000}"/>
    <cellStyle name="Финансовый 3 6 2 2 5 2" xfId="16026" xr:uid="{00000000-0005-0000-0000-0000AD2F0000}"/>
    <cellStyle name="Финансовый 3 6 2 2 6" xfId="9990" xr:uid="{00000000-0005-0000-0000-0000AE2F0000}"/>
    <cellStyle name="Финансовый 3 6 2 3" xfId="2045" xr:uid="{00000000-0005-0000-0000-0000AF2F0000}"/>
    <cellStyle name="Финансовый 3 6 2 3 2" xfId="3690" xr:uid="{00000000-0005-0000-0000-0000B02F0000}"/>
    <cellStyle name="Финансовый 3 6 2 3 2 2" xfId="12335" xr:uid="{00000000-0005-0000-0000-0000B12F0000}"/>
    <cellStyle name="Финансовый 3 6 2 3 3" xfId="5473" xr:uid="{00000000-0005-0000-0000-0000B22F0000}"/>
    <cellStyle name="Финансовый 3 6 2 3 3 2" xfId="14116" xr:uid="{00000000-0005-0000-0000-0000B32F0000}"/>
    <cellStyle name="Финансовый 3 6 2 3 4" xfId="8083" xr:uid="{00000000-0005-0000-0000-0000B42F0000}"/>
    <cellStyle name="Финансовый 3 6 2 3 4 2" xfId="16726" xr:uid="{00000000-0005-0000-0000-0000B52F0000}"/>
    <cellStyle name="Финансовый 3 6 2 3 5" xfId="10690" xr:uid="{00000000-0005-0000-0000-0000B62F0000}"/>
    <cellStyle name="Финансовый 3 6 2 4" xfId="2574" xr:uid="{00000000-0005-0000-0000-0000B72F0000}"/>
    <cellStyle name="Финансовый 3 6 2 4 2" xfId="4219" xr:uid="{00000000-0005-0000-0000-0000B82F0000}"/>
    <cellStyle name="Финансовый 3 6 2 4 2 2" xfId="12864" xr:uid="{00000000-0005-0000-0000-0000B92F0000}"/>
    <cellStyle name="Финансовый 3 6 2 4 3" xfId="6002" xr:uid="{00000000-0005-0000-0000-0000BA2F0000}"/>
    <cellStyle name="Финансовый 3 6 2 4 3 2" xfId="14645" xr:uid="{00000000-0005-0000-0000-0000BB2F0000}"/>
    <cellStyle name="Финансовый 3 6 2 4 4" xfId="8612" xr:uid="{00000000-0005-0000-0000-0000BC2F0000}"/>
    <cellStyle name="Финансовый 3 6 2 4 4 2" xfId="17255" xr:uid="{00000000-0005-0000-0000-0000BD2F0000}"/>
    <cellStyle name="Финансовый 3 6 2 4 5" xfId="11219" xr:uid="{00000000-0005-0000-0000-0000BE2F0000}"/>
    <cellStyle name="Финансовый 3 6 2 5" xfId="1078" xr:uid="{00000000-0005-0000-0000-0000BF2F0000}"/>
    <cellStyle name="Финансовый 3 6 2 5 2" xfId="7118" xr:uid="{00000000-0005-0000-0000-0000C02F0000}"/>
    <cellStyle name="Финансовый 3 6 2 5 2 2" xfId="15761" xr:uid="{00000000-0005-0000-0000-0000C12F0000}"/>
    <cellStyle name="Финансовый 3 6 2 5 3" xfId="9725" xr:uid="{00000000-0005-0000-0000-0000C22F0000}"/>
    <cellStyle name="Финансовый 3 6 2 6" xfId="666" xr:uid="{00000000-0005-0000-0000-0000C32F0000}"/>
    <cellStyle name="Финансовый 3 6 2 6 2" xfId="6706" xr:uid="{00000000-0005-0000-0000-0000C42F0000}"/>
    <cellStyle name="Финансовый 3 6 2 6 2 2" xfId="15349" xr:uid="{00000000-0005-0000-0000-0000C52F0000}"/>
    <cellStyle name="Финансовый 3 6 2 6 3" xfId="9313" xr:uid="{00000000-0005-0000-0000-0000C62F0000}"/>
    <cellStyle name="Финансовый 3 6 2 7" xfId="2855" xr:uid="{00000000-0005-0000-0000-0000C72F0000}"/>
    <cellStyle name="Финансовый 3 6 2 7 2" xfId="11500" xr:uid="{00000000-0005-0000-0000-0000C82F0000}"/>
    <cellStyle name="Финансовый 3 6 2 8" xfId="4499" xr:uid="{00000000-0005-0000-0000-0000C92F0000}"/>
    <cellStyle name="Финансовый 3 6 2 8 2" xfId="13144" xr:uid="{00000000-0005-0000-0000-0000CA2F0000}"/>
    <cellStyle name="Финансовый 3 6 2 9" xfId="6286" xr:uid="{00000000-0005-0000-0000-0000CB2F0000}"/>
    <cellStyle name="Финансовый 3 6 2 9 2" xfId="14929" xr:uid="{00000000-0005-0000-0000-0000CC2F0000}"/>
    <cellStyle name="Финансовый 3 6 3" xfId="394" xr:uid="{00000000-0005-0000-0000-0000CD2F0000}"/>
    <cellStyle name="Финансовый 3 6 3 2" xfId="2173" xr:uid="{00000000-0005-0000-0000-0000CE2F0000}"/>
    <cellStyle name="Финансовый 3 6 3 2 2" xfId="3818" xr:uid="{00000000-0005-0000-0000-0000CF2F0000}"/>
    <cellStyle name="Финансовый 3 6 3 2 2 2" xfId="12463" xr:uid="{00000000-0005-0000-0000-0000D02F0000}"/>
    <cellStyle name="Финансовый 3 6 3 2 3" xfId="5601" xr:uid="{00000000-0005-0000-0000-0000D12F0000}"/>
    <cellStyle name="Финансовый 3 6 3 2 3 2" xfId="14244" xr:uid="{00000000-0005-0000-0000-0000D22F0000}"/>
    <cellStyle name="Финансовый 3 6 3 2 4" xfId="8211" xr:uid="{00000000-0005-0000-0000-0000D32F0000}"/>
    <cellStyle name="Финансовый 3 6 3 2 4 2" xfId="16854" xr:uid="{00000000-0005-0000-0000-0000D42F0000}"/>
    <cellStyle name="Финансовый 3 6 3 2 5" xfId="10818" xr:uid="{00000000-0005-0000-0000-0000D52F0000}"/>
    <cellStyle name="Финансовый 3 6 3 3" xfId="1207" xr:uid="{00000000-0005-0000-0000-0000D62F0000}"/>
    <cellStyle name="Финансовый 3 6 3 3 2" xfId="7247" xr:uid="{00000000-0005-0000-0000-0000D72F0000}"/>
    <cellStyle name="Финансовый 3 6 3 3 2 2" xfId="15890" xr:uid="{00000000-0005-0000-0000-0000D82F0000}"/>
    <cellStyle name="Финансовый 3 6 3 3 3" xfId="9854" xr:uid="{00000000-0005-0000-0000-0000D92F0000}"/>
    <cellStyle name="Финансовый 3 6 3 4" xfId="814" xr:uid="{00000000-0005-0000-0000-0000DA2F0000}"/>
    <cellStyle name="Финансовый 3 6 3 4 2" xfId="6854" xr:uid="{00000000-0005-0000-0000-0000DB2F0000}"/>
    <cellStyle name="Финансовый 3 6 3 4 2 2" xfId="15497" xr:uid="{00000000-0005-0000-0000-0000DC2F0000}"/>
    <cellStyle name="Финансовый 3 6 3 4 3" xfId="9461" xr:uid="{00000000-0005-0000-0000-0000DD2F0000}"/>
    <cellStyle name="Финансовый 3 6 3 5" xfId="2991" xr:uid="{00000000-0005-0000-0000-0000DE2F0000}"/>
    <cellStyle name="Финансовый 3 6 3 5 2" xfId="11636" xr:uid="{00000000-0005-0000-0000-0000DF2F0000}"/>
    <cellStyle name="Финансовый 3 6 3 6" xfId="4635" xr:uid="{00000000-0005-0000-0000-0000E02F0000}"/>
    <cellStyle name="Финансовый 3 6 3 6 2" xfId="13280" xr:uid="{00000000-0005-0000-0000-0000E12F0000}"/>
    <cellStyle name="Финансовый 3 6 3 7" xfId="6434" xr:uid="{00000000-0005-0000-0000-0000E22F0000}"/>
    <cellStyle name="Финансовый 3 6 3 7 2" xfId="15077" xr:uid="{00000000-0005-0000-0000-0000E32F0000}"/>
    <cellStyle name="Финансовый 3 6 3 8" xfId="9041" xr:uid="{00000000-0005-0000-0000-0000E42F0000}"/>
    <cellStyle name="Финансовый 3 6 4" xfId="1529" xr:uid="{00000000-0005-0000-0000-0000E52F0000}"/>
    <cellStyle name="Финансовый 3 6 4 2" xfId="1917" xr:uid="{00000000-0005-0000-0000-0000E62F0000}"/>
    <cellStyle name="Финансовый 3 6 4 2 2" xfId="3562" xr:uid="{00000000-0005-0000-0000-0000E72F0000}"/>
    <cellStyle name="Финансовый 3 6 4 2 2 2" xfId="12207" xr:uid="{00000000-0005-0000-0000-0000E82F0000}"/>
    <cellStyle name="Финансовый 3 6 4 2 3" xfId="5345" xr:uid="{00000000-0005-0000-0000-0000E92F0000}"/>
    <cellStyle name="Финансовый 3 6 4 2 3 2" xfId="13988" xr:uid="{00000000-0005-0000-0000-0000EA2F0000}"/>
    <cellStyle name="Финансовый 3 6 4 2 4" xfId="7955" xr:uid="{00000000-0005-0000-0000-0000EB2F0000}"/>
    <cellStyle name="Финансовый 3 6 4 2 4 2" xfId="16598" xr:uid="{00000000-0005-0000-0000-0000EC2F0000}"/>
    <cellStyle name="Финансовый 3 6 4 2 5" xfId="10562" xr:uid="{00000000-0005-0000-0000-0000ED2F0000}"/>
    <cellStyle name="Финансовый 3 6 4 3" xfId="4957" xr:uid="{00000000-0005-0000-0000-0000EE2F0000}"/>
    <cellStyle name="Финансовый 3 6 4 3 2" xfId="13600" xr:uid="{00000000-0005-0000-0000-0000EF2F0000}"/>
    <cellStyle name="Финансовый 3 6 4 4" xfId="7567" xr:uid="{00000000-0005-0000-0000-0000F02F0000}"/>
    <cellStyle name="Финансовый 3 6 4 4 2" xfId="16210" xr:uid="{00000000-0005-0000-0000-0000F12F0000}"/>
    <cellStyle name="Финансовый 3 6 4 5" xfId="10174" xr:uid="{00000000-0005-0000-0000-0000F22F0000}"/>
    <cellStyle name="Финансовый 3 6 5" xfId="1793" xr:uid="{00000000-0005-0000-0000-0000F32F0000}"/>
    <cellStyle name="Финансовый 3 6 5 2" xfId="3438" xr:uid="{00000000-0005-0000-0000-0000F42F0000}"/>
    <cellStyle name="Финансовый 3 6 5 2 2" xfId="12083" xr:uid="{00000000-0005-0000-0000-0000F52F0000}"/>
    <cellStyle name="Финансовый 3 6 5 3" xfId="5221" xr:uid="{00000000-0005-0000-0000-0000F62F0000}"/>
    <cellStyle name="Финансовый 3 6 5 3 2" xfId="13864" xr:uid="{00000000-0005-0000-0000-0000F72F0000}"/>
    <cellStyle name="Финансовый 3 6 5 4" xfId="7831" xr:uid="{00000000-0005-0000-0000-0000F82F0000}"/>
    <cellStyle name="Финансовый 3 6 5 4 2" xfId="16474" xr:uid="{00000000-0005-0000-0000-0000F92F0000}"/>
    <cellStyle name="Финансовый 3 6 5 5" xfId="10438" xr:uid="{00000000-0005-0000-0000-0000FA2F0000}"/>
    <cellStyle name="Финансовый 3 6 6" xfId="2438" xr:uid="{00000000-0005-0000-0000-0000FB2F0000}"/>
    <cellStyle name="Финансовый 3 6 6 2" xfId="4083" xr:uid="{00000000-0005-0000-0000-0000FC2F0000}"/>
    <cellStyle name="Финансовый 3 6 6 2 2" xfId="12728" xr:uid="{00000000-0005-0000-0000-0000FD2F0000}"/>
    <cellStyle name="Финансовый 3 6 6 3" xfId="5866" xr:uid="{00000000-0005-0000-0000-0000FE2F0000}"/>
    <cellStyle name="Финансовый 3 6 6 3 2" xfId="14509" xr:uid="{00000000-0005-0000-0000-0000FF2F0000}"/>
    <cellStyle name="Финансовый 3 6 6 4" xfId="8476" xr:uid="{00000000-0005-0000-0000-000000300000}"/>
    <cellStyle name="Финансовый 3 6 6 4 2" xfId="17119" xr:uid="{00000000-0005-0000-0000-000001300000}"/>
    <cellStyle name="Финансовый 3 6 6 5" xfId="11083" xr:uid="{00000000-0005-0000-0000-000002300000}"/>
    <cellStyle name="Финансовый 3 6 7" xfId="1665" xr:uid="{00000000-0005-0000-0000-000003300000}"/>
    <cellStyle name="Финансовый 3 6 7 2" xfId="3310" xr:uid="{00000000-0005-0000-0000-000004300000}"/>
    <cellStyle name="Финансовый 3 6 7 2 2" xfId="11955" xr:uid="{00000000-0005-0000-0000-000005300000}"/>
    <cellStyle name="Финансовый 3 6 7 3" xfId="5093" xr:uid="{00000000-0005-0000-0000-000006300000}"/>
    <cellStyle name="Финансовый 3 6 7 3 2" xfId="13736" xr:uid="{00000000-0005-0000-0000-000007300000}"/>
    <cellStyle name="Финансовый 3 6 7 4" xfId="7703" xr:uid="{00000000-0005-0000-0000-000008300000}"/>
    <cellStyle name="Финансовый 3 6 7 4 2" xfId="16346" xr:uid="{00000000-0005-0000-0000-000009300000}"/>
    <cellStyle name="Финансовый 3 6 7 5" xfId="10310" xr:uid="{00000000-0005-0000-0000-00000A300000}"/>
    <cellStyle name="Финансовый 3 6 8" xfId="942" xr:uid="{00000000-0005-0000-0000-00000B300000}"/>
    <cellStyle name="Финансовый 3 6 8 2" xfId="6982" xr:uid="{00000000-0005-0000-0000-00000C300000}"/>
    <cellStyle name="Финансовый 3 6 8 2 2" xfId="15625" xr:uid="{00000000-0005-0000-0000-00000D300000}"/>
    <cellStyle name="Финансовый 3 6 8 3" xfId="9589" xr:uid="{00000000-0005-0000-0000-00000E300000}"/>
    <cellStyle name="Финансовый 3 6 9" xfId="530" xr:uid="{00000000-0005-0000-0000-00000F300000}"/>
    <cellStyle name="Финансовый 3 6 9 2" xfId="6570" xr:uid="{00000000-0005-0000-0000-000010300000}"/>
    <cellStyle name="Финансовый 3 6 9 2 2" xfId="15213" xr:uid="{00000000-0005-0000-0000-000011300000}"/>
    <cellStyle name="Финансовый 3 6 9 3" xfId="9177" xr:uid="{00000000-0005-0000-0000-000012300000}"/>
    <cellStyle name="Финансовый 3 7" xfId="74" xr:uid="{00000000-0005-0000-0000-000013300000}"/>
    <cellStyle name="Финансовый 3 7 10" xfId="2684" xr:uid="{00000000-0005-0000-0000-000014300000}"/>
    <cellStyle name="Финансовый 3 7 10 2" xfId="11329" xr:uid="{00000000-0005-0000-0000-000015300000}"/>
    <cellStyle name="Финансовый 3 7 11" xfId="4328" xr:uid="{00000000-0005-0000-0000-000016300000}"/>
    <cellStyle name="Финансовый 3 7 11 2" xfId="12973" xr:uid="{00000000-0005-0000-0000-000017300000}"/>
    <cellStyle name="Финансовый 3 7 12" xfId="6115" xr:uid="{00000000-0005-0000-0000-000018300000}"/>
    <cellStyle name="Финансовый 3 7 12 2" xfId="14758" xr:uid="{00000000-0005-0000-0000-000019300000}"/>
    <cellStyle name="Финансовый 3 7 13" xfId="8722" xr:uid="{00000000-0005-0000-0000-00001A300000}"/>
    <cellStyle name="Финансовый 3 7 2" xfId="210" xr:uid="{00000000-0005-0000-0000-00001B300000}"/>
    <cellStyle name="Финансовый 3 7 2 10" xfId="8858" xr:uid="{00000000-0005-0000-0000-00001C300000}"/>
    <cellStyle name="Финансовый 3 7 2 2" xfId="1308" xr:uid="{00000000-0005-0000-0000-00001D300000}"/>
    <cellStyle name="Финансовый 3 7 2 2 2" xfId="2266" xr:uid="{00000000-0005-0000-0000-00001E300000}"/>
    <cellStyle name="Финансовый 3 7 2 2 2 2" xfId="3911" xr:uid="{00000000-0005-0000-0000-00001F300000}"/>
    <cellStyle name="Финансовый 3 7 2 2 2 2 2" xfId="12556" xr:uid="{00000000-0005-0000-0000-000020300000}"/>
    <cellStyle name="Финансовый 3 7 2 2 2 3" xfId="5694" xr:uid="{00000000-0005-0000-0000-000021300000}"/>
    <cellStyle name="Финансовый 3 7 2 2 2 3 2" xfId="14337" xr:uid="{00000000-0005-0000-0000-000022300000}"/>
    <cellStyle name="Финансовый 3 7 2 2 2 4" xfId="8304" xr:uid="{00000000-0005-0000-0000-000023300000}"/>
    <cellStyle name="Финансовый 3 7 2 2 2 4 2" xfId="16947" xr:uid="{00000000-0005-0000-0000-000024300000}"/>
    <cellStyle name="Финансовый 3 7 2 2 2 5" xfId="10911" xr:uid="{00000000-0005-0000-0000-000025300000}"/>
    <cellStyle name="Финансовый 3 7 2 2 3" xfId="3092" xr:uid="{00000000-0005-0000-0000-000026300000}"/>
    <cellStyle name="Финансовый 3 7 2 2 3 2" xfId="11737" xr:uid="{00000000-0005-0000-0000-000027300000}"/>
    <cellStyle name="Финансовый 3 7 2 2 4" xfId="4736" xr:uid="{00000000-0005-0000-0000-000028300000}"/>
    <cellStyle name="Финансовый 3 7 2 2 4 2" xfId="13381" xr:uid="{00000000-0005-0000-0000-000029300000}"/>
    <cellStyle name="Финансовый 3 7 2 2 5" xfId="7348" xr:uid="{00000000-0005-0000-0000-00002A300000}"/>
    <cellStyle name="Финансовый 3 7 2 2 5 2" xfId="15991" xr:uid="{00000000-0005-0000-0000-00002B300000}"/>
    <cellStyle name="Финансовый 3 7 2 2 6" xfId="9955" xr:uid="{00000000-0005-0000-0000-00002C300000}"/>
    <cellStyle name="Финансовый 3 7 2 3" xfId="2010" xr:uid="{00000000-0005-0000-0000-00002D300000}"/>
    <cellStyle name="Финансовый 3 7 2 3 2" xfId="3655" xr:uid="{00000000-0005-0000-0000-00002E300000}"/>
    <cellStyle name="Финансовый 3 7 2 3 2 2" xfId="12300" xr:uid="{00000000-0005-0000-0000-00002F300000}"/>
    <cellStyle name="Финансовый 3 7 2 3 3" xfId="5438" xr:uid="{00000000-0005-0000-0000-000030300000}"/>
    <cellStyle name="Финансовый 3 7 2 3 3 2" xfId="14081" xr:uid="{00000000-0005-0000-0000-000031300000}"/>
    <cellStyle name="Финансовый 3 7 2 3 4" xfId="8048" xr:uid="{00000000-0005-0000-0000-000032300000}"/>
    <cellStyle name="Финансовый 3 7 2 3 4 2" xfId="16691" xr:uid="{00000000-0005-0000-0000-000033300000}"/>
    <cellStyle name="Финансовый 3 7 2 3 5" xfId="10655" xr:uid="{00000000-0005-0000-0000-000034300000}"/>
    <cellStyle name="Финансовый 3 7 2 4" xfId="2539" xr:uid="{00000000-0005-0000-0000-000035300000}"/>
    <cellStyle name="Финансовый 3 7 2 4 2" xfId="4184" xr:uid="{00000000-0005-0000-0000-000036300000}"/>
    <cellStyle name="Финансовый 3 7 2 4 2 2" xfId="12829" xr:uid="{00000000-0005-0000-0000-000037300000}"/>
    <cellStyle name="Финансовый 3 7 2 4 3" xfId="5967" xr:uid="{00000000-0005-0000-0000-000038300000}"/>
    <cellStyle name="Финансовый 3 7 2 4 3 2" xfId="14610" xr:uid="{00000000-0005-0000-0000-000039300000}"/>
    <cellStyle name="Финансовый 3 7 2 4 4" xfId="8577" xr:uid="{00000000-0005-0000-0000-00003A300000}"/>
    <cellStyle name="Финансовый 3 7 2 4 4 2" xfId="17220" xr:uid="{00000000-0005-0000-0000-00003B300000}"/>
    <cellStyle name="Финансовый 3 7 2 4 5" xfId="11184" xr:uid="{00000000-0005-0000-0000-00003C300000}"/>
    <cellStyle name="Финансовый 3 7 2 5" xfId="1043" xr:uid="{00000000-0005-0000-0000-00003D300000}"/>
    <cellStyle name="Финансовый 3 7 2 5 2" xfId="7083" xr:uid="{00000000-0005-0000-0000-00003E300000}"/>
    <cellStyle name="Финансовый 3 7 2 5 2 2" xfId="15726" xr:uid="{00000000-0005-0000-0000-00003F300000}"/>
    <cellStyle name="Финансовый 3 7 2 5 3" xfId="9690" xr:uid="{00000000-0005-0000-0000-000040300000}"/>
    <cellStyle name="Финансовый 3 7 2 6" xfId="631" xr:uid="{00000000-0005-0000-0000-000041300000}"/>
    <cellStyle name="Финансовый 3 7 2 6 2" xfId="6671" xr:uid="{00000000-0005-0000-0000-000042300000}"/>
    <cellStyle name="Финансовый 3 7 2 6 2 2" xfId="15314" xr:uid="{00000000-0005-0000-0000-000043300000}"/>
    <cellStyle name="Финансовый 3 7 2 6 3" xfId="9278" xr:uid="{00000000-0005-0000-0000-000044300000}"/>
    <cellStyle name="Финансовый 3 7 2 7" xfId="2820" xr:uid="{00000000-0005-0000-0000-000045300000}"/>
    <cellStyle name="Финансовый 3 7 2 7 2" xfId="11465" xr:uid="{00000000-0005-0000-0000-000046300000}"/>
    <cellStyle name="Финансовый 3 7 2 8" xfId="4464" xr:uid="{00000000-0005-0000-0000-000047300000}"/>
    <cellStyle name="Финансовый 3 7 2 8 2" xfId="13109" xr:uid="{00000000-0005-0000-0000-000048300000}"/>
    <cellStyle name="Финансовый 3 7 2 9" xfId="6251" xr:uid="{00000000-0005-0000-0000-000049300000}"/>
    <cellStyle name="Финансовый 3 7 2 9 2" xfId="14894" xr:uid="{00000000-0005-0000-0000-00004A300000}"/>
    <cellStyle name="Финансовый 3 7 3" xfId="359" xr:uid="{00000000-0005-0000-0000-00004B300000}"/>
    <cellStyle name="Финансовый 3 7 3 2" xfId="2138" xr:uid="{00000000-0005-0000-0000-00004C300000}"/>
    <cellStyle name="Финансовый 3 7 3 2 2" xfId="3783" xr:uid="{00000000-0005-0000-0000-00004D300000}"/>
    <cellStyle name="Финансовый 3 7 3 2 2 2" xfId="12428" xr:uid="{00000000-0005-0000-0000-00004E300000}"/>
    <cellStyle name="Финансовый 3 7 3 2 3" xfId="5566" xr:uid="{00000000-0005-0000-0000-00004F300000}"/>
    <cellStyle name="Финансовый 3 7 3 2 3 2" xfId="14209" xr:uid="{00000000-0005-0000-0000-000050300000}"/>
    <cellStyle name="Финансовый 3 7 3 2 4" xfId="8176" xr:uid="{00000000-0005-0000-0000-000051300000}"/>
    <cellStyle name="Финансовый 3 7 3 2 4 2" xfId="16819" xr:uid="{00000000-0005-0000-0000-000052300000}"/>
    <cellStyle name="Финансовый 3 7 3 2 5" xfId="10783" xr:uid="{00000000-0005-0000-0000-000053300000}"/>
    <cellStyle name="Финансовый 3 7 3 3" xfId="1172" xr:uid="{00000000-0005-0000-0000-000054300000}"/>
    <cellStyle name="Финансовый 3 7 3 3 2" xfId="7212" xr:uid="{00000000-0005-0000-0000-000055300000}"/>
    <cellStyle name="Финансовый 3 7 3 3 2 2" xfId="15855" xr:uid="{00000000-0005-0000-0000-000056300000}"/>
    <cellStyle name="Финансовый 3 7 3 3 3" xfId="9819" xr:uid="{00000000-0005-0000-0000-000057300000}"/>
    <cellStyle name="Финансовый 3 7 3 4" xfId="779" xr:uid="{00000000-0005-0000-0000-000058300000}"/>
    <cellStyle name="Финансовый 3 7 3 4 2" xfId="6819" xr:uid="{00000000-0005-0000-0000-000059300000}"/>
    <cellStyle name="Финансовый 3 7 3 4 2 2" xfId="15462" xr:uid="{00000000-0005-0000-0000-00005A300000}"/>
    <cellStyle name="Финансовый 3 7 3 4 3" xfId="9426" xr:uid="{00000000-0005-0000-0000-00005B300000}"/>
    <cellStyle name="Финансовый 3 7 3 5" xfId="2956" xr:uid="{00000000-0005-0000-0000-00005C300000}"/>
    <cellStyle name="Финансовый 3 7 3 5 2" xfId="11601" xr:uid="{00000000-0005-0000-0000-00005D300000}"/>
    <cellStyle name="Финансовый 3 7 3 6" xfId="4600" xr:uid="{00000000-0005-0000-0000-00005E300000}"/>
    <cellStyle name="Финансовый 3 7 3 6 2" xfId="13245" xr:uid="{00000000-0005-0000-0000-00005F300000}"/>
    <cellStyle name="Финансовый 3 7 3 7" xfId="6399" xr:uid="{00000000-0005-0000-0000-000060300000}"/>
    <cellStyle name="Финансовый 3 7 3 7 2" xfId="15042" xr:uid="{00000000-0005-0000-0000-000061300000}"/>
    <cellStyle name="Финансовый 3 7 3 8" xfId="9006" xr:uid="{00000000-0005-0000-0000-000062300000}"/>
    <cellStyle name="Финансовый 3 7 4" xfId="1530" xr:uid="{00000000-0005-0000-0000-000063300000}"/>
    <cellStyle name="Финансовый 3 7 4 2" xfId="1882" xr:uid="{00000000-0005-0000-0000-000064300000}"/>
    <cellStyle name="Финансовый 3 7 4 2 2" xfId="3527" xr:uid="{00000000-0005-0000-0000-000065300000}"/>
    <cellStyle name="Финансовый 3 7 4 2 2 2" xfId="12172" xr:uid="{00000000-0005-0000-0000-000066300000}"/>
    <cellStyle name="Финансовый 3 7 4 2 3" xfId="5310" xr:uid="{00000000-0005-0000-0000-000067300000}"/>
    <cellStyle name="Финансовый 3 7 4 2 3 2" xfId="13953" xr:uid="{00000000-0005-0000-0000-000068300000}"/>
    <cellStyle name="Финансовый 3 7 4 2 4" xfId="7920" xr:uid="{00000000-0005-0000-0000-000069300000}"/>
    <cellStyle name="Финансовый 3 7 4 2 4 2" xfId="16563" xr:uid="{00000000-0005-0000-0000-00006A300000}"/>
    <cellStyle name="Финансовый 3 7 4 2 5" xfId="10527" xr:uid="{00000000-0005-0000-0000-00006B300000}"/>
    <cellStyle name="Финансовый 3 7 4 3" xfId="4958" xr:uid="{00000000-0005-0000-0000-00006C300000}"/>
    <cellStyle name="Финансовый 3 7 4 3 2" xfId="13601" xr:uid="{00000000-0005-0000-0000-00006D300000}"/>
    <cellStyle name="Финансовый 3 7 4 4" xfId="7568" xr:uid="{00000000-0005-0000-0000-00006E300000}"/>
    <cellStyle name="Финансовый 3 7 4 4 2" xfId="16211" xr:uid="{00000000-0005-0000-0000-00006F300000}"/>
    <cellStyle name="Финансовый 3 7 4 5" xfId="10175" xr:uid="{00000000-0005-0000-0000-000070300000}"/>
    <cellStyle name="Финансовый 3 7 5" xfId="1758" xr:uid="{00000000-0005-0000-0000-000071300000}"/>
    <cellStyle name="Финансовый 3 7 5 2" xfId="3403" xr:uid="{00000000-0005-0000-0000-000072300000}"/>
    <cellStyle name="Финансовый 3 7 5 2 2" xfId="12048" xr:uid="{00000000-0005-0000-0000-000073300000}"/>
    <cellStyle name="Финансовый 3 7 5 3" xfId="5186" xr:uid="{00000000-0005-0000-0000-000074300000}"/>
    <cellStyle name="Финансовый 3 7 5 3 2" xfId="13829" xr:uid="{00000000-0005-0000-0000-000075300000}"/>
    <cellStyle name="Финансовый 3 7 5 4" xfId="7796" xr:uid="{00000000-0005-0000-0000-000076300000}"/>
    <cellStyle name="Финансовый 3 7 5 4 2" xfId="16439" xr:uid="{00000000-0005-0000-0000-000077300000}"/>
    <cellStyle name="Финансовый 3 7 5 5" xfId="10403" xr:uid="{00000000-0005-0000-0000-000078300000}"/>
    <cellStyle name="Финансовый 3 7 6" xfId="2403" xr:uid="{00000000-0005-0000-0000-000079300000}"/>
    <cellStyle name="Финансовый 3 7 6 2" xfId="4048" xr:uid="{00000000-0005-0000-0000-00007A300000}"/>
    <cellStyle name="Финансовый 3 7 6 2 2" xfId="12693" xr:uid="{00000000-0005-0000-0000-00007B300000}"/>
    <cellStyle name="Финансовый 3 7 6 3" xfId="5831" xr:uid="{00000000-0005-0000-0000-00007C300000}"/>
    <cellStyle name="Финансовый 3 7 6 3 2" xfId="14474" xr:uid="{00000000-0005-0000-0000-00007D300000}"/>
    <cellStyle name="Финансовый 3 7 6 4" xfId="8441" xr:uid="{00000000-0005-0000-0000-00007E300000}"/>
    <cellStyle name="Финансовый 3 7 6 4 2" xfId="17084" xr:uid="{00000000-0005-0000-0000-00007F300000}"/>
    <cellStyle name="Финансовый 3 7 6 5" xfId="11048" xr:uid="{00000000-0005-0000-0000-000080300000}"/>
    <cellStyle name="Финансовый 3 7 7" xfId="1630" xr:uid="{00000000-0005-0000-0000-000081300000}"/>
    <cellStyle name="Финансовый 3 7 7 2" xfId="3275" xr:uid="{00000000-0005-0000-0000-000082300000}"/>
    <cellStyle name="Финансовый 3 7 7 2 2" xfId="11920" xr:uid="{00000000-0005-0000-0000-000083300000}"/>
    <cellStyle name="Финансовый 3 7 7 3" xfId="5058" xr:uid="{00000000-0005-0000-0000-000084300000}"/>
    <cellStyle name="Финансовый 3 7 7 3 2" xfId="13701" xr:uid="{00000000-0005-0000-0000-000085300000}"/>
    <cellStyle name="Финансовый 3 7 7 4" xfId="7668" xr:uid="{00000000-0005-0000-0000-000086300000}"/>
    <cellStyle name="Финансовый 3 7 7 4 2" xfId="16311" xr:uid="{00000000-0005-0000-0000-000087300000}"/>
    <cellStyle name="Финансовый 3 7 7 5" xfId="10275" xr:uid="{00000000-0005-0000-0000-000088300000}"/>
    <cellStyle name="Финансовый 3 7 8" xfId="907" xr:uid="{00000000-0005-0000-0000-000089300000}"/>
    <cellStyle name="Финансовый 3 7 8 2" xfId="6947" xr:uid="{00000000-0005-0000-0000-00008A300000}"/>
    <cellStyle name="Финансовый 3 7 8 2 2" xfId="15590" xr:uid="{00000000-0005-0000-0000-00008B300000}"/>
    <cellStyle name="Финансовый 3 7 8 3" xfId="9554" xr:uid="{00000000-0005-0000-0000-00008C300000}"/>
    <cellStyle name="Финансовый 3 7 9" xfId="495" xr:uid="{00000000-0005-0000-0000-00008D300000}"/>
    <cellStyle name="Финансовый 3 7 9 2" xfId="6535" xr:uid="{00000000-0005-0000-0000-00008E300000}"/>
    <cellStyle name="Финансовый 3 7 9 2 2" xfId="15178" xr:uid="{00000000-0005-0000-0000-00008F300000}"/>
    <cellStyle name="Финансовый 3 7 9 3" xfId="9142" xr:uid="{00000000-0005-0000-0000-000090300000}"/>
    <cellStyle name="Финансовый 3 8" xfId="51" xr:uid="{00000000-0005-0000-0000-000091300000}"/>
    <cellStyle name="Финансовый 3 8 10" xfId="2663" xr:uid="{00000000-0005-0000-0000-000092300000}"/>
    <cellStyle name="Финансовый 3 8 10 2" xfId="11308" xr:uid="{00000000-0005-0000-0000-000093300000}"/>
    <cellStyle name="Финансовый 3 8 11" xfId="4306" xr:uid="{00000000-0005-0000-0000-000094300000}"/>
    <cellStyle name="Финансовый 3 8 11 2" xfId="12951" xr:uid="{00000000-0005-0000-0000-000095300000}"/>
    <cellStyle name="Финансовый 3 8 12" xfId="6094" xr:uid="{00000000-0005-0000-0000-000096300000}"/>
    <cellStyle name="Финансовый 3 8 12 2" xfId="14737" xr:uid="{00000000-0005-0000-0000-000097300000}"/>
    <cellStyle name="Финансовый 3 8 13" xfId="8701" xr:uid="{00000000-0005-0000-0000-000098300000}"/>
    <cellStyle name="Финансовый 3 8 2" xfId="189" xr:uid="{00000000-0005-0000-0000-000099300000}"/>
    <cellStyle name="Финансовый 3 8 2 10" xfId="8837" xr:uid="{00000000-0005-0000-0000-00009A300000}"/>
    <cellStyle name="Финансовый 3 8 2 2" xfId="1287" xr:uid="{00000000-0005-0000-0000-00009B300000}"/>
    <cellStyle name="Финансовый 3 8 2 2 2" xfId="2253" xr:uid="{00000000-0005-0000-0000-00009C300000}"/>
    <cellStyle name="Финансовый 3 8 2 2 2 2" xfId="3898" xr:uid="{00000000-0005-0000-0000-00009D300000}"/>
    <cellStyle name="Финансовый 3 8 2 2 2 2 2" xfId="12543" xr:uid="{00000000-0005-0000-0000-00009E300000}"/>
    <cellStyle name="Финансовый 3 8 2 2 2 3" xfId="5681" xr:uid="{00000000-0005-0000-0000-00009F300000}"/>
    <cellStyle name="Финансовый 3 8 2 2 2 3 2" xfId="14324" xr:uid="{00000000-0005-0000-0000-0000A0300000}"/>
    <cellStyle name="Финансовый 3 8 2 2 2 4" xfId="8291" xr:uid="{00000000-0005-0000-0000-0000A1300000}"/>
    <cellStyle name="Финансовый 3 8 2 2 2 4 2" xfId="16934" xr:uid="{00000000-0005-0000-0000-0000A2300000}"/>
    <cellStyle name="Финансовый 3 8 2 2 2 5" xfId="10898" xr:uid="{00000000-0005-0000-0000-0000A3300000}"/>
    <cellStyle name="Финансовый 3 8 2 2 3" xfId="3071" xr:uid="{00000000-0005-0000-0000-0000A4300000}"/>
    <cellStyle name="Финансовый 3 8 2 2 3 2" xfId="11716" xr:uid="{00000000-0005-0000-0000-0000A5300000}"/>
    <cellStyle name="Финансовый 3 8 2 2 4" xfId="4715" xr:uid="{00000000-0005-0000-0000-0000A6300000}"/>
    <cellStyle name="Финансовый 3 8 2 2 4 2" xfId="13360" xr:uid="{00000000-0005-0000-0000-0000A7300000}"/>
    <cellStyle name="Финансовый 3 8 2 2 5" xfId="7327" xr:uid="{00000000-0005-0000-0000-0000A8300000}"/>
    <cellStyle name="Финансовый 3 8 2 2 5 2" xfId="15970" xr:uid="{00000000-0005-0000-0000-0000A9300000}"/>
    <cellStyle name="Финансовый 3 8 2 2 6" xfId="9934" xr:uid="{00000000-0005-0000-0000-0000AA300000}"/>
    <cellStyle name="Финансовый 3 8 2 3" xfId="1997" xr:uid="{00000000-0005-0000-0000-0000AB300000}"/>
    <cellStyle name="Финансовый 3 8 2 3 2" xfId="3642" xr:uid="{00000000-0005-0000-0000-0000AC300000}"/>
    <cellStyle name="Финансовый 3 8 2 3 2 2" xfId="12287" xr:uid="{00000000-0005-0000-0000-0000AD300000}"/>
    <cellStyle name="Финансовый 3 8 2 3 3" xfId="5425" xr:uid="{00000000-0005-0000-0000-0000AE300000}"/>
    <cellStyle name="Финансовый 3 8 2 3 3 2" xfId="14068" xr:uid="{00000000-0005-0000-0000-0000AF300000}"/>
    <cellStyle name="Финансовый 3 8 2 3 4" xfId="8035" xr:uid="{00000000-0005-0000-0000-0000B0300000}"/>
    <cellStyle name="Финансовый 3 8 2 3 4 2" xfId="16678" xr:uid="{00000000-0005-0000-0000-0000B1300000}"/>
    <cellStyle name="Финансовый 3 8 2 3 5" xfId="10642" xr:uid="{00000000-0005-0000-0000-0000B2300000}"/>
    <cellStyle name="Финансовый 3 8 2 4" xfId="2518" xr:uid="{00000000-0005-0000-0000-0000B3300000}"/>
    <cellStyle name="Финансовый 3 8 2 4 2" xfId="4163" xr:uid="{00000000-0005-0000-0000-0000B4300000}"/>
    <cellStyle name="Финансовый 3 8 2 4 2 2" xfId="12808" xr:uid="{00000000-0005-0000-0000-0000B5300000}"/>
    <cellStyle name="Финансовый 3 8 2 4 3" xfId="5946" xr:uid="{00000000-0005-0000-0000-0000B6300000}"/>
    <cellStyle name="Финансовый 3 8 2 4 3 2" xfId="14589" xr:uid="{00000000-0005-0000-0000-0000B7300000}"/>
    <cellStyle name="Финансовый 3 8 2 4 4" xfId="8556" xr:uid="{00000000-0005-0000-0000-0000B8300000}"/>
    <cellStyle name="Финансовый 3 8 2 4 4 2" xfId="17199" xr:uid="{00000000-0005-0000-0000-0000B9300000}"/>
    <cellStyle name="Финансовый 3 8 2 4 5" xfId="11163" xr:uid="{00000000-0005-0000-0000-0000BA300000}"/>
    <cellStyle name="Финансовый 3 8 2 5" xfId="1022" xr:uid="{00000000-0005-0000-0000-0000BB300000}"/>
    <cellStyle name="Финансовый 3 8 2 5 2" xfId="7062" xr:uid="{00000000-0005-0000-0000-0000BC300000}"/>
    <cellStyle name="Финансовый 3 8 2 5 2 2" xfId="15705" xr:uid="{00000000-0005-0000-0000-0000BD300000}"/>
    <cellStyle name="Финансовый 3 8 2 5 3" xfId="9669" xr:uid="{00000000-0005-0000-0000-0000BE300000}"/>
    <cellStyle name="Финансовый 3 8 2 6" xfId="610" xr:uid="{00000000-0005-0000-0000-0000BF300000}"/>
    <cellStyle name="Финансовый 3 8 2 6 2" xfId="6650" xr:uid="{00000000-0005-0000-0000-0000C0300000}"/>
    <cellStyle name="Финансовый 3 8 2 6 2 2" xfId="15293" xr:uid="{00000000-0005-0000-0000-0000C1300000}"/>
    <cellStyle name="Финансовый 3 8 2 6 3" xfId="9257" xr:uid="{00000000-0005-0000-0000-0000C2300000}"/>
    <cellStyle name="Финансовый 3 8 2 7" xfId="2799" xr:uid="{00000000-0005-0000-0000-0000C3300000}"/>
    <cellStyle name="Финансовый 3 8 2 7 2" xfId="11444" xr:uid="{00000000-0005-0000-0000-0000C4300000}"/>
    <cellStyle name="Финансовый 3 8 2 8" xfId="4443" xr:uid="{00000000-0005-0000-0000-0000C5300000}"/>
    <cellStyle name="Финансовый 3 8 2 8 2" xfId="13088" xr:uid="{00000000-0005-0000-0000-0000C6300000}"/>
    <cellStyle name="Финансовый 3 8 2 9" xfId="6230" xr:uid="{00000000-0005-0000-0000-0000C7300000}"/>
    <cellStyle name="Финансовый 3 8 2 9 2" xfId="14873" xr:uid="{00000000-0005-0000-0000-0000C8300000}"/>
    <cellStyle name="Финансовый 3 8 3" xfId="338" xr:uid="{00000000-0005-0000-0000-0000C9300000}"/>
    <cellStyle name="Финансовый 3 8 3 2" xfId="2125" xr:uid="{00000000-0005-0000-0000-0000CA300000}"/>
    <cellStyle name="Финансовый 3 8 3 2 2" xfId="3770" xr:uid="{00000000-0005-0000-0000-0000CB300000}"/>
    <cellStyle name="Финансовый 3 8 3 2 2 2" xfId="12415" xr:uid="{00000000-0005-0000-0000-0000CC300000}"/>
    <cellStyle name="Финансовый 3 8 3 2 3" xfId="5553" xr:uid="{00000000-0005-0000-0000-0000CD300000}"/>
    <cellStyle name="Финансовый 3 8 3 2 3 2" xfId="14196" xr:uid="{00000000-0005-0000-0000-0000CE300000}"/>
    <cellStyle name="Финансовый 3 8 3 2 4" xfId="8163" xr:uid="{00000000-0005-0000-0000-0000CF300000}"/>
    <cellStyle name="Финансовый 3 8 3 2 4 2" xfId="16806" xr:uid="{00000000-0005-0000-0000-0000D0300000}"/>
    <cellStyle name="Финансовый 3 8 3 2 5" xfId="10770" xr:uid="{00000000-0005-0000-0000-0000D1300000}"/>
    <cellStyle name="Финансовый 3 8 3 3" xfId="1158" xr:uid="{00000000-0005-0000-0000-0000D2300000}"/>
    <cellStyle name="Финансовый 3 8 3 3 2" xfId="7198" xr:uid="{00000000-0005-0000-0000-0000D3300000}"/>
    <cellStyle name="Финансовый 3 8 3 3 2 2" xfId="15841" xr:uid="{00000000-0005-0000-0000-0000D4300000}"/>
    <cellStyle name="Финансовый 3 8 3 3 3" xfId="9805" xr:uid="{00000000-0005-0000-0000-0000D5300000}"/>
    <cellStyle name="Финансовый 3 8 3 4" xfId="758" xr:uid="{00000000-0005-0000-0000-0000D6300000}"/>
    <cellStyle name="Финансовый 3 8 3 4 2" xfId="6798" xr:uid="{00000000-0005-0000-0000-0000D7300000}"/>
    <cellStyle name="Финансовый 3 8 3 4 2 2" xfId="15441" xr:uid="{00000000-0005-0000-0000-0000D8300000}"/>
    <cellStyle name="Финансовый 3 8 3 4 3" xfId="9405" xr:uid="{00000000-0005-0000-0000-0000D9300000}"/>
    <cellStyle name="Финансовый 3 8 3 5" xfId="2935" xr:uid="{00000000-0005-0000-0000-0000DA300000}"/>
    <cellStyle name="Финансовый 3 8 3 5 2" xfId="11580" xr:uid="{00000000-0005-0000-0000-0000DB300000}"/>
    <cellStyle name="Финансовый 3 8 3 6" xfId="4579" xr:uid="{00000000-0005-0000-0000-0000DC300000}"/>
    <cellStyle name="Финансовый 3 8 3 6 2" xfId="13224" xr:uid="{00000000-0005-0000-0000-0000DD300000}"/>
    <cellStyle name="Финансовый 3 8 3 7" xfId="6378" xr:uid="{00000000-0005-0000-0000-0000DE300000}"/>
    <cellStyle name="Финансовый 3 8 3 7 2" xfId="15021" xr:uid="{00000000-0005-0000-0000-0000DF300000}"/>
    <cellStyle name="Финансовый 3 8 3 8" xfId="8985" xr:uid="{00000000-0005-0000-0000-0000E0300000}"/>
    <cellStyle name="Финансовый 3 8 4" xfId="1420" xr:uid="{00000000-0005-0000-0000-0000E1300000}"/>
    <cellStyle name="Финансовый 3 8 4 2" xfId="1861" xr:uid="{00000000-0005-0000-0000-0000E2300000}"/>
    <cellStyle name="Финансовый 3 8 4 2 2" xfId="3506" xr:uid="{00000000-0005-0000-0000-0000E3300000}"/>
    <cellStyle name="Финансовый 3 8 4 2 2 2" xfId="12151" xr:uid="{00000000-0005-0000-0000-0000E4300000}"/>
    <cellStyle name="Финансовый 3 8 4 2 3" xfId="5289" xr:uid="{00000000-0005-0000-0000-0000E5300000}"/>
    <cellStyle name="Финансовый 3 8 4 2 3 2" xfId="13932" xr:uid="{00000000-0005-0000-0000-0000E6300000}"/>
    <cellStyle name="Финансовый 3 8 4 2 4" xfId="7899" xr:uid="{00000000-0005-0000-0000-0000E7300000}"/>
    <cellStyle name="Финансовый 3 8 4 2 4 2" xfId="16542" xr:uid="{00000000-0005-0000-0000-0000E8300000}"/>
    <cellStyle name="Финансовый 3 8 4 2 5" xfId="10506" xr:uid="{00000000-0005-0000-0000-0000E9300000}"/>
    <cellStyle name="Финансовый 3 8 4 3" xfId="4848" xr:uid="{00000000-0005-0000-0000-0000EA300000}"/>
    <cellStyle name="Финансовый 3 8 4 3 2" xfId="13493" xr:uid="{00000000-0005-0000-0000-0000EB300000}"/>
    <cellStyle name="Финансовый 3 8 4 4" xfId="7460" xr:uid="{00000000-0005-0000-0000-0000EC300000}"/>
    <cellStyle name="Финансовый 3 8 4 4 2" xfId="16103" xr:uid="{00000000-0005-0000-0000-0000ED300000}"/>
    <cellStyle name="Финансовый 3 8 4 5" xfId="10067" xr:uid="{00000000-0005-0000-0000-0000EE300000}"/>
    <cellStyle name="Финансовый 3 8 5" xfId="1745" xr:uid="{00000000-0005-0000-0000-0000EF300000}"/>
    <cellStyle name="Финансовый 3 8 5 2" xfId="3390" xr:uid="{00000000-0005-0000-0000-0000F0300000}"/>
    <cellStyle name="Финансовый 3 8 5 2 2" xfId="12035" xr:uid="{00000000-0005-0000-0000-0000F1300000}"/>
    <cellStyle name="Финансовый 3 8 5 3" xfId="5173" xr:uid="{00000000-0005-0000-0000-0000F2300000}"/>
    <cellStyle name="Финансовый 3 8 5 3 2" xfId="13816" xr:uid="{00000000-0005-0000-0000-0000F3300000}"/>
    <cellStyle name="Финансовый 3 8 5 4" xfId="7783" xr:uid="{00000000-0005-0000-0000-0000F4300000}"/>
    <cellStyle name="Финансовый 3 8 5 4 2" xfId="16426" xr:uid="{00000000-0005-0000-0000-0000F5300000}"/>
    <cellStyle name="Финансовый 3 8 5 5" xfId="10390" xr:uid="{00000000-0005-0000-0000-0000F6300000}"/>
    <cellStyle name="Финансовый 3 8 6" xfId="2381" xr:uid="{00000000-0005-0000-0000-0000F7300000}"/>
    <cellStyle name="Финансовый 3 8 6 2" xfId="4026" xr:uid="{00000000-0005-0000-0000-0000F8300000}"/>
    <cellStyle name="Финансовый 3 8 6 2 2" xfId="12671" xr:uid="{00000000-0005-0000-0000-0000F9300000}"/>
    <cellStyle name="Финансовый 3 8 6 3" xfId="5809" xr:uid="{00000000-0005-0000-0000-0000FA300000}"/>
    <cellStyle name="Финансовый 3 8 6 3 2" xfId="14452" xr:uid="{00000000-0005-0000-0000-0000FB300000}"/>
    <cellStyle name="Финансовый 3 8 6 4" xfId="8419" xr:uid="{00000000-0005-0000-0000-0000FC300000}"/>
    <cellStyle name="Финансовый 3 8 6 4 2" xfId="17062" xr:uid="{00000000-0005-0000-0000-0000FD300000}"/>
    <cellStyle name="Финансовый 3 8 6 5" xfId="11026" xr:uid="{00000000-0005-0000-0000-0000FE300000}"/>
    <cellStyle name="Финансовый 3 8 7" xfId="1608" xr:uid="{00000000-0005-0000-0000-0000FF300000}"/>
    <cellStyle name="Финансовый 3 8 7 2" xfId="3253" xr:uid="{00000000-0005-0000-0000-000000310000}"/>
    <cellStyle name="Финансовый 3 8 7 2 2" xfId="11898" xr:uid="{00000000-0005-0000-0000-000001310000}"/>
    <cellStyle name="Финансовый 3 8 7 3" xfId="5036" xr:uid="{00000000-0005-0000-0000-000002310000}"/>
    <cellStyle name="Финансовый 3 8 7 3 2" xfId="13679" xr:uid="{00000000-0005-0000-0000-000003310000}"/>
    <cellStyle name="Финансовый 3 8 7 4" xfId="7646" xr:uid="{00000000-0005-0000-0000-000004310000}"/>
    <cellStyle name="Финансовый 3 8 7 4 2" xfId="16289" xr:uid="{00000000-0005-0000-0000-000005310000}"/>
    <cellStyle name="Финансовый 3 8 7 5" xfId="10253" xr:uid="{00000000-0005-0000-0000-000006310000}"/>
    <cellStyle name="Финансовый 3 8 8" xfId="894" xr:uid="{00000000-0005-0000-0000-000007310000}"/>
    <cellStyle name="Финансовый 3 8 8 2" xfId="6934" xr:uid="{00000000-0005-0000-0000-000008310000}"/>
    <cellStyle name="Финансовый 3 8 8 2 2" xfId="15577" xr:uid="{00000000-0005-0000-0000-000009310000}"/>
    <cellStyle name="Финансовый 3 8 8 3" xfId="9541" xr:uid="{00000000-0005-0000-0000-00000A310000}"/>
    <cellStyle name="Финансовый 3 8 9" xfId="474" xr:uid="{00000000-0005-0000-0000-00000B310000}"/>
    <cellStyle name="Финансовый 3 8 9 2" xfId="6514" xr:uid="{00000000-0005-0000-0000-00000C310000}"/>
    <cellStyle name="Финансовый 3 8 9 2 2" xfId="15157" xr:uid="{00000000-0005-0000-0000-00000D310000}"/>
    <cellStyle name="Финансовый 3 8 9 3" xfId="9121" xr:uid="{00000000-0005-0000-0000-00000E310000}"/>
    <cellStyle name="Финансовый 3 9" xfId="129" xr:uid="{00000000-0005-0000-0000-00000F310000}"/>
    <cellStyle name="Финансовый 3 9 10" xfId="2739" xr:uid="{00000000-0005-0000-0000-000010310000}"/>
    <cellStyle name="Финансовый 3 9 10 2" xfId="11384" xr:uid="{00000000-0005-0000-0000-000011310000}"/>
    <cellStyle name="Финансовый 3 9 11" xfId="4383" xr:uid="{00000000-0005-0000-0000-000012310000}"/>
    <cellStyle name="Финансовый 3 9 11 2" xfId="13028" xr:uid="{00000000-0005-0000-0000-000013310000}"/>
    <cellStyle name="Финансовый 3 9 12" xfId="6170" xr:uid="{00000000-0005-0000-0000-000014310000}"/>
    <cellStyle name="Финансовый 3 9 12 2" xfId="14813" xr:uid="{00000000-0005-0000-0000-000015310000}"/>
    <cellStyle name="Финансовый 3 9 13" xfId="8777" xr:uid="{00000000-0005-0000-0000-000016310000}"/>
    <cellStyle name="Финансовый 3 9 2" xfId="265" xr:uid="{00000000-0005-0000-0000-000017310000}"/>
    <cellStyle name="Финансовый 3 9 2 10" xfId="8913" xr:uid="{00000000-0005-0000-0000-000018310000}"/>
    <cellStyle name="Финансовый 3 9 2 2" xfId="1363" xr:uid="{00000000-0005-0000-0000-000019310000}"/>
    <cellStyle name="Финансовый 3 9 2 2 2" xfId="2321" xr:uid="{00000000-0005-0000-0000-00001A310000}"/>
    <cellStyle name="Финансовый 3 9 2 2 2 2" xfId="3966" xr:uid="{00000000-0005-0000-0000-00001B310000}"/>
    <cellStyle name="Финансовый 3 9 2 2 2 2 2" xfId="12611" xr:uid="{00000000-0005-0000-0000-00001C310000}"/>
    <cellStyle name="Финансовый 3 9 2 2 2 3" xfId="5749" xr:uid="{00000000-0005-0000-0000-00001D310000}"/>
    <cellStyle name="Финансовый 3 9 2 2 2 3 2" xfId="14392" xr:uid="{00000000-0005-0000-0000-00001E310000}"/>
    <cellStyle name="Финансовый 3 9 2 2 2 4" xfId="8359" xr:uid="{00000000-0005-0000-0000-00001F310000}"/>
    <cellStyle name="Финансовый 3 9 2 2 2 4 2" xfId="17002" xr:uid="{00000000-0005-0000-0000-000020310000}"/>
    <cellStyle name="Финансовый 3 9 2 2 2 5" xfId="10966" xr:uid="{00000000-0005-0000-0000-000021310000}"/>
    <cellStyle name="Финансовый 3 9 2 2 3" xfId="3147" xr:uid="{00000000-0005-0000-0000-000022310000}"/>
    <cellStyle name="Финансовый 3 9 2 2 3 2" xfId="11792" xr:uid="{00000000-0005-0000-0000-000023310000}"/>
    <cellStyle name="Финансовый 3 9 2 2 4" xfId="4791" xr:uid="{00000000-0005-0000-0000-000024310000}"/>
    <cellStyle name="Финансовый 3 9 2 2 4 2" xfId="13436" xr:uid="{00000000-0005-0000-0000-000025310000}"/>
    <cellStyle name="Финансовый 3 9 2 2 5" xfId="7403" xr:uid="{00000000-0005-0000-0000-000026310000}"/>
    <cellStyle name="Финансовый 3 9 2 2 5 2" xfId="16046" xr:uid="{00000000-0005-0000-0000-000027310000}"/>
    <cellStyle name="Финансовый 3 9 2 2 6" xfId="10010" xr:uid="{00000000-0005-0000-0000-000028310000}"/>
    <cellStyle name="Финансовый 3 9 2 3" xfId="2065" xr:uid="{00000000-0005-0000-0000-000029310000}"/>
    <cellStyle name="Финансовый 3 9 2 3 2" xfId="3710" xr:uid="{00000000-0005-0000-0000-00002A310000}"/>
    <cellStyle name="Финансовый 3 9 2 3 2 2" xfId="12355" xr:uid="{00000000-0005-0000-0000-00002B310000}"/>
    <cellStyle name="Финансовый 3 9 2 3 3" xfId="5493" xr:uid="{00000000-0005-0000-0000-00002C310000}"/>
    <cellStyle name="Финансовый 3 9 2 3 3 2" xfId="14136" xr:uid="{00000000-0005-0000-0000-00002D310000}"/>
    <cellStyle name="Финансовый 3 9 2 3 4" xfId="8103" xr:uid="{00000000-0005-0000-0000-00002E310000}"/>
    <cellStyle name="Финансовый 3 9 2 3 4 2" xfId="16746" xr:uid="{00000000-0005-0000-0000-00002F310000}"/>
    <cellStyle name="Финансовый 3 9 2 3 5" xfId="10710" xr:uid="{00000000-0005-0000-0000-000030310000}"/>
    <cellStyle name="Финансовый 3 9 2 4" xfId="2594" xr:uid="{00000000-0005-0000-0000-000031310000}"/>
    <cellStyle name="Финансовый 3 9 2 4 2" xfId="4239" xr:uid="{00000000-0005-0000-0000-000032310000}"/>
    <cellStyle name="Финансовый 3 9 2 4 2 2" xfId="12884" xr:uid="{00000000-0005-0000-0000-000033310000}"/>
    <cellStyle name="Финансовый 3 9 2 4 3" xfId="6022" xr:uid="{00000000-0005-0000-0000-000034310000}"/>
    <cellStyle name="Финансовый 3 9 2 4 3 2" xfId="14665" xr:uid="{00000000-0005-0000-0000-000035310000}"/>
    <cellStyle name="Финансовый 3 9 2 4 4" xfId="8632" xr:uid="{00000000-0005-0000-0000-000036310000}"/>
    <cellStyle name="Финансовый 3 9 2 4 4 2" xfId="17275" xr:uid="{00000000-0005-0000-0000-000037310000}"/>
    <cellStyle name="Финансовый 3 9 2 4 5" xfId="11239" xr:uid="{00000000-0005-0000-0000-000038310000}"/>
    <cellStyle name="Финансовый 3 9 2 5" xfId="1098" xr:uid="{00000000-0005-0000-0000-000039310000}"/>
    <cellStyle name="Финансовый 3 9 2 5 2" xfId="7138" xr:uid="{00000000-0005-0000-0000-00003A310000}"/>
    <cellStyle name="Финансовый 3 9 2 5 2 2" xfId="15781" xr:uid="{00000000-0005-0000-0000-00003B310000}"/>
    <cellStyle name="Финансовый 3 9 2 5 3" xfId="9745" xr:uid="{00000000-0005-0000-0000-00003C310000}"/>
    <cellStyle name="Финансовый 3 9 2 6" xfId="686" xr:uid="{00000000-0005-0000-0000-00003D310000}"/>
    <cellStyle name="Финансовый 3 9 2 6 2" xfId="6726" xr:uid="{00000000-0005-0000-0000-00003E310000}"/>
    <cellStyle name="Финансовый 3 9 2 6 2 2" xfId="15369" xr:uid="{00000000-0005-0000-0000-00003F310000}"/>
    <cellStyle name="Финансовый 3 9 2 6 3" xfId="9333" xr:uid="{00000000-0005-0000-0000-000040310000}"/>
    <cellStyle name="Финансовый 3 9 2 7" xfId="2875" xr:uid="{00000000-0005-0000-0000-000041310000}"/>
    <cellStyle name="Финансовый 3 9 2 7 2" xfId="11520" xr:uid="{00000000-0005-0000-0000-000042310000}"/>
    <cellStyle name="Финансовый 3 9 2 8" xfId="4519" xr:uid="{00000000-0005-0000-0000-000043310000}"/>
    <cellStyle name="Финансовый 3 9 2 8 2" xfId="13164" xr:uid="{00000000-0005-0000-0000-000044310000}"/>
    <cellStyle name="Финансовый 3 9 2 9" xfId="6306" xr:uid="{00000000-0005-0000-0000-000045310000}"/>
    <cellStyle name="Финансовый 3 9 2 9 2" xfId="14949" xr:uid="{00000000-0005-0000-0000-000046310000}"/>
    <cellStyle name="Финансовый 3 9 3" xfId="414" xr:uid="{00000000-0005-0000-0000-000047310000}"/>
    <cellStyle name="Финансовый 3 9 3 2" xfId="2193" xr:uid="{00000000-0005-0000-0000-000048310000}"/>
    <cellStyle name="Финансовый 3 9 3 2 2" xfId="3838" xr:uid="{00000000-0005-0000-0000-000049310000}"/>
    <cellStyle name="Финансовый 3 9 3 2 2 2" xfId="12483" xr:uid="{00000000-0005-0000-0000-00004A310000}"/>
    <cellStyle name="Финансовый 3 9 3 2 3" xfId="5621" xr:uid="{00000000-0005-0000-0000-00004B310000}"/>
    <cellStyle name="Финансовый 3 9 3 2 3 2" xfId="14264" xr:uid="{00000000-0005-0000-0000-00004C310000}"/>
    <cellStyle name="Финансовый 3 9 3 2 4" xfId="8231" xr:uid="{00000000-0005-0000-0000-00004D310000}"/>
    <cellStyle name="Финансовый 3 9 3 2 4 2" xfId="16874" xr:uid="{00000000-0005-0000-0000-00004E310000}"/>
    <cellStyle name="Финансовый 3 9 3 2 5" xfId="10838" xr:uid="{00000000-0005-0000-0000-00004F310000}"/>
    <cellStyle name="Финансовый 3 9 3 3" xfId="1227" xr:uid="{00000000-0005-0000-0000-000050310000}"/>
    <cellStyle name="Финансовый 3 9 3 3 2" xfId="7267" xr:uid="{00000000-0005-0000-0000-000051310000}"/>
    <cellStyle name="Финансовый 3 9 3 3 2 2" xfId="15910" xr:uid="{00000000-0005-0000-0000-000052310000}"/>
    <cellStyle name="Финансовый 3 9 3 3 3" xfId="9874" xr:uid="{00000000-0005-0000-0000-000053310000}"/>
    <cellStyle name="Финансовый 3 9 3 4" xfId="834" xr:uid="{00000000-0005-0000-0000-000054310000}"/>
    <cellStyle name="Финансовый 3 9 3 4 2" xfId="6874" xr:uid="{00000000-0005-0000-0000-000055310000}"/>
    <cellStyle name="Финансовый 3 9 3 4 2 2" xfId="15517" xr:uid="{00000000-0005-0000-0000-000056310000}"/>
    <cellStyle name="Финансовый 3 9 3 4 3" xfId="9481" xr:uid="{00000000-0005-0000-0000-000057310000}"/>
    <cellStyle name="Финансовый 3 9 3 5" xfId="3011" xr:uid="{00000000-0005-0000-0000-000058310000}"/>
    <cellStyle name="Финансовый 3 9 3 5 2" xfId="11656" xr:uid="{00000000-0005-0000-0000-000059310000}"/>
    <cellStyle name="Финансовый 3 9 3 6" xfId="4655" xr:uid="{00000000-0005-0000-0000-00005A310000}"/>
    <cellStyle name="Финансовый 3 9 3 6 2" xfId="13300" xr:uid="{00000000-0005-0000-0000-00005B310000}"/>
    <cellStyle name="Финансовый 3 9 3 7" xfId="6454" xr:uid="{00000000-0005-0000-0000-00005C310000}"/>
    <cellStyle name="Финансовый 3 9 3 7 2" xfId="15097" xr:uid="{00000000-0005-0000-0000-00005D310000}"/>
    <cellStyle name="Финансовый 3 9 3 8" xfId="9061" xr:uid="{00000000-0005-0000-0000-00005E310000}"/>
    <cellStyle name="Финансовый 3 9 4" xfId="1423" xr:uid="{00000000-0005-0000-0000-00005F310000}"/>
    <cellStyle name="Финансовый 3 9 4 2" xfId="1937" xr:uid="{00000000-0005-0000-0000-000060310000}"/>
    <cellStyle name="Финансовый 3 9 4 2 2" xfId="3582" xr:uid="{00000000-0005-0000-0000-000061310000}"/>
    <cellStyle name="Финансовый 3 9 4 2 2 2" xfId="12227" xr:uid="{00000000-0005-0000-0000-000062310000}"/>
    <cellStyle name="Финансовый 3 9 4 2 3" xfId="5365" xr:uid="{00000000-0005-0000-0000-000063310000}"/>
    <cellStyle name="Финансовый 3 9 4 2 3 2" xfId="14008" xr:uid="{00000000-0005-0000-0000-000064310000}"/>
    <cellStyle name="Финансовый 3 9 4 2 4" xfId="7975" xr:uid="{00000000-0005-0000-0000-000065310000}"/>
    <cellStyle name="Финансовый 3 9 4 2 4 2" xfId="16618" xr:uid="{00000000-0005-0000-0000-000066310000}"/>
    <cellStyle name="Финансовый 3 9 4 2 5" xfId="10582" xr:uid="{00000000-0005-0000-0000-000067310000}"/>
    <cellStyle name="Финансовый 3 9 4 3" xfId="4851" xr:uid="{00000000-0005-0000-0000-000068310000}"/>
    <cellStyle name="Финансовый 3 9 4 3 2" xfId="13496" xr:uid="{00000000-0005-0000-0000-000069310000}"/>
    <cellStyle name="Финансовый 3 9 4 4" xfId="7463" xr:uid="{00000000-0005-0000-0000-00006A310000}"/>
    <cellStyle name="Финансовый 3 9 4 4 2" xfId="16106" xr:uid="{00000000-0005-0000-0000-00006B310000}"/>
    <cellStyle name="Финансовый 3 9 4 5" xfId="10070" xr:uid="{00000000-0005-0000-0000-00006C310000}"/>
    <cellStyle name="Финансовый 3 9 5" xfId="1813" xr:uid="{00000000-0005-0000-0000-00006D310000}"/>
    <cellStyle name="Финансовый 3 9 5 2" xfId="3458" xr:uid="{00000000-0005-0000-0000-00006E310000}"/>
    <cellStyle name="Финансовый 3 9 5 2 2" xfId="12103" xr:uid="{00000000-0005-0000-0000-00006F310000}"/>
    <cellStyle name="Финансовый 3 9 5 3" xfId="5241" xr:uid="{00000000-0005-0000-0000-000070310000}"/>
    <cellStyle name="Финансовый 3 9 5 3 2" xfId="13884" xr:uid="{00000000-0005-0000-0000-000071310000}"/>
    <cellStyle name="Финансовый 3 9 5 4" xfId="7851" xr:uid="{00000000-0005-0000-0000-000072310000}"/>
    <cellStyle name="Финансовый 3 9 5 4 2" xfId="16494" xr:uid="{00000000-0005-0000-0000-000073310000}"/>
    <cellStyle name="Финансовый 3 9 5 5" xfId="10458" xr:uid="{00000000-0005-0000-0000-000074310000}"/>
    <cellStyle name="Финансовый 3 9 6" xfId="2458" xr:uid="{00000000-0005-0000-0000-000075310000}"/>
    <cellStyle name="Финансовый 3 9 6 2" xfId="4103" xr:uid="{00000000-0005-0000-0000-000076310000}"/>
    <cellStyle name="Финансовый 3 9 6 2 2" xfId="12748" xr:uid="{00000000-0005-0000-0000-000077310000}"/>
    <cellStyle name="Финансовый 3 9 6 3" xfId="5886" xr:uid="{00000000-0005-0000-0000-000078310000}"/>
    <cellStyle name="Финансовый 3 9 6 3 2" xfId="14529" xr:uid="{00000000-0005-0000-0000-000079310000}"/>
    <cellStyle name="Финансовый 3 9 6 4" xfId="8496" xr:uid="{00000000-0005-0000-0000-00007A310000}"/>
    <cellStyle name="Финансовый 3 9 6 4 2" xfId="17139" xr:uid="{00000000-0005-0000-0000-00007B310000}"/>
    <cellStyle name="Финансовый 3 9 6 5" xfId="11103" xr:uid="{00000000-0005-0000-0000-00007C310000}"/>
    <cellStyle name="Финансовый 3 9 7" xfId="1685" xr:uid="{00000000-0005-0000-0000-00007D310000}"/>
    <cellStyle name="Финансовый 3 9 7 2" xfId="3330" xr:uid="{00000000-0005-0000-0000-00007E310000}"/>
    <cellStyle name="Финансовый 3 9 7 2 2" xfId="11975" xr:uid="{00000000-0005-0000-0000-00007F310000}"/>
    <cellStyle name="Финансовый 3 9 7 3" xfId="5113" xr:uid="{00000000-0005-0000-0000-000080310000}"/>
    <cellStyle name="Финансовый 3 9 7 3 2" xfId="13756" xr:uid="{00000000-0005-0000-0000-000081310000}"/>
    <cellStyle name="Финансовый 3 9 7 4" xfId="7723" xr:uid="{00000000-0005-0000-0000-000082310000}"/>
    <cellStyle name="Финансовый 3 9 7 4 2" xfId="16366" xr:uid="{00000000-0005-0000-0000-000083310000}"/>
    <cellStyle name="Финансовый 3 9 7 5" xfId="10330" xr:uid="{00000000-0005-0000-0000-000084310000}"/>
    <cellStyle name="Финансовый 3 9 8" xfId="962" xr:uid="{00000000-0005-0000-0000-000085310000}"/>
    <cellStyle name="Финансовый 3 9 8 2" xfId="7002" xr:uid="{00000000-0005-0000-0000-000086310000}"/>
    <cellStyle name="Финансовый 3 9 8 2 2" xfId="15645" xr:uid="{00000000-0005-0000-0000-000087310000}"/>
    <cellStyle name="Финансовый 3 9 8 3" xfId="9609" xr:uid="{00000000-0005-0000-0000-000088310000}"/>
    <cellStyle name="Финансовый 3 9 9" xfId="550" xr:uid="{00000000-0005-0000-0000-000089310000}"/>
    <cellStyle name="Финансовый 3 9 9 2" xfId="6590" xr:uid="{00000000-0005-0000-0000-00008A310000}"/>
    <cellStyle name="Финансовый 3 9 9 2 2" xfId="15233" xr:uid="{00000000-0005-0000-0000-00008B310000}"/>
    <cellStyle name="Финансовый 3 9 9 3" xfId="9197" xr:uid="{00000000-0005-0000-0000-00008C310000}"/>
    <cellStyle name="Финансовый 30" xfId="1620" xr:uid="{00000000-0005-0000-0000-00008D310000}"/>
    <cellStyle name="Финансовый 30 2" xfId="3265" xr:uid="{00000000-0005-0000-0000-00008E310000}"/>
    <cellStyle name="Финансовый 30 2 2" xfId="11910" xr:uid="{00000000-0005-0000-0000-00008F310000}"/>
    <cellStyle name="Финансовый 30 3" xfId="5048" xr:uid="{00000000-0005-0000-0000-000090310000}"/>
    <cellStyle name="Финансовый 30 3 2" xfId="13691" xr:uid="{00000000-0005-0000-0000-000091310000}"/>
    <cellStyle name="Финансовый 30 4" xfId="7658" xr:uid="{00000000-0005-0000-0000-000092310000}"/>
    <cellStyle name="Финансовый 30 4 2" xfId="16301" xr:uid="{00000000-0005-0000-0000-000093310000}"/>
    <cellStyle name="Финансовый 30 5" xfId="10265" xr:uid="{00000000-0005-0000-0000-000094310000}"/>
    <cellStyle name="Финансовый 31" xfId="844" xr:uid="{00000000-0005-0000-0000-000095310000}"/>
    <cellStyle name="Финансовый 31 2" xfId="6884" xr:uid="{00000000-0005-0000-0000-000096310000}"/>
    <cellStyle name="Финансовый 31 2 2" xfId="15527" xr:uid="{00000000-0005-0000-0000-000097310000}"/>
    <cellStyle name="Финансовый 31 3" xfId="9491" xr:uid="{00000000-0005-0000-0000-000098310000}"/>
    <cellStyle name="Финансовый 32" xfId="1171" xr:uid="{00000000-0005-0000-0000-000099310000}"/>
    <cellStyle name="Финансовый 32 2" xfId="7211" xr:uid="{00000000-0005-0000-0000-00009A310000}"/>
    <cellStyle name="Финансовый 32 2 2" xfId="15854" xr:uid="{00000000-0005-0000-0000-00009B310000}"/>
    <cellStyle name="Финансовый 32 3" xfId="9818" xr:uid="{00000000-0005-0000-0000-00009C310000}"/>
    <cellStyle name="Финансовый 33" xfId="2612" xr:uid="{00000000-0005-0000-0000-00009D310000}"/>
    <cellStyle name="Финансовый 33 2" xfId="8650" xr:uid="{00000000-0005-0000-0000-00009E310000}"/>
    <cellStyle name="Финансовый 33 2 2" xfId="17293" xr:uid="{00000000-0005-0000-0000-00009F310000}"/>
    <cellStyle name="Финансовый 33 3" xfId="11257" xr:uid="{00000000-0005-0000-0000-0000A0310000}"/>
    <cellStyle name="Финансовый 34" xfId="2611" xr:uid="{00000000-0005-0000-0000-0000A1310000}"/>
    <cellStyle name="Финансовый 34 2" xfId="8649" xr:uid="{00000000-0005-0000-0000-0000A2310000}"/>
    <cellStyle name="Финансовый 34 2 2" xfId="17292" xr:uid="{00000000-0005-0000-0000-0000A3310000}"/>
    <cellStyle name="Финансовый 34 3" xfId="11256" xr:uid="{00000000-0005-0000-0000-0000A4310000}"/>
    <cellStyle name="Финансовый 35" xfId="424" xr:uid="{00000000-0005-0000-0000-0000A5310000}"/>
    <cellStyle name="Финансовый 35 2" xfId="6464" xr:uid="{00000000-0005-0000-0000-0000A6310000}"/>
    <cellStyle name="Финансовый 35 2 2" xfId="15107" xr:uid="{00000000-0005-0000-0000-0000A7310000}"/>
    <cellStyle name="Финансовый 35 3" xfId="9071" xr:uid="{00000000-0005-0000-0000-0000A8310000}"/>
    <cellStyle name="Финансовый 36" xfId="2613" xr:uid="{00000000-0005-0000-0000-0000A9310000}"/>
    <cellStyle name="Финансовый 36 2" xfId="11258" xr:uid="{00000000-0005-0000-0000-0000AA310000}"/>
    <cellStyle name="Финансовый 37" xfId="3202" xr:uid="{00000000-0005-0000-0000-0000AB310000}"/>
    <cellStyle name="Финансовый 37 2" xfId="11847" xr:uid="{00000000-0005-0000-0000-0000AC310000}"/>
    <cellStyle name="Финансовый 38" xfId="4256" xr:uid="{00000000-0005-0000-0000-0000AD310000}"/>
    <cellStyle name="Финансовый 38 2" xfId="12901" xr:uid="{00000000-0005-0000-0000-0000AE310000}"/>
    <cellStyle name="Финансовый 39" xfId="4318" xr:uid="{00000000-0005-0000-0000-0000AF310000}"/>
    <cellStyle name="Финансовый 39 2" xfId="12963" xr:uid="{00000000-0005-0000-0000-0000B0310000}"/>
    <cellStyle name="Финансовый 4" xfId="5" xr:uid="{00000000-0005-0000-0000-0000B1310000}"/>
    <cellStyle name="Финансовый 4 10" xfId="29" xr:uid="{00000000-0005-0000-0000-0000B2310000}"/>
    <cellStyle name="Финансовый 4 10 10" xfId="2641" xr:uid="{00000000-0005-0000-0000-0000B3310000}"/>
    <cellStyle name="Финансовый 4 10 10 2" xfId="11286" xr:uid="{00000000-0005-0000-0000-0000B4310000}"/>
    <cellStyle name="Финансовый 4 10 11" xfId="4284" xr:uid="{00000000-0005-0000-0000-0000B5310000}"/>
    <cellStyle name="Финансовый 4 10 11 2" xfId="12929" xr:uid="{00000000-0005-0000-0000-0000B6310000}"/>
    <cellStyle name="Финансовый 4 10 12" xfId="6072" xr:uid="{00000000-0005-0000-0000-0000B7310000}"/>
    <cellStyle name="Финансовый 4 10 12 2" xfId="14715" xr:uid="{00000000-0005-0000-0000-0000B8310000}"/>
    <cellStyle name="Финансовый 4 10 13" xfId="8679" xr:uid="{00000000-0005-0000-0000-0000B9310000}"/>
    <cellStyle name="Финансовый 4 10 2" xfId="167" xr:uid="{00000000-0005-0000-0000-0000BA310000}"/>
    <cellStyle name="Финансовый 4 10 2 10" xfId="8815" xr:uid="{00000000-0005-0000-0000-0000BB310000}"/>
    <cellStyle name="Финансовый 4 10 2 2" xfId="1265" xr:uid="{00000000-0005-0000-0000-0000BC310000}"/>
    <cellStyle name="Финансовый 4 10 2 2 2" xfId="2231" xr:uid="{00000000-0005-0000-0000-0000BD310000}"/>
    <cellStyle name="Финансовый 4 10 2 2 2 2" xfId="3876" xr:uid="{00000000-0005-0000-0000-0000BE310000}"/>
    <cellStyle name="Финансовый 4 10 2 2 2 2 2" xfId="12521" xr:uid="{00000000-0005-0000-0000-0000BF310000}"/>
    <cellStyle name="Финансовый 4 10 2 2 2 3" xfId="5659" xr:uid="{00000000-0005-0000-0000-0000C0310000}"/>
    <cellStyle name="Финансовый 4 10 2 2 2 3 2" xfId="14302" xr:uid="{00000000-0005-0000-0000-0000C1310000}"/>
    <cellStyle name="Финансовый 4 10 2 2 2 4" xfId="8269" xr:uid="{00000000-0005-0000-0000-0000C2310000}"/>
    <cellStyle name="Финансовый 4 10 2 2 2 4 2" xfId="16912" xr:uid="{00000000-0005-0000-0000-0000C3310000}"/>
    <cellStyle name="Финансовый 4 10 2 2 2 5" xfId="10876" xr:uid="{00000000-0005-0000-0000-0000C4310000}"/>
    <cellStyle name="Финансовый 4 10 2 2 3" xfId="3049" xr:uid="{00000000-0005-0000-0000-0000C5310000}"/>
    <cellStyle name="Финансовый 4 10 2 2 3 2" xfId="11694" xr:uid="{00000000-0005-0000-0000-0000C6310000}"/>
    <cellStyle name="Финансовый 4 10 2 2 4" xfId="4693" xr:uid="{00000000-0005-0000-0000-0000C7310000}"/>
    <cellStyle name="Финансовый 4 10 2 2 4 2" xfId="13338" xr:uid="{00000000-0005-0000-0000-0000C8310000}"/>
    <cellStyle name="Финансовый 4 10 2 2 5" xfId="7305" xr:uid="{00000000-0005-0000-0000-0000C9310000}"/>
    <cellStyle name="Финансовый 4 10 2 2 5 2" xfId="15948" xr:uid="{00000000-0005-0000-0000-0000CA310000}"/>
    <cellStyle name="Финансовый 4 10 2 2 6" xfId="9912" xr:uid="{00000000-0005-0000-0000-0000CB310000}"/>
    <cellStyle name="Финансовый 4 10 2 3" xfId="1975" xr:uid="{00000000-0005-0000-0000-0000CC310000}"/>
    <cellStyle name="Финансовый 4 10 2 3 2" xfId="3620" xr:uid="{00000000-0005-0000-0000-0000CD310000}"/>
    <cellStyle name="Финансовый 4 10 2 3 2 2" xfId="12265" xr:uid="{00000000-0005-0000-0000-0000CE310000}"/>
    <cellStyle name="Финансовый 4 10 2 3 3" xfId="5403" xr:uid="{00000000-0005-0000-0000-0000CF310000}"/>
    <cellStyle name="Финансовый 4 10 2 3 3 2" xfId="14046" xr:uid="{00000000-0005-0000-0000-0000D0310000}"/>
    <cellStyle name="Финансовый 4 10 2 3 4" xfId="8013" xr:uid="{00000000-0005-0000-0000-0000D1310000}"/>
    <cellStyle name="Финансовый 4 10 2 3 4 2" xfId="16656" xr:uid="{00000000-0005-0000-0000-0000D2310000}"/>
    <cellStyle name="Финансовый 4 10 2 3 5" xfId="10620" xr:uid="{00000000-0005-0000-0000-0000D3310000}"/>
    <cellStyle name="Финансовый 4 10 2 4" xfId="2496" xr:uid="{00000000-0005-0000-0000-0000D4310000}"/>
    <cellStyle name="Финансовый 4 10 2 4 2" xfId="4141" xr:uid="{00000000-0005-0000-0000-0000D5310000}"/>
    <cellStyle name="Финансовый 4 10 2 4 2 2" xfId="12786" xr:uid="{00000000-0005-0000-0000-0000D6310000}"/>
    <cellStyle name="Финансовый 4 10 2 4 3" xfId="5924" xr:uid="{00000000-0005-0000-0000-0000D7310000}"/>
    <cellStyle name="Финансовый 4 10 2 4 3 2" xfId="14567" xr:uid="{00000000-0005-0000-0000-0000D8310000}"/>
    <cellStyle name="Финансовый 4 10 2 4 4" xfId="8534" xr:uid="{00000000-0005-0000-0000-0000D9310000}"/>
    <cellStyle name="Финансовый 4 10 2 4 4 2" xfId="17177" xr:uid="{00000000-0005-0000-0000-0000DA310000}"/>
    <cellStyle name="Финансовый 4 10 2 4 5" xfId="11141" xr:uid="{00000000-0005-0000-0000-0000DB310000}"/>
    <cellStyle name="Финансовый 4 10 2 5" xfId="1000" xr:uid="{00000000-0005-0000-0000-0000DC310000}"/>
    <cellStyle name="Финансовый 4 10 2 5 2" xfId="7040" xr:uid="{00000000-0005-0000-0000-0000DD310000}"/>
    <cellStyle name="Финансовый 4 10 2 5 2 2" xfId="15683" xr:uid="{00000000-0005-0000-0000-0000DE310000}"/>
    <cellStyle name="Финансовый 4 10 2 5 3" xfId="9647" xr:uid="{00000000-0005-0000-0000-0000DF310000}"/>
    <cellStyle name="Финансовый 4 10 2 6" xfId="588" xr:uid="{00000000-0005-0000-0000-0000E0310000}"/>
    <cellStyle name="Финансовый 4 10 2 6 2" xfId="6628" xr:uid="{00000000-0005-0000-0000-0000E1310000}"/>
    <cellStyle name="Финансовый 4 10 2 6 2 2" xfId="15271" xr:uid="{00000000-0005-0000-0000-0000E2310000}"/>
    <cellStyle name="Финансовый 4 10 2 6 3" xfId="9235" xr:uid="{00000000-0005-0000-0000-0000E3310000}"/>
    <cellStyle name="Финансовый 4 10 2 7" xfId="2777" xr:uid="{00000000-0005-0000-0000-0000E4310000}"/>
    <cellStyle name="Финансовый 4 10 2 7 2" xfId="11422" xr:uid="{00000000-0005-0000-0000-0000E5310000}"/>
    <cellStyle name="Финансовый 4 10 2 8" xfId="4421" xr:uid="{00000000-0005-0000-0000-0000E6310000}"/>
    <cellStyle name="Финансовый 4 10 2 8 2" xfId="13066" xr:uid="{00000000-0005-0000-0000-0000E7310000}"/>
    <cellStyle name="Финансовый 4 10 2 9" xfId="6208" xr:uid="{00000000-0005-0000-0000-0000E8310000}"/>
    <cellStyle name="Финансовый 4 10 2 9 2" xfId="14851" xr:uid="{00000000-0005-0000-0000-0000E9310000}"/>
    <cellStyle name="Финансовый 4 10 3" xfId="316" xr:uid="{00000000-0005-0000-0000-0000EA310000}"/>
    <cellStyle name="Финансовый 4 10 3 2" xfId="2103" xr:uid="{00000000-0005-0000-0000-0000EB310000}"/>
    <cellStyle name="Финансовый 4 10 3 2 2" xfId="3748" xr:uid="{00000000-0005-0000-0000-0000EC310000}"/>
    <cellStyle name="Финансовый 4 10 3 2 2 2" xfId="12393" xr:uid="{00000000-0005-0000-0000-0000ED310000}"/>
    <cellStyle name="Финансовый 4 10 3 2 3" xfId="5531" xr:uid="{00000000-0005-0000-0000-0000EE310000}"/>
    <cellStyle name="Финансовый 4 10 3 2 3 2" xfId="14174" xr:uid="{00000000-0005-0000-0000-0000EF310000}"/>
    <cellStyle name="Финансовый 4 10 3 2 4" xfId="8141" xr:uid="{00000000-0005-0000-0000-0000F0310000}"/>
    <cellStyle name="Финансовый 4 10 3 2 4 2" xfId="16784" xr:uid="{00000000-0005-0000-0000-0000F1310000}"/>
    <cellStyle name="Финансовый 4 10 3 2 5" xfId="10748" xr:uid="{00000000-0005-0000-0000-0000F2310000}"/>
    <cellStyle name="Финансовый 4 10 3 3" xfId="1136" xr:uid="{00000000-0005-0000-0000-0000F3310000}"/>
    <cellStyle name="Финансовый 4 10 3 3 2" xfId="7176" xr:uid="{00000000-0005-0000-0000-0000F4310000}"/>
    <cellStyle name="Финансовый 4 10 3 3 2 2" xfId="15819" xr:uid="{00000000-0005-0000-0000-0000F5310000}"/>
    <cellStyle name="Финансовый 4 10 3 3 3" xfId="9783" xr:uid="{00000000-0005-0000-0000-0000F6310000}"/>
    <cellStyle name="Финансовый 4 10 3 4" xfId="736" xr:uid="{00000000-0005-0000-0000-0000F7310000}"/>
    <cellStyle name="Финансовый 4 10 3 4 2" xfId="6776" xr:uid="{00000000-0005-0000-0000-0000F8310000}"/>
    <cellStyle name="Финансовый 4 10 3 4 2 2" xfId="15419" xr:uid="{00000000-0005-0000-0000-0000F9310000}"/>
    <cellStyle name="Финансовый 4 10 3 4 3" xfId="9383" xr:uid="{00000000-0005-0000-0000-0000FA310000}"/>
    <cellStyle name="Финансовый 4 10 3 5" xfId="2913" xr:uid="{00000000-0005-0000-0000-0000FB310000}"/>
    <cellStyle name="Финансовый 4 10 3 5 2" xfId="11558" xr:uid="{00000000-0005-0000-0000-0000FC310000}"/>
    <cellStyle name="Финансовый 4 10 3 6" xfId="4557" xr:uid="{00000000-0005-0000-0000-0000FD310000}"/>
    <cellStyle name="Финансовый 4 10 3 6 2" xfId="13202" xr:uid="{00000000-0005-0000-0000-0000FE310000}"/>
    <cellStyle name="Финансовый 4 10 3 7" xfId="6356" xr:uid="{00000000-0005-0000-0000-0000FF310000}"/>
    <cellStyle name="Финансовый 4 10 3 7 2" xfId="14999" xr:uid="{00000000-0005-0000-0000-000000320000}"/>
    <cellStyle name="Финансовый 4 10 3 8" xfId="8963" xr:uid="{00000000-0005-0000-0000-000001320000}"/>
    <cellStyle name="Финансовый 4 10 4" xfId="1532" xr:uid="{00000000-0005-0000-0000-000002320000}"/>
    <cellStyle name="Финансовый 4 10 4 2" xfId="1839" xr:uid="{00000000-0005-0000-0000-000003320000}"/>
    <cellStyle name="Финансовый 4 10 4 2 2" xfId="3484" xr:uid="{00000000-0005-0000-0000-000004320000}"/>
    <cellStyle name="Финансовый 4 10 4 2 2 2" xfId="12129" xr:uid="{00000000-0005-0000-0000-000005320000}"/>
    <cellStyle name="Финансовый 4 10 4 2 3" xfId="5267" xr:uid="{00000000-0005-0000-0000-000006320000}"/>
    <cellStyle name="Финансовый 4 10 4 2 3 2" xfId="13910" xr:uid="{00000000-0005-0000-0000-000007320000}"/>
    <cellStyle name="Финансовый 4 10 4 2 4" xfId="7877" xr:uid="{00000000-0005-0000-0000-000008320000}"/>
    <cellStyle name="Финансовый 4 10 4 2 4 2" xfId="16520" xr:uid="{00000000-0005-0000-0000-000009320000}"/>
    <cellStyle name="Финансовый 4 10 4 2 5" xfId="10484" xr:uid="{00000000-0005-0000-0000-00000A320000}"/>
    <cellStyle name="Финансовый 4 10 4 3" xfId="4960" xr:uid="{00000000-0005-0000-0000-00000B320000}"/>
    <cellStyle name="Финансовый 4 10 4 3 2" xfId="13603" xr:uid="{00000000-0005-0000-0000-00000C320000}"/>
    <cellStyle name="Финансовый 4 10 4 4" xfId="7570" xr:uid="{00000000-0005-0000-0000-00000D320000}"/>
    <cellStyle name="Финансовый 4 10 4 4 2" xfId="16213" xr:uid="{00000000-0005-0000-0000-00000E320000}"/>
    <cellStyle name="Финансовый 4 10 4 5" xfId="10177" xr:uid="{00000000-0005-0000-0000-00000F320000}"/>
    <cellStyle name="Финансовый 4 10 5" xfId="1723" xr:uid="{00000000-0005-0000-0000-000010320000}"/>
    <cellStyle name="Финансовый 4 10 5 2" xfId="3368" xr:uid="{00000000-0005-0000-0000-000011320000}"/>
    <cellStyle name="Финансовый 4 10 5 2 2" xfId="12013" xr:uid="{00000000-0005-0000-0000-000012320000}"/>
    <cellStyle name="Финансовый 4 10 5 3" xfId="5151" xr:uid="{00000000-0005-0000-0000-000013320000}"/>
    <cellStyle name="Финансовый 4 10 5 3 2" xfId="13794" xr:uid="{00000000-0005-0000-0000-000014320000}"/>
    <cellStyle name="Финансовый 4 10 5 4" xfId="7761" xr:uid="{00000000-0005-0000-0000-000015320000}"/>
    <cellStyle name="Финансовый 4 10 5 4 2" xfId="16404" xr:uid="{00000000-0005-0000-0000-000016320000}"/>
    <cellStyle name="Финансовый 4 10 5 5" xfId="10368" xr:uid="{00000000-0005-0000-0000-000017320000}"/>
    <cellStyle name="Финансовый 4 10 6" xfId="2359" xr:uid="{00000000-0005-0000-0000-000018320000}"/>
    <cellStyle name="Финансовый 4 10 6 2" xfId="4004" xr:uid="{00000000-0005-0000-0000-000019320000}"/>
    <cellStyle name="Финансовый 4 10 6 2 2" xfId="12649" xr:uid="{00000000-0005-0000-0000-00001A320000}"/>
    <cellStyle name="Финансовый 4 10 6 3" xfId="5787" xr:uid="{00000000-0005-0000-0000-00001B320000}"/>
    <cellStyle name="Финансовый 4 10 6 3 2" xfId="14430" xr:uid="{00000000-0005-0000-0000-00001C320000}"/>
    <cellStyle name="Финансовый 4 10 6 4" xfId="8397" xr:uid="{00000000-0005-0000-0000-00001D320000}"/>
    <cellStyle name="Финансовый 4 10 6 4 2" xfId="17040" xr:uid="{00000000-0005-0000-0000-00001E320000}"/>
    <cellStyle name="Финансовый 4 10 6 5" xfId="11004" xr:uid="{00000000-0005-0000-0000-00001F320000}"/>
    <cellStyle name="Финансовый 4 10 7" xfId="1586" xr:uid="{00000000-0005-0000-0000-000020320000}"/>
    <cellStyle name="Финансовый 4 10 7 2" xfId="3231" xr:uid="{00000000-0005-0000-0000-000021320000}"/>
    <cellStyle name="Финансовый 4 10 7 2 2" xfId="11876" xr:uid="{00000000-0005-0000-0000-000022320000}"/>
    <cellStyle name="Финансовый 4 10 7 3" xfId="5014" xr:uid="{00000000-0005-0000-0000-000023320000}"/>
    <cellStyle name="Финансовый 4 10 7 3 2" xfId="13657" xr:uid="{00000000-0005-0000-0000-000024320000}"/>
    <cellStyle name="Финансовый 4 10 7 4" xfId="7624" xr:uid="{00000000-0005-0000-0000-000025320000}"/>
    <cellStyle name="Финансовый 4 10 7 4 2" xfId="16267" xr:uid="{00000000-0005-0000-0000-000026320000}"/>
    <cellStyle name="Финансовый 4 10 7 5" xfId="10231" xr:uid="{00000000-0005-0000-0000-000027320000}"/>
    <cellStyle name="Финансовый 4 10 8" xfId="872" xr:uid="{00000000-0005-0000-0000-000028320000}"/>
    <cellStyle name="Финансовый 4 10 8 2" xfId="6912" xr:uid="{00000000-0005-0000-0000-000029320000}"/>
    <cellStyle name="Финансовый 4 10 8 2 2" xfId="15555" xr:uid="{00000000-0005-0000-0000-00002A320000}"/>
    <cellStyle name="Финансовый 4 10 8 3" xfId="9519" xr:uid="{00000000-0005-0000-0000-00002B320000}"/>
    <cellStyle name="Финансовый 4 10 9" xfId="452" xr:uid="{00000000-0005-0000-0000-00002C320000}"/>
    <cellStyle name="Финансовый 4 10 9 2" xfId="6492" xr:uid="{00000000-0005-0000-0000-00002D320000}"/>
    <cellStyle name="Финансовый 4 10 9 2 2" xfId="15135" xr:uid="{00000000-0005-0000-0000-00002E320000}"/>
    <cellStyle name="Финансовый 4 10 9 3" xfId="9099" xr:uid="{00000000-0005-0000-0000-00002F320000}"/>
    <cellStyle name="Финансовый 4 11" xfId="17" xr:uid="{00000000-0005-0000-0000-000030320000}"/>
    <cellStyle name="Финансовый 4 11 10" xfId="2629" xr:uid="{00000000-0005-0000-0000-000031320000}"/>
    <cellStyle name="Финансовый 4 11 10 2" xfId="11274" xr:uid="{00000000-0005-0000-0000-000032320000}"/>
    <cellStyle name="Финансовый 4 11 11" xfId="4272" xr:uid="{00000000-0005-0000-0000-000033320000}"/>
    <cellStyle name="Финансовый 4 11 11 2" xfId="12917" xr:uid="{00000000-0005-0000-0000-000034320000}"/>
    <cellStyle name="Финансовый 4 11 12" xfId="6060" xr:uid="{00000000-0005-0000-0000-000035320000}"/>
    <cellStyle name="Финансовый 4 11 12 2" xfId="14703" xr:uid="{00000000-0005-0000-0000-000036320000}"/>
    <cellStyle name="Финансовый 4 11 13" xfId="8667" xr:uid="{00000000-0005-0000-0000-000037320000}"/>
    <cellStyle name="Финансовый 4 11 2" xfId="155" xr:uid="{00000000-0005-0000-0000-000038320000}"/>
    <cellStyle name="Финансовый 4 11 2 10" xfId="8803" xr:uid="{00000000-0005-0000-0000-000039320000}"/>
    <cellStyle name="Финансовый 4 11 2 2" xfId="1253" xr:uid="{00000000-0005-0000-0000-00003A320000}"/>
    <cellStyle name="Финансовый 4 11 2 2 2" xfId="2219" xr:uid="{00000000-0005-0000-0000-00003B320000}"/>
    <cellStyle name="Финансовый 4 11 2 2 2 2" xfId="3864" xr:uid="{00000000-0005-0000-0000-00003C320000}"/>
    <cellStyle name="Финансовый 4 11 2 2 2 2 2" xfId="12509" xr:uid="{00000000-0005-0000-0000-00003D320000}"/>
    <cellStyle name="Финансовый 4 11 2 2 2 3" xfId="5647" xr:uid="{00000000-0005-0000-0000-00003E320000}"/>
    <cellStyle name="Финансовый 4 11 2 2 2 3 2" xfId="14290" xr:uid="{00000000-0005-0000-0000-00003F320000}"/>
    <cellStyle name="Финансовый 4 11 2 2 2 4" xfId="8257" xr:uid="{00000000-0005-0000-0000-000040320000}"/>
    <cellStyle name="Финансовый 4 11 2 2 2 4 2" xfId="16900" xr:uid="{00000000-0005-0000-0000-000041320000}"/>
    <cellStyle name="Финансовый 4 11 2 2 2 5" xfId="10864" xr:uid="{00000000-0005-0000-0000-000042320000}"/>
    <cellStyle name="Финансовый 4 11 2 2 3" xfId="3037" xr:uid="{00000000-0005-0000-0000-000043320000}"/>
    <cellStyle name="Финансовый 4 11 2 2 3 2" xfId="11682" xr:uid="{00000000-0005-0000-0000-000044320000}"/>
    <cellStyle name="Финансовый 4 11 2 2 4" xfId="4681" xr:uid="{00000000-0005-0000-0000-000045320000}"/>
    <cellStyle name="Финансовый 4 11 2 2 4 2" xfId="13326" xr:uid="{00000000-0005-0000-0000-000046320000}"/>
    <cellStyle name="Финансовый 4 11 2 2 5" xfId="7293" xr:uid="{00000000-0005-0000-0000-000047320000}"/>
    <cellStyle name="Финансовый 4 11 2 2 5 2" xfId="15936" xr:uid="{00000000-0005-0000-0000-000048320000}"/>
    <cellStyle name="Финансовый 4 11 2 2 6" xfId="9900" xr:uid="{00000000-0005-0000-0000-000049320000}"/>
    <cellStyle name="Финансовый 4 11 2 3" xfId="1963" xr:uid="{00000000-0005-0000-0000-00004A320000}"/>
    <cellStyle name="Финансовый 4 11 2 3 2" xfId="3608" xr:uid="{00000000-0005-0000-0000-00004B320000}"/>
    <cellStyle name="Финансовый 4 11 2 3 2 2" xfId="12253" xr:uid="{00000000-0005-0000-0000-00004C320000}"/>
    <cellStyle name="Финансовый 4 11 2 3 3" xfId="5391" xr:uid="{00000000-0005-0000-0000-00004D320000}"/>
    <cellStyle name="Финансовый 4 11 2 3 3 2" xfId="14034" xr:uid="{00000000-0005-0000-0000-00004E320000}"/>
    <cellStyle name="Финансовый 4 11 2 3 4" xfId="8001" xr:uid="{00000000-0005-0000-0000-00004F320000}"/>
    <cellStyle name="Финансовый 4 11 2 3 4 2" xfId="16644" xr:uid="{00000000-0005-0000-0000-000050320000}"/>
    <cellStyle name="Финансовый 4 11 2 3 5" xfId="10608" xr:uid="{00000000-0005-0000-0000-000051320000}"/>
    <cellStyle name="Финансовый 4 11 2 4" xfId="2484" xr:uid="{00000000-0005-0000-0000-000052320000}"/>
    <cellStyle name="Финансовый 4 11 2 4 2" xfId="4129" xr:uid="{00000000-0005-0000-0000-000053320000}"/>
    <cellStyle name="Финансовый 4 11 2 4 2 2" xfId="12774" xr:uid="{00000000-0005-0000-0000-000054320000}"/>
    <cellStyle name="Финансовый 4 11 2 4 3" xfId="5912" xr:uid="{00000000-0005-0000-0000-000055320000}"/>
    <cellStyle name="Финансовый 4 11 2 4 3 2" xfId="14555" xr:uid="{00000000-0005-0000-0000-000056320000}"/>
    <cellStyle name="Финансовый 4 11 2 4 4" xfId="8522" xr:uid="{00000000-0005-0000-0000-000057320000}"/>
    <cellStyle name="Финансовый 4 11 2 4 4 2" xfId="17165" xr:uid="{00000000-0005-0000-0000-000058320000}"/>
    <cellStyle name="Финансовый 4 11 2 4 5" xfId="11129" xr:uid="{00000000-0005-0000-0000-000059320000}"/>
    <cellStyle name="Финансовый 4 11 2 5" xfId="988" xr:uid="{00000000-0005-0000-0000-00005A320000}"/>
    <cellStyle name="Финансовый 4 11 2 5 2" xfId="7028" xr:uid="{00000000-0005-0000-0000-00005B320000}"/>
    <cellStyle name="Финансовый 4 11 2 5 2 2" xfId="15671" xr:uid="{00000000-0005-0000-0000-00005C320000}"/>
    <cellStyle name="Финансовый 4 11 2 5 3" xfId="9635" xr:uid="{00000000-0005-0000-0000-00005D320000}"/>
    <cellStyle name="Финансовый 4 11 2 6" xfId="576" xr:uid="{00000000-0005-0000-0000-00005E320000}"/>
    <cellStyle name="Финансовый 4 11 2 6 2" xfId="6616" xr:uid="{00000000-0005-0000-0000-00005F320000}"/>
    <cellStyle name="Финансовый 4 11 2 6 2 2" xfId="15259" xr:uid="{00000000-0005-0000-0000-000060320000}"/>
    <cellStyle name="Финансовый 4 11 2 6 3" xfId="9223" xr:uid="{00000000-0005-0000-0000-000061320000}"/>
    <cellStyle name="Финансовый 4 11 2 7" xfId="2765" xr:uid="{00000000-0005-0000-0000-000062320000}"/>
    <cellStyle name="Финансовый 4 11 2 7 2" xfId="11410" xr:uid="{00000000-0005-0000-0000-000063320000}"/>
    <cellStyle name="Финансовый 4 11 2 8" xfId="4409" xr:uid="{00000000-0005-0000-0000-000064320000}"/>
    <cellStyle name="Финансовый 4 11 2 8 2" xfId="13054" xr:uid="{00000000-0005-0000-0000-000065320000}"/>
    <cellStyle name="Финансовый 4 11 2 9" xfId="6196" xr:uid="{00000000-0005-0000-0000-000066320000}"/>
    <cellStyle name="Финансовый 4 11 2 9 2" xfId="14839" xr:uid="{00000000-0005-0000-0000-000067320000}"/>
    <cellStyle name="Финансовый 4 11 3" xfId="304" xr:uid="{00000000-0005-0000-0000-000068320000}"/>
    <cellStyle name="Финансовый 4 11 3 2" xfId="2091" xr:uid="{00000000-0005-0000-0000-000069320000}"/>
    <cellStyle name="Финансовый 4 11 3 2 2" xfId="3736" xr:uid="{00000000-0005-0000-0000-00006A320000}"/>
    <cellStyle name="Финансовый 4 11 3 2 2 2" xfId="12381" xr:uid="{00000000-0005-0000-0000-00006B320000}"/>
    <cellStyle name="Финансовый 4 11 3 2 3" xfId="5519" xr:uid="{00000000-0005-0000-0000-00006C320000}"/>
    <cellStyle name="Финансовый 4 11 3 2 3 2" xfId="14162" xr:uid="{00000000-0005-0000-0000-00006D320000}"/>
    <cellStyle name="Финансовый 4 11 3 2 4" xfId="8129" xr:uid="{00000000-0005-0000-0000-00006E320000}"/>
    <cellStyle name="Финансовый 4 11 3 2 4 2" xfId="16772" xr:uid="{00000000-0005-0000-0000-00006F320000}"/>
    <cellStyle name="Финансовый 4 11 3 2 5" xfId="10736" xr:uid="{00000000-0005-0000-0000-000070320000}"/>
    <cellStyle name="Финансовый 4 11 3 3" xfId="1124" xr:uid="{00000000-0005-0000-0000-000071320000}"/>
    <cellStyle name="Финансовый 4 11 3 3 2" xfId="7164" xr:uid="{00000000-0005-0000-0000-000072320000}"/>
    <cellStyle name="Финансовый 4 11 3 3 2 2" xfId="15807" xr:uid="{00000000-0005-0000-0000-000073320000}"/>
    <cellStyle name="Финансовый 4 11 3 3 3" xfId="9771" xr:uid="{00000000-0005-0000-0000-000074320000}"/>
    <cellStyle name="Финансовый 4 11 3 4" xfId="724" xr:uid="{00000000-0005-0000-0000-000075320000}"/>
    <cellStyle name="Финансовый 4 11 3 4 2" xfId="6764" xr:uid="{00000000-0005-0000-0000-000076320000}"/>
    <cellStyle name="Финансовый 4 11 3 4 2 2" xfId="15407" xr:uid="{00000000-0005-0000-0000-000077320000}"/>
    <cellStyle name="Финансовый 4 11 3 4 3" xfId="9371" xr:uid="{00000000-0005-0000-0000-000078320000}"/>
    <cellStyle name="Финансовый 4 11 3 5" xfId="2901" xr:uid="{00000000-0005-0000-0000-000079320000}"/>
    <cellStyle name="Финансовый 4 11 3 5 2" xfId="11546" xr:uid="{00000000-0005-0000-0000-00007A320000}"/>
    <cellStyle name="Финансовый 4 11 3 6" xfId="4545" xr:uid="{00000000-0005-0000-0000-00007B320000}"/>
    <cellStyle name="Финансовый 4 11 3 6 2" xfId="13190" xr:uid="{00000000-0005-0000-0000-00007C320000}"/>
    <cellStyle name="Финансовый 4 11 3 7" xfId="6344" xr:uid="{00000000-0005-0000-0000-00007D320000}"/>
    <cellStyle name="Финансовый 4 11 3 7 2" xfId="14987" xr:uid="{00000000-0005-0000-0000-00007E320000}"/>
    <cellStyle name="Финансовый 4 11 3 8" xfId="8951" xr:uid="{00000000-0005-0000-0000-00007F320000}"/>
    <cellStyle name="Финансовый 4 11 4" xfId="1533" xr:uid="{00000000-0005-0000-0000-000080320000}"/>
    <cellStyle name="Финансовый 4 11 4 2" xfId="1827" xr:uid="{00000000-0005-0000-0000-000081320000}"/>
    <cellStyle name="Финансовый 4 11 4 2 2" xfId="3472" xr:uid="{00000000-0005-0000-0000-000082320000}"/>
    <cellStyle name="Финансовый 4 11 4 2 2 2" xfId="12117" xr:uid="{00000000-0005-0000-0000-000083320000}"/>
    <cellStyle name="Финансовый 4 11 4 2 3" xfId="5255" xr:uid="{00000000-0005-0000-0000-000084320000}"/>
    <cellStyle name="Финансовый 4 11 4 2 3 2" xfId="13898" xr:uid="{00000000-0005-0000-0000-000085320000}"/>
    <cellStyle name="Финансовый 4 11 4 2 4" xfId="7865" xr:uid="{00000000-0005-0000-0000-000086320000}"/>
    <cellStyle name="Финансовый 4 11 4 2 4 2" xfId="16508" xr:uid="{00000000-0005-0000-0000-000087320000}"/>
    <cellStyle name="Финансовый 4 11 4 2 5" xfId="10472" xr:uid="{00000000-0005-0000-0000-000088320000}"/>
    <cellStyle name="Финансовый 4 11 4 3" xfId="4961" xr:uid="{00000000-0005-0000-0000-000089320000}"/>
    <cellStyle name="Финансовый 4 11 4 3 2" xfId="13604" xr:uid="{00000000-0005-0000-0000-00008A320000}"/>
    <cellStyle name="Финансовый 4 11 4 4" xfId="7571" xr:uid="{00000000-0005-0000-0000-00008B320000}"/>
    <cellStyle name="Финансовый 4 11 4 4 2" xfId="16214" xr:uid="{00000000-0005-0000-0000-00008C320000}"/>
    <cellStyle name="Финансовый 4 11 4 5" xfId="10178" xr:uid="{00000000-0005-0000-0000-00008D320000}"/>
    <cellStyle name="Финансовый 4 11 5" xfId="1711" xr:uid="{00000000-0005-0000-0000-00008E320000}"/>
    <cellStyle name="Финансовый 4 11 5 2" xfId="3356" xr:uid="{00000000-0005-0000-0000-00008F320000}"/>
    <cellStyle name="Финансовый 4 11 5 2 2" xfId="12001" xr:uid="{00000000-0005-0000-0000-000090320000}"/>
    <cellStyle name="Финансовый 4 11 5 3" xfId="5139" xr:uid="{00000000-0005-0000-0000-000091320000}"/>
    <cellStyle name="Финансовый 4 11 5 3 2" xfId="13782" xr:uid="{00000000-0005-0000-0000-000092320000}"/>
    <cellStyle name="Финансовый 4 11 5 4" xfId="7749" xr:uid="{00000000-0005-0000-0000-000093320000}"/>
    <cellStyle name="Финансовый 4 11 5 4 2" xfId="16392" xr:uid="{00000000-0005-0000-0000-000094320000}"/>
    <cellStyle name="Финансовый 4 11 5 5" xfId="10356" xr:uid="{00000000-0005-0000-0000-000095320000}"/>
    <cellStyle name="Финансовый 4 11 6" xfId="2347" xr:uid="{00000000-0005-0000-0000-000096320000}"/>
    <cellStyle name="Финансовый 4 11 6 2" xfId="3992" xr:uid="{00000000-0005-0000-0000-000097320000}"/>
    <cellStyle name="Финансовый 4 11 6 2 2" xfId="12637" xr:uid="{00000000-0005-0000-0000-000098320000}"/>
    <cellStyle name="Финансовый 4 11 6 3" xfId="5775" xr:uid="{00000000-0005-0000-0000-000099320000}"/>
    <cellStyle name="Финансовый 4 11 6 3 2" xfId="14418" xr:uid="{00000000-0005-0000-0000-00009A320000}"/>
    <cellStyle name="Финансовый 4 11 6 4" xfId="8385" xr:uid="{00000000-0005-0000-0000-00009B320000}"/>
    <cellStyle name="Финансовый 4 11 6 4 2" xfId="17028" xr:uid="{00000000-0005-0000-0000-00009C320000}"/>
    <cellStyle name="Финансовый 4 11 6 5" xfId="10992" xr:uid="{00000000-0005-0000-0000-00009D320000}"/>
    <cellStyle name="Финансовый 4 11 7" xfId="1574" xr:uid="{00000000-0005-0000-0000-00009E320000}"/>
    <cellStyle name="Финансовый 4 11 7 2" xfId="3219" xr:uid="{00000000-0005-0000-0000-00009F320000}"/>
    <cellStyle name="Финансовый 4 11 7 2 2" xfId="11864" xr:uid="{00000000-0005-0000-0000-0000A0320000}"/>
    <cellStyle name="Финансовый 4 11 7 3" xfId="5002" xr:uid="{00000000-0005-0000-0000-0000A1320000}"/>
    <cellStyle name="Финансовый 4 11 7 3 2" xfId="13645" xr:uid="{00000000-0005-0000-0000-0000A2320000}"/>
    <cellStyle name="Финансовый 4 11 7 4" xfId="7612" xr:uid="{00000000-0005-0000-0000-0000A3320000}"/>
    <cellStyle name="Финансовый 4 11 7 4 2" xfId="16255" xr:uid="{00000000-0005-0000-0000-0000A4320000}"/>
    <cellStyle name="Финансовый 4 11 7 5" xfId="10219" xr:uid="{00000000-0005-0000-0000-0000A5320000}"/>
    <cellStyle name="Финансовый 4 11 8" xfId="860" xr:uid="{00000000-0005-0000-0000-0000A6320000}"/>
    <cellStyle name="Финансовый 4 11 8 2" xfId="6900" xr:uid="{00000000-0005-0000-0000-0000A7320000}"/>
    <cellStyle name="Финансовый 4 11 8 2 2" xfId="15543" xr:uid="{00000000-0005-0000-0000-0000A8320000}"/>
    <cellStyle name="Финансовый 4 11 8 3" xfId="9507" xr:uid="{00000000-0005-0000-0000-0000A9320000}"/>
    <cellStyle name="Финансовый 4 11 9" xfId="440" xr:uid="{00000000-0005-0000-0000-0000AA320000}"/>
    <cellStyle name="Финансовый 4 11 9 2" xfId="6480" xr:uid="{00000000-0005-0000-0000-0000AB320000}"/>
    <cellStyle name="Финансовый 4 11 9 2 2" xfId="15123" xr:uid="{00000000-0005-0000-0000-0000AC320000}"/>
    <cellStyle name="Финансовый 4 11 9 3" xfId="9087" xr:uid="{00000000-0005-0000-0000-0000AD320000}"/>
    <cellStyle name="Финансовый 4 12" xfId="143" xr:uid="{00000000-0005-0000-0000-0000AE320000}"/>
    <cellStyle name="Финансовый 4 12 10" xfId="8791" xr:uid="{00000000-0005-0000-0000-0000AF320000}"/>
    <cellStyle name="Финансовый 4 12 2" xfId="1241" xr:uid="{00000000-0005-0000-0000-0000B0320000}"/>
    <cellStyle name="Финансовый 4 12 2 2" xfId="2207" xr:uid="{00000000-0005-0000-0000-0000B1320000}"/>
    <cellStyle name="Финансовый 4 12 2 2 2" xfId="3852" xr:uid="{00000000-0005-0000-0000-0000B2320000}"/>
    <cellStyle name="Финансовый 4 12 2 2 2 2" xfId="12497" xr:uid="{00000000-0005-0000-0000-0000B3320000}"/>
    <cellStyle name="Финансовый 4 12 2 2 3" xfId="5635" xr:uid="{00000000-0005-0000-0000-0000B4320000}"/>
    <cellStyle name="Финансовый 4 12 2 2 3 2" xfId="14278" xr:uid="{00000000-0005-0000-0000-0000B5320000}"/>
    <cellStyle name="Финансовый 4 12 2 2 4" xfId="8245" xr:uid="{00000000-0005-0000-0000-0000B6320000}"/>
    <cellStyle name="Финансовый 4 12 2 2 4 2" xfId="16888" xr:uid="{00000000-0005-0000-0000-0000B7320000}"/>
    <cellStyle name="Финансовый 4 12 2 2 5" xfId="10852" xr:uid="{00000000-0005-0000-0000-0000B8320000}"/>
    <cellStyle name="Финансовый 4 12 2 3" xfId="3025" xr:uid="{00000000-0005-0000-0000-0000B9320000}"/>
    <cellStyle name="Финансовый 4 12 2 3 2" xfId="11670" xr:uid="{00000000-0005-0000-0000-0000BA320000}"/>
    <cellStyle name="Финансовый 4 12 2 4" xfId="4669" xr:uid="{00000000-0005-0000-0000-0000BB320000}"/>
    <cellStyle name="Финансовый 4 12 2 4 2" xfId="13314" xr:uid="{00000000-0005-0000-0000-0000BC320000}"/>
    <cellStyle name="Финансовый 4 12 2 5" xfId="7281" xr:uid="{00000000-0005-0000-0000-0000BD320000}"/>
    <cellStyle name="Финансовый 4 12 2 5 2" xfId="15924" xr:uid="{00000000-0005-0000-0000-0000BE320000}"/>
    <cellStyle name="Финансовый 4 12 2 6" xfId="9888" xr:uid="{00000000-0005-0000-0000-0000BF320000}"/>
    <cellStyle name="Финансовый 4 12 3" xfId="1951" xr:uid="{00000000-0005-0000-0000-0000C0320000}"/>
    <cellStyle name="Финансовый 4 12 3 2" xfId="3596" xr:uid="{00000000-0005-0000-0000-0000C1320000}"/>
    <cellStyle name="Финансовый 4 12 3 2 2" xfId="12241" xr:uid="{00000000-0005-0000-0000-0000C2320000}"/>
    <cellStyle name="Финансовый 4 12 3 3" xfId="5379" xr:uid="{00000000-0005-0000-0000-0000C3320000}"/>
    <cellStyle name="Финансовый 4 12 3 3 2" xfId="14022" xr:uid="{00000000-0005-0000-0000-0000C4320000}"/>
    <cellStyle name="Финансовый 4 12 3 4" xfId="7989" xr:uid="{00000000-0005-0000-0000-0000C5320000}"/>
    <cellStyle name="Финансовый 4 12 3 4 2" xfId="16632" xr:uid="{00000000-0005-0000-0000-0000C6320000}"/>
    <cellStyle name="Финансовый 4 12 3 5" xfId="10596" xr:uid="{00000000-0005-0000-0000-0000C7320000}"/>
    <cellStyle name="Финансовый 4 12 4" xfId="2472" xr:uid="{00000000-0005-0000-0000-0000C8320000}"/>
    <cellStyle name="Финансовый 4 12 4 2" xfId="4117" xr:uid="{00000000-0005-0000-0000-0000C9320000}"/>
    <cellStyle name="Финансовый 4 12 4 2 2" xfId="12762" xr:uid="{00000000-0005-0000-0000-0000CA320000}"/>
    <cellStyle name="Финансовый 4 12 4 3" xfId="5900" xr:uid="{00000000-0005-0000-0000-0000CB320000}"/>
    <cellStyle name="Финансовый 4 12 4 3 2" xfId="14543" xr:uid="{00000000-0005-0000-0000-0000CC320000}"/>
    <cellStyle name="Финансовый 4 12 4 4" xfId="8510" xr:uid="{00000000-0005-0000-0000-0000CD320000}"/>
    <cellStyle name="Финансовый 4 12 4 4 2" xfId="17153" xr:uid="{00000000-0005-0000-0000-0000CE320000}"/>
    <cellStyle name="Финансовый 4 12 4 5" xfId="11117" xr:uid="{00000000-0005-0000-0000-0000CF320000}"/>
    <cellStyle name="Финансовый 4 12 5" xfId="976" xr:uid="{00000000-0005-0000-0000-0000D0320000}"/>
    <cellStyle name="Финансовый 4 12 5 2" xfId="7016" xr:uid="{00000000-0005-0000-0000-0000D1320000}"/>
    <cellStyle name="Финансовый 4 12 5 2 2" xfId="15659" xr:uid="{00000000-0005-0000-0000-0000D2320000}"/>
    <cellStyle name="Финансовый 4 12 5 3" xfId="9623" xr:uid="{00000000-0005-0000-0000-0000D3320000}"/>
    <cellStyle name="Финансовый 4 12 6" xfId="564" xr:uid="{00000000-0005-0000-0000-0000D4320000}"/>
    <cellStyle name="Финансовый 4 12 6 2" xfId="6604" xr:uid="{00000000-0005-0000-0000-0000D5320000}"/>
    <cellStyle name="Финансовый 4 12 6 2 2" xfId="15247" xr:uid="{00000000-0005-0000-0000-0000D6320000}"/>
    <cellStyle name="Финансовый 4 12 6 3" xfId="9211" xr:uid="{00000000-0005-0000-0000-0000D7320000}"/>
    <cellStyle name="Финансовый 4 12 7" xfId="2753" xr:uid="{00000000-0005-0000-0000-0000D8320000}"/>
    <cellStyle name="Финансовый 4 12 7 2" xfId="11398" xr:uid="{00000000-0005-0000-0000-0000D9320000}"/>
    <cellStyle name="Финансовый 4 12 8" xfId="4397" xr:uid="{00000000-0005-0000-0000-0000DA320000}"/>
    <cellStyle name="Финансовый 4 12 8 2" xfId="13042" xr:uid="{00000000-0005-0000-0000-0000DB320000}"/>
    <cellStyle name="Финансовый 4 12 9" xfId="6184" xr:uid="{00000000-0005-0000-0000-0000DC320000}"/>
    <cellStyle name="Финансовый 4 12 9 2" xfId="14827" xr:uid="{00000000-0005-0000-0000-0000DD320000}"/>
    <cellStyle name="Финансовый 4 13" xfId="279" xr:uid="{00000000-0005-0000-0000-0000DE320000}"/>
    <cellStyle name="Финансовый 4 13 2" xfId="2079" xr:uid="{00000000-0005-0000-0000-0000DF320000}"/>
    <cellStyle name="Финансовый 4 13 2 2" xfId="3724" xr:uid="{00000000-0005-0000-0000-0000E0320000}"/>
    <cellStyle name="Финансовый 4 13 2 2 2" xfId="12369" xr:uid="{00000000-0005-0000-0000-0000E1320000}"/>
    <cellStyle name="Финансовый 4 13 2 3" xfId="5507" xr:uid="{00000000-0005-0000-0000-0000E2320000}"/>
    <cellStyle name="Финансовый 4 13 2 3 2" xfId="14150" xr:uid="{00000000-0005-0000-0000-0000E3320000}"/>
    <cellStyle name="Финансовый 4 13 2 4" xfId="8117" xr:uid="{00000000-0005-0000-0000-0000E4320000}"/>
    <cellStyle name="Финансовый 4 13 2 4 2" xfId="16760" xr:uid="{00000000-0005-0000-0000-0000E5320000}"/>
    <cellStyle name="Финансовый 4 13 2 5" xfId="10724" xr:uid="{00000000-0005-0000-0000-0000E6320000}"/>
    <cellStyle name="Финансовый 4 13 3" xfId="1377" xr:uid="{00000000-0005-0000-0000-0000E7320000}"/>
    <cellStyle name="Финансовый 4 13 3 2" xfId="7417" xr:uid="{00000000-0005-0000-0000-0000E8320000}"/>
    <cellStyle name="Финансовый 4 13 3 2 2" xfId="16060" xr:uid="{00000000-0005-0000-0000-0000E9320000}"/>
    <cellStyle name="Финансовый 4 13 3 3" xfId="10024" xr:uid="{00000000-0005-0000-0000-0000EA320000}"/>
    <cellStyle name="Финансовый 4 13 4" xfId="700" xr:uid="{00000000-0005-0000-0000-0000EB320000}"/>
    <cellStyle name="Финансовый 4 13 4 2" xfId="6740" xr:uid="{00000000-0005-0000-0000-0000EC320000}"/>
    <cellStyle name="Финансовый 4 13 4 2 2" xfId="15383" xr:uid="{00000000-0005-0000-0000-0000ED320000}"/>
    <cellStyle name="Финансовый 4 13 4 3" xfId="9347" xr:uid="{00000000-0005-0000-0000-0000EE320000}"/>
    <cellStyle name="Финансовый 4 13 5" xfId="3161" xr:uid="{00000000-0005-0000-0000-0000EF320000}"/>
    <cellStyle name="Финансовый 4 13 5 2" xfId="11806" xr:uid="{00000000-0005-0000-0000-0000F0320000}"/>
    <cellStyle name="Финансовый 4 13 6" xfId="4805" xr:uid="{00000000-0005-0000-0000-0000F1320000}"/>
    <cellStyle name="Финансовый 4 13 6 2" xfId="13450" xr:uid="{00000000-0005-0000-0000-0000F2320000}"/>
    <cellStyle name="Финансовый 4 13 7" xfId="6320" xr:uid="{00000000-0005-0000-0000-0000F3320000}"/>
    <cellStyle name="Финансовый 4 13 7 2" xfId="14963" xr:uid="{00000000-0005-0000-0000-0000F4320000}"/>
    <cellStyle name="Финансовый 4 13 8" xfId="8927" xr:uid="{00000000-0005-0000-0000-0000F5320000}"/>
    <cellStyle name="Финансовый 4 14" xfId="292" xr:uid="{00000000-0005-0000-0000-0000F6320000}"/>
    <cellStyle name="Финансовый 4 14 2" xfId="1112" xr:uid="{00000000-0005-0000-0000-0000F7320000}"/>
    <cellStyle name="Финансовый 4 14 2 2" xfId="7152" xr:uid="{00000000-0005-0000-0000-0000F8320000}"/>
    <cellStyle name="Финансовый 4 14 2 2 2" xfId="15795" xr:uid="{00000000-0005-0000-0000-0000F9320000}"/>
    <cellStyle name="Финансовый 4 14 2 3" xfId="9759" xr:uid="{00000000-0005-0000-0000-0000FA320000}"/>
    <cellStyle name="Финансовый 4 14 3" xfId="712" xr:uid="{00000000-0005-0000-0000-0000FB320000}"/>
    <cellStyle name="Финансовый 4 14 3 2" xfId="6752" xr:uid="{00000000-0005-0000-0000-0000FC320000}"/>
    <cellStyle name="Финансовый 4 14 3 2 2" xfId="15395" xr:uid="{00000000-0005-0000-0000-0000FD320000}"/>
    <cellStyle name="Финансовый 4 14 3 3" xfId="9359" xr:uid="{00000000-0005-0000-0000-0000FE320000}"/>
    <cellStyle name="Финансовый 4 14 4" xfId="2889" xr:uid="{00000000-0005-0000-0000-0000FF320000}"/>
    <cellStyle name="Финансовый 4 14 4 2" xfId="11534" xr:uid="{00000000-0005-0000-0000-000000330000}"/>
    <cellStyle name="Финансовый 4 14 5" xfId="4533" xr:uid="{00000000-0005-0000-0000-000001330000}"/>
    <cellStyle name="Финансовый 4 14 5 2" xfId="13178" xr:uid="{00000000-0005-0000-0000-000002330000}"/>
    <cellStyle name="Финансовый 4 14 6" xfId="6332" xr:uid="{00000000-0005-0000-0000-000003330000}"/>
    <cellStyle name="Финансовый 4 14 6 2" xfId="14975" xr:uid="{00000000-0005-0000-0000-000004330000}"/>
    <cellStyle name="Финансовый 4 14 7" xfId="8939" xr:uid="{00000000-0005-0000-0000-000005330000}"/>
    <cellStyle name="Финансовый 4 15" xfId="1531" xr:uid="{00000000-0005-0000-0000-000006330000}"/>
    <cellStyle name="Финансовый 4 15 2" xfId="1699" xr:uid="{00000000-0005-0000-0000-000007330000}"/>
    <cellStyle name="Финансовый 4 15 2 2" xfId="3344" xr:uid="{00000000-0005-0000-0000-000008330000}"/>
    <cellStyle name="Финансовый 4 15 2 2 2" xfId="11989" xr:uid="{00000000-0005-0000-0000-000009330000}"/>
    <cellStyle name="Финансовый 4 15 2 3" xfId="5127" xr:uid="{00000000-0005-0000-0000-00000A330000}"/>
    <cellStyle name="Финансовый 4 15 2 3 2" xfId="13770" xr:uid="{00000000-0005-0000-0000-00000B330000}"/>
    <cellStyle name="Финансовый 4 15 2 4" xfId="7737" xr:uid="{00000000-0005-0000-0000-00000C330000}"/>
    <cellStyle name="Финансовый 4 15 2 4 2" xfId="16380" xr:uid="{00000000-0005-0000-0000-00000D330000}"/>
    <cellStyle name="Финансовый 4 15 2 5" xfId="10344" xr:uid="{00000000-0005-0000-0000-00000E330000}"/>
    <cellStyle name="Финансовый 4 15 3" xfId="4959" xr:uid="{00000000-0005-0000-0000-00000F330000}"/>
    <cellStyle name="Финансовый 4 15 3 2" xfId="13602" xr:uid="{00000000-0005-0000-0000-000010330000}"/>
    <cellStyle name="Финансовый 4 15 4" xfId="7569" xr:uid="{00000000-0005-0000-0000-000011330000}"/>
    <cellStyle name="Финансовый 4 15 4 2" xfId="16212" xr:uid="{00000000-0005-0000-0000-000012330000}"/>
    <cellStyle name="Финансовый 4 15 5" xfId="10176" xr:uid="{00000000-0005-0000-0000-000013330000}"/>
    <cellStyle name="Финансовый 4 16" xfId="2335" xr:uid="{00000000-0005-0000-0000-000014330000}"/>
    <cellStyle name="Финансовый 4 16 2" xfId="3980" xr:uid="{00000000-0005-0000-0000-000015330000}"/>
    <cellStyle name="Финансовый 4 16 2 2" xfId="12625" xr:uid="{00000000-0005-0000-0000-000016330000}"/>
    <cellStyle name="Финансовый 4 16 3" xfId="5763" xr:uid="{00000000-0005-0000-0000-000017330000}"/>
    <cellStyle name="Финансовый 4 16 3 2" xfId="14406" xr:uid="{00000000-0005-0000-0000-000018330000}"/>
    <cellStyle name="Финансовый 4 16 4" xfId="8373" xr:uid="{00000000-0005-0000-0000-000019330000}"/>
    <cellStyle name="Финансовый 4 16 4 2" xfId="17016" xr:uid="{00000000-0005-0000-0000-00001A330000}"/>
    <cellStyle name="Финансовый 4 16 5" xfId="10980" xr:uid="{00000000-0005-0000-0000-00001B330000}"/>
    <cellStyle name="Финансовый 4 17" xfId="1562" xr:uid="{00000000-0005-0000-0000-00001C330000}"/>
    <cellStyle name="Финансовый 4 17 2" xfId="3207" xr:uid="{00000000-0005-0000-0000-00001D330000}"/>
    <cellStyle name="Финансовый 4 17 2 2" xfId="11852" xr:uid="{00000000-0005-0000-0000-00001E330000}"/>
    <cellStyle name="Финансовый 4 17 3" xfId="4990" xr:uid="{00000000-0005-0000-0000-00001F330000}"/>
    <cellStyle name="Финансовый 4 17 3 2" xfId="13633" xr:uid="{00000000-0005-0000-0000-000020330000}"/>
    <cellStyle name="Финансовый 4 17 4" xfId="7600" xr:uid="{00000000-0005-0000-0000-000021330000}"/>
    <cellStyle name="Финансовый 4 17 4 2" xfId="16243" xr:uid="{00000000-0005-0000-0000-000022330000}"/>
    <cellStyle name="Финансовый 4 17 5" xfId="10207" xr:uid="{00000000-0005-0000-0000-000023330000}"/>
    <cellStyle name="Финансовый 4 18" xfId="848" xr:uid="{00000000-0005-0000-0000-000024330000}"/>
    <cellStyle name="Финансовый 4 18 2" xfId="6888" xr:uid="{00000000-0005-0000-0000-000025330000}"/>
    <cellStyle name="Финансовый 4 18 2 2" xfId="15531" xr:uid="{00000000-0005-0000-0000-000026330000}"/>
    <cellStyle name="Финансовый 4 18 3" xfId="9495" xr:uid="{00000000-0005-0000-0000-000027330000}"/>
    <cellStyle name="Финансовый 4 19" xfId="428" xr:uid="{00000000-0005-0000-0000-000028330000}"/>
    <cellStyle name="Финансовый 4 19 2" xfId="6468" xr:uid="{00000000-0005-0000-0000-000029330000}"/>
    <cellStyle name="Финансовый 4 19 2 2" xfId="15111" xr:uid="{00000000-0005-0000-0000-00002A330000}"/>
    <cellStyle name="Финансовый 4 19 3" xfId="9075" xr:uid="{00000000-0005-0000-0000-00002B330000}"/>
    <cellStyle name="Финансовый 4 2" xfId="11" xr:uid="{00000000-0005-0000-0000-00002C330000}"/>
    <cellStyle name="Финансовый 4 2 10" xfId="285" xr:uid="{00000000-0005-0000-0000-00002D330000}"/>
    <cellStyle name="Финансовый 4 2 10 2" xfId="2085" xr:uid="{00000000-0005-0000-0000-00002E330000}"/>
    <cellStyle name="Финансовый 4 2 10 2 2" xfId="3730" xr:uid="{00000000-0005-0000-0000-00002F330000}"/>
    <cellStyle name="Финансовый 4 2 10 2 2 2" xfId="12375" xr:uid="{00000000-0005-0000-0000-000030330000}"/>
    <cellStyle name="Финансовый 4 2 10 2 3" xfId="5513" xr:uid="{00000000-0005-0000-0000-000031330000}"/>
    <cellStyle name="Финансовый 4 2 10 2 3 2" xfId="14156" xr:uid="{00000000-0005-0000-0000-000032330000}"/>
    <cellStyle name="Финансовый 4 2 10 2 4" xfId="8123" xr:uid="{00000000-0005-0000-0000-000033330000}"/>
    <cellStyle name="Финансовый 4 2 10 2 4 2" xfId="16766" xr:uid="{00000000-0005-0000-0000-000034330000}"/>
    <cellStyle name="Финансовый 4 2 10 2 5" xfId="10730" xr:uid="{00000000-0005-0000-0000-000035330000}"/>
    <cellStyle name="Финансовый 4 2 10 3" xfId="1383" xr:uid="{00000000-0005-0000-0000-000036330000}"/>
    <cellStyle name="Финансовый 4 2 10 3 2" xfId="7423" xr:uid="{00000000-0005-0000-0000-000037330000}"/>
    <cellStyle name="Финансовый 4 2 10 3 2 2" xfId="16066" xr:uid="{00000000-0005-0000-0000-000038330000}"/>
    <cellStyle name="Финансовый 4 2 10 3 3" xfId="10030" xr:uid="{00000000-0005-0000-0000-000039330000}"/>
    <cellStyle name="Финансовый 4 2 10 4" xfId="706" xr:uid="{00000000-0005-0000-0000-00003A330000}"/>
    <cellStyle name="Финансовый 4 2 10 4 2" xfId="6746" xr:uid="{00000000-0005-0000-0000-00003B330000}"/>
    <cellStyle name="Финансовый 4 2 10 4 2 2" xfId="15389" xr:uid="{00000000-0005-0000-0000-00003C330000}"/>
    <cellStyle name="Финансовый 4 2 10 4 3" xfId="9353" xr:uid="{00000000-0005-0000-0000-00003D330000}"/>
    <cellStyle name="Финансовый 4 2 10 5" xfId="3167" xr:uid="{00000000-0005-0000-0000-00003E330000}"/>
    <cellStyle name="Финансовый 4 2 10 5 2" xfId="11812" xr:uid="{00000000-0005-0000-0000-00003F330000}"/>
    <cellStyle name="Финансовый 4 2 10 6" xfId="4811" xr:uid="{00000000-0005-0000-0000-000040330000}"/>
    <cellStyle name="Финансовый 4 2 10 6 2" xfId="13456" xr:uid="{00000000-0005-0000-0000-000041330000}"/>
    <cellStyle name="Финансовый 4 2 10 7" xfId="6326" xr:uid="{00000000-0005-0000-0000-000042330000}"/>
    <cellStyle name="Финансовый 4 2 10 7 2" xfId="14969" xr:uid="{00000000-0005-0000-0000-000043330000}"/>
    <cellStyle name="Финансовый 4 2 10 8" xfId="8933" xr:uid="{00000000-0005-0000-0000-000044330000}"/>
    <cellStyle name="Финансовый 4 2 11" xfId="298" xr:uid="{00000000-0005-0000-0000-000045330000}"/>
    <cellStyle name="Финансовый 4 2 11 2" xfId="1118" xr:uid="{00000000-0005-0000-0000-000046330000}"/>
    <cellStyle name="Финансовый 4 2 11 2 2" xfId="7158" xr:uid="{00000000-0005-0000-0000-000047330000}"/>
    <cellStyle name="Финансовый 4 2 11 2 2 2" xfId="15801" xr:uid="{00000000-0005-0000-0000-000048330000}"/>
    <cellStyle name="Финансовый 4 2 11 2 3" xfId="9765" xr:uid="{00000000-0005-0000-0000-000049330000}"/>
    <cellStyle name="Финансовый 4 2 11 3" xfId="718" xr:uid="{00000000-0005-0000-0000-00004A330000}"/>
    <cellStyle name="Финансовый 4 2 11 3 2" xfId="6758" xr:uid="{00000000-0005-0000-0000-00004B330000}"/>
    <cellStyle name="Финансовый 4 2 11 3 2 2" xfId="15401" xr:uid="{00000000-0005-0000-0000-00004C330000}"/>
    <cellStyle name="Финансовый 4 2 11 3 3" xfId="9365" xr:uid="{00000000-0005-0000-0000-00004D330000}"/>
    <cellStyle name="Финансовый 4 2 11 4" xfId="2895" xr:uid="{00000000-0005-0000-0000-00004E330000}"/>
    <cellStyle name="Финансовый 4 2 11 4 2" xfId="11540" xr:uid="{00000000-0005-0000-0000-00004F330000}"/>
    <cellStyle name="Финансовый 4 2 11 5" xfId="4539" xr:uid="{00000000-0005-0000-0000-000050330000}"/>
    <cellStyle name="Финансовый 4 2 11 5 2" xfId="13184" xr:uid="{00000000-0005-0000-0000-000051330000}"/>
    <cellStyle name="Финансовый 4 2 11 6" xfId="6338" xr:uid="{00000000-0005-0000-0000-000052330000}"/>
    <cellStyle name="Финансовый 4 2 11 6 2" xfId="14981" xr:uid="{00000000-0005-0000-0000-000053330000}"/>
    <cellStyle name="Финансовый 4 2 11 7" xfId="8945" xr:uid="{00000000-0005-0000-0000-000054330000}"/>
    <cellStyle name="Финансовый 4 2 12" xfId="1534" xr:uid="{00000000-0005-0000-0000-000055330000}"/>
    <cellStyle name="Финансовый 4 2 12 2" xfId="1705" xr:uid="{00000000-0005-0000-0000-000056330000}"/>
    <cellStyle name="Финансовый 4 2 12 2 2" xfId="3350" xr:uid="{00000000-0005-0000-0000-000057330000}"/>
    <cellStyle name="Финансовый 4 2 12 2 2 2" xfId="11995" xr:uid="{00000000-0005-0000-0000-000058330000}"/>
    <cellStyle name="Финансовый 4 2 12 2 3" xfId="5133" xr:uid="{00000000-0005-0000-0000-000059330000}"/>
    <cellStyle name="Финансовый 4 2 12 2 3 2" xfId="13776" xr:uid="{00000000-0005-0000-0000-00005A330000}"/>
    <cellStyle name="Финансовый 4 2 12 2 4" xfId="7743" xr:uid="{00000000-0005-0000-0000-00005B330000}"/>
    <cellStyle name="Финансовый 4 2 12 2 4 2" xfId="16386" xr:uid="{00000000-0005-0000-0000-00005C330000}"/>
    <cellStyle name="Финансовый 4 2 12 2 5" xfId="10350" xr:uid="{00000000-0005-0000-0000-00005D330000}"/>
    <cellStyle name="Финансовый 4 2 12 3" xfId="4962" xr:uid="{00000000-0005-0000-0000-00005E330000}"/>
    <cellStyle name="Финансовый 4 2 12 3 2" xfId="13605" xr:uid="{00000000-0005-0000-0000-00005F330000}"/>
    <cellStyle name="Финансовый 4 2 12 4" xfId="7572" xr:uid="{00000000-0005-0000-0000-000060330000}"/>
    <cellStyle name="Финансовый 4 2 12 4 2" xfId="16215" xr:uid="{00000000-0005-0000-0000-000061330000}"/>
    <cellStyle name="Финансовый 4 2 12 5" xfId="10179" xr:uid="{00000000-0005-0000-0000-000062330000}"/>
    <cellStyle name="Финансовый 4 2 13" xfId="2341" xr:uid="{00000000-0005-0000-0000-000063330000}"/>
    <cellStyle name="Финансовый 4 2 13 2" xfId="3986" xr:uid="{00000000-0005-0000-0000-000064330000}"/>
    <cellStyle name="Финансовый 4 2 13 2 2" xfId="12631" xr:uid="{00000000-0005-0000-0000-000065330000}"/>
    <cellStyle name="Финансовый 4 2 13 3" xfId="5769" xr:uid="{00000000-0005-0000-0000-000066330000}"/>
    <cellStyle name="Финансовый 4 2 13 3 2" xfId="14412" xr:uid="{00000000-0005-0000-0000-000067330000}"/>
    <cellStyle name="Финансовый 4 2 13 4" xfId="8379" xr:uid="{00000000-0005-0000-0000-000068330000}"/>
    <cellStyle name="Финансовый 4 2 13 4 2" xfId="17022" xr:uid="{00000000-0005-0000-0000-000069330000}"/>
    <cellStyle name="Финансовый 4 2 13 5" xfId="10986" xr:uid="{00000000-0005-0000-0000-00006A330000}"/>
    <cellStyle name="Финансовый 4 2 14" xfId="1568" xr:uid="{00000000-0005-0000-0000-00006B330000}"/>
    <cellStyle name="Финансовый 4 2 14 2" xfId="3213" xr:uid="{00000000-0005-0000-0000-00006C330000}"/>
    <cellStyle name="Финансовый 4 2 14 2 2" xfId="11858" xr:uid="{00000000-0005-0000-0000-00006D330000}"/>
    <cellStyle name="Финансовый 4 2 14 3" xfId="4996" xr:uid="{00000000-0005-0000-0000-00006E330000}"/>
    <cellStyle name="Финансовый 4 2 14 3 2" xfId="13639" xr:uid="{00000000-0005-0000-0000-00006F330000}"/>
    <cellStyle name="Финансовый 4 2 14 4" xfId="7606" xr:uid="{00000000-0005-0000-0000-000070330000}"/>
    <cellStyle name="Финансовый 4 2 14 4 2" xfId="16249" xr:uid="{00000000-0005-0000-0000-000071330000}"/>
    <cellStyle name="Финансовый 4 2 14 5" xfId="10213" xr:uid="{00000000-0005-0000-0000-000072330000}"/>
    <cellStyle name="Финансовый 4 2 15" xfId="854" xr:uid="{00000000-0005-0000-0000-000073330000}"/>
    <cellStyle name="Финансовый 4 2 15 2" xfId="6894" xr:uid="{00000000-0005-0000-0000-000074330000}"/>
    <cellStyle name="Финансовый 4 2 15 2 2" xfId="15537" xr:uid="{00000000-0005-0000-0000-000075330000}"/>
    <cellStyle name="Финансовый 4 2 15 3" xfId="9501" xr:uid="{00000000-0005-0000-0000-000076330000}"/>
    <cellStyle name="Финансовый 4 2 16" xfId="434" xr:uid="{00000000-0005-0000-0000-000077330000}"/>
    <cellStyle name="Финансовый 4 2 16 2" xfId="6474" xr:uid="{00000000-0005-0000-0000-000078330000}"/>
    <cellStyle name="Финансовый 4 2 16 2 2" xfId="15117" xr:uid="{00000000-0005-0000-0000-000079330000}"/>
    <cellStyle name="Финансовый 4 2 16 3" xfId="9081" xr:uid="{00000000-0005-0000-0000-00007A330000}"/>
    <cellStyle name="Финансовый 4 2 17" xfId="2623" xr:uid="{00000000-0005-0000-0000-00007B330000}"/>
    <cellStyle name="Финансовый 4 2 17 2" xfId="11268" xr:uid="{00000000-0005-0000-0000-00007C330000}"/>
    <cellStyle name="Финансовый 4 2 18" xfId="4266" xr:uid="{00000000-0005-0000-0000-00007D330000}"/>
    <cellStyle name="Финансовый 4 2 18 2" xfId="12911" xr:uid="{00000000-0005-0000-0000-00007E330000}"/>
    <cellStyle name="Финансовый 4 2 19" xfId="6054" xr:uid="{00000000-0005-0000-0000-00007F330000}"/>
    <cellStyle name="Финансовый 4 2 19 2" xfId="14697" xr:uid="{00000000-0005-0000-0000-000080330000}"/>
    <cellStyle name="Финансовый 4 2 2" xfId="47" xr:uid="{00000000-0005-0000-0000-000081330000}"/>
    <cellStyle name="Финансовый 4 2 2 10" xfId="470" xr:uid="{00000000-0005-0000-0000-000082330000}"/>
    <cellStyle name="Финансовый 4 2 2 10 2" xfId="6510" xr:uid="{00000000-0005-0000-0000-000083330000}"/>
    <cellStyle name="Финансовый 4 2 2 10 2 2" xfId="15153" xr:uid="{00000000-0005-0000-0000-000084330000}"/>
    <cellStyle name="Финансовый 4 2 2 10 3" xfId="9117" xr:uid="{00000000-0005-0000-0000-000085330000}"/>
    <cellStyle name="Финансовый 4 2 2 11" xfId="2659" xr:uid="{00000000-0005-0000-0000-000086330000}"/>
    <cellStyle name="Финансовый 4 2 2 11 2" xfId="11304" xr:uid="{00000000-0005-0000-0000-000087330000}"/>
    <cellStyle name="Финансовый 4 2 2 12" xfId="4302" xr:uid="{00000000-0005-0000-0000-000088330000}"/>
    <cellStyle name="Финансовый 4 2 2 12 2" xfId="12947" xr:uid="{00000000-0005-0000-0000-000089330000}"/>
    <cellStyle name="Финансовый 4 2 2 13" xfId="6090" xr:uid="{00000000-0005-0000-0000-00008A330000}"/>
    <cellStyle name="Финансовый 4 2 2 13 2" xfId="14733" xr:uid="{00000000-0005-0000-0000-00008B330000}"/>
    <cellStyle name="Финансовый 4 2 2 14" xfId="8697" xr:uid="{00000000-0005-0000-0000-00008C330000}"/>
    <cellStyle name="Финансовый 4 2 2 2" xfId="105" xr:uid="{00000000-0005-0000-0000-00008D330000}"/>
    <cellStyle name="Финансовый 4 2 2 2 10" xfId="2715" xr:uid="{00000000-0005-0000-0000-00008E330000}"/>
    <cellStyle name="Финансовый 4 2 2 2 10 2" xfId="11360" xr:uid="{00000000-0005-0000-0000-00008F330000}"/>
    <cellStyle name="Финансовый 4 2 2 2 11" xfId="4359" xr:uid="{00000000-0005-0000-0000-000090330000}"/>
    <cellStyle name="Финансовый 4 2 2 2 11 2" xfId="13004" xr:uid="{00000000-0005-0000-0000-000091330000}"/>
    <cellStyle name="Финансовый 4 2 2 2 12" xfId="6146" xr:uid="{00000000-0005-0000-0000-000092330000}"/>
    <cellStyle name="Финансовый 4 2 2 2 12 2" xfId="14789" xr:uid="{00000000-0005-0000-0000-000093330000}"/>
    <cellStyle name="Финансовый 4 2 2 2 13" xfId="8753" xr:uid="{00000000-0005-0000-0000-000094330000}"/>
    <cellStyle name="Финансовый 4 2 2 2 2" xfId="241" xr:uid="{00000000-0005-0000-0000-000095330000}"/>
    <cellStyle name="Финансовый 4 2 2 2 2 10" xfId="8889" xr:uid="{00000000-0005-0000-0000-000096330000}"/>
    <cellStyle name="Финансовый 4 2 2 2 2 2" xfId="1339" xr:uid="{00000000-0005-0000-0000-000097330000}"/>
    <cellStyle name="Финансовый 4 2 2 2 2 2 2" xfId="2297" xr:uid="{00000000-0005-0000-0000-000098330000}"/>
    <cellStyle name="Финансовый 4 2 2 2 2 2 2 2" xfId="3942" xr:uid="{00000000-0005-0000-0000-000099330000}"/>
    <cellStyle name="Финансовый 4 2 2 2 2 2 2 2 2" xfId="12587" xr:uid="{00000000-0005-0000-0000-00009A330000}"/>
    <cellStyle name="Финансовый 4 2 2 2 2 2 2 3" xfId="5725" xr:uid="{00000000-0005-0000-0000-00009B330000}"/>
    <cellStyle name="Финансовый 4 2 2 2 2 2 2 3 2" xfId="14368" xr:uid="{00000000-0005-0000-0000-00009C330000}"/>
    <cellStyle name="Финансовый 4 2 2 2 2 2 2 4" xfId="8335" xr:uid="{00000000-0005-0000-0000-00009D330000}"/>
    <cellStyle name="Финансовый 4 2 2 2 2 2 2 4 2" xfId="16978" xr:uid="{00000000-0005-0000-0000-00009E330000}"/>
    <cellStyle name="Финансовый 4 2 2 2 2 2 2 5" xfId="10942" xr:uid="{00000000-0005-0000-0000-00009F330000}"/>
    <cellStyle name="Финансовый 4 2 2 2 2 2 3" xfId="3123" xr:uid="{00000000-0005-0000-0000-0000A0330000}"/>
    <cellStyle name="Финансовый 4 2 2 2 2 2 3 2" xfId="11768" xr:uid="{00000000-0005-0000-0000-0000A1330000}"/>
    <cellStyle name="Финансовый 4 2 2 2 2 2 4" xfId="4767" xr:uid="{00000000-0005-0000-0000-0000A2330000}"/>
    <cellStyle name="Финансовый 4 2 2 2 2 2 4 2" xfId="13412" xr:uid="{00000000-0005-0000-0000-0000A3330000}"/>
    <cellStyle name="Финансовый 4 2 2 2 2 2 5" xfId="7379" xr:uid="{00000000-0005-0000-0000-0000A4330000}"/>
    <cellStyle name="Финансовый 4 2 2 2 2 2 5 2" xfId="16022" xr:uid="{00000000-0005-0000-0000-0000A5330000}"/>
    <cellStyle name="Финансовый 4 2 2 2 2 2 6" xfId="9986" xr:uid="{00000000-0005-0000-0000-0000A6330000}"/>
    <cellStyle name="Финансовый 4 2 2 2 2 3" xfId="2041" xr:uid="{00000000-0005-0000-0000-0000A7330000}"/>
    <cellStyle name="Финансовый 4 2 2 2 2 3 2" xfId="3686" xr:uid="{00000000-0005-0000-0000-0000A8330000}"/>
    <cellStyle name="Финансовый 4 2 2 2 2 3 2 2" xfId="12331" xr:uid="{00000000-0005-0000-0000-0000A9330000}"/>
    <cellStyle name="Финансовый 4 2 2 2 2 3 3" xfId="5469" xr:uid="{00000000-0005-0000-0000-0000AA330000}"/>
    <cellStyle name="Финансовый 4 2 2 2 2 3 3 2" xfId="14112" xr:uid="{00000000-0005-0000-0000-0000AB330000}"/>
    <cellStyle name="Финансовый 4 2 2 2 2 3 4" xfId="8079" xr:uid="{00000000-0005-0000-0000-0000AC330000}"/>
    <cellStyle name="Финансовый 4 2 2 2 2 3 4 2" xfId="16722" xr:uid="{00000000-0005-0000-0000-0000AD330000}"/>
    <cellStyle name="Финансовый 4 2 2 2 2 3 5" xfId="10686" xr:uid="{00000000-0005-0000-0000-0000AE330000}"/>
    <cellStyle name="Финансовый 4 2 2 2 2 4" xfId="2570" xr:uid="{00000000-0005-0000-0000-0000AF330000}"/>
    <cellStyle name="Финансовый 4 2 2 2 2 4 2" xfId="4215" xr:uid="{00000000-0005-0000-0000-0000B0330000}"/>
    <cellStyle name="Финансовый 4 2 2 2 2 4 2 2" xfId="12860" xr:uid="{00000000-0005-0000-0000-0000B1330000}"/>
    <cellStyle name="Финансовый 4 2 2 2 2 4 3" xfId="5998" xr:uid="{00000000-0005-0000-0000-0000B2330000}"/>
    <cellStyle name="Финансовый 4 2 2 2 2 4 3 2" xfId="14641" xr:uid="{00000000-0005-0000-0000-0000B3330000}"/>
    <cellStyle name="Финансовый 4 2 2 2 2 4 4" xfId="8608" xr:uid="{00000000-0005-0000-0000-0000B4330000}"/>
    <cellStyle name="Финансовый 4 2 2 2 2 4 4 2" xfId="17251" xr:uid="{00000000-0005-0000-0000-0000B5330000}"/>
    <cellStyle name="Финансовый 4 2 2 2 2 4 5" xfId="11215" xr:uid="{00000000-0005-0000-0000-0000B6330000}"/>
    <cellStyle name="Финансовый 4 2 2 2 2 5" xfId="1074" xr:uid="{00000000-0005-0000-0000-0000B7330000}"/>
    <cellStyle name="Финансовый 4 2 2 2 2 5 2" xfId="7114" xr:uid="{00000000-0005-0000-0000-0000B8330000}"/>
    <cellStyle name="Финансовый 4 2 2 2 2 5 2 2" xfId="15757" xr:uid="{00000000-0005-0000-0000-0000B9330000}"/>
    <cellStyle name="Финансовый 4 2 2 2 2 5 3" xfId="9721" xr:uid="{00000000-0005-0000-0000-0000BA330000}"/>
    <cellStyle name="Финансовый 4 2 2 2 2 6" xfId="662" xr:uid="{00000000-0005-0000-0000-0000BB330000}"/>
    <cellStyle name="Финансовый 4 2 2 2 2 6 2" xfId="6702" xr:uid="{00000000-0005-0000-0000-0000BC330000}"/>
    <cellStyle name="Финансовый 4 2 2 2 2 6 2 2" xfId="15345" xr:uid="{00000000-0005-0000-0000-0000BD330000}"/>
    <cellStyle name="Финансовый 4 2 2 2 2 6 3" xfId="9309" xr:uid="{00000000-0005-0000-0000-0000BE330000}"/>
    <cellStyle name="Финансовый 4 2 2 2 2 7" xfId="2851" xr:uid="{00000000-0005-0000-0000-0000BF330000}"/>
    <cellStyle name="Финансовый 4 2 2 2 2 7 2" xfId="11496" xr:uid="{00000000-0005-0000-0000-0000C0330000}"/>
    <cellStyle name="Финансовый 4 2 2 2 2 8" xfId="4495" xr:uid="{00000000-0005-0000-0000-0000C1330000}"/>
    <cellStyle name="Финансовый 4 2 2 2 2 8 2" xfId="13140" xr:uid="{00000000-0005-0000-0000-0000C2330000}"/>
    <cellStyle name="Финансовый 4 2 2 2 2 9" xfId="6282" xr:uid="{00000000-0005-0000-0000-0000C3330000}"/>
    <cellStyle name="Финансовый 4 2 2 2 2 9 2" xfId="14925" xr:uid="{00000000-0005-0000-0000-0000C4330000}"/>
    <cellStyle name="Финансовый 4 2 2 2 3" xfId="390" xr:uid="{00000000-0005-0000-0000-0000C5330000}"/>
    <cellStyle name="Финансовый 4 2 2 2 3 2" xfId="2169" xr:uid="{00000000-0005-0000-0000-0000C6330000}"/>
    <cellStyle name="Финансовый 4 2 2 2 3 2 2" xfId="3814" xr:uid="{00000000-0005-0000-0000-0000C7330000}"/>
    <cellStyle name="Финансовый 4 2 2 2 3 2 2 2" xfId="12459" xr:uid="{00000000-0005-0000-0000-0000C8330000}"/>
    <cellStyle name="Финансовый 4 2 2 2 3 2 3" xfId="5597" xr:uid="{00000000-0005-0000-0000-0000C9330000}"/>
    <cellStyle name="Финансовый 4 2 2 2 3 2 3 2" xfId="14240" xr:uid="{00000000-0005-0000-0000-0000CA330000}"/>
    <cellStyle name="Финансовый 4 2 2 2 3 2 4" xfId="8207" xr:uid="{00000000-0005-0000-0000-0000CB330000}"/>
    <cellStyle name="Финансовый 4 2 2 2 3 2 4 2" xfId="16850" xr:uid="{00000000-0005-0000-0000-0000CC330000}"/>
    <cellStyle name="Финансовый 4 2 2 2 3 2 5" xfId="10814" xr:uid="{00000000-0005-0000-0000-0000CD330000}"/>
    <cellStyle name="Финансовый 4 2 2 2 3 3" xfId="1203" xr:uid="{00000000-0005-0000-0000-0000CE330000}"/>
    <cellStyle name="Финансовый 4 2 2 2 3 3 2" xfId="7243" xr:uid="{00000000-0005-0000-0000-0000CF330000}"/>
    <cellStyle name="Финансовый 4 2 2 2 3 3 2 2" xfId="15886" xr:uid="{00000000-0005-0000-0000-0000D0330000}"/>
    <cellStyle name="Финансовый 4 2 2 2 3 3 3" xfId="9850" xr:uid="{00000000-0005-0000-0000-0000D1330000}"/>
    <cellStyle name="Финансовый 4 2 2 2 3 4" xfId="810" xr:uid="{00000000-0005-0000-0000-0000D2330000}"/>
    <cellStyle name="Финансовый 4 2 2 2 3 4 2" xfId="6850" xr:uid="{00000000-0005-0000-0000-0000D3330000}"/>
    <cellStyle name="Финансовый 4 2 2 2 3 4 2 2" xfId="15493" xr:uid="{00000000-0005-0000-0000-0000D4330000}"/>
    <cellStyle name="Финансовый 4 2 2 2 3 4 3" xfId="9457" xr:uid="{00000000-0005-0000-0000-0000D5330000}"/>
    <cellStyle name="Финансовый 4 2 2 2 3 5" xfId="2987" xr:uid="{00000000-0005-0000-0000-0000D6330000}"/>
    <cellStyle name="Финансовый 4 2 2 2 3 5 2" xfId="11632" xr:uid="{00000000-0005-0000-0000-0000D7330000}"/>
    <cellStyle name="Финансовый 4 2 2 2 3 6" xfId="4631" xr:uid="{00000000-0005-0000-0000-0000D8330000}"/>
    <cellStyle name="Финансовый 4 2 2 2 3 6 2" xfId="13276" xr:uid="{00000000-0005-0000-0000-0000D9330000}"/>
    <cellStyle name="Финансовый 4 2 2 2 3 7" xfId="6430" xr:uid="{00000000-0005-0000-0000-0000DA330000}"/>
    <cellStyle name="Финансовый 4 2 2 2 3 7 2" xfId="15073" xr:uid="{00000000-0005-0000-0000-0000DB330000}"/>
    <cellStyle name="Финансовый 4 2 2 2 3 8" xfId="9037" xr:uid="{00000000-0005-0000-0000-0000DC330000}"/>
    <cellStyle name="Финансовый 4 2 2 2 4" xfId="1427" xr:uid="{00000000-0005-0000-0000-0000DD330000}"/>
    <cellStyle name="Финансовый 4 2 2 2 4 2" xfId="1913" xr:uid="{00000000-0005-0000-0000-0000DE330000}"/>
    <cellStyle name="Финансовый 4 2 2 2 4 2 2" xfId="3558" xr:uid="{00000000-0005-0000-0000-0000DF330000}"/>
    <cellStyle name="Финансовый 4 2 2 2 4 2 2 2" xfId="12203" xr:uid="{00000000-0005-0000-0000-0000E0330000}"/>
    <cellStyle name="Финансовый 4 2 2 2 4 2 3" xfId="5341" xr:uid="{00000000-0005-0000-0000-0000E1330000}"/>
    <cellStyle name="Финансовый 4 2 2 2 4 2 3 2" xfId="13984" xr:uid="{00000000-0005-0000-0000-0000E2330000}"/>
    <cellStyle name="Финансовый 4 2 2 2 4 2 4" xfId="7951" xr:uid="{00000000-0005-0000-0000-0000E3330000}"/>
    <cellStyle name="Финансовый 4 2 2 2 4 2 4 2" xfId="16594" xr:uid="{00000000-0005-0000-0000-0000E4330000}"/>
    <cellStyle name="Финансовый 4 2 2 2 4 2 5" xfId="10558" xr:uid="{00000000-0005-0000-0000-0000E5330000}"/>
    <cellStyle name="Финансовый 4 2 2 2 4 3" xfId="4855" xr:uid="{00000000-0005-0000-0000-0000E6330000}"/>
    <cellStyle name="Финансовый 4 2 2 2 4 3 2" xfId="13499" xr:uid="{00000000-0005-0000-0000-0000E7330000}"/>
    <cellStyle name="Финансовый 4 2 2 2 4 4" xfId="7466" xr:uid="{00000000-0005-0000-0000-0000E8330000}"/>
    <cellStyle name="Финансовый 4 2 2 2 4 4 2" xfId="16109" xr:uid="{00000000-0005-0000-0000-0000E9330000}"/>
    <cellStyle name="Финансовый 4 2 2 2 4 5" xfId="10073" xr:uid="{00000000-0005-0000-0000-0000EA330000}"/>
    <cellStyle name="Финансовый 4 2 2 2 5" xfId="1789" xr:uid="{00000000-0005-0000-0000-0000EB330000}"/>
    <cellStyle name="Финансовый 4 2 2 2 5 2" xfId="3434" xr:uid="{00000000-0005-0000-0000-0000EC330000}"/>
    <cellStyle name="Финансовый 4 2 2 2 5 2 2" xfId="12079" xr:uid="{00000000-0005-0000-0000-0000ED330000}"/>
    <cellStyle name="Финансовый 4 2 2 2 5 3" xfId="5217" xr:uid="{00000000-0005-0000-0000-0000EE330000}"/>
    <cellStyle name="Финансовый 4 2 2 2 5 3 2" xfId="13860" xr:uid="{00000000-0005-0000-0000-0000EF330000}"/>
    <cellStyle name="Финансовый 4 2 2 2 5 4" xfId="7827" xr:uid="{00000000-0005-0000-0000-0000F0330000}"/>
    <cellStyle name="Финансовый 4 2 2 2 5 4 2" xfId="16470" xr:uid="{00000000-0005-0000-0000-0000F1330000}"/>
    <cellStyle name="Финансовый 4 2 2 2 5 5" xfId="10434" xr:uid="{00000000-0005-0000-0000-0000F2330000}"/>
    <cellStyle name="Финансовый 4 2 2 2 6" xfId="2434" xr:uid="{00000000-0005-0000-0000-0000F3330000}"/>
    <cellStyle name="Финансовый 4 2 2 2 6 2" xfId="4079" xr:uid="{00000000-0005-0000-0000-0000F4330000}"/>
    <cellStyle name="Финансовый 4 2 2 2 6 2 2" xfId="12724" xr:uid="{00000000-0005-0000-0000-0000F5330000}"/>
    <cellStyle name="Финансовый 4 2 2 2 6 3" xfId="5862" xr:uid="{00000000-0005-0000-0000-0000F6330000}"/>
    <cellStyle name="Финансовый 4 2 2 2 6 3 2" xfId="14505" xr:uid="{00000000-0005-0000-0000-0000F7330000}"/>
    <cellStyle name="Финансовый 4 2 2 2 6 4" xfId="8472" xr:uid="{00000000-0005-0000-0000-0000F8330000}"/>
    <cellStyle name="Финансовый 4 2 2 2 6 4 2" xfId="17115" xr:uid="{00000000-0005-0000-0000-0000F9330000}"/>
    <cellStyle name="Финансовый 4 2 2 2 6 5" xfId="11079" xr:uid="{00000000-0005-0000-0000-0000FA330000}"/>
    <cellStyle name="Финансовый 4 2 2 2 7" xfId="1661" xr:uid="{00000000-0005-0000-0000-0000FB330000}"/>
    <cellStyle name="Финансовый 4 2 2 2 7 2" xfId="3306" xr:uid="{00000000-0005-0000-0000-0000FC330000}"/>
    <cellStyle name="Финансовый 4 2 2 2 7 2 2" xfId="11951" xr:uid="{00000000-0005-0000-0000-0000FD330000}"/>
    <cellStyle name="Финансовый 4 2 2 2 7 3" xfId="5089" xr:uid="{00000000-0005-0000-0000-0000FE330000}"/>
    <cellStyle name="Финансовый 4 2 2 2 7 3 2" xfId="13732" xr:uid="{00000000-0005-0000-0000-0000FF330000}"/>
    <cellStyle name="Финансовый 4 2 2 2 7 4" xfId="7699" xr:uid="{00000000-0005-0000-0000-000000340000}"/>
    <cellStyle name="Финансовый 4 2 2 2 7 4 2" xfId="16342" xr:uid="{00000000-0005-0000-0000-000001340000}"/>
    <cellStyle name="Финансовый 4 2 2 2 7 5" xfId="10306" xr:uid="{00000000-0005-0000-0000-000002340000}"/>
    <cellStyle name="Финансовый 4 2 2 2 8" xfId="938" xr:uid="{00000000-0005-0000-0000-000003340000}"/>
    <cellStyle name="Финансовый 4 2 2 2 8 2" xfId="6978" xr:uid="{00000000-0005-0000-0000-000004340000}"/>
    <cellStyle name="Финансовый 4 2 2 2 8 2 2" xfId="15621" xr:uid="{00000000-0005-0000-0000-000005340000}"/>
    <cellStyle name="Финансовый 4 2 2 2 8 3" xfId="9585" xr:uid="{00000000-0005-0000-0000-000006340000}"/>
    <cellStyle name="Финансовый 4 2 2 2 9" xfId="526" xr:uid="{00000000-0005-0000-0000-000007340000}"/>
    <cellStyle name="Финансовый 4 2 2 2 9 2" xfId="6566" xr:uid="{00000000-0005-0000-0000-000008340000}"/>
    <cellStyle name="Финансовый 4 2 2 2 9 2 2" xfId="15209" xr:uid="{00000000-0005-0000-0000-000009340000}"/>
    <cellStyle name="Финансовый 4 2 2 2 9 3" xfId="9173" xr:uid="{00000000-0005-0000-0000-00000A340000}"/>
    <cellStyle name="Финансовый 4 2 2 3" xfId="185" xr:uid="{00000000-0005-0000-0000-00000B340000}"/>
    <cellStyle name="Финансовый 4 2 2 3 10" xfId="8833" xr:uid="{00000000-0005-0000-0000-00000C340000}"/>
    <cellStyle name="Финансовый 4 2 2 3 2" xfId="1283" xr:uid="{00000000-0005-0000-0000-00000D340000}"/>
    <cellStyle name="Финансовый 4 2 2 3 2 2" xfId="2249" xr:uid="{00000000-0005-0000-0000-00000E340000}"/>
    <cellStyle name="Финансовый 4 2 2 3 2 2 2" xfId="3894" xr:uid="{00000000-0005-0000-0000-00000F340000}"/>
    <cellStyle name="Финансовый 4 2 2 3 2 2 2 2" xfId="12539" xr:uid="{00000000-0005-0000-0000-000010340000}"/>
    <cellStyle name="Финансовый 4 2 2 3 2 2 3" xfId="5677" xr:uid="{00000000-0005-0000-0000-000011340000}"/>
    <cellStyle name="Финансовый 4 2 2 3 2 2 3 2" xfId="14320" xr:uid="{00000000-0005-0000-0000-000012340000}"/>
    <cellStyle name="Финансовый 4 2 2 3 2 2 4" xfId="8287" xr:uid="{00000000-0005-0000-0000-000013340000}"/>
    <cellStyle name="Финансовый 4 2 2 3 2 2 4 2" xfId="16930" xr:uid="{00000000-0005-0000-0000-000014340000}"/>
    <cellStyle name="Финансовый 4 2 2 3 2 2 5" xfId="10894" xr:uid="{00000000-0005-0000-0000-000015340000}"/>
    <cellStyle name="Финансовый 4 2 2 3 2 3" xfId="3067" xr:uid="{00000000-0005-0000-0000-000016340000}"/>
    <cellStyle name="Финансовый 4 2 2 3 2 3 2" xfId="11712" xr:uid="{00000000-0005-0000-0000-000017340000}"/>
    <cellStyle name="Финансовый 4 2 2 3 2 4" xfId="4711" xr:uid="{00000000-0005-0000-0000-000018340000}"/>
    <cellStyle name="Финансовый 4 2 2 3 2 4 2" xfId="13356" xr:uid="{00000000-0005-0000-0000-000019340000}"/>
    <cellStyle name="Финансовый 4 2 2 3 2 5" xfId="7323" xr:uid="{00000000-0005-0000-0000-00001A340000}"/>
    <cellStyle name="Финансовый 4 2 2 3 2 5 2" xfId="15966" xr:uid="{00000000-0005-0000-0000-00001B340000}"/>
    <cellStyle name="Финансовый 4 2 2 3 2 6" xfId="9930" xr:uid="{00000000-0005-0000-0000-00001C340000}"/>
    <cellStyle name="Финансовый 4 2 2 3 3" xfId="1993" xr:uid="{00000000-0005-0000-0000-00001D340000}"/>
    <cellStyle name="Финансовый 4 2 2 3 3 2" xfId="3638" xr:uid="{00000000-0005-0000-0000-00001E340000}"/>
    <cellStyle name="Финансовый 4 2 2 3 3 2 2" xfId="12283" xr:uid="{00000000-0005-0000-0000-00001F340000}"/>
    <cellStyle name="Финансовый 4 2 2 3 3 3" xfId="5421" xr:uid="{00000000-0005-0000-0000-000020340000}"/>
    <cellStyle name="Финансовый 4 2 2 3 3 3 2" xfId="14064" xr:uid="{00000000-0005-0000-0000-000021340000}"/>
    <cellStyle name="Финансовый 4 2 2 3 3 4" xfId="8031" xr:uid="{00000000-0005-0000-0000-000022340000}"/>
    <cellStyle name="Финансовый 4 2 2 3 3 4 2" xfId="16674" xr:uid="{00000000-0005-0000-0000-000023340000}"/>
    <cellStyle name="Финансовый 4 2 2 3 3 5" xfId="10638" xr:uid="{00000000-0005-0000-0000-000024340000}"/>
    <cellStyle name="Финансовый 4 2 2 3 4" xfId="2514" xr:uid="{00000000-0005-0000-0000-000025340000}"/>
    <cellStyle name="Финансовый 4 2 2 3 4 2" xfId="4159" xr:uid="{00000000-0005-0000-0000-000026340000}"/>
    <cellStyle name="Финансовый 4 2 2 3 4 2 2" xfId="12804" xr:uid="{00000000-0005-0000-0000-000027340000}"/>
    <cellStyle name="Финансовый 4 2 2 3 4 3" xfId="5942" xr:uid="{00000000-0005-0000-0000-000028340000}"/>
    <cellStyle name="Финансовый 4 2 2 3 4 3 2" xfId="14585" xr:uid="{00000000-0005-0000-0000-000029340000}"/>
    <cellStyle name="Финансовый 4 2 2 3 4 4" xfId="8552" xr:uid="{00000000-0005-0000-0000-00002A340000}"/>
    <cellStyle name="Финансовый 4 2 2 3 4 4 2" xfId="17195" xr:uid="{00000000-0005-0000-0000-00002B340000}"/>
    <cellStyle name="Финансовый 4 2 2 3 4 5" xfId="11159" xr:uid="{00000000-0005-0000-0000-00002C340000}"/>
    <cellStyle name="Финансовый 4 2 2 3 5" xfId="1018" xr:uid="{00000000-0005-0000-0000-00002D340000}"/>
    <cellStyle name="Финансовый 4 2 2 3 5 2" xfId="7058" xr:uid="{00000000-0005-0000-0000-00002E340000}"/>
    <cellStyle name="Финансовый 4 2 2 3 5 2 2" xfId="15701" xr:uid="{00000000-0005-0000-0000-00002F340000}"/>
    <cellStyle name="Финансовый 4 2 2 3 5 3" xfId="9665" xr:uid="{00000000-0005-0000-0000-000030340000}"/>
    <cellStyle name="Финансовый 4 2 2 3 6" xfId="606" xr:uid="{00000000-0005-0000-0000-000031340000}"/>
    <cellStyle name="Финансовый 4 2 2 3 6 2" xfId="6646" xr:uid="{00000000-0005-0000-0000-000032340000}"/>
    <cellStyle name="Финансовый 4 2 2 3 6 2 2" xfId="15289" xr:uid="{00000000-0005-0000-0000-000033340000}"/>
    <cellStyle name="Финансовый 4 2 2 3 6 3" xfId="9253" xr:uid="{00000000-0005-0000-0000-000034340000}"/>
    <cellStyle name="Финансовый 4 2 2 3 7" xfId="2795" xr:uid="{00000000-0005-0000-0000-000035340000}"/>
    <cellStyle name="Финансовый 4 2 2 3 7 2" xfId="11440" xr:uid="{00000000-0005-0000-0000-000036340000}"/>
    <cellStyle name="Финансовый 4 2 2 3 8" xfId="4439" xr:uid="{00000000-0005-0000-0000-000037340000}"/>
    <cellStyle name="Финансовый 4 2 2 3 8 2" xfId="13084" xr:uid="{00000000-0005-0000-0000-000038340000}"/>
    <cellStyle name="Финансовый 4 2 2 3 9" xfId="6226" xr:uid="{00000000-0005-0000-0000-000039340000}"/>
    <cellStyle name="Финансовый 4 2 2 3 9 2" xfId="14869" xr:uid="{00000000-0005-0000-0000-00003A340000}"/>
    <cellStyle name="Финансовый 4 2 2 4" xfId="334" xr:uid="{00000000-0005-0000-0000-00003B340000}"/>
    <cellStyle name="Финансовый 4 2 2 4 2" xfId="2121" xr:uid="{00000000-0005-0000-0000-00003C340000}"/>
    <cellStyle name="Финансовый 4 2 2 4 2 2" xfId="3766" xr:uid="{00000000-0005-0000-0000-00003D340000}"/>
    <cellStyle name="Финансовый 4 2 2 4 2 2 2" xfId="12411" xr:uid="{00000000-0005-0000-0000-00003E340000}"/>
    <cellStyle name="Финансовый 4 2 2 4 2 3" xfId="5549" xr:uid="{00000000-0005-0000-0000-00003F340000}"/>
    <cellStyle name="Финансовый 4 2 2 4 2 3 2" xfId="14192" xr:uid="{00000000-0005-0000-0000-000040340000}"/>
    <cellStyle name="Финансовый 4 2 2 4 2 4" xfId="8159" xr:uid="{00000000-0005-0000-0000-000041340000}"/>
    <cellStyle name="Финансовый 4 2 2 4 2 4 2" xfId="16802" xr:uid="{00000000-0005-0000-0000-000042340000}"/>
    <cellStyle name="Финансовый 4 2 2 4 2 5" xfId="10766" xr:uid="{00000000-0005-0000-0000-000043340000}"/>
    <cellStyle name="Финансовый 4 2 2 4 3" xfId="1154" xr:uid="{00000000-0005-0000-0000-000044340000}"/>
    <cellStyle name="Финансовый 4 2 2 4 3 2" xfId="7194" xr:uid="{00000000-0005-0000-0000-000045340000}"/>
    <cellStyle name="Финансовый 4 2 2 4 3 2 2" xfId="15837" xr:uid="{00000000-0005-0000-0000-000046340000}"/>
    <cellStyle name="Финансовый 4 2 2 4 3 3" xfId="9801" xr:uid="{00000000-0005-0000-0000-000047340000}"/>
    <cellStyle name="Финансовый 4 2 2 4 4" xfId="754" xr:uid="{00000000-0005-0000-0000-000048340000}"/>
    <cellStyle name="Финансовый 4 2 2 4 4 2" xfId="6794" xr:uid="{00000000-0005-0000-0000-000049340000}"/>
    <cellStyle name="Финансовый 4 2 2 4 4 2 2" xfId="15437" xr:uid="{00000000-0005-0000-0000-00004A340000}"/>
    <cellStyle name="Финансовый 4 2 2 4 4 3" xfId="9401" xr:uid="{00000000-0005-0000-0000-00004B340000}"/>
    <cellStyle name="Финансовый 4 2 2 4 5" xfId="2931" xr:uid="{00000000-0005-0000-0000-00004C340000}"/>
    <cellStyle name="Финансовый 4 2 2 4 5 2" xfId="11576" xr:uid="{00000000-0005-0000-0000-00004D340000}"/>
    <cellStyle name="Финансовый 4 2 2 4 6" xfId="4575" xr:uid="{00000000-0005-0000-0000-00004E340000}"/>
    <cellStyle name="Финансовый 4 2 2 4 6 2" xfId="13220" xr:uid="{00000000-0005-0000-0000-00004F340000}"/>
    <cellStyle name="Финансовый 4 2 2 4 7" xfId="6374" xr:uid="{00000000-0005-0000-0000-000050340000}"/>
    <cellStyle name="Финансовый 4 2 2 4 7 2" xfId="15017" xr:uid="{00000000-0005-0000-0000-000051340000}"/>
    <cellStyle name="Финансовый 4 2 2 4 8" xfId="8981" xr:uid="{00000000-0005-0000-0000-000052340000}"/>
    <cellStyle name="Финансовый 4 2 2 5" xfId="1535" xr:uid="{00000000-0005-0000-0000-000053340000}"/>
    <cellStyle name="Финансовый 4 2 2 5 2" xfId="1857" xr:uid="{00000000-0005-0000-0000-000054340000}"/>
    <cellStyle name="Финансовый 4 2 2 5 2 2" xfId="3502" xr:uid="{00000000-0005-0000-0000-000055340000}"/>
    <cellStyle name="Финансовый 4 2 2 5 2 2 2" xfId="12147" xr:uid="{00000000-0005-0000-0000-000056340000}"/>
    <cellStyle name="Финансовый 4 2 2 5 2 3" xfId="5285" xr:uid="{00000000-0005-0000-0000-000057340000}"/>
    <cellStyle name="Финансовый 4 2 2 5 2 3 2" xfId="13928" xr:uid="{00000000-0005-0000-0000-000058340000}"/>
    <cellStyle name="Финансовый 4 2 2 5 2 4" xfId="7895" xr:uid="{00000000-0005-0000-0000-000059340000}"/>
    <cellStyle name="Финансовый 4 2 2 5 2 4 2" xfId="16538" xr:uid="{00000000-0005-0000-0000-00005A340000}"/>
    <cellStyle name="Финансовый 4 2 2 5 2 5" xfId="10502" xr:uid="{00000000-0005-0000-0000-00005B340000}"/>
    <cellStyle name="Финансовый 4 2 2 5 3" xfId="4963" xr:uid="{00000000-0005-0000-0000-00005C340000}"/>
    <cellStyle name="Финансовый 4 2 2 5 3 2" xfId="13606" xr:uid="{00000000-0005-0000-0000-00005D340000}"/>
    <cellStyle name="Финансовый 4 2 2 5 4" xfId="7573" xr:uid="{00000000-0005-0000-0000-00005E340000}"/>
    <cellStyle name="Финансовый 4 2 2 5 4 2" xfId="16216" xr:uid="{00000000-0005-0000-0000-00005F340000}"/>
    <cellStyle name="Финансовый 4 2 2 5 5" xfId="10180" xr:uid="{00000000-0005-0000-0000-000060340000}"/>
    <cellStyle name="Финансовый 4 2 2 6" xfId="1741" xr:uid="{00000000-0005-0000-0000-000061340000}"/>
    <cellStyle name="Финансовый 4 2 2 6 2" xfId="3386" xr:uid="{00000000-0005-0000-0000-000062340000}"/>
    <cellStyle name="Финансовый 4 2 2 6 2 2" xfId="12031" xr:uid="{00000000-0005-0000-0000-000063340000}"/>
    <cellStyle name="Финансовый 4 2 2 6 3" xfId="5169" xr:uid="{00000000-0005-0000-0000-000064340000}"/>
    <cellStyle name="Финансовый 4 2 2 6 3 2" xfId="13812" xr:uid="{00000000-0005-0000-0000-000065340000}"/>
    <cellStyle name="Финансовый 4 2 2 6 4" xfId="7779" xr:uid="{00000000-0005-0000-0000-000066340000}"/>
    <cellStyle name="Финансовый 4 2 2 6 4 2" xfId="16422" xr:uid="{00000000-0005-0000-0000-000067340000}"/>
    <cellStyle name="Финансовый 4 2 2 6 5" xfId="10386" xr:uid="{00000000-0005-0000-0000-000068340000}"/>
    <cellStyle name="Финансовый 4 2 2 7" xfId="2377" xr:uid="{00000000-0005-0000-0000-000069340000}"/>
    <cellStyle name="Финансовый 4 2 2 7 2" xfId="4022" xr:uid="{00000000-0005-0000-0000-00006A340000}"/>
    <cellStyle name="Финансовый 4 2 2 7 2 2" xfId="12667" xr:uid="{00000000-0005-0000-0000-00006B340000}"/>
    <cellStyle name="Финансовый 4 2 2 7 3" xfId="5805" xr:uid="{00000000-0005-0000-0000-00006C340000}"/>
    <cellStyle name="Финансовый 4 2 2 7 3 2" xfId="14448" xr:uid="{00000000-0005-0000-0000-00006D340000}"/>
    <cellStyle name="Финансовый 4 2 2 7 4" xfId="8415" xr:uid="{00000000-0005-0000-0000-00006E340000}"/>
    <cellStyle name="Финансовый 4 2 2 7 4 2" xfId="17058" xr:uid="{00000000-0005-0000-0000-00006F340000}"/>
    <cellStyle name="Финансовый 4 2 2 7 5" xfId="11022" xr:uid="{00000000-0005-0000-0000-000070340000}"/>
    <cellStyle name="Финансовый 4 2 2 8" xfId="1604" xr:uid="{00000000-0005-0000-0000-000071340000}"/>
    <cellStyle name="Финансовый 4 2 2 8 2" xfId="3249" xr:uid="{00000000-0005-0000-0000-000072340000}"/>
    <cellStyle name="Финансовый 4 2 2 8 2 2" xfId="11894" xr:uid="{00000000-0005-0000-0000-000073340000}"/>
    <cellStyle name="Финансовый 4 2 2 8 3" xfId="5032" xr:uid="{00000000-0005-0000-0000-000074340000}"/>
    <cellStyle name="Финансовый 4 2 2 8 3 2" xfId="13675" xr:uid="{00000000-0005-0000-0000-000075340000}"/>
    <cellStyle name="Финансовый 4 2 2 8 4" xfId="7642" xr:uid="{00000000-0005-0000-0000-000076340000}"/>
    <cellStyle name="Финансовый 4 2 2 8 4 2" xfId="16285" xr:uid="{00000000-0005-0000-0000-000077340000}"/>
    <cellStyle name="Финансовый 4 2 2 8 5" xfId="10249" xr:uid="{00000000-0005-0000-0000-000078340000}"/>
    <cellStyle name="Финансовый 4 2 2 9" xfId="890" xr:uid="{00000000-0005-0000-0000-000079340000}"/>
    <cellStyle name="Финансовый 4 2 2 9 2" xfId="6930" xr:uid="{00000000-0005-0000-0000-00007A340000}"/>
    <cellStyle name="Финансовый 4 2 2 9 2 2" xfId="15573" xr:uid="{00000000-0005-0000-0000-00007B340000}"/>
    <cellStyle name="Финансовый 4 2 2 9 3" xfId="9537" xr:uid="{00000000-0005-0000-0000-00007C340000}"/>
    <cellStyle name="Финансовый 4 2 20" xfId="8661" xr:uid="{00000000-0005-0000-0000-00007D340000}"/>
    <cellStyle name="Финансовый 4 2 3" xfId="117" xr:uid="{00000000-0005-0000-0000-00007E340000}"/>
    <cellStyle name="Финансовый 4 2 3 10" xfId="2727" xr:uid="{00000000-0005-0000-0000-00007F340000}"/>
    <cellStyle name="Финансовый 4 2 3 10 2" xfId="11372" xr:uid="{00000000-0005-0000-0000-000080340000}"/>
    <cellStyle name="Финансовый 4 2 3 11" xfId="4371" xr:uid="{00000000-0005-0000-0000-000081340000}"/>
    <cellStyle name="Финансовый 4 2 3 11 2" xfId="13016" xr:uid="{00000000-0005-0000-0000-000082340000}"/>
    <cellStyle name="Финансовый 4 2 3 12" xfId="6158" xr:uid="{00000000-0005-0000-0000-000083340000}"/>
    <cellStyle name="Финансовый 4 2 3 12 2" xfId="14801" xr:uid="{00000000-0005-0000-0000-000084340000}"/>
    <cellStyle name="Финансовый 4 2 3 13" xfId="8765" xr:uid="{00000000-0005-0000-0000-000085340000}"/>
    <cellStyle name="Финансовый 4 2 3 2" xfId="253" xr:uid="{00000000-0005-0000-0000-000086340000}"/>
    <cellStyle name="Финансовый 4 2 3 2 10" xfId="8901" xr:uid="{00000000-0005-0000-0000-000087340000}"/>
    <cellStyle name="Финансовый 4 2 3 2 2" xfId="1351" xr:uid="{00000000-0005-0000-0000-000088340000}"/>
    <cellStyle name="Финансовый 4 2 3 2 2 2" xfId="2309" xr:uid="{00000000-0005-0000-0000-000089340000}"/>
    <cellStyle name="Финансовый 4 2 3 2 2 2 2" xfId="3954" xr:uid="{00000000-0005-0000-0000-00008A340000}"/>
    <cellStyle name="Финансовый 4 2 3 2 2 2 2 2" xfId="12599" xr:uid="{00000000-0005-0000-0000-00008B340000}"/>
    <cellStyle name="Финансовый 4 2 3 2 2 2 3" xfId="5737" xr:uid="{00000000-0005-0000-0000-00008C340000}"/>
    <cellStyle name="Финансовый 4 2 3 2 2 2 3 2" xfId="14380" xr:uid="{00000000-0005-0000-0000-00008D340000}"/>
    <cellStyle name="Финансовый 4 2 3 2 2 2 4" xfId="8347" xr:uid="{00000000-0005-0000-0000-00008E340000}"/>
    <cellStyle name="Финансовый 4 2 3 2 2 2 4 2" xfId="16990" xr:uid="{00000000-0005-0000-0000-00008F340000}"/>
    <cellStyle name="Финансовый 4 2 3 2 2 2 5" xfId="10954" xr:uid="{00000000-0005-0000-0000-000090340000}"/>
    <cellStyle name="Финансовый 4 2 3 2 2 3" xfId="3135" xr:uid="{00000000-0005-0000-0000-000091340000}"/>
    <cellStyle name="Финансовый 4 2 3 2 2 3 2" xfId="11780" xr:uid="{00000000-0005-0000-0000-000092340000}"/>
    <cellStyle name="Финансовый 4 2 3 2 2 4" xfId="4779" xr:uid="{00000000-0005-0000-0000-000093340000}"/>
    <cellStyle name="Финансовый 4 2 3 2 2 4 2" xfId="13424" xr:uid="{00000000-0005-0000-0000-000094340000}"/>
    <cellStyle name="Финансовый 4 2 3 2 2 5" xfId="7391" xr:uid="{00000000-0005-0000-0000-000095340000}"/>
    <cellStyle name="Финансовый 4 2 3 2 2 5 2" xfId="16034" xr:uid="{00000000-0005-0000-0000-000096340000}"/>
    <cellStyle name="Финансовый 4 2 3 2 2 6" xfId="9998" xr:uid="{00000000-0005-0000-0000-000097340000}"/>
    <cellStyle name="Финансовый 4 2 3 2 3" xfId="2053" xr:uid="{00000000-0005-0000-0000-000098340000}"/>
    <cellStyle name="Финансовый 4 2 3 2 3 2" xfId="3698" xr:uid="{00000000-0005-0000-0000-000099340000}"/>
    <cellStyle name="Финансовый 4 2 3 2 3 2 2" xfId="12343" xr:uid="{00000000-0005-0000-0000-00009A340000}"/>
    <cellStyle name="Финансовый 4 2 3 2 3 3" xfId="5481" xr:uid="{00000000-0005-0000-0000-00009B340000}"/>
    <cellStyle name="Финансовый 4 2 3 2 3 3 2" xfId="14124" xr:uid="{00000000-0005-0000-0000-00009C340000}"/>
    <cellStyle name="Финансовый 4 2 3 2 3 4" xfId="8091" xr:uid="{00000000-0005-0000-0000-00009D340000}"/>
    <cellStyle name="Финансовый 4 2 3 2 3 4 2" xfId="16734" xr:uid="{00000000-0005-0000-0000-00009E340000}"/>
    <cellStyle name="Финансовый 4 2 3 2 3 5" xfId="10698" xr:uid="{00000000-0005-0000-0000-00009F340000}"/>
    <cellStyle name="Финансовый 4 2 3 2 4" xfId="2582" xr:uid="{00000000-0005-0000-0000-0000A0340000}"/>
    <cellStyle name="Финансовый 4 2 3 2 4 2" xfId="4227" xr:uid="{00000000-0005-0000-0000-0000A1340000}"/>
    <cellStyle name="Финансовый 4 2 3 2 4 2 2" xfId="12872" xr:uid="{00000000-0005-0000-0000-0000A2340000}"/>
    <cellStyle name="Финансовый 4 2 3 2 4 3" xfId="6010" xr:uid="{00000000-0005-0000-0000-0000A3340000}"/>
    <cellStyle name="Финансовый 4 2 3 2 4 3 2" xfId="14653" xr:uid="{00000000-0005-0000-0000-0000A4340000}"/>
    <cellStyle name="Финансовый 4 2 3 2 4 4" xfId="8620" xr:uid="{00000000-0005-0000-0000-0000A5340000}"/>
    <cellStyle name="Финансовый 4 2 3 2 4 4 2" xfId="17263" xr:uid="{00000000-0005-0000-0000-0000A6340000}"/>
    <cellStyle name="Финансовый 4 2 3 2 4 5" xfId="11227" xr:uid="{00000000-0005-0000-0000-0000A7340000}"/>
    <cellStyle name="Финансовый 4 2 3 2 5" xfId="1086" xr:uid="{00000000-0005-0000-0000-0000A8340000}"/>
    <cellStyle name="Финансовый 4 2 3 2 5 2" xfId="7126" xr:uid="{00000000-0005-0000-0000-0000A9340000}"/>
    <cellStyle name="Финансовый 4 2 3 2 5 2 2" xfId="15769" xr:uid="{00000000-0005-0000-0000-0000AA340000}"/>
    <cellStyle name="Финансовый 4 2 3 2 5 3" xfId="9733" xr:uid="{00000000-0005-0000-0000-0000AB340000}"/>
    <cellStyle name="Финансовый 4 2 3 2 6" xfId="674" xr:uid="{00000000-0005-0000-0000-0000AC340000}"/>
    <cellStyle name="Финансовый 4 2 3 2 6 2" xfId="6714" xr:uid="{00000000-0005-0000-0000-0000AD340000}"/>
    <cellStyle name="Финансовый 4 2 3 2 6 2 2" xfId="15357" xr:uid="{00000000-0005-0000-0000-0000AE340000}"/>
    <cellStyle name="Финансовый 4 2 3 2 6 3" xfId="9321" xr:uid="{00000000-0005-0000-0000-0000AF340000}"/>
    <cellStyle name="Финансовый 4 2 3 2 7" xfId="2863" xr:uid="{00000000-0005-0000-0000-0000B0340000}"/>
    <cellStyle name="Финансовый 4 2 3 2 7 2" xfId="11508" xr:uid="{00000000-0005-0000-0000-0000B1340000}"/>
    <cellStyle name="Финансовый 4 2 3 2 8" xfId="4507" xr:uid="{00000000-0005-0000-0000-0000B2340000}"/>
    <cellStyle name="Финансовый 4 2 3 2 8 2" xfId="13152" xr:uid="{00000000-0005-0000-0000-0000B3340000}"/>
    <cellStyle name="Финансовый 4 2 3 2 9" xfId="6294" xr:uid="{00000000-0005-0000-0000-0000B4340000}"/>
    <cellStyle name="Финансовый 4 2 3 2 9 2" xfId="14937" xr:uid="{00000000-0005-0000-0000-0000B5340000}"/>
    <cellStyle name="Финансовый 4 2 3 3" xfId="402" xr:uid="{00000000-0005-0000-0000-0000B6340000}"/>
    <cellStyle name="Финансовый 4 2 3 3 2" xfId="2181" xr:uid="{00000000-0005-0000-0000-0000B7340000}"/>
    <cellStyle name="Финансовый 4 2 3 3 2 2" xfId="3826" xr:uid="{00000000-0005-0000-0000-0000B8340000}"/>
    <cellStyle name="Финансовый 4 2 3 3 2 2 2" xfId="12471" xr:uid="{00000000-0005-0000-0000-0000B9340000}"/>
    <cellStyle name="Финансовый 4 2 3 3 2 3" xfId="5609" xr:uid="{00000000-0005-0000-0000-0000BA340000}"/>
    <cellStyle name="Финансовый 4 2 3 3 2 3 2" xfId="14252" xr:uid="{00000000-0005-0000-0000-0000BB340000}"/>
    <cellStyle name="Финансовый 4 2 3 3 2 4" xfId="8219" xr:uid="{00000000-0005-0000-0000-0000BC340000}"/>
    <cellStyle name="Финансовый 4 2 3 3 2 4 2" xfId="16862" xr:uid="{00000000-0005-0000-0000-0000BD340000}"/>
    <cellStyle name="Финансовый 4 2 3 3 2 5" xfId="10826" xr:uid="{00000000-0005-0000-0000-0000BE340000}"/>
    <cellStyle name="Финансовый 4 2 3 3 3" xfId="1215" xr:uid="{00000000-0005-0000-0000-0000BF340000}"/>
    <cellStyle name="Финансовый 4 2 3 3 3 2" xfId="7255" xr:uid="{00000000-0005-0000-0000-0000C0340000}"/>
    <cellStyle name="Финансовый 4 2 3 3 3 2 2" xfId="15898" xr:uid="{00000000-0005-0000-0000-0000C1340000}"/>
    <cellStyle name="Финансовый 4 2 3 3 3 3" xfId="9862" xr:uid="{00000000-0005-0000-0000-0000C2340000}"/>
    <cellStyle name="Финансовый 4 2 3 3 4" xfId="822" xr:uid="{00000000-0005-0000-0000-0000C3340000}"/>
    <cellStyle name="Финансовый 4 2 3 3 4 2" xfId="6862" xr:uid="{00000000-0005-0000-0000-0000C4340000}"/>
    <cellStyle name="Финансовый 4 2 3 3 4 2 2" xfId="15505" xr:uid="{00000000-0005-0000-0000-0000C5340000}"/>
    <cellStyle name="Финансовый 4 2 3 3 4 3" xfId="9469" xr:uid="{00000000-0005-0000-0000-0000C6340000}"/>
    <cellStyle name="Финансовый 4 2 3 3 5" xfId="2999" xr:uid="{00000000-0005-0000-0000-0000C7340000}"/>
    <cellStyle name="Финансовый 4 2 3 3 5 2" xfId="11644" xr:uid="{00000000-0005-0000-0000-0000C8340000}"/>
    <cellStyle name="Финансовый 4 2 3 3 6" xfId="4643" xr:uid="{00000000-0005-0000-0000-0000C9340000}"/>
    <cellStyle name="Финансовый 4 2 3 3 6 2" xfId="13288" xr:uid="{00000000-0005-0000-0000-0000CA340000}"/>
    <cellStyle name="Финансовый 4 2 3 3 7" xfId="6442" xr:uid="{00000000-0005-0000-0000-0000CB340000}"/>
    <cellStyle name="Финансовый 4 2 3 3 7 2" xfId="15085" xr:uid="{00000000-0005-0000-0000-0000CC340000}"/>
    <cellStyle name="Финансовый 4 2 3 3 8" xfId="9049" xr:uid="{00000000-0005-0000-0000-0000CD340000}"/>
    <cellStyle name="Финансовый 4 2 3 4" xfId="1536" xr:uid="{00000000-0005-0000-0000-0000CE340000}"/>
    <cellStyle name="Финансовый 4 2 3 4 2" xfId="1925" xr:uid="{00000000-0005-0000-0000-0000CF340000}"/>
    <cellStyle name="Финансовый 4 2 3 4 2 2" xfId="3570" xr:uid="{00000000-0005-0000-0000-0000D0340000}"/>
    <cellStyle name="Финансовый 4 2 3 4 2 2 2" xfId="12215" xr:uid="{00000000-0005-0000-0000-0000D1340000}"/>
    <cellStyle name="Финансовый 4 2 3 4 2 3" xfId="5353" xr:uid="{00000000-0005-0000-0000-0000D2340000}"/>
    <cellStyle name="Финансовый 4 2 3 4 2 3 2" xfId="13996" xr:uid="{00000000-0005-0000-0000-0000D3340000}"/>
    <cellStyle name="Финансовый 4 2 3 4 2 4" xfId="7963" xr:uid="{00000000-0005-0000-0000-0000D4340000}"/>
    <cellStyle name="Финансовый 4 2 3 4 2 4 2" xfId="16606" xr:uid="{00000000-0005-0000-0000-0000D5340000}"/>
    <cellStyle name="Финансовый 4 2 3 4 2 5" xfId="10570" xr:uid="{00000000-0005-0000-0000-0000D6340000}"/>
    <cellStyle name="Финансовый 4 2 3 4 3" xfId="4964" xr:uid="{00000000-0005-0000-0000-0000D7340000}"/>
    <cellStyle name="Финансовый 4 2 3 4 3 2" xfId="13607" xr:uid="{00000000-0005-0000-0000-0000D8340000}"/>
    <cellStyle name="Финансовый 4 2 3 4 4" xfId="7574" xr:uid="{00000000-0005-0000-0000-0000D9340000}"/>
    <cellStyle name="Финансовый 4 2 3 4 4 2" xfId="16217" xr:uid="{00000000-0005-0000-0000-0000DA340000}"/>
    <cellStyle name="Финансовый 4 2 3 4 5" xfId="10181" xr:uid="{00000000-0005-0000-0000-0000DB340000}"/>
    <cellStyle name="Финансовый 4 2 3 5" xfId="1801" xr:uid="{00000000-0005-0000-0000-0000DC340000}"/>
    <cellStyle name="Финансовый 4 2 3 5 2" xfId="3446" xr:uid="{00000000-0005-0000-0000-0000DD340000}"/>
    <cellStyle name="Финансовый 4 2 3 5 2 2" xfId="12091" xr:uid="{00000000-0005-0000-0000-0000DE340000}"/>
    <cellStyle name="Финансовый 4 2 3 5 3" xfId="5229" xr:uid="{00000000-0005-0000-0000-0000DF340000}"/>
    <cellStyle name="Финансовый 4 2 3 5 3 2" xfId="13872" xr:uid="{00000000-0005-0000-0000-0000E0340000}"/>
    <cellStyle name="Финансовый 4 2 3 5 4" xfId="7839" xr:uid="{00000000-0005-0000-0000-0000E1340000}"/>
    <cellStyle name="Финансовый 4 2 3 5 4 2" xfId="16482" xr:uid="{00000000-0005-0000-0000-0000E2340000}"/>
    <cellStyle name="Финансовый 4 2 3 5 5" xfId="10446" xr:uid="{00000000-0005-0000-0000-0000E3340000}"/>
    <cellStyle name="Финансовый 4 2 3 6" xfId="2446" xr:uid="{00000000-0005-0000-0000-0000E4340000}"/>
    <cellStyle name="Финансовый 4 2 3 6 2" xfId="4091" xr:uid="{00000000-0005-0000-0000-0000E5340000}"/>
    <cellStyle name="Финансовый 4 2 3 6 2 2" xfId="12736" xr:uid="{00000000-0005-0000-0000-0000E6340000}"/>
    <cellStyle name="Финансовый 4 2 3 6 3" xfId="5874" xr:uid="{00000000-0005-0000-0000-0000E7340000}"/>
    <cellStyle name="Финансовый 4 2 3 6 3 2" xfId="14517" xr:uid="{00000000-0005-0000-0000-0000E8340000}"/>
    <cellStyle name="Финансовый 4 2 3 6 4" xfId="8484" xr:uid="{00000000-0005-0000-0000-0000E9340000}"/>
    <cellStyle name="Финансовый 4 2 3 6 4 2" xfId="17127" xr:uid="{00000000-0005-0000-0000-0000EA340000}"/>
    <cellStyle name="Финансовый 4 2 3 6 5" xfId="11091" xr:uid="{00000000-0005-0000-0000-0000EB340000}"/>
    <cellStyle name="Финансовый 4 2 3 7" xfId="1673" xr:uid="{00000000-0005-0000-0000-0000EC340000}"/>
    <cellStyle name="Финансовый 4 2 3 7 2" xfId="3318" xr:uid="{00000000-0005-0000-0000-0000ED340000}"/>
    <cellStyle name="Финансовый 4 2 3 7 2 2" xfId="11963" xr:uid="{00000000-0005-0000-0000-0000EE340000}"/>
    <cellStyle name="Финансовый 4 2 3 7 3" xfId="5101" xr:uid="{00000000-0005-0000-0000-0000EF340000}"/>
    <cellStyle name="Финансовый 4 2 3 7 3 2" xfId="13744" xr:uid="{00000000-0005-0000-0000-0000F0340000}"/>
    <cellStyle name="Финансовый 4 2 3 7 4" xfId="7711" xr:uid="{00000000-0005-0000-0000-0000F1340000}"/>
    <cellStyle name="Финансовый 4 2 3 7 4 2" xfId="16354" xr:uid="{00000000-0005-0000-0000-0000F2340000}"/>
    <cellStyle name="Финансовый 4 2 3 7 5" xfId="10318" xr:uid="{00000000-0005-0000-0000-0000F3340000}"/>
    <cellStyle name="Финансовый 4 2 3 8" xfId="950" xr:uid="{00000000-0005-0000-0000-0000F4340000}"/>
    <cellStyle name="Финансовый 4 2 3 8 2" xfId="6990" xr:uid="{00000000-0005-0000-0000-0000F5340000}"/>
    <cellStyle name="Финансовый 4 2 3 8 2 2" xfId="15633" xr:uid="{00000000-0005-0000-0000-0000F6340000}"/>
    <cellStyle name="Финансовый 4 2 3 8 3" xfId="9597" xr:uid="{00000000-0005-0000-0000-0000F7340000}"/>
    <cellStyle name="Финансовый 4 2 3 9" xfId="538" xr:uid="{00000000-0005-0000-0000-0000F8340000}"/>
    <cellStyle name="Финансовый 4 2 3 9 2" xfId="6578" xr:uid="{00000000-0005-0000-0000-0000F9340000}"/>
    <cellStyle name="Финансовый 4 2 3 9 2 2" xfId="15221" xr:uid="{00000000-0005-0000-0000-0000FA340000}"/>
    <cellStyle name="Финансовый 4 2 3 9 3" xfId="9185" xr:uid="{00000000-0005-0000-0000-0000FB340000}"/>
    <cellStyle name="Финансовый 4 2 4" xfId="81" xr:uid="{00000000-0005-0000-0000-0000FC340000}"/>
    <cellStyle name="Финансовый 4 2 4 10" xfId="2691" xr:uid="{00000000-0005-0000-0000-0000FD340000}"/>
    <cellStyle name="Финансовый 4 2 4 10 2" xfId="11336" xr:uid="{00000000-0005-0000-0000-0000FE340000}"/>
    <cellStyle name="Финансовый 4 2 4 11" xfId="4335" xr:uid="{00000000-0005-0000-0000-0000FF340000}"/>
    <cellStyle name="Финансовый 4 2 4 11 2" xfId="12980" xr:uid="{00000000-0005-0000-0000-000000350000}"/>
    <cellStyle name="Финансовый 4 2 4 12" xfId="6122" xr:uid="{00000000-0005-0000-0000-000001350000}"/>
    <cellStyle name="Финансовый 4 2 4 12 2" xfId="14765" xr:uid="{00000000-0005-0000-0000-000002350000}"/>
    <cellStyle name="Финансовый 4 2 4 13" xfId="8729" xr:uid="{00000000-0005-0000-0000-000003350000}"/>
    <cellStyle name="Финансовый 4 2 4 2" xfId="217" xr:uid="{00000000-0005-0000-0000-000004350000}"/>
    <cellStyle name="Финансовый 4 2 4 2 10" xfId="8865" xr:uid="{00000000-0005-0000-0000-000005350000}"/>
    <cellStyle name="Финансовый 4 2 4 2 2" xfId="1315" xr:uid="{00000000-0005-0000-0000-000006350000}"/>
    <cellStyle name="Финансовый 4 2 4 2 2 2" xfId="2273" xr:uid="{00000000-0005-0000-0000-000007350000}"/>
    <cellStyle name="Финансовый 4 2 4 2 2 2 2" xfId="3918" xr:uid="{00000000-0005-0000-0000-000008350000}"/>
    <cellStyle name="Финансовый 4 2 4 2 2 2 2 2" xfId="12563" xr:uid="{00000000-0005-0000-0000-000009350000}"/>
    <cellStyle name="Финансовый 4 2 4 2 2 2 3" xfId="5701" xr:uid="{00000000-0005-0000-0000-00000A350000}"/>
    <cellStyle name="Финансовый 4 2 4 2 2 2 3 2" xfId="14344" xr:uid="{00000000-0005-0000-0000-00000B350000}"/>
    <cellStyle name="Финансовый 4 2 4 2 2 2 4" xfId="8311" xr:uid="{00000000-0005-0000-0000-00000C350000}"/>
    <cellStyle name="Финансовый 4 2 4 2 2 2 4 2" xfId="16954" xr:uid="{00000000-0005-0000-0000-00000D350000}"/>
    <cellStyle name="Финансовый 4 2 4 2 2 2 5" xfId="10918" xr:uid="{00000000-0005-0000-0000-00000E350000}"/>
    <cellStyle name="Финансовый 4 2 4 2 2 3" xfId="3099" xr:uid="{00000000-0005-0000-0000-00000F350000}"/>
    <cellStyle name="Финансовый 4 2 4 2 2 3 2" xfId="11744" xr:uid="{00000000-0005-0000-0000-000010350000}"/>
    <cellStyle name="Финансовый 4 2 4 2 2 4" xfId="4743" xr:uid="{00000000-0005-0000-0000-000011350000}"/>
    <cellStyle name="Финансовый 4 2 4 2 2 4 2" xfId="13388" xr:uid="{00000000-0005-0000-0000-000012350000}"/>
    <cellStyle name="Финансовый 4 2 4 2 2 5" xfId="7355" xr:uid="{00000000-0005-0000-0000-000013350000}"/>
    <cellStyle name="Финансовый 4 2 4 2 2 5 2" xfId="15998" xr:uid="{00000000-0005-0000-0000-000014350000}"/>
    <cellStyle name="Финансовый 4 2 4 2 2 6" xfId="9962" xr:uid="{00000000-0005-0000-0000-000015350000}"/>
    <cellStyle name="Финансовый 4 2 4 2 3" xfId="2017" xr:uid="{00000000-0005-0000-0000-000016350000}"/>
    <cellStyle name="Финансовый 4 2 4 2 3 2" xfId="3662" xr:uid="{00000000-0005-0000-0000-000017350000}"/>
    <cellStyle name="Финансовый 4 2 4 2 3 2 2" xfId="12307" xr:uid="{00000000-0005-0000-0000-000018350000}"/>
    <cellStyle name="Финансовый 4 2 4 2 3 3" xfId="5445" xr:uid="{00000000-0005-0000-0000-000019350000}"/>
    <cellStyle name="Финансовый 4 2 4 2 3 3 2" xfId="14088" xr:uid="{00000000-0005-0000-0000-00001A350000}"/>
    <cellStyle name="Финансовый 4 2 4 2 3 4" xfId="8055" xr:uid="{00000000-0005-0000-0000-00001B350000}"/>
    <cellStyle name="Финансовый 4 2 4 2 3 4 2" xfId="16698" xr:uid="{00000000-0005-0000-0000-00001C350000}"/>
    <cellStyle name="Финансовый 4 2 4 2 3 5" xfId="10662" xr:uid="{00000000-0005-0000-0000-00001D350000}"/>
    <cellStyle name="Финансовый 4 2 4 2 4" xfId="2546" xr:uid="{00000000-0005-0000-0000-00001E350000}"/>
    <cellStyle name="Финансовый 4 2 4 2 4 2" xfId="4191" xr:uid="{00000000-0005-0000-0000-00001F350000}"/>
    <cellStyle name="Финансовый 4 2 4 2 4 2 2" xfId="12836" xr:uid="{00000000-0005-0000-0000-000020350000}"/>
    <cellStyle name="Финансовый 4 2 4 2 4 3" xfId="5974" xr:uid="{00000000-0005-0000-0000-000021350000}"/>
    <cellStyle name="Финансовый 4 2 4 2 4 3 2" xfId="14617" xr:uid="{00000000-0005-0000-0000-000022350000}"/>
    <cellStyle name="Финансовый 4 2 4 2 4 4" xfId="8584" xr:uid="{00000000-0005-0000-0000-000023350000}"/>
    <cellStyle name="Финансовый 4 2 4 2 4 4 2" xfId="17227" xr:uid="{00000000-0005-0000-0000-000024350000}"/>
    <cellStyle name="Финансовый 4 2 4 2 4 5" xfId="11191" xr:uid="{00000000-0005-0000-0000-000025350000}"/>
    <cellStyle name="Финансовый 4 2 4 2 5" xfId="1050" xr:uid="{00000000-0005-0000-0000-000026350000}"/>
    <cellStyle name="Финансовый 4 2 4 2 5 2" xfId="7090" xr:uid="{00000000-0005-0000-0000-000027350000}"/>
    <cellStyle name="Финансовый 4 2 4 2 5 2 2" xfId="15733" xr:uid="{00000000-0005-0000-0000-000028350000}"/>
    <cellStyle name="Финансовый 4 2 4 2 5 3" xfId="9697" xr:uid="{00000000-0005-0000-0000-000029350000}"/>
    <cellStyle name="Финансовый 4 2 4 2 6" xfId="638" xr:uid="{00000000-0005-0000-0000-00002A350000}"/>
    <cellStyle name="Финансовый 4 2 4 2 6 2" xfId="6678" xr:uid="{00000000-0005-0000-0000-00002B350000}"/>
    <cellStyle name="Финансовый 4 2 4 2 6 2 2" xfId="15321" xr:uid="{00000000-0005-0000-0000-00002C350000}"/>
    <cellStyle name="Финансовый 4 2 4 2 6 3" xfId="9285" xr:uid="{00000000-0005-0000-0000-00002D350000}"/>
    <cellStyle name="Финансовый 4 2 4 2 7" xfId="2827" xr:uid="{00000000-0005-0000-0000-00002E350000}"/>
    <cellStyle name="Финансовый 4 2 4 2 7 2" xfId="11472" xr:uid="{00000000-0005-0000-0000-00002F350000}"/>
    <cellStyle name="Финансовый 4 2 4 2 8" xfId="4471" xr:uid="{00000000-0005-0000-0000-000030350000}"/>
    <cellStyle name="Финансовый 4 2 4 2 8 2" xfId="13116" xr:uid="{00000000-0005-0000-0000-000031350000}"/>
    <cellStyle name="Финансовый 4 2 4 2 9" xfId="6258" xr:uid="{00000000-0005-0000-0000-000032350000}"/>
    <cellStyle name="Финансовый 4 2 4 2 9 2" xfId="14901" xr:uid="{00000000-0005-0000-0000-000033350000}"/>
    <cellStyle name="Финансовый 4 2 4 3" xfId="366" xr:uid="{00000000-0005-0000-0000-000034350000}"/>
    <cellStyle name="Финансовый 4 2 4 3 2" xfId="2145" xr:uid="{00000000-0005-0000-0000-000035350000}"/>
    <cellStyle name="Финансовый 4 2 4 3 2 2" xfId="3790" xr:uid="{00000000-0005-0000-0000-000036350000}"/>
    <cellStyle name="Финансовый 4 2 4 3 2 2 2" xfId="12435" xr:uid="{00000000-0005-0000-0000-000037350000}"/>
    <cellStyle name="Финансовый 4 2 4 3 2 3" xfId="5573" xr:uid="{00000000-0005-0000-0000-000038350000}"/>
    <cellStyle name="Финансовый 4 2 4 3 2 3 2" xfId="14216" xr:uid="{00000000-0005-0000-0000-000039350000}"/>
    <cellStyle name="Финансовый 4 2 4 3 2 4" xfId="8183" xr:uid="{00000000-0005-0000-0000-00003A350000}"/>
    <cellStyle name="Финансовый 4 2 4 3 2 4 2" xfId="16826" xr:uid="{00000000-0005-0000-0000-00003B350000}"/>
    <cellStyle name="Финансовый 4 2 4 3 2 5" xfId="10790" xr:uid="{00000000-0005-0000-0000-00003C350000}"/>
    <cellStyle name="Финансовый 4 2 4 3 3" xfId="1179" xr:uid="{00000000-0005-0000-0000-00003D350000}"/>
    <cellStyle name="Финансовый 4 2 4 3 3 2" xfId="7219" xr:uid="{00000000-0005-0000-0000-00003E350000}"/>
    <cellStyle name="Финансовый 4 2 4 3 3 2 2" xfId="15862" xr:uid="{00000000-0005-0000-0000-00003F350000}"/>
    <cellStyle name="Финансовый 4 2 4 3 3 3" xfId="9826" xr:uid="{00000000-0005-0000-0000-000040350000}"/>
    <cellStyle name="Финансовый 4 2 4 3 4" xfId="786" xr:uid="{00000000-0005-0000-0000-000041350000}"/>
    <cellStyle name="Финансовый 4 2 4 3 4 2" xfId="6826" xr:uid="{00000000-0005-0000-0000-000042350000}"/>
    <cellStyle name="Финансовый 4 2 4 3 4 2 2" xfId="15469" xr:uid="{00000000-0005-0000-0000-000043350000}"/>
    <cellStyle name="Финансовый 4 2 4 3 4 3" xfId="9433" xr:uid="{00000000-0005-0000-0000-000044350000}"/>
    <cellStyle name="Финансовый 4 2 4 3 5" xfId="2963" xr:uid="{00000000-0005-0000-0000-000045350000}"/>
    <cellStyle name="Финансовый 4 2 4 3 5 2" xfId="11608" xr:uid="{00000000-0005-0000-0000-000046350000}"/>
    <cellStyle name="Финансовый 4 2 4 3 6" xfId="4607" xr:uid="{00000000-0005-0000-0000-000047350000}"/>
    <cellStyle name="Финансовый 4 2 4 3 6 2" xfId="13252" xr:uid="{00000000-0005-0000-0000-000048350000}"/>
    <cellStyle name="Финансовый 4 2 4 3 7" xfId="6406" xr:uid="{00000000-0005-0000-0000-000049350000}"/>
    <cellStyle name="Финансовый 4 2 4 3 7 2" xfId="15049" xr:uid="{00000000-0005-0000-0000-00004A350000}"/>
    <cellStyle name="Финансовый 4 2 4 3 8" xfId="9013" xr:uid="{00000000-0005-0000-0000-00004B350000}"/>
    <cellStyle name="Финансовый 4 2 4 4" xfId="1537" xr:uid="{00000000-0005-0000-0000-00004C350000}"/>
    <cellStyle name="Финансовый 4 2 4 4 2" xfId="1889" xr:uid="{00000000-0005-0000-0000-00004D350000}"/>
    <cellStyle name="Финансовый 4 2 4 4 2 2" xfId="3534" xr:uid="{00000000-0005-0000-0000-00004E350000}"/>
    <cellStyle name="Финансовый 4 2 4 4 2 2 2" xfId="12179" xr:uid="{00000000-0005-0000-0000-00004F350000}"/>
    <cellStyle name="Финансовый 4 2 4 4 2 3" xfId="5317" xr:uid="{00000000-0005-0000-0000-000050350000}"/>
    <cellStyle name="Финансовый 4 2 4 4 2 3 2" xfId="13960" xr:uid="{00000000-0005-0000-0000-000051350000}"/>
    <cellStyle name="Финансовый 4 2 4 4 2 4" xfId="7927" xr:uid="{00000000-0005-0000-0000-000052350000}"/>
    <cellStyle name="Финансовый 4 2 4 4 2 4 2" xfId="16570" xr:uid="{00000000-0005-0000-0000-000053350000}"/>
    <cellStyle name="Финансовый 4 2 4 4 2 5" xfId="10534" xr:uid="{00000000-0005-0000-0000-000054350000}"/>
    <cellStyle name="Финансовый 4 2 4 4 3" xfId="4965" xr:uid="{00000000-0005-0000-0000-000055350000}"/>
    <cellStyle name="Финансовый 4 2 4 4 3 2" xfId="13608" xr:uid="{00000000-0005-0000-0000-000056350000}"/>
    <cellStyle name="Финансовый 4 2 4 4 4" xfId="7575" xr:uid="{00000000-0005-0000-0000-000057350000}"/>
    <cellStyle name="Финансовый 4 2 4 4 4 2" xfId="16218" xr:uid="{00000000-0005-0000-0000-000058350000}"/>
    <cellStyle name="Финансовый 4 2 4 4 5" xfId="10182" xr:uid="{00000000-0005-0000-0000-000059350000}"/>
    <cellStyle name="Финансовый 4 2 4 5" xfId="1765" xr:uid="{00000000-0005-0000-0000-00005A350000}"/>
    <cellStyle name="Финансовый 4 2 4 5 2" xfId="3410" xr:uid="{00000000-0005-0000-0000-00005B350000}"/>
    <cellStyle name="Финансовый 4 2 4 5 2 2" xfId="12055" xr:uid="{00000000-0005-0000-0000-00005C350000}"/>
    <cellStyle name="Финансовый 4 2 4 5 3" xfId="5193" xr:uid="{00000000-0005-0000-0000-00005D350000}"/>
    <cellStyle name="Финансовый 4 2 4 5 3 2" xfId="13836" xr:uid="{00000000-0005-0000-0000-00005E350000}"/>
    <cellStyle name="Финансовый 4 2 4 5 4" xfId="7803" xr:uid="{00000000-0005-0000-0000-00005F350000}"/>
    <cellStyle name="Финансовый 4 2 4 5 4 2" xfId="16446" xr:uid="{00000000-0005-0000-0000-000060350000}"/>
    <cellStyle name="Финансовый 4 2 4 5 5" xfId="10410" xr:uid="{00000000-0005-0000-0000-000061350000}"/>
    <cellStyle name="Финансовый 4 2 4 6" xfId="2410" xr:uid="{00000000-0005-0000-0000-000062350000}"/>
    <cellStyle name="Финансовый 4 2 4 6 2" xfId="4055" xr:uid="{00000000-0005-0000-0000-000063350000}"/>
    <cellStyle name="Финансовый 4 2 4 6 2 2" xfId="12700" xr:uid="{00000000-0005-0000-0000-000064350000}"/>
    <cellStyle name="Финансовый 4 2 4 6 3" xfId="5838" xr:uid="{00000000-0005-0000-0000-000065350000}"/>
    <cellStyle name="Финансовый 4 2 4 6 3 2" xfId="14481" xr:uid="{00000000-0005-0000-0000-000066350000}"/>
    <cellStyle name="Финансовый 4 2 4 6 4" xfId="8448" xr:uid="{00000000-0005-0000-0000-000067350000}"/>
    <cellStyle name="Финансовый 4 2 4 6 4 2" xfId="17091" xr:uid="{00000000-0005-0000-0000-000068350000}"/>
    <cellStyle name="Финансовый 4 2 4 6 5" xfId="11055" xr:uid="{00000000-0005-0000-0000-000069350000}"/>
    <cellStyle name="Финансовый 4 2 4 7" xfId="1637" xr:uid="{00000000-0005-0000-0000-00006A350000}"/>
    <cellStyle name="Финансовый 4 2 4 7 2" xfId="3282" xr:uid="{00000000-0005-0000-0000-00006B350000}"/>
    <cellStyle name="Финансовый 4 2 4 7 2 2" xfId="11927" xr:uid="{00000000-0005-0000-0000-00006C350000}"/>
    <cellStyle name="Финансовый 4 2 4 7 3" xfId="5065" xr:uid="{00000000-0005-0000-0000-00006D350000}"/>
    <cellStyle name="Финансовый 4 2 4 7 3 2" xfId="13708" xr:uid="{00000000-0005-0000-0000-00006E350000}"/>
    <cellStyle name="Финансовый 4 2 4 7 4" xfId="7675" xr:uid="{00000000-0005-0000-0000-00006F350000}"/>
    <cellStyle name="Финансовый 4 2 4 7 4 2" xfId="16318" xr:uid="{00000000-0005-0000-0000-000070350000}"/>
    <cellStyle name="Финансовый 4 2 4 7 5" xfId="10282" xr:uid="{00000000-0005-0000-0000-000071350000}"/>
    <cellStyle name="Финансовый 4 2 4 8" xfId="914" xr:uid="{00000000-0005-0000-0000-000072350000}"/>
    <cellStyle name="Финансовый 4 2 4 8 2" xfId="6954" xr:uid="{00000000-0005-0000-0000-000073350000}"/>
    <cellStyle name="Финансовый 4 2 4 8 2 2" xfId="15597" xr:uid="{00000000-0005-0000-0000-000074350000}"/>
    <cellStyle name="Финансовый 4 2 4 8 3" xfId="9561" xr:uid="{00000000-0005-0000-0000-000075350000}"/>
    <cellStyle name="Финансовый 4 2 4 9" xfId="502" xr:uid="{00000000-0005-0000-0000-000076350000}"/>
    <cellStyle name="Финансовый 4 2 4 9 2" xfId="6542" xr:uid="{00000000-0005-0000-0000-000077350000}"/>
    <cellStyle name="Финансовый 4 2 4 9 2 2" xfId="15185" xr:uid="{00000000-0005-0000-0000-000078350000}"/>
    <cellStyle name="Финансовый 4 2 4 9 3" xfId="9149" xr:uid="{00000000-0005-0000-0000-000079350000}"/>
    <cellStyle name="Финансовый 4 2 5" xfId="59" xr:uid="{00000000-0005-0000-0000-00007A350000}"/>
    <cellStyle name="Финансовый 4 2 5 10" xfId="2671" xr:uid="{00000000-0005-0000-0000-00007B350000}"/>
    <cellStyle name="Финансовый 4 2 5 10 2" xfId="11316" xr:uid="{00000000-0005-0000-0000-00007C350000}"/>
    <cellStyle name="Финансовый 4 2 5 11" xfId="4314" xr:uid="{00000000-0005-0000-0000-00007D350000}"/>
    <cellStyle name="Финансовый 4 2 5 11 2" xfId="12959" xr:uid="{00000000-0005-0000-0000-00007E350000}"/>
    <cellStyle name="Финансовый 4 2 5 12" xfId="6102" xr:uid="{00000000-0005-0000-0000-00007F350000}"/>
    <cellStyle name="Финансовый 4 2 5 12 2" xfId="14745" xr:uid="{00000000-0005-0000-0000-000080350000}"/>
    <cellStyle name="Финансовый 4 2 5 13" xfId="8709" xr:uid="{00000000-0005-0000-0000-000081350000}"/>
    <cellStyle name="Финансовый 4 2 5 2" xfId="197" xr:uid="{00000000-0005-0000-0000-000082350000}"/>
    <cellStyle name="Финансовый 4 2 5 2 10" xfId="8845" xr:uid="{00000000-0005-0000-0000-000083350000}"/>
    <cellStyle name="Финансовый 4 2 5 2 2" xfId="1295" xr:uid="{00000000-0005-0000-0000-000084350000}"/>
    <cellStyle name="Финансовый 4 2 5 2 2 2" xfId="2261" xr:uid="{00000000-0005-0000-0000-000085350000}"/>
    <cellStyle name="Финансовый 4 2 5 2 2 2 2" xfId="3906" xr:uid="{00000000-0005-0000-0000-000086350000}"/>
    <cellStyle name="Финансовый 4 2 5 2 2 2 2 2" xfId="12551" xr:uid="{00000000-0005-0000-0000-000087350000}"/>
    <cellStyle name="Финансовый 4 2 5 2 2 2 3" xfId="5689" xr:uid="{00000000-0005-0000-0000-000088350000}"/>
    <cellStyle name="Финансовый 4 2 5 2 2 2 3 2" xfId="14332" xr:uid="{00000000-0005-0000-0000-000089350000}"/>
    <cellStyle name="Финансовый 4 2 5 2 2 2 4" xfId="8299" xr:uid="{00000000-0005-0000-0000-00008A350000}"/>
    <cellStyle name="Финансовый 4 2 5 2 2 2 4 2" xfId="16942" xr:uid="{00000000-0005-0000-0000-00008B350000}"/>
    <cellStyle name="Финансовый 4 2 5 2 2 2 5" xfId="10906" xr:uid="{00000000-0005-0000-0000-00008C350000}"/>
    <cellStyle name="Финансовый 4 2 5 2 2 3" xfId="3079" xr:uid="{00000000-0005-0000-0000-00008D350000}"/>
    <cellStyle name="Финансовый 4 2 5 2 2 3 2" xfId="11724" xr:uid="{00000000-0005-0000-0000-00008E350000}"/>
    <cellStyle name="Финансовый 4 2 5 2 2 4" xfId="4723" xr:uid="{00000000-0005-0000-0000-00008F350000}"/>
    <cellStyle name="Финансовый 4 2 5 2 2 4 2" xfId="13368" xr:uid="{00000000-0005-0000-0000-000090350000}"/>
    <cellStyle name="Финансовый 4 2 5 2 2 5" xfId="7335" xr:uid="{00000000-0005-0000-0000-000091350000}"/>
    <cellStyle name="Финансовый 4 2 5 2 2 5 2" xfId="15978" xr:uid="{00000000-0005-0000-0000-000092350000}"/>
    <cellStyle name="Финансовый 4 2 5 2 2 6" xfId="9942" xr:uid="{00000000-0005-0000-0000-000093350000}"/>
    <cellStyle name="Финансовый 4 2 5 2 3" xfId="2005" xr:uid="{00000000-0005-0000-0000-000094350000}"/>
    <cellStyle name="Финансовый 4 2 5 2 3 2" xfId="3650" xr:uid="{00000000-0005-0000-0000-000095350000}"/>
    <cellStyle name="Финансовый 4 2 5 2 3 2 2" xfId="12295" xr:uid="{00000000-0005-0000-0000-000096350000}"/>
    <cellStyle name="Финансовый 4 2 5 2 3 3" xfId="5433" xr:uid="{00000000-0005-0000-0000-000097350000}"/>
    <cellStyle name="Финансовый 4 2 5 2 3 3 2" xfId="14076" xr:uid="{00000000-0005-0000-0000-000098350000}"/>
    <cellStyle name="Финансовый 4 2 5 2 3 4" xfId="8043" xr:uid="{00000000-0005-0000-0000-000099350000}"/>
    <cellStyle name="Финансовый 4 2 5 2 3 4 2" xfId="16686" xr:uid="{00000000-0005-0000-0000-00009A350000}"/>
    <cellStyle name="Финансовый 4 2 5 2 3 5" xfId="10650" xr:uid="{00000000-0005-0000-0000-00009B350000}"/>
    <cellStyle name="Финансовый 4 2 5 2 4" xfId="2526" xr:uid="{00000000-0005-0000-0000-00009C350000}"/>
    <cellStyle name="Финансовый 4 2 5 2 4 2" xfId="4171" xr:uid="{00000000-0005-0000-0000-00009D350000}"/>
    <cellStyle name="Финансовый 4 2 5 2 4 2 2" xfId="12816" xr:uid="{00000000-0005-0000-0000-00009E350000}"/>
    <cellStyle name="Финансовый 4 2 5 2 4 3" xfId="5954" xr:uid="{00000000-0005-0000-0000-00009F350000}"/>
    <cellStyle name="Финансовый 4 2 5 2 4 3 2" xfId="14597" xr:uid="{00000000-0005-0000-0000-0000A0350000}"/>
    <cellStyle name="Финансовый 4 2 5 2 4 4" xfId="8564" xr:uid="{00000000-0005-0000-0000-0000A1350000}"/>
    <cellStyle name="Финансовый 4 2 5 2 4 4 2" xfId="17207" xr:uid="{00000000-0005-0000-0000-0000A2350000}"/>
    <cellStyle name="Финансовый 4 2 5 2 4 5" xfId="11171" xr:uid="{00000000-0005-0000-0000-0000A3350000}"/>
    <cellStyle name="Финансовый 4 2 5 2 5" xfId="1030" xr:uid="{00000000-0005-0000-0000-0000A4350000}"/>
    <cellStyle name="Финансовый 4 2 5 2 5 2" xfId="7070" xr:uid="{00000000-0005-0000-0000-0000A5350000}"/>
    <cellStyle name="Финансовый 4 2 5 2 5 2 2" xfId="15713" xr:uid="{00000000-0005-0000-0000-0000A6350000}"/>
    <cellStyle name="Финансовый 4 2 5 2 5 3" xfId="9677" xr:uid="{00000000-0005-0000-0000-0000A7350000}"/>
    <cellStyle name="Финансовый 4 2 5 2 6" xfId="618" xr:uid="{00000000-0005-0000-0000-0000A8350000}"/>
    <cellStyle name="Финансовый 4 2 5 2 6 2" xfId="6658" xr:uid="{00000000-0005-0000-0000-0000A9350000}"/>
    <cellStyle name="Финансовый 4 2 5 2 6 2 2" xfId="15301" xr:uid="{00000000-0005-0000-0000-0000AA350000}"/>
    <cellStyle name="Финансовый 4 2 5 2 6 3" xfId="9265" xr:uid="{00000000-0005-0000-0000-0000AB350000}"/>
    <cellStyle name="Финансовый 4 2 5 2 7" xfId="2807" xr:uid="{00000000-0005-0000-0000-0000AC350000}"/>
    <cellStyle name="Финансовый 4 2 5 2 7 2" xfId="11452" xr:uid="{00000000-0005-0000-0000-0000AD350000}"/>
    <cellStyle name="Финансовый 4 2 5 2 8" xfId="4451" xr:uid="{00000000-0005-0000-0000-0000AE350000}"/>
    <cellStyle name="Финансовый 4 2 5 2 8 2" xfId="13096" xr:uid="{00000000-0005-0000-0000-0000AF350000}"/>
    <cellStyle name="Финансовый 4 2 5 2 9" xfId="6238" xr:uid="{00000000-0005-0000-0000-0000B0350000}"/>
    <cellStyle name="Финансовый 4 2 5 2 9 2" xfId="14881" xr:uid="{00000000-0005-0000-0000-0000B1350000}"/>
    <cellStyle name="Финансовый 4 2 5 3" xfId="346" xr:uid="{00000000-0005-0000-0000-0000B2350000}"/>
    <cellStyle name="Финансовый 4 2 5 3 2" xfId="2133" xr:uid="{00000000-0005-0000-0000-0000B3350000}"/>
    <cellStyle name="Финансовый 4 2 5 3 2 2" xfId="3778" xr:uid="{00000000-0005-0000-0000-0000B4350000}"/>
    <cellStyle name="Финансовый 4 2 5 3 2 2 2" xfId="12423" xr:uid="{00000000-0005-0000-0000-0000B5350000}"/>
    <cellStyle name="Финансовый 4 2 5 3 2 3" xfId="5561" xr:uid="{00000000-0005-0000-0000-0000B6350000}"/>
    <cellStyle name="Финансовый 4 2 5 3 2 3 2" xfId="14204" xr:uid="{00000000-0005-0000-0000-0000B7350000}"/>
    <cellStyle name="Финансовый 4 2 5 3 2 4" xfId="8171" xr:uid="{00000000-0005-0000-0000-0000B8350000}"/>
    <cellStyle name="Финансовый 4 2 5 3 2 4 2" xfId="16814" xr:uid="{00000000-0005-0000-0000-0000B9350000}"/>
    <cellStyle name="Финансовый 4 2 5 3 2 5" xfId="10778" xr:uid="{00000000-0005-0000-0000-0000BA350000}"/>
    <cellStyle name="Финансовый 4 2 5 3 3" xfId="1166" xr:uid="{00000000-0005-0000-0000-0000BB350000}"/>
    <cellStyle name="Финансовый 4 2 5 3 3 2" xfId="7206" xr:uid="{00000000-0005-0000-0000-0000BC350000}"/>
    <cellStyle name="Финансовый 4 2 5 3 3 2 2" xfId="15849" xr:uid="{00000000-0005-0000-0000-0000BD350000}"/>
    <cellStyle name="Финансовый 4 2 5 3 3 3" xfId="9813" xr:uid="{00000000-0005-0000-0000-0000BE350000}"/>
    <cellStyle name="Финансовый 4 2 5 3 4" xfId="766" xr:uid="{00000000-0005-0000-0000-0000BF350000}"/>
    <cellStyle name="Финансовый 4 2 5 3 4 2" xfId="6806" xr:uid="{00000000-0005-0000-0000-0000C0350000}"/>
    <cellStyle name="Финансовый 4 2 5 3 4 2 2" xfId="15449" xr:uid="{00000000-0005-0000-0000-0000C1350000}"/>
    <cellStyle name="Финансовый 4 2 5 3 4 3" xfId="9413" xr:uid="{00000000-0005-0000-0000-0000C2350000}"/>
    <cellStyle name="Финансовый 4 2 5 3 5" xfId="2943" xr:uid="{00000000-0005-0000-0000-0000C3350000}"/>
    <cellStyle name="Финансовый 4 2 5 3 5 2" xfId="11588" xr:uid="{00000000-0005-0000-0000-0000C4350000}"/>
    <cellStyle name="Финансовый 4 2 5 3 6" xfId="4587" xr:uid="{00000000-0005-0000-0000-0000C5350000}"/>
    <cellStyle name="Финансовый 4 2 5 3 6 2" xfId="13232" xr:uid="{00000000-0005-0000-0000-0000C6350000}"/>
    <cellStyle name="Финансовый 4 2 5 3 7" xfId="6386" xr:uid="{00000000-0005-0000-0000-0000C7350000}"/>
    <cellStyle name="Финансовый 4 2 5 3 7 2" xfId="15029" xr:uid="{00000000-0005-0000-0000-0000C8350000}"/>
    <cellStyle name="Финансовый 4 2 5 3 8" xfId="8993" xr:uid="{00000000-0005-0000-0000-0000C9350000}"/>
    <cellStyle name="Финансовый 4 2 5 4" xfId="1538" xr:uid="{00000000-0005-0000-0000-0000CA350000}"/>
    <cellStyle name="Финансовый 4 2 5 4 2" xfId="1869" xr:uid="{00000000-0005-0000-0000-0000CB350000}"/>
    <cellStyle name="Финансовый 4 2 5 4 2 2" xfId="3514" xr:uid="{00000000-0005-0000-0000-0000CC350000}"/>
    <cellStyle name="Финансовый 4 2 5 4 2 2 2" xfId="12159" xr:uid="{00000000-0005-0000-0000-0000CD350000}"/>
    <cellStyle name="Финансовый 4 2 5 4 2 3" xfId="5297" xr:uid="{00000000-0005-0000-0000-0000CE350000}"/>
    <cellStyle name="Финансовый 4 2 5 4 2 3 2" xfId="13940" xr:uid="{00000000-0005-0000-0000-0000CF350000}"/>
    <cellStyle name="Финансовый 4 2 5 4 2 4" xfId="7907" xr:uid="{00000000-0005-0000-0000-0000D0350000}"/>
    <cellStyle name="Финансовый 4 2 5 4 2 4 2" xfId="16550" xr:uid="{00000000-0005-0000-0000-0000D1350000}"/>
    <cellStyle name="Финансовый 4 2 5 4 2 5" xfId="10514" xr:uid="{00000000-0005-0000-0000-0000D2350000}"/>
    <cellStyle name="Финансовый 4 2 5 4 3" xfId="4966" xr:uid="{00000000-0005-0000-0000-0000D3350000}"/>
    <cellStyle name="Финансовый 4 2 5 4 3 2" xfId="13609" xr:uid="{00000000-0005-0000-0000-0000D4350000}"/>
    <cellStyle name="Финансовый 4 2 5 4 4" xfId="7576" xr:uid="{00000000-0005-0000-0000-0000D5350000}"/>
    <cellStyle name="Финансовый 4 2 5 4 4 2" xfId="16219" xr:uid="{00000000-0005-0000-0000-0000D6350000}"/>
    <cellStyle name="Финансовый 4 2 5 4 5" xfId="10183" xr:uid="{00000000-0005-0000-0000-0000D7350000}"/>
    <cellStyle name="Финансовый 4 2 5 5" xfId="1753" xr:uid="{00000000-0005-0000-0000-0000D8350000}"/>
    <cellStyle name="Финансовый 4 2 5 5 2" xfId="3398" xr:uid="{00000000-0005-0000-0000-0000D9350000}"/>
    <cellStyle name="Финансовый 4 2 5 5 2 2" xfId="12043" xr:uid="{00000000-0005-0000-0000-0000DA350000}"/>
    <cellStyle name="Финансовый 4 2 5 5 3" xfId="5181" xr:uid="{00000000-0005-0000-0000-0000DB350000}"/>
    <cellStyle name="Финансовый 4 2 5 5 3 2" xfId="13824" xr:uid="{00000000-0005-0000-0000-0000DC350000}"/>
    <cellStyle name="Финансовый 4 2 5 5 4" xfId="7791" xr:uid="{00000000-0005-0000-0000-0000DD350000}"/>
    <cellStyle name="Финансовый 4 2 5 5 4 2" xfId="16434" xr:uid="{00000000-0005-0000-0000-0000DE350000}"/>
    <cellStyle name="Финансовый 4 2 5 5 5" xfId="10398" xr:uid="{00000000-0005-0000-0000-0000DF350000}"/>
    <cellStyle name="Финансовый 4 2 5 6" xfId="2389" xr:uid="{00000000-0005-0000-0000-0000E0350000}"/>
    <cellStyle name="Финансовый 4 2 5 6 2" xfId="4034" xr:uid="{00000000-0005-0000-0000-0000E1350000}"/>
    <cellStyle name="Финансовый 4 2 5 6 2 2" xfId="12679" xr:uid="{00000000-0005-0000-0000-0000E2350000}"/>
    <cellStyle name="Финансовый 4 2 5 6 3" xfId="5817" xr:uid="{00000000-0005-0000-0000-0000E3350000}"/>
    <cellStyle name="Финансовый 4 2 5 6 3 2" xfId="14460" xr:uid="{00000000-0005-0000-0000-0000E4350000}"/>
    <cellStyle name="Финансовый 4 2 5 6 4" xfId="8427" xr:uid="{00000000-0005-0000-0000-0000E5350000}"/>
    <cellStyle name="Финансовый 4 2 5 6 4 2" xfId="17070" xr:uid="{00000000-0005-0000-0000-0000E6350000}"/>
    <cellStyle name="Финансовый 4 2 5 6 5" xfId="11034" xr:uid="{00000000-0005-0000-0000-0000E7350000}"/>
    <cellStyle name="Финансовый 4 2 5 7" xfId="1616" xr:uid="{00000000-0005-0000-0000-0000E8350000}"/>
    <cellStyle name="Финансовый 4 2 5 7 2" xfId="3261" xr:uid="{00000000-0005-0000-0000-0000E9350000}"/>
    <cellStyle name="Финансовый 4 2 5 7 2 2" xfId="11906" xr:uid="{00000000-0005-0000-0000-0000EA350000}"/>
    <cellStyle name="Финансовый 4 2 5 7 3" xfId="5044" xr:uid="{00000000-0005-0000-0000-0000EB350000}"/>
    <cellStyle name="Финансовый 4 2 5 7 3 2" xfId="13687" xr:uid="{00000000-0005-0000-0000-0000EC350000}"/>
    <cellStyle name="Финансовый 4 2 5 7 4" xfId="7654" xr:uid="{00000000-0005-0000-0000-0000ED350000}"/>
    <cellStyle name="Финансовый 4 2 5 7 4 2" xfId="16297" xr:uid="{00000000-0005-0000-0000-0000EE350000}"/>
    <cellStyle name="Финансовый 4 2 5 7 5" xfId="10261" xr:uid="{00000000-0005-0000-0000-0000EF350000}"/>
    <cellStyle name="Финансовый 4 2 5 8" xfId="902" xr:uid="{00000000-0005-0000-0000-0000F0350000}"/>
    <cellStyle name="Финансовый 4 2 5 8 2" xfId="6942" xr:uid="{00000000-0005-0000-0000-0000F1350000}"/>
    <cellStyle name="Финансовый 4 2 5 8 2 2" xfId="15585" xr:uid="{00000000-0005-0000-0000-0000F2350000}"/>
    <cellStyle name="Финансовый 4 2 5 8 3" xfId="9549" xr:uid="{00000000-0005-0000-0000-0000F3350000}"/>
    <cellStyle name="Финансовый 4 2 5 9" xfId="482" xr:uid="{00000000-0005-0000-0000-0000F4350000}"/>
    <cellStyle name="Финансовый 4 2 5 9 2" xfId="6522" xr:uid="{00000000-0005-0000-0000-0000F5350000}"/>
    <cellStyle name="Финансовый 4 2 5 9 2 2" xfId="15165" xr:uid="{00000000-0005-0000-0000-0000F6350000}"/>
    <cellStyle name="Финансовый 4 2 5 9 3" xfId="9129" xr:uid="{00000000-0005-0000-0000-0000F7350000}"/>
    <cellStyle name="Финансовый 4 2 6" xfId="137" xr:uid="{00000000-0005-0000-0000-0000F8350000}"/>
    <cellStyle name="Финансовый 4 2 6 10" xfId="2747" xr:uid="{00000000-0005-0000-0000-0000F9350000}"/>
    <cellStyle name="Финансовый 4 2 6 10 2" xfId="11392" xr:uid="{00000000-0005-0000-0000-0000FA350000}"/>
    <cellStyle name="Финансовый 4 2 6 11" xfId="4391" xr:uid="{00000000-0005-0000-0000-0000FB350000}"/>
    <cellStyle name="Финансовый 4 2 6 11 2" xfId="13036" xr:uid="{00000000-0005-0000-0000-0000FC350000}"/>
    <cellStyle name="Финансовый 4 2 6 12" xfId="6178" xr:uid="{00000000-0005-0000-0000-0000FD350000}"/>
    <cellStyle name="Финансовый 4 2 6 12 2" xfId="14821" xr:uid="{00000000-0005-0000-0000-0000FE350000}"/>
    <cellStyle name="Финансовый 4 2 6 13" xfId="8785" xr:uid="{00000000-0005-0000-0000-0000FF350000}"/>
    <cellStyle name="Финансовый 4 2 6 2" xfId="273" xr:uid="{00000000-0005-0000-0000-000000360000}"/>
    <cellStyle name="Финансовый 4 2 6 2 10" xfId="8921" xr:uid="{00000000-0005-0000-0000-000001360000}"/>
    <cellStyle name="Финансовый 4 2 6 2 2" xfId="1371" xr:uid="{00000000-0005-0000-0000-000002360000}"/>
    <cellStyle name="Финансовый 4 2 6 2 2 2" xfId="2329" xr:uid="{00000000-0005-0000-0000-000003360000}"/>
    <cellStyle name="Финансовый 4 2 6 2 2 2 2" xfId="3974" xr:uid="{00000000-0005-0000-0000-000004360000}"/>
    <cellStyle name="Финансовый 4 2 6 2 2 2 2 2" xfId="12619" xr:uid="{00000000-0005-0000-0000-000005360000}"/>
    <cellStyle name="Финансовый 4 2 6 2 2 2 3" xfId="5757" xr:uid="{00000000-0005-0000-0000-000006360000}"/>
    <cellStyle name="Финансовый 4 2 6 2 2 2 3 2" xfId="14400" xr:uid="{00000000-0005-0000-0000-000007360000}"/>
    <cellStyle name="Финансовый 4 2 6 2 2 2 4" xfId="8367" xr:uid="{00000000-0005-0000-0000-000008360000}"/>
    <cellStyle name="Финансовый 4 2 6 2 2 2 4 2" xfId="17010" xr:uid="{00000000-0005-0000-0000-000009360000}"/>
    <cellStyle name="Финансовый 4 2 6 2 2 2 5" xfId="10974" xr:uid="{00000000-0005-0000-0000-00000A360000}"/>
    <cellStyle name="Финансовый 4 2 6 2 2 3" xfId="3155" xr:uid="{00000000-0005-0000-0000-00000B360000}"/>
    <cellStyle name="Финансовый 4 2 6 2 2 3 2" xfId="11800" xr:uid="{00000000-0005-0000-0000-00000C360000}"/>
    <cellStyle name="Финансовый 4 2 6 2 2 4" xfId="4799" xr:uid="{00000000-0005-0000-0000-00000D360000}"/>
    <cellStyle name="Финансовый 4 2 6 2 2 4 2" xfId="13444" xr:uid="{00000000-0005-0000-0000-00000E360000}"/>
    <cellStyle name="Финансовый 4 2 6 2 2 5" xfId="7411" xr:uid="{00000000-0005-0000-0000-00000F360000}"/>
    <cellStyle name="Финансовый 4 2 6 2 2 5 2" xfId="16054" xr:uid="{00000000-0005-0000-0000-000010360000}"/>
    <cellStyle name="Финансовый 4 2 6 2 2 6" xfId="10018" xr:uid="{00000000-0005-0000-0000-000011360000}"/>
    <cellStyle name="Финансовый 4 2 6 2 3" xfId="2073" xr:uid="{00000000-0005-0000-0000-000012360000}"/>
    <cellStyle name="Финансовый 4 2 6 2 3 2" xfId="3718" xr:uid="{00000000-0005-0000-0000-000013360000}"/>
    <cellStyle name="Финансовый 4 2 6 2 3 2 2" xfId="12363" xr:uid="{00000000-0005-0000-0000-000014360000}"/>
    <cellStyle name="Финансовый 4 2 6 2 3 3" xfId="5501" xr:uid="{00000000-0005-0000-0000-000015360000}"/>
    <cellStyle name="Финансовый 4 2 6 2 3 3 2" xfId="14144" xr:uid="{00000000-0005-0000-0000-000016360000}"/>
    <cellStyle name="Финансовый 4 2 6 2 3 4" xfId="8111" xr:uid="{00000000-0005-0000-0000-000017360000}"/>
    <cellStyle name="Финансовый 4 2 6 2 3 4 2" xfId="16754" xr:uid="{00000000-0005-0000-0000-000018360000}"/>
    <cellStyle name="Финансовый 4 2 6 2 3 5" xfId="10718" xr:uid="{00000000-0005-0000-0000-000019360000}"/>
    <cellStyle name="Финансовый 4 2 6 2 4" xfId="2602" xr:uid="{00000000-0005-0000-0000-00001A360000}"/>
    <cellStyle name="Финансовый 4 2 6 2 4 2" xfId="4247" xr:uid="{00000000-0005-0000-0000-00001B360000}"/>
    <cellStyle name="Финансовый 4 2 6 2 4 2 2" xfId="12892" xr:uid="{00000000-0005-0000-0000-00001C360000}"/>
    <cellStyle name="Финансовый 4 2 6 2 4 3" xfId="6030" xr:uid="{00000000-0005-0000-0000-00001D360000}"/>
    <cellStyle name="Финансовый 4 2 6 2 4 3 2" xfId="14673" xr:uid="{00000000-0005-0000-0000-00001E360000}"/>
    <cellStyle name="Финансовый 4 2 6 2 4 4" xfId="8640" xr:uid="{00000000-0005-0000-0000-00001F360000}"/>
    <cellStyle name="Финансовый 4 2 6 2 4 4 2" xfId="17283" xr:uid="{00000000-0005-0000-0000-000020360000}"/>
    <cellStyle name="Финансовый 4 2 6 2 4 5" xfId="11247" xr:uid="{00000000-0005-0000-0000-000021360000}"/>
    <cellStyle name="Финансовый 4 2 6 2 5" xfId="1106" xr:uid="{00000000-0005-0000-0000-000022360000}"/>
    <cellStyle name="Финансовый 4 2 6 2 5 2" xfId="7146" xr:uid="{00000000-0005-0000-0000-000023360000}"/>
    <cellStyle name="Финансовый 4 2 6 2 5 2 2" xfId="15789" xr:uid="{00000000-0005-0000-0000-000024360000}"/>
    <cellStyle name="Финансовый 4 2 6 2 5 3" xfId="9753" xr:uid="{00000000-0005-0000-0000-000025360000}"/>
    <cellStyle name="Финансовый 4 2 6 2 6" xfId="694" xr:uid="{00000000-0005-0000-0000-000026360000}"/>
    <cellStyle name="Финансовый 4 2 6 2 6 2" xfId="6734" xr:uid="{00000000-0005-0000-0000-000027360000}"/>
    <cellStyle name="Финансовый 4 2 6 2 6 2 2" xfId="15377" xr:uid="{00000000-0005-0000-0000-000028360000}"/>
    <cellStyle name="Финансовый 4 2 6 2 6 3" xfId="9341" xr:uid="{00000000-0005-0000-0000-000029360000}"/>
    <cellStyle name="Финансовый 4 2 6 2 7" xfId="2883" xr:uid="{00000000-0005-0000-0000-00002A360000}"/>
    <cellStyle name="Финансовый 4 2 6 2 7 2" xfId="11528" xr:uid="{00000000-0005-0000-0000-00002B360000}"/>
    <cellStyle name="Финансовый 4 2 6 2 8" xfId="4527" xr:uid="{00000000-0005-0000-0000-00002C360000}"/>
    <cellStyle name="Финансовый 4 2 6 2 8 2" xfId="13172" xr:uid="{00000000-0005-0000-0000-00002D360000}"/>
    <cellStyle name="Финансовый 4 2 6 2 9" xfId="6314" xr:uid="{00000000-0005-0000-0000-00002E360000}"/>
    <cellStyle name="Финансовый 4 2 6 2 9 2" xfId="14957" xr:uid="{00000000-0005-0000-0000-00002F360000}"/>
    <cellStyle name="Финансовый 4 2 6 3" xfId="422" xr:uid="{00000000-0005-0000-0000-000030360000}"/>
    <cellStyle name="Финансовый 4 2 6 3 2" xfId="2201" xr:uid="{00000000-0005-0000-0000-000031360000}"/>
    <cellStyle name="Финансовый 4 2 6 3 2 2" xfId="3846" xr:uid="{00000000-0005-0000-0000-000032360000}"/>
    <cellStyle name="Финансовый 4 2 6 3 2 2 2" xfId="12491" xr:uid="{00000000-0005-0000-0000-000033360000}"/>
    <cellStyle name="Финансовый 4 2 6 3 2 3" xfId="5629" xr:uid="{00000000-0005-0000-0000-000034360000}"/>
    <cellStyle name="Финансовый 4 2 6 3 2 3 2" xfId="14272" xr:uid="{00000000-0005-0000-0000-000035360000}"/>
    <cellStyle name="Финансовый 4 2 6 3 2 4" xfId="8239" xr:uid="{00000000-0005-0000-0000-000036360000}"/>
    <cellStyle name="Финансовый 4 2 6 3 2 4 2" xfId="16882" xr:uid="{00000000-0005-0000-0000-000037360000}"/>
    <cellStyle name="Финансовый 4 2 6 3 2 5" xfId="10846" xr:uid="{00000000-0005-0000-0000-000038360000}"/>
    <cellStyle name="Финансовый 4 2 6 3 3" xfId="1235" xr:uid="{00000000-0005-0000-0000-000039360000}"/>
    <cellStyle name="Финансовый 4 2 6 3 3 2" xfId="7275" xr:uid="{00000000-0005-0000-0000-00003A360000}"/>
    <cellStyle name="Финансовый 4 2 6 3 3 2 2" xfId="15918" xr:uid="{00000000-0005-0000-0000-00003B360000}"/>
    <cellStyle name="Финансовый 4 2 6 3 3 3" xfId="9882" xr:uid="{00000000-0005-0000-0000-00003C360000}"/>
    <cellStyle name="Финансовый 4 2 6 3 4" xfId="842" xr:uid="{00000000-0005-0000-0000-00003D360000}"/>
    <cellStyle name="Финансовый 4 2 6 3 4 2" xfId="6882" xr:uid="{00000000-0005-0000-0000-00003E360000}"/>
    <cellStyle name="Финансовый 4 2 6 3 4 2 2" xfId="15525" xr:uid="{00000000-0005-0000-0000-00003F360000}"/>
    <cellStyle name="Финансовый 4 2 6 3 4 3" xfId="9489" xr:uid="{00000000-0005-0000-0000-000040360000}"/>
    <cellStyle name="Финансовый 4 2 6 3 5" xfId="3019" xr:uid="{00000000-0005-0000-0000-000041360000}"/>
    <cellStyle name="Финансовый 4 2 6 3 5 2" xfId="11664" xr:uid="{00000000-0005-0000-0000-000042360000}"/>
    <cellStyle name="Финансовый 4 2 6 3 6" xfId="4663" xr:uid="{00000000-0005-0000-0000-000043360000}"/>
    <cellStyle name="Финансовый 4 2 6 3 6 2" xfId="13308" xr:uid="{00000000-0005-0000-0000-000044360000}"/>
    <cellStyle name="Финансовый 4 2 6 3 7" xfId="6462" xr:uid="{00000000-0005-0000-0000-000045360000}"/>
    <cellStyle name="Финансовый 4 2 6 3 7 2" xfId="15105" xr:uid="{00000000-0005-0000-0000-000046360000}"/>
    <cellStyle name="Финансовый 4 2 6 3 8" xfId="9069" xr:uid="{00000000-0005-0000-0000-000047360000}"/>
    <cellStyle name="Финансовый 4 2 6 4" xfId="1453" xr:uid="{00000000-0005-0000-0000-000048360000}"/>
    <cellStyle name="Финансовый 4 2 6 4 2" xfId="1945" xr:uid="{00000000-0005-0000-0000-000049360000}"/>
    <cellStyle name="Финансовый 4 2 6 4 2 2" xfId="3590" xr:uid="{00000000-0005-0000-0000-00004A360000}"/>
    <cellStyle name="Финансовый 4 2 6 4 2 2 2" xfId="12235" xr:uid="{00000000-0005-0000-0000-00004B360000}"/>
    <cellStyle name="Финансовый 4 2 6 4 2 3" xfId="5373" xr:uid="{00000000-0005-0000-0000-00004C360000}"/>
    <cellStyle name="Финансовый 4 2 6 4 2 3 2" xfId="14016" xr:uid="{00000000-0005-0000-0000-00004D360000}"/>
    <cellStyle name="Финансовый 4 2 6 4 2 4" xfId="7983" xr:uid="{00000000-0005-0000-0000-00004E360000}"/>
    <cellStyle name="Финансовый 4 2 6 4 2 4 2" xfId="16626" xr:uid="{00000000-0005-0000-0000-00004F360000}"/>
    <cellStyle name="Финансовый 4 2 6 4 2 5" xfId="10590" xr:uid="{00000000-0005-0000-0000-000050360000}"/>
    <cellStyle name="Финансовый 4 2 6 4 3" xfId="4881" xr:uid="{00000000-0005-0000-0000-000051360000}"/>
    <cellStyle name="Финансовый 4 2 6 4 3 2" xfId="13524" xr:uid="{00000000-0005-0000-0000-000052360000}"/>
    <cellStyle name="Финансовый 4 2 6 4 4" xfId="7491" xr:uid="{00000000-0005-0000-0000-000053360000}"/>
    <cellStyle name="Финансовый 4 2 6 4 4 2" xfId="16134" xr:uid="{00000000-0005-0000-0000-000054360000}"/>
    <cellStyle name="Финансовый 4 2 6 4 5" xfId="10098" xr:uid="{00000000-0005-0000-0000-000055360000}"/>
    <cellStyle name="Финансовый 4 2 6 5" xfId="1821" xr:uid="{00000000-0005-0000-0000-000056360000}"/>
    <cellStyle name="Финансовый 4 2 6 5 2" xfId="3466" xr:uid="{00000000-0005-0000-0000-000057360000}"/>
    <cellStyle name="Финансовый 4 2 6 5 2 2" xfId="12111" xr:uid="{00000000-0005-0000-0000-000058360000}"/>
    <cellStyle name="Финансовый 4 2 6 5 3" xfId="5249" xr:uid="{00000000-0005-0000-0000-000059360000}"/>
    <cellStyle name="Финансовый 4 2 6 5 3 2" xfId="13892" xr:uid="{00000000-0005-0000-0000-00005A360000}"/>
    <cellStyle name="Финансовый 4 2 6 5 4" xfId="7859" xr:uid="{00000000-0005-0000-0000-00005B360000}"/>
    <cellStyle name="Финансовый 4 2 6 5 4 2" xfId="16502" xr:uid="{00000000-0005-0000-0000-00005C360000}"/>
    <cellStyle name="Финансовый 4 2 6 5 5" xfId="10466" xr:uid="{00000000-0005-0000-0000-00005D360000}"/>
    <cellStyle name="Финансовый 4 2 6 6" xfId="2466" xr:uid="{00000000-0005-0000-0000-00005E360000}"/>
    <cellStyle name="Финансовый 4 2 6 6 2" xfId="4111" xr:uid="{00000000-0005-0000-0000-00005F360000}"/>
    <cellStyle name="Финансовый 4 2 6 6 2 2" xfId="12756" xr:uid="{00000000-0005-0000-0000-000060360000}"/>
    <cellStyle name="Финансовый 4 2 6 6 3" xfId="5894" xr:uid="{00000000-0005-0000-0000-000061360000}"/>
    <cellStyle name="Финансовый 4 2 6 6 3 2" xfId="14537" xr:uid="{00000000-0005-0000-0000-000062360000}"/>
    <cellStyle name="Финансовый 4 2 6 6 4" xfId="8504" xr:uid="{00000000-0005-0000-0000-000063360000}"/>
    <cellStyle name="Финансовый 4 2 6 6 4 2" xfId="17147" xr:uid="{00000000-0005-0000-0000-000064360000}"/>
    <cellStyle name="Финансовый 4 2 6 6 5" xfId="11111" xr:uid="{00000000-0005-0000-0000-000065360000}"/>
    <cellStyle name="Финансовый 4 2 6 7" xfId="1693" xr:uid="{00000000-0005-0000-0000-000066360000}"/>
    <cellStyle name="Финансовый 4 2 6 7 2" xfId="3338" xr:uid="{00000000-0005-0000-0000-000067360000}"/>
    <cellStyle name="Финансовый 4 2 6 7 2 2" xfId="11983" xr:uid="{00000000-0005-0000-0000-000068360000}"/>
    <cellStyle name="Финансовый 4 2 6 7 3" xfId="5121" xr:uid="{00000000-0005-0000-0000-000069360000}"/>
    <cellStyle name="Финансовый 4 2 6 7 3 2" xfId="13764" xr:uid="{00000000-0005-0000-0000-00006A360000}"/>
    <cellStyle name="Финансовый 4 2 6 7 4" xfId="7731" xr:uid="{00000000-0005-0000-0000-00006B360000}"/>
    <cellStyle name="Финансовый 4 2 6 7 4 2" xfId="16374" xr:uid="{00000000-0005-0000-0000-00006C360000}"/>
    <cellStyle name="Финансовый 4 2 6 7 5" xfId="10338" xr:uid="{00000000-0005-0000-0000-00006D360000}"/>
    <cellStyle name="Финансовый 4 2 6 8" xfId="970" xr:uid="{00000000-0005-0000-0000-00006E360000}"/>
    <cellStyle name="Финансовый 4 2 6 8 2" xfId="7010" xr:uid="{00000000-0005-0000-0000-00006F360000}"/>
    <cellStyle name="Финансовый 4 2 6 8 2 2" xfId="15653" xr:uid="{00000000-0005-0000-0000-000070360000}"/>
    <cellStyle name="Финансовый 4 2 6 8 3" xfId="9617" xr:uid="{00000000-0005-0000-0000-000071360000}"/>
    <cellStyle name="Финансовый 4 2 6 9" xfId="558" xr:uid="{00000000-0005-0000-0000-000072360000}"/>
    <cellStyle name="Финансовый 4 2 6 9 2" xfId="6598" xr:uid="{00000000-0005-0000-0000-000073360000}"/>
    <cellStyle name="Финансовый 4 2 6 9 2 2" xfId="15241" xr:uid="{00000000-0005-0000-0000-000074360000}"/>
    <cellStyle name="Финансовый 4 2 6 9 3" xfId="9205" xr:uid="{00000000-0005-0000-0000-000075360000}"/>
    <cellStyle name="Финансовый 4 2 7" xfId="35" xr:uid="{00000000-0005-0000-0000-000076360000}"/>
    <cellStyle name="Финансовый 4 2 7 10" xfId="2647" xr:uid="{00000000-0005-0000-0000-000077360000}"/>
    <cellStyle name="Финансовый 4 2 7 10 2" xfId="11292" xr:uid="{00000000-0005-0000-0000-000078360000}"/>
    <cellStyle name="Финансовый 4 2 7 11" xfId="4290" xr:uid="{00000000-0005-0000-0000-000079360000}"/>
    <cellStyle name="Финансовый 4 2 7 11 2" xfId="12935" xr:uid="{00000000-0005-0000-0000-00007A360000}"/>
    <cellStyle name="Финансовый 4 2 7 12" xfId="6078" xr:uid="{00000000-0005-0000-0000-00007B360000}"/>
    <cellStyle name="Финансовый 4 2 7 12 2" xfId="14721" xr:uid="{00000000-0005-0000-0000-00007C360000}"/>
    <cellStyle name="Финансовый 4 2 7 13" xfId="8685" xr:uid="{00000000-0005-0000-0000-00007D360000}"/>
    <cellStyle name="Финансовый 4 2 7 2" xfId="173" xr:uid="{00000000-0005-0000-0000-00007E360000}"/>
    <cellStyle name="Финансовый 4 2 7 2 10" xfId="8821" xr:uid="{00000000-0005-0000-0000-00007F360000}"/>
    <cellStyle name="Финансовый 4 2 7 2 2" xfId="1271" xr:uid="{00000000-0005-0000-0000-000080360000}"/>
    <cellStyle name="Финансовый 4 2 7 2 2 2" xfId="2237" xr:uid="{00000000-0005-0000-0000-000081360000}"/>
    <cellStyle name="Финансовый 4 2 7 2 2 2 2" xfId="3882" xr:uid="{00000000-0005-0000-0000-000082360000}"/>
    <cellStyle name="Финансовый 4 2 7 2 2 2 2 2" xfId="12527" xr:uid="{00000000-0005-0000-0000-000083360000}"/>
    <cellStyle name="Финансовый 4 2 7 2 2 2 3" xfId="5665" xr:uid="{00000000-0005-0000-0000-000084360000}"/>
    <cellStyle name="Финансовый 4 2 7 2 2 2 3 2" xfId="14308" xr:uid="{00000000-0005-0000-0000-000085360000}"/>
    <cellStyle name="Финансовый 4 2 7 2 2 2 4" xfId="8275" xr:uid="{00000000-0005-0000-0000-000086360000}"/>
    <cellStyle name="Финансовый 4 2 7 2 2 2 4 2" xfId="16918" xr:uid="{00000000-0005-0000-0000-000087360000}"/>
    <cellStyle name="Финансовый 4 2 7 2 2 2 5" xfId="10882" xr:uid="{00000000-0005-0000-0000-000088360000}"/>
    <cellStyle name="Финансовый 4 2 7 2 2 3" xfId="3055" xr:uid="{00000000-0005-0000-0000-000089360000}"/>
    <cellStyle name="Финансовый 4 2 7 2 2 3 2" xfId="11700" xr:uid="{00000000-0005-0000-0000-00008A360000}"/>
    <cellStyle name="Финансовый 4 2 7 2 2 4" xfId="4699" xr:uid="{00000000-0005-0000-0000-00008B360000}"/>
    <cellStyle name="Финансовый 4 2 7 2 2 4 2" xfId="13344" xr:uid="{00000000-0005-0000-0000-00008C360000}"/>
    <cellStyle name="Финансовый 4 2 7 2 2 5" xfId="7311" xr:uid="{00000000-0005-0000-0000-00008D360000}"/>
    <cellStyle name="Финансовый 4 2 7 2 2 5 2" xfId="15954" xr:uid="{00000000-0005-0000-0000-00008E360000}"/>
    <cellStyle name="Финансовый 4 2 7 2 2 6" xfId="9918" xr:uid="{00000000-0005-0000-0000-00008F360000}"/>
    <cellStyle name="Финансовый 4 2 7 2 3" xfId="1981" xr:uid="{00000000-0005-0000-0000-000090360000}"/>
    <cellStyle name="Финансовый 4 2 7 2 3 2" xfId="3626" xr:uid="{00000000-0005-0000-0000-000091360000}"/>
    <cellStyle name="Финансовый 4 2 7 2 3 2 2" xfId="12271" xr:uid="{00000000-0005-0000-0000-000092360000}"/>
    <cellStyle name="Финансовый 4 2 7 2 3 3" xfId="5409" xr:uid="{00000000-0005-0000-0000-000093360000}"/>
    <cellStyle name="Финансовый 4 2 7 2 3 3 2" xfId="14052" xr:uid="{00000000-0005-0000-0000-000094360000}"/>
    <cellStyle name="Финансовый 4 2 7 2 3 4" xfId="8019" xr:uid="{00000000-0005-0000-0000-000095360000}"/>
    <cellStyle name="Финансовый 4 2 7 2 3 4 2" xfId="16662" xr:uid="{00000000-0005-0000-0000-000096360000}"/>
    <cellStyle name="Финансовый 4 2 7 2 3 5" xfId="10626" xr:uid="{00000000-0005-0000-0000-000097360000}"/>
    <cellStyle name="Финансовый 4 2 7 2 4" xfId="2502" xr:uid="{00000000-0005-0000-0000-000098360000}"/>
    <cellStyle name="Финансовый 4 2 7 2 4 2" xfId="4147" xr:uid="{00000000-0005-0000-0000-000099360000}"/>
    <cellStyle name="Финансовый 4 2 7 2 4 2 2" xfId="12792" xr:uid="{00000000-0005-0000-0000-00009A360000}"/>
    <cellStyle name="Финансовый 4 2 7 2 4 3" xfId="5930" xr:uid="{00000000-0005-0000-0000-00009B360000}"/>
    <cellStyle name="Финансовый 4 2 7 2 4 3 2" xfId="14573" xr:uid="{00000000-0005-0000-0000-00009C360000}"/>
    <cellStyle name="Финансовый 4 2 7 2 4 4" xfId="8540" xr:uid="{00000000-0005-0000-0000-00009D360000}"/>
    <cellStyle name="Финансовый 4 2 7 2 4 4 2" xfId="17183" xr:uid="{00000000-0005-0000-0000-00009E360000}"/>
    <cellStyle name="Финансовый 4 2 7 2 4 5" xfId="11147" xr:uid="{00000000-0005-0000-0000-00009F360000}"/>
    <cellStyle name="Финансовый 4 2 7 2 5" xfId="1006" xr:uid="{00000000-0005-0000-0000-0000A0360000}"/>
    <cellStyle name="Финансовый 4 2 7 2 5 2" xfId="7046" xr:uid="{00000000-0005-0000-0000-0000A1360000}"/>
    <cellStyle name="Финансовый 4 2 7 2 5 2 2" xfId="15689" xr:uid="{00000000-0005-0000-0000-0000A2360000}"/>
    <cellStyle name="Финансовый 4 2 7 2 5 3" xfId="9653" xr:uid="{00000000-0005-0000-0000-0000A3360000}"/>
    <cellStyle name="Финансовый 4 2 7 2 6" xfId="594" xr:uid="{00000000-0005-0000-0000-0000A4360000}"/>
    <cellStyle name="Финансовый 4 2 7 2 6 2" xfId="6634" xr:uid="{00000000-0005-0000-0000-0000A5360000}"/>
    <cellStyle name="Финансовый 4 2 7 2 6 2 2" xfId="15277" xr:uid="{00000000-0005-0000-0000-0000A6360000}"/>
    <cellStyle name="Финансовый 4 2 7 2 6 3" xfId="9241" xr:uid="{00000000-0005-0000-0000-0000A7360000}"/>
    <cellStyle name="Финансовый 4 2 7 2 7" xfId="2783" xr:uid="{00000000-0005-0000-0000-0000A8360000}"/>
    <cellStyle name="Финансовый 4 2 7 2 7 2" xfId="11428" xr:uid="{00000000-0005-0000-0000-0000A9360000}"/>
    <cellStyle name="Финансовый 4 2 7 2 8" xfId="4427" xr:uid="{00000000-0005-0000-0000-0000AA360000}"/>
    <cellStyle name="Финансовый 4 2 7 2 8 2" xfId="13072" xr:uid="{00000000-0005-0000-0000-0000AB360000}"/>
    <cellStyle name="Финансовый 4 2 7 2 9" xfId="6214" xr:uid="{00000000-0005-0000-0000-0000AC360000}"/>
    <cellStyle name="Финансовый 4 2 7 2 9 2" xfId="14857" xr:uid="{00000000-0005-0000-0000-0000AD360000}"/>
    <cellStyle name="Финансовый 4 2 7 3" xfId="322" xr:uid="{00000000-0005-0000-0000-0000AE360000}"/>
    <cellStyle name="Финансовый 4 2 7 3 2" xfId="2109" xr:uid="{00000000-0005-0000-0000-0000AF360000}"/>
    <cellStyle name="Финансовый 4 2 7 3 2 2" xfId="3754" xr:uid="{00000000-0005-0000-0000-0000B0360000}"/>
    <cellStyle name="Финансовый 4 2 7 3 2 2 2" xfId="12399" xr:uid="{00000000-0005-0000-0000-0000B1360000}"/>
    <cellStyle name="Финансовый 4 2 7 3 2 3" xfId="5537" xr:uid="{00000000-0005-0000-0000-0000B2360000}"/>
    <cellStyle name="Финансовый 4 2 7 3 2 3 2" xfId="14180" xr:uid="{00000000-0005-0000-0000-0000B3360000}"/>
    <cellStyle name="Финансовый 4 2 7 3 2 4" xfId="8147" xr:uid="{00000000-0005-0000-0000-0000B4360000}"/>
    <cellStyle name="Финансовый 4 2 7 3 2 4 2" xfId="16790" xr:uid="{00000000-0005-0000-0000-0000B5360000}"/>
    <cellStyle name="Финансовый 4 2 7 3 2 5" xfId="10754" xr:uid="{00000000-0005-0000-0000-0000B6360000}"/>
    <cellStyle name="Финансовый 4 2 7 3 3" xfId="1142" xr:uid="{00000000-0005-0000-0000-0000B7360000}"/>
    <cellStyle name="Финансовый 4 2 7 3 3 2" xfId="7182" xr:uid="{00000000-0005-0000-0000-0000B8360000}"/>
    <cellStyle name="Финансовый 4 2 7 3 3 2 2" xfId="15825" xr:uid="{00000000-0005-0000-0000-0000B9360000}"/>
    <cellStyle name="Финансовый 4 2 7 3 3 3" xfId="9789" xr:uid="{00000000-0005-0000-0000-0000BA360000}"/>
    <cellStyle name="Финансовый 4 2 7 3 4" xfId="742" xr:uid="{00000000-0005-0000-0000-0000BB360000}"/>
    <cellStyle name="Финансовый 4 2 7 3 4 2" xfId="6782" xr:uid="{00000000-0005-0000-0000-0000BC360000}"/>
    <cellStyle name="Финансовый 4 2 7 3 4 2 2" xfId="15425" xr:uid="{00000000-0005-0000-0000-0000BD360000}"/>
    <cellStyle name="Финансовый 4 2 7 3 4 3" xfId="9389" xr:uid="{00000000-0005-0000-0000-0000BE360000}"/>
    <cellStyle name="Финансовый 4 2 7 3 5" xfId="2919" xr:uid="{00000000-0005-0000-0000-0000BF360000}"/>
    <cellStyle name="Финансовый 4 2 7 3 5 2" xfId="11564" xr:uid="{00000000-0005-0000-0000-0000C0360000}"/>
    <cellStyle name="Финансовый 4 2 7 3 6" xfId="4563" xr:uid="{00000000-0005-0000-0000-0000C1360000}"/>
    <cellStyle name="Финансовый 4 2 7 3 6 2" xfId="13208" xr:uid="{00000000-0005-0000-0000-0000C2360000}"/>
    <cellStyle name="Финансовый 4 2 7 3 7" xfId="6362" xr:uid="{00000000-0005-0000-0000-0000C3360000}"/>
    <cellStyle name="Финансовый 4 2 7 3 7 2" xfId="15005" xr:uid="{00000000-0005-0000-0000-0000C4360000}"/>
    <cellStyle name="Финансовый 4 2 7 3 8" xfId="8969" xr:uid="{00000000-0005-0000-0000-0000C5360000}"/>
    <cellStyle name="Финансовый 4 2 7 4" xfId="1476" xr:uid="{00000000-0005-0000-0000-0000C6360000}"/>
    <cellStyle name="Финансовый 4 2 7 4 2" xfId="1845" xr:uid="{00000000-0005-0000-0000-0000C7360000}"/>
    <cellStyle name="Финансовый 4 2 7 4 2 2" xfId="3490" xr:uid="{00000000-0005-0000-0000-0000C8360000}"/>
    <cellStyle name="Финансовый 4 2 7 4 2 2 2" xfId="12135" xr:uid="{00000000-0005-0000-0000-0000C9360000}"/>
    <cellStyle name="Финансовый 4 2 7 4 2 3" xfId="5273" xr:uid="{00000000-0005-0000-0000-0000CA360000}"/>
    <cellStyle name="Финансовый 4 2 7 4 2 3 2" xfId="13916" xr:uid="{00000000-0005-0000-0000-0000CB360000}"/>
    <cellStyle name="Финансовый 4 2 7 4 2 4" xfId="7883" xr:uid="{00000000-0005-0000-0000-0000CC360000}"/>
    <cellStyle name="Финансовый 4 2 7 4 2 4 2" xfId="16526" xr:uid="{00000000-0005-0000-0000-0000CD360000}"/>
    <cellStyle name="Финансовый 4 2 7 4 2 5" xfId="10490" xr:uid="{00000000-0005-0000-0000-0000CE360000}"/>
    <cellStyle name="Финансовый 4 2 7 4 3" xfId="4904" xr:uid="{00000000-0005-0000-0000-0000CF360000}"/>
    <cellStyle name="Финансовый 4 2 7 4 3 2" xfId="13547" xr:uid="{00000000-0005-0000-0000-0000D0360000}"/>
    <cellStyle name="Финансовый 4 2 7 4 4" xfId="7514" xr:uid="{00000000-0005-0000-0000-0000D1360000}"/>
    <cellStyle name="Финансовый 4 2 7 4 4 2" xfId="16157" xr:uid="{00000000-0005-0000-0000-0000D2360000}"/>
    <cellStyle name="Финансовый 4 2 7 4 5" xfId="10121" xr:uid="{00000000-0005-0000-0000-0000D3360000}"/>
    <cellStyle name="Финансовый 4 2 7 5" xfId="1729" xr:uid="{00000000-0005-0000-0000-0000D4360000}"/>
    <cellStyle name="Финансовый 4 2 7 5 2" xfId="3374" xr:uid="{00000000-0005-0000-0000-0000D5360000}"/>
    <cellStyle name="Финансовый 4 2 7 5 2 2" xfId="12019" xr:uid="{00000000-0005-0000-0000-0000D6360000}"/>
    <cellStyle name="Финансовый 4 2 7 5 3" xfId="5157" xr:uid="{00000000-0005-0000-0000-0000D7360000}"/>
    <cellStyle name="Финансовый 4 2 7 5 3 2" xfId="13800" xr:uid="{00000000-0005-0000-0000-0000D8360000}"/>
    <cellStyle name="Финансовый 4 2 7 5 4" xfId="7767" xr:uid="{00000000-0005-0000-0000-0000D9360000}"/>
    <cellStyle name="Финансовый 4 2 7 5 4 2" xfId="16410" xr:uid="{00000000-0005-0000-0000-0000DA360000}"/>
    <cellStyle name="Финансовый 4 2 7 5 5" xfId="10374" xr:uid="{00000000-0005-0000-0000-0000DB360000}"/>
    <cellStyle name="Финансовый 4 2 7 6" xfId="2365" xr:uid="{00000000-0005-0000-0000-0000DC360000}"/>
    <cellStyle name="Финансовый 4 2 7 6 2" xfId="4010" xr:uid="{00000000-0005-0000-0000-0000DD360000}"/>
    <cellStyle name="Финансовый 4 2 7 6 2 2" xfId="12655" xr:uid="{00000000-0005-0000-0000-0000DE360000}"/>
    <cellStyle name="Финансовый 4 2 7 6 3" xfId="5793" xr:uid="{00000000-0005-0000-0000-0000DF360000}"/>
    <cellStyle name="Финансовый 4 2 7 6 3 2" xfId="14436" xr:uid="{00000000-0005-0000-0000-0000E0360000}"/>
    <cellStyle name="Финансовый 4 2 7 6 4" xfId="8403" xr:uid="{00000000-0005-0000-0000-0000E1360000}"/>
    <cellStyle name="Финансовый 4 2 7 6 4 2" xfId="17046" xr:uid="{00000000-0005-0000-0000-0000E2360000}"/>
    <cellStyle name="Финансовый 4 2 7 6 5" xfId="11010" xr:uid="{00000000-0005-0000-0000-0000E3360000}"/>
    <cellStyle name="Финансовый 4 2 7 7" xfId="1592" xr:uid="{00000000-0005-0000-0000-0000E4360000}"/>
    <cellStyle name="Финансовый 4 2 7 7 2" xfId="3237" xr:uid="{00000000-0005-0000-0000-0000E5360000}"/>
    <cellStyle name="Финансовый 4 2 7 7 2 2" xfId="11882" xr:uid="{00000000-0005-0000-0000-0000E6360000}"/>
    <cellStyle name="Финансовый 4 2 7 7 3" xfId="5020" xr:uid="{00000000-0005-0000-0000-0000E7360000}"/>
    <cellStyle name="Финансовый 4 2 7 7 3 2" xfId="13663" xr:uid="{00000000-0005-0000-0000-0000E8360000}"/>
    <cellStyle name="Финансовый 4 2 7 7 4" xfId="7630" xr:uid="{00000000-0005-0000-0000-0000E9360000}"/>
    <cellStyle name="Финансовый 4 2 7 7 4 2" xfId="16273" xr:uid="{00000000-0005-0000-0000-0000EA360000}"/>
    <cellStyle name="Финансовый 4 2 7 7 5" xfId="10237" xr:uid="{00000000-0005-0000-0000-0000EB360000}"/>
    <cellStyle name="Финансовый 4 2 7 8" xfId="878" xr:uid="{00000000-0005-0000-0000-0000EC360000}"/>
    <cellStyle name="Финансовый 4 2 7 8 2" xfId="6918" xr:uid="{00000000-0005-0000-0000-0000ED360000}"/>
    <cellStyle name="Финансовый 4 2 7 8 2 2" xfId="15561" xr:uid="{00000000-0005-0000-0000-0000EE360000}"/>
    <cellStyle name="Финансовый 4 2 7 8 3" xfId="9525" xr:uid="{00000000-0005-0000-0000-0000EF360000}"/>
    <cellStyle name="Финансовый 4 2 7 9" xfId="458" xr:uid="{00000000-0005-0000-0000-0000F0360000}"/>
    <cellStyle name="Финансовый 4 2 7 9 2" xfId="6498" xr:uid="{00000000-0005-0000-0000-0000F1360000}"/>
    <cellStyle name="Финансовый 4 2 7 9 2 2" xfId="15141" xr:uid="{00000000-0005-0000-0000-0000F2360000}"/>
    <cellStyle name="Финансовый 4 2 7 9 3" xfId="9105" xr:uid="{00000000-0005-0000-0000-0000F3360000}"/>
    <cellStyle name="Финансовый 4 2 8" xfId="23" xr:uid="{00000000-0005-0000-0000-0000F4360000}"/>
    <cellStyle name="Финансовый 4 2 8 10" xfId="2635" xr:uid="{00000000-0005-0000-0000-0000F5360000}"/>
    <cellStyle name="Финансовый 4 2 8 10 2" xfId="11280" xr:uid="{00000000-0005-0000-0000-0000F6360000}"/>
    <cellStyle name="Финансовый 4 2 8 11" xfId="4278" xr:uid="{00000000-0005-0000-0000-0000F7360000}"/>
    <cellStyle name="Финансовый 4 2 8 11 2" xfId="12923" xr:uid="{00000000-0005-0000-0000-0000F8360000}"/>
    <cellStyle name="Финансовый 4 2 8 12" xfId="6066" xr:uid="{00000000-0005-0000-0000-0000F9360000}"/>
    <cellStyle name="Финансовый 4 2 8 12 2" xfId="14709" xr:uid="{00000000-0005-0000-0000-0000FA360000}"/>
    <cellStyle name="Финансовый 4 2 8 13" xfId="8673" xr:uid="{00000000-0005-0000-0000-0000FB360000}"/>
    <cellStyle name="Финансовый 4 2 8 2" xfId="161" xr:uid="{00000000-0005-0000-0000-0000FC360000}"/>
    <cellStyle name="Финансовый 4 2 8 2 10" xfId="8809" xr:uid="{00000000-0005-0000-0000-0000FD360000}"/>
    <cellStyle name="Финансовый 4 2 8 2 2" xfId="1259" xr:uid="{00000000-0005-0000-0000-0000FE360000}"/>
    <cellStyle name="Финансовый 4 2 8 2 2 2" xfId="2225" xr:uid="{00000000-0005-0000-0000-0000FF360000}"/>
    <cellStyle name="Финансовый 4 2 8 2 2 2 2" xfId="3870" xr:uid="{00000000-0005-0000-0000-000000370000}"/>
    <cellStyle name="Финансовый 4 2 8 2 2 2 2 2" xfId="12515" xr:uid="{00000000-0005-0000-0000-000001370000}"/>
    <cellStyle name="Финансовый 4 2 8 2 2 2 3" xfId="5653" xr:uid="{00000000-0005-0000-0000-000002370000}"/>
    <cellStyle name="Финансовый 4 2 8 2 2 2 3 2" xfId="14296" xr:uid="{00000000-0005-0000-0000-000003370000}"/>
    <cellStyle name="Финансовый 4 2 8 2 2 2 4" xfId="8263" xr:uid="{00000000-0005-0000-0000-000004370000}"/>
    <cellStyle name="Финансовый 4 2 8 2 2 2 4 2" xfId="16906" xr:uid="{00000000-0005-0000-0000-000005370000}"/>
    <cellStyle name="Финансовый 4 2 8 2 2 2 5" xfId="10870" xr:uid="{00000000-0005-0000-0000-000006370000}"/>
    <cellStyle name="Финансовый 4 2 8 2 2 3" xfId="3043" xr:uid="{00000000-0005-0000-0000-000007370000}"/>
    <cellStyle name="Финансовый 4 2 8 2 2 3 2" xfId="11688" xr:uid="{00000000-0005-0000-0000-000008370000}"/>
    <cellStyle name="Финансовый 4 2 8 2 2 4" xfId="4687" xr:uid="{00000000-0005-0000-0000-000009370000}"/>
    <cellStyle name="Финансовый 4 2 8 2 2 4 2" xfId="13332" xr:uid="{00000000-0005-0000-0000-00000A370000}"/>
    <cellStyle name="Финансовый 4 2 8 2 2 5" xfId="7299" xr:uid="{00000000-0005-0000-0000-00000B370000}"/>
    <cellStyle name="Финансовый 4 2 8 2 2 5 2" xfId="15942" xr:uid="{00000000-0005-0000-0000-00000C370000}"/>
    <cellStyle name="Финансовый 4 2 8 2 2 6" xfId="9906" xr:uid="{00000000-0005-0000-0000-00000D370000}"/>
    <cellStyle name="Финансовый 4 2 8 2 3" xfId="1969" xr:uid="{00000000-0005-0000-0000-00000E370000}"/>
    <cellStyle name="Финансовый 4 2 8 2 3 2" xfId="3614" xr:uid="{00000000-0005-0000-0000-00000F370000}"/>
    <cellStyle name="Финансовый 4 2 8 2 3 2 2" xfId="12259" xr:uid="{00000000-0005-0000-0000-000010370000}"/>
    <cellStyle name="Финансовый 4 2 8 2 3 3" xfId="5397" xr:uid="{00000000-0005-0000-0000-000011370000}"/>
    <cellStyle name="Финансовый 4 2 8 2 3 3 2" xfId="14040" xr:uid="{00000000-0005-0000-0000-000012370000}"/>
    <cellStyle name="Финансовый 4 2 8 2 3 4" xfId="8007" xr:uid="{00000000-0005-0000-0000-000013370000}"/>
    <cellStyle name="Финансовый 4 2 8 2 3 4 2" xfId="16650" xr:uid="{00000000-0005-0000-0000-000014370000}"/>
    <cellStyle name="Финансовый 4 2 8 2 3 5" xfId="10614" xr:uid="{00000000-0005-0000-0000-000015370000}"/>
    <cellStyle name="Финансовый 4 2 8 2 4" xfId="2490" xr:uid="{00000000-0005-0000-0000-000016370000}"/>
    <cellStyle name="Финансовый 4 2 8 2 4 2" xfId="4135" xr:uid="{00000000-0005-0000-0000-000017370000}"/>
    <cellStyle name="Финансовый 4 2 8 2 4 2 2" xfId="12780" xr:uid="{00000000-0005-0000-0000-000018370000}"/>
    <cellStyle name="Финансовый 4 2 8 2 4 3" xfId="5918" xr:uid="{00000000-0005-0000-0000-000019370000}"/>
    <cellStyle name="Финансовый 4 2 8 2 4 3 2" xfId="14561" xr:uid="{00000000-0005-0000-0000-00001A370000}"/>
    <cellStyle name="Финансовый 4 2 8 2 4 4" xfId="8528" xr:uid="{00000000-0005-0000-0000-00001B370000}"/>
    <cellStyle name="Финансовый 4 2 8 2 4 4 2" xfId="17171" xr:uid="{00000000-0005-0000-0000-00001C370000}"/>
    <cellStyle name="Финансовый 4 2 8 2 4 5" xfId="11135" xr:uid="{00000000-0005-0000-0000-00001D370000}"/>
    <cellStyle name="Финансовый 4 2 8 2 5" xfId="994" xr:uid="{00000000-0005-0000-0000-00001E370000}"/>
    <cellStyle name="Финансовый 4 2 8 2 5 2" xfId="7034" xr:uid="{00000000-0005-0000-0000-00001F370000}"/>
    <cellStyle name="Финансовый 4 2 8 2 5 2 2" xfId="15677" xr:uid="{00000000-0005-0000-0000-000020370000}"/>
    <cellStyle name="Финансовый 4 2 8 2 5 3" xfId="9641" xr:uid="{00000000-0005-0000-0000-000021370000}"/>
    <cellStyle name="Финансовый 4 2 8 2 6" xfId="582" xr:uid="{00000000-0005-0000-0000-000022370000}"/>
    <cellStyle name="Финансовый 4 2 8 2 6 2" xfId="6622" xr:uid="{00000000-0005-0000-0000-000023370000}"/>
    <cellStyle name="Финансовый 4 2 8 2 6 2 2" xfId="15265" xr:uid="{00000000-0005-0000-0000-000024370000}"/>
    <cellStyle name="Финансовый 4 2 8 2 6 3" xfId="9229" xr:uid="{00000000-0005-0000-0000-000025370000}"/>
    <cellStyle name="Финансовый 4 2 8 2 7" xfId="2771" xr:uid="{00000000-0005-0000-0000-000026370000}"/>
    <cellStyle name="Финансовый 4 2 8 2 7 2" xfId="11416" xr:uid="{00000000-0005-0000-0000-000027370000}"/>
    <cellStyle name="Финансовый 4 2 8 2 8" xfId="4415" xr:uid="{00000000-0005-0000-0000-000028370000}"/>
    <cellStyle name="Финансовый 4 2 8 2 8 2" xfId="13060" xr:uid="{00000000-0005-0000-0000-000029370000}"/>
    <cellStyle name="Финансовый 4 2 8 2 9" xfId="6202" xr:uid="{00000000-0005-0000-0000-00002A370000}"/>
    <cellStyle name="Финансовый 4 2 8 2 9 2" xfId="14845" xr:uid="{00000000-0005-0000-0000-00002B370000}"/>
    <cellStyle name="Финансовый 4 2 8 3" xfId="310" xr:uid="{00000000-0005-0000-0000-00002C370000}"/>
    <cellStyle name="Финансовый 4 2 8 3 2" xfId="2097" xr:uid="{00000000-0005-0000-0000-00002D370000}"/>
    <cellStyle name="Финансовый 4 2 8 3 2 2" xfId="3742" xr:uid="{00000000-0005-0000-0000-00002E370000}"/>
    <cellStyle name="Финансовый 4 2 8 3 2 2 2" xfId="12387" xr:uid="{00000000-0005-0000-0000-00002F370000}"/>
    <cellStyle name="Финансовый 4 2 8 3 2 3" xfId="5525" xr:uid="{00000000-0005-0000-0000-000030370000}"/>
    <cellStyle name="Финансовый 4 2 8 3 2 3 2" xfId="14168" xr:uid="{00000000-0005-0000-0000-000031370000}"/>
    <cellStyle name="Финансовый 4 2 8 3 2 4" xfId="8135" xr:uid="{00000000-0005-0000-0000-000032370000}"/>
    <cellStyle name="Финансовый 4 2 8 3 2 4 2" xfId="16778" xr:uid="{00000000-0005-0000-0000-000033370000}"/>
    <cellStyle name="Финансовый 4 2 8 3 2 5" xfId="10742" xr:uid="{00000000-0005-0000-0000-000034370000}"/>
    <cellStyle name="Финансовый 4 2 8 3 3" xfId="1130" xr:uid="{00000000-0005-0000-0000-000035370000}"/>
    <cellStyle name="Финансовый 4 2 8 3 3 2" xfId="7170" xr:uid="{00000000-0005-0000-0000-000036370000}"/>
    <cellStyle name="Финансовый 4 2 8 3 3 2 2" xfId="15813" xr:uid="{00000000-0005-0000-0000-000037370000}"/>
    <cellStyle name="Финансовый 4 2 8 3 3 3" xfId="9777" xr:uid="{00000000-0005-0000-0000-000038370000}"/>
    <cellStyle name="Финансовый 4 2 8 3 4" xfId="730" xr:uid="{00000000-0005-0000-0000-000039370000}"/>
    <cellStyle name="Финансовый 4 2 8 3 4 2" xfId="6770" xr:uid="{00000000-0005-0000-0000-00003A370000}"/>
    <cellStyle name="Финансовый 4 2 8 3 4 2 2" xfId="15413" xr:uid="{00000000-0005-0000-0000-00003B370000}"/>
    <cellStyle name="Финансовый 4 2 8 3 4 3" xfId="9377" xr:uid="{00000000-0005-0000-0000-00003C370000}"/>
    <cellStyle name="Финансовый 4 2 8 3 5" xfId="2907" xr:uid="{00000000-0005-0000-0000-00003D370000}"/>
    <cellStyle name="Финансовый 4 2 8 3 5 2" xfId="11552" xr:uid="{00000000-0005-0000-0000-00003E370000}"/>
    <cellStyle name="Финансовый 4 2 8 3 6" xfId="4551" xr:uid="{00000000-0005-0000-0000-00003F370000}"/>
    <cellStyle name="Финансовый 4 2 8 3 6 2" xfId="13196" xr:uid="{00000000-0005-0000-0000-000040370000}"/>
    <cellStyle name="Финансовый 4 2 8 3 7" xfId="6350" xr:uid="{00000000-0005-0000-0000-000041370000}"/>
    <cellStyle name="Финансовый 4 2 8 3 7 2" xfId="14993" xr:uid="{00000000-0005-0000-0000-000042370000}"/>
    <cellStyle name="Финансовый 4 2 8 3 8" xfId="8957" xr:uid="{00000000-0005-0000-0000-000043370000}"/>
    <cellStyle name="Финансовый 4 2 8 4" xfId="1496" xr:uid="{00000000-0005-0000-0000-000044370000}"/>
    <cellStyle name="Финансовый 4 2 8 4 2" xfId="1833" xr:uid="{00000000-0005-0000-0000-000045370000}"/>
    <cellStyle name="Финансовый 4 2 8 4 2 2" xfId="3478" xr:uid="{00000000-0005-0000-0000-000046370000}"/>
    <cellStyle name="Финансовый 4 2 8 4 2 2 2" xfId="12123" xr:uid="{00000000-0005-0000-0000-000047370000}"/>
    <cellStyle name="Финансовый 4 2 8 4 2 3" xfId="5261" xr:uid="{00000000-0005-0000-0000-000048370000}"/>
    <cellStyle name="Финансовый 4 2 8 4 2 3 2" xfId="13904" xr:uid="{00000000-0005-0000-0000-000049370000}"/>
    <cellStyle name="Финансовый 4 2 8 4 2 4" xfId="7871" xr:uid="{00000000-0005-0000-0000-00004A370000}"/>
    <cellStyle name="Финансовый 4 2 8 4 2 4 2" xfId="16514" xr:uid="{00000000-0005-0000-0000-00004B370000}"/>
    <cellStyle name="Финансовый 4 2 8 4 2 5" xfId="10478" xr:uid="{00000000-0005-0000-0000-00004C370000}"/>
    <cellStyle name="Финансовый 4 2 8 4 3" xfId="4924" xr:uid="{00000000-0005-0000-0000-00004D370000}"/>
    <cellStyle name="Финансовый 4 2 8 4 3 2" xfId="13567" xr:uid="{00000000-0005-0000-0000-00004E370000}"/>
    <cellStyle name="Финансовый 4 2 8 4 4" xfId="7534" xr:uid="{00000000-0005-0000-0000-00004F370000}"/>
    <cellStyle name="Финансовый 4 2 8 4 4 2" xfId="16177" xr:uid="{00000000-0005-0000-0000-000050370000}"/>
    <cellStyle name="Финансовый 4 2 8 4 5" xfId="10141" xr:uid="{00000000-0005-0000-0000-000051370000}"/>
    <cellStyle name="Финансовый 4 2 8 5" xfId="1717" xr:uid="{00000000-0005-0000-0000-000052370000}"/>
    <cellStyle name="Финансовый 4 2 8 5 2" xfId="3362" xr:uid="{00000000-0005-0000-0000-000053370000}"/>
    <cellStyle name="Финансовый 4 2 8 5 2 2" xfId="12007" xr:uid="{00000000-0005-0000-0000-000054370000}"/>
    <cellStyle name="Финансовый 4 2 8 5 3" xfId="5145" xr:uid="{00000000-0005-0000-0000-000055370000}"/>
    <cellStyle name="Финансовый 4 2 8 5 3 2" xfId="13788" xr:uid="{00000000-0005-0000-0000-000056370000}"/>
    <cellStyle name="Финансовый 4 2 8 5 4" xfId="7755" xr:uid="{00000000-0005-0000-0000-000057370000}"/>
    <cellStyle name="Финансовый 4 2 8 5 4 2" xfId="16398" xr:uid="{00000000-0005-0000-0000-000058370000}"/>
    <cellStyle name="Финансовый 4 2 8 5 5" xfId="10362" xr:uid="{00000000-0005-0000-0000-000059370000}"/>
    <cellStyle name="Финансовый 4 2 8 6" xfId="2353" xr:uid="{00000000-0005-0000-0000-00005A370000}"/>
    <cellStyle name="Финансовый 4 2 8 6 2" xfId="3998" xr:uid="{00000000-0005-0000-0000-00005B370000}"/>
    <cellStyle name="Финансовый 4 2 8 6 2 2" xfId="12643" xr:uid="{00000000-0005-0000-0000-00005C370000}"/>
    <cellStyle name="Финансовый 4 2 8 6 3" xfId="5781" xr:uid="{00000000-0005-0000-0000-00005D370000}"/>
    <cellStyle name="Финансовый 4 2 8 6 3 2" xfId="14424" xr:uid="{00000000-0005-0000-0000-00005E370000}"/>
    <cellStyle name="Финансовый 4 2 8 6 4" xfId="8391" xr:uid="{00000000-0005-0000-0000-00005F370000}"/>
    <cellStyle name="Финансовый 4 2 8 6 4 2" xfId="17034" xr:uid="{00000000-0005-0000-0000-000060370000}"/>
    <cellStyle name="Финансовый 4 2 8 6 5" xfId="10998" xr:uid="{00000000-0005-0000-0000-000061370000}"/>
    <cellStyle name="Финансовый 4 2 8 7" xfId="1580" xr:uid="{00000000-0005-0000-0000-000062370000}"/>
    <cellStyle name="Финансовый 4 2 8 7 2" xfId="3225" xr:uid="{00000000-0005-0000-0000-000063370000}"/>
    <cellStyle name="Финансовый 4 2 8 7 2 2" xfId="11870" xr:uid="{00000000-0005-0000-0000-000064370000}"/>
    <cellStyle name="Финансовый 4 2 8 7 3" xfId="5008" xr:uid="{00000000-0005-0000-0000-000065370000}"/>
    <cellStyle name="Финансовый 4 2 8 7 3 2" xfId="13651" xr:uid="{00000000-0005-0000-0000-000066370000}"/>
    <cellStyle name="Финансовый 4 2 8 7 4" xfId="7618" xr:uid="{00000000-0005-0000-0000-000067370000}"/>
    <cellStyle name="Финансовый 4 2 8 7 4 2" xfId="16261" xr:uid="{00000000-0005-0000-0000-000068370000}"/>
    <cellStyle name="Финансовый 4 2 8 7 5" xfId="10225" xr:uid="{00000000-0005-0000-0000-000069370000}"/>
    <cellStyle name="Финансовый 4 2 8 8" xfId="866" xr:uid="{00000000-0005-0000-0000-00006A370000}"/>
    <cellStyle name="Финансовый 4 2 8 8 2" xfId="6906" xr:uid="{00000000-0005-0000-0000-00006B370000}"/>
    <cellStyle name="Финансовый 4 2 8 8 2 2" xfId="15549" xr:uid="{00000000-0005-0000-0000-00006C370000}"/>
    <cellStyle name="Финансовый 4 2 8 8 3" xfId="9513" xr:uid="{00000000-0005-0000-0000-00006D370000}"/>
    <cellStyle name="Финансовый 4 2 8 9" xfId="446" xr:uid="{00000000-0005-0000-0000-00006E370000}"/>
    <cellStyle name="Финансовый 4 2 8 9 2" xfId="6486" xr:uid="{00000000-0005-0000-0000-00006F370000}"/>
    <cellStyle name="Финансовый 4 2 8 9 2 2" xfId="15129" xr:uid="{00000000-0005-0000-0000-000070370000}"/>
    <cellStyle name="Финансовый 4 2 8 9 3" xfId="9093" xr:uid="{00000000-0005-0000-0000-000071370000}"/>
    <cellStyle name="Финансовый 4 2 9" xfId="149" xr:uid="{00000000-0005-0000-0000-000072370000}"/>
    <cellStyle name="Финансовый 4 2 9 10" xfId="8797" xr:uid="{00000000-0005-0000-0000-000073370000}"/>
    <cellStyle name="Финансовый 4 2 9 2" xfId="1247" xr:uid="{00000000-0005-0000-0000-000074370000}"/>
    <cellStyle name="Финансовый 4 2 9 2 2" xfId="2213" xr:uid="{00000000-0005-0000-0000-000075370000}"/>
    <cellStyle name="Финансовый 4 2 9 2 2 2" xfId="3858" xr:uid="{00000000-0005-0000-0000-000076370000}"/>
    <cellStyle name="Финансовый 4 2 9 2 2 2 2" xfId="12503" xr:uid="{00000000-0005-0000-0000-000077370000}"/>
    <cellStyle name="Финансовый 4 2 9 2 2 3" xfId="5641" xr:uid="{00000000-0005-0000-0000-000078370000}"/>
    <cellStyle name="Финансовый 4 2 9 2 2 3 2" xfId="14284" xr:uid="{00000000-0005-0000-0000-000079370000}"/>
    <cellStyle name="Финансовый 4 2 9 2 2 4" xfId="8251" xr:uid="{00000000-0005-0000-0000-00007A370000}"/>
    <cellStyle name="Финансовый 4 2 9 2 2 4 2" xfId="16894" xr:uid="{00000000-0005-0000-0000-00007B370000}"/>
    <cellStyle name="Финансовый 4 2 9 2 2 5" xfId="10858" xr:uid="{00000000-0005-0000-0000-00007C370000}"/>
    <cellStyle name="Финансовый 4 2 9 2 3" xfId="3031" xr:uid="{00000000-0005-0000-0000-00007D370000}"/>
    <cellStyle name="Финансовый 4 2 9 2 3 2" xfId="11676" xr:uid="{00000000-0005-0000-0000-00007E370000}"/>
    <cellStyle name="Финансовый 4 2 9 2 4" xfId="4675" xr:uid="{00000000-0005-0000-0000-00007F370000}"/>
    <cellStyle name="Финансовый 4 2 9 2 4 2" xfId="13320" xr:uid="{00000000-0005-0000-0000-000080370000}"/>
    <cellStyle name="Финансовый 4 2 9 2 5" xfId="7287" xr:uid="{00000000-0005-0000-0000-000081370000}"/>
    <cellStyle name="Финансовый 4 2 9 2 5 2" xfId="15930" xr:uid="{00000000-0005-0000-0000-000082370000}"/>
    <cellStyle name="Финансовый 4 2 9 2 6" xfId="9894" xr:uid="{00000000-0005-0000-0000-000083370000}"/>
    <cellStyle name="Финансовый 4 2 9 3" xfId="1957" xr:uid="{00000000-0005-0000-0000-000084370000}"/>
    <cellStyle name="Финансовый 4 2 9 3 2" xfId="3602" xr:uid="{00000000-0005-0000-0000-000085370000}"/>
    <cellStyle name="Финансовый 4 2 9 3 2 2" xfId="12247" xr:uid="{00000000-0005-0000-0000-000086370000}"/>
    <cellStyle name="Финансовый 4 2 9 3 3" xfId="5385" xr:uid="{00000000-0005-0000-0000-000087370000}"/>
    <cellStyle name="Финансовый 4 2 9 3 3 2" xfId="14028" xr:uid="{00000000-0005-0000-0000-000088370000}"/>
    <cellStyle name="Финансовый 4 2 9 3 4" xfId="7995" xr:uid="{00000000-0005-0000-0000-000089370000}"/>
    <cellStyle name="Финансовый 4 2 9 3 4 2" xfId="16638" xr:uid="{00000000-0005-0000-0000-00008A370000}"/>
    <cellStyle name="Финансовый 4 2 9 3 5" xfId="10602" xr:uid="{00000000-0005-0000-0000-00008B370000}"/>
    <cellStyle name="Финансовый 4 2 9 4" xfId="2478" xr:uid="{00000000-0005-0000-0000-00008C370000}"/>
    <cellStyle name="Финансовый 4 2 9 4 2" xfId="4123" xr:uid="{00000000-0005-0000-0000-00008D370000}"/>
    <cellStyle name="Финансовый 4 2 9 4 2 2" xfId="12768" xr:uid="{00000000-0005-0000-0000-00008E370000}"/>
    <cellStyle name="Финансовый 4 2 9 4 3" xfId="5906" xr:uid="{00000000-0005-0000-0000-00008F370000}"/>
    <cellStyle name="Финансовый 4 2 9 4 3 2" xfId="14549" xr:uid="{00000000-0005-0000-0000-000090370000}"/>
    <cellStyle name="Финансовый 4 2 9 4 4" xfId="8516" xr:uid="{00000000-0005-0000-0000-000091370000}"/>
    <cellStyle name="Финансовый 4 2 9 4 4 2" xfId="17159" xr:uid="{00000000-0005-0000-0000-000092370000}"/>
    <cellStyle name="Финансовый 4 2 9 4 5" xfId="11123" xr:uid="{00000000-0005-0000-0000-000093370000}"/>
    <cellStyle name="Финансовый 4 2 9 5" xfId="982" xr:uid="{00000000-0005-0000-0000-000094370000}"/>
    <cellStyle name="Финансовый 4 2 9 5 2" xfId="7022" xr:uid="{00000000-0005-0000-0000-000095370000}"/>
    <cellStyle name="Финансовый 4 2 9 5 2 2" xfId="15665" xr:uid="{00000000-0005-0000-0000-000096370000}"/>
    <cellStyle name="Финансовый 4 2 9 5 3" xfId="9629" xr:uid="{00000000-0005-0000-0000-000097370000}"/>
    <cellStyle name="Финансовый 4 2 9 6" xfId="570" xr:uid="{00000000-0005-0000-0000-000098370000}"/>
    <cellStyle name="Финансовый 4 2 9 6 2" xfId="6610" xr:uid="{00000000-0005-0000-0000-000099370000}"/>
    <cellStyle name="Финансовый 4 2 9 6 2 2" xfId="15253" xr:uid="{00000000-0005-0000-0000-00009A370000}"/>
    <cellStyle name="Финансовый 4 2 9 6 3" xfId="9217" xr:uid="{00000000-0005-0000-0000-00009B370000}"/>
    <cellStyle name="Финансовый 4 2 9 7" xfId="2759" xr:uid="{00000000-0005-0000-0000-00009C370000}"/>
    <cellStyle name="Финансовый 4 2 9 7 2" xfId="11404" xr:uid="{00000000-0005-0000-0000-00009D370000}"/>
    <cellStyle name="Финансовый 4 2 9 8" xfId="4403" xr:uid="{00000000-0005-0000-0000-00009E370000}"/>
    <cellStyle name="Финансовый 4 2 9 8 2" xfId="13048" xr:uid="{00000000-0005-0000-0000-00009F370000}"/>
    <cellStyle name="Финансовый 4 2 9 9" xfId="6190" xr:uid="{00000000-0005-0000-0000-0000A0370000}"/>
    <cellStyle name="Финансовый 4 2 9 9 2" xfId="14833" xr:uid="{00000000-0005-0000-0000-0000A1370000}"/>
    <cellStyle name="Финансовый 4 20" xfId="2617" xr:uid="{00000000-0005-0000-0000-0000A2370000}"/>
    <cellStyle name="Финансовый 4 20 2" xfId="11262" xr:uid="{00000000-0005-0000-0000-0000A3370000}"/>
    <cellStyle name="Финансовый 4 21" xfId="4260" xr:uid="{00000000-0005-0000-0000-0000A4370000}"/>
    <cellStyle name="Финансовый 4 21 2" xfId="12905" xr:uid="{00000000-0005-0000-0000-0000A5370000}"/>
    <cellStyle name="Финансовый 4 22" xfId="6048" xr:uid="{00000000-0005-0000-0000-0000A6370000}"/>
    <cellStyle name="Финансовый 4 22 2" xfId="14691" xr:uid="{00000000-0005-0000-0000-0000A7370000}"/>
    <cellStyle name="Финансовый 4 23" xfId="8655" xr:uid="{00000000-0005-0000-0000-0000A8370000}"/>
    <cellStyle name="Финансовый 4 3" xfId="41" xr:uid="{00000000-0005-0000-0000-0000A9370000}"/>
    <cellStyle name="Финансовый 4 3 10" xfId="884" xr:uid="{00000000-0005-0000-0000-0000AA370000}"/>
    <cellStyle name="Финансовый 4 3 10 2" xfId="6924" xr:uid="{00000000-0005-0000-0000-0000AB370000}"/>
    <cellStyle name="Финансовый 4 3 10 2 2" xfId="15567" xr:uid="{00000000-0005-0000-0000-0000AC370000}"/>
    <cellStyle name="Финансовый 4 3 10 3" xfId="9531" xr:uid="{00000000-0005-0000-0000-0000AD370000}"/>
    <cellStyle name="Финансовый 4 3 11" xfId="464" xr:uid="{00000000-0005-0000-0000-0000AE370000}"/>
    <cellStyle name="Финансовый 4 3 11 2" xfId="6504" xr:uid="{00000000-0005-0000-0000-0000AF370000}"/>
    <cellStyle name="Финансовый 4 3 11 2 2" xfId="15147" xr:uid="{00000000-0005-0000-0000-0000B0370000}"/>
    <cellStyle name="Финансовый 4 3 11 3" xfId="9111" xr:uid="{00000000-0005-0000-0000-0000B1370000}"/>
    <cellStyle name="Финансовый 4 3 12" xfId="2653" xr:uid="{00000000-0005-0000-0000-0000B2370000}"/>
    <cellStyle name="Финансовый 4 3 12 2" xfId="11298" xr:uid="{00000000-0005-0000-0000-0000B3370000}"/>
    <cellStyle name="Финансовый 4 3 13" xfId="4296" xr:uid="{00000000-0005-0000-0000-0000B4370000}"/>
    <cellStyle name="Финансовый 4 3 13 2" xfId="12941" xr:uid="{00000000-0005-0000-0000-0000B5370000}"/>
    <cellStyle name="Финансовый 4 3 14" xfId="6084" xr:uid="{00000000-0005-0000-0000-0000B6370000}"/>
    <cellStyle name="Финансовый 4 3 14 2" xfId="14727" xr:uid="{00000000-0005-0000-0000-0000B7370000}"/>
    <cellStyle name="Финансовый 4 3 15" xfId="8691" xr:uid="{00000000-0005-0000-0000-0000B8370000}"/>
    <cellStyle name="Финансовый 4 3 2" xfId="123" xr:uid="{00000000-0005-0000-0000-0000B9370000}"/>
    <cellStyle name="Финансовый 4 3 2 10" xfId="2733" xr:uid="{00000000-0005-0000-0000-0000BA370000}"/>
    <cellStyle name="Финансовый 4 3 2 10 2" xfId="11378" xr:uid="{00000000-0005-0000-0000-0000BB370000}"/>
    <cellStyle name="Финансовый 4 3 2 11" xfId="4377" xr:uid="{00000000-0005-0000-0000-0000BC370000}"/>
    <cellStyle name="Финансовый 4 3 2 11 2" xfId="13022" xr:uid="{00000000-0005-0000-0000-0000BD370000}"/>
    <cellStyle name="Финансовый 4 3 2 12" xfId="6164" xr:uid="{00000000-0005-0000-0000-0000BE370000}"/>
    <cellStyle name="Финансовый 4 3 2 12 2" xfId="14807" xr:uid="{00000000-0005-0000-0000-0000BF370000}"/>
    <cellStyle name="Финансовый 4 3 2 13" xfId="8771" xr:uid="{00000000-0005-0000-0000-0000C0370000}"/>
    <cellStyle name="Финансовый 4 3 2 2" xfId="259" xr:uid="{00000000-0005-0000-0000-0000C1370000}"/>
    <cellStyle name="Финансовый 4 3 2 2 10" xfId="8907" xr:uid="{00000000-0005-0000-0000-0000C2370000}"/>
    <cellStyle name="Финансовый 4 3 2 2 2" xfId="1357" xr:uid="{00000000-0005-0000-0000-0000C3370000}"/>
    <cellStyle name="Финансовый 4 3 2 2 2 2" xfId="2315" xr:uid="{00000000-0005-0000-0000-0000C4370000}"/>
    <cellStyle name="Финансовый 4 3 2 2 2 2 2" xfId="3960" xr:uid="{00000000-0005-0000-0000-0000C5370000}"/>
    <cellStyle name="Финансовый 4 3 2 2 2 2 2 2" xfId="12605" xr:uid="{00000000-0005-0000-0000-0000C6370000}"/>
    <cellStyle name="Финансовый 4 3 2 2 2 2 3" xfId="5743" xr:uid="{00000000-0005-0000-0000-0000C7370000}"/>
    <cellStyle name="Финансовый 4 3 2 2 2 2 3 2" xfId="14386" xr:uid="{00000000-0005-0000-0000-0000C8370000}"/>
    <cellStyle name="Финансовый 4 3 2 2 2 2 4" xfId="8353" xr:uid="{00000000-0005-0000-0000-0000C9370000}"/>
    <cellStyle name="Финансовый 4 3 2 2 2 2 4 2" xfId="16996" xr:uid="{00000000-0005-0000-0000-0000CA370000}"/>
    <cellStyle name="Финансовый 4 3 2 2 2 2 5" xfId="10960" xr:uid="{00000000-0005-0000-0000-0000CB370000}"/>
    <cellStyle name="Финансовый 4 3 2 2 2 3" xfId="3141" xr:uid="{00000000-0005-0000-0000-0000CC370000}"/>
    <cellStyle name="Финансовый 4 3 2 2 2 3 2" xfId="11786" xr:uid="{00000000-0005-0000-0000-0000CD370000}"/>
    <cellStyle name="Финансовый 4 3 2 2 2 4" xfId="4785" xr:uid="{00000000-0005-0000-0000-0000CE370000}"/>
    <cellStyle name="Финансовый 4 3 2 2 2 4 2" xfId="13430" xr:uid="{00000000-0005-0000-0000-0000CF370000}"/>
    <cellStyle name="Финансовый 4 3 2 2 2 5" xfId="7397" xr:uid="{00000000-0005-0000-0000-0000D0370000}"/>
    <cellStyle name="Финансовый 4 3 2 2 2 5 2" xfId="16040" xr:uid="{00000000-0005-0000-0000-0000D1370000}"/>
    <cellStyle name="Финансовый 4 3 2 2 2 6" xfId="10004" xr:uid="{00000000-0005-0000-0000-0000D2370000}"/>
    <cellStyle name="Финансовый 4 3 2 2 3" xfId="2059" xr:uid="{00000000-0005-0000-0000-0000D3370000}"/>
    <cellStyle name="Финансовый 4 3 2 2 3 2" xfId="3704" xr:uid="{00000000-0005-0000-0000-0000D4370000}"/>
    <cellStyle name="Финансовый 4 3 2 2 3 2 2" xfId="12349" xr:uid="{00000000-0005-0000-0000-0000D5370000}"/>
    <cellStyle name="Финансовый 4 3 2 2 3 3" xfId="5487" xr:uid="{00000000-0005-0000-0000-0000D6370000}"/>
    <cellStyle name="Финансовый 4 3 2 2 3 3 2" xfId="14130" xr:uid="{00000000-0005-0000-0000-0000D7370000}"/>
    <cellStyle name="Финансовый 4 3 2 2 3 4" xfId="8097" xr:uid="{00000000-0005-0000-0000-0000D8370000}"/>
    <cellStyle name="Финансовый 4 3 2 2 3 4 2" xfId="16740" xr:uid="{00000000-0005-0000-0000-0000D9370000}"/>
    <cellStyle name="Финансовый 4 3 2 2 3 5" xfId="10704" xr:uid="{00000000-0005-0000-0000-0000DA370000}"/>
    <cellStyle name="Финансовый 4 3 2 2 4" xfId="2588" xr:uid="{00000000-0005-0000-0000-0000DB370000}"/>
    <cellStyle name="Финансовый 4 3 2 2 4 2" xfId="4233" xr:uid="{00000000-0005-0000-0000-0000DC370000}"/>
    <cellStyle name="Финансовый 4 3 2 2 4 2 2" xfId="12878" xr:uid="{00000000-0005-0000-0000-0000DD370000}"/>
    <cellStyle name="Финансовый 4 3 2 2 4 3" xfId="6016" xr:uid="{00000000-0005-0000-0000-0000DE370000}"/>
    <cellStyle name="Финансовый 4 3 2 2 4 3 2" xfId="14659" xr:uid="{00000000-0005-0000-0000-0000DF370000}"/>
    <cellStyle name="Финансовый 4 3 2 2 4 4" xfId="8626" xr:uid="{00000000-0005-0000-0000-0000E0370000}"/>
    <cellStyle name="Финансовый 4 3 2 2 4 4 2" xfId="17269" xr:uid="{00000000-0005-0000-0000-0000E1370000}"/>
    <cellStyle name="Финансовый 4 3 2 2 4 5" xfId="11233" xr:uid="{00000000-0005-0000-0000-0000E2370000}"/>
    <cellStyle name="Финансовый 4 3 2 2 5" xfId="1092" xr:uid="{00000000-0005-0000-0000-0000E3370000}"/>
    <cellStyle name="Финансовый 4 3 2 2 5 2" xfId="7132" xr:uid="{00000000-0005-0000-0000-0000E4370000}"/>
    <cellStyle name="Финансовый 4 3 2 2 5 2 2" xfId="15775" xr:uid="{00000000-0005-0000-0000-0000E5370000}"/>
    <cellStyle name="Финансовый 4 3 2 2 5 3" xfId="9739" xr:uid="{00000000-0005-0000-0000-0000E6370000}"/>
    <cellStyle name="Финансовый 4 3 2 2 6" xfId="680" xr:uid="{00000000-0005-0000-0000-0000E7370000}"/>
    <cellStyle name="Финансовый 4 3 2 2 6 2" xfId="6720" xr:uid="{00000000-0005-0000-0000-0000E8370000}"/>
    <cellStyle name="Финансовый 4 3 2 2 6 2 2" xfId="15363" xr:uid="{00000000-0005-0000-0000-0000E9370000}"/>
    <cellStyle name="Финансовый 4 3 2 2 6 3" xfId="9327" xr:uid="{00000000-0005-0000-0000-0000EA370000}"/>
    <cellStyle name="Финансовый 4 3 2 2 7" xfId="2869" xr:uid="{00000000-0005-0000-0000-0000EB370000}"/>
    <cellStyle name="Финансовый 4 3 2 2 7 2" xfId="11514" xr:uid="{00000000-0005-0000-0000-0000EC370000}"/>
    <cellStyle name="Финансовый 4 3 2 2 8" xfId="4513" xr:uid="{00000000-0005-0000-0000-0000ED370000}"/>
    <cellStyle name="Финансовый 4 3 2 2 8 2" xfId="13158" xr:uid="{00000000-0005-0000-0000-0000EE370000}"/>
    <cellStyle name="Финансовый 4 3 2 2 9" xfId="6300" xr:uid="{00000000-0005-0000-0000-0000EF370000}"/>
    <cellStyle name="Финансовый 4 3 2 2 9 2" xfId="14943" xr:uid="{00000000-0005-0000-0000-0000F0370000}"/>
    <cellStyle name="Финансовый 4 3 2 3" xfId="408" xr:uid="{00000000-0005-0000-0000-0000F1370000}"/>
    <cellStyle name="Финансовый 4 3 2 3 2" xfId="2187" xr:uid="{00000000-0005-0000-0000-0000F2370000}"/>
    <cellStyle name="Финансовый 4 3 2 3 2 2" xfId="3832" xr:uid="{00000000-0005-0000-0000-0000F3370000}"/>
    <cellStyle name="Финансовый 4 3 2 3 2 2 2" xfId="12477" xr:uid="{00000000-0005-0000-0000-0000F4370000}"/>
    <cellStyle name="Финансовый 4 3 2 3 2 3" xfId="5615" xr:uid="{00000000-0005-0000-0000-0000F5370000}"/>
    <cellStyle name="Финансовый 4 3 2 3 2 3 2" xfId="14258" xr:uid="{00000000-0005-0000-0000-0000F6370000}"/>
    <cellStyle name="Финансовый 4 3 2 3 2 4" xfId="8225" xr:uid="{00000000-0005-0000-0000-0000F7370000}"/>
    <cellStyle name="Финансовый 4 3 2 3 2 4 2" xfId="16868" xr:uid="{00000000-0005-0000-0000-0000F8370000}"/>
    <cellStyle name="Финансовый 4 3 2 3 2 5" xfId="10832" xr:uid="{00000000-0005-0000-0000-0000F9370000}"/>
    <cellStyle name="Финансовый 4 3 2 3 3" xfId="1221" xr:uid="{00000000-0005-0000-0000-0000FA370000}"/>
    <cellStyle name="Финансовый 4 3 2 3 3 2" xfId="7261" xr:uid="{00000000-0005-0000-0000-0000FB370000}"/>
    <cellStyle name="Финансовый 4 3 2 3 3 2 2" xfId="15904" xr:uid="{00000000-0005-0000-0000-0000FC370000}"/>
    <cellStyle name="Финансовый 4 3 2 3 3 3" xfId="9868" xr:uid="{00000000-0005-0000-0000-0000FD370000}"/>
    <cellStyle name="Финансовый 4 3 2 3 4" xfId="828" xr:uid="{00000000-0005-0000-0000-0000FE370000}"/>
    <cellStyle name="Финансовый 4 3 2 3 4 2" xfId="6868" xr:uid="{00000000-0005-0000-0000-0000FF370000}"/>
    <cellStyle name="Финансовый 4 3 2 3 4 2 2" xfId="15511" xr:uid="{00000000-0005-0000-0000-000000380000}"/>
    <cellStyle name="Финансовый 4 3 2 3 4 3" xfId="9475" xr:uid="{00000000-0005-0000-0000-000001380000}"/>
    <cellStyle name="Финансовый 4 3 2 3 5" xfId="3005" xr:uid="{00000000-0005-0000-0000-000002380000}"/>
    <cellStyle name="Финансовый 4 3 2 3 5 2" xfId="11650" xr:uid="{00000000-0005-0000-0000-000003380000}"/>
    <cellStyle name="Финансовый 4 3 2 3 6" xfId="4649" xr:uid="{00000000-0005-0000-0000-000004380000}"/>
    <cellStyle name="Финансовый 4 3 2 3 6 2" xfId="13294" xr:uid="{00000000-0005-0000-0000-000005380000}"/>
    <cellStyle name="Финансовый 4 3 2 3 7" xfId="6448" xr:uid="{00000000-0005-0000-0000-000006380000}"/>
    <cellStyle name="Финансовый 4 3 2 3 7 2" xfId="15091" xr:uid="{00000000-0005-0000-0000-000007380000}"/>
    <cellStyle name="Финансовый 4 3 2 3 8" xfId="9055" xr:uid="{00000000-0005-0000-0000-000008380000}"/>
    <cellStyle name="Финансовый 4 3 2 4" xfId="1539" xr:uid="{00000000-0005-0000-0000-000009380000}"/>
    <cellStyle name="Финансовый 4 3 2 4 2" xfId="1931" xr:uid="{00000000-0005-0000-0000-00000A380000}"/>
    <cellStyle name="Финансовый 4 3 2 4 2 2" xfId="3576" xr:uid="{00000000-0005-0000-0000-00000B380000}"/>
    <cellStyle name="Финансовый 4 3 2 4 2 2 2" xfId="12221" xr:uid="{00000000-0005-0000-0000-00000C380000}"/>
    <cellStyle name="Финансовый 4 3 2 4 2 3" xfId="5359" xr:uid="{00000000-0005-0000-0000-00000D380000}"/>
    <cellStyle name="Финансовый 4 3 2 4 2 3 2" xfId="14002" xr:uid="{00000000-0005-0000-0000-00000E380000}"/>
    <cellStyle name="Финансовый 4 3 2 4 2 4" xfId="7969" xr:uid="{00000000-0005-0000-0000-00000F380000}"/>
    <cellStyle name="Финансовый 4 3 2 4 2 4 2" xfId="16612" xr:uid="{00000000-0005-0000-0000-000010380000}"/>
    <cellStyle name="Финансовый 4 3 2 4 2 5" xfId="10576" xr:uid="{00000000-0005-0000-0000-000011380000}"/>
    <cellStyle name="Финансовый 4 3 2 4 3" xfId="4967" xr:uid="{00000000-0005-0000-0000-000012380000}"/>
    <cellStyle name="Финансовый 4 3 2 4 3 2" xfId="13610" xr:uid="{00000000-0005-0000-0000-000013380000}"/>
    <cellStyle name="Финансовый 4 3 2 4 4" xfId="7577" xr:uid="{00000000-0005-0000-0000-000014380000}"/>
    <cellStyle name="Финансовый 4 3 2 4 4 2" xfId="16220" xr:uid="{00000000-0005-0000-0000-000015380000}"/>
    <cellStyle name="Финансовый 4 3 2 4 5" xfId="10184" xr:uid="{00000000-0005-0000-0000-000016380000}"/>
    <cellStyle name="Финансовый 4 3 2 5" xfId="1807" xr:uid="{00000000-0005-0000-0000-000017380000}"/>
    <cellStyle name="Финансовый 4 3 2 5 2" xfId="3452" xr:uid="{00000000-0005-0000-0000-000018380000}"/>
    <cellStyle name="Финансовый 4 3 2 5 2 2" xfId="12097" xr:uid="{00000000-0005-0000-0000-000019380000}"/>
    <cellStyle name="Финансовый 4 3 2 5 3" xfId="5235" xr:uid="{00000000-0005-0000-0000-00001A380000}"/>
    <cellStyle name="Финансовый 4 3 2 5 3 2" xfId="13878" xr:uid="{00000000-0005-0000-0000-00001B380000}"/>
    <cellStyle name="Финансовый 4 3 2 5 4" xfId="7845" xr:uid="{00000000-0005-0000-0000-00001C380000}"/>
    <cellStyle name="Финансовый 4 3 2 5 4 2" xfId="16488" xr:uid="{00000000-0005-0000-0000-00001D380000}"/>
    <cellStyle name="Финансовый 4 3 2 5 5" xfId="10452" xr:uid="{00000000-0005-0000-0000-00001E380000}"/>
    <cellStyle name="Финансовый 4 3 2 6" xfId="2452" xr:uid="{00000000-0005-0000-0000-00001F380000}"/>
    <cellStyle name="Финансовый 4 3 2 6 2" xfId="4097" xr:uid="{00000000-0005-0000-0000-000020380000}"/>
    <cellStyle name="Финансовый 4 3 2 6 2 2" xfId="12742" xr:uid="{00000000-0005-0000-0000-000021380000}"/>
    <cellStyle name="Финансовый 4 3 2 6 3" xfId="5880" xr:uid="{00000000-0005-0000-0000-000022380000}"/>
    <cellStyle name="Финансовый 4 3 2 6 3 2" xfId="14523" xr:uid="{00000000-0005-0000-0000-000023380000}"/>
    <cellStyle name="Финансовый 4 3 2 6 4" xfId="8490" xr:uid="{00000000-0005-0000-0000-000024380000}"/>
    <cellStyle name="Финансовый 4 3 2 6 4 2" xfId="17133" xr:uid="{00000000-0005-0000-0000-000025380000}"/>
    <cellStyle name="Финансовый 4 3 2 6 5" xfId="11097" xr:uid="{00000000-0005-0000-0000-000026380000}"/>
    <cellStyle name="Финансовый 4 3 2 7" xfId="1679" xr:uid="{00000000-0005-0000-0000-000027380000}"/>
    <cellStyle name="Финансовый 4 3 2 7 2" xfId="3324" xr:uid="{00000000-0005-0000-0000-000028380000}"/>
    <cellStyle name="Финансовый 4 3 2 7 2 2" xfId="11969" xr:uid="{00000000-0005-0000-0000-000029380000}"/>
    <cellStyle name="Финансовый 4 3 2 7 3" xfId="5107" xr:uid="{00000000-0005-0000-0000-00002A380000}"/>
    <cellStyle name="Финансовый 4 3 2 7 3 2" xfId="13750" xr:uid="{00000000-0005-0000-0000-00002B380000}"/>
    <cellStyle name="Финансовый 4 3 2 7 4" xfId="7717" xr:uid="{00000000-0005-0000-0000-00002C380000}"/>
    <cellStyle name="Финансовый 4 3 2 7 4 2" xfId="16360" xr:uid="{00000000-0005-0000-0000-00002D380000}"/>
    <cellStyle name="Финансовый 4 3 2 7 5" xfId="10324" xr:uid="{00000000-0005-0000-0000-00002E380000}"/>
    <cellStyle name="Финансовый 4 3 2 8" xfId="956" xr:uid="{00000000-0005-0000-0000-00002F380000}"/>
    <cellStyle name="Финансовый 4 3 2 8 2" xfId="6996" xr:uid="{00000000-0005-0000-0000-000030380000}"/>
    <cellStyle name="Финансовый 4 3 2 8 2 2" xfId="15639" xr:uid="{00000000-0005-0000-0000-000031380000}"/>
    <cellStyle name="Финансовый 4 3 2 8 3" xfId="9603" xr:uid="{00000000-0005-0000-0000-000032380000}"/>
    <cellStyle name="Финансовый 4 3 2 9" xfId="544" xr:uid="{00000000-0005-0000-0000-000033380000}"/>
    <cellStyle name="Финансовый 4 3 2 9 2" xfId="6584" xr:uid="{00000000-0005-0000-0000-000034380000}"/>
    <cellStyle name="Финансовый 4 3 2 9 2 2" xfId="15227" xr:uid="{00000000-0005-0000-0000-000035380000}"/>
    <cellStyle name="Финансовый 4 3 2 9 3" xfId="9191" xr:uid="{00000000-0005-0000-0000-000036380000}"/>
    <cellStyle name="Финансовый 4 3 3" xfId="87" xr:uid="{00000000-0005-0000-0000-000037380000}"/>
    <cellStyle name="Финансовый 4 3 3 10" xfId="2697" xr:uid="{00000000-0005-0000-0000-000038380000}"/>
    <cellStyle name="Финансовый 4 3 3 10 2" xfId="11342" xr:uid="{00000000-0005-0000-0000-000039380000}"/>
    <cellStyle name="Финансовый 4 3 3 11" xfId="4341" xr:uid="{00000000-0005-0000-0000-00003A380000}"/>
    <cellStyle name="Финансовый 4 3 3 11 2" xfId="12986" xr:uid="{00000000-0005-0000-0000-00003B380000}"/>
    <cellStyle name="Финансовый 4 3 3 12" xfId="6128" xr:uid="{00000000-0005-0000-0000-00003C380000}"/>
    <cellStyle name="Финансовый 4 3 3 12 2" xfId="14771" xr:uid="{00000000-0005-0000-0000-00003D380000}"/>
    <cellStyle name="Финансовый 4 3 3 13" xfId="8735" xr:uid="{00000000-0005-0000-0000-00003E380000}"/>
    <cellStyle name="Финансовый 4 3 3 2" xfId="223" xr:uid="{00000000-0005-0000-0000-00003F380000}"/>
    <cellStyle name="Финансовый 4 3 3 2 10" xfId="8871" xr:uid="{00000000-0005-0000-0000-000040380000}"/>
    <cellStyle name="Финансовый 4 3 3 2 2" xfId="1321" xr:uid="{00000000-0005-0000-0000-000041380000}"/>
    <cellStyle name="Финансовый 4 3 3 2 2 2" xfId="2279" xr:uid="{00000000-0005-0000-0000-000042380000}"/>
    <cellStyle name="Финансовый 4 3 3 2 2 2 2" xfId="3924" xr:uid="{00000000-0005-0000-0000-000043380000}"/>
    <cellStyle name="Финансовый 4 3 3 2 2 2 2 2" xfId="12569" xr:uid="{00000000-0005-0000-0000-000044380000}"/>
    <cellStyle name="Финансовый 4 3 3 2 2 2 3" xfId="5707" xr:uid="{00000000-0005-0000-0000-000045380000}"/>
    <cellStyle name="Финансовый 4 3 3 2 2 2 3 2" xfId="14350" xr:uid="{00000000-0005-0000-0000-000046380000}"/>
    <cellStyle name="Финансовый 4 3 3 2 2 2 4" xfId="8317" xr:uid="{00000000-0005-0000-0000-000047380000}"/>
    <cellStyle name="Финансовый 4 3 3 2 2 2 4 2" xfId="16960" xr:uid="{00000000-0005-0000-0000-000048380000}"/>
    <cellStyle name="Финансовый 4 3 3 2 2 2 5" xfId="10924" xr:uid="{00000000-0005-0000-0000-000049380000}"/>
    <cellStyle name="Финансовый 4 3 3 2 2 3" xfId="3105" xr:uid="{00000000-0005-0000-0000-00004A380000}"/>
    <cellStyle name="Финансовый 4 3 3 2 2 3 2" xfId="11750" xr:uid="{00000000-0005-0000-0000-00004B380000}"/>
    <cellStyle name="Финансовый 4 3 3 2 2 4" xfId="4749" xr:uid="{00000000-0005-0000-0000-00004C380000}"/>
    <cellStyle name="Финансовый 4 3 3 2 2 4 2" xfId="13394" xr:uid="{00000000-0005-0000-0000-00004D380000}"/>
    <cellStyle name="Финансовый 4 3 3 2 2 5" xfId="7361" xr:uid="{00000000-0005-0000-0000-00004E380000}"/>
    <cellStyle name="Финансовый 4 3 3 2 2 5 2" xfId="16004" xr:uid="{00000000-0005-0000-0000-00004F380000}"/>
    <cellStyle name="Финансовый 4 3 3 2 2 6" xfId="9968" xr:uid="{00000000-0005-0000-0000-000050380000}"/>
    <cellStyle name="Финансовый 4 3 3 2 3" xfId="2023" xr:uid="{00000000-0005-0000-0000-000051380000}"/>
    <cellStyle name="Финансовый 4 3 3 2 3 2" xfId="3668" xr:uid="{00000000-0005-0000-0000-000052380000}"/>
    <cellStyle name="Финансовый 4 3 3 2 3 2 2" xfId="12313" xr:uid="{00000000-0005-0000-0000-000053380000}"/>
    <cellStyle name="Финансовый 4 3 3 2 3 3" xfId="5451" xr:uid="{00000000-0005-0000-0000-000054380000}"/>
    <cellStyle name="Финансовый 4 3 3 2 3 3 2" xfId="14094" xr:uid="{00000000-0005-0000-0000-000055380000}"/>
    <cellStyle name="Финансовый 4 3 3 2 3 4" xfId="8061" xr:uid="{00000000-0005-0000-0000-000056380000}"/>
    <cellStyle name="Финансовый 4 3 3 2 3 4 2" xfId="16704" xr:uid="{00000000-0005-0000-0000-000057380000}"/>
    <cellStyle name="Финансовый 4 3 3 2 3 5" xfId="10668" xr:uid="{00000000-0005-0000-0000-000058380000}"/>
    <cellStyle name="Финансовый 4 3 3 2 4" xfId="2552" xr:uid="{00000000-0005-0000-0000-000059380000}"/>
    <cellStyle name="Финансовый 4 3 3 2 4 2" xfId="4197" xr:uid="{00000000-0005-0000-0000-00005A380000}"/>
    <cellStyle name="Финансовый 4 3 3 2 4 2 2" xfId="12842" xr:uid="{00000000-0005-0000-0000-00005B380000}"/>
    <cellStyle name="Финансовый 4 3 3 2 4 3" xfId="5980" xr:uid="{00000000-0005-0000-0000-00005C380000}"/>
    <cellStyle name="Финансовый 4 3 3 2 4 3 2" xfId="14623" xr:uid="{00000000-0005-0000-0000-00005D380000}"/>
    <cellStyle name="Финансовый 4 3 3 2 4 4" xfId="8590" xr:uid="{00000000-0005-0000-0000-00005E380000}"/>
    <cellStyle name="Финансовый 4 3 3 2 4 4 2" xfId="17233" xr:uid="{00000000-0005-0000-0000-00005F380000}"/>
    <cellStyle name="Финансовый 4 3 3 2 4 5" xfId="11197" xr:uid="{00000000-0005-0000-0000-000060380000}"/>
    <cellStyle name="Финансовый 4 3 3 2 5" xfId="1056" xr:uid="{00000000-0005-0000-0000-000061380000}"/>
    <cellStyle name="Финансовый 4 3 3 2 5 2" xfId="7096" xr:uid="{00000000-0005-0000-0000-000062380000}"/>
    <cellStyle name="Финансовый 4 3 3 2 5 2 2" xfId="15739" xr:uid="{00000000-0005-0000-0000-000063380000}"/>
    <cellStyle name="Финансовый 4 3 3 2 5 3" xfId="9703" xr:uid="{00000000-0005-0000-0000-000064380000}"/>
    <cellStyle name="Финансовый 4 3 3 2 6" xfId="644" xr:uid="{00000000-0005-0000-0000-000065380000}"/>
    <cellStyle name="Финансовый 4 3 3 2 6 2" xfId="6684" xr:uid="{00000000-0005-0000-0000-000066380000}"/>
    <cellStyle name="Финансовый 4 3 3 2 6 2 2" xfId="15327" xr:uid="{00000000-0005-0000-0000-000067380000}"/>
    <cellStyle name="Финансовый 4 3 3 2 6 3" xfId="9291" xr:uid="{00000000-0005-0000-0000-000068380000}"/>
    <cellStyle name="Финансовый 4 3 3 2 7" xfId="2833" xr:uid="{00000000-0005-0000-0000-000069380000}"/>
    <cellStyle name="Финансовый 4 3 3 2 7 2" xfId="11478" xr:uid="{00000000-0005-0000-0000-00006A380000}"/>
    <cellStyle name="Финансовый 4 3 3 2 8" xfId="4477" xr:uid="{00000000-0005-0000-0000-00006B380000}"/>
    <cellStyle name="Финансовый 4 3 3 2 8 2" xfId="13122" xr:uid="{00000000-0005-0000-0000-00006C380000}"/>
    <cellStyle name="Финансовый 4 3 3 2 9" xfId="6264" xr:uid="{00000000-0005-0000-0000-00006D380000}"/>
    <cellStyle name="Финансовый 4 3 3 2 9 2" xfId="14907" xr:uid="{00000000-0005-0000-0000-00006E380000}"/>
    <cellStyle name="Финансовый 4 3 3 3" xfId="372" xr:uid="{00000000-0005-0000-0000-00006F380000}"/>
    <cellStyle name="Финансовый 4 3 3 3 2" xfId="2151" xr:uid="{00000000-0005-0000-0000-000070380000}"/>
    <cellStyle name="Финансовый 4 3 3 3 2 2" xfId="3796" xr:uid="{00000000-0005-0000-0000-000071380000}"/>
    <cellStyle name="Финансовый 4 3 3 3 2 2 2" xfId="12441" xr:uid="{00000000-0005-0000-0000-000072380000}"/>
    <cellStyle name="Финансовый 4 3 3 3 2 3" xfId="5579" xr:uid="{00000000-0005-0000-0000-000073380000}"/>
    <cellStyle name="Финансовый 4 3 3 3 2 3 2" xfId="14222" xr:uid="{00000000-0005-0000-0000-000074380000}"/>
    <cellStyle name="Финансовый 4 3 3 3 2 4" xfId="8189" xr:uid="{00000000-0005-0000-0000-000075380000}"/>
    <cellStyle name="Финансовый 4 3 3 3 2 4 2" xfId="16832" xr:uid="{00000000-0005-0000-0000-000076380000}"/>
    <cellStyle name="Финансовый 4 3 3 3 2 5" xfId="10796" xr:uid="{00000000-0005-0000-0000-000077380000}"/>
    <cellStyle name="Финансовый 4 3 3 3 3" xfId="1185" xr:uid="{00000000-0005-0000-0000-000078380000}"/>
    <cellStyle name="Финансовый 4 3 3 3 3 2" xfId="7225" xr:uid="{00000000-0005-0000-0000-000079380000}"/>
    <cellStyle name="Финансовый 4 3 3 3 3 2 2" xfId="15868" xr:uid="{00000000-0005-0000-0000-00007A380000}"/>
    <cellStyle name="Финансовый 4 3 3 3 3 3" xfId="9832" xr:uid="{00000000-0005-0000-0000-00007B380000}"/>
    <cellStyle name="Финансовый 4 3 3 3 4" xfId="792" xr:uid="{00000000-0005-0000-0000-00007C380000}"/>
    <cellStyle name="Финансовый 4 3 3 3 4 2" xfId="6832" xr:uid="{00000000-0005-0000-0000-00007D380000}"/>
    <cellStyle name="Финансовый 4 3 3 3 4 2 2" xfId="15475" xr:uid="{00000000-0005-0000-0000-00007E380000}"/>
    <cellStyle name="Финансовый 4 3 3 3 4 3" xfId="9439" xr:uid="{00000000-0005-0000-0000-00007F380000}"/>
    <cellStyle name="Финансовый 4 3 3 3 5" xfId="2969" xr:uid="{00000000-0005-0000-0000-000080380000}"/>
    <cellStyle name="Финансовый 4 3 3 3 5 2" xfId="11614" xr:uid="{00000000-0005-0000-0000-000081380000}"/>
    <cellStyle name="Финансовый 4 3 3 3 6" xfId="4613" xr:uid="{00000000-0005-0000-0000-000082380000}"/>
    <cellStyle name="Финансовый 4 3 3 3 6 2" xfId="13258" xr:uid="{00000000-0005-0000-0000-000083380000}"/>
    <cellStyle name="Финансовый 4 3 3 3 7" xfId="6412" xr:uid="{00000000-0005-0000-0000-000084380000}"/>
    <cellStyle name="Финансовый 4 3 3 3 7 2" xfId="15055" xr:uid="{00000000-0005-0000-0000-000085380000}"/>
    <cellStyle name="Финансовый 4 3 3 3 8" xfId="9019" xr:uid="{00000000-0005-0000-0000-000086380000}"/>
    <cellStyle name="Финансовый 4 3 3 4" xfId="1540" xr:uid="{00000000-0005-0000-0000-000087380000}"/>
    <cellStyle name="Финансовый 4 3 3 4 2" xfId="1895" xr:uid="{00000000-0005-0000-0000-000088380000}"/>
    <cellStyle name="Финансовый 4 3 3 4 2 2" xfId="3540" xr:uid="{00000000-0005-0000-0000-000089380000}"/>
    <cellStyle name="Финансовый 4 3 3 4 2 2 2" xfId="12185" xr:uid="{00000000-0005-0000-0000-00008A380000}"/>
    <cellStyle name="Финансовый 4 3 3 4 2 3" xfId="5323" xr:uid="{00000000-0005-0000-0000-00008B380000}"/>
    <cellStyle name="Финансовый 4 3 3 4 2 3 2" xfId="13966" xr:uid="{00000000-0005-0000-0000-00008C380000}"/>
    <cellStyle name="Финансовый 4 3 3 4 2 4" xfId="7933" xr:uid="{00000000-0005-0000-0000-00008D380000}"/>
    <cellStyle name="Финансовый 4 3 3 4 2 4 2" xfId="16576" xr:uid="{00000000-0005-0000-0000-00008E380000}"/>
    <cellStyle name="Финансовый 4 3 3 4 2 5" xfId="10540" xr:uid="{00000000-0005-0000-0000-00008F380000}"/>
    <cellStyle name="Финансовый 4 3 3 4 3" xfId="4968" xr:uid="{00000000-0005-0000-0000-000090380000}"/>
    <cellStyle name="Финансовый 4 3 3 4 3 2" xfId="13611" xr:uid="{00000000-0005-0000-0000-000091380000}"/>
    <cellStyle name="Финансовый 4 3 3 4 4" xfId="7578" xr:uid="{00000000-0005-0000-0000-000092380000}"/>
    <cellStyle name="Финансовый 4 3 3 4 4 2" xfId="16221" xr:uid="{00000000-0005-0000-0000-000093380000}"/>
    <cellStyle name="Финансовый 4 3 3 4 5" xfId="10185" xr:uid="{00000000-0005-0000-0000-000094380000}"/>
    <cellStyle name="Финансовый 4 3 3 5" xfId="1771" xr:uid="{00000000-0005-0000-0000-000095380000}"/>
    <cellStyle name="Финансовый 4 3 3 5 2" xfId="3416" xr:uid="{00000000-0005-0000-0000-000096380000}"/>
    <cellStyle name="Финансовый 4 3 3 5 2 2" xfId="12061" xr:uid="{00000000-0005-0000-0000-000097380000}"/>
    <cellStyle name="Финансовый 4 3 3 5 3" xfId="5199" xr:uid="{00000000-0005-0000-0000-000098380000}"/>
    <cellStyle name="Финансовый 4 3 3 5 3 2" xfId="13842" xr:uid="{00000000-0005-0000-0000-000099380000}"/>
    <cellStyle name="Финансовый 4 3 3 5 4" xfId="7809" xr:uid="{00000000-0005-0000-0000-00009A380000}"/>
    <cellStyle name="Финансовый 4 3 3 5 4 2" xfId="16452" xr:uid="{00000000-0005-0000-0000-00009B380000}"/>
    <cellStyle name="Финансовый 4 3 3 5 5" xfId="10416" xr:uid="{00000000-0005-0000-0000-00009C380000}"/>
    <cellStyle name="Финансовый 4 3 3 6" xfId="2416" xr:uid="{00000000-0005-0000-0000-00009D380000}"/>
    <cellStyle name="Финансовый 4 3 3 6 2" xfId="4061" xr:uid="{00000000-0005-0000-0000-00009E380000}"/>
    <cellStyle name="Финансовый 4 3 3 6 2 2" xfId="12706" xr:uid="{00000000-0005-0000-0000-00009F380000}"/>
    <cellStyle name="Финансовый 4 3 3 6 3" xfId="5844" xr:uid="{00000000-0005-0000-0000-0000A0380000}"/>
    <cellStyle name="Финансовый 4 3 3 6 3 2" xfId="14487" xr:uid="{00000000-0005-0000-0000-0000A1380000}"/>
    <cellStyle name="Финансовый 4 3 3 6 4" xfId="8454" xr:uid="{00000000-0005-0000-0000-0000A2380000}"/>
    <cellStyle name="Финансовый 4 3 3 6 4 2" xfId="17097" xr:uid="{00000000-0005-0000-0000-0000A3380000}"/>
    <cellStyle name="Финансовый 4 3 3 6 5" xfId="11061" xr:uid="{00000000-0005-0000-0000-0000A4380000}"/>
    <cellStyle name="Финансовый 4 3 3 7" xfId="1643" xr:uid="{00000000-0005-0000-0000-0000A5380000}"/>
    <cellStyle name="Финансовый 4 3 3 7 2" xfId="3288" xr:uid="{00000000-0005-0000-0000-0000A6380000}"/>
    <cellStyle name="Финансовый 4 3 3 7 2 2" xfId="11933" xr:uid="{00000000-0005-0000-0000-0000A7380000}"/>
    <cellStyle name="Финансовый 4 3 3 7 3" xfId="5071" xr:uid="{00000000-0005-0000-0000-0000A8380000}"/>
    <cellStyle name="Финансовый 4 3 3 7 3 2" xfId="13714" xr:uid="{00000000-0005-0000-0000-0000A9380000}"/>
    <cellStyle name="Финансовый 4 3 3 7 4" xfId="7681" xr:uid="{00000000-0005-0000-0000-0000AA380000}"/>
    <cellStyle name="Финансовый 4 3 3 7 4 2" xfId="16324" xr:uid="{00000000-0005-0000-0000-0000AB380000}"/>
    <cellStyle name="Финансовый 4 3 3 7 5" xfId="10288" xr:uid="{00000000-0005-0000-0000-0000AC380000}"/>
    <cellStyle name="Финансовый 4 3 3 8" xfId="920" xr:uid="{00000000-0005-0000-0000-0000AD380000}"/>
    <cellStyle name="Финансовый 4 3 3 8 2" xfId="6960" xr:uid="{00000000-0005-0000-0000-0000AE380000}"/>
    <cellStyle name="Финансовый 4 3 3 8 2 2" xfId="15603" xr:uid="{00000000-0005-0000-0000-0000AF380000}"/>
    <cellStyle name="Финансовый 4 3 3 8 3" xfId="9567" xr:uid="{00000000-0005-0000-0000-0000B0380000}"/>
    <cellStyle name="Финансовый 4 3 3 9" xfId="508" xr:uid="{00000000-0005-0000-0000-0000B1380000}"/>
    <cellStyle name="Финансовый 4 3 3 9 2" xfId="6548" xr:uid="{00000000-0005-0000-0000-0000B2380000}"/>
    <cellStyle name="Финансовый 4 3 3 9 2 2" xfId="15191" xr:uid="{00000000-0005-0000-0000-0000B3380000}"/>
    <cellStyle name="Финансовый 4 3 3 9 3" xfId="9155" xr:uid="{00000000-0005-0000-0000-0000B4380000}"/>
    <cellStyle name="Финансовый 4 3 4" xfId="179" xr:uid="{00000000-0005-0000-0000-0000B5380000}"/>
    <cellStyle name="Финансовый 4 3 4 10" xfId="8827" xr:uid="{00000000-0005-0000-0000-0000B6380000}"/>
    <cellStyle name="Финансовый 4 3 4 2" xfId="1277" xr:uid="{00000000-0005-0000-0000-0000B7380000}"/>
    <cellStyle name="Финансовый 4 3 4 2 2" xfId="2243" xr:uid="{00000000-0005-0000-0000-0000B8380000}"/>
    <cellStyle name="Финансовый 4 3 4 2 2 2" xfId="3888" xr:uid="{00000000-0005-0000-0000-0000B9380000}"/>
    <cellStyle name="Финансовый 4 3 4 2 2 2 2" xfId="12533" xr:uid="{00000000-0005-0000-0000-0000BA380000}"/>
    <cellStyle name="Финансовый 4 3 4 2 2 3" xfId="5671" xr:uid="{00000000-0005-0000-0000-0000BB380000}"/>
    <cellStyle name="Финансовый 4 3 4 2 2 3 2" xfId="14314" xr:uid="{00000000-0005-0000-0000-0000BC380000}"/>
    <cellStyle name="Финансовый 4 3 4 2 2 4" xfId="8281" xr:uid="{00000000-0005-0000-0000-0000BD380000}"/>
    <cellStyle name="Финансовый 4 3 4 2 2 4 2" xfId="16924" xr:uid="{00000000-0005-0000-0000-0000BE380000}"/>
    <cellStyle name="Финансовый 4 3 4 2 2 5" xfId="10888" xr:uid="{00000000-0005-0000-0000-0000BF380000}"/>
    <cellStyle name="Финансовый 4 3 4 2 3" xfId="3061" xr:uid="{00000000-0005-0000-0000-0000C0380000}"/>
    <cellStyle name="Финансовый 4 3 4 2 3 2" xfId="11706" xr:uid="{00000000-0005-0000-0000-0000C1380000}"/>
    <cellStyle name="Финансовый 4 3 4 2 4" xfId="4705" xr:uid="{00000000-0005-0000-0000-0000C2380000}"/>
    <cellStyle name="Финансовый 4 3 4 2 4 2" xfId="13350" xr:uid="{00000000-0005-0000-0000-0000C3380000}"/>
    <cellStyle name="Финансовый 4 3 4 2 5" xfId="7317" xr:uid="{00000000-0005-0000-0000-0000C4380000}"/>
    <cellStyle name="Финансовый 4 3 4 2 5 2" xfId="15960" xr:uid="{00000000-0005-0000-0000-0000C5380000}"/>
    <cellStyle name="Финансовый 4 3 4 2 6" xfId="9924" xr:uid="{00000000-0005-0000-0000-0000C6380000}"/>
    <cellStyle name="Финансовый 4 3 4 3" xfId="1987" xr:uid="{00000000-0005-0000-0000-0000C7380000}"/>
    <cellStyle name="Финансовый 4 3 4 3 2" xfId="3632" xr:uid="{00000000-0005-0000-0000-0000C8380000}"/>
    <cellStyle name="Финансовый 4 3 4 3 2 2" xfId="12277" xr:uid="{00000000-0005-0000-0000-0000C9380000}"/>
    <cellStyle name="Финансовый 4 3 4 3 3" xfId="5415" xr:uid="{00000000-0005-0000-0000-0000CA380000}"/>
    <cellStyle name="Финансовый 4 3 4 3 3 2" xfId="14058" xr:uid="{00000000-0005-0000-0000-0000CB380000}"/>
    <cellStyle name="Финансовый 4 3 4 3 4" xfId="8025" xr:uid="{00000000-0005-0000-0000-0000CC380000}"/>
    <cellStyle name="Финансовый 4 3 4 3 4 2" xfId="16668" xr:uid="{00000000-0005-0000-0000-0000CD380000}"/>
    <cellStyle name="Финансовый 4 3 4 3 5" xfId="10632" xr:uid="{00000000-0005-0000-0000-0000CE380000}"/>
    <cellStyle name="Финансовый 4 3 4 4" xfId="2508" xr:uid="{00000000-0005-0000-0000-0000CF380000}"/>
    <cellStyle name="Финансовый 4 3 4 4 2" xfId="4153" xr:uid="{00000000-0005-0000-0000-0000D0380000}"/>
    <cellStyle name="Финансовый 4 3 4 4 2 2" xfId="12798" xr:uid="{00000000-0005-0000-0000-0000D1380000}"/>
    <cellStyle name="Финансовый 4 3 4 4 3" xfId="5936" xr:uid="{00000000-0005-0000-0000-0000D2380000}"/>
    <cellStyle name="Финансовый 4 3 4 4 3 2" xfId="14579" xr:uid="{00000000-0005-0000-0000-0000D3380000}"/>
    <cellStyle name="Финансовый 4 3 4 4 4" xfId="8546" xr:uid="{00000000-0005-0000-0000-0000D4380000}"/>
    <cellStyle name="Финансовый 4 3 4 4 4 2" xfId="17189" xr:uid="{00000000-0005-0000-0000-0000D5380000}"/>
    <cellStyle name="Финансовый 4 3 4 4 5" xfId="11153" xr:uid="{00000000-0005-0000-0000-0000D6380000}"/>
    <cellStyle name="Финансовый 4 3 4 5" xfId="1012" xr:uid="{00000000-0005-0000-0000-0000D7380000}"/>
    <cellStyle name="Финансовый 4 3 4 5 2" xfId="7052" xr:uid="{00000000-0005-0000-0000-0000D8380000}"/>
    <cellStyle name="Финансовый 4 3 4 5 2 2" xfId="15695" xr:uid="{00000000-0005-0000-0000-0000D9380000}"/>
    <cellStyle name="Финансовый 4 3 4 5 3" xfId="9659" xr:uid="{00000000-0005-0000-0000-0000DA380000}"/>
    <cellStyle name="Финансовый 4 3 4 6" xfId="600" xr:uid="{00000000-0005-0000-0000-0000DB380000}"/>
    <cellStyle name="Финансовый 4 3 4 6 2" xfId="6640" xr:uid="{00000000-0005-0000-0000-0000DC380000}"/>
    <cellStyle name="Финансовый 4 3 4 6 2 2" xfId="15283" xr:uid="{00000000-0005-0000-0000-0000DD380000}"/>
    <cellStyle name="Финансовый 4 3 4 6 3" xfId="9247" xr:uid="{00000000-0005-0000-0000-0000DE380000}"/>
    <cellStyle name="Финансовый 4 3 4 7" xfId="2789" xr:uid="{00000000-0005-0000-0000-0000DF380000}"/>
    <cellStyle name="Финансовый 4 3 4 7 2" xfId="11434" xr:uid="{00000000-0005-0000-0000-0000E0380000}"/>
    <cellStyle name="Финансовый 4 3 4 8" xfId="4433" xr:uid="{00000000-0005-0000-0000-0000E1380000}"/>
    <cellStyle name="Финансовый 4 3 4 8 2" xfId="13078" xr:uid="{00000000-0005-0000-0000-0000E2380000}"/>
    <cellStyle name="Финансовый 4 3 4 9" xfId="6220" xr:uid="{00000000-0005-0000-0000-0000E3380000}"/>
    <cellStyle name="Финансовый 4 3 4 9 2" xfId="14863" xr:uid="{00000000-0005-0000-0000-0000E4380000}"/>
    <cellStyle name="Финансовый 4 3 5" xfId="328" xr:uid="{00000000-0005-0000-0000-0000E5380000}"/>
    <cellStyle name="Финансовый 4 3 5 2" xfId="2115" xr:uid="{00000000-0005-0000-0000-0000E6380000}"/>
    <cellStyle name="Финансовый 4 3 5 2 2" xfId="3760" xr:uid="{00000000-0005-0000-0000-0000E7380000}"/>
    <cellStyle name="Финансовый 4 3 5 2 2 2" xfId="12405" xr:uid="{00000000-0005-0000-0000-0000E8380000}"/>
    <cellStyle name="Финансовый 4 3 5 2 3" xfId="5543" xr:uid="{00000000-0005-0000-0000-0000E9380000}"/>
    <cellStyle name="Финансовый 4 3 5 2 3 2" xfId="14186" xr:uid="{00000000-0005-0000-0000-0000EA380000}"/>
    <cellStyle name="Финансовый 4 3 5 2 4" xfId="8153" xr:uid="{00000000-0005-0000-0000-0000EB380000}"/>
    <cellStyle name="Финансовый 4 3 5 2 4 2" xfId="16796" xr:uid="{00000000-0005-0000-0000-0000EC380000}"/>
    <cellStyle name="Финансовый 4 3 5 2 5" xfId="10760" xr:uid="{00000000-0005-0000-0000-0000ED380000}"/>
    <cellStyle name="Финансовый 4 3 5 3" xfId="1148" xr:uid="{00000000-0005-0000-0000-0000EE380000}"/>
    <cellStyle name="Финансовый 4 3 5 3 2" xfId="7188" xr:uid="{00000000-0005-0000-0000-0000EF380000}"/>
    <cellStyle name="Финансовый 4 3 5 3 2 2" xfId="15831" xr:uid="{00000000-0005-0000-0000-0000F0380000}"/>
    <cellStyle name="Финансовый 4 3 5 3 3" xfId="9795" xr:uid="{00000000-0005-0000-0000-0000F1380000}"/>
    <cellStyle name="Финансовый 4 3 5 4" xfId="748" xr:uid="{00000000-0005-0000-0000-0000F2380000}"/>
    <cellStyle name="Финансовый 4 3 5 4 2" xfId="6788" xr:uid="{00000000-0005-0000-0000-0000F3380000}"/>
    <cellStyle name="Финансовый 4 3 5 4 2 2" xfId="15431" xr:uid="{00000000-0005-0000-0000-0000F4380000}"/>
    <cellStyle name="Финансовый 4 3 5 4 3" xfId="9395" xr:uid="{00000000-0005-0000-0000-0000F5380000}"/>
    <cellStyle name="Финансовый 4 3 5 5" xfId="2925" xr:uid="{00000000-0005-0000-0000-0000F6380000}"/>
    <cellStyle name="Финансовый 4 3 5 5 2" xfId="11570" xr:uid="{00000000-0005-0000-0000-0000F7380000}"/>
    <cellStyle name="Финансовый 4 3 5 6" xfId="4569" xr:uid="{00000000-0005-0000-0000-0000F8380000}"/>
    <cellStyle name="Финансовый 4 3 5 6 2" xfId="13214" xr:uid="{00000000-0005-0000-0000-0000F9380000}"/>
    <cellStyle name="Финансовый 4 3 5 7" xfId="6368" xr:uid="{00000000-0005-0000-0000-0000FA380000}"/>
    <cellStyle name="Финансовый 4 3 5 7 2" xfId="15011" xr:uid="{00000000-0005-0000-0000-0000FB380000}"/>
    <cellStyle name="Финансовый 4 3 5 8" xfId="8975" xr:uid="{00000000-0005-0000-0000-0000FC380000}"/>
    <cellStyle name="Финансовый 4 3 6" xfId="1432" xr:uid="{00000000-0005-0000-0000-0000FD380000}"/>
    <cellStyle name="Финансовый 4 3 6 2" xfId="1851" xr:uid="{00000000-0005-0000-0000-0000FE380000}"/>
    <cellStyle name="Финансовый 4 3 6 2 2" xfId="3496" xr:uid="{00000000-0005-0000-0000-0000FF380000}"/>
    <cellStyle name="Финансовый 4 3 6 2 2 2" xfId="12141" xr:uid="{00000000-0005-0000-0000-000000390000}"/>
    <cellStyle name="Финансовый 4 3 6 2 3" xfId="5279" xr:uid="{00000000-0005-0000-0000-000001390000}"/>
    <cellStyle name="Финансовый 4 3 6 2 3 2" xfId="13922" xr:uid="{00000000-0005-0000-0000-000002390000}"/>
    <cellStyle name="Финансовый 4 3 6 2 4" xfId="7889" xr:uid="{00000000-0005-0000-0000-000003390000}"/>
    <cellStyle name="Финансовый 4 3 6 2 4 2" xfId="16532" xr:uid="{00000000-0005-0000-0000-000004390000}"/>
    <cellStyle name="Финансовый 4 3 6 2 5" xfId="10496" xr:uid="{00000000-0005-0000-0000-000005390000}"/>
    <cellStyle name="Финансовый 4 3 6 3" xfId="4860" xr:uid="{00000000-0005-0000-0000-000006390000}"/>
    <cellStyle name="Финансовый 4 3 6 3 2" xfId="13504" xr:uid="{00000000-0005-0000-0000-000007390000}"/>
    <cellStyle name="Финансовый 4 3 6 4" xfId="7471" xr:uid="{00000000-0005-0000-0000-000008390000}"/>
    <cellStyle name="Финансовый 4 3 6 4 2" xfId="16114" xr:uid="{00000000-0005-0000-0000-000009390000}"/>
    <cellStyle name="Финансовый 4 3 6 5" xfId="10078" xr:uid="{00000000-0005-0000-0000-00000A390000}"/>
    <cellStyle name="Финансовый 4 3 7" xfId="1735" xr:uid="{00000000-0005-0000-0000-00000B390000}"/>
    <cellStyle name="Финансовый 4 3 7 2" xfId="3380" xr:uid="{00000000-0005-0000-0000-00000C390000}"/>
    <cellStyle name="Финансовый 4 3 7 2 2" xfId="12025" xr:uid="{00000000-0005-0000-0000-00000D390000}"/>
    <cellStyle name="Финансовый 4 3 7 3" xfId="5163" xr:uid="{00000000-0005-0000-0000-00000E390000}"/>
    <cellStyle name="Финансовый 4 3 7 3 2" xfId="13806" xr:uid="{00000000-0005-0000-0000-00000F390000}"/>
    <cellStyle name="Финансовый 4 3 7 4" xfId="7773" xr:uid="{00000000-0005-0000-0000-000010390000}"/>
    <cellStyle name="Финансовый 4 3 7 4 2" xfId="16416" xr:uid="{00000000-0005-0000-0000-000011390000}"/>
    <cellStyle name="Финансовый 4 3 7 5" xfId="10380" xr:uid="{00000000-0005-0000-0000-000012390000}"/>
    <cellStyle name="Финансовый 4 3 8" xfId="2371" xr:uid="{00000000-0005-0000-0000-000013390000}"/>
    <cellStyle name="Финансовый 4 3 8 2" xfId="4016" xr:uid="{00000000-0005-0000-0000-000014390000}"/>
    <cellStyle name="Финансовый 4 3 8 2 2" xfId="12661" xr:uid="{00000000-0005-0000-0000-000015390000}"/>
    <cellStyle name="Финансовый 4 3 8 3" xfId="5799" xr:uid="{00000000-0005-0000-0000-000016390000}"/>
    <cellStyle name="Финансовый 4 3 8 3 2" xfId="14442" xr:uid="{00000000-0005-0000-0000-000017390000}"/>
    <cellStyle name="Финансовый 4 3 8 4" xfId="8409" xr:uid="{00000000-0005-0000-0000-000018390000}"/>
    <cellStyle name="Финансовый 4 3 8 4 2" xfId="17052" xr:uid="{00000000-0005-0000-0000-000019390000}"/>
    <cellStyle name="Финансовый 4 3 8 5" xfId="11016" xr:uid="{00000000-0005-0000-0000-00001A390000}"/>
    <cellStyle name="Финансовый 4 3 9" xfId="1598" xr:uid="{00000000-0005-0000-0000-00001B390000}"/>
    <cellStyle name="Финансовый 4 3 9 2" xfId="3243" xr:uid="{00000000-0005-0000-0000-00001C390000}"/>
    <cellStyle name="Финансовый 4 3 9 2 2" xfId="11888" xr:uid="{00000000-0005-0000-0000-00001D390000}"/>
    <cellStyle name="Финансовый 4 3 9 3" xfId="5026" xr:uid="{00000000-0005-0000-0000-00001E390000}"/>
    <cellStyle name="Финансовый 4 3 9 3 2" xfId="13669" xr:uid="{00000000-0005-0000-0000-00001F390000}"/>
    <cellStyle name="Финансовый 4 3 9 4" xfId="7636" xr:uid="{00000000-0005-0000-0000-000020390000}"/>
    <cellStyle name="Финансовый 4 3 9 4 2" xfId="16279" xr:uid="{00000000-0005-0000-0000-000021390000}"/>
    <cellStyle name="Финансовый 4 3 9 5" xfId="10243" xr:uid="{00000000-0005-0000-0000-000022390000}"/>
    <cellStyle name="Финансовый 4 4" xfId="93" xr:uid="{00000000-0005-0000-0000-000023390000}"/>
    <cellStyle name="Финансовый 4 4 10" xfId="2703" xr:uid="{00000000-0005-0000-0000-000024390000}"/>
    <cellStyle name="Финансовый 4 4 10 2" xfId="11348" xr:uid="{00000000-0005-0000-0000-000025390000}"/>
    <cellStyle name="Финансовый 4 4 11" xfId="4347" xr:uid="{00000000-0005-0000-0000-000026390000}"/>
    <cellStyle name="Финансовый 4 4 11 2" xfId="12992" xr:uid="{00000000-0005-0000-0000-000027390000}"/>
    <cellStyle name="Финансовый 4 4 12" xfId="6134" xr:uid="{00000000-0005-0000-0000-000028390000}"/>
    <cellStyle name="Финансовый 4 4 12 2" xfId="14777" xr:uid="{00000000-0005-0000-0000-000029390000}"/>
    <cellStyle name="Финансовый 4 4 13" xfId="8741" xr:uid="{00000000-0005-0000-0000-00002A390000}"/>
    <cellStyle name="Финансовый 4 4 2" xfId="229" xr:uid="{00000000-0005-0000-0000-00002B390000}"/>
    <cellStyle name="Финансовый 4 4 2 10" xfId="8877" xr:uid="{00000000-0005-0000-0000-00002C390000}"/>
    <cellStyle name="Финансовый 4 4 2 2" xfId="1327" xr:uid="{00000000-0005-0000-0000-00002D390000}"/>
    <cellStyle name="Финансовый 4 4 2 2 2" xfId="2285" xr:uid="{00000000-0005-0000-0000-00002E390000}"/>
    <cellStyle name="Финансовый 4 4 2 2 2 2" xfId="3930" xr:uid="{00000000-0005-0000-0000-00002F390000}"/>
    <cellStyle name="Финансовый 4 4 2 2 2 2 2" xfId="12575" xr:uid="{00000000-0005-0000-0000-000030390000}"/>
    <cellStyle name="Финансовый 4 4 2 2 2 3" xfId="5713" xr:uid="{00000000-0005-0000-0000-000031390000}"/>
    <cellStyle name="Финансовый 4 4 2 2 2 3 2" xfId="14356" xr:uid="{00000000-0005-0000-0000-000032390000}"/>
    <cellStyle name="Финансовый 4 4 2 2 2 4" xfId="8323" xr:uid="{00000000-0005-0000-0000-000033390000}"/>
    <cellStyle name="Финансовый 4 4 2 2 2 4 2" xfId="16966" xr:uid="{00000000-0005-0000-0000-000034390000}"/>
    <cellStyle name="Финансовый 4 4 2 2 2 5" xfId="10930" xr:uid="{00000000-0005-0000-0000-000035390000}"/>
    <cellStyle name="Финансовый 4 4 2 2 3" xfId="3111" xr:uid="{00000000-0005-0000-0000-000036390000}"/>
    <cellStyle name="Финансовый 4 4 2 2 3 2" xfId="11756" xr:uid="{00000000-0005-0000-0000-000037390000}"/>
    <cellStyle name="Финансовый 4 4 2 2 4" xfId="4755" xr:uid="{00000000-0005-0000-0000-000038390000}"/>
    <cellStyle name="Финансовый 4 4 2 2 4 2" xfId="13400" xr:uid="{00000000-0005-0000-0000-000039390000}"/>
    <cellStyle name="Финансовый 4 4 2 2 5" xfId="7367" xr:uid="{00000000-0005-0000-0000-00003A390000}"/>
    <cellStyle name="Финансовый 4 4 2 2 5 2" xfId="16010" xr:uid="{00000000-0005-0000-0000-00003B390000}"/>
    <cellStyle name="Финансовый 4 4 2 2 6" xfId="9974" xr:uid="{00000000-0005-0000-0000-00003C390000}"/>
    <cellStyle name="Финансовый 4 4 2 3" xfId="2029" xr:uid="{00000000-0005-0000-0000-00003D390000}"/>
    <cellStyle name="Финансовый 4 4 2 3 2" xfId="3674" xr:uid="{00000000-0005-0000-0000-00003E390000}"/>
    <cellStyle name="Финансовый 4 4 2 3 2 2" xfId="12319" xr:uid="{00000000-0005-0000-0000-00003F390000}"/>
    <cellStyle name="Финансовый 4 4 2 3 3" xfId="5457" xr:uid="{00000000-0005-0000-0000-000040390000}"/>
    <cellStyle name="Финансовый 4 4 2 3 3 2" xfId="14100" xr:uid="{00000000-0005-0000-0000-000041390000}"/>
    <cellStyle name="Финансовый 4 4 2 3 4" xfId="8067" xr:uid="{00000000-0005-0000-0000-000042390000}"/>
    <cellStyle name="Финансовый 4 4 2 3 4 2" xfId="16710" xr:uid="{00000000-0005-0000-0000-000043390000}"/>
    <cellStyle name="Финансовый 4 4 2 3 5" xfId="10674" xr:uid="{00000000-0005-0000-0000-000044390000}"/>
    <cellStyle name="Финансовый 4 4 2 4" xfId="2558" xr:uid="{00000000-0005-0000-0000-000045390000}"/>
    <cellStyle name="Финансовый 4 4 2 4 2" xfId="4203" xr:uid="{00000000-0005-0000-0000-000046390000}"/>
    <cellStyle name="Финансовый 4 4 2 4 2 2" xfId="12848" xr:uid="{00000000-0005-0000-0000-000047390000}"/>
    <cellStyle name="Финансовый 4 4 2 4 3" xfId="5986" xr:uid="{00000000-0005-0000-0000-000048390000}"/>
    <cellStyle name="Финансовый 4 4 2 4 3 2" xfId="14629" xr:uid="{00000000-0005-0000-0000-000049390000}"/>
    <cellStyle name="Финансовый 4 4 2 4 4" xfId="8596" xr:uid="{00000000-0005-0000-0000-00004A390000}"/>
    <cellStyle name="Финансовый 4 4 2 4 4 2" xfId="17239" xr:uid="{00000000-0005-0000-0000-00004B390000}"/>
    <cellStyle name="Финансовый 4 4 2 4 5" xfId="11203" xr:uid="{00000000-0005-0000-0000-00004C390000}"/>
    <cellStyle name="Финансовый 4 4 2 5" xfId="1062" xr:uid="{00000000-0005-0000-0000-00004D390000}"/>
    <cellStyle name="Финансовый 4 4 2 5 2" xfId="7102" xr:uid="{00000000-0005-0000-0000-00004E390000}"/>
    <cellStyle name="Финансовый 4 4 2 5 2 2" xfId="15745" xr:uid="{00000000-0005-0000-0000-00004F390000}"/>
    <cellStyle name="Финансовый 4 4 2 5 3" xfId="9709" xr:uid="{00000000-0005-0000-0000-000050390000}"/>
    <cellStyle name="Финансовый 4 4 2 6" xfId="650" xr:uid="{00000000-0005-0000-0000-000051390000}"/>
    <cellStyle name="Финансовый 4 4 2 6 2" xfId="6690" xr:uid="{00000000-0005-0000-0000-000052390000}"/>
    <cellStyle name="Финансовый 4 4 2 6 2 2" xfId="15333" xr:uid="{00000000-0005-0000-0000-000053390000}"/>
    <cellStyle name="Финансовый 4 4 2 6 3" xfId="9297" xr:uid="{00000000-0005-0000-0000-000054390000}"/>
    <cellStyle name="Финансовый 4 4 2 7" xfId="2839" xr:uid="{00000000-0005-0000-0000-000055390000}"/>
    <cellStyle name="Финансовый 4 4 2 7 2" xfId="11484" xr:uid="{00000000-0005-0000-0000-000056390000}"/>
    <cellStyle name="Финансовый 4 4 2 8" xfId="4483" xr:uid="{00000000-0005-0000-0000-000057390000}"/>
    <cellStyle name="Финансовый 4 4 2 8 2" xfId="13128" xr:uid="{00000000-0005-0000-0000-000058390000}"/>
    <cellStyle name="Финансовый 4 4 2 9" xfId="6270" xr:uid="{00000000-0005-0000-0000-000059390000}"/>
    <cellStyle name="Финансовый 4 4 2 9 2" xfId="14913" xr:uid="{00000000-0005-0000-0000-00005A390000}"/>
    <cellStyle name="Финансовый 4 4 3" xfId="378" xr:uid="{00000000-0005-0000-0000-00005B390000}"/>
    <cellStyle name="Финансовый 4 4 3 2" xfId="2157" xr:uid="{00000000-0005-0000-0000-00005C390000}"/>
    <cellStyle name="Финансовый 4 4 3 2 2" xfId="3802" xr:uid="{00000000-0005-0000-0000-00005D390000}"/>
    <cellStyle name="Финансовый 4 4 3 2 2 2" xfId="12447" xr:uid="{00000000-0005-0000-0000-00005E390000}"/>
    <cellStyle name="Финансовый 4 4 3 2 3" xfId="5585" xr:uid="{00000000-0005-0000-0000-00005F390000}"/>
    <cellStyle name="Финансовый 4 4 3 2 3 2" xfId="14228" xr:uid="{00000000-0005-0000-0000-000060390000}"/>
    <cellStyle name="Финансовый 4 4 3 2 4" xfId="8195" xr:uid="{00000000-0005-0000-0000-000061390000}"/>
    <cellStyle name="Финансовый 4 4 3 2 4 2" xfId="16838" xr:uid="{00000000-0005-0000-0000-000062390000}"/>
    <cellStyle name="Финансовый 4 4 3 2 5" xfId="10802" xr:uid="{00000000-0005-0000-0000-000063390000}"/>
    <cellStyle name="Финансовый 4 4 3 3" xfId="1191" xr:uid="{00000000-0005-0000-0000-000064390000}"/>
    <cellStyle name="Финансовый 4 4 3 3 2" xfId="7231" xr:uid="{00000000-0005-0000-0000-000065390000}"/>
    <cellStyle name="Финансовый 4 4 3 3 2 2" xfId="15874" xr:uid="{00000000-0005-0000-0000-000066390000}"/>
    <cellStyle name="Финансовый 4 4 3 3 3" xfId="9838" xr:uid="{00000000-0005-0000-0000-000067390000}"/>
    <cellStyle name="Финансовый 4 4 3 4" xfId="798" xr:uid="{00000000-0005-0000-0000-000068390000}"/>
    <cellStyle name="Финансовый 4 4 3 4 2" xfId="6838" xr:uid="{00000000-0005-0000-0000-000069390000}"/>
    <cellStyle name="Финансовый 4 4 3 4 2 2" xfId="15481" xr:uid="{00000000-0005-0000-0000-00006A390000}"/>
    <cellStyle name="Финансовый 4 4 3 4 3" xfId="9445" xr:uid="{00000000-0005-0000-0000-00006B390000}"/>
    <cellStyle name="Финансовый 4 4 3 5" xfId="2975" xr:uid="{00000000-0005-0000-0000-00006C390000}"/>
    <cellStyle name="Финансовый 4 4 3 5 2" xfId="11620" xr:uid="{00000000-0005-0000-0000-00006D390000}"/>
    <cellStyle name="Финансовый 4 4 3 6" xfId="4619" xr:uid="{00000000-0005-0000-0000-00006E390000}"/>
    <cellStyle name="Финансовый 4 4 3 6 2" xfId="13264" xr:uid="{00000000-0005-0000-0000-00006F390000}"/>
    <cellStyle name="Финансовый 4 4 3 7" xfId="6418" xr:uid="{00000000-0005-0000-0000-000070390000}"/>
    <cellStyle name="Финансовый 4 4 3 7 2" xfId="15061" xr:uid="{00000000-0005-0000-0000-000071390000}"/>
    <cellStyle name="Финансовый 4 4 3 8" xfId="9025" xr:uid="{00000000-0005-0000-0000-000072390000}"/>
    <cellStyle name="Финансовый 4 4 4" xfId="1541" xr:uid="{00000000-0005-0000-0000-000073390000}"/>
    <cellStyle name="Финансовый 4 4 4 2" xfId="1901" xr:uid="{00000000-0005-0000-0000-000074390000}"/>
    <cellStyle name="Финансовый 4 4 4 2 2" xfId="3546" xr:uid="{00000000-0005-0000-0000-000075390000}"/>
    <cellStyle name="Финансовый 4 4 4 2 2 2" xfId="12191" xr:uid="{00000000-0005-0000-0000-000076390000}"/>
    <cellStyle name="Финансовый 4 4 4 2 3" xfId="5329" xr:uid="{00000000-0005-0000-0000-000077390000}"/>
    <cellStyle name="Финансовый 4 4 4 2 3 2" xfId="13972" xr:uid="{00000000-0005-0000-0000-000078390000}"/>
    <cellStyle name="Финансовый 4 4 4 2 4" xfId="7939" xr:uid="{00000000-0005-0000-0000-000079390000}"/>
    <cellStyle name="Финансовый 4 4 4 2 4 2" xfId="16582" xr:uid="{00000000-0005-0000-0000-00007A390000}"/>
    <cellStyle name="Финансовый 4 4 4 2 5" xfId="10546" xr:uid="{00000000-0005-0000-0000-00007B390000}"/>
    <cellStyle name="Финансовый 4 4 4 3" xfId="4969" xr:uid="{00000000-0005-0000-0000-00007C390000}"/>
    <cellStyle name="Финансовый 4 4 4 3 2" xfId="13612" xr:uid="{00000000-0005-0000-0000-00007D390000}"/>
    <cellStyle name="Финансовый 4 4 4 4" xfId="7579" xr:uid="{00000000-0005-0000-0000-00007E390000}"/>
    <cellStyle name="Финансовый 4 4 4 4 2" xfId="16222" xr:uid="{00000000-0005-0000-0000-00007F390000}"/>
    <cellStyle name="Финансовый 4 4 4 5" xfId="10186" xr:uid="{00000000-0005-0000-0000-000080390000}"/>
    <cellStyle name="Финансовый 4 4 5" xfId="1777" xr:uid="{00000000-0005-0000-0000-000081390000}"/>
    <cellStyle name="Финансовый 4 4 5 2" xfId="3422" xr:uid="{00000000-0005-0000-0000-000082390000}"/>
    <cellStyle name="Финансовый 4 4 5 2 2" xfId="12067" xr:uid="{00000000-0005-0000-0000-000083390000}"/>
    <cellStyle name="Финансовый 4 4 5 3" xfId="5205" xr:uid="{00000000-0005-0000-0000-000084390000}"/>
    <cellStyle name="Финансовый 4 4 5 3 2" xfId="13848" xr:uid="{00000000-0005-0000-0000-000085390000}"/>
    <cellStyle name="Финансовый 4 4 5 4" xfId="7815" xr:uid="{00000000-0005-0000-0000-000086390000}"/>
    <cellStyle name="Финансовый 4 4 5 4 2" xfId="16458" xr:uid="{00000000-0005-0000-0000-000087390000}"/>
    <cellStyle name="Финансовый 4 4 5 5" xfId="10422" xr:uid="{00000000-0005-0000-0000-000088390000}"/>
    <cellStyle name="Финансовый 4 4 6" xfId="2422" xr:uid="{00000000-0005-0000-0000-000089390000}"/>
    <cellStyle name="Финансовый 4 4 6 2" xfId="4067" xr:uid="{00000000-0005-0000-0000-00008A390000}"/>
    <cellStyle name="Финансовый 4 4 6 2 2" xfId="12712" xr:uid="{00000000-0005-0000-0000-00008B390000}"/>
    <cellStyle name="Финансовый 4 4 6 3" xfId="5850" xr:uid="{00000000-0005-0000-0000-00008C390000}"/>
    <cellStyle name="Финансовый 4 4 6 3 2" xfId="14493" xr:uid="{00000000-0005-0000-0000-00008D390000}"/>
    <cellStyle name="Финансовый 4 4 6 4" xfId="8460" xr:uid="{00000000-0005-0000-0000-00008E390000}"/>
    <cellStyle name="Финансовый 4 4 6 4 2" xfId="17103" xr:uid="{00000000-0005-0000-0000-00008F390000}"/>
    <cellStyle name="Финансовый 4 4 6 5" xfId="11067" xr:uid="{00000000-0005-0000-0000-000090390000}"/>
    <cellStyle name="Финансовый 4 4 7" xfId="1649" xr:uid="{00000000-0005-0000-0000-000091390000}"/>
    <cellStyle name="Финансовый 4 4 7 2" xfId="3294" xr:uid="{00000000-0005-0000-0000-000092390000}"/>
    <cellStyle name="Финансовый 4 4 7 2 2" xfId="11939" xr:uid="{00000000-0005-0000-0000-000093390000}"/>
    <cellStyle name="Финансовый 4 4 7 3" xfId="5077" xr:uid="{00000000-0005-0000-0000-000094390000}"/>
    <cellStyle name="Финансовый 4 4 7 3 2" xfId="13720" xr:uid="{00000000-0005-0000-0000-000095390000}"/>
    <cellStyle name="Финансовый 4 4 7 4" xfId="7687" xr:uid="{00000000-0005-0000-0000-000096390000}"/>
    <cellStyle name="Финансовый 4 4 7 4 2" xfId="16330" xr:uid="{00000000-0005-0000-0000-000097390000}"/>
    <cellStyle name="Финансовый 4 4 7 5" xfId="10294" xr:uid="{00000000-0005-0000-0000-000098390000}"/>
    <cellStyle name="Финансовый 4 4 8" xfId="926" xr:uid="{00000000-0005-0000-0000-000099390000}"/>
    <cellStyle name="Финансовый 4 4 8 2" xfId="6966" xr:uid="{00000000-0005-0000-0000-00009A390000}"/>
    <cellStyle name="Финансовый 4 4 8 2 2" xfId="15609" xr:uid="{00000000-0005-0000-0000-00009B390000}"/>
    <cellStyle name="Финансовый 4 4 8 3" xfId="9573" xr:uid="{00000000-0005-0000-0000-00009C390000}"/>
    <cellStyle name="Финансовый 4 4 9" xfId="514" xr:uid="{00000000-0005-0000-0000-00009D390000}"/>
    <cellStyle name="Финансовый 4 4 9 2" xfId="6554" xr:uid="{00000000-0005-0000-0000-00009E390000}"/>
    <cellStyle name="Финансовый 4 4 9 2 2" xfId="15197" xr:uid="{00000000-0005-0000-0000-00009F390000}"/>
    <cellStyle name="Финансовый 4 4 9 3" xfId="9161" xr:uid="{00000000-0005-0000-0000-0000A0390000}"/>
    <cellStyle name="Финансовый 4 5" xfId="99" xr:uid="{00000000-0005-0000-0000-0000A1390000}"/>
    <cellStyle name="Финансовый 4 5 10" xfId="2709" xr:uid="{00000000-0005-0000-0000-0000A2390000}"/>
    <cellStyle name="Финансовый 4 5 10 2" xfId="11354" xr:uid="{00000000-0005-0000-0000-0000A3390000}"/>
    <cellStyle name="Финансовый 4 5 11" xfId="4353" xr:uid="{00000000-0005-0000-0000-0000A4390000}"/>
    <cellStyle name="Финансовый 4 5 11 2" xfId="12998" xr:uid="{00000000-0005-0000-0000-0000A5390000}"/>
    <cellStyle name="Финансовый 4 5 12" xfId="6140" xr:uid="{00000000-0005-0000-0000-0000A6390000}"/>
    <cellStyle name="Финансовый 4 5 12 2" xfId="14783" xr:uid="{00000000-0005-0000-0000-0000A7390000}"/>
    <cellStyle name="Финансовый 4 5 13" xfId="8747" xr:uid="{00000000-0005-0000-0000-0000A8390000}"/>
    <cellStyle name="Финансовый 4 5 2" xfId="235" xr:uid="{00000000-0005-0000-0000-0000A9390000}"/>
    <cellStyle name="Финансовый 4 5 2 10" xfId="8883" xr:uid="{00000000-0005-0000-0000-0000AA390000}"/>
    <cellStyle name="Финансовый 4 5 2 2" xfId="1333" xr:uid="{00000000-0005-0000-0000-0000AB390000}"/>
    <cellStyle name="Финансовый 4 5 2 2 2" xfId="2291" xr:uid="{00000000-0005-0000-0000-0000AC390000}"/>
    <cellStyle name="Финансовый 4 5 2 2 2 2" xfId="3936" xr:uid="{00000000-0005-0000-0000-0000AD390000}"/>
    <cellStyle name="Финансовый 4 5 2 2 2 2 2" xfId="12581" xr:uid="{00000000-0005-0000-0000-0000AE390000}"/>
    <cellStyle name="Финансовый 4 5 2 2 2 3" xfId="5719" xr:uid="{00000000-0005-0000-0000-0000AF390000}"/>
    <cellStyle name="Финансовый 4 5 2 2 2 3 2" xfId="14362" xr:uid="{00000000-0005-0000-0000-0000B0390000}"/>
    <cellStyle name="Финансовый 4 5 2 2 2 4" xfId="8329" xr:uid="{00000000-0005-0000-0000-0000B1390000}"/>
    <cellStyle name="Финансовый 4 5 2 2 2 4 2" xfId="16972" xr:uid="{00000000-0005-0000-0000-0000B2390000}"/>
    <cellStyle name="Финансовый 4 5 2 2 2 5" xfId="10936" xr:uid="{00000000-0005-0000-0000-0000B3390000}"/>
    <cellStyle name="Финансовый 4 5 2 2 3" xfId="3117" xr:uid="{00000000-0005-0000-0000-0000B4390000}"/>
    <cellStyle name="Финансовый 4 5 2 2 3 2" xfId="11762" xr:uid="{00000000-0005-0000-0000-0000B5390000}"/>
    <cellStyle name="Финансовый 4 5 2 2 4" xfId="4761" xr:uid="{00000000-0005-0000-0000-0000B6390000}"/>
    <cellStyle name="Финансовый 4 5 2 2 4 2" xfId="13406" xr:uid="{00000000-0005-0000-0000-0000B7390000}"/>
    <cellStyle name="Финансовый 4 5 2 2 5" xfId="7373" xr:uid="{00000000-0005-0000-0000-0000B8390000}"/>
    <cellStyle name="Финансовый 4 5 2 2 5 2" xfId="16016" xr:uid="{00000000-0005-0000-0000-0000B9390000}"/>
    <cellStyle name="Финансовый 4 5 2 2 6" xfId="9980" xr:uid="{00000000-0005-0000-0000-0000BA390000}"/>
    <cellStyle name="Финансовый 4 5 2 3" xfId="2035" xr:uid="{00000000-0005-0000-0000-0000BB390000}"/>
    <cellStyle name="Финансовый 4 5 2 3 2" xfId="3680" xr:uid="{00000000-0005-0000-0000-0000BC390000}"/>
    <cellStyle name="Финансовый 4 5 2 3 2 2" xfId="12325" xr:uid="{00000000-0005-0000-0000-0000BD390000}"/>
    <cellStyle name="Финансовый 4 5 2 3 3" xfId="5463" xr:uid="{00000000-0005-0000-0000-0000BE390000}"/>
    <cellStyle name="Финансовый 4 5 2 3 3 2" xfId="14106" xr:uid="{00000000-0005-0000-0000-0000BF390000}"/>
    <cellStyle name="Финансовый 4 5 2 3 4" xfId="8073" xr:uid="{00000000-0005-0000-0000-0000C0390000}"/>
    <cellStyle name="Финансовый 4 5 2 3 4 2" xfId="16716" xr:uid="{00000000-0005-0000-0000-0000C1390000}"/>
    <cellStyle name="Финансовый 4 5 2 3 5" xfId="10680" xr:uid="{00000000-0005-0000-0000-0000C2390000}"/>
    <cellStyle name="Финансовый 4 5 2 4" xfId="2564" xr:uid="{00000000-0005-0000-0000-0000C3390000}"/>
    <cellStyle name="Финансовый 4 5 2 4 2" xfId="4209" xr:uid="{00000000-0005-0000-0000-0000C4390000}"/>
    <cellStyle name="Финансовый 4 5 2 4 2 2" xfId="12854" xr:uid="{00000000-0005-0000-0000-0000C5390000}"/>
    <cellStyle name="Финансовый 4 5 2 4 3" xfId="5992" xr:uid="{00000000-0005-0000-0000-0000C6390000}"/>
    <cellStyle name="Финансовый 4 5 2 4 3 2" xfId="14635" xr:uid="{00000000-0005-0000-0000-0000C7390000}"/>
    <cellStyle name="Финансовый 4 5 2 4 4" xfId="8602" xr:uid="{00000000-0005-0000-0000-0000C8390000}"/>
    <cellStyle name="Финансовый 4 5 2 4 4 2" xfId="17245" xr:uid="{00000000-0005-0000-0000-0000C9390000}"/>
    <cellStyle name="Финансовый 4 5 2 4 5" xfId="11209" xr:uid="{00000000-0005-0000-0000-0000CA390000}"/>
    <cellStyle name="Финансовый 4 5 2 5" xfId="1068" xr:uid="{00000000-0005-0000-0000-0000CB390000}"/>
    <cellStyle name="Финансовый 4 5 2 5 2" xfId="7108" xr:uid="{00000000-0005-0000-0000-0000CC390000}"/>
    <cellStyle name="Финансовый 4 5 2 5 2 2" xfId="15751" xr:uid="{00000000-0005-0000-0000-0000CD390000}"/>
    <cellStyle name="Финансовый 4 5 2 5 3" xfId="9715" xr:uid="{00000000-0005-0000-0000-0000CE390000}"/>
    <cellStyle name="Финансовый 4 5 2 6" xfId="656" xr:uid="{00000000-0005-0000-0000-0000CF390000}"/>
    <cellStyle name="Финансовый 4 5 2 6 2" xfId="6696" xr:uid="{00000000-0005-0000-0000-0000D0390000}"/>
    <cellStyle name="Финансовый 4 5 2 6 2 2" xfId="15339" xr:uid="{00000000-0005-0000-0000-0000D1390000}"/>
    <cellStyle name="Финансовый 4 5 2 6 3" xfId="9303" xr:uid="{00000000-0005-0000-0000-0000D2390000}"/>
    <cellStyle name="Финансовый 4 5 2 7" xfId="2845" xr:uid="{00000000-0005-0000-0000-0000D3390000}"/>
    <cellStyle name="Финансовый 4 5 2 7 2" xfId="11490" xr:uid="{00000000-0005-0000-0000-0000D4390000}"/>
    <cellStyle name="Финансовый 4 5 2 8" xfId="4489" xr:uid="{00000000-0005-0000-0000-0000D5390000}"/>
    <cellStyle name="Финансовый 4 5 2 8 2" xfId="13134" xr:uid="{00000000-0005-0000-0000-0000D6390000}"/>
    <cellStyle name="Финансовый 4 5 2 9" xfId="6276" xr:uid="{00000000-0005-0000-0000-0000D7390000}"/>
    <cellStyle name="Финансовый 4 5 2 9 2" xfId="14919" xr:uid="{00000000-0005-0000-0000-0000D8390000}"/>
    <cellStyle name="Финансовый 4 5 3" xfId="384" xr:uid="{00000000-0005-0000-0000-0000D9390000}"/>
    <cellStyle name="Финансовый 4 5 3 2" xfId="2163" xr:uid="{00000000-0005-0000-0000-0000DA390000}"/>
    <cellStyle name="Финансовый 4 5 3 2 2" xfId="3808" xr:uid="{00000000-0005-0000-0000-0000DB390000}"/>
    <cellStyle name="Финансовый 4 5 3 2 2 2" xfId="12453" xr:uid="{00000000-0005-0000-0000-0000DC390000}"/>
    <cellStyle name="Финансовый 4 5 3 2 3" xfId="5591" xr:uid="{00000000-0005-0000-0000-0000DD390000}"/>
    <cellStyle name="Финансовый 4 5 3 2 3 2" xfId="14234" xr:uid="{00000000-0005-0000-0000-0000DE390000}"/>
    <cellStyle name="Финансовый 4 5 3 2 4" xfId="8201" xr:uid="{00000000-0005-0000-0000-0000DF390000}"/>
    <cellStyle name="Финансовый 4 5 3 2 4 2" xfId="16844" xr:uid="{00000000-0005-0000-0000-0000E0390000}"/>
    <cellStyle name="Финансовый 4 5 3 2 5" xfId="10808" xr:uid="{00000000-0005-0000-0000-0000E1390000}"/>
    <cellStyle name="Финансовый 4 5 3 3" xfId="1197" xr:uid="{00000000-0005-0000-0000-0000E2390000}"/>
    <cellStyle name="Финансовый 4 5 3 3 2" xfId="7237" xr:uid="{00000000-0005-0000-0000-0000E3390000}"/>
    <cellStyle name="Финансовый 4 5 3 3 2 2" xfId="15880" xr:uid="{00000000-0005-0000-0000-0000E4390000}"/>
    <cellStyle name="Финансовый 4 5 3 3 3" xfId="9844" xr:uid="{00000000-0005-0000-0000-0000E5390000}"/>
    <cellStyle name="Финансовый 4 5 3 4" xfId="804" xr:uid="{00000000-0005-0000-0000-0000E6390000}"/>
    <cellStyle name="Финансовый 4 5 3 4 2" xfId="6844" xr:uid="{00000000-0005-0000-0000-0000E7390000}"/>
    <cellStyle name="Финансовый 4 5 3 4 2 2" xfId="15487" xr:uid="{00000000-0005-0000-0000-0000E8390000}"/>
    <cellStyle name="Финансовый 4 5 3 4 3" xfId="9451" xr:uid="{00000000-0005-0000-0000-0000E9390000}"/>
    <cellStyle name="Финансовый 4 5 3 5" xfId="2981" xr:uid="{00000000-0005-0000-0000-0000EA390000}"/>
    <cellStyle name="Финансовый 4 5 3 5 2" xfId="11626" xr:uid="{00000000-0005-0000-0000-0000EB390000}"/>
    <cellStyle name="Финансовый 4 5 3 6" xfId="4625" xr:uid="{00000000-0005-0000-0000-0000EC390000}"/>
    <cellStyle name="Финансовый 4 5 3 6 2" xfId="13270" xr:uid="{00000000-0005-0000-0000-0000ED390000}"/>
    <cellStyle name="Финансовый 4 5 3 7" xfId="6424" xr:uid="{00000000-0005-0000-0000-0000EE390000}"/>
    <cellStyle name="Финансовый 4 5 3 7 2" xfId="15067" xr:uid="{00000000-0005-0000-0000-0000EF390000}"/>
    <cellStyle name="Финансовый 4 5 3 8" xfId="9031" xr:uid="{00000000-0005-0000-0000-0000F0390000}"/>
    <cellStyle name="Финансовый 4 5 4" xfId="1542" xr:uid="{00000000-0005-0000-0000-0000F1390000}"/>
    <cellStyle name="Финансовый 4 5 4 2" xfId="1907" xr:uid="{00000000-0005-0000-0000-0000F2390000}"/>
    <cellStyle name="Финансовый 4 5 4 2 2" xfId="3552" xr:uid="{00000000-0005-0000-0000-0000F3390000}"/>
    <cellStyle name="Финансовый 4 5 4 2 2 2" xfId="12197" xr:uid="{00000000-0005-0000-0000-0000F4390000}"/>
    <cellStyle name="Финансовый 4 5 4 2 3" xfId="5335" xr:uid="{00000000-0005-0000-0000-0000F5390000}"/>
    <cellStyle name="Финансовый 4 5 4 2 3 2" xfId="13978" xr:uid="{00000000-0005-0000-0000-0000F6390000}"/>
    <cellStyle name="Финансовый 4 5 4 2 4" xfId="7945" xr:uid="{00000000-0005-0000-0000-0000F7390000}"/>
    <cellStyle name="Финансовый 4 5 4 2 4 2" xfId="16588" xr:uid="{00000000-0005-0000-0000-0000F8390000}"/>
    <cellStyle name="Финансовый 4 5 4 2 5" xfId="10552" xr:uid="{00000000-0005-0000-0000-0000F9390000}"/>
    <cellStyle name="Финансовый 4 5 4 3" xfId="4970" xr:uid="{00000000-0005-0000-0000-0000FA390000}"/>
    <cellStyle name="Финансовый 4 5 4 3 2" xfId="13613" xr:uid="{00000000-0005-0000-0000-0000FB390000}"/>
    <cellStyle name="Финансовый 4 5 4 4" xfId="7580" xr:uid="{00000000-0005-0000-0000-0000FC390000}"/>
    <cellStyle name="Финансовый 4 5 4 4 2" xfId="16223" xr:uid="{00000000-0005-0000-0000-0000FD390000}"/>
    <cellStyle name="Финансовый 4 5 4 5" xfId="10187" xr:uid="{00000000-0005-0000-0000-0000FE390000}"/>
    <cellStyle name="Финансовый 4 5 5" xfId="1783" xr:uid="{00000000-0005-0000-0000-0000FF390000}"/>
    <cellStyle name="Финансовый 4 5 5 2" xfId="3428" xr:uid="{00000000-0005-0000-0000-0000003A0000}"/>
    <cellStyle name="Финансовый 4 5 5 2 2" xfId="12073" xr:uid="{00000000-0005-0000-0000-0000013A0000}"/>
    <cellStyle name="Финансовый 4 5 5 3" xfId="5211" xr:uid="{00000000-0005-0000-0000-0000023A0000}"/>
    <cellStyle name="Финансовый 4 5 5 3 2" xfId="13854" xr:uid="{00000000-0005-0000-0000-0000033A0000}"/>
    <cellStyle name="Финансовый 4 5 5 4" xfId="7821" xr:uid="{00000000-0005-0000-0000-0000043A0000}"/>
    <cellStyle name="Финансовый 4 5 5 4 2" xfId="16464" xr:uid="{00000000-0005-0000-0000-0000053A0000}"/>
    <cellStyle name="Финансовый 4 5 5 5" xfId="10428" xr:uid="{00000000-0005-0000-0000-0000063A0000}"/>
    <cellStyle name="Финансовый 4 5 6" xfId="2428" xr:uid="{00000000-0005-0000-0000-0000073A0000}"/>
    <cellStyle name="Финансовый 4 5 6 2" xfId="4073" xr:uid="{00000000-0005-0000-0000-0000083A0000}"/>
    <cellStyle name="Финансовый 4 5 6 2 2" xfId="12718" xr:uid="{00000000-0005-0000-0000-0000093A0000}"/>
    <cellStyle name="Финансовый 4 5 6 3" xfId="5856" xr:uid="{00000000-0005-0000-0000-00000A3A0000}"/>
    <cellStyle name="Финансовый 4 5 6 3 2" xfId="14499" xr:uid="{00000000-0005-0000-0000-00000B3A0000}"/>
    <cellStyle name="Финансовый 4 5 6 4" xfId="8466" xr:uid="{00000000-0005-0000-0000-00000C3A0000}"/>
    <cellStyle name="Финансовый 4 5 6 4 2" xfId="17109" xr:uid="{00000000-0005-0000-0000-00000D3A0000}"/>
    <cellStyle name="Финансовый 4 5 6 5" xfId="11073" xr:uid="{00000000-0005-0000-0000-00000E3A0000}"/>
    <cellStyle name="Финансовый 4 5 7" xfId="1655" xr:uid="{00000000-0005-0000-0000-00000F3A0000}"/>
    <cellStyle name="Финансовый 4 5 7 2" xfId="3300" xr:uid="{00000000-0005-0000-0000-0000103A0000}"/>
    <cellStyle name="Финансовый 4 5 7 2 2" xfId="11945" xr:uid="{00000000-0005-0000-0000-0000113A0000}"/>
    <cellStyle name="Финансовый 4 5 7 3" xfId="5083" xr:uid="{00000000-0005-0000-0000-0000123A0000}"/>
    <cellStyle name="Финансовый 4 5 7 3 2" xfId="13726" xr:uid="{00000000-0005-0000-0000-0000133A0000}"/>
    <cellStyle name="Финансовый 4 5 7 4" xfId="7693" xr:uid="{00000000-0005-0000-0000-0000143A0000}"/>
    <cellStyle name="Финансовый 4 5 7 4 2" xfId="16336" xr:uid="{00000000-0005-0000-0000-0000153A0000}"/>
    <cellStyle name="Финансовый 4 5 7 5" xfId="10300" xr:uid="{00000000-0005-0000-0000-0000163A0000}"/>
    <cellStyle name="Финансовый 4 5 8" xfId="932" xr:uid="{00000000-0005-0000-0000-0000173A0000}"/>
    <cellStyle name="Финансовый 4 5 8 2" xfId="6972" xr:uid="{00000000-0005-0000-0000-0000183A0000}"/>
    <cellStyle name="Финансовый 4 5 8 2 2" xfId="15615" xr:uid="{00000000-0005-0000-0000-0000193A0000}"/>
    <cellStyle name="Финансовый 4 5 8 3" xfId="9579" xr:uid="{00000000-0005-0000-0000-00001A3A0000}"/>
    <cellStyle name="Финансовый 4 5 9" xfId="520" xr:uid="{00000000-0005-0000-0000-00001B3A0000}"/>
    <cellStyle name="Финансовый 4 5 9 2" xfId="6560" xr:uid="{00000000-0005-0000-0000-00001C3A0000}"/>
    <cellStyle name="Финансовый 4 5 9 2 2" xfId="15203" xr:uid="{00000000-0005-0000-0000-00001D3A0000}"/>
    <cellStyle name="Финансовый 4 5 9 3" xfId="9167" xr:uid="{00000000-0005-0000-0000-00001E3A0000}"/>
    <cellStyle name="Финансовый 4 6" xfId="111" xr:uid="{00000000-0005-0000-0000-00001F3A0000}"/>
    <cellStyle name="Финансовый 4 6 10" xfId="2721" xr:uid="{00000000-0005-0000-0000-0000203A0000}"/>
    <cellStyle name="Финансовый 4 6 10 2" xfId="11366" xr:uid="{00000000-0005-0000-0000-0000213A0000}"/>
    <cellStyle name="Финансовый 4 6 11" xfId="4365" xr:uid="{00000000-0005-0000-0000-0000223A0000}"/>
    <cellStyle name="Финансовый 4 6 11 2" xfId="13010" xr:uid="{00000000-0005-0000-0000-0000233A0000}"/>
    <cellStyle name="Финансовый 4 6 12" xfId="6152" xr:uid="{00000000-0005-0000-0000-0000243A0000}"/>
    <cellStyle name="Финансовый 4 6 12 2" xfId="14795" xr:uid="{00000000-0005-0000-0000-0000253A0000}"/>
    <cellStyle name="Финансовый 4 6 13" xfId="8759" xr:uid="{00000000-0005-0000-0000-0000263A0000}"/>
    <cellStyle name="Финансовый 4 6 2" xfId="247" xr:uid="{00000000-0005-0000-0000-0000273A0000}"/>
    <cellStyle name="Финансовый 4 6 2 10" xfId="8895" xr:uid="{00000000-0005-0000-0000-0000283A0000}"/>
    <cellStyle name="Финансовый 4 6 2 2" xfId="1345" xr:uid="{00000000-0005-0000-0000-0000293A0000}"/>
    <cellStyle name="Финансовый 4 6 2 2 2" xfId="2303" xr:uid="{00000000-0005-0000-0000-00002A3A0000}"/>
    <cellStyle name="Финансовый 4 6 2 2 2 2" xfId="3948" xr:uid="{00000000-0005-0000-0000-00002B3A0000}"/>
    <cellStyle name="Финансовый 4 6 2 2 2 2 2" xfId="12593" xr:uid="{00000000-0005-0000-0000-00002C3A0000}"/>
    <cellStyle name="Финансовый 4 6 2 2 2 3" xfId="5731" xr:uid="{00000000-0005-0000-0000-00002D3A0000}"/>
    <cellStyle name="Финансовый 4 6 2 2 2 3 2" xfId="14374" xr:uid="{00000000-0005-0000-0000-00002E3A0000}"/>
    <cellStyle name="Финансовый 4 6 2 2 2 4" xfId="8341" xr:uid="{00000000-0005-0000-0000-00002F3A0000}"/>
    <cellStyle name="Финансовый 4 6 2 2 2 4 2" xfId="16984" xr:uid="{00000000-0005-0000-0000-0000303A0000}"/>
    <cellStyle name="Финансовый 4 6 2 2 2 5" xfId="10948" xr:uid="{00000000-0005-0000-0000-0000313A0000}"/>
    <cellStyle name="Финансовый 4 6 2 2 3" xfId="3129" xr:uid="{00000000-0005-0000-0000-0000323A0000}"/>
    <cellStyle name="Финансовый 4 6 2 2 3 2" xfId="11774" xr:uid="{00000000-0005-0000-0000-0000333A0000}"/>
    <cellStyle name="Финансовый 4 6 2 2 4" xfId="4773" xr:uid="{00000000-0005-0000-0000-0000343A0000}"/>
    <cellStyle name="Финансовый 4 6 2 2 4 2" xfId="13418" xr:uid="{00000000-0005-0000-0000-0000353A0000}"/>
    <cellStyle name="Финансовый 4 6 2 2 5" xfId="7385" xr:uid="{00000000-0005-0000-0000-0000363A0000}"/>
    <cellStyle name="Финансовый 4 6 2 2 5 2" xfId="16028" xr:uid="{00000000-0005-0000-0000-0000373A0000}"/>
    <cellStyle name="Финансовый 4 6 2 2 6" xfId="9992" xr:uid="{00000000-0005-0000-0000-0000383A0000}"/>
    <cellStyle name="Финансовый 4 6 2 3" xfId="2047" xr:uid="{00000000-0005-0000-0000-0000393A0000}"/>
    <cellStyle name="Финансовый 4 6 2 3 2" xfId="3692" xr:uid="{00000000-0005-0000-0000-00003A3A0000}"/>
    <cellStyle name="Финансовый 4 6 2 3 2 2" xfId="12337" xr:uid="{00000000-0005-0000-0000-00003B3A0000}"/>
    <cellStyle name="Финансовый 4 6 2 3 3" xfId="5475" xr:uid="{00000000-0005-0000-0000-00003C3A0000}"/>
    <cellStyle name="Финансовый 4 6 2 3 3 2" xfId="14118" xr:uid="{00000000-0005-0000-0000-00003D3A0000}"/>
    <cellStyle name="Финансовый 4 6 2 3 4" xfId="8085" xr:uid="{00000000-0005-0000-0000-00003E3A0000}"/>
    <cellStyle name="Финансовый 4 6 2 3 4 2" xfId="16728" xr:uid="{00000000-0005-0000-0000-00003F3A0000}"/>
    <cellStyle name="Финансовый 4 6 2 3 5" xfId="10692" xr:uid="{00000000-0005-0000-0000-0000403A0000}"/>
    <cellStyle name="Финансовый 4 6 2 4" xfId="2576" xr:uid="{00000000-0005-0000-0000-0000413A0000}"/>
    <cellStyle name="Финансовый 4 6 2 4 2" xfId="4221" xr:uid="{00000000-0005-0000-0000-0000423A0000}"/>
    <cellStyle name="Финансовый 4 6 2 4 2 2" xfId="12866" xr:uid="{00000000-0005-0000-0000-0000433A0000}"/>
    <cellStyle name="Финансовый 4 6 2 4 3" xfId="6004" xr:uid="{00000000-0005-0000-0000-0000443A0000}"/>
    <cellStyle name="Финансовый 4 6 2 4 3 2" xfId="14647" xr:uid="{00000000-0005-0000-0000-0000453A0000}"/>
    <cellStyle name="Финансовый 4 6 2 4 4" xfId="8614" xr:uid="{00000000-0005-0000-0000-0000463A0000}"/>
    <cellStyle name="Финансовый 4 6 2 4 4 2" xfId="17257" xr:uid="{00000000-0005-0000-0000-0000473A0000}"/>
    <cellStyle name="Финансовый 4 6 2 4 5" xfId="11221" xr:uid="{00000000-0005-0000-0000-0000483A0000}"/>
    <cellStyle name="Финансовый 4 6 2 5" xfId="1080" xr:uid="{00000000-0005-0000-0000-0000493A0000}"/>
    <cellStyle name="Финансовый 4 6 2 5 2" xfId="7120" xr:uid="{00000000-0005-0000-0000-00004A3A0000}"/>
    <cellStyle name="Финансовый 4 6 2 5 2 2" xfId="15763" xr:uid="{00000000-0005-0000-0000-00004B3A0000}"/>
    <cellStyle name="Финансовый 4 6 2 5 3" xfId="9727" xr:uid="{00000000-0005-0000-0000-00004C3A0000}"/>
    <cellStyle name="Финансовый 4 6 2 6" xfId="668" xr:uid="{00000000-0005-0000-0000-00004D3A0000}"/>
    <cellStyle name="Финансовый 4 6 2 6 2" xfId="6708" xr:uid="{00000000-0005-0000-0000-00004E3A0000}"/>
    <cellStyle name="Финансовый 4 6 2 6 2 2" xfId="15351" xr:uid="{00000000-0005-0000-0000-00004F3A0000}"/>
    <cellStyle name="Финансовый 4 6 2 6 3" xfId="9315" xr:uid="{00000000-0005-0000-0000-0000503A0000}"/>
    <cellStyle name="Финансовый 4 6 2 7" xfId="2857" xr:uid="{00000000-0005-0000-0000-0000513A0000}"/>
    <cellStyle name="Финансовый 4 6 2 7 2" xfId="11502" xr:uid="{00000000-0005-0000-0000-0000523A0000}"/>
    <cellStyle name="Финансовый 4 6 2 8" xfId="4501" xr:uid="{00000000-0005-0000-0000-0000533A0000}"/>
    <cellStyle name="Финансовый 4 6 2 8 2" xfId="13146" xr:uid="{00000000-0005-0000-0000-0000543A0000}"/>
    <cellStyle name="Финансовый 4 6 2 9" xfId="6288" xr:uid="{00000000-0005-0000-0000-0000553A0000}"/>
    <cellStyle name="Финансовый 4 6 2 9 2" xfId="14931" xr:uid="{00000000-0005-0000-0000-0000563A0000}"/>
    <cellStyle name="Финансовый 4 6 3" xfId="396" xr:uid="{00000000-0005-0000-0000-0000573A0000}"/>
    <cellStyle name="Финансовый 4 6 3 2" xfId="2175" xr:uid="{00000000-0005-0000-0000-0000583A0000}"/>
    <cellStyle name="Финансовый 4 6 3 2 2" xfId="3820" xr:uid="{00000000-0005-0000-0000-0000593A0000}"/>
    <cellStyle name="Финансовый 4 6 3 2 2 2" xfId="12465" xr:uid="{00000000-0005-0000-0000-00005A3A0000}"/>
    <cellStyle name="Финансовый 4 6 3 2 3" xfId="5603" xr:uid="{00000000-0005-0000-0000-00005B3A0000}"/>
    <cellStyle name="Финансовый 4 6 3 2 3 2" xfId="14246" xr:uid="{00000000-0005-0000-0000-00005C3A0000}"/>
    <cellStyle name="Финансовый 4 6 3 2 4" xfId="8213" xr:uid="{00000000-0005-0000-0000-00005D3A0000}"/>
    <cellStyle name="Финансовый 4 6 3 2 4 2" xfId="16856" xr:uid="{00000000-0005-0000-0000-00005E3A0000}"/>
    <cellStyle name="Финансовый 4 6 3 2 5" xfId="10820" xr:uid="{00000000-0005-0000-0000-00005F3A0000}"/>
    <cellStyle name="Финансовый 4 6 3 3" xfId="1209" xr:uid="{00000000-0005-0000-0000-0000603A0000}"/>
    <cellStyle name="Финансовый 4 6 3 3 2" xfId="7249" xr:uid="{00000000-0005-0000-0000-0000613A0000}"/>
    <cellStyle name="Финансовый 4 6 3 3 2 2" xfId="15892" xr:uid="{00000000-0005-0000-0000-0000623A0000}"/>
    <cellStyle name="Финансовый 4 6 3 3 3" xfId="9856" xr:uid="{00000000-0005-0000-0000-0000633A0000}"/>
    <cellStyle name="Финансовый 4 6 3 4" xfId="816" xr:uid="{00000000-0005-0000-0000-0000643A0000}"/>
    <cellStyle name="Финансовый 4 6 3 4 2" xfId="6856" xr:uid="{00000000-0005-0000-0000-0000653A0000}"/>
    <cellStyle name="Финансовый 4 6 3 4 2 2" xfId="15499" xr:uid="{00000000-0005-0000-0000-0000663A0000}"/>
    <cellStyle name="Финансовый 4 6 3 4 3" xfId="9463" xr:uid="{00000000-0005-0000-0000-0000673A0000}"/>
    <cellStyle name="Финансовый 4 6 3 5" xfId="2993" xr:uid="{00000000-0005-0000-0000-0000683A0000}"/>
    <cellStyle name="Финансовый 4 6 3 5 2" xfId="11638" xr:uid="{00000000-0005-0000-0000-0000693A0000}"/>
    <cellStyle name="Финансовый 4 6 3 6" xfId="4637" xr:uid="{00000000-0005-0000-0000-00006A3A0000}"/>
    <cellStyle name="Финансовый 4 6 3 6 2" xfId="13282" xr:uid="{00000000-0005-0000-0000-00006B3A0000}"/>
    <cellStyle name="Финансовый 4 6 3 7" xfId="6436" xr:uid="{00000000-0005-0000-0000-00006C3A0000}"/>
    <cellStyle name="Финансовый 4 6 3 7 2" xfId="15079" xr:uid="{00000000-0005-0000-0000-00006D3A0000}"/>
    <cellStyle name="Финансовый 4 6 3 8" xfId="9043" xr:uid="{00000000-0005-0000-0000-00006E3A0000}"/>
    <cellStyle name="Финансовый 4 6 4" xfId="1478" xr:uid="{00000000-0005-0000-0000-00006F3A0000}"/>
    <cellStyle name="Финансовый 4 6 4 2" xfId="1919" xr:uid="{00000000-0005-0000-0000-0000703A0000}"/>
    <cellStyle name="Финансовый 4 6 4 2 2" xfId="3564" xr:uid="{00000000-0005-0000-0000-0000713A0000}"/>
    <cellStyle name="Финансовый 4 6 4 2 2 2" xfId="12209" xr:uid="{00000000-0005-0000-0000-0000723A0000}"/>
    <cellStyle name="Финансовый 4 6 4 2 3" xfId="5347" xr:uid="{00000000-0005-0000-0000-0000733A0000}"/>
    <cellStyle name="Финансовый 4 6 4 2 3 2" xfId="13990" xr:uid="{00000000-0005-0000-0000-0000743A0000}"/>
    <cellStyle name="Финансовый 4 6 4 2 4" xfId="7957" xr:uid="{00000000-0005-0000-0000-0000753A0000}"/>
    <cellStyle name="Финансовый 4 6 4 2 4 2" xfId="16600" xr:uid="{00000000-0005-0000-0000-0000763A0000}"/>
    <cellStyle name="Финансовый 4 6 4 2 5" xfId="10564" xr:uid="{00000000-0005-0000-0000-0000773A0000}"/>
    <cellStyle name="Финансовый 4 6 4 3" xfId="4906" xr:uid="{00000000-0005-0000-0000-0000783A0000}"/>
    <cellStyle name="Финансовый 4 6 4 3 2" xfId="13549" xr:uid="{00000000-0005-0000-0000-0000793A0000}"/>
    <cellStyle name="Финансовый 4 6 4 4" xfId="7516" xr:uid="{00000000-0005-0000-0000-00007A3A0000}"/>
    <cellStyle name="Финансовый 4 6 4 4 2" xfId="16159" xr:uid="{00000000-0005-0000-0000-00007B3A0000}"/>
    <cellStyle name="Финансовый 4 6 4 5" xfId="10123" xr:uid="{00000000-0005-0000-0000-00007C3A0000}"/>
    <cellStyle name="Финансовый 4 6 5" xfId="1795" xr:uid="{00000000-0005-0000-0000-00007D3A0000}"/>
    <cellStyle name="Финансовый 4 6 5 2" xfId="3440" xr:uid="{00000000-0005-0000-0000-00007E3A0000}"/>
    <cellStyle name="Финансовый 4 6 5 2 2" xfId="12085" xr:uid="{00000000-0005-0000-0000-00007F3A0000}"/>
    <cellStyle name="Финансовый 4 6 5 3" xfId="5223" xr:uid="{00000000-0005-0000-0000-0000803A0000}"/>
    <cellStyle name="Финансовый 4 6 5 3 2" xfId="13866" xr:uid="{00000000-0005-0000-0000-0000813A0000}"/>
    <cellStyle name="Финансовый 4 6 5 4" xfId="7833" xr:uid="{00000000-0005-0000-0000-0000823A0000}"/>
    <cellStyle name="Финансовый 4 6 5 4 2" xfId="16476" xr:uid="{00000000-0005-0000-0000-0000833A0000}"/>
    <cellStyle name="Финансовый 4 6 5 5" xfId="10440" xr:uid="{00000000-0005-0000-0000-0000843A0000}"/>
    <cellStyle name="Финансовый 4 6 6" xfId="2440" xr:uid="{00000000-0005-0000-0000-0000853A0000}"/>
    <cellStyle name="Финансовый 4 6 6 2" xfId="4085" xr:uid="{00000000-0005-0000-0000-0000863A0000}"/>
    <cellStyle name="Финансовый 4 6 6 2 2" xfId="12730" xr:uid="{00000000-0005-0000-0000-0000873A0000}"/>
    <cellStyle name="Финансовый 4 6 6 3" xfId="5868" xr:uid="{00000000-0005-0000-0000-0000883A0000}"/>
    <cellStyle name="Финансовый 4 6 6 3 2" xfId="14511" xr:uid="{00000000-0005-0000-0000-0000893A0000}"/>
    <cellStyle name="Финансовый 4 6 6 4" xfId="8478" xr:uid="{00000000-0005-0000-0000-00008A3A0000}"/>
    <cellStyle name="Финансовый 4 6 6 4 2" xfId="17121" xr:uid="{00000000-0005-0000-0000-00008B3A0000}"/>
    <cellStyle name="Финансовый 4 6 6 5" xfId="11085" xr:uid="{00000000-0005-0000-0000-00008C3A0000}"/>
    <cellStyle name="Финансовый 4 6 7" xfId="1667" xr:uid="{00000000-0005-0000-0000-00008D3A0000}"/>
    <cellStyle name="Финансовый 4 6 7 2" xfId="3312" xr:uid="{00000000-0005-0000-0000-00008E3A0000}"/>
    <cellStyle name="Финансовый 4 6 7 2 2" xfId="11957" xr:uid="{00000000-0005-0000-0000-00008F3A0000}"/>
    <cellStyle name="Финансовый 4 6 7 3" xfId="5095" xr:uid="{00000000-0005-0000-0000-0000903A0000}"/>
    <cellStyle name="Финансовый 4 6 7 3 2" xfId="13738" xr:uid="{00000000-0005-0000-0000-0000913A0000}"/>
    <cellStyle name="Финансовый 4 6 7 4" xfId="7705" xr:uid="{00000000-0005-0000-0000-0000923A0000}"/>
    <cellStyle name="Финансовый 4 6 7 4 2" xfId="16348" xr:uid="{00000000-0005-0000-0000-0000933A0000}"/>
    <cellStyle name="Финансовый 4 6 7 5" xfId="10312" xr:uid="{00000000-0005-0000-0000-0000943A0000}"/>
    <cellStyle name="Финансовый 4 6 8" xfId="944" xr:uid="{00000000-0005-0000-0000-0000953A0000}"/>
    <cellStyle name="Финансовый 4 6 8 2" xfId="6984" xr:uid="{00000000-0005-0000-0000-0000963A0000}"/>
    <cellStyle name="Финансовый 4 6 8 2 2" xfId="15627" xr:uid="{00000000-0005-0000-0000-0000973A0000}"/>
    <cellStyle name="Финансовый 4 6 8 3" xfId="9591" xr:uid="{00000000-0005-0000-0000-0000983A0000}"/>
    <cellStyle name="Финансовый 4 6 9" xfId="532" xr:uid="{00000000-0005-0000-0000-0000993A0000}"/>
    <cellStyle name="Финансовый 4 6 9 2" xfId="6572" xr:uid="{00000000-0005-0000-0000-00009A3A0000}"/>
    <cellStyle name="Финансовый 4 6 9 2 2" xfId="15215" xr:uid="{00000000-0005-0000-0000-00009B3A0000}"/>
    <cellStyle name="Финансовый 4 6 9 3" xfId="9179" xr:uid="{00000000-0005-0000-0000-00009C3A0000}"/>
    <cellStyle name="Финансовый 4 7" xfId="75" xr:uid="{00000000-0005-0000-0000-00009D3A0000}"/>
    <cellStyle name="Финансовый 4 7 10" xfId="2685" xr:uid="{00000000-0005-0000-0000-00009E3A0000}"/>
    <cellStyle name="Финансовый 4 7 10 2" xfId="11330" xr:uid="{00000000-0005-0000-0000-00009F3A0000}"/>
    <cellStyle name="Финансовый 4 7 11" xfId="4329" xr:uid="{00000000-0005-0000-0000-0000A03A0000}"/>
    <cellStyle name="Финансовый 4 7 11 2" xfId="12974" xr:uid="{00000000-0005-0000-0000-0000A13A0000}"/>
    <cellStyle name="Финансовый 4 7 12" xfId="6116" xr:uid="{00000000-0005-0000-0000-0000A23A0000}"/>
    <cellStyle name="Финансовый 4 7 12 2" xfId="14759" xr:uid="{00000000-0005-0000-0000-0000A33A0000}"/>
    <cellStyle name="Финансовый 4 7 13" xfId="8723" xr:uid="{00000000-0005-0000-0000-0000A43A0000}"/>
    <cellStyle name="Финансовый 4 7 2" xfId="211" xr:uid="{00000000-0005-0000-0000-0000A53A0000}"/>
    <cellStyle name="Финансовый 4 7 2 10" xfId="8859" xr:uid="{00000000-0005-0000-0000-0000A63A0000}"/>
    <cellStyle name="Финансовый 4 7 2 2" xfId="1309" xr:uid="{00000000-0005-0000-0000-0000A73A0000}"/>
    <cellStyle name="Финансовый 4 7 2 2 2" xfId="2267" xr:uid="{00000000-0005-0000-0000-0000A83A0000}"/>
    <cellStyle name="Финансовый 4 7 2 2 2 2" xfId="3912" xr:uid="{00000000-0005-0000-0000-0000A93A0000}"/>
    <cellStyle name="Финансовый 4 7 2 2 2 2 2" xfId="12557" xr:uid="{00000000-0005-0000-0000-0000AA3A0000}"/>
    <cellStyle name="Финансовый 4 7 2 2 2 3" xfId="5695" xr:uid="{00000000-0005-0000-0000-0000AB3A0000}"/>
    <cellStyle name="Финансовый 4 7 2 2 2 3 2" xfId="14338" xr:uid="{00000000-0005-0000-0000-0000AC3A0000}"/>
    <cellStyle name="Финансовый 4 7 2 2 2 4" xfId="8305" xr:uid="{00000000-0005-0000-0000-0000AD3A0000}"/>
    <cellStyle name="Финансовый 4 7 2 2 2 4 2" xfId="16948" xr:uid="{00000000-0005-0000-0000-0000AE3A0000}"/>
    <cellStyle name="Финансовый 4 7 2 2 2 5" xfId="10912" xr:uid="{00000000-0005-0000-0000-0000AF3A0000}"/>
    <cellStyle name="Финансовый 4 7 2 2 3" xfId="3093" xr:uid="{00000000-0005-0000-0000-0000B03A0000}"/>
    <cellStyle name="Финансовый 4 7 2 2 3 2" xfId="11738" xr:uid="{00000000-0005-0000-0000-0000B13A0000}"/>
    <cellStyle name="Финансовый 4 7 2 2 4" xfId="4737" xr:uid="{00000000-0005-0000-0000-0000B23A0000}"/>
    <cellStyle name="Финансовый 4 7 2 2 4 2" xfId="13382" xr:uid="{00000000-0005-0000-0000-0000B33A0000}"/>
    <cellStyle name="Финансовый 4 7 2 2 5" xfId="7349" xr:uid="{00000000-0005-0000-0000-0000B43A0000}"/>
    <cellStyle name="Финансовый 4 7 2 2 5 2" xfId="15992" xr:uid="{00000000-0005-0000-0000-0000B53A0000}"/>
    <cellStyle name="Финансовый 4 7 2 2 6" xfId="9956" xr:uid="{00000000-0005-0000-0000-0000B63A0000}"/>
    <cellStyle name="Финансовый 4 7 2 3" xfId="2011" xr:uid="{00000000-0005-0000-0000-0000B73A0000}"/>
    <cellStyle name="Финансовый 4 7 2 3 2" xfId="3656" xr:uid="{00000000-0005-0000-0000-0000B83A0000}"/>
    <cellStyle name="Финансовый 4 7 2 3 2 2" xfId="12301" xr:uid="{00000000-0005-0000-0000-0000B93A0000}"/>
    <cellStyle name="Финансовый 4 7 2 3 3" xfId="5439" xr:uid="{00000000-0005-0000-0000-0000BA3A0000}"/>
    <cellStyle name="Финансовый 4 7 2 3 3 2" xfId="14082" xr:uid="{00000000-0005-0000-0000-0000BB3A0000}"/>
    <cellStyle name="Финансовый 4 7 2 3 4" xfId="8049" xr:uid="{00000000-0005-0000-0000-0000BC3A0000}"/>
    <cellStyle name="Финансовый 4 7 2 3 4 2" xfId="16692" xr:uid="{00000000-0005-0000-0000-0000BD3A0000}"/>
    <cellStyle name="Финансовый 4 7 2 3 5" xfId="10656" xr:uid="{00000000-0005-0000-0000-0000BE3A0000}"/>
    <cellStyle name="Финансовый 4 7 2 4" xfId="2540" xr:uid="{00000000-0005-0000-0000-0000BF3A0000}"/>
    <cellStyle name="Финансовый 4 7 2 4 2" xfId="4185" xr:uid="{00000000-0005-0000-0000-0000C03A0000}"/>
    <cellStyle name="Финансовый 4 7 2 4 2 2" xfId="12830" xr:uid="{00000000-0005-0000-0000-0000C13A0000}"/>
    <cellStyle name="Финансовый 4 7 2 4 3" xfId="5968" xr:uid="{00000000-0005-0000-0000-0000C23A0000}"/>
    <cellStyle name="Финансовый 4 7 2 4 3 2" xfId="14611" xr:uid="{00000000-0005-0000-0000-0000C33A0000}"/>
    <cellStyle name="Финансовый 4 7 2 4 4" xfId="8578" xr:uid="{00000000-0005-0000-0000-0000C43A0000}"/>
    <cellStyle name="Финансовый 4 7 2 4 4 2" xfId="17221" xr:uid="{00000000-0005-0000-0000-0000C53A0000}"/>
    <cellStyle name="Финансовый 4 7 2 4 5" xfId="11185" xr:uid="{00000000-0005-0000-0000-0000C63A0000}"/>
    <cellStyle name="Финансовый 4 7 2 5" xfId="1044" xr:uid="{00000000-0005-0000-0000-0000C73A0000}"/>
    <cellStyle name="Финансовый 4 7 2 5 2" xfId="7084" xr:uid="{00000000-0005-0000-0000-0000C83A0000}"/>
    <cellStyle name="Финансовый 4 7 2 5 2 2" xfId="15727" xr:uid="{00000000-0005-0000-0000-0000C93A0000}"/>
    <cellStyle name="Финансовый 4 7 2 5 3" xfId="9691" xr:uid="{00000000-0005-0000-0000-0000CA3A0000}"/>
    <cellStyle name="Финансовый 4 7 2 6" xfId="632" xr:uid="{00000000-0005-0000-0000-0000CB3A0000}"/>
    <cellStyle name="Финансовый 4 7 2 6 2" xfId="6672" xr:uid="{00000000-0005-0000-0000-0000CC3A0000}"/>
    <cellStyle name="Финансовый 4 7 2 6 2 2" xfId="15315" xr:uid="{00000000-0005-0000-0000-0000CD3A0000}"/>
    <cellStyle name="Финансовый 4 7 2 6 3" xfId="9279" xr:uid="{00000000-0005-0000-0000-0000CE3A0000}"/>
    <cellStyle name="Финансовый 4 7 2 7" xfId="2821" xr:uid="{00000000-0005-0000-0000-0000CF3A0000}"/>
    <cellStyle name="Финансовый 4 7 2 7 2" xfId="11466" xr:uid="{00000000-0005-0000-0000-0000D03A0000}"/>
    <cellStyle name="Финансовый 4 7 2 8" xfId="4465" xr:uid="{00000000-0005-0000-0000-0000D13A0000}"/>
    <cellStyle name="Финансовый 4 7 2 8 2" xfId="13110" xr:uid="{00000000-0005-0000-0000-0000D23A0000}"/>
    <cellStyle name="Финансовый 4 7 2 9" xfId="6252" xr:uid="{00000000-0005-0000-0000-0000D33A0000}"/>
    <cellStyle name="Финансовый 4 7 2 9 2" xfId="14895" xr:uid="{00000000-0005-0000-0000-0000D43A0000}"/>
    <cellStyle name="Финансовый 4 7 3" xfId="360" xr:uid="{00000000-0005-0000-0000-0000D53A0000}"/>
    <cellStyle name="Финансовый 4 7 3 2" xfId="2139" xr:uid="{00000000-0005-0000-0000-0000D63A0000}"/>
    <cellStyle name="Финансовый 4 7 3 2 2" xfId="3784" xr:uid="{00000000-0005-0000-0000-0000D73A0000}"/>
    <cellStyle name="Финансовый 4 7 3 2 2 2" xfId="12429" xr:uid="{00000000-0005-0000-0000-0000D83A0000}"/>
    <cellStyle name="Финансовый 4 7 3 2 3" xfId="5567" xr:uid="{00000000-0005-0000-0000-0000D93A0000}"/>
    <cellStyle name="Финансовый 4 7 3 2 3 2" xfId="14210" xr:uid="{00000000-0005-0000-0000-0000DA3A0000}"/>
    <cellStyle name="Финансовый 4 7 3 2 4" xfId="8177" xr:uid="{00000000-0005-0000-0000-0000DB3A0000}"/>
    <cellStyle name="Финансовый 4 7 3 2 4 2" xfId="16820" xr:uid="{00000000-0005-0000-0000-0000DC3A0000}"/>
    <cellStyle name="Финансовый 4 7 3 2 5" xfId="10784" xr:uid="{00000000-0005-0000-0000-0000DD3A0000}"/>
    <cellStyle name="Финансовый 4 7 3 3" xfId="1173" xr:uid="{00000000-0005-0000-0000-0000DE3A0000}"/>
    <cellStyle name="Финансовый 4 7 3 3 2" xfId="7213" xr:uid="{00000000-0005-0000-0000-0000DF3A0000}"/>
    <cellStyle name="Финансовый 4 7 3 3 2 2" xfId="15856" xr:uid="{00000000-0005-0000-0000-0000E03A0000}"/>
    <cellStyle name="Финансовый 4 7 3 3 3" xfId="9820" xr:uid="{00000000-0005-0000-0000-0000E13A0000}"/>
    <cellStyle name="Финансовый 4 7 3 4" xfId="780" xr:uid="{00000000-0005-0000-0000-0000E23A0000}"/>
    <cellStyle name="Финансовый 4 7 3 4 2" xfId="6820" xr:uid="{00000000-0005-0000-0000-0000E33A0000}"/>
    <cellStyle name="Финансовый 4 7 3 4 2 2" xfId="15463" xr:uid="{00000000-0005-0000-0000-0000E43A0000}"/>
    <cellStyle name="Финансовый 4 7 3 4 3" xfId="9427" xr:uid="{00000000-0005-0000-0000-0000E53A0000}"/>
    <cellStyle name="Финансовый 4 7 3 5" xfId="2957" xr:uid="{00000000-0005-0000-0000-0000E63A0000}"/>
    <cellStyle name="Финансовый 4 7 3 5 2" xfId="11602" xr:uid="{00000000-0005-0000-0000-0000E73A0000}"/>
    <cellStyle name="Финансовый 4 7 3 6" xfId="4601" xr:uid="{00000000-0005-0000-0000-0000E83A0000}"/>
    <cellStyle name="Финансовый 4 7 3 6 2" xfId="13246" xr:uid="{00000000-0005-0000-0000-0000E93A0000}"/>
    <cellStyle name="Финансовый 4 7 3 7" xfId="6400" xr:uid="{00000000-0005-0000-0000-0000EA3A0000}"/>
    <cellStyle name="Финансовый 4 7 3 7 2" xfId="15043" xr:uid="{00000000-0005-0000-0000-0000EB3A0000}"/>
    <cellStyle name="Финансовый 4 7 3 8" xfId="9007" xr:uid="{00000000-0005-0000-0000-0000EC3A0000}"/>
    <cellStyle name="Финансовый 4 7 4" xfId="1446" xr:uid="{00000000-0005-0000-0000-0000ED3A0000}"/>
    <cellStyle name="Финансовый 4 7 4 2" xfId="1883" xr:uid="{00000000-0005-0000-0000-0000EE3A0000}"/>
    <cellStyle name="Финансовый 4 7 4 2 2" xfId="3528" xr:uid="{00000000-0005-0000-0000-0000EF3A0000}"/>
    <cellStyle name="Финансовый 4 7 4 2 2 2" xfId="12173" xr:uid="{00000000-0005-0000-0000-0000F03A0000}"/>
    <cellStyle name="Финансовый 4 7 4 2 3" xfId="5311" xr:uid="{00000000-0005-0000-0000-0000F13A0000}"/>
    <cellStyle name="Финансовый 4 7 4 2 3 2" xfId="13954" xr:uid="{00000000-0005-0000-0000-0000F23A0000}"/>
    <cellStyle name="Финансовый 4 7 4 2 4" xfId="7921" xr:uid="{00000000-0005-0000-0000-0000F33A0000}"/>
    <cellStyle name="Финансовый 4 7 4 2 4 2" xfId="16564" xr:uid="{00000000-0005-0000-0000-0000F43A0000}"/>
    <cellStyle name="Финансовый 4 7 4 2 5" xfId="10528" xr:uid="{00000000-0005-0000-0000-0000F53A0000}"/>
    <cellStyle name="Финансовый 4 7 4 3" xfId="4874" xr:uid="{00000000-0005-0000-0000-0000F63A0000}"/>
    <cellStyle name="Финансовый 4 7 4 3 2" xfId="13517" xr:uid="{00000000-0005-0000-0000-0000F73A0000}"/>
    <cellStyle name="Финансовый 4 7 4 4" xfId="7484" xr:uid="{00000000-0005-0000-0000-0000F83A0000}"/>
    <cellStyle name="Финансовый 4 7 4 4 2" xfId="16127" xr:uid="{00000000-0005-0000-0000-0000F93A0000}"/>
    <cellStyle name="Финансовый 4 7 4 5" xfId="10091" xr:uid="{00000000-0005-0000-0000-0000FA3A0000}"/>
    <cellStyle name="Финансовый 4 7 5" xfId="1759" xr:uid="{00000000-0005-0000-0000-0000FB3A0000}"/>
    <cellStyle name="Финансовый 4 7 5 2" xfId="3404" xr:uid="{00000000-0005-0000-0000-0000FC3A0000}"/>
    <cellStyle name="Финансовый 4 7 5 2 2" xfId="12049" xr:uid="{00000000-0005-0000-0000-0000FD3A0000}"/>
    <cellStyle name="Финансовый 4 7 5 3" xfId="5187" xr:uid="{00000000-0005-0000-0000-0000FE3A0000}"/>
    <cellStyle name="Финансовый 4 7 5 3 2" xfId="13830" xr:uid="{00000000-0005-0000-0000-0000FF3A0000}"/>
    <cellStyle name="Финансовый 4 7 5 4" xfId="7797" xr:uid="{00000000-0005-0000-0000-0000003B0000}"/>
    <cellStyle name="Финансовый 4 7 5 4 2" xfId="16440" xr:uid="{00000000-0005-0000-0000-0000013B0000}"/>
    <cellStyle name="Финансовый 4 7 5 5" xfId="10404" xr:uid="{00000000-0005-0000-0000-0000023B0000}"/>
    <cellStyle name="Финансовый 4 7 6" xfId="2404" xr:uid="{00000000-0005-0000-0000-0000033B0000}"/>
    <cellStyle name="Финансовый 4 7 6 2" xfId="4049" xr:uid="{00000000-0005-0000-0000-0000043B0000}"/>
    <cellStyle name="Финансовый 4 7 6 2 2" xfId="12694" xr:uid="{00000000-0005-0000-0000-0000053B0000}"/>
    <cellStyle name="Финансовый 4 7 6 3" xfId="5832" xr:uid="{00000000-0005-0000-0000-0000063B0000}"/>
    <cellStyle name="Финансовый 4 7 6 3 2" xfId="14475" xr:uid="{00000000-0005-0000-0000-0000073B0000}"/>
    <cellStyle name="Финансовый 4 7 6 4" xfId="8442" xr:uid="{00000000-0005-0000-0000-0000083B0000}"/>
    <cellStyle name="Финансовый 4 7 6 4 2" xfId="17085" xr:uid="{00000000-0005-0000-0000-0000093B0000}"/>
    <cellStyle name="Финансовый 4 7 6 5" xfId="11049" xr:uid="{00000000-0005-0000-0000-00000A3B0000}"/>
    <cellStyle name="Финансовый 4 7 7" xfId="1631" xr:uid="{00000000-0005-0000-0000-00000B3B0000}"/>
    <cellStyle name="Финансовый 4 7 7 2" xfId="3276" xr:uid="{00000000-0005-0000-0000-00000C3B0000}"/>
    <cellStyle name="Финансовый 4 7 7 2 2" xfId="11921" xr:uid="{00000000-0005-0000-0000-00000D3B0000}"/>
    <cellStyle name="Финансовый 4 7 7 3" xfId="5059" xr:uid="{00000000-0005-0000-0000-00000E3B0000}"/>
    <cellStyle name="Финансовый 4 7 7 3 2" xfId="13702" xr:uid="{00000000-0005-0000-0000-00000F3B0000}"/>
    <cellStyle name="Финансовый 4 7 7 4" xfId="7669" xr:uid="{00000000-0005-0000-0000-0000103B0000}"/>
    <cellStyle name="Финансовый 4 7 7 4 2" xfId="16312" xr:uid="{00000000-0005-0000-0000-0000113B0000}"/>
    <cellStyle name="Финансовый 4 7 7 5" xfId="10276" xr:uid="{00000000-0005-0000-0000-0000123B0000}"/>
    <cellStyle name="Финансовый 4 7 8" xfId="908" xr:uid="{00000000-0005-0000-0000-0000133B0000}"/>
    <cellStyle name="Финансовый 4 7 8 2" xfId="6948" xr:uid="{00000000-0005-0000-0000-0000143B0000}"/>
    <cellStyle name="Финансовый 4 7 8 2 2" xfId="15591" xr:uid="{00000000-0005-0000-0000-0000153B0000}"/>
    <cellStyle name="Финансовый 4 7 8 3" xfId="9555" xr:uid="{00000000-0005-0000-0000-0000163B0000}"/>
    <cellStyle name="Финансовый 4 7 9" xfId="496" xr:uid="{00000000-0005-0000-0000-0000173B0000}"/>
    <cellStyle name="Финансовый 4 7 9 2" xfId="6536" xr:uid="{00000000-0005-0000-0000-0000183B0000}"/>
    <cellStyle name="Финансовый 4 7 9 2 2" xfId="15179" xr:uid="{00000000-0005-0000-0000-0000193B0000}"/>
    <cellStyle name="Финансовый 4 7 9 3" xfId="9143" xr:uid="{00000000-0005-0000-0000-00001A3B0000}"/>
    <cellStyle name="Финансовый 4 8" xfId="53" xr:uid="{00000000-0005-0000-0000-00001B3B0000}"/>
    <cellStyle name="Финансовый 4 8 10" xfId="2665" xr:uid="{00000000-0005-0000-0000-00001C3B0000}"/>
    <cellStyle name="Финансовый 4 8 10 2" xfId="11310" xr:uid="{00000000-0005-0000-0000-00001D3B0000}"/>
    <cellStyle name="Финансовый 4 8 11" xfId="4308" xr:uid="{00000000-0005-0000-0000-00001E3B0000}"/>
    <cellStyle name="Финансовый 4 8 11 2" xfId="12953" xr:uid="{00000000-0005-0000-0000-00001F3B0000}"/>
    <cellStyle name="Финансовый 4 8 12" xfId="6096" xr:uid="{00000000-0005-0000-0000-0000203B0000}"/>
    <cellStyle name="Финансовый 4 8 12 2" xfId="14739" xr:uid="{00000000-0005-0000-0000-0000213B0000}"/>
    <cellStyle name="Финансовый 4 8 13" xfId="8703" xr:uid="{00000000-0005-0000-0000-0000223B0000}"/>
    <cellStyle name="Финансовый 4 8 2" xfId="191" xr:uid="{00000000-0005-0000-0000-0000233B0000}"/>
    <cellStyle name="Финансовый 4 8 2 10" xfId="8839" xr:uid="{00000000-0005-0000-0000-0000243B0000}"/>
    <cellStyle name="Финансовый 4 8 2 2" xfId="1289" xr:uid="{00000000-0005-0000-0000-0000253B0000}"/>
    <cellStyle name="Финансовый 4 8 2 2 2" xfId="2255" xr:uid="{00000000-0005-0000-0000-0000263B0000}"/>
    <cellStyle name="Финансовый 4 8 2 2 2 2" xfId="3900" xr:uid="{00000000-0005-0000-0000-0000273B0000}"/>
    <cellStyle name="Финансовый 4 8 2 2 2 2 2" xfId="12545" xr:uid="{00000000-0005-0000-0000-0000283B0000}"/>
    <cellStyle name="Финансовый 4 8 2 2 2 3" xfId="5683" xr:uid="{00000000-0005-0000-0000-0000293B0000}"/>
    <cellStyle name="Финансовый 4 8 2 2 2 3 2" xfId="14326" xr:uid="{00000000-0005-0000-0000-00002A3B0000}"/>
    <cellStyle name="Финансовый 4 8 2 2 2 4" xfId="8293" xr:uid="{00000000-0005-0000-0000-00002B3B0000}"/>
    <cellStyle name="Финансовый 4 8 2 2 2 4 2" xfId="16936" xr:uid="{00000000-0005-0000-0000-00002C3B0000}"/>
    <cellStyle name="Финансовый 4 8 2 2 2 5" xfId="10900" xr:uid="{00000000-0005-0000-0000-00002D3B0000}"/>
    <cellStyle name="Финансовый 4 8 2 2 3" xfId="3073" xr:uid="{00000000-0005-0000-0000-00002E3B0000}"/>
    <cellStyle name="Финансовый 4 8 2 2 3 2" xfId="11718" xr:uid="{00000000-0005-0000-0000-00002F3B0000}"/>
    <cellStyle name="Финансовый 4 8 2 2 4" xfId="4717" xr:uid="{00000000-0005-0000-0000-0000303B0000}"/>
    <cellStyle name="Финансовый 4 8 2 2 4 2" xfId="13362" xr:uid="{00000000-0005-0000-0000-0000313B0000}"/>
    <cellStyle name="Финансовый 4 8 2 2 5" xfId="7329" xr:uid="{00000000-0005-0000-0000-0000323B0000}"/>
    <cellStyle name="Финансовый 4 8 2 2 5 2" xfId="15972" xr:uid="{00000000-0005-0000-0000-0000333B0000}"/>
    <cellStyle name="Финансовый 4 8 2 2 6" xfId="9936" xr:uid="{00000000-0005-0000-0000-0000343B0000}"/>
    <cellStyle name="Финансовый 4 8 2 3" xfId="1999" xr:uid="{00000000-0005-0000-0000-0000353B0000}"/>
    <cellStyle name="Финансовый 4 8 2 3 2" xfId="3644" xr:uid="{00000000-0005-0000-0000-0000363B0000}"/>
    <cellStyle name="Финансовый 4 8 2 3 2 2" xfId="12289" xr:uid="{00000000-0005-0000-0000-0000373B0000}"/>
    <cellStyle name="Финансовый 4 8 2 3 3" xfId="5427" xr:uid="{00000000-0005-0000-0000-0000383B0000}"/>
    <cellStyle name="Финансовый 4 8 2 3 3 2" xfId="14070" xr:uid="{00000000-0005-0000-0000-0000393B0000}"/>
    <cellStyle name="Финансовый 4 8 2 3 4" xfId="8037" xr:uid="{00000000-0005-0000-0000-00003A3B0000}"/>
    <cellStyle name="Финансовый 4 8 2 3 4 2" xfId="16680" xr:uid="{00000000-0005-0000-0000-00003B3B0000}"/>
    <cellStyle name="Финансовый 4 8 2 3 5" xfId="10644" xr:uid="{00000000-0005-0000-0000-00003C3B0000}"/>
    <cellStyle name="Финансовый 4 8 2 4" xfId="2520" xr:uid="{00000000-0005-0000-0000-00003D3B0000}"/>
    <cellStyle name="Финансовый 4 8 2 4 2" xfId="4165" xr:uid="{00000000-0005-0000-0000-00003E3B0000}"/>
    <cellStyle name="Финансовый 4 8 2 4 2 2" xfId="12810" xr:uid="{00000000-0005-0000-0000-00003F3B0000}"/>
    <cellStyle name="Финансовый 4 8 2 4 3" xfId="5948" xr:uid="{00000000-0005-0000-0000-0000403B0000}"/>
    <cellStyle name="Финансовый 4 8 2 4 3 2" xfId="14591" xr:uid="{00000000-0005-0000-0000-0000413B0000}"/>
    <cellStyle name="Финансовый 4 8 2 4 4" xfId="8558" xr:uid="{00000000-0005-0000-0000-0000423B0000}"/>
    <cellStyle name="Финансовый 4 8 2 4 4 2" xfId="17201" xr:uid="{00000000-0005-0000-0000-0000433B0000}"/>
    <cellStyle name="Финансовый 4 8 2 4 5" xfId="11165" xr:uid="{00000000-0005-0000-0000-0000443B0000}"/>
    <cellStyle name="Финансовый 4 8 2 5" xfId="1024" xr:uid="{00000000-0005-0000-0000-0000453B0000}"/>
    <cellStyle name="Финансовый 4 8 2 5 2" xfId="7064" xr:uid="{00000000-0005-0000-0000-0000463B0000}"/>
    <cellStyle name="Финансовый 4 8 2 5 2 2" xfId="15707" xr:uid="{00000000-0005-0000-0000-0000473B0000}"/>
    <cellStyle name="Финансовый 4 8 2 5 3" xfId="9671" xr:uid="{00000000-0005-0000-0000-0000483B0000}"/>
    <cellStyle name="Финансовый 4 8 2 6" xfId="612" xr:uid="{00000000-0005-0000-0000-0000493B0000}"/>
    <cellStyle name="Финансовый 4 8 2 6 2" xfId="6652" xr:uid="{00000000-0005-0000-0000-00004A3B0000}"/>
    <cellStyle name="Финансовый 4 8 2 6 2 2" xfId="15295" xr:uid="{00000000-0005-0000-0000-00004B3B0000}"/>
    <cellStyle name="Финансовый 4 8 2 6 3" xfId="9259" xr:uid="{00000000-0005-0000-0000-00004C3B0000}"/>
    <cellStyle name="Финансовый 4 8 2 7" xfId="2801" xr:uid="{00000000-0005-0000-0000-00004D3B0000}"/>
    <cellStyle name="Финансовый 4 8 2 7 2" xfId="11446" xr:uid="{00000000-0005-0000-0000-00004E3B0000}"/>
    <cellStyle name="Финансовый 4 8 2 8" xfId="4445" xr:uid="{00000000-0005-0000-0000-00004F3B0000}"/>
    <cellStyle name="Финансовый 4 8 2 8 2" xfId="13090" xr:uid="{00000000-0005-0000-0000-0000503B0000}"/>
    <cellStyle name="Финансовый 4 8 2 9" xfId="6232" xr:uid="{00000000-0005-0000-0000-0000513B0000}"/>
    <cellStyle name="Финансовый 4 8 2 9 2" xfId="14875" xr:uid="{00000000-0005-0000-0000-0000523B0000}"/>
    <cellStyle name="Финансовый 4 8 3" xfId="340" xr:uid="{00000000-0005-0000-0000-0000533B0000}"/>
    <cellStyle name="Финансовый 4 8 3 2" xfId="2127" xr:uid="{00000000-0005-0000-0000-0000543B0000}"/>
    <cellStyle name="Финансовый 4 8 3 2 2" xfId="3772" xr:uid="{00000000-0005-0000-0000-0000553B0000}"/>
    <cellStyle name="Финансовый 4 8 3 2 2 2" xfId="12417" xr:uid="{00000000-0005-0000-0000-0000563B0000}"/>
    <cellStyle name="Финансовый 4 8 3 2 3" xfId="5555" xr:uid="{00000000-0005-0000-0000-0000573B0000}"/>
    <cellStyle name="Финансовый 4 8 3 2 3 2" xfId="14198" xr:uid="{00000000-0005-0000-0000-0000583B0000}"/>
    <cellStyle name="Финансовый 4 8 3 2 4" xfId="8165" xr:uid="{00000000-0005-0000-0000-0000593B0000}"/>
    <cellStyle name="Финансовый 4 8 3 2 4 2" xfId="16808" xr:uid="{00000000-0005-0000-0000-00005A3B0000}"/>
    <cellStyle name="Финансовый 4 8 3 2 5" xfId="10772" xr:uid="{00000000-0005-0000-0000-00005B3B0000}"/>
    <cellStyle name="Финансовый 4 8 3 3" xfId="1160" xr:uid="{00000000-0005-0000-0000-00005C3B0000}"/>
    <cellStyle name="Финансовый 4 8 3 3 2" xfId="7200" xr:uid="{00000000-0005-0000-0000-00005D3B0000}"/>
    <cellStyle name="Финансовый 4 8 3 3 2 2" xfId="15843" xr:uid="{00000000-0005-0000-0000-00005E3B0000}"/>
    <cellStyle name="Финансовый 4 8 3 3 3" xfId="9807" xr:uid="{00000000-0005-0000-0000-00005F3B0000}"/>
    <cellStyle name="Финансовый 4 8 3 4" xfId="760" xr:uid="{00000000-0005-0000-0000-0000603B0000}"/>
    <cellStyle name="Финансовый 4 8 3 4 2" xfId="6800" xr:uid="{00000000-0005-0000-0000-0000613B0000}"/>
    <cellStyle name="Финансовый 4 8 3 4 2 2" xfId="15443" xr:uid="{00000000-0005-0000-0000-0000623B0000}"/>
    <cellStyle name="Финансовый 4 8 3 4 3" xfId="9407" xr:uid="{00000000-0005-0000-0000-0000633B0000}"/>
    <cellStyle name="Финансовый 4 8 3 5" xfId="2937" xr:uid="{00000000-0005-0000-0000-0000643B0000}"/>
    <cellStyle name="Финансовый 4 8 3 5 2" xfId="11582" xr:uid="{00000000-0005-0000-0000-0000653B0000}"/>
    <cellStyle name="Финансовый 4 8 3 6" xfId="4581" xr:uid="{00000000-0005-0000-0000-0000663B0000}"/>
    <cellStyle name="Финансовый 4 8 3 6 2" xfId="13226" xr:uid="{00000000-0005-0000-0000-0000673B0000}"/>
    <cellStyle name="Финансовый 4 8 3 7" xfId="6380" xr:uid="{00000000-0005-0000-0000-0000683B0000}"/>
    <cellStyle name="Финансовый 4 8 3 7 2" xfId="15023" xr:uid="{00000000-0005-0000-0000-0000693B0000}"/>
    <cellStyle name="Финансовый 4 8 3 8" xfId="8987" xr:uid="{00000000-0005-0000-0000-00006A3B0000}"/>
    <cellStyle name="Финансовый 4 8 4" xfId="1433" xr:uid="{00000000-0005-0000-0000-00006B3B0000}"/>
    <cellStyle name="Финансовый 4 8 4 2" xfId="1863" xr:uid="{00000000-0005-0000-0000-00006C3B0000}"/>
    <cellStyle name="Финансовый 4 8 4 2 2" xfId="3508" xr:uid="{00000000-0005-0000-0000-00006D3B0000}"/>
    <cellStyle name="Финансовый 4 8 4 2 2 2" xfId="12153" xr:uid="{00000000-0005-0000-0000-00006E3B0000}"/>
    <cellStyle name="Финансовый 4 8 4 2 3" xfId="5291" xr:uid="{00000000-0005-0000-0000-00006F3B0000}"/>
    <cellStyle name="Финансовый 4 8 4 2 3 2" xfId="13934" xr:uid="{00000000-0005-0000-0000-0000703B0000}"/>
    <cellStyle name="Финансовый 4 8 4 2 4" xfId="7901" xr:uid="{00000000-0005-0000-0000-0000713B0000}"/>
    <cellStyle name="Финансовый 4 8 4 2 4 2" xfId="16544" xr:uid="{00000000-0005-0000-0000-0000723B0000}"/>
    <cellStyle name="Финансовый 4 8 4 2 5" xfId="10508" xr:uid="{00000000-0005-0000-0000-0000733B0000}"/>
    <cellStyle name="Финансовый 4 8 4 3" xfId="4861" xr:uid="{00000000-0005-0000-0000-0000743B0000}"/>
    <cellStyle name="Финансовый 4 8 4 3 2" xfId="13505" xr:uid="{00000000-0005-0000-0000-0000753B0000}"/>
    <cellStyle name="Финансовый 4 8 4 4" xfId="7472" xr:uid="{00000000-0005-0000-0000-0000763B0000}"/>
    <cellStyle name="Финансовый 4 8 4 4 2" xfId="16115" xr:uid="{00000000-0005-0000-0000-0000773B0000}"/>
    <cellStyle name="Финансовый 4 8 4 5" xfId="10079" xr:uid="{00000000-0005-0000-0000-0000783B0000}"/>
    <cellStyle name="Финансовый 4 8 5" xfId="1747" xr:uid="{00000000-0005-0000-0000-0000793B0000}"/>
    <cellStyle name="Финансовый 4 8 5 2" xfId="3392" xr:uid="{00000000-0005-0000-0000-00007A3B0000}"/>
    <cellStyle name="Финансовый 4 8 5 2 2" xfId="12037" xr:uid="{00000000-0005-0000-0000-00007B3B0000}"/>
    <cellStyle name="Финансовый 4 8 5 3" xfId="5175" xr:uid="{00000000-0005-0000-0000-00007C3B0000}"/>
    <cellStyle name="Финансовый 4 8 5 3 2" xfId="13818" xr:uid="{00000000-0005-0000-0000-00007D3B0000}"/>
    <cellStyle name="Финансовый 4 8 5 4" xfId="7785" xr:uid="{00000000-0005-0000-0000-00007E3B0000}"/>
    <cellStyle name="Финансовый 4 8 5 4 2" xfId="16428" xr:uid="{00000000-0005-0000-0000-00007F3B0000}"/>
    <cellStyle name="Финансовый 4 8 5 5" xfId="10392" xr:uid="{00000000-0005-0000-0000-0000803B0000}"/>
    <cellStyle name="Финансовый 4 8 6" xfId="2383" xr:uid="{00000000-0005-0000-0000-0000813B0000}"/>
    <cellStyle name="Финансовый 4 8 6 2" xfId="4028" xr:uid="{00000000-0005-0000-0000-0000823B0000}"/>
    <cellStyle name="Финансовый 4 8 6 2 2" xfId="12673" xr:uid="{00000000-0005-0000-0000-0000833B0000}"/>
    <cellStyle name="Финансовый 4 8 6 3" xfId="5811" xr:uid="{00000000-0005-0000-0000-0000843B0000}"/>
    <cellStyle name="Финансовый 4 8 6 3 2" xfId="14454" xr:uid="{00000000-0005-0000-0000-0000853B0000}"/>
    <cellStyle name="Финансовый 4 8 6 4" xfId="8421" xr:uid="{00000000-0005-0000-0000-0000863B0000}"/>
    <cellStyle name="Финансовый 4 8 6 4 2" xfId="17064" xr:uid="{00000000-0005-0000-0000-0000873B0000}"/>
    <cellStyle name="Финансовый 4 8 6 5" xfId="11028" xr:uid="{00000000-0005-0000-0000-0000883B0000}"/>
    <cellStyle name="Финансовый 4 8 7" xfId="1610" xr:uid="{00000000-0005-0000-0000-0000893B0000}"/>
    <cellStyle name="Финансовый 4 8 7 2" xfId="3255" xr:uid="{00000000-0005-0000-0000-00008A3B0000}"/>
    <cellStyle name="Финансовый 4 8 7 2 2" xfId="11900" xr:uid="{00000000-0005-0000-0000-00008B3B0000}"/>
    <cellStyle name="Финансовый 4 8 7 3" xfId="5038" xr:uid="{00000000-0005-0000-0000-00008C3B0000}"/>
    <cellStyle name="Финансовый 4 8 7 3 2" xfId="13681" xr:uid="{00000000-0005-0000-0000-00008D3B0000}"/>
    <cellStyle name="Финансовый 4 8 7 4" xfId="7648" xr:uid="{00000000-0005-0000-0000-00008E3B0000}"/>
    <cellStyle name="Финансовый 4 8 7 4 2" xfId="16291" xr:uid="{00000000-0005-0000-0000-00008F3B0000}"/>
    <cellStyle name="Финансовый 4 8 7 5" xfId="10255" xr:uid="{00000000-0005-0000-0000-0000903B0000}"/>
    <cellStyle name="Финансовый 4 8 8" xfId="896" xr:uid="{00000000-0005-0000-0000-0000913B0000}"/>
    <cellStyle name="Финансовый 4 8 8 2" xfId="6936" xr:uid="{00000000-0005-0000-0000-0000923B0000}"/>
    <cellStyle name="Финансовый 4 8 8 2 2" xfId="15579" xr:uid="{00000000-0005-0000-0000-0000933B0000}"/>
    <cellStyle name="Финансовый 4 8 8 3" xfId="9543" xr:uid="{00000000-0005-0000-0000-0000943B0000}"/>
    <cellStyle name="Финансовый 4 8 9" xfId="476" xr:uid="{00000000-0005-0000-0000-0000953B0000}"/>
    <cellStyle name="Финансовый 4 8 9 2" xfId="6516" xr:uid="{00000000-0005-0000-0000-0000963B0000}"/>
    <cellStyle name="Финансовый 4 8 9 2 2" xfId="15159" xr:uid="{00000000-0005-0000-0000-0000973B0000}"/>
    <cellStyle name="Финансовый 4 8 9 3" xfId="9123" xr:uid="{00000000-0005-0000-0000-0000983B0000}"/>
    <cellStyle name="Финансовый 4 9" xfId="131" xr:uid="{00000000-0005-0000-0000-0000993B0000}"/>
    <cellStyle name="Финансовый 4 9 10" xfId="2741" xr:uid="{00000000-0005-0000-0000-00009A3B0000}"/>
    <cellStyle name="Финансовый 4 9 10 2" xfId="11386" xr:uid="{00000000-0005-0000-0000-00009B3B0000}"/>
    <cellStyle name="Финансовый 4 9 11" xfId="4385" xr:uid="{00000000-0005-0000-0000-00009C3B0000}"/>
    <cellStyle name="Финансовый 4 9 11 2" xfId="13030" xr:uid="{00000000-0005-0000-0000-00009D3B0000}"/>
    <cellStyle name="Финансовый 4 9 12" xfId="6172" xr:uid="{00000000-0005-0000-0000-00009E3B0000}"/>
    <cellStyle name="Финансовый 4 9 12 2" xfId="14815" xr:uid="{00000000-0005-0000-0000-00009F3B0000}"/>
    <cellStyle name="Финансовый 4 9 13" xfId="8779" xr:uid="{00000000-0005-0000-0000-0000A03B0000}"/>
    <cellStyle name="Финансовый 4 9 2" xfId="267" xr:uid="{00000000-0005-0000-0000-0000A13B0000}"/>
    <cellStyle name="Финансовый 4 9 2 10" xfId="8915" xr:uid="{00000000-0005-0000-0000-0000A23B0000}"/>
    <cellStyle name="Финансовый 4 9 2 2" xfId="1365" xr:uid="{00000000-0005-0000-0000-0000A33B0000}"/>
    <cellStyle name="Финансовый 4 9 2 2 2" xfId="2323" xr:uid="{00000000-0005-0000-0000-0000A43B0000}"/>
    <cellStyle name="Финансовый 4 9 2 2 2 2" xfId="3968" xr:uid="{00000000-0005-0000-0000-0000A53B0000}"/>
    <cellStyle name="Финансовый 4 9 2 2 2 2 2" xfId="12613" xr:uid="{00000000-0005-0000-0000-0000A63B0000}"/>
    <cellStyle name="Финансовый 4 9 2 2 2 3" xfId="5751" xr:uid="{00000000-0005-0000-0000-0000A73B0000}"/>
    <cellStyle name="Финансовый 4 9 2 2 2 3 2" xfId="14394" xr:uid="{00000000-0005-0000-0000-0000A83B0000}"/>
    <cellStyle name="Финансовый 4 9 2 2 2 4" xfId="8361" xr:uid="{00000000-0005-0000-0000-0000A93B0000}"/>
    <cellStyle name="Финансовый 4 9 2 2 2 4 2" xfId="17004" xr:uid="{00000000-0005-0000-0000-0000AA3B0000}"/>
    <cellStyle name="Финансовый 4 9 2 2 2 5" xfId="10968" xr:uid="{00000000-0005-0000-0000-0000AB3B0000}"/>
    <cellStyle name="Финансовый 4 9 2 2 3" xfId="3149" xr:uid="{00000000-0005-0000-0000-0000AC3B0000}"/>
    <cellStyle name="Финансовый 4 9 2 2 3 2" xfId="11794" xr:uid="{00000000-0005-0000-0000-0000AD3B0000}"/>
    <cellStyle name="Финансовый 4 9 2 2 4" xfId="4793" xr:uid="{00000000-0005-0000-0000-0000AE3B0000}"/>
    <cellStyle name="Финансовый 4 9 2 2 4 2" xfId="13438" xr:uid="{00000000-0005-0000-0000-0000AF3B0000}"/>
    <cellStyle name="Финансовый 4 9 2 2 5" xfId="7405" xr:uid="{00000000-0005-0000-0000-0000B03B0000}"/>
    <cellStyle name="Финансовый 4 9 2 2 5 2" xfId="16048" xr:uid="{00000000-0005-0000-0000-0000B13B0000}"/>
    <cellStyle name="Финансовый 4 9 2 2 6" xfId="10012" xr:uid="{00000000-0005-0000-0000-0000B23B0000}"/>
    <cellStyle name="Финансовый 4 9 2 3" xfId="2067" xr:uid="{00000000-0005-0000-0000-0000B33B0000}"/>
    <cellStyle name="Финансовый 4 9 2 3 2" xfId="3712" xr:uid="{00000000-0005-0000-0000-0000B43B0000}"/>
    <cellStyle name="Финансовый 4 9 2 3 2 2" xfId="12357" xr:uid="{00000000-0005-0000-0000-0000B53B0000}"/>
    <cellStyle name="Финансовый 4 9 2 3 3" xfId="5495" xr:uid="{00000000-0005-0000-0000-0000B63B0000}"/>
    <cellStyle name="Финансовый 4 9 2 3 3 2" xfId="14138" xr:uid="{00000000-0005-0000-0000-0000B73B0000}"/>
    <cellStyle name="Финансовый 4 9 2 3 4" xfId="8105" xr:uid="{00000000-0005-0000-0000-0000B83B0000}"/>
    <cellStyle name="Финансовый 4 9 2 3 4 2" xfId="16748" xr:uid="{00000000-0005-0000-0000-0000B93B0000}"/>
    <cellStyle name="Финансовый 4 9 2 3 5" xfId="10712" xr:uid="{00000000-0005-0000-0000-0000BA3B0000}"/>
    <cellStyle name="Финансовый 4 9 2 4" xfId="2596" xr:uid="{00000000-0005-0000-0000-0000BB3B0000}"/>
    <cellStyle name="Финансовый 4 9 2 4 2" xfId="4241" xr:uid="{00000000-0005-0000-0000-0000BC3B0000}"/>
    <cellStyle name="Финансовый 4 9 2 4 2 2" xfId="12886" xr:uid="{00000000-0005-0000-0000-0000BD3B0000}"/>
    <cellStyle name="Финансовый 4 9 2 4 3" xfId="6024" xr:uid="{00000000-0005-0000-0000-0000BE3B0000}"/>
    <cellStyle name="Финансовый 4 9 2 4 3 2" xfId="14667" xr:uid="{00000000-0005-0000-0000-0000BF3B0000}"/>
    <cellStyle name="Финансовый 4 9 2 4 4" xfId="8634" xr:uid="{00000000-0005-0000-0000-0000C03B0000}"/>
    <cellStyle name="Финансовый 4 9 2 4 4 2" xfId="17277" xr:uid="{00000000-0005-0000-0000-0000C13B0000}"/>
    <cellStyle name="Финансовый 4 9 2 4 5" xfId="11241" xr:uid="{00000000-0005-0000-0000-0000C23B0000}"/>
    <cellStyle name="Финансовый 4 9 2 5" xfId="1100" xr:uid="{00000000-0005-0000-0000-0000C33B0000}"/>
    <cellStyle name="Финансовый 4 9 2 5 2" xfId="7140" xr:uid="{00000000-0005-0000-0000-0000C43B0000}"/>
    <cellStyle name="Финансовый 4 9 2 5 2 2" xfId="15783" xr:uid="{00000000-0005-0000-0000-0000C53B0000}"/>
    <cellStyle name="Финансовый 4 9 2 5 3" xfId="9747" xr:uid="{00000000-0005-0000-0000-0000C63B0000}"/>
    <cellStyle name="Финансовый 4 9 2 6" xfId="688" xr:uid="{00000000-0005-0000-0000-0000C73B0000}"/>
    <cellStyle name="Финансовый 4 9 2 6 2" xfId="6728" xr:uid="{00000000-0005-0000-0000-0000C83B0000}"/>
    <cellStyle name="Финансовый 4 9 2 6 2 2" xfId="15371" xr:uid="{00000000-0005-0000-0000-0000C93B0000}"/>
    <cellStyle name="Финансовый 4 9 2 6 3" xfId="9335" xr:uid="{00000000-0005-0000-0000-0000CA3B0000}"/>
    <cellStyle name="Финансовый 4 9 2 7" xfId="2877" xr:uid="{00000000-0005-0000-0000-0000CB3B0000}"/>
    <cellStyle name="Финансовый 4 9 2 7 2" xfId="11522" xr:uid="{00000000-0005-0000-0000-0000CC3B0000}"/>
    <cellStyle name="Финансовый 4 9 2 8" xfId="4521" xr:uid="{00000000-0005-0000-0000-0000CD3B0000}"/>
    <cellStyle name="Финансовый 4 9 2 8 2" xfId="13166" xr:uid="{00000000-0005-0000-0000-0000CE3B0000}"/>
    <cellStyle name="Финансовый 4 9 2 9" xfId="6308" xr:uid="{00000000-0005-0000-0000-0000CF3B0000}"/>
    <cellStyle name="Финансовый 4 9 2 9 2" xfId="14951" xr:uid="{00000000-0005-0000-0000-0000D03B0000}"/>
    <cellStyle name="Финансовый 4 9 3" xfId="416" xr:uid="{00000000-0005-0000-0000-0000D13B0000}"/>
    <cellStyle name="Финансовый 4 9 3 2" xfId="2195" xr:uid="{00000000-0005-0000-0000-0000D23B0000}"/>
    <cellStyle name="Финансовый 4 9 3 2 2" xfId="3840" xr:uid="{00000000-0005-0000-0000-0000D33B0000}"/>
    <cellStyle name="Финансовый 4 9 3 2 2 2" xfId="12485" xr:uid="{00000000-0005-0000-0000-0000D43B0000}"/>
    <cellStyle name="Финансовый 4 9 3 2 3" xfId="5623" xr:uid="{00000000-0005-0000-0000-0000D53B0000}"/>
    <cellStyle name="Финансовый 4 9 3 2 3 2" xfId="14266" xr:uid="{00000000-0005-0000-0000-0000D63B0000}"/>
    <cellStyle name="Финансовый 4 9 3 2 4" xfId="8233" xr:uid="{00000000-0005-0000-0000-0000D73B0000}"/>
    <cellStyle name="Финансовый 4 9 3 2 4 2" xfId="16876" xr:uid="{00000000-0005-0000-0000-0000D83B0000}"/>
    <cellStyle name="Финансовый 4 9 3 2 5" xfId="10840" xr:uid="{00000000-0005-0000-0000-0000D93B0000}"/>
    <cellStyle name="Финансовый 4 9 3 3" xfId="1229" xr:uid="{00000000-0005-0000-0000-0000DA3B0000}"/>
    <cellStyle name="Финансовый 4 9 3 3 2" xfId="7269" xr:uid="{00000000-0005-0000-0000-0000DB3B0000}"/>
    <cellStyle name="Финансовый 4 9 3 3 2 2" xfId="15912" xr:uid="{00000000-0005-0000-0000-0000DC3B0000}"/>
    <cellStyle name="Финансовый 4 9 3 3 3" xfId="9876" xr:uid="{00000000-0005-0000-0000-0000DD3B0000}"/>
    <cellStyle name="Финансовый 4 9 3 4" xfId="836" xr:uid="{00000000-0005-0000-0000-0000DE3B0000}"/>
    <cellStyle name="Финансовый 4 9 3 4 2" xfId="6876" xr:uid="{00000000-0005-0000-0000-0000DF3B0000}"/>
    <cellStyle name="Финансовый 4 9 3 4 2 2" xfId="15519" xr:uid="{00000000-0005-0000-0000-0000E03B0000}"/>
    <cellStyle name="Финансовый 4 9 3 4 3" xfId="9483" xr:uid="{00000000-0005-0000-0000-0000E13B0000}"/>
    <cellStyle name="Финансовый 4 9 3 5" xfId="3013" xr:uid="{00000000-0005-0000-0000-0000E23B0000}"/>
    <cellStyle name="Финансовый 4 9 3 5 2" xfId="11658" xr:uid="{00000000-0005-0000-0000-0000E33B0000}"/>
    <cellStyle name="Финансовый 4 9 3 6" xfId="4657" xr:uid="{00000000-0005-0000-0000-0000E43B0000}"/>
    <cellStyle name="Финансовый 4 9 3 6 2" xfId="13302" xr:uid="{00000000-0005-0000-0000-0000E53B0000}"/>
    <cellStyle name="Финансовый 4 9 3 7" xfId="6456" xr:uid="{00000000-0005-0000-0000-0000E63B0000}"/>
    <cellStyle name="Финансовый 4 9 3 7 2" xfId="15099" xr:uid="{00000000-0005-0000-0000-0000E73B0000}"/>
    <cellStyle name="Финансовый 4 9 3 8" xfId="9063" xr:uid="{00000000-0005-0000-0000-0000E83B0000}"/>
    <cellStyle name="Финансовый 4 9 4" xfId="1449" xr:uid="{00000000-0005-0000-0000-0000E93B0000}"/>
    <cellStyle name="Финансовый 4 9 4 2" xfId="1939" xr:uid="{00000000-0005-0000-0000-0000EA3B0000}"/>
    <cellStyle name="Финансовый 4 9 4 2 2" xfId="3584" xr:uid="{00000000-0005-0000-0000-0000EB3B0000}"/>
    <cellStyle name="Финансовый 4 9 4 2 2 2" xfId="12229" xr:uid="{00000000-0005-0000-0000-0000EC3B0000}"/>
    <cellStyle name="Финансовый 4 9 4 2 3" xfId="5367" xr:uid="{00000000-0005-0000-0000-0000ED3B0000}"/>
    <cellStyle name="Финансовый 4 9 4 2 3 2" xfId="14010" xr:uid="{00000000-0005-0000-0000-0000EE3B0000}"/>
    <cellStyle name="Финансовый 4 9 4 2 4" xfId="7977" xr:uid="{00000000-0005-0000-0000-0000EF3B0000}"/>
    <cellStyle name="Финансовый 4 9 4 2 4 2" xfId="16620" xr:uid="{00000000-0005-0000-0000-0000F03B0000}"/>
    <cellStyle name="Финансовый 4 9 4 2 5" xfId="10584" xr:uid="{00000000-0005-0000-0000-0000F13B0000}"/>
    <cellStyle name="Финансовый 4 9 4 3" xfId="4877" xr:uid="{00000000-0005-0000-0000-0000F23B0000}"/>
    <cellStyle name="Финансовый 4 9 4 3 2" xfId="13520" xr:uid="{00000000-0005-0000-0000-0000F33B0000}"/>
    <cellStyle name="Финансовый 4 9 4 4" xfId="7487" xr:uid="{00000000-0005-0000-0000-0000F43B0000}"/>
    <cellStyle name="Финансовый 4 9 4 4 2" xfId="16130" xr:uid="{00000000-0005-0000-0000-0000F53B0000}"/>
    <cellStyle name="Финансовый 4 9 4 5" xfId="10094" xr:uid="{00000000-0005-0000-0000-0000F63B0000}"/>
    <cellStyle name="Финансовый 4 9 5" xfId="1815" xr:uid="{00000000-0005-0000-0000-0000F73B0000}"/>
    <cellStyle name="Финансовый 4 9 5 2" xfId="3460" xr:uid="{00000000-0005-0000-0000-0000F83B0000}"/>
    <cellStyle name="Финансовый 4 9 5 2 2" xfId="12105" xr:uid="{00000000-0005-0000-0000-0000F93B0000}"/>
    <cellStyle name="Финансовый 4 9 5 3" xfId="5243" xr:uid="{00000000-0005-0000-0000-0000FA3B0000}"/>
    <cellStyle name="Финансовый 4 9 5 3 2" xfId="13886" xr:uid="{00000000-0005-0000-0000-0000FB3B0000}"/>
    <cellStyle name="Финансовый 4 9 5 4" xfId="7853" xr:uid="{00000000-0005-0000-0000-0000FC3B0000}"/>
    <cellStyle name="Финансовый 4 9 5 4 2" xfId="16496" xr:uid="{00000000-0005-0000-0000-0000FD3B0000}"/>
    <cellStyle name="Финансовый 4 9 5 5" xfId="10460" xr:uid="{00000000-0005-0000-0000-0000FE3B0000}"/>
    <cellStyle name="Финансовый 4 9 6" xfId="2460" xr:uid="{00000000-0005-0000-0000-0000FF3B0000}"/>
    <cellStyle name="Финансовый 4 9 6 2" xfId="4105" xr:uid="{00000000-0005-0000-0000-0000003C0000}"/>
    <cellStyle name="Финансовый 4 9 6 2 2" xfId="12750" xr:uid="{00000000-0005-0000-0000-0000013C0000}"/>
    <cellStyle name="Финансовый 4 9 6 3" xfId="5888" xr:uid="{00000000-0005-0000-0000-0000023C0000}"/>
    <cellStyle name="Финансовый 4 9 6 3 2" xfId="14531" xr:uid="{00000000-0005-0000-0000-0000033C0000}"/>
    <cellStyle name="Финансовый 4 9 6 4" xfId="8498" xr:uid="{00000000-0005-0000-0000-0000043C0000}"/>
    <cellStyle name="Финансовый 4 9 6 4 2" xfId="17141" xr:uid="{00000000-0005-0000-0000-0000053C0000}"/>
    <cellStyle name="Финансовый 4 9 6 5" xfId="11105" xr:uid="{00000000-0005-0000-0000-0000063C0000}"/>
    <cellStyle name="Финансовый 4 9 7" xfId="1687" xr:uid="{00000000-0005-0000-0000-0000073C0000}"/>
    <cellStyle name="Финансовый 4 9 7 2" xfId="3332" xr:uid="{00000000-0005-0000-0000-0000083C0000}"/>
    <cellStyle name="Финансовый 4 9 7 2 2" xfId="11977" xr:uid="{00000000-0005-0000-0000-0000093C0000}"/>
    <cellStyle name="Финансовый 4 9 7 3" xfId="5115" xr:uid="{00000000-0005-0000-0000-00000A3C0000}"/>
    <cellStyle name="Финансовый 4 9 7 3 2" xfId="13758" xr:uid="{00000000-0005-0000-0000-00000B3C0000}"/>
    <cellStyle name="Финансовый 4 9 7 4" xfId="7725" xr:uid="{00000000-0005-0000-0000-00000C3C0000}"/>
    <cellStyle name="Финансовый 4 9 7 4 2" xfId="16368" xr:uid="{00000000-0005-0000-0000-00000D3C0000}"/>
    <cellStyle name="Финансовый 4 9 7 5" xfId="10332" xr:uid="{00000000-0005-0000-0000-00000E3C0000}"/>
    <cellStyle name="Финансовый 4 9 8" xfId="964" xr:uid="{00000000-0005-0000-0000-00000F3C0000}"/>
    <cellStyle name="Финансовый 4 9 8 2" xfId="7004" xr:uid="{00000000-0005-0000-0000-0000103C0000}"/>
    <cellStyle name="Финансовый 4 9 8 2 2" xfId="15647" xr:uid="{00000000-0005-0000-0000-0000113C0000}"/>
    <cellStyle name="Финансовый 4 9 8 3" xfId="9611" xr:uid="{00000000-0005-0000-0000-0000123C0000}"/>
    <cellStyle name="Финансовый 4 9 9" xfId="552" xr:uid="{00000000-0005-0000-0000-0000133C0000}"/>
    <cellStyle name="Финансовый 4 9 9 2" xfId="6592" xr:uid="{00000000-0005-0000-0000-0000143C0000}"/>
    <cellStyle name="Финансовый 4 9 9 2 2" xfId="15235" xr:uid="{00000000-0005-0000-0000-0000153C0000}"/>
    <cellStyle name="Финансовый 4 9 9 3" xfId="9199" xr:uid="{00000000-0005-0000-0000-0000163C0000}"/>
    <cellStyle name="Финансовый 40" xfId="6042" xr:uid="{00000000-0005-0000-0000-0000173C0000}"/>
    <cellStyle name="Финансовый 40 2" xfId="14685" xr:uid="{00000000-0005-0000-0000-0000183C0000}"/>
    <cellStyle name="Финансовый 41" xfId="6041" xr:uid="{00000000-0005-0000-0000-0000193C0000}"/>
    <cellStyle name="Финансовый 41 2" xfId="14684" xr:uid="{00000000-0005-0000-0000-00001A3C0000}"/>
    <cellStyle name="Финансовый 42" xfId="6039" xr:uid="{00000000-0005-0000-0000-00001B3C0000}"/>
    <cellStyle name="Финансовый 42 2" xfId="14682" xr:uid="{00000000-0005-0000-0000-00001C3C0000}"/>
    <cellStyle name="Финансовый 43" xfId="6043" xr:uid="{00000000-0005-0000-0000-00001D3C0000}"/>
    <cellStyle name="Финансовый 43 2" xfId="14686" xr:uid="{00000000-0005-0000-0000-00001E3C0000}"/>
    <cellStyle name="Финансовый 44" xfId="6040" xr:uid="{00000000-0005-0000-0000-00001F3C0000}"/>
    <cellStyle name="Финансовый 44 2" xfId="14683" xr:uid="{00000000-0005-0000-0000-0000203C0000}"/>
    <cellStyle name="Финансовый 45" xfId="6044" xr:uid="{00000000-0005-0000-0000-0000213C0000}"/>
    <cellStyle name="Финансовый 45 2" xfId="14687" xr:uid="{00000000-0005-0000-0000-0000223C0000}"/>
    <cellStyle name="Финансовый 46" xfId="8651" xr:uid="{00000000-0005-0000-0000-0000233C0000}"/>
    <cellStyle name="Финансовый 5" xfId="7" xr:uid="{00000000-0005-0000-0000-0000243C0000}"/>
    <cellStyle name="Финансовый 5 10" xfId="281" xr:uid="{00000000-0005-0000-0000-0000253C0000}"/>
    <cellStyle name="Финансовый 5 10 2" xfId="2081" xr:uid="{00000000-0005-0000-0000-0000263C0000}"/>
    <cellStyle name="Финансовый 5 10 2 2" xfId="3726" xr:uid="{00000000-0005-0000-0000-0000273C0000}"/>
    <cellStyle name="Финансовый 5 10 2 2 2" xfId="12371" xr:uid="{00000000-0005-0000-0000-0000283C0000}"/>
    <cellStyle name="Финансовый 5 10 2 3" xfId="5509" xr:uid="{00000000-0005-0000-0000-0000293C0000}"/>
    <cellStyle name="Финансовый 5 10 2 3 2" xfId="14152" xr:uid="{00000000-0005-0000-0000-00002A3C0000}"/>
    <cellStyle name="Финансовый 5 10 2 4" xfId="8119" xr:uid="{00000000-0005-0000-0000-00002B3C0000}"/>
    <cellStyle name="Финансовый 5 10 2 4 2" xfId="16762" xr:uid="{00000000-0005-0000-0000-00002C3C0000}"/>
    <cellStyle name="Финансовый 5 10 2 5" xfId="10726" xr:uid="{00000000-0005-0000-0000-00002D3C0000}"/>
    <cellStyle name="Финансовый 5 10 3" xfId="1379" xr:uid="{00000000-0005-0000-0000-00002E3C0000}"/>
    <cellStyle name="Финансовый 5 10 3 2" xfId="7419" xr:uid="{00000000-0005-0000-0000-00002F3C0000}"/>
    <cellStyle name="Финансовый 5 10 3 2 2" xfId="16062" xr:uid="{00000000-0005-0000-0000-0000303C0000}"/>
    <cellStyle name="Финансовый 5 10 3 3" xfId="10026" xr:uid="{00000000-0005-0000-0000-0000313C0000}"/>
    <cellStyle name="Финансовый 5 10 4" xfId="702" xr:uid="{00000000-0005-0000-0000-0000323C0000}"/>
    <cellStyle name="Финансовый 5 10 4 2" xfId="6742" xr:uid="{00000000-0005-0000-0000-0000333C0000}"/>
    <cellStyle name="Финансовый 5 10 4 2 2" xfId="15385" xr:uid="{00000000-0005-0000-0000-0000343C0000}"/>
    <cellStyle name="Финансовый 5 10 4 3" xfId="9349" xr:uid="{00000000-0005-0000-0000-0000353C0000}"/>
    <cellStyle name="Финансовый 5 10 5" xfId="3163" xr:uid="{00000000-0005-0000-0000-0000363C0000}"/>
    <cellStyle name="Финансовый 5 10 5 2" xfId="11808" xr:uid="{00000000-0005-0000-0000-0000373C0000}"/>
    <cellStyle name="Финансовый 5 10 6" xfId="4807" xr:uid="{00000000-0005-0000-0000-0000383C0000}"/>
    <cellStyle name="Финансовый 5 10 6 2" xfId="13452" xr:uid="{00000000-0005-0000-0000-0000393C0000}"/>
    <cellStyle name="Финансовый 5 10 7" xfId="6322" xr:uid="{00000000-0005-0000-0000-00003A3C0000}"/>
    <cellStyle name="Финансовый 5 10 7 2" xfId="14965" xr:uid="{00000000-0005-0000-0000-00003B3C0000}"/>
    <cellStyle name="Финансовый 5 10 8" xfId="8929" xr:uid="{00000000-0005-0000-0000-00003C3C0000}"/>
    <cellStyle name="Финансовый 5 11" xfId="294" xr:uid="{00000000-0005-0000-0000-00003D3C0000}"/>
    <cellStyle name="Финансовый 5 11 2" xfId="1114" xr:uid="{00000000-0005-0000-0000-00003E3C0000}"/>
    <cellStyle name="Финансовый 5 11 2 2" xfId="7154" xr:uid="{00000000-0005-0000-0000-00003F3C0000}"/>
    <cellStyle name="Финансовый 5 11 2 2 2" xfId="15797" xr:uid="{00000000-0005-0000-0000-0000403C0000}"/>
    <cellStyle name="Финансовый 5 11 2 3" xfId="9761" xr:uid="{00000000-0005-0000-0000-0000413C0000}"/>
    <cellStyle name="Финансовый 5 11 3" xfId="714" xr:uid="{00000000-0005-0000-0000-0000423C0000}"/>
    <cellStyle name="Финансовый 5 11 3 2" xfId="6754" xr:uid="{00000000-0005-0000-0000-0000433C0000}"/>
    <cellStyle name="Финансовый 5 11 3 2 2" xfId="15397" xr:uid="{00000000-0005-0000-0000-0000443C0000}"/>
    <cellStyle name="Финансовый 5 11 3 3" xfId="9361" xr:uid="{00000000-0005-0000-0000-0000453C0000}"/>
    <cellStyle name="Финансовый 5 11 4" xfId="2891" xr:uid="{00000000-0005-0000-0000-0000463C0000}"/>
    <cellStyle name="Финансовый 5 11 4 2" xfId="11536" xr:uid="{00000000-0005-0000-0000-0000473C0000}"/>
    <cellStyle name="Финансовый 5 11 5" xfId="4535" xr:uid="{00000000-0005-0000-0000-0000483C0000}"/>
    <cellStyle name="Финансовый 5 11 5 2" xfId="13180" xr:uid="{00000000-0005-0000-0000-0000493C0000}"/>
    <cellStyle name="Финансовый 5 11 6" xfId="6334" xr:uid="{00000000-0005-0000-0000-00004A3C0000}"/>
    <cellStyle name="Финансовый 5 11 6 2" xfId="14977" xr:uid="{00000000-0005-0000-0000-00004B3C0000}"/>
    <cellStyle name="Финансовый 5 11 7" xfId="8941" xr:uid="{00000000-0005-0000-0000-00004C3C0000}"/>
    <cellStyle name="Финансовый 5 12" xfId="1543" xr:uid="{00000000-0005-0000-0000-00004D3C0000}"/>
    <cellStyle name="Финансовый 5 12 2" xfId="1701" xr:uid="{00000000-0005-0000-0000-00004E3C0000}"/>
    <cellStyle name="Финансовый 5 12 2 2" xfId="3346" xr:uid="{00000000-0005-0000-0000-00004F3C0000}"/>
    <cellStyle name="Финансовый 5 12 2 2 2" xfId="11991" xr:uid="{00000000-0005-0000-0000-0000503C0000}"/>
    <cellStyle name="Финансовый 5 12 2 3" xfId="5129" xr:uid="{00000000-0005-0000-0000-0000513C0000}"/>
    <cellStyle name="Финансовый 5 12 2 3 2" xfId="13772" xr:uid="{00000000-0005-0000-0000-0000523C0000}"/>
    <cellStyle name="Финансовый 5 12 2 4" xfId="7739" xr:uid="{00000000-0005-0000-0000-0000533C0000}"/>
    <cellStyle name="Финансовый 5 12 2 4 2" xfId="16382" xr:uid="{00000000-0005-0000-0000-0000543C0000}"/>
    <cellStyle name="Финансовый 5 12 2 5" xfId="10346" xr:uid="{00000000-0005-0000-0000-0000553C0000}"/>
    <cellStyle name="Финансовый 5 12 3" xfId="4971" xr:uid="{00000000-0005-0000-0000-0000563C0000}"/>
    <cellStyle name="Финансовый 5 12 3 2" xfId="13614" xr:uid="{00000000-0005-0000-0000-0000573C0000}"/>
    <cellStyle name="Финансовый 5 12 4" xfId="7581" xr:uid="{00000000-0005-0000-0000-0000583C0000}"/>
    <cellStyle name="Финансовый 5 12 4 2" xfId="16224" xr:uid="{00000000-0005-0000-0000-0000593C0000}"/>
    <cellStyle name="Финансовый 5 12 5" xfId="10188" xr:uid="{00000000-0005-0000-0000-00005A3C0000}"/>
    <cellStyle name="Финансовый 5 13" xfId="2337" xr:uid="{00000000-0005-0000-0000-00005B3C0000}"/>
    <cellStyle name="Финансовый 5 13 2" xfId="3982" xr:uid="{00000000-0005-0000-0000-00005C3C0000}"/>
    <cellStyle name="Финансовый 5 13 2 2" xfId="12627" xr:uid="{00000000-0005-0000-0000-00005D3C0000}"/>
    <cellStyle name="Финансовый 5 13 3" xfId="5765" xr:uid="{00000000-0005-0000-0000-00005E3C0000}"/>
    <cellStyle name="Финансовый 5 13 3 2" xfId="14408" xr:uid="{00000000-0005-0000-0000-00005F3C0000}"/>
    <cellStyle name="Финансовый 5 13 4" xfId="8375" xr:uid="{00000000-0005-0000-0000-0000603C0000}"/>
    <cellStyle name="Финансовый 5 13 4 2" xfId="17018" xr:uid="{00000000-0005-0000-0000-0000613C0000}"/>
    <cellStyle name="Финансовый 5 13 5" xfId="10982" xr:uid="{00000000-0005-0000-0000-0000623C0000}"/>
    <cellStyle name="Финансовый 5 14" xfId="1564" xr:uid="{00000000-0005-0000-0000-0000633C0000}"/>
    <cellStyle name="Финансовый 5 14 2" xfId="3209" xr:uid="{00000000-0005-0000-0000-0000643C0000}"/>
    <cellStyle name="Финансовый 5 14 2 2" xfId="11854" xr:uid="{00000000-0005-0000-0000-0000653C0000}"/>
    <cellStyle name="Финансовый 5 14 3" xfId="4992" xr:uid="{00000000-0005-0000-0000-0000663C0000}"/>
    <cellStyle name="Финансовый 5 14 3 2" xfId="13635" xr:uid="{00000000-0005-0000-0000-0000673C0000}"/>
    <cellStyle name="Финансовый 5 14 4" xfId="7602" xr:uid="{00000000-0005-0000-0000-0000683C0000}"/>
    <cellStyle name="Финансовый 5 14 4 2" xfId="16245" xr:uid="{00000000-0005-0000-0000-0000693C0000}"/>
    <cellStyle name="Финансовый 5 14 5" xfId="10209" xr:uid="{00000000-0005-0000-0000-00006A3C0000}"/>
    <cellStyle name="Финансовый 5 15" xfId="850" xr:uid="{00000000-0005-0000-0000-00006B3C0000}"/>
    <cellStyle name="Финансовый 5 15 2" xfId="6890" xr:uid="{00000000-0005-0000-0000-00006C3C0000}"/>
    <cellStyle name="Финансовый 5 15 2 2" xfId="15533" xr:uid="{00000000-0005-0000-0000-00006D3C0000}"/>
    <cellStyle name="Финансовый 5 15 3" xfId="9497" xr:uid="{00000000-0005-0000-0000-00006E3C0000}"/>
    <cellStyle name="Финансовый 5 16" xfId="430" xr:uid="{00000000-0005-0000-0000-00006F3C0000}"/>
    <cellStyle name="Финансовый 5 16 2" xfId="6470" xr:uid="{00000000-0005-0000-0000-0000703C0000}"/>
    <cellStyle name="Финансовый 5 16 2 2" xfId="15113" xr:uid="{00000000-0005-0000-0000-0000713C0000}"/>
    <cellStyle name="Финансовый 5 16 3" xfId="9077" xr:uid="{00000000-0005-0000-0000-0000723C0000}"/>
    <cellStyle name="Финансовый 5 17" xfId="2619" xr:uid="{00000000-0005-0000-0000-0000733C0000}"/>
    <cellStyle name="Финансовый 5 17 2" xfId="11264" xr:uid="{00000000-0005-0000-0000-0000743C0000}"/>
    <cellStyle name="Финансовый 5 18" xfId="4262" xr:uid="{00000000-0005-0000-0000-0000753C0000}"/>
    <cellStyle name="Финансовый 5 18 2" xfId="12907" xr:uid="{00000000-0005-0000-0000-0000763C0000}"/>
    <cellStyle name="Финансовый 5 19" xfId="6050" xr:uid="{00000000-0005-0000-0000-0000773C0000}"/>
    <cellStyle name="Финансовый 5 19 2" xfId="14693" xr:uid="{00000000-0005-0000-0000-0000783C0000}"/>
    <cellStyle name="Финансовый 5 2" xfId="43" xr:uid="{00000000-0005-0000-0000-0000793C0000}"/>
    <cellStyle name="Финансовый 5 2 10" xfId="466" xr:uid="{00000000-0005-0000-0000-00007A3C0000}"/>
    <cellStyle name="Финансовый 5 2 10 2" xfId="6506" xr:uid="{00000000-0005-0000-0000-00007B3C0000}"/>
    <cellStyle name="Финансовый 5 2 10 2 2" xfId="15149" xr:uid="{00000000-0005-0000-0000-00007C3C0000}"/>
    <cellStyle name="Финансовый 5 2 10 3" xfId="9113" xr:uid="{00000000-0005-0000-0000-00007D3C0000}"/>
    <cellStyle name="Финансовый 5 2 11" xfId="2655" xr:uid="{00000000-0005-0000-0000-00007E3C0000}"/>
    <cellStyle name="Финансовый 5 2 11 2" xfId="11300" xr:uid="{00000000-0005-0000-0000-00007F3C0000}"/>
    <cellStyle name="Финансовый 5 2 12" xfId="4298" xr:uid="{00000000-0005-0000-0000-0000803C0000}"/>
    <cellStyle name="Финансовый 5 2 12 2" xfId="12943" xr:uid="{00000000-0005-0000-0000-0000813C0000}"/>
    <cellStyle name="Финансовый 5 2 13" xfId="6086" xr:uid="{00000000-0005-0000-0000-0000823C0000}"/>
    <cellStyle name="Финансовый 5 2 13 2" xfId="14729" xr:uid="{00000000-0005-0000-0000-0000833C0000}"/>
    <cellStyle name="Финансовый 5 2 14" xfId="8693" xr:uid="{00000000-0005-0000-0000-0000843C0000}"/>
    <cellStyle name="Финансовый 5 2 2" xfId="101" xr:uid="{00000000-0005-0000-0000-0000853C0000}"/>
    <cellStyle name="Финансовый 5 2 2 10" xfId="2711" xr:uid="{00000000-0005-0000-0000-0000863C0000}"/>
    <cellStyle name="Финансовый 5 2 2 10 2" xfId="11356" xr:uid="{00000000-0005-0000-0000-0000873C0000}"/>
    <cellStyle name="Финансовый 5 2 2 11" xfId="4355" xr:uid="{00000000-0005-0000-0000-0000883C0000}"/>
    <cellStyle name="Финансовый 5 2 2 11 2" xfId="13000" xr:uid="{00000000-0005-0000-0000-0000893C0000}"/>
    <cellStyle name="Финансовый 5 2 2 12" xfId="6142" xr:uid="{00000000-0005-0000-0000-00008A3C0000}"/>
    <cellStyle name="Финансовый 5 2 2 12 2" xfId="14785" xr:uid="{00000000-0005-0000-0000-00008B3C0000}"/>
    <cellStyle name="Финансовый 5 2 2 13" xfId="8749" xr:uid="{00000000-0005-0000-0000-00008C3C0000}"/>
    <cellStyle name="Финансовый 5 2 2 2" xfId="237" xr:uid="{00000000-0005-0000-0000-00008D3C0000}"/>
    <cellStyle name="Финансовый 5 2 2 2 10" xfId="8885" xr:uid="{00000000-0005-0000-0000-00008E3C0000}"/>
    <cellStyle name="Финансовый 5 2 2 2 2" xfId="1335" xr:uid="{00000000-0005-0000-0000-00008F3C0000}"/>
    <cellStyle name="Финансовый 5 2 2 2 2 2" xfId="2293" xr:uid="{00000000-0005-0000-0000-0000903C0000}"/>
    <cellStyle name="Финансовый 5 2 2 2 2 2 2" xfId="3938" xr:uid="{00000000-0005-0000-0000-0000913C0000}"/>
    <cellStyle name="Финансовый 5 2 2 2 2 2 2 2" xfId="12583" xr:uid="{00000000-0005-0000-0000-0000923C0000}"/>
    <cellStyle name="Финансовый 5 2 2 2 2 2 3" xfId="5721" xr:uid="{00000000-0005-0000-0000-0000933C0000}"/>
    <cellStyle name="Финансовый 5 2 2 2 2 2 3 2" xfId="14364" xr:uid="{00000000-0005-0000-0000-0000943C0000}"/>
    <cellStyle name="Финансовый 5 2 2 2 2 2 4" xfId="8331" xr:uid="{00000000-0005-0000-0000-0000953C0000}"/>
    <cellStyle name="Финансовый 5 2 2 2 2 2 4 2" xfId="16974" xr:uid="{00000000-0005-0000-0000-0000963C0000}"/>
    <cellStyle name="Финансовый 5 2 2 2 2 2 5" xfId="10938" xr:uid="{00000000-0005-0000-0000-0000973C0000}"/>
    <cellStyle name="Финансовый 5 2 2 2 2 3" xfId="3119" xr:uid="{00000000-0005-0000-0000-0000983C0000}"/>
    <cellStyle name="Финансовый 5 2 2 2 2 3 2" xfId="11764" xr:uid="{00000000-0005-0000-0000-0000993C0000}"/>
    <cellStyle name="Финансовый 5 2 2 2 2 4" xfId="4763" xr:uid="{00000000-0005-0000-0000-00009A3C0000}"/>
    <cellStyle name="Финансовый 5 2 2 2 2 4 2" xfId="13408" xr:uid="{00000000-0005-0000-0000-00009B3C0000}"/>
    <cellStyle name="Финансовый 5 2 2 2 2 5" xfId="7375" xr:uid="{00000000-0005-0000-0000-00009C3C0000}"/>
    <cellStyle name="Финансовый 5 2 2 2 2 5 2" xfId="16018" xr:uid="{00000000-0005-0000-0000-00009D3C0000}"/>
    <cellStyle name="Финансовый 5 2 2 2 2 6" xfId="9982" xr:uid="{00000000-0005-0000-0000-00009E3C0000}"/>
    <cellStyle name="Финансовый 5 2 2 2 3" xfId="2037" xr:uid="{00000000-0005-0000-0000-00009F3C0000}"/>
    <cellStyle name="Финансовый 5 2 2 2 3 2" xfId="3682" xr:uid="{00000000-0005-0000-0000-0000A03C0000}"/>
    <cellStyle name="Финансовый 5 2 2 2 3 2 2" xfId="12327" xr:uid="{00000000-0005-0000-0000-0000A13C0000}"/>
    <cellStyle name="Финансовый 5 2 2 2 3 3" xfId="5465" xr:uid="{00000000-0005-0000-0000-0000A23C0000}"/>
    <cellStyle name="Финансовый 5 2 2 2 3 3 2" xfId="14108" xr:uid="{00000000-0005-0000-0000-0000A33C0000}"/>
    <cellStyle name="Финансовый 5 2 2 2 3 4" xfId="8075" xr:uid="{00000000-0005-0000-0000-0000A43C0000}"/>
    <cellStyle name="Финансовый 5 2 2 2 3 4 2" xfId="16718" xr:uid="{00000000-0005-0000-0000-0000A53C0000}"/>
    <cellStyle name="Финансовый 5 2 2 2 3 5" xfId="10682" xr:uid="{00000000-0005-0000-0000-0000A63C0000}"/>
    <cellStyle name="Финансовый 5 2 2 2 4" xfId="2566" xr:uid="{00000000-0005-0000-0000-0000A73C0000}"/>
    <cellStyle name="Финансовый 5 2 2 2 4 2" xfId="4211" xr:uid="{00000000-0005-0000-0000-0000A83C0000}"/>
    <cellStyle name="Финансовый 5 2 2 2 4 2 2" xfId="12856" xr:uid="{00000000-0005-0000-0000-0000A93C0000}"/>
    <cellStyle name="Финансовый 5 2 2 2 4 3" xfId="5994" xr:uid="{00000000-0005-0000-0000-0000AA3C0000}"/>
    <cellStyle name="Финансовый 5 2 2 2 4 3 2" xfId="14637" xr:uid="{00000000-0005-0000-0000-0000AB3C0000}"/>
    <cellStyle name="Финансовый 5 2 2 2 4 4" xfId="8604" xr:uid="{00000000-0005-0000-0000-0000AC3C0000}"/>
    <cellStyle name="Финансовый 5 2 2 2 4 4 2" xfId="17247" xr:uid="{00000000-0005-0000-0000-0000AD3C0000}"/>
    <cellStyle name="Финансовый 5 2 2 2 4 5" xfId="11211" xr:uid="{00000000-0005-0000-0000-0000AE3C0000}"/>
    <cellStyle name="Финансовый 5 2 2 2 5" xfId="1070" xr:uid="{00000000-0005-0000-0000-0000AF3C0000}"/>
    <cellStyle name="Финансовый 5 2 2 2 5 2" xfId="7110" xr:uid="{00000000-0005-0000-0000-0000B03C0000}"/>
    <cellStyle name="Финансовый 5 2 2 2 5 2 2" xfId="15753" xr:uid="{00000000-0005-0000-0000-0000B13C0000}"/>
    <cellStyle name="Финансовый 5 2 2 2 5 3" xfId="9717" xr:uid="{00000000-0005-0000-0000-0000B23C0000}"/>
    <cellStyle name="Финансовый 5 2 2 2 6" xfId="658" xr:uid="{00000000-0005-0000-0000-0000B33C0000}"/>
    <cellStyle name="Финансовый 5 2 2 2 6 2" xfId="6698" xr:uid="{00000000-0005-0000-0000-0000B43C0000}"/>
    <cellStyle name="Финансовый 5 2 2 2 6 2 2" xfId="15341" xr:uid="{00000000-0005-0000-0000-0000B53C0000}"/>
    <cellStyle name="Финансовый 5 2 2 2 6 3" xfId="9305" xr:uid="{00000000-0005-0000-0000-0000B63C0000}"/>
    <cellStyle name="Финансовый 5 2 2 2 7" xfId="2847" xr:uid="{00000000-0005-0000-0000-0000B73C0000}"/>
    <cellStyle name="Финансовый 5 2 2 2 7 2" xfId="11492" xr:uid="{00000000-0005-0000-0000-0000B83C0000}"/>
    <cellStyle name="Финансовый 5 2 2 2 8" xfId="4491" xr:uid="{00000000-0005-0000-0000-0000B93C0000}"/>
    <cellStyle name="Финансовый 5 2 2 2 8 2" xfId="13136" xr:uid="{00000000-0005-0000-0000-0000BA3C0000}"/>
    <cellStyle name="Финансовый 5 2 2 2 9" xfId="6278" xr:uid="{00000000-0005-0000-0000-0000BB3C0000}"/>
    <cellStyle name="Финансовый 5 2 2 2 9 2" xfId="14921" xr:uid="{00000000-0005-0000-0000-0000BC3C0000}"/>
    <cellStyle name="Финансовый 5 2 2 3" xfId="386" xr:uid="{00000000-0005-0000-0000-0000BD3C0000}"/>
    <cellStyle name="Финансовый 5 2 2 3 2" xfId="2165" xr:uid="{00000000-0005-0000-0000-0000BE3C0000}"/>
    <cellStyle name="Финансовый 5 2 2 3 2 2" xfId="3810" xr:uid="{00000000-0005-0000-0000-0000BF3C0000}"/>
    <cellStyle name="Финансовый 5 2 2 3 2 2 2" xfId="12455" xr:uid="{00000000-0005-0000-0000-0000C03C0000}"/>
    <cellStyle name="Финансовый 5 2 2 3 2 3" xfId="5593" xr:uid="{00000000-0005-0000-0000-0000C13C0000}"/>
    <cellStyle name="Финансовый 5 2 2 3 2 3 2" xfId="14236" xr:uid="{00000000-0005-0000-0000-0000C23C0000}"/>
    <cellStyle name="Финансовый 5 2 2 3 2 4" xfId="8203" xr:uid="{00000000-0005-0000-0000-0000C33C0000}"/>
    <cellStyle name="Финансовый 5 2 2 3 2 4 2" xfId="16846" xr:uid="{00000000-0005-0000-0000-0000C43C0000}"/>
    <cellStyle name="Финансовый 5 2 2 3 2 5" xfId="10810" xr:uid="{00000000-0005-0000-0000-0000C53C0000}"/>
    <cellStyle name="Финансовый 5 2 2 3 3" xfId="1199" xr:uid="{00000000-0005-0000-0000-0000C63C0000}"/>
    <cellStyle name="Финансовый 5 2 2 3 3 2" xfId="7239" xr:uid="{00000000-0005-0000-0000-0000C73C0000}"/>
    <cellStyle name="Финансовый 5 2 2 3 3 2 2" xfId="15882" xr:uid="{00000000-0005-0000-0000-0000C83C0000}"/>
    <cellStyle name="Финансовый 5 2 2 3 3 3" xfId="9846" xr:uid="{00000000-0005-0000-0000-0000C93C0000}"/>
    <cellStyle name="Финансовый 5 2 2 3 4" xfId="806" xr:uid="{00000000-0005-0000-0000-0000CA3C0000}"/>
    <cellStyle name="Финансовый 5 2 2 3 4 2" xfId="6846" xr:uid="{00000000-0005-0000-0000-0000CB3C0000}"/>
    <cellStyle name="Финансовый 5 2 2 3 4 2 2" xfId="15489" xr:uid="{00000000-0005-0000-0000-0000CC3C0000}"/>
    <cellStyle name="Финансовый 5 2 2 3 4 3" xfId="9453" xr:uid="{00000000-0005-0000-0000-0000CD3C0000}"/>
    <cellStyle name="Финансовый 5 2 2 3 5" xfId="2983" xr:uid="{00000000-0005-0000-0000-0000CE3C0000}"/>
    <cellStyle name="Финансовый 5 2 2 3 5 2" xfId="11628" xr:uid="{00000000-0005-0000-0000-0000CF3C0000}"/>
    <cellStyle name="Финансовый 5 2 2 3 6" xfId="4627" xr:uid="{00000000-0005-0000-0000-0000D03C0000}"/>
    <cellStyle name="Финансовый 5 2 2 3 6 2" xfId="13272" xr:uid="{00000000-0005-0000-0000-0000D13C0000}"/>
    <cellStyle name="Финансовый 5 2 2 3 7" xfId="6426" xr:uid="{00000000-0005-0000-0000-0000D23C0000}"/>
    <cellStyle name="Финансовый 5 2 2 3 7 2" xfId="15069" xr:uid="{00000000-0005-0000-0000-0000D33C0000}"/>
    <cellStyle name="Финансовый 5 2 2 3 8" xfId="9033" xr:uid="{00000000-0005-0000-0000-0000D43C0000}"/>
    <cellStyle name="Финансовый 5 2 2 4" xfId="1545" xr:uid="{00000000-0005-0000-0000-0000D53C0000}"/>
    <cellStyle name="Финансовый 5 2 2 4 2" xfId="1909" xr:uid="{00000000-0005-0000-0000-0000D63C0000}"/>
    <cellStyle name="Финансовый 5 2 2 4 2 2" xfId="3554" xr:uid="{00000000-0005-0000-0000-0000D73C0000}"/>
    <cellStyle name="Финансовый 5 2 2 4 2 2 2" xfId="12199" xr:uid="{00000000-0005-0000-0000-0000D83C0000}"/>
    <cellStyle name="Финансовый 5 2 2 4 2 3" xfId="5337" xr:uid="{00000000-0005-0000-0000-0000D93C0000}"/>
    <cellStyle name="Финансовый 5 2 2 4 2 3 2" xfId="13980" xr:uid="{00000000-0005-0000-0000-0000DA3C0000}"/>
    <cellStyle name="Финансовый 5 2 2 4 2 4" xfId="7947" xr:uid="{00000000-0005-0000-0000-0000DB3C0000}"/>
    <cellStyle name="Финансовый 5 2 2 4 2 4 2" xfId="16590" xr:uid="{00000000-0005-0000-0000-0000DC3C0000}"/>
    <cellStyle name="Финансовый 5 2 2 4 2 5" xfId="10554" xr:uid="{00000000-0005-0000-0000-0000DD3C0000}"/>
    <cellStyle name="Финансовый 5 2 2 4 3" xfId="4973" xr:uid="{00000000-0005-0000-0000-0000DE3C0000}"/>
    <cellStyle name="Финансовый 5 2 2 4 3 2" xfId="13616" xr:uid="{00000000-0005-0000-0000-0000DF3C0000}"/>
    <cellStyle name="Финансовый 5 2 2 4 4" xfId="7583" xr:uid="{00000000-0005-0000-0000-0000E03C0000}"/>
    <cellStyle name="Финансовый 5 2 2 4 4 2" xfId="16226" xr:uid="{00000000-0005-0000-0000-0000E13C0000}"/>
    <cellStyle name="Финансовый 5 2 2 4 5" xfId="10190" xr:uid="{00000000-0005-0000-0000-0000E23C0000}"/>
    <cellStyle name="Финансовый 5 2 2 5" xfId="1785" xr:uid="{00000000-0005-0000-0000-0000E33C0000}"/>
    <cellStyle name="Финансовый 5 2 2 5 2" xfId="3430" xr:uid="{00000000-0005-0000-0000-0000E43C0000}"/>
    <cellStyle name="Финансовый 5 2 2 5 2 2" xfId="12075" xr:uid="{00000000-0005-0000-0000-0000E53C0000}"/>
    <cellStyle name="Финансовый 5 2 2 5 3" xfId="5213" xr:uid="{00000000-0005-0000-0000-0000E63C0000}"/>
    <cellStyle name="Финансовый 5 2 2 5 3 2" xfId="13856" xr:uid="{00000000-0005-0000-0000-0000E73C0000}"/>
    <cellStyle name="Финансовый 5 2 2 5 4" xfId="7823" xr:uid="{00000000-0005-0000-0000-0000E83C0000}"/>
    <cellStyle name="Финансовый 5 2 2 5 4 2" xfId="16466" xr:uid="{00000000-0005-0000-0000-0000E93C0000}"/>
    <cellStyle name="Финансовый 5 2 2 5 5" xfId="10430" xr:uid="{00000000-0005-0000-0000-0000EA3C0000}"/>
    <cellStyle name="Финансовый 5 2 2 6" xfId="2430" xr:uid="{00000000-0005-0000-0000-0000EB3C0000}"/>
    <cellStyle name="Финансовый 5 2 2 6 2" xfId="4075" xr:uid="{00000000-0005-0000-0000-0000EC3C0000}"/>
    <cellStyle name="Финансовый 5 2 2 6 2 2" xfId="12720" xr:uid="{00000000-0005-0000-0000-0000ED3C0000}"/>
    <cellStyle name="Финансовый 5 2 2 6 3" xfId="5858" xr:uid="{00000000-0005-0000-0000-0000EE3C0000}"/>
    <cellStyle name="Финансовый 5 2 2 6 3 2" xfId="14501" xr:uid="{00000000-0005-0000-0000-0000EF3C0000}"/>
    <cellStyle name="Финансовый 5 2 2 6 4" xfId="8468" xr:uid="{00000000-0005-0000-0000-0000F03C0000}"/>
    <cellStyle name="Финансовый 5 2 2 6 4 2" xfId="17111" xr:uid="{00000000-0005-0000-0000-0000F13C0000}"/>
    <cellStyle name="Финансовый 5 2 2 6 5" xfId="11075" xr:uid="{00000000-0005-0000-0000-0000F23C0000}"/>
    <cellStyle name="Финансовый 5 2 2 7" xfId="1657" xr:uid="{00000000-0005-0000-0000-0000F33C0000}"/>
    <cellStyle name="Финансовый 5 2 2 7 2" xfId="3302" xr:uid="{00000000-0005-0000-0000-0000F43C0000}"/>
    <cellStyle name="Финансовый 5 2 2 7 2 2" xfId="11947" xr:uid="{00000000-0005-0000-0000-0000F53C0000}"/>
    <cellStyle name="Финансовый 5 2 2 7 3" xfId="5085" xr:uid="{00000000-0005-0000-0000-0000F63C0000}"/>
    <cellStyle name="Финансовый 5 2 2 7 3 2" xfId="13728" xr:uid="{00000000-0005-0000-0000-0000F73C0000}"/>
    <cellStyle name="Финансовый 5 2 2 7 4" xfId="7695" xr:uid="{00000000-0005-0000-0000-0000F83C0000}"/>
    <cellStyle name="Финансовый 5 2 2 7 4 2" xfId="16338" xr:uid="{00000000-0005-0000-0000-0000F93C0000}"/>
    <cellStyle name="Финансовый 5 2 2 7 5" xfId="10302" xr:uid="{00000000-0005-0000-0000-0000FA3C0000}"/>
    <cellStyle name="Финансовый 5 2 2 8" xfId="934" xr:uid="{00000000-0005-0000-0000-0000FB3C0000}"/>
    <cellStyle name="Финансовый 5 2 2 8 2" xfId="6974" xr:uid="{00000000-0005-0000-0000-0000FC3C0000}"/>
    <cellStyle name="Финансовый 5 2 2 8 2 2" xfId="15617" xr:uid="{00000000-0005-0000-0000-0000FD3C0000}"/>
    <cellStyle name="Финансовый 5 2 2 8 3" xfId="9581" xr:uid="{00000000-0005-0000-0000-0000FE3C0000}"/>
    <cellStyle name="Финансовый 5 2 2 9" xfId="522" xr:uid="{00000000-0005-0000-0000-0000FF3C0000}"/>
    <cellStyle name="Финансовый 5 2 2 9 2" xfId="6562" xr:uid="{00000000-0005-0000-0000-0000003D0000}"/>
    <cellStyle name="Финансовый 5 2 2 9 2 2" xfId="15205" xr:uid="{00000000-0005-0000-0000-0000013D0000}"/>
    <cellStyle name="Финансовый 5 2 2 9 3" xfId="9169" xr:uid="{00000000-0005-0000-0000-0000023D0000}"/>
    <cellStyle name="Финансовый 5 2 3" xfId="181" xr:uid="{00000000-0005-0000-0000-0000033D0000}"/>
    <cellStyle name="Финансовый 5 2 3 10" xfId="8829" xr:uid="{00000000-0005-0000-0000-0000043D0000}"/>
    <cellStyle name="Финансовый 5 2 3 2" xfId="1279" xr:uid="{00000000-0005-0000-0000-0000053D0000}"/>
    <cellStyle name="Финансовый 5 2 3 2 2" xfId="2245" xr:uid="{00000000-0005-0000-0000-0000063D0000}"/>
    <cellStyle name="Финансовый 5 2 3 2 2 2" xfId="3890" xr:uid="{00000000-0005-0000-0000-0000073D0000}"/>
    <cellStyle name="Финансовый 5 2 3 2 2 2 2" xfId="12535" xr:uid="{00000000-0005-0000-0000-0000083D0000}"/>
    <cellStyle name="Финансовый 5 2 3 2 2 3" xfId="5673" xr:uid="{00000000-0005-0000-0000-0000093D0000}"/>
    <cellStyle name="Финансовый 5 2 3 2 2 3 2" xfId="14316" xr:uid="{00000000-0005-0000-0000-00000A3D0000}"/>
    <cellStyle name="Финансовый 5 2 3 2 2 4" xfId="8283" xr:uid="{00000000-0005-0000-0000-00000B3D0000}"/>
    <cellStyle name="Финансовый 5 2 3 2 2 4 2" xfId="16926" xr:uid="{00000000-0005-0000-0000-00000C3D0000}"/>
    <cellStyle name="Финансовый 5 2 3 2 2 5" xfId="10890" xr:uid="{00000000-0005-0000-0000-00000D3D0000}"/>
    <cellStyle name="Финансовый 5 2 3 2 3" xfId="3063" xr:uid="{00000000-0005-0000-0000-00000E3D0000}"/>
    <cellStyle name="Финансовый 5 2 3 2 3 2" xfId="11708" xr:uid="{00000000-0005-0000-0000-00000F3D0000}"/>
    <cellStyle name="Финансовый 5 2 3 2 4" xfId="4707" xr:uid="{00000000-0005-0000-0000-0000103D0000}"/>
    <cellStyle name="Финансовый 5 2 3 2 4 2" xfId="13352" xr:uid="{00000000-0005-0000-0000-0000113D0000}"/>
    <cellStyle name="Финансовый 5 2 3 2 5" xfId="7319" xr:uid="{00000000-0005-0000-0000-0000123D0000}"/>
    <cellStyle name="Финансовый 5 2 3 2 5 2" xfId="15962" xr:uid="{00000000-0005-0000-0000-0000133D0000}"/>
    <cellStyle name="Финансовый 5 2 3 2 6" xfId="9926" xr:uid="{00000000-0005-0000-0000-0000143D0000}"/>
    <cellStyle name="Финансовый 5 2 3 3" xfId="1989" xr:uid="{00000000-0005-0000-0000-0000153D0000}"/>
    <cellStyle name="Финансовый 5 2 3 3 2" xfId="3634" xr:uid="{00000000-0005-0000-0000-0000163D0000}"/>
    <cellStyle name="Финансовый 5 2 3 3 2 2" xfId="12279" xr:uid="{00000000-0005-0000-0000-0000173D0000}"/>
    <cellStyle name="Финансовый 5 2 3 3 3" xfId="5417" xr:uid="{00000000-0005-0000-0000-0000183D0000}"/>
    <cellStyle name="Финансовый 5 2 3 3 3 2" xfId="14060" xr:uid="{00000000-0005-0000-0000-0000193D0000}"/>
    <cellStyle name="Финансовый 5 2 3 3 4" xfId="8027" xr:uid="{00000000-0005-0000-0000-00001A3D0000}"/>
    <cellStyle name="Финансовый 5 2 3 3 4 2" xfId="16670" xr:uid="{00000000-0005-0000-0000-00001B3D0000}"/>
    <cellStyle name="Финансовый 5 2 3 3 5" xfId="10634" xr:uid="{00000000-0005-0000-0000-00001C3D0000}"/>
    <cellStyle name="Финансовый 5 2 3 4" xfId="2510" xr:uid="{00000000-0005-0000-0000-00001D3D0000}"/>
    <cellStyle name="Финансовый 5 2 3 4 2" xfId="4155" xr:uid="{00000000-0005-0000-0000-00001E3D0000}"/>
    <cellStyle name="Финансовый 5 2 3 4 2 2" xfId="12800" xr:uid="{00000000-0005-0000-0000-00001F3D0000}"/>
    <cellStyle name="Финансовый 5 2 3 4 3" xfId="5938" xr:uid="{00000000-0005-0000-0000-0000203D0000}"/>
    <cellStyle name="Финансовый 5 2 3 4 3 2" xfId="14581" xr:uid="{00000000-0005-0000-0000-0000213D0000}"/>
    <cellStyle name="Финансовый 5 2 3 4 4" xfId="8548" xr:uid="{00000000-0005-0000-0000-0000223D0000}"/>
    <cellStyle name="Финансовый 5 2 3 4 4 2" xfId="17191" xr:uid="{00000000-0005-0000-0000-0000233D0000}"/>
    <cellStyle name="Финансовый 5 2 3 4 5" xfId="11155" xr:uid="{00000000-0005-0000-0000-0000243D0000}"/>
    <cellStyle name="Финансовый 5 2 3 5" xfId="1014" xr:uid="{00000000-0005-0000-0000-0000253D0000}"/>
    <cellStyle name="Финансовый 5 2 3 5 2" xfId="7054" xr:uid="{00000000-0005-0000-0000-0000263D0000}"/>
    <cellStyle name="Финансовый 5 2 3 5 2 2" xfId="15697" xr:uid="{00000000-0005-0000-0000-0000273D0000}"/>
    <cellStyle name="Финансовый 5 2 3 5 3" xfId="9661" xr:uid="{00000000-0005-0000-0000-0000283D0000}"/>
    <cellStyle name="Финансовый 5 2 3 6" xfId="602" xr:uid="{00000000-0005-0000-0000-0000293D0000}"/>
    <cellStyle name="Финансовый 5 2 3 6 2" xfId="6642" xr:uid="{00000000-0005-0000-0000-00002A3D0000}"/>
    <cellStyle name="Финансовый 5 2 3 6 2 2" xfId="15285" xr:uid="{00000000-0005-0000-0000-00002B3D0000}"/>
    <cellStyle name="Финансовый 5 2 3 6 3" xfId="9249" xr:uid="{00000000-0005-0000-0000-00002C3D0000}"/>
    <cellStyle name="Финансовый 5 2 3 7" xfId="2791" xr:uid="{00000000-0005-0000-0000-00002D3D0000}"/>
    <cellStyle name="Финансовый 5 2 3 7 2" xfId="11436" xr:uid="{00000000-0005-0000-0000-00002E3D0000}"/>
    <cellStyle name="Финансовый 5 2 3 8" xfId="4435" xr:uid="{00000000-0005-0000-0000-00002F3D0000}"/>
    <cellStyle name="Финансовый 5 2 3 8 2" xfId="13080" xr:uid="{00000000-0005-0000-0000-0000303D0000}"/>
    <cellStyle name="Финансовый 5 2 3 9" xfId="6222" xr:uid="{00000000-0005-0000-0000-0000313D0000}"/>
    <cellStyle name="Финансовый 5 2 3 9 2" xfId="14865" xr:uid="{00000000-0005-0000-0000-0000323D0000}"/>
    <cellStyle name="Финансовый 5 2 4" xfId="330" xr:uid="{00000000-0005-0000-0000-0000333D0000}"/>
    <cellStyle name="Финансовый 5 2 4 2" xfId="2117" xr:uid="{00000000-0005-0000-0000-0000343D0000}"/>
    <cellStyle name="Финансовый 5 2 4 2 2" xfId="3762" xr:uid="{00000000-0005-0000-0000-0000353D0000}"/>
    <cellStyle name="Финансовый 5 2 4 2 2 2" xfId="12407" xr:uid="{00000000-0005-0000-0000-0000363D0000}"/>
    <cellStyle name="Финансовый 5 2 4 2 3" xfId="5545" xr:uid="{00000000-0005-0000-0000-0000373D0000}"/>
    <cellStyle name="Финансовый 5 2 4 2 3 2" xfId="14188" xr:uid="{00000000-0005-0000-0000-0000383D0000}"/>
    <cellStyle name="Финансовый 5 2 4 2 4" xfId="8155" xr:uid="{00000000-0005-0000-0000-0000393D0000}"/>
    <cellStyle name="Финансовый 5 2 4 2 4 2" xfId="16798" xr:uid="{00000000-0005-0000-0000-00003A3D0000}"/>
    <cellStyle name="Финансовый 5 2 4 2 5" xfId="10762" xr:uid="{00000000-0005-0000-0000-00003B3D0000}"/>
    <cellStyle name="Финансовый 5 2 4 3" xfId="1150" xr:uid="{00000000-0005-0000-0000-00003C3D0000}"/>
    <cellStyle name="Финансовый 5 2 4 3 2" xfId="7190" xr:uid="{00000000-0005-0000-0000-00003D3D0000}"/>
    <cellStyle name="Финансовый 5 2 4 3 2 2" xfId="15833" xr:uid="{00000000-0005-0000-0000-00003E3D0000}"/>
    <cellStyle name="Финансовый 5 2 4 3 3" xfId="9797" xr:uid="{00000000-0005-0000-0000-00003F3D0000}"/>
    <cellStyle name="Финансовый 5 2 4 4" xfId="750" xr:uid="{00000000-0005-0000-0000-0000403D0000}"/>
    <cellStyle name="Финансовый 5 2 4 4 2" xfId="6790" xr:uid="{00000000-0005-0000-0000-0000413D0000}"/>
    <cellStyle name="Финансовый 5 2 4 4 2 2" xfId="15433" xr:uid="{00000000-0005-0000-0000-0000423D0000}"/>
    <cellStyle name="Финансовый 5 2 4 4 3" xfId="9397" xr:uid="{00000000-0005-0000-0000-0000433D0000}"/>
    <cellStyle name="Финансовый 5 2 4 5" xfId="2927" xr:uid="{00000000-0005-0000-0000-0000443D0000}"/>
    <cellStyle name="Финансовый 5 2 4 5 2" xfId="11572" xr:uid="{00000000-0005-0000-0000-0000453D0000}"/>
    <cellStyle name="Финансовый 5 2 4 6" xfId="4571" xr:uid="{00000000-0005-0000-0000-0000463D0000}"/>
    <cellStyle name="Финансовый 5 2 4 6 2" xfId="13216" xr:uid="{00000000-0005-0000-0000-0000473D0000}"/>
    <cellStyle name="Финансовый 5 2 4 7" xfId="6370" xr:uid="{00000000-0005-0000-0000-0000483D0000}"/>
    <cellStyle name="Финансовый 5 2 4 7 2" xfId="15013" xr:uid="{00000000-0005-0000-0000-0000493D0000}"/>
    <cellStyle name="Финансовый 5 2 4 8" xfId="8977" xr:uid="{00000000-0005-0000-0000-00004A3D0000}"/>
    <cellStyle name="Финансовый 5 2 5" xfId="1544" xr:uid="{00000000-0005-0000-0000-00004B3D0000}"/>
    <cellStyle name="Финансовый 5 2 5 2" xfId="1853" xr:uid="{00000000-0005-0000-0000-00004C3D0000}"/>
    <cellStyle name="Финансовый 5 2 5 2 2" xfId="3498" xr:uid="{00000000-0005-0000-0000-00004D3D0000}"/>
    <cellStyle name="Финансовый 5 2 5 2 2 2" xfId="12143" xr:uid="{00000000-0005-0000-0000-00004E3D0000}"/>
    <cellStyle name="Финансовый 5 2 5 2 3" xfId="5281" xr:uid="{00000000-0005-0000-0000-00004F3D0000}"/>
    <cellStyle name="Финансовый 5 2 5 2 3 2" xfId="13924" xr:uid="{00000000-0005-0000-0000-0000503D0000}"/>
    <cellStyle name="Финансовый 5 2 5 2 4" xfId="7891" xr:uid="{00000000-0005-0000-0000-0000513D0000}"/>
    <cellStyle name="Финансовый 5 2 5 2 4 2" xfId="16534" xr:uid="{00000000-0005-0000-0000-0000523D0000}"/>
    <cellStyle name="Финансовый 5 2 5 2 5" xfId="10498" xr:uid="{00000000-0005-0000-0000-0000533D0000}"/>
    <cellStyle name="Финансовый 5 2 5 3" xfId="4972" xr:uid="{00000000-0005-0000-0000-0000543D0000}"/>
    <cellStyle name="Финансовый 5 2 5 3 2" xfId="13615" xr:uid="{00000000-0005-0000-0000-0000553D0000}"/>
    <cellStyle name="Финансовый 5 2 5 4" xfId="7582" xr:uid="{00000000-0005-0000-0000-0000563D0000}"/>
    <cellStyle name="Финансовый 5 2 5 4 2" xfId="16225" xr:uid="{00000000-0005-0000-0000-0000573D0000}"/>
    <cellStyle name="Финансовый 5 2 5 5" xfId="10189" xr:uid="{00000000-0005-0000-0000-0000583D0000}"/>
    <cellStyle name="Финансовый 5 2 6" xfId="1737" xr:uid="{00000000-0005-0000-0000-0000593D0000}"/>
    <cellStyle name="Финансовый 5 2 6 2" xfId="3382" xr:uid="{00000000-0005-0000-0000-00005A3D0000}"/>
    <cellStyle name="Финансовый 5 2 6 2 2" xfId="12027" xr:uid="{00000000-0005-0000-0000-00005B3D0000}"/>
    <cellStyle name="Финансовый 5 2 6 3" xfId="5165" xr:uid="{00000000-0005-0000-0000-00005C3D0000}"/>
    <cellStyle name="Финансовый 5 2 6 3 2" xfId="13808" xr:uid="{00000000-0005-0000-0000-00005D3D0000}"/>
    <cellStyle name="Финансовый 5 2 6 4" xfId="7775" xr:uid="{00000000-0005-0000-0000-00005E3D0000}"/>
    <cellStyle name="Финансовый 5 2 6 4 2" xfId="16418" xr:uid="{00000000-0005-0000-0000-00005F3D0000}"/>
    <cellStyle name="Финансовый 5 2 6 5" xfId="10382" xr:uid="{00000000-0005-0000-0000-0000603D0000}"/>
    <cellStyle name="Финансовый 5 2 7" xfId="2373" xr:uid="{00000000-0005-0000-0000-0000613D0000}"/>
    <cellStyle name="Финансовый 5 2 7 2" xfId="4018" xr:uid="{00000000-0005-0000-0000-0000623D0000}"/>
    <cellStyle name="Финансовый 5 2 7 2 2" xfId="12663" xr:uid="{00000000-0005-0000-0000-0000633D0000}"/>
    <cellStyle name="Финансовый 5 2 7 3" xfId="5801" xr:uid="{00000000-0005-0000-0000-0000643D0000}"/>
    <cellStyle name="Финансовый 5 2 7 3 2" xfId="14444" xr:uid="{00000000-0005-0000-0000-0000653D0000}"/>
    <cellStyle name="Финансовый 5 2 7 4" xfId="8411" xr:uid="{00000000-0005-0000-0000-0000663D0000}"/>
    <cellStyle name="Финансовый 5 2 7 4 2" xfId="17054" xr:uid="{00000000-0005-0000-0000-0000673D0000}"/>
    <cellStyle name="Финансовый 5 2 7 5" xfId="11018" xr:uid="{00000000-0005-0000-0000-0000683D0000}"/>
    <cellStyle name="Финансовый 5 2 8" xfId="1600" xr:uid="{00000000-0005-0000-0000-0000693D0000}"/>
    <cellStyle name="Финансовый 5 2 8 2" xfId="3245" xr:uid="{00000000-0005-0000-0000-00006A3D0000}"/>
    <cellStyle name="Финансовый 5 2 8 2 2" xfId="11890" xr:uid="{00000000-0005-0000-0000-00006B3D0000}"/>
    <cellStyle name="Финансовый 5 2 8 3" xfId="5028" xr:uid="{00000000-0005-0000-0000-00006C3D0000}"/>
    <cellStyle name="Финансовый 5 2 8 3 2" xfId="13671" xr:uid="{00000000-0005-0000-0000-00006D3D0000}"/>
    <cellStyle name="Финансовый 5 2 8 4" xfId="7638" xr:uid="{00000000-0005-0000-0000-00006E3D0000}"/>
    <cellStyle name="Финансовый 5 2 8 4 2" xfId="16281" xr:uid="{00000000-0005-0000-0000-00006F3D0000}"/>
    <cellStyle name="Финансовый 5 2 8 5" xfId="10245" xr:uid="{00000000-0005-0000-0000-0000703D0000}"/>
    <cellStyle name="Финансовый 5 2 9" xfId="886" xr:uid="{00000000-0005-0000-0000-0000713D0000}"/>
    <cellStyle name="Финансовый 5 2 9 2" xfId="6926" xr:uid="{00000000-0005-0000-0000-0000723D0000}"/>
    <cellStyle name="Финансовый 5 2 9 2 2" xfId="15569" xr:uid="{00000000-0005-0000-0000-0000733D0000}"/>
    <cellStyle name="Финансовый 5 2 9 3" xfId="9533" xr:uid="{00000000-0005-0000-0000-0000743D0000}"/>
    <cellStyle name="Финансовый 5 20" xfId="8657" xr:uid="{00000000-0005-0000-0000-0000753D0000}"/>
    <cellStyle name="Финансовый 5 3" xfId="113" xr:uid="{00000000-0005-0000-0000-0000763D0000}"/>
    <cellStyle name="Финансовый 5 3 10" xfId="2723" xr:uid="{00000000-0005-0000-0000-0000773D0000}"/>
    <cellStyle name="Финансовый 5 3 10 2" xfId="11368" xr:uid="{00000000-0005-0000-0000-0000783D0000}"/>
    <cellStyle name="Финансовый 5 3 11" xfId="4367" xr:uid="{00000000-0005-0000-0000-0000793D0000}"/>
    <cellStyle name="Финансовый 5 3 11 2" xfId="13012" xr:uid="{00000000-0005-0000-0000-00007A3D0000}"/>
    <cellStyle name="Финансовый 5 3 12" xfId="6154" xr:uid="{00000000-0005-0000-0000-00007B3D0000}"/>
    <cellStyle name="Финансовый 5 3 12 2" xfId="14797" xr:uid="{00000000-0005-0000-0000-00007C3D0000}"/>
    <cellStyle name="Финансовый 5 3 13" xfId="8761" xr:uid="{00000000-0005-0000-0000-00007D3D0000}"/>
    <cellStyle name="Финансовый 5 3 2" xfId="249" xr:uid="{00000000-0005-0000-0000-00007E3D0000}"/>
    <cellStyle name="Финансовый 5 3 2 10" xfId="8897" xr:uid="{00000000-0005-0000-0000-00007F3D0000}"/>
    <cellStyle name="Финансовый 5 3 2 2" xfId="1347" xr:uid="{00000000-0005-0000-0000-0000803D0000}"/>
    <cellStyle name="Финансовый 5 3 2 2 2" xfId="2305" xr:uid="{00000000-0005-0000-0000-0000813D0000}"/>
    <cellStyle name="Финансовый 5 3 2 2 2 2" xfId="3950" xr:uid="{00000000-0005-0000-0000-0000823D0000}"/>
    <cellStyle name="Финансовый 5 3 2 2 2 2 2" xfId="12595" xr:uid="{00000000-0005-0000-0000-0000833D0000}"/>
    <cellStyle name="Финансовый 5 3 2 2 2 3" xfId="5733" xr:uid="{00000000-0005-0000-0000-0000843D0000}"/>
    <cellStyle name="Финансовый 5 3 2 2 2 3 2" xfId="14376" xr:uid="{00000000-0005-0000-0000-0000853D0000}"/>
    <cellStyle name="Финансовый 5 3 2 2 2 4" xfId="8343" xr:uid="{00000000-0005-0000-0000-0000863D0000}"/>
    <cellStyle name="Финансовый 5 3 2 2 2 4 2" xfId="16986" xr:uid="{00000000-0005-0000-0000-0000873D0000}"/>
    <cellStyle name="Финансовый 5 3 2 2 2 5" xfId="10950" xr:uid="{00000000-0005-0000-0000-0000883D0000}"/>
    <cellStyle name="Финансовый 5 3 2 2 3" xfId="3131" xr:uid="{00000000-0005-0000-0000-0000893D0000}"/>
    <cellStyle name="Финансовый 5 3 2 2 3 2" xfId="11776" xr:uid="{00000000-0005-0000-0000-00008A3D0000}"/>
    <cellStyle name="Финансовый 5 3 2 2 4" xfId="4775" xr:uid="{00000000-0005-0000-0000-00008B3D0000}"/>
    <cellStyle name="Финансовый 5 3 2 2 4 2" xfId="13420" xr:uid="{00000000-0005-0000-0000-00008C3D0000}"/>
    <cellStyle name="Финансовый 5 3 2 2 5" xfId="7387" xr:uid="{00000000-0005-0000-0000-00008D3D0000}"/>
    <cellStyle name="Финансовый 5 3 2 2 5 2" xfId="16030" xr:uid="{00000000-0005-0000-0000-00008E3D0000}"/>
    <cellStyle name="Финансовый 5 3 2 2 6" xfId="9994" xr:uid="{00000000-0005-0000-0000-00008F3D0000}"/>
    <cellStyle name="Финансовый 5 3 2 3" xfId="2049" xr:uid="{00000000-0005-0000-0000-0000903D0000}"/>
    <cellStyle name="Финансовый 5 3 2 3 2" xfId="3694" xr:uid="{00000000-0005-0000-0000-0000913D0000}"/>
    <cellStyle name="Финансовый 5 3 2 3 2 2" xfId="12339" xr:uid="{00000000-0005-0000-0000-0000923D0000}"/>
    <cellStyle name="Финансовый 5 3 2 3 3" xfId="5477" xr:uid="{00000000-0005-0000-0000-0000933D0000}"/>
    <cellStyle name="Финансовый 5 3 2 3 3 2" xfId="14120" xr:uid="{00000000-0005-0000-0000-0000943D0000}"/>
    <cellStyle name="Финансовый 5 3 2 3 4" xfId="8087" xr:uid="{00000000-0005-0000-0000-0000953D0000}"/>
    <cellStyle name="Финансовый 5 3 2 3 4 2" xfId="16730" xr:uid="{00000000-0005-0000-0000-0000963D0000}"/>
    <cellStyle name="Финансовый 5 3 2 3 5" xfId="10694" xr:uid="{00000000-0005-0000-0000-0000973D0000}"/>
    <cellStyle name="Финансовый 5 3 2 4" xfId="2578" xr:uid="{00000000-0005-0000-0000-0000983D0000}"/>
    <cellStyle name="Финансовый 5 3 2 4 2" xfId="4223" xr:uid="{00000000-0005-0000-0000-0000993D0000}"/>
    <cellStyle name="Финансовый 5 3 2 4 2 2" xfId="12868" xr:uid="{00000000-0005-0000-0000-00009A3D0000}"/>
    <cellStyle name="Финансовый 5 3 2 4 3" xfId="6006" xr:uid="{00000000-0005-0000-0000-00009B3D0000}"/>
    <cellStyle name="Финансовый 5 3 2 4 3 2" xfId="14649" xr:uid="{00000000-0005-0000-0000-00009C3D0000}"/>
    <cellStyle name="Финансовый 5 3 2 4 4" xfId="8616" xr:uid="{00000000-0005-0000-0000-00009D3D0000}"/>
    <cellStyle name="Финансовый 5 3 2 4 4 2" xfId="17259" xr:uid="{00000000-0005-0000-0000-00009E3D0000}"/>
    <cellStyle name="Финансовый 5 3 2 4 5" xfId="11223" xr:uid="{00000000-0005-0000-0000-00009F3D0000}"/>
    <cellStyle name="Финансовый 5 3 2 5" xfId="1082" xr:uid="{00000000-0005-0000-0000-0000A03D0000}"/>
    <cellStyle name="Финансовый 5 3 2 5 2" xfId="7122" xr:uid="{00000000-0005-0000-0000-0000A13D0000}"/>
    <cellStyle name="Финансовый 5 3 2 5 2 2" xfId="15765" xr:uid="{00000000-0005-0000-0000-0000A23D0000}"/>
    <cellStyle name="Финансовый 5 3 2 5 3" xfId="9729" xr:uid="{00000000-0005-0000-0000-0000A33D0000}"/>
    <cellStyle name="Финансовый 5 3 2 6" xfId="670" xr:uid="{00000000-0005-0000-0000-0000A43D0000}"/>
    <cellStyle name="Финансовый 5 3 2 6 2" xfId="6710" xr:uid="{00000000-0005-0000-0000-0000A53D0000}"/>
    <cellStyle name="Финансовый 5 3 2 6 2 2" xfId="15353" xr:uid="{00000000-0005-0000-0000-0000A63D0000}"/>
    <cellStyle name="Финансовый 5 3 2 6 3" xfId="9317" xr:uid="{00000000-0005-0000-0000-0000A73D0000}"/>
    <cellStyle name="Финансовый 5 3 2 7" xfId="2859" xr:uid="{00000000-0005-0000-0000-0000A83D0000}"/>
    <cellStyle name="Финансовый 5 3 2 7 2" xfId="11504" xr:uid="{00000000-0005-0000-0000-0000A93D0000}"/>
    <cellStyle name="Финансовый 5 3 2 8" xfId="4503" xr:uid="{00000000-0005-0000-0000-0000AA3D0000}"/>
    <cellStyle name="Финансовый 5 3 2 8 2" xfId="13148" xr:uid="{00000000-0005-0000-0000-0000AB3D0000}"/>
    <cellStyle name="Финансовый 5 3 2 9" xfId="6290" xr:uid="{00000000-0005-0000-0000-0000AC3D0000}"/>
    <cellStyle name="Финансовый 5 3 2 9 2" xfId="14933" xr:uid="{00000000-0005-0000-0000-0000AD3D0000}"/>
    <cellStyle name="Финансовый 5 3 3" xfId="398" xr:uid="{00000000-0005-0000-0000-0000AE3D0000}"/>
    <cellStyle name="Финансовый 5 3 3 2" xfId="2177" xr:uid="{00000000-0005-0000-0000-0000AF3D0000}"/>
    <cellStyle name="Финансовый 5 3 3 2 2" xfId="3822" xr:uid="{00000000-0005-0000-0000-0000B03D0000}"/>
    <cellStyle name="Финансовый 5 3 3 2 2 2" xfId="12467" xr:uid="{00000000-0005-0000-0000-0000B13D0000}"/>
    <cellStyle name="Финансовый 5 3 3 2 3" xfId="5605" xr:uid="{00000000-0005-0000-0000-0000B23D0000}"/>
    <cellStyle name="Финансовый 5 3 3 2 3 2" xfId="14248" xr:uid="{00000000-0005-0000-0000-0000B33D0000}"/>
    <cellStyle name="Финансовый 5 3 3 2 4" xfId="8215" xr:uid="{00000000-0005-0000-0000-0000B43D0000}"/>
    <cellStyle name="Финансовый 5 3 3 2 4 2" xfId="16858" xr:uid="{00000000-0005-0000-0000-0000B53D0000}"/>
    <cellStyle name="Финансовый 5 3 3 2 5" xfId="10822" xr:uid="{00000000-0005-0000-0000-0000B63D0000}"/>
    <cellStyle name="Финансовый 5 3 3 3" xfId="1211" xr:uid="{00000000-0005-0000-0000-0000B73D0000}"/>
    <cellStyle name="Финансовый 5 3 3 3 2" xfId="7251" xr:uid="{00000000-0005-0000-0000-0000B83D0000}"/>
    <cellStyle name="Финансовый 5 3 3 3 2 2" xfId="15894" xr:uid="{00000000-0005-0000-0000-0000B93D0000}"/>
    <cellStyle name="Финансовый 5 3 3 3 3" xfId="9858" xr:uid="{00000000-0005-0000-0000-0000BA3D0000}"/>
    <cellStyle name="Финансовый 5 3 3 4" xfId="818" xr:uid="{00000000-0005-0000-0000-0000BB3D0000}"/>
    <cellStyle name="Финансовый 5 3 3 4 2" xfId="6858" xr:uid="{00000000-0005-0000-0000-0000BC3D0000}"/>
    <cellStyle name="Финансовый 5 3 3 4 2 2" xfId="15501" xr:uid="{00000000-0005-0000-0000-0000BD3D0000}"/>
    <cellStyle name="Финансовый 5 3 3 4 3" xfId="9465" xr:uid="{00000000-0005-0000-0000-0000BE3D0000}"/>
    <cellStyle name="Финансовый 5 3 3 5" xfId="2995" xr:uid="{00000000-0005-0000-0000-0000BF3D0000}"/>
    <cellStyle name="Финансовый 5 3 3 5 2" xfId="11640" xr:uid="{00000000-0005-0000-0000-0000C03D0000}"/>
    <cellStyle name="Финансовый 5 3 3 6" xfId="4639" xr:uid="{00000000-0005-0000-0000-0000C13D0000}"/>
    <cellStyle name="Финансовый 5 3 3 6 2" xfId="13284" xr:uid="{00000000-0005-0000-0000-0000C23D0000}"/>
    <cellStyle name="Финансовый 5 3 3 7" xfId="6438" xr:uid="{00000000-0005-0000-0000-0000C33D0000}"/>
    <cellStyle name="Финансовый 5 3 3 7 2" xfId="15081" xr:uid="{00000000-0005-0000-0000-0000C43D0000}"/>
    <cellStyle name="Финансовый 5 3 3 8" xfId="9045" xr:uid="{00000000-0005-0000-0000-0000C53D0000}"/>
    <cellStyle name="Финансовый 5 3 4" xfId="1546" xr:uid="{00000000-0005-0000-0000-0000C63D0000}"/>
    <cellStyle name="Финансовый 5 3 4 2" xfId="1921" xr:uid="{00000000-0005-0000-0000-0000C73D0000}"/>
    <cellStyle name="Финансовый 5 3 4 2 2" xfId="3566" xr:uid="{00000000-0005-0000-0000-0000C83D0000}"/>
    <cellStyle name="Финансовый 5 3 4 2 2 2" xfId="12211" xr:uid="{00000000-0005-0000-0000-0000C93D0000}"/>
    <cellStyle name="Финансовый 5 3 4 2 3" xfId="5349" xr:uid="{00000000-0005-0000-0000-0000CA3D0000}"/>
    <cellStyle name="Финансовый 5 3 4 2 3 2" xfId="13992" xr:uid="{00000000-0005-0000-0000-0000CB3D0000}"/>
    <cellStyle name="Финансовый 5 3 4 2 4" xfId="7959" xr:uid="{00000000-0005-0000-0000-0000CC3D0000}"/>
    <cellStyle name="Финансовый 5 3 4 2 4 2" xfId="16602" xr:uid="{00000000-0005-0000-0000-0000CD3D0000}"/>
    <cellStyle name="Финансовый 5 3 4 2 5" xfId="10566" xr:uid="{00000000-0005-0000-0000-0000CE3D0000}"/>
    <cellStyle name="Финансовый 5 3 4 3" xfId="4974" xr:uid="{00000000-0005-0000-0000-0000CF3D0000}"/>
    <cellStyle name="Финансовый 5 3 4 3 2" xfId="13617" xr:uid="{00000000-0005-0000-0000-0000D03D0000}"/>
    <cellStyle name="Финансовый 5 3 4 4" xfId="7584" xr:uid="{00000000-0005-0000-0000-0000D13D0000}"/>
    <cellStyle name="Финансовый 5 3 4 4 2" xfId="16227" xr:uid="{00000000-0005-0000-0000-0000D23D0000}"/>
    <cellStyle name="Финансовый 5 3 4 5" xfId="10191" xr:uid="{00000000-0005-0000-0000-0000D33D0000}"/>
    <cellStyle name="Финансовый 5 3 5" xfId="1797" xr:uid="{00000000-0005-0000-0000-0000D43D0000}"/>
    <cellStyle name="Финансовый 5 3 5 2" xfId="3442" xr:uid="{00000000-0005-0000-0000-0000D53D0000}"/>
    <cellStyle name="Финансовый 5 3 5 2 2" xfId="12087" xr:uid="{00000000-0005-0000-0000-0000D63D0000}"/>
    <cellStyle name="Финансовый 5 3 5 3" xfId="5225" xr:uid="{00000000-0005-0000-0000-0000D73D0000}"/>
    <cellStyle name="Финансовый 5 3 5 3 2" xfId="13868" xr:uid="{00000000-0005-0000-0000-0000D83D0000}"/>
    <cellStyle name="Финансовый 5 3 5 4" xfId="7835" xr:uid="{00000000-0005-0000-0000-0000D93D0000}"/>
    <cellStyle name="Финансовый 5 3 5 4 2" xfId="16478" xr:uid="{00000000-0005-0000-0000-0000DA3D0000}"/>
    <cellStyle name="Финансовый 5 3 5 5" xfId="10442" xr:uid="{00000000-0005-0000-0000-0000DB3D0000}"/>
    <cellStyle name="Финансовый 5 3 6" xfId="2442" xr:uid="{00000000-0005-0000-0000-0000DC3D0000}"/>
    <cellStyle name="Финансовый 5 3 6 2" xfId="4087" xr:uid="{00000000-0005-0000-0000-0000DD3D0000}"/>
    <cellStyle name="Финансовый 5 3 6 2 2" xfId="12732" xr:uid="{00000000-0005-0000-0000-0000DE3D0000}"/>
    <cellStyle name="Финансовый 5 3 6 3" xfId="5870" xr:uid="{00000000-0005-0000-0000-0000DF3D0000}"/>
    <cellStyle name="Финансовый 5 3 6 3 2" xfId="14513" xr:uid="{00000000-0005-0000-0000-0000E03D0000}"/>
    <cellStyle name="Финансовый 5 3 6 4" xfId="8480" xr:uid="{00000000-0005-0000-0000-0000E13D0000}"/>
    <cellStyle name="Финансовый 5 3 6 4 2" xfId="17123" xr:uid="{00000000-0005-0000-0000-0000E23D0000}"/>
    <cellStyle name="Финансовый 5 3 6 5" xfId="11087" xr:uid="{00000000-0005-0000-0000-0000E33D0000}"/>
    <cellStyle name="Финансовый 5 3 7" xfId="1669" xr:uid="{00000000-0005-0000-0000-0000E43D0000}"/>
    <cellStyle name="Финансовый 5 3 7 2" xfId="3314" xr:uid="{00000000-0005-0000-0000-0000E53D0000}"/>
    <cellStyle name="Финансовый 5 3 7 2 2" xfId="11959" xr:uid="{00000000-0005-0000-0000-0000E63D0000}"/>
    <cellStyle name="Финансовый 5 3 7 3" xfId="5097" xr:uid="{00000000-0005-0000-0000-0000E73D0000}"/>
    <cellStyle name="Финансовый 5 3 7 3 2" xfId="13740" xr:uid="{00000000-0005-0000-0000-0000E83D0000}"/>
    <cellStyle name="Финансовый 5 3 7 4" xfId="7707" xr:uid="{00000000-0005-0000-0000-0000E93D0000}"/>
    <cellStyle name="Финансовый 5 3 7 4 2" xfId="16350" xr:uid="{00000000-0005-0000-0000-0000EA3D0000}"/>
    <cellStyle name="Финансовый 5 3 7 5" xfId="10314" xr:uid="{00000000-0005-0000-0000-0000EB3D0000}"/>
    <cellStyle name="Финансовый 5 3 8" xfId="946" xr:uid="{00000000-0005-0000-0000-0000EC3D0000}"/>
    <cellStyle name="Финансовый 5 3 8 2" xfId="6986" xr:uid="{00000000-0005-0000-0000-0000ED3D0000}"/>
    <cellStyle name="Финансовый 5 3 8 2 2" xfId="15629" xr:uid="{00000000-0005-0000-0000-0000EE3D0000}"/>
    <cellStyle name="Финансовый 5 3 8 3" xfId="9593" xr:uid="{00000000-0005-0000-0000-0000EF3D0000}"/>
    <cellStyle name="Финансовый 5 3 9" xfId="534" xr:uid="{00000000-0005-0000-0000-0000F03D0000}"/>
    <cellStyle name="Финансовый 5 3 9 2" xfId="6574" xr:uid="{00000000-0005-0000-0000-0000F13D0000}"/>
    <cellStyle name="Финансовый 5 3 9 2 2" xfId="15217" xr:uid="{00000000-0005-0000-0000-0000F23D0000}"/>
    <cellStyle name="Финансовый 5 3 9 3" xfId="9181" xr:uid="{00000000-0005-0000-0000-0000F33D0000}"/>
    <cellStyle name="Финансовый 5 4" xfId="77" xr:uid="{00000000-0005-0000-0000-0000F43D0000}"/>
    <cellStyle name="Финансовый 5 4 10" xfId="2687" xr:uid="{00000000-0005-0000-0000-0000F53D0000}"/>
    <cellStyle name="Финансовый 5 4 10 2" xfId="11332" xr:uid="{00000000-0005-0000-0000-0000F63D0000}"/>
    <cellStyle name="Финансовый 5 4 11" xfId="4331" xr:uid="{00000000-0005-0000-0000-0000F73D0000}"/>
    <cellStyle name="Финансовый 5 4 11 2" xfId="12976" xr:uid="{00000000-0005-0000-0000-0000F83D0000}"/>
    <cellStyle name="Финансовый 5 4 12" xfId="6118" xr:uid="{00000000-0005-0000-0000-0000F93D0000}"/>
    <cellStyle name="Финансовый 5 4 12 2" xfId="14761" xr:uid="{00000000-0005-0000-0000-0000FA3D0000}"/>
    <cellStyle name="Финансовый 5 4 13" xfId="8725" xr:uid="{00000000-0005-0000-0000-0000FB3D0000}"/>
    <cellStyle name="Финансовый 5 4 2" xfId="213" xr:uid="{00000000-0005-0000-0000-0000FC3D0000}"/>
    <cellStyle name="Финансовый 5 4 2 10" xfId="8861" xr:uid="{00000000-0005-0000-0000-0000FD3D0000}"/>
    <cellStyle name="Финансовый 5 4 2 2" xfId="1311" xr:uid="{00000000-0005-0000-0000-0000FE3D0000}"/>
    <cellStyle name="Финансовый 5 4 2 2 2" xfId="2269" xr:uid="{00000000-0005-0000-0000-0000FF3D0000}"/>
    <cellStyle name="Финансовый 5 4 2 2 2 2" xfId="3914" xr:uid="{00000000-0005-0000-0000-0000003E0000}"/>
    <cellStyle name="Финансовый 5 4 2 2 2 2 2" xfId="12559" xr:uid="{00000000-0005-0000-0000-0000013E0000}"/>
    <cellStyle name="Финансовый 5 4 2 2 2 3" xfId="5697" xr:uid="{00000000-0005-0000-0000-0000023E0000}"/>
    <cellStyle name="Финансовый 5 4 2 2 2 3 2" xfId="14340" xr:uid="{00000000-0005-0000-0000-0000033E0000}"/>
    <cellStyle name="Финансовый 5 4 2 2 2 4" xfId="8307" xr:uid="{00000000-0005-0000-0000-0000043E0000}"/>
    <cellStyle name="Финансовый 5 4 2 2 2 4 2" xfId="16950" xr:uid="{00000000-0005-0000-0000-0000053E0000}"/>
    <cellStyle name="Финансовый 5 4 2 2 2 5" xfId="10914" xr:uid="{00000000-0005-0000-0000-0000063E0000}"/>
    <cellStyle name="Финансовый 5 4 2 2 3" xfId="3095" xr:uid="{00000000-0005-0000-0000-0000073E0000}"/>
    <cellStyle name="Финансовый 5 4 2 2 3 2" xfId="11740" xr:uid="{00000000-0005-0000-0000-0000083E0000}"/>
    <cellStyle name="Финансовый 5 4 2 2 4" xfId="4739" xr:uid="{00000000-0005-0000-0000-0000093E0000}"/>
    <cellStyle name="Финансовый 5 4 2 2 4 2" xfId="13384" xr:uid="{00000000-0005-0000-0000-00000A3E0000}"/>
    <cellStyle name="Финансовый 5 4 2 2 5" xfId="7351" xr:uid="{00000000-0005-0000-0000-00000B3E0000}"/>
    <cellStyle name="Финансовый 5 4 2 2 5 2" xfId="15994" xr:uid="{00000000-0005-0000-0000-00000C3E0000}"/>
    <cellStyle name="Финансовый 5 4 2 2 6" xfId="9958" xr:uid="{00000000-0005-0000-0000-00000D3E0000}"/>
    <cellStyle name="Финансовый 5 4 2 3" xfId="2013" xr:uid="{00000000-0005-0000-0000-00000E3E0000}"/>
    <cellStyle name="Финансовый 5 4 2 3 2" xfId="3658" xr:uid="{00000000-0005-0000-0000-00000F3E0000}"/>
    <cellStyle name="Финансовый 5 4 2 3 2 2" xfId="12303" xr:uid="{00000000-0005-0000-0000-0000103E0000}"/>
    <cellStyle name="Финансовый 5 4 2 3 3" xfId="5441" xr:uid="{00000000-0005-0000-0000-0000113E0000}"/>
    <cellStyle name="Финансовый 5 4 2 3 3 2" xfId="14084" xr:uid="{00000000-0005-0000-0000-0000123E0000}"/>
    <cellStyle name="Финансовый 5 4 2 3 4" xfId="8051" xr:uid="{00000000-0005-0000-0000-0000133E0000}"/>
    <cellStyle name="Финансовый 5 4 2 3 4 2" xfId="16694" xr:uid="{00000000-0005-0000-0000-0000143E0000}"/>
    <cellStyle name="Финансовый 5 4 2 3 5" xfId="10658" xr:uid="{00000000-0005-0000-0000-0000153E0000}"/>
    <cellStyle name="Финансовый 5 4 2 4" xfId="2542" xr:uid="{00000000-0005-0000-0000-0000163E0000}"/>
    <cellStyle name="Финансовый 5 4 2 4 2" xfId="4187" xr:uid="{00000000-0005-0000-0000-0000173E0000}"/>
    <cellStyle name="Финансовый 5 4 2 4 2 2" xfId="12832" xr:uid="{00000000-0005-0000-0000-0000183E0000}"/>
    <cellStyle name="Финансовый 5 4 2 4 3" xfId="5970" xr:uid="{00000000-0005-0000-0000-0000193E0000}"/>
    <cellStyle name="Финансовый 5 4 2 4 3 2" xfId="14613" xr:uid="{00000000-0005-0000-0000-00001A3E0000}"/>
    <cellStyle name="Финансовый 5 4 2 4 4" xfId="8580" xr:uid="{00000000-0005-0000-0000-00001B3E0000}"/>
    <cellStyle name="Финансовый 5 4 2 4 4 2" xfId="17223" xr:uid="{00000000-0005-0000-0000-00001C3E0000}"/>
    <cellStyle name="Финансовый 5 4 2 4 5" xfId="11187" xr:uid="{00000000-0005-0000-0000-00001D3E0000}"/>
    <cellStyle name="Финансовый 5 4 2 5" xfId="1046" xr:uid="{00000000-0005-0000-0000-00001E3E0000}"/>
    <cellStyle name="Финансовый 5 4 2 5 2" xfId="7086" xr:uid="{00000000-0005-0000-0000-00001F3E0000}"/>
    <cellStyle name="Финансовый 5 4 2 5 2 2" xfId="15729" xr:uid="{00000000-0005-0000-0000-0000203E0000}"/>
    <cellStyle name="Финансовый 5 4 2 5 3" xfId="9693" xr:uid="{00000000-0005-0000-0000-0000213E0000}"/>
    <cellStyle name="Финансовый 5 4 2 6" xfId="634" xr:uid="{00000000-0005-0000-0000-0000223E0000}"/>
    <cellStyle name="Финансовый 5 4 2 6 2" xfId="6674" xr:uid="{00000000-0005-0000-0000-0000233E0000}"/>
    <cellStyle name="Финансовый 5 4 2 6 2 2" xfId="15317" xr:uid="{00000000-0005-0000-0000-0000243E0000}"/>
    <cellStyle name="Финансовый 5 4 2 6 3" xfId="9281" xr:uid="{00000000-0005-0000-0000-0000253E0000}"/>
    <cellStyle name="Финансовый 5 4 2 7" xfId="2823" xr:uid="{00000000-0005-0000-0000-0000263E0000}"/>
    <cellStyle name="Финансовый 5 4 2 7 2" xfId="11468" xr:uid="{00000000-0005-0000-0000-0000273E0000}"/>
    <cellStyle name="Финансовый 5 4 2 8" xfId="4467" xr:uid="{00000000-0005-0000-0000-0000283E0000}"/>
    <cellStyle name="Финансовый 5 4 2 8 2" xfId="13112" xr:uid="{00000000-0005-0000-0000-0000293E0000}"/>
    <cellStyle name="Финансовый 5 4 2 9" xfId="6254" xr:uid="{00000000-0005-0000-0000-00002A3E0000}"/>
    <cellStyle name="Финансовый 5 4 2 9 2" xfId="14897" xr:uid="{00000000-0005-0000-0000-00002B3E0000}"/>
    <cellStyle name="Финансовый 5 4 3" xfId="362" xr:uid="{00000000-0005-0000-0000-00002C3E0000}"/>
    <cellStyle name="Финансовый 5 4 3 2" xfId="2141" xr:uid="{00000000-0005-0000-0000-00002D3E0000}"/>
    <cellStyle name="Финансовый 5 4 3 2 2" xfId="3786" xr:uid="{00000000-0005-0000-0000-00002E3E0000}"/>
    <cellStyle name="Финансовый 5 4 3 2 2 2" xfId="12431" xr:uid="{00000000-0005-0000-0000-00002F3E0000}"/>
    <cellStyle name="Финансовый 5 4 3 2 3" xfId="5569" xr:uid="{00000000-0005-0000-0000-0000303E0000}"/>
    <cellStyle name="Финансовый 5 4 3 2 3 2" xfId="14212" xr:uid="{00000000-0005-0000-0000-0000313E0000}"/>
    <cellStyle name="Финансовый 5 4 3 2 4" xfId="8179" xr:uid="{00000000-0005-0000-0000-0000323E0000}"/>
    <cellStyle name="Финансовый 5 4 3 2 4 2" xfId="16822" xr:uid="{00000000-0005-0000-0000-0000333E0000}"/>
    <cellStyle name="Финансовый 5 4 3 2 5" xfId="10786" xr:uid="{00000000-0005-0000-0000-0000343E0000}"/>
    <cellStyle name="Финансовый 5 4 3 3" xfId="1175" xr:uid="{00000000-0005-0000-0000-0000353E0000}"/>
    <cellStyle name="Финансовый 5 4 3 3 2" xfId="7215" xr:uid="{00000000-0005-0000-0000-0000363E0000}"/>
    <cellStyle name="Финансовый 5 4 3 3 2 2" xfId="15858" xr:uid="{00000000-0005-0000-0000-0000373E0000}"/>
    <cellStyle name="Финансовый 5 4 3 3 3" xfId="9822" xr:uid="{00000000-0005-0000-0000-0000383E0000}"/>
    <cellStyle name="Финансовый 5 4 3 4" xfId="782" xr:uid="{00000000-0005-0000-0000-0000393E0000}"/>
    <cellStyle name="Финансовый 5 4 3 4 2" xfId="6822" xr:uid="{00000000-0005-0000-0000-00003A3E0000}"/>
    <cellStyle name="Финансовый 5 4 3 4 2 2" xfId="15465" xr:uid="{00000000-0005-0000-0000-00003B3E0000}"/>
    <cellStyle name="Финансовый 5 4 3 4 3" xfId="9429" xr:uid="{00000000-0005-0000-0000-00003C3E0000}"/>
    <cellStyle name="Финансовый 5 4 3 5" xfId="2959" xr:uid="{00000000-0005-0000-0000-00003D3E0000}"/>
    <cellStyle name="Финансовый 5 4 3 5 2" xfId="11604" xr:uid="{00000000-0005-0000-0000-00003E3E0000}"/>
    <cellStyle name="Финансовый 5 4 3 6" xfId="4603" xr:uid="{00000000-0005-0000-0000-00003F3E0000}"/>
    <cellStyle name="Финансовый 5 4 3 6 2" xfId="13248" xr:uid="{00000000-0005-0000-0000-0000403E0000}"/>
    <cellStyle name="Финансовый 5 4 3 7" xfId="6402" xr:uid="{00000000-0005-0000-0000-0000413E0000}"/>
    <cellStyle name="Финансовый 5 4 3 7 2" xfId="15045" xr:uid="{00000000-0005-0000-0000-0000423E0000}"/>
    <cellStyle name="Финансовый 5 4 3 8" xfId="9009" xr:uid="{00000000-0005-0000-0000-0000433E0000}"/>
    <cellStyle name="Финансовый 5 4 4" xfId="1547" xr:uid="{00000000-0005-0000-0000-0000443E0000}"/>
    <cellStyle name="Финансовый 5 4 4 2" xfId="1885" xr:uid="{00000000-0005-0000-0000-0000453E0000}"/>
    <cellStyle name="Финансовый 5 4 4 2 2" xfId="3530" xr:uid="{00000000-0005-0000-0000-0000463E0000}"/>
    <cellStyle name="Финансовый 5 4 4 2 2 2" xfId="12175" xr:uid="{00000000-0005-0000-0000-0000473E0000}"/>
    <cellStyle name="Финансовый 5 4 4 2 3" xfId="5313" xr:uid="{00000000-0005-0000-0000-0000483E0000}"/>
    <cellStyle name="Финансовый 5 4 4 2 3 2" xfId="13956" xr:uid="{00000000-0005-0000-0000-0000493E0000}"/>
    <cellStyle name="Финансовый 5 4 4 2 4" xfId="7923" xr:uid="{00000000-0005-0000-0000-00004A3E0000}"/>
    <cellStyle name="Финансовый 5 4 4 2 4 2" xfId="16566" xr:uid="{00000000-0005-0000-0000-00004B3E0000}"/>
    <cellStyle name="Финансовый 5 4 4 2 5" xfId="10530" xr:uid="{00000000-0005-0000-0000-00004C3E0000}"/>
    <cellStyle name="Финансовый 5 4 4 3" xfId="4975" xr:uid="{00000000-0005-0000-0000-00004D3E0000}"/>
    <cellStyle name="Финансовый 5 4 4 3 2" xfId="13618" xr:uid="{00000000-0005-0000-0000-00004E3E0000}"/>
    <cellStyle name="Финансовый 5 4 4 4" xfId="7585" xr:uid="{00000000-0005-0000-0000-00004F3E0000}"/>
    <cellStyle name="Финансовый 5 4 4 4 2" xfId="16228" xr:uid="{00000000-0005-0000-0000-0000503E0000}"/>
    <cellStyle name="Финансовый 5 4 4 5" xfId="10192" xr:uid="{00000000-0005-0000-0000-0000513E0000}"/>
    <cellStyle name="Финансовый 5 4 5" xfId="1761" xr:uid="{00000000-0005-0000-0000-0000523E0000}"/>
    <cellStyle name="Финансовый 5 4 5 2" xfId="3406" xr:uid="{00000000-0005-0000-0000-0000533E0000}"/>
    <cellStyle name="Финансовый 5 4 5 2 2" xfId="12051" xr:uid="{00000000-0005-0000-0000-0000543E0000}"/>
    <cellStyle name="Финансовый 5 4 5 3" xfId="5189" xr:uid="{00000000-0005-0000-0000-0000553E0000}"/>
    <cellStyle name="Финансовый 5 4 5 3 2" xfId="13832" xr:uid="{00000000-0005-0000-0000-0000563E0000}"/>
    <cellStyle name="Финансовый 5 4 5 4" xfId="7799" xr:uid="{00000000-0005-0000-0000-0000573E0000}"/>
    <cellStyle name="Финансовый 5 4 5 4 2" xfId="16442" xr:uid="{00000000-0005-0000-0000-0000583E0000}"/>
    <cellStyle name="Финансовый 5 4 5 5" xfId="10406" xr:uid="{00000000-0005-0000-0000-0000593E0000}"/>
    <cellStyle name="Финансовый 5 4 6" xfId="2406" xr:uid="{00000000-0005-0000-0000-00005A3E0000}"/>
    <cellStyle name="Финансовый 5 4 6 2" xfId="4051" xr:uid="{00000000-0005-0000-0000-00005B3E0000}"/>
    <cellStyle name="Финансовый 5 4 6 2 2" xfId="12696" xr:uid="{00000000-0005-0000-0000-00005C3E0000}"/>
    <cellStyle name="Финансовый 5 4 6 3" xfId="5834" xr:uid="{00000000-0005-0000-0000-00005D3E0000}"/>
    <cellStyle name="Финансовый 5 4 6 3 2" xfId="14477" xr:uid="{00000000-0005-0000-0000-00005E3E0000}"/>
    <cellStyle name="Финансовый 5 4 6 4" xfId="8444" xr:uid="{00000000-0005-0000-0000-00005F3E0000}"/>
    <cellStyle name="Финансовый 5 4 6 4 2" xfId="17087" xr:uid="{00000000-0005-0000-0000-0000603E0000}"/>
    <cellStyle name="Финансовый 5 4 6 5" xfId="11051" xr:uid="{00000000-0005-0000-0000-0000613E0000}"/>
    <cellStyle name="Финансовый 5 4 7" xfId="1633" xr:uid="{00000000-0005-0000-0000-0000623E0000}"/>
    <cellStyle name="Финансовый 5 4 7 2" xfId="3278" xr:uid="{00000000-0005-0000-0000-0000633E0000}"/>
    <cellStyle name="Финансовый 5 4 7 2 2" xfId="11923" xr:uid="{00000000-0005-0000-0000-0000643E0000}"/>
    <cellStyle name="Финансовый 5 4 7 3" xfId="5061" xr:uid="{00000000-0005-0000-0000-0000653E0000}"/>
    <cellStyle name="Финансовый 5 4 7 3 2" xfId="13704" xr:uid="{00000000-0005-0000-0000-0000663E0000}"/>
    <cellStyle name="Финансовый 5 4 7 4" xfId="7671" xr:uid="{00000000-0005-0000-0000-0000673E0000}"/>
    <cellStyle name="Финансовый 5 4 7 4 2" xfId="16314" xr:uid="{00000000-0005-0000-0000-0000683E0000}"/>
    <cellStyle name="Финансовый 5 4 7 5" xfId="10278" xr:uid="{00000000-0005-0000-0000-0000693E0000}"/>
    <cellStyle name="Финансовый 5 4 8" xfId="910" xr:uid="{00000000-0005-0000-0000-00006A3E0000}"/>
    <cellStyle name="Финансовый 5 4 8 2" xfId="6950" xr:uid="{00000000-0005-0000-0000-00006B3E0000}"/>
    <cellStyle name="Финансовый 5 4 8 2 2" xfId="15593" xr:uid="{00000000-0005-0000-0000-00006C3E0000}"/>
    <cellStyle name="Финансовый 5 4 8 3" xfId="9557" xr:uid="{00000000-0005-0000-0000-00006D3E0000}"/>
    <cellStyle name="Финансовый 5 4 9" xfId="498" xr:uid="{00000000-0005-0000-0000-00006E3E0000}"/>
    <cellStyle name="Финансовый 5 4 9 2" xfId="6538" xr:uid="{00000000-0005-0000-0000-00006F3E0000}"/>
    <cellStyle name="Финансовый 5 4 9 2 2" xfId="15181" xr:uid="{00000000-0005-0000-0000-0000703E0000}"/>
    <cellStyle name="Финансовый 5 4 9 3" xfId="9145" xr:uid="{00000000-0005-0000-0000-0000713E0000}"/>
    <cellStyle name="Финансовый 5 5" xfId="55" xr:uid="{00000000-0005-0000-0000-0000723E0000}"/>
    <cellStyle name="Финансовый 5 5 10" xfId="2667" xr:uid="{00000000-0005-0000-0000-0000733E0000}"/>
    <cellStyle name="Финансовый 5 5 10 2" xfId="11312" xr:uid="{00000000-0005-0000-0000-0000743E0000}"/>
    <cellStyle name="Финансовый 5 5 11" xfId="4310" xr:uid="{00000000-0005-0000-0000-0000753E0000}"/>
    <cellStyle name="Финансовый 5 5 11 2" xfId="12955" xr:uid="{00000000-0005-0000-0000-0000763E0000}"/>
    <cellStyle name="Финансовый 5 5 12" xfId="6098" xr:uid="{00000000-0005-0000-0000-0000773E0000}"/>
    <cellStyle name="Финансовый 5 5 12 2" xfId="14741" xr:uid="{00000000-0005-0000-0000-0000783E0000}"/>
    <cellStyle name="Финансовый 5 5 13" xfId="8705" xr:uid="{00000000-0005-0000-0000-0000793E0000}"/>
    <cellStyle name="Финансовый 5 5 2" xfId="193" xr:uid="{00000000-0005-0000-0000-00007A3E0000}"/>
    <cellStyle name="Финансовый 5 5 2 10" xfId="8841" xr:uid="{00000000-0005-0000-0000-00007B3E0000}"/>
    <cellStyle name="Финансовый 5 5 2 2" xfId="1291" xr:uid="{00000000-0005-0000-0000-00007C3E0000}"/>
    <cellStyle name="Финансовый 5 5 2 2 2" xfId="2257" xr:uid="{00000000-0005-0000-0000-00007D3E0000}"/>
    <cellStyle name="Финансовый 5 5 2 2 2 2" xfId="3902" xr:uid="{00000000-0005-0000-0000-00007E3E0000}"/>
    <cellStyle name="Финансовый 5 5 2 2 2 2 2" xfId="12547" xr:uid="{00000000-0005-0000-0000-00007F3E0000}"/>
    <cellStyle name="Финансовый 5 5 2 2 2 3" xfId="5685" xr:uid="{00000000-0005-0000-0000-0000803E0000}"/>
    <cellStyle name="Финансовый 5 5 2 2 2 3 2" xfId="14328" xr:uid="{00000000-0005-0000-0000-0000813E0000}"/>
    <cellStyle name="Финансовый 5 5 2 2 2 4" xfId="8295" xr:uid="{00000000-0005-0000-0000-0000823E0000}"/>
    <cellStyle name="Финансовый 5 5 2 2 2 4 2" xfId="16938" xr:uid="{00000000-0005-0000-0000-0000833E0000}"/>
    <cellStyle name="Финансовый 5 5 2 2 2 5" xfId="10902" xr:uid="{00000000-0005-0000-0000-0000843E0000}"/>
    <cellStyle name="Финансовый 5 5 2 2 3" xfId="3075" xr:uid="{00000000-0005-0000-0000-0000853E0000}"/>
    <cellStyle name="Финансовый 5 5 2 2 3 2" xfId="11720" xr:uid="{00000000-0005-0000-0000-0000863E0000}"/>
    <cellStyle name="Финансовый 5 5 2 2 4" xfId="4719" xr:uid="{00000000-0005-0000-0000-0000873E0000}"/>
    <cellStyle name="Финансовый 5 5 2 2 4 2" xfId="13364" xr:uid="{00000000-0005-0000-0000-0000883E0000}"/>
    <cellStyle name="Финансовый 5 5 2 2 5" xfId="7331" xr:uid="{00000000-0005-0000-0000-0000893E0000}"/>
    <cellStyle name="Финансовый 5 5 2 2 5 2" xfId="15974" xr:uid="{00000000-0005-0000-0000-00008A3E0000}"/>
    <cellStyle name="Финансовый 5 5 2 2 6" xfId="9938" xr:uid="{00000000-0005-0000-0000-00008B3E0000}"/>
    <cellStyle name="Финансовый 5 5 2 3" xfId="2001" xr:uid="{00000000-0005-0000-0000-00008C3E0000}"/>
    <cellStyle name="Финансовый 5 5 2 3 2" xfId="3646" xr:uid="{00000000-0005-0000-0000-00008D3E0000}"/>
    <cellStyle name="Финансовый 5 5 2 3 2 2" xfId="12291" xr:uid="{00000000-0005-0000-0000-00008E3E0000}"/>
    <cellStyle name="Финансовый 5 5 2 3 3" xfId="5429" xr:uid="{00000000-0005-0000-0000-00008F3E0000}"/>
    <cellStyle name="Финансовый 5 5 2 3 3 2" xfId="14072" xr:uid="{00000000-0005-0000-0000-0000903E0000}"/>
    <cellStyle name="Финансовый 5 5 2 3 4" xfId="8039" xr:uid="{00000000-0005-0000-0000-0000913E0000}"/>
    <cellStyle name="Финансовый 5 5 2 3 4 2" xfId="16682" xr:uid="{00000000-0005-0000-0000-0000923E0000}"/>
    <cellStyle name="Финансовый 5 5 2 3 5" xfId="10646" xr:uid="{00000000-0005-0000-0000-0000933E0000}"/>
    <cellStyle name="Финансовый 5 5 2 4" xfId="2522" xr:uid="{00000000-0005-0000-0000-0000943E0000}"/>
    <cellStyle name="Финансовый 5 5 2 4 2" xfId="4167" xr:uid="{00000000-0005-0000-0000-0000953E0000}"/>
    <cellStyle name="Финансовый 5 5 2 4 2 2" xfId="12812" xr:uid="{00000000-0005-0000-0000-0000963E0000}"/>
    <cellStyle name="Финансовый 5 5 2 4 3" xfId="5950" xr:uid="{00000000-0005-0000-0000-0000973E0000}"/>
    <cellStyle name="Финансовый 5 5 2 4 3 2" xfId="14593" xr:uid="{00000000-0005-0000-0000-0000983E0000}"/>
    <cellStyle name="Финансовый 5 5 2 4 4" xfId="8560" xr:uid="{00000000-0005-0000-0000-0000993E0000}"/>
    <cellStyle name="Финансовый 5 5 2 4 4 2" xfId="17203" xr:uid="{00000000-0005-0000-0000-00009A3E0000}"/>
    <cellStyle name="Финансовый 5 5 2 4 5" xfId="11167" xr:uid="{00000000-0005-0000-0000-00009B3E0000}"/>
    <cellStyle name="Финансовый 5 5 2 5" xfId="1026" xr:uid="{00000000-0005-0000-0000-00009C3E0000}"/>
    <cellStyle name="Финансовый 5 5 2 5 2" xfId="7066" xr:uid="{00000000-0005-0000-0000-00009D3E0000}"/>
    <cellStyle name="Финансовый 5 5 2 5 2 2" xfId="15709" xr:uid="{00000000-0005-0000-0000-00009E3E0000}"/>
    <cellStyle name="Финансовый 5 5 2 5 3" xfId="9673" xr:uid="{00000000-0005-0000-0000-00009F3E0000}"/>
    <cellStyle name="Финансовый 5 5 2 6" xfId="614" xr:uid="{00000000-0005-0000-0000-0000A03E0000}"/>
    <cellStyle name="Финансовый 5 5 2 6 2" xfId="6654" xr:uid="{00000000-0005-0000-0000-0000A13E0000}"/>
    <cellStyle name="Финансовый 5 5 2 6 2 2" xfId="15297" xr:uid="{00000000-0005-0000-0000-0000A23E0000}"/>
    <cellStyle name="Финансовый 5 5 2 6 3" xfId="9261" xr:uid="{00000000-0005-0000-0000-0000A33E0000}"/>
    <cellStyle name="Финансовый 5 5 2 7" xfId="2803" xr:uid="{00000000-0005-0000-0000-0000A43E0000}"/>
    <cellStyle name="Финансовый 5 5 2 7 2" xfId="11448" xr:uid="{00000000-0005-0000-0000-0000A53E0000}"/>
    <cellStyle name="Финансовый 5 5 2 8" xfId="4447" xr:uid="{00000000-0005-0000-0000-0000A63E0000}"/>
    <cellStyle name="Финансовый 5 5 2 8 2" xfId="13092" xr:uid="{00000000-0005-0000-0000-0000A73E0000}"/>
    <cellStyle name="Финансовый 5 5 2 9" xfId="6234" xr:uid="{00000000-0005-0000-0000-0000A83E0000}"/>
    <cellStyle name="Финансовый 5 5 2 9 2" xfId="14877" xr:uid="{00000000-0005-0000-0000-0000A93E0000}"/>
    <cellStyle name="Финансовый 5 5 3" xfId="342" xr:uid="{00000000-0005-0000-0000-0000AA3E0000}"/>
    <cellStyle name="Финансовый 5 5 3 2" xfId="2129" xr:uid="{00000000-0005-0000-0000-0000AB3E0000}"/>
    <cellStyle name="Финансовый 5 5 3 2 2" xfId="3774" xr:uid="{00000000-0005-0000-0000-0000AC3E0000}"/>
    <cellStyle name="Финансовый 5 5 3 2 2 2" xfId="12419" xr:uid="{00000000-0005-0000-0000-0000AD3E0000}"/>
    <cellStyle name="Финансовый 5 5 3 2 3" xfId="5557" xr:uid="{00000000-0005-0000-0000-0000AE3E0000}"/>
    <cellStyle name="Финансовый 5 5 3 2 3 2" xfId="14200" xr:uid="{00000000-0005-0000-0000-0000AF3E0000}"/>
    <cellStyle name="Финансовый 5 5 3 2 4" xfId="8167" xr:uid="{00000000-0005-0000-0000-0000B03E0000}"/>
    <cellStyle name="Финансовый 5 5 3 2 4 2" xfId="16810" xr:uid="{00000000-0005-0000-0000-0000B13E0000}"/>
    <cellStyle name="Финансовый 5 5 3 2 5" xfId="10774" xr:uid="{00000000-0005-0000-0000-0000B23E0000}"/>
    <cellStyle name="Финансовый 5 5 3 3" xfId="1162" xr:uid="{00000000-0005-0000-0000-0000B33E0000}"/>
    <cellStyle name="Финансовый 5 5 3 3 2" xfId="7202" xr:uid="{00000000-0005-0000-0000-0000B43E0000}"/>
    <cellStyle name="Финансовый 5 5 3 3 2 2" xfId="15845" xr:uid="{00000000-0005-0000-0000-0000B53E0000}"/>
    <cellStyle name="Финансовый 5 5 3 3 3" xfId="9809" xr:uid="{00000000-0005-0000-0000-0000B63E0000}"/>
    <cellStyle name="Финансовый 5 5 3 4" xfId="762" xr:uid="{00000000-0005-0000-0000-0000B73E0000}"/>
    <cellStyle name="Финансовый 5 5 3 4 2" xfId="6802" xr:uid="{00000000-0005-0000-0000-0000B83E0000}"/>
    <cellStyle name="Финансовый 5 5 3 4 2 2" xfId="15445" xr:uid="{00000000-0005-0000-0000-0000B93E0000}"/>
    <cellStyle name="Финансовый 5 5 3 4 3" xfId="9409" xr:uid="{00000000-0005-0000-0000-0000BA3E0000}"/>
    <cellStyle name="Финансовый 5 5 3 5" xfId="2939" xr:uid="{00000000-0005-0000-0000-0000BB3E0000}"/>
    <cellStyle name="Финансовый 5 5 3 5 2" xfId="11584" xr:uid="{00000000-0005-0000-0000-0000BC3E0000}"/>
    <cellStyle name="Финансовый 5 5 3 6" xfId="4583" xr:uid="{00000000-0005-0000-0000-0000BD3E0000}"/>
    <cellStyle name="Финансовый 5 5 3 6 2" xfId="13228" xr:uid="{00000000-0005-0000-0000-0000BE3E0000}"/>
    <cellStyle name="Финансовый 5 5 3 7" xfId="6382" xr:uid="{00000000-0005-0000-0000-0000BF3E0000}"/>
    <cellStyle name="Финансовый 5 5 3 7 2" xfId="15025" xr:uid="{00000000-0005-0000-0000-0000C03E0000}"/>
    <cellStyle name="Финансовый 5 5 3 8" xfId="8989" xr:uid="{00000000-0005-0000-0000-0000C13E0000}"/>
    <cellStyle name="Финансовый 5 5 4" xfId="1548" xr:uid="{00000000-0005-0000-0000-0000C23E0000}"/>
    <cellStyle name="Финансовый 5 5 4 2" xfId="1865" xr:uid="{00000000-0005-0000-0000-0000C33E0000}"/>
    <cellStyle name="Финансовый 5 5 4 2 2" xfId="3510" xr:uid="{00000000-0005-0000-0000-0000C43E0000}"/>
    <cellStyle name="Финансовый 5 5 4 2 2 2" xfId="12155" xr:uid="{00000000-0005-0000-0000-0000C53E0000}"/>
    <cellStyle name="Финансовый 5 5 4 2 3" xfId="5293" xr:uid="{00000000-0005-0000-0000-0000C63E0000}"/>
    <cellStyle name="Финансовый 5 5 4 2 3 2" xfId="13936" xr:uid="{00000000-0005-0000-0000-0000C73E0000}"/>
    <cellStyle name="Финансовый 5 5 4 2 4" xfId="7903" xr:uid="{00000000-0005-0000-0000-0000C83E0000}"/>
    <cellStyle name="Финансовый 5 5 4 2 4 2" xfId="16546" xr:uid="{00000000-0005-0000-0000-0000C93E0000}"/>
    <cellStyle name="Финансовый 5 5 4 2 5" xfId="10510" xr:uid="{00000000-0005-0000-0000-0000CA3E0000}"/>
    <cellStyle name="Финансовый 5 5 4 3" xfId="4976" xr:uid="{00000000-0005-0000-0000-0000CB3E0000}"/>
    <cellStyle name="Финансовый 5 5 4 3 2" xfId="13619" xr:uid="{00000000-0005-0000-0000-0000CC3E0000}"/>
    <cellStyle name="Финансовый 5 5 4 4" xfId="7586" xr:uid="{00000000-0005-0000-0000-0000CD3E0000}"/>
    <cellStyle name="Финансовый 5 5 4 4 2" xfId="16229" xr:uid="{00000000-0005-0000-0000-0000CE3E0000}"/>
    <cellStyle name="Финансовый 5 5 4 5" xfId="10193" xr:uid="{00000000-0005-0000-0000-0000CF3E0000}"/>
    <cellStyle name="Финансовый 5 5 5" xfId="1749" xr:uid="{00000000-0005-0000-0000-0000D03E0000}"/>
    <cellStyle name="Финансовый 5 5 5 2" xfId="3394" xr:uid="{00000000-0005-0000-0000-0000D13E0000}"/>
    <cellStyle name="Финансовый 5 5 5 2 2" xfId="12039" xr:uid="{00000000-0005-0000-0000-0000D23E0000}"/>
    <cellStyle name="Финансовый 5 5 5 3" xfId="5177" xr:uid="{00000000-0005-0000-0000-0000D33E0000}"/>
    <cellStyle name="Финансовый 5 5 5 3 2" xfId="13820" xr:uid="{00000000-0005-0000-0000-0000D43E0000}"/>
    <cellStyle name="Финансовый 5 5 5 4" xfId="7787" xr:uid="{00000000-0005-0000-0000-0000D53E0000}"/>
    <cellStyle name="Финансовый 5 5 5 4 2" xfId="16430" xr:uid="{00000000-0005-0000-0000-0000D63E0000}"/>
    <cellStyle name="Финансовый 5 5 5 5" xfId="10394" xr:uid="{00000000-0005-0000-0000-0000D73E0000}"/>
    <cellStyle name="Финансовый 5 5 6" xfId="2385" xr:uid="{00000000-0005-0000-0000-0000D83E0000}"/>
    <cellStyle name="Финансовый 5 5 6 2" xfId="4030" xr:uid="{00000000-0005-0000-0000-0000D93E0000}"/>
    <cellStyle name="Финансовый 5 5 6 2 2" xfId="12675" xr:uid="{00000000-0005-0000-0000-0000DA3E0000}"/>
    <cellStyle name="Финансовый 5 5 6 3" xfId="5813" xr:uid="{00000000-0005-0000-0000-0000DB3E0000}"/>
    <cellStyle name="Финансовый 5 5 6 3 2" xfId="14456" xr:uid="{00000000-0005-0000-0000-0000DC3E0000}"/>
    <cellStyle name="Финансовый 5 5 6 4" xfId="8423" xr:uid="{00000000-0005-0000-0000-0000DD3E0000}"/>
    <cellStyle name="Финансовый 5 5 6 4 2" xfId="17066" xr:uid="{00000000-0005-0000-0000-0000DE3E0000}"/>
    <cellStyle name="Финансовый 5 5 6 5" xfId="11030" xr:uid="{00000000-0005-0000-0000-0000DF3E0000}"/>
    <cellStyle name="Финансовый 5 5 7" xfId="1612" xr:uid="{00000000-0005-0000-0000-0000E03E0000}"/>
    <cellStyle name="Финансовый 5 5 7 2" xfId="3257" xr:uid="{00000000-0005-0000-0000-0000E13E0000}"/>
    <cellStyle name="Финансовый 5 5 7 2 2" xfId="11902" xr:uid="{00000000-0005-0000-0000-0000E23E0000}"/>
    <cellStyle name="Финансовый 5 5 7 3" xfId="5040" xr:uid="{00000000-0005-0000-0000-0000E33E0000}"/>
    <cellStyle name="Финансовый 5 5 7 3 2" xfId="13683" xr:uid="{00000000-0005-0000-0000-0000E43E0000}"/>
    <cellStyle name="Финансовый 5 5 7 4" xfId="7650" xr:uid="{00000000-0005-0000-0000-0000E53E0000}"/>
    <cellStyle name="Финансовый 5 5 7 4 2" xfId="16293" xr:uid="{00000000-0005-0000-0000-0000E63E0000}"/>
    <cellStyle name="Финансовый 5 5 7 5" xfId="10257" xr:uid="{00000000-0005-0000-0000-0000E73E0000}"/>
    <cellStyle name="Финансовый 5 5 8" xfId="898" xr:uid="{00000000-0005-0000-0000-0000E83E0000}"/>
    <cellStyle name="Финансовый 5 5 8 2" xfId="6938" xr:uid="{00000000-0005-0000-0000-0000E93E0000}"/>
    <cellStyle name="Финансовый 5 5 8 2 2" xfId="15581" xr:uid="{00000000-0005-0000-0000-0000EA3E0000}"/>
    <cellStyle name="Финансовый 5 5 8 3" xfId="9545" xr:uid="{00000000-0005-0000-0000-0000EB3E0000}"/>
    <cellStyle name="Финансовый 5 5 9" xfId="478" xr:uid="{00000000-0005-0000-0000-0000EC3E0000}"/>
    <cellStyle name="Финансовый 5 5 9 2" xfId="6518" xr:uid="{00000000-0005-0000-0000-0000ED3E0000}"/>
    <cellStyle name="Финансовый 5 5 9 2 2" xfId="15161" xr:uid="{00000000-0005-0000-0000-0000EE3E0000}"/>
    <cellStyle name="Финансовый 5 5 9 3" xfId="9125" xr:uid="{00000000-0005-0000-0000-0000EF3E0000}"/>
    <cellStyle name="Финансовый 5 6" xfId="133" xr:uid="{00000000-0005-0000-0000-0000F03E0000}"/>
    <cellStyle name="Финансовый 5 6 10" xfId="2743" xr:uid="{00000000-0005-0000-0000-0000F13E0000}"/>
    <cellStyle name="Финансовый 5 6 10 2" xfId="11388" xr:uid="{00000000-0005-0000-0000-0000F23E0000}"/>
    <cellStyle name="Финансовый 5 6 11" xfId="4387" xr:uid="{00000000-0005-0000-0000-0000F33E0000}"/>
    <cellStyle name="Финансовый 5 6 11 2" xfId="13032" xr:uid="{00000000-0005-0000-0000-0000F43E0000}"/>
    <cellStyle name="Финансовый 5 6 12" xfId="6174" xr:uid="{00000000-0005-0000-0000-0000F53E0000}"/>
    <cellStyle name="Финансовый 5 6 12 2" xfId="14817" xr:uid="{00000000-0005-0000-0000-0000F63E0000}"/>
    <cellStyle name="Финансовый 5 6 13" xfId="8781" xr:uid="{00000000-0005-0000-0000-0000F73E0000}"/>
    <cellStyle name="Финансовый 5 6 2" xfId="269" xr:uid="{00000000-0005-0000-0000-0000F83E0000}"/>
    <cellStyle name="Финансовый 5 6 2 10" xfId="8917" xr:uid="{00000000-0005-0000-0000-0000F93E0000}"/>
    <cellStyle name="Финансовый 5 6 2 2" xfId="1367" xr:uid="{00000000-0005-0000-0000-0000FA3E0000}"/>
    <cellStyle name="Финансовый 5 6 2 2 2" xfId="2325" xr:uid="{00000000-0005-0000-0000-0000FB3E0000}"/>
    <cellStyle name="Финансовый 5 6 2 2 2 2" xfId="3970" xr:uid="{00000000-0005-0000-0000-0000FC3E0000}"/>
    <cellStyle name="Финансовый 5 6 2 2 2 2 2" xfId="12615" xr:uid="{00000000-0005-0000-0000-0000FD3E0000}"/>
    <cellStyle name="Финансовый 5 6 2 2 2 3" xfId="5753" xr:uid="{00000000-0005-0000-0000-0000FE3E0000}"/>
    <cellStyle name="Финансовый 5 6 2 2 2 3 2" xfId="14396" xr:uid="{00000000-0005-0000-0000-0000FF3E0000}"/>
    <cellStyle name="Финансовый 5 6 2 2 2 4" xfId="8363" xr:uid="{00000000-0005-0000-0000-0000003F0000}"/>
    <cellStyle name="Финансовый 5 6 2 2 2 4 2" xfId="17006" xr:uid="{00000000-0005-0000-0000-0000013F0000}"/>
    <cellStyle name="Финансовый 5 6 2 2 2 5" xfId="10970" xr:uid="{00000000-0005-0000-0000-0000023F0000}"/>
    <cellStyle name="Финансовый 5 6 2 2 3" xfId="3151" xr:uid="{00000000-0005-0000-0000-0000033F0000}"/>
    <cellStyle name="Финансовый 5 6 2 2 3 2" xfId="11796" xr:uid="{00000000-0005-0000-0000-0000043F0000}"/>
    <cellStyle name="Финансовый 5 6 2 2 4" xfId="4795" xr:uid="{00000000-0005-0000-0000-0000053F0000}"/>
    <cellStyle name="Финансовый 5 6 2 2 4 2" xfId="13440" xr:uid="{00000000-0005-0000-0000-0000063F0000}"/>
    <cellStyle name="Финансовый 5 6 2 2 5" xfId="7407" xr:uid="{00000000-0005-0000-0000-0000073F0000}"/>
    <cellStyle name="Финансовый 5 6 2 2 5 2" xfId="16050" xr:uid="{00000000-0005-0000-0000-0000083F0000}"/>
    <cellStyle name="Финансовый 5 6 2 2 6" xfId="10014" xr:uid="{00000000-0005-0000-0000-0000093F0000}"/>
    <cellStyle name="Финансовый 5 6 2 3" xfId="2069" xr:uid="{00000000-0005-0000-0000-00000A3F0000}"/>
    <cellStyle name="Финансовый 5 6 2 3 2" xfId="3714" xr:uid="{00000000-0005-0000-0000-00000B3F0000}"/>
    <cellStyle name="Финансовый 5 6 2 3 2 2" xfId="12359" xr:uid="{00000000-0005-0000-0000-00000C3F0000}"/>
    <cellStyle name="Финансовый 5 6 2 3 3" xfId="5497" xr:uid="{00000000-0005-0000-0000-00000D3F0000}"/>
    <cellStyle name="Финансовый 5 6 2 3 3 2" xfId="14140" xr:uid="{00000000-0005-0000-0000-00000E3F0000}"/>
    <cellStyle name="Финансовый 5 6 2 3 4" xfId="8107" xr:uid="{00000000-0005-0000-0000-00000F3F0000}"/>
    <cellStyle name="Финансовый 5 6 2 3 4 2" xfId="16750" xr:uid="{00000000-0005-0000-0000-0000103F0000}"/>
    <cellStyle name="Финансовый 5 6 2 3 5" xfId="10714" xr:uid="{00000000-0005-0000-0000-0000113F0000}"/>
    <cellStyle name="Финансовый 5 6 2 4" xfId="2598" xr:uid="{00000000-0005-0000-0000-0000123F0000}"/>
    <cellStyle name="Финансовый 5 6 2 4 2" xfId="4243" xr:uid="{00000000-0005-0000-0000-0000133F0000}"/>
    <cellStyle name="Финансовый 5 6 2 4 2 2" xfId="12888" xr:uid="{00000000-0005-0000-0000-0000143F0000}"/>
    <cellStyle name="Финансовый 5 6 2 4 3" xfId="6026" xr:uid="{00000000-0005-0000-0000-0000153F0000}"/>
    <cellStyle name="Финансовый 5 6 2 4 3 2" xfId="14669" xr:uid="{00000000-0005-0000-0000-0000163F0000}"/>
    <cellStyle name="Финансовый 5 6 2 4 4" xfId="8636" xr:uid="{00000000-0005-0000-0000-0000173F0000}"/>
    <cellStyle name="Финансовый 5 6 2 4 4 2" xfId="17279" xr:uid="{00000000-0005-0000-0000-0000183F0000}"/>
    <cellStyle name="Финансовый 5 6 2 4 5" xfId="11243" xr:uid="{00000000-0005-0000-0000-0000193F0000}"/>
    <cellStyle name="Финансовый 5 6 2 5" xfId="1102" xr:uid="{00000000-0005-0000-0000-00001A3F0000}"/>
    <cellStyle name="Финансовый 5 6 2 5 2" xfId="7142" xr:uid="{00000000-0005-0000-0000-00001B3F0000}"/>
    <cellStyle name="Финансовый 5 6 2 5 2 2" xfId="15785" xr:uid="{00000000-0005-0000-0000-00001C3F0000}"/>
    <cellStyle name="Финансовый 5 6 2 5 3" xfId="9749" xr:uid="{00000000-0005-0000-0000-00001D3F0000}"/>
    <cellStyle name="Финансовый 5 6 2 6" xfId="690" xr:uid="{00000000-0005-0000-0000-00001E3F0000}"/>
    <cellStyle name="Финансовый 5 6 2 6 2" xfId="6730" xr:uid="{00000000-0005-0000-0000-00001F3F0000}"/>
    <cellStyle name="Финансовый 5 6 2 6 2 2" xfId="15373" xr:uid="{00000000-0005-0000-0000-0000203F0000}"/>
    <cellStyle name="Финансовый 5 6 2 6 3" xfId="9337" xr:uid="{00000000-0005-0000-0000-0000213F0000}"/>
    <cellStyle name="Финансовый 5 6 2 7" xfId="2879" xr:uid="{00000000-0005-0000-0000-0000223F0000}"/>
    <cellStyle name="Финансовый 5 6 2 7 2" xfId="11524" xr:uid="{00000000-0005-0000-0000-0000233F0000}"/>
    <cellStyle name="Финансовый 5 6 2 8" xfId="4523" xr:uid="{00000000-0005-0000-0000-0000243F0000}"/>
    <cellStyle name="Финансовый 5 6 2 8 2" xfId="13168" xr:uid="{00000000-0005-0000-0000-0000253F0000}"/>
    <cellStyle name="Финансовый 5 6 2 9" xfId="6310" xr:uid="{00000000-0005-0000-0000-0000263F0000}"/>
    <cellStyle name="Финансовый 5 6 2 9 2" xfId="14953" xr:uid="{00000000-0005-0000-0000-0000273F0000}"/>
    <cellStyle name="Финансовый 5 6 3" xfId="418" xr:uid="{00000000-0005-0000-0000-0000283F0000}"/>
    <cellStyle name="Финансовый 5 6 3 2" xfId="2197" xr:uid="{00000000-0005-0000-0000-0000293F0000}"/>
    <cellStyle name="Финансовый 5 6 3 2 2" xfId="3842" xr:uid="{00000000-0005-0000-0000-00002A3F0000}"/>
    <cellStyle name="Финансовый 5 6 3 2 2 2" xfId="12487" xr:uid="{00000000-0005-0000-0000-00002B3F0000}"/>
    <cellStyle name="Финансовый 5 6 3 2 3" xfId="5625" xr:uid="{00000000-0005-0000-0000-00002C3F0000}"/>
    <cellStyle name="Финансовый 5 6 3 2 3 2" xfId="14268" xr:uid="{00000000-0005-0000-0000-00002D3F0000}"/>
    <cellStyle name="Финансовый 5 6 3 2 4" xfId="8235" xr:uid="{00000000-0005-0000-0000-00002E3F0000}"/>
    <cellStyle name="Финансовый 5 6 3 2 4 2" xfId="16878" xr:uid="{00000000-0005-0000-0000-00002F3F0000}"/>
    <cellStyle name="Финансовый 5 6 3 2 5" xfId="10842" xr:uid="{00000000-0005-0000-0000-0000303F0000}"/>
    <cellStyle name="Финансовый 5 6 3 3" xfId="1231" xr:uid="{00000000-0005-0000-0000-0000313F0000}"/>
    <cellStyle name="Финансовый 5 6 3 3 2" xfId="7271" xr:uid="{00000000-0005-0000-0000-0000323F0000}"/>
    <cellStyle name="Финансовый 5 6 3 3 2 2" xfId="15914" xr:uid="{00000000-0005-0000-0000-0000333F0000}"/>
    <cellStyle name="Финансовый 5 6 3 3 3" xfId="9878" xr:uid="{00000000-0005-0000-0000-0000343F0000}"/>
    <cellStyle name="Финансовый 5 6 3 4" xfId="838" xr:uid="{00000000-0005-0000-0000-0000353F0000}"/>
    <cellStyle name="Финансовый 5 6 3 4 2" xfId="6878" xr:uid="{00000000-0005-0000-0000-0000363F0000}"/>
    <cellStyle name="Финансовый 5 6 3 4 2 2" xfId="15521" xr:uid="{00000000-0005-0000-0000-0000373F0000}"/>
    <cellStyle name="Финансовый 5 6 3 4 3" xfId="9485" xr:uid="{00000000-0005-0000-0000-0000383F0000}"/>
    <cellStyle name="Финансовый 5 6 3 5" xfId="3015" xr:uid="{00000000-0005-0000-0000-0000393F0000}"/>
    <cellStyle name="Финансовый 5 6 3 5 2" xfId="11660" xr:uid="{00000000-0005-0000-0000-00003A3F0000}"/>
    <cellStyle name="Финансовый 5 6 3 6" xfId="4659" xr:uid="{00000000-0005-0000-0000-00003B3F0000}"/>
    <cellStyle name="Финансовый 5 6 3 6 2" xfId="13304" xr:uid="{00000000-0005-0000-0000-00003C3F0000}"/>
    <cellStyle name="Финансовый 5 6 3 7" xfId="6458" xr:uid="{00000000-0005-0000-0000-00003D3F0000}"/>
    <cellStyle name="Финансовый 5 6 3 7 2" xfId="15101" xr:uid="{00000000-0005-0000-0000-00003E3F0000}"/>
    <cellStyle name="Финансовый 5 6 3 8" xfId="9065" xr:uid="{00000000-0005-0000-0000-00003F3F0000}"/>
    <cellStyle name="Финансовый 5 6 4" xfId="1549" xr:uid="{00000000-0005-0000-0000-0000403F0000}"/>
    <cellStyle name="Финансовый 5 6 4 2" xfId="1941" xr:uid="{00000000-0005-0000-0000-0000413F0000}"/>
    <cellStyle name="Финансовый 5 6 4 2 2" xfId="3586" xr:uid="{00000000-0005-0000-0000-0000423F0000}"/>
    <cellStyle name="Финансовый 5 6 4 2 2 2" xfId="12231" xr:uid="{00000000-0005-0000-0000-0000433F0000}"/>
    <cellStyle name="Финансовый 5 6 4 2 3" xfId="5369" xr:uid="{00000000-0005-0000-0000-0000443F0000}"/>
    <cellStyle name="Финансовый 5 6 4 2 3 2" xfId="14012" xr:uid="{00000000-0005-0000-0000-0000453F0000}"/>
    <cellStyle name="Финансовый 5 6 4 2 4" xfId="7979" xr:uid="{00000000-0005-0000-0000-0000463F0000}"/>
    <cellStyle name="Финансовый 5 6 4 2 4 2" xfId="16622" xr:uid="{00000000-0005-0000-0000-0000473F0000}"/>
    <cellStyle name="Финансовый 5 6 4 2 5" xfId="10586" xr:uid="{00000000-0005-0000-0000-0000483F0000}"/>
    <cellStyle name="Финансовый 5 6 4 3" xfId="4977" xr:uid="{00000000-0005-0000-0000-0000493F0000}"/>
    <cellStyle name="Финансовый 5 6 4 3 2" xfId="13620" xr:uid="{00000000-0005-0000-0000-00004A3F0000}"/>
    <cellStyle name="Финансовый 5 6 4 4" xfId="7587" xr:uid="{00000000-0005-0000-0000-00004B3F0000}"/>
    <cellStyle name="Финансовый 5 6 4 4 2" xfId="16230" xr:uid="{00000000-0005-0000-0000-00004C3F0000}"/>
    <cellStyle name="Финансовый 5 6 4 5" xfId="10194" xr:uid="{00000000-0005-0000-0000-00004D3F0000}"/>
    <cellStyle name="Финансовый 5 6 5" xfId="1817" xr:uid="{00000000-0005-0000-0000-00004E3F0000}"/>
    <cellStyle name="Финансовый 5 6 5 2" xfId="3462" xr:uid="{00000000-0005-0000-0000-00004F3F0000}"/>
    <cellStyle name="Финансовый 5 6 5 2 2" xfId="12107" xr:uid="{00000000-0005-0000-0000-0000503F0000}"/>
    <cellStyle name="Финансовый 5 6 5 3" xfId="5245" xr:uid="{00000000-0005-0000-0000-0000513F0000}"/>
    <cellStyle name="Финансовый 5 6 5 3 2" xfId="13888" xr:uid="{00000000-0005-0000-0000-0000523F0000}"/>
    <cellStyle name="Финансовый 5 6 5 4" xfId="7855" xr:uid="{00000000-0005-0000-0000-0000533F0000}"/>
    <cellStyle name="Финансовый 5 6 5 4 2" xfId="16498" xr:uid="{00000000-0005-0000-0000-0000543F0000}"/>
    <cellStyle name="Финансовый 5 6 5 5" xfId="10462" xr:uid="{00000000-0005-0000-0000-0000553F0000}"/>
    <cellStyle name="Финансовый 5 6 6" xfId="2462" xr:uid="{00000000-0005-0000-0000-0000563F0000}"/>
    <cellStyle name="Финансовый 5 6 6 2" xfId="4107" xr:uid="{00000000-0005-0000-0000-0000573F0000}"/>
    <cellStyle name="Финансовый 5 6 6 2 2" xfId="12752" xr:uid="{00000000-0005-0000-0000-0000583F0000}"/>
    <cellStyle name="Финансовый 5 6 6 3" xfId="5890" xr:uid="{00000000-0005-0000-0000-0000593F0000}"/>
    <cellStyle name="Финансовый 5 6 6 3 2" xfId="14533" xr:uid="{00000000-0005-0000-0000-00005A3F0000}"/>
    <cellStyle name="Финансовый 5 6 6 4" xfId="8500" xr:uid="{00000000-0005-0000-0000-00005B3F0000}"/>
    <cellStyle name="Финансовый 5 6 6 4 2" xfId="17143" xr:uid="{00000000-0005-0000-0000-00005C3F0000}"/>
    <cellStyle name="Финансовый 5 6 6 5" xfId="11107" xr:uid="{00000000-0005-0000-0000-00005D3F0000}"/>
    <cellStyle name="Финансовый 5 6 7" xfId="1689" xr:uid="{00000000-0005-0000-0000-00005E3F0000}"/>
    <cellStyle name="Финансовый 5 6 7 2" xfId="3334" xr:uid="{00000000-0005-0000-0000-00005F3F0000}"/>
    <cellStyle name="Финансовый 5 6 7 2 2" xfId="11979" xr:uid="{00000000-0005-0000-0000-0000603F0000}"/>
    <cellStyle name="Финансовый 5 6 7 3" xfId="5117" xr:uid="{00000000-0005-0000-0000-0000613F0000}"/>
    <cellStyle name="Финансовый 5 6 7 3 2" xfId="13760" xr:uid="{00000000-0005-0000-0000-0000623F0000}"/>
    <cellStyle name="Финансовый 5 6 7 4" xfId="7727" xr:uid="{00000000-0005-0000-0000-0000633F0000}"/>
    <cellStyle name="Финансовый 5 6 7 4 2" xfId="16370" xr:uid="{00000000-0005-0000-0000-0000643F0000}"/>
    <cellStyle name="Финансовый 5 6 7 5" xfId="10334" xr:uid="{00000000-0005-0000-0000-0000653F0000}"/>
    <cellStyle name="Финансовый 5 6 8" xfId="966" xr:uid="{00000000-0005-0000-0000-0000663F0000}"/>
    <cellStyle name="Финансовый 5 6 8 2" xfId="7006" xr:uid="{00000000-0005-0000-0000-0000673F0000}"/>
    <cellStyle name="Финансовый 5 6 8 2 2" xfId="15649" xr:uid="{00000000-0005-0000-0000-0000683F0000}"/>
    <cellStyle name="Финансовый 5 6 8 3" xfId="9613" xr:uid="{00000000-0005-0000-0000-0000693F0000}"/>
    <cellStyle name="Финансовый 5 6 9" xfId="554" xr:uid="{00000000-0005-0000-0000-00006A3F0000}"/>
    <cellStyle name="Финансовый 5 6 9 2" xfId="6594" xr:uid="{00000000-0005-0000-0000-00006B3F0000}"/>
    <cellStyle name="Финансовый 5 6 9 2 2" xfId="15237" xr:uid="{00000000-0005-0000-0000-00006C3F0000}"/>
    <cellStyle name="Финансовый 5 6 9 3" xfId="9201" xr:uid="{00000000-0005-0000-0000-00006D3F0000}"/>
    <cellStyle name="Финансовый 5 7" xfId="31" xr:uid="{00000000-0005-0000-0000-00006E3F0000}"/>
    <cellStyle name="Финансовый 5 7 10" xfId="2643" xr:uid="{00000000-0005-0000-0000-00006F3F0000}"/>
    <cellStyle name="Финансовый 5 7 10 2" xfId="11288" xr:uid="{00000000-0005-0000-0000-0000703F0000}"/>
    <cellStyle name="Финансовый 5 7 11" xfId="4286" xr:uid="{00000000-0005-0000-0000-0000713F0000}"/>
    <cellStyle name="Финансовый 5 7 11 2" xfId="12931" xr:uid="{00000000-0005-0000-0000-0000723F0000}"/>
    <cellStyle name="Финансовый 5 7 12" xfId="6074" xr:uid="{00000000-0005-0000-0000-0000733F0000}"/>
    <cellStyle name="Финансовый 5 7 12 2" xfId="14717" xr:uid="{00000000-0005-0000-0000-0000743F0000}"/>
    <cellStyle name="Финансовый 5 7 13" xfId="8681" xr:uid="{00000000-0005-0000-0000-0000753F0000}"/>
    <cellStyle name="Финансовый 5 7 2" xfId="169" xr:uid="{00000000-0005-0000-0000-0000763F0000}"/>
    <cellStyle name="Финансовый 5 7 2 10" xfId="8817" xr:uid="{00000000-0005-0000-0000-0000773F0000}"/>
    <cellStyle name="Финансовый 5 7 2 2" xfId="1267" xr:uid="{00000000-0005-0000-0000-0000783F0000}"/>
    <cellStyle name="Финансовый 5 7 2 2 2" xfId="2233" xr:uid="{00000000-0005-0000-0000-0000793F0000}"/>
    <cellStyle name="Финансовый 5 7 2 2 2 2" xfId="3878" xr:uid="{00000000-0005-0000-0000-00007A3F0000}"/>
    <cellStyle name="Финансовый 5 7 2 2 2 2 2" xfId="12523" xr:uid="{00000000-0005-0000-0000-00007B3F0000}"/>
    <cellStyle name="Финансовый 5 7 2 2 2 3" xfId="5661" xr:uid="{00000000-0005-0000-0000-00007C3F0000}"/>
    <cellStyle name="Финансовый 5 7 2 2 2 3 2" xfId="14304" xr:uid="{00000000-0005-0000-0000-00007D3F0000}"/>
    <cellStyle name="Финансовый 5 7 2 2 2 4" xfId="8271" xr:uid="{00000000-0005-0000-0000-00007E3F0000}"/>
    <cellStyle name="Финансовый 5 7 2 2 2 4 2" xfId="16914" xr:uid="{00000000-0005-0000-0000-00007F3F0000}"/>
    <cellStyle name="Финансовый 5 7 2 2 2 5" xfId="10878" xr:uid="{00000000-0005-0000-0000-0000803F0000}"/>
    <cellStyle name="Финансовый 5 7 2 2 3" xfId="3051" xr:uid="{00000000-0005-0000-0000-0000813F0000}"/>
    <cellStyle name="Финансовый 5 7 2 2 3 2" xfId="11696" xr:uid="{00000000-0005-0000-0000-0000823F0000}"/>
    <cellStyle name="Финансовый 5 7 2 2 4" xfId="4695" xr:uid="{00000000-0005-0000-0000-0000833F0000}"/>
    <cellStyle name="Финансовый 5 7 2 2 4 2" xfId="13340" xr:uid="{00000000-0005-0000-0000-0000843F0000}"/>
    <cellStyle name="Финансовый 5 7 2 2 5" xfId="7307" xr:uid="{00000000-0005-0000-0000-0000853F0000}"/>
    <cellStyle name="Финансовый 5 7 2 2 5 2" xfId="15950" xr:uid="{00000000-0005-0000-0000-0000863F0000}"/>
    <cellStyle name="Финансовый 5 7 2 2 6" xfId="9914" xr:uid="{00000000-0005-0000-0000-0000873F0000}"/>
    <cellStyle name="Финансовый 5 7 2 3" xfId="1977" xr:uid="{00000000-0005-0000-0000-0000883F0000}"/>
    <cellStyle name="Финансовый 5 7 2 3 2" xfId="3622" xr:uid="{00000000-0005-0000-0000-0000893F0000}"/>
    <cellStyle name="Финансовый 5 7 2 3 2 2" xfId="12267" xr:uid="{00000000-0005-0000-0000-00008A3F0000}"/>
    <cellStyle name="Финансовый 5 7 2 3 3" xfId="5405" xr:uid="{00000000-0005-0000-0000-00008B3F0000}"/>
    <cellStyle name="Финансовый 5 7 2 3 3 2" xfId="14048" xr:uid="{00000000-0005-0000-0000-00008C3F0000}"/>
    <cellStyle name="Финансовый 5 7 2 3 4" xfId="8015" xr:uid="{00000000-0005-0000-0000-00008D3F0000}"/>
    <cellStyle name="Финансовый 5 7 2 3 4 2" xfId="16658" xr:uid="{00000000-0005-0000-0000-00008E3F0000}"/>
    <cellStyle name="Финансовый 5 7 2 3 5" xfId="10622" xr:uid="{00000000-0005-0000-0000-00008F3F0000}"/>
    <cellStyle name="Финансовый 5 7 2 4" xfId="2498" xr:uid="{00000000-0005-0000-0000-0000903F0000}"/>
    <cellStyle name="Финансовый 5 7 2 4 2" xfId="4143" xr:uid="{00000000-0005-0000-0000-0000913F0000}"/>
    <cellStyle name="Финансовый 5 7 2 4 2 2" xfId="12788" xr:uid="{00000000-0005-0000-0000-0000923F0000}"/>
    <cellStyle name="Финансовый 5 7 2 4 3" xfId="5926" xr:uid="{00000000-0005-0000-0000-0000933F0000}"/>
    <cellStyle name="Финансовый 5 7 2 4 3 2" xfId="14569" xr:uid="{00000000-0005-0000-0000-0000943F0000}"/>
    <cellStyle name="Финансовый 5 7 2 4 4" xfId="8536" xr:uid="{00000000-0005-0000-0000-0000953F0000}"/>
    <cellStyle name="Финансовый 5 7 2 4 4 2" xfId="17179" xr:uid="{00000000-0005-0000-0000-0000963F0000}"/>
    <cellStyle name="Финансовый 5 7 2 4 5" xfId="11143" xr:uid="{00000000-0005-0000-0000-0000973F0000}"/>
    <cellStyle name="Финансовый 5 7 2 5" xfId="1002" xr:uid="{00000000-0005-0000-0000-0000983F0000}"/>
    <cellStyle name="Финансовый 5 7 2 5 2" xfId="7042" xr:uid="{00000000-0005-0000-0000-0000993F0000}"/>
    <cellStyle name="Финансовый 5 7 2 5 2 2" xfId="15685" xr:uid="{00000000-0005-0000-0000-00009A3F0000}"/>
    <cellStyle name="Финансовый 5 7 2 5 3" xfId="9649" xr:uid="{00000000-0005-0000-0000-00009B3F0000}"/>
    <cellStyle name="Финансовый 5 7 2 6" xfId="590" xr:uid="{00000000-0005-0000-0000-00009C3F0000}"/>
    <cellStyle name="Финансовый 5 7 2 6 2" xfId="6630" xr:uid="{00000000-0005-0000-0000-00009D3F0000}"/>
    <cellStyle name="Финансовый 5 7 2 6 2 2" xfId="15273" xr:uid="{00000000-0005-0000-0000-00009E3F0000}"/>
    <cellStyle name="Финансовый 5 7 2 6 3" xfId="9237" xr:uid="{00000000-0005-0000-0000-00009F3F0000}"/>
    <cellStyle name="Финансовый 5 7 2 7" xfId="2779" xr:uid="{00000000-0005-0000-0000-0000A03F0000}"/>
    <cellStyle name="Финансовый 5 7 2 7 2" xfId="11424" xr:uid="{00000000-0005-0000-0000-0000A13F0000}"/>
    <cellStyle name="Финансовый 5 7 2 8" xfId="4423" xr:uid="{00000000-0005-0000-0000-0000A23F0000}"/>
    <cellStyle name="Финансовый 5 7 2 8 2" xfId="13068" xr:uid="{00000000-0005-0000-0000-0000A33F0000}"/>
    <cellStyle name="Финансовый 5 7 2 9" xfId="6210" xr:uid="{00000000-0005-0000-0000-0000A43F0000}"/>
    <cellStyle name="Финансовый 5 7 2 9 2" xfId="14853" xr:uid="{00000000-0005-0000-0000-0000A53F0000}"/>
    <cellStyle name="Финансовый 5 7 3" xfId="318" xr:uid="{00000000-0005-0000-0000-0000A63F0000}"/>
    <cellStyle name="Финансовый 5 7 3 2" xfId="2105" xr:uid="{00000000-0005-0000-0000-0000A73F0000}"/>
    <cellStyle name="Финансовый 5 7 3 2 2" xfId="3750" xr:uid="{00000000-0005-0000-0000-0000A83F0000}"/>
    <cellStyle name="Финансовый 5 7 3 2 2 2" xfId="12395" xr:uid="{00000000-0005-0000-0000-0000A93F0000}"/>
    <cellStyle name="Финансовый 5 7 3 2 3" xfId="5533" xr:uid="{00000000-0005-0000-0000-0000AA3F0000}"/>
    <cellStyle name="Финансовый 5 7 3 2 3 2" xfId="14176" xr:uid="{00000000-0005-0000-0000-0000AB3F0000}"/>
    <cellStyle name="Финансовый 5 7 3 2 4" xfId="8143" xr:uid="{00000000-0005-0000-0000-0000AC3F0000}"/>
    <cellStyle name="Финансовый 5 7 3 2 4 2" xfId="16786" xr:uid="{00000000-0005-0000-0000-0000AD3F0000}"/>
    <cellStyle name="Финансовый 5 7 3 2 5" xfId="10750" xr:uid="{00000000-0005-0000-0000-0000AE3F0000}"/>
    <cellStyle name="Финансовый 5 7 3 3" xfId="1138" xr:uid="{00000000-0005-0000-0000-0000AF3F0000}"/>
    <cellStyle name="Финансовый 5 7 3 3 2" xfId="7178" xr:uid="{00000000-0005-0000-0000-0000B03F0000}"/>
    <cellStyle name="Финансовый 5 7 3 3 2 2" xfId="15821" xr:uid="{00000000-0005-0000-0000-0000B13F0000}"/>
    <cellStyle name="Финансовый 5 7 3 3 3" xfId="9785" xr:uid="{00000000-0005-0000-0000-0000B23F0000}"/>
    <cellStyle name="Финансовый 5 7 3 4" xfId="738" xr:uid="{00000000-0005-0000-0000-0000B33F0000}"/>
    <cellStyle name="Финансовый 5 7 3 4 2" xfId="6778" xr:uid="{00000000-0005-0000-0000-0000B43F0000}"/>
    <cellStyle name="Финансовый 5 7 3 4 2 2" xfId="15421" xr:uid="{00000000-0005-0000-0000-0000B53F0000}"/>
    <cellStyle name="Финансовый 5 7 3 4 3" xfId="9385" xr:uid="{00000000-0005-0000-0000-0000B63F0000}"/>
    <cellStyle name="Финансовый 5 7 3 5" xfId="2915" xr:uid="{00000000-0005-0000-0000-0000B73F0000}"/>
    <cellStyle name="Финансовый 5 7 3 5 2" xfId="11560" xr:uid="{00000000-0005-0000-0000-0000B83F0000}"/>
    <cellStyle name="Финансовый 5 7 3 6" xfId="4559" xr:uid="{00000000-0005-0000-0000-0000B93F0000}"/>
    <cellStyle name="Финансовый 5 7 3 6 2" xfId="13204" xr:uid="{00000000-0005-0000-0000-0000BA3F0000}"/>
    <cellStyle name="Финансовый 5 7 3 7" xfId="6358" xr:uid="{00000000-0005-0000-0000-0000BB3F0000}"/>
    <cellStyle name="Финансовый 5 7 3 7 2" xfId="15001" xr:uid="{00000000-0005-0000-0000-0000BC3F0000}"/>
    <cellStyle name="Финансовый 5 7 3 8" xfId="8965" xr:uid="{00000000-0005-0000-0000-0000BD3F0000}"/>
    <cellStyle name="Финансовый 5 7 4" xfId="1550" xr:uid="{00000000-0005-0000-0000-0000BE3F0000}"/>
    <cellStyle name="Финансовый 5 7 4 2" xfId="1841" xr:uid="{00000000-0005-0000-0000-0000BF3F0000}"/>
    <cellStyle name="Финансовый 5 7 4 2 2" xfId="3486" xr:uid="{00000000-0005-0000-0000-0000C03F0000}"/>
    <cellStyle name="Финансовый 5 7 4 2 2 2" xfId="12131" xr:uid="{00000000-0005-0000-0000-0000C13F0000}"/>
    <cellStyle name="Финансовый 5 7 4 2 3" xfId="5269" xr:uid="{00000000-0005-0000-0000-0000C23F0000}"/>
    <cellStyle name="Финансовый 5 7 4 2 3 2" xfId="13912" xr:uid="{00000000-0005-0000-0000-0000C33F0000}"/>
    <cellStyle name="Финансовый 5 7 4 2 4" xfId="7879" xr:uid="{00000000-0005-0000-0000-0000C43F0000}"/>
    <cellStyle name="Финансовый 5 7 4 2 4 2" xfId="16522" xr:uid="{00000000-0005-0000-0000-0000C53F0000}"/>
    <cellStyle name="Финансовый 5 7 4 2 5" xfId="10486" xr:uid="{00000000-0005-0000-0000-0000C63F0000}"/>
    <cellStyle name="Финансовый 5 7 4 3" xfId="4978" xr:uid="{00000000-0005-0000-0000-0000C73F0000}"/>
    <cellStyle name="Финансовый 5 7 4 3 2" xfId="13621" xr:uid="{00000000-0005-0000-0000-0000C83F0000}"/>
    <cellStyle name="Финансовый 5 7 4 4" xfId="7588" xr:uid="{00000000-0005-0000-0000-0000C93F0000}"/>
    <cellStyle name="Финансовый 5 7 4 4 2" xfId="16231" xr:uid="{00000000-0005-0000-0000-0000CA3F0000}"/>
    <cellStyle name="Финансовый 5 7 4 5" xfId="10195" xr:uid="{00000000-0005-0000-0000-0000CB3F0000}"/>
    <cellStyle name="Финансовый 5 7 5" xfId="1725" xr:uid="{00000000-0005-0000-0000-0000CC3F0000}"/>
    <cellStyle name="Финансовый 5 7 5 2" xfId="3370" xr:uid="{00000000-0005-0000-0000-0000CD3F0000}"/>
    <cellStyle name="Финансовый 5 7 5 2 2" xfId="12015" xr:uid="{00000000-0005-0000-0000-0000CE3F0000}"/>
    <cellStyle name="Финансовый 5 7 5 3" xfId="5153" xr:uid="{00000000-0005-0000-0000-0000CF3F0000}"/>
    <cellStyle name="Финансовый 5 7 5 3 2" xfId="13796" xr:uid="{00000000-0005-0000-0000-0000D03F0000}"/>
    <cellStyle name="Финансовый 5 7 5 4" xfId="7763" xr:uid="{00000000-0005-0000-0000-0000D13F0000}"/>
    <cellStyle name="Финансовый 5 7 5 4 2" xfId="16406" xr:uid="{00000000-0005-0000-0000-0000D23F0000}"/>
    <cellStyle name="Финансовый 5 7 5 5" xfId="10370" xr:uid="{00000000-0005-0000-0000-0000D33F0000}"/>
    <cellStyle name="Финансовый 5 7 6" xfId="2361" xr:uid="{00000000-0005-0000-0000-0000D43F0000}"/>
    <cellStyle name="Финансовый 5 7 6 2" xfId="4006" xr:uid="{00000000-0005-0000-0000-0000D53F0000}"/>
    <cellStyle name="Финансовый 5 7 6 2 2" xfId="12651" xr:uid="{00000000-0005-0000-0000-0000D63F0000}"/>
    <cellStyle name="Финансовый 5 7 6 3" xfId="5789" xr:uid="{00000000-0005-0000-0000-0000D73F0000}"/>
    <cellStyle name="Финансовый 5 7 6 3 2" xfId="14432" xr:uid="{00000000-0005-0000-0000-0000D83F0000}"/>
    <cellStyle name="Финансовый 5 7 6 4" xfId="8399" xr:uid="{00000000-0005-0000-0000-0000D93F0000}"/>
    <cellStyle name="Финансовый 5 7 6 4 2" xfId="17042" xr:uid="{00000000-0005-0000-0000-0000DA3F0000}"/>
    <cellStyle name="Финансовый 5 7 6 5" xfId="11006" xr:uid="{00000000-0005-0000-0000-0000DB3F0000}"/>
    <cellStyle name="Финансовый 5 7 7" xfId="1588" xr:uid="{00000000-0005-0000-0000-0000DC3F0000}"/>
    <cellStyle name="Финансовый 5 7 7 2" xfId="3233" xr:uid="{00000000-0005-0000-0000-0000DD3F0000}"/>
    <cellStyle name="Финансовый 5 7 7 2 2" xfId="11878" xr:uid="{00000000-0005-0000-0000-0000DE3F0000}"/>
    <cellStyle name="Финансовый 5 7 7 3" xfId="5016" xr:uid="{00000000-0005-0000-0000-0000DF3F0000}"/>
    <cellStyle name="Финансовый 5 7 7 3 2" xfId="13659" xr:uid="{00000000-0005-0000-0000-0000E03F0000}"/>
    <cellStyle name="Финансовый 5 7 7 4" xfId="7626" xr:uid="{00000000-0005-0000-0000-0000E13F0000}"/>
    <cellStyle name="Финансовый 5 7 7 4 2" xfId="16269" xr:uid="{00000000-0005-0000-0000-0000E23F0000}"/>
    <cellStyle name="Финансовый 5 7 7 5" xfId="10233" xr:uid="{00000000-0005-0000-0000-0000E33F0000}"/>
    <cellStyle name="Финансовый 5 7 8" xfId="874" xr:uid="{00000000-0005-0000-0000-0000E43F0000}"/>
    <cellStyle name="Финансовый 5 7 8 2" xfId="6914" xr:uid="{00000000-0005-0000-0000-0000E53F0000}"/>
    <cellStyle name="Финансовый 5 7 8 2 2" xfId="15557" xr:uid="{00000000-0005-0000-0000-0000E63F0000}"/>
    <cellStyle name="Финансовый 5 7 8 3" xfId="9521" xr:uid="{00000000-0005-0000-0000-0000E73F0000}"/>
    <cellStyle name="Финансовый 5 7 9" xfId="454" xr:uid="{00000000-0005-0000-0000-0000E83F0000}"/>
    <cellStyle name="Финансовый 5 7 9 2" xfId="6494" xr:uid="{00000000-0005-0000-0000-0000E93F0000}"/>
    <cellStyle name="Финансовый 5 7 9 2 2" xfId="15137" xr:uid="{00000000-0005-0000-0000-0000EA3F0000}"/>
    <cellStyle name="Финансовый 5 7 9 3" xfId="9101" xr:uid="{00000000-0005-0000-0000-0000EB3F0000}"/>
    <cellStyle name="Финансовый 5 8" xfId="19" xr:uid="{00000000-0005-0000-0000-0000EC3F0000}"/>
    <cellStyle name="Финансовый 5 8 10" xfId="2631" xr:uid="{00000000-0005-0000-0000-0000ED3F0000}"/>
    <cellStyle name="Финансовый 5 8 10 2" xfId="11276" xr:uid="{00000000-0005-0000-0000-0000EE3F0000}"/>
    <cellStyle name="Финансовый 5 8 11" xfId="4274" xr:uid="{00000000-0005-0000-0000-0000EF3F0000}"/>
    <cellStyle name="Финансовый 5 8 11 2" xfId="12919" xr:uid="{00000000-0005-0000-0000-0000F03F0000}"/>
    <cellStyle name="Финансовый 5 8 12" xfId="6062" xr:uid="{00000000-0005-0000-0000-0000F13F0000}"/>
    <cellStyle name="Финансовый 5 8 12 2" xfId="14705" xr:uid="{00000000-0005-0000-0000-0000F23F0000}"/>
    <cellStyle name="Финансовый 5 8 13" xfId="8669" xr:uid="{00000000-0005-0000-0000-0000F33F0000}"/>
    <cellStyle name="Финансовый 5 8 2" xfId="157" xr:uid="{00000000-0005-0000-0000-0000F43F0000}"/>
    <cellStyle name="Финансовый 5 8 2 10" xfId="8805" xr:uid="{00000000-0005-0000-0000-0000F53F0000}"/>
    <cellStyle name="Финансовый 5 8 2 2" xfId="1255" xr:uid="{00000000-0005-0000-0000-0000F63F0000}"/>
    <cellStyle name="Финансовый 5 8 2 2 2" xfId="2221" xr:uid="{00000000-0005-0000-0000-0000F73F0000}"/>
    <cellStyle name="Финансовый 5 8 2 2 2 2" xfId="3866" xr:uid="{00000000-0005-0000-0000-0000F83F0000}"/>
    <cellStyle name="Финансовый 5 8 2 2 2 2 2" xfId="12511" xr:uid="{00000000-0005-0000-0000-0000F93F0000}"/>
    <cellStyle name="Финансовый 5 8 2 2 2 3" xfId="5649" xr:uid="{00000000-0005-0000-0000-0000FA3F0000}"/>
    <cellStyle name="Финансовый 5 8 2 2 2 3 2" xfId="14292" xr:uid="{00000000-0005-0000-0000-0000FB3F0000}"/>
    <cellStyle name="Финансовый 5 8 2 2 2 4" xfId="8259" xr:uid="{00000000-0005-0000-0000-0000FC3F0000}"/>
    <cellStyle name="Финансовый 5 8 2 2 2 4 2" xfId="16902" xr:uid="{00000000-0005-0000-0000-0000FD3F0000}"/>
    <cellStyle name="Финансовый 5 8 2 2 2 5" xfId="10866" xr:uid="{00000000-0005-0000-0000-0000FE3F0000}"/>
    <cellStyle name="Финансовый 5 8 2 2 3" xfId="3039" xr:uid="{00000000-0005-0000-0000-0000FF3F0000}"/>
    <cellStyle name="Финансовый 5 8 2 2 3 2" xfId="11684" xr:uid="{00000000-0005-0000-0000-000000400000}"/>
    <cellStyle name="Финансовый 5 8 2 2 4" xfId="4683" xr:uid="{00000000-0005-0000-0000-000001400000}"/>
    <cellStyle name="Финансовый 5 8 2 2 4 2" xfId="13328" xr:uid="{00000000-0005-0000-0000-000002400000}"/>
    <cellStyle name="Финансовый 5 8 2 2 5" xfId="7295" xr:uid="{00000000-0005-0000-0000-000003400000}"/>
    <cellStyle name="Финансовый 5 8 2 2 5 2" xfId="15938" xr:uid="{00000000-0005-0000-0000-000004400000}"/>
    <cellStyle name="Финансовый 5 8 2 2 6" xfId="9902" xr:uid="{00000000-0005-0000-0000-000005400000}"/>
    <cellStyle name="Финансовый 5 8 2 3" xfId="1965" xr:uid="{00000000-0005-0000-0000-000006400000}"/>
    <cellStyle name="Финансовый 5 8 2 3 2" xfId="3610" xr:uid="{00000000-0005-0000-0000-000007400000}"/>
    <cellStyle name="Финансовый 5 8 2 3 2 2" xfId="12255" xr:uid="{00000000-0005-0000-0000-000008400000}"/>
    <cellStyle name="Финансовый 5 8 2 3 3" xfId="5393" xr:uid="{00000000-0005-0000-0000-000009400000}"/>
    <cellStyle name="Финансовый 5 8 2 3 3 2" xfId="14036" xr:uid="{00000000-0005-0000-0000-00000A400000}"/>
    <cellStyle name="Финансовый 5 8 2 3 4" xfId="8003" xr:uid="{00000000-0005-0000-0000-00000B400000}"/>
    <cellStyle name="Финансовый 5 8 2 3 4 2" xfId="16646" xr:uid="{00000000-0005-0000-0000-00000C400000}"/>
    <cellStyle name="Финансовый 5 8 2 3 5" xfId="10610" xr:uid="{00000000-0005-0000-0000-00000D400000}"/>
    <cellStyle name="Финансовый 5 8 2 4" xfId="2486" xr:uid="{00000000-0005-0000-0000-00000E400000}"/>
    <cellStyle name="Финансовый 5 8 2 4 2" xfId="4131" xr:uid="{00000000-0005-0000-0000-00000F400000}"/>
    <cellStyle name="Финансовый 5 8 2 4 2 2" xfId="12776" xr:uid="{00000000-0005-0000-0000-000010400000}"/>
    <cellStyle name="Финансовый 5 8 2 4 3" xfId="5914" xr:uid="{00000000-0005-0000-0000-000011400000}"/>
    <cellStyle name="Финансовый 5 8 2 4 3 2" xfId="14557" xr:uid="{00000000-0005-0000-0000-000012400000}"/>
    <cellStyle name="Финансовый 5 8 2 4 4" xfId="8524" xr:uid="{00000000-0005-0000-0000-000013400000}"/>
    <cellStyle name="Финансовый 5 8 2 4 4 2" xfId="17167" xr:uid="{00000000-0005-0000-0000-000014400000}"/>
    <cellStyle name="Финансовый 5 8 2 4 5" xfId="11131" xr:uid="{00000000-0005-0000-0000-000015400000}"/>
    <cellStyle name="Финансовый 5 8 2 5" xfId="990" xr:uid="{00000000-0005-0000-0000-000016400000}"/>
    <cellStyle name="Финансовый 5 8 2 5 2" xfId="7030" xr:uid="{00000000-0005-0000-0000-000017400000}"/>
    <cellStyle name="Финансовый 5 8 2 5 2 2" xfId="15673" xr:uid="{00000000-0005-0000-0000-000018400000}"/>
    <cellStyle name="Финансовый 5 8 2 5 3" xfId="9637" xr:uid="{00000000-0005-0000-0000-000019400000}"/>
    <cellStyle name="Финансовый 5 8 2 6" xfId="578" xr:uid="{00000000-0005-0000-0000-00001A400000}"/>
    <cellStyle name="Финансовый 5 8 2 6 2" xfId="6618" xr:uid="{00000000-0005-0000-0000-00001B400000}"/>
    <cellStyle name="Финансовый 5 8 2 6 2 2" xfId="15261" xr:uid="{00000000-0005-0000-0000-00001C400000}"/>
    <cellStyle name="Финансовый 5 8 2 6 3" xfId="9225" xr:uid="{00000000-0005-0000-0000-00001D400000}"/>
    <cellStyle name="Финансовый 5 8 2 7" xfId="2767" xr:uid="{00000000-0005-0000-0000-00001E400000}"/>
    <cellStyle name="Финансовый 5 8 2 7 2" xfId="11412" xr:uid="{00000000-0005-0000-0000-00001F400000}"/>
    <cellStyle name="Финансовый 5 8 2 8" xfId="4411" xr:uid="{00000000-0005-0000-0000-000020400000}"/>
    <cellStyle name="Финансовый 5 8 2 8 2" xfId="13056" xr:uid="{00000000-0005-0000-0000-000021400000}"/>
    <cellStyle name="Финансовый 5 8 2 9" xfId="6198" xr:uid="{00000000-0005-0000-0000-000022400000}"/>
    <cellStyle name="Финансовый 5 8 2 9 2" xfId="14841" xr:uid="{00000000-0005-0000-0000-000023400000}"/>
    <cellStyle name="Финансовый 5 8 3" xfId="306" xr:uid="{00000000-0005-0000-0000-000024400000}"/>
    <cellStyle name="Финансовый 5 8 3 2" xfId="2093" xr:uid="{00000000-0005-0000-0000-000025400000}"/>
    <cellStyle name="Финансовый 5 8 3 2 2" xfId="3738" xr:uid="{00000000-0005-0000-0000-000026400000}"/>
    <cellStyle name="Финансовый 5 8 3 2 2 2" xfId="12383" xr:uid="{00000000-0005-0000-0000-000027400000}"/>
    <cellStyle name="Финансовый 5 8 3 2 3" xfId="5521" xr:uid="{00000000-0005-0000-0000-000028400000}"/>
    <cellStyle name="Финансовый 5 8 3 2 3 2" xfId="14164" xr:uid="{00000000-0005-0000-0000-000029400000}"/>
    <cellStyle name="Финансовый 5 8 3 2 4" xfId="8131" xr:uid="{00000000-0005-0000-0000-00002A400000}"/>
    <cellStyle name="Финансовый 5 8 3 2 4 2" xfId="16774" xr:uid="{00000000-0005-0000-0000-00002B400000}"/>
    <cellStyle name="Финансовый 5 8 3 2 5" xfId="10738" xr:uid="{00000000-0005-0000-0000-00002C400000}"/>
    <cellStyle name="Финансовый 5 8 3 3" xfId="1126" xr:uid="{00000000-0005-0000-0000-00002D400000}"/>
    <cellStyle name="Финансовый 5 8 3 3 2" xfId="7166" xr:uid="{00000000-0005-0000-0000-00002E400000}"/>
    <cellStyle name="Финансовый 5 8 3 3 2 2" xfId="15809" xr:uid="{00000000-0005-0000-0000-00002F400000}"/>
    <cellStyle name="Финансовый 5 8 3 3 3" xfId="9773" xr:uid="{00000000-0005-0000-0000-000030400000}"/>
    <cellStyle name="Финансовый 5 8 3 4" xfId="726" xr:uid="{00000000-0005-0000-0000-000031400000}"/>
    <cellStyle name="Финансовый 5 8 3 4 2" xfId="6766" xr:uid="{00000000-0005-0000-0000-000032400000}"/>
    <cellStyle name="Финансовый 5 8 3 4 2 2" xfId="15409" xr:uid="{00000000-0005-0000-0000-000033400000}"/>
    <cellStyle name="Финансовый 5 8 3 4 3" xfId="9373" xr:uid="{00000000-0005-0000-0000-000034400000}"/>
    <cellStyle name="Финансовый 5 8 3 5" xfId="2903" xr:uid="{00000000-0005-0000-0000-000035400000}"/>
    <cellStyle name="Финансовый 5 8 3 5 2" xfId="11548" xr:uid="{00000000-0005-0000-0000-000036400000}"/>
    <cellStyle name="Финансовый 5 8 3 6" xfId="4547" xr:uid="{00000000-0005-0000-0000-000037400000}"/>
    <cellStyle name="Финансовый 5 8 3 6 2" xfId="13192" xr:uid="{00000000-0005-0000-0000-000038400000}"/>
    <cellStyle name="Финансовый 5 8 3 7" xfId="6346" xr:uid="{00000000-0005-0000-0000-000039400000}"/>
    <cellStyle name="Финансовый 5 8 3 7 2" xfId="14989" xr:uid="{00000000-0005-0000-0000-00003A400000}"/>
    <cellStyle name="Финансовый 5 8 3 8" xfId="8953" xr:uid="{00000000-0005-0000-0000-00003B400000}"/>
    <cellStyle name="Финансовый 5 8 4" xfId="1551" xr:uid="{00000000-0005-0000-0000-00003C400000}"/>
    <cellStyle name="Финансовый 5 8 4 2" xfId="1829" xr:uid="{00000000-0005-0000-0000-00003D400000}"/>
    <cellStyle name="Финансовый 5 8 4 2 2" xfId="3474" xr:uid="{00000000-0005-0000-0000-00003E400000}"/>
    <cellStyle name="Финансовый 5 8 4 2 2 2" xfId="12119" xr:uid="{00000000-0005-0000-0000-00003F400000}"/>
    <cellStyle name="Финансовый 5 8 4 2 3" xfId="5257" xr:uid="{00000000-0005-0000-0000-000040400000}"/>
    <cellStyle name="Финансовый 5 8 4 2 3 2" xfId="13900" xr:uid="{00000000-0005-0000-0000-000041400000}"/>
    <cellStyle name="Финансовый 5 8 4 2 4" xfId="7867" xr:uid="{00000000-0005-0000-0000-000042400000}"/>
    <cellStyle name="Финансовый 5 8 4 2 4 2" xfId="16510" xr:uid="{00000000-0005-0000-0000-000043400000}"/>
    <cellStyle name="Финансовый 5 8 4 2 5" xfId="10474" xr:uid="{00000000-0005-0000-0000-000044400000}"/>
    <cellStyle name="Финансовый 5 8 4 3" xfId="4979" xr:uid="{00000000-0005-0000-0000-000045400000}"/>
    <cellStyle name="Финансовый 5 8 4 3 2" xfId="13622" xr:uid="{00000000-0005-0000-0000-000046400000}"/>
    <cellStyle name="Финансовый 5 8 4 4" xfId="7589" xr:uid="{00000000-0005-0000-0000-000047400000}"/>
    <cellStyle name="Финансовый 5 8 4 4 2" xfId="16232" xr:uid="{00000000-0005-0000-0000-000048400000}"/>
    <cellStyle name="Финансовый 5 8 4 5" xfId="10196" xr:uid="{00000000-0005-0000-0000-000049400000}"/>
    <cellStyle name="Финансовый 5 8 5" xfId="1713" xr:uid="{00000000-0005-0000-0000-00004A400000}"/>
    <cellStyle name="Финансовый 5 8 5 2" xfId="3358" xr:uid="{00000000-0005-0000-0000-00004B400000}"/>
    <cellStyle name="Финансовый 5 8 5 2 2" xfId="12003" xr:uid="{00000000-0005-0000-0000-00004C400000}"/>
    <cellStyle name="Финансовый 5 8 5 3" xfId="5141" xr:uid="{00000000-0005-0000-0000-00004D400000}"/>
    <cellStyle name="Финансовый 5 8 5 3 2" xfId="13784" xr:uid="{00000000-0005-0000-0000-00004E400000}"/>
    <cellStyle name="Финансовый 5 8 5 4" xfId="7751" xr:uid="{00000000-0005-0000-0000-00004F400000}"/>
    <cellStyle name="Финансовый 5 8 5 4 2" xfId="16394" xr:uid="{00000000-0005-0000-0000-000050400000}"/>
    <cellStyle name="Финансовый 5 8 5 5" xfId="10358" xr:uid="{00000000-0005-0000-0000-000051400000}"/>
    <cellStyle name="Финансовый 5 8 6" xfId="2349" xr:uid="{00000000-0005-0000-0000-000052400000}"/>
    <cellStyle name="Финансовый 5 8 6 2" xfId="3994" xr:uid="{00000000-0005-0000-0000-000053400000}"/>
    <cellStyle name="Финансовый 5 8 6 2 2" xfId="12639" xr:uid="{00000000-0005-0000-0000-000054400000}"/>
    <cellStyle name="Финансовый 5 8 6 3" xfId="5777" xr:uid="{00000000-0005-0000-0000-000055400000}"/>
    <cellStyle name="Финансовый 5 8 6 3 2" xfId="14420" xr:uid="{00000000-0005-0000-0000-000056400000}"/>
    <cellStyle name="Финансовый 5 8 6 4" xfId="8387" xr:uid="{00000000-0005-0000-0000-000057400000}"/>
    <cellStyle name="Финансовый 5 8 6 4 2" xfId="17030" xr:uid="{00000000-0005-0000-0000-000058400000}"/>
    <cellStyle name="Финансовый 5 8 6 5" xfId="10994" xr:uid="{00000000-0005-0000-0000-000059400000}"/>
    <cellStyle name="Финансовый 5 8 7" xfId="1576" xr:uid="{00000000-0005-0000-0000-00005A400000}"/>
    <cellStyle name="Финансовый 5 8 7 2" xfId="3221" xr:uid="{00000000-0005-0000-0000-00005B400000}"/>
    <cellStyle name="Финансовый 5 8 7 2 2" xfId="11866" xr:uid="{00000000-0005-0000-0000-00005C400000}"/>
    <cellStyle name="Финансовый 5 8 7 3" xfId="5004" xr:uid="{00000000-0005-0000-0000-00005D400000}"/>
    <cellStyle name="Финансовый 5 8 7 3 2" xfId="13647" xr:uid="{00000000-0005-0000-0000-00005E400000}"/>
    <cellStyle name="Финансовый 5 8 7 4" xfId="7614" xr:uid="{00000000-0005-0000-0000-00005F400000}"/>
    <cellStyle name="Финансовый 5 8 7 4 2" xfId="16257" xr:uid="{00000000-0005-0000-0000-000060400000}"/>
    <cellStyle name="Финансовый 5 8 7 5" xfId="10221" xr:uid="{00000000-0005-0000-0000-000061400000}"/>
    <cellStyle name="Финансовый 5 8 8" xfId="862" xr:uid="{00000000-0005-0000-0000-000062400000}"/>
    <cellStyle name="Финансовый 5 8 8 2" xfId="6902" xr:uid="{00000000-0005-0000-0000-000063400000}"/>
    <cellStyle name="Финансовый 5 8 8 2 2" xfId="15545" xr:uid="{00000000-0005-0000-0000-000064400000}"/>
    <cellStyle name="Финансовый 5 8 8 3" xfId="9509" xr:uid="{00000000-0005-0000-0000-000065400000}"/>
    <cellStyle name="Финансовый 5 8 9" xfId="442" xr:uid="{00000000-0005-0000-0000-000066400000}"/>
    <cellStyle name="Финансовый 5 8 9 2" xfId="6482" xr:uid="{00000000-0005-0000-0000-000067400000}"/>
    <cellStyle name="Финансовый 5 8 9 2 2" xfId="15125" xr:uid="{00000000-0005-0000-0000-000068400000}"/>
    <cellStyle name="Финансовый 5 8 9 3" xfId="9089" xr:uid="{00000000-0005-0000-0000-000069400000}"/>
    <cellStyle name="Финансовый 5 9" xfId="145" xr:uid="{00000000-0005-0000-0000-00006A400000}"/>
    <cellStyle name="Финансовый 5 9 10" xfId="8793" xr:uid="{00000000-0005-0000-0000-00006B400000}"/>
    <cellStyle name="Финансовый 5 9 2" xfId="1243" xr:uid="{00000000-0005-0000-0000-00006C400000}"/>
    <cellStyle name="Финансовый 5 9 2 2" xfId="2209" xr:uid="{00000000-0005-0000-0000-00006D400000}"/>
    <cellStyle name="Финансовый 5 9 2 2 2" xfId="3854" xr:uid="{00000000-0005-0000-0000-00006E400000}"/>
    <cellStyle name="Финансовый 5 9 2 2 2 2" xfId="12499" xr:uid="{00000000-0005-0000-0000-00006F400000}"/>
    <cellStyle name="Финансовый 5 9 2 2 3" xfId="5637" xr:uid="{00000000-0005-0000-0000-000070400000}"/>
    <cellStyle name="Финансовый 5 9 2 2 3 2" xfId="14280" xr:uid="{00000000-0005-0000-0000-000071400000}"/>
    <cellStyle name="Финансовый 5 9 2 2 4" xfId="8247" xr:uid="{00000000-0005-0000-0000-000072400000}"/>
    <cellStyle name="Финансовый 5 9 2 2 4 2" xfId="16890" xr:uid="{00000000-0005-0000-0000-000073400000}"/>
    <cellStyle name="Финансовый 5 9 2 2 5" xfId="10854" xr:uid="{00000000-0005-0000-0000-000074400000}"/>
    <cellStyle name="Финансовый 5 9 2 3" xfId="3027" xr:uid="{00000000-0005-0000-0000-000075400000}"/>
    <cellStyle name="Финансовый 5 9 2 3 2" xfId="11672" xr:uid="{00000000-0005-0000-0000-000076400000}"/>
    <cellStyle name="Финансовый 5 9 2 4" xfId="4671" xr:uid="{00000000-0005-0000-0000-000077400000}"/>
    <cellStyle name="Финансовый 5 9 2 4 2" xfId="13316" xr:uid="{00000000-0005-0000-0000-000078400000}"/>
    <cellStyle name="Финансовый 5 9 2 5" xfId="7283" xr:uid="{00000000-0005-0000-0000-000079400000}"/>
    <cellStyle name="Финансовый 5 9 2 5 2" xfId="15926" xr:uid="{00000000-0005-0000-0000-00007A400000}"/>
    <cellStyle name="Финансовый 5 9 2 6" xfId="9890" xr:uid="{00000000-0005-0000-0000-00007B400000}"/>
    <cellStyle name="Финансовый 5 9 3" xfId="1953" xr:uid="{00000000-0005-0000-0000-00007C400000}"/>
    <cellStyle name="Финансовый 5 9 3 2" xfId="3598" xr:uid="{00000000-0005-0000-0000-00007D400000}"/>
    <cellStyle name="Финансовый 5 9 3 2 2" xfId="12243" xr:uid="{00000000-0005-0000-0000-00007E400000}"/>
    <cellStyle name="Финансовый 5 9 3 3" xfId="5381" xr:uid="{00000000-0005-0000-0000-00007F400000}"/>
    <cellStyle name="Финансовый 5 9 3 3 2" xfId="14024" xr:uid="{00000000-0005-0000-0000-000080400000}"/>
    <cellStyle name="Финансовый 5 9 3 4" xfId="7991" xr:uid="{00000000-0005-0000-0000-000081400000}"/>
    <cellStyle name="Финансовый 5 9 3 4 2" xfId="16634" xr:uid="{00000000-0005-0000-0000-000082400000}"/>
    <cellStyle name="Финансовый 5 9 3 5" xfId="10598" xr:uid="{00000000-0005-0000-0000-000083400000}"/>
    <cellStyle name="Финансовый 5 9 4" xfId="2474" xr:uid="{00000000-0005-0000-0000-000084400000}"/>
    <cellStyle name="Финансовый 5 9 4 2" xfId="4119" xr:uid="{00000000-0005-0000-0000-000085400000}"/>
    <cellStyle name="Финансовый 5 9 4 2 2" xfId="12764" xr:uid="{00000000-0005-0000-0000-000086400000}"/>
    <cellStyle name="Финансовый 5 9 4 3" xfId="5902" xr:uid="{00000000-0005-0000-0000-000087400000}"/>
    <cellStyle name="Финансовый 5 9 4 3 2" xfId="14545" xr:uid="{00000000-0005-0000-0000-000088400000}"/>
    <cellStyle name="Финансовый 5 9 4 4" xfId="8512" xr:uid="{00000000-0005-0000-0000-000089400000}"/>
    <cellStyle name="Финансовый 5 9 4 4 2" xfId="17155" xr:uid="{00000000-0005-0000-0000-00008A400000}"/>
    <cellStyle name="Финансовый 5 9 4 5" xfId="11119" xr:uid="{00000000-0005-0000-0000-00008B400000}"/>
    <cellStyle name="Финансовый 5 9 5" xfId="978" xr:uid="{00000000-0005-0000-0000-00008C400000}"/>
    <cellStyle name="Финансовый 5 9 5 2" xfId="7018" xr:uid="{00000000-0005-0000-0000-00008D400000}"/>
    <cellStyle name="Финансовый 5 9 5 2 2" xfId="15661" xr:uid="{00000000-0005-0000-0000-00008E400000}"/>
    <cellStyle name="Финансовый 5 9 5 3" xfId="9625" xr:uid="{00000000-0005-0000-0000-00008F400000}"/>
    <cellStyle name="Финансовый 5 9 6" xfId="566" xr:uid="{00000000-0005-0000-0000-000090400000}"/>
    <cellStyle name="Финансовый 5 9 6 2" xfId="6606" xr:uid="{00000000-0005-0000-0000-000091400000}"/>
    <cellStyle name="Финансовый 5 9 6 2 2" xfId="15249" xr:uid="{00000000-0005-0000-0000-000092400000}"/>
    <cellStyle name="Финансовый 5 9 6 3" xfId="9213" xr:uid="{00000000-0005-0000-0000-000093400000}"/>
    <cellStyle name="Финансовый 5 9 7" xfId="2755" xr:uid="{00000000-0005-0000-0000-000094400000}"/>
    <cellStyle name="Финансовый 5 9 7 2" xfId="11400" xr:uid="{00000000-0005-0000-0000-000095400000}"/>
    <cellStyle name="Финансовый 5 9 8" xfId="4399" xr:uid="{00000000-0005-0000-0000-000096400000}"/>
    <cellStyle name="Финансовый 5 9 8 2" xfId="13044" xr:uid="{00000000-0005-0000-0000-000097400000}"/>
    <cellStyle name="Финансовый 5 9 9" xfId="6186" xr:uid="{00000000-0005-0000-0000-000098400000}"/>
    <cellStyle name="Финансовый 5 9 9 2" xfId="14829" xr:uid="{00000000-0005-0000-0000-000099400000}"/>
    <cellStyle name="Финансовый 6" xfId="37" xr:uid="{00000000-0005-0000-0000-00009A400000}"/>
    <cellStyle name="Финансовый 6 10" xfId="880" xr:uid="{00000000-0005-0000-0000-00009B400000}"/>
    <cellStyle name="Финансовый 6 10 2" xfId="6920" xr:uid="{00000000-0005-0000-0000-00009C400000}"/>
    <cellStyle name="Финансовый 6 10 2 2" xfId="15563" xr:uid="{00000000-0005-0000-0000-00009D400000}"/>
    <cellStyle name="Финансовый 6 10 3" xfId="9527" xr:uid="{00000000-0005-0000-0000-00009E400000}"/>
    <cellStyle name="Финансовый 6 11" xfId="460" xr:uid="{00000000-0005-0000-0000-00009F400000}"/>
    <cellStyle name="Финансовый 6 11 2" xfId="6500" xr:uid="{00000000-0005-0000-0000-0000A0400000}"/>
    <cellStyle name="Финансовый 6 11 2 2" xfId="15143" xr:uid="{00000000-0005-0000-0000-0000A1400000}"/>
    <cellStyle name="Финансовый 6 11 3" xfId="9107" xr:uid="{00000000-0005-0000-0000-0000A2400000}"/>
    <cellStyle name="Финансовый 6 12" xfId="2649" xr:uid="{00000000-0005-0000-0000-0000A3400000}"/>
    <cellStyle name="Финансовый 6 12 2" xfId="11294" xr:uid="{00000000-0005-0000-0000-0000A4400000}"/>
    <cellStyle name="Финансовый 6 13" xfId="4292" xr:uid="{00000000-0005-0000-0000-0000A5400000}"/>
    <cellStyle name="Финансовый 6 13 2" xfId="12937" xr:uid="{00000000-0005-0000-0000-0000A6400000}"/>
    <cellStyle name="Финансовый 6 14" xfId="6080" xr:uid="{00000000-0005-0000-0000-0000A7400000}"/>
    <cellStyle name="Финансовый 6 14 2" xfId="14723" xr:uid="{00000000-0005-0000-0000-0000A8400000}"/>
    <cellStyle name="Финансовый 6 15" xfId="8687" xr:uid="{00000000-0005-0000-0000-0000A9400000}"/>
    <cellStyle name="Финансовый 6 2" xfId="119" xr:uid="{00000000-0005-0000-0000-0000AA400000}"/>
    <cellStyle name="Финансовый 6 2 10" xfId="2729" xr:uid="{00000000-0005-0000-0000-0000AB400000}"/>
    <cellStyle name="Финансовый 6 2 10 2" xfId="11374" xr:uid="{00000000-0005-0000-0000-0000AC400000}"/>
    <cellStyle name="Финансовый 6 2 11" xfId="4373" xr:uid="{00000000-0005-0000-0000-0000AD400000}"/>
    <cellStyle name="Финансовый 6 2 11 2" xfId="13018" xr:uid="{00000000-0005-0000-0000-0000AE400000}"/>
    <cellStyle name="Финансовый 6 2 12" xfId="6160" xr:uid="{00000000-0005-0000-0000-0000AF400000}"/>
    <cellStyle name="Финансовый 6 2 12 2" xfId="14803" xr:uid="{00000000-0005-0000-0000-0000B0400000}"/>
    <cellStyle name="Финансовый 6 2 13" xfId="8767" xr:uid="{00000000-0005-0000-0000-0000B1400000}"/>
    <cellStyle name="Финансовый 6 2 2" xfId="255" xr:uid="{00000000-0005-0000-0000-0000B2400000}"/>
    <cellStyle name="Финансовый 6 2 2 10" xfId="8903" xr:uid="{00000000-0005-0000-0000-0000B3400000}"/>
    <cellStyle name="Финансовый 6 2 2 2" xfId="1353" xr:uid="{00000000-0005-0000-0000-0000B4400000}"/>
    <cellStyle name="Финансовый 6 2 2 2 2" xfId="2311" xr:uid="{00000000-0005-0000-0000-0000B5400000}"/>
    <cellStyle name="Финансовый 6 2 2 2 2 2" xfId="3956" xr:uid="{00000000-0005-0000-0000-0000B6400000}"/>
    <cellStyle name="Финансовый 6 2 2 2 2 2 2" xfId="12601" xr:uid="{00000000-0005-0000-0000-0000B7400000}"/>
    <cellStyle name="Финансовый 6 2 2 2 2 3" xfId="5739" xr:uid="{00000000-0005-0000-0000-0000B8400000}"/>
    <cellStyle name="Финансовый 6 2 2 2 2 3 2" xfId="14382" xr:uid="{00000000-0005-0000-0000-0000B9400000}"/>
    <cellStyle name="Финансовый 6 2 2 2 2 4" xfId="8349" xr:uid="{00000000-0005-0000-0000-0000BA400000}"/>
    <cellStyle name="Финансовый 6 2 2 2 2 4 2" xfId="16992" xr:uid="{00000000-0005-0000-0000-0000BB400000}"/>
    <cellStyle name="Финансовый 6 2 2 2 2 5" xfId="10956" xr:uid="{00000000-0005-0000-0000-0000BC400000}"/>
    <cellStyle name="Финансовый 6 2 2 2 3" xfId="3137" xr:uid="{00000000-0005-0000-0000-0000BD400000}"/>
    <cellStyle name="Финансовый 6 2 2 2 3 2" xfId="11782" xr:uid="{00000000-0005-0000-0000-0000BE400000}"/>
    <cellStyle name="Финансовый 6 2 2 2 4" xfId="4781" xr:uid="{00000000-0005-0000-0000-0000BF400000}"/>
    <cellStyle name="Финансовый 6 2 2 2 4 2" xfId="13426" xr:uid="{00000000-0005-0000-0000-0000C0400000}"/>
    <cellStyle name="Финансовый 6 2 2 2 5" xfId="7393" xr:uid="{00000000-0005-0000-0000-0000C1400000}"/>
    <cellStyle name="Финансовый 6 2 2 2 5 2" xfId="16036" xr:uid="{00000000-0005-0000-0000-0000C2400000}"/>
    <cellStyle name="Финансовый 6 2 2 2 6" xfId="10000" xr:uid="{00000000-0005-0000-0000-0000C3400000}"/>
    <cellStyle name="Финансовый 6 2 2 3" xfId="2055" xr:uid="{00000000-0005-0000-0000-0000C4400000}"/>
    <cellStyle name="Финансовый 6 2 2 3 2" xfId="3700" xr:uid="{00000000-0005-0000-0000-0000C5400000}"/>
    <cellStyle name="Финансовый 6 2 2 3 2 2" xfId="12345" xr:uid="{00000000-0005-0000-0000-0000C6400000}"/>
    <cellStyle name="Финансовый 6 2 2 3 3" xfId="5483" xr:uid="{00000000-0005-0000-0000-0000C7400000}"/>
    <cellStyle name="Финансовый 6 2 2 3 3 2" xfId="14126" xr:uid="{00000000-0005-0000-0000-0000C8400000}"/>
    <cellStyle name="Финансовый 6 2 2 3 4" xfId="8093" xr:uid="{00000000-0005-0000-0000-0000C9400000}"/>
    <cellStyle name="Финансовый 6 2 2 3 4 2" xfId="16736" xr:uid="{00000000-0005-0000-0000-0000CA400000}"/>
    <cellStyle name="Финансовый 6 2 2 3 5" xfId="10700" xr:uid="{00000000-0005-0000-0000-0000CB400000}"/>
    <cellStyle name="Финансовый 6 2 2 4" xfId="2584" xr:uid="{00000000-0005-0000-0000-0000CC400000}"/>
    <cellStyle name="Финансовый 6 2 2 4 2" xfId="4229" xr:uid="{00000000-0005-0000-0000-0000CD400000}"/>
    <cellStyle name="Финансовый 6 2 2 4 2 2" xfId="12874" xr:uid="{00000000-0005-0000-0000-0000CE400000}"/>
    <cellStyle name="Финансовый 6 2 2 4 3" xfId="6012" xr:uid="{00000000-0005-0000-0000-0000CF400000}"/>
    <cellStyle name="Финансовый 6 2 2 4 3 2" xfId="14655" xr:uid="{00000000-0005-0000-0000-0000D0400000}"/>
    <cellStyle name="Финансовый 6 2 2 4 4" xfId="8622" xr:uid="{00000000-0005-0000-0000-0000D1400000}"/>
    <cellStyle name="Финансовый 6 2 2 4 4 2" xfId="17265" xr:uid="{00000000-0005-0000-0000-0000D2400000}"/>
    <cellStyle name="Финансовый 6 2 2 4 5" xfId="11229" xr:uid="{00000000-0005-0000-0000-0000D3400000}"/>
    <cellStyle name="Финансовый 6 2 2 5" xfId="1088" xr:uid="{00000000-0005-0000-0000-0000D4400000}"/>
    <cellStyle name="Финансовый 6 2 2 5 2" xfId="7128" xr:uid="{00000000-0005-0000-0000-0000D5400000}"/>
    <cellStyle name="Финансовый 6 2 2 5 2 2" xfId="15771" xr:uid="{00000000-0005-0000-0000-0000D6400000}"/>
    <cellStyle name="Финансовый 6 2 2 5 3" xfId="9735" xr:uid="{00000000-0005-0000-0000-0000D7400000}"/>
    <cellStyle name="Финансовый 6 2 2 6" xfId="676" xr:uid="{00000000-0005-0000-0000-0000D8400000}"/>
    <cellStyle name="Финансовый 6 2 2 6 2" xfId="6716" xr:uid="{00000000-0005-0000-0000-0000D9400000}"/>
    <cellStyle name="Финансовый 6 2 2 6 2 2" xfId="15359" xr:uid="{00000000-0005-0000-0000-0000DA400000}"/>
    <cellStyle name="Финансовый 6 2 2 6 3" xfId="9323" xr:uid="{00000000-0005-0000-0000-0000DB400000}"/>
    <cellStyle name="Финансовый 6 2 2 7" xfId="2865" xr:uid="{00000000-0005-0000-0000-0000DC400000}"/>
    <cellStyle name="Финансовый 6 2 2 7 2" xfId="11510" xr:uid="{00000000-0005-0000-0000-0000DD400000}"/>
    <cellStyle name="Финансовый 6 2 2 8" xfId="4509" xr:uid="{00000000-0005-0000-0000-0000DE400000}"/>
    <cellStyle name="Финансовый 6 2 2 8 2" xfId="13154" xr:uid="{00000000-0005-0000-0000-0000DF400000}"/>
    <cellStyle name="Финансовый 6 2 2 9" xfId="6296" xr:uid="{00000000-0005-0000-0000-0000E0400000}"/>
    <cellStyle name="Финансовый 6 2 2 9 2" xfId="14939" xr:uid="{00000000-0005-0000-0000-0000E1400000}"/>
    <cellStyle name="Финансовый 6 2 3" xfId="404" xr:uid="{00000000-0005-0000-0000-0000E2400000}"/>
    <cellStyle name="Финансовый 6 2 3 2" xfId="2183" xr:uid="{00000000-0005-0000-0000-0000E3400000}"/>
    <cellStyle name="Финансовый 6 2 3 2 2" xfId="3828" xr:uid="{00000000-0005-0000-0000-0000E4400000}"/>
    <cellStyle name="Финансовый 6 2 3 2 2 2" xfId="12473" xr:uid="{00000000-0005-0000-0000-0000E5400000}"/>
    <cellStyle name="Финансовый 6 2 3 2 3" xfId="5611" xr:uid="{00000000-0005-0000-0000-0000E6400000}"/>
    <cellStyle name="Финансовый 6 2 3 2 3 2" xfId="14254" xr:uid="{00000000-0005-0000-0000-0000E7400000}"/>
    <cellStyle name="Финансовый 6 2 3 2 4" xfId="8221" xr:uid="{00000000-0005-0000-0000-0000E8400000}"/>
    <cellStyle name="Финансовый 6 2 3 2 4 2" xfId="16864" xr:uid="{00000000-0005-0000-0000-0000E9400000}"/>
    <cellStyle name="Финансовый 6 2 3 2 5" xfId="10828" xr:uid="{00000000-0005-0000-0000-0000EA400000}"/>
    <cellStyle name="Финансовый 6 2 3 3" xfId="1217" xr:uid="{00000000-0005-0000-0000-0000EB400000}"/>
    <cellStyle name="Финансовый 6 2 3 3 2" xfId="7257" xr:uid="{00000000-0005-0000-0000-0000EC400000}"/>
    <cellStyle name="Финансовый 6 2 3 3 2 2" xfId="15900" xr:uid="{00000000-0005-0000-0000-0000ED400000}"/>
    <cellStyle name="Финансовый 6 2 3 3 3" xfId="9864" xr:uid="{00000000-0005-0000-0000-0000EE400000}"/>
    <cellStyle name="Финансовый 6 2 3 4" xfId="824" xr:uid="{00000000-0005-0000-0000-0000EF400000}"/>
    <cellStyle name="Финансовый 6 2 3 4 2" xfId="6864" xr:uid="{00000000-0005-0000-0000-0000F0400000}"/>
    <cellStyle name="Финансовый 6 2 3 4 2 2" xfId="15507" xr:uid="{00000000-0005-0000-0000-0000F1400000}"/>
    <cellStyle name="Финансовый 6 2 3 4 3" xfId="9471" xr:uid="{00000000-0005-0000-0000-0000F2400000}"/>
    <cellStyle name="Финансовый 6 2 3 5" xfId="3001" xr:uid="{00000000-0005-0000-0000-0000F3400000}"/>
    <cellStyle name="Финансовый 6 2 3 5 2" xfId="11646" xr:uid="{00000000-0005-0000-0000-0000F4400000}"/>
    <cellStyle name="Финансовый 6 2 3 6" xfId="4645" xr:uid="{00000000-0005-0000-0000-0000F5400000}"/>
    <cellStyle name="Финансовый 6 2 3 6 2" xfId="13290" xr:uid="{00000000-0005-0000-0000-0000F6400000}"/>
    <cellStyle name="Финансовый 6 2 3 7" xfId="6444" xr:uid="{00000000-0005-0000-0000-0000F7400000}"/>
    <cellStyle name="Финансовый 6 2 3 7 2" xfId="15087" xr:uid="{00000000-0005-0000-0000-0000F8400000}"/>
    <cellStyle name="Финансовый 6 2 3 8" xfId="9051" xr:uid="{00000000-0005-0000-0000-0000F9400000}"/>
    <cellStyle name="Финансовый 6 2 4" xfId="1553" xr:uid="{00000000-0005-0000-0000-0000FA400000}"/>
    <cellStyle name="Финансовый 6 2 4 2" xfId="1927" xr:uid="{00000000-0005-0000-0000-0000FB400000}"/>
    <cellStyle name="Финансовый 6 2 4 2 2" xfId="3572" xr:uid="{00000000-0005-0000-0000-0000FC400000}"/>
    <cellStyle name="Финансовый 6 2 4 2 2 2" xfId="12217" xr:uid="{00000000-0005-0000-0000-0000FD400000}"/>
    <cellStyle name="Финансовый 6 2 4 2 3" xfId="5355" xr:uid="{00000000-0005-0000-0000-0000FE400000}"/>
    <cellStyle name="Финансовый 6 2 4 2 3 2" xfId="13998" xr:uid="{00000000-0005-0000-0000-0000FF400000}"/>
    <cellStyle name="Финансовый 6 2 4 2 4" xfId="7965" xr:uid="{00000000-0005-0000-0000-000000410000}"/>
    <cellStyle name="Финансовый 6 2 4 2 4 2" xfId="16608" xr:uid="{00000000-0005-0000-0000-000001410000}"/>
    <cellStyle name="Финансовый 6 2 4 2 5" xfId="10572" xr:uid="{00000000-0005-0000-0000-000002410000}"/>
    <cellStyle name="Финансовый 6 2 4 3" xfId="4981" xr:uid="{00000000-0005-0000-0000-000003410000}"/>
    <cellStyle name="Финансовый 6 2 4 3 2" xfId="13624" xr:uid="{00000000-0005-0000-0000-000004410000}"/>
    <cellStyle name="Финансовый 6 2 4 4" xfId="7591" xr:uid="{00000000-0005-0000-0000-000005410000}"/>
    <cellStyle name="Финансовый 6 2 4 4 2" xfId="16234" xr:uid="{00000000-0005-0000-0000-000006410000}"/>
    <cellStyle name="Финансовый 6 2 4 5" xfId="10198" xr:uid="{00000000-0005-0000-0000-000007410000}"/>
    <cellStyle name="Финансовый 6 2 5" xfId="1803" xr:uid="{00000000-0005-0000-0000-000008410000}"/>
    <cellStyle name="Финансовый 6 2 5 2" xfId="3448" xr:uid="{00000000-0005-0000-0000-000009410000}"/>
    <cellStyle name="Финансовый 6 2 5 2 2" xfId="12093" xr:uid="{00000000-0005-0000-0000-00000A410000}"/>
    <cellStyle name="Финансовый 6 2 5 3" xfId="5231" xr:uid="{00000000-0005-0000-0000-00000B410000}"/>
    <cellStyle name="Финансовый 6 2 5 3 2" xfId="13874" xr:uid="{00000000-0005-0000-0000-00000C410000}"/>
    <cellStyle name="Финансовый 6 2 5 4" xfId="7841" xr:uid="{00000000-0005-0000-0000-00000D410000}"/>
    <cellStyle name="Финансовый 6 2 5 4 2" xfId="16484" xr:uid="{00000000-0005-0000-0000-00000E410000}"/>
    <cellStyle name="Финансовый 6 2 5 5" xfId="10448" xr:uid="{00000000-0005-0000-0000-00000F410000}"/>
    <cellStyle name="Финансовый 6 2 6" xfId="2448" xr:uid="{00000000-0005-0000-0000-000010410000}"/>
    <cellStyle name="Финансовый 6 2 6 2" xfId="4093" xr:uid="{00000000-0005-0000-0000-000011410000}"/>
    <cellStyle name="Финансовый 6 2 6 2 2" xfId="12738" xr:uid="{00000000-0005-0000-0000-000012410000}"/>
    <cellStyle name="Финансовый 6 2 6 3" xfId="5876" xr:uid="{00000000-0005-0000-0000-000013410000}"/>
    <cellStyle name="Финансовый 6 2 6 3 2" xfId="14519" xr:uid="{00000000-0005-0000-0000-000014410000}"/>
    <cellStyle name="Финансовый 6 2 6 4" xfId="8486" xr:uid="{00000000-0005-0000-0000-000015410000}"/>
    <cellStyle name="Финансовый 6 2 6 4 2" xfId="17129" xr:uid="{00000000-0005-0000-0000-000016410000}"/>
    <cellStyle name="Финансовый 6 2 6 5" xfId="11093" xr:uid="{00000000-0005-0000-0000-000017410000}"/>
    <cellStyle name="Финансовый 6 2 7" xfId="1675" xr:uid="{00000000-0005-0000-0000-000018410000}"/>
    <cellStyle name="Финансовый 6 2 7 2" xfId="3320" xr:uid="{00000000-0005-0000-0000-000019410000}"/>
    <cellStyle name="Финансовый 6 2 7 2 2" xfId="11965" xr:uid="{00000000-0005-0000-0000-00001A410000}"/>
    <cellStyle name="Финансовый 6 2 7 3" xfId="5103" xr:uid="{00000000-0005-0000-0000-00001B410000}"/>
    <cellStyle name="Финансовый 6 2 7 3 2" xfId="13746" xr:uid="{00000000-0005-0000-0000-00001C410000}"/>
    <cellStyle name="Финансовый 6 2 7 4" xfId="7713" xr:uid="{00000000-0005-0000-0000-00001D410000}"/>
    <cellStyle name="Финансовый 6 2 7 4 2" xfId="16356" xr:uid="{00000000-0005-0000-0000-00001E410000}"/>
    <cellStyle name="Финансовый 6 2 7 5" xfId="10320" xr:uid="{00000000-0005-0000-0000-00001F410000}"/>
    <cellStyle name="Финансовый 6 2 8" xfId="952" xr:uid="{00000000-0005-0000-0000-000020410000}"/>
    <cellStyle name="Финансовый 6 2 8 2" xfId="6992" xr:uid="{00000000-0005-0000-0000-000021410000}"/>
    <cellStyle name="Финансовый 6 2 8 2 2" xfId="15635" xr:uid="{00000000-0005-0000-0000-000022410000}"/>
    <cellStyle name="Финансовый 6 2 8 3" xfId="9599" xr:uid="{00000000-0005-0000-0000-000023410000}"/>
    <cellStyle name="Финансовый 6 2 9" xfId="540" xr:uid="{00000000-0005-0000-0000-000024410000}"/>
    <cellStyle name="Финансовый 6 2 9 2" xfId="6580" xr:uid="{00000000-0005-0000-0000-000025410000}"/>
    <cellStyle name="Финансовый 6 2 9 2 2" xfId="15223" xr:uid="{00000000-0005-0000-0000-000026410000}"/>
    <cellStyle name="Финансовый 6 2 9 3" xfId="9187" xr:uid="{00000000-0005-0000-0000-000027410000}"/>
    <cellStyle name="Финансовый 6 3" xfId="83" xr:uid="{00000000-0005-0000-0000-000028410000}"/>
    <cellStyle name="Финансовый 6 3 10" xfId="2693" xr:uid="{00000000-0005-0000-0000-000029410000}"/>
    <cellStyle name="Финансовый 6 3 10 2" xfId="11338" xr:uid="{00000000-0005-0000-0000-00002A410000}"/>
    <cellStyle name="Финансовый 6 3 11" xfId="4337" xr:uid="{00000000-0005-0000-0000-00002B410000}"/>
    <cellStyle name="Финансовый 6 3 11 2" xfId="12982" xr:uid="{00000000-0005-0000-0000-00002C410000}"/>
    <cellStyle name="Финансовый 6 3 12" xfId="6124" xr:uid="{00000000-0005-0000-0000-00002D410000}"/>
    <cellStyle name="Финансовый 6 3 12 2" xfId="14767" xr:uid="{00000000-0005-0000-0000-00002E410000}"/>
    <cellStyle name="Финансовый 6 3 13" xfId="8731" xr:uid="{00000000-0005-0000-0000-00002F410000}"/>
    <cellStyle name="Финансовый 6 3 2" xfId="219" xr:uid="{00000000-0005-0000-0000-000030410000}"/>
    <cellStyle name="Финансовый 6 3 2 10" xfId="8867" xr:uid="{00000000-0005-0000-0000-000031410000}"/>
    <cellStyle name="Финансовый 6 3 2 2" xfId="1317" xr:uid="{00000000-0005-0000-0000-000032410000}"/>
    <cellStyle name="Финансовый 6 3 2 2 2" xfId="2275" xr:uid="{00000000-0005-0000-0000-000033410000}"/>
    <cellStyle name="Финансовый 6 3 2 2 2 2" xfId="3920" xr:uid="{00000000-0005-0000-0000-000034410000}"/>
    <cellStyle name="Финансовый 6 3 2 2 2 2 2" xfId="12565" xr:uid="{00000000-0005-0000-0000-000035410000}"/>
    <cellStyle name="Финансовый 6 3 2 2 2 3" xfId="5703" xr:uid="{00000000-0005-0000-0000-000036410000}"/>
    <cellStyle name="Финансовый 6 3 2 2 2 3 2" xfId="14346" xr:uid="{00000000-0005-0000-0000-000037410000}"/>
    <cellStyle name="Финансовый 6 3 2 2 2 4" xfId="8313" xr:uid="{00000000-0005-0000-0000-000038410000}"/>
    <cellStyle name="Финансовый 6 3 2 2 2 4 2" xfId="16956" xr:uid="{00000000-0005-0000-0000-000039410000}"/>
    <cellStyle name="Финансовый 6 3 2 2 2 5" xfId="10920" xr:uid="{00000000-0005-0000-0000-00003A410000}"/>
    <cellStyle name="Финансовый 6 3 2 2 3" xfId="3101" xr:uid="{00000000-0005-0000-0000-00003B410000}"/>
    <cellStyle name="Финансовый 6 3 2 2 3 2" xfId="11746" xr:uid="{00000000-0005-0000-0000-00003C410000}"/>
    <cellStyle name="Финансовый 6 3 2 2 4" xfId="4745" xr:uid="{00000000-0005-0000-0000-00003D410000}"/>
    <cellStyle name="Финансовый 6 3 2 2 4 2" xfId="13390" xr:uid="{00000000-0005-0000-0000-00003E410000}"/>
    <cellStyle name="Финансовый 6 3 2 2 5" xfId="7357" xr:uid="{00000000-0005-0000-0000-00003F410000}"/>
    <cellStyle name="Финансовый 6 3 2 2 5 2" xfId="16000" xr:uid="{00000000-0005-0000-0000-000040410000}"/>
    <cellStyle name="Финансовый 6 3 2 2 6" xfId="9964" xr:uid="{00000000-0005-0000-0000-000041410000}"/>
    <cellStyle name="Финансовый 6 3 2 3" xfId="2019" xr:uid="{00000000-0005-0000-0000-000042410000}"/>
    <cellStyle name="Финансовый 6 3 2 3 2" xfId="3664" xr:uid="{00000000-0005-0000-0000-000043410000}"/>
    <cellStyle name="Финансовый 6 3 2 3 2 2" xfId="12309" xr:uid="{00000000-0005-0000-0000-000044410000}"/>
    <cellStyle name="Финансовый 6 3 2 3 3" xfId="5447" xr:uid="{00000000-0005-0000-0000-000045410000}"/>
    <cellStyle name="Финансовый 6 3 2 3 3 2" xfId="14090" xr:uid="{00000000-0005-0000-0000-000046410000}"/>
    <cellStyle name="Финансовый 6 3 2 3 4" xfId="8057" xr:uid="{00000000-0005-0000-0000-000047410000}"/>
    <cellStyle name="Финансовый 6 3 2 3 4 2" xfId="16700" xr:uid="{00000000-0005-0000-0000-000048410000}"/>
    <cellStyle name="Финансовый 6 3 2 3 5" xfId="10664" xr:uid="{00000000-0005-0000-0000-000049410000}"/>
    <cellStyle name="Финансовый 6 3 2 4" xfId="2548" xr:uid="{00000000-0005-0000-0000-00004A410000}"/>
    <cellStyle name="Финансовый 6 3 2 4 2" xfId="4193" xr:uid="{00000000-0005-0000-0000-00004B410000}"/>
    <cellStyle name="Финансовый 6 3 2 4 2 2" xfId="12838" xr:uid="{00000000-0005-0000-0000-00004C410000}"/>
    <cellStyle name="Финансовый 6 3 2 4 3" xfId="5976" xr:uid="{00000000-0005-0000-0000-00004D410000}"/>
    <cellStyle name="Финансовый 6 3 2 4 3 2" xfId="14619" xr:uid="{00000000-0005-0000-0000-00004E410000}"/>
    <cellStyle name="Финансовый 6 3 2 4 4" xfId="8586" xr:uid="{00000000-0005-0000-0000-00004F410000}"/>
    <cellStyle name="Финансовый 6 3 2 4 4 2" xfId="17229" xr:uid="{00000000-0005-0000-0000-000050410000}"/>
    <cellStyle name="Финансовый 6 3 2 4 5" xfId="11193" xr:uid="{00000000-0005-0000-0000-000051410000}"/>
    <cellStyle name="Финансовый 6 3 2 5" xfId="1052" xr:uid="{00000000-0005-0000-0000-000052410000}"/>
    <cellStyle name="Финансовый 6 3 2 5 2" xfId="7092" xr:uid="{00000000-0005-0000-0000-000053410000}"/>
    <cellStyle name="Финансовый 6 3 2 5 2 2" xfId="15735" xr:uid="{00000000-0005-0000-0000-000054410000}"/>
    <cellStyle name="Финансовый 6 3 2 5 3" xfId="9699" xr:uid="{00000000-0005-0000-0000-000055410000}"/>
    <cellStyle name="Финансовый 6 3 2 6" xfId="640" xr:uid="{00000000-0005-0000-0000-000056410000}"/>
    <cellStyle name="Финансовый 6 3 2 6 2" xfId="6680" xr:uid="{00000000-0005-0000-0000-000057410000}"/>
    <cellStyle name="Финансовый 6 3 2 6 2 2" xfId="15323" xr:uid="{00000000-0005-0000-0000-000058410000}"/>
    <cellStyle name="Финансовый 6 3 2 6 3" xfId="9287" xr:uid="{00000000-0005-0000-0000-000059410000}"/>
    <cellStyle name="Финансовый 6 3 2 7" xfId="2829" xr:uid="{00000000-0005-0000-0000-00005A410000}"/>
    <cellStyle name="Финансовый 6 3 2 7 2" xfId="11474" xr:uid="{00000000-0005-0000-0000-00005B410000}"/>
    <cellStyle name="Финансовый 6 3 2 8" xfId="4473" xr:uid="{00000000-0005-0000-0000-00005C410000}"/>
    <cellStyle name="Финансовый 6 3 2 8 2" xfId="13118" xr:uid="{00000000-0005-0000-0000-00005D410000}"/>
    <cellStyle name="Финансовый 6 3 2 9" xfId="6260" xr:uid="{00000000-0005-0000-0000-00005E410000}"/>
    <cellStyle name="Финансовый 6 3 2 9 2" xfId="14903" xr:uid="{00000000-0005-0000-0000-00005F410000}"/>
    <cellStyle name="Финансовый 6 3 3" xfId="368" xr:uid="{00000000-0005-0000-0000-000060410000}"/>
    <cellStyle name="Финансовый 6 3 3 2" xfId="2147" xr:uid="{00000000-0005-0000-0000-000061410000}"/>
    <cellStyle name="Финансовый 6 3 3 2 2" xfId="3792" xr:uid="{00000000-0005-0000-0000-000062410000}"/>
    <cellStyle name="Финансовый 6 3 3 2 2 2" xfId="12437" xr:uid="{00000000-0005-0000-0000-000063410000}"/>
    <cellStyle name="Финансовый 6 3 3 2 3" xfId="5575" xr:uid="{00000000-0005-0000-0000-000064410000}"/>
    <cellStyle name="Финансовый 6 3 3 2 3 2" xfId="14218" xr:uid="{00000000-0005-0000-0000-000065410000}"/>
    <cellStyle name="Финансовый 6 3 3 2 4" xfId="8185" xr:uid="{00000000-0005-0000-0000-000066410000}"/>
    <cellStyle name="Финансовый 6 3 3 2 4 2" xfId="16828" xr:uid="{00000000-0005-0000-0000-000067410000}"/>
    <cellStyle name="Финансовый 6 3 3 2 5" xfId="10792" xr:uid="{00000000-0005-0000-0000-000068410000}"/>
    <cellStyle name="Финансовый 6 3 3 3" xfId="1181" xr:uid="{00000000-0005-0000-0000-000069410000}"/>
    <cellStyle name="Финансовый 6 3 3 3 2" xfId="7221" xr:uid="{00000000-0005-0000-0000-00006A410000}"/>
    <cellStyle name="Финансовый 6 3 3 3 2 2" xfId="15864" xr:uid="{00000000-0005-0000-0000-00006B410000}"/>
    <cellStyle name="Финансовый 6 3 3 3 3" xfId="9828" xr:uid="{00000000-0005-0000-0000-00006C410000}"/>
    <cellStyle name="Финансовый 6 3 3 4" xfId="788" xr:uid="{00000000-0005-0000-0000-00006D410000}"/>
    <cellStyle name="Финансовый 6 3 3 4 2" xfId="6828" xr:uid="{00000000-0005-0000-0000-00006E410000}"/>
    <cellStyle name="Финансовый 6 3 3 4 2 2" xfId="15471" xr:uid="{00000000-0005-0000-0000-00006F410000}"/>
    <cellStyle name="Финансовый 6 3 3 4 3" xfId="9435" xr:uid="{00000000-0005-0000-0000-000070410000}"/>
    <cellStyle name="Финансовый 6 3 3 5" xfId="2965" xr:uid="{00000000-0005-0000-0000-000071410000}"/>
    <cellStyle name="Финансовый 6 3 3 5 2" xfId="11610" xr:uid="{00000000-0005-0000-0000-000072410000}"/>
    <cellStyle name="Финансовый 6 3 3 6" xfId="4609" xr:uid="{00000000-0005-0000-0000-000073410000}"/>
    <cellStyle name="Финансовый 6 3 3 6 2" xfId="13254" xr:uid="{00000000-0005-0000-0000-000074410000}"/>
    <cellStyle name="Финансовый 6 3 3 7" xfId="6408" xr:uid="{00000000-0005-0000-0000-000075410000}"/>
    <cellStyle name="Финансовый 6 3 3 7 2" xfId="15051" xr:uid="{00000000-0005-0000-0000-000076410000}"/>
    <cellStyle name="Финансовый 6 3 3 8" xfId="9015" xr:uid="{00000000-0005-0000-0000-000077410000}"/>
    <cellStyle name="Финансовый 6 3 4" xfId="1443" xr:uid="{00000000-0005-0000-0000-000078410000}"/>
    <cellStyle name="Финансовый 6 3 4 2" xfId="1891" xr:uid="{00000000-0005-0000-0000-000079410000}"/>
    <cellStyle name="Финансовый 6 3 4 2 2" xfId="3536" xr:uid="{00000000-0005-0000-0000-00007A410000}"/>
    <cellStyle name="Финансовый 6 3 4 2 2 2" xfId="12181" xr:uid="{00000000-0005-0000-0000-00007B410000}"/>
    <cellStyle name="Финансовый 6 3 4 2 3" xfId="5319" xr:uid="{00000000-0005-0000-0000-00007C410000}"/>
    <cellStyle name="Финансовый 6 3 4 2 3 2" xfId="13962" xr:uid="{00000000-0005-0000-0000-00007D410000}"/>
    <cellStyle name="Финансовый 6 3 4 2 4" xfId="7929" xr:uid="{00000000-0005-0000-0000-00007E410000}"/>
    <cellStyle name="Финансовый 6 3 4 2 4 2" xfId="16572" xr:uid="{00000000-0005-0000-0000-00007F410000}"/>
    <cellStyle name="Финансовый 6 3 4 2 5" xfId="10536" xr:uid="{00000000-0005-0000-0000-000080410000}"/>
    <cellStyle name="Финансовый 6 3 4 3" xfId="4871" xr:uid="{00000000-0005-0000-0000-000081410000}"/>
    <cellStyle name="Финансовый 6 3 4 3 2" xfId="13514" xr:uid="{00000000-0005-0000-0000-000082410000}"/>
    <cellStyle name="Финансовый 6 3 4 4" xfId="7481" xr:uid="{00000000-0005-0000-0000-000083410000}"/>
    <cellStyle name="Финансовый 6 3 4 4 2" xfId="16124" xr:uid="{00000000-0005-0000-0000-000084410000}"/>
    <cellStyle name="Финансовый 6 3 4 5" xfId="10088" xr:uid="{00000000-0005-0000-0000-000085410000}"/>
    <cellStyle name="Финансовый 6 3 5" xfId="1767" xr:uid="{00000000-0005-0000-0000-000086410000}"/>
    <cellStyle name="Финансовый 6 3 5 2" xfId="3412" xr:uid="{00000000-0005-0000-0000-000087410000}"/>
    <cellStyle name="Финансовый 6 3 5 2 2" xfId="12057" xr:uid="{00000000-0005-0000-0000-000088410000}"/>
    <cellStyle name="Финансовый 6 3 5 3" xfId="5195" xr:uid="{00000000-0005-0000-0000-000089410000}"/>
    <cellStyle name="Финансовый 6 3 5 3 2" xfId="13838" xr:uid="{00000000-0005-0000-0000-00008A410000}"/>
    <cellStyle name="Финансовый 6 3 5 4" xfId="7805" xr:uid="{00000000-0005-0000-0000-00008B410000}"/>
    <cellStyle name="Финансовый 6 3 5 4 2" xfId="16448" xr:uid="{00000000-0005-0000-0000-00008C410000}"/>
    <cellStyle name="Финансовый 6 3 5 5" xfId="10412" xr:uid="{00000000-0005-0000-0000-00008D410000}"/>
    <cellStyle name="Финансовый 6 3 6" xfId="2412" xr:uid="{00000000-0005-0000-0000-00008E410000}"/>
    <cellStyle name="Финансовый 6 3 6 2" xfId="4057" xr:uid="{00000000-0005-0000-0000-00008F410000}"/>
    <cellStyle name="Финансовый 6 3 6 2 2" xfId="12702" xr:uid="{00000000-0005-0000-0000-000090410000}"/>
    <cellStyle name="Финансовый 6 3 6 3" xfId="5840" xr:uid="{00000000-0005-0000-0000-000091410000}"/>
    <cellStyle name="Финансовый 6 3 6 3 2" xfId="14483" xr:uid="{00000000-0005-0000-0000-000092410000}"/>
    <cellStyle name="Финансовый 6 3 6 4" xfId="8450" xr:uid="{00000000-0005-0000-0000-000093410000}"/>
    <cellStyle name="Финансовый 6 3 6 4 2" xfId="17093" xr:uid="{00000000-0005-0000-0000-000094410000}"/>
    <cellStyle name="Финансовый 6 3 6 5" xfId="11057" xr:uid="{00000000-0005-0000-0000-000095410000}"/>
    <cellStyle name="Финансовый 6 3 7" xfId="1639" xr:uid="{00000000-0005-0000-0000-000096410000}"/>
    <cellStyle name="Финансовый 6 3 7 2" xfId="3284" xr:uid="{00000000-0005-0000-0000-000097410000}"/>
    <cellStyle name="Финансовый 6 3 7 2 2" xfId="11929" xr:uid="{00000000-0005-0000-0000-000098410000}"/>
    <cellStyle name="Финансовый 6 3 7 3" xfId="5067" xr:uid="{00000000-0005-0000-0000-000099410000}"/>
    <cellStyle name="Финансовый 6 3 7 3 2" xfId="13710" xr:uid="{00000000-0005-0000-0000-00009A410000}"/>
    <cellStyle name="Финансовый 6 3 7 4" xfId="7677" xr:uid="{00000000-0005-0000-0000-00009B410000}"/>
    <cellStyle name="Финансовый 6 3 7 4 2" xfId="16320" xr:uid="{00000000-0005-0000-0000-00009C410000}"/>
    <cellStyle name="Финансовый 6 3 7 5" xfId="10284" xr:uid="{00000000-0005-0000-0000-00009D410000}"/>
    <cellStyle name="Финансовый 6 3 8" xfId="916" xr:uid="{00000000-0005-0000-0000-00009E410000}"/>
    <cellStyle name="Финансовый 6 3 8 2" xfId="6956" xr:uid="{00000000-0005-0000-0000-00009F410000}"/>
    <cellStyle name="Финансовый 6 3 8 2 2" xfId="15599" xr:uid="{00000000-0005-0000-0000-0000A0410000}"/>
    <cellStyle name="Финансовый 6 3 8 3" xfId="9563" xr:uid="{00000000-0005-0000-0000-0000A1410000}"/>
    <cellStyle name="Финансовый 6 3 9" xfId="504" xr:uid="{00000000-0005-0000-0000-0000A2410000}"/>
    <cellStyle name="Финансовый 6 3 9 2" xfId="6544" xr:uid="{00000000-0005-0000-0000-0000A3410000}"/>
    <cellStyle name="Финансовый 6 3 9 2 2" xfId="15187" xr:uid="{00000000-0005-0000-0000-0000A4410000}"/>
    <cellStyle name="Финансовый 6 3 9 3" xfId="9151" xr:uid="{00000000-0005-0000-0000-0000A5410000}"/>
    <cellStyle name="Финансовый 6 4" xfId="175" xr:uid="{00000000-0005-0000-0000-0000A6410000}"/>
    <cellStyle name="Финансовый 6 4 10" xfId="8823" xr:uid="{00000000-0005-0000-0000-0000A7410000}"/>
    <cellStyle name="Финансовый 6 4 2" xfId="1273" xr:uid="{00000000-0005-0000-0000-0000A8410000}"/>
    <cellStyle name="Финансовый 6 4 2 2" xfId="2239" xr:uid="{00000000-0005-0000-0000-0000A9410000}"/>
    <cellStyle name="Финансовый 6 4 2 2 2" xfId="3884" xr:uid="{00000000-0005-0000-0000-0000AA410000}"/>
    <cellStyle name="Финансовый 6 4 2 2 2 2" xfId="12529" xr:uid="{00000000-0005-0000-0000-0000AB410000}"/>
    <cellStyle name="Финансовый 6 4 2 2 3" xfId="5667" xr:uid="{00000000-0005-0000-0000-0000AC410000}"/>
    <cellStyle name="Финансовый 6 4 2 2 3 2" xfId="14310" xr:uid="{00000000-0005-0000-0000-0000AD410000}"/>
    <cellStyle name="Финансовый 6 4 2 2 4" xfId="8277" xr:uid="{00000000-0005-0000-0000-0000AE410000}"/>
    <cellStyle name="Финансовый 6 4 2 2 4 2" xfId="16920" xr:uid="{00000000-0005-0000-0000-0000AF410000}"/>
    <cellStyle name="Финансовый 6 4 2 2 5" xfId="10884" xr:uid="{00000000-0005-0000-0000-0000B0410000}"/>
    <cellStyle name="Финансовый 6 4 2 3" xfId="3057" xr:uid="{00000000-0005-0000-0000-0000B1410000}"/>
    <cellStyle name="Финансовый 6 4 2 3 2" xfId="11702" xr:uid="{00000000-0005-0000-0000-0000B2410000}"/>
    <cellStyle name="Финансовый 6 4 2 4" xfId="4701" xr:uid="{00000000-0005-0000-0000-0000B3410000}"/>
    <cellStyle name="Финансовый 6 4 2 4 2" xfId="13346" xr:uid="{00000000-0005-0000-0000-0000B4410000}"/>
    <cellStyle name="Финансовый 6 4 2 5" xfId="7313" xr:uid="{00000000-0005-0000-0000-0000B5410000}"/>
    <cellStyle name="Финансовый 6 4 2 5 2" xfId="15956" xr:uid="{00000000-0005-0000-0000-0000B6410000}"/>
    <cellStyle name="Финансовый 6 4 2 6" xfId="9920" xr:uid="{00000000-0005-0000-0000-0000B7410000}"/>
    <cellStyle name="Финансовый 6 4 3" xfId="1983" xr:uid="{00000000-0005-0000-0000-0000B8410000}"/>
    <cellStyle name="Финансовый 6 4 3 2" xfId="3628" xr:uid="{00000000-0005-0000-0000-0000B9410000}"/>
    <cellStyle name="Финансовый 6 4 3 2 2" xfId="12273" xr:uid="{00000000-0005-0000-0000-0000BA410000}"/>
    <cellStyle name="Финансовый 6 4 3 3" xfId="5411" xr:uid="{00000000-0005-0000-0000-0000BB410000}"/>
    <cellStyle name="Финансовый 6 4 3 3 2" xfId="14054" xr:uid="{00000000-0005-0000-0000-0000BC410000}"/>
    <cellStyle name="Финансовый 6 4 3 4" xfId="8021" xr:uid="{00000000-0005-0000-0000-0000BD410000}"/>
    <cellStyle name="Финансовый 6 4 3 4 2" xfId="16664" xr:uid="{00000000-0005-0000-0000-0000BE410000}"/>
    <cellStyle name="Финансовый 6 4 3 5" xfId="10628" xr:uid="{00000000-0005-0000-0000-0000BF410000}"/>
    <cellStyle name="Финансовый 6 4 4" xfId="2504" xr:uid="{00000000-0005-0000-0000-0000C0410000}"/>
    <cellStyle name="Финансовый 6 4 4 2" xfId="4149" xr:uid="{00000000-0005-0000-0000-0000C1410000}"/>
    <cellStyle name="Финансовый 6 4 4 2 2" xfId="12794" xr:uid="{00000000-0005-0000-0000-0000C2410000}"/>
    <cellStyle name="Финансовый 6 4 4 3" xfId="5932" xr:uid="{00000000-0005-0000-0000-0000C3410000}"/>
    <cellStyle name="Финансовый 6 4 4 3 2" xfId="14575" xr:uid="{00000000-0005-0000-0000-0000C4410000}"/>
    <cellStyle name="Финансовый 6 4 4 4" xfId="8542" xr:uid="{00000000-0005-0000-0000-0000C5410000}"/>
    <cellStyle name="Финансовый 6 4 4 4 2" xfId="17185" xr:uid="{00000000-0005-0000-0000-0000C6410000}"/>
    <cellStyle name="Финансовый 6 4 4 5" xfId="11149" xr:uid="{00000000-0005-0000-0000-0000C7410000}"/>
    <cellStyle name="Финансовый 6 4 5" xfId="1008" xr:uid="{00000000-0005-0000-0000-0000C8410000}"/>
    <cellStyle name="Финансовый 6 4 5 2" xfId="7048" xr:uid="{00000000-0005-0000-0000-0000C9410000}"/>
    <cellStyle name="Финансовый 6 4 5 2 2" xfId="15691" xr:uid="{00000000-0005-0000-0000-0000CA410000}"/>
    <cellStyle name="Финансовый 6 4 5 3" xfId="9655" xr:uid="{00000000-0005-0000-0000-0000CB410000}"/>
    <cellStyle name="Финансовый 6 4 6" xfId="596" xr:uid="{00000000-0005-0000-0000-0000CC410000}"/>
    <cellStyle name="Финансовый 6 4 6 2" xfId="6636" xr:uid="{00000000-0005-0000-0000-0000CD410000}"/>
    <cellStyle name="Финансовый 6 4 6 2 2" xfId="15279" xr:uid="{00000000-0005-0000-0000-0000CE410000}"/>
    <cellStyle name="Финансовый 6 4 6 3" xfId="9243" xr:uid="{00000000-0005-0000-0000-0000CF410000}"/>
    <cellStyle name="Финансовый 6 4 7" xfId="2785" xr:uid="{00000000-0005-0000-0000-0000D0410000}"/>
    <cellStyle name="Финансовый 6 4 7 2" xfId="11430" xr:uid="{00000000-0005-0000-0000-0000D1410000}"/>
    <cellStyle name="Финансовый 6 4 8" xfId="4429" xr:uid="{00000000-0005-0000-0000-0000D2410000}"/>
    <cellStyle name="Финансовый 6 4 8 2" xfId="13074" xr:uid="{00000000-0005-0000-0000-0000D3410000}"/>
    <cellStyle name="Финансовый 6 4 9" xfId="6216" xr:uid="{00000000-0005-0000-0000-0000D4410000}"/>
    <cellStyle name="Финансовый 6 4 9 2" xfId="14859" xr:uid="{00000000-0005-0000-0000-0000D5410000}"/>
    <cellStyle name="Финансовый 6 5" xfId="324" xr:uid="{00000000-0005-0000-0000-0000D6410000}"/>
    <cellStyle name="Финансовый 6 5 2" xfId="2111" xr:uid="{00000000-0005-0000-0000-0000D7410000}"/>
    <cellStyle name="Финансовый 6 5 2 2" xfId="3756" xr:uid="{00000000-0005-0000-0000-0000D8410000}"/>
    <cellStyle name="Финансовый 6 5 2 2 2" xfId="12401" xr:uid="{00000000-0005-0000-0000-0000D9410000}"/>
    <cellStyle name="Финансовый 6 5 2 3" xfId="5539" xr:uid="{00000000-0005-0000-0000-0000DA410000}"/>
    <cellStyle name="Финансовый 6 5 2 3 2" xfId="14182" xr:uid="{00000000-0005-0000-0000-0000DB410000}"/>
    <cellStyle name="Финансовый 6 5 2 4" xfId="8149" xr:uid="{00000000-0005-0000-0000-0000DC410000}"/>
    <cellStyle name="Финансовый 6 5 2 4 2" xfId="16792" xr:uid="{00000000-0005-0000-0000-0000DD410000}"/>
    <cellStyle name="Финансовый 6 5 2 5" xfId="10756" xr:uid="{00000000-0005-0000-0000-0000DE410000}"/>
    <cellStyle name="Финансовый 6 5 3" xfId="1144" xr:uid="{00000000-0005-0000-0000-0000DF410000}"/>
    <cellStyle name="Финансовый 6 5 3 2" xfId="7184" xr:uid="{00000000-0005-0000-0000-0000E0410000}"/>
    <cellStyle name="Финансовый 6 5 3 2 2" xfId="15827" xr:uid="{00000000-0005-0000-0000-0000E1410000}"/>
    <cellStyle name="Финансовый 6 5 3 3" xfId="9791" xr:uid="{00000000-0005-0000-0000-0000E2410000}"/>
    <cellStyle name="Финансовый 6 5 4" xfId="744" xr:uid="{00000000-0005-0000-0000-0000E3410000}"/>
    <cellStyle name="Финансовый 6 5 4 2" xfId="6784" xr:uid="{00000000-0005-0000-0000-0000E4410000}"/>
    <cellStyle name="Финансовый 6 5 4 2 2" xfId="15427" xr:uid="{00000000-0005-0000-0000-0000E5410000}"/>
    <cellStyle name="Финансовый 6 5 4 3" xfId="9391" xr:uid="{00000000-0005-0000-0000-0000E6410000}"/>
    <cellStyle name="Финансовый 6 5 5" xfId="2921" xr:uid="{00000000-0005-0000-0000-0000E7410000}"/>
    <cellStyle name="Финансовый 6 5 5 2" xfId="11566" xr:uid="{00000000-0005-0000-0000-0000E8410000}"/>
    <cellStyle name="Финансовый 6 5 6" xfId="4565" xr:uid="{00000000-0005-0000-0000-0000E9410000}"/>
    <cellStyle name="Финансовый 6 5 6 2" xfId="13210" xr:uid="{00000000-0005-0000-0000-0000EA410000}"/>
    <cellStyle name="Финансовый 6 5 7" xfId="6364" xr:uid="{00000000-0005-0000-0000-0000EB410000}"/>
    <cellStyle name="Финансовый 6 5 7 2" xfId="15007" xr:uid="{00000000-0005-0000-0000-0000EC410000}"/>
    <cellStyle name="Финансовый 6 5 8" xfId="8971" xr:uid="{00000000-0005-0000-0000-0000ED410000}"/>
    <cellStyle name="Финансовый 6 6" xfId="1552" xr:uid="{00000000-0005-0000-0000-0000EE410000}"/>
    <cellStyle name="Финансовый 6 6 2" xfId="1847" xr:uid="{00000000-0005-0000-0000-0000EF410000}"/>
    <cellStyle name="Финансовый 6 6 2 2" xfId="3492" xr:uid="{00000000-0005-0000-0000-0000F0410000}"/>
    <cellStyle name="Финансовый 6 6 2 2 2" xfId="12137" xr:uid="{00000000-0005-0000-0000-0000F1410000}"/>
    <cellStyle name="Финансовый 6 6 2 3" xfId="5275" xr:uid="{00000000-0005-0000-0000-0000F2410000}"/>
    <cellStyle name="Финансовый 6 6 2 3 2" xfId="13918" xr:uid="{00000000-0005-0000-0000-0000F3410000}"/>
    <cellStyle name="Финансовый 6 6 2 4" xfId="7885" xr:uid="{00000000-0005-0000-0000-0000F4410000}"/>
    <cellStyle name="Финансовый 6 6 2 4 2" xfId="16528" xr:uid="{00000000-0005-0000-0000-0000F5410000}"/>
    <cellStyle name="Финансовый 6 6 2 5" xfId="10492" xr:uid="{00000000-0005-0000-0000-0000F6410000}"/>
    <cellStyle name="Финансовый 6 6 3" xfId="4980" xr:uid="{00000000-0005-0000-0000-0000F7410000}"/>
    <cellStyle name="Финансовый 6 6 3 2" xfId="13623" xr:uid="{00000000-0005-0000-0000-0000F8410000}"/>
    <cellStyle name="Финансовый 6 6 4" xfId="7590" xr:uid="{00000000-0005-0000-0000-0000F9410000}"/>
    <cellStyle name="Финансовый 6 6 4 2" xfId="16233" xr:uid="{00000000-0005-0000-0000-0000FA410000}"/>
    <cellStyle name="Финансовый 6 6 5" xfId="10197" xr:uid="{00000000-0005-0000-0000-0000FB410000}"/>
    <cellStyle name="Финансовый 6 7" xfId="1731" xr:uid="{00000000-0005-0000-0000-0000FC410000}"/>
    <cellStyle name="Финансовый 6 7 2" xfId="3376" xr:uid="{00000000-0005-0000-0000-0000FD410000}"/>
    <cellStyle name="Финансовый 6 7 2 2" xfId="12021" xr:uid="{00000000-0005-0000-0000-0000FE410000}"/>
    <cellStyle name="Финансовый 6 7 3" xfId="5159" xr:uid="{00000000-0005-0000-0000-0000FF410000}"/>
    <cellStyle name="Финансовый 6 7 3 2" xfId="13802" xr:uid="{00000000-0005-0000-0000-000000420000}"/>
    <cellStyle name="Финансовый 6 7 4" xfId="7769" xr:uid="{00000000-0005-0000-0000-000001420000}"/>
    <cellStyle name="Финансовый 6 7 4 2" xfId="16412" xr:uid="{00000000-0005-0000-0000-000002420000}"/>
    <cellStyle name="Финансовый 6 7 5" xfId="10376" xr:uid="{00000000-0005-0000-0000-000003420000}"/>
    <cellStyle name="Финансовый 6 8" xfId="2367" xr:uid="{00000000-0005-0000-0000-000004420000}"/>
    <cellStyle name="Финансовый 6 8 2" xfId="4012" xr:uid="{00000000-0005-0000-0000-000005420000}"/>
    <cellStyle name="Финансовый 6 8 2 2" xfId="12657" xr:uid="{00000000-0005-0000-0000-000006420000}"/>
    <cellStyle name="Финансовый 6 8 3" xfId="5795" xr:uid="{00000000-0005-0000-0000-000007420000}"/>
    <cellStyle name="Финансовый 6 8 3 2" xfId="14438" xr:uid="{00000000-0005-0000-0000-000008420000}"/>
    <cellStyle name="Финансовый 6 8 4" xfId="8405" xr:uid="{00000000-0005-0000-0000-000009420000}"/>
    <cellStyle name="Финансовый 6 8 4 2" xfId="17048" xr:uid="{00000000-0005-0000-0000-00000A420000}"/>
    <cellStyle name="Финансовый 6 8 5" xfId="11012" xr:uid="{00000000-0005-0000-0000-00000B420000}"/>
    <cellStyle name="Финансовый 6 9" xfId="1594" xr:uid="{00000000-0005-0000-0000-00000C420000}"/>
    <cellStyle name="Финансовый 6 9 2" xfId="3239" xr:uid="{00000000-0005-0000-0000-00000D420000}"/>
    <cellStyle name="Финансовый 6 9 2 2" xfId="11884" xr:uid="{00000000-0005-0000-0000-00000E420000}"/>
    <cellStyle name="Финансовый 6 9 3" xfId="5022" xr:uid="{00000000-0005-0000-0000-00000F420000}"/>
    <cellStyle name="Финансовый 6 9 3 2" xfId="13665" xr:uid="{00000000-0005-0000-0000-000010420000}"/>
    <cellStyle name="Финансовый 6 9 4" xfId="7632" xr:uid="{00000000-0005-0000-0000-000011420000}"/>
    <cellStyle name="Финансовый 6 9 4 2" xfId="16275" xr:uid="{00000000-0005-0000-0000-000012420000}"/>
    <cellStyle name="Финансовый 6 9 5" xfId="10239" xr:uid="{00000000-0005-0000-0000-000013420000}"/>
    <cellStyle name="Финансовый 7" xfId="89" xr:uid="{00000000-0005-0000-0000-000014420000}"/>
    <cellStyle name="Финансовый 7 10" xfId="2699" xr:uid="{00000000-0005-0000-0000-000015420000}"/>
    <cellStyle name="Финансовый 7 10 2" xfId="11344" xr:uid="{00000000-0005-0000-0000-000016420000}"/>
    <cellStyle name="Финансовый 7 11" xfId="4343" xr:uid="{00000000-0005-0000-0000-000017420000}"/>
    <cellStyle name="Финансовый 7 11 2" xfId="12988" xr:uid="{00000000-0005-0000-0000-000018420000}"/>
    <cellStyle name="Финансовый 7 12" xfId="6130" xr:uid="{00000000-0005-0000-0000-000019420000}"/>
    <cellStyle name="Финансовый 7 12 2" xfId="14773" xr:uid="{00000000-0005-0000-0000-00001A420000}"/>
    <cellStyle name="Финансовый 7 13" xfId="8737" xr:uid="{00000000-0005-0000-0000-00001B420000}"/>
    <cellStyle name="Финансовый 7 2" xfId="225" xr:uid="{00000000-0005-0000-0000-00001C420000}"/>
    <cellStyle name="Финансовый 7 2 10" xfId="8873" xr:uid="{00000000-0005-0000-0000-00001D420000}"/>
    <cellStyle name="Финансовый 7 2 2" xfId="1323" xr:uid="{00000000-0005-0000-0000-00001E420000}"/>
    <cellStyle name="Финансовый 7 2 2 2" xfId="2281" xr:uid="{00000000-0005-0000-0000-00001F420000}"/>
    <cellStyle name="Финансовый 7 2 2 2 2" xfId="3926" xr:uid="{00000000-0005-0000-0000-000020420000}"/>
    <cellStyle name="Финансовый 7 2 2 2 2 2" xfId="12571" xr:uid="{00000000-0005-0000-0000-000021420000}"/>
    <cellStyle name="Финансовый 7 2 2 2 3" xfId="5709" xr:uid="{00000000-0005-0000-0000-000022420000}"/>
    <cellStyle name="Финансовый 7 2 2 2 3 2" xfId="14352" xr:uid="{00000000-0005-0000-0000-000023420000}"/>
    <cellStyle name="Финансовый 7 2 2 2 4" xfId="8319" xr:uid="{00000000-0005-0000-0000-000024420000}"/>
    <cellStyle name="Финансовый 7 2 2 2 4 2" xfId="16962" xr:uid="{00000000-0005-0000-0000-000025420000}"/>
    <cellStyle name="Финансовый 7 2 2 2 5" xfId="10926" xr:uid="{00000000-0005-0000-0000-000026420000}"/>
    <cellStyle name="Финансовый 7 2 2 3" xfId="3107" xr:uid="{00000000-0005-0000-0000-000027420000}"/>
    <cellStyle name="Финансовый 7 2 2 3 2" xfId="11752" xr:uid="{00000000-0005-0000-0000-000028420000}"/>
    <cellStyle name="Финансовый 7 2 2 4" xfId="4751" xr:uid="{00000000-0005-0000-0000-000029420000}"/>
    <cellStyle name="Финансовый 7 2 2 4 2" xfId="13396" xr:uid="{00000000-0005-0000-0000-00002A420000}"/>
    <cellStyle name="Финансовый 7 2 2 5" xfId="7363" xr:uid="{00000000-0005-0000-0000-00002B420000}"/>
    <cellStyle name="Финансовый 7 2 2 5 2" xfId="16006" xr:uid="{00000000-0005-0000-0000-00002C420000}"/>
    <cellStyle name="Финансовый 7 2 2 6" xfId="9970" xr:uid="{00000000-0005-0000-0000-00002D420000}"/>
    <cellStyle name="Финансовый 7 2 3" xfId="2025" xr:uid="{00000000-0005-0000-0000-00002E420000}"/>
    <cellStyle name="Финансовый 7 2 3 2" xfId="3670" xr:uid="{00000000-0005-0000-0000-00002F420000}"/>
    <cellStyle name="Финансовый 7 2 3 2 2" xfId="12315" xr:uid="{00000000-0005-0000-0000-000030420000}"/>
    <cellStyle name="Финансовый 7 2 3 3" xfId="5453" xr:uid="{00000000-0005-0000-0000-000031420000}"/>
    <cellStyle name="Финансовый 7 2 3 3 2" xfId="14096" xr:uid="{00000000-0005-0000-0000-000032420000}"/>
    <cellStyle name="Финансовый 7 2 3 4" xfId="8063" xr:uid="{00000000-0005-0000-0000-000033420000}"/>
    <cellStyle name="Финансовый 7 2 3 4 2" xfId="16706" xr:uid="{00000000-0005-0000-0000-000034420000}"/>
    <cellStyle name="Финансовый 7 2 3 5" xfId="10670" xr:uid="{00000000-0005-0000-0000-000035420000}"/>
    <cellStyle name="Финансовый 7 2 4" xfId="2554" xr:uid="{00000000-0005-0000-0000-000036420000}"/>
    <cellStyle name="Финансовый 7 2 4 2" xfId="4199" xr:uid="{00000000-0005-0000-0000-000037420000}"/>
    <cellStyle name="Финансовый 7 2 4 2 2" xfId="12844" xr:uid="{00000000-0005-0000-0000-000038420000}"/>
    <cellStyle name="Финансовый 7 2 4 3" xfId="5982" xr:uid="{00000000-0005-0000-0000-000039420000}"/>
    <cellStyle name="Финансовый 7 2 4 3 2" xfId="14625" xr:uid="{00000000-0005-0000-0000-00003A420000}"/>
    <cellStyle name="Финансовый 7 2 4 4" xfId="8592" xr:uid="{00000000-0005-0000-0000-00003B420000}"/>
    <cellStyle name="Финансовый 7 2 4 4 2" xfId="17235" xr:uid="{00000000-0005-0000-0000-00003C420000}"/>
    <cellStyle name="Финансовый 7 2 4 5" xfId="11199" xr:uid="{00000000-0005-0000-0000-00003D420000}"/>
    <cellStyle name="Финансовый 7 2 5" xfId="1058" xr:uid="{00000000-0005-0000-0000-00003E420000}"/>
    <cellStyle name="Финансовый 7 2 5 2" xfId="7098" xr:uid="{00000000-0005-0000-0000-00003F420000}"/>
    <cellStyle name="Финансовый 7 2 5 2 2" xfId="15741" xr:uid="{00000000-0005-0000-0000-000040420000}"/>
    <cellStyle name="Финансовый 7 2 5 3" xfId="9705" xr:uid="{00000000-0005-0000-0000-000041420000}"/>
    <cellStyle name="Финансовый 7 2 6" xfId="646" xr:uid="{00000000-0005-0000-0000-000042420000}"/>
    <cellStyle name="Финансовый 7 2 6 2" xfId="6686" xr:uid="{00000000-0005-0000-0000-000043420000}"/>
    <cellStyle name="Финансовый 7 2 6 2 2" xfId="15329" xr:uid="{00000000-0005-0000-0000-000044420000}"/>
    <cellStyle name="Финансовый 7 2 6 3" xfId="9293" xr:uid="{00000000-0005-0000-0000-000045420000}"/>
    <cellStyle name="Финансовый 7 2 7" xfId="2835" xr:uid="{00000000-0005-0000-0000-000046420000}"/>
    <cellStyle name="Финансовый 7 2 7 2" xfId="11480" xr:uid="{00000000-0005-0000-0000-000047420000}"/>
    <cellStyle name="Финансовый 7 2 8" xfId="4479" xr:uid="{00000000-0005-0000-0000-000048420000}"/>
    <cellStyle name="Финансовый 7 2 8 2" xfId="13124" xr:uid="{00000000-0005-0000-0000-000049420000}"/>
    <cellStyle name="Финансовый 7 2 9" xfId="6266" xr:uid="{00000000-0005-0000-0000-00004A420000}"/>
    <cellStyle name="Финансовый 7 2 9 2" xfId="14909" xr:uid="{00000000-0005-0000-0000-00004B420000}"/>
    <cellStyle name="Финансовый 7 3" xfId="374" xr:uid="{00000000-0005-0000-0000-00004C420000}"/>
    <cellStyle name="Финансовый 7 3 2" xfId="2153" xr:uid="{00000000-0005-0000-0000-00004D420000}"/>
    <cellStyle name="Финансовый 7 3 2 2" xfId="3798" xr:uid="{00000000-0005-0000-0000-00004E420000}"/>
    <cellStyle name="Финансовый 7 3 2 2 2" xfId="12443" xr:uid="{00000000-0005-0000-0000-00004F420000}"/>
    <cellStyle name="Финансовый 7 3 2 3" xfId="5581" xr:uid="{00000000-0005-0000-0000-000050420000}"/>
    <cellStyle name="Финансовый 7 3 2 3 2" xfId="14224" xr:uid="{00000000-0005-0000-0000-000051420000}"/>
    <cellStyle name="Финансовый 7 3 2 4" xfId="8191" xr:uid="{00000000-0005-0000-0000-000052420000}"/>
    <cellStyle name="Финансовый 7 3 2 4 2" xfId="16834" xr:uid="{00000000-0005-0000-0000-000053420000}"/>
    <cellStyle name="Финансовый 7 3 2 5" xfId="10798" xr:uid="{00000000-0005-0000-0000-000054420000}"/>
    <cellStyle name="Финансовый 7 3 3" xfId="1187" xr:uid="{00000000-0005-0000-0000-000055420000}"/>
    <cellStyle name="Финансовый 7 3 3 2" xfId="7227" xr:uid="{00000000-0005-0000-0000-000056420000}"/>
    <cellStyle name="Финансовый 7 3 3 2 2" xfId="15870" xr:uid="{00000000-0005-0000-0000-000057420000}"/>
    <cellStyle name="Финансовый 7 3 3 3" xfId="9834" xr:uid="{00000000-0005-0000-0000-000058420000}"/>
    <cellStyle name="Финансовый 7 3 4" xfId="794" xr:uid="{00000000-0005-0000-0000-000059420000}"/>
    <cellStyle name="Финансовый 7 3 4 2" xfId="6834" xr:uid="{00000000-0005-0000-0000-00005A420000}"/>
    <cellStyle name="Финансовый 7 3 4 2 2" xfId="15477" xr:uid="{00000000-0005-0000-0000-00005B420000}"/>
    <cellStyle name="Финансовый 7 3 4 3" xfId="9441" xr:uid="{00000000-0005-0000-0000-00005C420000}"/>
    <cellStyle name="Финансовый 7 3 5" xfId="2971" xr:uid="{00000000-0005-0000-0000-00005D420000}"/>
    <cellStyle name="Финансовый 7 3 5 2" xfId="11616" xr:uid="{00000000-0005-0000-0000-00005E420000}"/>
    <cellStyle name="Финансовый 7 3 6" xfId="4615" xr:uid="{00000000-0005-0000-0000-00005F420000}"/>
    <cellStyle name="Финансовый 7 3 6 2" xfId="13260" xr:uid="{00000000-0005-0000-0000-000060420000}"/>
    <cellStyle name="Финансовый 7 3 7" xfId="6414" xr:uid="{00000000-0005-0000-0000-000061420000}"/>
    <cellStyle name="Финансовый 7 3 7 2" xfId="15057" xr:uid="{00000000-0005-0000-0000-000062420000}"/>
    <cellStyle name="Финансовый 7 3 8" xfId="9021" xr:uid="{00000000-0005-0000-0000-000063420000}"/>
    <cellStyle name="Финансовый 7 4" xfId="1554" xr:uid="{00000000-0005-0000-0000-000064420000}"/>
    <cellStyle name="Финансовый 7 4 2" xfId="1897" xr:uid="{00000000-0005-0000-0000-000065420000}"/>
    <cellStyle name="Финансовый 7 4 2 2" xfId="3542" xr:uid="{00000000-0005-0000-0000-000066420000}"/>
    <cellStyle name="Финансовый 7 4 2 2 2" xfId="12187" xr:uid="{00000000-0005-0000-0000-000067420000}"/>
    <cellStyle name="Финансовый 7 4 2 3" xfId="5325" xr:uid="{00000000-0005-0000-0000-000068420000}"/>
    <cellStyle name="Финансовый 7 4 2 3 2" xfId="13968" xr:uid="{00000000-0005-0000-0000-000069420000}"/>
    <cellStyle name="Финансовый 7 4 2 4" xfId="7935" xr:uid="{00000000-0005-0000-0000-00006A420000}"/>
    <cellStyle name="Финансовый 7 4 2 4 2" xfId="16578" xr:uid="{00000000-0005-0000-0000-00006B420000}"/>
    <cellStyle name="Финансовый 7 4 2 5" xfId="10542" xr:uid="{00000000-0005-0000-0000-00006C420000}"/>
    <cellStyle name="Финансовый 7 4 3" xfId="4982" xr:uid="{00000000-0005-0000-0000-00006D420000}"/>
    <cellStyle name="Финансовый 7 4 3 2" xfId="13625" xr:uid="{00000000-0005-0000-0000-00006E420000}"/>
    <cellStyle name="Финансовый 7 4 4" xfId="7592" xr:uid="{00000000-0005-0000-0000-00006F420000}"/>
    <cellStyle name="Финансовый 7 4 4 2" xfId="16235" xr:uid="{00000000-0005-0000-0000-000070420000}"/>
    <cellStyle name="Финансовый 7 4 5" xfId="10199" xr:uid="{00000000-0005-0000-0000-000071420000}"/>
    <cellStyle name="Финансовый 7 5" xfId="1773" xr:uid="{00000000-0005-0000-0000-000072420000}"/>
    <cellStyle name="Финансовый 7 5 2" xfId="3418" xr:uid="{00000000-0005-0000-0000-000073420000}"/>
    <cellStyle name="Финансовый 7 5 2 2" xfId="12063" xr:uid="{00000000-0005-0000-0000-000074420000}"/>
    <cellStyle name="Финансовый 7 5 3" xfId="5201" xr:uid="{00000000-0005-0000-0000-000075420000}"/>
    <cellStyle name="Финансовый 7 5 3 2" xfId="13844" xr:uid="{00000000-0005-0000-0000-000076420000}"/>
    <cellStyle name="Финансовый 7 5 4" xfId="7811" xr:uid="{00000000-0005-0000-0000-000077420000}"/>
    <cellStyle name="Финансовый 7 5 4 2" xfId="16454" xr:uid="{00000000-0005-0000-0000-000078420000}"/>
    <cellStyle name="Финансовый 7 5 5" xfId="10418" xr:uid="{00000000-0005-0000-0000-000079420000}"/>
    <cellStyle name="Финансовый 7 6" xfId="2418" xr:uid="{00000000-0005-0000-0000-00007A420000}"/>
    <cellStyle name="Финансовый 7 6 2" xfId="4063" xr:uid="{00000000-0005-0000-0000-00007B420000}"/>
    <cellStyle name="Финансовый 7 6 2 2" xfId="12708" xr:uid="{00000000-0005-0000-0000-00007C420000}"/>
    <cellStyle name="Финансовый 7 6 3" xfId="5846" xr:uid="{00000000-0005-0000-0000-00007D420000}"/>
    <cellStyle name="Финансовый 7 6 3 2" xfId="14489" xr:uid="{00000000-0005-0000-0000-00007E420000}"/>
    <cellStyle name="Финансовый 7 6 4" xfId="8456" xr:uid="{00000000-0005-0000-0000-00007F420000}"/>
    <cellStyle name="Финансовый 7 6 4 2" xfId="17099" xr:uid="{00000000-0005-0000-0000-000080420000}"/>
    <cellStyle name="Финансовый 7 6 5" xfId="11063" xr:uid="{00000000-0005-0000-0000-000081420000}"/>
    <cellStyle name="Финансовый 7 7" xfId="1645" xr:uid="{00000000-0005-0000-0000-000082420000}"/>
    <cellStyle name="Финансовый 7 7 2" xfId="3290" xr:uid="{00000000-0005-0000-0000-000083420000}"/>
    <cellStyle name="Финансовый 7 7 2 2" xfId="11935" xr:uid="{00000000-0005-0000-0000-000084420000}"/>
    <cellStyle name="Финансовый 7 7 3" xfId="5073" xr:uid="{00000000-0005-0000-0000-000085420000}"/>
    <cellStyle name="Финансовый 7 7 3 2" xfId="13716" xr:uid="{00000000-0005-0000-0000-000086420000}"/>
    <cellStyle name="Финансовый 7 7 4" xfId="7683" xr:uid="{00000000-0005-0000-0000-000087420000}"/>
    <cellStyle name="Финансовый 7 7 4 2" xfId="16326" xr:uid="{00000000-0005-0000-0000-000088420000}"/>
    <cellStyle name="Финансовый 7 7 5" xfId="10290" xr:uid="{00000000-0005-0000-0000-000089420000}"/>
    <cellStyle name="Финансовый 7 8" xfId="922" xr:uid="{00000000-0005-0000-0000-00008A420000}"/>
    <cellStyle name="Финансовый 7 8 2" xfId="6962" xr:uid="{00000000-0005-0000-0000-00008B420000}"/>
    <cellStyle name="Финансовый 7 8 2 2" xfId="15605" xr:uid="{00000000-0005-0000-0000-00008C420000}"/>
    <cellStyle name="Финансовый 7 8 3" xfId="9569" xr:uid="{00000000-0005-0000-0000-00008D420000}"/>
    <cellStyle name="Финансовый 7 9" xfId="510" xr:uid="{00000000-0005-0000-0000-00008E420000}"/>
    <cellStyle name="Финансовый 7 9 2" xfId="6550" xr:uid="{00000000-0005-0000-0000-00008F420000}"/>
    <cellStyle name="Финансовый 7 9 2 2" xfId="15193" xr:uid="{00000000-0005-0000-0000-000090420000}"/>
    <cellStyle name="Финансовый 7 9 3" xfId="9157" xr:uid="{00000000-0005-0000-0000-000091420000}"/>
    <cellStyle name="Финансовый 8" xfId="95" xr:uid="{00000000-0005-0000-0000-000092420000}"/>
    <cellStyle name="Финансовый 8 10" xfId="2705" xr:uid="{00000000-0005-0000-0000-000093420000}"/>
    <cellStyle name="Финансовый 8 10 2" xfId="11350" xr:uid="{00000000-0005-0000-0000-000094420000}"/>
    <cellStyle name="Финансовый 8 11" xfId="4349" xr:uid="{00000000-0005-0000-0000-000095420000}"/>
    <cellStyle name="Финансовый 8 11 2" xfId="12994" xr:uid="{00000000-0005-0000-0000-000096420000}"/>
    <cellStyle name="Финансовый 8 12" xfId="6136" xr:uid="{00000000-0005-0000-0000-000097420000}"/>
    <cellStyle name="Финансовый 8 12 2" xfId="14779" xr:uid="{00000000-0005-0000-0000-000098420000}"/>
    <cellStyle name="Финансовый 8 13" xfId="8743" xr:uid="{00000000-0005-0000-0000-000099420000}"/>
    <cellStyle name="Финансовый 8 2" xfId="231" xr:uid="{00000000-0005-0000-0000-00009A420000}"/>
    <cellStyle name="Финансовый 8 2 10" xfId="8879" xr:uid="{00000000-0005-0000-0000-00009B420000}"/>
    <cellStyle name="Финансовый 8 2 2" xfId="1329" xr:uid="{00000000-0005-0000-0000-00009C420000}"/>
    <cellStyle name="Финансовый 8 2 2 2" xfId="2287" xr:uid="{00000000-0005-0000-0000-00009D420000}"/>
    <cellStyle name="Финансовый 8 2 2 2 2" xfId="3932" xr:uid="{00000000-0005-0000-0000-00009E420000}"/>
    <cellStyle name="Финансовый 8 2 2 2 2 2" xfId="12577" xr:uid="{00000000-0005-0000-0000-00009F420000}"/>
    <cellStyle name="Финансовый 8 2 2 2 3" xfId="5715" xr:uid="{00000000-0005-0000-0000-0000A0420000}"/>
    <cellStyle name="Финансовый 8 2 2 2 3 2" xfId="14358" xr:uid="{00000000-0005-0000-0000-0000A1420000}"/>
    <cellStyle name="Финансовый 8 2 2 2 4" xfId="8325" xr:uid="{00000000-0005-0000-0000-0000A2420000}"/>
    <cellStyle name="Финансовый 8 2 2 2 4 2" xfId="16968" xr:uid="{00000000-0005-0000-0000-0000A3420000}"/>
    <cellStyle name="Финансовый 8 2 2 2 5" xfId="10932" xr:uid="{00000000-0005-0000-0000-0000A4420000}"/>
    <cellStyle name="Финансовый 8 2 2 3" xfId="3113" xr:uid="{00000000-0005-0000-0000-0000A5420000}"/>
    <cellStyle name="Финансовый 8 2 2 3 2" xfId="11758" xr:uid="{00000000-0005-0000-0000-0000A6420000}"/>
    <cellStyle name="Финансовый 8 2 2 4" xfId="4757" xr:uid="{00000000-0005-0000-0000-0000A7420000}"/>
    <cellStyle name="Финансовый 8 2 2 4 2" xfId="13402" xr:uid="{00000000-0005-0000-0000-0000A8420000}"/>
    <cellStyle name="Финансовый 8 2 2 5" xfId="7369" xr:uid="{00000000-0005-0000-0000-0000A9420000}"/>
    <cellStyle name="Финансовый 8 2 2 5 2" xfId="16012" xr:uid="{00000000-0005-0000-0000-0000AA420000}"/>
    <cellStyle name="Финансовый 8 2 2 6" xfId="9976" xr:uid="{00000000-0005-0000-0000-0000AB420000}"/>
    <cellStyle name="Финансовый 8 2 3" xfId="2031" xr:uid="{00000000-0005-0000-0000-0000AC420000}"/>
    <cellStyle name="Финансовый 8 2 3 2" xfId="3676" xr:uid="{00000000-0005-0000-0000-0000AD420000}"/>
    <cellStyle name="Финансовый 8 2 3 2 2" xfId="12321" xr:uid="{00000000-0005-0000-0000-0000AE420000}"/>
    <cellStyle name="Финансовый 8 2 3 3" xfId="5459" xr:uid="{00000000-0005-0000-0000-0000AF420000}"/>
    <cellStyle name="Финансовый 8 2 3 3 2" xfId="14102" xr:uid="{00000000-0005-0000-0000-0000B0420000}"/>
    <cellStyle name="Финансовый 8 2 3 4" xfId="8069" xr:uid="{00000000-0005-0000-0000-0000B1420000}"/>
    <cellStyle name="Финансовый 8 2 3 4 2" xfId="16712" xr:uid="{00000000-0005-0000-0000-0000B2420000}"/>
    <cellStyle name="Финансовый 8 2 3 5" xfId="10676" xr:uid="{00000000-0005-0000-0000-0000B3420000}"/>
    <cellStyle name="Финансовый 8 2 4" xfId="2560" xr:uid="{00000000-0005-0000-0000-0000B4420000}"/>
    <cellStyle name="Финансовый 8 2 4 2" xfId="4205" xr:uid="{00000000-0005-0000-0000-0000B5420000}"/>
    <cellStyle name="Финансовый 8 2 4 2 2" xfId="12850" xr:uid="{00000000-0005-0000-0000-0000B6420000}"/>
    <cellStyle name="Финансовый 8 2 4 3" xfId="5988" xr:uid="{00000000-0005-0000-0000-0000B7420000}"/>
    <cellStyle name="Финансовый 8 2 4 3 2" xfId="14631" xr:uid="{00000000-0005-0000-0000-0000B8420000}"/>
    <cellStyle name="Финансовый 8 2 4 4" xfId="8598" xr:uid="{00000000-0005-0000-0000-0000B9420000}"/>
    <cellStyle name="Финансовый 8 2 4 4 2" xfId="17241" xr:uid="{00000000-0005-0000-0000-0000BA420000}"/>
    <cellStyle name="Финансовый 8 2 4 5" xfId="11205" xr:uid="{00000000-0005-0000-0000-0000BB420000}"/>
    <cellStyle name="Финансовый 8 2 5" xfId="1064" xr:uid="{00000000-0005-0000-0000-0000BC420000}"/>
    <cellStyle name="Финансовый 8 2 5 2" xfId="7104" xr:uid="{00000000-0005-0000-0000-0000BD420000}"/>
    <cellStyle name="Финансовый 8 2 5 2 2" xfId="15747" xr:uid="{00000000-0005-0000-0000-0000BE420000}"/>
    <cellStyle name="Финансовый 8 2 5 3" xfId="9711" xr:uid="{00000000-0005-0000-0000-0000BF420000}"/>
    <cellStyle name="Финансовый 8 2 6" xfId="652" xr:uid="{00000000-0005-0000-0000-0000C0420000}"/>
    <cellStyle name="Финансовый 8 2 6 2" xfId="6692" xr:uid="{00000000-0005-0000-0000-0000C1420000}"/>
    <cellStyle name="Финансовый 8 2 6 2 2" xfId="15335" xr:uid="{00000000-0005-0000-0000-0000C2420000}"/>
    <cellStyle name="Финансовый 8 2 6 3" xfId="9299" xr:uid="{00000000-0005-0000-0000-0000C3420000}"/>
    <cellStyle name="Финансовый 8 2 7" xfId="2841" xr:uid="{00000000-0005-0000-0000-0000C4420000}"/>
    <cellStyle name="Финансовый 8 2 7 2" xfId="11486" xr:uid="{00000000-0005-0000-0000-0000C5420000}"/>
    <cellStyle name="Финансовый 8 2 8" xfId="4485" xr:uid="{00000000-0005-0000-0000-0000C6420000}"/>
    <cellStyle name="Финансовый 8 2 8 2" xfId="13130" xr:uid="{00000000-0005-0000-0000-0000C7420000}"/>
    <cellStyle name="Финансовый 8 2 9" xfId="6272" xr:uid="{00000000-0005-0000-0000-0000C8420000}"/>
    <cellStyle name="Финансовый 8 2 9 2" xfId="14915" xr:uid="{00000000-0005-0000-0000-0000C9420000}"/>
    <cellStyle name="Финансовый 8 3" xfId="380" xr:uid="{00000000-0005-0000-0000-0000CA420000}"/>
    <cellStyle name="Финансовый 8 3 2" xfId="2159" xr:uid="{00000000-0005-0000-0000-0000CB420000}"/>
    <cellStyle name="Финансовый 8 3 2 2" xfId="3804" xr:uid="{00000000-0005-0000-0000-0000CC420000}"/>
    <cellStyle name="Финансовый 8 3 2 2 2" xfId="12449" xr:uid="{00000000-0005-0000-0000-0000CD420000}"/>
    <cellStyle name="Финансовый 8 3 2 3" xfId="5587" xr:uid="{00000000-0005-0000-0000-0000CE420000}"/>
    <cellStyle name="Финансовый 8 3 2 3 2" xfId="14230" xr:uid="{00000000-0005-0000-0000-0000CF420000}"/>
    <cellStyle name="Финансовый 8 3 2 4" xfId="8197" xr:uid="{00000000-0005-0000-0000-0000D0420000}"/>
    <cellStyle name="Финансовый 8 3 2 4 2" xfId="16840" xr:uid="{00000000-0005-0000-0000-0000D1420000}"/>
    <cellStyle name="Финансовый 8 3 2 5" xfId="10804" xr:uid="{00000000-0005-0000-0000-0000D2420000}"/>
    <cellStyle name="Финансовый 8 3 3" xfId="1193" xr:uid="{00000000-0005-0000-0000-0000D3420000}"/>
    <cellStyle name="Финансовый 8 3 3 2" xfId="7233" xr:uid="{00000000-0005-0000-0000-0000D4420000}"/>
    <cellStyle name="Финансовый 8 3 3 2 2" xfId="15876" xr:uid="{00000000-0005-0000-0000-0000D5420000}"/>
    <cellStyle name="Финансовый 8 3 3 3" xfId="9840" xr:uid="{00000000-0005-0000-0000-0000D6420000}"/>
    <cellStyle name="Финансовый 8 3 4" xfId="800" xr:uid="{00000000-0005-0000-0000-0000D7420000}"/>
    <cellStyle name="Финансовый 8 3 4 2" xfId="6840" xr:uid="{00000000-0005-0000-0000-0000D8420000}"/>
    <cellStyle name="Финансовый 8 3 4 2 2" xfId="15483" xr:uid="{00000000-0005-0000-0000-0000D9420000}"/>
    <cellStyle name="Финансовый 8 3 4 3" xfId="9447" xr:uid="{00000000-0005-0000-0000-0000DA420000}"/>
    <cellStyle name="Финансовый 8 3 5" xfId="2977" xr:uid="{00000000-0005-0000-0000-0000DB420000}"/>
    <cellStyle name="Финансовый 8 3 5 2" xfId="11622" xr:uid="{00000000-0005-0000-0000-0000DC420000}"/>
    <cellStyle name="Финансовый 8 3 6" xfId="4621" xr:uid="{00000000-0005-0000-0000-0000DD420000}"/>
    <cellStyle name="Финансовый 8 3 6 2" xfId="13266" xr:uid="{00000000-0005-0000-0000-0000DE420000}"/>
    <cellStyle name="Финансовый 8 3 7" xfId="6420" xr:uid="{00000000-0005-0000-0000-0000DF420000}"/>
    <cellStyle name="Финансовый 8 3 7 2" xfId="15063" xr:uid="{00000000-0005-0000-0000-0000E0420000}"/>
    <cellStyle name="Финансовый 8 3 8" xfId="9027" xr:uid="{00000000-0005-0000-0000-0000E1420000}"/>
    <cellStyle name="Финансовый 8 4" xfId="1555" xr:uid="{00000000-0005-0000-0000-0000E2420000}"/>
    <cellStyle name="Финансовый 8 4 2" xfId="1903" xr:uid="{00000000-0005-0000-0000-0000E3420000}"/>
    <cellStyle name="Финансовый 8 4 2 2" xfId="3548" xr:uid="{00000000-0005-0000-0000-0000E4420000}"/>
    <cellStyle name="Финансовый 8 4 2 2 2" xfId="12193" xr:uid="{00000000-0005-0000-0000-0000E5420000}"/>
    <cellStyle name="Финансовый 8 4 2 3" xfId="5331" xr:uid="{00000000-0005-0000-0000-0000E6420000}"/>
    <cellStyle name="Финансовый 8 4 2 3 2" xfId="13974" xr:uid="{00000000-0005-0000-0000-0000E7420000}"/>
    <cellStyle name="Финансовый 8 4 2 4" xfId="7941" xr:uid="{00000000-0005-0000-0000-0000E8420000}"/>
    <cellStyle name="Финансовый 8 4 2 4 2" xfId="16584" xr:uid="{00000000-0005-0000-0000-0000E9420000}"/>
    <cellStyle name="Финансовый 8 4 2 5" xfId="10548" xr:uid="{00000000-0005-0000-0000-0000EA420000}"/>
    <cellStyle name="Финансовый 8 4 3" xfId="4983" xr:uid="{00000000-0005-0000-0000-0000EB420000}"/>
    <cellStyle name="Финансовый 8 4 3 2" xfId="13626" xr:uid="{00000000-0005-0000-0000-0000EC420000}"/>
    <cellStyle name="Финансовый 8 4 4" xfId="7593" xr:uid="{00000000-0005-0000-0000-0000ED420000}"/>
    <cellStyle name="Финансовый 8 4 4 2" xfId="16236" xr:uid="{00000000-0005-0000-0000-0000EE420000}"/>
    <cellStyle name="Финансовый 8 4 5" xfId="10200" xr:uid="{00000000-0005-0000-0000-0000EF420000}"/>
    <cellStyle name="Финансовый 8 5" xfId="1779" xr:uid="{00000000-0005-0000-0000-0000F0420000}"/>
    <cellStyle name="Финансовый 8 5 2" xfId="3424" xr:uid="{00000000-0005-0000-0000-0000F1420000}"/>
    <cellStyle name="Финансовый 8 5 2 2" xfId="12069" xr:uid="{00000000-0005-0000-0000-0000F2420000}"/>
    <cellStyle name="Финансовый 8 5 3" xfId="5207" xr:uid="{00000000-0005-0000-0000-0000F3420000}"/>
    <cellStyle name="Финансовый 8 5 3 2" xfId="13850" xr:uid="{00000000-0005-0000-0000-0000F4420000}"/>
    <cellStyle name="Финансовый 8 5 4" xfId="7817" xr:uid="{00000000-0005-0000-0000-0000F5420000}"/>
    <cellStyle name="Финансовый 8 5 4 2" xfId="16460" xr:uid="{00000000-0005-0000-0000-0000F6420000}"/>
    <cellStyle name="Финансовый 8 5 5" xfId="10424" xr:uid="{00000000-0005-0000-0000-0000F7420000}"/>
    <cellStyle name="Финансовый 8 6" xfId="2424" xr:uid="{00000000-0005-0000-0000-0000F8420000}"/>
    <cellStyle name="Финансовый 8 6 2" xfId="4069" xr:uid="{00000000-0005-0000-0000-0000F9420000}"/>
    <cellStyle name="Финансовый 8 6 2 2" xfId="12714" xr:uid="{00000000-0005-0000-0000-0000FA420000}"/>
    <cellStyle name="Финансовый 8 6 3" xfId="5852" xr:uid="{00000000-0005-0000-0000-0000FB420000}"/>
    <cellStyle name="Финансовый 8 6 3 2" xfId="14495" xr:uid="{00000000-0005-0000-0000-0000FC420000}"/>
    <cellStyle name="Финансовый 8 6 4" xfId="8462" xr:uid="{00000000-0005-0000-0000-0000FD420000}"/>
    <cellStyle name="Финансовый 8 6 4 2" xfId="17105" xr:uid="{00000000-0005-0000-0000-0000FE420000}"/>
    <cellStyle name="Финансовый 8 6 5" xfId="11069" xr:uid="{00000000-0005-0000-0000-0000FF420000}"/>
    <cellStyle name="Финансовый 8 7" xfId="1651" xr:uid="{00000000-0005-0000-0000-000000430000}"/>
    <cellStyle name="Финансовый 8 7 2" xfId="3296" xr:uid="{00000000-0005-0000-0000-000001430000}"/>
    <cellStyle name="Финансовый 8 7 2 2" xfId="11941" xr:uid="{00000000-0005-0000-0000-000002430000}"/>
    <cellStyle name="Финансовый 8 7 3" xfId="5079" xr:uid="{00000000-0005-0000-0000-000003430000}"/>
    <cellStyle name="Финансовый 8 7 3 2" xfId="13722" xr:uid="{00000000-0005-0000-0000-000004430000}"/>
    <cellStyle name="Финансовый 8 7 4" xfId="7689" xr:uid="{00000000-0005-0000-0000-000005430000}"/>
    <cellStyle name="Финансовый 8 7 4 2" xfId="16332" xr:uid="{00000000-0005-0000-0000-000006430000}"/>
    <cellStyle name="Финансовый 8 7 5" xfId="10296" xr:uid="{00000000-0005-0000-0000-000007430000}"/>
    <cellStyle name="Финансовый 8 8" xfId="928" xr:uid="{00000000-0005-0000-0000-000008430000}"/>
    <cellStyle name="Финансовый 8 8 2" xfId="6968" xr:uid="{00000000-0005-0000-0000-000009430000}"/>
    <cellStyle name="Финансовый 8 8 2 2" xfId="15611" xr:uid="{00000000-0005-0000-0000-00000A430000}"/>
    <cellStyle name="Финансовый 8 8 3" xfId="9575" xr:uid="{00000000-0005-0000-0000-00000B430000}"/>
    <cellStyle name="Финансовый 8 9" xfId="516" xr:uid="{00000000-0005-0000-0000-00000C430000}"/>
    <cellStyle name="Финансовый 8 9 2" xfId="6556" xr:uid="{00000000-0005-0000-0000-00000D430000}"/>
    <cellStyle name="Финансовый 8 9 2 2" xfId="15199" xr:uid="{00000000-0005-0000-0000-00000E430000}"/>
    <cellStyle name="Финансовый 8 9 3" xfId="9163" xr:uid="{00000000-0005-0000-0000-00000F430000}"/>
    <cellStyle name="Финансовый 9" xfId="107" xr:uid="{00000000-0005-0000-0000-000010430000}"/>
    <cellStyle name="Финансовый 9 10" xfId="2717" xr:uid="{00000000-0005-0000-0000-000011430000}"/>
    <cellStyle name="Финансовый 9 10 2" xfId="11362" xr:uid="{00000000-0005-0000-0000-000012430000}"/>
    <cellStyle name="Финансовый 9 11" xfId="4361" xr:uid="{00000000-0005-0000-0000-000013430000}"/>
    <cellStyle name="Финансовый 9 11 2" xfId="13006" xr:uid="{00000000-0005-0000-0000-000014430000}"/>
    <cellStyle name="Финансовый 9 12" xfId="6148" xr:uid="{00000000-0005-0000-0000-000015430000}"/>
    <cellStyle name="Финансовый 9 12 2" xfId="14791" xr:uid="{00000000-0005-0000-0000-000016430000}"/>
    <cellStyle name="Финансовый 9 13" xfId="8755" xr:uid="{00000000-0005-0000-0000-000017430000}"/>
    <cellStyle name="Финансовый 9 2" xfId="243" xr:uid="{00000000-0005-0000-0000-000018430000}"/>
    <cellStyle name="Финансовый 9 2 10" xfId="8891" xr:uid="{00000000-0005-0000-0000-000019430000}"/>
    <cellStyle name="Финансовый 9 2 2" xfId="1341" xr:uid="{00000000-0005-0000-0000-00001A430000}"/>
    <cellStyle name="Финансовый 9 2 2 2" xfId="2299" xr:uid="{00000000-0005-0000-0000-00001B430000}"/>
    <cellStyle name="Финансовый 9 2 2 2 2" xfId="3944" xr:uid="{00000000-0005-0000-0000-00001C430000}"/>
    <cellStyle name="Финансовый 9 2 2 2 2 2" xfId="12589" xr:uid="{00000000-0005-0000-0000-00001D430000}"/>
    <cellStyle name="Финансовый 9 2 2 2 3" xfId="5727" xr:uid="{00000000-0005-0000-0000-00001E430000}"/>
    <cellStyle name="Финансовый 9 2 2 2 3 2" xfId="14370" xr:uid="{00000000-0005-0000-0000-00001F430000}"/>
    <cellStyle name="Финансовый 9 2 2 2 4" xfId="8337" xr:uid="{00000000-0005-0000-0000-000020430000}"/>
    <cellStyle name="Финансовый 9 2 2 2 4 2" xfId="16980" xr:uid="{00000000-0005-0000-0000-000021430000}"/>
    <cellStyle name="Финансовый 9 2 2 2 5" xfId="10944" xr:uid="{00000000-0005-0000-0000-000022430000}"/>
    <cellStyle name="Финансовый 9 2 2 3" xfId="3125" xr:uid="{00000000-0005-0000-0000-000023430000}"/>
    <cellStyle name="Финансовый 9 2 2 3 2" xfId="11770" xr:uid="{00000000-0005-0000-0000-000024430000}"/>
    <cellStyle name="Финансовый 9 2 2 4" xfId="4769" xr:uid="{00000000-0005-0000-0000-000025430000}"/>
    <cellStyle name="Финансовый 9 2 2 4 2" xfId="13414" xr:uid="{00000000-0005-0000-0000-000026430000}"/>
    <cellStyle name="Финансовый 9 2 2 5" xfId="7381" xr:uid="{00000000-0005-0000-0000-000027430000}"/>
    <cellStyle name="Финансовый 9 2 2 5 2" xfId="16024" xr:uid="{00000000-0005-0000-0000-000028430000}"/>
    <cellStyle name="Финансовый 9 2 2 6" xfId="9988" xr:uid="{00000000-0005-0000-0000-000029430000}"/>
    <cellStyle name="Финансовый 9 2 3" xfId="2043" xr:uid="{00000000-0005-0000-0000-00002A430000}"/>
    <cellStyle name="Финансовый 9 2 3 2" xfId="3688" xr:uid="{00000000-0005-0000-0000-00002B430000}"/>
    <cellStyle name="Финансовый 9 2 3 2 2" xfId="12333" xr:uid="{00000000-0005-0000-0000-00002C430000}"/>
    <cellStyle name="Финансовый 9 2 3 3" xfId="5471" xr:uid="{00000000-0005-0000-0000-00002D430000}"/>
    <cellStyle name="Финансовый 9 2 3 3 2" xfId="14114" xr:uid="{00000000-0005-0000-0000-00002E430000}"/>
    <cellStyle name="Финансовый 9 2 3 4" xfId="8081" xr:uid="{00000000-0005-0000-0000-00002F430000}"/>
    <cellStyle name="Финансовый 9 2 3 4 2" xfId="16724" xr:uid="{00000000-0005-0000-0000-000030430000}"/>
    <cellStyle name="Финансовый 9 2 3 5" xfId="10688" xr:uid="{00000000-0005-0000-0000-000031430000}"/>
    <cellStyle name="Финансовый 9 2 4" xfId="2572" xr:uid="{00000000-0005-0000-0000-000032430000}"/>
    <cellStyle name="Финансовый 9 2 4 2" xfId="4217" xr:uid="{00000000-0005-0000-0000-000033430000}"/>
    <cellStyle name="Финансовый 9 2 4 2 2" xfId="12862" xr:uid="{00000000-0005-0000-0000-000034430000}"/>
    <cellStyle name="Финансовый 9 2 4 3" xfId="6000" xr:uid="{00000000-0005-0000-0000-000035430000}"/>
    <cellStyle name="Финансовый 9 2 4 3 2" xfId="14643" xr:uid="{00000000-0005-0000-0000-000036430000}"/>
    <cellStyle name="Финансовый 9 2 4 4" xfId="8610" xr:uid="{00000000-0005-0000-0000-000037430000}"/>
    <cellStyle name="Финансовый 9 2 4 4 2" xfId="17253" xr:uid="{00000000-0005-0000-0000-000038430000}"/>
    <cellStyle name="Финансовый 9 2 4 5" xfId="11217" xr:uid="{00000000-0005-0000-0000-000039430000}"/>
    <cellStyle name="Финансовый 9 2 5" xfId="1076" xr:uid="{00000000-0005-0000-0000-00003A430000}"/>
    <cellStyle name="Финансовый 9 2 5 2" xfId="7116" xr:uid="{00000000-0005-0000-0000-00003B430000}"/>
    <cellStyle name="Финансовый 9 2 5 2 2" xfId="15759" xr:uid="{00000000-0005-0000-0000-00003C430000}"/>
    <cellStyle name="Финансовый 9 2 5 3" xfId="9723" xr:uid="{00000000-0005-0000-0000-00003D430000}"/>
    <cellStyle name="Финансовый 9 2 6" xfId="664" xr:uid="{00000000-0005-0000-0000-00003E430000}"/>
    <cellStyle name="Финансовый 9 2 6 2" xfId="6704" xr:uid="{00000000-0005-0000-0000-00003F430000}"/>
    <cellStyle name="Финансовый 9 2 6 2 2" xfId="15347" xr:uid="{00000000-0005-0000-0000-000040430000}"/>
    <cellStyle name="Финансовый 9 2 6 3" xfId="9311" xr:uid="{00000000-0005-0000-0000-000041430000}"/>
    <cellStyle name="Финансовый 9 2 7" xfId="2853" xr:uid="{00000000-0005-0000-0000-000042430000}"/>
    <cellStyle name="Финансовый 9 2 7 2" xfId="11498" xr:uid="{00000000-0005-0000-0000-000043430000}"/>
    <cellStyle name="Финансовый 9 2 8" xfId="4497" xr:uid="{00000000-0005-0000-0000-000044430000}"/>
    <cellStyle name="Финансовый 9 2 8 2" xfId="13142" xr:uid="{00000000-0005-0000-0000-000045430000}"/>
    <cellStyle name="Финансовый 9 2 9" xfId="6284" xr:uid="{00000000-0005-0000-0000-000046430000}"/>
    <cellStyle name="Финансовый 9 2 9 2" xfId="14927" xr:uid="{00000000-0005-0000-0000-000047430000}"/>
    <cellStyle name="Финансовый 9 3" xfId="392" xr:uid="{00000000-0005-0000-0000-000048430000}"/>
    <cellStyle name="Финансовый 9 3 2" xfId="2171" xr:uid="{00000000-0005-0000-0000-000049430000}"/>
    <cellStyle name="Финансовый 9 3 2 2" xfId="3816" xr:uid="{00000000-0005-0000-0000-00004A430000}"/>
    <cellStyle name="Финансовый 9 3 2 2 2" xfId="12461" xr:uid="{00000000-0005-0000-0000-00004B430000}"/>
    <cellStyle name="Финансовый 9 3 2 3" xfId="5599" xr:uid="{00000000-0005-0000-0000-00004C430000}"/>
    <cellStyle name="Финансовый 9 3 2 3 2" xfId="14242" xr:uid="{00000000-0005-0000-0000-00004D430000}"/>
    <cellStyle name="Финансовый 9 3 2 4" xfId="8209" xr:uid="{00000000-0005-0000-0000-00004E430000}"/>
    <cellStyle name="Финансовый 9 3 2 4 2" xfId="16852" xr:uid="{00000000-0005-0000-0000-00004F430000}"/>
    <cellStyle name="Финансовый 9 3 2 5" xfId="10816" xr:uid="{00000000-0005-0000-0000-000050430000}"/>
    <cellStyle name="Финансовый 9 3 3" xfId="1205" xr:uid="{00000000-0005-0000-0000-000051430000}"/>
    <cellStyle name="Финансовый 9 3 3 2" xfId="7245" xr:uid="{00000000-0005-0000-0000-000052430000}"/>
    <cellStyle name="Финансовый 9 3 3 2 2" xfId="15888" xr:uid="{00000000-0005-0000-0000-000053430000}"/>
    <cellStyle name="Финансовый 9 3 3 3" xfId="9852" xr:uid="{00000000-0005-0000-0000-000054430000}"/>
    <cellStyle name="Финансовый 9 3 4" xfId="812" xr:uid="{00000000-0005-0000-0000-000055430000}"/>
    <cellStyle name="Финансовый 9 3 4 2" xfId="6852" xr:uid="{00000000-0005-0000-0000-000056430000}"/>
    <cellStyle name="Финансовый 9 3 4 2 2" xfId="15495" xr:uid="{00000000-0005-0000-0000-000057430000}"/>
    <cellStyle name="Финансовый 9 3 4 3" xfId="9459" xr:uid="{00000000-0005-0000-0000-000058430000}"/>
    <cellStyle name="Финансовый 9 3 5" xfId="2989" xr:uid="{00000000-0005-0000-0000-000059430000}"/>
    <cellStyle name="Финансовый 9 3 5 2" xfId="11634" xr:uid="{00000000-0005-0000-0000-00005A430000}"/>
    <cellStyle name="Финансовый 9 3 6" xfId="4633" xr:uid="{00000000-0005-0000-0000-00005B430000}"/>
    <cellStyle name="Финансовый 9 3 6 2" xfId="13278" xr:uid="{00000000-0005-0000-0000-00005C430000}"/>
    <cellStyle name="Финансовый 9 3 7" xfId="6432" xr:uid="{00000000-0005-0000-0000-00005D430000}"/>
    <cellStyle name="Финансовый 9 3 7 2" xfId="15075" xr:uid="{00000000-0005-0000-0000-00005E430000}"/>
    <cellStyle name="Финансовый 9 3 8" xfId="9039" xr:uid="{00000000-0005-0000-0000-00005F430000}"/>
    <cellStyle name="Финансовый 9 4" xfId="1556" xr:uid="{00000000-0005-0000-0000-000060430000}"/>
    <cellStyle name="Финансовый 9 4 2" xfId="1915" xr:uid="{00000000-0005-0000-0000-000061430000}"/>
    <cellStyle name="Финансовый 9 4 2 2" xfId="3560" xr:uid="{00000000-0005-0000-0000-000062430000}"/>
    <cellStyle name="Финансовый 9 4 2 2 2" xfId="12205" xr:uid="{00000000-0005-0000-0000-000063430000}"/>
    <cellStyle name="Финансовый 9 4 2 3" xfId="5343" xr:uid="{00000000-0005-0000-0000-000064430000}"/>
    <cellStyle name="Финансовый 9 4 2 3 2" xfId="13986" xr:uid="{00000000-0005-0000-0000-000065430000}"/>
    <cellStyle name="Финансовый 9 4 2 4" xfId="7953" xr:uid="{00000000-0005-0000-0000-000066430000}"/>
    <cellStyle name="Финансовый 9 4 2 4 2" xfId="16596" xr:uid="{00000000-0005-0000-0000-000067430000}"/>
    <cellStyle name="Финансовый 9 4 2 5" xfId="10560" xr:uid="{00000000-0005-0000-0000-000068430000}"/>
    <cellStyle name="Финансовый 9 4 3" xfId="4984" xr:uid="{00000000-0005-0000-0000-000069430000}"/>
    <cellStyle name="Финансовый 9 4 3 2" xfId="13627" xr:uid="{00000000-0005-0000-0000-00006A430000}"/>
    <cellStyle name="Финансовый 9 4 4" xfId="7594" xr:uid="{00000000-0005-0000-0000-00006B430000}"/>
    <cellStyle name="Финансовый 9 4 4 2" xfId="16237" xr:uid="{00000000-0005-0000-0000-00006C430000}"/>
    <cellStyle name="Финансовый 9 4 5" xfId="10201" xr:uid="{00000000-0005-0000-0000-00006D430000}"/>
    <cellStyle name="Финансовый 9 5" xfId="1791" xr:uid="{00000000-0005-0000-0000-00006E430000}"/>
    <cellStyle name="Финансовый 9 5 2" xfId="3436" xr:uid="{00000000-0005-0000-0000-00006F430000}"/>
    <cellStyle name="Финансовый 9 5 2 2" xfId="12081" xr:uid="{00000000-0005-0000-0000-000070430000}"/>
    <cellStyle name="Финансовый 9 5 3" xfId="5219" xr:uid="{00000000-0005-0000-0000-000071430000}"/>
    <cellStyle name="Финансовый 9 5 3 2" xfId="13862" xr:uid="{00000000-0005-0000-0000-000072430000}"/>
    <cellStyle name="Финансовый 9 5 4" xfId="7829" xr:uid="{00000000-0005-0000-0000-000073430000}"/>
    <cellStyle name="Финансовый 9 5 4 2" xfId="16472" xr:uid="{00000000-0005-0000-0000-000074430000}"/>
    <cellStyle name="Финансовый 9 5 5" xfId="10436" xr:uid="{00000000-0005-0000-0000-000075430000}"/>
    <cellStyle name="Финансовый 9 6" xfId="2436" xr:uid="{00000000-0005-0000-0000-000076430000}"/>
    <cellStyle name="Финансовый 9 6 2" xfId="4081" xr:uid="{00000000-0005-0000-0000-000077430000}"/>
    <cellStyle name="Финансовый 9 6 2 2" xfId="12726" xr:uid="{00000000-0005-0000-0000-000078430000}"/>
    <cellStyle name="Финансовый 9 6 3" xfId="5864" xr:uid="{00000000-0005-0000-0000-000079430000}"/>
    <cellStyle name="Финансовый 9 6 3 2" xfId="14507" xr:uid="{00000000-0005-0000-0000-00007A430000}"/>
    <cellStyle name="Финансовый 9 6 4" xfId="8474" xr:uid="{00000000-0005-0000-0000-00007B430000}"/>
    <cellStyle name="Финансовый 9 6 4 2" xfId="17117" xr:uid="{00000000-0005-0000-0000-00007C430000}"/>
    <cellStyle name="Финансовый 9 6 5" xfId="11081" xr:uid="{00000000-0005-0000-0000-00007D430000}"/>
    <cellStyle name="Финансовый 9 7" xfId="1663" xr:uid="{00000000-0005-0000-0000-00007E430000}"/>
    <cellStyle name="Финансовый 9 7 2" xfId="3308" xr:uid="{00000000-0005-0000-0000-00007F430000}"/>
    <cellStyle name="Финансовый 9 7 2 2" xfId="11953" xr:uid="{00000000-0005-0000-0000-000080430000}"/>
    <cellStyle name="Финансовый 9 7 3" xfId="5091" xr:uid="{00000000-0005-0000-0000-000081430000}"/>
    <cellStyle name="Финансовый 9 7 3 2" xfId="13734" xr:uid="{00000000-0005-0000-0000-000082430000}"/>
    <cellStyle name="Финансовый 9 7 4" xfId="7701" xr:uid="{00000000-0005-0000-0000-000083430000}"/>
    <cellStyle name="Финансовый 9 7 4 2" xfId="16344" xr:uid="{00000000-0005-0000-0000-000084430000}"/>
    <cellStyle name="Финансовый 9 7 5" xfId="10308" xr:uid="{00000000-0005-0000-0000-000085430000}"/>
    <cellStyle name="Финансовый 9 8" xfId="940" xr:uid="{00000000-0005-0000-0000-000086430000}"/>
    <cellStyle name="Финансовый 9 8 2" xfId="6980" xr:uid="{00000000-0005-0000-0000-000087430000}"/>
    <cellStyle name="Финансовый 9 8 2 2" xfId="15623" xr:uid="{00000000-0005-0000-0000-000088430000}"/>
    <cellStyle name="Финансовый 9 8 3" xfId="9587" xr:uid="{00000000-0005-0000-0000-000089430000}"/>
    <cellStyle name="Финансовый 9 9" xfId="528" xr:uid="{00000000-0005-0000-0000-00008A430000}"/>
    <cellStyle name="Финансовый 9 9 2" xfId="6568" xr:uid="{00000000-0005-0000-0000-00008B430000}"/>
    <cellStyle name="Финансовый 9 9 2 2" xfId="15211" xr:uid="{00000000-0005-0000-0000-00008C430000}"/>
    <cellStyle name="Финансовый 9 9 3" xfId="9175" xr:uid="{00000000-0005-0000-0000-00008D43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45326</xdr:colOff>
      <xdr:row>0</xdr:row>
      <xdr:rowOff>28575</xdr:rowOff>
    </xdr:from>
    <xdr:to>
      <xdr:col>0</xdr:col>
      <xdr:colOff>799636</xdr:colOff>
      <xdr:row>4</xdr:row>
      <xdr:rowOff>22117</xdr:rowOff>
    </xdr:to>
    <xdr:pic>
      <xdr:nvPicPr>
        <xdr:cNvPr id="4" name="Image 1">
          <a:extLst>
            <a:ext uri="{FF2B5EF4-FFF2-40B4-BE49-F238E27FC236}">
              <a16:creationId xmlns:a16="http://schemas.microsoft.com/office/drawing/2014/main" id="{58E72672-7C31-4830-A884-42011E612024}"/>
            </a:ext>
          </a:extLst>
        </xdr:cNvPr>
        <xdr:cNvPicPr/>
      </xdr:nvPicPr>
      <xdr:blipFill>
        <a:blip xmlns:r="http://schemas.openxmlformats.org/officeDocument/2006/relationships" r:embed="rId1" cstate="print"/>
        <a:stretch>
          <a:fillRect/>
        </a:stretch>
      </xdr:blipFill>
      <xdr:spPr>
        <a:xfrm>
          <a:off x="45326" y="28575"/>
          <a:ext cx="754310" cy="755542"/>
        </a:xfrm>
        <a:prstGeom prst="rect">
          <a:avLst/>
        </a:prstGeom>
      </xdr:spPr>
    </xdr:pic>
    <xdr:clientData/>
  </xdr:twoCellAnchor>
  <xdr:twoCellAnchor editAs="oneCell">
    <xdr:from>
      <xdr:col>3</xdr:col>
      <xdr:colOff>638175</xdr:colOff>
      <xdr:row>0</xdr:row>
      <xdr:rowOff>19050</xdr:rowOff>
    </xdr:from>
    <xdr:to>
      <xdr:col>3</xdr:col>
      <xdr:colOff>1717501</xdr:colOff>
      <xdr:row>4</xdr:row>
      <xdr:rowOff>7525</xdr:rowOff>
    </xdr:to>
    <xdr:pic>
      <xdr:nvPicPr>
        <xdr:cNvPr id="5" name="Image 2">
          <a:extLst>
            <a:ext uri="{FF2B5EF4-FFF2-40B4-BE49-F238E27FC236}">
              <a16:creationId xmlns:a16="http://schemas.microsoft.com/office/drawing/2014/main" id="{A43254B9-9A06-470C-8D39-65F9AAB9C3C8}"/>
            </a:ext>
          </a:extLst>
        </xdr:cNvPr>
        <xdr:cNvPicPr/>
      </xdr:nvPicPr>
      <xdr:blipFill>
        <a:blip xmlns:r="http://schemas.openxmlformats.org/officeDocument/2006/relationships" r:embed="rId2" cstate="print"/>
        <a:stretch>
          <a:fillRect/>
        </a:stretch>
      </xdr:blipFill>
      <xdr:spPr>
        <a:xfrm>
          <a:off x="4705350" y="19050"/>
          <a:ext cx="1079326" cy="750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erver\mko\&#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ile-server-25\Users\Admin\PycharmProjects\payup\media\mikroqarz_template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lumot"/>
      <sheetName val="shartnoma"/>
      <sheetName val="buyruq"/>
      <sheetName val="bayonnoma"/>
      <sheetName val="График дифференц"/>
      <sheetName val="Данные для послед. Залога"/>
      <sheetName val="График аннуитет."/>
      <sheetName val="xulosa"/>
      <sheetName val="grafik"/>
      <sheetName val="dalolatnoma"/>
      <sheetName val="ariza"/>
      <sheetName val="muqova"/>
      <sheetName val="mijoz_anketasi"/>
      <sheetName val="majburiyatnoma"/>
      <sheetName val="kredit_ariza"/>
      <sheetName val="garov_ariza"/>
      <sheetName val="Письмо"/>
      <sheetName val="akt_monitoring_1"/>
      <sheetName val="akt_monitoring_2"/>
      <sheetName val="akt_monitoring_3"/>
      <sheetName val="akt_monitoring_4"/>
      <sheetName val="notarius"/>
      <sheetName val="Анкета 2"/>
    </sheetNames>
    <sheetDataSet>
      <sheetData sheetId="0">
        <row r="1">
          <cell r="B1" t="str">
            <v>№ 687-BR</v>
          </cell>
        </row>
        <row r="2">
          <cell r="B2" t="str">
            <v>01.04.2025</v>
          </cell>
        </row>
        <row r="5">
          <cell r="B5" t="str">
            <v>XAYATOV OTABEK KURBANOVICH</v>
          </cell>
        </row>
        <row r="12">
          <cell r="B12" t="str">
            <v>XAYATOV OTABEK KURBANOVICH</v>
          </cell>
        </row>
        <row r="16">
          <cell r="B16" t="str">
            <v>AB 7858443</v>
          </cell>
        </row>
        <row r="20">
          <cell r="B20" t="str">
            <v>BUXORO VILOYATI KOGON TUMAN IIB tomonidan 06.10.2017 yilda berilgan</v>
          </cell>
        </row>
        <row r="65">
          <cell r="B65" t="str">
            <v>mikroqarz</v>
          </cell>
        </row>
        <row r="75">
          <cell r="B75">
            <v>26000000</v>
          </cell>
        </row>
        <row r="76">
          <cell r="B76" t="str">
            <v>yigirma olti million so'm</v>
          </cell>
        </row>
        <row r="81">
          <cell r="B81">
            <v>48</v>
          </cell>
        </row>
        <row r="82">
          <cell r="B82" t="str">
            <v xml:space="preserve">Qirq sakkiz  </v>
          </cell>
        </row>
        <row r="106">
          <cell r="B106" t="str">
            <v>202502386001856</v>
          </cell>
        </row>
        <row r="107">
          <cell r="B107" t="str">
            <v>01.04.2025</v>
          </cell>
        </row>
        <row r="109">
          <cell r="B109" t="str">
            <v>05.04.2025 yildagi</v>
          </cell>
        </row>
        <row r="110">
          <cell r="B110" t="str">
            <v>№ 02/04-001</v>
          </cell>
        </row>
        <row r="111">
          <cell r="B111" t="str">
            <v>Avtotransport</v>
          </cell>
          <cell r="C111" t="str">
            <v>Avtotransport</v>
          </cell>
        </row>
        <row r="119">
          <cell r="B119" t="str">
            <v>FAYZIYEV JAMSHID KURBONOVICH</v>
          </cell>
          <cell r="C119">
            <v>0</v>
          </cell>
        </row>
        <row r="125">
          <cell r="B125" t="str">
            <v>FAYZIYEV JAMSHID KURBONOVICH</v>
          </cell>
        </row>
        <row r="131">
          <cell r="C131" t="str">
            <v>SAMARQAND VILOYATI TAYLOQ TUMANI CHAROG'BON MFY YANGI TAYLOQ QISHLOG'I 6 TURAR JOY 12 QAVAT 58 XONADON</v>
          </cell>
        </row>
        <row r="132">
          <cell r="B132" t="str">
            <v>AAG   4517617  20.08.2024y</v>
          </cell>
          <cell r="C132" t="str">
            <v>13.12.2020 yildan 1718238/R-A1419303</v>
          </cell>
        </row>
        <row r="133">
          <cell r="B133" t="str">
            <v>SPARK</v>
          </cell>
          <cell r="C133" t="str">
            <v>3 - xonali yakka tartibdagi uy-joy</v>
          </cell>
        </row>
        <row r="134">
          <cell r="B134" t="str">
            <v>80Y320AB</v>
          </cell>
          <cell r="C134" t="str">
            <v>3 - xonali yakka tartibdagi uy-joy</v>
          </cell>
        </row>
        <row r="135">
          <cell r="B135" t="str">
            <v>kuzov turi - YENGIL SEDAN, kuzov raqami XWBMF481EBA580791</v>
          </cell>
        </row>
        <row r="138">
          <cell r="B138" t="str">
            <v>dvigatel raqami B10D1606437KC3, shassi raqami - RAKAMSIZ</v>
          </cell>
          <cell r="C138">
            <v>72.13</v>
          </cell>
          <cell r="E138" t="str">
            <v>72,13 kv.m</v>
          </cell>
          <cell r="F138">
            <v>34.739999999999995</v>
          </cell>
        </row>
        <row r="141">
          <cell r="B141" t="str">
            <v>rangi -  OQ BELAYA "KASABLANKA", ishlab chiqarilgan yili - 2011</v>
          </cell>
          <cell r="C141" t="str">
            <v>37,39</v>
          </cell>
          <cell r="E141" t="str">
            <v>37,39 kv.m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
    <tabColor rgb="FF00B050"/>
  </sheetPr>
  <dimension ref="A1:BK178"/>
  <sheetViews>
    <sheetView tabSelected="1" topLeftCell="A130" zoomScale="85" zoomScaleNormal="85" workbookViewId="0">
      <selection activeCell="B44" sqref="B44"/>
    </sheetView>
  </sheetViews>
  <sheetFormatPr defaultColWidth="0" defaultRowHeight="15" zeroHeight="1" x14ac:dyDescent="0.2"/>
  <cols>
    <col min="1" max="1" width="44.42578125" style="161" customWidth="1"/>
    <col min="2" max="2" width="61.85546875" style="163" customWidth="1"/>
    <col min="3" max="3" width="20" style="160" customWidth="1"/>
    <col min="4" max="4" width="29.7109375" style="160" customWidth="1"/>
    <col min="5" max="7" width="9.140625" style="160" hidden="1" customWidth="1"/>
    <col min="8" max="8" width="62.5703125" style="160" hidden="1" customWidth="1"/>
    <col min="9" max="13" width="9.140625" style="160" hidden="1" customWidth="1"/>
    <col min="14" max="14" width="70.7109375" style="160" hidden="1" customWidth="1"/>
    <col min="15" max="16" width="9.140625" style="160" hidden="1" customWidth="1"/>
    <col min="17" max="17" width="59.7109375" style="160" hidden="1" customWidth="1"/>
    <col min="18" max="18" width="49.85546875" style="160" hidden="1" customWidth="1"/>
    <col min="19" max="16384" width="9.140625" style="160" hidden="1"/>
  </cols>
  <sheetData>
    <row r="1" spans="1:4" x14ac:dyDescent="0.2">
      <c r="A1" s="3" t="str">
        <f>CONCATENATE(B65," olish uchun ariza")</f>
        <v>mikroqarz olish uchun ariza</v>
      </c>
      <c r="B1" s="235" t="s">
        <v>453</v>
      </c>
    </row>
    <row r="2" spans="1:4" ht="30" x14ac:dyDescent="0.2">
      <c r="A2" s="3" t="str">
        <f>CONCATENATE(B65," olish uchun ariza sanasi QO’L BILAN KIRITILADI")</f>
        <v>mikroqarz olish uchun ariza sanasi QO’L BILAN KIRITILADI</v>
      </c>
      <c r="B2" s="236" t="s">
        <v>442</v>
      </c>
      <c r="D2" s="160">
        <f>180+B2</f>
        <v>46231</v>
      </c>
    </row>
    <row r="3" spans="1:4" hidden="1" x14ac:dyDescent="0.2">
      <c r="A3" s="3"/>
      <c r="B3" s="1"/>
    </row>
    <row r="4" spans="1:4" x14ac:dyDescent="0.2">
      <c r="A4" s="260" t="s">
        <v>49</v>
      </c>
      <c r="B4" s="260"/>
    </row>
    <row r="5" spans="1:4" ht="30" x14ac:dyDescent="0.2">
      <c r="A5" s="3" t="s">
        <v>50</v>
      </c>
      <c r="B5" s="251" t="s">
        <v>426</v>
      </c>
    </row>
    <row r="6" spans="1:4" ht="28.5" customHeight="1" x14ac:dyDescent="0.2">
      <c r="A6" s="3" t="s">
        <v>51</v>
      </c>
      <c r="B6" s="235" t="s">
        <v>63</v>
      </c>
      <c r="C6" s="160" t="s">
        <v>251</v>
      </c>
      <c r="D6" s="160" t="s">
        <v>130</v>
      </c>
    </row>
    <row r="7" spans="1:4" ht="30" x14ac:dyDescent="0.2">
      <c r="A7" s="3" t="s">
        <v>52</v>
      </c>
      <c r="B7" s="251" t="s">
        <v>427</v>
      </c>
    </row>
    <row r="8" spans="1:4" ht="30" hidden="1" x14ac:dyDescent="0.2">
      <c r="A8" s="3" t="s">
        <v>53</v>
      </c>
      <c r="B8" s="246" t="str">
        <f>B5</f>
        <v>TUYEV SHOXRUX UTKIROVICH</v>
      </c>
    </row>
    <row r="9" spans="1:4" hidden="1" x14ac:dyDescent="0.2">
      <c r="A9" s="3" t="s">
        <v>54</v>
      </c>
      <c r="B9" s="246" t="str">
        <f>B7</f>
        <v>TUYEV SH.U.</v>
      </c>
    </row>
    <row r="10" spans="1:4" ht="30" hidden="1" x14ac:dyDescent="0.2">
      <c r="A10" s="3" t="s">
        <v>55</v>
      </c>
      <c r="B10" s="246" t="str">
        <f>B8</f>
        <v>TUYEV SHOXRUX UTKIROVICH</v>
      </c>
    </row>
    <row r="11" spans="1:4" hidden="1" x14ac:dyDescent="0.2">
      <c r="A11" s="3" t="s">
        <v>56</v>
      </c>
      <c r="B11" s="246" t="str">
        <f>B9</f>
        <v>TUYEV SH.U.</v>
      </c>
    </row>
    <row r="12" spans="1:4" ht="30" hidden="1" x14ac:dyDescent="0.2">
      <c r="A12" s="3" t="s">
        <v>57</v>
      </c>
      <c r="B12" s="246" t="str">
        <f>B10</f>
        <v>TUYEV SHOXRUX UTKIROVICH</v>
      </c>
    </row>
    <row r="13" spans="1:4" hidden="1" x14ac:dyDescent="0.2">
      <c r="A13" s="3" t="s">
        <v>58</v>
      </c>
      <c r="B13" s="246" t="str">
        <f>B11</f>
        <v>TUYEV SH.U.</v>
      </c>
    </row>
    <row r="14" spans="1:4" hidden="1" x14ac:dyDescent="0.2">
      <c r="A14" s="3" t="s">
        <v>59</v>
      </c>
      <c r="B14" s="246" t="s">
        <v>62</v>
      </c>
    </row>
    <row r="15" spans="1:4" x14ac:dyDescent="0.2">
      <c r="A15" s="3" t="s">
        <v>60</v>
      </c>
      <c r="B15" s="247" t="s">
        <v>428</v>
      </c>
    </row>
    <row r="16" spans="1:4" x14ac:dyDescent="0.2">
      <c r="A16" s="3" t="s">
        <v>61</v>
      </c>
      <c r="B16" s="235" t="s">
        <v>429</v>
      </c>
    </row>
    <row r="17" spans="1:7" x14ac:dyDescent="0.2">
      <c r="A17" s="3"/>
      <c r="B17" s="235" t="s">
        <v>430</v>
      </c>
      <c r="D17" s="160" t="str">
        <f>TEXT(C17,"ДД.ММ.ГГГГ")</f>
        <v>00.01.1900</v>
      </c>
    </row>
    <row r="18" spans="1:7" x14ac:dyDescent="0.2">
      <c r="A18" s="3"/>
      <c r="B18" s="247">
        <v>45666</v>
      </c>
      <c r="C18" s="199" t="str">
        <f>TEXT(B18,"ДД.ММ.ГГГГ")</f>
        <v>09.01.2025</v>
      </c>
    </row>
    <row r="19" spans="1:7" x14ac:dyDescent="0.2">
      <c r="A19" s="3"/>
      <c r="B19" s="247">
        <v>49317</v>
      </c>
      <c r="C19" s="199" t="str">
        <f>TEXT(B19,"ДД.ММ.ГГГГ")</f>
        <v>08.01.2035</v>
      </c>
    </row>
    <row r="20" spans="1:7" ht="60" x14ac:dyDescent="0.2">
      <c r="A20" s="3" t="s">
        <v>64</v>
      </c>
      <c r="B20" s="55" t="str">
        <f>""&amp;B17&amp;" tomonidan "&amp;C18&amp;" yilda berilgan"</f>
        <v>IIV12208 tomonidan 09.01.2025 yilda berilgan</v>
      </c>
      <c r="C20" s="200" t="str">
        <f>""&amp;B17&amp;" tomonidan "&amp;C18&amp;" yilda berilgan"</f>
        <v>IIV12208 tomonidan 09.01.2025 yilda berilgan</v>
      </c>
    </row>
    <row r="21" spans="1:7" ht="45" x14ac:dyDescent="0.2">
      <c r="A21" s="3" t="s">
        <v>65</v>
      </c>
      <c r="B21" s="55" t="str">
        <f>""&amp;C19&amp;" y."</f>
        <v>08.01.2035 y.</v>
      </c>
      <c r="C21" s="199" t="str">
        <f>""&amp;C19&amp;" yilgacha"</f>
        <v>08.01.2035 yilgacha</v>
      </c>
    </row>
    <row r="22" spans="1:7" ht="64.5" customHeight="1" x14ac:dyDescent="0.2">
      <c r="A22" s="3" t="s">
        <v>66</v>
      </c>
      <c r="B22" s="235" t="s">
        <v>431</v>
      </c>
      <c r="C22" s="199" t="str">
        <f>TEXT(B19,"ДД.ММ.ГГГГ")</f>
        <v>08.01.2035</v>
      </c>
    </row>
    <row r="23" spans="1:7" ht="30" x14ac:dyDescent="0.2">
      <c r="A23" s="3" t="s">
        <v>67</v>
      </c>
      <c r="B23" s="235" t="s">
        <v>91</v>
      </c>
      <c r="C23" s="160" t="s">
        <v>91</v>
      </c>
      <c r="D23" s="160" t="s">
        <v>92</v>
      </c>
    </row>
    <row r="24" spans="1:7" ht="30" hidden="1" x14ac:dyDescent="0.2">
      <c r="A24" s="3" t="s">
        <v>68</v>
      </c>
      <c r="B24" s="246" t="s">
        <v>89</v>
      </c>
      <c r="C24" s="160" t="s">
        <v>89</v>
      </c>
      <c r="D24" s="160" t="s">
        <v>90</v>
      </c>
      <c r="E24" s="160" t="s">
        <v>0</v>
      </c>
      <c r="F24" s="160" t="s">
        <v>1</v>
      </c>
      <c r="G24" s="160" t="s">
        <v>3</v>
      </c>
    </row>
    <row r="25" spans="1:7" ht="30" x14ac:dyDescent="0.2">
      <c r="A25" s="3" t="s">
        <v>69</v>
      </c>
      <c r="B25" s="255" t="s">
        <v>449</v>
      </c>
    </row>
    <row r="26" spans="1:7" ht="44.25" customHeight="1" x14ac:dyDescent="0.2">
      <c r="A26" s="3" t="s">
        <v>70</v>
      </c>
      <c r="B26" s="255" t="s">
        <v>443</v>
      </c>
      <c r="C26" s="160" t="s">
        <v>24</v>
      </c>
    </row>
    <row r="27" spans="1:7" ht="44.25" hidden="1" customHeight="1" x14ac:dyDescent="0.2">
      <c r="A27" s="3"/>
      <c r="B27" s="235" t="str">
        <f>IF(B23="mos keladi",B22,B28)</f>
        <v>NAVOIY VILOYATI  QIZILTEPA TUMANI A.NAVOIY MFY SHODLIK  KO'CHASI 6-UY</v>
      </c>
    </row>
    <row r="28" spans="1:7" ht="45" x14ac:dyDescent="0.2">
      <c r="A28" s="3" t="s">
        <v>71</v>
      </c>
      <c r="B28" s="253" t="s">
        <v>431</v>
      </c>
    </row>
    <row r="29" spans="1:7" x14ac:dyDescent="0.2">
      <c r="A29" s="3" t="s">
        <v>72</v>
      </c>
      <c r="B29" s="235" t="s">
        <v>89</v>
      </c>
      <c r="C29" s="160" t="s">
        <v>89</v>
      </c>
      <c r="D29" s="160" t="s">
        <v>90</v>
      </c>
      <c r="E29" s="160" t="s">
        <v>320</v>
      </c>
      <c r="F29" s="160" t="s">
        <v>321</v>
      </c>
      <c r="G29" s="160" t="s">
        <v>3</v>
      </c>
    </row>
    <row r="30" spans="1:7" ht="27" x14ac:dyDescent="0.2">
      <c r="A30" s="3" t="s">
        <v>73</v>
      </c>
      <c r="B30" s="180" t="s">
        <v>145</v>
      </c>
      <c r="C30" s="160" t="s">
        <v>145</v>
      </c>
      <c r="D30" s="160" t="s">
        <v>324</v>
      </c>
    </row>
    <row r="31" spans="1:7" x14ac:dyDescent="0.2">
      <c r="A31" s="3" t="s">
        <v>74</v>
      </c>
      <c r="B31" s="235" t="s">
        <v>432</v>
      </c>
    </row>
    <row r="32" spans="1:7" x14ac:dyDescent="0.2">
      <c r="A32" s="3" t="s">
        <v>59</v>
      </c>
      <c r="B32" s="237" t="s">
        <v>62</v>
      </c>
    </row>
    <row r="33" spans="1:4" ht="30" x14ac:dyDescent="0.2">
      <c r="A33" s="3" t="s">
        <v>69</v>
      </c>
      <c r="B33" s="255" t="s">
        <v>449</v>
      </c>
    </row>
    <row r="34" spans="1:4" hidden="1" x14ac:dyDescent="0.2">
      <c r="A34" s="3"/>
      <c r="B34" s="254" t="str">
        <f>IF(B23="mos keladi",B26,B35)</f>
        <v>41-MAKTAB YAQINIDA</v>
      </c>
    </row>
    <row r="35" spans="1:4" x14ac:dyDescent="0.2">
      <c r="A35" s="3" t="s">
        <v>70</v>
      </c>
      <c r="B35" s="254"/>
    </row>
    <row r="36" spans="1:4" x14ac:dyDescent="0.2">
      <c r="A36" s="3" t="s">
        <v>75</v>
      </c>
      <c r="B36" s="254"/>
    </row>
    <row r="37" spans="1:4" x14ac:dyDescent="0.2">
      <c r="A37" s="3" t="s">
        <v>76</v>
      </c>
      <c r="B37" s="254"/>
    </row>
    <row r="38" spans="1:4" x14ac:dyDescent="0.2">
      <c r="A38" s="3" t="s">
        <v>77</v>
      </c>
      <c r="B38" s="254"/>
    </row>
    <row r="39" spans="1:4" x14ac:dyDescent="0.2">
      <c r="A39" s="3" t="s">
        <v>78</v>
      </c>
      <c r="B39" s="254"/>
    </row>
    <row r="40" spans="1:4" ht="24.75" customHeight="1" x14ac:dyDescent="0.2">
      <c r="A40" s="3" t="s">
        <v>79</v>
      </c>
      <c r="B40" s="255" t="s">
        <v>452</v>
      </c>
    </row>
    <row r="41" spans="1:4" ht="24.75" customHeight="1" x14ac:dyDescent="0.2">
      <c r="A41" s="3" t="s">
        <v>80</v>
      </c>
      <c r="B41" s="255" t="s">
        <v>450</v>
      </c>
    </row>
    <row r="42" spans="1:4" ht="24.75" customHeight="1" x14ac:dyDescent="0.2">
      <c r="A42" s="3" t="s">
        <v>79</v>
      </c>
      <c r="B42" s="255" t="s">
        <v>451</v>
      </c>
    </row>
    <row r="43" spans="1:4" ht="30" x14ac:dyDescent="0.2">
      <c r="A43" s="3" t="s">
        <v>80</v>
      </c>
      <c r="B43" s="46"/>
    </row>
    <row r="44" spans="1:4" ht="23.25" x14ac:dyDescent="0.2">
      <c r="A44" s="155" t="s">
        <v>81</v>
      </c>
      <c r="B44" s="154" t="s">
        <v>426</v>
      </c>
      <c r="C44" s="160" t="str">
        <f>+B5</f>
        <v>TUYEV SHOXRUX UTKIROVICH</v>
      </c>
      <c r="D44" s="160" t="s">
        <v>342</v>
      </c>
    </row>
    <row r="45" spans="1:4" hidden="1" x14ac:dyDescent="0.2">
      <c r="A45" s="3"/>
      <c r="B45" s="153" t="str">
        <f>IF(B44=D44,CONCATENATE("MA'LUMOTNOMA ",B47,B46),C44)</f>
        <v>TUYEV SHOXRUX UTKIROVICH</v>
      </c>
    </row>
    <row r="46" spans="1:4" ht="93" x14ac:dyDescent="0.2">
      <c r="A46" s="155" t="s">
        <v>343</v>
      </c>
      <c r="B46" s="164"/>
    </row>
    <row r="47" spans="1:4" ht="23.25" x14ac:dyDescent="0.2">
      <c r="A47" s="155"/>
      <c r="B47" s="164"/>
      <c r="C47" s="160" t="s">
        <v>14</v>
      </c>
    </row>
    <row r="48" spans="1:4" ht="93" x14ac:dyDescent="0.2">
      <c r="A48" s="155" t="s">
        <v>344</v>
      </c>
      <c r="B48" s="153"/>
    </row>
    <row r="49" spans="1:4" hidden="1" x14ac:dyDescent="0.2">
      <c r="A49" s="3" t="s">
        <v>82</v>
      </c>
      <c r="B49" s="46" t="str">
        <f>IF(B44=C44,C44,B48)</f>
        <v>TUYEV SHOXRUX UTKIROVICH</v>
      </c>
    </row>
    <row r="50" spans="1:4" ht="45" x14ac:dyDescent="0.2">
      <c r="A50" s="3" t="s">
        <v>83</v>
      </c>
      <c r="B50" s="46"/>
    </row>
    <row r="51" spans="1:4" x14ac:dyDescent="0.2">
      <c r="A51" s="3" t="s">
        <v>70</v>
      </c>
      <c r="B51" s="46"/>
    </row>
    <row r="52" spans="1:4" x14ac:dyDescent="0.2">
      <c r="A52" s="3" t="s">
        <v>84</v>
      </c>
      <c r="B52" s="46"/>
    </row>
    <row r="53" spans="1:4" x14ac:dyDescent="0.2">
      <c r="A53" s="3" t="s">
        <v>85</v>
      </c>
      <c r="B53" s="46"/>
    </row>
    <row r="54" spans="1:4" x14ac:dyDescent="0.2">
      <c r="A54" s="3" t="s">
        <v>86</v>
      </c>
      <c r="B54" s="46"/>
    </row>
    <row r="55" spans="1:4" x14ac:dyDescent="0.2">
      <c r="A55" s="3" t="s">
        <v>87</v>
      </c>
      <c r="B55" s="2"/>
    </row>
    <row r="56" spans="1:4" x14ac:dyDescent="0.2">
      <c r="A56" s="3" t="s">
        <v>88</v>
      </c>
      <c r="B56" s="2" t="s">
        <v>21</v>
      </c>
    </row>
    <row r="57" spans="1:4" ht="30" customHeight="1" x14ac:dyDescent="0.2">
      <c r="A57" s="261" t="s">
        <v>93</v>
      </c>
      <c r="B57" s="262"/>
    </row>
    <row r="58" spans="1:4" ht="20.25" hidden="1" customHeight="1" x14ac:dyDescent="0.2">
      <c r="A58" s="3" t="s">
        <v>94</v>
      </c>
      <c r="B58" s="46" t="str">
        <f>IF(B44=C44,C44,CONCATENATE(B44," ",B47))</f>
        <v>TUYEV SHOXRUX UTKIROVICH</v>
      </c>
    </row>
    <row r="59" spans="1:4" ht="31.5" hidden="1" customHeight="1" x14ac:dyDescent="0.2">
      <c r="A59" s="3" t="s">
        <v>82</v>
      </c>
      <c r="B59" s="46" t="str">
        <f>B49</f>
        <v>TUYEV SHOXRUX UTKIROVICH</v>
      </c>
    </row>
    <row r="60" spans="1:4" ht="23.25" x14ac:dyDescent="0.2">
      <c r="A60" s="155" t="s">
        <v>95</v>
      </c>
      <c r="B60" s="158">
        <v>18000000</v>
      </c>
      <c r="C60" s="201">
        <f>C63/B76</f>
        <v>0.46574201030000001</v>
      </c>
    </row>
    <row r="61" spans="1:4" x14ac:dyDescent="0.2">
      <c r="A61" s="3" t="s">
        <v>96</v>
      </c>
      <c r="B61" s="5">
        <v>0</v>
      </c>
      <c r="C61" s="202" t="s">
        <v>373</v>
      </c>
    </row>
    <row r="62" spans="1:4" hidden="1" x14ac:dyDescent="0.2">
      <c r="A62" s="3" t="s">
        <v>97</v>
      </c>
      <c r="B62" s="46">
        <f>B53</f>
        <v>0</v>
      </c>
      <c r="C62" s="203"/>
    </row>
    <row r="63" spans="1:4" ht="30" x14ac:dyDescent="0.2">
      <c r="A63" s="3" t="s">
        <v>98</v>
      </c>
      <c r="B63" s="46"/>
      <c r="C63" s="204">
        <f>SUM(grafik!E9:E20)</f>
        <v>46574201.030000001</v>
      </c>
    </row>
    <row r="64" spans="1:4" x14ac:dyDescent="0.2">
      <c r="A64" s="260" t="s">
        <v>99</v>
      </c>
      <c r="B64" s="260"/>
      <c r="C64" s="160" t="str">
        <f>PROPER(B65)</f>
        <v>Mikroqarz</v>
      </c>
      <c r="D64" s="160" t="str">
        <f>UPPER(B65)</f>
        <v>MIKROQARZ</v>
      </c>
    </row>
    <row r="65" spans="1:14" x14ac:dyDescent="0.2">
      <c r="A65" s="3" t="s">
        <v>100</v>
      </c>
      <c r="B65" s="1" t="str">
        <f>IF(B76&gt;100000001,"mikrokredit",IF(B76&lt;100000001,"mikroqarz",0))</f>
        <v>mikroqarz</v>
      </c>
      <c r="C65" s="205">
        <f>DATE(YEAR(B67),MONTH(B67)+B82,DAY(B67))</f>
        <v>47512</v>
      </c>
    </row>
    <row r="66" spans="1:14" hidden="1" x14ac:dyDescent="0.2">
      <c r="A66" s="3" t="s">
        <v>101</v>
      </c>
      <c r="B66" s="46" t="str">
        <f>B1</f>
        <v>№244-NVS</v>
      </c>
      <c r="C66" s="160">
        <f>MONTH(C65)</f>
        <v>1</v>
      </c>
      <c r="D66" s="160" t="str">
        <f>IF(C66=C68,C70,IF(C66=D68,D70,IF(C66=E68,E70,IF(C66=F68,F70,IF(C66=G68,G70,IF(C66=H68,H70,IF(C66=I68,I70,IF(C66=J68,J70,IF(C66=K68,K70,IF(C66=L68,L70,IF(C66=M68,M70,IF(C66=N68,N70,))))))))))))</f>
        <v>yanvar</v>
      </c>
      <c r="E66" s="160">
        <f>DAY(C65)</f>
        <v>29</v>
      </c>
      <c r="F66" s="160">
        <f>YEAR(C65)</f>
        <v>2030</v>
      </c>
      <c r="G66" s="160">
        <f>MONTH(C65)</f>
        <v>1</v>
      </c>
      <c r="H66" s="160" t="str">
        <f>IF(C66=C68,C71,IF(C66=D68,D71,IF(C66=E68,E71,IF(C66=F68,F71,IF(C66=G68,G71,IF(C66=H68,H71,IF(C66=I68,I71,IF(C66=J68,J71,IF(C66=K68,K71,IF(C66=L68,L71,IF(C66=M68,M71,IF(C66=N68,N71,))))))))))))</f>
        <v>yanvar</v>
      </c>
      <c r="I66" s="160">
        <f>YEAR(C65)</f>
        <v>2030</v>
      </c>
    </row>
    <row r="67" spans="1:14" hidden="1" x14ac:dyDescent="0.2">
      <c r="A67" s="3" t="s">
        <v>102</v>
      </c>
      <c r="B67" s="75" t="str">
        <f>B2</f>
        <v>29.01.2026</v>
      </c>
      <c r="C67" s="160">
        <f>MONTH(B67)</f>
        <v>1</v>
      </c>
      <c r="D67" s="160" t="str">
        <f>IF(C67=C68,C70,IF(C67=D68,D70,IF(C67=E68,E70,IF(C67=F68,F70,IF(C67=G68,G70,IF(C67=H68,H70,IF(C67=I68,I70,IF(C67=J68,J70,IF(C67=K68,K70,IF(C67=L68,L70,IF(C67=M68,M70,IF(C67=N68,N70,))))))))))))</f>
        <v>yanvar</v>
      </c>
      <c r="E67" s="160">
        <f>DAY(B67)</f>
        <v>29</v>
      </c>
      <c r="F67" s="160">
        <f>YEAR(B67)</f>
        <v>2026</v>
      </c>
      <c r="G67" s="160">
        <f>MONTH(B67)</f>
        <v>1</v>
      </c>
      <c r="H67" s="160" t="str">
        <f>IF(C67=C68,C71,IF(C67=D68,D71,IF(C67=E68,E71,IF(C67=F68,F71,IF(C67=G68,G71,IF(C67=H68,H71,IF(C67=I68,I71,IF(C67=J68,J71,IF(C67=K68,K71,IF(C67=L68,L71,IF(C67=M68,M71,IF(C67=N68,N71,))))))))))))</f>
        <v>yanvar</v>
      </c>
      <c r="I67" s="160">
        <f>YEAR(B67)</f>
        <v>2026</v>
      </c>
    </row>
    <row r="68" spans="1:14" hidden="1" x14ac:dyDescent="0.2">
      <c r="A68" s="3" t="s">
        <v>103</v>
      </c>
      <c r="B68" s="68" t="str">
        <f>""&amp;E67&amp;" "&amp;D67&amp;" "&amp;F67&amp;" y."</f>
        <v>29 yanvar 2026 y.</v>
      </c>
      <c r="C68" s="160">
        <v>1</v>
      </c>
      <c r="D68" s="160">
        <v>2</v>
      </c>
      <c r="E68" s="160">
        <v>3</v>
      </c>
      <c r="F68" s="160">
        <v>4</v>
      </c>
      <c r="G68" s="160">
        <v>5</v>
      </c>
      <c r="H68" s="160">
        <v>6</v>
      </c>
      <c r="I68" s="160">
        <v>7</v>
      </c>
      <c r="J68" s="160">
        <v>8</v>
      </c>
      <c r="K68" s="160">
        <v>9</v>
      </c>
      <c r="L68" s="160">
        <v>10</v>
      </c>
      <c r="M68" s="160">
        <v>11</v>
      </c>
      <c r="N68" s="160">
        <v>12</v>
      </c>
    </row>
    <row r="69" spans="1:14" hidden="1" x14ac:dyDescent="0.2">
      <c r="A69" s="3"/>
      <c r="B69" s="68" t="str">
        <f>""&amp;E67&amp;" "&amp;H67&amp;" "&amp;F67&amp;" y."</f>
        <v>29 yanvar 2026 y.</v>
      </c>
    </row>
    <row r="70" spans="1:14" hidden="1" x14ac:dyDescent="0.2">
      <c r="A70" s="3"/>
      <c r="B70" s="54" t="str">
        <f>B68</f>
        <v>29 yanvar 2026 y.</v>
      </c>
      <c r="C70" s="160" t="s">
        <v>115</v>
      </c>
      <c r="D70" s="160" t="s">
        <v>116</v>
      </c>
      <c r="E70" s="160" t="s">
        <v>105</v>
      </c>
      <c r="F70" s="160" t="s">
        <v>106</v>
      </c>
      <c r="G70" s="160" t="s">
        <v>107</v>
      </c>
      <c r="H70" s="160" t="s">
        <v>108</v>
      </c>
      <c r="I70" s="160" t="s">
        <v>109</v>
      </c>
      <c r="J70" s="160" t="s">
        <v>110</v>
      </c>
      <c r="K70" s="160" t="s">
        <v>111</v>
      </c>
      <c r="L70" s="160" t="s">
        <v>112</v>
      </c>
      <c r="M70" s="160" t="s">
        <v>113</v>
      </c>
      <c r="N70" s="160" t="s">
        <v>114</v>
      </c>
    </row>
    <row r="71" spans="1:14" hidden="1" x14ac:dyDescent="0.2">
      <c r="A71" s="3"/>
      <c r="B71" s="54" t="str">
        <f>B69</f>
        <v>29 yanvar 2026 y.</v>
      </c>
      <c r="C71" s="160" t="s">
        <v>115</v>
      </c>
      <c r="D71" s="160" t="s">
        <v>116</v>
      </c>
      <c r="E71" s="160" t="s">
        <v>105</v>
      </c>
      <c r="F71" s="160" t="s">
        <v>106</v>
      </c>
      <c r="G71" s="160" t="s">
        <v>107</v>
      </c>
      <c r="H71" s="160" t="s">
        <v>108</v>
      </c>
      <c r="I71" s="160" t="s">
        <v>109</v>
      </c>
      <c r="J71" s="160" t="s">
        <v>110</v>
      </c>
      <c r="K71" s="160" t="s">
        <v>111</v>
      </c>
      <c r="L71" s="160" t="s">
        <v>112</v>
      </c>
      <c r="M71" s="160" t="s">
        <v>113</v>
      </c>
      <c r="N71" s="160" t="s">
        <v>114</v>
      </c>
    </row>
    <row r="72" spans="1:14" hidden="1" x14ac:dyDescent="0.2">
      <c r="A72" s="3" t="s">
        <v>104</v>
      </c>
      <c r="B72" s="53" t="str">
        <f>""&amp;E66&amp;" "&amp;D66&amp;" "&amp;F66&amp;" y."</f>
        <v>29 yanvar 2030 y.</v>
      </c>
    </row>
    <row r="73" spans="1:14" hidden="1" x14ac:dyDescent="0.2">
      <c r="A73" s="3"/>
      <c r="B73" s="53" t="str">
        <f>""&amp;E66&amp;" "&amp;H66&amp;" "&amp;F66&amp;" y."</f>
        <v>29 yanvar 2030 y.</v>
      </c>
    </row>
    <row r="74" spans="1:14" ht="15.75" hidden="1" thickBot="1" x14ac:dyDescent="0.25">
      <c r="A74" s="3" t="s">
        <v>117</v>
      </c>
      <c r="B74" s="1" t="str">
        <f>""&amp;B68&amp;"dan "&amp;B66&amp;""</f>
        <v>29 yanvar 2026 y.dan №244-NVS</v>
      </c>
    </row>
    <row r="75" spans="1:14" ht="15.75" thickBot="1" x14ac:dyDescent="0.25">
      <c r="A75" s="3" t="str">
        <f>CONCATENATE(B65," miqdori (summasi)")</f>
        <v>mikroqarz miqdori (summasi)</v>
      </c>
      <c r="B75" s="248">
        <v>75000000</v>
      </c>
    </row>
    <row r="76" spans="1:14" x14ac:dyDescent="0.2">
      <c r="A76" s="3" t="str">
        <f>CONCATENATE(B65," miqdori (summasi)")</f>
        <v>mikroqarz miqdori (summasi)</v>
      </c>
      <c r="B76" s="62">
        <f>B75+B153</f>
        <v>100000000</v>
      </c>
      <c r="C76" s="206" t="s">
        <v>123</v>
      </c>
    </row>
    <row r="77" spans="1:14" x14ac:dyDescent="0.2">
      <c r="A77" s="136" t="s">
        <v>118</v>
      </c>
      <c r="B77" s="4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76))&gt;6,ROMAN(MID(INT(B76),1,LEN(INT(B76))-6)+0)&amp;" million "&amp;ROMAN(MID(INT(B76),LEN(INT(B76))-5,3)+0)&amp;" ming "&amp;ROMAN(MID(INT(B76),LEN(INT(B76))-2,3)+0),IF(LEN(INT(B76))&gt;3,ROMAN(MID(INT(B76),1,LEN(INT(B76))-3)+0)&amp;" ming "&amp;ROMAN(MID(INT(B76),LEN(INT(B76))-2,3)+0),ROMAN(INT(B76)))),"DCCC","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million so'm</v>
      </c>
      <c r="C77" s="207"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ming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Yuz million so'm</v>
      </c>
    </row>
    <row r="78" spans="1:14" x14ac:dyDescent="0.2">
      <c r="A78" s="3" t="s">
        <v>119</v>
      </c>
      <c r="B78" s="46" t="s">
        <v>125</v>
      </c>
      <c r="C78" s="160" t="s">
        <v>125</v>
      </c>
      <c r="D78" s="160" t="s">
        <v>124</v>
      </c>
    </row>
    <row r="79" spans="1:14" x14ac:dyDescent="0.2">
      <c r="A79" s="3" t="str">
        <f>CONCATENATE(B65,"ni to'lash sanasi (14.10.2011)")</f>
        <v>mikroqarzni to'lash sanasi (14.10.2011)</v>
      </c>
      <c r="B79" s="46">
        <v>15</v>
      </c>
      <c r="C79" s="205">
        <f>DATE(YEAR(B67),MONTH(B67)+1,DAY(B79))</f>
        <v>46068</v>
      </c>
      <c r="D79" s="160" t="s">
        <v>26</v>
      </c>
      <c r="E79" s="160" t="s">
        <v>27</v>
      </c>
      <c r="F79" s="160" t="s">
        <v>28</v>
      </c>
      <c r="G79" s="160" t="s">
        <v>29</v>
      </c>
      <c r="H79" s="160" t="s">
        <v>30</v>
      </c>
      <c r="I79" s="160" t="s">
        <v>31</v>
      </c>
      <c r="J79" s="160" t="s">
        <v>32</v>
      </c>
    </row>
    <row r="80" spans="1:14" ht="30" hidden="1" x14ac:dyDescent="0.25">
      <c r="A80" s="3" t="str">
        <f>CONCATENATE(B65,"ni to'lash sanasi (14.10.2011 y.) QO’L BILAN KIRITILADI")</f>
        <v>mikroqarzni to'lash sanasi (14.10.2011 y.) QO’L BILAN KIRITILADI</v>
      </c>
      <c r="B80" s="69">
        <f>DATE(YEAR(B67),MONTH(B67)+1,DAY(B79+C81))</f>
        <v>46069</v>
      </c>
      <c r="C80" s="208" t="str">
        <f>TEXT(C79,"ддд")</f>
        <v>Вс</v>
      </c>
      <c r="D80" s="160" t="s">
        <v>26</v>
      </c>
      <c r="E80" s="160" t="s">
        <v>27</v>
      </c>
      <c r="F80" s="160" t="s">
        <v>28</v>
      </c>
      <c r="G80" s="160" t="s">
        <v>29</v>
      </c>
      <c r="H80" s="160" t="s">
        <v>30</v>
      </c>
      <c r="I80" s="160" t="s">
        <v>31</v>
      </c>
      <c r="J80" s="160" t="s">
        <v>32</v>
      </c>
    </row>
    <row r="81" spans="1:63" ht="30" hidden="1" x14ac:dyDescent="0.2">
      <c r="A81" s="3" t="s">
        <v>120</v>
      </c>
      <c r="B81" s="70">
        <f>B80</f>
        <v>46069</v>
      </c>
      <c r="C81" s="160">
        <f>IF(C80=I80,2,IF(C80=J80,1,0))</f>
        <v>1</v>
      </c>
    </row>
    <row r="82" spans="1:63" x14ac:dyDescent="0.2">
      <c r="A82" s="3" t="str">
        <f>CONCATENATE(B65," muddati")</f>
        <v>mikroqarz muddati</v>
      </c>
      <c r="B82" s="46">
        <v>48</v>
      </c>
      <c r="C82" s="160">
        <v>6</v>
      </c>
      <c r="D82" s="160">
        <v>12</v>
      </c>
      <c r="E82" s="160">
        <v>18</v>
      </c>
      <c r="F82" s="160">
        <v>24</v>
      </c>
      <c r="G82" s="160">
        <v>36</v>
      </c>
    </row>
    <row r="83" spans="1:63" ht="30" x14ac:dyDescent="0.2">
      <c r="A83" s="3" t="str">
        <f>CONCATENATE(B65," muddati QO’L BILAN KIRITILADI")</f>
        <v>mikroqarz muddati QO’L BILAN KIRITILADI</v>
      </c>
      <c r="B83" s="46"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ming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"&amp;SUBSTITUTE(SUBSTITUTE(SUBSTITUTE(SUBSTITUTE(SUBSTITUTE(SUBSTITUTE(SUBSTITUTE(SUBSTITUTE(RIGHT(TEXT(B82," "),2)&amp;"","1","1"),"2","2"),"3","3"),"4","4"),"11","11"),"12","12"),"13","13"),"14","14")</f>
        <v xml:space="preserve">Qirq sakkiz  </v>
      </c>
    </row>
    <row r="84" spans="1:63" ht="30" x14ac:dyDescent="0.2">
      <c r="A84" s="152" t="s">
        <v>339</v>
      </c>
      <c r="B84" s="134">
        <v>0</v>
      </c>
      <c r="BJ84" s="160">
        <v>1</v>
      </c>
      <c r="BK84" s="160">
        <v>0</v>
      </c>
    </row>
    <row r="85" spans="1:63" x14ac:dyDescent="0.2">
      <c r="A85" s="3" t="str">
        <f>CONCATENATE(B65," stavkasi")</f>
        <v>mikroqarz stavkasi</v>
      </c>
      <c r="B85" s="71">
        <v>0.55000000000000004</v>
      </c>
    </row>
    <row r="86" spans="1:63" x14ac:dyDescent="0.2">
      <c r="A86" s="3" t="str">
        <f>CONCATENATE(B65," stavkasi")</f>
        <v>mikroqarz stavkasi</v>
      </c>
      <c r="B86" s="72" t="s">
        <v>391</v>
      </c>
    </row>
    <row r="87" spans="1:63" x14ac:dyDescent="0.2">
      <c r="A87" s="3" t="str">
        <f>CONCATENATE(B65," stavkasi (so’z bilan)")</f>
        <v>mikroqarz stavkasi (so’z bilan)</v>
      </c>
      <c r="B87" s="7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c r="C87" s="160"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row>
    <row r="88" spans="1:63" x14ac:dyDescent="0.2">
      <c r="A88" s="3" t="str">
        <f>CONCATENATE("Muddati o'tgan ",B65," bo’yicha stavka")</f>
        <v>Muddati o'tgan mikroqarz bo’yicha stavka</v>
      </c>
      <c r="B88" s="71">
        <v>1.05</v>
      </c>
    </row>
    <row r="89" spans="1:63" x14ac:dyDescent="0.2">
      <c r="A89" s="136" t="s">
        <v>118</v>
      </c>
      <c r="B89" s="72" t="s">
        <v>392</v>
      </c>
    </row>
    <row r="90" spans="1:63" x14ac:dyDescent="0.2">
      <c r="A90" s="3" t="str">
        <f>CONCATENATE("Muddati o'tgan ",B65," bo’yicha stavka")</f>
        <v>Muddati o'tgan mikroqarz bo’yicha stavka</v>
      </c>
      <c r="B90" s="231" t="s">
        <v>409</v>
      </c>
      <c r="C90" s="232" t="s">
        <v>409</v>
      </c>
    </row>
    <row r="91" spans="1:63" x14ac:dyDescent="0.2">
      <c r="A91" s="3" t="s">
        <v>121</v>
      </c>
      <c r="B91" s="73">
        <f>IF(B78=C78,LARGE(grafik!F9:F26,1),ROUND(PMT(B85/12,B82,-B76,0),-3))</f>
        <v>6434360.8900000006</v>
      </c>
    </row>
    <row r="92" spans="1:63" x14ac:dyDescent="0.2">
      <c r="A92" s="261" t="s">
        <v>380</v>
      </c>
      <c r="B92" s="262"/>
    </row>
    <row r="93" spans="1:63" x14ac:dyDescent="0.2">
      <c r="A93" s="174" t="s">
        <v>381</v>
      </c>
      <c r="B93" s="256" t="s">
        <v>445</v>
      </c>
    </row>
    <row r="94" spans="1:63" x14ac:dyDescent="0.2">
      <c r="A94" s="174" t="s">
        <v>382</v>
      </c>
      <c r="B94" s="257" t="s">
        <v>444</v>
      </c>
    </row>
    <row r="95" spans="1:63" x14ac:dyDescent="0.2">
      <c r="A95" s="174" t="s">
        <v>383</v>
      </c>
      <c r="B95" s="258" t="s">
        <v>447</v>
      </c>
    </row>
    <row r="96" spans="1:63" x14ac:dyDescent="0.2">
      <c r="A96" s="174" t="s">
        <v>384</v>
      </c>
      <c r="B96" s="258" t="s">
        <v>446</v>
      </c>
    </row>
    <row r="97" spans="1:4" x14ac:dyDescent="0.2">
      <c r="A97" s="174" t="s">
        <v>385</v>
      </c>
      <c r="B97" s="258" t="s">
        <v>448</v>
      </c>
    </row>
    <row r="98" spans="1:4" x14ac:dyDescent="0.2">
      <c r="A98" s="260" t="s">
        <v>122</v>
      </c>
      <c r="B98" s="260"/>
    </row>
    <row r="99" spans="1:4" ht="18" x14ac:dyDescent="0.2">
      <c r="A99" s="74"/>
      <c r="B99" s="128" t="s">
        <v>127</v>
      </c>
      <c r="C99" s="209" t="s">
        <v>127</v>
      </c>
      <c r="D99" s="160" t="s">
        <v>128</v>
      </c>
    </row>
    <row r="100" spans="1:4" ht="18" x14ac:dyDescent="0.2">
      <c r="A100" s="7" t="s">
        <v>133</v>
      </c>
      <c r="B100" s="128" t="s">
        <v>129</v>
      </c>
      <c r="C100" s="210" t="s">
        <v>129</v>
      </c>
      <c r="D100" s="160" t="s">
        <v>130</v>
      </c>
    </row>
    <row r="101" spans="1:4" ht="54" x14ac:dyDescent="0.2">
      <c r="A101" s="7" t="s">
        <v>134</v>
      </c>
      <c r="B101" s="128" t="s">
        <v>131</v>
      </c>
      <c r="C101" s="160" t="s">
        <v>131</v>
      </c>
      <c r="D101" s="160" t="s">
        <v>132</v>
      </c>
    </row>
    <row r="102" spans="1:4" ht="36" x14ac:dyDescent="0.2">
      <c r="A102" s="7" t="s">
        <v>135</v>
      </c>
      <c r="B102" s="241"/>
    </row>
    <row r="103" spans="1:4" ht="54" x14ac:dyDescent="0.2">
      <c r="A103" s="7" t="s">
        <v>136</v>
      </c>
      <c r="B103" s="241"/>
    </row>
    <row r="104" spans="1:4" x14ac:dyDescent="0.2">
      <c r="A104" s="260" t="s">
        <v>137</v>
      </c>
      <c r="B104" s="260"/>
    </row>
    <row r="105" spans="1:4" ht="36" x14ac:dyDescent="0.2">
      <c r="A105" s="7" t="s">
        <v>138</v>
      </c>
      <c r="B105" s="241"/>
    </row>
    <row r="106" spans="1:4" ht="54" x14ac:dyDescent="0.2">
      <c r="A106" s="7" t="s">
        <v>139</v>
      </c>
      <c r="B106" s="241"/>
    </row>
    <row r="107" spans="1:4" ht="18" x14ac:dyDescent="0.2">
      <c r="A107" s="7" t="s">
        <v>140</v>
      </c>
      <c r="B107" s="242"/>
    </row>
    <row r="108" spans="1:4" ht="18" x14ac:dyDescent="0.2">
      <c r="A108" s="7" t="s">
        <v>141</v>
      </c>
      <c r="B108" s="243"/>
    </row>
    <row r="109" spans="1:4" ht="18" hidden="1" x14ac:dyDescent="0.2">
      <c r="A109" s="7"/>
      <c r="B109" s="128" t="str">
        <f>TEXT(B108,"ДД.ММ.ГГГГ")</f>
        <v>00.01.1900</v>
      </c>
    </row>
    <row r="110" spans="1:4" ht="18" x14ac:dyDescent="0.2">
      <c r="A110" s="7"/>
      <c r="B110" s="8" t="s">
        <v>142</v>
      </c>
      <c r="C110" s="160" t="s">
        <v>142</v>
      </c>
      <c r="D110" s="160" t="s">
        <v>143</v>
      </c>
    </row>
    <row r="111" spans="1:4" ht="90" x14ac:dyDescent="0.2">
      <c r="A111" s="157" t="s">
        <v>341</v>
      </c>
      <c r="B111" s="156" t="s">
        <v>340</v>
      </c>
      <c r="C111" s="211" t="s">
        <v>143</v>
      </c>
    </row>
    <row r="112" spans="1:4" ht="30" x14ac:dyDescent="0.2">
      <c r="A112" s="151" t="s">
        <v>362</v>
      </c>
      <c r="B112" s="8"/>
      <c r="C112" s="211"/>
    </row>
    <row r="113" spans="1:4" ht="30" x14ac:dyDescent="0.2">
      <c r="A113" s="151" t="s">
        <v>363</v>
      </c>
      <c r="B113" s="8"/>
      <c r="C113" s="211"/>
    </row>
    <row r="114" spans="1:4" ht="60" x14ac:dyDescent="0.2">
      <c r="A114" s="151" t="str">
        <f>A120</f>
        <v>Tug’ilgan sanasi (01.10.2011 y.)</v>
      </c>
      <c r="B114" s="252"/>
      <c r="C114" s="211"/>
    </row>
    <row r="115" spans="1:4" ht="60" x14ac:dyDescent="0.2">
      <c r="A115" s="151" t="str">
        <f>A121</f>
        <v>Pasport seriyasi (СА №1234567)</v>
      </c>
      <c r="B115" s="8"/>
      <c r="C115" s="211"/>
    </row>
    <row r="116" spans="1:4" ht="108.75" customHeight="1" x14ac:dyDescent="0.2">
      <c r="A116" s="151" t="str">
        <f>A122</f>
        <v xml:space="preserve">Kim va qachon berilgan
(Toshkent shahri Chilonzor IIB tomonidan 2011 yil __.____)
</v>
      </c>
      <c r="B116" s="8"/>
      <c r="C116" s="211"/>
    </row>
    <row r="117" spans="1:4" ht="150.75" customHeight="1" x14ac:dyDescent="0.2">
      <c r="A117" s="151" t="str">
        <f>A123</f>
        <v xml:space="preserve">doimiy ro’yhatdan o’tgan joyi
(Toshkent sh., Mirobod tumani, Nukus ko’chasi, 1 uy, 1 honadon)
</v>
      </c>
      <c r="B117" s="8"/>
      <c r="C117" s="211"/>
    </row>
    <row r="118" spans="1:4" hidden="1" x14ac:dyDescent="0.2">
      <c r="A118" s="126" t="s">
        <v>155</v>
      </c>
      <c r="B118" s="119" t="str">
        <f>IF(B100="HA",B5,B112)</f>
        <v>TUYEV SHOXRUX UTKIROVICH</v>
      </c>
      <c r="C118" s="212" t="str">
        <f>IF(B100="HA",B5,C112)</f>
        <v>TUYEV SHOXRUX UTKIROVICH</v>
      </c>
    </row>
    <row r="119" spans="1:4" hidden="1" x14ac:dyDescent="0.2">
      <c r="A119" s="126"/>
      <c r="B119" s="119" t="str">
        <f>IF(B100="HA",B7,B113)</f>
        <v>TUYEV SH.U.</v>
      </c>
      <c r="C119" s="212" t="str">
        <f>IF(B100="HA",B7,C113)</f>
        <v>TUYEV SH.U.</v>
      </c>
    </row>
    <row r="120" spans="1:4" hidden="1" x14ac:dyDescent="0.2">
      <c r="A120" s="127" t="s">
        <v>156</v>
      </c>
      <c r="B120" s="150" t="str">
        <f>IF(B100="HA",B15,B114)</f>
        <v>25.01.1990y</v>
      </c>
      <c r="C120" s="212" t="str">
        <f>IF(B100="HA",B15,C114)</f>
        <v>25.01.1990y</v>
      </c>
    </row>
    <row r="121" spans="1:4" hidden="1" x14ac:dyDescent="0.2">
      <c r="A121" s="127" t="s">
        <v>61</v>
      </c>
      <c r="B121" s="150" t="str">
        <f>IF(B100="HA",B16,B115)</f>
        <v>AE1115640</v>
      </c>
      <c r="C121" s="212" t="str">
        <f>IF(B100="HA",B16,C115)</f>
        <v>AE1115640</v>
      </c>
    </row>
    <row r="122" spans="1:4" ht="30" hidden="1" customHeight="1" x14ac:dyDescent="0.2">
      <c r="A122" s="127" t="s">
        <v>64</v>
      </c>
      <c r="B122" s="119" t="str">
        <f>IF(B100="HA",B20,B116)</f>
        <v>IIV12208 tomonidan 09.01.2025 yilda berilgan</v>
      </c>
      <c r="C122" s="212" t="str">
        <f>IF(B100="HA",B20,C116)</f>
        <v>IIV12208 tomonidan 09.01.2025 yilda berilgan</v>
      </c>
      <c r="D122" s="160">
        <v>493193762</v>
      </c>
    </row>
    <row r="123" spans="1:4" ht="53.25" hidden="1" customHeight="1" x14ac:dyDescent="0.2">
      <c r="A123" s="127" t="s">
        <v>66</v>
      </c>
      <c r="B123" s="119" t="str">
        <f>IF(B100="HA",B22,B117)</f>
        <v>NAVOIY VILOYATI  QIZILTEPA TUMANI A.NAVOIY MFY SHODLIK  KO'CHASI 6-UY</v>
      </c>
      <c r="C123" s="213" t="str">
        <f>IF(B100="HA",B22,C117)</f>
        <v>NAVOIY VILOYATI  QIZILTEPA TUMANI A.NAVOIY MFY SHODLIK  KO'CHASI 6-UY</v>
      </c>
    </row>
    <row r="124" spans="1:4" hidden="1" x14ac:dyDescent="0.2">
      <c r="A124" s="127" t="s">
        <v>157</v>
      </c>
      <c r="B124" s="1" t="str">
        <f>IF(B100="ha",B5,B118)</f>
        <v>TUYEV SHOXRUX UTKIROVICH</v>
      </c>
      <c r="C124" s="214" t="str">
        <f>IF(B100="ha",B5,C118)</f>
        <v>TUYEV SHOXRUX UTKIROVICH</v>
      </c>
    </row>
    <row r="125" spans="1:4" hidden="1" x14ac:dyDescent="0.2">
      <c r="A125" s="127"/>
      <c r="B125" s="1" t="str">
        <f>IF(B100="ha",B7,B119)</f>
        <v>TUYEV SH.U.</v>
      </c>
      <c r="C125" s="214" t="str">
        <f>IF(B100="ha",B7,C119)</f>
        <v>TUYEV SH.U.</v>
      </c>
    </row>
    <row r="126" spans="1:4" hidden="1" x14ac:dyDescent="0.2">
      <c r="A126" s="3" t="s">
        <v>156</v>
      </c>
      <c r="B126" s="1" t="str">
        <f>IF(B100="ha",B15,B120)</f>
        <v>25.01.1990y</v>
      </c>
      <c r="C126" s="214" t="str">
        <f>IF(B100="ha",B15,C120)</f>
        <v>25.01.1990y</v>
      </c>
    </row>
    <row r="127" spans="1:4" hidden="1" x14ac:dyDescent="0.2">
      <c r="A127" s="3" t="s">
        <v>61</v>
      </c>
      <c r="B127" s="1" t="str">
        <f>IF(B100="ha",B16,B121)</f>
        <v>AE1115640</v>
      </c>
      <c r="C127" s="214" t="str">
        <f>IF(B100="ha",B16,C121)</f>
        <v>AE1115640</v>
      </c>
    </row>
    <row r="128" spans="1:4" ht="60" hidden="1" x14ac:dyDescent="0.2">
      <c r="A128" s="3" t="s">
        <v>64</v>
      </c>
      <c r="B128" s="1" t="str">
        <f>IF(B100="ha",B20,B122)</f>
        <v>IIV12208 tomonidan 09.01.2025 yilda berilgan</v>
      </c>
      <c r="C128" s="214" t="str">
        <f>IF(B100="ha",B20,C122)</f>
        <v>IIV12208 tomonidan 09.01.2025 yilda berilgan</v>
      </c>
    </row>
    <row r="129" spans="1:18" ht="71.25" hidden="1" x14ac:dyDescent="0.2">
      <c r="A129" s="3" t="s">
        <v>66</v>
      </c>
      <c r="B129" s="148" t="str">
        <f>IF(B100="ha",B22,B123)</f>
        <v>NAVOIY VILOYATI  QIZILTEPA TUMANI A.NAVOIY MFY SHODLIK  KO'CHASI 6-UY</v>
      </c>
      <c r="C129" s="215" t="str">
        <f>IF(B100="ha",B22,C123)</f>
        <v>NAVOIY VILOYATI  QIZILTEPA TUMANI A.NAVOIY MFY SHODLIK  KO'CHASI 6-UY</v>
      </c>
    </row>
    <row r="130" spans="1:18" ht="98.25" customHeight="1" x14ac:dyDescent="0.2">
      <c r="A130" s="3" t="s">
        <v>158</v>
      </c>
      <c r="B130" s="249" t="s">
        <v>433</v>
      </c>
      <c r="C130" s="216"/>
      <c r="N130" s="160" t="str">
        <f>IF(B110=C110,B124,IF(B110=D110,C124,0))</f>
        <v>TUYEV SHOXRUX UTKIROVICH</v>
      </c>
    </row>
    <row r="131" spans="1:18" ht="60" x14ac:dyDescent="0.2">
      <c r="A131" s="3" t="s">
        <v>159</v>
      </c>
      <c r="B131" s="235" t="s">
        <v>434</v>
      </c>
      <c r="C131" s="214"/>
      <c r="D131" s="217" t="s">
        <v>148</v>
      </c>
      <c r="Q131" s="160" t="str">
        <f>""&amp;B102&amp;" (по генеральному доверенестью №"&amp;B107&amp;" от "&amp;B109&amp;")"</f>
        <v xml:space="preserve"> (по генеральному доверенестью № от 00.01.1900)</v>
      </c>
      <c r="R131" s="160" t="str">
        <f>""&amp;B102&amp;" ("&amp;B109&amp;"y. sanasidagi reestr raqami №"&amp;B107&amp;" bo'lgan Ishonchnomaga asosan)"</f>
        <v xml:space="preserve"> (00.01.1900y. sanasidagi reestr raqami № bo'lgan Ishonchnomaga asosan)</v>
      </c>
    </row>
    <row r="132" spans="1:18" x14ac:dyDescent="0.2">
      <c r="A132" s="3" t="s">
        <v>24</v>
      </c>
      <c r="B132" s="235" t="s">
        <v>435</v>
      </c>
      <c r="C132" s="215" t="str">
        <f>""&amp;D133&amp;" "&amp;IF(C136=D136,"- xonali yakka tartibdagi uy-joy", IF(C136=E136,"-  xonali ko'p qavatli uydagi xonadon",0))&amp;""</f>
        <v xml:space="preserve"> 0</v>
      </c>
      <c r="D132" s="218" t="s">
        <v>146</v>
      </c>
      <c r="E132" s="160">
        <f>IF($C$136=$D$136,I132,IF($C$136=$E$136,H132,0))</f>
        <v>0</v>
      </c>
      <c r="F132" s="160">
        <f>IF($C$136=$D$136,I132,IF($C$136=$E$136,H132,0))</f>
        <v>0</v>
      </c>
      <c r="H132" s="160" t="str">
        <f>"Ko'p qavatli uydagi "&amp;D133&amp;" - xonali xonadon"</f>
        <v>Ko'p qavatli uydagi  - xonali xonadon</v>
      </c>
      <c r="I132" s="160" t="str">
        <f>""&amp;D133&amp;" - xonali yakka tartibdagi uy-joy"</f>
        <v xml:space="preserve"> - xonali yakka tartibdagi uy-joy</v>
      </c>
      <c r="N132" s="160" t="str">
        <f>IF(B100=C100,Q133,IF(B100=D100,Q132,0))</f>
        <v>Микрофинансовой организацией и Заемщиком</v>
      </c>
      <c r="Q132" s="160" t="str">
        <f>"Микрофинансовой организацией, Заемщиком и "&amp;IF(B101=D101,Q131,IF(B101=C101,B118,0))&amp;""</f>
        <v>Микрофинансовой организацией, Заемщиком и TUYEV SHOXRUX UTKIROVICH</v>
      </c>
      <c r="R132" s="160" t="str">
        <f>"Mikromoliya tashkiloti, Qarz oluvchi va "&amp;IF(B101=D101,R131,IF(B101=C101,B118))&amp;""</f>
        <v>Mikromoliya tashkiloti, Qarz oluvchi va TUYEV SHOXRUX UTKIROVICH</v>
      </c>
    </row>
    <row r="133" spans="1:18" ht="30" x14ac:dyDescent="0.2">
      <c r="A133" s="3" t="s">
        <v>160</v>
      </c>
      <c r="B133" s="240" t="s">
        <v>436</v>
      </c>
      <c r="C133" s="215" t="str">
        <f>C132</f>
        <v xml:space="preserve"> 0</v>
      </c>
      <c r="D133" s="219"/>
      <c r="E133" s="160">
        <f>IF($C$136=$D$136,I133,IF($C$136=$E$136,H133,0))</f>
        <v>0</v>
      </c>
      <c r="F133" s="160">
        <f>IF($C$136=$D$136,I133,IF($C$136=$E$136,H133,0))</f>
        <v>0</v>
      </c>
      <c r="H133" s="160" t="str">
        <f>"umumiy maydoni - "&amp;C137&amp;", yashash maydoni - "&amp;C140&amp;""</f>
        <v xml:space="preserve">umumiy maydoni - , yashash maydoni - </v>
      </c>
      <c r="I133" s="160" t="str">
        <f>"yer uchastkasi maydoni - "&amp;C138&amp;", umumiy maydoni - "&amp;C137&amp;", yashash maydoni - "&amp;C140&amp;""</f>
        <v xml:space="preserve">yer uchastkasi maydoni - , umumiy maydoni - , yashash maydoni - </v>
      </c>
      <c r="N133" s="160" t="str">
        <f>IF(B100=C100,R133,IF(B100=D100,R132,0))</f>
        <v>Mikromoliya tashkiloti va Qarz oluvchi</v>
      </c>
      <c r="Q133" s="160" t="s">
        <v>48</v>
      </c>
      <c r="R133" s="160" t="s">
        <v>147</v>
      </c>
    </row>
    <row r="134" spans="1:18" ht="27" customHeight="1" x14ac:dyDescent="0.2">
      <c r="A134" s="3" t="s">
        <v>161</v>
      </c>
      <c r="B134" s="67" t="str">
        <f>"kuzov turi - "&amp;B135&amp;", kuzov raqami "&amp;B136&amp;""</f>
        <v>kuzov turi - YENGIL SEDAN, kuzov raqami XWB5V31BVPA581883</v>
      </c>
      <c r="C134" s="214"/>
      <c r="D134" s="217" t="s">
        <v>370</v>
      </c>
    </row>
    <row r="135" spans="1:18" x14ac:dyDescent="0.2">
      <c r="A135" s="63" t="s">
        <v>162</v>
      </c>
      <c r="B135" s="235" t="s">
        <v>437</v>
      </c>
      <c r="C135" s="220"/>
    </row>
    <row r="136" spans="1:18" x14ac:dyDescent="0.2">
      <c r="A136" s="63" t="s">
        <v>163</v>
      </c>
      <c r="B136" s="235" t="s">
        <v>438</v>
      </c>
      <c r="C136" s="199"/>
      <c r="D136" s="160" t="s">
        <v>149</v>
      </c>
      <c r="E136" s="160" t="s">
        <v>150</v>
      </c>
    </row>
    <row r="137" spans="1:18" ht="27" customHeight="1" x14ac:dyDescent="0.25">
      <c r="A137" s="3" t="s">
        <v>164</v>
      </c>
      <c r="B137" s="67" t="str">
        <f>"dvigatel raqami "&amp;B138&amp;", shassi raqami - "&amp;B139&amp;""</f>
        <v>dvigatel raqami B15D211232522 MTDX0591, shassi raqami -  -</v>
      </c>
      <c r="C137" s="199"/>
      <c r="D137" s="221" t="s">
        <v>151</v>
      </c>
      <c r="E137" s="160" t="str">
        <f>CONCATENATE(C137," ","kv.m")</f>
        <v xml:space="preserve"> kv.m</v>
      </c>
      <c r="F137" s="162">
        <f>C137-C140</f>
        <v>0</v>
      </c>
    </row>
    <row r="138" spans="1:18" x14ac:dyDescent="0.25">
      <c r="A138" s="63" t="s">
        <v>165</v>
      </c>
      <c r="B138" s="236" t="s">
        <v>439</v>
      </c>
      <c r="C138" s="199"/>
      <c r="D138" s="221" t="s">
        <v>152</v>
      </c>
    </row>
    <row r="139" spans="1:18" x14ac:dyDescent="0.2">
      <c r="A139" s="63" t="s">
        <v>166</v>
      </c>
      <c r="B139" s="236" t="s">
        <v>420</v>
      </c>
      <c r="C139" s="199"/>
    </row>
    <row r="140" spans="1:18" ht="25.5" customHeight="1" x14ac:dyDescent="0.25">
      <c r="A140" s="3" t="s">
        <v>167</v>
      </c>
      <c r="B140" s="67" t="str">
        <f>"rangi -  "&amp;B141&amp;", ishlab chiqarilgan yili - "&amp;B142&amp;""</f>
        <v>rangi -  KO'K DARKMOON BLUE MET, ishlab chiqarilgan yili - 2023</v>
      </c>
      <c r="C140" s="222"/>
      <c r="D140" s="221" t="s">
        <v>247</v>
      </c>
      <c r="E140" s="160" t="str">
        <f>CONCATENATE(C140," ","kv.m")</f>
        <v xml:space="preserve"> kv.m</v>
      </c>
    </row>
    <row r="141" spans="1:18" x14ac:dyDescent="0.2">
      <c r="A141" s="63" t="s">
        <v>168</v>
      </c>
      <c r="B141" s="235" t="s">
        <v>440</v>
      </c>
      <c r="C141" s="199"/>
    </row>
    <row r="142" spans="1:18" ht="30" x14ac:dyDescent="0.25">
      <c r="A142" s="63" t="s">
        <v>169</v>
      </c>
      <c r="B142" s="236" t="s">
        <v>441</v>
      </c>
      <c r="C142" s="220"/>
      <c r="D142" s="223" t="s">
        <v>371</v>
      </c>
    </row>
    <row r="143" spans="1:18" hidden="1" x14ac:dyDescent="0.25">
      <c r="A143" s="3" t="s">
        <v>170</v>
      </c>
      <c r="B143" s="181">
        <f>B75*1.4</f>
        <v>105000000</v>
      </c>
      <c r="C143" s="224">
        <f>B143</f>
        <v>105000000</v>
      </c>
      <c r="D143" s="221" t="s">
        <v>170</v>
      </c>
    </row>
    <row r="144" spans="1:18" ht="27.75" hidden="1" customHeight="1" x14ac:dyDescent="0.2">
      <c r="A144" s="155"/>
      <c r="B144" s="18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143))&gt;6,ROMAN(MID(INT(B143),1,LEN(INT(B143))-6)+0)&amp;" million "&amp;ROMAN(MID(INT(B143),LEN(INT(B143))-5,3)+0)&amp;" ming "&amp;ROMAN(MID(INT(B143),LEN(INT(B143))-2,3)+0),IF(LEN(INT(B143))&gt;3,ROMAN(MID(INT(B143),1,LEN(INT(B143))-3)+0)&amp;" ming "&amp;ROMAN(MID(INT(B143),LEN(INT(B143))-2,3)+0),ROMAN(INT(B143)))),"DCCC","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besh million so'm</v>
      </c>
      <c r="C144" s="224" t="str">
        <f>B144</f>
        <v>yuz besh million so'm</v>
      </c>
    </row>
    <row r="145" spans="1:3" ht="27.75" hidden="1" customHeight="1" x14ac:dyDescent="0.2">
      <c r="A145" s="3"/>
      <c r="B145" s="183" t="str">
        <f>B144</f>
        <v>yuz besh million so'm</v>
      </c>
      <c r="C145" s="225"/>
    </row>
    <row r="146" spans="1:3" ht="20.25" x14ac:dyDescent="0.2">
      <c r="A146" s="3" t="s">
        <v>336</v>
      </c>
      <c r="B146" s="250">
        <v>88912</v>
      </c>
    </row>
    <row r="147" spans="1:3" x14ac:dyDescent="0.2">
      <c r="A147" s="3" t="s">
        <v>364</v>
      </c>
      <c r="B147" s="46"/>
    </row>
    <row r="148" spans="1:3" x14ac:dyDescent="0.2">
      <c r="A148" s="3" t="s">
        <v>153</v>
      </c>
      <c r="B148" s="2" t="s">
        <v>144</v>
      </c>
      <c r="C148" s="160">
        <v>1</v>
      </c>
    </row>
    <row r="149" spans="1:3" hidden="1" x14ac:dyDescent="0.2">
      <c r="A149" s="3" t="s">
        <v>154</v>
      </c>
      <c r="B149" s="4" t="str">
        <f>B70</f>
        <v>29 yanvar 2026 y.</v>
      </c>
      <c r="C149" s="160" t="str">
        <f>B70</f>
        <v>29 yanvar 2026 y.</v>
      </c>
    </row>
    <row r="150" spans="1:3" hidden="1" x14ac:dyDescent="0.2">
      <c r="A150" s="3"/>
      <c r="B150" s="1">
        <f>YEAR(B67)</f>
        <v>2026</v>
      </c>
    </row>
    <row r="151" spans="1:3" hidden="1" x14ac:dyDescent="0.2">
      <c r="A151" s="3"/>
      <c r="B151" s="137" t="str">
        <f>D67</f>
        <v>yanvar</v>
      </c>
    </row>
    <row r="152" spans="1:3" hidden="1" x14ac:dyDescent="0.2">
      <c r="A152" s="165"/>
      <c r="B152" s="166">
        <f>DAY(B67)</f>
        <v>29</v>
      </c>
    </row>
    <row r="153" spans="1:3" ht="30.75" thickBot="1" x14ac:dyDescent="0.25">
      <c r="A153" s="238" t="s">
        <v>414</v>
      </c>
      <c r="B153" s="239">
        <v>25000000</v>
      </c>
    </row>
    <row r="154" spans="1:3" ht="20.25" x14ac:dyDescent="0.2">
      <c r="A154" s="167" t="s">
        <v>374</v>
      </c>
      <c r="B154" s="245" t="s">
        <v>419</v>
      </c>
    </row>
    <row r="155" spans="1:3" ht="20.25" x14ac:dyDescent="0.2">
      <c r="A155" s="168" t="s">
        <v>375</v>
      </c>
      <c r="B155" s="169">
        <f>+B153*1.3</f>
        <v>32500000</v>
      </c>
    </row>
    <row r="156" spans="1:3" ht="15.75" thickBot="1" x14ac:dyDescent="0.25">
      <c r="A156" s="170"/>
      <c r="B156" s="171"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155))&gt;6,ROMAN(MID(INT(B155),1,LEN(INT(B155))-6)+0)&amp;" million "&amp;ROMAN(MID(INT(B155),LEN(INT(B155))-5,3)+0)&amp;" ming "&amp;ROMAN(MID(INT(B155),LEN(INT(B155))-2,3)+0),IF(LEN(INT(B155))&gt;3,ROMAN(MID(INT(B155),1,LEN(INT(B155))-3)+0)&amp;" ming "&amp;ROMAN(MID(INT(B155),LEN(INT(B155))-2,3)+0),ROMAN(INT(B155)))),"DCCC","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o'ttiz ikki million besh yuz ming so'm</v>
      </c>
    </row>
    <row r="157" spans="1:3" x14ac:dyDescent="0.2">
      <c r="A157" s="259" t="s">
        <v>345</v>
      </c>
      <c r="B157" s="259"/>
    </row>
    <row r="158" spans="1:3" x14ac:dyDescent="0.2">
      <c r="A158" s="3" t="s">
        <v>171</v>
      </c>
      <c r="B158" s="1" t="s">
        <v>369</v>
      </c>
    </row>
    <row r="159" spans="1:3" x14ac:dyDescent="0.2">
      <c r="A159" s="3"/>
      <c r="B159" s="1" t="s">
        <v>369</v>
      </c>
    </row>
    <row r="160" spans="1:3" x14ac:dyDescent="0.2">
      <c r="A160" s="3"/>
      <c r="B160" s="1" t="s">
        <v>369</v>
      </c>
    </row>
    <row r="161" spans="1:2" x14ac:dyDescent="0.2">
      <c r="A161" s="3" t="s">
        <v>422</v>
      </c>
      <c r="B161" s="237" t="s">
        <v>423</v>
      </c>
    </row>
    <row r="162" spans="1:2" x14ac:dyDescent="0.2">
      <c r="A162" s="3"/>
      <c r="B162" s="237" t="s">
        <v>424</v>
      </c>
    </row>
    <row r="163" spans="1:2" hidden="1" x14ac:dyDescent="0.2">
      <c r="A163" s="3" t="s">
        <v>174</v>
      </c>
      <c r="B163" s="1" t="s">
        <v>172</v>
      </c>
    </row>
    <row r="164" spans="1:2" ht="28.5" hidden="1" x14ac:dyDescent="0.2">
      <c r="A164" s="3" t="s">
        <v>175</v>
      </c>
      <c r="B164" s="1" t="s">
        <v>173</v>
      </c>
    </row>
    <row r="165" spans="1:2" hidden="1" x14ac:dyDescent="0.2">
      <c r="A165" s="3" t="s">
        <v>176</v>
      </c>
      <c r="B165" s="1" t="s">
        <v>407</v>
      </c>
    </row>
    <row r="166" spans="1:2" hidden="1" x14ac:dyDescent="0.2">
      <c r="A166" s="3" t="s">
        <v>177</v>
      </c>
      <c r="B166" s="1" t="s">
        <v>408</v>
      </c>
    </row>
    <row r="167" spans="1:2" hidden="1" x14ac:dyDescent="0.2">
      <c r="A167" s="3" t="s">
        <v>178</v>
      </c>
      <c r="B167" s="233" t="s">
        <v>410</v>
      </c>
    </row>
    <row r="168" spans="1:2" hidden="1" x14ac:dyDescent="0.2">
      <c r="A168" s="3" t="s">
        <v>179</v>
      </c>
      <c r="B168" s="2" t="s">
        <v>23</v>
      </c>
    </row>
    <row r="169" spans="1:2" hidden="1" x14ac:dyDescent="0.2">
      <c r="A169" s="3" t="s">
        <v>180</v>
      </c>
      <c r="B169" s="1" t="s">
        <v>325</v>
      </c>
    </row>
    <row r="170" spans="1:2" x14ac:dyDescent="0.2">
      <c r="A170" s="3" t="s">
        <v>412</v>
      </c>
      <c r="B170" s="237" t="s">
        <v>416</v>
      </c>
    </row>
    <row r="171" spans="1:2" x14ac:dyDescent="0.2">
      <c r="A171" s="3" t="s">
        <v>367</v>
      </c>
      <c r="B171" s="237" t="s">
        <v>415</v>
      </c>
    </row>
    <row r="172" spans="1:2" x14ac:dyDescent="0.2">
      <c r="A172" s="3" t="s">
        <v>422</v>
      </c>
      <c r="B172" s="237" t="s">
        <v>423</v>
      </c>
    </row>
    <row r="173" spans="1:2" x14ac:dyDescent="0.2">
      <c r="A173" s="3" t="s">
        <v>181</v>
      </c>
      <c r="B173" s="2" t="s">
        <v>337</v>
      </c>
    </row>
    <row r="174" spans="1:2" x14ac:dyDescent="0.2">
      <c r="A174" s="3" t="s">
        <v>182</v>
      </c>
      <c r="B174" s="2" t="s">
        <v>338</v>
      </c>
    </row>
    <row r="175" spans="1:2" x14ac:dyDescent="0.2">
      <c r="A175" s="3" t="s">
        <v>183</v>
      </c>
      <c r="B175" s="1" t="str">
        <f>B1</f>
        <v>№244-NVS</v>
      </c>
    </row>
    <row r="176" spans="1:2" x14ac:dyDescent="0.2">
      <c r="A176" s="3" t="s">
        <v>184</v>
      </c>
      <c r="B176" s="4" t="str">
        <f>B70</f>
        <v>29 yanvar 2026 y.</v>
      </c>
    </row>
    <row r="177" x14ac:dyDescent="0.2"/>
    <row r="178" x14ac:dyDescent="0.2"/>
  </sheetData>
  <mergeCells count="7">
    <mergeCell ref="A157:B157"/>
    <mergeCell ref="A104:B104"/>
    <mergeCell ref="A4:B4"/>
    <mergeCell ref="A57:B57"/>
    <mergeCell ref="A64:B64"/>
    <mergeCell ref="A98:B98"/>
    <mergeCell ref="A92:B92"/>
  </mergeCells>
  <dataValidations count="12">
    <dataValidation type="list" allowBlank="1" showInputMessage="1" showErrorMessage="1" sqref="B30" xr:uid="{00000000-0002-0000-0000-000000000000}">
      <formula1>$C$30:$D$30</formula1>
    </dataValidation>
    <dataValidation type="list" allowBlank="1" showInputMessage="1" showErrorMessage="1" sqref="B100" xr:uid="{00000000-0002-0000-0000-000001000000}">
      <formula1>$C$100:$D$100</formula1>
    </dataValidation>
    <dataValidation type="list" allowBlank="1" showInputMessage="1" showErrorMessage="1" sqref="B110" xr:uid="{00000000-0002-0000-0000-000002000000}">
      <formula1>$C$110:$D$110</formula1>
    </dataValidation>
    <dataValidation type="list" allowBlank="1" showInputMessage="1" showErrorMessage="1" sqref="B78" xr:uid="{00000000-0002-0000-0000-000003000000}">
      <formula1>$C$78:$D$78</formula1>
    </dataValidation>
    <dataValidation type="list" allowBlank="1" showInputMessage="1" showErrorMessage="1" sqref="C136" xr:uid="{00000000-0002-0000-0000-000004000000}">
      <formula1>$D$136:$E$136</formula1>
    </dataValidation>
    <dataValidation type="list" allowBlank="1" showInputMessage="1" showErrorMessage="1" sqref="B99" xr:uid="{00000000-0002-0000-0000-000005000000}">
      <formula1>$C$99:$D$99</formula1>
    </dataValidation>
    <dataValidation type="list" allowBlank="1" showInputMessage="1" showErrorMessage="1" sqref="B101" xr:uid="{00000000-0002-0000-0000-000006000000}">
      <formula1>$C$101:$D$101</formula1>
    </dataValidation>
    <dataValidation type="list" allowBlank="1" showInputMessage="1" showErrorMessage="1" sqref="B23" xr:uid="{00000000-0002-0000-0000-000007000000}">
      <formula1>$C$23:$D$23</formula1>
    </dataValidation>
    <dataValidation type="list" allowBlank="1" showInputMessage="1" showErrorMessage="1" sqref="B29" xr:uid="{00000000-0002-0000-0000-000008000000}">
      <formula1>$C$29:$F$29</formula1>
    </dataValidation>
    <dataValidation type="list" allowBlank="1" showInputMessage="1" showErrorMessage="1" sqref="B24" xr:uid="{00000000-0002-0000-0000-000009000000}">
      <formula1>$C$24:$D$24</formula1>
    </dataValidation>
    <dataValidation type="list" allowBlank="1" showInputMessage="1" showErrorMessage="1" sqref="B84" xr:uid="{00000000-0002-0000-0000-00000A000000}">
      <formula1>$BJ$84:$BK$84</formula1>
    </dataValidation>
    <dataValidation type="list" allowBlank="1" showInputMessage="1" showErrorMessage="1" sqref="B44" xr:uid="{00000000-0002-0000-0000-00000B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3">
    <tabColor rgb="FF00B050"/>
  </sheetPr>
  <dimension ref="A1:K132"/>
  <sheetViews>
    <sheetView view="pageBreakPreview" topLeftCell="A110" zoomScaleNormal="55" zoomScaleSheetLayoutView="100" workbookViewId="0">
      <selection activeCell="A145" sqref="A145"/>
    </sheetView>
  </sheetViews>
  <sheetFormatPr defaultColWidth="9.140625" defaultRowHeight="15.75" x14ac:dyDescent="0.2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x14ac:dyDescent="0.25">
      <c r="A1" s="263" t="str">
        <f>""&amp;malumot!C64&amp;" shartnoma "&amp;malumot!B66&amp;""</f>
        <v>Mikroqarz shartnoma №244-NVS</v>
      </c>
      <c r="B1" s="263"/>
    </row>
    <row r="3" spans="1:3" x14ac:dyDescent="0.25">
      <c r="A3" s="263" t="str">
        <f>"Toshkent shahri                                                                               "&amp;malumot!B70&amp;""</f>
        <v>Toshkent shahri                                                                               29 yanvar 2026 y.</v>
      </c>
      <c r="B3" s="263"/>
    </row>
    <row r="4" spans="1:3" x14ac:dyDescent="0.25">
      <c r="A4" s="61"/>
    </row>
    <row r="5" spans="1:3" ht="118.5" customHeight="1" x14ac:dyDescent="0.25">
      <c r="A5" s="266" t="str">
        <f>""&amp;malumot!B158&amp;", bundan buyon «Mikromoliya tashkiloti» deb nomlanuvchi, ishonchnoma asosida xarakat qiluvchi "&amp;malumot!A161&amp;" "&amp;malumot!B161&amp;"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Navoiy viloyati filial menejeri Sh.Xayriyev  bir tomondan va o‘z manfaati yo‘lida hamda o‘z nomidan harakat qiluvchi O‘zbekiston Respublikasi fuqarosi TUYEV SHOXRUX UTKIROVICH  (pasport raqami AE1115640, IIV12208 tomonidan 09.01.2025 yilda berilgan ), bundan buyon «Qarz oluvchi» deb nomlanuvchi, boshqa tomondan, birgalikda “Tomonlar” yoki alohida “Tomon” deb nomlanuvchilar, Qarz oluvchi tomonidan 29.01.2026 yil,mikroqarz olish uchun ariza berilganligini hisobga olib, ushbu Mikroqarz shartnomasini (bundan keyin – «Shartnoma») quyidagilar haqida tuzdilar:</v>
      </c>
      <c r="B5" s="266"/>
    </row>
    <row r="6" spans="1:3" hidden="1" x14ac:dyDescent="0.25"/>
    <row r="7" spans="1:3" x14ac:dyDescent="0.25">
      <c r="A7" s="263" t="s">
        <v>257</v>
      </c>
      <c r="B7" s="263"/>
    </row>
    <row r="8" spans="1:3" ht="36" customHeight="1" x14ac:dyDescent="0.25">
      <c r="A8" s="266" t="str">
        <f>"1.1. Mikromoliya tashkiloti Qarz oluvchiga umumiy miqdori "&amp;FIXED(malumot!B76,2)&amp;" ("&amp;malumot!C77&amp;") bo‘lgan "&amp;malumot!B65&amp;"ni "&amp;malumot!B71&amp;" dan "&amp;malumot!B73&amp;" gacha bo'lgan muddatga naqd pul va/yoki o'tkazmasi shaklida ajratadi."</f>
        <v>1.1. Mikromoliya tashkiloti Qarz oluvchiga umumiy miqdori 100 000 000,00 (Yuz million so'm) bo‘lgan mikroqarzni 29 yanvar 2026 y. dan 29 yanvar 2030 y. gacha bo'lgan muddatga naqd pul va/yoki o'tkazmasi shaklida ajratadi.</v>
      </c>
      <c r="B8" s="266"/>
    </row>
    <row r="9" spans="1:3" ht="36" customHeight="1" x14ac:dyDescent="0.25">
      <c r="A9" s="266"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66"/>
    </row>
    <row r="10" spans="1:3" hidden="1" x14ac:dyDescent="0.25">
      <c r="A10" s="29"/>
    </row>
    <row r="11" spans="1:3" x14ac:dyDescent="0.25">
      <c r="A11" s="268" t="str">
        <f>"2. "&amp;malumot!D64&amp;" BERISH VA QAYTARISH TARTIBI"</f>
        <v>2. MIKROQARZ BERISH VA QAYTARISH TARTIBI</v>
      </c>
      <c r="B11" s="268"/>
      <c r="C11" s="59"/>
    </row>
    <row r="12" spans="1:3" ht="36" customHeight="1" x14ac:dyDescent="0.25">
      <c r="A12" s="266"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66"/>
    </row>
    <row r="13" spans="1:3" ht="35.25" customHeight="1" x14ac:dyDescent="0.25">
      <c r="A13" s="266"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66"/>
    </row>
    <row r="14" spans="1:3" ht="35.25" customHeight="1" x14ac:dyDescent="0.25">
      <c r="A14" s="266"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66"/>
    </row>
    <row r="15" spans="1:3" ht="66" customHeight="1" x14ac:dyDescent="0.25">
      <c r="A15" s="266" t="str">
        <f>"2.4. Mikromoliya tashkiloti, "&amp;malumot!B65&amp;" berilgan vaqtdan boshlab, "&amp;malumot!B65&amp;" miqdorining qoldiq summasiga "&amp;malumot!B86&amp;"% ("&amp;malumot!C87&amp;") foiz yillik va yiliga 365/366 kunlik hisobidan foizlar hisoblaydi. To'lov jadvaliga muvofiq asosiy qarz bo'yicha navbatdagi to'lov buzilgan hollarda, "&amp;"foiz stavkasi oshiriladi va  Mikromoliya tashkiloti "&amp;malumot!B65&amp;"ning muddati o'tgan asosiy qarz summasiga yillik "&amp;malumot!B89&amp;" ("&amp;malumot!B90&amp;") foiz miqdorida foizlar hisoblaydi."</f>
        <v>2.4. Mikromoliya tashkiloti, mikroqarz berilgan vaqtdan boshlab, mikroqarz miqdorining qoldiq summasiga 55% (Ellik besh  ) foiz yillik va yiliga 365/366 kunlik hisobidan foizlar hisoblaydi. To'lov jadvaliga muvofiq asosiy qarz bo'yicha navbatdagi to'lov buzilgan hollarda, foiz stavkasi oshiriladi va  Mikromoliya tashkiloti mikroqarzning muddati o'tgan asosiy qarz summasiga yillik 105 (bir yuz besh) foiz miqdorida foizlar hisoblaydi.</v>
      </c>
      <c r="B15" s="266"/>
    </row>
    <row r="16" spans="1:3" ht="161.25" customHeight="1" x14ac:dyDescent="0.25">
      <c r="A16" s="266" t="s">
        <v>322</v>
      </c>
      <c r="B16" s="266"/>
    </row>
    <row r="17" spans="1:11" ht="148.5" customHeight="1" x14ac:dyDescent="0.25">
      <c r="A17" s="266"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66"/>
      <c r="C17" s="141" t="s">
        <v>326</v>
      </c>
      <c r="H17" s="6" t="str">
        <f>malumot!B65</f>
        <v>mikroqarz</v>
      </c>
      <c r="I17" s="6" t="s">
        <v>327</v>
      </c>
    </row>
    <row r="18" spans="1:11" ht="100.5" customHeight="1" x14ac:dyDescent="0.25">
      <c r="A18" s="267" t="s">
        <v>365</v>
      </c>
      <c r="B18" s="267"/>
    </row>
    <row r="19" spans="1:11" ht="36" customHeight="1" x14ac:dyDescent="0.25">
      <c r="A19" s="266"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66"/>
    </row>
    <row r="20" spans="1:11" ht="39.75" customHeight="1" x14ac:dyDescent="0.25">
      <c r="A20" s="266"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66"/>
    </row>
    <row r="21" spans="1:11" ht="95.25" customHeight="1" x14ac:dyDescent="0.25">
      <c r="A21" s="266"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66"/>
      <c r="C21" s="6"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25">
      <c r="A22" s="268" t="str">
        <f>"3. "&amp;malumot!D64&amp;" TA'MINOTI BO‘YICHA "</f>
        <v xml:space="preserve">3. MIKROQARZ TA'MINOTI BO‘YICHA </v>
      </c>
      <c r="B22" s="268"/>
    </row>
    <row r="23" spans="1:11" ht="39.75" customHeight="1" x14ac:dyDescent="0.25">
      <c r="A23" s="266" t="str">
        <f>"3.1. Ushbu Shartnoma bo‘yicha taqdim etilgan "&amp;malumot!C64&amp;" quyidagi Mikroqarz summasiga nisbatan birgalikda jami qiymati 130% dan kam bo'lmagan garov va Mikroqarz to'lamaslik xavfini sug'urta polisi  bilan ta'minlanadi:"</f>
        <v>3.1. Ushbu Shartnoma bo‘yicha taqdim etilgan Mikroqarz quyidagi Mikroqarz summasiga nisbatan birgalikda jami qiymati 130% dan kam bo'lmagan garov va Mikroqarz to'lamaslik xavfini sug'urta polisi  bilan ta'minlanadi:</v>
      </c>
      <c r="B23" s="266"/>
    </row>
    <row r="24" spans="1:11" s="184" customFormat="1" ht="162" customHeight="1" x14ac:dyDescent="0.25">
      <c r="A24" s="265" t="str">
        <f>IF(malumot!B110=malumot!C110,shartnoma!A28,IF(malumot!B110=malumot!D110,shartnoma!A25,0))</f>
        <v>3.1.1. Mikromoliya tashkiloti va Qarz oluvchi tomonidan 2026 yil 29 yanvarda imzolangan 1-sonli garov predmeti qiymatini tasdiqlash dalolatnomasiga muvofiq KO'K DARKMOON BLUE MET rangli, ishlab chiqarilgan yili – 2023 yil,  dvigatel raqami B15D211232522 MTDX0591, shassi -  -,  kuzov turi - YENGIL SEDAN, kuzov raqami №XWB5V31BVPA581883, davlat raqam belgisi 85L007TA bo'lgan CHEVROLET LACETTI rusumli avtomashinasi (bundan keyin “Garov predmeti”), egalik huquqiga ega  TUYEV SHOXRUX UTKIROVICHga tegishli va kelishilgan garov qiymati 2026 yil 29 yanvarda imzolangan 1-sonli Garov predmeti qiymatini tasdiqlash dalolatnomasiga muvifiq 105 000 000,00 (yuz besh million so'm) so'mni tashkil qiladi. Garov garovining aniq shartlari tegishli notarial rasmiylashtirilgan garov shartnomasi bilan belgilanadi.</v>
      </c>
      <c r="B24" s="265"/>
    </row>
    <row r="25" spans="1:11" s="184" customFormat="1" ht="114" hidden="1" customHeight="1" x14ac:dyDescent="0.25">
      <c r="A25" s="264" t="str">
        <f>IF(malumot!B99=malumot!C99,shartnoma!A27,IF(malumot!B99=malumot!D99,shartnoma!A26,0))</f>
        <v>3.1.1. Mikromoliya tashkiloti va Qarz oluvchi tomonidan 2026 yil 29 yanvarda imzolangan 1-sonli Garov predmeti qiymatini tasdiqlash dalolatnomasiga muvofiq  manzilida joylashgan, 0 bo'lgan, 0 ko'rinishidagi ko'chmas mulk (bundan keyin “Garov predmeti”), egalik huquqiga ko'ra  TUYEV SHOXRUX UTKIROVICHga tegishli va kelishilgan garov qiymati 2026 yil 29 yanvarda imzolangan 1-sonli Garov predmeti qiymatini tasdiqlash dalolatnomasiga muvofiq 105 000 000,00 (yuz besh million so'm) so'mni tashkil qiladi. Garovning aniq shartlari tegishli tarzda notarial tasdiqlangan garov shartnomasi bilan belgilangan.</v>
      </c>
      <c r="B25" s="264"/>
    </row>
    <row r="26" spans="1:11" s="184" customFormat="1" ht="114" hidden="1" customHeight="1" x14ac:dyDescent="0.25">
      <c r="A26" s="265" t="str">
        <f>"3.1.1. "&amp;malumot!N133&amp;" tomonidan "&amp;malumot!B150&amp;" yil "&amp;malumot!B152&amp;" "&amp;malumot!B151&amp;"da imzolangan 1-sonli navbatdagi garov predmeti qiymatini tasdiqlash dalolatnomasiga muvofiq "&amp;malumot!C130&amp;" manzilida joylashgan, "&amp;malumot!E133&amp;" bo'lgan, "&amp;malumot!E132&amp;" ko'rinishidagi ko'chmas mulk (bundan keyin “navbatdagi garov predmeti”), egalik huquqiga ko'ra  "&amp;malumot!C124&amp;"ga tegishli va kelishilgan garov qiymati "&amp;malumot!B150&amp;" yil "&amp;malumot!B152&amp;" "&amp;malumot!B151&amp;"da imzolangan 1-sonli Garov predmeti qiymatini tasdiqlash dalolatnomasiga muvofiq "&amp;FIXED(malumot!B143,2)&amp;" ("&amp;malumot!B145&amp;") so'mni tashkil qiladi. Garovning aniq shartlari tegishli tarzda notarial tasdiqlangan garov shartnomasi bilan belgilangan."</f>
        <v>3.1.1. Mikromoliya tashkiloti va Qarz oluvchi tomonidan 2026 yil 29 yanvarda imzolangan 1-sonli navbatdagi garov predmeti qiymatini tasdiqlash dalolatnomasiga muvofiq  manzilida joylashgan, 0 bo'lgan, 0 ko'rinishidagi ko'chmas mulk (bundan keyin “navbatdagi garov predmeti”), egalik huquqiga ko'ra  TUYEV SHOXRUX UTKIROVICHga tegishli va kelishilgan garov qiymati 2026 yil 29 yanvarda imzolangan 1-sonli Garov predmeti qiymatini tasdiqlash dalolatnomasiga muvofiq 105 000 000,00 (yuz besh million so'm) so'mni tashkil qiladi. Garovning aniq shartlari tegishli tarzda notarial tasdiqlangan garov shartnomasi bilan belgilangan.</v>
      </c>
      <c r="B26" s="265"/>
    </row>
    <row r="27" spans="1:11" s="184" customFormat="1" ht="114" hidden="1" customHeight="1" x14ac:dyDescent="0.25">
      <c r="A27" s="264" t="str">
        <f>"3.1.1. "&amp;malumot!N133&amp;" tomonidan "&amp;malumot!B150&amp;" yil "&amp;malumot!B152&amp;" "&amp;malumot!B151&amp;"da imzolangan 1-sonli Garov predmeti qiymatini tasdiqlash dalolatnomasiga muvofiq "&amp;malumot!C130&amp;" manzilida joylashgan, "&amp;malumot!E133&amp;" bo'lgan, "&amp;malumot!E132&amp;" ko'rinishidagi ko'chmas mulk (bundan keyin “Garov predmeti”), egalik huquqiga ko'ra  "&amp;malumot!C124&amp;"ga tegishli va kelishilgan garov qiymati "&amp;malumot!B150&amp;" yil "&amp;malumot!B152&amp;" "&amp;malumot!B151&amp;"da imzolangan 1-sonli Garov predmeti qiymatini tasdiqlash dalolatnomasiga muvofiq "&amp;FIXED(malumot!B143,2)&amp;" ("&amp;malumot!B145&amp;") so'mni tashkil qiladi. Garovning aniq shartlari tegishli tarzda notarial tasdiqlangan garov shartnomasi bilan belgilangan."</f>
        <v>3.1.1. Mikromoliya tashkiloti va Qarz oluvchi tomonidan 2026 yil 29 yanvarda imzolangan 1-sonli Garov predmeti qiymatini tasdiqlash dalolatnomasiga muvofiq  manzilida joylashgan, 0 bo'lgan, 0 ko'rinishidagi ko'chmas mulk (bundan keyin “Garov predmeti”), egalik huquqiga ko'ra  TUYEV SHOXRUX UTKIROVICHga tegishli va kelishilgan garov qiymati 2026 yil 29 yanvarda imzolangan 1-sonli Garov predmeti qiymatini tasdiqlash dalolatnomasiga muvofiq 105 000 000,00 (yuz besh million so'm) so'mni tashkil qiladi. Garovning aniq shartlari tegishli tarzda notarial tasdiqlangan garov shartnomasi bilan belgilangan.</v>
      </c>
      <c r="B27" s="264"/>
    </row>
    <row r="28" spans="1:11" s="184" customFormat="1" ht="114" hidden="1" customHeight="1" x14ac:dyDescent="0.25">
      <c r="A28" s="265" t="str">
        <f>IF(malumot!B99=malumot!C99,A29,IF(malumot!B99=malumot!D99,A30,0))</f>
        <v>3.1.1. Mikromoliya tashkiloti va Qarz oluvchi tomonidan 2026 yil 29 yanvarda imzolangan 1-sonli garov predmeti qiymatini tasdiqlash dalolatnomasiga muvofiq KO'K DARKMOON BLUE MET rangli, ishlab chiqarilgan yili – 2023 yil,  dvigatel raqami B15D211232522 MTDX0591, shassi -  -,  kuzov turi - YENGIL SEDAN, kuzov raqami №XWB5V31BVPA581883, davlat raqam belgisi 85L007TA bo'lgan CHEVROLET LACETTI rusumli avtomashinasi (bundan keyin “Garov predmeti”), egalik huquqiga ega  TUYEV SHOXRUX UTKIROVICHga tegishli va kelishilgan garov qiymati 2026 yil 29 yanvarda imzolangan 1-sonli Garov predmeti qiymatini tasdiqlash dalolatnomasiga muvifiq 105 000 000,00 (yuz besh million so'm) so'mni tashkil qiladi. Garov garovining aniq shartlari tegishli notarial rasmiylashtirilgan garov shartnomasi bilan belgilanadi.</v>
      </c>
      <c r="B28" s="265"/>
      <c r="K28" s="184" t="s">
        <v>319</v>
      </c>
    </row>
    <row r="29" spans="1:11" s="184" customFormat="1" ht="114" hidden="1" customHeight="1" x14ac:dyDescent="0.25">
      <c r="A29" s="265" t="str">
        <f>"3.1.1. "&amp;malumot!N133&amp;" tomonidan "&amp;malumot!B150&amp;" yil "&amp;malumot!B152&amp;" "&amp;malumot!B151&amp;"da imzolangan 1-sonli garov predmeti qiymatini tasdiqlash dalolatnomasiga muvofiq "&amp;malumot!B141&amp;" rangli, ishlab chiqarilgan yili – "&amp;malumot!B142&amp;" yil,  dvigatel raqami "&amp;malumot!B138&amp;", shassi - "&amp;malumot!B139&amp;",  kuzov turi - "&amp;malumot!B135&amp;", kuzov raqami №"&amp;malumot!B136&amp;", davlat raqam belgisi "&amp;malumot!B133&amp;" bo'lgan "&amp;malumot!B132&amp;" rusumli avtomashinasi (bundan keyin “Garov predmeti”), egalik huquqiga ega  "&amp;malumot!B124&amp;"ga tegishli va kelishilgan garov qiymati "&amp;malumot!B150&amp;" yil "&amp;malumot!B152&amp;" "&amp;malumot!B151&amp;"da imzolangan 1-sonli Garov predmeti qiymatini tasdiqlash dalolatnomasiga muvifiq "&amp;FIXED(malumot!B143,2)&amp;" ("&amp;malumot!B145&amp;") so'mni tashkil qiladi. Garov garovining aniq shartlari tegishli notarial rasmiylashtirilgan garov shartnomasi bilan belgilanadi."</f>
        <v>3.1.1. Mikromoliya tashkiloti va Qarz oluvchi tomonidan 2026 yil 29 yanvarda imzolangan 1-sonli garov predmeti qiymatini tasdiqlash dalolatnomasiga muvofiq KO'K DARKMOON BLUE MET rangli, ishlab chiqarilgan yili – 2023 yil,  dvigatel raqami B15D211232522 MTDX0591, shassi -  -,  kuzov turi - YENGIL SEDAN, kuzov raqami №XWB5V31BVPA581883, davlat raqam belgisi 85L007TA bo'lgan CHEVROLET LACETTI rusumli avtomashinasi (bundan keyin “Garov predmeti”), egalik huquqiga ega  TUYEV SHOXRUX UTKIROVICHga tegishli va kelishilgan garov qiymati 2026 yil 29 yanvarda imzolangan 1-sonli Garov predmeti qiymatini tasdiqlash dalolatnomasiga muvifiq 105 000 000,00 (yuz besh million so'm) so'mni tashkil qiladi. Garov garovining aniq shartlari tegishli notarial rasmiylashtirilgan garov shartnomasi bilan belgilanadi.</v>
      </c>
      <c r="B29" s="265"/>
    </row>
    <row r="30" spans="1:11" s="184" customFormat="1" ht="19.5" hidden="1" customHeight="1" x14ac:dyDescent="0.25">
      <c r="A30" s="265" t="str">
        <f>"3.1.1. "&amp;malumot!N133&amp;" tomonidan "&amp;malumot!B150&amp;" yil "&amp;malumot!B152&amp;" "&amp;malumot!B151&amp;"da imzolangan 1-sonli navbatdagi garov predmeti qiymatini tasdiqlash dalolatnomasiga muvofiq "&amp;malumot!B141&amp;" rangli, ishlab chiqarilgan yili – "&amp;malumot!B142&amp;" yil,  dvigatel raqami "&amp;malumot!B138&amp;", shassi - "&amp;malumot!B139&amp;",  kuzov turi - "&amp;malumot!B135&amp;", kuzov raqami №"&amp;malumot!B136&amp;", davlat raqam belgisi "&amp;malumot!B133&amp;" bo'lgan "&amp;malumot!B132&amp;" rusumli avtomashinasi (bundan keyin “navbatdagi garov predmeti”), egalik huquqiga ega  "&amp;malumot!B124&amp;"ga tegishli va kelishilgan garov qiymati "&amp;malumot!B150&amp;" yil "&amp;malumot!B152&amp;" "&amp;malumot!B151&amp;"da imzolangan 1-sonli Garov predmeti qiymatini tasdiqlash dalolatnomasiga muvifiq "&amp;FIXED(malumot!B143,2)&amp;" ("&amp;malumot!B145&amp;") so'mni tashkil qiladi. Garov garovining aniq shartlari tegishli notarial rasmiylashtirilgan garov shartnomasi bilan belgilanadi."</f>
        <v>3.1.1. Mikromoliya tashkiloti va Qarz oluvchi tomonidan 2026 yil 29 yanvarda imzolangan 1-sonli navbatdagi garov predmeti qiymatini tasdiqlash dalolatnomasiga muvofiq KO'K DARKMOON BLUE MET rangli, ishlab chiqarilgan yili – 2023 yil,  dvigatel raqami B15D211232522 MTDX0591, shassi -  -,  kuzov turi - YENGIL SEDAN, kuzov raqami №XWB5V31BVPA581883, davlat raqam belgisi 85L007TA bo'lgan CHEVROLET LACETTI rusumli avtomashinasi (bundan keyin “navbatdagi garov predmeti”), egalik huquqiga ega  TUYEV SHOXRUX UTKIROVICHga tegishli va kelishilgan garov qiymati 2026 yil 29 yanvarda imzolangan 1-sonli Garov predmeti qiymatini tasdiqlash dalolatnomasiga muvifiq 105 000 000,00 (yuz besh million so'm) so'mni tashkil qiladi. Garov garovining aniq shartlari tegishli notarial rasmiylashtirilgan garov shartnomasi bilan belgilanadi.</v>
      </c>
      <c r="B30" s="265"/>
    </row>
    <row r="31" spans="1:11" s="184" customFormat="1" ht="113.45" customHeight="1" x14ac:dyDescent="0.25">
      <c r="A31" s="265" t="str">
        <f>CONCATENATE(C31,D31)</f>
        <v>3.1.2. «АО "APEX INSURANCE"» АJ sug‘urta kompaniyasi (keyingi o'rinlarda-Sug‘urtalovchi) tomonidan Mikroqarz to'lamaslik xavfini Mikroqarz summasiga nisbatan 130% dan hisoblab 32 500 000,00(o'ttiz ikki million besh yuz ming so'm) so ' m miqdoriga sug’urta qilish. Ushbu shartnoma bo‘yicha Mikroqarz berilgunga qadar Mikromoliya tashkiloti Sug‘urtalovchi 32 500 000,00(o'ttiz ikki million besh yuz ming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B31" s="265"/>
      <c r="C31" s="184" t="str">
        <f>"3.1.2. «"&amp;malumot!B154&amp;"» АJ sug‘urta kompaniyasi (keyingi o'rinlarda-Sug‘urtalovchi) tomonidan "&amp;malumot!C64&amp;" to'lamaslik xavfini Mikroqarz summasiga nisbatan 130% dan hisoblab "&amp;FIXED(malumot!B155,2)&amp;"("&amp;malumot!B156&amp;") so ' m miqdoriga sug’urta qilish."</f>
        <v>3.1.2. «АО "APEX INSURANCE"» АJ sug‘urta kompaniyasi (keyingi o'rinlarda-Sug‘urtalovchi) tomonidan Mikroqarz to'lamaslik xavfini Mikroqarz summasiga nisbatan 130% dan hisoblab 32 500 000,00(o'ttiz ikki million besh yuz ming so'm) so ' m miqdoriga sug’urta qilish.</v>
      </c>
      <c r="D31" s="184" t="str">
        <f>CONCATENATE(E31,F31)</f>
        <v xml:space="preserve"> Ushbu shartnoma bo‘yicha Mikroqarz berilgunga qadar Mikromoliya tashkiloti Sug‘urtalovchi 32 500 000,00(o'ttiz ikki million besh yuz ming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E31" s="184" t="str">
        <f>" Ushbu shartnoma bo‘yicha "&amp;malumot!C64&amp;" berilgunga qadar Mikromoliya tashkiloti Sug‘urtalovchi "&amp;FIXED(malumot!B155,2)&amp;"("&amp;malumot!B156&amp;") so ' m miqdoridagi "&amp;malumot!C64&amp;""</f>
        <v xml:space="preserve"> Ushbu shartnoma bo‘yicha Mikroqarz berilgunga qadar Mikromoliya tashkiloti Sug‘urtalovchi 32 500 000,00(o'ttiz ikki million besh yuz ming so'm) so ' m miqdoridagi Mikroqarz</v>
      </c>
      <c r="F31" s="184" t="s">
        <v>376</v>
      </c>
    </row>
    <row r="32" spans="1:11" ht="117" customHeight="1" x14ac:dyDescent="0.25">
      <c r="A32" s="269" t="str">
        <f>CONCATENATE(A33,B33)</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2" s="269"/>
    </row>
    <row r="33" spans="1:8" ht="94.5" hidden="1" x14ac:dyDescent="0.25">
      <c r="A33" s="144" t="s">
        <v>347</v>
      </c>
      <c r="B33" s="29" t="str">
        <f>CONCATENATE(A34,B34)</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4" spans="1:8" ht="78.75" hidden="1" x14ac:dyDescent="0.25">
      <c r="A34" s="144"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4" s="29" t="s">
        <v>329</v>
      </c>
    </row>
    <row r="35" spans="1:8" ht="71.25" customHeight="1" x14ac:dyDescent="0.25">
      <c r="A35" s="269" t="s">
        <v>258</v>
      </c>
      <c r="B35" s="269"/>
    </row>
    <row r="36" spans="1:8" ht="84" customHeight="1" x14ac:dyDescent="0.25">
      <c r="A36" s="269" t="s">
        <v>307</v>
      </c>
      <c r="B36" s="269"/>
    </row>
    <row r="37" spans="1:8" ht="114.6" customHeight="1" x14ac:dyDescent="0.25">
      <c r="A37" s="266" t="s">
        <v>377</v>
      </c>
      <c r="B37" s="266"/>
    </row>
    <row r="38" spans="1:8" hidden="1" x14ac:dyDescent="0.25"/>
    <row r="39" spans="1:8" x14ac:dyDescent="0.25">
      <c r="A39" s="271" t="s">
        <v>306</v>
      </c>
      <c r="B39" s="271"/>
      <c r="C39" s="66"/>
    </row>
    <row r="40" spans="1:8" x14ac:dyDescent="0.25">
      <c r="A40" s="270" t="s">
        <v>305</v>
      </c>
      <c r="B40" s="270"/>
    </row>
    <row r="41" spans="1:8" ht="116.25" customHeight="1" x14ac:dyDescent="0.25">
      <c r="A41" s="269" t="str">
        <f>CONCATENATE(C41,H41)</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41" s="269"/>
      <c r="C41" s="6" t="str">
        <f>"4.1.1. Ushbu Shartnomada ko‘rsatilgan asoslar bo‘yicha Qarz oluvchiga Shartnomada ko‘zda tutilgan "&amp;malumot!B65&amp;""</f>
        <v>4.1.1. Ushbu Shartnomada ko‘rsatilgan asoslar bo‘yicha Qarz oluvchiga Shartnomada ko‘zda tutilgan mikroqarz</v>
      </c>
      <c r="H41" s="141" t="s">
        <v>372</v>
      </c>
    </row>
    <row r="42" spans="1:8" ht="39" customHeight="1" x14ac:dyDescent="0.25">
      <c r="A42" s="269"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2" s="269"/>
    </row>
    <row r="43" spans="1:8" x14ac:dyDescent="0.25">
      <c r="A43" s="269" t="s">
        <v>308</v>
      </c>
      <c r="B43" s="269"/>
    </row>
    <row r="44" spans="1:8" ht="30" customHeight="1" x14ac:dyDescent="0.25">
      <c r="A44" s="269" t="str">
        <f>"b) "&amp;malumot!B65&amp;" summasiga hisoblanadigan asosiy qarz bo‘yicha muddati o‘tgan qarzdorlik va/yoki foizlarning yuzaga kelishi;"</f>
        <v>b) mikroqarz summasiga hisoblanadigan asosiy qarz bo‘yicha muddati o‘tgan qarzdorlik va/yoki foizlarning yuzaga kelishi;</v>
      </c>
      <c r="B44" s="269"/>
    </row>
    <row r="45" spans="1:8" ht="37.5" customHeight="1" x14ac:dyDescent="0.25">
      <c r="A45" s="269" t="s">
        <v>309</v>
      </c>
      <c r="B45" s="269"/>
    </row>
    <row r="46" spans="1:8" ht="52.5" customHeight="1" x14ac:dyDescent="0.25">
      <c r="A46" s="269" t="s">
        <v>310</v>
      </c>
      <c r="B46" s="269"/>
    </row>
    <row r="47" spans="1:8" ht="19.5" customHeight="1" x14ac:dyDescent="0.25">
      <c r="A47" s="269" t="s">
        <v>311</v>
      </c>
      <c r="B47" s="269"/>
    </row>
    <row r="48" spans="1:8" ht="51.75" customHeight="1" x14ac:dyDescent="0.25">
      <c r="A48" s="269"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8" s="269"/>
    </row>
    <row r="49" spans="1:8" ht="33.75" customHeight="1" x14ac:dyDescent="0.25">
      <c r="A49" s="269" t="s">
        <v>304</v>
      </c>
      <c r="B49" s="269"/>
    </row>
    <row r="50" spans="1:8" ht="36.75" customHeight="1" x14ac:dyDescent="0.25">
      <c r="A50" s="269" t="s">
        <v>303</v>
      </c>
      <c r="B50" s="269"/>
      <c r="C50" s="144"/>
    </row>
    <row r="51" spans="1:8" ht="90" customHeight="1" x14ac:dyDescent="0.25">
      <c r="A51" s="266" t="s">
        <v>302</v>
      </c>
      <c r="B51" s="266"/>
      <c r="C51" s="144"/>
    </row>
    <row r="52" spans="1:8" ht="70.5" customHeight="1" x14ac:dyDescent="0.25">
      <c r="A52" s="266" t="s">
        <v>301</v>
      </c>
      <c r="B52" s="266"/>
      <c r="C52" s="144"/>
    </row>
    <row r="53" spans="1:8" ht="39.75" customHeight="1" x14ac:dyDescent="0.25">
      <c r="A53" s="266"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3" s="266"/>
      <c r="C53" s="144"/>
    </row>
    <row r="54" spans="1:8" ht="33" customHeight="1" x14ac:dyDescent="0.25">
      <c r="A54" s="266" t="s">
        <v>312</v>
      </c>
      <c r="B54" s="266"/>
      <c r="C54" s="144"/>
    </row>
    <row r="55" spans="1:8" ht="39.75" customHeight="1" x14ac:dyDescent="0.25">
      <c r="A55" s="266" t="s">
        <v>300</v>
      </c>
      <c r="B55" s="266"/>
      <c r="C55" s="144"/>
    </row>
    <row r="56" spans="1:8" ht="50.25" customHeight="1" x14ac:dyDescent="0.25">
      <c r="A56" s="266" t="str">
        <f>CONCATENATE(C56,H56)</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6" s="266"/>
      <c r="C56" s="144" t="str">
        <f>"4.1.10. Qarz oluvchi taqdim etilgan "&amp;malumot!B65&amp;"dan Shartnoma tuzilgan kundan boshlab 1 (bir) oy davomida foydalanmagan"</f>
        <v>4.1.10. Qarz oluvchi taqdim etilgan mikroqarzdan Shartnoma tuzilgan kundan boshlab 1 (bir) oy davomida foydalanmagan</v>
      </c>
      <c r="H56" s="6" t="s">
        <v>330</v>
      </c>
    </row>
    <row r="57" spans="1:8" ht="19.5" customHeight="1" x14ac:dyDescent="0.25">
      <c r="A57" s="266" t="str">
        <f>"4.1.11. Oldingi "&amp;malumot!B65&amp;" to‘liq to‘lanmagunga qadar yangi "&amp;malumot!B65&amp;" berishni rad etish."</f>
        <v>4.1.11. Oldingi mikroqarz to‘liq to‘lanmagunga qadar yangi mikroqarz berishni rad etish.</v>
      </c>
      <c r="B57" s="266"/>
      <c r="C57" s="144"/>
    </row>
    <row r="58" spans="1:8" hidden="1" x14ac:dyDescent="0.25"/>
    <row r="59" spans="1:8" x14ac:dyDescent="0.25">
      <c r="A59" s="268" t="s">
        <v>299</v>
      </c>
      <c r="B59" s="268"/>
      <c r="C59" s="143"/>
    </row>
    <row r="60" spans="1:8" x14ac:dyDescent="0.25">
      <c r="A60" s="272" t="s">
        <v>298</v>
      </c>
      <c r="B60" s="272"/>
      <c r="C60" s="145"/>
    </row>
    <row r="61" spans="1:8" ht="36" customHeight="1" x14ac:dyDescent="0.25">
      <c r="A61" s="266"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61" s="266"/>
      <c r="C61" s="144"/>
    </row>
    <row r="62" spans="1:8" ht="36.75" customHeight="1" x14ac:dyDescent="0.25">
      <c r="A62" s="266"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2" s="266"/>
      <c r="C62" s="144"/>
    </row>
    <row r="63" spans="1:8" ht="17.25" customHeight="1" x14ac:dyDescent="0.25">
      <c r="A63" s="266" t="str">
        <f>"5.1.3. "&amp;malumot!C64&amp;" xizmatlari ko‘rsatish qoidalari bilan tanishish."</f>
        <v>5.1.3. Mikroqarz xizmatlari ko‘rsatish qoidalari bilan tanishish.</v>
      </c>
      <c r="B63" s="266"/>
      <c r="C63" s="144"/>
    </row>
    <row r="64" spans="1:8" ht="36" customHeight="1" x14ac:dyDescent="0.25">
      <c r="A64" s="266"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4" s="266"/>
      <c r="C64" s="144"/>
    </row>
    <row r="65" spans="1:8" ht="33.75" customHeight="1" x14ac:dyDescent="0.25">
      <c r="A65" s="266" t="s">
        <v>313</v>
      </c>
      <c r="B65" s="266"/>
      <c r="C65" s="144"/>
    </row>
    <row r="66" spans="1:8" x14ac:dyDescent="0.25">
      <c r="A66" s="272" t="s">
        <v>297</v>
      </c>
      <c r="B66" s="272"/>
      <c r="C66" s="145"/>
    </row>
    <row r="67" spans="1:8" ht="37.5" customHeight="1" x14ac:dyDescent="0.25">
      <c r="A67" s="266"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7" s="266"/>
      <c r="C67" s="144"/>
    </row>
    <row r="68" spans="1:8" ht="39.75" customHeight="1" x14ac:dyDescent="0.25">
      <c r="A68" s="266" t="s">
        <v>314</v>
      </c>
      <c r="B68" s="266"/>
      <c r="C68" s="144"/>
    </row>
    <row r="69" spans="1:8" ht="27" customHeight="1" x14ac:dyDescent="0.25">
      <c r="A69" s="266" t="str">
        <f>"5.2.3. To‘lov jadvaliga muvofiq "&amp;malumot!B65&amp;", shuningdek hisoblangan foizlar to‘lovlarini amalga oshirish."</f>
        <v>5.2.3. To‘lov jadvaliga muvofiq mikroqarz, shuningdek hisoblangan foizlar to‘lovlarini amalga oshirish.</v>
      </c>
      <c r="B69" s="266"/>
      <c r="C69" s="144"/>
    </row>
    <row r="70" spans="1:8" ht="84" customHeight="1" x14ac:dyDescent="0.25">
      <c r="A70" s="266" t="str">
        <f>CONCATENATE(C70,H70)</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70" s="266"/>
      <c r="C70" s="144" t="s">
        <v>331</v>
      </c>
      <c r="H70" s="6"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71" spans="1:8" ht="49.5" customHeight="1" x14ac:dyDescent="0.25">
      <c r="A71" s="266" t="s">
        <v>315</v>
      </c>
      <c r="B71" s="266"/>
      <c r="C71" s="144"/>
    </row>
    <row r="72" spans="1:8" ht="36" customHeight="1" x14ac:dyDescent="0.25">
      <c r="A72" s="266"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2" s="266"/>
      <c r="C72" s="144"/>
    </row>
    <row r="73" spans="1:8" ht="51.75" customHeight="1" x14ac:dyDescent="0.25">
      <c r="A73" s="267" t="s">
        <v>332</v>
      </c>
      <c r="B73" s="267"/>
      <c r="C73" s="147"/>
    </row>
    <row r="74" spans="1:8" ht="57" customHeight="1" x14ac:dyDescent="0.25">
      <c r="A74" s="266"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4" s="266"/>
      <c r="C74" s="144"/>
    </row>
    <row r="75" spans="1:8" ht="33.75" customHeight="1" x14ac:dyDescent="0.25">
      <c r="A75" s="266"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5" s="266"/>
      <c r="C75" s="144"/>
      <c r="H75" s="6" t="s">
        <v>328</v>
      </c>
    </row>
    <row r="76" spans="1:8" ht="68.25" customHeight="1" x14ac:dyDescent="0.25">
      <c r="A76" s="266" t="str">
        <f>CONCATENATE(C76,H76)</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6" s="266"/>
      <c r="C76" s="144"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6" s="6" t="s">
        <v>333</v>
      </c>
    </row>
    <row r="77" spans="1:8" hidden="1" x14ac:dyDescent="0.25">
      <c r="A77" s="64"/>
    </row>
    <row r="78" spans="1:8" x14ac:dyDescent="0.25">
      <c r="A78" s="271" t="s">
        <v>296</v>
      </c>
      <c r="B78" s="271"/>
      <c r="C78" s="146"/>
    </row>
    <row r="79" spans="1:8" ht="84" customHeight="1" x14ac:dyDescent="0.25">
      <c r="A79" s="266" t="str">
        <f>CONCATENATE(C79,H79)</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9" s="266"/>
      <c r="C79" s="144" t="s">
        <v>334</v>
      </c>
      <c r="H79" s="6"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80" spans="1:8" ht="37.5" customHeight="1" x14ac:dyDescent="0.25">
      <c r="A80" s="266" t="s">
        <v>295</v>
      </c>
      <c r="B80" s="266"/>
      <c r="C80" s="144"/>
    </row>
    <row r="81" spans="1:3" ht="35.25" customHeight="1" x14ac:dyDescent="0.25">
      <c r="A81" s="266" t="s">
        <v>294</v>
      </c>
      <c r="B81" s="266"/>
      <c r="C81" s="144"/>
    </row>
    <row r="82" spans="1:3" ht="33" customHeight="1" x14ac:dyDescent="0.25">
      <c r="A82" s="266" t="s">
        <v>293</v>
      </c>
      <c r="B82" s="266"/>
      <c r="C82" s="144"/>
    </row>
    <row r="83" spans="1:3" hidden="1" x14ac:dyDescent="0.25"/>
    <row r="84" spans="1:3" x14ac:dyDescent="0.25">
      <c r="A84" s="273" t="s">
        <v>292</v>
      </c>
      <c r="B84" s="273"/>
      <c r="C84" s="60"/>
    </row>
    <row r="85" spans="1:3" ht="147.75" customHeight="1" x14ac:dyDescent="0.25">
      <c r="A85" s="266" t="s">
        <v>291</v>
      </c>
      <c r="B85" s="266"/>
      <c r="C85" s="144"/>
    </row>
    <row r="86" spans="1:3" ht="33.75" customHeight="1" x14ac:dyDescent="0.25">
      <c r="A86" s="266" t="s">
        <v>335</v>
      </c>
      <c r="B86" s="266"/>
      <c r="C86" s="144"/>
    </row>
    <row r="87" spans="1:3" ht="41.25" customHeight="1" x14ac:dyDescent="0.25">
      <c r="A87" s="266" t="s">
        <v>290</v>
      </c>
      <c r="B87" s="266"/>
      <c r="C87" s="144"/>
    </row>
    <row r="88" spans="1:3" ht="36" customHeight="1" x14ac:dyDescent="0.25">
      <c r="A88" s="266" t="s">
        <v>289</v>
      </c>
      <c r="B88" s="266"/>
      <c r="C88" s="144"/>
    </row>
    <row r="89" spans="1:3" hidden="1" x14ac:dyDescent="0.25"/>
    <row r="90" spans="1:3" x14ac:dyDescent="0.25">
      <c r="A90" s="273" t="s">
        <v>288</v>
      </c>
      <c r="B90" s="273"/>
      <c r="C90" s="60"/>
    </row>
    <row r="91" spans="1:3" ht="101.25" customHeight="1" x14ac:dyDescent="0.25">
      <c r="A91" s="266" t="s">
        <v>348</v>
      </c>
      <c r="B91" s="266"/>
      <c r="C91" s="144"/>
    </row>
    <row r="92" spans="1:3" ht="36" customHeight="1" x14ac:dyDescent="0.25">
      <c r="A92" s="266" t="s">
        <v>316</v>
      </c>
      <c r="B92" s="266"/>
      <c r="C92" s="144"/>
    </row>
    <row r="93" spans="1:3" ht="54" customHeight="1" x14ac:dyDescent="0.25">
      <c r="A93" s="266"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3" s="266"/>
      <c r="C93" s="144"/>
    </row>
    <row r="94" spans="1:3" hidden="1" x14ac:dyDescent="0.25"/>
    <row r="95" spans="1:3" x14ac:dyDescent="0.25">
      <c r="A95" s="274" t="s">
        <v>287</v>
      </c>
      <c r="B95" s="274"/>
      <c r="C95" s="65"/>
    </row>
    <row r="96" spans="1:3" ht="20.25" customHeight="1" x14ac:dyDescent="0.25">
      <c r="A96" s="266" t="s">
        <v>286</v>
      </c>
      <c r="B96" s="266"/>
      <c r="C96" s="144"/>
    </row>
    <row r="97" spans="1:3" ht="33.75" customHeight="1" x14ac:dyDescent="0.25">
      <c r="A97" s="266"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7" s="266"/>
      <c r="C97" s="144"/>
    </row>
    <row r="98" spans="1:3" ht="40.5" customHeight="1" x14ac:dyDescent="0.25">
      <c r="A98" s="266" t="s">
        <v>285</v>
      </c>
      <c r="B98" s="266"/>
      <c r="C98" s="144"/>
    </row>
    <row r="99" spans="1:3" hidden="1" x14ac:dyDescent="0.25"/>
    <row r="100" spans="1:3" x14ac:dyDescent="0.25">
      <c r="A100" s="268" t="s">
        <v>284</v>
      </c>
      <c r="B100" s="268"/>
      <c r="C100" s="59"/>
    </row>
    <row r="101" spans="1:3" ht="66.75" customHeight="1" x14ac:dyDescent="0.25">
      <c r="A101" s="266" t="s">
        <v>283</v>
      </c>
      <c r="B101" s="266"/>
      <c r="C101" s="144"/>
    </row>
    <row r="102" spans="1:3" ht="66" customHeight="1" x14ac:dyDescent="0.25">
      <c r="A102" s="266" t="s">
        <v>282</v>
      </c>
      <c r="B102" s="266"/>
      <c r="C102" s="144"/>
    </row>
    <row r="103" spans="1:3" ht="48" customHeight="1" x14ac:dyDescent="0.25">
      <c r="A103" s="266" t="s">
        <v>281</v>
      </c>
      <c r="B103" s="266"/>
      <c r="C103" s="144"/>
    </row>
    <row r="105" spans="1:3" x14ac:dyDescent="0.25">
      <c r="A105" s="273" t="s">
        <v>280</v>
      </c>
      <c r="B105" s="273"/>
      <c r="C105" s="133"/>
    </row>
    <row r="106" spans="1:3" ht="37.5" customHeight="1" x14ac:dyDescent="0.25">
      <c r="A106" s="266" t="s">
        <v>279</v>
      </c>
      <c r="B106" s="266"/>
      <c r="C106" s="144"/>
    </row>
    <row r="107" spans="1:3" ht="34.5" customHeight="1" x14ac:dyDescent="0.25">
      <c r="A107" s="266" t="s">
        <v>278</v>
      </c>
      <c r="B107" s="266"/>
      <c r="C107" s="144"/>
    </row>
    <row r="108" spans="1:3" ht="66.75" customHeight="1" x14ac:dyDescent="0.25">
      <c r="A108" s="266" t="s">
        <v>277</v>
      </c>
      <c r="B108" s="266"/>
      <c r="C108" s="144"/>
    </row>
    <row r="109" spans="1:3" ht="51" customHeight="1" x14ac:dyDescent="0.25">
      <c r="A109" s="266" t="s">
        <v>276</v>
      </c>
      <c r="B109" s="266"/>
      <c r="C109" s="144"/>
    </row>
    <row r="110" spans="1:3" ht="37.5" customHeight="1" x14ac:dyDescent="0.25">
      <c r="A110" s="266" t="s">
        <v>275</v>
      </c>
      <c r="B110" s="266"/>
      <c r="C110" s="144"/>
    </row>
    <row r="111" spans="1:3" ht="38.25" customHeight="1" x14ac:dyDescent="0.25">
      <c r="A111" s="266" t="s">
        <v>274</v>
      </c>
      <c r="B111" s="266"/>
      <c r="C111" s="144"/>
    </row>
    <row r="112" spans="1:3" ht="21" customHeight="1" x14ac:dyDescent="0.25">
      <c r="A112" s="266" t="s">
        <v>273</v>
      </c>
      <c r="B112" s="266"/>
      <c r="C112" s="144"/>
    </row>
    <row r="113" spans="1:3" ht="26.25" customHeight="1" x14ac:dyDescent="0.25">
      <c r="A113" s="268" t="s">
        <v>317</v>
      </c>
      <c r="B113" s="268"/>
      <c r="C113" s="65"/>
    </row>
    <row r="114" spans="1:3" hidden="1" x14ac:dyDescent="0.25"/>
    <row r="115" spans="1:3" x14ac:dyDescent="0.25">
      <c r="A115" s="177" t="s">
        <v>272</v>
      </c>
      <c r="B115" s="177" t="s">
        <v>271</v>
      </c>
    </row>
    <row r="117" spans="1:3" ht="31.5" x14ac:dyDescent="0.25">
      <c r="A117" s="65" t="str">
        <f>malumot!B159</f>
        <v>«CLEVER MIKROMOLIYA TASHKILOTI» MChJ</v>
      </c>
      <c r="B117" s="191" t="str">
        <f>malumot!B5</f>
        <v>TUYEV SHOXRUX UTKIROVICH</v>
      </c>
    </row>
    <row r="119" spans="1:3" ht="40.5" customHeight="1" x14ac:dyDescent="0.25">
      <c r="A119" s="178" t="str">
        <f>"Manzil: "&amp;malumot!B164&amp;""</f>
        <v>Manzil: Toshkent shahri, Olmazor tumani, Sagbon ko'chasi, 30 boshi berk, 6-uy</v>
      </c>
      <c r="B119" s="178" t="str">
        <f>"Manzil: "&amp;malumot!B27&amp;""</f>
        <v>Manzil: NAVOIY VILOYATI  QIZILTEPA TUMANI A.NAVOIY MFY SHODLIK  KO'CHASI 6-UY</v>
      </c>
    </row>
    <row r="120" spans="1:3" ht="17.25" customHeight="1" x14ac:dyDescent="0.25">
      <c r="A120" s="196" t="str">
        <f>"h/r: "&amp;malumot!B165&amp;""</f>
        <v>h/r: №20216000105068380006</v>
      </c>
    </row>
    <row r="121" spans="1:3" ht="31.5" x14ac:dyDescent="0.25">
      <c r="A121" s="178" t="str">
        <f>"MFO: "&amp;malumot!B166&amp;" в "&amp;malumot!B167&amp;""</f>
        <v>MFO: №01183 в Toshkent sh., "ANOR BANK"</v>
      </c>
      <c r="B121" s="178" t="str">
        <f>"Pasport: "&amp;malumot!B16&amp;", "&amp;malumot!B20&amp;""</f>
        <v>Pasport: AE1115640, IIV12208 tomonidan 09.01.2025 yilda berilgan</v>
      </c>
    </row>
    <row r="122" spans="1:3" x14ac:dyDescent="0.25">
      <c r="A122" s="178" t="str">
        <f>"STIR: "&amp;malumot!B168&amp;""</f>
        <v>STIR: 306365847</v>
      </c>
      <c r="B122" s="61" t="str">
        <f>"Tel: "&amp;malumot!B40&amp;""</f>
        <v>Tel: 99-336-50-00 MIJOZ</v>
      </c>
    </row>
    <row r="123" spans="1:3" x14ac:dyDescent="0.25">
      <c r="A123" s="198" t="str">
        <f>"Tel: (78) 113 31 33"</f>
        <v>Tel: (78) 113 31 33</v>
      </c>
      <c r="B123" s="61" t="str">
        <f>malumot!B41</f>
        <v>97-335-03-43 TURMUSH O'RTOG'I</v>
      </c>
    </row>
    <row r="124" spans="1:3" x14ac:dyDescent="0.25">
      <c r="A124" s="197" t="s">
        <v>7</v>
      </c>
      <c r="B124" s="61" t="str">
        <f>malumot!B42</f>
        <v>91-336-50-00 O'G'LI</v>
      </c>
    </row>
    <row r="125" spans="1:3" x14ac:dyDescent="0.25">
      <c r="A125" s="29"/>
    </row>
    <row r="126" spans="1:3" x14ac:dyDescent="0.25">
      <c r="A126" s="275" t="str">
        <f>malumot!A161</f>
        <v>Navoiy viloyati filial menejeri</v>
      </c>
      <c r="B126" s="263" t="str">
        <f>""&amp;malumot!B7&amp;"     __________________"</f>
        <v>TUYEV SH.U.     __________________</v>
      </c>
    </row>
    <row r="127" spans="1:3" x14ac:dyDescent="0.25">
      <c r="A127" s="275"/>
      <c r="B127" s="263"/>
    </row>
    <row r="128" spans="1:3" x14ac:dyDescent="0.25">
      <c r="A128" s="194" t="str">
        <f>malumot!B161</f>
        <v>Sh.Xayriyev</v>
      </c>
    </row>
    <row r="129" spans="1:2" x14ac:dyDescent="0.25">
      <c r="A129" s="133"/>
      <c r="B129" s="179"/>
    </row>
    <row r="130" spans="1:2" x14ac:dyDescent="0.25">
      <c r="B130" s="6" t="s">
        <v>413</v>
      </c>
    </row>
    <row r="132" spans="1:2" hidden="1" x14ac:dyDescent="0.25">
      <c r="A132" s="6" t="str">
        <f>"менеджер :   "&amp;malumot!B172&amp;"______________"</f>
        <v>менеджер :   Sh.Xayriyev______________</v>
      </c>
    </row>
  </sheetData>
  <mergeCells count="101">
    <mergeCell ref="A108:B108"/>
    <mergeCell ref="A126:A127"/>
    <mergeCell ref="A113:B113"/>
    <mergeCell ref="A109:B109"/>
    <mergeCell ref="A110:B110"/>
    <mergeCell ref="A111:B111"/>
    <mergeCell ref="A112:B112"/>
    <mergeCell ref="A97:B97"/>
    <mergeCell ref="A98:B98"/>
    <mergeCell ref="A100:B100"/>
    <mergeCell ref="A101:B101"/>
    <mergeCell ref="A102:B102"/>
    <mergeCell ref="A103:B103"/>
    <mergeCell ref="A105:B105"/>
    <mergeCell ref="A106:B106"/>
    <mergeCell ref="A107:B107"/>
    <mergeCell ref="B126:B127"/>
    <mergeCell ref="A84:B84"/>
    <mergeCell ref="A85:B85"/>
    <mergeCell ref="A92:B92"/>
    <mergeCell ref="A93:B93"/>
    <mergeCell ref="A95:B95"/>
    <mergeCell ref="A96:B96"/>
    <mergeCell ref="A86:B86"/>
    <mergeCell ref="A87:B87"/>
    <mergeCell ref="A88:B88"/>
    <mergeCell ref="A90:B90"/>
    <mergeCell ref="A91:B91"/>
    <mergeCell ref="A79:B79"/>
    <mergeCell ref="A70:B70"/>
    <mergeCell ref="A71:B71"/>
    <mergeCell ref="A72:B72"/>
    <mergeCell ref="A73:B73"/>
    <mergeCell ref="A74:B74"/>
    <mergeCell ref="A80:B80"/>
    <mergeCell ref="A81:B81"/>
    <mergeCell ref="A82:B82"/>
    <mergeCell ref="A64:B64"/>
    <mergeCell ref="A65:B65"/>
    <mergeCell ref="A66:B66"/>
    <mergeCell ref="A67:B67"/>
    <mergeCell ref="A68:B68"/>
    <mergeCell ref="A69:B69"/>
    <mergeCell ref="A75:B75"/>
    <mergeCell ref="A76:B76"/>
    <mergeCell ref="A78:B78"/>
    <mergeCell ref="A54:B54"/>
    <mergeCell ref="A55:B55"/>
    <mergeCell ref="A56:B56"/>
    <mergeCell ref="A57:B57"/>
    <mergeCell ref="A59:B59"/>
    <mergeCell ref="A60:B60"/>
    <mergeCell ref="A61:B61"/>
    <mergeCell ref="A62:B62"/>
    <mergeCell ref="A63:B63"/>
    <mergeCell ref="A52:B52"/>
    <mergeCell ref="A53:B53"/>
    <mergeCell ref="A49:B49"/>
    <mergeCell ref="A48:B48"/>
    <mergeCell ref="A47:B47"/>
    <mergeCell ref="A46:B46"/>
    <mergeCell ref="A45:B45"/>
    <mergeCell ref="A44:B44"/>
    <mergeCell ref="A43:B43"/>
    <mergeCell ref="A32:B32"/>
    <mergeCell ref="A24:B24"/>
    <mergeCell ref="A28:B28"/>
    <mergeCell ref="A29:B29"/>
    <mergeCell ref="A30:B30"/>
    <mergeCell ref="A31:B31"/>
    <mergeCell ref="A11:B11"/>
    <mergeCell ref="A50:B50"/>
    <mergeCell ref="A51:B51"/>
    <mergeCell ref="A42:B42"/>
    <mergeCell ref="A41:B41"/>
    <mergeCell ref="A40:B40"/>
    <mergeCell ref="A39:B39"/>
    <mergeCell ref="A37:B37"/>
    <mergeCell ref="A36:B36"/>
    <mergeCell ref="A35:B35"/>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s>
  <printOptions horizontalCentered="1"/>
  <pageMargins left="0.70866141732283472" right="0.70866141732283472" top="0.51181102362204722" bottom="0.43307086614173229" header="0.31496062992125984" footer="0.31496062992125984"/>
  <pageSetup paperSize="9" scale="72" orientation="portrait" r:id="rId1"/>
  <rowBreaks count="1" manualBreakCount="1">
    <brk id="2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14">
    <tabColor rgb="FF00B050"/>
  </sheetPr>
  <dimension ref="A1:E27"/>
  <sheetViews>
    <sheetView view="pageBreakPreview" topLeftCell="A17" zoomScaleSheetLayoutView="100" workbookViewId="0">
      <selection activeCell="A27" sqref="A27"/>
    </sheetView>
  </sheetViews>
  <sheetFormatPr defaultColWidth="9.140625" defaultRowHeight="15" outlineLevelRow="1" x14ac:dyDescent="0.25"/>
  <cols>
    <col min="1" max="1" width="23.85546875" style="13" customWidth="1"/>
    <col min="2" max="2" width="23.28515625" style="13" customWidth="1"/>
    <col min="3" max="3" width="17" style="13" customWidth="1"/>
    <col min="4" max="4" width="17.5703125" style="13" customWidth="1"/>
    <col min="5" max="5" width="19.7109375" style="13" customWidth="1"/>
    <col min="6" max="16384" width="9.140625" style="13"/>
  </cols>
  <sheetData>
    <row r="1" spans="1:5" ht="16.5" customHeight="1" x14ac:dyDescent="0.25"/>
    <row r="2" spans="1:5" ht="17.25" customHeight="1" x14ac:dyDescent="0.25">
      <c r="A2" s="278" t="str">
        <f>""&amp;malumot!B158&amp;" ijrochi direktorining
"&amp;malumot!B176&amp;"dagi "&amp;malumot!B175&amp;"-sonli buyrug‘i"</f>
        <v>«CLEVER MIKROMOLIYA TASHKILOTI» MChJ ijrochi direktorining
29 yanvar 2026 y.dagi №244-NVS-sonli buyrug‘i</v>
      </c>
      <c r="B2" s="278"/>
      <c r="C2" s="278"/>
      <c r="D2" s="278"/>
      <c r="E2" s="278"/>
    </row>
    <row r="3" spans="1:5" x14ac:dyDescent="0.25">
      <c r="A3" s="278"/>
      <c r="B3" s="278"/>
      <c r="C3" s="278"/>
      <c r="D3" s="278"/>
      <c r="E3" s="278"/>
    </row>
    <row r="4" spans="1:5" x14ac:dyDescent="0.25">
      <c r="A4" s="278"/>
      <c r="B4" s="278"/>
      <c r="C4" s="278"/>
      <c r="D4" s="278"/>
      <c r="E4" s="278"/>
    </row>
    <row r="5" spans="1:5" x14ac:dyDescent="0.25">
      <c r="A5" s="276"/>
      <c r="B5" s="276"/>
      <c r="C5" s="276"/>
      <c r="D5" s="276"/>
      <c r="E5" s="276"/>
    </row>
    <row r="6" spans="1:5" ht="53.25" customHeight="1" x14ac:dyDescent="0.25">
      <c r="A6" s="276" t="str">
        <f>"Men, Abduraximov Nadirbek Kamilevich "&amp;malumot!B158&amp;" ijrochi direktori, jismoniy shaxs "&amp;malumot!B10&amp;"ga quyidagi shartlarda "&amp;malumot!B65&amp;" berishni buyuraman:"</f>
        <v>Men, Abduraximov Nadirbek Kamilevich «CLEVER MIKROMOLIYA TASHKILOTI» MChJ ijrochi direktori, jismoniy shaxs TUYEV SHOXRUX UTKIROVICHga quyidagi shartlarda mikroqarz berishni buyuraman:</v>
      </c>
      <c r="B6" s="276"/>
      <c r="C6" s="276"/>
      <c r="D6" s="276"/>
      <c r="E6" s="276"/>
    </row>
    <row r="7" spans="1:5" ht="26.25" customHeight="1" x14ac:dyDescent="0.25">
      <c r="A7" s="276" t="str">
        <f>kredit_ariza!A13:D13</f>
        <v>Mikroqarz summasi: 100 000 000,00 (yuz million so'm) so'm.</v>
      </c>
      <c r="B7" s="276"/>
      <c r="C7" s="276"/>
      <c r="D7" s="276"/>
      <c r="E7" s="276"/>
    </row>
    <row r="8" spans="1:5" ht="21" customHeight="1" x14ac:dyDescent="0.25">
      <c r="A8" s="276" t="str">
        <f>kredit_ariza!A14:D14</f>
        <v>Mikroqarz muddati: 48 (Qirq sakkiz  ) oy.</v>
      </c>
      <c r="B8" s="276"/>
      <c r="C8" s="276"/>
      <c r="D8" s="276"/>
      <c r="E8" s="276"/>
    </row>
    <row r="9" spans="1:5" ht="27" customHeight="1" x14ac:dyDescent="0.25">
      <c r="A9" s="276" t="str">
        <f>kredit_ariza!A15:D15</f>
        <v>Mikroqarzdan foydalanganlik uchun foiz stavkasi: yillik  55% (Ellik besh  ) foiz</v>
      </c>
      <c r="B9" s="276"/>
      <c r="C9" s="276"/>
      <c r="D9" s="276"/>
      <c r="E9" s="276"/>
    </row>
    <row r="10" spans="1:5" ht="26.25" customHeight="1" x14ac:dyDescent="0.25">
      <c r="A10" s="276" t="str">
        <f>kredit_ariza!A16:D16</f>
        <v>Mikroqarz bo'yicha asosiy qarz va foizlarni to'lash:</v>
      </c>
      <c r="B10" s="276"/>
      <c r="C10" s="276"/>
      <c r="D10" s="276"/>
      <c r="E10" s="276"/>
    </row>
    <row r="11" spans="1:5" ht="21.75" hidden="1" customHeight="1" x14ac:dyDescent="0.25">
      <c r="A11" s="276" t="str">
        <f>kredit_ariza!A17:D17</f>
        <v xml:space="preserve"> - mikroqarz shartnomasi bo'yicha har oy differensial to'lovlari amalga oshiriladi</v>
      </c>
      <c r="B11" s="276"/>
      <c r="C11" s="276"/>
      <c r="D11" s="276"/>
      <c r="E11" s="276"/>
    </row>
    <row r="12" spans="1:5" hidden="1" x14ac:dyDescent="0.25">
      <c r="A12" s="276" t="str">
        <f>kredit_ariza!A19:D19</f>
        <v xml:space="preserve"> - mikroqarz shartnomasi bo'yicha har oy differensial to'lovlari amalga oshiriladi</v>
      </c>
      <c r="B12" s="276"/>
      <c r="C12" s="276"/>
      <c r="D12" s="276"/>
      <c r="E12" s="276"/>
    </row>
    <row r="13" spans="1:5" ht="23.25" customHeight="1" x14ac:dyDescent="0.25">
      <c r="A13" s="276" t="str">
        <f>IF(malumot!B110="Avtotransport",buyruq!A12:E12,buyruq!A11:E11)</f>
        <v xml:space="preserve"> - mikroqarz shartnomasi bo'yicha har oy differensial to'lovlari amalga oshiriladi</v>
      </c>
      <c r="B13" s="276"/>
      <c r="C13" s="276"/>
      <c r="D13" s="276"/>
      <c r="E13" s="276"/>
    </row>
    <row r="14" spans="1:5" ht="45.75" customHeight="1" x14ac:dyDescent="0.25">
      <c r="A14" s="277" t="str">
        <f>IF(malumot!B110=malumot!D110,""&amp;malumot!C124&amp;"ga tegishli "&amp;malumot!C133&amp;" ko'rinishidagi ko'chmas mulkni quyidagi ma'lumotlarga muvofiq  garovga qabul qilinsin:",""&amp;malumot!B124&amp;"ga tegishli "&amp;malumot!B132&amp;" ko'rinishidagi transport vositasini quyidagi ma'lumotlarga muvofiq garovga qabul qilinsin:")</f>
        <v>TUYEV SHOXRUX UTKIROVICHga tegishli CHEVROLET LACETTI ko'rinishidagi transport vositasini quyidagi ma'lumotlarga muvofiq garovga qabul qilinsin:</v>
      </c>
      <c r="B14" s="277"/>
      <c r="C14" s="277"/>
      <c r="D14" s="277"/>
      <c r="E14" s="277"/>
    </row>
    <row r="15" spans="1:5" ht="50.25" hidden="1" customHeight="1" x14ac:dyDescent="0.25">
      <c r="A15" s="276" t="str">
        <f>""&amp;malumot!C124&amp;"ga tegishli "&amp;malumot!C133&amp;" ko'rinishidagi ko'chmas mulkni quyidagi ma'lumotlarga muvofiq  garovga qabul qilinsin:"</f>
        <v>TUYEV SHOXRUX UTKIROVICHga tegishli  0 ko'rinishidagi ko'chmas mulkni quyidagi ma'lumotlarga muvofiq  garovga qabul qilinsin:</v>
      </c>
      <c r="B15" s="276"/>
      <c r="C15" s="276"/>
      <c r="D15" s="276"/>
      <c r="E15" s="276"/>
    </row>
    <row r="16" spans="1:5" ht="47.25" hidden="1" customHeight="1" x14ac:dyDescent="0.25">
      <c r="A16" s="276" t="str">
        <f>""&amp;malumot!B124&amp;"ga tegishli "&amp;malumot!B132&amp;" ko'rinishidagi transport vositasini quyidagi ma'lumotlarga muvofiq garovga qabul qilinsin:"</f>
        <v>TUYEV SHOXRUX UTKIROVICHga tegishli CHEVROLET LACETTI ko'rinishidagi transport vositasini quyidagi ma'lumotlarga muvofiq garovga qabul qilinsin:</v>
      </c>
      <c r="B16" s="276"/>
      <c r="C16" s="276"/>
      <c r="D16" s="276"/>
      <c r="E16" s="276"/>
    </row>
    <row r="17" spans="1:5" s="34" customFormat="1" ht="60" customHeight="1" outlineLevel="1" x14ac:dyDescent="0.2">
      <c r="A17" s="36" t="str">
        <f>dalolatnoma!A29</f>
        <v>Nomi</v>
      </c>
      <c r="B17" s="36" t="str">
        <f>dalolatnoma!B29</f>
        <v>Kuzov turi  va kuzov raqami*</v>
      </c>
      <c r="C17" s="36" t="str">
        <f>dalolatnoma!C29</f>
        <v>Dvigatel va shassi raqami*</v>
      </c>
      <c r="D17" s="36" t="str">
        <f>dalolatnoma!D29</f>
        <v>Ishlab chiqarilgan yili va rangi*</v>
      </c>
      <c r="E17" s="36" t="str">
        <f>dalolatnoma!E29</f>
        <v>Kelishilgan garov qiymati, so'm</v>
      </c>
    </row>
    <row r="18" spans="1:5" ht="80.25" customHeight="1" outlineLevel="1" x14ac:dyDescent="0.25">
      <c r="A18" s="15" t="str">
        <f>dalolatnoma!A30</f>
        <v>CHEVROLET LACETTI</v>
      </c>
      <c r="B18" s="15" t="str">
        <f>dalolatnoma!B30</f>
        <v>kuzov turi - YENGIL SEDAN, kuzov raqami XWB5V31BVPA581883</v>
      </c>
      <c r="C18" s="15" t="str">
        <f>dalolatnoma!C30</f>
        <v>dvigatel raqami B15D211232522 MTDX0591, shassi raqami -  -</v>
      </c>
      <c r="D18" s="15" t="str">
        <f>dalolatnoma!D30</f>
        <v>rangi -  KO'K DARKMOON BLUE MET, ishlab chiqarilgan yili - 2023</v>
      </c>
      <c r="E18" s="15" t="str">
        <f>dalolatnoma!E30</f>
        <v>105 000 000,00 
(yuz besh million so'm)</v>
      </c>
    </row>
    <row r="19" spans="1:5" ht="20.25" customHeight="1" outlineLevel="1" x14ac:dyDescent="0.25">
      <c r="A19" s="276" t="str">
        <f>dalolatnoma!A22:E22</f>
        <v>-* avtotransport egasi: TUYEV SHOXRUX UTKIROVICH</v>
      </c>
      <c r="B19" s="276"/>
      <c r="C19" s="276"/>
      <c r="D19" s="276"/>
      <c r="E19" s="276"/>
    </row>
    <row r="20" spans="1:5" ht="20.25" customHeight="1" outlineLevel="1" x14ac:dyDescent="0.25">
      <c r="A20" s="276" t="str">
        <f>dalolatnoma!A23:E23</f>
        <v>-* texnik pasport: AAG7978970    28.01.2026y</v>
      </c>
      <c r="B20" s="276"/>
      <c r="C20" s="276"/>
      <c r="D20" s="276"/>
      <c r="E20" s="276"/>
    </row>
    <row r="21" spans="1:5" ht="36" customHeight="1" outlineLevel="1" x14ac:dyDescent="0.25">
      <c r="A21" s="276" t="str">
        <f>dalolatnoma!A24:E24</f>
        <v>-* roʻyxatdan oʻtgan manzili/garaj manzili: NAVOIY VILOYATI  QIZILTEPA TUMANI A.NAVOIY MFY SHODLIK  KO'CHASI 6-UY</v>
      </c>
      <c r="B21" s="276"/>
      <c r="C21" s="276"/>
      <c r="D21" s="276"/>
      <c r="E21" s="276"/>
    </row>
    <row r="22" spans="1:5" ht="19.5" customHeight="1" outlineLevel="1" x14ac:dyDescent="0.25">
      <c r="A22" s="276" t="str">
        <f>dalolatnoma!A25:E25</f>
        <v>-* davlat raqami: 85L007TA</v>
      </c>
      <c r="B22" s="276"/>
      <c r="C22" s="276"/>
      <c r="D22" s="276"/>
      <c r="E22" s="276"/>
    </row>
    <row r="23" spans="1:5" ht="34.5" customHeight="1" x14ac:dyDescent="0.25">
      <c r="A23" s="277" t="str">
        <f>"	«"&amp;malumot!B154&amp;"» АJ sug‘urta kompaniyasi bilan Mikroqarz to'lamaslik xavfini "&amp;FIXED(malumot!B155,2)&amp;"("&amp;malumot!B156&amp;") so'm miqdoriga sug’urta qilish shartnomasi tuzilsin"</f>
        <v xml:space="preserve">	«АО "APEX INSURANCE"» АJ sug‘urta kompaniyasi bilan Mikroqarz to'lamaslik xavfini 32 500 000,00(o'ttiz ikki million besh yuz ming so'm) so'm miqdoriga sug’urta qilish shartnomasi tuzilsin</v>
      </c>
      <c r="B23" s="277"/>
      <c r="C23" s="277"/>
      <c r="D23" s="277"/>
      <c r="E23" s="277"/>
    </row>
    <row r="24" spans="1:5" s="34" customFormat="1" x14ac:dyDescent="0.2">
      <c r="A24" s="276"/>
      <c r="B24" s="276"/>
      <c r="C24" s="276"/>
      <c r="D24" s="276"/>
      <c r="E24" s="276"/>
    </row>
    <row r="25" spans="1:5" x14ac:dyDescent="0.25">
      <c r="B25" s="34"/>
    </row>
    <row r="26" spans="1:5" x14ac:dyDescent="0.25">
      <c r="B26" s="34"/>
    </row>
    <row r="27" spans="1:5" ht="67.5" customHeight="1" x14ac:dyDescent="0.25">
      <c r="A27" s="121" t="s">
        <v>421</v>
      </c>
      <c r="B27" s="34"/>
      <c r="D27" s="34" t="s">
        <v>417</v>
      </c>
    </row>
  </sheetData>
  <mergeCells count="19">
    <mergeCell ref="A23:E23"/>
    <mergeCell ref="A2:E4"/>
    <mergeCell ref="A24:E24"/>
    <mergeCell ref="A20:E20"/>
    <mergeCell ref="A12:E12"/>
    <mergeCell ref="A16:E16"/>
    <mergeCell ref="A5:E5"/>
    <mergeCell ref="A6:E6"/>
    <mergeCell ref="A11:E11"/>
    <mergeCell ref="A7:E7"/>
    <mergeCell ref="A8:E8"/>
    <mergeCell ref="A9:E9"/>
    <mergeCell ref="A10:E10"/>
    <mergeCell ref="A19:E19"/>
    <mergeCell ref="A13:E13"/>
    <mergeCell ref="A15:E15"/>
    <mergeCell ref="A14:E14"/>
    <mergeCell ref="A21:E21"/>
    <mergeCell ref="A22:E22"/>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
    <tabColor rgb="FF00B050"/>
  </sheetPr>
  <dimension ref="A1:AH49"/>
  <sheetViews>
    <sheetView view="pageBreakPreview" topLeftCell="A29" zoomScaleNormal="100" zoomScaleSheetLayoutView="100" workbookViewId="0">
      <selection activeCell="A32" sqref="A32:XFD32"/>
    </sheetView>
  </sheetViews>
  <sheetFormatPr defaultRowHeight="15" x14ac:dyDescent="0.25"/>
  <cols>
    <col min="1" max="1" width="22.85546875" style="56" customWidth="1"/>
    <col min="2" max="2" width="24.28515625" style="56" customWidth="1"/>
    <col min="3" max="3" width="18.42578125" style="56" customWidth="1"/>
    <col min="4" max="4" width="18" style="56" customWidth="1"/>
    <col min="5" max="5" width="25.140625" style="56" customWidth="1"/>
    <col min="6" max="6" width="9.140625" customWidth="1"/>
    <col min="7" max="7" width="24.42578125" customWidth="1"/>
    <col min="8" max="8" width="17.140625" customWidth="1"/>
    <col min="9" max="34" width="9.140625" hidden="1" customWidth="1"/>
    <col min="35" max="35" width="8.7109375" customWidth="1"/>
  </cols>
  <sheetData>
    <row r="1" spans="1:33" ht="47.25" customHeight="1" x14ac:dyDescent="0.25">
      <c r="A1" s="282" t="str">
        <f>""&amp;malumot!B158&amp;"
mikromoliya tashkiloti
Kredit qo‘mitasining yig‘ilishi"</f>
        <v>«CLEVER MIKROMOLIYA TASHKILOTI» MChJ
mikromoliya tashkiloti
Kredit qo‘mitasining yig‘ilishi</v>
      </c>
      <c r="B1" s="282"/>
      <c r="C1" s="282"/>
      <c r="D1" s="282"/>
      <c r="E1" s="282"/>
    </row>
    <row r="2" spans="1:33" ht="19.5" customHeight="1" x14ac:dyDescent="0.25">
      <c r="A2" s="282" t="str">
        <f>""&amp;H7&amp;" protokolidan ko'chirma"</f>
        <v>№244-NVS protokolidan ko'chirma</v>
      </c>
      <c r="B2" s="282"/>
      <c r="C2" s="282"/>
      <c r="D2" s="282"/>
      <c r="E2" s="282"/>
    </row>
    <row r="3" spans="1:33" ht="29.25" customHeight="1" x14ac:dyDescent="0.25">
      <c r="A3" s="121" t="s">
        <v>198</v>
      </c>
      <c r="B3" s="47"/>
      <c r="C3" s="47"/>
      <c r="D3" s="47"/>
      <c r="E3" s="122" t="str">
        <f>malumot!B68</f>
        <v>29 yanvar 2026 y.</v>
      </c>
    </row>
    <row r="4" spans="1:33" ht="21" customHeight="1" x14ac:dyDescent="0.25">
      <c r="A4" s="47"/>
      <c r="B4" s="282" t="s">
        <v>197</v>
      </c>
      <c r="C4" s="282"/>
      <c r="D4" s="282"/>
      <c r="E4" s="47"/>
    </row>
    <row r="5" spans="1:33" ht="35.25" customHeight="1" x14ac:dyDescent="0.25">
      <c r="A5" s="279" t="str">
        <f>"         "&amp;H8&amp;"."&amp;malumot!B5&amp;" ga "&amp;malumot!B65&amp;" berish masalasini ko‘rib chiqish to‘g‘risida."</f>
        <v xml:space="preserve">         1.TUYEV SHOXRUX UTKIROVICH ga mikroqarz berish masalasini ko‘rib chiqish to‘g‘risida.</v>
      </c>
      <c r="B5" s="279"/>
      <c r="C5" s="279"/>
      <c r="D5" s="279"/>
      <c r="E5" s="279"/>
    </row>
    <row r="6" spans="1:33" ht="9" customHeight="1" x14ac:dyDescent="0.25"/>
    <row r="7" spans="1:33" ht="21" customHeight="1" x14ac:dyDescent="0.35">
      <c r="A7" s="276" t="str">
        <f>"      "&amp;H9&amp;" masala yuzasidan: «Clever Mikromoliya Tashkiloti» MChJ mikromoliya tashkiloti kredit bo‘yicha menejeri  "&amp;malumot!B5&amp;"ga "&amp;FIXED(malumot!B76)&amp;" ("&amp;malumot!B77&amp;") so‘m miqdorida, muddati "&amp;malumot!B82&amp;" ("&amp;malumot!B83&amp;") oyga va yillik 55 (Ellik besh) foiz miqdorida "&amp;malumot!B65&amp;" berich bo‘yicha "&amp;malumot!B5&amp;"ning kredit arizasi va "&amp;malumot!B158&amp;"ning xulosasi bilan ishtirokchilarni tanishtirdi."</f>
        <v xml:space="preserve">      Birinchi masala yuzasidan: «Clever Mikromoliya Tashkiloti» MChJ mikromoliya tashkiloti kredit bo‘yicha menejeri  TUYEV SHOXRUX UTKIROVICHga 100 000 000,00 (yuz million so'm) so‘m miqdorida, muddati 48 (Qirq sakkiz  ) oyga va yillik 55 (Ellik besh) foiz miqdorida mikroqarz berich bo‘yicha TUYEV SHOXRUX UTKIROVICHning kredit arizasi va «CLEVER MIKROMOLIYA TASHKILOTI» MChJning xulosasi bilan ishtirokchilarni tanishtirdi.</v>
      </c>
      <c r="B7" s="276"/>
      <c r="C7" s="276"/>
      <c r="D7" s="276"/>
      <c r="E7" s="276"/>
      <c r="G7" s="57" t="s">
        <v>252</v>
      </c>
      <c r="H7" s="58" t="str">
        <f>malumot!B1</f>
        <v>№244-NVS</v>
      </c>
    </row>
    <row r="8" spans="1:33" ht="48.75" customHeight="1" x14ac:dyDescent="0.35">
      <c r="A8" s="276"/>
      <c r="B8" s="276"/>
      <c r="C8" s="276"/>
      <c r="D8" s="276"/>
      <c r="E8" s="276"/>
      <c r="G8" s="57" t="s">
        <v>253</v>
      </c>
      <c r="H8" s="58">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9" hidden="1" customHeight="1" x14ac:dyDescent="0.35">
      <c r="A9" s="276"/>
      <c r="B9" s="276"/>
      <c r="C9" s="276"/>
      <c r="D9" s="276"/>
      <c r="E9" s="276"/>
      <c r="G9" s="57" t="s">
        <v>254</v>
      </c>
      <c r="H9" s="58" t="str">
        <f>IF(H8=I8,I9,IF(H8=J8,J9,IF(H8=K8,K9,IF(H8=L8,L9,IF(H8=M8,M9,IF(H8=N8,N9,IF(H8=O8,O9,IF(H8=P8,P9,IF(H8=Q8,Q9,IF(H8=R8,R9,IF(H8=S8,S9,IF(H8=T8,T9,IF(H8=U8,U9,IF(H8=V8,V9,IF(H8=W8,W9,IF(H8=X8,X9,IF(H8=Y8,Y9,IF(H8=Z8,Z9,IF(H8=AA8,AA9,IF(H8=AB8,AB9,IF(H8=AC8,AC9,IF(H8=AD8,AD9,IF(H8=AE8,AE9,IF(H8=AF8,AF9,IF(H8=AG8,AG9)))))))))))))))))))))))))</f>
        <v>Birinchi</v>
      </c>
      <c r="I9" s="138" t="s">
        <v>185</v>
      </c>
      <c r="J9" s="139" t="s">
        <v>186</v>
      </c>
      <c r="K9" s="139" t="s">
        <v>187</v>
      </c>
      <c r="L9" s="139" t="s">
        <v>359</v>
      </c>
      <c r="M9" s="139" t="s">
        <v>188</v>
      </c>
      <c r="N9" s="139" t="s">
        <v>360</v>
      </c>
      <c r="O9" s="139" t="s">
        <v>189</v>
      </c>
      <c r="P9" s="139" t="s">
        <v>190</v>
      </c>
      <c r="Q9" s="139" t="s">
        <v>191</v>
      </c>
      <c r="R9" s="139" t="s">
        <v>349</v>
      </c>
      <c r="S9" s="139" t="s">
        <v>350</v>
      </c>
      <c r="T9" s="139" t="s">
        <v>351</v>
      </c>
      <c r="U9" s="139" t="s">
        <v>352</v>
      </c>
      <c r="V9" s="139" t="s">
        <v>361</v>
      </c>
      <c r="W9" s="139" t="s">
        <v>353</v>
      </c>
      <c r="X9" s="139" t="s">
        <v>354</v>
      </c>
      <c r="Y9" s="139" t="s">
        <v>355</v>
      </c>
      <c r="Z9" s="139" t="s">
        <v>356</v>
      </c>
      <c r="AA9" s="139" t="s">
        <v>357</v>
      </c>
      <c r="AB9" s="139" t="s">
        <v>192</v>
      </c>
      <c r="AC9" s="139" t="s">
        <v>193</v>
      </c>
      <c r="AD9" s="139" t="s">
        <v>194</v>
      </c>
      <c r="AE9" s="139" t="s">
        <v>195</v>
      </c>
      <c r="AF9" s="139" t="s">
        <v>358</v>
      </c>
      <c r="AG9" s="139" t="s">
        <v>196</v>
      </c>
    </row>
    <row r="10" spans="1:33" ht="3.75" customHeight="1" x14ac:dyDescent="0.25">
      <c r="A10" s="276"/>
      <c r="B10" s="276"/>
      <c r="C10" s="276"/>
      <c r="D10" s="276"/>
      <c r="E10" s="276"/>
    </row>
    <row r="11" spans="1:33" ht="15.75" customHeight="1" x14ac:dyDescent="0.25">
      <c r="A11" s="277" t="str">
        <f>""&amp;malumot!C64&amp;" ta’minoti:"</f>
        <v>Mikroqarz ta’minoti:</v>
      </c>
      <c r="B11" s="277"/>
      <c r="C11" s="277"/>
      <c r="D11" s="277"/>
      <c r="E11" s="277"/>
    </row>
    <row r="12" spans="1:33" ht="7.5" customHeight="1" x14ac:dyDescent="0.25"/>
    <row r="13" spans="1:33" ht="64.5" customHeight="1" x14ac:dyDescent="0.25">
      <c r="A13" s="276" t="str">
        <f>xulosa!A18:E18</f>
        <v>1.   Egalik huquqi TUYEV SHOXRUX UTKIROVICHga tegishli bo'lgan garovga olingan avtomobil markasi   CHEVROLET LACETTI, rangi -  KO'K DARKMOON BLUE MET, ishlab chiqarilgan yili - 2023, davlat raqam belgisi 85L007TA, kuzov turi - YENGIL SEDAN, kuzov raqami XWB5V31BVPA581883, dvigatel raqami B15D211232522 MTDX0591, shassi raqami -  -</v>
      </c>
      <c r="B13" s="276"/>
      <c r="C13" s="276"/>
      <c r="D13" s="276"/>
      <c r="E13" s="276"/>
    </row>
    <row r="14" spans="1:33" ht="31.9" customHeight="1" x14ac:dyDescent="0.25">
      <c r="A14" s="277" t="str">
        <f>"2. «"&amp;malumot!B154&amp;"» АJ sug‘urta kompaniyasi tomonidan Mikroqarz to'lamaslik xavfini "&amp;FIXED(malumot!B155,2)&amp;"("&amp;malumot!B156&amp;") so ' m miqdoriga sug’urta qilish"</f>
        <v>2. «АО "APEX INSURANCE"» АJ sug‘urta kompaniyasi tomonidan Mikroqarz to'lamaslik xavfini 32 500 000,00(o'ttiz ikki million besh yuz ming so'm) so ' m miqdoriga sug’urta qilish</v>
      </c>
      <c r="B14" s="277"/>
      <c r="C14" s="277"/>
      <c r="D14" s="277"/>
      <c r="E14" s="277"/>
    </row>
    <row r="15" spans="1:33" ht="17.25" customHeight="1" x14ac:dyDescent="0.25">
      <c r="C15" s="140" t="s">
        <v>368</v>
      </c>
      <c r="D15" s="140" t="str">
        <f>""&amp;malumot!B158&amp;" kredit qo‘mitasi"</f>
        <v>«CLEVER MIKROMOLIYA TASHKILOTI» MChJ kredit qo‘mitasi</v>
      </c>
      <c r="E15" s="140" t="str">
        <f>CONCATENATE(C15,D15)</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6" spans="1:33" ht="54" customHeight="1" x14ac:dyDescent="0.25">
      <c r="A16" s="276" t="str">
        <f>CONCATENATE(H9,E15)</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6" s="276"/>
      <c r="C16" s="276"/>
      <c r="D16" s="276"/>
      <c r="E16" s="276"/>
    </row>
    <row r="17" spans="1:5" ht="24" customHeight="1" x14ac:dyDescent="0.25">
      <c r="A17" s="283" t="s">
        <v>255</v>
      </c>
      <c r="B17" s="283"/>
      <c r="C17" s="283"/>
      <c r="D17" s="283"/>
      <c r="E17" s="283"/>
    </row>
    <row r="18" spans="1:5" ht="32.25" customHeight="1" x14ac:dyDescent="0.25">
      <c r="A18" s="276" t="str">
        <f>"       "&amp;malumot!B5&amp;"ga quyidagi shartlarda "&amp;malumot!B65&amp;" berish masalasi ma’qullansin:"</f>
        <v xml:space="preserve">       TUYEV SHOXRUX UTKIROVICHga quyidagi shartlarda mikroqarz berish masalasi ma’qullansin:</v>
      </c>
      <c r="B18" s="276"/>
      <c r="C18" s="276"/>
      <c r="D18" s="276"/>
      <c r="E18" s="276"/>
    </row>
    <row r="19" spans="1:5" s="123" customFormat="1" ht="18.75" customHeight="1" x14ac:dyDescent="0.25">
      <c r="A19" s="279" t="str">
        <f>"1. "&amp;malumot!C64&amp;" summasi: "&amp;FIXED(malumot!B76)&amp;" ("&amp;malumot!B77&amp;") so'm."</f>
        <v>1. Mikroqarz summasi: 100 000 000,00 (yuz million so'm) so'm.</v>
      </c>
      <c r="B19" s="279"/>
      <c r="C19" s="279"/>
      <c r="D19" s="279"/>
      <c r="E19" s="279"/>
    </row>
    <row r="20" spans="1:5" s="123" customFormat="1" ht="18.75" customHeight="1" x14ac:dyDescent="0.25">
      <c r="A20" s="279" t="str">
        <f>"2. "&amp;malumot!C64&amp;" muddati: "&amp;malumot!B82&amp;" ("&amp;malumot!B83&amp;") oy "</f>
        <v xml:space="preserve">2. Mikroqarz muddati: 48 (Qirq sakkiz  ) oy </v>
      </c>
      <c r="B20" s="279"/>
      <c r="C20" s="279"/>
      <c r="D20" s="279"/>
      <c r="E20" s="279"/>
    </row>
    <row r="21" spans="1:5" s="123" customFormat="1" ht="18.75" customHeight="1" x14ac:dyDescent="0.25">
      <c r="A21" s="279" t="str">
        <f>"3. "&amp;malumot!C64&amp;"dan foydalanganlik uchun foiz stavkasi:yillik "&amp;malumot!B86&amp;"% ("&amp;malumot!B87&amp;") foiz."</f>
        <v>3. Mikroqarzdan foydalanganlik uchun foiz stavkasi:yillik 55% (Ellik besh  ) foiz.</v>
      </c>
      <c r="B21" s="279"/>
      <c r="C21" s="279"/>
      <c r="D21" s="279"/>
      <c r="E21" s="279"/>
    </row>
    <row r="22" spans="1:5" s="123" customFormat="1" ht="18.75" customHeight="1" x14ac:dyDescent="0.25">
      <c r="A22" s="279" t="str">
        <f>"4. "&amp;malumot!C64&amp;" bo‘yicha asosiy qarz va foizlarni to‘lash:"</f>
        <v>4. Mikroqarz bo‘yicha asosiy qarz va foizlarni to‘lash:</v>
      </c>
      <c r="B22" s="279"/>
      <c r="C22" s="279"/>
      <c r="D22" s="279"/>
      <c r="E22" s="279"/>
    </row>
    <row r="23" spans="1:5" s="123" customFormat="1" ht="28.5" customHeight="1" x14ac:dyDescent="0.25">
      <c r="A23" s="279" t="str">
        <f>kredit_ariza!A19:D19</f>
        <v xml:space="preserve"> - mikroqarz shartnomasi bo'yicha har oy differensial to'lovlari amalga oshiriladi</v>
      </c>
      <c r="B23" s="279"/>
      <c r="C23" s="279"/>
      <c r="D23" s="279"/>
      <c r="E23" s="279"/>
    </row>
    <row r="24" spans="1:5" s="123" customFormat="1" ht="18.75" customHeight="1" x14ac:dyDescent="0.25">
      <c r="A24" s="279" t="s">
        <v>378</v>
      </c>
      <c r="B24" s="279"/>
      <c r="C24" s="279"/>
      <c r="D24" s="279"/>
      <c r="E24" s="279"/>
    </row>
    <row r="25" spans="1:5" ht="48" customHeight="1" x14ac:dyDescent="0.25">
      <c r="A25" s="276" t="str">
        <f>"1. garov  "&amp;xulosa!A29:E29&amp;""</f>
        <v>1. garov   - TUYEV SHOXRUX UTKIROVICH ga mulk huquqi asosida tegishli avtotransport vositasi CHEVROLET LACETTI , quyidagi tafsilotlarga muvofiq:</v>
      </c>
      <c r="B25" s="276"/>
      <c r="C25" s="276"/>
      <c r="D25" s="276"/>
      <c r="E25" s="276"/>
    </row>
    <row r="26" spans="1:5" ht="40.5" customHeight="1" x14ac:dyDescent="0.25">
      <c r="A26" s="15" t="str">
        <f>dalolatnoma!A29</f>
        <v>Nomi</v>
      </c>
      <c r="B26" s="15" t="str">
        <f>dalolatnoma!B29</f>
        <v>Kuzov turi  va kuzov raqami*</v>
      </c>
      <c r="C26" s="15" t="str">
        <f>dalolatnoma!C29</f>
        <v>Dvigatel va shassi raqami*</v>
      </c>
      <c r="D26" s="15" t="str">
        <f>dalolatnoma!D29</f>
        <v>Ishlab chiqarilgan yili va rangi*</v>
      </c>
      <c r="E26" s="15" t="str">
        <f>dalolatnoma!E29</f>
        <v>Kelishilgan garov qiymati, so'm</v>
      </c>
    </row>
    <row r="27" spans="1:5" ht="80.25" customHeight="1" x14ac:dyDescent="0.25">
      <c r="A27" s="15" t="str">
        <f>dalolatnoma!A30</f>
        <v>CHEVROLET LACETTI</v>
      </c>
      <c r="B27" s="15" t="str">
        <f>dalolatnoma!B30</f>
        <v>kuzov turi - YENGIL SEDAN, kuzov raqami XWB5V31BVPA581883</v>
      </c>
      <c r="C27" s="15" t="str">
        <f>dalolatnoma!C30</f>
        <v>dvigatel raqami B15D211232522 MTDX0591, shassi raqami -  -</v>
      </c>
      <c r="D27" s="15" t="str">
        <f>dalolatnoma!D30</f>
        <v>rangi -  KO'K DARKMOON BLUE MET, ishlab chiqarilgan yili - 2023</v>
      </c>
      <c r="E27" s="15" t="str">
        <f>dalolatnoma!E30</f>
        <v>105 000 000,00 
(yuz besh million so'm)</v>
      </c>
    </row>
    <row r="28" spans="1:5" ht="20.25" customHeight="1" x14ac:dyDescent="0.25">
      <c r="A28" s="276" t="str">
        <f>dalolatnoma!A22:E22</f>
        <v>-* avtotransport egasi: TUYEV SHOXRUX UTKIROVICH</v>
      </c>
      <c r="B28" s="276"/>
      <c r="C28" s="276"/>
      <c r="D28" s="276"/>
      <c r="E28" s="276"/>
    </row>
    <row r="29" spans="1:5" ht="20.25" customHeight="1" x14ac:dyDescent="0.25">
      <c r="A29" s="276" t="str">
        <f>dalolatnoma!A23:E23</f>
        <v>-* texnik pasport: AAG7978970    28.01.2026y</v>
      </c>
      <c r="B29" s="276"/>
      <c r="C29" s="276"/>
      <c r="D29" s="276"/>
      <c r="E29" s="276"/>
    </row>
    <row r="30" spans="1:5" ht="35.25" customHeight="1" x14ac:dyDescent="0.25">
      <c r="A30" s="276" t="str">
        <f>dalolatnoma!A24:E24</f>
        <v>-* roʻyxatdan oʻtgan manzili/garaj manzili: NAVOIY VILOYATI  QIZILTEPA TUMANI A.NAVOIY MFY SHODLIK  KO'CHASI 6-UY</v>
      </c>
      <c r="B30" s="276"/>
      <c r="C30" s="276"/>
      <c r="D30" s="276"/>
      <c r="E30" s="276"/>
    </row>
    <row r="31" spans="1:5" ht="22.5" customHeight="1" x14ac:dyDescent="0.25">
      <c r="A31" s="276" t="str">
        <f>dalolatnoma!A25:E25</f>
        <v>-* davlat raqami: 85L007TA</v>
      </c>
      <c r="B31" s="276"/>
      <c r="C31" s="276"/>
      <c r="D31" s="276"/>
      <c r="E31" s="276"/>
    </row>
    <row r="32" spans="1:5" ht="5.25" customHeight="1" x14ac:dyDescent="0.25">
      <c r="A32" s="124"/>
      <c r="B32" s="124"/>
      <c r="C32" s="124"/>
      <c r="D32" s="124"/>
      <c r="E32" s="124"/>
    </row>
    <row r="33" spans="1:5" ht="34.9" customHeight="1" x14ac:dyDescent="0.25">
      <c r="A33" s="276" t="str">
        <f>"6. «"&amp;malumot!B154&amp;"» АJ sug‘urta kompaniyasi tomonidan Mikroqarz to'lamaslik xavfini "&amp;FIXED(malumot!B155,2)&amp;"("&amp;malumot!B156&amp;") so ' m miqdoriga sug’urta qilish"</f>
        <v>6. «АО "APEX INSURANCE"» АJ sug‘urta kompaniyasi tomonidan Mikroqarz to'lamaslik xavfini 32 500 000,00(o'ttiz ikki million besh yuz ming so'm) so ' m miqdoriga sug’urta qilish</v>
      </c>
      <c r="B33" s="276"/>
      <c r="C33" s="276"/>
      <c r="D33" s="276"/>
      <c r="E33" s="276"/>
    </row>
    <row r="34" spans="1:5" ht="22.5" customHeight="1" x14ac:dyDescent="0.25">
      <c r="A34" s="276" t="str">
        <f>"7. Boshqa shartlar – "&amp;IF(malumot!B110=malumot!B111,"avtotransport vositasi",IF(malumot!B110=malumot!C111,"ko'chmas mulk",0))&amp;" shaklida garov ta'minlangandan keyin "&amp;malumot!B65&amp;" berish."</f>
        <v>7. Boshqa shartlar – 0 shaklida garov ta'minlangandan keyin mikroqarz berish.</v>
      </c>
      <c r="B34" s="276"/>
      <c r="C34" s="276"/>
      <c r="D34" s="276"/>
      <c r="E34" s="276"/>
    </row>
    <row r="36" spans="1:5" ht="24" customHeight="1" x14ac:dyDescent="0.25">
      <c r="A36" s="280" t="s">
        <v>256</v>
      </c>
      <c r="B36" s="280"/>
      <c r="C36" s="280"/>
      <c r="D36" s="280"/>
      <c r="E36" s="280"/>
    </row>
    <row r="37" spans="1:5" hidden="1" x14ac:dyDescent="0.25">
      <c r="A37" s="18"/>
      <c r="B37" s="281"/>
      <c r="C37" s="281"/>
      <c r="D37" s="172"/>
      <c r="E37" s="18"/>
    </row>
    <row r="38" spans="1:5" ht="3.75" customHeight="1" x14ac:dyDescent="0.25">
      <c r="A38" s="18"/>
      <c r="B38" s="281"/>
      <c r="C38" s="281"/>
      <c r="D38" s="172"/>
      <c r="E38" s="18"/>
    </row>
    <row r="39" spans="1:5" ht="27" customHeight="1" x14ac:dyDescent="0.25">
      <c r="A39" s="18"/>
      <c r="B39" s="281"/>
      <c r="C39" s="281"/>
      <c r="D39" s="172"/>
      <c r="E39" s="18"/>
    </row>
    <row r="40" spans="1:5" ht="14.25" customHeight="1" x14ac:dyDescent="0.25"/>
    <row r="41" spans="1:5" ht="65.25" customHeight="1" x14ac:dyDescent="0.25">
      <c r="A41" s="121" t="str">
        <f>malumot!B158&amp;" ijrochi direktori"</f>
        <v>«CLEVER MIKROMOLIYA TASHKILOTI» MChJ ijrochi direktori</v>
      </c>
      <c r="B41" s="186"/>
      <c r="C41" s="186"/>
      <c r="D41" s="185" t="s">
        <v>417</v>
      </c>
    </row>
    <row r="42" spans="1:5" x14ac:dyDescent="0.25">
      <c r="A42" s="186"/>
      <c r="B42" s="186"/>
      <c r="C42" s="186"/>
      <c r="D42" s="186"/>
    </row>
    <row r="43" spans="1:5" x14ac:dyDescent="0.25">
      <c r="A43" s="186"/>
      <c r="B43" s="186"/>
      <c r="C43" s="186"/>
      <c r="D43" s="186"/>
    </row>
    <row r="44" spans="1:5" x14ac:dyDescent="0.25">
      <c r="A44" s="186"/>
      <c r="B44" s="186"/>
      <c r="C44" s="186"/>
      <c r="D44" s="186"/>
    </row>
    <row r="45" spans="1:5" ht="29.25" x14ac:dyDescent="0.25">
      <c r="A45" s="186" t="str">
        <f>malumot!A170</f>
        <v xml:space="preserve">Kreditlash bo’limi boshlig’i </v>
      </c>
      <c r="B45" s="186"/>
      <c r="C45" s="186"/>
      <c r="D45" s="186" t="str">
        <f>malumot!B170</f>
        <v>J.Sadiriddinzoda</v>
      </c>
    </row>
    <row r="46" spans="1:5" x14ac:dyDescent="0.25">
      <c r="A46" s="186"/>
      <c r="B46" s="186"/>
      <c r="C46" s="186"/>
      <c r="D46" s="186"/>
    </row>
    <row r="47" spans="1:5" x14ac:dyDescent="0.25">
      <c r="A47" s="186"/>
      <c r="B47" s="186"/>
      <c r="C47" s="186"/>
      <c r="D47" s="186"/>
    </row>
    <row r="48" spans="1:5" x14ac:dyDescent="0.25">
      <c r="A48" s="186"/>
      <c r="B48" s="186"/>
      <c r="C48" s="186"/>
      <c r="D48" s="186"/>
    </row>
    <row r="49" spans="1:4" ht="29.25" x14ac:dyDescent="0.25">
      <c r="A49" s="186" t="str">
        <f>malumot!A171</f>
        <v>Monitoring bo’limi boshlig’i</v>
      </c>
      <c r="B49" s="186"/>
      <c r="C49" s="186"/>
      <c r="D49" s="186" t="str">
        <f>malumot!B171</f>
        <v>D.Axmedov</v>
      </c>
    </row>
  </sheetData>
  <mergeCells count="28">
    <mergeCell ref="B37:C37"/>
    <mergeCell ref="B38:C38"/>
    <mergeCell ref="B39:C39"/>
    <mergeCell ref="A20:E20"/>
    <mergeCell ref="A1:E1"/>
    <mergeCell ref="A2:E2"/>
    <mergeCell ref="B4:D4"/>
    <mergeCell ref="A5:E5"/>
    <mergeCell ref="A7:E10"/>
    <mergeCell ref="A11:E11"/>
    <mergeCell ref="A13:E13"/>
    <mergeCell ref="A16:E16"/>
    <mergeCell ref="A17:E17"/>
    <mergeCell ref="A18:E18"/>
    <mergeCell ref="A19:E19"/>
    <mergeCell ref="A21:E21"/>
    <mergeCell ref="A22:E22"/>
    <mergeCell ref="A23:E23"/>
    <mergeCell ref="A14:E14"/>
    <mergeCell ref="A24:E24"/>
    <mergeCell ref="A36:E36"/>
    <mergeCell ref="A31:E31"/>
    <mergeCell ref="A25:E25"/>
    <mergeCell ref="A28:E28"/>
    <mergeCell ref="A29:E29"/>
    <mergeCell ref="A30:E30"/>
    <mergeCell ref="A34:E34"/>
    <mergeCell ref="A33:E33"/>
  </mergeCells>
  <pageMargins left="0.70866141732283472" right="0.70866141732283472" top="0.74803149606299213" bottom="0.74803149606299213" header="0.31496062992125984" footer="0.31496062992125984"/>
  <pageSetup paperSize="9" scale="57"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9">
    <tabColor theme="1"/>
  </sheetPr>
  <dimension ref="A1:V76"/>
  <sheetViews>
    <sheetView topLeftCell="A16" zoomScale="70" zoomScaleNormal="70" zoomScaleSheetLayoutView="70" workbookViewId="0">
      <selection activeCell="D56" sqref="D56:F56"/>
    </sheetView>
  </sheetViews>
  <sheetFormatPr defaultColWidth="9.140625" defaultRowHeight="15" outlineLevelCol="1" x14ac:dyDescent="0.25"/>
  <cols>
    <col min="1" max="1" width="9.140625" style="77"/>
    <col min="2" max="2" width="12.28515625" style="77" customWidth="1"/>
    <col min="3" max="3" width="16.5703125" style="77" customWidth="1"/>
    <col min="4" max="4" width="16.7109375" style="77" customWidth="1"/>
    <col min="5" max="5" width="16.5703125" style="77" customWidth="1"/>
    <col min="6" max="6" width="20.85546875" style="77" customWidth="1"/>
    <col min="7" max="7" width="10.140625" style="77" customWidth="1" outlineLevel="1"/>
    <col min="8" max="8" width="19.140625" style="77" customWidth="1"/>
    <col min="9" max="9" width="21.42578125" style="77" customWidth="1"/>
    <col min="10" max="10" width="20.85546875" style="77" customWidth="1"/>
    <col min="11" max="11" width="20.140625" style="77" customWidth="1"/>
    <col min="12" max="12" width="21.42578125" style="77" customWidth="1"/>
    <col min="13" max="13" width="25.42578125" style="77" customWidth="1"/>
    <col min="14" max="14" width="18.28515625" style="77" customWidth="1"/>
    <col min="15" max="17" width="9.140625" style="13"/>
    <col min="18" max="18" width="24.42578125" style="13" customWidth="1"/>
    <col min="19" max="16384" width="9.140625" style="13"/>
  </cols>
  <sheetData>
    <row r="1" spans="1:22" x14ac:dyDescent="0.25">
      <c r="A1" s="76"/>
      <c r="B1" s="76"/>
      <c r="C1" s="76"/>
      <c r="D1" s="76"/>
      <c r="E1" s="293" t="s">
        <v>15</v>
      </c>
      <c r="F1" s="293"/>
    </row>
    <row r="2" spans="1:22" x14ac:dyDescent="0.25">
      <c r="A2" s="76"/>
      <c r="B2" s="76"/>
      <c r="C2" s="76"/>
      <c r="D2" s="76"/>
      <c r="E2" s="76"/>
      <c r="F2" s="78" t="str">
        <f>"к договору микрозайма "&amp;malumot!B74&amp;""</f>
        <v>к договору микрозайма 29 yanvar 2026 y.dan №244-NVS</v>
      </c>
    </row>
    <row r="3" spans="1:22" ht="19.5" customHeight="1" x14ac:dyDescent="0.25">
      <c r="A3" s="76"/>
      <c r="B3" s="76"/>
      <c r="C3" s="76"/>
      <c r="D3" s="76"/>
      <c r="E3" s="76"/>
      <c r="F3" s="76"/>
      <c r="H3" s="79"/>
      <c r="I3" s="79"/>
      <c r="J3" s="80"/>
      <c r="K3" s="80"/>
    </row>
    <row r="4" spans="1:22" ht="19.5" customHeight="1" x14ac:dyDescent="0.25">
      <c r="A4" s="294" t="s">
        <v>16</v>
      </c>
      <c r="B4" s="294"/>
      <c r="C4" s="294"/>
      <c r="D4" s="294"/>
      <c r="E4" s="294"/>
      <c r="F4" s="294"/>
      <c r="H4" s="79"/>
      <c r="I4" s="79"/>
      <c r="J4" s="79"/>
      <c r="K4" s="79"/>
    </row>
    <row r="5" spans="1:22" ht="19.5" customHeight="1" x14ac:dyDescent="0.25">
      <c r="L5" s="77">
        <f>malumot!B82</f>
        <v>48</v>
      </c>
    </row>
    <row r="6" spans="1:22" x14ac:dyDescent="0.25">
      <c r="A6" s="295" t="s">
        <v>14</v>
      </c>
      <c r="B6" s="296" t="s">
        <v>8</v>
      </c>
      <c r="C6" s="296" t="s">
        <v>9</v>
      </c>
      <c r="D6" s="297" t="s">
        <v>10</v>
      </c>
      <c r="E6" s="297"/>
      <c r="F6" s="297"/>
    </row>
    <row r="7" spans="1:22" s="14" customFormat="1" x14ac:dyDescent="0.25">
      <c r="A7" s="295"/>
      <c r="B7" s="296"/>
      <c r="C7" s="296"/>
      <c r="D7" s="81" t="s">
        <v>11</v>
      </c>
      <c r="E7" s="81" t="s">
        <v>12</v>
      </c>
      <c r="F7" s="81" t="s">
        <v>13</v>
      </c>
      <c r="G7" s="82"/>
      <c r="H7" s="82"/>
      <c r="I7" s="82"/>
      <c r="J7" s="82"/>
      <c r="K7" s="82"/>
      <c r="L7" s="82"/>
      <c r="M7" s="82"/>
      <c r="N7" s="82"/>
    </row>
    <row r="8" spans="1:22" x14ac:dyDescent="0.25">
      <c r="A8" s="83">
        <v>1</v>
      </c>
      <c r="B8" s="84">
        <f>malumot!B80</f>
        <v>46069</v>
      </c>
      <c r="C8" s="48">
        <f>malumot!B76</f>
        <v>100000000</v>
      </c>
      <c r="D8" s="48">
        <f>IF(IF(C8=0,L8,IF(C8&gt;1,I8))="",0,(IF(C8=0,L8,IF(C8&gt;1,I8))))</f>
        <v>2083333.33</v>
      </c>
      <c r="E8" s="48">
        <f>IF(C8=0,N6,IF(C8&gt;1,L8))</f>
        <v>2712328.7399999998</v>
      </c>
      <c r="F8" s="48">
        <f>IF(C8=0,O6,IF(C8&gt;1,M8))</f>
        <v>4795662.07</v>
      </c>
      <c r="G8" s="97">
        <f>B8-malumot!B67</f>
        <v>18</v>
      </c>
      <c r="H8" s="77">
        <f>DATE(YEAR(B8),12,31)-DATE(YEAR(B8),1,1)+1</f>
        <v>365</v>
      </c>
      <c r="I8" s="85">
        <f>IF(malumot!B84=0,ROUND(C8/L5,2),"")</f>
        <v>2083333.33</v>
      </c>
      <c r="J8" s="85"/>
      <c r="K8" s="85"/>
      <c r="L8" s="79">
        <f>ROUND(C8*malumot!$B$85/H8,2)*G8</f>
        <v>2712328.7399999998</v>
      </c>
      <c r="M8" s="79">
        <f t="shared" ref="M8:M31" si="0">D8+E8</f>
        <v>4795662.07</v>
      </c>
      <c r="N8" s="79"/>
      <c r="O8" s="94" t="str">
        <f>TEXT(B8,"ддд")</f>
        <v>Пн</v>
      </c>
      <c r="P8" s="96">
        <f>IF(O8=$U$8,2,IF(O8=$V$8,1,0))</f>
        <v>0</v>
      </c>
      <c r="Q8" s="96">
        <f>DAY(malumot!$B$79)+P8</f>
        <v>15</v>
      </c>
      <c r="R8" s="91"/>
      <c r="S8" s="92" t="s">
        <v>29</v>
      </c>
      <c r="T8" s="92" t="s">
        <v>30</v>
      </c>
      <c r="U8" s="92" t="s">
        <v>31</v>
      </c>
      <c r="V8" s="93" t="s">
        <v>32</v>
      </c>
    </row>
    <row r="9" spans="1:22" x14ac:dyDescent="0.25">
      <c r="A9" s="83">
        <v>2</v>
      </c>
      <c r="B9" s="84">
        <f>IF(A9&lt;=malumot!$B$82,DATE(YEAR(R9),MONTH(R9),DAY(IF(A9=malumot!$B$82,malumot!$B$67,IF(A9&lt;malumot!$B$82,(Q9),IF(A9&gt;malumot!$B$82,$H$56,0))))))</f>
        <v>46097</v>
      </c>
      <c r="C9" s="48">
        <f t="shared" ref="C9:C30" si="1">C8-D8</f>
        <v>97916666.670000002</v>
      </c>
      <c r="D9" s="48">
        <f t="shared" ref="D9:D30" si="2">IF(C9=0,L9,IF(C9&gt;1,I9))</f>
        <v>2083333.33</v>
      </c>
      <c r="E9" s="48">
        <f t="shared" ref="E9:E30" si="3">IF(C9=0,N8,IF(C9&gt;1,L9))</f>
        <v>4131278.48</v>
      </c>
      <c r="F9" s="48">
        <f t="shared" ref="F9:F30" si="4">IF(C9=0,N8,IF(C9&gt;1,M9))</f>
        <v>6214611.8100000005</v>
      </c>
      <c r="G9" s="77">
        <f>B9-B8</f>
        <v>28</v>
      </c>
      <c r="H9" s="77">
        <f t="shared" ref="H9:H31" si="5">DATE(YEAR(B9),12,31)-DATE(YEAR(B9),1,1)+1</f>
        <v>365</v>
      </c>
      <c r="I9" s="85">
        <f>IF(I8="",ROUND(C8/(L5-1),2),I8)</f>
        <v>2083333.33</v>
      </c>
      <c r="J9" s="85"/>
      <c r="K9" s="85"/>
      <c r="L9" s="79">
        <f>ROUND(C9*malumot!$B$85/H9,2)*G9</f>
        <v>4131278.48</v>
      </c>
      <c r="M9" s="79">
        <f t="shared" si="0"/>
        <v>6214611.8100000005</v>
      </c>
      <c r="N9" s="79"/>
      <c r="O9" s="94" t="str">
        <f>TEXT(R9,"ддд")</f>
        <v>Вс</v>
      </c>
      <c r="P9" s="96">
        <f t="shared" ref="P9:P31" si="6">IF(O9=$U$8,2,IF(O9=$V$8,1,0))</f>
        <v>1</v>
      </c>
      <c r="Q9" s="96">
        <f>DAY(malumot!$B$79)+P9</f>
        <v>16</v>
      </c>
      <c r="R9" s="91">
        <f>IF(A9&lt;=malumot!$B$82,DATE(YEAR($B$8),MONTH($B$8)+A8,DAY(malumot!$B$79)),0)</f>
        <v>46096</v>
      </c>
      <c r="S9" s="77"/>
      <c r="T9" s="77"/>
      <c r="U9" s="77"/>
      <c r="V9" s="77"/>
    </row>
    <row r="10" spans="1:22" x14ac:dyDescent="0.25">
      <c r="A10" s="83">
        <v>3</v>
      </c>
      <c r="B10" s="84">
        <f>IF(A10&lt;=malumot!$B$82,DATE(YEAR(R10),MONTH(R10),DAY(IF(A10=malumot!$B$82,malumot!$B$67,IF(A10&lt;malumot!$B$82,(Q10),IF(A10&gt;malumot!$B$82,$H$56,0))))))</f>
        <v>46127</v>
      </c>
      <c r="C10" s="48">
        <f t="shared" si="1"/>
        <v>95833333.340000004</v>
      </c>
      <c r="D10" s="48">
        <f t="shared" si="2"/>
        <v>2083333.33</v>
      </c>
      <c r="E10" s="48">
        <f t="shared" si="3"/>
        <v>4332191.7</v>
      </c>
      <c r="F10" s="48">
        <f t="shared" si="4"/>
        <v>6415525.0300000003</v>
      </c>
      <c r="G10" s="77">
        <f t="shared" ref="G10:G31" si="7">B10-B9</f>
        <v>30</v>
      </c>
      <c r="H10" s="77">
        <f t="shared" si="5"/>
        <v>365</v>
      </c>
      <c r="I10" s="85">
        <f>I9</f>
        <v>2083333.33</v>
      </c>
      <c r="J10" s="85"/>
      <c r="K10" s="85"/>
      <c r="L10" s="79">
        <f>ROUND(C10*malumot!$B$85/H10,2)*G10</f>
        <v>4332191.7</v>
      </c>
      <c r="M10" s="79">
        <f t="shared" si="0"/>
        <v>6415525.0300000003</v>
      </c>
      <c r="N10" s="79"/>
      <c r="O10" s="94" t="str">
        <f t="shared" ref="O10:O31" si="8">TEXT(R10,"ддд")</f>
        <v>Ср</v>
      </c>
      <c r="P10" s="96">
        <f t="shared" si="6"/>
        <v>0</v>
      </c>
      <c r="Q10" s="96">
        <f>DAY(malumot!$B$79)+P10</f>
        <v>15</v>
      </c>
      <c r="R10" s="91">
        <f>IF(A10&lt;=malumot!$B$82,DATE(YEAR($B$8),MONTH($B$8)+A9,DAY(malumot!$B$79)),0)</f>
        <v>46127</v>
      </c>
      <c r="S10" s="77"/>
      <c r="T10" s="77"/>
      <c r="U10" s="77"/>
      <c r="V10" s="77"/>
    </row>
    <row r="11" spans="1:22" x14ac:dyDescent="0.25">
      <c r="A11" s="83">
        <v>4</v>
      </c>
      <c r="B11" s="84">
        <f>IF(A11&lt;=malumot!$B$82,DATE(YEAR(R11),MONTH(R11),DAY(IF(A11=malumot!$B$82,malumot!$B$67,IF(A11&lt;malumot!$B$82,(Q11),IF(A11&gt;malumot!$B$82,$H$56,0))))))</f>
        <v>46157</v>
      </c>
      <c r="C11" s="48">
        <f t="shared" si="1"/>
        <v>93750000.010000005</v>
      </c>
      <c r="D11" s="48">
        <f t="shared" si="2"/>
        <v>2083333.33</v>
      </c>
      <c r="E11" s="48">
        <f t="shared" si="3"/>
        <v>4238013.5999999996</v>
      </c>
      <c r="F11" s="48">
        <f t="shared" si="4"/>
        <v>6321346.9299999997</v>
      </c>
      <c r="G11" s="77">
        <f t="shared" si="7"/>
        <v>30</v>
      </c>
      <c r="H11" s="77">
        <f t="shared" si="5"/>
        <v>365</v>
      </c>
      <c r="I11" s="85">
        <f>I10</f>
        <v>2083333.33</v>
      </c>
      <c r="J11" s="85"/>
      <c r="K11" s="85"/>
      <c r="L11" s="79">
        <f>ROUND(C11*malumot!$B$85/H11,2)*G11</f>
        <v>4238013.5999999996</v>
      </c>
      <c r="M11" s="79">
        <f t="shared" si="0"/>
        <v>6321346.9299999997</v>
      </c>
      <c r="N11" s="79"/>
      <c r="O11" s="94" t="str">
        <f t="shared" si="8"/>
        <v>Пт</v>
      </c>
      <c r="P11" s="96">
        <f t="shared" si="6"/>
        <v>0</v>
      </c>
      <c r="Q11" s="96">
        <f>DAY(malumot!$B$79)+P11</f>
        <v>15</v>
      </c>
      <c r="R11" s="91">
        <f>IF(A11&lt;=malumot!$B$82,DATE(YEAR($B$8),MONTH($B$8)+A10,DAY(malumot!$B$79)),0)</f>
        <v>46157</v>
      </c>
      <c r="S11" s="77"/>
      <c r="T11" s="77"/>
      <c r="U11" s="77"/>
      <c r="V11" s="77"/>
    </row>
    <row r="12" spans="1:22" x14ac:dyDescent="0.25">
      <c r="A12" s="83">
        <v>5</v>
      </c>
      <c r="B12" s="84">
        <f>IF(A12&lt;=malumot!$B$82,DATE(YEAR(R12),MONTH(R12),DAY(IF(A12=malumot!$B$82,malumot!$B$67,IF(A12&lt;malumot!$B$82,(Q12),IF(A12&gt;malumot!$B$82,$H$56,0))))))</f>
        <v>46188</v>
      </c>
      <c r="C12" s="48">
        <f t="shared" si="1"/>
        <v>91666666.680000007</v>
      </c>
      <c r="D12" s="48">
        <f t="shared" si="2"/>
        <v>2083333.33</v>
      </c>
      <c r="E12" s="48">
        <f t="shared" si="3"/>
        <v>4281963.3500000006</v>
      </c>
      <c r="F12" s="48">
        <f t="shared" si="4"/>
        <v>6365296.6800000006</v>
      </c>
      <c r="G12" s="77">
        <f t="shared" si="7"/>
        <v>31</v>
      </c>
      <c r="H12" s="77">
        <f t="shared" si="5"/>
        <v>365</v>
      </c>
      <c r="I12" s="85">
        <f>I11</f>
        <v>2083333.33</v>
      </c>
      <c r="J12" s="85">
        <f>malumot!B76</f>
        <v>100000000</v>
      </c>
      <c r="K12" s="85"/>
      <c r="L12" s="79">
        <f>ROUND(C12*malumot!$B$85/H12,2)*G12</f>
        <v>4281963.3500000006</v>
      </c>
      <c r="M12" s="79">
        <f t="shared" si="0"/>
        <v>6365296.6800000006</v>
      </c>
      <c r="N12" s="79"/>
      <c r="O12" s="94" t="str">
        <f t="shared" si="8"/>
        <v>Пн</v>
      </c>
      <c r="P12" s="96">
        <f t="shared" si="6"/>
        <v>0</v>
      </c>
      <c r="Q12" s="96">
        <f>DAY(malumot!$B$79)+P12</f>
        <v>15</v>
      </c>
      <c r="R12" s="91">
        <f>IF(A12&lt;=malumot!$B$82,DATE(YEAR($B$8),MONTH($B$8)+A11,DAY(malumot!$B$79)),0)</f>
        <v>46188</v>
      </c>
      <c r="S12" s="77"/>
      <c r="T12" s="77"/>
      <c r="U12" s="77"/>
      <c r="V12" s="77"/>
    </row>
    <row r="13" spans="1:22" x14ac:dyDescent="0.25">
      <c r="A13" s="83">
        <v>6</v>
      </c>
      <c r="B13" s="84">
        <f>IF(A13&lt;=malumot!$B$82,DATE(YEAR(R13),MONTH(R13),DAY(IF(A13=malumot!$B$82,malumot!$B$67,IF(A13&lt;malumot!$B$82,(Q13),IF(A13&gt;malumot!$B$82,$H$56,0))))))</f>
        <v>46218</v>
      </c>
      <c r="C13" s="48">
        <f t="shared" si="1"/>
        <v>89583333.350000009</v>
      </c>
      <c r="D13" s="48">
        <f t="shared" si="2"/>
        <v>2083333.33</v>
      </c>
      <c r="E13" s="48">
        <f t="shared" si="3"/>
        <v>4049657.3999999994</v>
      </c>
      <c r="F13" s="48">
        <f t="shared" si="4"/>
        <v>6132990.7299999995</v>
      </c>
      <c r="G13" s="77">
        <f t="shared" si="7"/>
        <v>30</v>
      </c>
      <c r="H13" s="77">
        <f t="shared" si="5"/>
        <v>365</v>
      </c>
      <c r="I13" s="85">
        <f>IF(L5=H1,K13,IF(L5&gt;H1,I12))</f>
        <v>2083333.33</v>
      </c>
      <c r="J13" s="85">
        <f>SUM($I$8:I12)</f>
        <v>10416666.65</v>
      </c>
      <c r="K13" s="85">
        <f>$J$12-J13</f>
        <v>89583333.349999994</v>
      </c>
      <c r="L13" s="79">
        <f>ROUND(C13*malumot!$B$85/H13,2)*G13</f>
        <v>4049657.3999999994</v>
      </c>
      <c r="M13" s="79">
        <f t="shared" si="0"/>
        <v>6132990.7299999995</v>
      </c>
      <c r="N13" s="79"/>
      <c r="O13" s="94" t="str">
        <f t="shared" si="8"/>
        <v>Ср</v>
      </c>
      <c r="P13" s="96">
        <f t="shared" si="6"/>
        <v>0</v>
      </c>
      <c r="Q13" s="96">
        <f>DAY(malumot!$B$79)+P13</f>
        <v>15</v>
      </c>
      <c r="R13" s="91">
        <f>IF(A13&lt;=malumot!$B$82,DATE(YEAR($B$8),MONTH($B$8)+A12,DAY(malumot!$B$79)),0)</f>
        <v>46218</v>
      </c>
      <c r="S13" s="77"/>
      <c r="T13" s="77"/>
      <c r="U13" s="77"/>
      <c r="V13" s="77"/>
    </row>
    <row r="14" spans="1:22" x14ac:dyDescent="0.25">
      <c r="A14" s="83">
        <v>7</v>
      </c>
      <c r="B14" s="84">
        <f>IF(A14&lt;=malumot!$B$82,DATE(YEAR(R14),MONTH(R14),DAY(IF(A14=malumot!$B$82,malumot!$B$67,IF(A14&lt;malumot!$B$82,(Q14),IF(A14&gt;malumot!$B$82,$H$56,0))))))</f>
        <v>46251</v>
      </c>
      <c r="C14" s="48">
        <f t="shared" si="1"/>
        <v>87500000.020000011</v>
      </c>
      <c r="D14" s="48">
        <f t="shared" si="2"/>
        <v>2083333.33</v>
      </c>
      <c r="E14" s="48">
        <f t="shared" si="3"/>
        <v>4351027.5600000005</v>
      </c>
      <c r="F14" s="48">
        <f t="shared" si="4"/>
        <v>6434360.8900000006</v>
      </c>
      <c r="G14" s="77">
        <f t="shared" si="7"/>
        <v>33</v>
      </c>
      <c r="H14" s="77">
        <f t="shared" si="5"/>
        <v>365</v>
      </c>
      <c r="I14" s="85">
        <f>IF($L$5=A14,K14,IF($L$5&gt;A14,I13))</f>
        <v>2083333.33</v>
      </c>
      <c r="J14" s="85">
        <f>SUM($I$8:I13)</f>
        <v>12499999.98</v>
      </c>
      <c r="K14" s="85">
        <f t="shared" ref="K14:K31" si="9">$J$12-J14</f>
        <v>87500000.019999996</v>
      </c>
      <c r="L14" s="79">
        <f>ROUND(C14*malumot!$B$85/H14,2)*G14</f>
        <v>4351027.5600000005</v>
      </c>
      <c r="M14" s="79">
        <f t="shared" si="0"/>
        <v>6434360.8900000006</v>
      </c>
      <c r="N14" s="79"/>
      <c r="O14" s="94" t="str">
        <f t="shared" si="8"/>
        <v>Сб</v>
      </c>
      <c r="P14" s="96">
        <f t="shared" si="6"/>
        <v>2</v>
      </c>
      <c r="Q14" s="96">
        <f>DAY(malumot!$B$79)+P14</f>
        <v>17</v>
      </c>
      <c r="R14" s="91">
        <f>IF(A14&lt;=malumot!$B$82,DATE(YEAR($B$8),MONTH($B$8)+A13,DAY(malumot!$B$79)),0)</f>
        <v>46249</v>
      </c>
      <c r="S14" s="77"/>
      <c r="T14" s="77"/>
      <c r="U14" s="77"/>
      <c r="V14" s="77"/>
    </row>
    <row r="15" spans="1:22" x14ac:dyDescent="0.25">
      <c r="A15" s="83">
        <v>8</v>
      </c>
      <c r="B15" s="84">
        <f>IF(A15&lt;=malumot!$B$82,DATE(YEAR(R15),MONTH(R15),DAY(IF(A15=malumot!$B$82,malumot!$B$67,IF(A15&lt;malumot!$B$82,(Q15),IF(A15&gt;malumot!$B$82,$H$56,0))))))</f>
        <v>46280</v>
      </c>
      <c r="C15" s="48">
        <f t="shared" si="1"/>
        <v>85416666.690000013</v>
      </c>
      <c r="D15" s="48">
        <f t="shared" si="2"/>
        <v>2083333.33</v>
      </c>
      <c r="E15" s="48">
        <f t="shared" si="3"/>
        <v>3732591.45</v>
      </c>
      <c r="F15" s="48">
        <f t="shared" si="4"/>
        <v>5815924.7800000003</v>
      </c>
      <c r="G15" s="77">
        <f t="shared" si="7"/>
        <v>29</v>
      </c>
      <c r="H15" s="77">
        <f t="shared" si="5"/>
        <v>365</v>
      </c>
      <c r="I15" s="85">
        <f t="shared" ref="I15:I31" si="10">IF($L$5=A15,K15,IF($L$5&gt;A15,I14))</f>
        <v>2083333.33</v>
      </c>
      <c r="J15" s="85">
        <f>SUM($I$8:I14)</f>
        <v>14583333.310000001</v>
      </c>
      <c r="K15" s="85">
        <f t="shared" si="9"/>
        <v>85416666.689999998</v>
      </c>
      <c r="L15" s="79">
        <f>ROUND(C15*malumot!$B$85/H15,2)*G15</f>
        <v>3732591.45</v>
      </c>
      <c r="M15" s="79">
        <f t="shared" si="0"/>
        <v>5815924.7800000003</v>
      </c>
      <c r="N15" s="79"/>
      <c r="O15" s="94" t="str">
        <f t="shared" si="8"/>
        <v>Вт</v>
      </c>
      <c r="P15" s="96">
        <f t="shared" si="6"/>
        <v>0</v>
      </c>
      <c r="Q15" s="96">
        <f>DAY(malumot!$B$79)+P15</f>
        <v>15</v>
      </c>
      <c r="R15" s="91">
        <f>IF(A15&lt;=malumot!$B$82,DATE(YEAR($B$8),MONTH($B$8)+A14,DAY(malumot!$B$79)),0)</f>
        <v>46280</v>
      </c>
      <c r="S15" s="77"/>
      <c r="T15" s="77"/>
      <c r="U15" s="77"/>
      <c r="V15" s="77"/>
    </row>
    <row r="16" spans="1:22" x14ac:dyDescent="0.25">
      <c r="A16" s="83">
        <v>9</v>
      </c>
      <c r="B16" s="84">
        <f>IF(A16&lt;=malumot!$B$82,DATE(YEAR(R16),MONTH(R16),DAY(IF(A16=malumot!$B$82,malumot!$B$67,IF(A16&lt;malumot!$B$82,(Q16),IF(A16&gt;malumot!$B$82,$H$56,0))))))</f>
        <v>46310</v>
      </c>
      <c r="C16" s="48">
        <f t="shared" si="1"/>
        <v>83333333.360000014</v>
      </c>
      <c r="D16" s="48">
        <f t="shared" si="2"/>
        <v>2083333.33</v>
      </c>
      <c r="E16" s="48">
        <f t="shared" si="3"/>
        <v>3767123.4</v>
      </c>
      <c r="F16" s="48">
        <f t="shared" si="4"/>
        <v>5850456.7300000004</v>
      </c>
      <c r="G16" s="77">
        <f t="shared" si="7"/>
        <v>30</v>
      </c>
      <c r="H16" s="77">
        <f t="shared" si="5"/>
        <v>365</v>
      </c>
      <c r="I16" s="85">
        <f t="shared" si="10"/>
        <v>2083333.33</v>
      </c>
      <c r="J16" s="85">
        <f>SUM($I$8:I15)</f>
        <v>16666666.640000001</v>
      </c>
      <c r="K16" s="85">
        <f t="shared" si="9"/>
        <v>83333333.359999999</v>
      </c>
      <c r="L16" s="79">
        <f>ROUND(C16*malumot!$B$85/H16,2)*G16</f>
        <v>3767123.4</v>
      </c>
      <c r="M16" s="79">
        <f t="shared" si="0"/>
        <v>5850456.7300000004</v>
      </c>
      <c r="N16" s="79"/>
      <c r="O16" s="94" t="str">
        <f t="shared" si="8"/>
        <v>Чт</v>
      </c>
      <c r="P16" s="96">
        <f t="shared" si="6"/>
        <v>0</v>
      </c>
      <c r="Q16" s="96">
        <f>DAY(malumot!$B$79)+P16</f>
        <v>15</v>
      </c>
      <c r="R16" s="91">
        <f>IF(A16&lt;=malumot!$B$82,DATE(YEAR($B$8),MONTH($B$8)+A15,DAY(malumot!$B$79)),0)</f>
        <v>46310</v>
      </c>
      <c r="S16" s="77"/>
      <c r="T16" s="77"/>
      <c r="U16" s="77"/>
      <c r="V16" s="77"/>
    </row>
    <row r="17" spans="1:22" x14ac:dyDescent="0.25">
      <c r="A17" s="83">
        <v>10</v>
      </c>
      <c r="B17" s="84">
        <f>IF(A17&lt;=malumot!$B$82,DATE(YEAR(R17),MONTH(R17),DAY(IF(A17=malumot!$B$82,malumot!$B$67,IF(A17&lt;malumot!$B$82,(Q17),IF(A17&gt;malumot!$B$82,$H$56,0))))))</f>
        <v>46342</v>
      </c>
      <c r="C17" s="48">
        <f t="shared" si="1"/>
        <v>81250000.030000016</v>
      </c>
      <c r="D17" s="48">
        <f t="shared" si="2"/>
        <v>2083333.33</v>
      </c>
      <c r="E17" s="48">
        <f t="shared" si="3"/>
        <v>3917808.32</v>
      </c>
      <c r="F17" s="48">
        <f t="shared" si="4"/>
        <v>6001141.6500000004</v>
      </c>
      <c r="G17" s="77">
        <f t="shared" si="7"/>
        <v>32</v>
      </c>
      <c r="H17" s="77">
        <f t="shared" si="5"/>
        <v>365</v>
      </c>
      <c r="I17" s="85">
        <f t="shared" si="10"/>
        <v>2083333.33</v>
      </c>
      <c r="J17" s="85">
        <f>SUM($I$8:I16)</f>
        <v>18749999.969999999</v>
      </c>
      <c r="K17" s="85">
        <f>$J$12-J17</f>
        <v>81250000.030000001</v>
      </c>
      <c r="L17" s="79">
        <f>ROUND(C17*malumot!$B$85/H17,2)*G17</f>
        <v>3917808.32</v>
      </c>
      <c r="M17" s="79">
        <f t="shared" si="0"/>
        <v>6001141.6500000004</v>
      </c>
      <c r="N17" s="79"/>
      <c r="O17" s="94" t="str">
        <f t="shared" si="8"/>
        <v>Вс</v>
      </c>
      <c r="P17" s="96">
        <f t="shared" si="6"/>
        <v>1</v>
      </c>
      <c r="Q17" s="96">
        <f>DAY(malumot!$B$79)+P17</f>
        <v>16</v>
      </c>
      <c r="R17" s="91">
        <f>IF(A17&lt;=malumot!$B$82,DATE(YEAR($B$8),MONTH($B$8)+A16,DAY(malumot!$B$79)),0)</f>
        <v>46341</v>
      </c>
      <c r="S17" s="77"/>
      <c r="T17" s="77"/>
      <c r="U17" s="77"/>
      <c r="V17" s="77"/>
    </row>
    <row r="18" spans="1:22" x14ac:dyDescent="0.25">
      <c r="A18" s="83">
        <v>11</v>
      </c>
      <c r="B18" s="84">
        <f>IF(A18&lt;=malumot!$B$82,DATE(YEAR(R18),MONTH(R18),DAY(IF(A18=malumot!$B$82,malumot!$B$67,IF(A18&lt;malumot!$B$82,(Q18),IF(A18&gt;malumot!$B$82,$H$56,0))))))</f>
        <v>46371</v>
      </c>
      <c r="C18" s="48">
        <f t="shared" si="1"/>
        <v>79166666.700000018</v>
      </c>
      <c r="D18" s="48">
        <f t="shared" si="2"/>
        <v>2083333.33</v>
      </c>
      <c r="E18" s="48">
        <f t="shared" si="3"/>
        <v>3459474.96</v>
      </c>
      <c r="F18" s="48">
        <f t="shared" si="4"/>
        <v>5542808.29</v>
      </c>
      <c r="G18" s="77">
        <f t="shared" si="7"/>
        <v>29</v>
      </c>
      <c r="H18" s="77">
        <f t="shared" si="5"/>
        <v>365</v>
      </c>
      <c r="I18" s="85">
        <f t="shared" si="10"/>
        <v>2083333.33</v>
      </c>
      <c r="J18" s="85">
        <f>SUM($I$8:I17)</f>
        <v>20833333.299999997</v>
      </c>
      <c r="K18" s="85">
        <f t="shared" si="9"/>
        <v>79166666.700000003</v>
      </c>
      <c r="L18" s="79">
        <f>ROUND(C18*malumot!$B$85/H18,2)*G18</f>
        <v>3459474.96</v>
      </c>
      <c r="M18" s="79">
        <f t="shared" si="0"/>
        <v>5542808.29</v>
      </c>
      <c r="N18" s="79"/>
      <c r="O18" s="94" t="str">
        <f t="shared" si="8"/>
        <v>Вт</v>
      </c>
      <c r="P18" s="96">
        <f t="shared" si="6"/>
        <v>0</v>
      </c>
      <c r="Q18" s="96">
        <f>DAY(malumot!$B$79)+P18</f>
        <v>15</v>
      </c>
      <c r="R18" s="91">
        <f>IF(A18&lt;=malumot!$B$82,DATE(YEAR($B$8),MONTH($B$8)+A17,DAY(malumot!$B$79)),0)</f>
        <v>46371</v>
      </c>
      <c r="S18" s="77"/>
      <c r="T18" s="77"/>
      <c r="U18" s="77"/>
      <c r="V18" s="77"/>
    </row>
    <row r="19" spans="1:22" x14ac:dyDescent="0.25">
      <c r="A19" s="83">
        <v>12</v>
      </c>
      <c r="B19" s="84">
        <f>IF(A19&lt;=malumot!$B$82,DATE(YEAR(R19),MONTH(R19),DAY(IF(A19=malumot!$B$82,malumot!$B$67,IF(A19&lt;malumot!$B$82,(Q19),IF(A19&gt;malumot!$B$82,$H$56,0))))))</f>
        <v>46402</v>
      </c>
      <c r="C19" s="48">
        <f t="shared" si="1"/>
        <v>77083333.37000002</v>
      </c>
      <c r="D19" s="48">
        <f t="shared" si="2"/>
        <v>2083333.33</v>
      </c>
      <c r="E19" s="48">
        <f t="shared" si="3"/>
        <v>3600742.07</v>
      </c>
      <c r="F19" s="48">
        <f t="shared" si="4"/>
        <v>5684075.4000000004</v>
      </c>
      <c r="G19" s="77">
        <f t="shared" si="7"/>
        <v>31</v>
      </c>
      <c r="H19" s="77">
        <f t="shared" si="5"/>
        <v>365</v>
      </c>
      <c r="I19" s="85">
        <f t="shared" si="10"/>
        <v>2083333.33</v>
      </c>
      <c r="J19" s="85">
        <f>SUM($I$8:I18)</f>
        <v>22916666.629999995</v>
      </c>
      <c r="K19" s="85">
        <f t="shared" si="9"/>
        <v>77083333.370000005</v>
      </c>
      <c r="L19" s="79">
        <f>ROUND(C19*malumot!$B$85/H19,2)*G19</f>
        <v>3600742.07</v>
      </c>
      <c r="M19" s="79">
        <f t="shared" si="0"/>
        <v>5684075.4000000004</v>
      </c>
      <c r="N19" s="79"/>
      <c r="O19" s="94" t="str">
        <f t="shared" si="8"/>
        <v>Пт</v>
      </c>
      <c r="P19" s="96">
        <f t="shared" si="6"/>
        <v>0</v>
      </c>
      <c r="Q19" s="96">
        <f>DAY(malumot!$B$79)+P19</f>
        <v>15</v>
      </c>
      <c r="R19" s="91">
        <f>IF(A19&lt;=malumot!$B$82,DATE(YEAR($B$8),MONTH($B$8)+A18,DAY(malumot!$B$79)),0)</f>
        <v>46402</v>
      </c>
      <c r="S19" s="77"/>
      <c r="T19" s="77"/>
      <c r="U19" s="77"/>
      <c r="V19" s="77"/>
    </row>
    <row r="20" spans="1:22" x14ac:dyDescent="0.25">
      <c r="A20" s="83">
        <v>13</v>
      </c>
      <c r="B20" s="84">
        <f>IF(A20&lt;=malumot!$B$82,DATE(YEAR(R20),MONTH(R20),DAY(IF(A20=malumot!$B$82,malumot!$B$67,IF(A20&lt;malumot!$B$82,(Q20),IF(A20&gt;malumot!$B$82,$H$56,0))))))</f>
        <v>46433</v>
      </c>
      <c r="C20" s="48">
        <f t="shared" si="1"/>
        <v>75000000.040000021</v>
      </c>
      <c r="D20" s="48">
        <f t="shared" si="2"/>
        <v>2083333.33</v>
      </c>
      <c r="E20" s="48">
        <f t="shared" si="3"/>
        <v>3503424.6999999997</v>
      </c>
      <c r="F20" s="48">
        <f t="shared" si="4"/>
        <v>5586758.0299999993</v>
      </c>
      <c r="G20" s="77">
        <f t="shared" si="7"/>
        <v>31</v>
      </c>
      <c r="H20" s="77">
        <f t="shared" si="5"/>
        <v>365</v>
      </c>
      <c r="I20" s="85">
        <f t="shared" si="10"/>
        <v>2083333.33</v>
      </c>
      <c r="J20" s="85">
        <f>SUM($I$8:I19)</f>
        <v>24999999.959999993</v>
      </c>
      <c r="K20" s="85">
        <f>$J$12-J20</f>
        <v>75000000.040000007</v>
      </c>
      <c r="L20" s="79">
        <f>ROUND(C20*malumot!$B$85/H20,2)*G20</f>
        <v>3503424.6999999997</v>
      </c>
      <c r="M20" s="79">
        <f t="shared" si="0"/>
        <v>5586758.0299999993</v>
      </c>
      <c r="N20" s="79"/>
      <c r="O20" s="94" t="str">
        <f t="shared" si="8"/>
        <v>Пн</v>
      </c>
      <c r="P20" s="96">
        <f t="shared" si="6"/>
        <v>0</v>
      </c>
      <c r="Q20" s="96">
        <f>DAY(malumot!$B$79)+P20</f>
        <v>15</v>
      </c>
      <c r="R20" s="91">
        <f>IF(A20&lt;=malumot!$B$82,DATE(YEAR($B$8),MONTH($B$8)+A19,DAY(malumot!$B$79)),0)</f>
        <v>46433</v>
      </c>
      <c r="S20" s="77"/>
      <c r="T20" s="77"/>
      <c r="U20" s="77"/>
      <c r="V20" s="77"/>
    </row>
    <row r="21" spans="1:22" x14ac:dyDescent="0.25">
      <c r="A21" s="83">
        <v>14</v>
      </c>
      <c r="B21" s="84">
        <f>IF(A21&lt;=malumot!$B$82,DATE(YEAR(R21),MONTH(R21),DAY(IF(A21=malumot!$B$82,malumot!$B$67,IF(A21&lt;malumot!$B$82,(Q21),IF(A21&gt;malumot!$B$82,$H$56,0))))))</f>
        <v>46461</v>
      </c>
      <c r="C21" s="48">
        <f t="shared" si="1"/>
        <v>72916666.710000023</v>
      </c>
      <c r="D21" s="48">
        <f t="shared" si="2"/>
        <v>2083333.33</v>
      </c>
      <c r="E21" s="48">
        <f t="shared" si="3"/>
        <v>3076484.04</v>
      </c>
      <c r="F21" s="48">
        <f t="shared" si="4"/>
        <v>5159817.37</v>
      </c>
      <c r="G21" s="77">
        <f t="shared" si="7"/>
        <v>28</v>
      </c>
      <c r="H21" s="77">
        <f t="shared" si="5"/>
        <v>365</v>
      </c>
      <c r="I21" s="85">
        <f t="shared" si="10"/>
        <v>2083333.33</v>
      </c>
      <c r="J21" s="85">
        <f>SUM($I$8:I20)</f>
        <v>27083333.289999992</v>
      </c>
      <c r="K21" s="85">
        <f t="shared" si="9"/>
        <v>72916666.710000008</v>
      </c>
      <c r="L21" s="79">
        <f>ROUND(C21*malumot!$B$85/H21,2)*G21</f>
        <v>3076484.04</v>
      </c>
      <c r="M21" s="79">
        <f t="shared" si="0"/>
        <v>5159817.37</v>
      </c>
      <c r="N21" s="79"/>
      <c r="O21" s="94" t="str">
        <f t="shared" si="8"/>
        <v>Пн</v>
      </c>
      <c r="P21" s="96">
        <f t="shared" si="6"/>
        <v>0</v>
      </c>
      <c r="Q21" s="96">
        <f>DAY(malumot!$B$79)+P21</f>
        <v>15</v>
      </c>
      <c r="R21" s="91">
        <f>IF(A21&lt;=malumot!$B$82,DATE(YEAR($B$8),MONTH($B$8)+A20,DAY(malumot!$B$79)),0)</f>
        <v>46461</v>
      </c>
      <c r="S21" s="77"/>
      <c r="T21" s="77"/>
      <c r="U21" s="77"/>
      <c r="V21" s="77"/>
    </row>
    <row r="22" spans="1:22" x14ac:dyDescent="0.25">
      <c r="A22" s="83">
        <v>15</v>
      </c>
      <c r="B22" s="84">
        <f>IF(A22&lt;=malumot!$B$82,DATE(YEAR(R22),MONTH(R22),DAY(IF(A22=malumot!$B$82,malumot!$B$67,IF(A22&lt;malumot!$B$82,(Q22),IF(A22&gt;malumot!$B$82,$H$56,0))))))</f>
        <v>46492</v>
      </c>
      <c r="C22" s="48">
        <f t="shared" si="1"/>
        <v>70833333.380000025</v>
      </c>
      <c r="D22" s="48">
        <f t="shared" si="2"/>
        <v>2083333.33</v>
      </c>
      <c r="E22" s="48">
        <f t="shared" si="3"/>
        <v>3308789.96</v>
      </c>
      <c r="F22" s="48">
        <f t="shared" si="4"/>
        <v>5392123.29</v>
      </c>
      <c r="G22" s="77">
        <f t="shared" si="7"/>
        <v>31</v>
      </c>
      <c r="H22" s="77">
        <f t="shared" si="5"/>
        <v>365</v>
      </c>
      <c r="I22" s="85">
        <f t="shared" si="10"/>
        <v>2083333.33</v>
      </c>
      <c r="J22" s="85">
        <f>SUM($I$8:I21)</f>
        <v>29166666.61999999</v>
      </c>
      <c r="K22" s="85">
        <f t="shared" si="9"/>
        <v>70833333.38000001</v>
      </c>
      <c r="L22" s="79">
        <f>ROUND(C22*malumot!$B$85/H22,2)*G22</f>
        <v>3308789.96</v>
      </c>
      <c r="M22" s="79">
        <f t="shared" si="0"/>
        <v>5392123.29</v>
      </c>
      <c r="N22" s="79"/>
      <c r="O22" s="94" t="str">
        <f t="shared" si="8"/>
        <v>Чт</v>
      </c>
      <c r="P22" s="96">
        <f t="shared" si="6"/>
        <v>0</v>
      </c>
      <c r="Q22" s="96">
        <f>DAY(malumot!$B$79)+P22</f>
        <v>15</v>
      </c>
      <c r="R22" s="91">
        <f>IF(A22&lt;=malumot!$B$82,DATE(YEAR($B$8),MONTH($B$8)+A21,DAY(malumot!$B$79)),0)</f>
        <v>46492</v>
      </c>
      <c r="S22" s="77"/>
      <c r="T22" s="77"/>
      <c r="U22" s="77"/>
      <c r="V22" s="77"/>
    </row>
    <row r="23" spans="1:22" x14ac:dyDescent="0.25">
      <c r="A23" s="83">
        <v>16</v>
      </c>
      <c r="B23" s="84">
        <f>IF(A23&lt;=malumot!$B$82,DATE(YEAR(R23),MONTH(R23),DAY(IF(A23=malumot!$B$82,malumot!$B$67,IF(A23&lt;malumot!$B$82,(Q23),IF(A23&gt;malumot!$B$82,$H$56,0))))))</f>
        <v>46524</v>
      </c>
      <c r="C23" s="48">
        <f t="shared" si="1"/>
        <v>68750000.050000027</v>
      </c>
      <c r="D23" s="48">
        <f t="shared" si="2"/>
        <v>2083333.33</v>
      </c>
      <c r="E23" s="48">
        <f t="shared" si="3"/>
        <v>3315068.48</v>
      </c>
      <c r="F23" s="48">
        <f t="shared" si="4"/>
        <v>5398401.8100000005</v>
      </c>
      <c r="G23" s="77">
        <f t="shared" si="7"/>
        <v>32</v>
      </c>
      <c r="H23" s="77">
        <f t="shared" si="5"/>
        <v>365</v>
      </c>
      <c r="I23" s="85">
        <f t="shared" si="10"/>
        <v>2083333.33</v>
      </c>
      <c r="J23" s="85">
        <f>SUM($I$8:I22)</f>
        <v>31249999.949999988</v>
      </c>
      <c r="K23" s="85">
        <f t="shared" si="9"/>
        <v>68750000.050000012</v>
      </c>
      <c r="L23" s="79">
        <f>ROUND(C23*malumot!$B$85/H23,2)*G23</f>
        <v>3315068.48</v>
      </c>
      <c r="M23" s="79">
        <f t="shared" si="0"/>
        <v>5398401.8100000005</v>
      </c>
      <c r="N23" s="79"/>
      <c r="O23" s="94" t="str">
        <f t="shared" si="8"/>
        <v>Сб</v>
      </c>
      <c r="P23" s="96">
        <f t="shared" si="6"/>
        <v>2</v>
      </c>
      <c r="Q23" s="96">
        <f>DAY(malumot!$B$79)+P23</f>
        <v>17</v>
      </c>
      <c r="R23" s="91">
        <f>IF(A23&lt;=malumot!$B$82,DATE(YEAR($B$8),MONTH($B$8)+A22,DAY(malumot!$B$79)),0)</f>
        <v>46522</v>
      </c>
      <c r="S23" s="77"/>
      <c r="T23" s="77"/>
      <c r="U23" s="77"/>
      <c r="V23" s="77"/>
    </row>
    <row r="24" spans="1:22" x14ac:dyDescent="0.25">
      <c r="A24" s="83">
        <v>17</v>
      </c>
      <c r="B24" s="84">
        <f>IF(A24&lt;=malumot!$B$82,DATE(YEAR(R24),MONTH(R24),DAY(IF(A24=malumot!$B$82,malumot!$B$67,IF(A24&lt;malumot!$B$82,(Q24),IF(A24&gt;malumot!$B$82,$H$56,0))))))</f>
        <v>46553</v>
      </c>
      <c r="C24" s="48">
        <f t="shared" si="1"/>
        <v>66666666.720000029</v>
      </c>
      <c r="D24" s="48">
        <f t="shared" si="2"/>
        <v>2083333.33</v>
      </c>
      <c r="E24" s="48">
        <f t="shared" si="3"/>
        <v>2913241.98</v>
      </c>
      <c r="F24" s="48">
        <f t="shared" si="4"/>
        <v>4996575.3100000005</v>
      </c>
      <c r="G24" s="77">
        <f t="shared" si="7"/>
        <v>29</v>
      </c>
      <c r="H24" s="77">
        <f t="shared" si="5"/>
        <v>365</v>
      </c>
      <c r="I24" s="85">
        <f t="shared" si="10"/>
        <v>2083333.33</v>
      </c>
      <c r="J24" s="85">
        <f>SUM($I$8:I23)</f>
        <v>33333333.279999986</v>
      </c>
      <c r="K24" s="85">
        <f t="shared" si="9"/>
        <v>66666666.720000014</v>
      </c>
      <c r="L24" s="79">
        <f>ROUND(C24*malumot!$B$85/H24,2)*G24</f>
        <v>2913241.98</v>
      </c>
      <c r="M24" s="79">
        <f t="shared" si="0"/>
        <v>4996575.3100000005</v>
      </c>
      <c r="N24" s="79"/>
      <c r="O24" s="94" t="str">
        <f t="shared" si="8"/>
        <v>Вт</v>
      </c>
      <c r="P24" s="96">
        <f t="shared" si="6"/>
        <v>0</v>
      </c>
      <c r="Q24" s="96">
        <f>DAY(malumot!$B$79)+P24</f>
        <v>15</v>
      </c>
      <c r="R24" s="91">
        <f>IF(A24&lt;=malumot!$B$82,DATE(YEAR($B$8),MONTH($B$8)+A23,DAY(malumot!$B$79)),0)</f>
        <v>46553</v>
      </c>
      <c r="S24" s="77"/>
      <c r="T24" s="77"/>
      <c r="U24" s="77"/>
      <c r="V24" s="77"/>
    </row>
    <row r="25" spans="1:22" x14ac:dyDescent="0.25">
      <c r="A25" s="83">
        <v>18</v>
      </c>
      <c r="B25" s="84">
        <f>IF(A25&lt;=malumot!$B$82,DATE(YEAR(R25),MONTH(R25),DAY(IF(A25=malumot!$B$82,malumot!$B$67,IF(A25&lt;malumot!$B$82,(Q25),IF(A25&gt;malumot!$B$82,$H$56,0))))))</f>
        <v>46583</v>
      </c>
      <c r="C25" s="48">
        <f t="shared" si="1"/>
        <v>64583333.39000003</v>
      </c>
      <c r="D25" s="48">
        <f t="shared" si="2"/>
        <v>2083333.33</v>
      </c>
      <c r="E25" s="48">
        <f t="shared" si="3"/>
        <v>2919520.5</v>
      </c>
      <c r="F25" s="48">
        <f t="shared" si="4"/>
        <v>5002853.83</v>
      </c>
      <c r="G25" s="77">
        <f t="shared" si="7"/>
        <v>30</v>
      </c>
      <c r="H25" s="77">
        <f t="shared" si="5"/>
        <v>365</v>
      </c>
      <c r="I25" s="85">
        <f t="shared" si="10"/>
        <v>2083333.33</v>
      </c>
      <c r="J25" s="85">
        <f>SUM($I$8:I24)</f>
        <v>35416666.609999985</v>
      </c>
      <c r="K25" s="85">
        <f t="shared" si="9"/>
        <v>64583333.390000015</v>
      </c>
      <c r="L25" s="79">
        <f>ROUND(C25*malumot!$B$85/H25,2)*G25</f>
        <v>2919520.5</v>
      </c>
      <c r="M25" s="79">
        <f t="shared" si="0"/>
        <v>5002853.83</v>
      </c>
      <c r="N25" s="79"/>
      <c r="O25" s="94" t="str">
        <f t="shared" si="8"/>
        <v>Чт</v>
      </c>
      <c r="P25" s="96">
        <f t="shared" si="6"/>
        <v>0</v>
      </c>
      <c r="Q25" s="96">
        <f>DAY(malumot!$B$79)+P25</f>
        <v>15</v>
      </c>
      <c r="R25" s="91">
        <f>IF(A25&lt;=malumot!$B$82,DATE(YEAR($B$8),MONTH($B$8)+A24,DAY(malumot!$B$79)),0)</f>
        <v>46583</v>
      </c>
      <c r="S25" s="77"/>
      <c r="T25" s="77"/>
      <c r="U25" s="77"/>
      <c r="V25" s="77"/>
    </row>
    <row r="26" spans="1:22" x14ac:dyDescent="0.25">
      <c r="A26" s="83">
        <v>19</v>
      </c>
      <c r="B26" s="84">
        <f>IF(A26&lt;=malumot!$B$82,DATE(YEAR(R26),MONTH(R26),DAY(IF(A26=malumot!$B$82,malumot!$B$67,IF(A26&lt;malumot!$B$82,(Q26),IF(A26&gt;malumot!$B$82,$H$56,0))))))</f>
        <v>46615</v>
      </c>
      <c r="C26" s="48">
        <f t="shared" si="1"/>
        <v>62500000.060000032</v>
      </c>
      <c r="D26" s="48">
        <f t="shared" si="2"/>
        <v>2083333.33</v>
      </c>
      <c r="E26" s="48">
        <f t="shared" si="3"/>
        <v>3013698.56</v>
      </c>
      <c r="F26" s="48">
        <f t="shared" si="4"/>
        <v>5097031.8900000006</v>
      </c>
      <c r="G26" s="77">
        <f t="shared" si="7"/>
        <v>32</v>
      </c>
      <c r="H26" s="77">
        <f t="shared" si="5"/>
        <v>365</v>
      </c>
      <c r="I26" s="85">
        <f t="shared" si="10"/>
        <v>2083333.33</v>
      </c>
      <c r="J26" s="85">
        <f>SUM($I$8:I25)</f>
        <v>37499999.939999983</v>
      </c>
      <c r="K26" s="85">
        <f t="shared" si="9"/>
        <v>62500000.060000017</v>
      </c>
      <c r="L26" s="79">
        <f>ROUND(C26*malumot!$B$85/H26,2)*G26</f>
        <v>3013698.56</v>
      </c>
      <c r="M26" s="79">
        <f t="shared" si="0"/>
        <v>5097031.8900000006</v>
      </c>
      <c r="N26" s="79"/>
      <c r="O26" s="94" t="str">
        <f t="shared" si="8"/>
        <v>Вс</v>
      </c>
      <c r="P26" s="96">
        <f t="shared" si="6"/>
        <v>1</v>
      </c>
      <c r="Q26" s="96">
        <f>DAY(malumot!$B$79)+P26</f>
        <v>16</v>
      </c>
      <c r="R26" s="91">
        <f>IF(A26&lt;=malumot!$B$82,DATE(YEAR($B$8),MONTH($B$8)+A25,DAY(malumot!$B$79)),0)</f>
        <v>46614</v>
      </c>
      <c r="S26" s="77"/>
      <c r="T26" s="77"/>
      <c r="U26" s="77"/>
      <c r="V26" s="77"/>
    </row>
    <row r="27" spans="1:22" x14ac:dyDescent="0.25">
      <c r="A27" s="83">
        <v>20</v>
      </c>
      <c r="B27" s="84">
        <f>IF(A27&lt;=malumot!$B$82,DATE(YEAR(R27),MONTH(R27),DAY(IF(A27=malumot!$B$82,malumot!$B$67,IF(A27&lt;malumot!$B$82,(Q27),IF(A27&gt;malumot!$B$82,$H$56,0))))))</f>
        <v>46645</v>
      </c>
      <c r="C27" s="48">
        <f t="shared" si="1"/>
        <v>60416666.730000034</v>
      </c>
      <c r="D27" s="48">
        <f t="shared" si="2"/>
        <v>2083333.33</v>
      </c>
      <c r="E27" s="48">
        <f t="shared" si="3"/>
        <v>2731164.3</v>
      </c>
      <c r="F27" s="48">
        <f t="shared" si="4"/>
        <v>4814497.63</v>
      </c>
      <c r="G27" s="77">
        <f t="shared" si="7"/>
        <v>30</v>
      </c>
      <c r="H27" s="77">
        <f t="shared" si="5"/>
        <v>365</v>
      </c>
      <c r="I27" s="85">
        <f t="shared" si="10"/>
        <v>2083333.33</v>
      </c>
      <c r="J27" s="85">
        <f>SUM($I$8:I26)</f>
        <v>39583333.269999981</v>
      </c>
      <c r="K27" s="85">
        <f t="shared" si="9"/>
        <v>60416666.730000019</v>
      </c>
      <c r="L27" s="79">
        <f>ROUND(C27*malumot!$B$85/H27,2)*G27</f>
        <v>2731164.3</v>
      </c>
      <c r="M27" s="79">
        <f t="shared" si="0"/>
        <v>4814497.63</v>
      </c>
      <c r="N27" s="79"/>
      <c r="O27" s="94" t="str">
        <f t="shared" si="8"/>
        <v>Ср</v>
      </c>
      <c r="P27" s="96">
        <f t="shared" si="6"/>
        <v>0</v>
      </c>
      <c r="Q27" s="96">
        <f>DAY(malumot!$B$79)+P27</f>
        <v>15</v>
      </c>
      <c r="R27" s="91">
        <f>IF(A27&lt;=malumot!$B$82,DATE(YEAR($B$8),MONTH($B$8)+A26,DAY(malumot!$B$79)),0)</f>
        <v>46645</v>
      </c>
      <c r="S27" s="77"/>
      <c r="T27" s="77"/>
      <c r="U27" s="77"/>
      <c r="V27" s="77"/>
    </row>
    <row r="28" spans="1:22" x14ac:dyDescent="0.25">
      <c r="A28" s="83">
        <v>21</v>
      </c>
      <c r="B28" s="84">
        <f>IF(A28&lt;=malumot!$B$82,DATE(YEAR(R28),MONTH(R28),DAY(IF(A28=malumot!$B$82,malumot!$B$67,IF(A28&lt;malumot!$B$82,(Q28),IF(A28&gt;malumot!$B$82,$H$56,0))))))</f>
        <v>46675</v>
      </c>
      <c r="C28" s="48">
        <f t="shared" si="1"/>
        <v>58333333.400000036</v>
      </c>
      <c r="D28" s="48">
        <f t="shared" si="2"/>
        <v>2083333.33</v>
      </c>
      <c r="E28" s="48">
        <f t="shared" si="3"/>
        <v>2636986.1999999997</v>
      </c>
      <c r="F28" s="48">
        <f t="shared" si="4"/>
        <v>4720319.5299999993</v>
      </c>
      <c r="G28" s="77">
        <f t="shared" si="7"/>
        <v>30</v>
      </c>
      <c r="H28" s="77">
        <f t="shared" si="5"/>
        <v>365</v>
      </c>
      <c r="I28" s="85">
        <f t="shared" si="10"/>
        <v>2083333.33</v>
      </c>
      <c r="J28" s="85">
        <f>SUM($I$8:I27)</f>
        <v>41666666.599999979</v>
      </c>
      <c r="K28" s="85">
        <f t="shared" si="9"/>
        <v>58333333.400000021</v>
      </c>
      <c r="L28" s="79">
        <f>ROUND(C28*malumot!$B$85/H28,2)*G28</f>
        <v>2636986.1999999997</v>
      </c>
      <c r="M28" s="79">
        <f t="shared" si="0"/>
        <v>4720319.5299999993</v>
      </c>
      <c r="N28" s="79"/>
      <c r="O28" s="94" t="str">
        <f t="shared" si="8"/>
        <v>Пт</v>
      </c>
      <c r="P28" s="96">
        <f t="shared" si="6"/>
        <v>0</v>
      </c>
      <c r="Q28" s="96">
        <f>DAY(malumot!$B$79)+P28</f>
        <v>15</v>
      </c>
      <c r="R28" s="91">
        <f>IF(A28&lt;=malumot!$B$82,DATE(YEAR($B$8),MONTH($B$8)+A27,DAY(malumot!$B$79)),0)</f>
        <v>46675</v>
      </c>
      <c r="S28" s="77"/>
      <c r="T28" s="77"/>
      <c r="U28" s="77"/>
      <c r="V28" s="77"/>
    </row>
    <row r="29" spans="1:22" x14ac:dyDescent="0.25">
      <c r="A29" s="83">
        <v>22</v>
      </c>
      <c r="B29" s="84">
        <f>IF(A29&lt;=malumot!$B$82,DATE(YEAR(R29),MONTH(R29),DAY(IF(A29=malumot!$B$82,malumot!$B$67,IF(A29&lt;malumot!$B$82,(Q29),IF(A29&gt;malumot!$B$82,$H$56,0))))))</f>
        <v>46706</v>
      </c>
      <c r="C29" s="48">
        <f t="shared" si="1"/>
        <v>56250000.070000038</v>
      </c>
      <c r="D29" s="48">
        <f t="shared" si="2"/>
        <v>2083333.33</v>
      </c>
      <c r="E29" s="48">
        <f t="shared" si="3"/>
        <v>2627568.37</v>
      </c>
      <c r="F29" s="48">
        <f t="shared" si="4"/>
        <v>4710901.7</v>
      </c>
      <c r="G29" s="77">
        <f t="shared" si="7"/>
        <v>31</v>
      </c>
      <c r="H29" s="77">
        <f t="shared" si="5"/>
        <v>365</v>
      </c>
      <c r="I29" s="85">
        <f t="shared" si="10"/>
        <v>2083333.33</v>
      </c>
      <c r="J29" s="85">
        <f>SUM($I$8:I28)</f>
        <v>43749999.929999977</v>
      </c>
      <c r="K29" s="85">
        <f t="shared" si="9"/>
        <v>56250000.070000023</v>
      </c>
      <c r="L29" s="79">
        <f>ROUND(C29*malumot!$B$85/H29,2)*G29</f>
        <v>2627568.37</v>
      </c>
      <c r="M29" s="79">
        <f t="shared" si="0"/>
        <v>4710901.7</v>
      </c>
      <c r="N29" s="79"/>
      <c r="O29" s="94" t="str">
        <f t="shared" si="8"/>
        <v>Пн</v>
      </c>
      <c r="P29" s="96">
        <f t="shared" si="6"/>
        <v>0</v>
      </c>
      <c r="Q29" s="96">
        <f>DAY(malumot!$B$79)+P29</f>
        <v>15</v>
      </c>
      <c r="R29" s="91">
        <f>IF(A29&lt;=malumot!$B$82,DATE(YEAR($B$8),MONTH($B$8)+A28,DAY(malumot!$B$79)),0)</f>
        <v>46706</v>
      </c>
      <c r="S29" s="77"/>
      <c r="T29" s="77"/>
      <c r="U29" s="77"/>
      <c r="V29" s="77"/>
    </row>
    <row r="30" spans="1:22" x14ac:dyDescent="0.25">
      <c r="A30" s="83">
        <v>23</v>
      </c>
      <c r="B30" s="84">
        <f>IF(A30&lt;=malumot!$B$82,DATE(YEAR(R30),MONTH(R30),DAY(IF(A30=malumot!$B$82,malumot!$B$67,IF(A30&lt;malumot!$B$82,(Q30),IF(A30&gt;malumot!$B$82,$H$56,0))))))</f>
        <v>46736</v>
      </c>
      <c r="C30" s="48">
        <f t="shared" si="1"/>
        <v>54166666.740000039</v>
      </c>
      <c r="D30" s="48">
        <f t="shared" si="2"/>
        <v>2083333.33</v>
      </c>
      <c r="E30" s="48">
        <f t="shared" si="3"/>
        <v>2448630</v>
      </c>
      <c r="F30" s="48">
        <f t="shared" si="4"/>
        <v>4531963.33</v>
      </c>
      <c r="G30" s="77">
        <f t="shared" si="7"/>
        <v>30</v>
      </c>
      <c r="H30" s="77">
        <f t="shared" si="5"/>
        <v>365</v>
      </c>
      <c r="I30" s="85">
        <f t="shared" si="10"/>
        <v>2083333.33</v>
      </c>
      <c r="J30" s="85">
        <f>SUM($I$8:I29)</f>
        <v>45833333.259999976</v>
      </c>
      <c r="K30" s="85">
        <f t="shared" si="9"/>
        <v>54166666.740000024</v>
      </c>
      <c r="L30" s="79">
        <f>ROUND(C30*malumot!$B$85/H30,2)*G30</f>
        <v>2448630</v>
      </c>
      <c r="M30" s="79">
        <f t="shared" si="0"/>
        <v>4531963.33</v>
      </c>
      <c r="N30" s="79"/>
      <c r="O30" s="94" t="str">
        <f t="shared" si="8"/>
        <v>Ср</v>
      </c>
      <c r="P30" s="96">
        <f t="shared" si="6"/>
        <v>0</v>
      </c>
      <c r="Q30" s="96">
        <f>DAY(malumot!$B$79)+P30</f>
        <v>15</v>
      </c>
      <c r="R30" s="91">
        <f>IF(A30&lt;=malumot!$B$82,DATE(YEAR($B$8),MONTH($B$8)+A29,DAY(malumot!$B$79)),0)</f>
        <v>46736</v>
      </c>
      <c r="S30" s="77"/>
      <c r="T30" s="77"/>
      <c r="U30" s="77"/>
      <c r="V30" s="77"/>
    </row>
    <row r="31" spans="1:22" x14ac:dyDescent="0.25">
      <c r="A31" s="83">
        <v>24</v>
      </c>
      <c r="B31" s="84">
        <f>IF(A31&lt;=malumot!$B$82,DATE(YEAR(R31),MONTH(R31),DAY(IF(A31=malumot!$B$82,malumot!$B$67,IF(A31&lt;malumot!$B$82,(Q31),IF(A31&gt;malumot!$B$82,$H$56,0))))))</f>
        <v>46769</v>
      </c>
      <c r="C31" s="48">
        <f t="shared" ref="C31" si="11">C30-D30</f>
        <v>52083333.410000041</v>
      </c>
      <c r="D31" s="48">
        <f t="shared" ref="D31" si="12">IF(C31=0,L31,IF(C31&gt;1,I31))</f>
        <v>2083333.33</v>
      </c>
      <c r="E31" s="48">
        <f t="shared" ref="E31" si="13">IF(C31=0,N30,IF(C31&gt;1,L31))</f>
        <v>2582820.9</v>
      </c>
      <c r="F31" s="48">
        <f t="shared" ref="F31" si="14">IF(C31=0,N30,IF(C31&gt;1,M31))</f>
        <v>4666154.2300000004</v>
      </c>
      <c r="G31" s="77">
        <f t="shared" si="7"/>
        <v>33</v>
      </c>
      <c r="H31" s="77">
        <f t="shared" si="5"/>
        <v>366</v>
      </c>
      <c r="I31" s="85">
        <f t="shared" si="10"/>
        <v>2083333.33</v>
      </c>
      <c r="J31" s="85">
        <f>SUM($I$8:I30)</f>
        <v>47916666.589999974</v>
      </c>
      <c r="K31" s="85">
        <f t="shared" si="9"/>
        <v>52083333.410000026</v>
      </c>
      <c r="L31" s="79">
        <f>ROUND(C31*malumot!$B$85/H31,2)*G31</f>
        <v>2582820.9</v>
      </c>
      <c r="M31" s="79">
        <f t="shared" si="0"/>
        <v>4666154.2300000004</v>
      </c>
      <c r="N31" s="79"/>
      <c r="O31" s="94" t="str">
        <f t="shared" si="8"/>
        <v>Сб</v>
      </c>
      <c r="P31" s="96">
        <f t="shared" si="6"/>
        <v>2</v>
      </c>
      <c r="Q31" s="96">
        <f>DAY(malumot!$B$79)+P31</f>
        <v>17</v>
      </c>
      <c r="R31" s="91">
        <f>IF(A31&lt;=malumot!$B$82,DATE(YEAR($B$8),MONTH($B$8)+A30,DAY(malumot!$B$79)),0)</f>
        <v>46767</v>
      </c>
      <c r="S31" s="77"/>
      <c r="T31" s="77"/>
      <c r="U31" s="77"/>
      <c r="V31" s="77"/>
    </row>
    <row r="32" spans="1:22" x14ac:dyDescent="0.25">
      <c r="A32" s="83">
        <f>1+A31</f>
        <v>25</v>
      </c>
      <c r="B32" s="84">
        <f>IF(A32&lt;=malumot!$B$82,DATE(YEAR(R32),MONTH(R32),DAY(IF(A32=malumot!$B$82,malumot!$B$67,IF(A32&lt;malumot!$B$82,(Q32),IF(A32&gt;malumot!$B$82,$H$56,0))))))</f>
        <v>46798</v>
      </c>
      <c r="C32" s="48">
        <f t="shared" ref="C32:C42" si="15">C31-D31</f>
        <v>50000000.080000043</v>
      </c>
      <c r="D32" s="48">
        <f t="shared" ref="D32:D42" si="16">IF(C32=0,L32,IF(C32&gt;1,I32))</f>
        <v>2083333.33</v>
      </c>
      <c r="E32" s="48">
        <f t="shared" ref="E32:E42" si="17">IF(C32=0,N31,IF(C32&gt;1,L32))</f>
        <v>2178961.69</v>
      </c>
      <c r="F32" s="48">
        <f t="shared" ref="F32:F42" si="18">IF(C32=0,N31,IF(C32&gt;1,M32))</f>
        <v>4262295.0199999996</v>
      </c>
      <c r="G32" s="77">
        <f t="shared" ref="G32:G42" si="19">B32-B31</f>
        <v>29</v>
      </c>
      <c r="H32" s="77">
        <f t="shared" ref="H32:H42" si="20">DATE(YEAR(B32),12,31)-DATE(YEAR(B32),1,1)+1</f>
        <v>366</v>
      </c>
      <c r="I32" s="85">
        <f t="shared" ref="I32:I42" si="21">IF($L$5=A32,K32,IF($L$5&gt;A32,I31))</f>
        <v>2083333.33</v>
      </c>
      <c r="J32" s="85">
        <f>SUM($I$8:I31)</f>
        <v>49999999.919999972</v>
      </c>
      <c r="K32" s="85">
        <f t="shared" ref="K32:K42" si="22">$J$12-J32</f>
        <v>50000000.080000028</v>
      </c>
      <c r="L32" s="79">
        <f>ROUND(C32*malumot!$B$85/H32,2)*G32</f>
        <v>2178961.69</v>
      </c>
      <c r="M32" s="79">
        <f t="shared" ref="M32:M42" si="23">D32+E32</f>
        <v>4262295.0199999996</v>
      </c>
      <c r="N32" s="79"/>
      <c r="O32" s="94" t="str">
        <f t="shared" ref="O32:O42" si="24">TEXT(R32,"ддд")</f>
        <v>Вт</v>
      </c>
      <c r="P32" s="96">
        <f t="shared" ref="P32:P42" si="25">IF(O32=$U$8,2,IF(O32=$V$8,1,0))</f>
        <v>0</v>
      </c>
      <c r="Q32" s="96">
        <f>DAY(malumot!$B$79)+P32</f>
        <v>15</v>
      </c>
      <c r="R32" s="91">
        <f>IF(A32&lt;=malumot!$B$82,DATE(YEAR($B$8),MONTH($B$8)+A31,DAY(malumot!$B$79)),0)</f>
        <v>46798</v>
      </c>
      <c r="S32" s="77"/>
      <c r="T32" s="77"/>
      <c r="U32" s="77"/>
      <c r="V32" s="77"/>
    </row>
    <row r="33" spans="1:22" x14ac:dyDescent="0.25">
      <c r="A33" s="83">
        <f t="shared" ref="A33:A42" si="26">1+A32</f>
        <v>26</v>
      </c>
      <c r="B33" s="84">
        <f>IF(A33&lt;=malumot!$B$82,DATE(YEAR(R33),MONTH(R33),DAY(IF(A33=malumot!$B$82,malumot!$B$67,IF(A33&lt;malumot!$B$82,(Q33),IF(A33&gt;malumot!$B$82,$H$56,0))))))</f>
        <v>46827</v>
      </c>
      <c r="C33" s="48">
        <f t="shared" si="15"/>
        <v>47916666.750000045</v>
      </c>
      <c r="D33" s="48">
        <f t="shared" si="16"/>
        <v>2083333.33</v>
      </c>
      <c r="E33" s="48">
        <f t="shared" si="17"/>
        <v>2088171.68</v>
      </c>
      <c r="F33" s="48">
        <f t="shared" si="18"/>
        <v>4171505.01</v>
      </c>
      <c r="G33" s="77">
        <f t="shared" si="19"/>
        <v>29</v>
      </c>
      <c r="H33" s="77">
        <f t="shared" si="20"/>
        <v>366</v>
      </c>
      <c r="I33" s="85">
        <f t="shared" si="21"/>
        <v>2083333.33</v>
      </c>
      <c r="J33" s="85">
        <f>SUM($I$8:I32)</f>
        <v>52083333.24999997</v>
      </c>
      <c r="K33" s="85">
        <f t="shared" si="22"/>
        <v>47916666.75000003</v>
      </c>
      <c r="L33" s="79">
        <f>ROUND(C33*malumot!$B$85/H33,2)*G33</f>
        <v>2088171.68</v>
      </c>
      <c r="M33" s="79">
        <f t="shared" si="23"/>
        <v>4171505.01</v>
      </c>
      <c r="N33" s="79"/>
      <c r="O33" s="94" t="str">
        <f t="shared" si="24"/>
        <v>Ср</v>
      </c>
      <c r="P33" s="96">
        <f t="shared" si="25"/>
        <v>0</v>
      </c>
      <c r="Q33" s="96">
        <f>DAY(malumot!$B$79)+P33</f>
        <v>15</v>
      </c>
      <c r="R33" s="91">
        <f>IF(A33&lt;=malumot!$B$82,DATE(YEAR($B$8),MONTH($B$8)+A32,DAY(malumot!$B$79)),0)</f>
        <v>46827</v>
      </c>
      <c r="S33" s="77"/>
      <c r="T33" s="77"/>
      <c r="U33" s="77"/>
      <c r="V33" s="77"/>
    </row>
    <row r="34" spans="1:22" x14ac:dyDescent="0.25">
      <c r="A34" s="83">
        <f t="shared" si="26"/>
        <v>27</v>
      </c>
      <c r="B34" s="84">
        <f>IF(A34&lt;=malumot!$B$82,DATE(YEAR(R34),MONTH(R34),DAY(IF(A34=malumot!$B$82,malumot!$B$67,IF(A34&lt;malumot!$B$82,(Q34),IF(A34&gt;malumot!$B$82,$H$56,0))))))</f>
        <v>46860</v>
      </c>
      <c r="C34" s="48">
        <f t="shared" si="15"/>
        <v>45833333.420000046</v>
      </c>
      <c r="D34" s="48">
        <f t="shared" si="16"/>
        <v>2083333.33</v>
      </c>
      <c r="E34" s="48">
        <f t="shared" si="17"/>
        <v>2272882.59</v>
      </c>
      <c r="F34" s="48">
        <f t="shared" si="18"/>
        <v>4356215.92</v>
      </c>
      <c r="G34" s="77">
        <f t="shared" si="19"/>
        <v>33</v>
      </c>
      <c r="H34" s="77">
        <f t="shared" si="20"/>
        <v>366</v>
      </c>
      <c r="I34" s="85">
        <f t="shared" si="21"/>
        <v>2083333.33</v>
      </c>
      <c r="J34" s="85">
        <f>SUM($I$8:I33)</f>
        <v>54166666.579999968</v>
      </c>
      <c r="K34" s="85">
        <f t="shared" si="22"/>
        <v>45833333.420000032</v>
      </c>
      <c r="L34" s="79">
        <f>ROUND(C34*malumot!$B$85/H34,2)*G34</f>
        <v>2272882.59</v>
      </c>
      <c r="M34" s="79">
        <f t="shared" si="23"/>
        <v>4356215.92</v>
      </c>
      <c r="N34" s="79"/>
      <c r="O34" s="94" t="str">
        <f t="shared" si="24"/>
        <v>Сб</v>
      </c>
      <c r="P34" s="96">
        <f t="shared" si="25"/>
        <v>2</v>
      </c>
      <c r="Q34" s="96">
        <f>DAY(malumot!$B$79)+P34</f>
        <v>17</v>
      </c>
      <c r="R34" s="91">
        <f>IF(A34&lt;=malumot!$B$82,DATE(YEAR($B$8),MONTH($B$8)+A33,DAY(malumot!$B$79)),0)</f>
        <v>46858</v>
      </c>
      <c r="S34" s="77"/>
      <c r="T34" s="77"/>
      <c r="U34" s="77"/>
      <c r="V34" s="77"/>
    </row>
    <row r="35" spans="1:22" x14ac:dyDescent="0.25">
      <c r="A35" s="83">
        <f t="shared" si="26"/>
        <v>28</v>
      </c>
      <c r="B35" s="84">
        <f>IF(A35&lt;=malumot!$B$82,DATE(YEAR(R35),MONTH(R35),DAY(IF(A35=malumot!$B$82,malumot!$B$67,IF(A35&lt;malumot!$B$82,(Q35),IF(A35&gt;malumot!$B$82,$H$56,0))))))</f>
        <v>46888</v>
      </c>
      <c r="C35" s="48">
        <f t="shared" si="15"/>
        <v>43750000.090000048</v>
      </c>
      <c r="D35" s="48">
        <f t="shared" si="16"/>
        <v>2083333.33</v>
      </c>
      <c r="E35" s="48">
        <f t="shared" si="17"/>
        <v>1840847.1199999999</v>
      </c>
      <c r="F35" s="48">
        <f t="shared" si="18"/>
        <v>3924180.45</v>
      </c>
      <c r="G35" s="77">
        <f t="shared" si="19"/>
        <v>28</v>
      </c>
      <c r="H35" s="77">
        <f t="shared" si="20"/>
        <v>366</v>
      </c>
      <c r="I35" s="85">
        <f t="shared" si="21"/>
        <v>2083333.33</v>
      </c>
      <c r="J35" s="85">
        <f>SUM($I$8:I34)</f>
        <v>56249999.909999967</v>
      </c>
      <c r="K35" s="85">
        <f t="shared" si="22"/>
        <v>43750000.090000033</v>
      </c>
      <c r="L35" s="79">
        <f>ROUND(C35*malumot!$B$85/H35,2)*G35</f>
        <v>1840847.1199999999</v>
      </c>
      <c r="M35" s="79">
        <f t="shared" si="23"/>
        <v>3924180.45</v>
      </c>
      <c r="N35" s="79"/>
      <c r="O35" s="94" t="str">
        <f t="shared" si="24"/>
        <v>Пн</v>
      </c>
      <c r="P35" s="96">
        <f t="shared" si="25"/>
        <v>0</v>
      </c>
      <c r="Q35" s="96">
        <f>DAY(malumot!$B$79)+P35</f>
        <v>15</v>
      </c>
      <c r="R35" s="91">
        <f>IF(A35&lt;=malumot!$B$82,DATE(YEAR($B$8),MONTH($B$8)+A34,DAY(malumot!$B$79)),0)</f>
        <v>46888</v>
      </c>
      <c r="S35" s="77"/>
      <c r="T35" s="77"/>
      <c r="U35" s="77"/>
      <c r="V35" s="77"/>
    </row>
    <row r="36" spans="1:22" x14ac:dyDescent="0.25">
      <c r="A36" s="83">
        <f t="shared" si="26"/>
        <v>29</v>
      </c>
      <c r="B36" s="84">
        <f>IF(A36&lt;=malumot!$B$82,DATE(YEAR(R36),MONTH(R36),DAY(IF(A36=malumot!$B$82,malumot!$B$67,IF(A36&lt;malumot!$B$82,(Q36),IF(A36&gt;malumot!$B$82,$H$56,0))))))</f>
        <v>46919</v>
      </c>
      <c r="C36" s="48">
        <f t="shared" si="15"/>
        <v>41666666.76000005</v>
      </c>
      <c r="D36" s="48">
        <f t="shared" si="16"/>
        <v>2083333.33</v>
      </c>
      <c r="E36" s="48">
        <f t="shared" si="17"/>
        <v>1941029.0399999998</v>
      </c>
      <c r="F36" s="48">
        <f t="shared" si="18"/>
        <v>4024362.37</v>
      </c>
      <c r="G36" s="77">
        <f t="shared" si="19"/>
        <v>31</v>
      </c>
      <c r="H36" s="77">
        <f t="shared" si="20"/>
        <v>366</v>
      </c>
      <c r="I36" s="85">
        <f t="shared" si="21"/>
        <v>2083333.33</v>
      </c>
      <c r="J36" s="85">
        <f>SUM($I$8:I35)</f>
        <v>58333333.239999965</v>
      </c>
      <c r="K36" s="85">
        <f t="shared" si="22"/>
        <v>41666666.760000035</v>
      </c>
      <c r="L36" s="79">
        <f>ROUND(C36*malumot!$B$85/H36,2)*G36</f>
        <v>1941029.0399999998</v>
      </c>
      <c r="M36" s="79">
        <f t="shared" si="23"/>
        <v>4024362.37</v>
      </c>
      <c r="N36" s="79"/>
      <c r="O36" s="94" t="str">
        <f t="shared" si="24"/>
        <v>Чт</v>
      </c>
      <c r="P36" s="96">
        <f t="shared" si="25"/>
        <v>0</v>
      </c>
      <c r="Q36" s="96">
        <f>DAY(malumot!$B$79)+P36</f>
        <v>15</v>
      </c>
      <c r="R36" s="91">
        <f>IF(A36&lt;=malumot!$B$82,DATE(YEAR($B$8),MONTH($B$8)+A35,DAY(malumot!$B$79)),0)</f>
        <v>46919</v>
      </c>
      <c r="S36" s="77"/>
      <c r="T36" s="77"/>
      <c r="U36" s="77"/>
      <c r="V36" s="77"/>
    </row>
    <row r="37" spans="1:22" x14ac:dyDescent="0.25">
      <c r="A37" s="83">
        <f t="shared" si="26"/>
        <v>30</v>
      </c>
      <c r="B37" s="84">
        <f>IF(A37&lt;=malumot!$B$82,DATE(YEAR(R37),MONTH(R37),DAY(IF(A37=malumot!$B$82,malumot!$B$67,IF(A37&lt;malumot!$B$82,(Q37),IF(A37&gt;malumot!$B$82,$H$56,0))))))</f>
        <v>46951</v>
      </c>
      <c r="C37" s="48">
        <f t="shared" si="15"/>
        <v>39583333.430000052</v>
      </c>
      <c r="D37" s="48">
        <f t="shared" si="16"/>
        <v>2083333.33</v>
      </c>
      <c r="E37" s="48">
        <f t="shared" si="17"/>
        <v>1903460.8</v>
      </c>
      <c r="F37" s="48">
        <f t="shared" si="18"/>
        <v>3986794.13</v>
      </c>
      <c r="G37" s="77">
        <f t="shared" si="19"/>
        <v>32</v>
      </c>
      <c r="H37" s="77">
        <f t="shared" si="20"/>
        <v>366</v>
      </c>
      <c r="I37" s="85">
        <f t="shared" si="21"/>
        <v>2083333.33</v>
      </c>
      <c r="J37" s="85">
        <f>SUM($I$8:I36)</f>
        <v>60416666.569999963</v>
      </c>
      <c r="K37" s="85">
        <f t="shared" si="22"/>
        <v>39583333.430000037</v>
      </c>
      <c r="L37" s="79">
        <f>ROUND(C37*malumot!$B$85/H37,2)*G37</f>
        <v>1903460.8</v>
      </c>
      <c r="M37" s="79">
        <f t="shared" si="23"/>
        <v>3986794.13</v>
      </c>
      <c r="N37" s="79"/>
      <c r="O37" s="94" t="str">
        <f t="shared" si="24"/>
        <v>Сб</v>
      </c>
      <c r="P37" s="96">
        <f t="shared" si="25"/>
        <v>2</v>
      </c>
      <c r="Q37" s="96">
        <f>DAY(malumot!$B$79)+P37</f>
        <v>17</v>
      </c>
      <c r="R37" s="91">
        <f>IF(A37&lt;=malumot!$B$82,DATE(YEAR($B$8),MONTH($B$8)+A36,DAY(malumot!$B$79)),0)</f>
        <v>46949</v>
      </c>
      <c r="S37" s="77"/>
      <c r="T37" s="77"/>
      <c r="U37" s="77"/>
      <c r="V37" s="77"/>
    </row>
    <row r="38" spans="1:22" x14ac:dyDescent="0.25">
      <c r="A38" s="83">
        <f t="shared" si="26"/>
        <v>31</v>
      </c>
      <c r="B38" s="84">
        <f>IF(A38&lt;=malumot!$B$82,DATE(YEAR(R38),MONTH(R38),DAY(IF(A38=malumot!$B$82,malumot!$B$67,IF(A38&lt;malumot!$B$82,(Q38),IF(A38&gt;malumot!$B$82,$H$56,0))))))</f>
        <v>46980</v>
      </c>
      <c r="C38" s="48">
        <f t="shared" si="15"/>
        <v>37500000.100000054</v>
      </c>
      <c r="D38" s="48">
        <f t="shared" si="16"/>
        <v>2083333.33</v>
      </c>
      <c r="E38" s="48">
        <f t="shared" si="17"/>
        <v>1634221.34</v>
      </c>
      <c r="F38" s="48">
        <f t="shared" si="18"/>
        <v>3717554.67</v>
      </c>
      <c r="G38" s="77">
        <f t="shared" si="19"/>
        <v>29</v>
      </c>
      <c r="H38" s="77">
        <f t="shared" si="20"/>
        <v>366</v>
      </c>
      <c r="I38" s="85">
        <f t="shared" si="21"/>
        <v>2083333.33</v>
      </c>
      <c r="J38" s="85">
        <f>SUM($I$8:I37)</f>
        <v>62499999.899999961</v>
      </c>
      <c r="K38" s="85">
        <f t="shared" si="22"/>
        <v>37500000.100000039</v>
      </c>
      <c r="L38" s="79">
        <f>ROUND(C38*malumot!$B$85/H38,2)*G38</f>
        <v>1634221.34</v>
      </c>
      <c r="M38" s="79">
        <f t="shared" si="23"/>
        <v>3717554.67</v>
      </c>
      <c r="N38" s="79"/>
      <c r="O38" s="94" t="str">
        <f t="shared" si="24"/>
        <v>Вт</v>
      </c>
      <c r="P38" s="96">
        <f t="shared" si="25"/>
        <v>0</v>
      </c>
      <c r="Q38" s="96">
        <f>DAY(malumot!$B$79)+P38</f>
        <v>15</v>
      </c>
      <c r="R38" s="91">
        <f>IF(A38&lt;=malumot!$B$82,DATE(YEAR($B$8),MONTH($B$8)+A37,DAY(malumot!$B$79)),0)</f>
        <v>46980</v>
      </c>
      <c r="S38" s="77"/>
      <c r="T38" s="77"/>
      <c r="U38" s="77"/>
      <c r="V38" s="77"/>
    </row>
    <row r="39" spans="1:22" x14ac:dyDescent="0.25">
      <c r="A39" s="83">
        <f t="shared" si="26"/>
        <v>32</v>
      </c>
      <c r="B39" s="84">
        <f>IF(A39&lt;=malumot!$B$82,DATE(YEAR(R39),MONTH(R39),DAY(IF(A39=malumot!$B$82,malumot!$B$67,IF(A39&lt;malumot!$B$82,(Q39),IF(A39&gt;malumot!$B$82,$H$56,0))))))</f>
        <v>47011</v>
      </c>
      <c r="C39" s="48">
        <f t="shared" si="15"/>
        <v>35416666.770000055</v>
      </c>
      <c r="D39" s="48">
        <f t="shared" si="16"/>
        <v>2083333.33</v>
      </c>
      <c r="E39" s="48">
        <f t="shared" si="17"/>
        <v>1649874.8699999999</v>
      </c>
      <c r="F39" s="48">
        <f t="shared" si="18"/>
        <v>3733208.2</v>
      </c>
      <c r="G39" s="77">
        <f t="shared" si="19"/>
        <v>31</v>
      </c>
      <c r="H39" s="77">
        <f t="shared" si="20"/>
        <v>366</v>
      </c>
      <c r="I39" s="85">
        <f t="shared" si="21"/>
        <v>2083333.33</v>
      </c>
      <c r="J39" s="85">
        <f>SUM($I$8:I38)</f>
        <v>64583333.229999959</v>
      </c>
      <c r="K39" s="85">
        <f t="shared" si="22"/>
        <v>35416666.770000041</v>
      </c>
      <c r="L39" s="79">
        <f>ROUND(C39*malumot!$B$85/H39,2)*G39</f>
        <v>1649874.8699999999</v>
      </c>
      <c r="M39" s="79">
        <f t="shared" si="23"/>
        <v>3733208.2</v>
      </c>
      <c r="N39" s="79"/>
      <c r="O39" s="94" t="str">
        <f t="shared" si="24"/>
        <v>Пт</v>
      </c>
      <c r="P39" s="96">
        <f t="shared" si="25"/>
        <v>0</v>
      </c>
      <c r="Q39" s="96">
        <f>DAY(malumot!$B$79)+P39</f>
        <v>15</v>
      </c>
      <c r="R39" s="91">
        <f>IF(A39&lt;=malumot!$B$82,DATE(YEAR($B$8),MONTH($B$8)+A38,DAY(malumot!$B$79)),0)</f>
        <v>47011</v>
      </c>
      <c r="S39" s="77"/>
      <c r="T39" s="77"/>
      <c r="U39" s="77"/>
      <c r="V39" s="77"/>
    </row>
    <row r="40" spans="1:22" x14ac:dyDescent="0.25">
      <c r="A40" s="83">
        <f t="shared" si="26"/>
        <v>33</v>
      </c>
      <c r="B40" s="84">
        <f>IF(A40&lt;=malumot!$B$82,DATE(YEAR(R40),MONTH(R40),DAY(IF(A40=malumot!$B$82,malumot!$B$67,IF(A40&lt;malumot!$B$82,(Q40),IF(A40&gt;malumot!$B$82,$H$56,0))))))</f>
        <v>47042</v>
      </c>
      <c r="C40" s="48">
        <f t="shared" si="15"/>
        <v>33333333.440000057</v>
      </c>
      <c r="D40" s="48">
        <f t="shared" si="16"/>
        <v>2083333.33</v>
      </c>
      <c r="E40" s="48">
        <f t="shared" si="17"/>
        <v>1552823.17</v>
      </c>
      <c r="F40" s="48">
        <f t="shared" si="18"/>
        <v>3636156.5</v>
      </c>
      <c r="G40" s="77">
        <f t="shared" si="19"/>
        <v>31</v>
      </c>
      <c r="H40" s="77">
        <f t="shared" si="20"/>
        <v>366</v>
      </c>
      <c r="I40" s="85">
        <f t="shared" si="21"/>
        <v>2083333.33</v>
      </c>
      <c r="J40" s="85">
        <f>SUM($I$8:I39)</f>
        <v>66666666.559999958</v>
      </c>
      <c r="K40" s="85">
        <f t="shared" si="22"/>
        <v>33333333.440000042</v>
      </c>
      <c r="L40" s="79">
        <f>ROUND(C40*malumot!$B$85/H40,2)*G40</f>
        <v>1552823.17</v>
      </c>
      <c r="M40" s="79">
        <f t="shared" si="23"/>
        <v>3636156.5</v>
      </c>
      <c r="N40" s="79"/>
      <c r="O40" s="94" t="str">
        <f t="shared" si="24"/>
        <v>Вс</v>
      </c>
      <c r="P40" s="96">
        <f t="shared" si="25"/>
        <v>1</v>
      </c>
      <c r="Q40" s="96">
        <f>DAY(malumot!$B$79)+P40</f>
        <v>16</v>
      </c>
      <c r="R40" s="91">
        <f>IF(A40&lt;=malumot!$B$82,DATE(YEAR($B$8),MONTH($B$8)+A39,DAY(malumot!$B$79)),0)</f>
        <v>47041</v>
      </c>
      <c r="S40" s="77"/>
      <c r="T40" s="77"/>
      <c r="U40" s="77"/>
      <c r="V40" s="77"/>
    </row>
    <row r="41" spans="1:22" x14ac:dyDescent="0.25">
      <c r="A41" s="83">
        <f t="shared" si="26"/>
        <v>34</v>
      </c>
      <c r="B41" s="84">
        <f>IF(A41&lt;=malumot!$B$82,DATE(YEAR(R41),MONTH(R41),DAY(IF(A41=malumot!$B$82,malumot!$B$67,IF(A41&lt;malumot!$B$82,(Q41),IF(A41&gt;malumot!$B$82,$H$56,0))))))</f>
        <v>47072</v>
      </c>
      <c r="C41" s="48">
        <f t="shared" si="15"/>
        <v>31250000.110000059</v>
      </c>
      <c r="D41" s="48">
        <f t="shared" si="16"/>
        <v>2083333.33</v>
      </c>
      <c r="E41" s="48">
        <f t="shared" si="17"/>
        <v>1408811.4</v>
      </c>
      <c r="F41" s="48">
        <f t="shared" si="18"/>
        <v>3492144.73</v>
      </c>
      <c r="G41" s="77">
        <f t="shared" si="19"/>
        <v>30</v>
      </c>
      <c r="H41" s="77">
        <f t="shared" si="20"/>
        <v>366</v>
      </c>
      <c r="I41" s="85">
        <f t="shared" si="21"/>
        <v>2083333.33</v>
      </c>
      <c r="J41" s="85">
        <f>SUM($I$8:I40)</f>
        <v>68749999.889999956</v>
      </c>
      <c r="K41" s="85">
        <f t="shared" si="22"/>
        <v>31250000.110000044</v>
      </c>
      <c r="L41" s="79">
        <f>ROUND(C41*malumot!$B$85/H41,2)*G41</f>
        <v>1408811.4</v>
      </c>
      <c r="M41" s="79">
        <f t="shared" si="23"/>
        <v>3492144.73</v>
      </c>
      <c r="N41" s="79"/>
      <c r="O41" s="94" t="str">
        <f t="shared" si="24"/>
        <v>Ср</v>
      </c>
      <c r="P41" s="96">
        <f t="shared" si="25"/>
        <v>0</v>
      </c>
      <c r="Q41" s="96">
        <f>DAY(malumot!$B$79)+P41</f>
        <v>15</v>
      </c>
      <c r="R41" s="91">
        <f>IF(A41&lt;=malumot!$B$82,DATE(YEAR($B$8),MONTH($B$8)+A40,DAY(malumot!$B$79)),0)</f>
        <v>47072</v>
      </c>
      <c r="S41" s="77"/>
      <c r="T41" s="77"/>
      <c r="U41" s="77"/>
      <c r="V41" s="77"/>
    </row>
    <row r="42" spans="1:22" x14ac:dyDescent="0.25">
      <c r="A42" s="83">
        <f t="shared" si="26"/>
        <v>35</v>
      </c>
      <c r="B42" s="84">
        <f>IF(A42&lt;=malumot!$B$82,DATE(YEAR(R42),MONTH(R42),DAY(IF(A42=malumot!$B$82,malumot!$B$67,IF(A42&lt;malumot!$B$82,(Q42),IF(A42&gt;malumot!$B$82,$H$56,0))))))</f>
        <v>47102</v>
      </c>
      <c r="C42" s="48">
        <f t="shared" si="15"/>
        <v>29166666.780000061</v>
      </c>
      <c r="D42" s="48">
        <f t="shared" si="16"/>
        <v>2083333.33</v>
      </c>
      <c r="E42" s="48">
        <f t="shared" si="17"/>
        <v>1314890.7000000002</v>
      </c>
      <c r="F42" s="48">
        <f t="shared" si="18"/>
        <v>3398224.0300000003</v>
      </c>
      <c r="G42" s="77">
        <f t="shared" si="19"/>
        <v>30</v>
      </c>
      <c r="H42" s="77">
        <f t="shared" si="20"/>
        <v>366</v>
      </c>
      <c r="I42" s="85">
        <f t="shared" si="21"/>
        <v>2083333.33</v>
      </c>
      <c r="J42" s="85">
        <f>SUM($I$8:I41)</f>
        <v>70833333.219999954</v>
      </c>
      <c r="K42" s="85">
        <f t="shared" si="22"/>
        <v>29166666.780000046</v>
      </c>
      <c r="L42" s="79">
        <f>ROUND(C42*malumot!$B$85/H42,2)*G42</f>
        <v>1314890.7000000002</v>
      </c>
      <c r="M42" s="79">
        <f t="shared" si="23"/>
        <v>3398224.0300000003</v>
      </c>
      <c r="N42" s="79"/>
      <c r="O42" s="94" t="str">
        <f t="shared" si="24"/>
        <v>Пт</v>
      </c>
      <c r="P42" s="96">
        <f t="shared" si="25"/>
        <v>0</v>
      </c>
      <c r="Q42" s="96">
        <f>DAY(malumot!$B$79)+P42</f>
        <v>15</v>
      </c>
      <c r="R42" s="91">
        <f>IF(A42&lt;=malumot!$B$82,DATE(YEAR($B$8),MONTH($B$8)+A41,DAY(malumot!$B$79)),0)</f>
        <v>47102</v>
      </c>
      <c r="S42" s="77"/>
      <c r="T42" s="77"/>
      <c r="U42" s="77"/>
      <c r="V42" s="77"/>
    </row>
    <row r="43" spans="1:22" x14ac:dyDescent="0.25">
      <c r="A43" s="83">
        <f t="shared" ref="A43:A55" si="27">1+A42</f>
        <v>36</v>
      </c>
      <c r="B43" s="84">
        <f>IF(A43&lt;=malumot!$B$82,DATE(YEAR(R43),MONTH(R43),DAY(IF(A43=malumot!$B$82,malumot!$B$67,IF(A43&lt;malumot!$B$82,(Q43),IF(A43&gt;malumot!$B$82,$H$56,0))))))</f>
        <v>47133</v>
      </c>
      <c r="C43" s="48">
        <f t="shared" ref="C43" si="28">C42-D42</f>
        <v>27083333.450000063</v>
      </c>
      <c r="D43" s="48">
        <f t="shared" ref="D43" si="29">IF(C43=0,L43,IF(C43&gt;1,I43))</f>
        <v>2083333.33</v>
      </c>
      <c r="E43" s="48">
        <f t="shared" ref="E43" si="30">IF(C43=0,N42,IF(C43&gt;1,L43))</f>
        <v>1265125.5</v>
      </c>
      <c r="F43" s="48">
        <f t="shared" ref="F43" si="31">IF(C43=0,N42,IF(C43&gt;1,M43))</f>
        <v>3348458.83</v>
      </c>
      <c r="G43" s="77">
        <f t="shared" ref="G43" si="32">B43-B42</f>
        <v>31</v>
      </c>
      <c r="H43" s="77">
        <f t="shared" ref="H43" si="33">DATE(YEAR(B43),12,31)-DATE(YEAR(B43),1,1)+1</f>
        <v>365</v>
      </c>
      <c r="I43" s="85">
        <f t="shared" ref="I43" si="34">IF($L$5=A43,K43,IF($L$5&gt;A43,I42))</f>
        <v>2083333.33</v>
      </c>
      <c r="J43" s="85">
        <f>SUM($I$8:I42)</f>
        <v>72916666.549999952</v>
      </c>
      <c r="K43" s="85">
        <f t="shared" ref="K43" si="35">$J$12-J43</f>
        <v>27083333.450000048</v>
      </c>
      <c r="L43" s="79">
        <f>ROUND(C43*malumot!$B$85/H43,2)*G43</f>
        <v>1265125.5</v>
      </c>
      <c r="M43" s="79">
        <f t="shared" ref="M43" si="36">D43+E43</f>
        <v>3348458.83</v>
      </c>
      <c r="N43" s="79"/>
      <c r="O43" s="94" t="str">
        <f t="shared" ref="O43" si="37">TEXT(R43,"ддд")</f>
        <v>Пн</v>
      </c>
      <c r="P43" s="96">
        <f t="shared" ref="P43" si="38">IF(O43=$U$8,2,IF(O43=$V$8,1,0))</f>
        <v>0</v>
      </c>
      <c r="Q43" s="96">
        <f>DAY(malumot!$B$79)+P43</f>
        <v>15</v>
      </c>
      <c r="R43" s="91">
        <f>IF(A43&lt;=malumot!$B$82,DATE(YEAR($B$8),MONTH($B$8)+A42,DAY(malumot!$B$79)),0)</f>
        <v>47133</v>
      </c>
      <c r="S43" s="77"/>
      <c r="T43" s="77"/>
      <c r="U43" s="77"/>
      <c r="V43" s="77"/>
    </row>
    <row r="44" spans="1:22" x14ac:dyDescent="0.25">
      <c r="A44" s="83">
        <f t="shared" si="27"/>
        <v>37</v>
      </c>
      <c r="B44" s="84">
        <f>IF(A44&lt;=malumot!$B$82,DATE(YEAR(R44),MONTH(R44),DAY(IF(A44=malumot!$B$82,malumot!$B$67,IF(A44&lt;malumot!$B$82,(Q44),IF(A44&gt;malumot!$B$82,$H$56,0))))))</f>
        <v>47164</v>
      </c>
      <c r="C44" s="48">
        <f t="shared" ref="C44:C55" si="39">C43-D43</f>
        <v>25000000.120000064</v>
      </c>
      <c r="D44" s="48">
        <f t="shared" ref="D44:D55" si="40">IF(C44=0,L44,IF(C44&gt;1,I44))</f>
        <v>2083333.33</v>
      </c>
      <c r="E44" s="48">
        <f t="shared" ref="E44:E55" si="41">IF(C44=0,N43,IF(C44&gt;1,L44))</f>
        <v>1167808.1300000001</v>
      </c>
      <c r="F44" s="48">
        <f t="shared" ref="F44:F55" si="42">IF(C44=0,N43,IF(C44&gt;1,M44))</f>
        <v>3251141.46</v>
      </c>
      <c r="G44" s="77">
        <f t="shared" ref="G44:G55" si="43">B44-B43</f>
        <v>31</v>
      </c>
      <c r="H44" s="77">
        <f t="shared" ref="H44:H55" si="44">DATE(YEAR(B44),12,31)-DATE(YEAR(B44),1,1)+1</f>
        <v>365</v>
      </c>
      <c r="I44" s="85">
        <f t="shared" ref="I44:I55" si="45">IF($L$5=A44,K44,IF($L$5&gt;A44,I43))</f>
        <v>2083333.33</v>
      </c>
      <c r="J44" s="85">
        <f>SUM($I$8:I43)</f>
        <v>74999999.879999951</v>
      </c>
      <c r="K44" s="85">
        <f t="shared" ref="K44:K55" si="46">$J$12-J44</f>
        <v>25000000.120000049</v>
      </c>
      <c r="L44" s="79">
        <f>ROUND(C44*malumot!$B$85/H44,2)*G44</f>
        <v>1167808.1300000001</v>
      </c>
      <c r="M44" s="79">
        <f t="shared" ref="M44:M55" si="47">D44+E44</f>
        <v>3251141.46</v>
      </c>
      <c r="N44" s="79"/>
      <c r="O44" s="94" t="str">
        <f t="shared" ref="O44:O55" si="48">TEXT(R44,"ддд")</f>
        <v>Чт</v>
      </c>
      <c r="P44" s="96">
        <f t="shared" ref="P44:P55" si="49">IF(O44=$U$8,2,IF(O44=$V$8,1,0))</f>
        <v>0</v>
      </c>
      <c r="Q44" s="96">
        <f>DAY(malumot!$B$79)+P44</f>
        <v>15</v>
      </c>
      <c r="R44" s="91">
        <f>IF(A44&lt;=malumot!$B$82,DATE(YEAR($B$8),MONTH($B$8)+A43,DAY(malumot!$B$79)),0)</f>
        <v>47164</v>
      </c>
      <c r="S44" s="77"/>
      <c r="T44" s="77"/>
      <c r="U44" s="77"/>
      <c r="V44" s="77"/>
    </row>
    <row r="45" spans="1:22" x14ac:dyDescent="0.25">
      <c r="A45" s="83">
        <f t="shared" si="27"/>
        <v>38</v>
      </c>
      <c r="B45" s="84">
        <f>IF(A45&lt;=malumot!$B$82,DATE(YEAR(R45),MONTH(R45),DAY(IF(A45=malumot!$B$82,malumot!$B$67,IF(A45&lt;malumot!$B$82,(Q45),IF(A45&gt;malumot!$B$82,$H$56,0))))))</f>
        <v>47192</v>
      </c>
      <c r="C45" s="48">
        <f t="shared" si="39"/>
        <v>22916666.790000066</v>
      </c>
      <c r="D45" s="48">
        <f t="shared" si="40"/>
        <v>2083333.33</v>
      </c>
      <c r="E45" s="48">
        <f t="shared" si="41"/>
        <v>966894.88</v>
      </c>
      <c r="F45" s="48">
        <f t="shared" si="42"/>
        <v>3050228.21</v>
      </c>
      <c r="G45" s="77">
        <f t="shared" si="43"/>
        <v>28</v>
      </c>
      <c r="H45" s="77">
        <f t="shared" si="44"/>
        <v>365</v>
      </c>
      <c r="I45" s="85">
        <f t="shared" si="45"/>
        <v>2083333.33</v>
      </c>
      <c r="J45" s="85">
        <f>SUM($I$8:I44)</f>
        <v>77083333.209999949</v>
      </c>
      <c r="K45" s="85">
        <f t="shared" si="46"/>
        <v>22916666.790000051</v>
      </c>
      <c r="L45" s="79">
        <f>ROUND(C45*malumot!$B$85/H45,2)*G45</f>
        <v>966894.88</v>
      </c>
      <c r="M45" s="79">
        <f t="shared" si="47"/>
        <v>3050228.21</v>
      </c>
      <c r="N45" s="79"/>
      <c r="O45" s="94" t="str">
        <f t="shared" si="48"/>
        <v>Чт</v>
      </c>
      <c r="P45" s="96">
        <f t="shared" si="49"/>
        <v>0</v>
      </c>
      <c r="Q45" s="96">
        <f>DAY(malumot!$B$79)+P45</f>
        <v>15</v>
      </c>
      <c r="R45" s="91">
        <f>IF(A45&lt;=malumot!$B$82,DATE(YEAR($B$8),MONTH($B$8)+A44,DAY(malumot!$B$79)),0)</f>
        <v>47192</v>
      </c>
      <c r="S45" s="77"/>
      <c r="T45" s="77"/>
      <c r="U45" s="77"/>
      <c r="V45" s="77"/>
    </row>
    <row r="46" spans="1:22" x14ac:dyDescent="0.25">
      <c r="A46" s="83">
        <f t="shared" si="27"/>
        <v>39</v>
      </c>
      <c r="B46" s="84">
        <f>IF(A46&lt;=malumot!$B$82,DATE(YEAR(R46),MONTH(R46),DAY(IF(A46=malumot!$B$82,malumot!$B$67,IF(A46&lt;malumot!$B$82,(Q46),IF(A46&gt;malumot!$B$82,$H$56,0))))))</f>
        <v>47224</v>
      </c>
      <c r="C46" s="48">
        <f t="shared" si="39"/>
        <v>20833333.460000068</v>
      </c>
      <c r="D46" s="48">
        <f t="shared" si="40"/>
        <v>2083333.33</v>
      </c>
      <c r="E46" s="48">
        <f t="shared" si="41"/>
        <v>1004566.08</v>
      </c>
      <c r="F46" s="48">
        <f t="shared" si="42"/>
        <v>3087899.41</v>
      </c>
      <c r="G46" s="77">
        <f t="shared" si="43"/>
        <v>32</v>
      </c>
      <c r="H46" s="77">
        <f t="shared" si="44"/>
        <v>365</v>
      </c>
      <c r="I46" s="85">
        <f t="shared" si="45"/>
        <v>2083333.33</v>
      </c>
      <c r="J46" s="85">
        <f>SUM($I$8:I45)</f>
        <v>79166666.539999947</v>
      </c>
      <c r="K46" s="85">
        <f t="shared" si="46"/>
        <v>20833333.460000053</v>
      </c>
      <c r="L46" s="79">
        <f>ROUND(C46*malumot!$B$85/H46,2)*G46</f>
        <v>1004566.08</v>
      </c>
      <c r="M46" s="79">
        <f t="shared" si="47"/>
        <v>3087899.41</v>
      </c>
      <c r="N46" s="79"/>
      <c r="O46" s="94" t="str">
        <f t="shared" si="48"/>
        <v>Вс</v>
      </c>
      <c r="P46" s="96">
        <f t="shared" si="49"/>
        <v>1</v>
      </c>
      <c r="Q46" s="96">
        <f>DAY(malumot!$B$79)+P46</f>
        <v>16</v>
      </c>
      <c r="R46" s="91">
        <f>IF(A46&lt;=malumot!$B$82,DATE(YEAR($B$8),MONTH($B$8)+A45,DAY(malumot!$B$79)),0)</f>
        <v>47223</v>
      </c>
      <c r="S46" s="77"/>
      <c r="T46" s="77"/>
      <c r="U46" s="77"/>
      <c r="V46" s="77"/>
    </row>
    <row r="47" spans="1:22" x14ac:dyDescent="0.25">
      <c r="A47" s="83">
        <f t="shared" si="27"/>
        <v>40</v>
      </c>
      <c r="B47" s="84">
        <f>IF(A47&lt;=malumot!$B$82,DATE(YEAR(R47),MONTH(R47),DAY(IF(A47=malumot!$B$82,malumot!$B$67,IF(A47&lt;malumot!$B$82,(Q47),IF(A47&gt;malumot!$B$82,$H$56,0))))))</f>
        <v>47253</v>
      </c>
      <c r="C47" s="48">
        <f t="shared" si="39"/>
        <v>18750000.13000007</v>
      </c>
      <c r="D47" s="48">
        <f t="shared" si="40"/>
        <v>2083333.33</v>
      </c>
      <c r="E47" s="48">
        <f t="shared" si="41"/>
        <v>819349.17999999993</v>
      </c>
      <c r="F47" s="48">
        <f t="shared" si="42"/>
        <v>2902682.51</v>
      </c>
      <c r="G47" s="77">
        <f t="shared" si="43"/>
        <v>29</v>
      </c>
      <c r="H47" s="77">
        <f t="shared" si="44"/>
        <v>365</v>
      </c>
      <c r="I47" s="85">
        <f t="shared" si="45"/>
        <v>2083333.33</v>
      </c>
      <c r="J47" s="85">
        <f>SUM($I$8:I46)</f>
        <v>81249999.869999945</v>
      </c>
      <c r="K47" s="85">
        <f t="shared" si="46"/>
        <v>18750000.130000055</v>
      </c>
      <c r="L47" s="79">
        <f>ROUND(C47*malumot!$B$85/H47,2)*G47</f>
        <v>819349.17999999993</v>
      </c>
      <c r="M47" s="79">
        <f t="shared" si="47"/>
        <v>2902682.51</v>
      </c>
      <c r="N47" s="79"/>
      <c r="O47" s="94" t="str">
        <f t="shared" si="48"/>
        <v>Вт</v>
      </c>
      <c r="P47" s="96">
        <f t="shared" si="49"/>
        <v>0</v>
      </c>
      <c r="Q47" s="96">
        <f>DAY(malumot!$B$79)+P47</f>
        <v>15</v>
      </c>
      <c r="R47" s="91">
        <f>IF(A47&lt;=malumot!$B$82,DATE(YEAR($B$8),MONTH($B$8)+A46,DAY(malumot!$B$79)),0)</f>
        <v>47253</v>
      </c>
      <c r="S47" s="77"/>
      <c r="T47" s="77"/>
      <c r="U47" s="77"/>
      <c r="V47" s="77"/>
    </row>
    <row r="48" spans="1:22" x14ac:dyDescent="0.25">
      <c r="A48" s="83">
        <f t="shared" si="27"/>
        <v>41</v>
      </c>
      <c r="B48" s="84">
        <f>IF(A48&lt;=malumot!$B$82,DATE(YEAR(R48),MONTH(R48),DAY(IF(A48=malumot!$B$82,malumot!$B$67,IF(A48&lt;malumot!$B$82,(Q48),IF(A48&gt;malumot!$B$82,$H$56,0))))))</f>
        <v>47284</v>
      </c>
      <c r="C48" s="48">
        <f t="shared" si="39"/>
        <v>16666666.80000007</v>
      </c>
      <c r="D48" s="48">
        <f t="shared" si="40"/>
        <v>2083333.33</v>
      </c>
      <c r="E48" s="48">
        <f t="shared" si="41"/>
        <v>778538.96</v>
      </c>
      <c r="F48" s="48">
        <f t="shared" si="42"/>
        <v>2861872.29</v>
      </c>
      <c r="G48" s="77">
        <f t="shared" si="43"/>
        <v>31</v>
      </c>
      <c r="H48" s="77">
        <f t="shared" si="44"/>
        <v>365</v>
      </c>
      <c r="I48" s="85">
        <f t="shared" si="45"/>
        <v>2083333.33</v>
      </c>
      <c r="J48" s="85">
        <f>SUM($I$8:I47)</f>
        <v>83333333.199999943</v>
      </c>
      <c r="K48" s="85">
        <f t="shared" si="46"/>
        <v>16666666.800000057</v>
      </c>
      <c r="L48" s="79">
        <f>ROUND(C48*malumot!$B$85/H48,2)*G48</f>
        <v>778538.96</v>
      </c>
      <c r="M48" s="79">
        <f t="shared" si="47"/>
        <v>2861872.29</v>
      </c>
      <c r="N48" s="79"/>
      <c r="O48" s="94" t="str">
        <f t="shared" si="48"/>
        <v>Пт</v>
      </c>
      <c r="P48" s="96">
        <f t="shared" si="49"/>
        <v>0</v>
      </c>
      <c r="Q48" s="96">
        <f>DAY(malumot!$B$79)+P48</f>
        <v>15</v>
      </c>
      <c r="R48" s="91">
        <f>IF(A48&lt;=malumot!$B$82,DATE(YEAR($B$8),MONTH($B$8)+A47,DAY(malumot!$B$79)),0)</f>
        <v>47284</v>
      </c>
      <c r="S48" s="77"/>
      <c r="T48" s="77"/>
      <c r="U48" s="77"/>
      <c r="V48" s="77"/>
    </row>
    <row r="49" spans="1:22" x14ac:dyDescent="0.25">
      <c r="A49" s="83">
        <f t="shared" si="27"/>
        <v>42</v>
      </c>
      <c r="B49" s="84">
        <f>IF(A49&lt;=malumot!$B$82,DATE(YEAR(R49),MONTH(R49),DAY(IF(A49=malumot!$B$82,malumot!$B$67,IF(A49&lt;malumot!$B$82,(Q49),IF(A49&gt;malumot!$B$82,$H$56,0))))))</f>
        <v>47315</v>
      </c>
      <c r="C49" s="48">
        <f t="shared" si="39"/>
        <v>14583333.47000007</v>
      </c>
      <c r="D49" s="48">
        <f t="shared" si="40"/>
        <v>2083333.33</v>
      </c>
      <c r="E49" s="48">
        <f t="shared" si="41"/>
        <v>681221.59</v>
      </c>
      <c r="F49" s="48">
        <f t="shared" si="42"/>
        <v>2764554.92</v>
      </c>
      <c r="G49" s="77">
        <f t="shared" si="43"/>
        <v>31</v>
      </c>
      <c r="H49" s="77">
        <f t="shared" si="44"/>
        <v>365</v>
      </c>
      <c r="I49" s="85">
        <f t="shared" si="45"/>
        <v>2083333.33</v>
      </c>
      <c r="J49" s="85">
        <f>SUM($I$8:I48)</f>
        <v>85416666.529999942</v>
      </c>
      <c r="K49" s="85">
        <f t="shared" si="46"/>
        <v>14583333.470000058</v>
      </c>
      <c r="L49" s="79">
        <f>ROUND(C49*malumot!$B$85/H49,2)*G49</f>
        <v>681221.59</v>
      </c>
      <c r="M49" s="79">
        <f t="shared" si="47"/>
        <v>2764554.92</v>
      </c>
      <c r="N49" s="79"/>
      <c r="O49" s="94" t="str">
        <f t="shared" si="48"/>
        <v>Вс</v>
      </c>
      <c r="P49" s="96">
        <f t="shared" si="49"/>
        <v>1</v>
      </c>
      <c r="Q49" s="96">
        <f>DAY(malumot!$B$79)+P49</f>
        <v>16</v>
      </c>
      <c r="R49" s="91">
        <f>IF(A49&lt;=malumot!$B$82,DATE(YEAR($B$8),MONTH($B$8)+A48,DAY(malumot!$B$79)),0)</f>
        <v>47314</v>
      </c>
      <c r="S49" s="77"/>
      <c r="T49" s="77"/>
      <c r="U49" s="77"/>
      <c r="V49" s="77"/>
    </row>
    <row r="50" spans="1:22" x14ac:dyDescent="0.25">
      <c r="A50" s="83">
        <f t="shared" si="27"/>
        <v>43</v>
      </c>
      <c r="B50" s="84">
        <f>IF(A50&lt;=malumot!$B$82,DATE(YEAR(R50),MONTH(R50),DAY(IF(A50=malumot!$B$82,malumot!$B$67,IF(A50&lt;malumot!$B$82,(Q50),IF(A50&gt;malumot!$B$82,$H$56,0))))))</f>
        <v>47345</v>
      </c>
      <c r="C50" s="48">
        <f t="shared" si="39"/>
        <v>12500000.14000007</v>
      </c>
      <c r="D50" s="48">
        <f t="shared" si="40"/>
        <v>2083333.33</v>
      </c>
      <c r="E50" s="48">
        <f t="shared" si="41"/>
        <v>565068.6</v>
      </c>
      <c r="F50" s="48">
        <f t="shared" si="42"/>
        <v>2648401.9300000002</v>
      </c>
      <c r="G50" s="77">
        <f t="shared" si="43"/>
        <v>30</v>
      </c>
      <c r="H50" s="77">
        <f t="shared" si="44"/>
        <v>365</v>
      </c>
      <c r="I50" s="85">
        <f t="shared" si="45"/>
        <v>2083333.33</v>
      </c>
      <c r="J50" s="85">
        <f>SUM($I$8:I49)</f>
        <v>87499999.85999994</v>
      </c>
      <c r="K50" s="85">
        <f t="shared" si="46"/>
        <v>12500000.14000006</v>
      </c>
      <c r="L50" s="79">
        <f>ROUND(C50*malumot!$B$85/H50,2)*G50</f>
        <v>565068.6</v>
      </c>
      <c r="M50" s="79">
        <f t="shared" si="47"/>
        <v>2648401.9300000002</v>
      </c>
      <c r="N50" s="79"/>
      <c r="O50" s="94" t="str">
        <f t="shared" si="48"/>
        <v>Ср</v>
      </c>
      <c r="P50" s="96">
        <f t="shared" si="49"/>
        <v>0</v>
      </c>
      <c r="Q50" s="96">
        <f>DAY(malumot!$B$79)+P50</f>
        <v>15</v>
      </c>
      <c r="R50" s="91">
        <f>IF(A50&lt;=malumot!$B$82,DATE(YEAR($B$8),MONTH($B$8)+A49,DAY(malumot!$B$79)),0)</f>
        <v>47345</v>
      </c>
      <c r="S50" s="77"/>
      <c r="T50" s="77"/>
      <c r="U50" s="77"/>
      <c r="V50" s="77"/>
    </row>
    <row r="51" spans="1:22" x14ac:dyDescent="0.25">
      <c r="A51" s="83">
        <f t="shared" si="27"/>
        <v>44</v>
      </c>
      <c r="B51" s="84">
        <f>IF(A51&lt;=malumot!$B$82,DATE(YEAR(R51),MONTH(R51),DAY(IF(A51=malumot!$B$82,malumot!$B$67,IF(A51&lt;malumot!$B$82,(Q51),IF(A51&gt;malumot!$B$82,$H$56,0))))))</f>
        <v>47378</v>
      </c>
      <c r="C51" s="48">
        <f t="shared" si="39"/>
        <v>10416666.810000069</v>
      </c>
      <c r="D51" s="48">
        <f t="shared" si="40"/>
        <v>2083333.33</v>
      </c>
      <c r="E51" s="48">
        <f t="shared" si="41"/>
        <v>517979.55</v>
      </c>
      <c r="F51" s="48">
        <f t="shared" si="42"/>
        <v>2601312.88</v>
      </c>
      <c r="G51" s="77">
        <f t="shared" si="43"/>
        <v>33</v>
      </c>
      <c r="H51" s="77">
        <f t="shared" si="44"/>
        <v>365</v>
      </c>
      <c r="I51" s="85">
        <f t="shared" si="45"/>
        <v>2083333.33</v>
      </c>
      <c r="J51" s="85">
        <f>SUM($I$8:I50)</f>
        <v>89583333.189999938</v>
      </c>
      <c r="K51" s="85">
        <f t="shared" si="46"/>
        <v>10416666.810000062</v>
      </c>
      <c r="L51" s="79">
        <f>ROUND(C51*malumot!$B$85/H51,2)*G51</f>
        <v>517979.55</v>
      </c>
      <c r="M51" s="79">
        <f t="shared" si="47"/>
        <v>2601312.88</v>
      </c>
      <c r="N51" s="79"/>
      <c r="O51" s="94" t="str">
        <f t="shared" si="48"/>
        <v>Сб</v>
      </c>
      <c r="P51" s="96">
        <f t="shared" si="49"/>
        <v>2</v>
      </c>
      <c r="Q51" s="96">
        <f>DAY(malumot!$B$79)+P51</f>
        <v>17</v>
      </c>
      <c r="R51" s="91">
        <f>IF(A51&lt;=malumot!$B$82,DATE(YEAR($B$8),MONTH($B$8)+A50,DAY(malumot!$B$79)),0)</f>
        <v>47376</v>
      </c>
      <c r="S51" s="77"/>
      <c r="T51" s="77"/>
      <c r="U51" s="77"/>
      <c r="V51" s="77"/>
    </row>
    <row r="52" spans="1:22" x14ac:dyDescent="0.25">
      <c r="A52" s="83">
        <f t="shared" si="27"/>
        <v>45</v>
      </c>
      <c r="B52" s="84">
        <f>IF(A52&lt;=malumot!$B$82,DATE(YEAR(R52),MONTH(R52),DAY(IF(A52=malumot!$B$82,malumot!$B$67,IF(A52&lt;malumot!$B$82,(Q52),IF(A52&gt;malumot!$B$82,$H$56,0))))))</f>
        <v>47406</v>
      </c>
      <c r="C52" s="48">
        <f t="shared" si="39"/>
        <v>8333333.4800000694</v>
      </c>
      <c r="D52" s="48">
        <f t="shared" si="40"/>
        <v>2083333.33</v>
      </c>
      <c r="E52" s="48">
        <f t="shared" si="41"/>
        <v>351598.24</v>
      </c>
      <c r="F52" s="48">
        <f t="shared" si="42"/>
        <v>2434931.5700000003</v>
      </c>
      <c r="G52" s="77">
        <f t="shared" si="43"/>
        <v>28</v>
      </c>
      <c r="H52" s="77">
        <f t="shared" si="44"/>
        <v>365</v>
      </c>
      <c r="I52" s="85">
        <f t="shared" si="45"/>
        <v>2083333.33</v>
      </c>
      <c r="J52" s="85">
        <f>SUM($I$8:I51)</f>
        <v>91666666.519999936</v>
      </c>
      <c r="K52" s="85">
        <f t="shared" si="46"/>
        <v>8333333.4800000638</v>
      </c>
      <c r="L52" s="79">
        <f>ROUND(C52*malumot!$B$85/H52,2)*G52</f>
        <v>351598.24</v>
      </c>
      <c r="M52" s="79">
        <f t="shared" si="47"/>
        <v>2434931.5700000003</v>
      </c>
      <c r="N52" s="79"/>
      <c r="O52" s="94" t="str">
        <f t="shared" si="48"/>
        <v>Пн</v>
      </c>
      <c r="P52" s="96">
        <f t="shared" si="49"/>
        <v>0</v>
      </c>
      <c r="Q52" s="96">
        <f>DAY(malumot!$B$79)+P52</f>
        <v>15</v>
      </c>
      <c r="R52" s="91">
        <f>IF(A52&lt;=malumot!$B$82,DATE(YEAR($B$8),MONTH($B$8)+A51,DAY(malumot!$B$79)),0)</f>
        <v>47406</v>
      </c>
      <c r="S52" s="77"/>
      <c r="T52" s="77"/>
      <c r="U52" s="77"/>
      <c r="V52" s="77"/>
    </row>
    <row r="53" spans="1:22" x14ac:dyDescent="0.25">
      <c r="A53" s="83">
        <f t="shared" si="27"/>
        <v>46</v>
      </c>
      <c r="B53" s="84">
        <f>IF(A53&lt;=malumot!$B$82,DATE(YEAR(R53),MONTH(R53),DAY(IF(A53=malumot!$B$82,malumot!$B$67,IF(A53&lt;malumot!$B$82,(Q53),IF(A53&gt;malumot!$B$82,$H$56,0))))))</f>
        <v>47437</v>
      </c>
      <c r="C53" s="48">
        <f t="shared" si="39"/>
        <v>6250000.1500000693</v>
      </c>
      <c r="D53" s="48">
        <f t="shared" si="40"/>
        <v>2083333.33</v>
      </c>
      <c r="E53" s="48">
        <f t="shared" si="41"/>
        <v>291952.11</v>
      </c>
      <c r="F53" s="48">
        <f t="shared" si="42"/>
        <v>2375285.44</v>
      </c>
      <c r="G53" s="77">
        <f t="shared" si="43"/>
        <v>31</v>
      </c>
      <c r="H53" s="77">
        <f t="shared" si="44"/>
        <v>365</v>
      </c>
      <c r="I53" s="85">
        <f t="shared" si="45"/>
        <v>2083333.33</v>
      </c>
      <c r="J53" s="85">
        <f>SUM($I$8:I52)</f>
        <v>93749999.849999934</v>
      </c>
      <c r="K53" s="85">
        <f t="shared" si="46"/>
        <v>6250000.1500000656</v>
      </c>
      <c r="L53" s="79">
        <f>ROUND(C53*malumot!$B$85/H53,2)*G53</f>
        <v>291952.11</v>
      </c>
      <c r="M53" s="79">
        <f t="shared" si="47"/>
        <v>2375285.44</v>
      </c>
      <c r="N53" s="79"/>
      <c r="O53" s="94" t="str">
        <f t="shared" si="48"/>
        <v>Чт</v>
      </c>
      <c r="P53" s="96">
        <f t="shared" si="49"/>
        <v>0</v>
      </c>
      <c r="Q53" s="96">
        <f>DAY(malumot!$B$79)+P53</f>
        <v>15</v>
      </c>
      <c r="R53" s="91">
        <f>IF(A53&lt;=malumot!$B$82,DATE(YEAR($B$8),MONTH($B$8)+A52,DAY(malumot!$B$79)),0)</f>
        <v>47437</v>
      </c>
      <c r="S53" s="77"/>
      <c r="T53" s="77"/>
      <c r="U53" s="77"/>
      <c r="V53" s="77"/>
    </row>
    <row r="54" spans="1:22" x14ac:dyDescent="0.25">
      <c r="A54" s="83">
        <f t="shared" si="27"/>
        <v>47</v>
      </c>
      <c r="B54" s="84">
        <f>IF(A54&lt;=malumot!$B$82,DATE(YEAR(R54),MONTH(R54),DAY(IF(A54=malumot!$B$82,malumot!$B$67,IF(A54&lt;malumot!$B$82,(Q54),IF(A54&gt;malumot!$B$82,$H$56,0))))))</f>
        <v>47469</v>
      </c>
      <c r="C54" s="48">
        <f t="shared" si="39"/>
        <v>4166666.8200000692</v>
      </c>
      <c r="D54" s="48">
        <f t="shared" si="40"/>
        <v>2083333.33</v>
      </c>
      <c r="E54" s="48">
        <f t="shared" si="41"/>
        <v>200913.28</v>
      </c>
      <c r="F54" s="48">
        <f t="shared" si="42"/>
        <v>2284246.61</v>
      </c>
      <c r="G54" s="77">
        <f t="shared" si="43"/>
        <v>32</v>
      </c>
      <c r="H54" s="77">
        <f t="shared" si="44"/>
        <v>365</v>
      </c>
      <c r="I54" s="85">
        <f t="shared" si="45"/>
        <v>2083333.33</v>
      </c>
      <c r="J54" s="85">
        <f>SUM($I$8:I53)</f>
        <v>95833333.179999933</v>
      </c>
      <c r="K54" s="85">
        <f t="shared" si="46"/>
        <v>4166666.8200000674</v>
      </c>
      <c r="L54" s="79">
        <f>ROUND(C54*malumot!$B$85/H54,2)*G54</f>
        <v>200913.28</v>
      </c>
      <c r="M54" s="79">
        <f t="shared" si="47"/>
        <v>2284246.61</v>
      </c>
      <c r="N54" s="79"/>
      <c r="O54" s="94" t="str">
        <f t="shared" si="48"/>
        <v>Сб</v>
      </c>
      <c r="P54" s="96">
        <f t="shared" si="49"/>
        <v>2</v>
      </c>
      <c r="Q54" s="96">
        <f>DAY(malumot!$B$79)+P54</f>
        <v>17</v>
      </c>
      <c r="R54" s="91">
        <f>IF(A54&lt;=malumot!$B$82,DATE(YEAR($B$8),MONTH($B$8)+A53,DAY(malumot!$B$79)),0)</f>
        <v>47467</v>
      </c>
      <c r="S54" s="77"/>
      <c r="T54" s="77"/>
      <c r="U54" s="77"/>
      <c r="V54" s="77"/>
    </row>
    <row r="55" spans="1:22" x14ac:dyDescent="0.25">
      <c r="A55" s="83">
        <f t="shared" si="27"/>
        <v>48</v>
      </c>
      <c r="B55" s="84">
        <f>IF(A55&lt;=malumot!$B$82,DATE(YEAR(R55),MONTH(R55),DAY(IF(A55=malumot!$B$82,malumot!$B$67,IF(A55&lt;malumot!$B$82,(Q55),IF(A55&gt;malumot!$B$82,$H$56,0))))))</f>
        <v>47512</v>
      </c>
      <c r="C55" s="48">
        <f t="shared" si="39"/>
        <v>2083333.4900000691</v>
      </c>
      <c r="D55" s="48">
        <f t="shared" si="40"/>
        <v>2083333.4900000691</v>
      </c>
      <c r="E55" s="48">
        <f t="shared" si="41"/>
        <v>134988.60999999999</v>
      </c>
      <c r="F55" s="48">
        <f t="shared" si="42"/>
        <v>2218322.100000069</v>
      </c>
      <c r="G55" s="77">
        <f t="shared" si="43"/>
        <v>43</v>
      </c>
      <c r="H55" s="77">
        <f t="shared" si="44"/>
        <v>365</v>
      </c>
      <c r="I55" s="85">
        <f t="shared" si="45"/>
        <v>2083333.4900000691</v>
      </c>
      <c r="J55" s="85">
        <f>SUM($I$8:I54)</f>
        <v>97916666.509999931</v>
      </c>
      <c r="K55" s="85">
        <f t="shared" si="46"/>
        <v>2083333.4900000691</v>
      </c>
      <c r="L55" s="79">
        <f>ROUND(C55*malumot!$B$85/H55,2)*G55</f>
        <v>134988.60999999999</v>
      </c>
      <c r="M55" s="79">
        <f t="shared" si="47"/>
        <v>2218322.100000069</v>
      </c>
      <c r="N55" s="79"/>
      <c r="O55" s="94" t="str">
        <f t="shared" si="48"/>
        <v>Вт</v>
      </c>
      <c r="P55" s="96">
        <f t="shared" si="49"/>
        <v>0</v>
      </c>
      <c r="Q55" s="96">
        <f>DAY(malumot!$B$79)+P55</f>
        <v>15</v>
      </c>
      <c r="R55" s="91">
        <f>IF(A55&lt;=malumot!$B$82,DATE(YEAR($B$8),MONTH($B$8)+A54,DAY(malumot!$B$79)),0)</f>
        <v>47498</v>
      </c>
      <c r="S55" s="77"/>
      <c r="T55" s="77"/>
      <c r="U55" s="77"/>
      <c r="V55" s="77"/>
    </row>
    <row r="56" spans="1:22" x14ac:dyDescent="0.25">
      <c r="A56" s="86"/>
      <c r="B56" s="87" t="s">
        <v>6</v>
      </c>
      <c r="C56" s="88"/>
      <c r="D56" s="88">
        <f>SUM(D8:D55)</f>
        <v>100000000</v>
      </c>
      <c r="E56" s="88">
        <f t="shared" ref="E56:F56" si="50">SUM(E8:E55)</f>
        <v>110183578.13000003</v>
      </c>
      <c r="F56" s="88">
        <f t="shared" si="50"/>
        <v>210183578.13000005</v>
      </c>
    </row>
    <row r="57" spans="1:22" ht="9" customHeight="1" x14ac:dyDescent="0.25">
      <c r="B57" s="89"/>
      <c r="C57" s="90"/>
      <c r="D57" s="90"/>
      <c r="E57" s="90"/>
      <c r="F57" s="90"/>
    </row>
    <row r="58" spans="1:22" ht="47.25" customHeight="1" x14ac:dyDescent="0.25">
      <c r="A58" s="290" t="s">
        <v>17</v>
      </c>
      <c r="B58" s="290"/>
      <c r="C58" s="290"/>
      <c r="D58" s="290"/>
      <c r="E58" s="290"/>
      <c r="F58" s="290"/>
    </row>
    <row r="59" spans="1:22" ht="7.5" customHeight="1" x14ac:dyDescent="0.25"/>
    <row r="60" spans="1:22" x14ac:dyDescent="0.25">
      <c r="A60" s="291" t="e">
        <f>#REF!</f>
        <v>#REF!</v>
      </c>
      <c r="B60" s="291"/>
      <c r="C60" s="291"/>
      <c r="D60" s="291" t="e">
        <f>#REF!</f>
        <v>#REF!</v>
      </c>
      <c r="E60" s="291"/>
      <c r="F60" s="291"/>
    </row>
    <row r="61" spans="1:22" ht="11.25" customHeight="1" x14ac:dyDescent="0.25">
      <c r="A61" s="292"/>
      <c r="B61" s="292"/>
      <c r="C61" s="292"/>
      <c r="D61" s="292"/>
      <c r="E61" s="292"/>
      <c r="F61" s="292"/>
    </row>
    <row r="62" spans="1:22" ht="30" customHeight="1" x14ac:dyDescent="0.25">
      <c r="A62" s="289" t="e">
        <f>#REF!</f>
        <v>#REF!</v>
      </c>
      <c r="B62" s="289"/>
      <c r="C62" s="289"/>
      <c r="D62" s="289" t="e">
        <f>#REF!</f>
        <v>#REF!</v>
      </c>
      <c r="E62" s="289"/>
      <c r="F62" s="289"/>
    </row>
    <row r="63" spans="1:22" ht="32.25" customHeight="1" x14ac:dyDescent="0.25">
      <c r="A63" s="285" t="e">
        <f>#REF!</f>
        <v>#REF!</v>
      </c>
      <c r="B63" s="285"/>
      <c r="C63" s="285"/>
      <c r="D63" s="285" t="e">
        <f>#REF!</f>
        <v>#REF!</v>
      </c>
      <c r="E63" s="285"/>
      <c r="F63" s="285"/>
    </row>
    <row r="64" spans="1:22" x14ac:dyDescent="0.25">
      <c r="A64" s="285" t="e">
        <f>#REF!</f>
        <v>#REF!</v>
      </c>
      <c r="B64" s="285"/>
      <c r="C64" s="285"/>
      <c r="D64" s="285" t="str">
        <f>"паспорт серии "&amp;malumot!B16&amp;", "&amp;malumot!B20&amp;""</f>
        <v>паспорт серии AE1115640, IIV12208 tomonidan 09.01.2025 yilda berilgan</v>
      </c>
      <c r="E64" s="285"/>
      <c r="F64" s="285"/>
    </row>
    <row r="65" spans="1:6" ht="32.25" customHeight="1" x14ac:dyDescent="0.25">
      <c r="A65" s="285" t="e">
        <f>#REF!</f>
        <v>#REF!</v>
      </c>
      <c r="B65" s="285"/>
      <c r="C65" s="285"/>
      <c r="D65" s="285"/>
      <c r="E65" s="285"/>
      <c r="F65" s="285"/>
    </row>
    <row r="66" spans="1:6" x14ac:dyDescent="0.25">
      <c r="A66" s="285" t="e">
        <f>#REF!</f>
        <v>#REF!</v>
      </c>
      <c r="B66" s="285"/>
      <c r="C66" s="285"/>
      <c r="D66" s="285" t="e">
        <f>#REF!</f>
        <v>#REF!</v>
      </c>
      <c r="E66" s="285"/>
      <c r="F66" s="285"/>
    </row>
    <row r="67" spans="1:6" x14ac:dyDescent="0.25">
      <c r="A67" s="285" t="e">
        <f>#REF!</f>
        <v>#REF!</v>
      </c>
      <c r="B67" s="285"/>
      <c r="C67" s="285"/>
      <c r="D67" s="285" t="e">
        <f>#REF!</f>
        <v>#REF!</v>
      </c>
      <c r="E67" s="285"/>
      <c r="F67" s="285"/>
    </row>
    <row r="68" spans="1:6" x14ac:dyDescent="0.25">
      <c r="A68" s="285" t="e">
        <f>#REF!</f>
        <v>#REF!</v>
      </c>
      <c r="B68" s="285"/>
      <c r="C68" s="285"/>
      <c r="D68" s="285" t="e">
        <f>#REF!</f>
        <v>#REF!</v>
      </c>
      <c r="E68" s="285"/>
      <c r="F68" s="285"/>
    </row>
    <row r="69" spans="1:6" ht="8.25" customHeight="1" x14ac:dyDescent="0.25">
      <c r="A69" s="285"/>
      <c r="B69" s="285"/>
      <c r="C69" s="285"/>
      <c r="D69" s="285"/>
      <c r="E69" s="285"/>
      <c r="F69" s="285"/>
    </row>
    <row r="70" spans="1:6" x14ac:dyDescent="0.25">
      <c r="A70" s="289" t="e">
        <f>#REF!</f>
        <v>#REF!</v>
      </c>
      <c r="B70" s="289"/>
      <c r="C70" s="289"/>
      <c r="D70" s="289" t="e">
        <f>#REF!</f>
        <v>#REF!</v>
      </c>
      <c r="E70" s="289"/>
      <c r="F70" s="289"/>
    </row>
    <row r="71" spans="1:6" ht="7.5" customHeight="1" x14ac:dyDescent="0.25">
      <c r="A71" s="289"/>
      <c r="B71" s="289"/>
      <c r="C71" s="289"/>
      <c r="D71" s="289"/>
      <c r="E71" s="289"/>
      <c r="F71" s="289"/>
    </row>
    <row r="72" spans="1:6" x14ac:dyDescent="0.25">
      <c r="A72" s="289" t="e">
        <f>#REF!</f>
        <v>#REF!</v>
      </c>
      <c r="B72" s="289"/>
      <c r="C72" s="289"/>
      <c r="D72" s="289" t="e">
        <f>#REF!</f>
        <v>#REF!</v>
      </c>
      <c r="E72" s="289"/>
      <c r="F72" s="289"/>
    </row>
    <row r="73" spans="1:6" ht="8.25" customHeight="1" x14ac:dyDescent="0.25">
      <c r="A73" s="285"/>
      <c r="B73" s="285"/>
      <c r="C73" s="285"/>
      <c r="D73" s="285"/>
      <c r="E73" s="285"/>
      <c r="F73" s="285"/>
    </row>
    <row r="74" spans="1:6" ht="30" customHeight="1" x14ac:dyDescent="0.25">
      <c r="A74" s="286"/>
      <c r="B74" s="286"/>
      <c r="C74" s="286"/>
      <c r="D74" s="287" t="e">
        <f>#REF!</f>
        <v>#REF!</v>
      </c>
      <c r="E74" s="287"/>
      <c r="F74" s="287"/>
    </row>
    <row r="75" spans="1:6" x14ac:dyDescent="0.25">
      <c r="A75" s="288"/>
      <c r="B75" s="288"/>
      <c r="C75" s="288"/>
      <c r="D75" s="288"/>
      <c r="E75" s="288"/>
      <c r="F75" s="288"/>
    </row>
    <row r="76" spans="1:6" x14ac:dyDescent="0.25">
      <c r="A76" s="284"/>
      <c r="B76" s="284"/>
      <c r="C76" s="284"/>
      <c r="D76" s="284"/>
      <c r="E76" s="284"/>
      <c r="F76" s="284"/>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7" priority="3" operator="lessThan">
      <formula>22105</formula>
    </cfRule>
  </conditionalFormatting>
  <conditionalFormatting sqref="C8:C55">
    <cfRule type="cellIs" dxfId="6" priority="2" operator="lessThan">
      <formula>1</formula>
    </cfRule>
  </conditionalFormatting>
  <conditionalFormatting sqref="C8:F55">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0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09" customFormat="1" ht="36.75" customHeight="1" x14ac:dyDescent="0.25">
      <c r="A1" s="108" t="s">
        <v>14</v>
      </c>
      <c r="B1" s="109" t="s">
        <v>3</v>
      </c>
      <c r="D1" s="108"/>
      <c r="E1" s="108" t="s">
        <v>37</v>
      </c>
      <c r="F1" s="108" t="s">
        <v>38</v>
      </c>
      <c r="G1" s="108"/>
      <c r="H1" s="108"/>
      <c r="I1" s="108"/>
      <c r="J1" s="108"/>
      <c r="K1" s="108"/>
      <c r="L1" s="108" t="s">
        <v>39</v>
      </c>
      <c r="M1" s="108" t="s">
        <v>41</v>
      </c>
      <c r="N1" s="108" t="s">
        <v>40</v>
      </c>
    </row>
    <row r="2" spans="1:23" ht="15" customHeight="1" x14ac:dyDescent="0.25">
      <c r="A2" s="102">
        <v>1</v>
      </c>
      <c r="B2" t="s">
        <v>251</v>
      </c>
      <c r="C2" t="s">
        <v>63</v>
      </c>
      <c r="D2" s="104" t="s">
        <v>251</v>
      </c>
      <c r="E2" s="104" t="s">
        <v>43</v>
      </c>
      <c r="F2" s="105">
        <v>44207</v>
      </c>
      <c r="G2" s="95">
        <f>MONTH(F2)</f>
        <v>1</v>
      </c>
      <c r="H2" s="105" t="str">
        <f>IF(G2=$A$26,$A$28,IF(G2=$B$26,$B$28,IF(G2=$C$26,$C$28,IF(G2=$D$26,$D$28,IF(G2=$E$26,$E$28,IF(G2=$F$26,$F$28,IF(G2=$K$26,$K$28,IF(G2=$L$26,$L$28,IF(G2=$M$26,$M$28,IF(G2=$N$26,$N$28,IF(G2=$O$26,$O$28,IF(G2=$P$26,$P$28,0))))))))))))</f>
        <v>yanvar</v>
      </c>
      <c r="I2" s="95">
        <f>DAY(F2)</f>
        <v>11</v>
      </c>
      <c r="J2" s="107">
        <f>YEAR(F2)</f>
        <v>2021</v>
      </c>
      <c r="K2" s="105" t="str">
        <f>""&amp;I2&amp;" "&amp;H2&amp;" "&amp;J2&amp;" г."</f>
        <v>11 yanvar 2021 г.</v>
      </c>
      <c r="L2" s="104">
        <v>5</v>
      </c>
      <c r="M2" s="106">
        <v>15000000</v>
      </c>
      <c r="N2" s="104" t="s">
        <v>126</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56"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02">
        <v>2</v>
      </c>
      <c r="D3" s="104" t="s">
        <v>251</v>
      </c>
      <c r="E3" s="104" t="s">
        <v>42</v>
      </c>
      <c r="F3" s="105">
        <v>43775</v>
      </c>
      <c r="G3" s="95">
        <f>MONTH(F3)</f>
        <v>11</v>
      </c>
      <c r="H3" s="105" t="str">
        <f>IF(G3=$A$26,$A$28,IF(G3=$B$26,$B$28,IF(G3=$C$26,$C$28,IF(G3=$D$26,$D$28,IF(G3=$E$26,$E$28,IF(G3=$F$26,$F$28,IF(G3=$K$26,$K$28,IF(G3=$L$26,$L$28,IF(G3=$M$26,$M$28,IF(G3=$N$26,$N$28,IF(G3=$O$26,$O$28,IF(G3=$P$26,$P$28,0))))))))))))</f>
        <v>noyabr</v>
      </c>
      <c r="I3" s="95">
        <f>DAY(F3)</f>
        <v>6</v>
      </c>
      <c r="J3" s="107">
        <f>YEAR(F3)</f>
        <v>2019</v>
      </c>
      <c r="K3" s="105" t="str">
        <f>""&amp;I3&amp;" "&amp;H3&amp;" "&amp;J3&amp;" г."</f>
        <v>6 noyabr 2019 г.</v>
      </c>
      <c r="L3" s="104">
        <v>386</v>
      </c>
      <c r="M3" s="106">
        <v>15000000</v>
      </c>
      <c r="N3" s="104" t="s">
        <v>126</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02">
        <v>3</v>
      </c>
      <c r="D4" s="104" t="s">
        <v>251</v>
      </c>
      <c r="E4" s="104" t="s">
        <v>42</v>
      </c>
      <c r="F4" s="105">
        <v>44217</v>
      </c>
      <c r="G4" s="95">
        <f>MONTH(F4)</f>
        <v>1</v>
      </c>
      <c r="H4" s="105" t="str">
        <f>IF(G4=$A$26,$A$28,IF(G4=$B$26,$B$28,IF(G4=$C$26,$C$28,IF(G4=$D$26,$D$28,IF(G4=$E$26,$E$28,IF(G4=$F$26,$F$28,IF(G4=$K$26,$K$28,IF(G4=$L$26,$L$28,IF(G4=$M$26,$M$28,IF(G4=$N$26,$N$28,IF(G4=$O$26,$O$28,IF(G4=$P$26,$P$28,0))))))))))))</f>
        <v>yanvar</v>
      </c>
      <c r="I4" s="95">
        <f>DAY(F4)</f>
        <v>21</v>
      </c>
      <c r="J4" s="107">
        <f>YEAR(F4)</f>
        <v>2021</v>
      </c>
      <c r="K4" s="105" t="str">
        <f>""&amp;I4&amp;" "&amp;H4&amp;" "&amp;J4&amp;" г."</f>
        <v>21 yanvar 2021 г.</v>
      </c>
      <c r="L4" s="104">
        <v>33</v>
      </c>
      <c r="M4" s="106">
        <v>15000000</v>
      </c>
      <c r="N4" s="104" t="s">
        <v>126</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02">
        <v>4</v>
      </c>
      <c r="D5" s="104" t="s">
        <v>251</v>
      </c>
      <c r="E5" s="104"/>
      <c r="F5" s="105"/>
      <c r="G5" s="95">
        <f t="shared" ref="G5:G21" si="2">MONTH(F5)</f>
        <v>1</v>
      </c>
      <c r="H5" s="105" t="str">
        <f t="shared" ref="H5:H21" si="3">IF(G5=$A$26,$A$28,IF(G5=$B$26,$B$28,IF(G5=$C$26,$C$28,IF(G5=$D$26,$D$28,IF(G5=$E$26,$E$28,IF(G5=$F$26,$F$28,IF(G5=$K$26,$K$28,IF(G5=$L$26,$L$28,IF(G5=$M$26,$M$28,IF(G5=$N$26,$N$28,IF(G5=$O$26,$O$28,IF(G5=$P$26,$P$28,0))))))))))))</f>
        <v>yanvar</v>
      </c>
      <c r="I5" s="95">
        <f t="shared" ref="I5:I21" si="4">DAY(F5)</f>
        <v>0</v>
      </c>
      <c r="J5" s="107">
        <f t="shared" ref="J5:J21" si="5">YEAR(F5)</f>
        <v>1900</v>
      </c>
      <c r="K5" s="105" t="str">
        <f t="shared" ref="K5:K21" si="6">""&amp;I5&amp;" "&amp;H5&amp;" "&amp;J5&amp;" г."</f>
        <v>0 yanvar 1900 г.</v>
      </c>
      <c r="L5" s="104"/>
      <c r="M5" s="106"/>
      <c r="N5" s="104"/>
      <c r="P5">
        <f t="shared" si="1"/>
        <v>0</v>
      </c>
    </row>
    <row r="6" spans="1:23" ht="15" customHeight="1" x14ac:dyDescent="0.25">
      <c r="A6" s="102">
        <v>5</v>
      </c>
      <c r="D6" s="104" t="s">
        <v>251</v>
      </c>
      <c r="E6" s="104"/>
      <c r="F6" s="105"/>
      <c r="G6" s="95">
        <f t="shared" si="2"/>
        <v>1</v>
      </c>
      <c r="H6" s="105" t="str">
        <f t="shared" si="3"/>
        <v>yanvar</v>
      </c>
      <c r="I6" s="95">
        <f t="shared" si="4"/>
        <v>0</v>
      </c>
      <c r="J6" s="107">
        <f t="shared" si="5"/>
        <v>1900</v>
      </c>
      <c r="K6" s="105" t="str">
        <f t="shared" si="6"/>
        <v>0 yanvar 1900 г.</v>
      </c>
      <c r="L6" s="104"/>
      <c r="M6" s="106"/>
      <c r="N6" s="104"/>
      <c r="P6">
        <f t="shared" si="1"/>
        <v>0</v>
      </c>
    </row>
    <row r="7" spans="1:23" ht="15" customHeight="1" x14ac:dyDescent="0.25">
      <c r="A7" s="102">
        <v>6</v>
      </c>
      <c r="D7" s="104" t="s">
        <v>251</v>
      </c>
      <c r="E7" s="104"/>
      <c r="F7" s="105"/>
      <c r="G7" s="95">
        <f t="shared" si="2"/>
        <v>1</v>
      </c>
      <c r="H7" s="105" t="str">
        <f t="shared" si="3"/>
        <v>yanvar</v>
      </c>
      <c r="I7" s="95">
        <f t="shared" si="4"/>
        <v>0</v>
      </c>
      <c r="J7" s="107">
        <f t="shared" si="5"/>
        <v>1900</v>
      </c>
      <c r="K7" s="105" t="str">
        <f t="shared" si="6"/>
        <v>0 yanvar 1900 г.</v>
      </c>
      <c r="L7" s="104"/>
      <c r="M7" s="106"/>
      <c r="N7" s="104"/>
      <c r="P7">
        <f t="shared" si="1"/>
        <v>0</v>
      </c>
    </row>
    <row r="8" spans="1:23" ht="15" customHeight="1" x14ac:dyDescent="0.25">
      <c r="A8" s="102">
        <v>7</v>
      </c>
      <c r="D8" s="104" t="s">
        <v>251</v>
      </c>
      <c r="E8" s="104"/>
      <c r="F8" s="105"/>
      <c r="G8" s="95">
        <f t="shared" si="2"/>
        <v>1</v>
      </c>
      <c r="H8" s="105" t="str">
        <f t="shared" si="3"/>
        <v>yanvar</v>
      </c>
      <c r="I8" s="95">
        <f t="shared" si="4"/>
        <v>0</v>
      </c>
      <c r="J8" s="107">
        <f t="shared" si="5"/>
        <v>1900</v>
      </c>
      <c r="K8" s="105" t="str">
        <f t="shared" si="6"/>
        <v>0 yanvar 1900 г.</v>
      </c>
      <c r="L8" s="104"/>
      <c r="M8" s="106"/>
      <c r="N8" s="104"/>
      <c r="P8">
        <f t="shared" si="1"/>
        <v>0</v>
      </c>
    </row>
    <row r="9" spans="1:23" ht="15" customHeight="1" x14ac:dyDescent="0.25">
      <c r="A9" s="102">
        <v>8</v>
      </c>
      <c r="D9" s="104" t="s">
        <v>251</v>
      </c>
      <c r="E9" s="104"/>
      <c r="F9" s="105"/>
      <c r="G9" s="95">
        <f t="shared" si="2"/>
        <v>1</v>
      </c>
      <c r="H9" s="105" t="str">
        <f t="shared" si="3"/>
        <v>yanvar</v>
      </c>
      <c r="I9" s="95">
        <f t="shared" si="4"/>
        <v>0</v>
      </c>
      <c r="J9" s="107">
        <f t="shared" si="5"/>
        <v>1900</v>
      </c>
      <c r="K9" s="105" t="str">
        <f t="shared" si="6"/>
        <v>0 yanvar 1900 г.</v>
      </c>
      <c r="L9" s="104"/>
      <c r="M9" s="106"/>
      <c r="N9" s="104"/>
      <c r="P9">
        <f t="shared" si="1"/>
        <v>0</v>
      </c>
    </row>
    <row r="10" spans="1:23" ht="15" customHeight="1" x14ac:dyDescent="0.25">
      <c r="A10" s="102">
        <v>9</v>
      </c>
      <c r="D10" s="104" t="s">
        <v>251</v>
      </c>
      <c r="E10" s="104"/>
      <c r="F10" s="105"/>
      <c r="G10" s="95">
        <f t="shared" si="2"/>
        <v>1</v>
      </c>
      <c r="H10" s="105" t="str">
        <f t="shared" si="3"/>
        <v>yanvar</v>
      </c>
      <c r="I10" s="95">
        <f t="shared" si="4"/>
        <v>0</v>
      </c>
      <c r="J10" s="107">
        <f t="shared" si="5"/>
        <v>1900</v>
      </c>
      <c r="K10" s="105" t="str">
        <f t="shared" si="6"/>
        <v>0 yanvar 1900 г.</v>
      </c>
      <c r="L10" s="104"/>
      <c r="M10" s="106"/>
      <c r="N10" s="104"/>
      <c r="P10">
        <f t="shared" si="1"/>
        <v>0</v>
      </c>
    </row>
    <row r="11" spans="1:23" ht="15" customHeight="1" x14ac:dyDescent="0.25">
      <c r="A11" s="102">
        <v>10</v>
      </c>
      <c r="D11" s="104" t="s">
        <v>251</v>
      </c>
      <c r="E11" s="104"/>
      <c r="F11" s="105"/>
      <c r="G11" s="95">
        <f t="shared" si="2"/>
        <v>1</v>
      </c>
      <c r="H11" s="105" t="str">
        <f t="shared" si="3"/>
        <v>yanvar</v>
      </c>
      <c r="I11" s="95">
        <f t="shared" si="4"/>
        <v>0</v>
      </c>
      <c r="J11" s="107">
        <f t="shared" si="5"/>
        <v>1900</v>
      </c>
      <c r="K11" s="105" t="str">
        <f t="shared" si="6"/>
        <v>0 yanvar 1900 г.</v>
      </c>
      <c r="L11" s="104"/>
      <c r="M11" s="106"/>
      <c r="N11" s="104"/>
      <c r="P11">
        <f t="shared" si="1"/>
        <v>0</v>
      </c>
    </row>
    <row r="12" spans="1:23" ht="15" customHeight="1" x14ac:dyDescent="0.25">
      <c r="A12" s="102">
        <v>11</v>
      </c>
      <c r="D12" s="104" t="s">
        <v>251</v>
      </c>
      <c r="E12" s="104"/>
      <c r="F12" s="105"/>
      <c r="G12" s="95">
        <f t="shared" si="2"/>
        <v>1</v>
      </c>
      <c r="H12" s="105" t="str">
        <f t="shared" si="3"/>
        <v>yanvar</v>
      </c>
      <c r="I12" s="95">
        <f t="shared" si="4"/>
        <v>0</v>
      </c>
      <c r="J12" s="107">
        <f t="shared" si="5"/>
        <v>1900</v>
      </c>
      <c r="K12" s="105" t="str">
        <f t="shared" si="6"/>
        <v>0 yanvar 1900 г.</v>
      </c>
      <c r="L12" s="104"/>
      <c r="M12" s="106"/>
      <c r="N12" s="104"/>
      <c r="P12">
        <f t="shared" si="1"/>
        <v>0</v>
      </c>
    </row>
    <row r="13" spans="1:23" ht="15" customHeight="1" x14ac:dyDescent="0.25">
      <c r="A13" s="102">
        <v>12</v>
      </c>
      <c r="D13" s="104" t="s">
        <v>251</v>
      </c>
      <c r="E13" s="104"/>
      <c r="F13" s="105"/>
      <c r="G13" s="95">
        <f t="shared" si="2"/>
        <v>1</v>
      </c>
      <c r="H13" s="105" t="str">
        <f t="shared" si="3"/>
        <v>yanvar</v>
      </c>
      <c r="I13" s="95">
        <f t="shared" si="4"/>
        <v>0</v>
      </c>
      <c r="J13" s="107">
        <f t="shared" si="5"/>
        <v>1900</v>
      </c>
      <c r="K13" s="105" t="str">
        <f t="shared" si="6"/>
        <v>0 yanvar 1900 г.</v>
      </c>
      <c r="L13" s="104"/>
      <c r="M13" s="106"/>
      <c r="N13" s="104"/>
      <c r="P13">
        <f t="shared" si="1"/>
        <v>0</v>
      </c>
    </row>
    <row r="14" spans="1:23" ht="15" customHeight="1" x14ac:dyDescent="0.25">
      <c r="A14" s="102">
        <v>13</v>
      </c>
      <c r="D14" s="104" t="s">
        <v>251</v>
      </c>
      <c r="E14" s="104"/>
      <c r="F14" s="105"/>
      <c r="G14" s="95">
        <f t="shared" si="2"/>
        <v>1</v>
      </c>
      <c r="H14" s="105" t="str">
        <f t="shared" si="3"/>
        <v>yanvar</v>
      </c>
      <c r="I14" s="95">
        <f t="shared" si="4"/>
        <v>0</v>
      </c>
      <c r="J14" s="107">
        <f t="shared" si="5"/>
        <v>1900</v>
      </c>
      <c r="K14" s="105" t="str">
        <f t="shared" si="6"/>
        <v>0 yanvar 1900 г.</v>
      </c>
      <c r="L14" s="104"/>
      <c r="M14" s="106"/>
      <c r="N14" s="104"/>
      <c r="P14">
        <f t="shared" si="1"/>
        <v>0</v>
      </c>
    </row>
    <row r="15" spans="1:23" ht="15" customHeight="1" x14ac:dyDescent="0.25">
      <c r="A15" s="102">
        <v>14</v>
      </c>
      <c r="D15" s="104" t="s">
        <v>251</v>
      </c>
      <c r="E15" s="104"/>
      <c r="F15" s="105"/>
      <c r="G15" s="95">
        <f t="shared" si="2"/>
        <v>1</v>
      </c>
      <c r="H15" s="105" t="str">
        <f t="shared" si="3"/>
        <v>yanvar</v>
      </c>
      <c r="I15" s="95">
        <f t="shared" si="4"/>
        <v>0</v>
      </c>
      <c r="J15" s="107">
        <f t="shared" si="5"/>
        <v>1900</v>
      </c>
      <c r="K15" s="105" t="str">
        <f t="shared" si="6"/>
        <v>0 yanvar 1900 г.</v>
      </c>
      <c r="L15" s="104"/>
      <c r="M15" s="106"/>
      <c r="N15" s="104"/>
      <c r="P15">
        <f t="shared" si="1"/>
        <v>0</v>
      </c>
    </row>
    <row r="16" spans="1:23" ht="15" customHeight="1" x14ac:dyDescent="0.25">
      <c r="A16" s="102">
        <v>15</v>
      </c>
      <c r="D16" s="104" t="s">
        <v>251</v>
      </c>
      <c r="E16" s="104"/>
      <c r="F16" s="105"/>
      <c r="G16" s="95">
        <f t="shared" si="2"/>
        <v>1</v>
      </c>
      <c r="H16" s="105" t="str">
        <f t="shared" si="3"/>
        <v>yanvar</v>
      </c>
      <c r="I16" s="95">
        <f t="shared" si="4"/>
        <v>0</v>
      </c>
      <c r="J16" s="107">
        <f t="shared" si="5"/>
        <v>1900</v>
      </c>
      <c r="K16" s="105" t="str">
        <f t="shared" si="6"/>
        <v>0 yanvar 1900 г.</v>
      </c>
      <c r="L16" s="104"/>
      <c r="M16" s="106"/>
      <c r="N16" s="104"/>
      <c r="P16">
        <f t="shared" si="1"/>
        <v>0</v>
      </c>
    </row>
    <row r="17" spans="1:17" ht="15" customHeight="1" x14ac:dyDescent="0.25">
      <c r="A17" s="102">
        <v>16</v>
      </c>
      <c r="D17" s="104" t="s">
        <v>251</v>
      </c>
      <c r="E17" s="104"/>
      <c r="F17" s="105"/>
      <c r="G17" s="95">
        <f t="shared" si="2"/>
        <v>1</v>
      </c>
      <c r="H17" s="105" t="str">
        <f t="shared" si="3"/>
        <v>yanvar</v>
      </c>
      <c r="I17" s="95">
        <f t="shared" si="4"/>
        <v>0</v>
      </c>
      <c r="J17" s="107">
        <f t="shared" si="5"/>
        <v>1900</v>
      </c>
      <c r="K17" s="105" t="str">
        <f t="shared" si="6"/>
        <v>0 yanvar 1900 г.</v>
      </c>
      <c r="L17" s="104"/>
      <c r="M17" s="106"/>
      <c r="N17" s="104"/>
      <c r="P17">
        <f t="shared" si="1"/>
        <v>0</v>
      </c>
    </row>
    <row r="18" spans="1:17" ht="15" customHeight="1" x14ac:dyDescent="0.25">
      <c r="A18" s="102">
        <v>17</v>
      </c>
      <c r="D18" s="104" t="s">
        <v>251</v>
      </c>
      <c r="E18" s="104"/>
      <c r="F18" s="105"/>
      <c r="G18" s="95">
        <f t="shared" si="2"/>
        <v>1</v>
      </c>
      <c r="H18" s="105" t="str">
        <f t="shared" si="3"/>
        <v>yanvar</v>
      </c>
      <c r="I18" s="95">
        <f t="shared" si="4"/>
        <v>0</v>
      </c>
      <c r="J18" s="107">
        <f t="shared" si="5"/>
        <v>1900</v>
      </c>
      <c r="K18" s="105" t="str">
        <f t="shared" si="6"/>
        <v>0 yanvar 1900 г.</v>
      </c>
      <c r="L18" s="104"/>
      <c r="M18" s="106"/>
      <c r="N18" s="104"/>
      <c r="P18">
        <f t="shared" si="1"/>
        <v>0</v>
      </c>
    </row>
    <row r="19" spans="1:17" ht="15" customHeight="1" x14ac:dyDescent="0.25">
      <c r="A19" s="102">
        <v>18</v>
      </c>
      <c r="D19" s="104" t="s">
        <v>251</v>
      </c>
      <c r="E19" s="104"/>
      <c r="F19" s="105"/>
      <c r="G19" s="95">
        <f t="shared" si="2"/>
        <v>1</v>
      </c>
      <c r="H19" s="105" t="str">
        <f t="shared" si="3"/>
        <v>yanvar</v>
      </c>
      <c r="I19" s="95">
        <f t="shared" si="4"/>
        <v>0</v>
      </c>
      <c r="J19" s="107">
        <f t="shared" si="5"/>
        <v>1900</v>
      </c>
      <c r="K19" s="105" t="str">
        <f t="shared" si="6"/>
        <v>0 yanvar 1900 г.</v>
      </c>
      <c r="L19" s="104"/>
      <c r="M19" s="106"/>
      <c r="N19" s="104"/>
      <c r="P19">
        <f t="shared" si="1"/>
        <v>0</v>
      </c>
    </row>
    <row r="20" spans="1:17" ht="15" customHeight="1" x14ac:dyDescent="0.25">
      <c r="A20" s="102">
        <v>19</v>
      </c>
      <c r="D20" s="104" t="s">
        <v>251</v>
      </c>
      <c r="E20" s="104"/>
      <c r="F20" s="105"/>
      <c r="G20" s="95">
        <f t="shared" si="2"/>
        <v>1</v>
      </c>
      <c r="H20" s="105" t="str">
        <f t="shared" si="3"/>
        <v>yanvar</v>
      </c>
      <c r="I20" s="95">
        <f t="shared" si="4"/>
        <v>0</v>
      </c>
      <c r="J20" s="107">
        <f t="shared" si="5"/>
        <v>1900</v>
      </c>
      <c r="K20" s="105" t="str">
        <f t="shared" si="6"/>
        <v>0 yanvar 1900 г.</v>
      </c>
      <c r="L20" s="104"/>
      <c r="M20" s="106"/>
      <c r="N20" s="104"/>
      <c r="P20">
        <f t="shared" si="1"/>
        <v>0</v>
      </c>
    </row>
    <row r="21" spans="1:17" ht="15" customHeight="1" x14ac:dyDescent="0.25">
      <c r="A21" s="102">
        <v>20</v>
      </c>
      <c r="D21" s="104" t="s">
        <v>251</v>
      </c>
      <c r="E21" s="104"/>
      <c r="F21" s="105"/>
      <c r="G21" s="95">
        <f t="shared" si="2"/>
        <v>1</v>
      </c>
      <c r="H21" s="105" t="str">
        <f t="shared" si="3"/>
        <v>yanvar</v>
      </c>
      <c r="I21" s="95">
        <f t="shared" si="4"/>
        <v>0</v>
      </c>
      <c r="J21" s="107">
        <f t="shared" si="5"/>
        <v>1900</v>
      </c>
      <c r="K21" s="105" t="str">
        <f t="shared" si="6"/>
        <v>0 yanvar 1900 г.</v>
      </c>
      <c r="L21" s="104"/>
      <c r="M21" s="106"/>
      <c r="N21" s="104"/>
      <c r="P21">
        <f t="shared" si="1"/>
        <v>0</v>
      </c>
    </row>
    <row r="22" spans="1:17" x14ac:dyDescent="0.25">
      <c r="M22" s="110">
        <f>SUM(M2:M21)+malumot!B143</f>
        <v>150000000</v>
      </c>
      <c r="Q22" t="s">
        <v>250</v>
      </c>
    </row>
    <row r="23" spans="1:17" x14ac:dyDescent="0.25">
      <c r="A23" s="91"/>
      <c r="B23" s="92"/>
      <c r="C23" s="92"/>
      <c r="D23" s="92"/>
      <c r="E23" s="92"/>
      <c r="F23" s="92"/>
      <c r="G23" s="92"/>
      <c r="H23" s="92"/>
      <c r="I23" s="92"/>
      <c r="J23" s="92"/>
      <c r="K23" s="92"/>
      <c r="L23" s="92"/>
      <c r="M23" s="92"/>
      <c r="N23" s="92"/>
      <c r="O23" s="92"/>
    </row>
    <row r="24" spans="1:17" x14ac:dyDescent="0.25">
      <c r="A24" s="92"/>
      <c r="B24" s="92"/>
      <c r="C24" s="92"/>
      <c r="D24" s="92"/>
      <c r="E24" s="92"/>
      <c r="F24" s="92"/>
      <c r="G24" s="92"/>
      <c r="H24" s="92"/>
      <c r="I24" s="92"/>
      <c r="J24" s="92"/>
      <c r="K24" s="92"/>
      <c r="L24" s="92"/>
      <c r="M24" s="92"/>
      <c r="N24" s="92"/>
      <c r="O24" s="92"/>
    </row>
    <row r="25" spans="1:17" x14ac:dyDescent="0.25">
      <c r="A25" s="92">
        <f>MONTH(F2)</f>
        <v>1</v>
      </c>
      <c r="B25" s="92" t="str">
        <f>IF(A25=A26,A28,IF(A25=B26,B28,IF(A25=C26,C28,IF(A25=D26,D28,IF(A25=E26,E28,IF(A25=F26,F28,IF(A25=K26,K28,IF(A25=L26,L28,IF(A25=M26,M28,IF(A25=N26,N28,IF(A25=O26,O28,IF(A25=#REF!,#REF!,))))))))))))</f>
        <v>yanvar</v>
      </c>
      <c r="C25" s="92">
        <f>DAY(F2)</f>
        <v>11</v>
      </c>
      <c r="D25" s="92">
        <f>YEAR(F2)</f>
        <v>2021</v>
      </c>
      <c r="E25" s="92"/>
      <c r="F25" s="92"/>
      <c r="G25" s="92"/>
      <c r="H25" s="92"/>
      <c r="I25" s="92"/>
      <c r="J25" s="92"/>
      <c r="K25" s="92"/>
      <c r="L25" s="92"/>
      <c r="M25" s="92"/>
      <c r="N25" s="92"/>
      <c r="O25" s="92"/>
    </row>
    <row r="26" spans="1:17" x14ac:dyDescent="0.25">
      <c r="A26" s="92">
        <v>1</v>
      </c>
      <c r="B26" s="92">
        <v>2</v>
      </c>
      <c r="C26" s="92">
        <v>3</v>
      </c>
      <c r="D26" s="92">
        <v>4</v>
      </c>
      <c r="E26" s="92">
        <v>5</v>
      </c>
      <c r="F26" s="92">
        <v>6</v>
      </c>
      <c r="G26" s="92"/>
      <c r="H26" s="92"/>
      <c r="I26" s="92"/>
      <c r="J26" s="92"/>
      <c r="K26" s="92">
        <v>7</v>
      </c>
      <c r="L26" s="92">
        <v>8</v>
      </c>
      <c r="M26" s="92">
        <v>9</v>
      </c>
      <c r="N26" s="92">
        <v>10</v>
      </c>
      <c r="O26" s="92">
        <v>11</v>
      </c>
      <c r="P26" s="92">
        <v>12</v>
      </c>
    </row>
    <row r="27" spans="1:17" x14ac:dyDescent="0.25">
      <c r="A27" s="92"/>
      <c r="B27" s="92"/>
      <c r="C27" s="92"/>
      <c r="D27" s="92"/>
      <c r="E27" s="92"/>
      <c r="F27" s="92"/>
      <c r="G27" s="92"/>
      <c r="H27" s="92"/>
      <c r="I27" s="92"/>
      <c r="J27" s="92"/>
      <c r="K27" s="92"/>
      <c r="L27" s="92"/>
      <c r="M27" s="92"/>
      <c r="N27" s="92"/>
      <c r="O27" s="92"/>
    </row>
    <row r="28" spans="1:17" x14ac:dyDescent="0.25">
      <c r="A28" s="92" t="s">
        <v>115</v>
      </c>
      <c r="B28" s="92" t="s">
        <v>116</v>
      </c>
      <c r="C28" s="92" t="s">
        <v>105</v>
      </c>
      <c r="D28" s="92" t="s">
        <v>106</v>
      </c>
      <c r="E28" s="92" t="s">
        <v>107</v>
      </c>
      <c r="F28" s="92" t="s">
        <v>108</v>
      </c>
      <c r="G28" s="92"/>
      <c r="H28" s="92"/>
      <c r="I28" s="92"/>
      <c r="J28" s="92"/>
      <c r="K28" s="92" t="s">
        <v>22</v>
      </c>
      <c r="L28" s="92" t="s">
        <v>110</v>
      </c>
      <c r="M28" s="92" t="s">
        <v>249</v>
      </c>
      <c r="N28" s="92" t="s">
        <v>248</v>
      </c>
      <c r="O28" s="92" t="s">
        <v>113</v>
      </c>
      <c r="P28" s="92" t="s">
        <v>114</v>
      </c>
    </row>
    <row r="29" spans="1:17" x14ac:dyDescent="0.25">
      <c r="A29" s="92" t="s">
        <v>115</v>
      </c>
      <c r="B29" s="92" t="s">
        <v>116</v>
      </c>
      <c r="C29" s="92" t="s">
        <v>105</v>
      </c>
      <c r="D29" s="92" t="s">
        <v>106</v>
      </c>
      <c r="E29" s="92" t="s">
        <v>107</v>
      </c>
      <c r="F29" s="92" t="s">
        <v>108</v>
      </c>
      <c r="G29" s="92"/>
      <c r="H29" s="92"/>
      <c r="I29" s="92"/>
      <c r="J29" s="92"/>
      <c r="K29" s="92" t="s">
        <v>25</v>
      </c>
      <c r="L29" s="92" t="s">
        <v>110</v>
      </c>
      <c r="M29" s="92" t="s">
        <v>249</v>
      </c>
      <c r="N29" s="92" t="s">
        <v>248</v>
      </c>
      <c r="O29" s="92" t="s">
        <v>113</v>
      </c>
      <c r="P29" s="92" t="s">
        <v>114</v>
      </c>
    </row>
    <row r="30" spans="1:17" x14ac:dyDescent="0.25">
      <c r="A30" s="92"/>
      <c r="B30" s="92"/>
      <c r="C30" s="92"/>
      <c r="D30" s="92"/>
      <c r="E30" s="92"/>
      <c r="F30" s="92"/>
      <c r="G30" s="92"/>
      <c r="H30" s="92"/>
      <c r="I30" s="92"/>
      <c r="J30" s="92"/>
      <c r="K30" s="92"/>
      <c r="L30" s="93"/>
      <c r="M30" s="93"/>
      <c r="N30" s="93"/>
      <c r="O30" s="93"/>
    </row>
  </sheetData>
  <dataValidations count="1">
    <dataValidation type="list" allowBlank="1" showInputMessage="1" showErrorMessage="1" sqref="D2:D21" xr:uid="{00000000-0002-0000-05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18">
    <tabColor theme="1"/>
  </sheetPr>
  <dimension ref="A1:H76"/>
  <sheetViews>
    <sheetView view="pageBreakPreview" topLeftCell="A30" zoomScaleSheetLayoutView="100" workbookViewId="0">
      <selection activeCell="D56" sqref="D56:F56"/>
    </sheetView>
  </sheetViews>
  <sheetFormatPr defaultColWidth="9.140625" defaultRowHeight="15" outlineLevelCol="1" x14ac:dyDescent="0.25"/>
  <cols>
    <col min="1" max="1" width="9.140625" style="13"/>
    <col min="2" max="2" width="10.140625" style="13" bestFit="1" customWidth="1"/>
    <col min="3" max="3" width="16.5703125" style="13" customWidth="1"/>
    <col min="4" max="4" width="17.140625" style="13" customWidth="1"/>
    <col min="5" max="5" width="17.85546875" style="13" customWidth="1"/>
    <col min="6" max="6" width="20.85546875" style="13" customWidth="1"/>
    <col min="7" max="7" width="10.140625" style="13" customWidth="1" outlineLevel="1"/>
    <col min="8" max="16384" width="9.140625" style="13"/>
  </cols>
  <sheetData>
    <row r="1" spans="1:8" x14ac:dyDescent="0.25">
      <c r="A1" s="34"/>
      <c r="B1" s="34"/>
      <c r="C1" s="34"/>
      <c r="D1" s="34"/>
      <c r="E1" s="305" t="s">
        <v>15</v>
      </c>
      <c r="F1" s="305"/>
    </row>
    <row r="2" spans="1:8" x14ac:dyDescent="0.25">
      <c r="A2" s="34"/>
      <c r="B2" s="34"/>
      <c r="C2" s="34"/>
      <c r="D2" s="34"/>
      <c r="E2" s="34"/>
      <c r="F2" s="35" t="str">
        <f>"к договору микрозайма "&amp;malumot!B74&amp;""</f>
        <v>к договору микрозайма 29 yanvar 2026 y.dan №244-NVS</v>
      </c>
    </row>
    <row r="3" spans="1:8" ht="6.75" customHeight="1" x14ac:dyDescent="0.25">
      <c r="A3" s="34"/>
      <c r="B3" s="34"/>
      <c r="C3" s="34"/>
      <c r="D3" s="34"/>
      <c r="E3" s="34"/>
      <c r="F3" s="34"/>
    </row>
    <row r="4" spans="1:8" x14ac:dyDescent="0.25">
      <c r="A4" s="306" t="s">
        <v>16</v>
      </c>
      <c r="B4" s="306"/>
      <c r="C4" s="306"/>
      <c r="D4" s="306"/>
      <c r="E4" s="306"/>
      <c r="F4" s="306"/>
    </row>
    <row r="5" spans="1:8" ht="7.5" customHeight="1" x14ac:dyDescent="0.25"/>
    <row r="6" spans="1:8" x14ac:dyDescent="0.25">
      <c r="A6" s="307" t="s">
        <v>14</v>
      </c>
      <c r="B6" s="308" t="s">
        <v>8</v>
      </c>
      <c r="C6" s="308" t="s">
        <v>9</v>
      </c>
      <c r="D6" s="309" t="s">
        <v>10</v>
      </c>
      <c r="E6" s="309"/>
      <c r="F6" s="309"/>
    </row>
    <row r="7" spans="1:8" s="14" customFormat="1" x14ac:dyDescent="0.25">
      <c r="A7" s="307"/>
      <c r="B7" s="308"/>
      <c r="C7" s="308"/>
      <c r="D7" s="15" t="s">
        <v>11</v>
      </c>
      <c r="E7" s="15" t="s">
        <v>12</v>
      </c>
      <c r="F7" s="15" t="s">
        <v>13</v>
      </c>
    </row>
    <row r="8" spans="1:8" x14ac:dyDescent="0.25">
      <c r="A8" s="16">
        <v>1</v>
      </c>
      <c r="B8" s="30">
        <f>'График дифференц'!B8</f>
        <v>46069</v>
      </c>
      <c r="C8" s="31">
        <f>malumot!B76</f>
        <v>100000000</v>
      </c>
      <c r="D8" s="31">
        <f>IF(A8&lt;malumot!$B$82,'График аннуитет.'!F8-'График аннуитет.'!E8,'График аннуитет.'!C8)</f>
        <v>3722032.1500000008</v>
      </c>
      <c r="E8" s="31">
        <f>ROUND(C8*malumot!$B$85/H8,2)*'График аннуитет.'!G8</f>
        <v>2712328.7399999998</v>
      </c>
      <c r="F8" s="31">
        <f>malumot!B91</f>
        <v>6434360.8900000006</v>
      </c>
      <c r="G8" s="13">
        <f>B8-malumot!B67</f>
        <v>18</v>
      </c>
      <c r="H8" s="13">
        <f>DATE(YEAR(B8),12,31)-DATE(YEAR(B8),1,1)+1</f>
        <v>365</v>
      </c>
    </row>
    <row r="9" spans="1:8" x14ac:dyDescent="0.25">
      <c r="A9" s="16">
        <v>2</v>
      </c>
      <c r="B9" s="30">
        <f>'График дифференц'!B9</f>
        <v>46097</v>
      </c>
      <c r="C9" s="31">
        <f t="shared" ref="C9:C30" si="0">C8-D8</f>
        <v>96277967.849999994</v>
      </c>
      <c r="D9" s="31">
        <f>IF(A9&lt;malumot!$B$82,'График аннуитет.'!F9-'График аннуитет.'!E9,'График аннуитет.'!C9)</f>
        <v>2372221.9700000002</v>
      </c>
      <c r="E9" s="31">
        <f>ROUND(C9*malumot!$B$85/H9,2)*'График аннуитет.'!G9</f>
        <v>4062138.9200000004</v>
      </c>
      <c r="F9" s="31">
        <f>IF(A9&lt;malumot!$B$82,'График аннуитет.'!F8,'График аннуитет.'!D9+'График аннуитет.'!E9)</f>
        <v>6434360.8900000006</v>
      </c>
      <c r="G9" s="13">
        <f>B9-B8</f>
        <v>28</v>
      </c>
      <c r="H9" s="13">
        <f t="shared" ref="H9:H31" si="1">DATE(YEAR(B9),12,31)-DATE(YEAR(B9),1,1)+1</f>
        <v>365</v>
      </c>
    </row>
    <row r="10" spans="1:8" x14ac:dyDescent="0.25">
      <c r="A10" s="16">
        <v>3</v>
      </c>
      <c r="B10" s="30">
        <f>'График дифференц'!B10</f>
        <v>46127</v>
      </c>
      <c r="C10" s="31">
        <f t="shared" si="0"/>
        <v>93905745.879999995</v>
      </c>
      <c r="D10" s="31">
        <f>IF(A10&lt;malumot!$B$82,'График аннуитет.'!F10-'График аннуитет.'!E10,'График аннуитет.'!C10)</f>
        <v>2189306.5900000008</v>
      </c>
      <c r="E10" s="31">
        <f>ROUND(C10*malumot!$B$85/H10,2)*'График аннуитет.'!G10</f>
        <v>4245054.3</v>
      </c>
      <c r="F10" s="31">
        <f>IF(A10&lt;malumot!$B$82,'График аннуитет.'!F9,'График аннуитет.'!D10+'График аннуитет.'!E10)</f>
        <v>6434360.8900000006</v>
      </c>
      <c r="G10" s="13">
        <f t="shared" ref="G10:G24" si="2">B10-B9</f>
        <v>30</v>
      </c>
      <c r="H10" s="13">
        <f t="shared" si="1"/>
        <v>365</v>
      </c>
    </row>
    <row r="11" spans="1:8" x14ac:dyDescent="0.25">
      <c r="A11" s="16">
        <v>4</v>
      </c>
      <c r="B11" s="30">
        <f>'График дифференц'!B11</f>
        <v>46157</v>
      </c>
      <c r="C11" s="31">
        <f t="shared" si="0"/>
        <v>91716439.289999992</v>
      </c>
      <c r="D11" s="31">
        <f>IF(A11&lt;malumot!$B$82,'График аннуитет.'!F11-'График аннуитет.'!E11,'График аннуитет.'!C11)</f>
        <v>2288275.3900000006</v>
      </c>
      <c r="E11" s="31">
        <f>ROUND(C11*malumot!$B$85/H11,2)*'График аннуитет.'!G11</f>
        <v>4146085.5</v>
      </c>
      <c r="F11" s="31">
        <f>IF(A11&lt;malumot!$B$82,'График аннуитет.'!F10,'График аннуитет.'!D11+'График аннуитет.'!E11)</f>
        <v>6434360.8900000006</v>
      </c>
      <c r="G11" s="13">
        <f t="shared" si="2"/>
        <v>30</v>
      </c>
      <c r="H11" s="13">
        <f t="shared" si="1"/>
        <v>365</v>
      </c>
    </row>
    <row r="12" spans="1:8" x14ac:dyDescent="0.25">
      <c r="A12" s="16">
        <v>5</v>
      </c>
      <c r="B12" s="30">
        <f>'График дифференц'!B12</f>
        <v>46188</v>
      </c>
      <c r="C12" s="31">
        <f t="shared" si="0"/>
        <v>89428163.899999991</v>
      </c>
      <c r="D12" s="31">
        <f>IF(A12&lt;malumot!$B$82,'График аннуитет.'!F12-'График аннуитет.'!E12,'График аннуитет.'!C12)</f>
        <v>2256963.0200000009</v>
      </c>
      <c r="E12" s="31">
        <f>ROUND(C12*malumot!$B$85/H12,2)*'График аннуитет.'!G12</f>
        <v>4177397.8699999996</v>
      </c>
      <c r="F12" s="31">
        <f>IF(A12&lt;malumot!$B$82,'График аннуитет.'!F11,'График аннуитет.'!D12+'График аннуитет.'!E12)</f>
        <v>6434360.8900000006</v>
      </c>
      <c r="G12" s="13">
        <f t="shared" si="2"/>
        <v>31</v>
      </c>
      <c r="H12" s="13">
        <f t="shared" si="1"/>
        <v>365</v>
      </c>
    </row>
    <row r="13" spans="1:8" x14ac:dyDescent="0.25">
      <c r="A13" s="16">
        <v>6</v>
      </c>
      <c r="B13" s="30">
        <f>'График дифференц'!B13</f>
        <v>46218</v>
      </c>
      <c r="C13" s="31">
        <f t="shared" si="0"/>
        <v>87171200.879999995</v>
      </c>
      <c r="D13" s="31">
        <f>IF(A13&lt;malumot!$B$82,'График аннуитет.'!F13-'График аннуитет.'!E13,'График аннуитет.'!C13)</f>
        <v>2493745.0900000008</v>
      </c>
      <c r="E13" s="31">
        <f>ROUND(C13*malumot!$B$85/H13,2)*'График аннуитет.'!G13</f>
        <v>3940615.8</v>
      </c>
      <c r="F13" s="31">
        <f>IF(A13&lt;malumot!$B$82,'График аннуитет.'!F12,'График аннуитет.'!D13+'График аннуитет.'!E13)</f>
        <v>6434360.8900000006</v>
      </c>
      <c r="G13" s="13">
        <f t="shared" si="2"/>
        <v>30</v>
      </c>
      <c r="H13" s="13">
        <f t="shared" si="1"/>
        <v>365</v>
      </c>
    </row>
    <row r="14" spans="1:8" x14ac:dyDescent="0.25">
      <c r="A14" s="16">
        <v>7</v>
      </c>
      <c r="B14" s="30">
        <f>'График дифференц'!B14</f>
        <v>46251</v>
      </c>
      <c r="C14" s="31">
        <f t="shared" si="0"/>
        <v>84677455.789999992</v>
      </c>
      <c r="D14" s="31">
        <f>IF(A14&lt;malumot!$B$82,'График аннуитет.'!F14-'График аннуитет.'!E14,'График аннуитет.'!C14)</f>
        <v>2223687.2800000003</v>
      </c>
      <c r="E14" s="31">
        <f>ROUND(C14*malumot!$B$85/H14,2)*'График аннуитет.'!G14</f>
        <v>4210673.6100000003</v>
      </c>
      <c r="F14" s="31">
        <f>IF(A14&lt;malumot!$B$82,'График аннуитет.'!F13,'График аннуитет.'!D14+'График аннуитет.'!E14)</f>
        <v>6434360.8900000006</v>
      </c>
      <c r="G14" s="13">
        <f t="shared" si="2"/>
        <v>33</v>
      </c>
      <c r="H14" s="13">
        <f t="shared" si="1"/>
        <v>365</v>
      </c>
    </row>
    <row r="15" spans="1:8" x14ac:dyDescent="0.25">
      <c r="A15" s="16">
        <v>8</v>
      </c>
      <c r="B15" s="30">
        <f>'График дифференц'!B15</f>
        <v>46280</v>
      </c>
      <c r="C15" s="31">
        <f t="shared" si="0"/>
        <v>82453768.50999999</v>
      </c>
      <c r="D15" s="31">
        <f>IF(A15&lt;malumot!$B$82,'График аннуитет.'!F15-'График аннуитет.'!E15,'График аннуитет.'!C15)</f>
        <v>2831244.290000001</v>
      </c>
      <c r="E15" s="31">
        <f>ROUND(C15*malumot!$B$85/H15,2)*'График аннуитет.'!G15</f>
        <v>3603116.5999999996</v>
      </c>
      <c r="F15" s="31">
        <f>IF(A15&lt;malumot!$B$82,'График аннуитет.'!F14,'График аннуитет.'!D15+'График аннуитет.'!E15)</f>
        <v>6434360.8900000006</v>
      </c>
      <c r="G15" s="13">
        <f t="shared" si="2"/>
        <v>29</v>
      </c>
      <c r="H15" s="13">
        <f t="shared" si="1"/>
        <v>365</v>
      </c>
    </row>
    <row r="16" spans="1:8" x14ac:dyDescent="0.25">
      <c r="A16" s="16">
        <v>9</v>
      </c>
      <c r="B16" s="30">
        <f>'График дифференц'!B16</f>
        <v>46310</v>
      </c>
      <c r="C16" s="31">
        <f t="shared" si="0"/>
        <v>79622524.219999984</v>
      </c>
      <c r="D16" s="31">
        <f>IF(A16&lt;malumot!$B$82,'График аннуитет.'!F16-'График аннуитет.'!E16,'График аннуитет.'!C16)</f>
        <v>2834986.3900000006</v>
      </c>
      <c r="E16" s="31">
        <f>ROUND(C16*malumot!$B$85/H16,2)*'График аннуитет.'!G16</f>
        <v>3599374.5</v>
      </c>
      <c r="F16" s="31">
        <f>IF(A16&lt;malumot!$B$82,'График аннуитет.'!F15,'График аннуитет.'!D16+'График аннуитет.'!E16)</f>
        <v>6434360.8900000006</v>
      </c>
      <c r="G16" s="13">
        <f t="shared" si="2"/>
        <v>30</v>
      </c>
      <c r="H16" s="13">
        <f t="shared" si="1"/>
        <v>365</v>
      </c>
    </row>
    <row r="17" spans="1:8" x14ac:dyDescent="0.25">
      <c r="A17" s="16">
        <v>10</v>
      </c>
      <c r="B17" s="30">
        <f>'График дифференц'!B17</f>
        <v>46342</v>
      </c>
      <c r="C17" s="31">
        <f t="shared" si="0"/>
        <v>76787537.829999983</v>
      </c>
      <c r="D17" s="31">
        <f>IF(A17&lt;malumot!$B$82,'График аннуитет.'!F17-'График аннуитет.'!E17,'График аннуитет.'!C17)</f>
        <v>2731728.8900000006</v>
      </c>
      <c r="E17" s="31">
        <f>ROUND(C17*malumot!$B$85/H17,2)*'График аннуитет.'!G17</f>
        <v>3702632</v>
      </c>
      <c r="F17" s="31">
        <f>IF(A17&lt;malumot!$B$82,'График аннуитет.'!F16,'График аннуитет.'!D17+'График аннуитет.'!E17)</f>
        <v>6434360.8900000006</v>
      </c>
      <c r="G17" s="13">
        <f t="shared" si="2"/>
        <v>32</v>
      </c>
      <c r="H17" s="13">
        <f t="shared" si="1"/>
        <v>365</v>
      </c>
    </row>
    <row r="18" spans="1:8" x14ac:dyDescent="0.25">
      <c r="A18" s="16">
        <v>11</v>
      </c>
      <c r="B18" s="30">
        <f>'График дифференц'!B18</f>
        <v>46371</v>
      </c>
      <c r="C18" s="31">
        <f t="shared" si="0"/>
        <v>74055808.939999983</v>
      </c>
      <c r="D18" s="31">
        <f>IF(A18&lt;malumot!$B$82,'График аннуитет.'!F18-'График аннуитет.'!E18,'График аннуитет.'!C18)</f>
        <v>3198223.6300000004</v>
      </c>
      <c r="E18" s="31">
        <f>ROUND(C18*malumot!$B$85/H18,2)*'График аннуитет.'!G18</f>
        <v>3236137.2600000002</v>
      </c>
      <c r="F18" s="31">
        <f>IF(A18&lt;malumot!$B$82,'График аннуитет.'!F17,'График аннуитет.'!D18+'График аннуитет.'!E18)</f>
        <v>6434360.8900000006</v>
      </c>
      <c r="G18" s="13">
        <f t="shared" si="2"/>
        <v>29</v>
      </c>
      <c r="H18" s="13">
        <f t="shared" si="1"/>
        <v>365</v>
      </c>
    </row>
    <row r="19" spans="1:8" x14ac:dyDescent="0.25">
      <c r="A19" s="16">
        <v>12</v>
      </c>
      <c r="B19" s="30">
        <f>'График дифференц'!B19</f>
        <v>46402</v>
      </c>
      <c r="C19" s="31">
        <f t="shared" si="0"/>
        <v>70857585.309999987</v>
      </c>
      <c r="D19" s="31">
        <f>IF(A19&lt;malumot!$B$82,'График аннуитет.'!F19-'График аннуитет.'!E19,'График аннуитет.'!C19)</f>
        <v>3124438.1900000009</v>
      </c>
      <c r="E19" s="31">
        <f>ROUND(C19*malumot!$B$85/H19,2)*'График аннуитет.'!G19</f>
        <v>3309922.6999999997</v>
      </c>
      <c r="F19" s="31">
        <f>IF(A19&lt;malumot!$B$82,'График аннуитет.'!F18,'График аннуитет.'!D19+'График аннуитет.'!E19)</f>
        <v>6434360.8900000006</v>
      </c>
      <c r="G19" s="13">
        <f>B19-B18</f>
        <v>31</v>
      </c>
      <c r="H19" s="13">
        <f t="shared" si="1"/>
        <v>365</v>
      </c>
    </row>
    <row r="20" spans="1:8" x14ac:dyDescent="0.25">
      <c r="A20" s="16">
        <v>13</v>
      </c>
      <c r="B20" s="30">
        <f>'График дифференц'!B20</f>
        <v>46433</v>
      </c>
      <c r="C20" s="31">
        <f t="shared" si="0"/>
        <v>67733147.11999999</v>
      </c>
      <c r="D20" s="31">
        <f>IF(A20&lt;malumot!$B$82,'График аннуитет.'!F20-'График аннуитет.'!E20,'График аннуитет.'!C20)</f>
        <v>3270387.7400000007</v>
      </c>
      <c r="E20" s="31">
        <f>ROUND(C20*malumot!$B$85/H20,2)*'График аннуитет.'!G20</f>
        <v>3163973.15</v>
      </c>
      <c r="F20" s="31">
        <f>IF(A20&lt;malumot!$B$82,'График аннуитет.'!F19,'График аннуитет.'!D20+'График аннуитет.'!E20)</f>
        <v>6434360.8900000006</v>
      </c>
      <c r="G20" s="13">
        <f t="shared" si="2"/>
        <v>31</v>
      </c>
      <c r="H20" s="13">
        <f t="shared" si="1"/>
        <v>365</v>
      </c>
    </row>
    <row r="21" spans="1:8" x14ac:dyDescent="0.25">
      <c r="A21" s="16">
        <v>14</v>
      </c>
      <c r="B21" s="30">
        <f>'График дифференц'!B21</f>
        <v>46461</v>
      </c>
      <c r="C21" s="31">
        <f t="shared" si="0"/>
        <v>64462759.379999988</v>
      </c>
      <c r="D21" s="31">
        <f>IF(A21&lt;malumot!$B$82,'График аннуитет.'!F21-'График аннуитет.'!E21,'График аннуитет.'!C21)</f>
        <v>3714562.4100000006</v>
      </c>
      <c r="E21" s="31">
        <f>ROUND(C21*malumot!$B$85/H21,2)*'График аннуитет.'!G21</f>
        <v>2719798.48</v>
      </c>
      <c r="F21" s="31">
        <f>IF(A21&lt;malumot!$B$82,'График аннуитет.'!F20,'График аннуитет.'!D21+'График аннуитет.'!E21)</f>
        <v>6434360.8900000006</v>
      </c>
      <c r="G21" s="13">
        <f t="shared" si="2"/>
        <v>28</v>
      </c>
      <c r="H21" s="13">
        <f t="shared" si="1"/>
        <v>365</v>
      </c>
    </row>
    <row r="22" spans="1:8" x14ac:dyDescent="0.25">
      <c r="A22" s="16">
        <v>15</v>
      </c>
      <c r="B22" s="30">
        <f>'График дифференц'!B22</f>
        <v>46492</v>
      </c>
      <c r="C22" s="31">
        <f t="shared" si="0"/>
        <v>60748196.969999984</v>
      </c>
      <c r="D22" s="31">
        <f>IF(A22&lt;malumot!$B$82,'График аннуитет.'!F22-'График аннуитет.'!E22,'График аннуитет.'!C22)</f>
        <v>3596671.1100000003</v>
      </c>
      <c r="E22" s="31">
        <f>ROUND(C22*malumot!$B$85/H22,2)*'График аннуитет.'!G22</f>
        <v>2837689.7800000003</v>
      </c>
      <c r="F22" s="31">
        <f>IF(A22&lt;malumot!$B$82,'График аннуитет.'!F21,'График аннуитет.'!D22+'График аннуитет.'!E22)</f>
        <v>6434360.8900000006</v>
      </c>
      <c r="G22" s="13">
        <f t="shared" si="2"/>
        <v>31</v>
      </c>
      <c r="H22" s="13">
        <f t="shared" si="1"/>
        <v>365</v>
      </c>
    </row>
    <row r="23" spans="1:8" x14ac:dyDescent="0.25">
      <c r="A23" s="16">
        <v>16</v>
      </c>
      <c r="B23" s="30">
        <f>'График дифференц'!B23</f>
        <v>46524</v>
      </c>
      <c r="C23" s="31">
        <f t="shared" si="0"/>
        <v>57151525.859999985</v>
      </c>
      <c r="D23" s="31">
        <f>IF(A23&lt;malumot!$B$82,'График аннуитет.'!F23-'График аннуитет.'!E23,'График аннуитет.'!C23)</f>
        <v>3678561.2100000004</v>
      </c>
      <c r="E23" s="31">
        <f>ROUND(C23*malumot!$B$85/H23,2)*'График аннуитет.'!G23</f>
        <v>2755799.68</v>
      </c>
      <c r="F23" s="31">
        <f>IF(A23&lt;malumot!$B$82,'График аннуитет.'!F22,'График аннуитет.'!D23+'График аннуитет.'!E23)</f>
        <v>6434360.8900000006</v>
      </c>
      <c r="G23" s="13">
        <f t="shared" si="2"/>
        <v>32</v>
      </c>
      <c r="H23" s="13">
        <f t="shared" si="1"/>
        <v>365</v>
      </c>
    </row>
    <row r="24" spans="1:8" x14ac:dyDescent="0.25">
      <c r="A24" s="16">
        <v>17</v>
      </c>
      <c r="B24" s="30">
        <f>'График дифференц'!B24</f>
        <v>46553</v>
      </c>
      <c r="C24" s="31">
        <f t="shared" si="0"/>
        <v>53472964.649999984</v>
      </c>
      <c r="D24" s="31">
        <f>IF(A24&lt;malumot!$B$82,'График аннуитет.'!F24-'График аннуитет.'!E24,'График аннуитет.'!C24)</f>
        <v>4097665.5900000008</v>
      </c>
      <c r="E24" s="31">
        <f>ROUND(C24*malumot!$B$85/H24,2)*'График аннуитет.'!G24</f>
        <v>2336695.2999999998</v>
      </c>
      <c r="F24" s="31">
        <f>IF(A24&lt;malumot!$B$82,'График аннуитет.'!F23,'График аннуитет.'!D24+'График аннуитет.'!E24)</f>
        <v>6434360.8900000006</v>
      </c>
      <c r="G24" s="13">
        <f t="shared" si="2"/>
        <v>29</v>
      </c>
      <c r="H24" s="13">
        <f t="shared" si="1"/>
        <v>365</v>
      </c>
    </row>
    <row r="25" spans="1:8" x14ac:dyDescent="0.25">
      <c r="A25" s="16">
        <v>18</v>
      </c>
      <c r="B25" s="30">
        <f>'График дифференц'!B25</f>
        <v>46583</v>
      </c>
      <c r="C25" s="31">
        <f t="shared" si="0"/>
        <v>49375299.05999998</v>
      </c>
      <c r="D25" s="31">
        <f>IF(A25&lt;malumot!$B$82,'График аннуитет.'!F25-'График аннуитет.'!E25,'График аннуитет.'!C25)</f>
        <v>4202326.6900000004</v>
      </c>
      <c r="E25" s="31">
        <f>ROUND(C25*malumot!$B$85/H25,2)*'График аннуитет.'!G25</f>
        <v>2232034.2000000002</v>
      </c>
      <c r="F25" s="31">
        <f>IF(A25&lt;malumot!$B$82,'График аннуитет.'!F24,'График аннуитет.'!D25+'График аннуитет.'!E25)</f>
        <v>6434360.8900000006</v>
      </c>
      <c r="G25" s="13">
        <f>B25-B24</f>
        <v>30</v>
      </c>
      <c r="H25" s="13">
        <f t="shared" si="1"/>
        <v>365</v>
      </c>
    </row>
    <row r="26" spans="1:8" x14ac:dyDescent="0.25">
      <c r="A26" s="16">
        <v>19</v>
      </c>
      <c r="B26" s="30">
        <f>'График дифференц'!B26</f>
        <v>46615</v>
      </c>
      <c r="C26" s="31">
        <f t="shared" si="0"/>
        <v>45172972.369999982</v>
      </c>
      <c r="D26" s="31">
        <f>IF(A26&lt;malumot!$B$82,'График аннуитет.'!F26-'График аннуитет.'!E26,'График аннуитет.'!C26)</f>
        <v>4256157.370000001</v>
      </c>
      <c r="E26" s="31">
        <f>ROUND(C26*malumot!$B$85/H26,2)*'График аннуитет.'!G26</f>
        <v>2178203.52</v>
      </c>
      <c r="F26" s="31">
        <f>IF(A26&lt;malumot!$B$82,'График аннуитет.'!F25,'График аннуитет.'!D26+'График аннуитет.'!E26)</f>
        <v>6434360.8900000006</v>
      </c>
      <c r="G26" s="13">
        <f t="shared" ref="G26:G30" si="3">B26-B25</f>
        <v>32</v>
      </c>
      <c r="H26" s="13">
        <f t="shared" si="1"/>
        <v>365</v>
      </c>
    </row>
    <row r="27" spans="1:8" x14ac:dyDescent="0.25">
      <c r="A27" s="16">
        <v>20</v>
      </c>
      <c r="B27" s="30">
        <f>'График дифференц'!B27</f>
        <v>46645</v>
      </c>
      <c r="C27" s="31">
        <f t="shared" si="0"/>
        <v>40916814.999999985</v>
      </c>
      <c r="D27" s="31">
        <f>IF(A27&lt;malumot!$B$82,'График аннуитет.'!F27-'График аннуитет.'!E27,'График аннуитет.'!C27)</f>
        <v>4584696.790000001</v>
      </c>
      <c r="E27" s="31">
        <f>ROUND(C27*malumot!$B$85/H27,2)*'График аннуитет.'!G27</f>
        <v>1849664.1</v>
      </c>
      <c r="F27" s="31">
        <f>IF(A27&lt;malumot!$B$82,'График аннуитет.'!F26,'График аннуитет.'!D27+'График аннуитет.'!E27)</f>
        <v>6434360.8900000006</v>
      </c>
      <c r="G27" s="13">
        <f t="shared" si="3"/>
        <v>30</v>
      </c>
      <c r="H27" s="13">
        <f t="shared" si="1"/>
        <v>365</v>
      </c>
    </row>
    <row r="28" spans="1:8" x14ac:dyDescent="0.25">
      <c r="A28" s="16">
        <v>21</v>
      </c>
      <c r="B28" s="30">
        <f>'График дифференц'!B28</f>
        <v>46675</v>
      </c>
      <c r="C28" s="31">
        <f t="shared" si="0"/>
        <v>36332118.209999986</v>
      </c>
      <c r="D28" s="31">
        <f>IF(A28&lt;malumot!$B$82,'График аннуитет.'!F28-'График аннуитет.'!E28,'График аннуитет.'!C28)</f>
        <v>4791949.99</v>
      </c>
      <c r="E28" s="31">
        <f>ROUND(C28*malumot!$B$85/H28,2)*'График аннуитет.'!G28</f>
        <v>1642410.9</v>
      </c>
      <c r="F28" s="31">
        <f>IF(A28&lt;malumot!$B$82,'График аннуитет.'!F27,'График аннуитет.'!D28+'График аннуитет.'!E28)</f>
        <v>6434360.8900000006</v>
      </c>
      <c r="G28" s="13">
        <f t="shared" si="3"/>
        <v>30</v>
      </c>
      <c r="H28" s="13">
        <f t="shared" si="1"/>
        <v>365</v>
      </c>
    </row>
    <row r="29" spans="1:8" x14ac:dyDescent="0.25">
      <c r="A29" s="16">
        <v>22</v>
      </c>
      <c r="B29" s="30">
        <f>'График дифференц'!B29</f>
        <v>46706</v>
      </c>
      <c r="C29" s="31">
        <f t="shared" si="0"/>
        <v>31540168.219999984</v>
      </c>
      <c r="D29" s="31">
        <f>IF(A29&lt;malumot!$B$82,'График аннуитет.'!F29-'График аннуитет.'!E29,'График аннуитет.'!C29)</f>
        <v>4961046.2100000009</v>
      </c>
      <c r="E29" s="31">
        <f>ROUND(C29*malumot!$B$85/H29,2)*'График аннуитет.'!G29</f>
        <v>1473314.68</v>
      </c>
      <c r="F29" s="31">
        <f>IF(A29&lt;malumot!$B$82,'График аннуитет.'!F28,'График аннуитет.'!D29+'График аннуитет.'!E29)</f>
        <v>6434360.8900000006</v>
      </c>
      <c r="G29" s="13">
        <f t="shared" si="3"/>
        <v>31</v>
      </c>
      <c r="H29" s="13">
        <f t="shared" si="1"/>
        <v>365</v>
      </c>
    </row>
    <row r="30" spans="1:8" x14ac:dyDescent="0.25">
      <c r="A30" s="16">
        <v>23</v>
      </c>
      <c r="B30" s="30">
        <f>'График дифференц'!B30</f>
        <v>46736</v>
      </c>
      <c r="C30" s="31">
        <f t="shared" si="0"/>
        <v>26579122.009999983</v>
      </c>
      <c r="D30" s="31">
        <f>IF(A30&lt;malumot!$B$82,'График аннуитет.'!F30-'График аннуитет.'!E30,'График аннуитет.'!C30)</f>
        <v>5232838.99</v>
      </c>
      <c r="E30" s="31">
        <f>ROUND(C30*malumot!$B$85/H30,2)*'График аннуитет.'!G30</f>
        <v>1201521.9000000001</v>
      </c>
      <c r="F30" s="31">
        <f>IF(A30&lt;malumot!$B$82,'График аннуитет.'!F29,'График аннуитет.'!D30+'График аннуитет.'!E30)</f>
        <v>6434360.8900000006</v>
      </c>
      <c r="G30" s="13">
        <f t="shared" si="3"/>
        <v>30</v>
      </c>
      <c r="H30" s="13">
        <f t="shared" si="1"/>
        <v>365</v>
      </c>
    </row>
    <row r="31" spans="1:8" x14ac:dyDescent="0.25">
      <c r="A31" s="16">
        <v>24</v>
      </c>
      <c r="B31" s="30">
        <f>'График дифференц'!B31</f>
        <v>46769</v>
      </c>
      <c r="C31" s="31">
        <f t="shared" ref="C31" si="4">C30-D30</f>
        <v>21346283.019999981</v>
      </c>
      <c r="D31" s="31">
        <f>IF(A31&lt;malumot!$B$82,'График аннуитет.'!F31-'График аннуитет.'!E31,'График аннуитет.'!C31)</f>
        <v>5375795.1400000006</v>
      </c>
      <c r="E31" s="31">
        <f>ROUND(C31*malumot!$B$85/H31,2)*'График аннуитет.'!G31</f>
        <v>1058565.75</v>
      </c>
      <c r="F31" s="31">
        <f>IF(A31&lt;malumot!$B$82,'График аннуитет.'!F30,'График аннуитет.'!D31+'График аннуитет.'!E31)</f>
        <v>6434360.8900000006</v>
      </c>
      <c r="G31" s="13">
        <f>B31-B30</f>
        <v>33</v>
      </c>
      <c r="H31" s="13">
        <f t="shared" si="1"/>
        <v>366</v>
      </c>
    </row>
    <row r="32" spans="1:8" x14ac:dyDescent="0.25">
      <c r="A32" s="16">
        <f>1+A31</f>
        <v>25</v>
      </c>
      <c r="B32" s="30">
        <f>'График дифференц'!B32</f>
        <v>46798</v>
      </c>
      <c r="C32" s="31">
        <f t="shared" ref="C32:C43" si="5">C31-D31</f>
        <v>15970487.87999998</v>
      </c>
      <c r="D32" s="31">
        <f>IF(A32&lt;malumot!$B$82,'График аннуитет.'!F32-'График аннуитет.'!E32,'График аннуитет.'!C32)</f>
        <v>5738379.1600000001</v>
      </c>
      <c r="E32" s="31">
        <f>ROUND(C32*malumot!$B$85/H32,2)*'График аннуитет.'!G32</f>
        <v>695981.73</v>
      </c>
      <c r="F32" s="31">
        <f>IF(A32&lt;malumot!$B$82,'График аннуитет.'!F31,'График аннуитет.'!D32+'График аннуитет.'!E32)</f>
        <v>6434360.8900000006</v>
      </c>
      <c r="G32" s="13">
        <f t="shared" ref="G32:G43" si="6">B32-B31</f>
        <v>29</v>
      </c>
      <c r="H32" s="13">
        <f t="shared" ref="H32:H43" si="7">DATE(YEAR(B32),12,31)-DATE(YEAR(B32),1,1)+1</f>
        <v>366</v>
      </c>
    </row>
    <row r="33" spans="1:8" x14ac:dyDescent="0.25">
      <c r="A33" s="16">
        <f t="shared" ref="A33:A55" si="8">1+A32</f>
        <v>26</v>
      </c>
      <c r="B33" s="30">
        <f>'График дифференц'!B33</f>
        <v>46827</v>
      </c>
      <c r="C33" s="31">
        <f t="shared" si="5"/>
        <v>10232108.71999998</v>
      </c>
      <c r="D33" s="31">
        <f>IF(A33&lt;malumot!$B$82,'График аннуитет.'!F33-'График аннуитет.'!E33,'График аннуитет.'!C33)</f>
        <v>5988453.4100000001</v>
      </c>
      <c r="E33" s="31">
        <f>ROUND(C33*malumot!$B$85/H33,2)*'График аннуитет.'!G33</f>
        <v>445907.48000000004</v>
      </c>
      <c r="F33" s="31">
        <f>IF(A33&lt;malumot!$B$82,'График аннуитет.'!F32,'График аннуитет.'!D33+'График аннуитет.'!E33)</f>
        <v>6434360.8900000006</v>
      </c>
      <c r="G33" s="13">
        <f t="shared" si="6"/>
        <v>29</v>
      </c>
      <c r="H33" s="13">
        <f t="shared" si="7"/>
        <v>366</v>
      </c>
    </row>
    <row r="34" spans="1:8" x14ac:dyDescent="0.25">
      <c r="A34" s="16">
        <f t="shared" si="8"/>
        <v>27</v>
      </c>
      <c r="B34" s="30">
        <f>'График дифференц'!B34</f>
        <v>46860</v>
      </c>
      <c r="C34" s="31">
        <f t="shared" si="5"/>
        <v>4243655.30999998</v>
      </c>
      <c r="D34" s="31">
        <f>IF(A34&lt;malumot!$B$82,'График аннуитет.'!F34-'График аннуитет.'!E34,'График аннуитет.'!C34)</f>
        <v>6223917.2500000009</v>
      </c>
      <c r="E34" s="31">
        <f>ROUND(C34*malumot!$B$85/H34,2)*'График аннуитет.'!G34</f>
        <v>210443.63999999998</v>
      </c>
      <c r="F34" s="31">
        <f>IF(A34&lt;malumot!$B$82,'График аннуитет.'!F33,'График аннуитет.'!D34+'График аннуитет.'!E34)</f>
        <v>6434360.8900000006</v>
      </c>
      <c r="G34" s="13">
        <f t="shared" si="6"/>
        <v>33</v>
      </c>
      <c r="H34" s="13">
        <f t="shared" si="7"/>
        <v>366</v>
      </c>
    </row>
    <row r="35" spans="1:8" x14ac:dyDescent="0.25">
      <c r="A35" s="16">
        <f t="shared" si="8"/>
        <v>28</v>
      </c>
      <c r="B35" s="30">
        <f>'График дифференц'!B35</f>
        <v>46888</v>
      </c>
      <c r="C35" s="31">
        <f t="shared" si="5"/>
        <v>-1980261.9400000209</v>
      </c>
      <c r="D35" s="31">
        <f>IF(A35&lt;malumot!$B$82,'График аннуитет.'!F35-'График аннуитет.'!E35,'График аннуитет.'!C35)</f>
        <v>6517683.290000001</v>
      </c>
      <c r="E35" s="31">
        <f>ROUND(C35*malumot!$B$85/H35,2)*'График аннуитет.'!G35</f>
        <v>-83322.400000000009</v>
      </c>
      <c r="F35" s="31">
        <f>IF(A35&lt;malumot!$B$82,'График аннуитет.'!F34,'График аннуитет.'!D35+'График аннуитет.'!E35)</f>
        <v>6434360.8900000006</v>
      </c>
      <c r="G35" s="13">
        <f t="shared" si="6"/>
        <v>28</v>
      </c>
      <c r="H35" s="13">
        <f t="shared" si="7"/>
        <v>366</v>
      </c>
    </row>
    <row r="36" spans="1:8" x14ac:dyDescent="0.25">
      <c r="A36" s="16">
        <f t="shared" si="8"/>
        <v>29</v>
      </c>
      <c r="B36" s="30">
        <f>'График дифференц'!B36</f>
        <v>46919</v>
      </c>
      <c r="C36" s="31">
        <f t="shared" si="5"/>
        <v>-8497945.2300000228</v>
      </c>
      <c r="D36" s="31">
        <f>IF(A36&lt;malumot!$B$82,'График аннуитет.'!F36-'График аннуитет.'!E36,'График аннуитет.'!C36)</f>
        <v>6830235.2300000004</v>
      </c>
      <c r="E36" s="31">
        <f>ROUND(C36*malumot!$B$85/H36,2)*'График аннуитет.'!G36</f>
        <v>-395874.33999999997</v>
      </c>
      <c r="F36" s="31">
        <f>IF(A36&lt;malumot!$B$82,'График аннуитет.'!F35,'График аннуитет.'!D36+'График аннуитет.'!E36)</f>
        <v>6434360.8900000006</v>
      </c>
      <c r="G36" s="13">
        <f t="shared" si="6"/>
        <v>31</v>
      </c>
      <c r="H36" s="13">
        <f t="shared" si="7"/>
        <v>366</v>
      </c>
    </row>
    <row r="37" spans="1:8" x14ac:dyDescent="0.25">
      <c r="A37" s="16">
        <f t="shared" si="8"/>
        <v>30</v>
      </c>
      <c r="B37" s="30">
        <f>'График дифференц'!B37</f>
        <v>46951</v>
      </c>
      <c r="C37" s="31">
        <f t="shared" si="5"/>
        <v>-15328180.460000023</v>
      </c>
      <c r="D37" s="31">
        <f>IF(A37&lt;malumot!$B$82,'График аннуитет.'!F37-'График аннуитет.'!E37,'График аннуитет.'!C37)</f>
        <v>7171453.6900000004</v>
      </c>
      <c r="E37" s="31">
        <f>ROUND(C37*malumot!$B$85/H37,2)*'График аннуитет.'!G37</f>
        <v>-737092.8</v>
      </c>
      <c r="F37" s="31">
        <f>IF(A37&lt;malumot!$B$82,'График аннуитет.'!F36,'График аннуитет.'!D37+'График аннуитет.'!E37)</f>
        <v>6434360.8900000006</v>
      </c>
      <c r="G37" s="13">
        <f t="shared" si="6"/>
        <v>32</v>
      </c>
      <c r="H37" s="13">
        <f t="shared" si="7"/>
        <v>366</v>
      </c>
    </row>
    <row r="38" spans="1:8" x14ac:dyDescent="0.25">
      <c r="A38" s="16">
        <f t="shared" si="8"/>
        <v>31</v>
      </c>
      <c r="B38" s="30">
        <f>'График дифференц'!B38</f>
        <v>46980</v>
      </c>
      <c r="C38" s="31">
        <f t="shared" si="5"/>
        <v>-22499634.150000025</v>
      </c>
      <c r="D38" s="31">
        <f>IF(A38&lt;malumot!$B$82,'График аннуитет.'!F38-'График аннуитет.'!E38,'График аннуитет.'!C38)</f>
        <v>7414877.8600000003</v>
      </c>
      <c r="E38" s="31">
        <f>ROUND(C38*malumot!$B$85/H38,2)*'График аннуитет.'!G38</f>
        <v>-980516.97</v>
      </c>
      <c r="F38" s="31">
        <f>IF(A38&lt;malumot!$B$82,'График аннуитет.'!F37,'График аннуитет.'!D38+'График аннуитет.'!E38)</f>
        <v>6434360.8900000006</v>
      </c>
      <c r="G38" s="13">
        <f t="shared" si="6"/>
        <v>29</v>
      </c>
      <c r="H38" s="13">
        <f t="shared" si="7"/>
        <v>366</v>
      </c>
    </row>
    <row r="39" spans="1:8" x14ac:dyDescent="0.25">
      <c r="A39" s="16">
        <f t="shared" si="8"/>
        <v>32</v>
      </c>
      <c r="B39" s="30">
        <f>'График дифференц'!B39</f>
        <v>47011</v>
      </c>
      <c r="C39" s="31">
        <f t="shared" si="5"/>
        <v>-29914512.010000024</v>
      </c>
      <c r="D39" s="31">
        <f>IF(A39&lt;malumot!$B$82,'График аннуитет.'!F39-'График аннуитет.'!E39,'График аннуитет.'!C39)</f>
        <v>7827919.3900000006</v>
      </c>
      <c r="E39" s="31">
        <f>ROUND(C39*malumot!$B$85/H39,2)*'График аннуитет.'!G39</f>
        <v>-1393558.5</v>
      </c>
      <c r="F39" s="31">
        <f>IF(A39&lt;malumot!$B$82,'График аннуитет.'!F38,'График аннуитет.'!D39+'График аннуитет.'!E39)</f>
        <v>6434360.8900000006</v>
      </c>
      <c r="G39" s="13">
        <f t="shared" si="6"/>
        <v>31</v>
      </c>
      <c r="H39" s="13">
        <f t="shared" si="7"/>
        <v>366</v>
      </c>
    </row>
    <row r="40" spans="1:8" x14ac:dyDescent="0.25">
      <c r="A40" s="16">
        <f t="shared" si="8"/>
        <v>33</v>
      </c>
      <c r="B40" s="30">
        <f>'График дифференц'!B40</f>
        <v>47042</v>
      </c>
      <c r="C40" s="31">
        <f t="shared" si="5"/>
        <v>-37742431.400000021</v>
      </c>
      <c r="D40" s="31">
        <f>IF(A40&lt;malumot!$B$82,'График аннуитет.'!F40-'График аннуитет.'!E40,'График аннуитет.'!C40)</f>
        <v>8192580.7600000007</v>
      </c>
      <c r="E40" s="31">
        <f>ROUND(C40*malumot!$B$85/H40,2)*'График аннуитет.'!G40</f>
        <v>-1758219.8699999999</v>
      </c>
      <c r="F40" s="31">
        <f>IF(A40&lt;malumot!$B$82,'График аннуитет.'!F39,'График аннуитет.'!D40+'График аннуитет.'!E40)</f>
        <v>6434360.8900000006</v>
      </c>
      <c r="G40" s="13">
        <f t="shared" si="6"/>
        <v>31</v>
      </c>
      <c r="H40" s="13">
        <f t="shared" si="7"/>
        <v>366</v>
      </c>
    </row>
    <row r="41" spans="1:8" x14ac:dyDescent="0.25">
      <c r="A41" s="16">
        <f t="shared" si="8"/>
        <v>34</v>
      </c>
      <c r="B41" s="30">
        <f>'График дифференц'!B41</f>
        <v>47072</v>
      </c>
      <c r="C41" s="31">
        <f t="shared" si="5"/>
        <v>-45935012.160000019</v>
      </c>
      <c r="D41" s="31">
        <f>IF(A41&lt;malumot!$B$82,'График аннуитет.'!F41-'График аннуитет.'!E41,'График аннуитет.'!C41)</f>
        <v>8505201.4900000002</v>
      </c>
      <c r="E41" s="31">
        <f>ROUND(C41*malumot!$B$85/H41,2)*'График аннуитет.'!G41</f>
        <v>-2070840.6</v>
      </c>
      <c r="F41" s="31">
        <f>IF(A41&lt;malumot!$B$82,'График аннуитет.'!F40,'График аннуитет.'!D41+'График аннуитет.'!E41)</f>
        <v>6434360.8900000006</v>
      </c>
      <c r="G41" s="13">
        <f t="shared" si="6"/>
        <v>30</v>
      </c>
      <c r="H41" s="13">
        <f t="shared" si="7"/>
        <v>366</v>
      </c>
    </row>
    <row r="42" spans="1:8" x14ac:dyDescent="0.25">
      <c r="A42" s="16">
        <f t="shared" si="8"/>
        <v>35</v>
      </c>
      <c r="B42" s="30">
        <f>'График дифференц'!B42</f>
        <v>47102</v>
      </c>
      <c r="C42" s="31">
        <f t="shared" si="5"/>
        <v>-54440213.650000021</v>
      </c>
      <c r="D42" s="31">
        <f>IF(A42&lt;malumot!$B$82,'График аннуитет.'!F42-'График аннуитет.'!E42,'График аннуитет.'!C42)</f>
        <v>8888632.6900000013</v>
      </c>
      <c r="E42" s="31">
        <f>ROUND(C42*malumot!$B$85/H42,2)*'График аннуитет.'!G42</f>
        <v>-2454271.7999999998</v>
      </c>
      <c r="F42" s="31">
        <f>IF(A42&lt;malumot!$B$82,'График аннуитет.'!F41,'График аннуитет.'!D42+'График аннуитет.'!E42)</f>
        <v>6434360.8900000006</v>
      </c>
      <c r="G42" s="13">
        <f t="shared" si="6"/>
        <v>30</v>
      </c>
      <c r="H42" s="13">
        <f t="shared" si="7"/>
        <v>366</v>
      </c>
    </row>
    <row r="43" spans="1:8" x14ac:dyDescent="0.25">
      <c r="A43" s="16">
        <f t="shared" si="8"/>
        <v>36</v>
      </c>
      <c r="B43" s="30">
        <f>'График дифференц'!B43</f>
        <v>47133</v>
      </c>
      <c r="C43" s="31">
        <f t="shared" si="5"/>
        <v>-63328846.340000018</v>
      </c>
      <c r="D43" s="31">
        <f>IF(A43&lt;malumot!$B$82,'График аннуитет.'!F43-'График аннуитет.'!E43,'График аннуитет.'!C43)</f>
        <v>9392598.8200000003</v>
      </c>
      <c r="E43" s="31">
        <f>ROUND(C43*malumot!$B$85/H43,2)*'График аннуитет.'!G43</f>
        <v>-2958237.93</v>
      </c>
      <c r="F43" s="31">
        <f>IF(A43&lt;malumot!$B$82,'График аннуитет.'!F42,'График аннуитет.'!D43+'График аннуитет.'!E43)</f>
        <v>6434360.8900000006</v>
      </c>
      <c r="G43" s="13">
        <f t="shared" si="6"/>
        <v>31</v>
      </c>
      <c r="H43" s="13">
        <f t="shared" si="7"/>
        <v>365</v>
      </c>
    </row>
    <row r="44" spans="1:8" x14ac:dyDescent="0.25">
      <c r="A44" s="16">
        <f t="shared" si="8"/>
        <v>37</v>
      </c>
      <c r="B44" s="30">
        <f>'График дифференц'!B44</f>
        <v>47164</v>
      </c>
      <c r="C44" s="31">
        <f t="shared" ref="C44:C55" si="9">C43-D43</f>
        <v>-72721445.160000026</v>
      </c>
      <c r="D44" s="31">
        <f>IF(A44&lt;malumot!$B$82,'График аннуитет.'!F44-'График аннуитет.'!E44,'График аннуитет.'!C44)</f>
        <v>9831348.9500000011</v>
      </c>
      <c r="E44" s="31">
        <f>ROUND(C44*malumot!$B$85/H44,2)*'График аннуитет.'!G44</f>
        <v>-3396988.06</v>
      </c>
      <c r="F44" s="31">
        <f>IF(A44&lt;malumot!$B$82,'График аннуитет.'!F43,'График аннуитет.'!D44+'График аннуитет.'!E44)</f>
        <v>6434360.8900000006</v>
      </c>
      <c r="G44" s="13">
        <f t="shared" ref="G44:G55" si="10">B44-B43</f>
        <v>31</v>
      </c>
      <c r="H44" s="13">
        <f t="shared" ref="H44:H55" si="11">DATE(YEAR(B44),12,31)-DATE(YEAR(B44),1,1)+1</f>
        <v>365</v>
      </c>
    </row>
    <row r="45" spans="1:8" x14ac:dyDescent="0.25">
      <c r="A45" s="16">
        <f t="shared" si="8"/>
        <v>38</v>
      </c>
      <c r="B45" s="30">
        <f>'График дифференц'!B45</f>
        <v>47192</v>
      </c>
      <c r="C45" s="31">
        <f t="shared" si="9"/>
        <v>-82552794.110000029</v>
      </c>
      <c r="D45" s="31">
        <f>IF(A45&lt;malumot!$B$82,'График аннуитет.'!F45-'График аннуитет.'!E45,'График аннуитет.'!C45)</f>
        <v>9917410.25</v>
      </c>
      <c r="E45" s="31">
        <f>ROUND(C45*malumot!$B$85/H45,2)*'График аннуитет.'!G45</f>
        <v>-3483049.36</v>
      </c>
      <c r="F45" s="31">
        <f>IF(A45&lt;malumot!$B$82,'График аннуитет.'!F44,'График аннуитет.'!D45+'График аннуитет.'!E45)</f>
        <v>6434360.8900000006</v>
      </c>
      <c r="G45" s="13">
        <f t="shared" si="10"/>
        <v>28</v>
      </c>
      <c r="H45" s="13">
        <f t="shared" si="11"/>
        <v>365</v>
      </c>
    </row>
    <row r="46" spans="1:8" x14ac:dyDescent="0.25">
      <c r="A46" s="16">
        <f t="shared" si="8"/>
        <v>39</v>
      </c>
      <c r="B46" s="30">
        <f>'График дифференц'!B46</f>
        <v>47224</v>
      </c>
      <c r="C46" s="31">
        <f t="shared" si="9"/>
        <v>-92470204.360000029</v>
      </c>
      <c r="D46" s="31">
        <f>IF(A46&lt;malumot!$B$82,'График аннуитет.'!F46-'График аннуитет.'!E46,'График аннуитет.'!C46)</f>
        <v>10893198.010000002</v>
      </c>
      <c r="E46" s="31">
        <f>ROUND(C46*malumot!$B$85/H46,2)*'График аннуитет.'!G46</f>
        <v>-4458837.12</v>
      </c>
      <c r="F46" s="31">
        <f>IF(A46&lt;malumot!$B$82,'График аннуитет.'!F45,'График аннуитет.'!D46+'График аннуитет.'!E46)</f>
        <v>6434360.8900000006</v>
      </c>
      <c r="G46" s="13">
        <f t="shared" si="10"/>
        <v>32</v>
      </c>
      <c r="H46" s="13">
        <f t="shared" si="11"/>
        <v>365</v>
      </c>
    </row>
    <row r="47" spans="1:8" x14ac:dyDescent="0.25">
      <c r="A47" s="16">
        <f t="shared" si="8"/>
        <v>40</v>
      </c>
      <c r="B47" s="30">
        <f>'График дифференц'!B47</f>
        <v>47253</v>
      </c>
      <c r="C47" s="31">
        <f t="shared" si="9"/>
        <v>-103363402.37000003</v>
      </c>
      <c r="D47" s="31">
        <f>IF(A47&lt;malumot!$B$82,'График аннуитет.'!F47-'График аннуитет.'!E47,'График аннуитет.'!C47)</f>
        <v>10951199.920000002</v>
      </c>
      <c r="E47" s="31">
        <f>ROUND(C47*malumot!$B$85/H47,2)*'График аннуитет.'!G47</f>
        <v>-4516839.03</v>
      </c>
      <c r="F47" s="31">
        <f>IF(A47&lt;malumot!$B$82,'График аннуитет.'!F46,'График аннуитет.'!D47+'График аннуитет.'!E47)</f>
        <v>6434360.8900000006</v>
      </c>
      <c r="G47" s="13">
        <f t="shared" si="10"/>
        <v>29</v>
      </c>
      <c r="H47" s="13">
        <f t="shared" si="11"/>
        <v>365</v>
      </c>
    </row>
    <row r="48" spans="1:8" x14ac:dyDescent="0.25">
      <c r="A48" s="16">
        <f t="shared" si="8"/>
        <v>41</v>
      </c>
      <c r="B48" s="30">
        <f>'График дифференц'!B48</f>
        <v>47284</v>
      </c>
      <c r="C48" s="31">
        <f t="shared" si="9"/>
        <v>-114314602.29000004</v>
      </c>
      <c r="D48" s="31">
        <f>IF(A48&lt;malumot!$B$82,'График аннуитет.'!F48-'График аннуитет.'!E48,'График аннуитет.'!C48)</f>
        <v>11774262.170000002</v>
      </c>
      <c r="E48" s="31">
        <f>ROUND(C48*malumot!$B$85/H48,2)*'График аннуитет.'!G48</f>
        <v>-5339901.28</v>
      </c>
      <c r="F48" s="31">
        <f>IF(A48&lt;malumot!$B$82,'График аннуитет.'!F47,'График аннуитет.'!D48+'График аннуитет.'!E48)</f>
        <v>6434360.8900000006</v>
      </c>
      <c r="G48" s="13">
        <f t="shared" si="10"/>
        <v>31</v>
      </c>
      <c r="H48" s="13">
        <f t="shared" si="11"/>
        <v>365</v>
      </c>
    </row>
    <row r="49" spans="1:8" x14ac:dyDescent="0.25">
      <c r="A49" s="16">
        <f t="shared" si="8"/>
        <v>42</v>
      </c>
      <c r="B49" s="30">
        <f>'График дифференц'!B49</f>
        <v>47315</v>
      </c>
      <c r="C49" s="31">
        <f t="shared" si="9"/>
        <v>-126088864.46000004</v>
      </c>
      <c r="D49" s="31">
        <f>IF(A49&lt;malumot!$B$82,'График аннуитет.'!F49-'График аннуитет.'!E49,'График аннуитет.'!C49)</f>
        <v>12324265.41</v>
      </c>
      <c r="E49" s="31">
        <f>ROUND(C49*malumot!$B$85/H49,2)*'График аннуитет.'!G49</f>
        <v>-5889904.5200000005</v>
      </c>
      <c r="F49" s="31">
        <f>IF(A49&lt;malumot!$B$82,'График аннуитет.'!F48,'График аннуитет.'!D49+'График аннуитет.'!E49)</f>
        <v>6434360.8900000006</v>
      </c>
      <c r="G49" s="13">
        <f t="shared" si="10"/>
        <v>31</v>
      </c>
      <c r="H49" s="13">
        <f t="shared" si="11"/>
        <v>365</v>
      </c>
    </row>
    <row r="50" spans="1:8" x14ac:dyDescent="0.25">
      <c r="A50" s="16">
        <f t="shared" si="8"/>
        <v>43</v>
      </c>
      <c r="B50" s="30">
        <f>'График дифференц'!B50</f>
        <v>47345</v>
      </c>
      <c r="C50" s="31">
        <f t="shared" si="9"/>
        <v>-138413129.87000003</v>
      </c>
      <c r="D50" s="31">
        <f>IF(A50&lt;malumot!$B$82,'График аннуитет.'!F50-'График аннуитет.'!E50,'График аннуитет.'!C50)</f>
        <v>12691392.790000001</v>
      </c>
      <c r="E50" s="31">
        <f>ROUND(C50*malumot!$B$85/H50,2)*'График аннуитет.'!G50</f>
        <v>-6257031.9000000004</v>
      </c>
      <c r="F50" s="31">
        <f>IF(A50&lt;malumot!$B$82,'График аннуитет.'!F49,'График аннуитет.'!D50+'График аннуитет.'!E50)</f>
        <v>6434360.8900000006</v>
      </c>
      <c r="G50" s="13">
        <f t="shared" si="10"/>
        <v>30</v>
      </c>
      <c r="H50" s="13">
        <f t="shared" si="11"/>
        <v>365</v>
      </c>
    </row>
    <row r="51" spans="1:8" x14ac:dyDescent="0.25">
      <c r="A51" s="16">
        <f t="shared" si="8"/>
        <v>44</v>
      </c>
      <c r="B51" s="30">
        <f>'График дифференц'!B51</f>
        <v>47378</v>
      </c>
      <c r="C51" s="31">
        <f t="shared" si="9"/>
        <v>-151104522.66000003</v>
      </c>
      <c r="D51" s="31">
        <f>IF(A51&lt;malumot!$B$82,'График аннуитет.'!F51-'График аннуитет.'!E51,'График аннуитет.'!C51)</f>
        <v>13948188.640000001</v>
      </c>
      <c r="E51" s="31">
        <f>ROUND(C51*malumot!$B$85/H51,2)*'График аннуитет.'!G51</f>
        <v>-7513827.75</v>
      </c>
      <c r="F51" s="31">
        <f>IF(A51&lt;malumot!$B$82,'График аннуитет.'!F50,'График аннуитет.'!D51+'График аннуитет.'!E51)</f>
        <v>6434360.8900000006</v>
      </c>
      <c r="G51" s="13">
        <f t="shared" si="10"/>
        <v>33</v>
      </c>
      <c r="H51" s="13">
        <f t="shared" si="11"/>
        <v>365</v>
      </c>
    </row>
    <row r="52" spans="1:8" x14ac:dyDescent="0.25">
      <c r="A52" s="16">
        <f t="shared" si="8"/>
        <v>45</v>
      </c>
      <c r="B52" s="30">
        <f>'График дифференц'!B52</f>
        <v>47406</v>
      </c>
      <c r="C52" s="31">
        <f t="shared" si="9"/>
        <v>-165052711.30000001</v>
      </c>
      <c r="D52" s="31">
        <f>IF(A52&lt;malumot!$B$82,'График аннуитет.'!F52-'График аннуитет.'!E52,'График аннуитет.'!C52)</f>
        <v>13398228.57</v>
      </c>
      <c r="E52" s="31">
        <f>ROUND(C52*malumot!$B$85/H52,2)*'График аннуитет.'!G52</f>
        <v>-6963867.6799999997</v>
      </c>
      <c r="F52" s="31">
        <f>IF(A52&lt;malumot!$B$82,'График аннуитет.'!F51,'График аннуитет.'!D52+'График аннуитет.'!E52)</f>
        <v>6434360.8900000006</v>
      </c>
      <c r="G52" s="13">
        <f t="shared" si="10"/>
        <v>28</v>
      </c>
      <c r="H52" s="13">
        <f t="shared" si="11"/>
        <v>365</v>
      </c>
    </row>
    <row r="53" spans="1:8" x14ac:dyDescent="0.25">
      <c r="A53" s="16">
        <f t="shared" si="8"/>
        <v>46</v>
      </c>
      <c r="B53" s="30">
        <f>'График дифференц'!B53</f>
        <v>47437</v>
      </c>
      <c r="C53" s="31">
        <f t="shared" si="9"/>
        <v>-178450939.87</v>
      </c>
      <c r="D53" s="31">
        <f>IF(A53&lt;malumot!$B$82,'График аннуитет.'!F53-'График аннуитет.'!E53,'График аннуитет.'!C53)</f>
        <v>14770219.970000001</v>
      </c>
      <c r="E53" s="31">
        <f>ROUND(C53*malumot!$B$85/H53,2)*'График аннуитет.'!G53</f>
        <v>-8335859.0800000001</v>
      </c>
      <c r="F53" s="31">
        <f>IF(A53&lt;malumot!$B$82,'График аннуитет.'!F52,'График аннуитет.'!D53+'График аннуитет.'!E53)</f>
        <v>6434360.8900000006</v>
      </c>
      <c r="G53" s="13">
        <f t="shared" si="10"/>
        <v>31</v>
      </c>
      <c r="H53" s="13">
        <f t="shared" si="11"/>
        <v>365</v>
      </c>
    </row>
    <row r="54" spans="1:8" x14ac:dyDescent="0.25">
      <c r="A54" s="16">
        <f t="shared" si="8"/>
        <v>47</v>
      </c>
      <c r="B54" s="30">
        <f>'График дифференц'!B54</f>
        <v>47469</v>
      </c>
      <c r="C54" s="31">
        <f t="shared" si="9"/>
        <v>-193221159.84</v>
      </c>
      <c r="D54" s="31">
        <f>IF(A54&lt;malumot!$B$82,'График аннуитет.'!F54-'График аннуитет.'!E54,'График аннуитет.'!C54)</f>
        <v>15751326.33</v>
      </c>
      <c r="E54" s="31">
        <f>ROUND(C54*malumot!$B$85/H54,2)*'График аннуитет.'!G54</f>
        <v>-9316965.4399999995</v>
      </c>
      <c r="F54" s="31">
        <f>IF(A54&lt;malumot!$B$82,'График аннуитет.'!F53,'График аннуитет.'!D54+'График аннуитет.'!E54)</f>
        <v>6434360.8900000006</v>
      </c>
      <c r="G54" s="13">
        <f t="shared" si="10"/>
        <v>32</v>
      </c>
      <c r="H54" s="13">
        <f t="shared" si="11"/>
        <v>365</v>
      </c>
    </row>
    <row r="55" spans="1:8" x14ac:dyDescent="0.25">
      <c r="A55" s="16">
        <f t="shared" si="8"/>
        <v>48</v>
      </c>
      <c r="B55" s="30">
        <f>'График дифференц'!B55</f>
        <v>47512</v>
      </c>
      <c r="C55" s="31">
        <f t="shared" si="9"/>
        <v>-208972486.17000002</v>
      </c>
      <c r="D55" s="31">
        <f>IF(A55&lt;malumot!$B$82,'График аннуитет.'!F55-'График аннуитет.'!E55,'График аннуитет.'!C55)</f>
        <v>-208972486.17000002</v>
      </c>
      <c r="E55" s="31">
        <f>ROUND(C55*malumot!$B$85/H55,2)*'График аннуитет.'!G55</f>
        <v>-13540272.15</v>
      </c>
      <c r="F55" s="31">
        <f>IF(A55&lt;malumot!$B$82,'График аннуитет.'!F54,'График аннуитет.'!D55+'График аннуитет.'!E55)</f>
        <v>-222512758.32000002</v>
      </c>
      <c r="G55" s="13">
        <f t="shared" si="10"/>
        <v>43</v>
      </c>
      <c r="H55" s="13">
        <f t="shared" si="11"/>
        <v>365</v>
      </c>
    </row>
    <row r="56" spans="1:8" x14ac:dyDescent="0.25">
      <c r="A56" s="43"/>
      <c r="B56" s="44" t="s">
        <v>6</v>
      </c>
      <c r="C56" s="45"/>
      <c r="D56" s="45">
        <f>SUM(D8:D55)</f>
        <v>99999999.99999994</v>
      </c>
      <c r="E56" s="45">
        <f t="shared" ref="E56:F56" si="12">SUM(E8:E55)</f>
        <v>-20097796.489999987</v>
      </c>
      <c r="F56" s="45">
        <f t="shared" si="12"/>
        <v>79902203.509999603</v>
      </c>
    </row>
    <row r="57" spans="1:8" ht="9" customHeight="1" x14ac:dyDescent="0.25">
      <c r="B57" s="32"/>
      <c r="C57" s="33"/>
      <c r="D57" s="33"/>
      <c r="E57" s="33"/>
      <c r="F57" s="33"/>
    </row>
    <row r="58" spans="1:8" ht="47.25" customHeight="1" x14ac:dyDescent="0.25">
      <c r="A58" s="276" t="s">
        <v>17</v>
      </c>
      <c r="B58" s="276"/>
      <c r="C58" s="276"/>
      <c r="D58" s="276"/>
      <c r="E58" s="276"/>
      <c r="F58" s="276"/>
    </row>
    <row r="59" spans="1:8" ht="7.5" customHeight="1" x14ac:dyDescent="0.25"/>
    <row r="60" spans="1:8" x14ac:dyDescent="0.25">
      <c r="A60" s="303" t="e">
        <f>#REF!</f>
        <v>#REF!</v>
      </c>
      <c r="B60" s="303"/>
      <c r="C60" s="303"/>
      <c r="D60" s="303" t="e">
        <f>#REF!</f>
        <v>#REF!</v>
      </c>
      <c r="E60" s="303"/>
      <c r="F60" s="303"/>
    </row>
    <row r="61" spans="1:8" ht="11.25" customHeight="1" x14ac:dyDescent="0.25">
      <c r="A61" s="304"/>
      <c r="B61" s="304"/>
      <c r="C61" s="304"/>
      <c r="D61" s="304"/>
      <c r="E61" s="304"/>
      <c r="F61" s="304"/>
    </row>
    <row r="62" spans="1:8" ht="30" customHeight="1" x14ac:dyDescent="0.25">
      <c r="A62" s="278" t="e">
        <f>#REF!</f>
        <v>#REF!</v>
      </c>
      <c r="B62" s="278"/>
      <c r="C62" s="278"/>
      <c r="D62" s="278" t="e">
        <f>#REF!</f>
        <v>#REF!</v>
      </c>
      <c r="E62" s="278"/>
      <c r="F62" s="278"/>
    </row>
    <row r="63" spans="1:8" ht="32.25" customHeight="1" x14ac:dyDescent="0.25">
      <c r="A63" s="299" t="e">
        <f>#REF!</f>
        <v>#REF!</v>
      </c>
      <c r="B63" s="299"/>
      <c r="C63" s="299"/>
      <c r="D63" s="299" t="e">
        <f>#REF!</f>
        <v>#REF!</v>
      </c>
      <c r="E63" s="299"/>
      <c r="F63" s="299"/>
    </row>
    <row r="64" spans="1:8" x14ac:dyDescent="0.25">
      <c r="A64" s="299" t="e">
        <f>#REF!</f>
        <v>#REF!</v>
      </c>
      <c r="B64" s="299"/>
      <c r="C64" s="299"/>
      <c r="D64" s="299" t="str">
        <f>"паспорт серии "&amp;malumot!B16&amp;", "&amp;malumot!B20&amp;""</f>
        <v>паспорт серии AE1115640, IIV12208 tomonidan 09.01.2025 yilda berilgan</v>
      </c>
      <c r="E64" s="299"/>
      <c r="F64" s="299"/>
    </row>
    <row r="65" spans="1:6" ht="32.25" customHeight="1" x14ac:dyDescent="0.25">
      <c r="A65" s="299" t="e">
        <f>#REF!</f>
        <v>#REF!</v>
      </c>
      <c r="B65" s="299"/>
      <c r="C65" s="299"/>
      <c r="D65" s="299"/>
      <c r="E65" s="299"/>
      <c r="F65" s="299"/>
    </row>
    <row r="66" spans="1:6" x14ac:dyDescent="0.25">
      <c r="A66" s="299" t="e">
        <f>#REF!</f>
        <v>#REF!</v>
      </c>
      <c r="B66" s="299"/>
      <c r="C66" s="299"/>
      <c r="D66" s="299" t="e">
        <f>#REF!</f>
        <v>#REF!</v>
      </c>
      <c r="E66" s="299"/>
      <c r="F66" s="299"/>
    </row>
    <row r="67" spans="1:6" x14ac:dyDescent="0.25">
      <c r="A67" s="299" t="e">
        <f>#REF!</f>
        <v>#REF!</v>
      </c>
      <c r="B67" s="299"/>
      <c r="C67" s="299"/>
      <c r="D67" s="299" t="e">
        <f>#REF!</f>
        <v>#REF!</v>
      </c>
      <c r="E67" s="299"/>
      <c r="F67" s="299"/>
    </row>
    <row r="68" spans="1:6" x14ac:dyDescent="0.25">
      <c r="A68" s="299" t="e">
        <f>#REF!</f>
        <v>#REF!</v>
      </c>
      <c r="B68" s="299"/>
      <c r="C68" s="299"/>
      <c r="D68" s="299" t="e">
        <f>#REF!</f>
        <v>#REF!</v>
      </c>
      <c r="E68" s="299"/>
      <c r="F68" s="299"/>
    </row>
    <row r="69" spans="1:6" ht="8.25" customHeight="1" x14ac:dyDescent="0.25">
      <c r="A69" s="299"/>
      <c r="B69" s="299"/>
      <c r="C69" s="299"/>
      <c r="D69" s="299"/>
      <c r="E69" s="299"/>
      <c r="F69" s="299"/>
    </row>
    <row r="70" spans="1:6" x14ac:dyDescent="0.25">
      <c r="A70" s="278" t="e">
        <f>#REF!</f>
        <v>#REF!</v>
      </c>
      <c r="B70" s="278"/>
      <c r="C70" s="278"/>
      <c r="D70" s="278" t="e">
        <f>#REF!</f>
        <v>#REF!</v>
      </c>
      <c r="E70" s="278"/>
      <c r="F70" s="278"/>
    </row>
    <row r="71" spans="1:6" ht="7.5" customHeight="1" x14ac:dyDescent="0.25">
      <c r="A71" s="278"/>
      <c r="B71" s="278"/>
      <c r="C71" s="278"/>
      <c r="D71" s="278"/>
      <c r="E71" s="278"/>
      <c r="F71" s="278"/>
    </row>
    <row r="72" spans="1:6" x14ac:dyDescent="0.25">
      <c r="A72" s="278" t="e">
        <f>#REF!</f>
        <v>#REF!</v>
      </c>
      <c r="B72" s="278"/>
      <c r="C72" s="278"/>
      <c r="D72" s="278" t="e">
        <f>#REF!</f>
        <v>#REF!</v>
      </c>
      <c r="E72" s="278"/>
      <c r="F72" s="278"/>
    </row>
    <row r="73" spans="1:6" ht="8.25" customHeight="1" x14ac:dyDescent="0.25">
      <c r="A73" s="299"/>
      <c r="B73" s="299"/>
      <c r="C73" s="299"/>
      <c r="D73" s="299"/>
      <c r="E73" s="299"/>
      <c r="F73" s="299"/>
    </row>
    <row r="74" spans="1:6" ht="30" customHeight="1" x14ac:dyDescent="0.25">
      <c r="A74" s="300"/>
      <c r="B74" s="300"/>
      <c r="C74" s="300"/>
      <c r="D74" s="301"/>
      <c r="E74" s="301"/>
      <c r="F74" s="301"/>
    </row>
    <row r="75" spans="1:6" x14ac:dyDescent="0.25">
      <c r="A75" s="302"/>
      <c r="B75" s="302"/>
      <c r="C75" s="302"/>
      <c r="D75" s="302"/>
      <c r="E75" s="302"/>
      <c r="F75" s="302"/>
    </row>
    <row r="76" spans="1:6" x14ac:dyDescent="0.25">
      <c r="A76" s="298"/>
      <c r="B76" s="298"/>
      <c r="C76" s="298"/>
      <c r="D76" s="298"/>
      <c r="E76" s="298"/>
      <c r="F76" s="298"/>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4" priority="3" operator="lessThan">
      <formula>22105</formula>
    </cfRule>
  </conditionalFormatting>
  <conditionalFormatting sqref="C8:C55">
    <cfRule type="cellIs" dxfId="3" priority="2" operator="lessThan">
      <formula>1</formula>
    </cfRule>
  </conditionalFormatting>
  <conditionalFormatting sqref="C8:F55">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7">
    <tabColor rgb="FF00B050"/>
  </sheetPr>
  <dimension ref="A1:E67"/>
  <sheetViews>
    <sheetView view="pageBreakPreview" topLeftCell="A11" zoomScaleSheetLayoutView="100" workbookViewId="0">
      <selection activeCell="A25" sqref="A25:XFD25"/>
    </sheetView>
  </sheetViews>
  <sheetFormatPr defaultColWidth="9.140625" defaultRowHeight="15" outlineLevelRow="1" x14ac:dyDescent="0.25"/>
  <cols>
    <col min="1" max="2" width="23.7109375" style="13" customWidth="1"/>
    <col min="3" max="3" width="18.28515625" style="13" customWidth="1"/>
    <col min="4" max="5" width="17" style="13" customWidth="1"/>
    <col min="6" max="16384" width="9.140625" style="13"/>
  </cols>
  <sheetData>
    <row r="1" spans="1:5" ht="36" customHeight="1" x14ac:dyDescent="0.25">
      <c r="A1" s="278" t="str">
        <f>""&amp;malumot!B158&amp;"
mikromoliya tashkilotining Xulosasi"</f>
        <v>«CLEVER MIKROMOLIYA TASHKILOTI» MChJ
mikromoliya tashkilotining Xulosasi</v>
      </c>
      <c r="B1" s="278"/>
      <c r="C1" s="278"/>
      <c r="D1" s="278"/>
      <c r="E1" s="278"/>
    </row>
    <row r="2" spans="1:5" x14ac:dyDescent="0.25">
      <c r="A2" s="276"/>
      <c r="B2" s="276"/>
      <c r="C2" s="276"/>
      <c r="D2" s="276"/>
      <c r="E2" s="276"/>
    </row>
    <row r="3" spans="1:5" x14ac:dyDescent="0.25">
      <c r="A3" s="278" t="s">
        <v>199</v>
      </c>
      <c r="B3" s="278"/>
      <c r="C3" s="278"/>
      <c r="D3" s="278"/>
      <c r="E3" s="278"/>
    </row>
    <row r="4" spans="1:5" x14ac:dyDescent="0.25">
      <c r="A4" s="276" t="str">
        <f>"Mijozning to'liq ismi sharifi: "&amp;malumot!B5&amp;""</f>
        <v>Mijozning to'liq ismi sharifi: TUYEV SHOXRUX UTKIROVICH</v>
      </c>
      <c r="B4" s="276"/>
      <c r="C4" s="276"/>
      <c r="D4" s="276"/>
      <c r="E4" s="276"/>
    </row>
    <row r="5" spans="1:5" x14ac:dyDescent="0.25">
      <c r="A5" s="276" t="str">
        <f>"Tug'ilgan sanasi: "&amp;malumot!B15&amp;""</f>
        <v>Tug'ilgan sanasi: 25.01.1990y</v>
      </c>
      <c r="B5" s="276"/>
      <c r="C5" s="276"/>
      <c r="D5" s="276"/>
      <c r="E5" s="276"/>
    </row>
    <row r="6" spans="1:5" ht="31.5" customHeight="1" x14ac:dyDescent="0.25">
      <c r="A6" s="276" t="str">
        <f>"Pasport seriyasi "&amp;malumot!B16&amp;" "&amp;malumot!B20&amp;", amal qilish muddati - "&amp;malumot!B21&amp;""</f>
        <v>Pasport seriyasi AE1115640 IIV12208 tomonidan 09.01.2025 yilda berilgan, amal qilish muddati - 08.01.2035 y.</v>
      </c>
      <c r="B6" s="276"/>
      <c r="C6" s="276"/>
      <c r="D6" s="276"/>
      <c r="E6" s="276"/>
    </row>
    <row r="7" spans="1:5" ht="48" customHeight="1" x14ac:dyDescent="0.25">
      <c r="A7" s="276" t="str">
        <f>"Ro‘yxatdan o‘tgan manzili: "&amp;malumot!B22&amp;", mo'ljal: "&amp;malumot!B26&amp;""</f>
        <v>Ro‘yxatdan o‘tgan manzili: NAVOIY VILOYATI  QIZILTEPA TUMANI A.NAVOIY MFY SHODLIK  KO'CHASI 6-UY, mo'ljal: 41-MAKTAB YAQINIDA</v>
      </c>
      <c r="B7" s="276"/>
      <c r="C7" s="276"/>
      <c r="D7" s="276"/>
      <c r="E7" s="276"/>
    </row>
    <row r="8" spans="1:5" ht="23.25" customHeight="1" x14ac:dyDescent="0.25">
      <c r="A8" s="276" t="str">
        <f>"Ish joyi: "&amp;malumot!B52&amp;" lavozimi "&amp;malumot!B49&amp;"da "&amp;malumot!B44&amp;""</f>
        <v>Ish joyi:  lavozimi TUYEV SHOXRUX UTKIROVICHda TUYEV SHOXRUX UTKIROVICH</v>
      </c>
      <c r="B8" s="276"/>
      <c r="C8" s="276"/>
      <c r="D8" s="276"/>
      <c r="E8" s="276"/>
    </row>
    <row r="9" spans="1:5" x14ac:dyDescent="0.25">
      <c r="A9" s="276"/>
      <c r="B9" s="276"/>
      <c r="C9" s="276"/>
      <c r="D9" s="276"/>
      <c r="E9" s="276"/>
    </row>
    <row r="10" spans="1:5" x14ac:dyDescent="0.25">
      <c r="A10" s="278" t="str">
        <f>"Mijoz tomonidan so’ralgan "&amp;malumot!B65&amp;" shartlari:"</f>
        <v>Mijoz tomonidan so’ralgan mikroqarz shartlari:</v>
      </c>
      <c r="B10" s="278"/>
      <c r="C10" s="278"/>
      <c r="D10" s="278"/>
      <c r="E10" s="278"/>
    </row>
    <row r="11" spans="1:5" x14ac:dyDescent="0.25">
      <c r="A11" s="276" t="str">
        <f>kredit_ariza!A13:D13</f>
        <v>Mikroqarz summasi: 100 000 000,00 (yuz million so'm) so'm.</v>
      </c>
      <c r="B11" s="276"/>
      <c r="C11" s="276"/>
      <c r="D11" s="276"/>
      <c r="E11" s="276"/>
    </row>
    <row r="12" spans="1:5" x14ac:dyDescent="0.25">
      <c r="A12" s="276" t="str">
        <f>kredit_ariza!A14:D14</f>
        <v>Mikroqarz muddati: 48 (Qirq sakkiz  ) oy.</v>
      </c>
      <c r="B12" s="276"/>
      <c r="C12" s="276"/>
      <c r="D12" s="276"/>
      <c r="E12" s="276"/>
    </row>
    <row r="13" spans="1:5" x14ac:dyDescent="0.25">
      <c r="A13" s="276" t="str">
        <f>kredit_ariza!A15:D15</f>
        <v>Mikroqarzdan foydalanganlik uchun foiz stavkasi: yillik  55% (Ellik besh  ) foiz</v>
      </c>
      <c r="B13" s="276"/>
      <c r="C13" s="276"/>
      <c r="D13" s="276"/>
      <c r="E13" s="276"/>
    </row>
    <row r="14" spans="1:5" x14ac:dyDescent="0.25">
      <c r="A14" s="276" t="str">
        <f>kredit_ariza!A16:D16</f>
        <v>Mikroqarz bo'yicha asosiy qarz va foizlarni to'lash:</v>
      </c>
      <c r="B14" s="276"/>
      <c r="C14" s="276"/>
      <c r="D14" s="276"/>
      <c r="E14" s="276"/>
    </row>
    <row r="15" spans="1:5" ht="18.75" customHeight="1" x14ac:dyDescent="0.25">
      <c r="A15" s="276" t="str">
        <f>kredit_ariza!A19:D19</f>
        <v xml:space="preserve"> - mikroqarz shartnomasi bo'yicha har oy differensial to'lovlari amalga oshiriladi</v>
      </c>
      <c r="B15" s="276"/>
      <c r="C15" s="276"/>
      <c r="D15" s="276"/>
      <c r="E15" s="276"/>
    </row>
    <row r="16" spans="1:5" ht="14.25" customHeight="1" x14ac:dyDescent="0.25">
      <c r="A16" s="277" t="str">
        <f>kredit_ariza!A20:D20</f>
        <v xml:space="preserve">  Oxirgi yakuniy to'lov mikroqarz shartnomasi tuzilgan kundan boshlab oxirgi oyning oxirgi kunida amalga oshiriladi</v>
      </c>
      <c r="B16" s="277"/>
      <c r="C16" s="277"/>
      <c r="D16" s="277"/>
      <c r="E16" s="277"/>
    </row>
    <row r="17" spans="1:5" x14ac:dyDescent="0.25">
      <c r="A17" s="276" t="str">
        <f>kredit_ariza!A21:D21</f>
        <v>Mikroqarz ta’minoti::</v>
      </c>
      <c r="B17" s="276"/>
      <c r="C17" s="276"/>
      <c r="D17" s="276"/>
      <c r="E17" s="276"/>
    </row>
    <row r="18" spans="1:5" ht="67.5" customHeight="1" x14ac:dyDescent="0.25">
      <c r="A18" s="276" t="str">
        <f>kredit_ariza!A22:D22</f>
        <v>1.   Egalik huquqi TUYEV SHOXRUX UTKIROVICHga tegishli bo'lgan garovga olingan avtomobil markasi   CHEVROLET LACETTI, rangi -  KO'K DARKMOON BLUE MET, ishlab chiqarilgan yili - 2023, davlat raqam belgisi 85L007TA, kuzov turi - YENGIL SEDAN, kuzov raqami XWB5V31BVPA581883, dvigatel raqami B15D211232522 MTDX0591, shassi raqami -  -</v>
      </c>
      <c r="B18" s="276"/>
      <c r="C18" s="276"/>
      <c r="D18" s="276"/>
      <c r="E18" s="276"/>
    </row>
    <row r="19" spans="1:5" x14ac:dyDescent="0.25">
      <c r="A19" s="278" t="s">
        <v>200</v>
      </c>
      <c r="B19" s="278"/>
      <c r="C19" s="278"/>
      <c r="D19" s="278"/>
      <c r="E19" s="278"/>
    </row>
    <row r="20" spans="1:5" ht="21" customHeight="1" x14ac:dyDescent="0.25">
      <c r="A20" s="276" t="str">
        <f>"Anketaga muvofiq "&amp;malumot!B9&amp;"ning o‘rtacha oylik daromadi  "&amp;FIXED(malumot!B60)&amp;" so‘mni tashkil etdi."</f>
        <v>Anketaga muvofiq TUYEV SH.U.ning o‘rtacha oylik daromadi  18 000 000,00 so‘mni tashkil etdi.</v>
      </c>
      <c r="B20" s="276"/>
      <c r="C20" s="276"/>
      <c r="D20" s="276"/>
      <c r="E20" s="276"/>
    </row>
    <row r="21" spans="1:5" ht="21" customHeight="1" x14ac:dyDescent="0.25">
      <c r="A21" s="276" t="str">
        <f>"Mijozning o'rtacha oylik xarajatlari "&amp;FIXED(mijoz_anketasi!F27)&amp;" so'mni tashkil etdi"</f>
        <v>Mijozning o'rtacha oylik xarajatlari 1 900 000,00 so'mni tashkil etdi</v>
      </c>
      <c r="B21" s="276"/>
      <c r="C21" s="276"/>
      <c r="D21" s="276"/>
      <c r="E21" s="276"/>
    </row>
    <row r="22" spans="1:5" ht="18" hidden="1" customHeight="1" x14ac:dyDescent="0.25">
      <c r="A22" s="276" t="str">
        <f>IF(malumot!B78=malumot!C78,xulosa!A23:E23,xulosa!A24:E24)</f>
        <v>Mikroqarz shartnomasi bo'yicha birinchi oy uchun to'lov 6 434 360,89 so'mni tashkil etadi.</v>
      </c>
      <c r="B22" s="276"/>
      <c r="C22" s="276"/>
      <c r="D22" s="276"/>
      <c r="E22" s="276"/>
    </row>
    <row r="23" spans="1:5" ht="21" hidden="1" customHeight="1" x14ac:dyDescent="0.25">
      <c r="A23" s="276" t="str">
        <f>""&amp;malumot!C64&amp;" shartnomasi bo'yicha birinchi oy uchun to'lov "&amp;FIXED(malumot!B91)&amp;" so'mni tashkil etadi."</f>
        <v>Mikroqarz shartnomasi bo'yicha birinchi oy uchun to'lov 6 434 360,89 so'mni tashkil etadi.</v>
      </c>
      <c r="B23" s="276"/>
      <c r="C23" s="276"/>
      <c r="D23" s="276"/>
      <c r="E23" s="276"/>
    </row>
    <row r="24" spans="1:5" ht="19.5" customHeight="1" x14ac:dyDescent="0.25">
      <c r="A24" s="276" t="str">
        <f>""&amp;malumot!C64&amp;" bo‘yicha oylik "&amp;malumot!B78&amp;" to‘lovi miqdori "&amp;FIXED(malumot!B91)&amp;" so‘mni tashkil etadi."</f>
        <v>Mikroqarz bo‘yicha oylik differensial to‘lovi miqdori 6 434 360,89 so‘mni tashkil etadi.</v>
      </c>
      <c r="B24" s="276"/>
      <c r="C24" s="276"/>
      <c r="D24" s="276"/>
      <c r="E24" s="276"/>
    </row>
    <row r="25" spans="1:5" ht="36.75" hidden="1" customHeight="1" x14ac:dyDescent="0.25">
      <c r="A25" s="277" t="s">
        <v>425</v>
      </c>
      <c r="B25" s="277"/>
      <c r="C25" s="277"/>
      <c r="D25" s="277"/>
      <c r="E25" s="277"/>
    </row>
    <row r="26" spans="1:5" x14ac:dyDescent="0.25">
      <c r="A26" s="278" t="str">
        <f>""&amp;malumot!C64&amp;" bo’yicha ta’minot:"</f>
        <v>Mikroqarz bo’yicha ta’minot:</v>
      </c>
      <c r="B26" s="278"/>
      <c r="C26" s="278"/>
      <c r="D26" s="278"/>
      <c r="E26" s="278"/>
    </row>
    <row r="27" spans="1:5" ht="31.5" hidden="1" customHeight="1" x14ac:dyDescent="0.25">
      <c r="A27" s="276" t="str">
        <f>" - "&amp;malumot!B124&amp;" ga mulk huquqi asosida tegishli avtotransport vositasi "&amp;malumot!B132&amp;" , quyidagi tafsilotlarga muvofiq:"</f>
        <v xml:space="preserve"> - TUYEV SHOXRUX UTKIROVICH ga mulk huquqi asosida tegishli avtotransport vositasi CHEVROLET LACETTI , quyidagi tafsilotlarga muvofiq:</v>
      </c>
      <c r="B27" s="276"/>
      <c r="C27" s="276"/>
      <c r="D27" s="276"/>
      <c r="E27" s="276"/>
    </row>
    <row r="28" spans="1:5" ht="67.5" hidden="1" customHeight="1" x14ac:dyDescent="0.25">
      <c r="A28" s="276" t="str">
        <f>" -   "&amp;malumot!C124&amp;" ga mulk huquqi asosida tegishli ko'chmas mulk shaklida "&amp;malumot!C133&amp;", manzili: "&amp;malumot!C130&amp;", quyidagi tafsilotlarga muvofiq:"</f>
        <v xml:space="preserve"> -   TUYEV SHOXRUX UTKIROVICH ga mulk huquqi asosida tegishli ko'chmas mulk shaklida  0, manzili: , quyidagi tafsilotlarga muvofiq:</v>
      </c>
      <c r="B28" s="276"/>
      <c r="C28" s="276"/>
      <c r="D28" s="276"/>
      <c r="E28" s="276"/>
    </row>
    <row r="29" spans="1:5" ht="44.25" customHeight="1" x14ac:dyDescent="0.25">
      <c r="A29" s="276" t="str">
        <f>IF(malumot!B110="Avtotransport",xulosa!A27:E27,xulosa!A28:E28)</f>
        <v xml:space="preserve"> - TUYEV SHOXRUX UTKIROVICH ga mulk huquqi asosida tegishli avtotransport vositasi CHEVROLET LACETTI , quyidagi tafsilotlarga muvofiq:</v>
      </c>
      <c r="B29" s="276"/>
      <c r="C29" s="276"/>
      <c r="D29" s="276"/>
      <c r="E29" s="276"/>
    </row>
    <row r="30" spans="1:5" s="14" customFormat="1" ht="47.25" customHeight="1" outlineLevel="1" x14ac:dyDescent="0.25">
      <c r="A30" s="36" t="str">
        <f>dalolatnoma!A29</f>
        <v>Nomi</v>
      </c>
      <c r="B30" s="36" t="str">
        <f>dalolatnoma!B29</f>
        <v>Kuzov turi  va kuzov raqami*</v>
      </c>
      <c r="C30" s="36" t="str">
        <f>dalolatnoma!C29</f>
        <v>Dvigatel va shassi raqami*</v>
      </c>
      <c r="D30" s="36" t="str">
        <f>dalolatnoma!D29</f>
        <v>Ishlab chiqarilgan yili va rangi*</v>
      </c>
      <c r="E30" s="36" t="str">
        <f>dalolatnoma!E29</f>
        <v>Kelishilgan garov qiymati, so'm</v>
      </c>
    </row>
    <row r="31" spans="1:5" s="18" customFormat="1" ht="102.75" customHeight="1" outlineLevel="1" x14ac:dyDescent="0.25">
      <c r="A31" s="15" t="str">
        <f>dalolatnoma!A30</f>
        <v>CHEVROLET LACETTI</v>
      </c>
      <c r="B31" s="15" t="str">
        <f>dalolatnoma!B30</f>
        <v>kuzov turi - YENGIL SEDAN, kuzov raqami XWB5V31BVPA581883</v>
      </c>
      <c r="C31" s="15" t="str">
        <f>dalolatnoma!C30</f>
        <v>dvigatel raqami B15D211232522 MTDX0591, shassi raqami -  -</v>
      </c>
      <c r="D31" s="15" t="str">
        <f>dalolatnoma!D30</f>
        <v>rangi -  KO'K DARKMOON BLUE MET, ishlab chiqarilgan yili - 2023</v>
      </c>
      <c r="E31" s="15" t="str">
        <f>dalolatnoma!E30</f>
        <v>105 000 000,00 
(yuz besh million so'm)</v>
      </c>
    </row>
    <row r="32" spans="1:5" ht="15.75" customHeight="1" outlineLevel="1" x14ac:dyDescent="0.25">
      <c r="A32" s="276" t="str">
        <f>dalolatnoma!A22</f>
        <v>-* avtotransport egasi: TUYEV SHOXRUX UTKIROVICH</v>
      </c>
      <c r="B32" s="276"/>
      <c r="C32" s="276"/>
      <c r="D32" s="276"/>
      <c r="E32" s="276"/>
    </row>
    <row r="33" spans="1:5" ht="15" customHeight="1" outlineLevel="1" x14ac:dyDescent="0.25">
      <c r="A33" s="276" t="str">
        <f>dalolatnoma!A23</f>
        <v>-* texnik pasport: AAG7978970    28.01.2026y</v>
      </c>
      <c r="B33" s="276"/>
      <c r="C33" s="276"/>
      <c r="D33" s="276"/>
      <c r="E33" s="276"/>
    </row>
    <row r="34" spans="1:5" ht="33" customHeight="1" outlineLevel="1" x14ac:dyDescent="0.25">
      <c r="A34" s="276" t="str">
        <f>dalolatnoma!A24</f>
        <v>-* roʻyxatdan oʻtgan manzili/garaj manzili: NAVOIY VILOYATI  QIZILTEPA TUMANI A.NAVOIY MFY SHODLIK  KO'CHASI 6-UY</v>
      </c>
      <c r="B34" s="276"/>
      <c r="C34" s="276"/>
      <c r="D34" s="276"/>
      <c r="E34" s="276"/>
    </row>
    <row r="35" spans="1:5" ht="25.5" customHeight="1" outlineLevel="1" x14ac:dyDescent="0.25">
      <c r="A35" s="276" t="str">
        <f>dalolatnoma!A25</f>
        <v>-* davlat raqami: 85L007TA</v>
      </c>
      <c r="B35" s="276"/>
      <c r="C35" s="276"/>
      <c r="D35" s="276"/>
      <c r="E35" s="276"/>
    </row>
    <row r="36" spans="1:5" ht="39" customHeight="1" x14ac:dyDescent="0.25">
      <c r="A36" s="278" t="str">
        <f>""&amp;malumot!B158&amp;"
mikromoliya tashkilotining Xulosasi"</f>
        <v>«CLEVER MIKROMOLIYA TASHKILOTI» MChJ
mikromoliya tashkilotining Xulosasi</v>
      </c>
      <c r="B36" s="278"/>
      <c r="C36" s="278"/>
      <c r="D36" s="278"/>
      <c r="E36" s="278"/>
    </row>
    <row r="37" spans="1:5" ht="33.75" customHeight="1" x14ac:dyDescent="0.25">
      <c r="A37" s="276" t="str">
        <f>""&amp;malumot!B158&amp;" kredit qo‘mitasining xulosasiga quyidagi shartlarda "&amp;malumot!B10&amp;"ga "&amp;malumot!B65&amp;" berish masalasi kiritiladi:"</f>
        <v>«CLEVER MIKROMOLIYA TASHKILOTI» MChJ kredit qo‘mitasining xulosasiga quyidagi shartlarda TUYEV SHOXRUX UTKIROVICHga mikroqarz berish masalasi kiritiladi:</v>
      </c>
      <c r="B37" s="276"/>
      <c r="C37" s="276"/>
      <c r="D37" s="276"/>
      <c r="E37" s="276"/>
    </row>
    <row r="38" spans="1:5" x14ac:dyDescent="0.25">
      <c r="A38" s="276" t="str">
        <f>A11</f>
        <v>Mikroqarz summasi: 100 000 000,00 (yuz million so'm) so'm.</v>
      </c>
      <c r="B38" s="276"/>
      <c r="C38" s="276"/>
      <c r="D38" s="276"/>
      <c r="E38" s="276"/>
    </row>
    <row r="39" spans="1:5" x14ac:dyDescent="0.25">
      <c r="A39" s="276" t="str">
        <f t="shared" ref="A39:A45" si="0">A12</f>
        <v>Mikroqarz muddati: 48 (Qirq sakkiz  ) oy.</v>
      </c>
      <c r="B39" s="276"/>
      <c r="C39" s="276"/>
      <c r="D39" s="276"/>
      <c r="E39" s="276"/>
    </row>
    <row r="40" spans="1:5" x14ac:dyDescent="0.25">
      <c r="A40" s="276" t="str">
        <f t="shared" si="0"/>
        <v>Mikroqarzdan foydalanganlik uchun foiz stavkasi: yillik  55% (Ellik besh  ) foiz</v>
      </c>
      <c r="B40" s="276"/>
      <c r="C40" s="276"/>
      <c r="D40" s="276"/>
      <c r="E40" s="276"/>
    </row>
    <row r="41" spans="1:5" x14ac:dyDescent="0.25">
      <c r="A41" s="276" t="str">
        <f t="shared" si="0"/>
        <v>Mikroqarz bo'yicha asosiy qarz va foizlarni to'lash:</v>
      </c>
      <c r="B41" s="276"/>
      <c r="C41" s="276"/>
      <c r="D41" s="276"/>
      <c r="E41" s="276"/>
    </row>
    <row r="42" spans="1:5" ht="20.25" customHeight="1" x14ac:dyDescent="0.25">
      <c r="A42" s="276" t="str">
        <f t="shared" si="0"/>
        <v xml:space="preserve"> - mikroqarz shartnomasi bo'yicha har oy differensial to'lovlari amalga oshiriladi</v>
      </c>
      <c r="B42" s="276"/>
      <c r="C42" s="276"/>
      <c r="D42" s="276"/>
      <c r="E42" s="276"/>
    </row>
    <row r="43" spans="1:5" ht="35.25" customHeight="1" x14ac:dyDescent="0.25">
      <c r="A43" s="276" t="str">
        <f t="shared" si="0"/>
        <v xml:space="preserve">  Oxirgi yakuniy to'lov mikroqarz shartnomasi tuzilgan kundan boshlab oxirgi oyning oxirgi kunida amalga oshiriladi</v>
      </c>
      <c r="B43" s="276"/>
      <c r="C43" s="276"/>
      <c r="D43" s="276"/>
      <c r="E43" s="276"/>
    </row>
    <row r="44" spans="1:5" ht="22.5" customHeight="1" x14ac:dyDescent="0.25">
      <c r="A44" s="276" t="str">
        <f t="shared" si="0"/>
        <v>Mikroqarz ta’minoti::</v>
      </c>
      <c r="B44" s="276"/>
      <c r="C44" s="276"/>
      <c r="D44" s="276"/>
      <c r="E44" s="276"/>
    </row>
    <row r="45" spans="1:5" ht="69" customHeight="1" x14ac:dyDescent="0.25">
      <c r="A45" s="276" t="str">
        <f t="shared" si="0"/>
        <v>1.   Egalik huquqi TUYEV SHOXRUX UTKIROVICHga tegishli bo'lgan garovga olingan avtomobil markasi   CHEVROLET LACETTI, rangi -  KO'K DARKMOON BLUE MET, ishlab chiqarilgan yili - 2023, davlat raqam belgisi 85L007TA, kuzov turi - YENGIL SEDAN, kuzov raqami XWB5V31BVPA581883, dvigatel raqami B15D211232522 MTDX0591, shassi raqami -  -</v>
      </c>
      <c r="B45" s="276"/>
      <c r="C45" s="276"/>
      <c r="D45" s="276"/>
      <c r="E45" s="276"/>
    </row>
    <row r="46" spans="1:5" x14ac:dyDescent="0.25">
      <c r="A46" s="276"/>
      <c r="B46" s="276"/>
      <c r="C46" s="276"/>
      <c r="D46" s="276"/>
      <c r="E46" s="276"/>
    </row>
    <row r="47" spans="1:5" ht="29.25" customHeight="1" x14ac:dyDescent="0.25">
      <c r="A47" s="276" t="str">
        <f>""&amp;malumot!B158&amp;" mikromoliya tashkilotining xulosasi  "&amp;TEXT(malumot!B2,"ДД.ММ.ГГГГ")&amp;" y. tayyorlangan"</f>
        <v>«CLEVER MIKROMOLIYA TASHKILOTI» MChJ mikromoliya tashkilotining xulosasi  29.01.2026 y. tayyorlangan</v>
      </c>
      <c r="B47" s="276"/>
      <c r="C47" s="276"/>
      <c r="D47" s="276"/>
      <c r="E47" s="276"/>
    </row>
    <row r="48" spans="1:5" hidden="1" x14ac:dyDescent="0.25">
      <c r="A48" s="276"/>
      <c r="B48" s="276"/>
      <c r="C48" s="276"/>
      <c r="D48" s="276"/>
      <c r="E48" s="276"/>
    </row>
    <row r="49" spans="1:5" ht="15.75" hidden="1" customHeight="1" x14ac:dyDescent="0.25">
      <c r="A49" s="277"/>
      <c r="B49" s="277"/>
      <c r="C49" s="277"/>
      <c r="D49" s="19"/>
      <c r="E49" s="20"/>
    </row>
    <row r="50" spans="1:5" ht="35.25" hidden="1" customHeight="1" x14ac:dyDescent="0.25">
      <c r="A50" s="277"/>
      <c r="B50" s="277"/>
      <c r="C50" s="277"/>
      <c r="D50" s="20"/>
      <c r="E50" s="20"/>
    </row>
    <row r="51" spans="1:5" hidden="1" x14ac:dyDescent="0.25">
      <c r="A51" s="276"/>
      <c r="B51" s="276"/>
      <c r="C51" s="276"/>
      <c r="D51" s="276"/>
      <c r="E51" s="276"/>
    </row>
    <row r="52" spans="1:5" ht="59.25" customHeight="1" x14ac:dyDescent="0.25">
      <c r="A52" s="276" t="str">
        <f>""&amp;malumot!B158&amp;" mikromoliya tashkilotining Kredit qo‘mitasi a’zolari "&amp;malumot!B158&amp;"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2" s="276"/>
      <c r="C52" s="276"/>
      <c r="D52" s="276"/>
      <c r="E52" s="276"/>
    </row>
    <row r="53" spans="1:5" x14ac:dyDescent="0.25">
      <c r="A53" s="17" t="s">
        <v>390</v>
      </c>
      <c r="B53" s="310"/>
      <c r="C53" s="310"/>
      <c r="D53" s="17"/>
      <c r="E53" s="17"/>
    </row>
    <row r="54" spans="1:5" x14ac:dyDescent="0.25">
      <c r="C54" s="34"/>
    </row>
    <row r="55" spans="1:5" ht="29.25" x14ac:dyDescent="0.25">
      <c r="A55" s="186" t="str">
        <f>malumot!A172</f>
        <v>Navoiy viloyati filial menejeri</v>
      </c>
      <c r="B55" s="34"/>
      <c r="C55" s="34"/>
      <c r="D55" s="34" t="str">
        <f>malumot!B172</f>
        <v>Sh.Xayriyev</v>
      </c>
    </row>
    <row r="56" spans="1:5" x14ac:dyDescent="0.25">
      <c r="A56" s="186"/>
      <c r="B56" s="34"/>
      <c r="C56" s="34"/>
      <c r="D56" s="34"/>
    </row>
    <row r="57" spans="1:5" x14ac:dyDescent="0.25">
      <c r="A57" s="186"/>
      <c r="B57" s="121"/>
      <c r="C57" s="34"/>
      <c r="D57" s="34"/>
    </row>
    <row r="58" spans="1:5" x14ac:dyDescent="0.25">
      <c r="A58" s="186"/>
      <c r="B58" s="34"/>
      <c r="C58" s="34"/>
      <c r="D58" s="34"/>
    </row>
    <row r="59" spans="1:5" ht="29.25" x14ac:dyDescent="0.25">
      <c r="A59" s="186" t="str">
        <f>malumot!A170</f>
        <v xml:space="preserve">Kreditlash bo’limi boshlig’i </v>
      </c>
      <c r="B59" s="34"/>
      <c r="C59" s="34"/>
      <c r="D59" s="34" t="str">
        <f>malumot!B170</f>
        <v>J.Sadiriddinzoda</v>
      </c>
    </row>
    <row r="60" spans="1:5" x14ac:dyDescent="0.25">
      <c r="A60" s="186"/>
      <c r="B60" s="34"/>
      <c r="C60" s="34"/>
      <c r="D60" s="34"/>
    </row>
    <row r="61" spans="1:5" x14ac:dyDescent="0.25">
      <c r="A61" s="186"/>
      <c r="B61" s="34"/>
      <c r="C61" s="34"/>
      <c r="D61" s="34"/>
    </row>
    <row r="62" spans="1:5" x14ac:dyDescent="0.25">
      <c r="A62" s="186"/>
      <c r="B62" s="34"/>
      <c r="C62" s="34"/>
      <c r="D62" s="34"/>
    </row>
    <row r="63" spans="1:5" ht="29.25" x14ac:dyDescent="0.25">
      <c r="A63" s="186" t="str">
        <f>malumot!A171</f>
        <v>Monitoring bo’limi boshlig’i</v>
      </c>
      <c r="B63" s="34"/>
      <c r="C63" s="34"/>
      <c r="D63" s="34" t="str">
        <f>malumot!B171</f>
        <v>D.Axmedov</v>
      </c>
    </row>
    <row r="64" spans="1:5" x14ac:dyDescent="0.25">
      <c r="A64" s="186"/>
      <c r="B64" s="34"/>
      <c r="C64" s="34"/>
      <c r="D64" s="34"/>
    </row>
    <row r="65" spans="1:4" x14ac:dyDescent="0.25">
      <c r="A65" s="186"/>
      <c r="B65" s="34"/>
      <c r="C65" s="34"/>
      <c r="D65" s="34"/>
    </row>
    <row r="66" spans="1:4" x14ac:dyDescent="0.25">
      <c r="A66" s="186"/>
      <c r="B66" s="34"/>
      <c r="C66" s="34"/>
      <c r="D66" s="34"/>
    </row>
    <row r="67" spans="1:4" x14ac:dyDescent="0.25">
      <c r="A67" s="121" t="s">
        <v>454</v>
      </c>
      <c r="B67" s="34"/>
      <c r="C67" s="34"/>
      <c r="D67" s="34" t="s">
        <v>417</v>
      </c>
    </row>
  </sheetData>
  <mergeCells count="51">
    <mergeCell ref="B53:C53"/>
    <mergeCell ref="A52:E52"/>
    <mergeCell ref="A37:E37"/>
    <mergeCell ref="A38:E38"/>
    <mergeCell ref="A39:E39"/>
    <mergeCell ref="A40:E40"/>
    <mergeCell ref="A41:E41"/>
    <mergeCell ref="A42:E42"/>
    <mergeCell ref="A43:E43"/>
    <mergeCell ref="A44:E44"/>
    <mergeCell ref="A45:E45"/>
    <mergeCell ref="A46:E46"/>
    <mergeCell ref="A47:E47"/>
    <mergeCell ref="A48:E48"/>
    <mergeCell ref="A51:E51"/>
    <mergeCell ref="A50:C50"/>
    <mergeCell ref="A33:E33"/>
    <mergeCell ref="A34:E34"/>
    <mergeCell ref="A35:E35"/>
    <mergeCell ref="A36:E36"/>
    <mergeCell ref="A49:C49"/>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3">
    <tabColor rgb="FF00B050"/>
  </sheetPr>
  <dimension ref="A2:F69"/>
  <sheetViews>
    <sheetView view="pageBreakPreview" topLeftCell="A28" zoomScaleNormal="100" zoomScaleSheetLayoutView="100" workbookViewId="0">
      <selection activeCell="A61" sqref="A61:C61"/>
    </sheetView>
  </sheetViews>
  <sheetFormatPr defaultColWidth="9.140625" defaultRowHeight="15" outlineLevelRow="1" x14ac:dyDescent="0.25"/>
  <cols>
    <col min="1" max="1" width="29.7109375" style="13" customWidth="1"/>
    <col min="2" max="2" width="22.85546875" style="13" customWidth="1"/>
    <col min="3" max="3" width="22.42578125" style="13" customWidth="1"/>
    <col min="4" max="4" width="21.42578125" style="13" customWidth="1"/>
    <col min="5" max="5" width="21.5703125" style="13" customWidth="1"/>
    <col min="6" max="16384" width="9.140625" style="13"/>
  </cols>
  <sheetData>
    <row r="2" spans="1:5" ht="37.5" customHeight="1" x14ac:dyDescent="0.25">
      <c r="A2" s="306" t="str">
        <f>"GAROV PREDMETI QIYMATINI KELISHISH 
№"&amp;malumot!B148&amp;" SONLI DALOLATNOMASI
 "</f>
        <v xml:space="preserve">GAROV PREDMETI QIYMATINI KELISHISH 
№1 SONLI DALOLATNOMASI
 </v>
      </c>
      <c r="B2" s="306"/>
      <c r="C2" s="306"/>
      <c r="D2" s="306"/>
      <c r="E2" s="306"/>
    </row>
    <row r="3" spans="1:5" x14ac:dyDescent="0.25">
      <c r="A3" s="37"/>
      <c r="B3" s="37"/>
      <c r="C3" s="37"/>
      <c r="D3" s="37"/>
      <c r="E3" s="37"/>
    </row>
    <row r="4" spans="1:5" x14ac:dyDescent="0.25">
      <c r="A4" s="34" t="s">
        <v>203</v>
      </c>
      <c r="B4" s="34"/>
      <c r="C4" s="34"/>
      <c r="D4" s="34"/>
      <c r="E4" s="34" t="str">
        <f>malumot!B149</f>
        <v>29 yanvar 2026 y.</v>
      </c>
    </row>
    <row r="5" spans="1:5" ht="9" customHeight="1" x14ac:dyDescent="0.25">
      <c r="A5" s="276"/>
      <c r="B5" s="276"/>
      <c r="C5" s="276"/>
      <c r="D5" s="276"/>
      <c r="E5" s="276"/>
    </row>
    <row r="6" spans="1:5" ht="77.25" customHeight="1" x14ac:dyDescent="0.25">
      <c r="A6" s="276" t="str">
        <f>IF(malumot!B110="avtotransport",dalolatnoma!A10:E10,dalolatnoma!A7:E7)</f>
        <v>«CLEVER MIKROMOLIYA TASHKILOTI» MChJning (1-tomon) vakili bo‘lgan  Navoiy viloyati filial menejeri Sh.Xayriyev, O‘zbekiston Respublikasi fuqarosi va garovga beruvchi TUYEV SHOXRUX UTKIROVICH (2-tomon) o’rtalarida, 29 yanvar 2026 y.dan №244-NVS-sonli Mikroqarz shartnomasiga muvofiq 1-tomon 2-tomonga berilgan mikroqarz bo‘yicha ta’minot sifatida taqdim etilgan, 2-tomonga mulk huquqi asosida tegishli bo‘lgan mulkning garov qiymatini kelishish muzokaralari o’tkazildi.</v>
      </c>
      <c r="B6" s="276"/>
      <c r="C6" s="276"/>
      <c r="D6" s="276"/>
      <c r="E6" s="276"/>
    </row>
    <row r="7" spans="1:5" ht="88.5" hidden="1" customHeight="1" x14ac:dyDescent="0.25">
      <c r="A7" s="276" t="str">
        <f>IF(malumot!B100="ha",dalolatnoma!A9:E9,dalolatnoma!A8:E8)</f>
        <v xml:space="preserve">«CLEVER MIKROMOLIYA TASHKILOTI» MChJning (1-tomon) vakili bo‘lgan  Navoiy viloyati filial menejeri Sh.Xayriyev, va O‘zbekiston Respublikasi fuqarosi  TUYEV SHOXRUX UTKIROVICH (2-tomon) va garov egasi TUYEV SHOXRUX UTKIROVICH (3-tomon) 29 yanvar 2026 y.dan №244-NVS Mikroqarz shartnomasiga muvofiq 1-tomon 2-tomonga berilgan mikroqarz bo‘yicha ta’minot sifatida taqdim etilgan, 2-tomonga mulk huquqi asosida tegishli bo‘lgan mulkning garov qiymatini kelishish muzokaralari o’tkazildi. </v>
      </c>
      <c r="B7" s="276"/>
      <c r="C7" s="276"/>
      <c r="D7" s="276"/>
      <c r="E7" s="276"/>
    </row>
    <row r="8" spans="1:5" ht="88.5" hidden="1" customHeight="1" x14ac:dyDescent="0.25">
      <c r="A8" s="276" t="str">
        <f>""&amp;malumot!B158&amp;"ning (1-tomon) vakili bo‘lgan  "&amp;malumot!A161&amp;" "&amp;malumot!B161&amp;", va O‘zbekiston Respublikasi fuqarosi  "&amp;malumot!B5&amp;" (2-tomon) va garov egasi "&amp;malumot!C124&amp;"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Navoiy viloyati filial menejeri Sh.Xayriyev, va O‘zbekiston Respublikasi fuqarosi  TUYEV SHOXRUX UTKIROVICH (2-tomon) va garov egasi TUYEV SHOXRUX UTKIROVICH (3-tomon) 29 yanvar 2026 y.dan №244-NVS Mikroqarz shartnomasiga muvofiq 1-tomon 2-tomonga berilgan mikroqarz bo‘yicha ta’minot sifatida taqdim etilgan, 2-tomonga mulk huquqi asosida tegishli bo‘lgan mulkning garov qiymatini kelishish muzokaralari o’tkazildi. </v>
      </c>
      <c r="B8" s="276"/>
      <c r="C8" s="276"/>
      <c r="D8" s="276"/>
      <c r="E8" s="276"/>
    </row>
    <row r="9" spans="1:5" ht="88.5" hidden="1" customHeight="1" x14ac:dyDescent="0.25">
      <c r="A9" s="276" t="str">
        <f>""&amp;malumot!B158&amp;"ning (1-tomon) vakili bo‘lgan  "&amp;malumot!A161&amp;" "&amp;malumot!B161&amp;", va O‘zbekiston Respublikasi fuqarosi  "&amp;malumot!B5&amp;" (2-tomon) va garov egasi "&amp;malumot!C124&amp;"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Navoiy viloyati filial menejeri Sh.Xayriyev, va O‘zbekiston Respublikasi fuqarosi  TUYEV SHOXRUX UTKIROVICH (2-tomon) va garov egasi TUYEV SHOXRUX UTKIROVICH (3-tomon) 29 yanvar 2026 y.dan №244-NVS Mikroqarz shartnomasiga muvofiq 1-tomon 2-tomonga berilgan mikroqarz bo‘yicha ta’minot sifatida taqdim etilgan, 2-tomonga mulk huquqi asosida tegishli bo‘lgan mulkning garov qiymatini kelishish muzokaralari o’tkazildi. </v>
      </c>
      <c r="B9" s="276"/>
      <c r="C9" s="276"/>
      <c r="D9" s="276"/>
      <c r="E9" s="276"/>
    </row>
    <row r="10" spans="1:5" ht="88.5" hidden="1" customHeight="1" x14ac:dyDescent="0.25">
      <c r="A10" s="276" t="str">
        <f>IF(malumot!B100="ha",dalolatnoma!A12:E12,dalolatnoma!A11:E11)</f>
        <v>«CLEVER MIKROMOLIYA TASHKILOTI» MChJning (1-tomon) vakili bo‘lgan  Navoiy viloyati filial menejeri Sh.Xayriyev, O‘zbekiston Respublikasi fuqarosi va garovga beruvchi TUYEV SHOXRUX UTKIROVICH (2-tomon) o’rtalarida, 29 yanvar 2026 y.dan №244-NVS-sonli Mikroqarz shartnomasiga muvofiq 1-tomon 2-tomonga berilgan mikroqarz bo‘yicha ta’minot sifatida taqdim etilgan, 2-tomonga mulk huquqi asosida tegishli bo‘lgan mulkning garov qiymatini kelishish muzokaralari o’tkazildi.</v>
      </c>
      <c r="B10" s="276"/>
      <c r="C10" s="276"/>
      <c r="D10" s="276"/>
      <c r="E10" s="276"/>
    </row>
    <row r="11" spans="1:5" ht="88.5" hidden="1" customHeight="1" x14ac:dyDescent="0.25">
      <c r="A11" s="276" t="str">
        <f>""&amp;malumot!B158&amp;"ning (1-tomon) vakili bo‘lgan  "&amp;malumot!A161&amp;" "&amp;malumot!B161&amp;", O‘zbekiston Respublikasi fuqarosi "&amp;malumot!B5&amp;" (2-tomon) va garovga beruvchi O‘zbekiston Respublikasi fuqarosi "&amp;malumot!B124&amp;"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Navoiy viloyati filial menejeri Sh.Xayriyev, O‘zbekiston Respublikasi fuqarosi TUYEV SHOXRUX UTKIROVICH (2-tomon) va garovga beruvchi O‘zbekiston Respublikasi fuqarosi TUYEV SHOXRUX UTKIROVICH (3-tomon) o’rtalarida, 29 yanvar 2026 y.dan №244-NVS-sonli Mikroqarz shartnomasiga muvofiq 1-tomon 2-tomonga berilgan mikroqarz bo‘yicha ta’minot sifatida taqdim etilgan, 3-tomonga mulk huquqi asosida tegishli bo‘lgan mulkning garov qiymatini kelishish muzokaralari o’tkazildi.</v>
      </c>
      <c r="B11" s="276"/>
      <c r="C11" s="276"/>
      <c r="D11" s="276"/>
      <c r="E11" s="276"/>
    </row>
    <row r="12" spans="1:5" ht="88.5" hidden="1" customHeight="1" x14ac:dyDescent="0.25">
      <c r="A12" s="276" t="str">
        <f>""&amp;malumot!B158&amp;"ning (1-tomon) vakili bo‘lgan  "&amp;malumot!A161&amp;" "&amp;malumot!B161&amp;",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Navoiy viloyati filial menejeri Sh.Xayriyev, O‘zbekiston Respublikasi fuqarosi va garovga beruvchi TUYEV SHOXRUX UTKIROVICH (2-tomon) o’rtalarida, 29 yanvar 2026 y.dan №244-NVS-sonli Mikroqarz shartnomasiga muvofiq 1-tomon 2-tomonga berilgan mikroqarz bo‘yicha ta’minot sifatida taqdim etilgan, 2-tomonga mulk huquqi asosida tegishli bo‘lgan mulkning garov qiymatini kelishish muzokaralari o’tkazildi.</v>
      </c>
      <c r="B12" s="276"/>
      <c r="C12" s="276"/>
      <c r="D12" s="276"/>
      <c r="E12" s="276"/>
    </row>
    <row r="13" spans="1:5" ht="88.5" hidden="1" customHeight="1" x14ac:dyDescent="0.25">
      <c r="A13" s="276" t="str">
        <f>"Garov predmeti sifatida "&amp;malumot!B132&amp;", 3-tomonga egalik huquqi tegishli bo'lgan, quyidagi tafsilotlarga ega avtotransport vositasi taqdim etiladi:"</f>
        <v>Garov predmeti sifatida CHEVROLET LACETTI, 3-tomonga egalik huquqi tegishli bo'lgan, quyidagi tafsilotlarga ega avtotransport vositasi taqdim etiladi:</v>
      </c>
      <c r="B13" s="276"/>
      <c r="C13" s="276"/>
      <c r="D13" s="276"/>
      <c r="E13" s="276"/>
    </row>
    <row r="14" spans="1:5" ht="88.5" hidden="1" customHeight="1" x14ac:dyDescent="0.25">
      <c r="A14" s="276" t="str">
        <f>"Garov predmeti sifatida "&amp;malumot!B132&amp;", 2-tomonga egalik huquqi tegishli bo'lgan, quyidagi tafsilotlarga ega avtotransport vositasi taqdim etiladi:"</f>
        <v>Garov predmeti sifatida CHEVROLET LACETTI, 2-tomonga egalik huquqi tegishli bo'lgan, quyidagi tafsilotlarga ega avtotransport vositasi taqdim etiladi:</v>
      </c>
      <c r="B14" s="276"/>
      <c r="C14" s="276"/>
      <c r="D14" s="276"/>
      <c r="E14" s="276"/>
    </row>
    <row r="15" spans="1:5" ht="88.5" hidden="1" customHeight="1" x14ac:dyDescent="0.25">
      <c r="A15" s="276" t="str">
        <f>IF(malumot!B100="ha",dalolatnoma!A14:E14,dalolatnoma!A13:E13)</f>
        <v>Garov predmeti sifatida CHEVROLET LACETTI, 2-tomonga egalik huquqi tegishli bo'lgan, quyidagi tafsilotlarga ega avtotransport vositasi taqdim etiladi:</v>
      </c>
      <c r="B15" s="276"/>
      <c r="C15" s="276"/>
      <c r="D15" s="276"/>
      <c r="E15" s="276"/>
    </row>
    <row r="16" spans="1:5" ht="88.5" hidden="1" customHeight="1" x14ac:dyDescent="0.25">
      <c r="A16" s="276" t="str">
        <f>"Garov predmeti sifatida "&amp;malumot!C133&amp;", 2-tomonga egalik huquqi tegishli bo'lgan, quyidagi tafsilotlarga ega ko'chmas mulk taqdim etiladi:"</f>
        <v>Garov predmeti sifatida  0, 2-tomonga egalik huquqi tegishli bo'lgan, quyidagi tafsilotlarga ega ko'chmas mulk taqdim etiladi:</v>
      </c>
      <c r="B16" s="276"/>
      <c r="C16" s="276"/>
      <c r="D16" s="276"/>
      <c r="E16" s="276"/>
    </row>
    <row r="17" spans="1:5" ht="13.5" hidden="1" customHeight="1" x14ac:dyDescent="0.25">
      <c r="A17" s="276" t="str">
        <f>"Garov predmeti sifatida "&amp;malumot!C133&amp;", 3-tomonga egalik huquqi tegishli bo'lgan, quyidagi tafsilotlarga ega ko'chmas mulk taqdim etiladi:"</f>
        <v>Garov predmeti sifatida  0, 3-tomonga egalik huquqi tegishli bo'lgan, quyidagi tafsilotlarga ega ko'chmas mulk taqdim etiladi:</v>
      </c>
      <c r="B17" s="276"/>
      <c r="C17" s="276"/>
      <c r="D17" s="276"/>
      <c r="E17" s="276"/>
    </row>
    <row r="18" spans="1:5" ht="11.25" hidden="1" customHeight="1" x14ac:dyDescent="0.25">
      <c r="A18" s="276" t="str">
        <f>IF(malumot!B100="ha",dalolatnoma!A16:E16,dalolatnoma!A17:E17)</f>
        <v>Garov predmeti sifatida  0, 2-tomonga egalik huquqi tegishli bo'lgan, quyidagi tafsilotlarga ega ko'chmas mulk taqdim etiladi:</v>
      </c>
      <c r="B18" s="276"/>
      <c r="C18" s="276"/>
      <c r="D18" s="276"/>
      <c r="E18" s="276"/>
    </row>
    <row r="19" spans="1:5" ht="36.75" customHeight="1" x14ac:dyDescent="0.25">
      <c r="A19" s="276" t="str">
        <f>IF(malumot!B110="Avtotransport",dalolatnoma!A15:E15,dalolatnoma!A18:E18)</f>
        <v>Garov predmeti sifatida CHEVROLET LACETTI, 2-tomonga egalik huquqi tegishli bo'lgan, quyidagi tafsilotlarga ega avtotransport vositasi taqdim etiladi:</v>
      </c>
      <c r="B19" s="276"/>
      <c r="C19" s="276"/>
      <c r="D19" s="276"/>
      <c r="E19" s="276"/>
    </row>
    <row r="20" spans="1:5" ht="48" customHeight="1" outlineLevel="1" x14ac:dyDescent="0.25">
      <c r="A20" s="36" t="s">
        <v>201</v>
      </c>
      <c r="B20" s="316" t="str">
        <f>IF(malumot!B110=malumot!C110,"Kuzov turi  va kuzov raqami*","Foydali maydoni")</f>
        <v>Kuzov turi  va kuzov raqami*</v>
      </c>
      <c r="C20" s="317"/>
      <c r="D20" s="36" t="str">
        <f>IF(malumot!B110=malumot!C110,"Dvigatel va shassi raqami*","Yashash maydoni")</f>
        <v>Dvigatel va shassi raqami*</v>
      </c>
      <c r="E20" s="36" t="str">
        <f>IF(malumot!B110=malumot!C110,"Ishlab chiqarilgan yili va rangi**","Umumiy maydoni")</f>
        <v>Ishlab chiqarilgan yili va rangi**</v>
      </c>
    </row>
    <row r="21" spans="1:5" ht="83.25" customHeight="1" outlineLevel="1" x14ac:dyDescent="0.25">
      <c r="A21" s="15" t="str">
        <f>IF(malumot!B110=malumot!C110,malumot!B132,malumot!C132)</f>
        <v>CHEVROLET LACETTI</v>
      </c>
      <c r="B21" s="308" t="str">
        <f>IF(malumot!B110=malumot!C110,malumot!B134,CONCATENATE(malumot!F137," ","kv.m"))</f>
        <v>kuzov turi - YENGIL SEDAN, kuzov raqami XWB5V31BVPA581883</v>
      </c>
      <c r="C21" s="308"/>
      <c r="D21" s="15" t="str">
        <f>IF(malumot!B110=malumot!C110,malumot!B137,malumot!E140)</f>
        <v>dvigatel raqami B15D211232522 MTDX0591, shassi raqami -  -</v>
      </c>
      <c r="E21" s="15" t="str">
        <f>IF(malumot!B110=malumot!C110,malumot!B140,malumot!E137)</f>
        <v>rangi -  KO'K DARKMOON BLUE MET, ishlab chiqarilgan yili - 2023</v>
      </c>
    </row>
    <row r="22" spans="1:5" ht="17.25" customHeight="1" outlineLevel="1" x14ac:dyDescent="0.25">
      <c r="A22" s="276" t="str">
        <f>"-* "&amp;IF(malumot!B110=malumot!C110,"avtotransport "&amp;"egasi: "&amp;malumot!B124&amp;"","ko'chmas mulk"&amp;" egasi: "&amp;malumot!B124&amp;"")</f>
        <v>-* avtotransport egasi: TUYEV SHOXRUX UTKIROVICH</v>
      </c>
      <c r="B22" s="276"/>
      <c r="C22" s="276"/>
      <c r="D22" s="276"/>
      <c r="E22" s="276"/>
    </row>
    <row r="23" spans="1:5" outlineLevel="1" x14ac:dyDescent="0.25">
      <c r="A23" s="276" t="str">
        <f>IF(malumot!B110=malumot!C110,"-* texnik pasport: "&amp;malumot!B131&amp;"","-* reest raqami: "&amp;malumot!C131&amp;"")</f>
        <v>-* texnik pasport: AAG7978970    28.01.2026y</v>
      </c>
      <c r="B23" s="276"/>
      <c r="C23" s="276"/>
      <c r="D23" s="276"/>
      <c r="E23" s="276"/>
    </row>
    <row r="24" spans="1:5" s="159" customFormat="1" ht="36.75" customHeight="1" outlineLevel="1" x14ac:dyDescent="0.25">
      <c r="A24" s="276" t="str">
        <f>IF(malumot!B110=malumot!C110,"-* roʻyxatdan oʻtgan manzili/garaj manzili: "&amp;malumot!B129&amp;"","-*  kadastr raqami: "&amp;malumot!C134&amp;"")</f>
        <v>-* roʻyxatdan oʻtgan manzili/garaj manzili: NAVOIY VILOYATI  QIZILTEPA TUMANI A.NAVOIY MFY SHODLIK  KO'CHASI 6-UY</v>
      </c>
      <c r="B24" s="276"/>
      <c r="C24" s="276"/>
      <c r="D24" s="276"/>
      <c r="E24" s="276"/>
    </row>
    <row r="25" spans="1:5" ht="33" customHeight="1" outlineLevel="1" x14ac:dyDescent="0.25">
      <c r="A25" s="276" t="str">
        <f>IF(malumot!B110=malumot!C110,"-* davlat raqami: "&amp;malumot!B133&amp;"","-* manzili: "&amp;malumot!C130&amp;"")</f>
        <v>-* davlat raqami: 85L007TA</v>
      </c>
      <c r="B25" s="276"/>
      <c r="C25" s="276"/>
      <c r="D25" s="276"/>
      <c r="E25" s="276"/>
    </row>
    <row r="26" spans="1:5" ht="65.25" hidden="1" customHeight="1" x14ac:dyDescent="0.25">
      <c r="A26" s="276" t="str">
        <f>IF(malumot!B100="ha",dalolatnoma!A28:E28,dalolatnoma!A27:E27)</f>
        <v>Tomonlar o’rtasida o’tkazilgan muzokaralar natijalariga ko‘ra, 2-tomon ta’minot sifatida quyidagi tafsilotlarga ega bo’lgan garov predmetini taqdim etadi, 1-tomon esa ushbu garov predmetini  29 yanvar 2026 y.dan №244-NVS Mikroqarz shartnomasi bo‘yicha berilgan mikroqarz bo‘yicha  
105 000 000,00 (yuz besh million so'm) so’m bo‘lgan kelishilgan garov qiymatida qabul qiladi::</v>
      </c>
      <c r="B26" s="276"/>
      <c r="C26" s="276"/>
      <c r="D26" s="276"/>
      <c r="E26" s="276"/>
    </row>
    <row r="27" spans="1:5" ht="66" hidden="1" customHeight="1" x14ac:dyDescent="0.25">
      <c r="A27" s="276"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"&amp;FIXED(malumot!B143,2)&amp;" ("&amp;malumot!B144&amp;") so’m bo‘lgan kelishilgan garov qiymatida qabul qiladi::"</f>
        <v>Tomonlar o’rtasida o’tkazilgan muzokaralar natijalariga ko‘ra, 2-tomon ta’minot sifatida quyidagi tafsilotlarga ega bo’lgan garov predmetini taqdim etadi, 1-tomon esa ushbu garov predmetini  29 yanvar 2026 y.dan №244-NVS mikroqarz shartnomasi bo‘yicha berilgan mikroqarz bo‘yicha  
105 000 000,00 (yuz besh million so'm) so’m bo‘lgan kelishilgan garov qiymatida qabul qiladi::</v>
      </c>
      <c r="B27" s="276"/>
      <c r="C27" s="276"/>
      <c r="D27" s="276"/>
      <c r="E27" s="276"/>
    </row>
    <row r="28" spans="1:5" ht="60.75" customHeight="1" x14ac:dyDescent="0.25">
      <c r="A28" s="276"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"&amp;FIXED(malumot!B143,2)&amp;" ("&amp;malumot!B144&amp;") so’m bo‘lgan kelishilgan garov qiymatida qabul qiladi::"</f>
        <v>Tomonlar o’rtasida o’tkazilgan muzokaralar natijalariga ko‘ra, 2-tomon ta’minot sifatida quyidagi tafsilotlarga ega bo’lgan garov predmetini taqdim etadi, 1-tomon esa ushbu garov predmetini  29 yanvar 2026 y.dan №244-NVS Mikroqarz shartnomasi bo‘yicha berilgan mikroqarz bo‘yicha  
105 000 000,00 (yuz besh million so'm) so’m bo‘lgan kelishilgan garov qiymatida qabul qiladi::</v>
      </c>
      <c r="B28" s="276"/>
      <c r="C28" s="276"/>
      <c r="D28" s="276"/>
      <c r="E28" s="276"/>
    </row>
    <row r="29" spans="1:5" ht="51.75" customHeight="1" outlineLevel="1" x14ac:dyDescent="0.25">
      <c r="A29" s="36" t="s">
        <v>201</v>
      </c>
      <c r="B29" s="36" t="str">
        <f>B20</f>
        <v>Kuzov turi  va kuzov raqami*</v>
      </c>
      <c r="C29" s="36" t="str">
        <f>D20</f>
        <v>Dvigatel va shassi raqami*</v>
      </c>
      <c r="D29" s="36" t="str">
        <f>IF(malumot!B110=malumot!C110,"Ishlab chiqarilgan yili va rangi*","Foydalanishga topshirilgan sanasi")</f>
        <v>Ishlab chiqarilgan yili va rangi*</v>
      </c>
      <c r="E29" s="36" t="s">
        <v>202</v>
      </c>
    </row>
    <row r="30" spans="1:5" ht="76.5" customHeight="1" outlineLevel="1" x14ac:dyDescent="0.25">
      <c r="A30" s="15" t="str">
        <f>A21</f>
        <v>CHEVROLET LACETTI</v>
      </c>
      <c r="B30" s="15" t="str">
        <f>B21</f>
        <v>kuzov turi - YENGIL SEDAN, kuzov raqami XWB5V31BVPA581883</v>
      </c>
      <c r="C30" s="15" t="str">
        <f>D21</f>
        <v>dvigatel raqami B15D211232522 MTDX0591, shassi raqami -  -</v>
      </c>
      <c r="D30" s="15" t="str">
        <f>IF(malumot!B110=malumot!C110,E21,TEXT(malumot!C142,"ДД.ММ.ГГГГ"))</f>
        <v>rangi -  KO'K DARKMOON BLUE MET, ishlab chiqarilgan yili - 2023</v>
      </c>
      <c r="E30" s="15" t="str">
        <f>""&amp;FIXED(malumot!B143,2)&amp;" 
("&amp;malumot!B144&amp;")"</f>
        <v>105 000 000,00 
(yuz besh million so'm)</v>
      </c>
    </row>
    <row r="31" spans="1:5" ht="16.5" customHeight="1" x14ac:dyDescent="0.25">
      <c r="A31" s="14"/>
      <c r="B31" s="14"/>
      <c r="C31" s="14"/>
      <c r="D31" s="14"/>
      <c r="E31" s="14"/>
    </row>
    <row r="32" spans="1:5" ht="56.25" hidden="1" customHeight="1" outlineLevel="1" x14ac:dyDescent="0.25">
      <c r="A32" s="36" t="s">
        <v>4</v>
      </c>
      <c r="B32" s="36" t="s">
        <v>18</v>
      </c>
      <c r="C32" s="36" t="s">
        <v>19</v>
      </c>
      <c r="D32" s="36" t="s">
        <v>20</v>
      </c>
      <c r="E32" s="36" t="s">
        <v>5</v>
      </c>
    </row>
    <row r="33" spans="1:5" ht="15.75" hidden="1" customHeight="1" outlineLevel="1" x14ac:dyDescent="0.25">
      <c r="A33" s="15" t="e">
        <f>#REF!</f>
        <v>#REF!</v>
      </c>
      <c r="B33" s="101" t="e">
        <f>#REF!</f>
        <v>#REF!</v>
      </c>
      <c r="C33" s="101" t="e">
        <f>#REF!</f>
        <v>#REF!</v>
      </c>
      <c r="D33" s="101" t="e">
        <f>#REF!</f>
        <v>#REF!</v>
      </c>
      <c r="E33" s="313" t="str">
        <f>""&amp;FIXED(malumot!C143,2)&amp;" ("&amp;malumot!B144&amp;")"</f>
        <v>105 000 000,00 (yuz besh million so'm)</v>
      </c>
    </row>
    <row r="34" spans="1:5" ht="15.75" hidden="1" customHeight="1" outlineLevel="1" x14ac:dyDescent="0.25">
      <c r="A34" s="15"/>
      <c r="B34" s="101"/>
      <c r="C34" s="101"/>
      <c r="D34" s="101"/>
      <c r="E34" s="314"/>
    </row>
    <row r="35" spans="1:5" ht="15.75" hidden="1" customHeight="1" outlineLevel="1" x14ac:dyDescent="0.25">
      <c r="A35" s="15" t="e">
        <f>#REF!</f>
        <v>#REF!</v>
      </c>
      <c r="B35" s="101" t="e">
        <f>#REF!</f>
        <v>#REF!</v>
      </c>
      <c r="C35" s="101" t="e">
        <f>#REF!</f>
        <v>#REF!</v>
      </c>
      <c r="D35" s="101" t="e">
        <f>#REF!</f>
        <v>#REF!</v>
      </c>
      <c r="E35" s="314"/>
    </row>
    <row r="36" spans="1:5" ht="15.75" hidden="1" customHeight="1" outlineLevel="1" x14ac:dyDescent="0.25">
      <c r="A36" s="15" t="e">
        <f>#REF!</f>
        <v>#REF!</v>
      </c>
      <c r="B36" s="101" t="e">
        <f>#REF!</f>
        <v>#REF!</v>
      </c>
      <c r="C36" s="101" t="e">
        <f>#REF!</f>
        <v>#REF!</v>
      </c>
      <c r="D36" s="101" t="e">
        <f>#REF!</f>
        <v>#REF!</v>
      </c>
      <c r="E36" s="314"/>
    </row>
    <row r="37" spans="1:5" ht="15.75" hidden="1" customHeight="1" outlineLevel="1" x14ac:dyDescent="0.25">
      <c r="A37" s="15" t="e">
        <f>#REF!</f>
        <v>#REF!</v>
      </c>
      <c r="B37" s="101" t="e">
        <f>#REF!</f>
        <v>#REF!</v>
      </c>
      <c r="C37" s="101" t="e">
        <f>#REF!</f>
        <v>#REF!</v>
      </c>
      <c r="D37" s="101" t="e">
        <f>#REF!</f>
        <v>#REF!</v>
      </c>
      <c r="E37" s="314"/>
    </row>
    <row r="38" spans="1:5" ht="15.75" hidden="1" customHeight="1" outlineLevel="1" x14ac:dyDescent="0.25">
      <c r="A38" s="15" t="e">
        <f>#REF!</f>
        <v>#REF!</v>
      </c>
      <c r="B38" s="101" t="e">
        <f>#REF!</f>
        <v>#REF!</v>
      </c>
      <c r="C38" s="101" t="e">
        <f>#REF!</f>
        <v>#REF!</v>
      </c>
      <c r="D38" s="101" t="e">
        <f>#REF!</f>
        <v>#REF!</v>
      </c>
      <c r="E38" s="314"/>
    </row>
    <row r="39" spans="1:5" ht="15.75" hidden="1" customHeight="1" outlineLevel="1" x14ac:dyDescent="0.25">
      <c r="A39" s="15" t="e">
        <f>#REF!</f>
        <v>#REF!</v>
      </c>
      <c r="B39" s="101" t="e">
        <f>#REF!</f>
        <v>#REF!</v>
      </c>
      <c r="C39" s="101" t="e">
        <f>#REF!</f>
        <v>#REF!</v>
      </c>
      <c r="D39" s="101" t="e">
        <f>#REF!</f>
        <v>#REF!</v>
      </c>
      <c r="E39" s="314"/>
    </row>
    <row r="40" spans="1:5" ht="15.75" hidden="1" customHeight="1" outlineLevel="1" x14ac:dyDescent="0.25">
      <c r="A40" s="15" t="e">
        <f>#REF!</f>
        <v>#REF!</v>
      </c>
      <c r="B40" s="101" t="e">
        <f>#REF!</f>
        <v>#REF!</v>
      </c>
      <c r="C40" s="101" t="e">
        <f>#REF!</f>
        <v>#REF!</v>
      </c>
      <c r="D40" s="101" t="e">
        <f>#REF!</f>
        <v>#REF!</v>
      </c>
      <c r="E40" s="314"/>
    </row>
    <row r="41" spans="1:5" ht="15.75" hidden="1" customHeight="1" outlineLevel="1" x14ac:dyDescent="0.25">
      <c r="A41" s="15" t="e">
        <f>#REF!</f>
        <v>#REF!</v>
      </c>
      <c r="B41" s="101" t="e">
        <f>#REF!</f>
        <v>#REF!</v>
      </c>
      <c r="C41" s="101" t="e">
        <f>#REF!</f>
        <v>#REF!</v>
      </c>
      <c r="D41" s="101" t="e">
        <f>#REF!</f>
        <v>#REF!</v>
      </c>
      <c r="E41" s="314"/>
    </row>
    <row r="42" spans="1:5" ht="15.75" hidden="1" customHeight="1" outlineLevel="1" x14ac:dyDescent="0.25">
      <c r="A42" s="15" t="e">
        <f>#REF!</f>
        <v>#REF!</v>
      </c>
      <c r="B42" s="101" t="e">
        <f>#REF!</f>
        <v>#REF!</v>
      </c>
      <c r="C42" s="101" t="e">
        <f>#REF!</f>
        <v>#REF!</v>
      </c>
      <c r="D42" s="101" t="e">
        <f>#REF!</f>
        <v>#REF!</v>
      </c>
      <c r="E42" s="314"/>
    </row>
    <row r="43" spans="1:5" ht="15.75" hidden="1" customHeight="1" outlineLevel="1" x14ac:dyDescent="0.25">
      <c r="A43" s="15" t="e">
        <f>#REF!</f>
        <v>#REF!</v>
      </c>
      <c r="B43" s="15" t="e">
        <f>#REF!</f>
        <v>#REF!</v>
      </c>
      <c r="C43" s="15" t="e">
        <f>#REF!</f>
        <v>#REF!</v>
      </c>
      <c r="D43" s="15" t="e">
        <f>#REF!</f>
        <v>#REF!</v>
      </c>
      <c r="E43" s="315"/>
    </row>
    <row r="44" spans="1:5" s="34" customFormat="1" ht="15.75" hidden="1" customHeight="1" outlineLevel="1" x14ac:dyDescent="0.2">
      <c r="A44" s="36" t="e">
        <f>#REF!</f>
        <v>#REF!</v>
      </c>
      <c r="B44" s="36" t="e">
        <f>#REF!</f>
        <v>#REF!</v>
      </c>
      <c r="C44" s="36" t="e">
        <f>#REF!</f>
        <v>#REF!</v>
      </c>
      <c r="D44" s="36" t="e">
        <f>#REF!</f>
        <v>#REF!</v>
      </c>
      <c r="E44" s="36" t="str">
        <f>FIXED(malumot!C143,2)</f>
        <v>105 000 000,00</v>
      </c>
    </row>
    <row r="45" spans="1:5" ht="12.75" customHeight="1" collapsed="1" x14ac:dyDescent="0.25">
      <c r="A45" s="14"/>
      <c r="B45" s="14"/>
      <c r="C45" s="14"/>
      <c r="D45" s="14"/>
      <c r="E45" s="14"/>
    </row>
    <row r="46" spans="1:5" ht="93.75" hidden="1" customHeight="1" x14ac:dyDescent="0.25">
      <c r="A46" s="276"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76"/>
      <c r="C46" s="276"/>
      <c r="D46" s="276"/>
      <c r="E46" s="276"/>
    </row>
    <row r="47" spans="1:5" ht="42" customHeight="1" x14ac:dyDescent="0.25">
      <c r="A47" s="276" t="s">
        <v>205</v>
      </c>
      <c r="B47" s="276"/>
      <c r="C47" s="276"/>
      <c r="D47" s="276"/>
      <c r="E47" s="276"/>
    </row>
    <row r="48" spans="1:5" ht="35.25" customHeight="1" x14ac:dyDescent="0.25">
      <c r="A48" s="276" t="str">
        <f>"Shunday qilib, garov predmetining kelishilgan garov qiymati  "&amp;FIXED(malumot!B143)&amp;" ("&amp;malumot!B144&amp;") so‘mni tashkil etadi."</f>
        <v>Shunday qilib, garov predmetining kelishilgan garov qiymati  105 000 000,00 (yuz besh million so'm) so‘mni tashkil etadi.</v>
      </c>
      <c r="B48" s="276"/>
      <c r="C48" s="276"/>
      <c r="D48" s="276"/>
      <c r="E48" s="276"/>
    </row>
    <row r="49" spans="1:6" ht="35.25" hidden="1" customHeight="1" x14ac:dyDescent="0.25">
      <c r="A49" s="17"/>
      <c r="B49" s="17"/>
      <c r="C49" s="17"/>
      <c r="D49" s="17">
        <f>IF(malumot!B99=malumot!C99,malumot!C143,IF(malumot!B99=malumot!D99,'Данные для послед. Залога'!M22,0))</f>
        <v>105000000</v>
      </c>
      <c r="E49" s="17" t="str">
        <f>IF(malumot!B99=malumot!C99,malumot!B144,IF(malumot!B99=malumot!D99,'Данные для послед. Залога'!Q22,0))</f>
        <v>yuz besh million so'm</v>
      </c>
    </row>
    <row r="50" spans="1:6" x14ac:dyDescent="0.25">
      <c r="A50" s="310" t="s">
        <v>206</v>
      </c>
      <c r="B50" s="310"/>
      <c r="C50" s="310"/>
      <c r="D50" s="19"/>
      <c r="E50" s="19"/>
    </row>
    <row r="51" spans="1:6" x14ac:dyDescent="0.25">
      <c r="A51" s="310" t="str">
        <f>malumot!B159</f>
        <v>«CLEVER MIKROMOLIYA TASHKILOTI» MChJ</v>
      </c>
      <c r="B51" s="310"/>
      <c r="C51" s="310"/>
      <c r="D51" s="149"/>
      <c r="E51" s="149"/>
    </row>
    <row r="52" spans="1:6" ht="15" customHeight="1" x14ac:dyDescent="0.25">
      <c r="A52" s="310" t="str">
        <f>""&amp;malumot!A161&amp;""</f>
        <v>Navoiy viloyati filial menejeri</v>
      </c>
      <c r="B52" s="310"/>
      <c r="C52" s="310"/>
      <c r="D52" s="187"/>
      <c r="E52" s="187" t="str">
        <f>malumot!B161</f>
        <v>Sh.Xayriyev</v>
      </c>
    </row>
    <row r="53" spans="1:6" x14ac:dyDescent="0.25">
      <c r="A53" s="50"/>
      <c r="B53" s="50"/>
      <c r="C53" s="50"/>
      <c r="D53" s="50"/>
      <c r="E53" s="50"/>
    </row>
    <row r="54" spans="1:6" x14ac:dyDescent="0.25">
      <c r="A54" s="310"/>
      <c r="B54" s="310"/>
      <c r="C54" s="310"/>
      <c r="D54" s="50"/>
      <c r="E54" s="50"/>
    </row>
    <row r="55" spans="1:6" hidden="1" x14ac:dyDescent="0.25">
      <c r="A55" s="277" t="s">
        <v>44</v>
      </c>
      <c r="B55" s="277"/>
      <c r="C55" s="277"/>
      <c r="D55" s="50"/>
      <c r="E55" s="50"/>
    </row>
    <row r="56" spans="1:6" hidden="1" x14ac:dyDescent="0.25">
      <c r="A56" s="277" t="str">
        <f>malumot!B159</f>
        <v>«CLEVER MIKROMOLIYA TASHKILOTI» MChJ</v>
      </c>
      <c r="B56" s="277"/>
      <c r="C56" s="277"/>
      <c r="D56" s="277" t="str">
        <f>"_______________   "&amp;malumot!B170&amp;""</f>
        <v>_______________   J.Sadiriddinzoda</v>
      </c>
      <c r="E56" s="277"/>
    </row>
    <row r="57" spans="1:6" ht="12.75" customHeight="1" x14ac:dyDescent="0.25">
      <c r="A57" s="277"/>
      <c r="B57" s="277"/>
      <c r="C57" s="277"/>
      <c r="D57" s="277"/>
      <c r="E57" s="277"/>
    </row>
    <row r="58" spans="1:6" x14ac:dyDescent="0.25">
      <c r="A58" s="310" t="s">
        <v>207</v>
      </c>
      <c r="B58" s="310"/>
      <c r="C58" s="310"/>
      <c r="D58" s="277"/>
      <c r="E58" s="277"/>
    </row>
    <row r="59" spans="1:6" ht="31.5" customHeight="1" x14ac:dyDescent="0.25">
      <c r="A59" s="277" t="s">
        <v>208</v>
      </c>
      <c r="B59" s="277"/>
      <c r="C59" s="277"/>
      <c r="D59" s="310" t="str">
        <f>"_______________  "&amp;malumot!B7&amp;""</f>
        <v>_______________  TUYEV SH.U.</v>
      </c>
      <c r="E59" s="310"/>
    </row>
    <row r="60" spans="1:6" x14ac:dyDescent="0.25">
      <c r="A60" s="277"/>
      <c r="B60" s="277"/>
      <c r="C60" s="277"/>
      <c r="D60" s="312" t="str">
        <f>IF(malumot!B100="да","",malumot!B125)</f>
        <v>TUYEV SH.U.</v>
      </c>
      <c r="E60" s="312"/>
    </row>
    <row r="61" spans="1:6" ht="18.75" hidden="1" customHeight="1" x14ac:dyDescent="0.25">
      <c r="A61" s="310" t="str">
        <f>+IF(malumot!B100="ha"," ","3-tomondan:")</f>
        <v xml:space="preserve"> </v>
      </c>
      <c r="B61" s="310"/>
      <c r="C61" s="310"/>
      <c r="D61" s="310" t="str">
        <f>"_______________  "&amp;malumot!B113&amp;""</f>
        <v xml:space="preserve">_______________  </v>
      </c>
      <c r="E61" s="310"/>
      <c r="F61" s="13" t="str">
        <f>IF(malumot!B101=malumot!D101,B7,"")</f>
        <v/>
      </c>
    </row>
    <row r="62" spans="1:6" x14ac:dyDescent="0.25">
      <c r="A62" s="277" t="str">
        <f>+IF(malumot!B100="ha"," ","O'zbekiston Respublikasi fuqarosi")</f>
        <v xml:space="preserve"> </v>
      </c>
      <c r="B62" s="277"/>
      <c r="C62" s="277"/>
      <c r="D62" s="310"/>
      <c r="E62" s="310"/>
    </row>
    <row r="63" spans="1:6" x14ac:dyDescent="0.25">
      <c r="D63" s="311"/>
      <c r="E63" s="311"/>
    </row>
    <row r="64" spans="1:6" x14ac:dyDescent="0.25">
      <c r="B64" s="289">
        <f>garov_ariza!A20</f>
        <v>0</v>
      </c>
      <c r="C64" s="289"/>
      <c r="D64" s="289"/>
      <c r="E64" s="289"/>
    </row>
    <row r="65" spans="2:5" x14ac:dyDescent="0.25">
      <c r="B65" s="289"/>
      <c r="C65" s="289"/>
      <c r="D65" s="289"/>
      <c r="E65" s="289"/>
    </row>
    <row r="66" spans="2:5" x14ac:dyDescent="0.25">
      <c r="B66" s="289"/>
      <c r="C66" s="289"/>
      <c r="D66" s="289"/>
      <c r="E66" s="289"/>
    </row>
    <row r="67" spans="2:5" x14ac:dyDescent="0.25">
      <c r="B67" s="289"/>
      <c r="C67" s="289"/>
      <c r="D67" s="289"/>
      <c r="E67" s="289"/>
    </row>
    <row r="69" spans="2:5" s="244" customFormat="1" x14ac:dyDescent="0.25"/>
  </sheetData>
  <mergeCells count="50">
    <mergeCell ref="A2:E2"/>
    <mergeCell ref="A11:E11"/>
    <mergeCell ref="A12:E12"/>
    <mergeCell ref="A13:E13"/>
    <mergeCell ref="A10:E10"/>
    <mergeCell ref="A5:E5"/>
    <mergeCell ref="A6:E6"/>
    <mergeCell ref="A7:E7"/>
    <mergeCell ref="A8:E8"/>
    <mergeCell ref="A9:E9"/>
    <mergeCell ref="A19:E19"/>
    <mergeCell ref="A24:E24"/>
    <mergeCell ref="A50:C50"/>
    <mergeCell ref="A51:C51"/>
    <mergeCell ref="A52:C52"/>
    <mergeCell ref="A46:E46"/>
    <mergeCell ref="A47:E47"/>
    <mergeCell ref="B20:C20"/>
    <mergeCell ref="B21:C21"/>
    <mergeCell ref="A28:E28"/>
    <mergeCell ref="A48:E48"/>
    <mergeCell ref="A26:E26"/>
    <mergeCell ref="A25:E25"/>
    <mergeCell ref="A54:C54"/>
    <mergeCell ref="A55:C55"/>
    <mergeCell ref="A57:C57"/>
    <mergeCell ref="D57:E57"/>
    <mergeCell ref="A56:C56"/>
    <mergeCell ref="D56:E56"/>
    <mergeCell ref="B64:E67"/>
    <mergeCell ref="A22:E22"/>
    <mergeCell ref="A23:E23"/>
    <mergeCell ref="A14:E14"/>
    <mergeCell ref="A15:E15"/>
    <mergeCell ref="A16:E16"/>
    <mergeCell ref="A17:E17"/>
    <mergeCell ref="A18:E18"/>
    <mergeCell ref="A58:C58"/>
    <mergeCell ref="D58:E58"/>
    <mergeCell ref="A59:C59"/>
    <mergeCell ref="D59:E59"/>
    <mergeCell ref="A60:C60"/>
    <mergeCell ref="D60:E60"/>
    <mergeCell ref="A27:E27"/>
    <mergeCell ref="E33:E43"/>
    <mergeCell ref="A61:C61"/>
    <mergeCell ref="D61:E61"/>
    <mergeCell ref="A62:C62"/>
    <mergeCell ref="D62:E62"/>
    <mergeCell ref="D63:E6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2">
    <tabColor rgb="FF00B050"/>
    <pageSetUpPr fitToPage="1"/>
  </sheetPr>
  <dimension ref="A2:P76"/>
  <sheetViews>
    <sheetView view="pageBreakPreview" topLeftCell="A7" zoomScaleNormal="100" zoomScaleSheetLayoutView="100" workbookViewId="0">
      <selection activeCell="E15" sqref="E15"/>
    </sheetView>
  </sheetViews>
  <sheetFormatPr defaultColWidth="9.140625" defaultRowHeight="15" outlineLevelCol="1" x14ac:dyDescent="0.25"/>
  <cols>
    <col min="1" max="1" width="9.140625" style="13"/>
    <col min="2" max="2" width="13.7109375" style="13" customWidth="1"/>
    <col min="3" max="3" width="20.140625" style="13" customWidth="1"/>
    <col min="4" max="4" width="20.28515625" style="13" customWidth="1"/>
    <col min="5" max="5" width="19.5703125" style="13" customWidth="1"/>
    <col min="6" max="6" width="18.28515625" style="13" customWidth="1"/>
    <col min="7" max="7" width="10.140625" style="13" customWidth="1" outlineLevel="1"/>
    <col min="8" max="8" width="19.7109375" style="13" customWidth="1"/>
    <col min="9" max="10" width="9.140625" style="13" customWidth="1"/>
    <col min="11" max="16384" width="9.140625" style="13"/>
  </cols>
  <sheetData>
    <row r="2" spans="1:16" ht="2.25" customHeight="1" x14ac:dyDescent="0.25">
      <c r="A2" s="34"/>
      <c r="B2" s="34"/>
      <c r="C2" s="34"/>
      <c r="D2" s="34"/>
      <c r="E2" s="305"/>
      <c r="F2" s="305"/>
      <c r="G2" s="18"/>
    </row>
    <row r="3" spans="1:16" ht="46.5" customHeight="1" x14ac:dyDescent="0.25">
      <c r="A3" s="34"/>
      <c r="B3" s="34"/>
      <c r="C3" s="34"/>
      <c r="D3" s="34"/>
      <c r="E3" s="320" t="str">
        <f>""&amp;malumot!B74&amp;" 
"&amp;malumot!B65&amp;" shartnomasiga 
1 sonli ilova"</f>
        <v>29 yanvar 2026 y.dan №244-NVS 
mikroqarz shartnomasiga 
1 sonli ilova</v>
      </c>
      <c r="F3" s="320"/>
      <c r="G3" s="18"/>
    </row>
    <row r="4" spans="1:16" ht="5.25" customHeight="1" x14ac:dyDescent="0.25">
      <c r="A4" s="34"/>
      <c r="B4" s="34"/>
      <c r="C4" s="34"/>
      <c r="D4" s="34"/>
      <c r="E4" s="34"/>
      <c r="F4" s="34"/>
    </row>
    <row r="5" spans="1:16" x14ac:dyDescent="0.25">
      <c r="A5" s="306" t="s">
        <v>259</v>
      </c>
      <c r="B5" s="306"/>
      <c r="C5" s="306"/>
      <c r="D5" s="306"/>
      <c r="E5" s="306"/>
      <c r="F5" s="306"/>
    </row>
    <row r="6" spans="1:16" ht="4.5" customHeight="1" x14ac:dyDescent="0.25"/>
    <row r="7" spans="1:16" ht="15" customHeight="1" x14ac:dyDescent="0.25">
      <c r="A7" s="307" t="s">
        <v>14</v>
      </c>
      <c r="B7" s="308" t="s">
        <v>260</v>
      </c>
      <c r="C7" s="308" t="s">
        <v>261</v>
      </c>
      <c r="D7" s="309" t="s">
        <v>262</v>
      </c>
      <c r="E7" s="309"/>
      <c r="F7" s="309"/>
    </row>
    <row r="8" spans="1:16" s="14" customFormat="1" x14ac:dyDescent="0.25">
      <c r="A8" s="307"/>
      <c r="B8" s="308"/>
      <c r="C8" s="308"/>
      <c r="D8" s="15" t="s">
        <v>263</v>
      </c>
      <c r="E8" s="15" t="s">
        <v>264</v>
      </c>
      <c r="F8" s="15" t="s">
        <v>265</v>
      </c>
    </row>
    <row r="9" spans="1:16" x14ac:dyDescent="0.25">
      <c r="A9" s="16">
        <v>1</v>
      </c>
      <c r="B9" s="30">
        <f>'График аннуитет.'!B8</f>
        <v>46069</v>
      </c>
      <c r="C9" s="31">
        <f>IF(malumot!$B$78=malumot!$C$78,'График дифференц'!C8,IF(malumot!$B$78=malumot!$D$78,'График аннуитет.'!C8))</f>
        <v>100000000</v>
      </c>
      <c r="D9" s="31">
        <f>IF(malumot!$B$78=malumot!$C$78,'График дифференц'!D8,IF(malumot!$B$78=malumot!$D$78,'График аннуитет.'!D8))</f>
        <v>2083333.33</v>
      </c>
      <c r="E9" s="31">
        <f>IF(malumot!$B$78=malumot!$C$78,'График дифференц'!E8,IF(malumot!$B$78=malumot!$D$78,'График аннуитет.'!E8))</f>
        <v>2712328.7399999998</v>
      </c>
      <c r="F9" s="31">
        <f>IF(malumot!$B$78=malumot!$C$78,'График дифференц'!F8,IF(malumot!$B$78=malumot!$D$78,'График аннуитет.'!F8))</f>
        <v>4795662.07</v>
      </c>
    </row>
    <row r="10" spans="1:16" x14ac:dyDescent="0.25">
      <c r="A10" s="16">
        <v>2</v>
      </c>
      <c r="B10" s="30">
        <f>'График аннуитет.'!B9</f>
        <v>46097</v>
      </c>
      <c r="C10" s="31">
        <f>IF(malumot!$B$78=malumot!$C$78,'График дифференц'!C9,IF(malumot!$B$78=malumot!$D$78,'График аннуитет.'!C9))</f>
        <v>97916666.670000002</v>
      </c>
      <c r="D10" s="31">
        <f>IF(malumot!$B$78=malumot!$C$78,'График дифференц'!D9,IF(malumot!$B$78=malumot!$D$78,'График аннуитет.'!D9))</f>
        <v>2083333.33</v>
      </c>
      <c r="E10" s="31">
        <f>IF(malumot!$B$78=malumot!$C$78,'График дифференц'!E9,IF(malumot!$B$78=malumot!$D$78,'График аннуитет.'!E9))</f>
        <v>4131278.48</v>
      </c>
      <c r="F10" s="31">
        <f>IF(malumot!$B$78=malumot!$C$78,'График дифференц'!F9,IF(malumot!$B$78=malumot!$D$78,'График аннуитет.'!F9))</f>
        <v>6214611.8100000005</v>
      </c>
    </row>
    <row r="11" spans="1:16" x14ac:dyDescent="0.25">
      <c r="A11" s="16">
        <v>3</v>
      </c>
      <c r="B11" s="30">
        <f>'График аннуитет.'!B10</f>
        <v>46127</v>
      </c>
      <c r="C11" s="31">
        <f>IF(malumot!$B$78=malumot!$C$78,'График дифференц'!C10,IF(malumot!$B$78=malumot!$D$78,'График аннуитет.'!C10))</f>
        <v>95833333.340000004</v>
      </c>
      <c r="D11" s="31">
        <f>IF(malumot!$B$78=malumot!$C$78,'График дифференц'!D10,IF(malumot!$B$78=malumot!$D$78,'График аннуитет.'!D10))</f>
        <v>2083333.33</v>
      </c>
      <c r="E11" s="31">
        <f>IF(malumot!$B$78=malumot!$C$78,'График дифференц'!E10,IF(malumot!$B$78=malumot!$D$78,'График аннуитет.'!E10))</f>
        <v>4332191.7</v>
      </c>
      <c r="F11" s="31">
        <f>IF(malumot!$B$78=malumot!$C$78,'График дифференц'!F10,IF(malumot!$B$78=malumot!$D$78,'График аннуитет.'!F10))</f>
        <v>6415525.0300000003</v>
      </c>
    </row>
    <row r="12" spans="1:16" x14ac:dyDescent="0.25">
      <c r="A12" s="16">
        <v>4</v>
      </c>
      <c r="B12" s="30">
        <f>'График аннуитет.'!B11</f>
        <v>46157</v>
      </c>
      <c r="C12" s="31">
        <f>IF(malumot!$B$78=malumot!$C$78,'График дифференц'!C11,IF(malumot!$B$78=malumot!$D$78,'График аннуитет.'!C11))</f>
        <v>93750000.010000005</v>
      </c>
      <c r="D12" s="31">
        <f>IF(malumot!$B$78=malumot!$C$78,'График дифференц'!D11,IF(malumot!$B$78=malumot!$D$78,'График аннуитет.'!D11))</f>
        <v>2083333.33</v>
      </c>
      <c r="E12" s="31">
        <f>IF(malumot!$B$78=malumot!$C$78,'График дифференц'!E11,IF(malumot!$B$78=malumot!$D$78,'График аннуитет.'!E11))</f>
        <v>4238013.5999999996</v>
      </c>
      <c r="F12" s="31">
        <f>IF(malumot!$B$78=malumot!$C$78,'График дифференц'!F11,IF(malumot!$B$78=malumot!$D$78,'График аннуитет.'!F11))</f>
        <v>6321346.9299999997</v>
      </c>
      <c r="H12" s="318" t="s">
        <v>366</v>
      </c>
      <c r="I12" s="318"/>
      <c r="J12" s="318"/>
      <c r="K12" s="318"/>
      <c r="L12" s="318"/>
      <c r="M12" s="318"/>
      <c r="N12" s="318"/>
      <c r="O12" s="318"/>
      <c r="P12" s="318"/>
    </row>
    <row r="13" spans="1:16" x14ac:dyDescent="0.25">
      <c r="A13" s="16">
        <v>5</v>
      </c>
      <c r="B13" s="30">
        <f>'График аннуитет.'!B12</f>
        <v>46188</v>
      </c>
      <c r="C13" s="31">
        <f>IF(malumot!$B$78=malumot!$C$78,'График дифференц'!C12,IF(malumot!$B$78=malumot!$D$78,'График аннуитет.'!C12))</f>
        <v>91666666.680000007</v>
      </c>
      <c r="D13" s="31">
        <f>IF(malumot!$B$78=malumot!$C$78,'График дифференц'!D12,IF(malumot!$B$78=malumot!$D$78,'График аннуитет.'!D12))</f>
        <v>2083333.33</v>
      </c>
      <c r="E13" s="31">
        <f>IF(malumot!$B$78=malumot!$C$78,'График дифференц'!E12,IF(malumot!$B$78=malumot!$D$78,'График аннуитет.'!E12))</f>
        <v>4281963.3500000006</v>
      </c>
      <c r="F13" s="31">
        <f>IF(malumot!$B$78=malumot!$C$78,'График дифференц'!F12,IF(malumot!$B$78=malumot!$D$78,'График аннуитет.'!F12))</f>
        <v>6365296.6800000006</v>
      </c>
      <c r="H13" s="318"/>
      <c r="I13" s="318"/>
      <c r="J13" s="318"/>
      <c r="K13" s="318"/>
      <c r="L13" s="318"/>
      <c r="M13" s="318"/>
      <c r="N13" s="318"/>
      <c r="O13" s="318"/>
      <c r="P13" s="318"/>
    </row>
    <row r="14" spans="1:16" x14ac:dyDescent="0.25">
      <c r="A14" s="16">
        <v>6</v>
      </c>
      <c r="B14" s="30">
        <f>'График аннуитет.'!B13</f>
        <v>46218</v>
      </c>
      <c r="C14" s="31">
        <f>IF(malumot!$B$78=malumot!$C$78,'График дифференц'!C13,IF(malumot!$B$78=malumot!$D$78,'График аннуитет.'!C13))</f>
        <v>89583333.350000009</v>
      </c>
      <c r="D14" s="31">
        <f>IF(malumot!$B$78=malumot!$C$78,'График дифференц'!D13,IF(malumot!$B$78=malumot!$D$78,'График аннуитет.'!D13))</f>
        <v>2083333.33</v>
      </c>
      <c r="E14" s="31">
        <f>IF(malumot!$B$78=malumot!$C$78,'График дифференц'!E13,IF(malumot!$B$78=malumot!$D$78,'График аннуитет.'!E13))</f>
        <v>4049657.3999999994</v>
      </c>
      <c r="F14" s="31">
        <f>IF(malumot!$B$78=malumot!$C$78,'График дифференц'!F13,IF(malumot!$B$78=malumot!$D$78,'График аннуитет.'!F13))</f>
        <v>6132990.7299999995</v>
      </c>
      <c r="H14" s="318"/>
      <c r="I14" s="318"/>
      <c r="J14" s="318"/>
      <c r="K14" s="318"/>
      <c r="L14" s="318"/>
      <c r="M14" s="318"/>
      <c r="N14" s="318"/>
      <c r="O14" s="318"/>
      <c r="P14" s="318"/>
    </row>
    <row r="15" spans="1:16" x14ac:dyDescent="0.25">
      <c r="A15" s="16">
        <v>7</v>
      </c>
      <c r="B15" s="30">
        <f>'График аннуитет.'!B14</f>
        <v>46251</v>
      </c>
      <c r="C15" s="31">
        <f>IF(malumot!$B$78=malumot!$C$78,'График дифференц'!C14,IF(malumot!$B$78=malumot!$D$78,'График аннуитет.'!C14))</f>
        <v>87500000.020000011</v>
      </c>
      <c r="D15" s="31">
        <f>IF(malumot!$B$78=malumot!$C$78,'График дифференц'!D14,IF(malumot!$B$78=malumot!$D$78,'График аннуитет.'!D14))</f>
        <v>2083333.33</v>
      </c>
      <c r="E15" s="31">
        <f>IF(malumot!$B$78=malumot!$C$78,'График дифференц'!E14,IF(malumot!$B$78=malumot!$D$78,'График аннуитет.'!E14))</f>
        <v>4351027.5600000005</v>
      </c>
      <c r="F15" s="31">
        <f>IF(malumot!$B$78=malumot!$C$78,'График дифференц'!F14,IF(malumot!$B$78=malumot!$D$78,'График аннуитет.'!F14))</f>
        <v>6434360.8900000006</v>
      </c>
      <c r="H15" s="318"/>
      <c r="I15" s="318"/>
      <c r="J15" s="318"/>
      <c r="K15" s="318"/>
      <c r="L15" s="318"/>
      <c r="M15" s="318"/>
      <c r="N15" s="318"/>
      <c r="O15" s="318"/>
      <c r="P15" s="318"/>
    </row>
    <row r="16" spans="1:16" x14ac:dyDescent="0.25">
      <c r="A16" s="16">
        <v>8</v>
      </c>
      <c r="B16" s="30">
        <f>'График аннуитет.'!B15</f>
        <v>46280</v>
      </c>
      <c r="C16" s="31">
        <f>IF(malumot!$B$78=malumot!$C$78,'График дифференц'!C15,IF(malumot!$B$78=malumot!$D$78,'График аннуитет.'!C15))</f>
        <v>85416666.690000013</v>
      </c>
      <c r="D16" s="31">
        <f>IF(malumot!$B$78=malumot!$C$78,'График дифференц'!D15,IF(malumot!$B$78=malumot!$D$78,'График аннуитет.'!D15))</f>
        <v>2083333.33</v>
      </c>
      <c r="E16" s="31">
        <f>IF(malumot!$B$78=malumot!$C$78,'График дифференц'!E15,IF(malumot!$B$78=malumot!$D$78,'График аннуитет.'!E15))</f>
        <v>3732591.45</v>
      </c>
      <c r="F16" s="31">
        <f>IF(malumot!$B$78=malumot!$C$78,'График дифференц'!F15,IF(malumot!$B$78=malumot!$D$78,'График аннуитет.'!F15))</f>
        <v>5815924.7800000003</v>
      </c>
      <c r="H16" s="318"/>
      <c r="I16" s="318"/>
      <c r="J16" s="318"/>
      <c r="K16" s="318"/>
      <c r="L16" s="318"/>
      <c r="M16" s="318"/>
      <c r="N16" s="318"/>
      <c r="O16" s="318"/>
      <c r="P16" s="318"/>
    </row>
    <row r="17" spans="1:16" x14ac:dyDescent="0.25">
      <c r="A17" s="16">
        <v>9</v>
      </c>
      <c r="B17" s="30">
        <f>'График аннуитет.'!B16</f>
        <v>46310</v>
      </c>
      <c r="C17" s="31">
        <f>IF(malumot!$B$78=malumot!$C$78,'График дифференц'!C16,IF(malumot!$B$78=malumot!$D$78,'График аннуитет.'!C16))</f>
        <v>83333333.360000014</v>
      </c>
      <c r="D17" s="31">
        <f>IF(malumot!$B$78=malumot!$C$78,'График дифференц'!D16,IF(malumot!$B$78=malumot!$D$78,'График аннуитет.'!D16))</f>
        <v>2083333.33</v>
      </c>
      <c r="E17" s="31">
        <f>IF(malumot!$B$78=malumot!$C$78,'График дифференц'!E16,IF(malumot!$B$78=malumot!$D$78,'График аннуитет.'!E16))</f>
        <v>3767123.4</v>
      </c>
      <c r="F17" s="31">
        <f>IF(malumot!$B$78=malumot!$C$78,'График дифференц'!F16,IF(malumot!$B$78=malumot!$D$78,'График аннуитет.'!F16))</f>
        <v>5850456.7300000004</v>
      </c>
      <c r="H17" s="318"/>
      <c r="I17" s="318"/>
      <c r="J17" s="318"/>
      <c r="K17" s="318"/>
      <c r="L17" s="318"/>
      <c r="M17" s="318"/>
      <c r="N17" s="318"/>
      <c r="O17" s="318"/>
      <c r="P17" s="318"/>
    </row>
    <row r="18" spans="1:16" x14ac:dyDescent="0.25">
      <c r="A18" s="16">
        <v>10</v>
      </c>
      <c r="B18" s="30">
        <f>'График аннуитет.'!B17</f>
        <v>46342</v>
      </c>
      <c r="C18" s="31">
        <f>IF(malumot!$B$78=malumot!$C$78,'График дифференц'!C17,IF(malumot!$B$78=malumot!$D$78,'График аннуитет.'!C17))</f>
        <v>81250000.030000016</v>
      </c>
      <c r="D18" s="31">
        <f>IF(malumot!$B$78=malumot!$C$78,'График дифференц'!D17,IF(malumot!$B$78=malumot!$D$78,'График аннуитет.'!D17))</f>
        <v>2083333.33</v>
      </c>
      <c r="E18" s="31">
        <f>IF(malumot!$B$78=malumot!$C$78,'График дифференц'!E17,IF(malumot!$B$78=malumot!$D$78,'График аннуитет.'!E17))</f>
        <v>3917808.32</v>
      </c>
      <c r="F18" s="31">
        <f>IF(malumot!$B$78=malumot!$C$78,'График дифференц'!F17,IF(malumot!$B$78=malumot!$D$78,'График аннуитет.'!F17))</f>
        <v>6001141.6500000004</v>
      </c>
      <c r="H18" s="318"/>
      <c r="I18" s="318"/>
      <c r="J18" s="318"/>
      <c r="K18" s="318"/>
      <c r="L18" s="318"/>
      <c r="M18" s="318"/>
      <c r="N18" s="318"/>
      <c r="O18" s="318"/>
      <c r="P18" s="318"/>
    </row>
    <row r="19" spans="1:16" x14ac:dyDescent="0.25">
      <c r="A19" s="16">
        <v>11</v>
      </c>
      <c r="B19" s="30">
        <f>'График аннуитет.'!B18</f>
        <v>46371</v>
      </c>
      <c r="C19" s="31">
        <f>IF(malumot!$B$78=malumot!$C$78,'График дифференц'!C18,IF(malumot!$B$78=malumot!$D$78,'График аннуитет.'!C18))</f>
        <v>79166666.700000018</v>
      </c>
      <c r="D19" s="31">
        <f>IF(malumot!$B$78=malumot!$C$78,'График дифференц'!D18,IF(malumot!$B$78=malumot!$D$78,'График аннуитет.'!D18))</f>
        <v>2083333.33</v>
      </c>
      <c r="E19" s="31">
        <f>IF(malumot!$B$78=malumot!$C$78,'График дифференц'!E18,IF(malumot!$B$78=malumot!$D$78,'График аннуитет.'!E18))</f>
        <v>3459474.96</v>
      </c>
      <c r="F19" s="31">
        <f>IF(malumot!$B$78=malumot!$C$78,'График дифференц'!F18,IF(malumot!$B$78=malumot!$D$78,'График аннуитет.'!F18))</f>
        <v>5542808.29</v>
      </c>
      <c r="H19" s="318"/>
      <c r="I19" s="318"/>
      <c r="J19" s="318"/>
      <c r="K19" s="318"/>
      <c r="L19" s="318"/>
      <c r="M19" s="318"/>
      <c r="N19" s="318"/>
      <c r="O19" s="318"/>
      <c r="P19" s="318"/>
    </row>
    <row r="20" spans="1:16" x14ac:dyDescent="0.25">
      <c r="A20" s="16">
        <v>12</v>
      </c>
      <c r="B20" s="30">
        <f>'График аннуитет.'!B19</f>
        <v>46402</v>
      </c>
      <c r="C20" s="31">
        <f>IF(malumot!$B$78=malumot!$C$78,'График дифференц'!C19,IF(malumot!$B$78=malumot!$D$78,'График аннуитет.'!C19))</f>
        <v>77083333.37000002</v>
      </c>
      <c r="D20" s="31">
        <f>IF(malumot!$B$78=malumot!$C$78,'График дифференц'!D19,IF(malumot!$B$78=malumot!$D$78,'График аннуитет.'!D19))</f>
        <v>2083333.33</v>
      </c>
      <c r="E20" s="31">
        <f>IF(malumot!$B$78=malumot!$C$78,'График дифференц'!E19,IF(malumot!$B$78=malumot!$D$78,'График аннуитет.'!E19))</f>
        <v>3600742.07</v>
      </c>
      <c r="F20" s="31">
        <f>IF(malumot!$B$78=malumot!$C$78,'График дифференц'!F19,IF(malumot!$B$78=malumot!$D$78,'График аннуитет.'!F19))</f>
        <v>5684075.4000000004</v>
      </c>
      <c r="H20" s="318"/>
      <c r="I20" s="318"/>
      <c r="J20" s="318"/>
      <c r="K20" s="318"/>
      <c r="L20" s="318"/>
      <c r="M20" s="318"/>
      <c r="N20" s="318"/>
      <c r="O20" s="318"/>
      <c r="P20" s="318"/>
    </row>
    <row r="21" spans="1:16" x14ac:dyDescent="0.25">
      <c r="A21" s="16">
        <v>13</v>
      </c>
      <c r="B21" s="30">
        <f>'График аннуитет.'!B20</f>
        <v>46433</v>
      </c>
      <c r="C21" s="31">
        <f>IF(malumot!$B$78=malumot!$C$78,'График дифференц'!C20,IF(malumot!$B$78=malumot!$D$78,'График аннуитет.'!C20))</f>
        <v>75000000.040000021</v>
      </c>
      <c r="D21" s="31">
        <f>IF(malumot!$B$78=malumot!$C$78,'График дифференц'!D20,IF(malumot!$B$78=malumot!$D$78,'График аннуитет.'!D20))</f>
        <v>2083333.33</v>
      </c>
      <c r="E21" s="31">
        <f>IF(malumot!$B$78=malumot!$C$78,'График дифференц'!E20,IF(malumot!$B$78=malumot!$D$78,'График аннуитет.'!E20))</f>
        <v>3503424.6999999997</v>
      </c>
      <c r="F21" s="31">
        <f>IF(malumot!$B$78=malumot!$C$78,'График дифференц'!F20,IF(malumot!$B$78=malumot!$D$78,'График аннуитет.'!F20))</f>
        <v>5586758.0299999993</v>
      </c>
      <c r="H21" s="318"/>
      <c r="I21" s="318"/>
      <c r="J21" s="318"/>
      <c r="K21" s="318"/>
      <c r="L21" s="318"/>
      <c r="M21" s="318"/>
      <c r="N21" s="318"/>
      <c r="O21" s="318"/>
      <c r="P21" s="318"/>
    </row>
    <row r="22" spans="1:16" x14ac:dyDescent="0.25">
      <c r="A22" s="16">
        <v>14</v>
      </c>
      <c r="B22" s="30">
        <f>'График аннуитет.'!B21</f>
        <v>46461</v>
      </c>
      <c r="C22" s="31">
        <f>IF(malumot!$B$78=malumot!$C$78,'График дифференц'!C21,IF(malumot!$B$78=malumot!$D$78,'График аннуитет.'!C21))</f>
        <v>72916666.710000023</v>
      </c>
      <c r="D22" s="31">
        <f>IF(malumot!$B$78=malumot!$C$78,'График дифференц'!D21,IF(malumot!$B$78=malumot!$D$78,'График аннуитет.'!D21))</f>
        <v>2083333.33</v>
      </c>
      <c r="E22" s="31">
        <f>IF(malumot!$B$78=malumot!$C$78,'График дифференц'!E21,IF(malumot!$B$78=malumot!$D$78,'График аннуитет.'!E21))</f>
        <v>3076484.04</v>
      </c>
      <c r="F22" s="31">
        <f>IF(malumot!$B$78=malumot!$C$78,'График дифференц'!F21,IF(malumot!$B$78=malumot!$D$78,'График аннуитет.'!F21))</f>
        <v>5159817.37</v>
      </c>
      <c r="H22" s="318"/>
      <c r="I22" s="318"/>
      <c r="J22" s="318"/>
      <c r="K22" s="318"/>
      <c r="L22" s="318"/>
      <c r="M22" s="318"/>
      <c r="N22" s="318"/>
      <c r="O22" s="318"/>
      <c r="P22" s="318"/>
    </row>
    <row r="23" spans="1:16" x14ac:dyDescent="0.25">
      <c r="A23" s="16">
        <v>15</v>
      </c>
      <c r="B23" s="30">
        <f>'График аннуитет.'!B22</f>
        <v>46492</v>
      </c>
      <c r="C23" s="31">
        <f>IF(malumot!$B$78=malumot!$C$78,'График дифференц'!C22,IF(malumot!$B$78=malumot!$D$78,'График аннуитет.'!C22))</f>
        <v>70833333.380000025</v>
      </c>
      <c r="D23" s="31">
        <f>IF(malumot!$B$78=malumot!$C$78,'График дифференц'!D22,IF(malumot!$B$78=malumot!$D$78,'График аннуитет.'!D22))</f>
        <v>2083333.33</v>
      </c>
      <c r="E23" s="31">
        <f>IF(malumot!$B$78=malumot!$C$78,'График дифференц'!E22,IF(malumot!$B$78=malumot!$D$78,'График аннуитет.'!E22))</f>
        <v>3308789.96</v>
      </c>
      <c r="F23" s="31">
        <f>IF(malumot!$B$78=malumot!$C$78,'График дифференц'!F22,IF(malumot!$B$78=malumot!$D$78,'График аннуитет.'!F22))</f>
        <v>5392123.29</v>
      </c>
      <c r="H23" s="318"/>
      <c r="I23" s="318"/>
      <c r="J23" s="318"/>
      <c r="K23" s="318"/>
      <c r="L23" s="318"/>
      <c r="M23" s="318"/>
      <c r="N23" s="318"/>
      <c r="O23" s="318"/>
      <c r="P23" s="318"/>
    </row>
    <row r="24" spans="1:16" x14ac:dyDescent="0.25">
      <c r="A24" s="16">
        <v>16</v>
      </c>
      <c r="B24" s="30">
        <f>'График аннуитет.'!B23</f>
        <v>46524</v>
      </c>
      <c r="C24" s="31">
        <f>IF(malumot!$B$78=malumot!$C$78,'График дифференц'!C23,IF(malumot!$B$78=malumot!$D$78,'График аннуитет.'!C23))</f>
        <v>68750000.050000027</v>
      </c>
      <c r="D24" s="31">
        <f>IF(malumot!$B$78=malumot!$C$78,'График дифференц'!D23,IF(malumot!$B$78=malumot!$D$78,'График аннуитет.'!D23))</f>
        <v>2083333.33</v>
      </c>
      <c r="E24" s="31">
        <f>IF(malumot!$B$78=malumot!$C$78,'График дифференц'!E23,IF(malumot!$B$78=malumot!$D$78,'График аннуитет.'!E23))</f>
        <v>3315068.48</v>
      </c>
      <c r="F24" s="31">
        <f>IF(malumot!$B$78=malumot!$C$78,'График дифференц'!F23,IF(malumot!$B$78=malumot!$D$78,'График аннуитет.'!F23))</f>
        <v>5398401.8100000005</v>
      </c>
      <c r="H24" s="318"/>
      <c r="I24" s="318"/>
      <c r="J24" s="318"/>
      <c r="K24" s="318"/>
      <c r="L24" s="318"/>
      <c r="M24" s="318"/>
      <c r="N24" s="318"/>
      <c r="O24" s="318"/>
      <c r="P24" s="318"/>
    </row>
    <row r="25" spans="1:16" x14ac:dyDescent="0.25">
      <c r="A25" s="16">
        <v>17</v>
      </c>
      <c r="B25" s="30">
        <f>'График аннуитет.'!B24</f>
        <v>46553</v>
      </c>
      <c r="C25" s="31">
        <f>IF(malumot!$B$78=malumot!$C$78,'График дифференц'!C24,IF(malumot!$B$78=malumot!$D$78,'График аннуитет.'!C24))</f>
        <v>66666666.720000029</v>
      </c>
      <c r="D25" s="31">
        <f>IF(malumot!$B$78=malumot!$C$78,'График дифференц'!D24,IF(malumot!$B$78=malumot!$D$78,'График аннуитет.'!D24))</f>
        <v>2083333.33</v>
      </c>
      <c r="E25" s="31">
        <f>IF(malumot!$B$78=malumot!$C$78,'График дифференц'!E24,IF(malumot!$B$78=malumot!$D$78,'График аннуитет.'!E24))</f>
        <v>2913241.98</v>
      </c>
      <c r="F25" s="31">
        <f>IF(malumot!$B$78=malumot!$C$78,'График дифференц'!F24,IF(malumot!$B$78=malumot!$D$78,'График аннуитет.'!F24))</f>
        <v>4996575.3100000005</v>
      </c>
    </row>
    <row r="26" spans="1:16" x14ac:dyDescent="0.25">
      <c r="A26" s="16">
        <v>18</v>
      </c>
      <c r="B26" s="30">
        <f>'График аннуитет.'!B25</f>
        <v>46583</v>
      </c>
      <c r="C26" s="31">
        <f>IF(malumot!$B$78=malumot!$C$78,'График дифференц'!C25,IF(malumot!$B$78=malumot!$D$78,'График аннуитет.'!C25))</f>
        <v>64583333.39000003</v>
      </c>
      <c r="D26" s="31">
        <f>IF(malumot!$B$78=malumot!$C$78,'График дифференц'!D25,IF(malumot!$B$78=malumot!$D$78,'График аннуитет.'!D25))</f>
        <v>2083333.33</v>
      </c>
      <c r="E26" s="31">
        <f>IF(malumot!$B$78=malumot!$C$78,'График дифференц'!E25,IF(malumot!$B$78=malumot!$D$78,'График аннуитет.'!E25))</f>
        <v>2919520.5</v>
      </c>
      <c r="F26" s="31">
        <f>IF(malumot!$B$78=malumot!$C$78,'График дифференц'!F25,IF(malumot!$B$78=malumot!$D$78,'График аннуитет.'!F25))</f>
        <v>5002853.83</v>
      </c>
    </row>
    <row r="27" spans="1:16" x14ac:dyDescent="0.25">
      <c r="A27" s="16">
        <f>1+A26</f>
        <v>19</v>
      </c>
      <c r="B27" s="30">
        <f>'График аннуитет.'!B26</f>
        <v>46615</v>
      </c>
      <c r="C27" s="31">
        <f>IF(malumot!$B$78=malumot!$C$78,'График дифференц'!C26,IF(malumot!$B$78=malumot!$D$78,'График аннуитет.'!C26))</f>
        <v>62500000.060000032</v>
      </c>
      <c r="D27" s="31">
        <f>IF(malumot!$B$78=malumot!$C$78,'График дифференц'!D26,IF(malumot!$B$78=malumot!$D$78,'График аннуитет.'!D26))</f>
        <v>2083333.33</v>
      </c>
      <c r="E27" s="31">
        <f>IF(malumot!$B$78=malumot!$C$78,'График дифференц'!E26,IF(malumot!$B$78=malumot!$D$78,'График аннуитет.'!E26))</f>
        <v>3013698.56</v>
      </c>
      <c r="F27" s="31">
        <f>IF(malumot!$B$78=malumot!$C$78,'График дифференц'!F26,IF(malumot!$B$78=malumot!$D$78,'График аннуитет.'!F26))</f>
        <v>5097031.8900000006</v>
      </c>
    </row>
    <row r="28" spans="1:16" x14ac:dyDescent="0.25">
      <c r="A28" s="16">
        <f t="shared" ref="A28:A43" si="0">1+A27</f>
        <v>20</v>
      </c>
      <c r="B28" s="30">
        <f>'График аннуитет.'!B27</f>
        <v>46645</v>
      </c>
      <c r="C28" s="31">
        <f>IF(malumot!$B$78=malumot!$C$78,'График дифференц'!C27,IF(malumot!$B$78=malumot!$D$78,'График аннуитет.'!C27))</f>
        <v>60416666.730000034</v>
      </c>
      <c r="D28" s="31">
        <f>IF(malumot!$B$78=malumot!$C$78,'График дифференц'!D27,IF(malumot!$B$78=malumot!$D$78,'График аннуитет.'!D27))</f>
        <v>2083333.33</v>
      </c>
      <c r="E28" s="31">
        <f>IF(malumot!$B$78=malumot!$C$78,'График дифференц'!E27,IF(malumot!$B$78=malumot!$D$78,'График аннуитет.'!E27))</f>
        <v>2731164.3</v>
      </c>
      <c r="F28" s="31">
        <f>IF(malumot!$B$78=malumot!$C$78,'График дифференц'!F27,IF(malumot!$B$78=malumot!$D$78,'График аннуитет.'!F27))</f>
        <v>4814497.63</v>
      </c>
    </row>
    <row r="29" spans="1:16" x14ac:dyDescent="0.25">
      <c r="A29" s="16">
        <f t="shared" si="0"/>
        <v>21</v>
      </c>
      <c r="B29" s="30">
        <f>'График аннуитет.'!B28</f>
        <v>46675</v>
      </c>
      <c r="C29" s="31">
        <f>IF(malumot!$B$78=malumot!$C$78,'График дифференц'!C28,IF(malumot!$B$78=malumot!$D$78,'График аннуитет.'!C28))</f>
        <v>58333333.400000036</v>
      </c>
      <c r="D29" s="31">
        <f>IF(malumot!$B$78=malumot!$C$78,'График дифференц'!D28,IF(malumot!$B$78=malumot!$D$78,'График аннуитет.'!D28))</f>
        <v>2083333.33</v>
      </c>
      <c r="E29" s="31">
        <f>IF(malumot!$B$78=malumot!$C$78,'График дифференц'!E28,IF(malumot!$B$78=malumot!$D$78,'График аннуитет.'!E28))</f>
        <v>2636986.1999999997</v>
      </c>
      <c r="F29" s="31">
        <f>IF(malumot!$B$78=malumot!$C$78,'График дифференц'!F28,IF(malumot!$B$78=malumot!$D$78,'График аннуитет.'!F28))</f>
        <v>4720319.5299999993</v>
      </c>
    </row>
    <row r="30" spans="1:16" x14ac:dyDescent="0.25">
      <c r="A30" s="16">
        <f t="shared" si="0"/>
        <v>22</v>
      </c>
      <c r="B30" s="30">
        <f>'График аннуитет.'!B29</f>
        <v>46706</v>
      </c>
      <c r="C30" s="31">
        <f>IF(malumot!$B$78=malumot!$C$78,'График дифференц'!C29,IF(malumot!$B$78=malumot!$D$78,'График аннуитет.'!C29))</f>
        <v>56250000.070000038</v>
      </c>
      <c r="D30" s="31">
        <f>IF(malumot!$B$78=malumot!$C$78,'График дифференц'!D29,IF(malumot!$B$78=malumot!$D$78,'График аннуитет.'!D29))</f>
        <v>2083333.33</v>
      </c>
      <c r="E30" s="31">
        <f>IF(malumot!$B$78=malumot!$C$78,'График дифференц'!E29,IF(malumot!$B$78=malumot!$D$78,'График аннуитет.'!E29))</f>
        <v>2627568.37</v>
      </c>
      <c r="F30" s="31">
        <f>IF(malumot!$B$78=malumot!$C$78,'График дифференц'!F29,IF(malumot!$B$78=malumot!$D$78,'График аннуитет.'!F29))</f>
        <v>4710901.7</v>
      </c>
    </row>
    <row r="31" spans="1:16" x14ac:dyDescent="0.25">
      <c r="A31" s="16">
        <f t="shared" si="0"/>
        <v>23</v>
      </c>
      <c r="B31" s="30">
        <f>'График аннуитет.'!B30</f>
        <v>46736</v>
      </c>
      <c r="C31" s="31">
        <f>IF(malumot!$B$78=malumot!$C$78,'График дифференц'!C30,IF(malumot!$B$78=malumot!$D$78,'График аннуитет.'!C30))</f>
        <v>54166666.740000039</v>
      </c>
      <c r="D31" s="31">
        <f>IF(malumot!$B$78=malumot!$C$78,'График дифференц'!D30,IF(malumot!$B$78=malumot!$D$78,'График аннуитет.'!D30))</f>
        <v>2083333.33</v>
      </c>
      <c r="E31" s="31">
        <f>IF(malumot!$B$78=malumot!$C$78,'График дифференц'!E30,IF(malumot!$B$78=malumot!$D$78,'График аннуитет.'!E30))</f>
        <v>2448630</v>
      </c>
      <c r="F31" s="31">
        <f>IF(malumot!$B$78=malumot!$C$78,'График дифференц'!F30,IF(malumot!$B$78=malumot!$D$78,'График аннуитет.'!F30))</f>
        <v>4531963.33</v>
      </c>
    </row>
    <row r="32" spans="1:16" x14ac:dyDescent="0.25">
      <c r="A32" s="16">
        <f t="shared" si="0"/>
        <v>24</v>
      </c>
      <c r="B32" s="30">
        <f>'График аннуитет.'!B31</f>
        <v>46769</v>
      </c>
      <c r="C32" s="31">
        <f>IF(malumot!$B$78=malumot!$C$78,'График дифференц'!C31,IF(malumot!$B$78=malumot!$D$78,'График аннуитет.'!C31))</f>
        <v>52083333.410000041</v>
      </c>
      <c r="D32" s="31">
        <f>IF(malumot!$B$78=malumot!$C$78,'График дифференц'!D31,IF(malumot!$B$78=malumot!$D$78,'График аннуитет.'!D31))</f>
        <v>2083333.33</v>
      </c>
      <c r="E32" s="31">
        <f>IF(malumot!$B$78=malumot!$C$78,'График дифференц'!E31,IF(malumot!$B$78=malumot!$D$78,'График аннуитет.'!E31))</f>
        <v>2582820.9</v>
      </c>
      <c r="F32" s="31">
        <f>IF(malumot!$B$78=malumot!$C$78,'График дифференц'!F31,IF(malumot!$B$78=malumot!$D$78,'График аннуитет.'!F31))</f>
        <v>4666154.2300000004</v>
      </c>
    </row>
    <row r="33" spans="1:6" x14ac:dyDescent="0.25">
      <c r="A33" s="16">
        <f t="shared" si="0"/>
        <v>25</v>
      </c>
      <c r="B33" s="30">
        <f>IF('График аннуитет.'!B32=FALSE,"",'График аннуитет.'!B32)</f>
        <v>46798</v>
      </c>
      <c r="C33" s="31">
        <f>IF(malumot!$B$78=malumot!$C$78,'График дифференц'!C32,IF(malumot!$B$78=malumot!$D$78,'График аннуитет.'!C32))</f>
        <v>50000000.080000043</v>
      </c>
      <c r="D33" s="31">
        <f>IF(malumot!$B$78=malumot!$C$78,'График дифференц'!D32,IF(malumot!$B$78=malumot!$D$78,'График аннуитет.'!D32))</f>
        <v>2083333.33</v>
      </c>
      <c r="E33" s="31">
        <f>IF(malumot!$B$78=malumot!$C$78,'График дифференц'!E32,IF(malumot!$B$78=malumot!$D$78,'График аннуитет.'!E32))</f>
        <v>2178961.69</v>
      </c>
      <c r="F33" s="31">
        <f>IF(malumot!$B$78=malumot!$C$78,'График дифференц'!F32,IF(malumot!$B$78=malumot!$D$78,'График аннуитет.'!F32))</f>
        <v>4262295.0199999996</v>
      </c>
    </row>
    <row r="34" spans="1:6" x14ac:dyDescent="0.25">
      <c r="A34" s="16">
        <f t="shared" si="0"/>
        <v>26</v>
      </c>
      <c r="B34" s="30">
        <f>IF('График аннуитет.'!B33=FALSE,"",'График аннуитет.'!B33)</f>
        <v>46827</v>
      </c>
      <c r="C34" s="31">
        <f>IF(malumot!$B$78=malumot!$C$78,'График дифференц'!C33,IF(malumot!$B$78=malumot!$D$78,'График аннуитет.'!C33))</f>
        <v>47916666.750000045</v>
      </c>
      <c r="D34" s="31">
        <f>IF(malumot!$B$78=malumot!$C$78,'График дифференц'!D33,IF(malumot!$B$78=malumot!$D$78,'График аннуитет.'!D33))</f>
        <v>2083333.33</v>
      </c>
      <c r="E34" s="31">
        <f>IF(malumot!$B$78=malumot!$C$78,'График дифференц'!E33,IF(malumot!$B$78=malumot!$D$78,'График аннуитет.'!E33))</f>
        <v>2088171.68</v>
      </c>
      <c r="F34" s="31">
        <f>IF(malumot!$B$78=malumot!$C$78,'График дифференц'!F33,IF(malumot!$B$78=malumot!$D$78,'График аннуитет.'!F33))</f>
        <v>4171505.01</v>
      </c>
    </row>
    <row r="35" spans="1:6" x14ac:dyDescent="0.25">
      <c r="A35" s="16">
        <f t="shared" si="0"/>
        <v>27</v>
      </c>
      <c r="B35" s="30">
        <f>IF('График аннуитет.'!B34=FALSE,"",'График аннуитет.'!B34)</f>
        <v>46860</v>
      </c>
      <c r="C35" s="31">
        <f>IF(malumot!$B$78=malumot!$C$78,'График дифференц'!C34,IF(malumot!$B$78=malumot!$D$78,'График аннуитет.'!C34))</f>
        <v>45833333.420000046</v>
      </c>
      <c r="D35" s="31">
        <f>IF(malumot!$B$78=malumot!$C$78,'График дифференц'!D34,IF(malumot!$B$78=malumot!$D$78,'График аннуитет.'!D34))</f>
        <v>2083333.33</v>
      </c>
      <c r="E35" s="31">
        <f>IF(malumot!$B$78=malumot!$C$78,'График дифференц'!E34,IF(malumot!$B$78=malumot!$D$78,'График аннуитет.'!E34))</f>
        <v>2272882.59</v>
      </c>
      <c r="F35" s="31">
        <f>IF(malumot!$B$78=malumot!$C$78,'График дифференц'!F34,IF(malumot!$B$78=malumot!$D$78,'График аннуитет.'!F34))</f>
        <v>4356215.92</v>
      </c>
    </row>
    <row r="36" spans="1:6" x14ac:dyDescent="0.25">
      <c r="A36" s="16">
        <f t="shared" si="0"/>
        <v>28</v>
      </c>
      <c r="B36" s="30">
        <f>IF('График аннуитет.'!B35=FALSE,"",'График аннуитет.'!B35)</f>
        <v>46888</v>
      </c>
      <c r="C36" s="31">
        <f>IF(malumot!$B$78=malumot!$C$78,'График дифференц'!C35,IF(malumot!$B$78=malumot!$D$78,'График аннуитет.'!C35))</f>
        <v>43750000.090000048</v>
      </c>
      <c r="D36" s="31">
        <f>IF(malumot!$B$78=malumot!$C$78,'График дифференц'!D35,IF(malumot!$B$78=malumot!$D$78,'График аннуитет.'!D35))</f>
        <v>2083333.33</v>
      </c>
      <c r="E36" s="31">
        <f>IF(malumot!$B$78=malumot!$C$78,'График дифференц'!E35,IF(malumot!$B$78=malumot!$D$78,'График аннуитет.'!E35))</f>
        <v>1840847.1199999999</v>
      </c>
      <c r="F36" s="31">
        <f>IF(malumot!$B$78=malumot!$C$78,'График дифференц'!F35,IF(malumot!$B$78=malumot!$D$78,'График аннуитет.'!F35))</f>
        <v>3924180.45</v>
      </c>
    </row>
    <row r="37" spans="1:6" x14ac:dyDescent="0.25">
      <c r="A37" s="16">
        <f t="shared" si="0"/>
        <v>29</v>
      </c>
      <c r="B37" s="30">
        <f>IF('График аннуитет.'!B36=FALSE,"",'График аннуитет.'!B36)</f>
        <v>46919</v>
      </c>
      <c r="C37" s="31">
        <f>IF(malumot!$B$78=malumot!$C$78,'График дифференц'!C36,IF(malumot!$B$78=malumot!$D$78,'График аннуитет.'!C36))</f>
        <v>41666666.76000005</v>
      </c>
      <c r="D37" s="31">
        <f>IF(malumot!$B$78=malumot!$C$78,'График дифференц'!D36,IF(malumot!$B$78=malumot!$D$78,'График аннуитет.'!D36))</f>
        <v>2083333.33</v>
      </c>
      <c r="E37" s="31">
        <f>IF(malumot!$B$78=malumot!$C$78,'График дифференц'!E36,IF(malumot!$B$78=malumot!$D$78,'График аннуитет.'!E36))</f>
        <v>1941029.0399999998</v>
      </c>
      <c r="F37" s="31">
        <f>IF(malumot!$B$78=malumot!$C$78,'График дифференц'!F36,IF(malumot!$B$78=malumot!$D$78,'График аннуитет.'!F36))</f>
        <v>4024362.37</v>
      </c>
    </row>
    <row r="38" spans="1:6" x14ac:dyDescent="0.25">
      <c r="A38" s="16">
        <f t="shared" si="0"/>
        <v>30</v>
      </c>
      <c r="B38" s="30">
        <f>IF('График аннуитет.'!B37=FALSE,"",'График аннуитет.'!B37)</f>
        <v>46951</v>
      </c>
      <c r="C38" s="31">
        <f>IF(malumot!$B$78=malumot!$C$78,'График дифференц'!C37,IF(malumot!$B$78=malumot!$D$78,'График аннуитет.'!C37))</f>
        <v>39583333.430000052</v>
      </c>
      <c r="D38" s="31">
        <f>IF(malumot!$B$78=malumot!$C$78,'График дифференц'!D37,IF(malumot!$B$78=malumot!$D$78,'График аннуитет.'!D37))</f>
        <v>2083333.33</v>
      </c>
      <c r="E38" s="31">
        <f>IF(malumot!$B$78=malumot!$C$78,'График дифференц'!E37,IF(malumot!$B$78=malumot!$D$78,'График аннуитет.'!E37))</f>
        <v>1903460.8</v>
      </c>
      <c r="F38" s="31">
        <f>IF(malumot!$B$78=malumot!$C$78,'График дифференц'!F37,IF(malumot!$B$78=malumot!$D$78,'График аннуитет.'!F37))</f>
        <v>3986794.13</v>
      </c>
    </row>
    <row r="39" spans="1:6" x14ac:dyDescent="0.25">
      <c r="A39" s="16">
        <f t="shared" si="0"/>
        <v>31</v>
      </c>
      <c r="B39" s="30">
        <f>IF('График аннуитет.'!B38=FALSE,"",'График аннуитет.'!B38)</f>
        <v>46980</v>
      </c>
      <c r="C39" s="31">
        <f>IF(malumot!$B$78=malumot!$C$78,'График дифференц'!C38,IF(malumot!$B$78=malumot!$D$78,'График аннуитет.'!C38))</f>
        <v>37500000.100000054</v>
      </c>
      <c r="D39" s="31">
        <f>IF(malumot!$B$78=malumot!$C$78,'График дифференц'!D38,IF(malumot!$B$78=malumot!$D$78,'График аннуитет.'!D38))</f>
        <v>2083333.33</v>
      </c>
      <c r="E39" s="31">
        <f>IF(malumot!$B$78=malumot!$C$78,'График дифференц'!E38,IF(malumot!$B$78=malumot!$D$78,'График аннуитет.'!E38))</f>
        <v>1634221.34</v>
      </c>
      <c r="F39" s="31">
        <f>IF(malumot!$B$78=malumot!$C$78,'График дифференц'!F38,IF(malumot!$B$78=malumot!$D$78,'График аннуитет.'!F38))</f>
        <v>3717554.67</v>
      </c>
    </row>
    <row r="40" spans="1:6" x14ac:dyDescent="0.25">
      <c r="A40" s="16">
        <f t="shared" si="0"/>
        <v>32</v>
      </c>
      <c r="B40" s="30">
        <f>IF('График аннуитет.'!B39=FALSE,"",'График аннуитет.'!B39)</f>
        <v>47011</v>
      </c>
      <c r="C40" s="31">
        <f>IF(malumot!$B$78=malumot!$C$78,'График дифференц'!C39,IF(malumot!$B$78=malumot!$D$78,'График аннуитет.'!C39))</f>
        <v>35416666.770000055</v>
      </c>
      <c r="D40" s="31">
        <f>IF(malumot!$B$78=malumot!$C$78,'График дифференц'!D39,IF(malumot!$B$78=malumot!$D$78,'График аннуитет.'!D39))</f>
        <v>2083333.33</v>
      </c>
      <c r="E40" s="31">
        <f>IF(malumot!$B$78=malumot!$C$78,'График дифференц'!E39,IF(malumot!$B$78=malumot!$D$78,'График аннуитет.'!E39))</f>
        <v>1649874.8699999999</v>
      </c>
      <c r="F40" s="31">
        <f>IF(malumot!$B$78=malumot!$C$78,'График дифференц'!F39,IF(malumot!$B$78=malumot!$D$78,'График аннуитет.'!F39))</f>
        <v>3733208.2</v>
      </c>
    </row>
    <row r="41" spans="1:6" x14ac:dyDescent="0.25">
      <c r="A41" s="16">
        <f t="shared" si="0"/>
        <v>33</v>
      </c>
      <c r="B41" s="30">
        <f>IF('График аннуитет.'!B40=FALSE,"",'График аннуитет.'!B40)</f>
        <v>47042</v>
      </c>
      <c r="C41" s="31">
        <f>IF(malumot!$B$78=malumot!$C$78,'График дифференц'!C40,IF(malumot!$B$78=malumot!$D$78,'График аннуитет.'!C40))</f>
        <v>33333333.440000057</v>
      </c>
      <c r="D41" s="31">
        <f>IF(malumot!$B$78=malumot!$C$78,'График дифференц'!D40,IF(malumot!$B$78=malumot!$D$78,'График аннуитет.'!D40))</f>
        <v>2083333.33</v>
      </c>
      <c r="E41" s="31">
        <f>IF(malumot!$B$78=malumot!$C$78,'График дифференц'!E40,IF(malumot!$B$78=malumot!$D$78,'График аннуитет.'!E40))</f>
        <v>1552823.17</v>
      </c>
      <c r="F41" s="31">
        <f>IF(malumot!$B$78=malumot!$C$78,'График дифференц'!F40,IF(malumot!$B$78=malumot!$D$78,'График аннуитет.'!F40))</f>
        <v>3636156.5</v>
      </c>
    </row>
    <row r="42" spans="1:6" x14ac:dyDescent="0.25">
      <c r="A42" s="16">
        <f t="shared" si="0"/>
        <v>34</v>
      </c>
      <c r="B42" s="30">
        <f>IF('График аннуитет.'!B41=FALSE,"",'График аннуитет.'!B41)</f>
        <v>47072</v>
      </c>
      <c r="C42" s="31">
        <f>IF(malumot!$B$78=malumot!$C$78,'График дифференц'!C41,IF(malumot!$B$78=malumot!$D$78,'График аннуитет.'!C41))</f>
        <v>31250000.110000059</v>
      </c>
      <c r="D42" s="31">
        <f>IF(malumot!$B$78=malumot!$C$78,'График дифференц'!D41,IF(malumot!$B$78=malumot!$D$78,'График аннуитет.'!D41))</f>
        <v>2083333.33</v>
      </c>
      <c r="E42" s="31">
        <f>IF(malumot!$B$78=malumot!$C$78,'График дифференц'!E41,IF(malumot!$B$78=malumot!$D$78,'График аннуитет.'!E41))</f>
        <v>1408811.4</v>
      </c>
      <c r="F42" s="31">
        <f>IF(malumot!$B$78=malumot!$C$78,'График дифференц'!F41,IF(malumot!$B$78=malumot!$D$78,'График аннуитет.'!F41))</f>
        <v>3492144.73</v>
      </c>
    </row>
    <row r="43" spans="1:6" x14ac:dyDescent="0.25">
      <c r="A43" s="16">
        <f t="shared" si="0"/>
        <v>35</v>
      </c>
      <c r="B43" s="30">
        <f>IF('График аннуитет.'!B42=FALSE,"",'График аннуитет.'!B42)</f>
        <v>47102</v>
      </c>
      <c r="C43" s="31">
        <f>IF(malumot!$B$78=malumot!$C$78,'График дифференц'!C42,IF(malumot!$B$78=malumot!$D$78,'График аннуитет.'!C42))</f>
        <v>29166666.780000061</v>
      </c>
      <c r="D43" s="31">
        <f>IF(malumot!$B$78=malumot!$C$78,'График дифференц'!D42,IF(malumot!$B$78=malumot!$D$78,'График аннуитет.'!D42))</f>
        <v>2083333.33</v>
      </c>
      <c r="E43" s="31">
        <f>IF(malumot!$B$78=malumot!$C$78,'График дифференц'!E42,IF(malumot!$B$78=malumot!$D$78,'График аннуитет.'!E42))</f>
        <v>1314890.7000000002</v>
      </c>
      <c r="F43" s="31">
        <f>IF(malumot!$B$78=malumot!$C$78,'График дифференц'!F42,IF(malumot!$B$78=malumot!$D$78,'График аннуитет.'!F42))</f>
        <v>3398224.0300000003</v>
      </c>
    </row>
    <row r="44" spans="1:6" x14ac:dyDescent="0.25">
      <c r="A44" s="16">
        <f>1+A43</f>
        <v>36</v>
      </c>
      <c r="B44" s="30">
        <f>IF('График аннуитет.'!B43=FALSE,"",'График аннуитет.'!B43)</f>
        <v>47133</v>
      </c>
      <c r="C44" s="31">
        <f>IF(malumot!$B$78=malumot!$C$78,'График дифференц'!C43,IF(malumot!$B$78=malumot!$D$78,'График аннуитет.'!C43))</f>
        <v>27083333.450000063</v>
      </c>
      <c r="D44" s="31">
        <f>IF(malumot!$B$78=malumot!$C$78,'График дифференц'!D43,IF(malumot!$B$78=malumot!$D$78,'График аннуитет.'!D43))</f>
        <v>2083333.33</v>
      </c>
      <c r="E44" s="31">
        <f>IF(malumot!$B$78=malumot!$C$78,'График дифференц'!E43,IF(malumot!$B$78=malumot!$D$78,'График аннуитет.'!E43))</f>
        <v>1265125.5</v>
      </c>
      <c r="F44" s="31">
        <f>IF(malumot!$B$78=malumot!$C$78,'График дифференц'!F43,IF(malumot!$B$78=malumot!$D$78,'График аннуитет.'!F43))</f>
        <v>3348458.83</v>
      </c>
    </row>
    <row r="45" spans="1:6" x14ac:dyDescent="0.25">
      <c r="A45" s="16">
        <f t="shared" ref="A45:A56" si="1">1+A44</f>
        <v>37</v>
      </c>
      <c r="B45" s="30">
        <f>IF('График аннуитет.'!B44=FALSE,"",'График аннуитет.'!B44)</f>
        <v>47164</v>
      </c>
      <c r="C45" s="31">
        <f>IF(malumot!$B$78=malumot!$C$78,'График дифференц'!C44,IF(malumot!$B$78=malumot!$D$78,'График аннуитет.'!C44))</f>
        <v>25000000.120000064</v>
      </c>
      <c r="D45" s="31">
        <f>IF(malumot!$B$78=malumot!$C$78,'График дифференц'!D44,IF(malumot!$B$78=malumot!$D$78,'График аннуитет.'!D44))</f>
        <v>2083333.33</v>
      </c>
      <c r="E45" s="31">
        <f>IF(malumot!$B$78=malumot!$C$78,'График дифференц'!E44,IF(malumot!$B$78=malumot!$D$78,'График аннуитет.'!E44))</f>
        <v>1167808.1300000001</v>
      </c>
      <c r="F45" s="31">
        <f>IF(malumot!$B$78=malumot!$C$78,'График дифференц'!F44,IF(malumot!$B$78=malumot!$D$78,'График аннуитет.'!F44))</f>
        <v>3251141.46</v>
      </c>
    </row>
    <row r="46" spans="1:6" x14ac:dyDescent="0.25">
      <c r="A46" s="16">
        <f t="shared" si="1"/>
        <v>38</v>
      </c>
      <c r="B46" s="30">
        <f>IF('График аннуитет.'!B45=FALSE,"",'График аннуитет.'!B45)</f>
        <v>47192</v>
      </c>
      <c r="C46" s="31">
        <f>IF(malumot!$B$78=malumot!$C$78,'График дифференц'!C45,IF(malumot!$B$78=malumot!$D$78,'График аннуитет.'!C45))</f>
        <v>22916666.790000066</v>
      </c>
      <c r="D46" s="31">
        <f>IF(malumot!$B$78=malumot!$C$78,'График дифференц'!D45,IF(malumot!$B$78=malumot!$D$78,'График аннуитет.'!D45))</f>
        <v>2083333.33</v>
      </c>
      <c r="E46" s="31">
        <f>IF(malumot!$B$78=malumot!$C$78,'График дифференц'!E45,IF(malumot!$B$78=malumot!$D$78,'График аннуитет.'!E45))</f>
        <v>966894.88</v>
      </c>
      <c r="F46" s="31">
        <f>IF(malumot!$B$78=malumot!$C$78,'График дифференц'!F45,IF(malumot!$B$78=malumot!$D$78,'График аннуитет.'!F45))</f>
        <v>3050228.21</v>
      </c>
    </row>
    <row r="47" spans="1:6" x14ac:dyDescent="0.25">
      <c r="A47" s="16">
        <f t="shared" si="1"/>
        <v>39</v>
      </c>
      <c r="B47" s="30">
        <f>IF('График аннуитет.'!B46=FALSE,"",'График аннуитет.'!B46)</f>
        <v>47224</v>
      </c>
      <c r="C47" s="31">
        <f>IF(malumot!$B$78=malumot!$C$78,'График дифференц'!C46,IF(malumot!$B$78=malumot!$D$78,'График аннуитет.'!C46))</f>
        <v>20833333.460000068</v>
      </c>
      <c r="D47" s="31">
        <f>IF(malumot!$B$78=malumot!$C$78,'График дифференц'!D46,IF(malumot!$B$78=malumot!$D$78,'График аннуитет.'!D46))</f>
        <v>2083333.33</v>
      </c>
      <c r="E47" s="31">
        <f>IF(malumot!$B$78=malumot!$C$78,'График дифференц'!E46,IF(malumot!$B$78=malumot!$D$78,'График аннуитет.'!E46))</f>
        <v>1004566.08</v>
      </c>
      <c r="F47" s="31">
        <f>IF(malumot!$B$78=malumot!$C$78,'График дифференц'!F46,IF(malumot!$B$78=malumot!$D$78,'График аннуитет.'!F46))</f>
        <v>3087899.41</v>
      </c>
    </row>
    <row r="48" spans="1:6" x14ac:dyDescent="0.25">
      <c r="A48" s="16">
        <f t="shared" si="1"/>
        <v>40</v>
      </c>
      <c r="B48" s="30">
        <f>IF('График аннуитет.'!B47=FALSE,"",'График аннуитет.'!B47)</f>
        <v>47253</v>
      </c>
      <c r="C48" s="31">
        <f>IF(malumot!$B$78=malumot!$C$78,'График дифференц'!C47,IF(malumot!$B$78=malumot!$D$78,'График аннуитет.'!C47))</f>
        <v>18750000.13000007</v>
      </c>
      <c r="D48" s="31">
        <f>IF(malumot!$B$78=malumot!$C$78,'График дифференц'!D47,IF(malumot!$B$78=malumot!$D$78,'График аннуитет.'!D47))</f>
        <v>2083333.33</v>
      </c>
      <c r="E48" s="31">
        <f>IF(malumot!$B$78=malumot!$C$78,'График дифференц'!E47,IF(malumot!$B$78=malumot!$D$78,'График аннуитет.'!E47))</f>
        <v>819349.17999999993</v>
      </c>
      <c r="F48" s="31">
        <f>IF(malumot!$B$78=malumot!$C$78,'График дифференц'!F47,IF(malumot!$B$78=malumot!$D$78,'График аннуитет.'!F47))</f>
        <v>2902682.51</v>
      </c>
    </row>
    <row r="49" spans="1:6" x14ac:dyDescent="0.25">
      <c r="A49" s="16">
        <f t="shared" si="1"/>
        <v>41</v>
      </c>
      <c r="B49" s="30">
        <f>IF('График аннуитет.'!B48=FALSE,"",'График аннуитет.'!B48)</f>
        <v>47284</v>
      </c>
      <c r="C49" s="31">
        <f>IF(malumot!$B$78=malumot!$C$78,'График дифференц'!C48,IF(malumot!$B$78=malumot!$D$78,'График аннуитет.'!C48))</f>
        <v>16666666.80000007</v>
      </c>
      <c r="D49" s="31">
        <f>IF(malumot!$B$78=malumot!$C$78,'График дифференц'!D48,IF(malumot!$B$78=malumot!$D$78,'График аннуитет.'!D48))</f>
        <v>2083333.33</v>
      </c>
      <c r="E49" s="31">
        <f>IF(malumot!$B$78=malumot!$C$78,'График дифференц'!E48,IF(malumot!$B$78=malumot!$D$78,'График аннуитет.'!E48))</f>
        <v>778538.96</v>
      </c>
      <c r="F49" s="31">
        <f>IF(malumot!$B$78=malumot!$C$78,'График дифференц'!F48,IF(malumot!$B$78=malumot!$D$78,'График аннуитет.'!F48))</f>
        <v>2861872.29</v>
      </c>
    </row>
    <row r="50" spans="1:6" x14ac:dyDescent="0.25">
      <c r="A50" s="16">
        <f t="shared" si="1"/>
        <v>42</v>
      </c>
      <c r="B50" s="30">
        <f>IF('График аннуитет.'!B49=FALSE,"",'График аннуитет.'!B49)</f>
        <v>47315</v>
      </c>
      <c r="C50" s="31">
        <f>IF(malumot!$B$78=malumot!$C$78,'График дифференц'!C49,IF(malumot!$B$78=malumot!$D$78,'График аннуитет.'!C49))</f>
        <v>14583333.47000007</v>
      </c>
      <c r="D50" s="31">
        <f>IF(malumot!$B$78=malumot!$C$78,'График дифференц'!D49,IF(malumot!$B$78=malumot!$D$78,'График аннуитет.'!D49))</f>
        <v>2083333.33</v>
      </c>
      <c r="E50" s="31">
        <f>IF(malumot!$B$78=malumot!$C$78,'График дифференц'!E49,IF(malumot!$B$78=malumot!$D$78,'График аннуитет.'!E49))</f>
        <v>681221.59</v>
      </c>
      <c r="F50" s="31">
        <f>IF(malumot!$B$78=malumot!$C$78,'График дифференц'!F49,IF(malumot!$B$78=malumot!$D$78,'График аннуитет.'!F49))</f>
        <v>2764554.92</v>
      </c>
    </row>
    <row r="51" spans="1:6" x14ac:dyDescent="0.25">
      <c r="A51" s="16">
        <f t="shared" si="1"/>
        <v>43</v>
      </c>
      <c r="B51" s="30">
        <f>IF('График аннуитет.'!B50=FALSE,"",'График аннуитет.'!B50)</f>
        <v>47345</v>
      </c>
      <c r="C51" s="31">
        <f>IF(malumot!$B$78=malumot!$C$78,'График дифференц'!C50,IF(malumot!$B$78=malumot!$D$78,'График аннуитет.'!C50))</f>
        <v>12500000.14000007</v>
      </c>
      <c r="D51" s="31">
        <f>IF(malumot!$B$78=malumot!$C$78,'График дифференц'!D50,IF(malumot!$B$78=malumot!$D$78,'График аннуитет.'!D50))</f>
        <v>2083333.33</v>
      </c>
      <c r="E51" s="31">
        <f>IF(malumot!$B$78=malumot!$C$78,'График дифференц'!E50,IF(malumot!$B$78=malumot!$D$78,'График аннуитет.'!E50))</f>
        <v>565068.6</v>
      </c>
      <c r="F51" s="31">
        <f>IF(malumot!$B$78=malumot!$C$78,'График дифференц'!F50,IF(malumot!$B$78=malumot!$D$78,'График аннуитет.'!F50))</f>
        <v>2648401.9300000002</v>
      </c>
    </row>
    <row r="52" spans="1:6" x14ac:dyDescent="0.25">
      <c r="A52" s="16">
        <f t="shared" si="1"/>
        <v>44</v>
      </c>
      <c r="B52" s="30">
        <f>IF('График аннуитет.'!B51=FALSE,"",'График аннуитет.'!B51)</f>
        <v>47378</v>
      </c>
      <c r="C52" s="31">
        <f>IF(malumot!$B$78=malumot!$C$78,'График дифференц'!C51,IF(malumot!$B$78=malumot!$D$78,'График аннуитет.'!C51))</f>
        <v>10416666.810000069</v>
      </c>
      <c r="D52" s="31">
        <f>IF(malumot!$B$78=malumot!$C$78,'График дифференц'!D51,IF(malumot!$B$78=malumot!$D$78,'График аннуитет.'!D51))</f>
        <v>2083333.33</v>
      </c>
      <c r="E52" s="31">
        <f>IF(malumot!$B$78=malumot!$C$78,'График дифференц'!E51,IF(malumot!$B$78=malumot!$D$78,'График аннуитет.'!E51))</f>
        <v>517979.55</v>
      </c>
      <c r="F52" s="31">
        <f>IF(malumot!$B$78=malumot!$C$78,'График дифференц'!F51,IF(malumot!$B$78=malumot!$D$78,'График аннуитет.'!F51))</f>
        <v>2601312.88</v>
      </c>
    </row>
    <row r="53" spans="1:6" x14ac:dyDescent="0.25">
      <c r="A53" s="16">
        <f t="shared" si="1"/>
        <v>45</v>
      </c>
      <c r="B53" s="30">
        <f>IF('График аннуитет.'!B52=FALSE,"",'График аннуитет.'!B52)</f>
        <v>47406</v>
      </c>
      <c r="C53" s="31">
        <f>IF(malumot!$B$78=malumot!$C$78,'График дифференц'!C52,IF(malumot!$B$78=malumot!$D$78,'График аннуитет.'!C52))</f>
        <v>8333333.4800000694</v>
      </c>
      <c r="D53" s="31">
        <f>IF(malumot!$B$78=malumot!$C$78,'График дифференц'!D52,IF(malumot!$B$78=malumot!$D$78,'График аннуитет.'!D52))</f>
        <v>2083333.33</v>
      </c>
      <c r="E53" s="31">
        <f>IF(malumot!$B$78=malumot!$C$78,'График дифференц'!E52,IF(malumot!$B$78=malumot!$D$78,'График аннуитет.'!E52))</f>
        <v>351598.24</v>
      </c>
      <c r="F53" s="31">
        <f>IF(malumot!$B$78=malumot!$C$78,'График дифференц'!F52,IF(malumot!$B$78=malumot!$D$78,'График аннуитет.'!F52))</f>
        <v>2434931.5700000003</v>
      </c>
    </row>
    <row r="54" spans="1:6" x14ac:dyDescent="0.25">
      <c r="A54" s="16">
        <f t="shared" si="1"/>
        <v>46</v>
      </c>
      <c r="B54" s="30">
        <f>IF('График аннуитет.'!B53=FALSE,"",'График аннуитет.'!B53)</f>
        <v>47437</v>
      </c>
      <c r="C54" s="31">
        <f>IF(malumot!$B$78=malumot!$C$78,'График дифференц'!C53,IF(malumot!$B$78=malumot!$D$78,'График аннуитет.'!C53))</f>
        <v>6250000.1500000693</v>
      </c>
      <c r="D54" s="31">
        <f>IF(malumot!$B$78=malumot!$C$78,'График дифференц'!D53,IF(malumot!$B$78=malumot!$D$78,'График аннуитет.'!D53))</f>
        <v>2083333.33</v>
      </c>
      <c r="E54" s="31">
        <f>IF(malumot!$B$78=malumot!$C$78,'График дифференц'!E53,IF(malumot!$B$78=malumot!$D$78,'График аннуитет.'!E53))</f>
        <v>291952.11</v>
      </c>
      <c r="F54" s="31">
        <f>IF(malumot!$B$78=malumot!$C$78,'График дифференц'!F53,IF(malumot!$B$78=malumot!$D$78,'График аннуитет.'!F53))</f>
        <v>2375285.44</v>
      </c>
    </row>
    <row r="55" spans="1:6" x14ac:dyDescent="0.25">
      <c r="A55" s="16">
        <f t="shared" si="1"/>
        <v>47</v>
      </c>
      <c r="B55" s="30">
        <f>IF('График аннуитет.'!B54=FALSE,"",'График аннуитет.'!B54)</f>
        <v>47469</v>
      </c>
      <c r="C55" s="31">
        <f>IF(malumot!$B$78=malumot!$C$78,'График дифференц'!C54,IF(malumot!$B$78=malumot!$D$78,'График аннуитет.'!C54))</f>
        <v>4166666.8200000692</v>
      </c>
      <c r="D55" s="31">
        <f>IF(malumot!$B$78=malumot!$C$78,'График дифференц'!D54,IF(malumot!$B$78=malumot!$D$78,'График аннуитет.'!D54))</f>
        <v>2083333.33</v>
      </c>
      <c r="E55" s="31">
        <f>IF(malumot!$B$78=malumot!$C$78,'График дифференц'!E54,IF(malumot!$B$78=malumot!$D$78,'График аннуитет.'!E54))</f>
        <v>200913.28</v>
      </c>
      <c r="F55" s="31">
        <f>IF(malumot!$B$78=malumot!$C$78,'График дифференц'!F54,IF(malumot!$B$78=malumot!$D$78,'График аннуитет.'!F54))</f>
        <v>2284246.61</v>
      </c>
    </row>
    <row r="56" spans="1:6" x14ac:dyDescent="0.25">
      <c r="A56" s="16">
        <f t="shared" si="1"/>
        <v>48</v>
      </c>
      <c r="B56" s="30">
        <f>IF('График аннуитет.'!B55=FALSE,"",'График аннуитет.'!B55)</f>
        <v>47512</v>
      </c>
      <c r="C56" s="31">
        <f>IF(malumot!$B$78=malumot!$C$78,'График дифференц'!C55,IF(malumot!$B$78=malumot!$D$78,'График аннуитет.'!C55))</f>
        <v>2083333.4900000691</v>
      </c>
      <c r="D56" s="31">
        <f>IF(malumot!$B$78=malumot!$C$78,'График дифференц'!D55,IF(malumot!$B$78=malumot!$D$78,'График аннуитет.'!D55))</f>
        <v>2083333.4900000691</v>
      </c>
      <c r="E56" s="31">
        <f>IF(malumot!$B$78=malumot!$C$78,'График дифференц'!E55,IF(malumot!$B$78=malumot!$D$78,'График аннуитет.'!E55))</f>
        <v>134988.60999999999</v>
      </c>
      <c r="F56" s="31">
        <f>IF(malumot!$B$78=malumot!$C$78,'График дифференц'!F55,IF(malumot!$B$78=malumot!$D$78,'График аннуитет.'!F55))</f>
        <v>2218322.100000069</v>
      </c>
    </row>
    <row r="57" spans="1:6" ht="15" customHeight="1" x14ac:dyDescent="0.25">
      <c r="A57" s="43"/>
      <c r="B57" s="44" t="s">
        <v>204</v>
      </c>
      <c r="C57" s="45"/>
      <c r="D57" s="45">
        <f>SUM(D9:D56)</f>
        <v>100000000</v>
      </c>
      <c r="E57" s="45">
        <f t="shared" ref="E57:F57" si="2">SUM(E9:E56)</f>
        <v>110183578.13000003</v>
      </c>
      <c r="F57" s="45">
        <f t="shared" si="2"/>
        <v>210183578.13000005</v>
      </c>
    </row>
    <row r="58" spans="1:6" ht="15" customHeight="1" x14ac:dyDescent="0.25">
      <c r="B58" s="32"/>
      <c r="C58" s="33"/>
      <c r="D58" s="33"/>
      <c r="E58" s="33"/>
      <c r="F58" s="33"/>
    </row>
    <row r="59" spans="1:6" ht="33.75" customHeight="1" x14ac:dyDescent="0.25">
      <c r="A59" s="276"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59" s="276"/>
      <c r="C59" s="276"/>
      <c r="D59" s="276"/>
      <c r="E59" s="276"/>
      <c r="F59" s="276"/>
    </row>
    <row r="60" spans="1:6" ht="6.75" customHeight="1" x14ac:dyDescent="0.25"/>
    <row r="61" spans="1:6" ht="15" customHeight="1" x14ac:dyDescent="0.25">
      <c r="A61" s="303" t="s">
        <v>266</v>
      </c>
      <c r="B61" s="303"/>
      <c r="C61" s="303"/>
      <c r="D61" s="303" t="s">
        <v>271</v>
      </c>
      <c r="E61" s="303"/>
      <c r="F61" s="303"/>
    </row>
    <row r="62" spans="1:6" ht="11.25" customHeight="1" x14ac:dyDescent="0.25">
      <c r="A62" s="304"/>
      <c r="B62" s="304"/>
      <c r="C62" s="304"/>
      <c r="D62" s="304"/>
      <c r="E62" s="304"/>
      <c r="F62" s="304"/>
    </row>
    <row r="63" spans="1:6" ht="30" customHeight="1" x14ac:dyDescent="0.25">
      <c r="A63" s="310" t="str">
        <f>shartnoma!A117</f>
        <v>«CLEVER MIKROMOLIYA TASHKILOTI» MChJ</v>
      </c>
      <c r="B63" s="310"/>
      <c r="C63" s="310"/>
      <c r="D63" s="278" t="str">
        <f>shartnoma!B117</f>
        <v>TUYEV SHOXRUX UTKIROVICH</v>
      </c>
      <c r="E63" s="278"/>
      <c r="F63" s="278"/>
    </row>
    <row r="64" spans="1:6" ht="38.25" customHeight="1" x14ac:dyDescent="0.25">
      <c r="A64" s="277" t="str">
        <f>shartnoma!A119</f>
        <v>Manzil: Toshkent shahri, Olmazor tumani, Sagbon ko'chasi, 30 boshi berk, 6-uy</v>
      </c>
      <c r="B64" s="277"/>
      <c r="C64" s="277"/>
      <c r="D64" s="277" t="str">
        <f>shartnoma!B119</f>
        <v>Manzil: NAVOIY VILOYATI  QIZILTEPA TUMANI A.NAVOIY MFY SHODLIK  KO'CHASI 6-UY</v>
      </c>
      <c r="E64" s="277"/>
      <c r="F64" s="277"/>
    </row>
    <row r="65" spans="1:6" ht="15" customHeight="1" x14ac:dyDescent="0.25">
      <c r="A65" s="277" t="str">
        <f>shartnoma!A120</f>
        <v>h/r: №20216000105068380006</v>
      </c>
      <c r="B65" s="277"/>
      <c r="C65" s="277"/>
      <c r="D65" s="277" t="str">
        <f>shartnoma!B121</f>
        <v>Pasport: AE1115640, IIV12208 tomonidan 09.01.2025 yilda berilgan</v>
      </c>
      <c r="E65" s="277"/>
      <c r="F65" s="277"/>
    </row>
    <row r="66" spans="1:6" ht="32.25" customHeight="1" x14ac:dyDescent="0.25">
      <c r="A66" s="277" t="str">
        <f>shartnoma!A121</f>
        <v>MFO: №01183 в Toshkent sh., "ANOR BANK"</v>
      </c>
      <c r="B66" s="277"/>
      <c r="C66" s="277"/>
      <c r="D66" s="277"/>
      <c r="E66" s="277"/>
      <c r="F66" s="277"/>
    </row>
    <row r="67" spans="1:6" ht="15" customHeight="1" x14ac:dyDescent="0.25">
      <c r="A67" s="277" t="str">
        <f>shartnoma!A122</f>
        <v>STIR: 306365847</v>
      </c>
      <c r="B67" s="277"/>
      <c r="C67" s="277"/>
      <c r="D67" s="277" t="str">
        <f>shartnoma!B122</f>
        <v>Tel: 99-336-50-00 MIJOZ</v>
      </c>
      <c r="E67" s="277"/>
      <c r="F67" s="277"/>
    </row>
    <row r="68" spans="1:6" ht="15" customHeight="1" x14ac:dyDescent="0.25">
      <c r="A68" s="277" t="str">
        <f>shartnoma!A123</f>
        <v>Tel: (78) 113 31 33</v>
      </c>
      <c r="B68" s="277"/>
      <c r="C68" s="277"/>
      <c r="D68" s="277" t="str">
        <f>shartnoma!B123</f>
        <v>97-335-03-43 TURMUSH O'RTOG'I</v>
      </c>
      <c r="E68" s="277"/>
      <c r="F68" s="277"/>
    </row>
    <row r="69" spans="1:6" ht="15" customHeight="1" x14ac:dyDescent="0.25">
      <c r="A69" s="277" t="str">
        <f>shartnoma!A124</f>
        <v>(78) 113 31 34</v>
      </c>
      <c r="B69" s="277"/>
      <c r="C69" s="277"/>
      <c r="D69" s="277" t="str">
        <f>shartnoma!B124</f>
        <v>91-336-50-00 O'G'LI</v>
      </c>
      <c r="E69" s="277"/>
      <c r="F69" s="277"/>
    </row>
    <row r="70" spans="1:6" ht="23.25" customHeight="1" x14ac:dyDescent="0.25">
      <c r="A70" s="299"/>
      <c r="B70" s="299"/>
      <c r="C70" s="299"/>
      <c r="D70" s="299" t="str">
        <f>IF(shartnoma!B125=0,"",shartnoma!B125)</f>
        <v/>
      </c>
      <c r="E70" s="299"/>
      <c r="F70" s="299"/>
    </row>
    <row r="71" spans="1:6" ht="22.5" customHeight="1" x14ac:dyDescent="0.25">
      <c r="A71" s="319" t="str">
        <f>malumot!A161</f>
        <v>Navoiy viloyati filial menejeri</v>
      </c>
      <c r="B71" s="319"/>
      <c r="C71" s="319"/>
      <c r="D71" s="278" t="str">
        <f>shartnoma!B126</f>
        <v>TUYEV SH.U.     __________________</v>
      </c>
      <c r="E71" s="278"/>
      <c r="F71" s="278"/>
    </row>
    <row r="72" spans="1:6" ht="15" customHeight="1" x14ac:dyDescent="0.25">
      <c r="A72" s="319" t="str">
        <f>malumot!B161</f>
        <v>Sh.Xayriyev</v>
      </c>
      <c r="B72" s="319"/>
      <c r="C72" s="319"/>
      <c r="D72" s="278"/>
      <c r="E72" s="278"/>
      <c r="F72" s="278"/>
    </row>
    <row r="73" spans="1:6" ht="24" customHeight="1" x14ac:dyDescent="0.25">
      <c r="A73" s="299"/>
      <c r="B73" s="299"/>
      <c r="C73" s="299"/>
      <c r="D73" s="299"/>
      <c r="E73" s="299"/>
      <c r="F73" s="299"/>
    </row>
    <row r="74" spans="1:6" ht="30" customHeight="1" x14ac:dyDescent="0.25">
      <c r="A74" s="300"/>
      <c r="B74" s="300"/>
      <c r="C74" s="300"/>
      <c r="D74" s="301"/>
      <c r="E74" s="301"/>
      <c r="F74" s="301"/>
    </row>
    <row r="75" spans="1:6" x14ac:dyDescent="0.25">
      <c r="A75" s="302"/>
      <c r="B75" s="302"/>
      <c r="C75" s="302"/>
      <c r="D75" s="302"/>
      <c r="E75" s="302"/>
      <c r="F75" s="302"/>
    </row>
    <row r="76" spans="1:6" x14ac:dyDescent="0.25">
      <c r="A76" s="298"/>
      <c r="B76" s="298"/>
      <c r="C76" s="298"/>
      <c r="D76" s="298"/>
      <c r="E76" s="298"/>
      <c r="F76" s="298"/>
    </row>
  </sheetData>
  <mergeCells count="40">
    <mergeCell ref="E2:F2"/>
    <mergeCell ref="A5:F5"/>
    <mergeCell ref="A7:A8"/>
    <mergeCell ref="B7:B8"/>
    <mergeCell ref="C7:C8"/>
    <mergeCell ref="D7:F7"/>
    <mergeCell ref="E3:F3"/>
    <mergeCell ref="A63:C63"/>
    <mergeCell ref="D63:F63"/>
    <mergeCell ref="A64:C64"/>
    <mergeCell ref="D64:F64"/>
    <mergeCell ref="A65:C65"/>
    <mergeCell ref="D65:F66"/>
    <mergeCell ref="A66:C66"/>
    <mergeCell ref="A59:F59"/>
    <mergeCell ref="A61:C61"/>
    <mergeCell ref="D61:F61"/>
    <mergeCell ref="A62:C62"/>
    <mergeCell ref="D62:F62"/>
    <mergeCell ref="D69:F69"/>
    <mergeCell ref="A70:C70"/>
    <mergeCell ref="D70:F70"/>
    <mergeCell ref="A67:C67"/>
    <mergeCell ref="D67:F67"/>
    <mergeCell ref="H12:P24"/>
    <mergeCell ref="A76:C76"/>
    <mergeCell ref="D76:F76"/>
    <mergeCell ref="A73:C73"/>
    <mergeCell ref="D73:F73"/>
    <mergeCell ref="A74:C74"/>
    <mergeCell ref="D74:F74"/>
    <mergeCell ref="A75:C75"/>
    <mergeCell ref="D75:F75"/>
    <mergeCell ref="A71:C71"/>
    <mergeCell ref="D71:F71"/>
    <mergeCell ref="A72:C72"/>
    <mergeCell ref="D72:F72"/>
    <mergeCell ref="A68:C68"/>
    <mergeCell ref="D68:F68"/>
    <mergeCell ref="A69:C69"/>
  </mergeCells>
  <conditionalFormatting sqref="B9:B56">
    <cfRule type="cellIs" dxfId="1" priority="2" operator="lessThan">
      <formula>22105</formula>
    </cfRule>
  </conditionalFormatting>
  <conditionalFormatting sqref="C9:F56">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6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D23"/>
  <sheetViews>
    <sheetView view="pageBreakPreview" topLeftCell="A6" zoomScale="115" zoomScaleNormal="130" zoomScaleSheetLayoutView="115" workbookViewId="0">
      <selection activeCell="C4" sqref="C4:D4"/>
    </sheetView>
  </sheetViews>
  <sheetFormatPr defaultColWidth="9.140625" defaultRowHeight="15.75" x14ac:dyDescent="0.25"/>
  <cols>
    <col min="1" max="1" width="16.42578125" style="6" customWidth="1"/>
    <col min="2" max="2" width="18.42578125" style="6" customWidth="1"/>
    <col min="3" max="3" width="17.5703125" style="6" customWidth="1"/>
    <col min="4" max="4" width="28.5703125" style="6" customWidth="1"/>
    <col min="5" max="16384" width="9.140625" style="6"/>
  </cols>
  <sheetData>
    <row r="1" spans="1:4" ht="33.75" customHeight="1" x14ac:dyDescent="0.25">
      <c r="C1" s="323" t="str">
        <f>malumot!B158&amp;" ijrochi direktori"</f>
        <v>«CLEVER MIKROMOLIYA TASHKILOTI» MChJ ijrochi direktori</v>
      </c>
      <c r="D1" s="323"/>
    </row>
    <row r="2" spans="1:4" x14ac:dyDescent="0.25">
      <c r="C2" s="324" t="s">
        <v>418</v>
      </c>
      <c r="D2" s="324"/>
    </row>
    <row r="3" spans="1:4" x14ac:dyDescent="0.25">
      <c r="C3" s="11"/>
      <c r="D3" s="11"/>
    </row>
    <row r="4" spans="1:4" ht="57.75" customHeight="1" x14ac:dyDescent="0.25">
      <c r="C4" s="322" t="str">
        <f>malumot!B22&amp;" manzilida istiqomat qiluvchi"</f>
        <v>NAVOIY VILOYATI  QIZILTEPA TUMANI A.NAVOIY MFY SHODLIK  KO'CHASI 6-UY manzilida istiqomat qiluvchi</v>
      </c>
      <c r="D4" s="322"/>
    </row>
    <row r="5" spans="1:4" ht="36" customHeight="1" x14ac:dyDescent="0.25">
      <c r="C5" s="322" t="str">
        <f>malumot!B5&amp;" tomonidan"</f>
        <v>TUYEV SHOXRUX UTKIROVICH tomonidan</v>
      </c>
      <c r="D5" s="322"/>
    </row>
    <row r="6" spans="1:4" ht="56.25" customHeight="1" x14ac:dyDescent="0.25">
      <c r="C6" s="321" t="str">
        <f>"Pasport: "&amp;malumot!B16&amp;", "&amp;malumot!B20</f>
        <v>Pasport: AE1115640, IIV12208 tomonidan 09.01.2025 yilda berilgan</v>
      </c>
      <c r="D6" s="321"/>
    </row>
    <row r="8" spans="1:4" x14ac:dyDescent="0.25">
      <c r="A8" s="273" t="s">
        <v>379</v>
      </c>
      <c r="B8" s="273"/>
      <c r="C8" s="273"/>
      <c r="D8" s="273"/>
    </row>
    <row r="9" spans="1:4" ht="66" customHeight="1" x14ac:dyDescent="0.25">
      <c r="A9" s="321" t="str">
        <f>"       Men, " &amp; malumot!B5 &amp; " sizdan " &amp; malumot!B2 &amp; " yildagi " &amp; malumot!B1 &amp; "-sonli kredit shartnomasiga asosan " &amp; malumot!B76  &amp; "(" &amp; malumot!B77 &amp; ")"  &amp; "so'm pul mablag'larini quyidagi rekvizitlar asosida o'tkazib berishingizni so'rayman: "</f>
        <v xml:space="preserve">       Men, TUYEV SHOXRUX UTKIROVICH sizdan 29.01.2026 yildagi №244-NVS-sonli kredit shartnomasiga asosan 100000000(yuz million so'm)so'm pul mablag'larini quyidagi rekvizitlar asosida o'tkazib berishingizni so'rayman: </v>
      </c>
      <c r="B9" s="321"/>
      <c r="C9" s="321"/>
      <c r="D9" s="321"/>
    </row>
    <row r="10" spans="1:4" x14ac:dyDescent="0.25">
      <c r="A10" s="173" t="str">
        <f>malumot!A93</f>
        <v>Bank nomi:</v>
      </c>
      <c r="B10" s="321" t="str">
        <f>malumot!B93</f>
        <v>IPOTEKABANK</v>
      </c>
      <c r="C10" s="321"/>
      <c r="D10" s="173"/>
    </row>
    <row r="11" spans="1:4" x14ac:dyDescent="0.25">
      <c r="A11" s="173" t="str">
        <f>malumot!A94</f>
        <v>H/r:</v>
      </c>
      <c r="B11" s="321" t="str">
        <f>malumot!B94</f>
        <v>23120000300000205001</v>
      </c>
      <c r="C11" s="321"/>
      <c r="D11" s="173"/>
    </row>
    <row r="12" spans="1:4" x14ac:dyDescent="0.25">
      <c r="A12" s="173" t="str">
        <f>malumot!A95</f>
        <v>MFO:</v>
      </c>
      <c r="B12" s="321" t="str">
        <f>malumot!B95</f>
        <v>00205</v>
      </c>
      <c r="C12" s="321"/>
      <c r="D12" s="173"/>
    </row>
    <row r="13" spans="1:4" x14ac:dyDescent="0.25">
      <c r="A13" s="173" t="str">
        <f>malumot!A96</f>
        <v>STIR:</v>
      </c>
      <c r="B13" s="321" t="str">
        <f>malumot!B96</f>
        <v>201946153</v>
      </c>
      <c r="C13" s="321"/>
      <c r="D13" s="173"/>
    </row>
    <row r="14" spans="1:4" x14ac:dyDescent="0.25">
      <c r="A14" s="173" t="str">
        <f>malumot!A97</f>
        <v>Karta raqami:</v>
      </c>
      <c r="B14" s="321" t="str">
        <f>malumot!B97</f>
        <v>5614 6812 6237 6589</v>
      </c>
      <c r="C14" s="321"/>
      <c r="D14" s="173"/>
    </row>
    <row r="15" spans="1:4" x14ac:dyDescent="0.25">
      <c r="A15" s="173"/>
      <c r="B15" s="173"/>
      <c r="C15" s="173"/>
      <c r="D15" s="173"/>
    </row>
    <row r="16" spans="1:4" x14ac:dyDescent="0.25">
      <c r="A16" s="322" t="str">
        <f>malumot!B5</f>
        <v>TUYEV SHOXRUX UTKIROVICH</v>
      </c>
      <c r="B16" s="322"/>
      <c r="C16" s="322"/>
      <c r="D16" s="175" t="s">
        <v>386</v>
      </c>
    </row>
    <row r="17" spans="1:4" x14ac:dyDescent="0.25">
      <c r="A17" s="11"/>
      <c r="B17" s="11"/>
      <c r="C17" s="11"/>
      <c r="D17" s="176" t="s">
        <v>323</v>
      </c>
    </row>
    <row r="18" spans="1:4" x14ac:dyDescent="0.25">
      <c r="A18" s="11"/>
      <c r="B18" s="11"/>
      <c r="C18" s="11"/>
      <c r="D18" s="11"/>
    </row>
    <row r="19" spans="1:4" x14ac:dyDescent="0.25">
      <c r="A19" s="11"/>
      <c r="B19" s="11"/>
      <c r="C19" s="11"/>
      <c r="D19" s="11"/>
    </row>
    <row r="20" spans="1:4" ht="48.75" customHeight="1" x14ac:dyDescent="0.25">
      <c r="A20" s="323" t="str">
        <f>malumot!B158&amp;" ijrochi direktori"</f>
        <v>«CLEVER MIKROMOLIYA TASHKILOTI» MChJ ijrochi direktori</v>
      </c>
      <c r="B20" s="323"/>
      <c r="C20" s="11"/>
      <c r="D20" s="60" t="s">
        <v>417</v>
      </c>
    </row>
    <row r="23" spans="1:4" x14ac:dyDescent="0.25">
      <c r="A23" s="6" t="s">
        <v>388</v>
      </c>
      <c r="B23" s="6" t="s">
        <v>389</v>
      </c>
    </row>
  </sheetData>
  <mergeCells count="14">
    <mergeCell ref="B14:C14"/>
    <mergeCell ref="A16:C16"/>
    <mergeCell ref="A20:B20"/>
    <mergeCell ref="C1:D1"/>
    <mergeCell ref="C2:D2"/>
    <mergeCell ref="A8:D8"/>
    <mergeCell ref="C4:D4"/>
    <mergeCell ref="C5:D5"/>
    <mergeCell ref="C6:D6"/>
    <mergeCell ref="A9:D9"/>
    <mergeCell ref="B10:C10"/>
    <mergeCell ref="B11:C11"/>
    <mergeCell ref="B12:C12"/>
    <mergeCell ref="B13:C1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C32"/>
  <sheetViews>
    <sheetView view="pageBreakPreview" topLeftCell="A5" zoomScale="145" zoomScaleNormal="175" zoomScaleSheetLayoutView="145" workbookViewId="0">
      <selection activeCell="A19" sqref="A19"/>
    </sheetView>
  </sheetViews>
  <sheetFormatPr defaultColWidth="0" defaultRowHeight="15.75" x14ac:dyDescent="0.25"/>
  <cols>
    <col min="1" max="1" width="26" style="6" customWidth="1"/>
    <col min="2" max="2" width="15.28515625" style="6" customWidth="1"/>
    <col min="3" max="3" width="34.5703125" style="6" customWidth="1"/>
    <col min="4" max="16384" width="9.140625" style="6" hidden="1"/>
  </cols>
  <sheetData>
    <row r="1" spans="1:3" hidden="1" x14ac:dyDescent="0.25"/>
    <row r="2" spans="1:3" hidden="1" x14ac:dyDescent="0.25"/>
    <row r="3" spans="1:3" hidden="1" x14ac:dyDescent="0.25"/>
    <row r="4" spans="1:3" hidden="1" x14ac:dyDescent="0.25"/>
    <row r="6" spans="1:3" ht="17.25" customHeight="1" x14ac:dyDescent="0.25">
      <c r="C6" s="12" t="str">
        <f>malumot!B158</f>
        <v>«CLEVER MIKROMOLIYA TASHKILOTI» MChJ</v>
      </c>
    </row>
    <row r="7" spans="1:3" ht="33" customHeight="1" x14ac:dyDescent="0.25">
      <c r="A7" s="188"/>
      <c r="B7" s="188"/>
      <c r="C7" s="192" t="str">
        <f>malumot!A161&amp;" "&amp;malumot!B161 &amp;"ga"</f>
        <v>Navoiy viloyati filial menejeri Sh.Xayriyevga</v>
      </c>
    </row>
    <row r="8" spans="1:3" ht="33" customHeight="1" x14ac:dyDescent="0.25">
      <c r="A8" s="193"/>
      <c r="B8" s="193"/>
      <c r="C8" s="192" t="str">
        <f>malumot!B5 &amp; "dan"</f>
        <v>TUYEV SHOXRUX UTKIROVICHdan</v>
      </c>
    </row>
    <row r="9" spans="1:3" ht="15.75" hidden="1" customHeight="1" x14ac:dyDescent="0.25">
      <c r="C9" s="194" t="str">
        <f>[2]malumot!B119</f>
        <v>FAYZIYEV JAMSHID KURBONOVICH</v>
      </c>
    </row>
    <row r="10" spans="1:3" ht="15.75" hidden="1" customHeight="1" x14ac:dyDescent="0.25">
      <c r="C10" s="194">
        <f>[2]malumot!C119</f>
        <v>0</v>
      </c>
    </row>
    <row r="11" spans="1:3" ht="15.75" hidden="1" customHeight="1" x14ac:dyDescent="0.25">
      <c r="C11" s="193" t="s">
        <v>393</v>
      </c>
    </row>
    <row r="12" spans="1:3" x14ac:dyDescent="0.25">
      <c r="B12" s="6" t="s">
        <v>379</v>
      </c>
    </row>
    <row r="13" spans="1:3" ht="82.5" customHeight="1" x14ac:dyDescent="0.25">
      <c r="A13" s="325" t="str">
        <f>IF(malumot!B110="Avtotransport",A14,A15)</f>
        <v>TUYEV SHOXRUX UTKIROVICH tomonidan so’ralayotgan Qirq sakkiz   (48) oy muddatga, 100 000 000 (yuz million so'm) miqdoridagi mikroqarzning ta’minoti sifatida menga mulk huquqi asosida tegishli bo’lgan  85L007TA, YENGIL SEDAN, B15D211232522 MTDX0591, KO'K DARKMOON BLUE MET, avtotransport vositasini qabul qilishingizni so’rayman:</v>
      </c>
      <c r="B13" s="325"/>
      <c r="C13" s="325"/>
    </row>
    <row r="14" spans="1:3" ht="124.5" hidden="1" customHeight="1" x14ac:dyDescent="0.25">
      <c r="A14" s="326" t="str">
        <f>""&amp;malumot!B12&amp;" tomonidan so’ralayotgan "&amp;malumot!B83&amp;" ("&amp;malumot!B82&amp;") oy muddatga, "&amp;FIXED(malumot!B76,0)&amp;" ("&amp;malumot!B77&amp;") miqdoridagi "&amp;malumot!B65&amp;"ning ta’minoti sifatida menga mulk huquqi asosida tegishli bo’lgan  "&amp;malumot!B133&amp;", "&amp;malumot!B135&amp;", "&amp;malumot!B138&amp;", "&amp;malumot!B141&amp;", avtotransport vositasini qabul qilishingizni so’rayman:"</f>
        <v>TUYEV SHOXRUX UTKIROVICH tomonidan so’ralayotgan Qirq sakkiz   (48) oy muddatga, 100 000 000 (yuz million so'm) miqdoridagi mikroqarzning ta’minoti sifatida menga mulk huquqi asosida tegishli bo’lgan  85L007TA, YENGIL SEDAN, B15D211232522 MTDX0591, KO'K DARKMOON BLUE MET, avtotransport vositasini qabul qilishingizni so’rayman:</v>
      </c>
      <c r="B14" s="326"/>
      <c r="C14" s="326"/>
    </row>
    <row r="15" spans="1:3" ht="4.5" customHeight="1" x14ac:dyDescent="0.25">
      <c r="A15" s="326" t="str">
        <f>""&amp;[2]malumot!B12&amp;" tomonidan so’ralayotgan "&amp;[2]malumot!B81&amp;" ("&amp;[2]malumot!B82&amp;") oy muddatga, "&amp;FIXED([2]malumot!B75,0)&amp;" ("&amp;[2]malumot!B76&amp;") miqdoridagi "&amp;[2]malumot!B65&amp;"ning ta’minoti sifatida menga mulk huquqi asosida tegishli bo’lgan  "&amp;[2]malumot!C134&amp;", umumiy maydoni "&amp;[2]malumot!C138&amp;" va yashash maydoni "&amp;[2]malumot!C141&amp;"  "&amp;[2]malumot!C131&amp;" manzilda joylashgan ko'chmas mulkni qabul qilishingizni so’rayman:"</f>
        <v>XAYATOV OTABEK KURBANOVICH tomonidan so’ralayotgan 48 (Qirq sakkiz  ) oy muddatga, 26 000 000 (yigirma olti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26"/>
      <c r="C15" s="326"/>
    </row>
    <row r="18" spans="1:3" x14ac:dyDescent="0.25">
      <c r="C18" s="194" t="s">
        <v>394</v>
      </c>
    </row>
    <row r="19" spans="1:3" ht="18.75" customHeight="1" x14ac:dyDescent="0.25">
      <c r="A19" s="11">
        <f>+IF(malumot!B100="ha",malumot!B113,malumot!B113)</f>
        <v>0</v>
      </c>
      <c r="C19" s="195" t="str">
        <f>malumot!B2</f>
        <v>29.01.2026</v>
      </c>
    </row>
    <row r="20" spans="1:3" s="327" customFormat="1" ht="48" customHeight="1" x14ac:dyDescent="0.25"/>
    <row r="21" spans="1:3" x14ac:dyDescent="0.25">
      <c r="A21" s="178"/>
      <c r="B21" s="178"/>
      <c r="C21" s="178"/>
    </row>
    <row r="22" spans="1:3" x14ac:dyDescent="0.25">
      <c r="A22" s="178"/>
      <c r="B22" s="178"/>
      <c r="C22" s="178"/>
    </row>
    <row r="23" spans="1:3" ht="31.5" x14ac:dyDescent="0.25">
      <c r="A23" s="143" t="str">
        <f>malumot!A161</f>
        <v>Navoiy viloyati filial menejeri</v>
      </c>
      <c r="B23" s="143"/>
      <c r="C23" s="192" t="str">
        <f>malumot!B161</f>
        <v>Sh.Xayriyev</v>
      </c>
    </row>
    <row r="24" spans="1:3" x14ac:dyDescent="0.25">
      <c r="A24" s="143"/>
      <c r="B24" s="143"/>
      <c r="C24" s="192"/>
    </row>
    <row r="25" spans="1:3" x14ac:dyDescent="0.25">
      <c r="A25" s="143"/>
      <c r="B25" s="143"/>
      <c r="C25" s="192"/>
    </row>
    <row r="26" spans="1:3" hidden="1" x14ac:dyDescent="0.25">
      <c r="A26" s="6" t="str">
        <f>" xususiy faoliyat ko'rsatuvchi notarius tomonidan "&amp;malumot!B104&amp;" "&amp;malumot!B105&amp;" berilgan ishonchnomaga asosan "</f>
        <v xml:space="preserve"> xususiy faoliyat ko'rsatuvchi notarius tomonidan   berilgan ishonchnomaga asosan </v>
      </c>
    </row>
    <row r="27" spans="1:3" hidden="1" x14ac:dyDescent="0.25"/>
    <row r="28" spans="1:3" hidden="1" x14ac:dyDescent="0.25">
      <c r="A28" s="6" t="str">
        <f>"№"&amp;malumot!B107&amp; ""</f>
        <v>№</v>
      </c>
    </row>
    <row r="29" spans="1:3" hidden="1" x14ac:dyDescent="0.25">
      <c r="A29" s="234">
        <f>malumot!B108</f>
        <v>0</v>
      </c>
    </row>
    <row r="30" spans="1:3" hidden="1" x14ac:dyDescent="0.25">
      <c r="A30" s="6" t="str">
        <f>TEXT(A29,"ДД.ММ.ГГГГ")</f>
        <v>00.01.1900</v>
      </c>
    </row>
    <row r="31" spans="1:3" hidden="1" x14ac:dyDescent="0.25">
      <c r="A31" s="6" t="s">
        <v>411</v>
      </c>
    </row>
    <row r="32" spans="1:3" hidden="1" x14ac:dyDescent="0.25">
      <c r="A32" s="6" t="str">
        <f>CONCATENATE(A30,A31)</f>
        <v>00.01.1900sanasidan</v>
      </c>
    </row>
  </sheetData>
  <mergeCells count="4">
    <mergeCell ref="A13:C13"/>
    <mergeCell ref="A14:C14"/>
    <mergeCell ref="A15:C15"/>
    <mergeCell ref="A20:XFD20"/>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17">
    <tabColor rgb="FF00B050"/>
  </sheetPr>
  <dimension ref="B1:G42"/>
  <sheetViews>
    <sheetView view="pageBreakPreview" topLeftCell="A12" zoomScaleSheetLayoutView="100" workbookViewId="0">
      <selection activeCell="B17" sqref="B17"/>
    </sheetView>
  </sheetViews>
  <sheetFormatPr defaultColWidth="9.140625" defaultRowHeight="15" x14ac:dyDescent="0.25"/>
  <cols>
    <col min="1" max="1" width="3.42578125" style="13" customWidth="1"/>
    <col min="2" max="3" width="17.85546875" style="18" customWidth="1"/>
    <col min="4" max="4" width="15" style="18" customWidth="1"/>
    <col min="5" max="5" width="17.85546875" style="18" customWidth="1"/>
    <col min="6" max="6" width="9" style="18" customWidth="1"/>
    <col min="7" max="7" width="4.7109375" style="18" customWidth="1"/>
    <col min="8" max="16384" width="9.140625" style="13"/>
  </cols>
  <sheetData>
    <row r="1" spans="2:7" ht="15.75" thickBot="1" x14ac:dyDescent="0.3"/>
    <row r="2" spans="2:7" ht="62.25" customHeight="1" x14ac:dyDescent="0.35">
      <c r="B2" s="339" t="str">
        <f>malumot!B159</f>
        <v>«CLEVER MIKROMOLIYA TASHKILOTI» MChJ</v>
      </c>
      <c r="C2" s="340"/>
      <c r="D2" s="340"/>
      <c r="E2" s="340"/>
      <c r="F2" s="341"/>
      <c r="G2" s="38"/>
    </row>
    <row r="3" spans="2:7" x14ac:dyDescent="0.25">
      <c r="B3" s="331"/>
      <c r="C3" s="302"/>
      <c r="D3" s="302"/>
      <c r="E3" s="302"/>
      <c r="F3" s="332"/>
      <c r="G3" s="39"/>
    </row>
    <row r="4" spans="2:7" ht="8.25" customHeight="1" x14ac:dyDescent="0.25">
      <c r="B4" s="51"/>
      <c r="F4" s="52"/>
      <c r="G4" s="39"/>
    </row>
    <row r="5" spans="2:7" ht="12" customHeight="1" x14ac:dyDescent="0.25">
      <c r="B5" s="41"/>
      <c r="C5" s="39"/>
      <c r="D5" s="39"/>
      <c r="E5" s="39"/>
      <c r="F5" s="42"/>
      <c r="G5" s="39"/>
    </row>
    <row r="6" spans="2:7" ht="6.75" customHeight="1" x14ac:dyDescent="0.25">
      <c r="B6" s="41"/>
      <c r="C6" s="39"/>
      <c r="D6" s="39"/>
      <c r="E6" s="39"/>
      <c r="F6" s="42"/>
      <c r="G6" s="39"/>
    </row>
    <row r="7" spans="2:7" ht="6.75" customHeight="1" x14ac:dyDescent="0.25">
      <c r="B7" s="41"/>
      <c r="C7" s="39"/>
      <c r="D7" s="39"/>
      <c r="E7" s="39"/>
      <c r="F7" s="42"/>
      <c r="G7" s="39"/>
    </row>
    <row r="8" spans="2:7" x14ac:dyDescent="0.25">
      <c r="B8" s="41"/>
      <c r="C8" s="39"/>
      <c r="D8" s="39"/>
      <c r="E8" s="39"/>
      <c r="F8" s="42"/>
      <c r="G8" s="39"/>
    </row>
    <row r="9" spans="2:7" x14ac:dyDescent="0.25">
      <c r="B9" s="41"/>
      <c r="C9" s="39"/>
      <c r="D9" s="39"/>
      <c r="E9" s="39"/>
      <c r="F9" s="42"/>
      <c r="G9" s="39"/>
    </row>
    <row r="10" spans="2:7" x14ac:dyDescent="0.25">
      <c r="B10" s="331" t="s">
        <v>24</v>
      </c>
      <c r="C10" s="302"/>
      <c r="D10" s="302"/>
      <c r="E10" s="302"/>
      <c r="F10" s="332"/>
      <c r="G10" s="39"/>
    </row>
    <row r="11" spans="2:7" x14ac:dyDescent="0.25">
      <c r="B11" s="331" t="s">
        <v>24</v>
      </c>
      <c r="C11" s="302"/>
      <c r="D11" s="302"/>
      <c r="E11" s="302"/>
      <c r="F11" s="332"/>
      <c r="G11" s="39"/>
    </row>
    <row r="12" spans="2:7" ht="135" customHeight="1" x14ac:dyDescent="0.8">
      <c r="B12" s="342" t="str">
        <f>malumot!B5</f>
        <v>TUYEV SHOXRUX UTKIROVICH</v>
      </c>
      <c r="C12" s="343"/>
      <c r="D12" s="343"/>
      <c r="E12" s="343"/>
      <c r="F12" s="344"/>
      <c r="G12" s="40"/>
    </row>
    <row r="13" spans="2:7" x14ac:dyDescent="0.25">
      <c r="B13" s="331"/>
      <c r="C13" s="302"/>
      <c r="D13" s="302"/>
      <c r="E13" s="302"/>
      <c r="F13" s="332"/>
      <c r="G13" s="39"/>
    </row>
    <row r="14" spans="2:7" x14ac:dyDescent="0.25">
      <c r="B14" s="41"/>
      <c r="C14" s="39"/>
      <c r="D14" s="39"/>
      <c r="E14" s="39"/>
      <c r="F14" s="42"/>
      <c r="G14" s="39"/>
    </row>
    <row r="15" spans="2:7" x14ac:dyDescent="0.25">
      <c r="B15" s="41"/>
      <c r="C15" s="39"/>
      <c r="D15" s="39"/>
      <c r="E15" s="39"/>
      <c r="F15" s="42"/>
      <c r="G15" s="39"/>
    </row>
    <row r="16" spans="2:7" x14ac:dyDescent="0.25">
      <c r="B16" s="41"/>
      <c r="C16" s="39"/>
      <c r="D16" s="39"/>
      <c r="E16" s="39"/>
      <c r="F16" s="42"/>
      <c r="G16" s="39"/>
    </row>
    <row r="17" spans="2:7" x14ac:dyDescent="0.25">
      <c r="B17" s="41"/>
      <c r="C17" s="39"/>
      <c r="D17" s="39"/>
      <c r="E17" s="39"/>
      <c r="F17" s="42"/>
      <c r="G17" s="39"/>
    </row>
    <row r="18" spans="2:7" x14ac:dyDescent="0.25">
      <c r="B18" s="331"/>
      <c r="C18" s="302"/>
      <c r="D18" s="302"/>
      <c r="E18" s="302"/>
      <c r="F18" s="332"/>
      <c r="G18" s="39"/>
    </row>
    <row r="19" spans="2:7" ht="20.25" x14ac:dyDescent="0.3">
      <c r="B19" s="336" t="str">
        <f>""&amp;malumot!C64&amp;" shartnoma "&amp;malumot!B74&amp;""</f>
        <v>Mikroqarz shartnoma 29 yanvar 2026 y.dan №244-NVS</v>
      </c>
      <c r="C19" s="337"/>
      <c r="D19" s="337"/>
      <c r="E19" s="337"/>
      <c r="F19" s="338"/>
      <c r="G19" s="39"/>
    </row>
    <row r="20" spans="2:7" x14ac:dyDescent="0.25">
      <c r="B20" s="331"/>
      <c r="C20" s="302"/>
      <c r="D20" s="302"/>
      <c r="E20" s="302"/>
      <c r="F20" s="332"/>
      <c r="G20" s="39"/>
    </row>
    <row r="21" spans="2:7" x14ac:dyDescent="0.25">
      <c r="B21" s="331"/>
      <c r="C21" s="302"/>
      <c r="D21" s="302"/>
      <c r="E21" s="302"/>
      <c r="F21" s="332"/>
      <c r="G21" s="39"/>
    </row>
    <row r="22" spans="2:7" x14ac:dyDescent="0.25">
      <c r="B22" s="331"/>
      <c r="C22" s="302"/>
      <c r="D22" s="302"/>
      <c r="E22" s="302"/>
      <c r="F22" s="332"/>
      <c r="G22" s="39"/>
    </row>
    <row r="23" spans="2:7" x14ac:dyDescent="0.25">
      <c r="B23" s="331"/>
      <c r="C23" s="302"/>
      <c r="D23" s="302"/>
      <c r="E23" s="302"/>
      <c r="F23" s="332"/>
      <c r="G23" s="39"/>
    </row>
    <row r="24" spans="2:7" x14ac:dyDescent="0.25">
      <c r="B24" s="333" t="str">
        <f>" Foiz stavkasi: "&amp;malumot!B86&amp;"%"</f>
        <v xml:space="preserve"> Foiz stavkasi: 55%</v>
      </c>
      <c r="C24" s="334"/>
      <c r="D24" s="334"/>
      <c r="E24" s="334"/>
      <c r="F24" s="335"/>
      <c r="G24" s="39"/>
    </row>
    <row r="25" spans="2:7" ht="15" customHeight="1" x14ac:dyDescent="0.25">
      <c r="B25" s="333" t="str">
        <f>" "&amp;malumot!C64&amp;" muddati: "&amp;malumot!B82&amp;" oy"</f>
        <v xml:space="preserve"> Mikroqarz muddati: 48 oy</v>
      </c>
      <c r="C25" s="334"/>
      <c r="D25" s="334"/>
      <c r="E25" s="334"/>
      <c r="F25" s="335"/>
      <c r="G25" s="39"/>
    </row>
    <row r="26" spans="2:7" x14ac:dyDescent="0.25">
      <c r="B26" s="333" t="str">
        <f>" "&amp;malumot!C64&amp;" miqdori: "&amp;FIXED(malumot!B76,2)&amp;" so'm"</f>
        <v xml:space="preserve"> Mikroqarz miqdori: 100 000 000,00 so'm</v>
      </c>
      <c r="C26" s="334"/>
      <c r="D26" s="334"/>
      <c r="E26" s="334"/>
      <c r="F26" s="335"/>
      <c r="G26" s="39"/>
    </row>
    <row r="27" spans="2:7" x14ac:dyDescent="0.25">
      <c r="B27" s="331"/>
      <c r="C27" s="302"/>
      <c r="D27" s="302"/>
      <c r="E27" s="302"/>
      <c r="F27" s="332"/>
      <c r="G27" s="39"/>
    </row>
    <row r="28" spans="2:7" hidden="1" x14ac:dyDescent="0.25">
      <c r="G28" s="39"/>
    </row>
    <row r="29" spans="2:7" x14ac:dyDescent="0.25">
      <c r="B29" s="331"/>
      <c r="C29" s="302"/>
      <c r="D29" s="302"/>
      <c r="E29" s="302"/>
      <c r="F29" s="332"/>
      <c r="G29" s="39"/>
    </row>
    <row r="30" spans="2:7" ht="12.75" customHeight="1" x14ac:dyDescent="0.25">
      <c r="B30" s="41"/>
      <c r="C30" s="39"/>
      <c r="D30" s="39"/>
      <c r="E30" s="39"/>
      <c r="F30" s="42"/>
      <c r="G30" s="39"/>
    </row>
    <row r="31" spans="2:7" x14ac:dyDescent="0.25">
      <c r="B31" s="41"/>
      <c r="C31" s="39"/>
      <c r="D31" s="39"/>
      <c r="E31" s="39"/>
      <c r="F31" s="42"/>
      <c r="G31" s="39"/>
    </row>
    <row r="32" spans="2:7" ht="2.25" customHeight="1" x14ac:dyDescent="0.25">
      <c r="B32" s="41"/>
      <c r="C32" s="39"/>
      <c r="D32" s="39"/>
      <c r="E32" s="39"/>
      <c r="F32" s="42"/>
      <c r="G32" s="39"/>
    </row>
    <row r="33" spans="2:7" x14ac:dyDescent="0.25">
      <c r="B33" s="41"/>
      <c r="C33" s="39"/>
      <c r="D33" s="39"/>
      <c r="E33" s="39"/>
      <c r="F33" s="42"/>
      <c r="G33" s="39"/>
    </row>
    <row r="34" spans="2:7" x14ac:dyDescent="0.25">
      <c r="B34" s="41"/>
      <c r="C34" s="39"/>
      <c r="D34" s="39"/>
      <c r="E34" s="39"/>
      <c r="F34" s="42"/>
      <c r="G34" s="39"/>
    </row>
    <row r="35" spans="2:7" x14ac:dyDescent="0.25">
      <c r="B35" s="41"/>
      <c r="C35" s="39"/>
      <c r="D35" s="39"/>
      <c r="E35" s="39"/>
      <c r="F35" s="42"/>
      <c r="G35" s="39"/>
    </row>
    <row r="36" spans="2:7" x14ac:dyDescent="0.25">
      <c r="B36" s="41"/>
      <c r="C36" s="39"/>
      <c r="D36" s="39"/>
      <c r="E36" s="39"/>
      <c r="F36" s="42"/>
      <c r="G36" s="39"/>
    </row>
    <row r="37" spans="2:7" x14ac:dyDescent="0.25">
      <c r="B37" s="41"/>
      <c r="C37" s="39"/>
      <c r="D37" s="39"/>
      <c r="E37" s="39"/>
      <c r="F37" s="42"/>
      <c r="G37" s="39"/>
    </row>
    <row r="38" spans="2:7" x14ac:dyDescent="0.25">
      <c r="B38" s="41"/>
      <c r="C38" s="39"/>
      <c r="D38" s="39"/>
      <c r="E38" s="39"/>
      <c r="F38" s="42"/>
      <c r="G38" s="39"/>
    </row>
    <row r="39" spans="2:7" x14ac:dyDescent="0.25">
      <c r="B39" s="41"/>
      <c r="C39" s="39"/>
      <c r="D39" s="39"/>
      <c r="E39" s="39"/>
      <c r="F39" s="42"/>
      <c r="G39" s="39"/>
    </row>
    <row r="40" spans="2:7" ht="15.75" thickBot="1" x14ac:dyDescent="0.3">
      <c r="B40" s="328" t="str">
        <f>"Toshkent sh., "&amp;malumot!B70&amp;""</f>
        <v>Toshkent sh., 29 yanvar 2026 y.</v>
      </c>
      <c r="C40" s="329"/>
      <c r="D40" s="329"/>
      <c r="E40" s="329"/>
      <c r="F40" s="330"/>
      <c r="G40" s="39"/>
    </row>
    <row r="41" spans="2:7" x14ac:dyDescent="0.25">
      <c r="B41" s="302"/>
      <c r="C41" s="302"/>
      <c r="D41" s="302"/>
      <c r="E41" s="302"/>
      <c r="F41" s="302"/>
      <c r="G41" s="39"/>
    </row>
    <row r="42" spans="2:7" x14ac:dyDescent="0.25">
      <c r="B42" s="302"/>
      <c r="C42" s="302"/>
      <c r="D42" s="302"/>
      <c r="E42" s="302"/>
      <c r="F42" s="302"/>
      <c r="G42" s="39"/>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5">
    <tabColor rgb="FF00B050"/>
  </sheetPr>
  <dimension ref="A1:F43"/>
  <sheetViews>
    <sheetView view="pageBreakPreview" topLeftCell="A14" zoomScaleSheetLayoutView="100" workbookViewId="0">
      <selection activeCell="F25" sqref="F25"/>
    </sheetView>
  </sheetViews>
  <sheetFormatPr defaultColWidth="9.140625" defaultRowHeight="12.75" x14ac:dyDescent="0.2"/>
  <cols>
    <col min="1" max="6" width="14.28515625" style="21" customWidth="1"/>
    <col min="7" max="16384" width="9.140625" style="21"/>
  </cols>
  <sheetData>
    <row r="1" spans="1:6" x14ac:dyDescent="0.2">
      <c r="A1" s="346" t="s">
        <v>212</v>
      </c>
      <c r="B1" s="346"/>
      <c r="C1" s="346"/>
      <c r="D1" s="346"/>
      <c r="E1" s="346"/>
      <c r="F1" s="346"/>
    </row>
    <row r="2" spans="1:6" ht="35.25" customHeight="1" x14ac:dyDescent="0.2">
      <c r="A2" s="347" t="s">
        <v>318</v>
      </c>
      <c r="B2" s="347"/>
      <c r="C2" s="347"/>
      <c r="D2" s="347"/>
      <c r="E2" s="347"/>
      <c r="F2" s="347"/>
    </row>
    <row r="3" spans="1:6" x14ac:dyDescent="0.2">
      <c r="A3" s="346" t="s">
        <v>213</v>
      </c>
      <c r="B3" s="346"/>
      <c r="C3" s="346"/>
      <c r="D3" s="346"/>
      <c r="E3" s="346"/>
      <c r="F3" s="346"/>
    </row>
    <row r="4" spans="1:6" x14ac:dyDescent="0.2">
      <c r="A4" s="345" t="str">
        <f>xulosa!A4:E4</f>
        <v>Mijozning to'liq ismi sharifi: TUYEV SHOXRUX UTKIROVICH</v>
      </c>
      <c r="B4" s="345"/>
      <c r="C4" s="345"/>
      <c r="D4" s="345"/>
      <c r="E4" s="345"/>
      <c r="F4" s="345"/>
    </row>
    <row r="5" spans="1:6" x14ac:dyDescent="0.2">
      <c r="A5" s="345" t="str">
        <f>xulosa!A5:E5</f>
        <v>Tug'ilgan sanasi: 25.01.1990y</v>
      </c>
      <c r="B5" s="345"/>
      <c r="C5" s="345"/>
      <c r="D5" s="345"/>
      <c r="E5" s="345"/>
      <c r="F5" s="345"/>
    </row>
    <row r="6" spans="1:6" ht="32.25" customHeight="1" x14ac:dyDescent="0.2">
      <c r="A6" s="345" t="str">
        <f>xulosa!A6:E6</f>
        <v>Pasport seriyasi AE1115640 IIV12208 tomonidan 09.01.2025 yilda berilgan, amal qilish muddati - 08.01.2035 y.</v>
      </c>
      <c r="B6" s="345"/>
      <c r="C6" s="345"/>
      <c r="D6" s="345"/>
      <c r="E6" s="345"/>
      <c r="F6" s="345"/>
    </row>
    <row r="7" spans="1:6" x14ac:dyDescent="0.2">
      <c r="A7" s="345" t="str">
        <f>"Fuqaroligi: "&amp;malumot!B32&amp;""</f>
        <v>Fuqaroligi: O’zbekiston Respublikasi</v>
      </c>
      <c r="B7" s="345"/>
      <c r="C7" s="345"/>
      <c r="D7" s="345"/>
      <c r="E7" s="345"/>
      <c r="F7" s="345"/>
    </row>
    <row r="8" spans="1:6" ht="26.25" customHeight="1" x14ac:dyDescent="0.2">
      <c r="A8" s="345" t="str">
        <f>xulosa!A7:E7</f>
        <v>Ro‘yxatdan o‘tgan manzili: NAVOIY VILOYATI  QIZILTEPA TUMANI A.NAVOIY MFY SHODLIK  KO'CHASI 6-UY, mo'ljal: 41-MAKTAB YAQINIDA</v>
      </c>
      <c r="B8" s="345"/>
      <c r="C8" s="345"/>
      <c r="D8" s="345"/>
      <c r="E8" s="345"/>
      <c r="F8" s="345"/>
    </row>
    <row r="9" spans="1:6" x14ac:dyDescent="0.2">
      <c r="A9" s="345" t="str">
        <f>IF(malumot!B23="mos keladi"," ",mijoz_anketasi!A10:F10)</f>
        <v xml:space="preserve"> </v>
      </c>
      <c r="B9" s="345"/>
      <c r="C9" s="345"/>
      <c r="D9" s="345"/>
      <c r="E9" s="345"/>
      <c r="F9" s="345"/>
    </row>
    <row r="10" spans="1:6" ht="31.5" hidden="1" customHeight="1" x14ac:dyDescent="0.2">
      <c r="A10" s="345" t="str">
        <f>"Haqiqatdan yashash joy manzili: "&amp;malumot!B28&amp;""</f>
        <v>Haqiqatdan yashash joy manzili: NAVOIY VILOYATI  QIZILTEPA TUMANI A.NAVOIY MFY SHODLIK  KO'CHASI 6-UY</v>
      </c>
      <c r="B10" s="345"/>
      <c r="C10" s="345"/>
      <c r="D10" s="345"/>
      <c r="E10" s="345"/>
      <c r="F10" s="345"/>
    </row>
    <row r="11" spans="1:6" ht="16.5" hidden="1" customHeight="1" x14ac:dyDescent="0.2">
      <c r="A11" s="345" t="str">
        <f>xulosa!A8:E8</f>
        <v>Ish joyi:  lavozimi TUYEV SHOXRUX UTKIROVICHda TUYEV SHOXRUX UTKIROVICH</v>
      </c>
      <c r="B11" s="345"/>
      <c r="C11" s="345"/>
      <c r="D11" s="345"/>
      <c r="E11" s="345"/>
      <c r="F11" s="345"/>
    </row>
    <row r="12" spans="1:6" x14ac:dyDescent="0.2">
      <c r="A12" s="346" t="s">
        <v>214</v>
      </c>
      <c r="B12" s="346"/>
      <c r="C12" s="346"/>
      <c r="D12" s="346"/>
      <c r="E12" s="346"/>
      <c r="F12" s="346"/>
    </row>
    <row r="13" spans="1:6" x14ac:dyDescent="0.2">
      <c r="A13" s="345" t="str">
        <f>"Uy telefoni raqami: "&amp;malumot!B40&amp;""</f>
        <v>Uy telefoni raqami: 99-336-50-00 MIJOZ</v>
      </c>
      <c r="B13" s="345"/>
      <c r="C13" s="345"/>
      <c r="D13" s="345"/>
      <c r="E13" s="345"/>
      <c r="F13" s="345"/>
    </row>
    <row r="14" spans="1:6" x14ac:dyDescent="0.2">
      <c r="A14" s="345" t="str">
        <f>"Uyali telefon raqami: "&amp;malumot!B41&amp;""</f>
        <v>Uyali telefon raqami: 97-335-03-43 TURMUSH O'RTOG'I</v>
      </c>
      <c r="B14" s="345"/>
      <c r="C14" s="345"/>
      <c r="D14" s="345"/>
      <c r="E14" s="345"/>
      <c r="F14" s="345"/>
    </row>
    <row r="15" spans="1:6" x14ac:dyDescent="0.2">
      <c r="A15" s="345" t="str">
        <f>"Uyali telefon raqami: "&amp;malumot!B42&amp;""</f>
        <v>Uyali telefon raqami: 91-336-50-00 O'G'LI</v>
      </c>
      <c r="B15" s="345"/>
      <c r="C15" s="345"/>
      <c r="D15" s="345"/>
      <c r="E15" s="345"/>
      <c r="F15" s="345"/>
    </row>
    <row r="16" spans="1:6" hidden="1" x14ac:dyDescent="0.2">
      <c r="A16" s="345" t="str">
        <f>"Uyali telefon raqami: "&amp;malumot!B42&amp;""</f>
        <v>Uyali telefon raqami: 91-336-50-00 O'G'LI</v>
      </c>
      <c r="B16" s="345"/>
      <c r="C16" s="345"/>
      <c r="D16" s="345"/>
      <c r="E16" s="345"/>
      <c r="F16" s="345"/>
    </row>
    <row r="17" spans="1:6" x14ac:dyDescent="0.2">
      <c r="A17" s="345" t="str">
        <f>"Ish telefoni raqami: "&amp;malumot!B43&amp;""</f>
        <v xml:space="preserve">Ish telefoni raqami: </v>
      </c>
      <c r="B17" s="345"/>
      <c r="C17" s="345"/>
      <c r="D17" s="345"/>
      <c r="E17" s="345"/>
      <c r="F17" s="345"/>
    </row>
    <row r="18" spans="1:6" x14ac:dyDescent="0.2">
      <c r="A18" s="346" t="s">
        <v>215</v>
      </c>
      <c r="B18" s="346"/>
      <c r="C18" s="346"/>
      <c r="D18" s="346"/>
      <c r="E18" s="346"/>
      <c r="F18" s="346"/>
    </row>
    <row r="19" spans="1:6" x14ac:dyDescent="0.2">
      <c r="A19" s="345" t="str">
        <f>"Muassasa nomlanishi:"&amp;malumot!B58&amp;""</f>
        <v>Muassasa nomlanishi:TUYEV SHOXRUX UTKIROVICH</v>
      </c>
      <c r="B19" s="345"/>
      <c r="C19" s="345"/>
      <c r="D19" s="345"/>
      <c r="E19" s="345"/>
      <c r="F19" s="345"/>
    </row>
    <row r="20" spans="1:6" x14ac:dyDescent="0.2">
      <c r="A20" s="345" t="str">
        <f>"Ro‘yxatdan o‘tish manzili:"&amp;malumot!B50&amp;""</f>
        <v>Ro‘yxatdan o‘tish manzili:</v>
      </c>
      <c r="B20" s="345"/>
      <c r="C20" s="345"/>
      <c r="D20" s="345"/>
      <c r="E20" s="345"/>
      <c r="F20" s="345"/>
    </row>
    <row r="21" spans="1:6" x14ac:dyDescent="0.2">
      <c r="A21" s="345" t="str">
        <f>"Lavozimi: "&amp;malumot!B59&amp;""</f>
        <v>Lavozimi: TUYEV SHOXRUX UTKIROVICH</v>
      </c>
      <c r="B21" s="345"/>
      <c r="C21" s="345"/>
      <c r="D21" s="345"/>
      <c r="E21" s="345"/>
      <c r="F21" s="345"/>
    </row>
    <row r="22" spans="1:6" x14ac:dyDescent="0.2">
      <c r="A22" s="346" t="s">
        <v>216</v>
      </c>
      <c r="B22" s="348"/>
      <c r="C22" s="348"/>
      <c r="D22" s="348"/>
      <c r="E22" s="348"/>
      <c r="F22" s="348"/>
    </row>
    <row r="23" spans="1:6" s="23" customFormat="1" ht="25.5" x14ac:dyDescent="0.25">
      <c r="A23" s="22" t="s">
        <v>217</v>
      </c>
      <c r="B23" s="22" t="s">
        <v>218</v>
      </c>
      <c r="C23" s="22" t="s">
        <v>219</v>
      </c>
      <c r="D23" s="22" t="s">
        <v>220</v>
      </c>
      <c r="E23" s="22" t="s">
        <v>221</v>
      </c>
      <c r="F23" s="22" t="s">
        <v>222</v>
      </c>
    </row>
    <row r="24" spans="1:6" ht="51" x14ac:dyDescent="0.2">
      <c r="A24" s="24" t="s">
        <v>223</v>
      </c>
      <c r="B24" s="25">
        <f>malumot!B60</f>
        <v>18000000</v>
      </c>
      <c r="C24" s="25">
        <v>0</v>
      </c>
      <c r="D24" s="25">
        <v>0</v>
      </c>
      <c r="E24" s="24" t="s">
        <v>226</v>
      </c>
      <c r="F24" s="25">
        <v>700000</v>
      </c>
    </row>
    <row r="25" spans="1:6" ht="25.5" x14ac:dyDescent="0.2">
      <c r="A25" s="24" t="s">
        <v>224</v>
      </c>
      <c r="B25" s="25">
        <v>0</v>
      </c>
      <c r="C25" s="25">
        <v>0</v>
      </c>
      <c r="D25" s="25">
        <v>0</v>
      </c>
      <c r="E25" s="24" t="s">
        <v>227</v>
      </c>
      <c r="F25" s="25">
        <v>700000</v>
      </c>
    </row>
    <row r="26" spans="1:6" ht="28.5" customHeight="1" x14ac:dyDescent="0.2">
      <c r="A26" s="24" t="s">
        <v>225</v>
      </c>
      <c r="B26" s="25">
        <f>malumot!B61</f>
        <v>0</v>
      </c>
      <c r="C26" s="25">
        <v>0</v>
      </c>
      <c r="D26" s="25">
        <v>0</v>
      </c>
      <c r="E26" s="24" t="s">
        <v>228</v>
      </c>
      <c r="F26" s="25">
        <v>500000</v>
      </c>
    </row>
    <row r="27" spans="1:6" s="28" customFormat="1" x14ac:dyDescent="0.2">
      <c r="A27" s="26" t="s">
        <v>204</v>
      </c>
      <c r="B27" s="27">
        <f>B24+B25+B26</f>
        <v>18000000</v>
      </c>
      <c r="C27" s="27">
        <f t="shared" ref="C27:F27" si="0">SUM(C24:C26)</f>
        <v>0</v>
      </c>
      <c r="D27" s="27">
        <f t="shared" si="0"/>
        <v>0</v>
      </c>
      <c r="E27" s="26"/>
      <c r="F27" s="27">
        <f t="shared" si="0"/>
        <v>1900000</v>
      </c>
    </row>
    <row r="28" spans="1:6" ht="31.5" customHeight="1" x14ac:dyDescent="0.2">
      <c r="A28" s="345" t="str">
        <f>"Men, "&amp;malumot!B5&amp;", ushbu anketada ko‘rsatilgan barcha ma'lumotlar anketa to'ldirilgan sanada  to'g'ri va aniq ekanligini tasdiqlayman."</f>
        <v>Men, TUYEV SHOXRUX UTKIROVICH, ushbu anketada ko‘rsatilgan barcha ma'lumotlar anketa to'ldirilgan sanada  to'g'ri va aniq ekanligini tasdiqlayman.</v>
      </c>
      <c r="B28" s="345"/>
      <c r="C28" s="345"/>
      <c r="D28" s="345"/>
      <c r="E28" s="345"/>
      <c r="F28" s="345"/>
    </row>
    <row r="29" spans="1:6" x14ac:dyDescent="0.2">
      <c r="A29" s="345" t="str">
        <f>"Men,  "&amp;malumot!B5&amp;", quyidagilarni tan olaman va roziman::"</f>
        <v>Men,  TUYEV SHOXRUX UTKIROVICH, quyidagilarni tan olaman va roziman::</v>
      </c>
      <c r="B29" s="345"/>
      <c r="C29" s="345"/>
      <c r="D29" s="345"/>
      <c r="E29" s="345"/>
      <c r="F29" s="345"/>
    </row>
    <row r="30" spans="1:6" ht="45.75" customHeight="1" x14ac:dyDescent="0.2">
      <c r="A30" s="345" t="str">
        <f>"1.  Ushbu anketada ko‘rsatilgan har qanday ma’lumot  "&amp;malumot!B158&amp;",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45"/>
      <c r="C30" s="345"/>
      <c r="D30" s="345"/>
      <c r="E30" s="345"/>
      <c r="F30" s="345"/>
    </row>
    <row r="31" spans="1:6" ht="42.75" customHeight="1" x14ac:dyDescent="0.2">
      <c r="A31" s="345" t="str">
        <f>"2. Mazkur anketaning "&amp;malumot!B158&amp;"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45"/>
      <c r="C31" s="345"/>
      <c r="D31" s="345"/>
      <c r="E31" s="345"/>
      <c r="F31" s="345"/>
    </row>
    <row r="32" spans="1:6" ht="71.25" customHeight="1" x14ac:dyDescent="0.2">
      <c r="A32" s="345" t="s">
        <v>229</v>
      </c>
      <c r="B32" s="345"/>
      <c r="C32" s="345"/>
      <c r="D32" s="345"/>
      <c r="E32" s="345"/>
      <c r="F32" s="345"/>
    </row>
    <row r="33" spans="1:6" x14ac:dyDescent="0.2">
      <c r="A33" s="345"/>
      <c r="B33" s="345"/>
      <c r="C33" s="345"/>
      <c r="D33" s="345"/>
      <c r="E33" s="345"/>
      <c r="F33" s="345"/>
    </row>
    <row r="34" spans="1:6" ht="12.75" customHeight="1" x14ac:dyDescent="0.2">
      <c r="A34" s="348" t="s">
        <v>230</v>
      </c>
      <c r="B34" s="348"/>
      <c r="C34" s="348"/>
      <c r="D34" s="135" t="s">
        <v>154</v>
      </c>
      <c r="E34" s="348" t="s">
        <v>231</v>
      </c>
      <c r="F34" s="348"/>
    </row>
    <row r="35" spans="1:6" ht="25.5" customHeight="1" x14ac:dyDescent="0.2">
      <c r="A35" s="349"/>
      <c r="B35" s="349"/>
      <c r="C35" s="349"/>
      <c r="D35" s="350" t="str">
        <f>malumot!B2</f>
        <v>29.01.2026</v>
      </c>
      <c r="E35" s="349"/>
      <c r="F35" s="349"/>
    </row>
    <row r="36" spans="1:6" ht="25.5" customHeight="1" x14ac:dyDescent="0.2">
      <c r="A36" s="349"/>
      <c r="B36" s="349"/>
      <c r="C36" s="349"/>
      <c r="D36" s="350"/>
      <c r="E36" s="349"/>
      <c r="F36" s="349"/>
    </row>
    <row r="37" spans="1:6" x14ac:dyDescent="0.2">
      <c r="A37" s="345"/>
      <c r="B37" s="345"/>
      <c r="C37" s="345"/>
      <c r="D37" s="345"/>
      <c r="E37" s="345"/>
      <c r="F37" s="345"/>
    </row>
    <row r="38" spans="1:6" x14ac:dyDescent="0.2">
      <c r="A38" s="345"/>
      <c r="B38" s="345"/>
      <c r="C38" s="345"/>
      <c r="D38" s="345"/>
      <c r="E38" s="345"/>
      <c r="F38" s="345"/>
    </row>
    <row r="39" spans="1:6" x14ac:dyDescent="0.2">
      <c r="A39" s="345"/>
      <c r="B39" s="345"/>
      <c r="C39" s="345"/>
      <c r="D39" s="345"/>
      <c r="E39" s="345"/>
      <c r="F39" s="345"/>
    </row>
    <row r="40" spans="1:6" x14ac:dyDescent="0.2">
      <c r="A40" s="345"/>
      <c r="B40" s="345"/>
      <c r="C40" s="345"/>
      <c r="D40" s="345"/>
      <c r="E40" s="345"/>
      <c r="F40" s="345"/>
    </row>
    <row r="41" spans="1:6" x14ac:dyDescent="0.2">
      <c r="A41" s="345"/>
      <c r="B41" s="345"/>
      <c r="C41" s="345"/>
      <c r="D41" s="345"/>
      <c r="E41" s="345"/>
      <c r="F41" s="345"/>
    </row>
    <row r="42" spans="1:6" x14ac:dyDescent="0.2">
      <c r="A42" s="345"/>
      <c r="B42" s="345"/>
      <c r="C42" s="345"/>
      <c r="D42" s="345"/>
      <c r="E42" s="345"/>
      <c r="F42" s="345"/>
    </row>
    <row r="43" spans="1:6" x14ac:dyDescent="0.2">
      <c r="A43" s="345"/>
      <c r="B43" s="345"/>
      <c r="C43" s="345"/>
      <c r="D43" s="345"/>
      <c r="E43" s="345"/>
      <c r="F43" s="345"/>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22">
    <tabColor rgb="FF00B050"/>
  </sheetPr>
  <dimension ref="A3:B11"/>
  <sheetViews>
    <sheetView view="pageBreakPreview" zoomScale="85" zoomScaleNormal="100" zoomScaleSheetLayoutView="85" workbookViewId="0">
      <selection activeCell="A4" sqref="A4:B4"/>
    </sheetView>
  </sheetViews>
  <sheetFormatPr defaultRowHeight="15" x14ac:dyDescent="0.25"/>
  <cols>
    <col min="1" max="1" width="54.42578125" style="13" customWidth="1"/>
    <col min="2" max="2" width="32.28515625" style="13" customWidth="1"/>
  </cols>
  <sheetData>
    <row r="3" spans="1:2" ht="35.25" customHeight="1" x14ac:dyDescent="0.25">
      <c r="A3" s="351" t="s">
        <v>209</v>
      </c>
      <c r="B3" s="351"/>
    </row>
    <row r="4" spans="1:2" ht="92.25" customHeight="1" x14ac:dyDescent="0.25">
      <c r="A4" s="276" t="str">
        <f>"     Men, fuqaro "&amp;malumot!B5&amp;" "&amp;malumot!B160&amp;" bilan "&amp;malumot!B69&amp;" sanasidagi "&amp;malumot!B66&amp;"-sonli shartnomaning garov ta'minoti sifatida taqdim etilayotgan mulk "&amp;malumot!B132&amp;" rusumli avtotransport vositasini qonunga xilof ravishda o‘zlashtirmaslikka, yashirmaslikka, nobud qilmaslikka yoki unga shikast yetkazmaslik majburiyatini olaman."</f>
        <v xml:space="preserve">     Men, fuqaro TUYEV SHOXRUX UTKIROVICH «CLEVER MIKROMOLIYA TASHKILOTI» MChJ bilan 29 yanvar 2026 y. sanasidagi №244-NVS-sonli shartnomaning garov ta'minoti sifatida taqdim etilayotgan mulk CHEVROLET LACETTI rusumli avtotransport vositasini qonunga xilof ravishda o‘zlashtirmaslikka, yashirmaslikka, nobud qilmaslikka yoki unga shikast yetkazmaslik majburiyatini olaman.</v>
      </c>
      <c r="B4" s="276"/>
    </row>
    <row r="5" spans="1:2" ht="56.25" customHeight="1" x14ac:dyDescent="0.25">
      <c r="A5" s="352" t="s">
        <v>210</v>
      </c>
      <c r="B5" s="352"/>
    </row>
    <row r="6" spans="1:2" ht="42.75" customHeight="1" x14ac:dyDescent="0.25"/>
    <row r="7" spans="1:2" x14ac:dyDescent="0.25">
      <c r="A7" s="13" t="str">
        <f>malumot!B5</f>
        <v>TUYEV SHOXRUX UTKIROVICH</v>
      </c>
      <c r="B7" s="125" t="s">
        <v>211</v>
      </c>
    </row>
    <row r="8" spans="1:2" ht="26.25" customHeight="1" x14ac:dyDescent="0.25"/>
    <row r="9" spans="1:2" ht="26.25" customHeight="1" x14ac:dyDescent="0.25"/>
    <row r="10" spans="1:2" ht="26.25" customHeight="1" x14ac:dyDescent="0.25"/>
    <row r="11" spans="1:2" x14ac:dyDescent="0.25">
      <c r="A11" s="13" t="str">
        <f>"sana:   "&amp;TEXT(malumot!B2,"ДД.ММ.ГГГГ")&amp;" y."</f>
        <v>sana:   29.01.2026 y.</v>
      </c>
    </row>
  </sheetData>
  <mergeCells count="3">
    <mergeCell ref="A3:B3"/>
    <mergeCell ref="A4:B4"/>
    <mergeCell ref="A5:B5"/>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6">
    <tabColor rgb="FF00B050"/>
  </sheetPr>
  <dimension ref="A1:E78"/>
  <sheetViews>
    <sheetView view="pageBreakPreview" topLeftCell="A12" zoomScaleSheetLayoutView="100" workbookViewId="0">
      <selection activeCell="B41" sqref="B41"/>
    </sheetView>
  </sheetViews>
  <sheetFormatPr defaultColWidth="9.140625" defaultRowHeight="15.75" x14ac:dyDescent="0.25"/>
  <cols>
    <col min="1" max="1" width="20.140625" style="6" customWidth="1"/>
    <col min="2" max="2" width="18.7109375" style="6" customWidth="1"/>
    <col min="3" max="3" width="19.7109375" style="6" customWidth="1"/>
    <col min="4" max="4" width="28.7109375" style="6" customWidth="1"/>
    <col min="5" max="16384" width="9.140625" style="6"/>
  </cols>
  <sheetData>
    <row r="1" spans="1:4" ht="54" customHeight="1" x14ac:dyDescent="0.25">
      <c r="C1" s="353" t="str">
        <f>""&amp;malumot!B158&amp;"ning
"&amp;malumot!A161&amp;""</f>
        <v>«CLEVER MIKROMOLIYA TASHKILOTI» MChJning
Navoiy viloyati filial menejeri</v>
      </c>
      <c r="D1" s="353"/>
    </row>
    <row r="2" spans="1:4" x14ac:dyDescent="0.25">
      <c r="C2" s="11"/>
      <c r="D2" s="12" t="str">
        <f>""&amp;malumot!B161&amp;"ga"</f>
        <v>Sh.Xayriyevga</v>
      </c>
    </row>
    <row r="3" spans="1:4" hidden="1" x14ac:dyDescent="0.25"/>
    <row r="4" spans="1:4" x14ac:dyDescent="0.25">
      <c r="A4" s="273" t="str">
        <f>""&amp;malumot!C64&amp;" olish uchun Ariza"</f>
        <v>Mikroqarz olish uchun Ariza</v>
      </c>
      <c r="B4" s="273"/>
      <c r="C4" s="273"/>
      <c r="D4" s="273"/>
    </row>
    <row r="5" spans="1:4" ht="11.25" hidden="1" customHeight="1" x14ac:dyDescent="0.25">
      <c r="A5" s="273"/>
      <c r="B5" s="273"/>
      <c r="C5" s="273"/>
      <c r="D5" s="273"/>
    </row>
    <row r="6" spans="1:4" ht="48.75" customHeight="1" x14ac:dyDescent="0.25">
      <c r="A6" s="325" t="str">
        <f>""&amp;malumot!B28&amp;".-da yashovchi O‘zbekiston Respublikasi fuqarosi "&amp;malumot!B8&amp;"dan. "</f>
        <v xml:space="preserve">NAVOIY VILOYATI  QIZILTEPA TUMANI A.NAVOIY MFY SHODLIK  KO'CHASI 6-UY.-da yashovchi O‘zbekiston Respublikasi fuqarosi TUYEV SHOXRUX UTKIROVICHdan. </v>
      </c>
      <c r="B6" s="325"/>
      <c r="C6" s="325"/>
      <c r="D6" s="325"/>
    </row>
    <row r="7" spans="1:4" ht="15.75" customHeight="1" x14ac:dyDescent="0.25">
      <c r="A7" s="354" t="str">
        <f>"Tug'ilgan kuni: "&amp;malumot!B15&amp;""</f>
        <v>Tug'ilgan kuni: 25.01.1990y</v>
      </c>
      <c r="B7" s="354"/>
      <c r="C7" s="354"/>
      <c r="D7" s="354"/>
    </row>
    <row r="8" spans="1:4" ht="33" customHeight="1" x14ac:dyDescent="0.25">
      <c r="A8" s="354" t="str">
        <f>"Pasport seriyasi: "&amp;malumot!B16&amp;" "&amp;malumot!B20&amp;""</f>
        <v>Pasport seriyasi: AE1115640 IIV12208 tomonidan 09.01.2025 yilda berilgan</v>
      </c>
      <c r="B8" s="354"/>
      <c r="C8" s="354"/>
      <c r="D8" s="354"/>
    </row>
    <row r="9" spans="1:4" ht="16.5" customHeight="1" x14ac:dyDescent="0.25">
      <c r="A9" s="354" t="str">
        <f>"Asosiy ish joyi : "&amp;malumot!B58&amp;""</f>
        <v>Asosiy ish joyi : TUYEV SHOXRUX UTKIROVICH</v>
      </c>
      <c r="B9" s="354"/>
      <c r="C9" s="354"/>
      <c r="D9" s="354"/>
    </row>
    <row r="10" spans="1:4" ht="15.75" customHeight="1" x14ac:dyDescent="0.25">
      <c r="A10" s="354" t="str">
        <f>"Lavozimi: "&amp;malumot!B59&amp;""</f>
        <v>Lavozimi: TUYEV SHOXRUX UTKIROVICH</v>
      </c>
      <c r="B10" s="354"/>
      <c r="C10" s="354"/>
      <c r="D10" s="354"/>
    </row>
    <row r="11" spans="1:4" x14ac:dyDescent="0.25">
      <c r="A11" s="354" t="str">
        <f>"O’rtacha oylik daromadi: "&amp;FIXED(malumot!B60,2)&amp;" so'm."</f>
        <v>O’rtacha oylik daromadi: 18 000 000,00 so'm.</v>
      </c>
      <c r="B11" s="354"/>
      <c r="C11" s="354"/>
      <c r="D11" s="354"/>
    </row>
    <row r="12" spans="1:4" x14ac:dyDescent="0.25">
      <c r="A12" s="354" t="str">
        <f>"Menga quyidagi shartlarda "&amp;malumot!B65&amp;" berishingizni so’rayman:"</f>
        <v>Menga quyidagi shartlarda mikroqarz berishingizni so’rayman:</v>
      </c>
      <c r="B12" s="354"/>
      <c r="C12" s="354"/>
      <c r="D12" s="354"/>
    </row>
    <row r="13" spans="1:4" x14ac:dyDescent="0.25">
      <c r="A13" s="354" t="str">
        <f>""&amp;malumot!C64&amp;" summasi: "&amp;FIXED(malumot!B76,2)&amp;" ("&amp;malumot!B77&amp;") so'm."</f>
        <v>Mikroqarz summasi: 100 000 000,00 (yuz million so'm) so'm.</v>
      </c>
      <c r="B13" s="354"/>
      <c r="C13" s="354"/>
      <c r="D13" s="354"/>
    </row>
    <row r="14" spans="1:4" x14ac:dyDescent="0.25">
      <c r="A14" s="354" t="str">
        <f>""&amp;malumot!C64&amp;" muddati: "&amp;malumot!B82&amp;" ("&amp;malumot!B83&amp;") oy."</f>
        <v>Mikroqarz muddati: 48 (Qirq sakkiz  ) oy.</v>
      </c>
      <c r="B14" s="354"/>
      <c r="C14" s="354"/>
      <c r="D14" s="354"/>
    </row>
    <row r="15" spans="1:4" ht="17.25" customHeight="1" x14ac:dyDescent="0.25">
      <c r="A15" s="354" t="str">
        <f>""&amp;malumot!C64&amp;"dan foydalanganlik uchun foiz stavkasi: yillik  "&amp;malumot!B86&amp;"% ("&amp;malumot!B87&amp;") foiz"</f>
        <v>Mikroqarzdan foydalanganlik uchun foiz stavkasi: yillik  55% (Ellik besh  ) foiz</v>
      </c>
      <c r="B15" s="354"/>
      <c r="C15" s="354"/>
      <c r="D15" s="354"/>
    </row>
    <row r="16" spans="1:4" x14ac:dyDescent="0.25">
      <c r="A16" s="354" t="str">
        <f>""&amp;malumot!C64&amp;" bo'yicha asosiy qarz va foizlarni to'lash:"</f>
        <v>Mikroqarz bo'yicha asosiy qarz va foizlarni to'lash:</v>
      </c>
      <c r="B16" s="354"/>
      <c r="C16" s="354"/>
      <c r="D16" s="354"/>
    </row>
    <row r="17" spans="1:5" ht="20.25" hidden="1" customHeight="1" x14ac:dyDescent="0.25">
      <c r="A17" s="325" t="str">
        <f>" - "&amp;malumot!B65&amp;" shartnomasi bo'yicha har oy differensial to'lovlari amalga oshiriladi"</f>
        <v xml:space="preserve"> - mikroqarz shartnomasi bo'yicha har oy differensial to'lovlari amalga oshiriladi</v>
      </c>
      <c r="B17" s="325"/>
      <c r="C17" s="325"/>
      <c r="D17" s="325"/>
    </row>
    <row r="18" spans="1:5" ht="33.75" hidden="1" customHeight="1" x14ac:dyDescent="0.25">
      <c r="A18" s="325" t="str">
        <f>" - "&amp;malumot!B65&amp;" shartnomasi bo'yicha har oy annuitet to'lovlari amalga oshiriladi"</f>
        <v xml:space="preserve"> - mikroqarz shartnomasi bo'yicha har oy annuitet to'lovlari amalga oshiriladi</v>
      </c>
      <c r="B18" s="325"/>
      <c r="C18" s="325"/>
      <c r="D18" s="325"/>
    </row>
    <row r="19" spans="1:5" ht="21.75" customHeight="1" x14ac:dyDescent="0.25">
      <c r="A19" s="325" t="str">
        <f>IF(malumot!B78=malumot!C78,kredit_ariza!A17:D17,IF(malumot!B78=malumot!D78,kredit_ariza!A18:D18))</f>
        <v xml:space="preserve"> - mikroqarz shartnomasi bo'yicha har oy differensial to'lovlari amalga oshiriladi</v>
      </c>
      <c r="B19" s="325"/>
      <c r="C19" s="325"/>
      <c r="D19" s="325"/>
    </row>
    <row r="20" spans="1:5" ht="33.75" hidden="1" customHeight="1" x14ac:dyDescent="0.25">
      <c r="A20" s="354" t="str">
        <f>IF(DAY(malumot!E67)&lt;15,"   ","  Oxirgi yakuniy to'lov "&amp;malumot!B65&amp;" shartnomasi tuzilgan kundan boshlab oxirgi oyning oxirgi kunida amalga oshiriladi")</f>
        <v xml:space="preserve">  Oxirgi yakuniy to'lov mikroqarz shartnomasi tuzilgan kundan boshlab oxirgi oyning oxirgi kunida amalga oshiriladi</v>
      </c>
      <c r="B20" s="354"/>
      <c r="C20" s="354"/>
      <c r="D20" s="354"/>
    </row>
    <row r="21" spans="1:5" x14ac:dyDescent="0.25">
      <c r="A21" s="354" t="str">
        <f>""&amp;malumot!C64&amp;" ta’minoti::"</f>
        <v>Mikroqarz ta’minoti::</v>
      </c>
      <c r="B21" s="354"/>
      <c r="C21" s="354"/>
      <c r="D21" s="354"/>
    </row>
    <row r="22" spans="1:5" ht="79.5" customHeight="1" x14ac:dyDescent="0.25">
      <c r="A22" s="325" t="str">
        <f>"1. "&amp;IF(malumot!B110="Avtotransport",A26,A23)&amp;""</f>
        <v>1.   Egalik huquqi TUYEV SHOXRUX UTKIROVICHga tegishli bo'lgan garovga olingan avtomobil markasi   CHEVROLET LACETTI, rangi -  KO'K DARKMOON BLUE MET, ishlab chiqarilgan yili - 2023, davlat raqam belgisi 85L007TA, kuzov turi - YENGIL SEDAN, kuzov raqami XWB5V31BVPA581883, dvigatel raqami B15D211232522 MTDX0591, shassi raqami -  -</v>
      </c>
      <c r="B22" s="325"/>
      <c r="C22" s="325"/>
      <c r="D22" s="325"/>
    </row>
    <row r="23" spans="1:5" ht="79.5" hidden="1" customHeight="1" x14ac:dyDescent="0.25">
      <c r="A23" s="325" t="str">
        <f>IF(malumot!B99=malumot!C99,A25,IF(malumot!B99=malumot!D99,A24,0))</f>
        <v xml:space="preserve"> Egalik huquqi TUYEV SHOXRUX UTKIROVICHga tegishli bo'lgan umumiy maydoni -   va yashash maydoni -   0,  </v>
      </c>
      <c r="B23" s="325"/>
      <c r="C23" s="325"/>
      <c r="D23" s="325"/>
    </row>
    <row r="24" spans="1:5" ht="96.75" hidden="1" customHeight="1" x14ac:dyDescent="0.25">
      <c r="A24" s="325" t="str">
        <f>" - Navbatdagi garov (ipoteka) Egalik huquqi asosida  "&amp;malumot!C124&amp;"ga "&amp;malumot!C133&amp;", umumiy maydoni - "&amp;malumot!C137&amp;" va yashash maydoni - "&amp;malumot!C140&amp;", manzili: "&amp;malumot!C130&amp;"."</f>
        <v xml:space="preserve"> - Navbatdagi garov (ipoteka) Egalik huquqi asosida  TUYEV SHOXRUX UTKIROVICHga  0, umumiy maydoni -  va yashash maydoni - , manzili: .</v>
      </c>
      <c r="B24" s="325"/>
      <c r="C24" s="325"/>
      <c r="D24" s="325"/>
      <c r="E24" s="141"/>
    </row>
    <row r="25" spans="1:5" ht="92.25" hidden="1" customHeight="1" x14ac:dyDescent="0.25">
      <c r="A25" s="325" t="str">
        <f>" Egalik huquqi "&amp;malumot!C124&amp;"ga tegishli bo'lgan umumiy maydoni - "&amp;malumot!C137&amp;"  va yashash maydoni - "&amp;malumot!C140&amp;" "&amp;malumot!C133&amp;", "&amp;malumot!C130&amp;" "</f>
        <v xml:space="preserve"> Egalik huquqi TUYEV SHOXRUX UTKIROVICHga tegishli bo'lgan umumiy maydoni -   va yashash maydoni -   0,  </v>
      </c>
      <c r="B25" s="325"/>
      <c r="C25" s="325"/>
      <c r="D25" s="325"/>
    </row>
    <row r="26" spans="1:5" ht="78" hidden="1" customHeight="1" x14ac:dyDescent="0.25">
      <c r="A26" s="325" t="str">
        <f>IF(malumot!B99=malumot!C99,kredit_ariza!A28:D28,IF(malumot!B99=malumot!D99,kredit_ariza!A27:D27,0))</f>
        <v xml:space="preserve">  Egalik huquqi TUYEV SHOXRUX UTKIROVICHga tegishli bo'lgan garovga olingan avtomobil markasi   CHEVROLET LACETTI, rangi -  KO'K DARKMOON BLUE MET, ishlab chiqarilgan yili - 2023, davlat raqam belgisi 85L007TA, kuzov turi - YENGIL SEDAN, kuzov raqami XWB5V31BVPA581883, dvigatel raqami B15D211232522 MTDX0591, shassi raqami -  -</v>
      </c>
      <c r="B26" s="325"/>
      <c r="C26" s="325"/>
      <c r="D26" s="325"/>
    </row>
    <row r="27" spans="1:5" ht="93" hidden="1" customHeight="1" x14ac:dyDescent="0.25">
      <c r="A27" s="325" t="str">
        <f>" Egalik huquqi "&amp;malumot!B124&amp;"ga tegishli bo'lgan "&amp;malumot!B132&amp;", "&amp;malumot!B140&amp;", davlat raqam belgisi "&amp;malumot!B133&amp;", "&amp;malumot!B134&amp;", "&amp;malumot!B137&amp;" avtotransport vositasi "</f>
        <v xml:space="preserve"> Egalik huquqi TUYEV SHOXRUX UTKIROVICHga tegishli bo'lgan CHEVROLET LACETTI, rangi -  KO'K DARKMOON BLUE MET, ishlab chiqarilgan yili - 2023, davlat raqam belgisi 85L007TA, kuzov turi - YENGIL SEDAN, kuzov raqami XWB5V31BVPA581883, dvigatel raqami B15D211232522 MTDX0591, shassi raqami -  - avtotransport vositasi </v>
      </c>
      <c r="B27" s="325"/>
      <c r="C27" s="325"/>
      <c r="D27" s="325"/>
    </row>
    <row r="28" spans="1:5" ht="93.75" hidden="1" customHeight="1" x14ac:dyDescent="0.25">
      <c r="A28" s="325" t="str">
        <f>"  Egalik huquqi "&amp;malumot!B124&amp;"ga tegishli bo'lgan garovga olingan avtomobil markasi   "&amp;malumot!B132&amp;", "&amp;malumot!B140&amp;", davlat raqam belgisi "&amp;malumot!B133&amp;", "&amp;malumot!B134&amp;", "&amp;malumot!B137&amp;""</f>
        <v xml:space="preserve">  Egalik huquqi TUYEV SHOXRUX UTKIROVICHga tegishli bo'lgan garovga olingan avtomobil markasi   CHEVROLET LACETTI, rangi -  KO'K DARKMOON BLUE MET, ishlab chiqarilgan yili - 2023, davlat raqam belgisi 85L007TA, kuzov turi - YENGIL SEDAN, kuzov raqami XWB5V31BVPA581883, dvigatel raqami B15D211232522 MTDX0591, shassi raqami -  -</v>
      </c>
      <c r="B28" s="325"/>
      <c r="C28" s="325"/>
      <c r="D28" s="325"/>
    </row>
    <row r="29" spans="1:5" ht="40.5" customHeight="1" x14ac:dyDescent="0.25">
      <c r="A29" s="266" t="str">
        <f>"2. 	«"&amp;malumot!B154&amp;"» АJ sug‘urta kompaniyasi tomonidan Mikroqarz to'lamaslik xavfini "&amp;FIXED(malumot!B155,2)&amp;"("&amp;malumot!B156&amp;") so ' m miqdoriga sug’urta qilish"</f>
        <v>2. 	«АО "APEX INSURANCE"» АJ sug‘urta kompaniyasi tomonidan Mikroqarz to'lamaslik xavfini 32 500 000,00(o'ttiz ikki million besh yuz ming so'm) so ' m miqdoriga sug’urta qilish</v>
      </c>
      <c r="B29" s="266"/>
      <c r="C29" s="266"/>
      <c r="D29" s="266"/>
    </row>
    <row r="30" spans="1:5" ht="10.5" hidden="1" customHeight="1" x14ac:dyDescent="0.25">
      <c r="A30" s="354"/>
      <c r="B30" s="354"/>
      <c r="C30" s="354"/>
      <c r="D30" s="354"/>
    </row>
    <row r="31" spans="1:5" ht="53.25" customHeight="1" x14ac:dyDescent="0.25">
      <c r="A31" s="325" t="str">
        <f>"Mazkur ariza bilan "&amp;malumot!B158&amp;"ga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1" s="325"/>
      <c r="C31" s="325"/>
      <c r="D31" s="325"/>
    </row>
    <row r="32" spans="1:5" ht="15.75" customHeight="1" x14ac:dyDescent="0.25">
      <c r="A32" s="325" t="s">
        <v>243</v>
      </c>
      <c r="B32" s="325"/>
      <c r="C32" s="325"/>
      <c r="D32" s="325"/>
    </row>
    <row r="33" spans="1:4" x14ac:dyDescent="0.25">
      <c r="A33" s="325" t="s">
        <v>244</v>
      </c>
      <c r="B33" s="325"/>
      <c r="C33" s="325"/>
      <c r="D33" s="325"/>
    </row>
    <row r="34" spans="1:4" x14ac:dyDescent="0.25">
      <c r="A34" s="325" t="s">
        <v>245</v>
      </c>
      <c r="B34" s="325"/>
      <c r="C34" s="325"/>
      <c r="D34" s="325"/>
    </row>
    <row r="35" spans="1:4" x14ac:dyDescent="0.25">
      <c r="A35" s="354" t="str">
        <f>"Ariza berilgan sana: "&amp;TEXT(malumot!B2,"ДД.ММ.ГГГГ")&amp;"y."</f>
        <v>Ariza berilgan sana: 29.01.2026y.</v>
      </c>
      <c r="B35" s="354"/>
      <c r="C35" s="354"/>
      <c r="D35" s="354"/>
    </row>
    <row r="36" spans="1:4" hidden="1" x14ac:dyDescent="0.25">
      <c r="A36" s="354"/>
      <c r="B36" s="354"/>
      <c r="C36" s="354"/>
      <c r="D36" s="354"/>
    </row>
    <row r="37" spans="1:4" ht="45.75" customHeight="1" x14ac:dyDescent="0.25">
      <c r="A37" s="354" t="s">
        <v>246</v>
      </c>
      <c r="B37" s="354"/>
      <c r="C37" s="354"/>
      <c r="D37" s="354"/>
    </row>
    <row r="38" spans="1:4" hidden="1" x14ac:dyDescent="0.25">
      <c r="A38" s="354"/>
      <c r="B38" s="354"/>
      <c r="C38" s="354"/>
      <c r="D38" s="354"/>
    </row>
    <row r="39" spans="1:4" ht="11.25" customHeight="1" x14ac:dyDescent="0.25">
      <c r="A39" s="354"/>
      <c r="B39" s="354"/>
      <c r="C39" s="354"/>
      <c r="D39" s="354"/>
    </row>
    <row r="40" spans="1:4" ht="15.75" customHeight="1" x14ac:dyDescent="0.25">
      <c r="A40" s="322" t="str">
        <f>malumot!B5</f>
        <v>TUYEV SHOXRUX UTKIROVICH</v>
      </c>
      <c r="B40" s="322"/>
      <c r="C40" s="322"/>
      <c r="D40" s="190" t="s">
        <v>386</v>
      </c>
    </row>
    <row r="41" spans="1:4" x14ac:dyDescent="0.25">
      <c r="A41" s="9"/>
      <c r="B41" s="9"/>
      <c r="D41" s="10" t="s">
        <v>323</v>
      </c>
    </row>
    <row r="42" spans="1:4" x14ac:dyDescent="0.25">
      <c r="A42" s="354"/>
      <c r="B42" s="354"/>
      <c r="C42" s="354"/>
      <c r="D42" s="354"/>
    </row>
    <row r="43" spans="1:4" x14ac:dyDescent="0.25">
      <c r="A43" s="11" t="str">
        <f>malumot!A161</f>
        <v>Navoiy viloyati filial menejeri</v>
      </c>
      <c r="B43" s="188"/>
      <c r="C43" s="188"/>
      <c r="D43" s="188" t="str">
        <f>malumot!B161</f>
        <v>Sh.Xayriyev</v>
      </c>
    </row>
    <row r="44" spans="1:4" x14ac:dyDescent="0.25">
      <c r="A44" s="141"/>
      <c r="B44" s="141"/>
      <c r="C44" s="141"/>
      <c r="D44" s="141"/>
    </row>
    <row r="45" spans="1:4" x14ac:dyDescent="0.25">
      <c r="A45" s="141"/>
      <c r="B45" s="141"/>
      <c r="C45" s="141"/>
      <c r="D45" s="141"/>
    </row>
    <row r="46" spans="1:4" x14ac:dyDescent="0.25">
      <c r="A46" s="141"/>
      <c r="B46" s="141"/>
      <c r="C46" s="141"/>
      <c r="D46" s="141"/>
    </row>
    <row r="47" spans="1:4" x14ac:dyDescent="0.25">
      <c r="A47" s="354"/>
      <c r="B47" s="354"/>
      <c r="C47" s="354"/>
      <c r="D47" s="354"/>
    </row>
    <row r="48" spans="1:4" x14ac:dyDescent="0.25">
      <c r="A48" s="354"/>
      <c r="B48" s="354"/>
      <c r="C48" s="354"/>
      <c r="D48" s="354"/>
    </row>
    <row r="49" spans="1:4" x14ac:dyDescent="0.25">
      <c r="A49" s="354"/>
      <c r="B49" s="354"/>
      <c r="C49" s="354"/>
      <c r="D49" s="354"/>
    </row>
    <row r="50" spans="1:4" x14ac:dyDescent="0.25">
      <c r="A50" s="354"/>
      <c r="B50" s="354"/>
      <c r="C50" s="354"/>
      <c r="D50" s="354"/>
    </row>
    <row r="51" spans="1:4" x14ac:dyDescent="0.25">
      <c r="A51" s="354"/>
      <c r="B51" s="354"/>
      <c r="C51" s="354"/>
      <c r="D51" s="354"/>
    </row>
    <row r="52" spans="1:4" x14ac:dyDescent="0.25">
      <c r="A52" s="354"/>
      <c r="B52" s="354"/>
      <c r="C52" s="354"/>
      <c r="D52" s="354"/>
    </row>
    <row r="53" spans="1:4" x14ac:dyDescent="0.25">
      <c r="A53" s="354"/>
      <c r="B53" s="354"/>
      <c r="C53" s="354"/>
      <c r="D53" s="354"/>
    </row>
    <row r="54" spans="1:4" x14ac:dyDescent="0.25">
      <c r="A54" s="354"/>
      <c r="B54" s="354"/>
      <c r="C54" s="354"/>
      <c r="D54" s="354"/>
    </row>
    <row r="55" spans="1:4" x14ac:dyDescent="0.25">
      <c r="A55" s="354"/>
      <c r="B55" s="354"/>
      <c r="C55" s="354"/>
      <c r="D55" s="354"/>
    </row>
    <row r="56" spans="1:4" x14ac:dyDescent="0.25">
      <c r="A56" s="354"/>
      <c r="B56" s="354"/>
      <c r="C56" s="354"/>
      <c r="D56" s="354"/>
    </row>
    <row r="57" spans="1:4" x14ac:dyDescent="0.25">
      <c r="A57" s="354"/>
      <c r="B57" s="354"/>
      <c r="C57" s="354"/>
      <c r="D57" s="354"/>
    </row>
    <row r="58" spans="1:4" x14ac:dyDescent="0.25">
      <c r="A58" s="354"/>
      <c r="B58" s="354"/>
      <c r="C58" s="354"/>
      <c r="D58" s="354"/>
    </row>
    <row r="59" spans="1:4" x14ac:dyDescent="0.25">
      <c r="A59" s="354"/>
      <c r="B59" s="354"/>
      <c r="C59" s="354"/>
      <c r="D59" s="354"/>
    </row>
    <row r="60" spans="1:4" x14ac:dyDescent="0.25">
      <c r="A60" s="354"/>
      <c r="B60" s="354"/>
      <c r="C60" s="354"/>
      <c r="D60" s="354"/>
    </row>
    <row r="61" spans="1:4" x14ac:dyDescent="0.25">
      <c r="A61" s="354"/>
      <c r="B61" s="354"/>
      <c r="C61" s="354"/>
      <c r="D61" s="354"/>
    </row>
    <row r="62" spans="1:4" x14ac:dyDescent="0.25">
      <c r="A62" s="354"/>
      <c r="B62" s="354"/>
      <c r="C62" s="354"/>
      <c r="D62" s="354"/>
    </row>
    <row r="63" spans="1:4" x14ac:dyDescent="0.25">
      <c r="A63" s="354"/>
      <c r="B63" s="354"/>
      <c r="C63" s="354"/>
      <c r="D63" s="354"/>
    </row>
    <row r="64" spans="1:4" x14ac:dyDescent="0.25">
      <c r="A64" s="354"/>
      <c r="B64" s="354"/>
      <c r="C64" s="354"/>
      <c r="D64" s="354"/>
    </row>
    <row r="65" spans="1:4" x14ac:dyDescent="0.25">
      <c r="A65" s="354"/>
      <c r="B65" s="354"/>
      <c r="C65" s="354"/>
      <c r="D65" s="354"/>
    </row>
    <row r="66" spans="1:4" x14ac:dyDescent="0.25">
      <c r="A66" s="354"/>
      <c r="B66" s="354"/>
      <c r="C66" s="354"/>
      <c r="D66" s="354"/>
    </row>
    <row r="67" spans="1:4" x14ac:dyDescent="0.25">
      <c r="A67" s="354"/>
      <c r="B67" s="354"/>
      <c r="C67" s="354"/>
      <c r="D67" s="354"/>
    </row>
    <row r="68" spans="1:4" x14ac:dyDescent="0.25">
      <c r="A68" s="354"/>
      <c r="B68" s="354"/>
      <c r="C68" s="354"/>
      <c r="D68" s="354"/>
    </row>
    <row r="69" spans="1:4" x14ac:dyDescent="0.25">
      <c r="A69" s="354"/>
      <c r="B69" s="354"/>
      <c r="C69" s="354"/>
      <c r="D69" s="354"/>
    </row>
    <row r="70" spans="1:4" x14ac:dyDescent="0.25">
      <c r="A70" s="354"/>
      <c r="B70" s="354"/>
      <c r="C70" s="354"/>
      <c r="D70" s="354"/>
    </row>
    <row r="71" spans="1:4" x14ac:dyDescent="0.25">
      <c r="A71" s="354"/>
      <c r="B71" s="354"/>
      <c r="C71" s="354"/>
      <c r="D71" s="354"/>
    </row>
    <row r="72" spans="1:4" x14ac:dyDescent="0.25">
      <c r="A72" s="354"/>
      <c r="B72" s="354"/>
      <c r="C72" s="354"/>
      <c r="D72" s="354"/>
    </row>
    <row r="73" spans="1:4" x14ac:dyDescent="0.25">
      <c r="A73" s="354"/>
      <c r="B73" s="354"/>
      <c r="C73" s="354"/>
      <c r="D73" s="354"/>
    </row>
    <row r="74" spans="1:4" x14ac:dyDescent="0.25">
      <c r="A74" s="354"/>
      <c r="B74" s="354"/>
      <c r="C74" s="354"/>
      <c r="D74" s="354"/>
    </row>
    <row r="75" spans="1:4" x14ac:dyDescent="0.25">
      <c r="A75" s="354"/>
      <c r="B75" s="354"/>
      <c r="C75" s="354"/>
      <c r="D75" s="354"/>
    </row>
    <row r="76" spans="1:4" x14ac:dyDescent="0.25">
      <c r="A76" s="354"/>
      <c r="B76" s="354"/>
      <c r="C76" s="354"/>
      <c r="D76" s="354"/>
    </row>
    <row r="77" spans="1:4" x14ac:dyDescent="0.25">
      <c r="A77" s="354"/>
      <c r="B77" s="354"/>
      <c r="C77" s="354"/>
      <c r="D77" s="354"/>
    </row>
    <row r="78" spans="1:4" x14ac:dyDescent="0.25">
      <c r="A78" s="354"/>
      <c r="B78" s="354"/>
      <c r="C78" s="354"/>
      <c r="D78" s="354"/>
    </row>
  </sheetData>
  <mergeCells count="71">
    <mergeCell ref="A76:D76"/>
    <mergeCell ref="A77:D77"/>
    <mergeCell ref="A78:D78"/>
    <mergeCell ref="A40:C40"/>
    <mergeCell ref="A71:D71"/>
    <mergeCell ref="A72:D72"/>
    <mergeCell ref="A73:D73"/>
    <mergeCell ref="A74:D74"/>
    <mergeCell ref="A75:D75"/>
    <mergeCell ref="A66:D66"/>
    <mergeCell ref="A67:D67"/>
    <mergeCell ref="A68:D68"/>
    <mergeCell ref="A69:D69"/>
    <mergeCell ref="A70:D70"/>
    <mergeCell ref="A61:D61"/>
    <mergeCell ref="A62:D62"/>
    <mergeCell ref="A64:D64"/>
    <mergeCell ref="A65:D65"/>
    <mergeCell ref="A56:D56"/>
    <mergeCell ref="A57:D57"/>
    <mergeCell ref="A58:D58"/>
    <mergeCell ref="A59:D59"/>
    <mergeCell ref="A60:D60"/>
    <mergeCell ref="A52:D52"/>
    <mergeCell ref="A53:D53"/>
    <mergeCell ref="A54:D54"/>
    <mergeCell ref="A55:D55"/>
    <mergeCell ref="A63:D63"/>
    <mergeCell ref="A47:D47"/>
    <mergeCell ref="A48:D48"/>
    <mergeCell ref="A49:D49"/>
    <mergeCell ref="A50:D50"/>
    <mergeCell ref="A51:D51"/>
    <mergeCell ref="A35:D35"/>
    <mergeCell ref="A42:D42"/>
    <mergeCell ref="A36:D36"/>
    <mergeCell ref="A37:D37"/>
    <mergeCell ref="A38:D38"/>
    <mergeCell ref="A39:D39"/>
    <mergeCell ref="A31:D31"/>
    <mergeCell ref="A32:D32"/>
    <mergeCell ref="A33:D33"/>
    <mergeCell ref="A34:D34"/>
    <mergeCell ref="A28:D28"/>
    <mergeCell ref="A30:D30"/>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3" customWidth="1"/>
    <col min="2" max="2" width="21.28515625" style="13" customWidth="1"/>
    <col min="3" max="3" width="19.140625" style="13" customWidth="1"/>
    <col min="4" max="5" width="21.28515625" style="13" customWidth="1"/>
    <col min="6" max="16384" width="9.140625" style="13"/>
  </cols>
  <sheetData>
    <row r="2" spans="1:5" x14ac:dyDescent="0.25">
      <c r="A2" s="98" t="s">
        <v>45</v>
      </c>
    </row>
    <row r="3" spans="1:5" x14ac:dyDescent="0.25">
      <c r="A3" s="98" t="s">
        <v>46</v>
      </c>
    </row>
    <row r="6" spans="1:5" ht="20.25" customHeight="1" x14ac:dyDescent="0.25">
      <c r="E6" s="99" t="s">
        <v>33</v>
      </c>
    </row>
    <row r="7" spans="1:5" x14ac:dyDescent="0.25">
      <c r="E7" s="99" t="s">
        <v>47</v>
      </c>
    </row>
    <row r="9" spans="1:5" ht="107.25" customHeight="1" x14ac:dyDescent="0.25">
      <c r="A9" s="356" t="str">
        <f>"          Между ООО «Clever Mikrokredit Tashkiloti» и "&amp;malumot!B5&amp;"  (паспорт: "&amp;malumot!B16&amp;" "&amp;malumot!B20&amp;") заключен договор микрозайма "&amp;malumot!B74&amp;", на сумму "&amp;FIXED(malumot!B76)&amp;" ("&amp;malumot!B77&amp;") сум, сроком на "&amp;malumot!B82&amp;" ("&amp;malumot!B83&amp;") месяцев. В качестве своевременного исполнения обязательств по договору Микрозайма "&amp;malumot!B74&amp;" планирует предоставить нижеследующее "&amp;IF(malumot!B110=malumot!C110,"автотранспортного средство марки "&amp;malumot!B132&amp;" принадлежащее на правах собственности "&amp;malumot!B124&amp;"","недвижимого имущества в виде "&amp;malumot!C133&amp;", общей площадью - "&amp;malumot!C137&amp;" и жилой площадью - "&amp;malumot!C140&amp;", расположенного по адресу: "&amp;malumot!C130&amp;", принадлежащее на правах собственности "&amp;malumot!C124&amp;".")</f>
        <v xml:space="preserve">          Между ООО «Clever Mikrokredit Tashkiloti» и TUYEV SHOXRUX UTKIROVICH  (паспорт: AE1115640 IIV12208 tomonidan 09.01.2025 yilda berilgan) заключен договор микрозайма 29 yanvar 2026 y.dan №244-NVS, на сумму 100 000 000,00 (yuz million so'm) сум, сроком на 48 (Qirq sakkiz  ) месяцев. В качестве своевременного исполнения обязательств по договору Микрозайма 29 yanvar 2026 y.dan №244-NVS планирует предоставить нижеследующее автотранспортного средство марки CHEVROLET LACETTI принадлежащее на правах собственности TUYEV SHOXRUX UTKIROVICH</v>
      </c>
      <c r="B9" s="356"/>
      <c r="C9" s="356"/>
      <c r="D9" s="356"/>
      <c r="E9" s="356"/>
    </row>
    <row r="11" spans="1:5" ht="28.5" x14ac:dyDescent="0.25">
      <c r="A11" s="36" t="str">
        <f>buyruq!A17</f>
        <v>Nomi</v>
      </c>
      <c r="B11" s="36" t="str">
        <f>buyruq!B17</f>
        <v>Kuzov turi  va kuzov raqami*</v>
      </c>
      <c r="C11" s="36" t="str">
        <f>buyruq!C17</f>
        <v>Dvigatel va shassi raqami*</v>
      </c>
      <c r="D11" s="36" t="str">
        <f>buyruq!D17</f>
        <v>Ishlab chiqarilgan yili va rangi*</v>
      </c>
      <c r="E11" s="36" t="str">
        <f>buyruq!E17</f>
        <v>Kelishilgan garov qiymati, so'm</v>
      </c>
    </row>
    <row r="12" spans="1:5" ht="73.5" customHeight="1" x14ac:dyDescent="0.25">
      <c r="A12" s="36" t="str">
        <f>buyruq!A18</f>
        <v>CHEVROLET LACETTI</v>
      </c>
      <c r="B12" s="36" t="str">
        <f>buyruq!B18</f>
        <v>kuzov turi - YENGIL SEDAN, kuzov raqami XWB5V31BVPA581883</v>
      </c>
      <c r="C12" s="36" t="str">
        <f>buyruq!C18</f>
        <v>dvigatel raqami B15D211232522 MTDX0591, shassi raqami -  -</v>
      </c>
      <c r="D12" s="36" t="str">
        <f>buyruq!D18</f>
        <v>rangi -  KO'K DARKMOON BLUE MET, ishlab chiqarilgan yili - 2023</v>
      </c>
      <c r="E12" s="36" t="str">
        <f>buyruq!E18</f>
        <v>105 000 000,00 
(yuz besh million so'm)</v>
      </c>
    </row>
    <row r="13" spans="1:5" x14ac:dyDescent="0.25">
      <c r="A13" s="360" t="str">
        <f>buyruq!A19:E19</f>
        <v>-* avtotransport egasi: TUYEV SHOXRUX UTKIROVICH</v>
      </c>
      <c r="B13" s="360"/>
      <c r="C13" s="360"/>
      <c r="D13" s="360"/>
      <c r="E13" s="360"/>
    </row>
    <row r="14" spans="1:5" x14ac:dyDescent="0.25">
      <c r="A14" s="360" t="str">
        <f>buyruq!A20:E20</f>
        <v>-* texnik pasport: AAG7978970    28.01.2026y</v>
      </c>
      <c r="B14" s="360"/>
      <c r="C14" s="360"/>
      <c r="D14" s="360"/>
      <c r="E14" s="360"/>
    </row>
    <row r="15" spans="1:5" x14ac:dyDescent="0.25">
      <c r="A15" s="360" t="str">
        <f>buyruq!A21:E21</f>
        <v>-* roʻyxatdan oʻtgan manzili/garaj manzili: NAVOIY VILOYATI  QIZILTEPA TUMANI A.NAVOIY MFY SHODLIK  KO'CHASI 6-UY</v>
      </c>
      <c r="B15" s="360"/>
      <c r="C15" s="360"/>
      <c r="D15" s="360"/>
      <c r="E15" s="360"/>
    </row>
    <row r="16" spans="1:5" x14ac:dyDescent="0.25">
      <c r="A16" s="360" t="str">
        <f>buyruq!A22:E22</f>
        <v>-* davlat raqami: 85L007TA</v>
      </c>
      <c r="B16" s="360"/>
      <c r="C16" s="360"/>
      <c r="D16" s="360"/>
      <c r="E16" s="360"/>
    </row>
    <row r="17" spans="1:5" ht="3" customHeight="1" x14ac:dyDescent="0.25"/>
    <row r="19" spans="1:5" ht="59.25" hidden="1" customHeight="1" x14ac:dyDescent="0.25">
      <c r="A19" s="36" t="str">
        <f>dalolatnoma!A32</f>
        <v>Наименование</v>
      </c>
      <c r="B19" s="36" t="str">
        <f>dalolatnoma!B32</f>
        <v>Полезная площадь</v>
      </c>
      <c r="C19" s="36" t="str">
        <f>dalolatnoma!C32</f>
        <v>Жилая площадь</v>
      </c>
      <c r="D19" s="36" t="str">
        <f>dalolatnoma!D32</f>
        <v>Общая площадь</v>
      </c>
      <c r="E19" s="36" t="str">
        <f>dalolatnoma!E32</f>
        <v>Согласованная залоговая стоимость, сум</v>
      </c>
    </row>
    <row r="20" spans="1:5" ht="17.25" hidden="1" customHeight="1" x14ac:dyDescent="0.25">
      <c r="A20" s="15" t="e">
        <f>dalolatnoma!A33</f>
        <v>#REF!</v>
      </c>
      <c r="B20" s="15" t="e">
        <f>dalolatnoma!B33</f>
        <v>#REF!</v>
      </c>
      <c r="C20" s="15" t="e">
        <f>dalolatnoma!C33</f>
        <v>#REF!</v>
      </c>
      <c r="D20" s="15" t="e">
        <f>dalolatnoma!D33</f>
        <v>#REF!</v>
      </c>
      <c r="E20" s="313" t="str">
        <f>""&amp;FIXED(malumot!C143,2)&amp;" ("&amp;malumot!C144&amp;")"</f>
        <v>105 000 000,00 (yuz besh million so'm)</v>
      </c>
    </row>
    <row r="21" spans="1:5" ht="17.25" hidden="1" customHeight="1" x14ac:dyDescent="0.25">
      <c r="A21" s="15">
        <f>dalolatnoma!A34</f>
        <v>0</v>
      </c>
      <c r="B21" s="15">
        <f>dalolatnoma!B34</f>
        <v>0</v>
      </c>
      <c r="C21" s="15">
        <f>dalolatnoma!C34</f>
        <v>0</v>
      </c>
      <c r="D21" s="15">
        <f>dalolatnoma!D34</f>
        <v>0</v>
      </c>
      <c r="E21" s="314"/>
    </row>
    <row r="22" spans="1:5" ht="17.25" hidden="1" customHeight="1" x14ac:dyDescent="0.25">
      <c r="A22" s="15" t="e">
        <f>dalolatnoma!A35</f>
        <v>#REF!</v>
      </c>
      <c r="B22" s="15" t="e">
        <f>dalolatnoma!B35</f>
        <v>#REF!</v>
      </c>
      <c r="C22" s="15" t="e">
        <f>dalolatnoma!C35</f>
        <v>#REF!</v>
      </c>
      <c r="D22" s="15" t="e">
        <f>dalolatnoma!D35</f>
        <v>#REF!</v>
      </c>
      <c r="E22" s="314"/>
    </row>
    <row r="23" spans="1:5" ht="17.25" hidden="1" customHeight="1" x14ac:dyDescent="0.25">
      <c r="A23" s="15" t="e">
        <f>dalolatnoma!A36</f>
        <v>#REF!</v>
      </c>
      <c r="B23" s="15" t="e">
        <f>dalolatnoma!B36</f>
        <v>#REF!</v>
      </c>
      <c r="C23" s="15" t="e">
        <f>dalolatnoma!C36</f>
        <v>#REF!</v>
      </c>
      <c r="D23" s="15" t="e">
        <f>dalolatnoma!D36</f>
        <v>#REF!</v>
      </c>
      <c r="E23" s="314"/>
    </row>
    <row r="24" spans="1:5" ht="17.25" hidden="1" customHeight="1" x14ac:dyDescent="0.25">
      <c r="A24" s="15" t="e">
        <f>dalolatnoma!A37</f>
        <v>#REF!</v>
      </c>
      <c r="B24" s="15" t="e">
        <f>dalolatnoma!B37</f>
        <v>#REF!</v>
      </c>
      <c r="C24" s="15" t="e">
        <f>dalolatnoma!C37</f>
        <v>#REF!</v>
      </c>
      <c r="D24" s="15" t="e">
        <f>dalolatnoma!D37</f>
        <v>#REF!</v>
      </c>
      <c r="E24" s="314"/>
    </row>
    <row r="25" spans="1:5" ht="15.75" hidden="1" customHeight="1" x14ac:dyDescent="0.25">
      <c r="A25" s="15" t="e">
        <f>dalolatnoma!A38</f>
        <v>#REF!</v>
      </c>
      <c r="B25" s="15" t="e">
        <f>dalolatnoma!B38</f>
        <v>#REF!</v>
      </c>
      <c r="C25" s="15" t="e">
        <f>dalolatnoma!C38</f>
        <v>#REF!</v>
      </c>
      <c r="D25" s="15" t="e">
        <f>dalolatnoma!D38</f>
        <v>#REF!</v>
      </c>
      <c r="E25" s="314"/>
    </row>
    <row r="26" spans="1:5" ht="17.25" hidden="1" customHeight="1" x14ac:dyDescent="0.25">
      <c r="A26" s="15" t="e">
        <f>dalolatnoma!A39</f>
        <v>#REF!</v>
      </c>
      <c r="B26" s="15" t="e">
        <f>dalolatnoma!B39</f>
        <v>#REF!</v>
      </c>
      <c r="C26" s="15" t="e">
        <f>dalolatnoma!C39</f>
        <v>#REF!</v>
      </c>
      <c r="D26" s="15" t="e">
        <f>dalolatnoma!D39</f>
        <v>#REF!</v>
      </c>
      <c r="E26" s="314"/>
    </row>
    <row r="27" spans="1:5" ht="17.25" hidden="1" customHeight="1" x14ac:dyDescent="0.25">
      <c r="A27" s="15" t="e">
        <f>dalolatnoma!A40</f>
        <v>#REF!</v>
      </c>
      <c r="B27" s="15" t="e">
        <f>dalolatnoma!B40</f>
        <v>#REF!</v>
      </c>
      <c r="C27" s="15" t="e">
        <f>dalolatnoma!C40</f>
        <v>#REF!</v>
      </c>
      <c r="D27" s="15" t="e">
        <f>dalolatnoma!D40</f>
        <v>#REF!</v>
      </c>
      <c r="E27" s="314"/>
    </row>
    <row r="28" spans="1:5" ht="17.25" hidden="1" customHeight="1" x14ac:dyDescent="0.25">
      <c r="A28" s="15" t="e">
        <f>dalolatnoma!A41</f>
        <v>#REF!</v>
      </c>
      <c r="B28" s="15" t="e">
        <f>dalolatnoma!B41</f>
        <v>#REF!</v>
      </c>
      <c r="C28" s="15" t="e">
        <f>dalolatnoma!C41</f>
        <v>#REF!</v>
      </c>
      <c r="D28" s="15" t="e">
        <f>dalolatnoma!D41</f>
        <v>#REF!</v>
      </c>
      <c r="E28" s="314"/>
    </row>
    <row r="29" spans="1:5" ht="17.25" hidden="1" customHeight="1" x14ac:dyDescent="0.25">
      <c r="A29" s="15" t="e">
        <f>dalolatnoma!A42</f>
        <v>#REF!</v>
      </c>
      <c r="B29" s="15" t="e">
        <f>dalolatnoma!B42</f>
        <v>#REF!</v>
      </c>
      <c r="C29" s="15" t="e">
        <f>dalolatnoma!C42</f>
        <v>#REF!</v>
      </c>
      <c r="D29" s="15" t="e">
        <f>dalolatnoma!D42</f>
        <v>#REF!</v>
      </c>
      <c r="E29" s="314"/>
    </row>
    <row r="30" spans="1:5" ht="17.25" hidden="1" customHeight="1" x14ac:dyDescent="0.25">
      <c r="A30" s="15" t="e">
        <f>dalolatnoma!A43</f>
        <v>#REF!</v>
      </c>
      <c r="B30" s="15" t="e">
        <f>dalolatnoma!B43</f>
        <v>#REF!</v>
      </c>
      <c r="C30" s="15" t="e">
        <f>dalolatnoma!C43</f>
        <v>#REF!</v>
      </c>
      <c r="D30" s="15" t="e">
        <f>dalolatnoma!D43</f>
        <v>#REF!</v>
      </c>
      <c r="E30" s="315"/>
    </row>
    <row r="31" spans="1:5" ht="17.25" hidden="1" customHeight="1" x14ac:dyDescent="0.25">
      <c r="A31" s="15" t="e">
        <f>dalolatnoma!A44</f>
        <v>#REF!</v>
      </c>
      <c r="B31" s="15" t="e">
        <f>dalolatnoma!B44</f>
        <v>#REF!</v>
      </c>
      <c r="C31" s="15" t="e">
        <f>dalolatnoma!C44</f>
        <v>#REF!</v>
      </c>
      <c r="D31" s="15" t="e">
        <f>dalolatnoma!D44</f>
        <v>#REF!</v>
      </c>
      <c r="E31" s="15" t="str">
        <f>dalolatnoma!E44</f>
        <v>105 000 000,00</v>
      </c>
    </row>
    <row r="32" spans="1:5" ht="18.75" hidden="1" customHeight="1" x14ac:dyDescent="0.25">
      <c r="A32" s="356" t="e">
        <f>_xlfn.SINGLE(dalolatnoma!#REF!)</f>
        <v>#REF!</v>
      </c>
      <c r="B32" s="356"/>
      <c r="C32" s="356"/>
      <c r="D32" s="356"/>
      <c r="E32" s="356"/>
    </row>
    <row r="33" spans="1:5" ht="24.75" hidden="1" customHeight="1" x14ac:dyDescent="0.25">
      <c r="A33" s="356" t="e">
        <f>_xlfn.SINGLE(dalolatnoma!#REF!)</f>
        <v>#REF!</v>
      </c>
      <c r="B33" s="356"/>
      <c r="C33" s="356"/>
      <c r="D33" s="356"/>
      <c r="E33" s="356"/>
    </row>
    <row r="34" spans="1:5" ht="30.75" hidden="1" customHeight="1" x14ac:dyDescent="0.25">
      <c r="A34" s="356" t="e">
        <f>_xlfn.SINGLE(dalolatnoma!#REF!)</f>
        <v>#REF!</v>
      </c>
      <c r="B34" s="356"/>
      <c r="C34" s="356"/>
      <c r="D34" s="356"/>
      <c r="E34" s="356"/>
    </row>
    <row r="35" spans="1:5" ht="15" hidden="1" customHeight="1" x14ac:dyDescent="0.25">
      <c r="A35" s="356" t="e">
        <f>_xlfn.SINGLE(dalolatnoma!#REF!)</f>
        <v>#REF!</v>
      </c>
      <c r="B35" s="356"/>
      <c r="C35" s="356"/>
      <c r="D35" s="356"/>
      <c r="E35" s="356"/>
    </row>
    <row r="36" spans="1:5" x14ac:dyDescent="0.25">
      <c r="A36" s="19"/>
      <c r="B36" s="19"/>
      <c r="C36" s="19"/>
      <c r="D36" s="19"/>
      <c r="E36" s="19"/>
    </row>
    <row r="37" spans="1:5" s="120" customFormat="1" ht="51" customHeight="1" x14ac:dyDescent="0.25">
      <c r="A37" s="359"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59"/>
      <c r="C37" s="359"/>
      <c r="D37" s="359"/>
      <c r="E37" s="359"/>
    </row>
    <row r="38" spans="1:5" ht="40.5" customHeight="1" x14ac:dyDescent="0.25">
      <c r="A38" s="356" t="str">
        <f>dalolatnoma!A47:E47</f>
        <v>Shu bilan birga, garov predmetining kelishilgan garov qiymati deganda ushbu mulk garov sifatida taqdim etilgan/qabul qilingan qiymati tushuniladi.</v>
      </c>
      <c r="B38" s="356"/>
      <c r="C38" s="356"/>
      <c r="D38" s="356"/>
      <c r="E38" s="356"/>
    </row>
    <row r="39" spans="1:5" ht="39" customHeight="1" x14ac:dyDescent="0.25">
      <c r="A39" s="356"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29 yanvar 2026 y.dan №244-NVS, при сохранении запрета.</v>
      </c>
      <c r="B39" s="356"/>
      <c r="C39" s="356"/>
      <c r="D39" s="356"/>
      <c r="E39" s="356"/>
    </row>
    <row r="40" spans="1:5" x14ac:dyDescent="0.25">
      <c r="A40" s="357"/>
      <c r="B40" s="357"/>
      <c r="C40" s="357"/>
      <c r="D40" s="357"/>
      <c r="E40" s="357"/>
    </row>
    <row r="41" spans="1:5" x14ac:dyDescent="0.25">
      <c r="A41" s="358" t="s">
        <v>34</v>
      </c>
      <c r="B41" s="358"/>
      <c r="C41" s="358"/>
      <c r="D41" s="358"/>
      <c r="E41" s="358"/>
    </row>
    <row r="42" spans="1:5" x14ac:dyDescent="0.25">
      <c r="A42" s="357"/>
      <c r="B42" s="357"/>
      <c r="C42" s="357"/>
      <c r="D42" s="357"/>
      <c r="E42" s="357"/>
    </row>
    <row r="43" spans="1:5" x14ac:dyDescent="0.25">
      <c r="A43" s="358" t="s">
        <v>35</v>
      </c>
      <c r="B43" s="358"/>
      <c r="C43" s="358"/>
      <c r="D43" s="358"/>
      <c r="E43" s="358"/>
    </row>
    <row r="44" spans="1:5" ht="28.5" customHeight="1" x14ac:dyDescent="0.25">
      <c r="A44" s="355" t="s">
        <v>36</v>
      </c>
      <c r="B44" s="355"/>
      <c r="C44" s="355"/>
      <c r="D44" s="355"/>
      <c r="E44" s="10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6">
    <tabColor rgb="FF00B050"/>
  </sheetPr>
  <dimension ref="A1:I31"/>
  <sheetViews>
    <sheetView view="pageBreakPreview" zoomScaleNormal="100" zoomScaleSheetLayoutView="100" workbookViewId="0">
      <selection activeCell="H31" sqref="H31"/>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363" t="str">
        <f>""&amp;" "&amp;malumot!B74&amp;"-sonli "&amp;" "&amp;malumot!C64&amp;" shartnomasi bo‘yicha
 garovga qo‘yilgan mol-mulkni tekshirish bo’yicha "&amp;malumot!B5&amp;" bilan tuzilgan dalolatnomasi"</f>
        <v xml:space="preserve"> 29 yanvar 2026 y.dan №244-NVS-sonli  Mikroqarz shartnomasi bo‘yicha
 garovga qo‘yilgan mol-mulkni tekshirish bo’yicha TUYEV SHOXRUX UTKIROVICH bilan tuzilgan dalolatnomasi</v>
      </c>
      <c r="B2" s="363"/>
      <c r="C2" s="363"/>
      <c r="D2" s="363"/>
      <c r="E2" s="363"/>
      <c r="F2" s="363"/>
      <c r="G2" s="363"/>
      <c r="H2" s="363"/>
      <c r="I2" s="28"/>
    </row>
    <row r="3" spans="1:9" x14ac:dyDescent="0.2">
      <c r="A3" s="363"/>
      <c r="B3" s="363"/>
      <c r="C3" s="363"/>
      <c r="D3" s="363"/>
      <c r="E3" s="363"/>
      <c r="F3" s="363"/>
      <c r="G3" s="363"/>
      <c r="H3" s="363"/>
      <c r="I3" s="28"/>
    </row>
    <row r="5" spans="1:9" x14ac:dyDescent="0.2">
      <c r="A5" s="21" t="s">
        <v>198</v>
      </c>
      <c r="H5" s="130" t="str">
        <f>TEXT(+malumot!B2+360,"ДД.ММ.ГГГГ")</f>
        <v>24.01.2027</v>
      </c>
    </row>
    <row r="7" spans="1:9" ht="45" customHeight="1" x14ac:dyDescent="0.2">
      <c r="A7" s="366" t="str">
        <f>"      Men, "&amp;malumot!B158&amp;" "&amp;malumot!A161&amp;"i "&amp;malumot!B161&amp;", jismoniy shaxs "&amp;" "&amp;malumot!B5&amp;" "&amp;" "&amp;malumot!B74&amp;"-sonli "&amp;malumot!C64&amp;" shartnomasi bo‘yicha garovga qo‘yilgan mol-mulkni ko‘zdan kechirdim"</f>
        <v xml:space="preserve">      Men, «CLEVER MIKROMOLIYA TASHKILOTI» MChJ Navoiy viloyati filial menejerii Sh.Xayriyev, jismoniy shaxs  TUYEV SHOXRUX UTKIROVICH  29 yanvar 2026 y.dan №244-NVS-sonli Mikroqarz shartnomasi bo‘yicha garovga qo‘yilgan mol-mulkni ko‘zdan kechirdim</v>
      </c>
      <c r="B7" s="366"/>
      <c r="C7" s="366"/>
      <c r="D7" s="366"/>
      <c r="E7" s="366"/>
      <c r="F7" s="366"/>
      <c r="G7" s="366"/>
      <c r="H7" s="366"/>
    </row>
    <row r="8" spans="1:9" ht="19.5" customHeight="1" x14ac:dyDescent="0.2">
      <c r="A8" s="367" t="s">
        <v>267</v>
      </c>
      <c r="B8" s="367"/>
      <c r="C8" s="367"/>
      <c r="D8" s="367"/>
      <c r="E8" s="367"/>
      <c r="F8" s="367"/>
      <c r="G8" s="367"/>
      <c r="H8" s="367"/>
    </row>
    <row r="9" spans="1:9" s="131" customFormat="1" ht="32.25" customHeight="1" x14ac:dyDescent="0.25">
      <c r="A9" s="361" t="str">
        <f>akt_monitoring_2!A9</f>
        <v>Nomi</v>
      </c>
      <c r="B9" s="362"/>
      <c r="C9" s="361" t="str">
        <f>akt_monitoring_2!C9</f>
        <v>Kuzov turi  va kuzov raqami*</v>
      </c>
      <c r="D9" s="362"/>
      <c r="E9" s="361" t="str">
        <f>akt_monitoring_2!E9</f>
        <v>Dvigatel va shassi raqami*</v>
      </c>
      <c r="F9" s="362"/>
      <c r="G9" s="361" t="str">
        <f>akt_monitoring_2!G9</f>
        <v>Ishlab chiqarilgan yili va rangi**</v>
      </c>
      <c r="H9" s="362"/>
    </row>
    <row r="10" spans="1:9" s="129" customFormat="1" ht="58.5" customHeight="1" x14ac:dyDescent="0.2">
      <c r="A10" s="369" t="str">
        <f>akt_monitoring_2!A10</f>
        <v>CHEVROLET LACETTI</v>
      </c>
      <c r="B10" s="369"/>
      <c r="C10" s="369" t="str">
        <f>akt_monitoring_2!C10</f>
        <v>kuzov turi - YENGIL SEDAN, kuzov raqami XWB5V31BVPA581883</v>
      </c>
      <c r="D10" s="369"/>
      <c r="E10" s="369" t="str">
        <f>akt_monitoring_2!E10</f>
        <v>dvigatel raqami B15D211232522 MTDX0591, shassi raqami -  -</v>
      </c>
      <c r="F10" s="369"/>
      <c r="G10" s="369" t="str">
        <f>akt_monitoring_2!G10</f>
        <v>rangi -  KO'K DARKMOON BLUE MET, ishlab chiqarilgan yili - 2023</v>
      </c>
      <c r="H10" s="369"/>
    </row>
    <row r="11" spans="1:9" ht="19.5" customHeight="1" x14ac:dyDescent="0.2">
      <c r="A11" s="364" t="str">
        <f>dalolatnoma!A22:E22</f>
        <v>-* avtotransport egasi: TUYEV SHOXRUX UTKIROVICH</v>
      </c>
      <c r="B11" s="364"/>
      <c r="C11" s="364"/>
      <c r="D11" s="364"/>
      <c r="E11" s="364"/>
      <c r="F11" s="364"/>
      <c r="G11" s="364"/>
      <c r="H11" s="364"/>
    </row>
    <row r="12" spans="1:9" ht="19.5" customHeight="1" x14ac:dyDescent="0.2">
      <c r="A12" s="364" t="str">
        <f>dalolatnoma!A23:E23</f>
        <v>-* texnik pasport: AAG7978970    28.01.2026y</v>
      </c>
      <c r="B12" s="364"/>
      <c r="C12" s="364"/>
      <c r="D12" s="364"/>
      <c r="E12" s="364"/>
      <c r="F12" s="364"/>
      <c r="G12" s="364"/>
      <c r="H12" s="364"/>
    </row>
    <row r="13" spans="1:9" ht="19.5" customHeight="1" x14ac:dyDescent="0.2">
      <c r="A13" s="364" t="str">
        <f>dalolatnoma!A24:E24</f>
        <v>-* roʻyxatdan oʻtgan manzili/garaj manzili: NAVOIY VILOYATI  QIZILTEPA TUMANI A.NAVOIY MFY SHODLIK  KO'CHASI 6-UY</v>
      </c>
      <c r="B13" s="364"/>
      <c r="C13" s="364"/>
      <c r="D13" s="364"/>
      <c r="E13" s="364"/>
      <c r="F13" s="364"/>
      <c r="G13" s="364"/>
      <c r="H13" s="364"/>
    </row>
    <row r="14" spans="1:9" ht="19.5" customHeight="1" x14ac:dyDescent="0.2">
      <c r="A14" s="364" t="str">
        <f>dalolatnoma!A25:E25</f>
        <v>-* davlat raqami: 85L007TA</v>
      </c>
      <c r="B14" s="364"/>
      <c r="C14" s="364"/>
      <c r="D14" s="364"/>
      <c r="E14" s="364"/>
      <c r="F14" s="364"/>
      <c r="G14" s="364"/>
      <c r="H14" s="364"/>
    </row>
    <row r="15" spans="1:9" ht="33.75" customHeight="1" x14ac:dyDescent="0.2">
      <c r="A15" s="365" t="str">
        <f>+"Shu bilan birga, yuqoridagi mulkning kelishilgan garov qiymati "&amp;dalolatnoma!E30</f>
        <v>Shu bilan birga, yuqoridagi mulkning kelishilgan garov qiymati 105 000 000,00 
(yuz besh million so'm)</v>
      </c>
      <c r="B15" s="365"/>
      <c r="C15" s="365"/>
      <c r="D15" s="365"/>
      <c r="E15" s="365"/>
      <c r="F15" s="365"/>
      <c r="G15" s="365"/>
      <c r="H15" s="365"/>
    </row>
    <row r="17" spans="1:8" ht="35.25" customHeight="1" x14ac:dyDescent="0.2">
      <c r="A17" s="368" t="s">
        <v>268</v>
      </c>
      <c r="B17" s="368"/>
      <c r="C17" s="368"/>
      <c r="D17" s="368"/>
      <c r="E17" s="368"/>
      <c r="F17" s="368"/>
      <c r="G17" s="368"/>
      <c r="H17" s="368"/>
    </row>
    <row r="21" spans="1:8" s="28" customFormat="1" x14ac:dyDescent="0.2"/>
    <row r="22" spans="1:8" s="28" customFormat="1" x14ac:dyDescent="0.2">
      <c r="A22" s="189" t="str">
        <f>malumot!A161</f>
        <v>Navoiy viloyati filial menejeri</v>
      </c>
      <c r="H22" s="132" t="str">
        <f>malumot!B161</f>
        <v>Sh.Xayriyev</v>
      </c>
    </row>
    <row r="23" spans="1:8" s="28" customFormat="1" x14ac:dyDescent="0.2">
      <c r="H23" s="132"/>
    </row>
    <row r="24" spans="1:8" s="28" customFormat="1" x14ac:dyDescent="0.2"/>
    <row r="25" spans="1:8" s="28" customFormat="1" x14ac:dyDescent="0.2"/>
    <row r="26" spans="1:8" s="28" customFormat="1" x14ac:dyDescent="0.2">
      <c r="H26" s="132"/>
    </row>
    <row r="27" spans="1:8" s="28" customFormat="1" x14ac:dyDescent="0.2">
      <c r="A27" s="28" t="str">
        <f>malumot!A171</f>
        <v>Monitoring bo’limi boshlig’i</v>
      </c>
      <c r="H27" s="28" t="str">
        <f>malumot!B171</f>
        <v>D.Axmedov</v>
      </c>
    </row>
    <row r="28" spans="1:8" s="28" customFormat="1" x14ac:dyDescent="0.2"/>
    <row r="29" spans="1:8" s="28" customFormat="1" x14ac:dyDescent="0.2"/>
    <row r="31" spans="1:8" x14ac:dyDescent="0.2">
      <c r="A31" s="28" t="s">
        <v>270</v>
      </c>
      <c r="H31" s="28" t="str">
        <f>malumot!B7</f>
        <v>TUYEV SH.U.</v>
      </c>
    </row>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5">
    <tabColor rgb="FF00B050"/>
  </sheetPr>
  <dimension ref="A1:I35"/>
  <sheetViews>
    <sheetView view="pageBreakPreview" topLeftCell="A7" zoomScaleNormal="100" zoomScaleSheetLayoutView="100" workbookViewId="0">
      <selection activeCell="A17" sqref="A17:H17"/>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9" width="9.140625" style="21" hidden="1" customWidth="1"/>
    <col min="10" max="10" width="9.140625" style="21" customWidth="1"/>
    <col min="11" max="11" width="0.5703125" style="21" customWidth="1"/>
    <col min="12" max="16384" width="9.140625" style="21"/>
  </cols>
  <sheetData>
    <row r="1" spans="1:9" x14ac:dyDescent="0.2">
      <c r="A1" s="28"/>
      <c r="B1" s="28"/>
      <c r="C1" s="28"/>
      <c r="D1" s="28"/>
      <c r="E1" s="28"/>
      <c r="F1" s="28"/>
      <c r="G1" s="28"/>
      <c r="H1" s="28"/>
      <c r="I1" s="28"/>
    </row>
    <row r="2" spans="1:9" x14ac:dyDescent="0.2">
      <c r="A2" s="363" t="str">
        <f>""&amp;" "&amp;malumot!B74&amp;"-sonli "&amp;" "&amp;malumot!C64&amp;" shartnomasi bo‘yicha
 garovga qo‘yilgan mol-mulkni tekshirish bo’yicha "&amp;malumot!B5&amp;" bilan tuzilgan dalolatnomasi"</f>
        <v xml:space="preserve"> 29 yanvar 2026 y.dan №244-NVS-sonli  Mikroqarz shartnomasi bo‘yicha
 garovga qo‘yilgan mol-mulkni tekshirish bo’yicha TUYEV SHOXRUX UTKIROVICH bilan tuzilgan dalolatnomasi</v>
      </c>
      <c r="B2" s="363"/>
      <c r="C2" s="363"/>
      <c r="D2" s="363"/>
      <c r="E2" s="363"/>
      <c r="F2" s="363"/>
      <c r="G2" s="363"/>
      <c r="H2" s="363"/>
      <c r="I2" s="28"/>
    </row>
    <row r="3" spans="1:9" x14ac:dyDescent="0.2">
      <c r="A3" s="363"/>
      <c r="B3" s="363"/>
      <c r="C3" s="363"/>
      <c r="D3" s="363"/>
      <c r="E3" s="363"/>
      <c r="F3" s="363"/>
      <c r="G3" s="363"/>
      <c r="H3" s="363"/>
      <c r="I3" s="28"/>
    </row>
    <row r="5" spans="1:9" x14ac:dyDescent="0.2">
      <c r="A5" s="21" t="s">
        <v>198</v>
      </c>
      <c r="F5" s="142"/>
      <c r="H5" s="130" t="str">
        <f>TEXT(malumot!D2,"ДД.ММ.ГГГГ")</f>
        <v>28.07.2026</v>
      </c>
    </row>
    <row r="7" spans="1:9" ht="45" customHeight="1" x14ac:dyDescent="0.2">
      <c r="A7" s="366" t="str">
        <f>"      Men, “СLEVER MIKROMOLYA TASHKILOTI” "&amp;malumot!A161&amp;"i "&amp;malumot!B161&amp;", jismoniy shaxs "&amp;" "&amp;malumot!B5&amp;" "&amp;" "&amp;malumot!B74&amp;"-sonli "&amp;malumot!B65&amp;" shartnomasi bo‘yicha garovga qo‘yilgan mol-mulkni ko‘zdan kechirdim"</f>
        <v xml:space="preserve">      Men, “СLEVER MIKROMOLYA TASHKILOTI” Navoiy viloyati filial menejerii Sh.Xayriyev, jismoniy shaxs  TUYEV SHOXRUX UTKIROVICH  29 yanvar 2026 y.dan №244-NVS-sonli mikroqarz shartnomasi bo‘yicha garovga qo‘yilgan mol-mulkni ko‘zdan kechirdim</v>
      </c>
      <c r="B7" s="366"/>
      <c r="C7" s="366"/>
      <c r="D7" s="366"/>
      <c r="E7" s="366"/>
      <c r="F7" s="366"/>
      <c r="G7" s="366"/>
      <c r="H7" s="366"/>
    </row>
    <row r="8" spans="1:9" ht="19.5" customHeight="1" x14ac:dyDescent="0.2">
      <c r="A8" s="367" t="s">
        <v>267</v>
      </c>
      <c r="B8" s="367"/>
      <c r="C8" s="367"/>
      <c r="D8" s="367"/>
      <c r="E8" s="367"/>
      <c r="F8" s="367"/>
      <c r="G8" s="367"/>
      <c r="H8" s="367"/>
    </row>
    <row r="9" spans="1:9" s="131" customFormat="1" ht="32.25" customHeight="1" x14ac:dyDescent="0.25">
      <c r="A9" s="361" t="str">
        <f>dalolatnoma!A20</f>
        <v>Nomi</v>
      </c>
      <c r="B9" s="362"/>
      <c r="C9" s="361" t="str">
        <f>dalolatnoma!B20</f>
        <v>Kuzov turi  va kuzov raqami*</v>
      </c>
      <c r="D9" s="362"/>
      <c r="E9" s="361" t="str">
        <f>dalolatnoma!D20</f>
        <v>Dvigatel va shassi raqami*</v>
      </c>
      <c r="F9" s="362"/>
      <c r="G9" s="361" t="str">
        <f>dalolatnoma!E20</f>
        <v>Ishlab chiqarilgan yili va rangi**</v>
      </c>
      <c r="H9" s="362"/>
    </row>
    <row r="10" spans="1:9" s="129" customFormat="1" ht="58.5" customHeight="1" x14ac:dyDescent="0.2">
      <c r="A10" s="369" t="str">
        <f>dalolatnoma!A21</f>
        <v>CHEVROLET LACETTI</v>
      </c>
      <c r="B10" s="369"/>
      <c r="C10" s="369" t="str">
        <f>dalolatnoma!B21</f>
        <v>kuzov turi - YENGIL SEDAN, kuzov raqami XWB5V31BVPA581883</v>
      </c>
      <c r="D10" s="369"/>
      <c r="E10" s="369" t="str">
        <f>dalolatnoma!D21</f>
        <v>dvigatel raqami B15D211232522 MTDX0591, shassi raqami -  -</v>
      </c>
      <c r="F10" s="369"/>
      <c r="G10" s="369" t="str">
        <f>dalolatnoma!E21</f>
        <v>rangi -  KO'K DARKMOON BLUE MET, ishlab chiqarilgan yili - 2023</v>
      </c>
      <c r="H10" s="369"/>
    </row>
    <row r="11" spans="1:9" ht="19.5" customHeight="1" x14ac:dyDescent="0.2">
      <c r="A11" s="364" t="str">
        <f>dalolatnoma!A22:E22</f>
        <v>-* avtotransport egasi: TUYEV SHOXRUX UTKIROVICH</v>
      </c>
      <c r="B11" s="364"/>
      <c r="C11" s="364"/>
      <c r="D11" s="364"/>
      <c r="E11" s="364"/>
      <c r="F11" s="364"/>
      <c r="G11" s="364"/>
      <c r="H11" s="364"/>
    </row>
    <row r="12" spans="1:9" ht="19.5" customHeight="1" x14ac:dyDescent="0.2">
      <c r="A12" s="364" t="str">
        <f>dalolatnoma!A23:E23</f>
        <v>-* texnik pasport: AAG7978970    28.01.2026y</v>
      </c>
      <c r="B12" s="364"/>
      <c r="C12" s="364"/>
      <c r="D12" s="364"/>
      <c r="E12" s="364"/>
      <c r="F12" s="364"/>
      <c r="G12" s="364"/>
      <c r="H12" s="364"/>
    </row>
    <row r="13" spans="1:9" ht="19.5" customHeight="1" x14ac:dyDescent="0.2">
      <c r="A13" s="364" t="str">
        <f>dalolatnoma!A24:E24</f>
        <v>-* roʻyxatdan oʻtgan manzili/garaj manzili: NAVOIY VILOYATI  QIZILTEPA TUMANI A.NAVOIY MFY SHODLIK  KO'CHASI 6-UY</v>
      </c>
      <c r="B13" s="364"/>
      <c r="C13" s="364"/>
      <c r="D13" s="364"/>
      <c r="E13" s="364"/>
      <c r="F13" s="364"/>
      <c r="G13" s="364"/>
      <c r="H13" s="364"/>
    </row>
    <row r="14" spans="1:9" ht="19.5" customHeight="1" x14ac:dyDescent="0.2">
      <c r="A14" s="364" t="str">
        <f>dalolatnoma!A25:E25</f>
        <v>-* davlat raqami: 85L007TA</v>
      </c>
      <c r="B14" s="364"/>
      <c r="C14" s="364"/>
      <c r="D14" s="364"/>
      <c r="E14" s="364"/>
      <c r="F14" s="364"/>
      <c r="G14" s="364"/>
      <c r="H14" s="364"/>
    </row>
    <row r="15" spans="1:9" ht="33.75" customHeight="1" x14ac:dyDescent="0.2">
      <c r="A15" s="365" t="str">
        <f>+"Shu bilan birga, yuqoridagi mulkning kelishilgan garov qiymati "&amp;dalolatnoma!E30</f>
        <v>Shu bilan birga, yuqoridagi mulkning kelishilgan garov qiymati 105 000 000,00 
(yuz besh million so'm)</v>
      </c>
      <c r="B15" s="365"/>
      <c r="C15" s="365"/>
      <c r="D15" s="365"/>
      <c r="E15" s="365"/>
      <c r="F15" s="365"/>
      <c r="G15" s="365"/>
      <c r="H15" s="365"/>
    </row>
    <row r="17" spans="1:8" ht="27" customHeight="1" x14ac:dyDescent="0.2">
      <c r="A17" s="368" t="s">
        <v>268</v>
      </c>
      <c r="B17" s="368"/>
      <c r="C17" s="368"/>
      <c r="D17" s="368"/>
      <c r="E17" s="368"/>
      <c r="F17" s="368"/>
      <c r="G17" s="368"/>
      <c r="H17" s="368"/>
    </row>
    <row r="21" spans="1:8" s="28" customFormat="1" x14ac:dyDescent="0.2"/>
    <row r="22" spans="1:8" s="28" customFormat="1" x14ac:dyDescent="0.2">
      <c r="A22" s="28" t="str">
        <f>malumot!A161</f>
        <v>Navoiy viloyati filial menejeri</v>
      </c>
      <c r="H22" s="132" t="str">
        <f>malumot!B161</f>
        <v>Sh.Xayriyev</v>
      </c>
    </row>
    <row r="23" spans="1:8" s="28" customFormat="1" x14ac:dyDescent="0.2">
      <c r="H23" s="132"/>
    </row>
    <row r="24" spans="1:8" s="28" customFormat="1" x14ac:dyDescent="0.2">
      <c r="H24" s="132"/>
    </row>
    <row r="25" spans="1:8" s="28" customFormat="1" x14ac:dyDescent="0.2">
      <c r="H25" s="132"/>
    </row>
    <row r="26" spans="1:8" s="28" customFormat="1" x14ac:dyDescent="0.2">
      <c r="H26" s="132"/>
    </row>
    <row r="27" spans="1:8" s="28" customFormat="1" ht="16.5" customHeight="1" x14ac:dyDescent="0.2">
      <c r="A27" s="28" t="s">
        <v>269</v>
      </c>
      <c r="H27" s="28" t="str">
        <f>malumot!B171</f>
        <v>D.Axmedov</v>
      </c>
    </row>
    <row r="28" spans="1:8" s="28" customFormat="1" ht="16.5" customHeight="1" x14ac:dyDescent="0.2"/>
    <row r="29" spans="1:8" s="28" customFormat="1" ht="16.5" customHeight="1" x14ac:dyDescent="0.2"/>
    <row r="30" spans="1:8" s="28" customFormat="1" x14ac:dyDescent="0.2"/>
    <row r="31" spans="1:8" s="28" customFormat="1" x14ac:dyDescent="0.2">
      <c r="A31" s="28" t="s">
        <v>270</v>
      </c>
      <c r="H31" s="132" t="str">
        <f>malumot!B7</f>
        <v>TUYEV SH.U.</v>
      </c>
    </row>
    <row r="32" spans="1:8" s="28" customFormat="1" x14ac:dyDescent="0.2"/>
    <row r="33" s="28" customFormat="1" x14ac:dyDescent="0.2"/>
    <row r="34" s="28" customFormat="1" x14ac:dyDescent="0.2"/>
    <row r="35" s="28" customFormat="1" x14ac:dyDescent="0.2"/>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34"/>
  <sheetViews>
    <sheetView view="pageBreakPreview" topLeftCell="A7" zoomScaleNormal="100" zoomScaleSheetLayoutView="100" workbookViewId="0">
      <selection activeCell="A28" sqref="A28:XFD28"/>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363" t="str">
        <f>""&amp;" "&amp;malumot!B74&amp;"-sonli "&amp;" "&amp;malumot!C64&amp;" shartnomasi bo‘yicha
 garovga qo‘yilgan mol-mulkni tekshirish bo’yicha "&amp;malumot!B5&amp;" bilan tuzilgan dalolatnomasi"</f>
        <v xml:space="preserve"> 29 yanvar 2026 y.dan №244-NVS-sonli  Mikroqarz shartnomasi bo‘yicha
 garovga qo‘yilgan mol-mulkni tekshirish bo’yicha TUYEV SHOXRUX UTKIROVICH bilan tuzilgan dalolatnomasi</v>
      </c>
      <c r="B2" s="363"/>
      <c r="C2" s="363"/>
      <c r="D2" s="363"/>
      <c r="E2" s="363"/>
      <c r="F2" s="363"/>
      <c r="G2" s="363"/>
      <c r="H2" s="363"/>
      <c r="I2" s="28"/>
    </row>
    <row r="3" spans="1:9" x14ac:dyDescent="0.2">
      <c r="A3" s="363"/>
      <c r="B3" s="363"/>
      <c r="C3" s="363"/>
      <c r="D3" s="363"/>
      <c r="E3" s="363"/>
      <c r="F3" s="363"/>
      <c r="G3" s="363"/>
      <c r="H3" s="363"/>
      <c r="I3" s="28"/>
    </row>
    <row r="5" spans="1:9" x14ac:dyDescent="0.2">
      <c r="A5" s="21" t="s">
        <v>198</v>
      </c>
      <c r="H5" s="130" t="str">
        <f>TEXT(+malumot!B2+540,"ДД.ММ.ГГГГ")</f>
        <v>23.07.2027</v>
      </c>
    </row>
    <row r="7" spans="1:9" ht="45" customHeight="1" x14ac:dyDescent="0.2">
      <c r="A7" s="366" t="str">
        <f>"      Men, "&amp;malumot!B158&amp;" "&amp;malumot!A161&amp;"i "&amp;malumot!B161&amp;", jismoniy shaxs "&amp;" "&amp;malumot!B5&amp;" "&amp;" "&amp;malumot!B74&amp;"-sonli "&amp;malumot!C64&amp;" shartnomasi bo‘yicha garovga qo‘yilgan mol-mulkni ko‘zdan kechirdim"</f>
        <v xml:space="preserve">      Men, «CLEVER MIKROMOLIYA TASHKILOTI» MChJ Navoiy viloyati filial menejerii Sh.Xayriyev, jismoniy shaxs  TUYEV SHOXRUX UTKIROVICH  29 yanvar 2026 y.dan №244-NVS-sonli Mikroqarz shartnomasi bo‘yicha garovga qo‘yilgan mol-mulkni ko‘zdan kechirdim</v>
      </c>
      <c r="B7" s="366"/>
      <c r="C7" s="366"/>
      <c r="D7" s="366"/>
      <c r="E7" s="366"/>
      <c r="F7" s="366"/>
      <c r="G7" s="366"/>
      <c r="H7" s="366"/>
    </row>
    <row r="8" spans="1:9" ht="19.5" customHeight="1" x14ac:dyDescent="0.2">
      <c r="A8" s="367" t="s">
        <v>267</v>
      </c>
      <c r="B8" s="367"/>
      <c r="C8" s="367"/>
      <c r="D8" s="367"/>
      <c r="E8" s="367"/>
      <c r="F8" s="367"/>
      <c r="G8" s="367"/>
      <c r="H8" s="367"/>
    </row>
    <row r="9" spans="1:9" s="131" customFormat="1" ht="32.25" customHeight="1" x14ac:dyDescent="0.25">
      <c r="A9" s="361" t="str">
        <f>akt_monitoring_2!A9</f>
        <v>Nomi</v>
      </c>
      <c r="B9" s="362"/>
      <c r="C9" s="361" t="str">
        <f>akt_monitoring_2!C9</f>
        <v>Kuzov turi  va kuzov raqami*</v>
      </c>
      <c r="D9" s="362"/>
      <c r="E9" s="361" t="str">
        <f>akt_monitoring_2!E9</f>
        <v>Dvigatel va shassi raqami*</v>
      </c>
      <c r="F9" s="362"/>
      <c r="G9" s="361" t="str">
        <f>akt_monitoring_2!G9</f>
        <v>Ishlab chiqarilgan yili va rangi**</v>
      </c>
      <c r="H9" s="362"/>
    </row>
    <row r="10" spans="1:9" s="129" customFormat="1" ht="58.5" customHeight="1" x14ac:dyDescent="0.2">
      <c r="A10" s="370" t="str">
        <f>akt_monitoring_2!A10</f>
        <v>CHEVROLET LACETTI</v>
      </c>
      <c r="B10" s="371"/>
      <c r="C10" s="370" t="str">
        <f>akt_monitoring_2!C10</f>
        <v>kuzov turi - YENGIL SEDAN, kuzov raqami XWB5V31BVPA581883</v>
      </c>
      <c r="D10" s="371"/>
      <c r="E10" s="370" t="str">
        <f>akt_monitoring_2!E10</f>
        <v>dvigatel raqami B15D211232522 MTDX0591, shassi raqami -  -</v>
      </c>
      <c r="F10" s="371"/>
      <c r="G10" s="370" t="str">
        <f>akt_monitoring_2!G10</f>
        <v>rangi -  KO'K DARKMOON BLUE MET, ishlab chiqarilgan yili - 2023</v>
      </c>
      <c r="H10" s="371"/>
    </row>
    <row r="11" spans="1:9" ht="19.5" customHeight="1" x14ac:dyDescent="0.2">
      <c r="A11" s="364" t="str">
        <f>dalolatnoma!A22:E22</f>
        <v>-* avtotransport egasi: TUYEV SHOXRUX UTKIROVICH</v>
      </c>
      <c r="B11" s="364"/>
      <c r="C11" s="364"/>
      <c r="D11" s="364"/>
      <c r="E11" s="364"/>
      <c r="F11" s="364"/>
      <c r="G11" s="364"/>
      <c r="H11" s="364"/>
    </row>
    <row r="12" spans="1:9" ht="19.5" customHeight="1" x14ac:dyDescent="0.2">
      <c r="A12" s="364" t="str">
        <f>dalolatnoma!A23:E23</f>
        <v>-* texnik pasport: AAG7978970    28.01.2026y</v>
      </c>
      <c r="B12" s="364"/>
      <c r="C12" s="364"/>
      <c r="D12" s="364"/>
      <c r="E12" s="364"/>
      <c r="F12" s="364"/>
      <c r="G12" s="364"/>
      <c r="H12" s="364"/>
    </row>
    <row r="13" spans="1:9" ht="19.5" customHeight="1" x14ac:dyDescent="0.2">
      <c r="A13" s="364" t="str">
        <f>dalolatnoma!A24:E24</f>
        <v>-* roʻyxatdan oʻtgan manzili/garaj manzili: NAVOIY VILOYATI  QIZILTEPA TUMANI A.NAVOIY MFY SHODLIK  KO'CHASI 6-UY</v>
      </c>
      <c r="B13" s="364"/>
      <c r="C13" s="364"/>
      <c r="D13" s="364"/>
      <c r="E13" s="364"/>
      <c r="F13" s="364"/>
      <c r="G13" s="364"/>
      <c r="H13" s="364"/>
    </row>
    <row r="14" spans="1:9" ht="19.5" customHeight="1" x14ac:dyDescent="0.2">
      <c r="A14" s="364" t="str">
        <f>dalolatnoma!A25:E25</f>
        <v>-* davlat raqami: 85L007TA</v>
      </c>
      <c r="B14" s="364"/>
      <c r="C14" s="364"/>
      <c r="D14" s="364"/>
      <c r="E14" s="364"/>
      <c r="F14" s="364"/>
      <c r="G14" s="364"/>
      <c r="H14" s="364"/>
    </row>
    <row r="15" spans="1:9" ht="33.75" customHeight="1" x14ac:dyDescent="0.2">
      <c r="A15" s="365" t="str">
        <f>+"Shu bilan birga, yuqoridagi mulkning kelishilgan garov qiymati "&amp;dalolatnoma!E30</f>
        <v>Shu bilan birga, yuqoridagi mulkning kelishilgan garov qiymati 105 000 000,00 
(yuz besh million so'm)</v>
      </c>
      <c r="B15" s="365"/>
      <c r="C15" s="365"/>
      <c r="D15" s="365"/>
      <c r="E15" s="365"/>
      <c r="F15" s="365"/>
      <c r="G15" s="365"/>
      <c r="H15" s="365"/>
    </row>
    <row r="17" spans="1:8" s="129" customFormat="1" ht="32.25" customHeight="1" x14ac:dyDescent="0.2">
      <c r="A17" s="368" t="s">
        <v>268</v>
      </c>
      <c r="B17" s="368"/>
      <c r="C17" s="368"/>
      <c r="D17" s="368"/>
      <c r="E17" s="368"/>
      <c r="F17" s="368"/>
      <c r="G17" s="368"/>
      <c r="H17" s="368"/>
    </row>
    <row r="21" spans="1:8" s="28" customFormat="1" x14ac:dyDescent="0.2"/>
    <row r="22" spans="1:8" s="28" customFormat="1" x14ac:dyDescent="0.2">
      <c r="A22" s="28" t="str">
        <f>malumot!A161</f>
        <v>Navoiy viloyati filial menejeri</v>
      </c>
      <c r="H22" s="132" t="str">
        <f>malumot!B161</f>
        <v>Sh.Xayriyev</v>
      </c>
    </row>
    <row r="23" spans="1:8" s="28" customFormat="1" x14ac:dyDescent="0.2">
      <c r="H23" s="132"/>
    </row>
    <row r="24" spans="1:8" s="28" customFormat="1" x14ac:dyDescent="0.2">
      <c r="H24" s="132"/>
    </row>
    <row r="25" spans="1:8" s="28" customFormat="1" x14ac:dyDescent="0.2">
      <c r="H25" s="132"/>
    </row>
    <row r="26" spans="1:8" s="28" customFormat="1" x14ac:dyDescent="0.2">
      <c r="H26" s="132"/>
    </row>
    <row r="27" spans="1:8" s="28" customFormat="1" ht="16.5" customHeight="1" x14ac:dyDescent="0.2">
      <c r="A27" s="28" t="s">
        <v>269</v>
      </c>
      <c r="H27" s="28" t="str">
        <f>malumot!B171</f>
        <v>D.Axmedov</v>
      </c>
    </row>
    <row r="28" spans="1:8" s="28" customFormat="1" ht="16.5" customHeight="1" x14ac:dyDescent="0.2"/>
    <row r="29" spans="1:8" s="28" customFormat="1" ht="16.5" customHeight="1" x14ac:dyDescent="0.2"/>
    <row r="30" spans="1:8" s="28" customFormat="1" x14ac:dyDescent="0.2"/>
    <row r="31" spans="1:8" s="28" customFormat="1" x14ac:dyDescent="0.2">
      <c r="A31" s="28" t="s">
        <v>270</v>
      </c>
      <c r="H31" s="132" t="str">
        <f>malumot!B7</f>
        <v>TUYEV SH.U.</v>
      </c>
    </row>
    <row r="32" spans="1:8" s="28" customFormat="1" x14ac:dyDescent="0.2"/>
    <row r="33" s="28" customFormat="1" x14ac:dyDescent="0.2"/>
    <row r="34" s="28"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34"/>
  <sheetViews>
    <sheetView view="pageBreakPreview" topLeftCell="A6" zoomScaleNormal="100" zoomScaleSheetLayoutView="100" workbookViewId="0">
      <selection activeCell="D27" sqref="D27"/>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363" t="str">
        <f>""&amp;" "&amp;malumot!B74&amp;"-sonli "&amp;" "&amp;malumot!C64&amp;" shartnomasi bo‘yicha
 garovga qo‘yilgan mol-mulkni tekshirish bo’yicha "&amp;malumot!B5&amp;" bilan tuzilgan dalolatnomasi"</f>
        <v xml:space="preserve"> 29 yanvar 2026 y.dan №244-NVS-sonli  Mikroqarz shartnomasi bo‘yicha
 garovga qo‘yilgan mol-mulkni tekshirish bo’yicha TUYEV SHOXRUX UTKIROVICH bilan tuzilgan dalolatnomasi</v>
      </c>
      <c r="B2" s="363"/>
      <c r="C2" s="363"/>
      <c r="D2" s="363"/>
      <c r="E2" s="363"/>
      <c r="F2" s="363"/>
      <c r="G2" s="363"/>
      <c r="H2" s="363"/>
      <c r="I2" s="28"/>
    </row>
    <row r="3" spans="1:9" x14ac:dyDescent="0.2">
      <c r="A3" s="363"/>
      <c r="B3" s="363"/>
      <c r="C3" s="363"/>
      <c r="D3" s="363"/>
      <c r="E3" s="363"/>
      <c r="F3" s="363"/>
      <c r="G3" s="363"/>
      <c r="H3" s="363"/>
      <c r="I3" s="28"/>
    </row>
    <row r="5" spans="1:9" x14ac:dyDescent="0.2">
      <c r="A5" s="21" t="s">
        <v>198</v>
      </c>
      <c r="H5" s="130" t="str">
        <f>TEXT(+malumot!B2+720,"ДД.ММ.ГГГГ")</f>
        <v>19.01.2028</v>
      </c>
    </row>
    <row r="7" spans="1:9" ht="45" customHeight="1" x14ac:dyDescent="0.2">
      <c r="A7" s="366" t="str">
        <f>"      Men, "&amp;malumot!B158&amp;" "&amp;malumot!A161&amp;"i "&amp;malumot!B161&amp;", jismoniy shaxs "&amp;" "&amp;malumot!B5&amp;" "&amp;" "&amp;malumot!B74&amp;"-sonli "&amp;malumot!C64&amp;" shartnomasi bo‘yicha garovga qo‘yilgan mol-mulkni ko‘zdan kechirdim"</f>
        <v xml:space="preserve">      Men, «CLEVER MIKROMOLIYA TASHKILOTI» MChJ Navoiy viloyati filial menejerii Sh.Xayriyev, jismoniy shaxs  TUYEV SHOXRUX UTKIROVICH  29 yanvar 2026 y.dan №244-NVS-sonli Mikroqarz shartnomasi bo‘yicha garovga qo‘yilgan mol-mulkni ko‘zdan kechirdim</v>
      </c>
      <c r="B7" s="366"/>
      <c r="C7" s="366"/>
      <c r="D7" s="366"/>
      <c r="E7" s="366"/>
      <c r="F7" s="366"/>
      <c r="G7" s="366"/>
      <c r="H7" s="366"/>
    </row>
    <row r="8" spans="1:9" ht="19.5" customHeight="1" x14ac:dyDescent="0.2">
      <c r="A8" s="367" t="s">
        <v>267</v>
      </c>
      <c r="B8" s="367"/>
      <c r="C8" s="367"/>
      <c r="D8" s="367"/>
      <c r="E8" s="367"/>
      <c r="F8" s="367"/>
      <c r="G8" s="367"/>
      <c r="H8" s="367"/>
    </row>
    <row r="9" spans="1:9" s="131" customFormat="1" ht="32.25" customHeight="1" x14ac:dyDescent="0.25">
      <c r="A9" s="361" t="str">
        <f>akt_monitoring_2!A9</f>
        <v>Nomi</v>
      </c>
      <c r="B9" s="362"/>
      <c r="C9" s="361" t="str">
        <f>akt_monitoring_2!C9</f>
        <v>Kuzov turi  va kuzov raqami*</v>
      </c>
      <c r="D9" s="362"/>
      <c r="E9" s="361" t="str">
        <f>akt_monitoring_2!E9</f>
        <v>Dvigatel va shassi raqami*</v>
      </c>
      <c r="F9" s="362"/>
      <c r="G9" s="361" t="str">
        <f>akt_monitoring_2!G9</f>
        <v>Ishlab chiqarilgan yili va rangi**</v>
      </c>
      <c r="H9" s="362"/>
    </row>
    <row r="10" spans="1:9" s="129" customFormat="1" ht="58.5" customHeight="1" x14ac:dyDescent="0.2">
      <c r="A10" s="369" t="str">
        <f>akt_monitoring_2!A10</f>
        <v>CHEVROLET LACETTI</v>
      </c>
      <c r="B10" s="369"/>
      <c r="C10" s="369" t="str">
        <f>akt_monitoring_2!C10</f>
        <v>kuzov turi - YENGIL SEDAN, kuzov raqami XWB5V31BVPA581883</v>
      </c>
      <c r="D10" s="369"/>
      <c r="E10" s="369" t="str">
        <f>akt_monitoring_2!E10</f>
        <v>dvigatel raqami B15D211232522 MTDX0591, shassi raqami -  -</v>
      </c>
      <c r="F10" s="369"/>
      <c r="G10" s="369" t="str">
        <f>akt_monitoring_2!G10</f>
        <v>rangi -  KO'K DARKMOON BLUE MET, ishlab chiqarilgan yili - 2023</v>
      </c>
      <c r="H10" s="369"/>
    </row>
    <row r="11" spans="1:9" ht="19.5" customHeight="1" x14ac:dyDescent="0.2">
      <c r="A11" s="364" t="str">
        <f>dalolatnoma!A22:E22</f>
        <v>-* avtotransport egasi: TUYEV SHOXRUX UTKIROVICH</v>
      </c>
      <c r="B11" s="364"/>
      <c r="C11" s="364"/>
      <c r="D11" s="364"/>
      <c r="E11" s="364"/>
      <c r="F11" s="364"/>
      <c r="G11" s="364"/>
      <c r="H11" s="364"/>
    </row>
    <row r="12" spans="1:9" ht="19.5" customHeight="1" x14ac:dyDescent="0.2">
      <c r="A12" s="364" t="str">
        <f>dalolatnoma!A23:E23</f>
        <v>-* texnik pasport: AAG7978970    28.01.2026y</v>
      </c>
      <c r="B12" s="364"/>
      <c r="C12" s="364"/>
      <c r="D12" s="364"/>
      <c r="E12" s="364"/>
      <c r="F12" s="364"/>
      <c r="G12" s="364"/>
      <c r="H12" s="364"/>
    </row>
    <row r="13" spans="1:9" ht="19.5" customHeight="1" x14ac:dyDescent="0.2">
      <c r="A13" s="364" t="str">
        <f>dalolatnoma!A24:E24</f>
        <v>-* roʻyxatdan oʻtgan manzili/garaj manzili: NAVOIY VILOYATI  QIZILTEPA TUMANI A.NAVOIY MFY SHODLIK  KO'CHASI 6-UY</v>
      </c>
      <c r="B13" s="364"/>
      <c r="C13" s="364"/>
      <c r="D13" s="364"/>
      <c r="E13" s="364"/>
      <c r="F13" s="364"/>
      <c r="G13" s="364"/>
      <c r="H13" s="364"/>
    </row>
    <row r="14" spans="1:9" ht="19.5" customHeight="1" x14ac:dyDescent="0.2">
      <c r="A14" s="364" t="str">
        <f>dalolatnoma!A25:E25</f>
        <v>-* davlat raqami: 85L007TA</v>
      </c>
      <c r="B14" s="364"/>
      <c r="C14" s="364"/>
      <c r="D14" s="364"/>
      <c r="E14" s="364"/>
      <c r="F14" s="364"/>
      <c r="G14" s="364"/>
      <c r="H14" s="364"/>
    </row>
    <row r="15" spans="1:9" ht="33.75" customHeight="1" x14ac:dyDescent="0.2">
      <c r="A15" s="365" t="str">
        <f>+"Shu bilan birga, yuqoridagi mulkning kelishilgan garov qiymati "&amp;dalolatnoma!E30</f>
        <v>Shu bilan birga, yuqoridagi mulkning kelishilgan garov qiymati 105 000 000,00 
(yuz besh million so'm)</v>
      </c>
      <c r="B15" s="365"/>
      <c r="C15" s="365"/>
      <c r="D15" s="365"/>
      <c r="E15" s="365"/>
      <c r="F15" s="365"/>
      <c r="G15" s="365"/>
      <c r="H15" s="365"/>
    </row>
    <row r="17" spans="1:8" ht="28.5" customHeight="1" x14ac:dyDescent="0.2">
      <c r="A17" s="368" t="s">
        <v>268</v>
      </c>
      <c r="B17" s="368"/>
      <c r="C17" s="368"/>
      <c r="D17" s="368"/>
      <c r="E17" s="368"/>
      <c r="F17" s="368"/>
      <c r="G17" s="368"/>
      <c r="H17" s="368"/>
    </row>
    <row r="21" spans="1:8" s="28" customFormat="1" x14ac:dyDescent="0.2"/>
    <row r="22" spans="1:8" s="28" customFormat="1" x14ac:dyDescent="0.2">
      <c r="A22" s="28" t="str">
        <f>malumot!A161</f>
        <v>Navoiy viloyati filial menejeri</v>
      </c>
      <c r="H22" s="132" t="str">
        <f>malumot!B161</f>
        <v>Sh.Xayriyev</v>
      </c>
    </row>
    <row r="23" spans="1:8" s="28" customFormat="1" x14ac:dyDescent="0.2">
      <c r="H23" s="132"/>
    </row>
    <row r="24" spans="1:8" s="28" customFormat="1" x14ac:dyDescent="0.2">
      <c r="H24" s="132"/>
    </row>
    <row r="25" spans="1:8" s="28" customFormat="1" x14ac:dyDescent="0.2">
      <c r="H25" s="132"/>
    </row>
    <row r="26" spans="1:8" s="28" customFormat="1" x14ac:dyDescent="0.2">
      <c r="H26" s="132"/>
    </row>
    <row r="27" spans="1:8" s="28" customFormat="1" ht="16.5" customHeight="1" x14ac:dyDescent="0.2">
      <c r="A27" s="28" t="s">
        <v>269</v>
      </c>
      <c r="H27" s="28" t="str">
        <f>malumot!B171</f>
        <v>D.Axmedov</v>
      </c>
    </row>
    <row r="28" spans="1:8" s="28" customFormat="1" x14ac:dyDescent="0.2"/>
    <row r="29" spans="1:8" s="28" customFormat="1" x14ac:dyDescent="0.2"/>
    <row r="30" spans="1:8" s="28" customFormat="1" x14ac:dyDescent="0.2"/>
    <row r="31" spans="1:8" s="28" customFormat="1" x14ac:dyDescent="0.2">
      <c r="A31" s="28" t="s">
        <v>270</v>
      </c>
      <c r="H31" s="132" t="str">
        <f>malumot!B7</f>
        <v>TUYEV SH.U.</v>
      </c>
    </row>
    <row r="32" spans="1:8" s="28" customFormat="1" x14ac:dyDescent="0.2"/>
    <row r="33" s="28" customFormat="1" x14ac:dyDescent="0.2"/>
    <row r="34" s="28"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A1:D29"/>
  <sheetViews>
    <sheetView view="pageBreakPreview" zoomScaleNormal="100" zoomScaleSheetLayoutView="100" workbookViewId="0">
      <selection activeCell="B1" sqref="B1:B4"/>
    </sheetView>
  </sheetViews>
  <sheetFormatPr defaultColWidth="16.85546875" defaultRowHeight="15" x14ac:dyDescent="0.25"/>
  <cols>
    <col min="1" max="1" width="16" style="13" customWidth="1"/>
    <col min="2" max="2" width="21.140625" style="13" customWidth="1"/>
    <col min="3" max="3" width="23.85546875" style="13" customWidth="1"/>
    <col min="4" max="4" width="26" style="13" customWidth="1"/>
    <col min="5" max="16384" width="16.85546875" style="13"/>
  </cols>
  <sheetData>
    <row r="1" spans="1:4" x14ac:dyDescent="0.25">
      <c r="B1" s="229" t="s">
        <v>395</v>
      </c>
    </row>
    <row r="2" spans="1:4" x14ac:dyDescent="0.25">
      <c r="B2" s="230" t="s">
        <v>396</v>
      </c>
      <c r="C2" s="226"/>
      <c r="D2" s="226"/>
    </row>
    <row r="3" spans="1:4" x14ac:dyDescent="0.25">
      <c r="B3" s="230" t="s">
        <v>397</v>
      </c>
      <c r="C3" s="226"/>
      <c r="D3" s="226"/>
    </row>
    <row r="4" spans="1:4" x14ac:dyDescent="0.25">
      <c r="B4" s="230" t="s">
        <v>398</v>
      </c>
      <c r="C4" s="226"/>
      <c r="D4" s="226"/>
    </row>
    <row r="6" spans="1:4" x14ac:dyDescent="0.25">
      <c r="A6" s="32" t="str">
        <f>[2]malumot!B109</f>
        <v>05.04.2025 yildagi</v>
      </c>
      <c r="D6" s="34" t="s">
        <v>399</v>
      </c>
    </row>
    <row r="7" spans="1:4" x14ac:dyDescent="0.25">
      <c r="A7" s="13" t="str">
        <f>[2]malumot!B110</f>
        <v>№ 02/04-001</v>
      </c>
      <c r="D7" s="34" t="s">
        <v>400</v>
      </c>
    </row>
    <row r="9" spans="1:4" x14ac:dyDescent="0.25">
      <c r="A9" s="279" t="str">
        <f>"      “CLEVER mikromoliya tashkiloti” MCHJ va " &amp; [2]malumot!B5 &amp; " (pasport: " &amp;[2]malumot!B16 &amp; ", " &amp;[2]malumot!B20 &amp;")" &amp; " o‘rtasida " &amp;[2]malumot!B2 &amp; " yildagi " &amp;[2]malumot!B1 &amp; "-sonli" &amp; [2]notarius!B78 &amp; ", "&amp; [2]malumot!B75 &amp; " (" &amp;[2]malumot!B76 &amp;")" &amp; "miqdorida mikroqarz shartnomasi imzolangan. Mikroqarz shartnomasi bo‘yicha majburiyatlarni o‘z vaqtida bajarish uchun Qarz oluvchi quyidagi mulkni taqdim etdi, xususan:"</f>
        <v xml:space="preserve">      “CLEVER mikromoliya tashkiloti” MCHJ va XAYATOV OTABEK KURBANOVICH (pasport: AB 7858443, BUXORO VILOYATI KOGON TUMAN IIB tomonidan 06.10.2017 yilda berilgan) o‘rtasida 01.04.2025 yildagi № 687-BR-sonli, 26000000 (yigirma olti million so'm)miqdorida mikroqarz shartnomasi imzolangan. Mikroqarz shartnomasi bo‘yicha majburiyatlarni o‘z vaqtida bajarish uchun Qarz oluvchi quyidagi mulkni taqdim etdi, xususan:</v>
      </c>
      <c r="B9" s="279"/>
      <c r="C9" s="279"/>
      <c r="D9" s="279"/>
    </row>
    <row r="11" spans="1:4" ht="28.5" x14ac:dyDescent="0.25">
      <c r="A11" s="36" t="s">
        <v>201</v>
      </c>
      <c r="B11" s="36" t="str">
        <f>IF([2]malumot!B111=[2]malumot!C111,"Kuzov turi  va kuzov raqami*","Foydali maydoni")</f>
        <v>Kuzov turi  va kuzov raqami*</v>
      </c>
      <c r="C11" s="36" t="str">
        <f>IF([2]malumot!B111=[2]malumot!C111,"Dvigatel va shassi raqami*","Yashash maydoni")</f>
        <v>Dvigatel va shassi raqami*</v>
      </c>
      <c r="D11" s="36" t="str">
        <f>IF([2]malumot!B111=[2]malumot!C111,"Ishlab chiqarilgan yili va rangi**","Umumiy maydoni")</f>
        <v>Ishlab chiqarilgan yili va rangi**</v>
      </c>
    </row>
    <row r="12" spans="1:4" ht="60" x14ac:dyDescent="0.25">
      <c r="A12" s="15" t="str">
        <f>IF([2]malumot!B111=[2]malumot!C111,[2]malumot!B133,[2]malumot!C133)</f>
        <v>SPARK</v>
      </c>
      <c r="B12" s="15" t="str">
        <f>IF([2]malumot!B111=[2]malumot!C111,[2]malumot!B135,CONCATENATE([2]malumot!F138," ","kv.m"))</f>
        <v>kuzov turi - YENGIL SEDAN, kuzov raqami XWBMF481EBA580791</v>
      </c>
      <c r="C12" s="15" t="str">
        <f>IF([2]malumot!B111=[2]malumot!C111,[2]malumot!B138,[2]malumot!E141)</f>
        <v>dvigatel raqami B10D1606437KC3, shassi raqami - RAKAMSIZ</v>
      </c>
      <c r="D12" s="15" t="str">
        <f>IF([2]malumot!B111=[2]malumot!C111,[2]malumot!B141,[2]malumot!E138)</f>
        <v>rangi -  OQ BELAYA "KASABLANKA", ishlab chiqarilgan yili - 2011</v>
      </c>
    </row>
    <row r="13" spans="1:4" x14ac:dyDescent="0.25">
      <c r="A13" s="372" t="str">
        <f>"-* "&amp;IF([2]malumot!B111=[2]malumot!C111,"avtotransport "&amp;"egasi: "&amp;[2]malumot!B125&amp;"","ko'chmas mulk"&amp;" egasi: "&amp;[2]malumot!B125&amp;"")</f>
        <v>-* avtotransport egasi: FAYZIYEV JAMSHID KURBONOVICH</v>
      </c>
      <c r="B13" s="372"/>
      <c r="C13" s="372"/>
      <c r="D13" s="372"/>
    </row>
    <row r="14" spans="1:4" x14ac:dyDescent="0.25">
      <c r="A14" s="373" t="str">
        <f>IF([2]malumot!B111=[2]malumot!C111,"-* texnik pasport: "&amp;[2]malumot!B132&amp;"","-* reest raqami: "&amp;[2]malumot!C132&amp;"")</f>
        <v>-* texnik pasport: AAG   4517617  20.08.2024y</v>
      </c>
      <c r="B14" s="373"/>
      <c r="C14" s="373"/>
      <c r="D14" s="373"/>
    </row>
    <row r="15" spans="1:4" x14ac:dyDescent="0.25">
      <c r="A15" s="373" t="str">
        <f>IF([2]malumot!B111=[2]malumot!C111,"-* davlat raqami: "&amp;[2]malumot!B134&amp;"","-* manzili: "&amp;[2]malumot!C131&amp;"")</f>
        <v>-* davlat raqami: 80Y320AB</v>
      </c>
      <c r="B15" s="373"/>
      <c r="C15" s="373"/>
      <c r="D15" s="373"/>
    </row>
    <row r="16" spans="1:4" x14ac:dyDescent="0.25">
      <c r="A16" s="149" t="str">
        <f>"-* garov shartnomasi bo'yicha (reestr № " &amp;[2]malumot!B106&amp; " , " &amp;[2]malumot!B107&amp; " yil)"</f>
        <v>-* garov shartnomasi bo'yicha (reestr № 202502386001856 , 01.04.2025 yil)</v>
      </c>
      <c r="B16" s="39"/>
      <c r="C16" s="39"/>
      <c r="D16" s="39"/>
    </row>
    <row r="17" spans="1:4" x14ac:dyDescent="0.25">
      <c r="A17" s="39"/>
      <c r="B17" s="39"/>
      <c r="C17" s="39"/>
      <c r="D17" s="39"/>
    </row>
    <row r="18" spans="1:4" x14ac:dyDescent="0.25">
      <c r="A18" s="279" t="s">
        <v>401</v>
      </c>
      <c r="B18" s="279"/>
      <c r="C18" s="279"/>
      <c r="D18" s="279"/>
    </row>
    <row r="20" spans="1:4" x14ac:dyDescent="0.25">
      <c r="C20" s="227"/>
    </row>
    <row r="21" spans="1:4" x14ac:dyDescent="0.25">
      <c r="A21" s="228" t="s">
        <v>402</v>
      </c>
    </row>
    <row r="22" spans="1:4" x14ac:dyDescent="0.25">
      <c r="A22" s="228" t="s">
        <v>403</v>
      </c>
      <c r="D22" s="37" t="s">
        <v>387</v>
      </c>
    </row>
    <row r="26" spans="1:4" x14ac:dyDescent="0.25">
      <c r="A26" s="13" t="s">
        <v>404</v>
      </c>
    </row>
    <row r="27" spans="1:4" ht="16.5" customHeight="1" x14ac:dyDescent="0.25">
      <c r="A27" s="13" t="s">
        <v>405</v>
      </c>
    </row>
    <row r="29" spans="1:4" ht="48" customHeight="1" x14ac:dyDescent="0.25">
      <c r="A29" s="279" t="s">
        <v>406</v>
      </c>
      <c r="B29" s="279"/>
      <c r="C29" s="279"/>
      <c r="D29" s="279"/>
    </row>
  </sheetData>
  <mergeCells count="6">
    <mergeCell ref="A29:D29"/>
    <mergeCell ref="A9:D9"/>
    <mergeCell ref="A13:D13"/>
    <mergeCell ref="A14:D14"/>
    <mergeCell ref="A15:D15"/>
    <mergeCell ref="A18:D18"/>
  </mergeCells>
  <printOptions horizontalCentered="1"/>
  <pageMargins left="0.70866141732283472" right="0.70866141732283472" top="0.74803149606299213" bottom="0.74803149606299213" header="0.31496062992125984" footer="0.31496062992125984"/>
  <pageSetup paperSize="9" scale="82"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1">
    <tabColor rgb="FF00B050"/>
  </sheetPr>
  <dimension ref="A2:H33"/>
  <sheetViews>
    <sheetView view="pageBreakPreview" topLeftCell="A4" zoomScaleNormal="100" zoomScaleSheetLayoutView="100" workbookViewId="0">
      <selection activeCell="I16" sqref="I16"/>
    </sheetView>
  </sheetViews>
  <sheetFormatPr defaultColWidth="9.140625" defaultRowHeight="15.75" x14ac:dyDescent="0.25"/>
  <cols>
    <col min="1" max="2" width="17.42578125" style="112" customWidth="1"/>
    <col min="3" max="3" width="29.85546875" style="112" customWidth="1"/>
    <col min="4" max="4" width="18.140625" style="112" customWidth="1"/>
    <col min="5" max="5" width="6.5703125" style="112" customWidth="1"/>
    <col min="6" max="16384" width="9.140625" style="112"/>
  </cols>
  <sheetData>
    <row r="2" spans="1:5" x14ac:dyDescent="0.25">
      <c r="A2" s="378" t="s">
        <v>232</v>
      </c>
      <c r="B2" s="378"/>
      <c r="C2" s="378"/>
      <c r="D2" s="378"/>
      <c r="E2" s="378"/>
    </row>
    <row r="3" spans="1:5" x14ac:dyDescent="0.25">
      <c r="E3" s="111" t="str">
        <f>malumot!B68</f>
        <v>29 yanvar 2026 y.</v>
      </c>
    </row>
    <row r="5" spans="1:5" s="113" customFormat="1" ht="27" customHeight="1" x14ac:dyDescent="0.25">
      <c r="A5" s="382" t="s">
        <v>233</v>
      </c>
      <c r="B5" s="383"/>
      <c r="C5" s="379" t="str">
        <f>malumot!B8</f>
        <v>TUYEV SHOXRUX UTKIROVICH</v>
      </c>
      <c r="D5" s="380"/>
      <c r="E5" s="381"/>
    </row>
    <row r="7" spans="1:5" ht="15.75" customHeight="1" x14ac:dyDescent="0.25">
      <c r="A7" s="384" t="s">
        <v>346</v>
      </c>
      <c r="B7" s="385"/>
      <c r="C7" s="386"/>
      <c r="D7" s="114" t="s">
        <v>129</v>
      </c>
      <c r="E7" s="114"/>
    </row>
    <row r="8" spans="1:5" x14ac:dyDescent="0.25">
      <c r="A8" s="387"/>
      <c r="B8" s="388"/>
      <c r="C8" s="389"/>
      <c r="D8" s="114" t="s">
        <v>237</v>
      </c>
      <c r="E8" s="114"/>
    </row>
    <row r="9" spans="1:5" ht="15.75" customHeight="1" x14ac:dyDescent="0.25">
      <c r="A9" s="375" t="s">
        <v>234</v>
      </c>
      <c r="B9" s="375"/>
      <c r="C9" s="375"/>
      <c r="D9" s="114" t="s">
        <v>129</v>
      </c>
      <c r="E9" s="114"/>
    </row>
    <row r="10" spans="1:5" x14ac:dyDescent="0.25">
      <c r="A10" s="375"/>
      <c r="B10" s="375"/>
      <c r="C10" s="375"/>
      <c r="D10" s="114" t="s">
        <v>237</v>
      </c>
      <c r="E10" s="114"/>
    </row>
    <row r="11" spans="1:5" ht="15.75" customHeight="1" x14ac:dyDescent="0.25">
      <c r="A11" s="375" t="s">
        <v>235</v>
      </c>
      <c r="B11" s="375"/>
      <c r="C11" s="375"/>
      <c r="D11" s="114" t="s">
        <v>129</v>
      </c>
      <c r="E11" s="114"/>
    </row>
    <row r="12" spans="1:5" x14ac:dyDescent="0.25">
      <c r="A12" s="375"/>
      <c r="B12" s="375"/>
      <c r="C12" s="375"/>
      <c r="D12" s="114" t="s">
        <v>237</v>
      </c>
      <c r="E12" s="114"/>
    </row>
    <row r="13" spans="1:5" ht="34.5" customHeight="1" x14ac:dyDescent="0.25">
      <c r="A13" s="376" t="s">
        <v>236</v>
      </c>
      <c r="B13" s="376"/>
      <c r="C13" s="376"/>
      <c r="D13" s="376"/>
      <c r="E13" s="376"/>
    </row>
    <row r="14" spans="1:5" ht="16.5" thickBot="1" x14ac:dyDescent="0.3">
      <c r="A14" s="377"/>
      <c r="B14" s="377"/>
      <c r="C14" s="377"/>
      <c r="D14" s="377"/>
      <c r="E14" s="377"/>
    </row>
    <row r="15" spans="1:5" ht="16.5" thickBot="1" x14ac:dyDescent="0.3">
      <c r="A15" s="377"/>
      <c r="B15" s="377"/>
      <c r="C15" s="377"/>
      <c r="D15" s="377"/>
      <c r="E15" s="377"/>
    </row>
    <row r="16" spans="1:5" ht="16.5" thickBot="1" x14ac:dyDescent="0.3">
      <c r="A16" s="377"/>
      <c r="B16" s="377"/>
      <c r="C16" s="377"/>
      <c r="D16" s="377"/>
      <c r="E16" s="377"/>
    </row>
    <row r="18" spans="1:8" ht="18.75" customHeight="1" x14ac:dyDescent="0.25">
      <c r="A18" s="375" t="s">
        <v>238</v>
      </c>
      <c r="B18" s="375"/>
      <c r="C18" s="375"/>
      <c r="D18" s="114" t="s">
        <v>129</v>
      </c>
      <c r="E18" s="114"/>
    </row>
    <row r="19" spans="1:8" ht="18.75" customHeight="1" x14ac:dyDescent="0.25">
      <c r="A19" s="375"/>
      <c r="B19" s="375"/>
      <c r="C19" s="375"/>
      <c r="D19" s="114" t="s">
        <v>237</v>
      </c>
      <c r="E19" s="114"/>
    </row>
    <row r="20" spans="1:8" ht="29.25" customHeight="1" x14ac:dyDescent="0.25">
      <c r="A20" s="375" t="s">
        <v>239</v>
      </c>
      <c r="B20" s="375"/>
      <c r="C20" s="375"/>
      <c r="D20" s="114" t="s">
        <v>129</v>
      </c>
      <c r="E20" s="114"/>
    </row>
    <row r="21" spans="1:8" ht="29.25" customHeight="1" x14ac:dyDescent="0.25">
      <c r="A21" s="375"/>
      <c r="B21" s="375"/>
      <c r="C21" s="375"/>
      <c r="D21" s="114" t="s">
        <v>237</v>
      </c>
      <c r="E21" s="114"/>
    </row>
    <row r="23" spans="1:8" ht="15.75" customHeight="1" x14ac:dyDescent="0.25">
      <c r="A23" s="376" t="s">
        <v>240</v>
      </c>
      <c r="B23" s="376"/>
      <c r="C23" s="376"/>
      <c r="D23" s="376"/>
      <c r="E23" s="376"/>
    </row>
    <row r="24" spans="1:8" ht="16.5" thickBot="1" x14ac:dyDescent="0.3">
      <c r="A24" s="377"/>
      <c r="B24" s="377"/>
      <c r="C24" s="377"/>
      <c r="D24" s="377"/>
      <c r="E24" s="377"/>
    </row>
    <row r="25" spans="1:8" ht="16.5" thickBot="1" x14ac:dyDescent="0.3">
      <c r="A25" s="377"/>
      <c r="B25" s="377"/>
      <c r="C25" s="377"/>
      <c r="D25" s="377"/>
      <c r="E25" s="377"/>
    </row>
    <row r="26" spans="1:8" ht="16.5" thickBot="1" x14ac:dyDescent="0.3">
      <c r="A26" s="377"/>
      <c r="B26" s="377"/>
      <c r="C26" s="377"/>
      <c r="D26" s="377"/>
      <c r="E26" s="377"/>
    </row>
    <row r="28" spans="1:8" ht="78.75" customHeight="1" x14ac:dyDescent="0.25">
      <c r="A28" s="374" t="s">
        <v>241</v>
      </c>
      <c r="B28" s="374"/>
      <c r="C28" s="374"/>
      <c r="D28" s="374"/>
      <c r="E28" s="374"/>
    </row>
    <row r="30" spans="1:8" ht="33" customHeight="1" x14ac:dyDescent="0.25">
      <c r="A30" s="374" t="s">
        <v>242</v>
      </c>
      <c r="B30" s="374"/>
      <c r="C30" s="374"/>
      <c r="D30" s="374"/>
      <c r="E30" s="374"/>
      <c r="F30" s="115"/>
      <c r="G30" s="115"/>
      <c r="H30" s="115"/>
    </row>
    <row r="33" spans="1:5" ht="16.5" thickBot="1" x14ac:dyDescent="0.3">
      <c r="A33" s="116" t="str">
        <f>C5</f>
        <v>TUYEV SHOXRUX UTKIROVICH</v>
      </c>
      <c r="D33" s="117"/>
      <c r="E33" s="11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23</vt:i4>
      </vt:variant>
      <vt:variant>
        <vt:lpstr>Именованные диапазоны</vt:lpstr>
      </vt:variant>
      <vt:variant>
        <vt:i4>17</vt:i4>
      </vt:variant>
    </vt:vector>
  </HeadingPairs>
  <TitlesOfParts>
    <vt:vector size="40"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ariza</vt:lpstr>
      <vt:lpstr>garov_ariza</vt:lpstr>
      <vt:lpstr>muqova</vt:lpstr>
      <vt:lpstr>mijoz_anketasi</vt:lpstr>
      <vt:lpstr>majburiyatnoma</vt:lpstr>
      <vt:lpstr>kredit_ariza</vt:lpstr>
      <vt:lpstr>Письмо</vt:lpstr>
      <vt:lpstr>akt_monitoring_1</vt:lpstr>
      <vt:lpstr>akt_monitoring_2</vt:lpstr>
      <vt:lpstr>akt_monitoring_3</vt:lpstr>
      <vt:lpstr>akt_monitoring_4</vt:lpstr>
      <vt:lpstr>notarius</vt:lpstr>
      <vt:lpstr>Анкета 2</vt:lpstr>
      <vt:lpstr>akt_monitoring_1!Область_печати</vt:lpstr>
      <vt:lpstr>akt_monitoring_2!Область_печати</vt:lpstr>
      <vt:lpstr>akt_monitoring_3!Область_печати</vt:lpstr>
      <vt:lpstr>akt_monitoring_4!Область_печати</vt:lpstr>
      <vt:lpstr>ariza!Область_печати</vt:lpstr>
      <vt:lpstr>bayonnoma!Область_печати</vt:lpstr>
      <vt:lpstr>buyruq!Область_печати</vt:lpstr>
      <vt:lpstr>dalolatnoma!Область_печати</vt:lpstr>
      <vt:lpstr>garov_ariza!Область_печати</vt:lpstr>
      <vt:lpstr>grafik!Область_печати</vt:lpstr>
      <vt:lpstr>kredit_ariza!Область_печати</vt:lpstr>
      <vt:lpstr>mijoz_anketasi!Область_печати</vt:lpstr>
      <vt:lpstr>muqova!Область_печати</vt:lpstr>
      <vt:lpstr>notarius!Область_печати</vt:lpstr>
      <vt:lpstr>shartnoma!Область_печати</vt:lpstr>
      <vt:lpstr>xulosa!Область_печати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r.saipova</dc:creator>
  <cp:lastModifiedBy>r.saipova</cp:lastModifiedBy>
  <cp:lastPrinted>2026-01-28T04:11:22Z</cp:lastPrinted>
  <dcterms:created xsi:type="dcterms:W3CDTF">2015-06-05T18:19:34Z</dcterms:created>
  <dcterms:modified xsi:type="dcterms:W3CDTF">2026-01-29T11:19:18Z</dcterms:modified>
</cp:coreProperties>
</file>