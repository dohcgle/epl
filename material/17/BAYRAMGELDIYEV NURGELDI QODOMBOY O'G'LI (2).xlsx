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G:\Мой диск\StartUP\EPL\Excel\17.02.2026\"/>
    </mc:Choice>
  </mc:AlternateContent>
  <xr:revisionPtr revIDLastSave="0" documentId="8_{73D2E5F8-47B1-4C69-8FEE-DF75397363F8}" xr6:coauthVersionLast="47" xr6:coauthVersionMax="47" xr10:uidLastSave="{00000000-0000-0000-0000-000000000000}"/>
  <bookViews>
    <workbookView xWindow="-120" yWindow="-120" windowWidth="29040" windowHeight="15720" tabRatio="915" activeTab="13" xr2:uid="{00000000-000D-0000-FFFF-FFFF00000000}"/>
  </bookViews>
  <sheets>
    <sheet name="Протокол  (2)" sheetId="23" r:id="rId1"/>
    <sheet name="Данные для послед. Залога" sheetId="21" state="hidden" r:id="rId2"/>
    <sheet name="Общие данные" sheetId="1" r:id="rId3"/>
    <sheet name="График аннуитет." sheetId="12" state="hidden" r:id="rId4"/>
    <sheet name="Анкета Клиента" sheetId="4" r:id="rId5"/>
    <sheet name="Кредитная заявка" sheetId="2" r:id="rId6"/>
    <sheet name="Анкета 2" sheetId="22" r:id="rId7"/>
    <sheet name="Мажбуриятнома " sheetId="24" r:id="rId8"/>
    <sheet name="Заключение КК" sheetId="3" r:id="rId9"/>
    <sheet name="договор" sheetId="19" r:id="rId10"/>
    <sheet name="График дифференц" sheetId="15" state="hidden"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 name="Лист1" sheetId="30" state="hidden" r:id="rId22"/>
  </sheets>
  <externalReferences>
    <externalReference r:id="rId23"/>
  </externalReferences>
  <definedNames>
    <definedName name="mos">'[1]Общие данные'!$C$23:$D$23</definedName>
    <definedName name="mulk">'[1]Общие данные'!$C$24:$W$24</definedName>
    <definedName name="_xlnm.Print_Area" localSheetId="19">' Акт мониторинга 3'!$A$1:$H$26</definedName>
    <definedName name="_xlnm.Print_Area" localSheetId="13">'Акт согласования'!$A$1:$E$63</definedName>
    <definedName name="_xlnm.Print_Area" localSheetId="4">'Анкета Клиента'!$A$1:$F$36</definedName>
    <definedName name="_xlnm.Print_Area" localSheetId="11">График!$A$1:$F$74</definedName>
    <definedName name="_xlnm.Print_Area" localSheetId="3">'График аннуитет.'!$A$1:$F$75</definedName>
    <definedName name="_xlnm.Print_Area" localSheetId="9">договор!$A$1:$B$129</definedName>
    <definedName name="_xlnm.Print_Area" localSheetId="8">'Заключение КК'!$A$1:$E$61</definedName>
    <definedName name="_xlnm.Print_Area" localSheetId="12">'заявление залогодателя'!$A$3:$GB$28</definedName>
    <definedName name="_xlnm.Print_Area" localSheetId="5">'Кредитная заявка'!$A$1:$D$40</definedName>
    <definedName name="_xlnm.Print_Area" localSheetId="7">'Мажбуриятнома '!$A$1:$B$11</definedName>
    <definedName name="_xlnm.Print_Area" localSheetId="15">обложка!$A$1:$G$42</definedName>
    <definedName name="_xlnm.Print_Area" localSheetId="14">'Приказ на сделку'!$A$1:$E$52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1" l="1"/>
  <c r="B59" i="1" s="1"/>
  <c r="D2" i="2" l="1"/>
  <c r="C1" i="2"/>
  <c r="B7" i="13" l="1"/>
  <c r="E51" i="3"/>
  <c r="A51" i="3"/>
  <c r="D52" i="7" l="1"/>
  <c r="A52" i="7"/>
  <c r="A126" i="19"/>
  <c r="A129" i="19"/>
  <c r="A73" i="16" s="1"/>
  <c r="A71" i="16"/>
  <c r="C86" i="1"/>
  <c r="B86" i="1"/>
  <c r="D59" i="7"/>
  <c r="D61" i="1" l="1"/>
  <c r="A11" i="2" s="1"/>
  <c r="B136" i="1" l="1"/>
  <c r="B82" i="1"/>
  <c r="A9" i="24" l="1"/>
  <c r="A7" i="24" l="1"/>
  <c r="B40" i="1"/>
  <c r="B19" i="1"/>
  <c r="B115" i="1" l="1"/>
  <c r="B116" i="1" l="1"/>
  <c r="B122" i="1" s="1"/>
  <c r="B114" i="1"/>
  <c r="B113" i="1"/>
  <c r="B119" i="1" s="1"/>
  <c r="B112" i="1"/>
  <c r="B111" i="1"/>
  <c r="A23" i="13"/>
  <c r="C22" i="1" l="1"/>
  <c r="B27" i="1"/>
  <c r="B34" i="1"/>
  <c r="B47" i="1"/>
  <c r="B45" i="1" s="1"/>
  <c r="A70" i="16" l="1"/>
  <c r="A69" i="16"/>
  <c r="B65" i="1" l="1"/>
  <c r="A31" i="4" l="1"/>
  <c r="B129" i="19"/>
  <c r="A15" i="19"/>
  <c r="F133" i="1"/>
  <c r="F130" i="1"/>
  <c r="J125" i="1"/>
  <c r="I125" i="1"/>
  <c r="C125" i="1"/>
  <c r="C76" i="1"/>
  <c r="B76" i="1"/>
  <c r="B58" i="1"/>
  <c r="A123" i="19" l="1"/>
  <c r="B127" i="19" l="1"/>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C116" i="1"/>
  <c r="C122" i="1" s="1"/>
  <c r="C114" i="1"/>
  <c r="C120" i="1" s="1"/>
  <c r="C113" i="1"/>
  <c r="C119" i="1" s="1"/>
  <c r="C118" i="1"/>
  <c r="C111" i="1"/>
  <c r="C117" i="1" s="1"/>
  <c r="A62" i="7"/>
  <c r="A61" i="7"/>
  <c r="F61" i="7"/>
  <c r="A25" i="7"/>
  <c r="A23" i="7"/>
  <c r="H24" i="27" l="1"/>
  <c r="A9" i="26"/>
  <c r="A9" i="29" s="1"/>
  <c r="A9" i="27" l="1"/>
  <c r="A9" i="28"/>
  <c r="J126" i="1"/>
  <c r="A48" i="3"/>
  <c r="A35" i="3"/>
  <c r="E30" i="3"/>
  <c r="A30" i="3"/>
  <c r="A33" i="3"/>
  <c r="D29" i="7" l="1"/>
  <c r="D30" i="3" s="1"/>
  <c r="G130" i="1"/>
  <c r="D20" i="7"/>
  <c r="E20" i="7"/>
  <c r="G9" i="26" s="1"/>
  <c r="B20" i="7"/>
  <c r="G9" i="28" l="1"/>
  <c r="G9" i="27"/>
  <c r="G9" i="29"/>
  <c r="B29" i="7"/>
  <c r="B30" i="3" s="1"/>
  <c r="C9" i="26"/>
  <c r="C29" i="7"/>
  <c r="C30" i="3" s="1"/>
  <c r="E9" i="26"/>
  <c r="E9" i="29" l="1"/>
  <c r="E9" i="28"/>
  <c r="E9" i="27"/>
  <c r="C9" i="29"/>
  <c r="C9" i="28"/>
  <c r="C9" i="27"/>
  <c r="H24" i="29" l="1"/>
  <c r="H24" i="28"/>
  <c r="A22" i="26"/>
  <c r="H24" i="26"/>
  <c r="A53" i="3"/>
  <c r="A37" i="3"/>
  <c r="A1" i="3"/>
  <c r="D17" i="23"/>
  <c r="E17" i="23" s="1"/>
  <c r="A1" i="23"/>
  <c r="D70" i="16"/>
  <c r="A110" i="1" l="1"/>
  <c r="A109" i="1"/>
  <c r="A108" i="1"/>
  <c r="A107" i="1"/>
  <c r="H9" i="23"/>
  <c r="A7" i="23" s="1"/>
  <c r="A18" i="23" l="1"/>
  <c r="A16" i="4" l="1"/>
  <c r="A17" i="4"/>
  <c r="B119" i="19"/>
  <c r="A24" i="7"/>
  <c r="A34" i="3" s="1"/>
  <c r="B8" i="13"/>
  <c r="A63" i="7" l="1"/>
  <c r="D62" i="7" s="1"/>
  <c r="A19" i="13"/>
  <c r="A51" i="7"/>
  <c r="B6" i="13"/>
  <c r="A82" i="1" l="1"/>
  <c r="A89" i="1"/>
  <c r="A86" i="1"/>
  <c r="A84" i="1"/>
  <c r="A75" i="1"/>
  <c r="A1" i="1"/>
  <c r="A87" i="1"/>
  <c r="A85" i="1"/>
  <c r="A81" i="1"/>
  <c r="A2" i="1"/>
  <c r="A30" i="2"/>
  <c r="H77" i="19"/>
  <c r="A77" i="19" s="1"/>
  <c r="H21" i="19"/>
  <c r="A72" i="19"/>
  <c r="H68" i="19"/>
  <c r="A68" i="19" s="1"/>
  <c r="A55" i="19"/>
  <c r="A5" i="23"/>
  <c r="A12" i="19"/>
  <c r="A33" i="19"/>
  <c r="B32" i="19" s="1"/>
  <c r="A31" i="19" s="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79" i="1"/>
  <c r="A78" i="1"/>
  <c r="A59"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A120" i="19" l="1"/>
  <c r="A65" i="16" s="1"/>
  <c r="A30" i="4"/>
  <c r="B122" i="19"/>
  <c r="D67" i="16" s="1"/>
  <c r="A15" i="4"/>
  <c r="A14" i="4"/>
  <c r="A13" i="4"/>
  <c r="A7" i="3"/>
  <c r="C8" i="15"/>
  <c r="J12" i="15"/>
  <c r="A10" i="4" l="1"/>
  <c r="A9" i="4" s="1"/>
  <c r="D71" i="16"/>
  <c r="B124" i="19"/>
  <c r="D69" i="16" s="1"/>
  <c r="B123" i="19"/>
  <c r="D68" i="16" s="1"/>
  <c r="D64" i="16"/>
  <c r="B117" i="19"/>
  <c r="D63" i="16" s="1"/>
  <c r="A68" i="16" l="1"/>
  <c r="A122" i="19"/>
  <c r="A67" i="16" s="1"/>
  <c r="A121" i="19"/>
  <c r="A66" i="16" s="1"/>
  <c r="A119" i="19"/>
  <c r="A64" i="16" s="1"/>
  <c r="E26" i="8" l="1"/>
  <c r="B24" i="9"/>
  <c r="B2" i="9"/>
  <c r="A22" i="29"/>
  <c r="A22" i="28"/>
  <c r="H5" i="29"/>
  <c r="H5" i="28"/>
  <c r="H5" i="27"/>
  <c r="A22" i="27"/>
  <c r="H22" i="26"/>
  <c r="D2" i="1"/>
  <c r="H5" i="26" s="1"/>
  <c r="A22" i="13"/>
  <c r="A34" i="2"/>
  <c r="A29" i="4"/>
  <c r="A28" i="4"/>
  <c r="A20" i="4"/>
  <c r="A7" i="4"/>
  <c r="A11" i="24"/>
  <c r="A14" i="7"/>
  <c r="A13" i="7"/>
  <c r="A2" i="7"/>
  <c r="A8" i="3"/>
  <c r="A5" i="3"/>
  <c r="A4" i="3"/>
  <c r="A11" i="8"/>
  <c r="A10" i="8"/>
  <c r="A9" i="8"/>
  <c r="A12" i="2"/>
  <c r="A7" i="2"/>
  <c r="B164" i="1"/>
  <c r="I126" i="1"/>
  <c r="G125" i="1"/>
  <c r="B9" i="1"/>
  <c r="B8" i="1"/>
  <c r="B137" i="1"/>
  <c r="B133" i="1"/>
  <c r="E21" i="7" s="1"/>
  <c r="B130" i="1"/>
  <c r="D21" i="7" s="1"/>
  <c r="E10" i="26" s="1"/>
  <c r="B127" i="1"/>
  <c r="B21" i="7" s="1"/>
  <c r="C10" i="26" s="1"/>
  <c r="B11" i="1" l="1"/>
  <c r="B13" i="1" s="1"/>
  <c r="A20" i="3"/>
  <c r="G10" i="26"/>
  <c r="D30" i="7"/>
  <c r="D31" i="3" s="1"/>
  <c r="E10" i="28"/>
  <c r="E10" i="27"/>
  <c r="E10" i="29"/>
  <c r="C10" i="28"/>
  <c r="C10" i="27"/>
  <c r="C10" i="29"/>
  <c r="C126" i="1"/>
  <c r="A17" i="7" s="1"/>
  <c r="A21" i="7"/>
  <c r="A10" i="26" s="1"/>
  <c r="C137" i="1"/>
  <c r="B138" i="1"/>
  <c r="A6" i="2"/>
  <c r="E30" i="7"/>
  <c r="E31" i="3" s="1"/>
  <c r="A48" i="7"/>
  <c r="A15" i="7"/>
  <c r="F125" i="1"/>
  <c r="A27" i="3"/>
  <c r="B9" i="13"/>
  <c r="A27" i="2"/>
  <c r="A28" i="2"/>
  <c r="G126" i="1"/>
  <c r="F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A25" i="13" s="1"/>
  <c r="A26" i="13" s="1"/>
  <c r="A28" i="13" s="1"/>
  <c r="S124" i="1" l="1"/>
  <c r="S125" i="1" s="1"/>
  <c r="O126" i="1" s="1"/>
  <c r="R124" i="1"/>
  <c r="R125" i="1" s="1"/>
  <c r="O125" i="1" s="1"/>
  <c r="A20" i="13"/>
  <c r="C63" i="7" s="1"/>
  <c r="B24" i="4" l="1"/>
  <c r="B67" i="1" l="1"/>
  <c r="C78" i="1" s="1"/>
  <c r="C79" i="1" s="1"/>
  <c r="C80" i="1" s="1"/>
  <c r="B79" i="1" s="1"/>
  <c r="B80" i="1" s="1"/>
  <c r="B145" i="1" l="1"/>
  <c r="B143" i="1"/>
  <c r="C18" i="1" l="1"/>
  <c r="C20" i="1" l="1"/>
  <c r="A5" i="19" s="1"/>
  <c r="B20" i="1"/>
  <c r="C115" i="1" l="1"/>
  <c r="C121" i="1" s="1"/>
  <c r="B121" i="1"/>
  <c r="B121" i="19"/>
  <c r="D65"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C19" i="1" l="1"/>
  <c r="A33" i="20"/>
  <c r="C21" i="1" l="1"/>
  <c r="B21" i="1"/>
  <c r="A6" i="3" s="1"/>
  <c r="B8" i="15"/>
  <c r="C5" i="22"/>
  <c r="A33" i="22" s="1"/>
  <c r="R45" i="15" l="1"/>
  <c r="R44" i="15"/>
  <c r="R47" i="15"/>
  <c r="R46" i="15"/>
  <c r="R48" i="15"/>
  <c r="R49" i="15"/>
  <c r="R50" i="15"/>
  <c r="R51" i="15"/>
  <c r="R52" i="15"/>
  <c r="R53" i="15"/>
  <c r="R54" i="15"/>
  <c r="R55" i="15"/>
  <c r="R43" i="15"/>
  <c r="O43" i="15" s="1"/>
  <c r="P43" i="15" s="1"/>
  <c r="Q43" i="15" s="1"/>
  <c r="B9" i="16"/>
  <c r="R42" i="15"/>
  <c r="O42" i="15" s="1"/>
  <c r="P42" i="15" s="1"/>
  <c r="Q42" i="15" s="1"/>
  <c r="B42" i="15" s="1"/>
  <c r="R39" i="15"/>
  <c r="O39" i="15" s="1"/>
  <c r="P39" i="15" s="1"/>
  <c r="Q39" i="15" s="1"/>
  <c r="B39" i="15" s="1"/>
  <c r="R33" i="15"/>
  <c r="R32" i="15"/>
  <c r="O32" i="15" s="1"/>
  <c r="P32" i="15" s="1"/>
  <c r="Q32" i="15" s="1"/>
  <c r="B32" i="15" s="1"/>
  <c r="B33" i="16" s="1"/>
  <c r="R36" i="15"/>
  <c r="R34" i="15"/>
  <c r="R35" i="15"/>
  <c r="R40" i="15"/>
  <c r="O40" i="15" s="1"/>
  <c r="P40" i="15" s="1"/>
  <c r="Q40" i="15" s="1"/>
  <c r="B40" i="15" s="1"/>
  <c r="R38" i="15"/>
  <c r="O38" i="15" s="1"/>
  <c r="P38" i="15" s="1"/>
  <c r="Q38" i="15" s="1"/>
  <c r="B38" i="15" s="1"/>
  <c r="R37" i="15"/>
  <c r="O37" i="15" s="1"/>
  <c r="P37" i="15" s="1"/>
  <c r="Q37" i="15" s="1"/>
  <c r="B37" i="15"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R24" i="15"/>
  <c r="R25" i="15"/>
  <c r="O55" i="15" l="1"/>
  <c r="P55" i="15" s="1"/>
  <c r="Q55" i="15" s="1"/>
  <c r="B55" i="15" s="1"/>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O48" i="15"/>
  <c r="P48" i="15" s="1"/>
  <c r="Q48" i="15" s="1"/>
  <c r="B48" i="15" s="1"/>
  <c r="O46" i="15"/>
  <c r="P46" i="15" s="1"/>
  <c r="Q46" i="15" s="1"/>
  <c r="B46" i="15" s="1"/>
  <c r="O47" i="15"/>
  <c r="P47" i="15" s="1"/>
  <c r="Q47" i="15" s="1"/>
  <c r="B47" i="15" s="1"/>
  <c r="O44" i="15"/>
  <c r="P44" i="15" s="1"/>
  <c r="Q44" i="15" s="1"/>
  <c r="B44" i="15" s="1"/>
  <c r="O45" i="15"/>
  <c r="P45" i="15" s="1"/>
  <c r="Q45" i="15" s="1"/>
  <c r="B45" i="15" s="1"/>
  <c r="B43" i="15"/>
  <c r="B44" i="16" s="1"/>
  <c r="B37" i="12"/>
  <c r="H37" i="12" s="1"/>
  <c r="B38" i="16"/>
  <c r="B39" i="12"/>
  <c r="H39" i="12" s="1"/>
  <c r="B40" i="16"/>
  <c r="B42" i="12"/>
  <c r="H42" i="12" s="1"/>
  <c r="B43" i="16"/>
  <c r="B40" i="12"/>
  <c r="B41" i="16"/>
  <c r="B38" i="12"/>
  <c r="H38" i="12" s="1"/>
  <c r="B39" i="16"/>
  <c r="H32" i="15"/>
  <c r="B32" i="12"/>
  <c r="G40" i="15"/>
  <c r="H40" i="15"/>
  <c r="O41" i="15"/>
  <c r="P41" i="15" s="1"/>
  <c r="Q41" i="15" s="1"/>
  <c r="B41" i="15" s="1"/>
  <c r="B42" i="16" s="1"/>
  <c r="O35" i="15"/>
  <c r="P35" i="15" s="1"/>
  <c r="Q35" i="15" s="1"/>
  <c r="B35" i="15" s="1"/>
  <c r="O33" i="15"/>
  <c r="P33" i="15" s="1"/>
  <c r="Q33" i="15" s="1"/>
  <c r="B33" i="15" s="1"/>
  <c r="H37" i="15"/>
  <c r="O34" i="15"/>
  <c r="P34" i="15" s="1"/>
  <c r="Q34" i="15" s="1"/>
  <c r="B34" i="15" s="1"/>
  <c r="H39" i="15"/>
  <c r="G39" i="15"/>
  <c r="H38" i="15"/>
  <c r="G38" i="15"/>
  <c r="O36" i="15"/>
  <c r="P36" i="15" s="1"/>
  <c r="Q36" i="15" s="1"/>
  <c r="B36" i="15" s="1"/>
  <c r="H42" i="15"/>
  <c r="O27" i="15"/>
  <c r="P27" i="15" s="1"/>
  <c r="Q27" i="15" s="1"/>
  <c r="B27" i="15" s="1"/>
  <c r="O30" i="15"/>
  <c r="P30" i="15" s="1"/>
  <c r="Q30" i="15" s="1"/>
  <c r="B30" i="15" s="1"/>
  <c r="O26" i="15"/>
  <c r="P26" i="15" s="1"/>
  <c r="Q26" i="15" s="1"/>
  <c r="B26" i="15" s="1"/>
  <c r="O29" i="15"/>
  <c r="P29" i="15" s="1"/>
  <c r="Q29" i="15" s="1"/>
  <c r="B29" i="15" s="1"/>
  <c r="O28" i="15"/>
  <c r="P28" i="15" s="1"/>
  <c r="Q28" i="15" s="1"/>
  <c r="B28" i="15" s="1"/>
  <c r="O31" i="15"/>
  <c r="P31" i="15" s="1"/>
  <c r="Q31" i="15" s="1"/>
  <c r="B31" i="15" s="1"/>
  <c r="O18" i="15"/>
  <c r="P18" i="15" s="1"/>
  <c r="Q18" i="15" s="1"/>
  <c r="B18" i="15" s="1"/>
  <c r="O24" i="15"/>
  <c r="P24" i="15" s="1"/>
  <c r="Q24" i="15" s="1"/>
  <c r="B24" i="15" s="1"/>
  <c r="O15" i="15"/>
  <c r="P15" i="15" s="1"/>
  <c r="Q15" i="15" s="1"/>
  <c r="B15" i="15" s="1"/>
  <c r="O13" i="15"/>
  <c r="P13" i="15" s="1"/>
  <c r="Q13" i="15" s="1"/>
  <c r="B13" i="15" s="1"/>
  <c r="O17" i="15"/>
  <c r="P17" i="15" s="1"/>
  <c r="Q17" i="15" s="1"/>
  <c r="B17" i="15" s="1"/>
  <c r="O16" i="15"/>
  <c r="P16" i="15" s="1"/>
  <c r="Q16" i="15" s="1"/>
  <c r="B16" i="15" s="1"/>
  <c r="O22" i="15"/>
  <c r="P22" i="15" s="1"/>
  <c r="Q22" i="15" s="1"/>
  <c r="B22" i="15" s="1"/>
  <c r="O23" i="15"/>
  <c r="P23" i="15" s="1"/>
  <c r="Q23" i="15" s="1"/>
  <c r="B23" i="15" s="1"/>
  <c r="O21" i="15"/>
  <c r="P21" i="15" s="1"/>
  <c r="Q21" i="15" s="1"/>
  <c r="B21" i="15" s="1"/>
  <c r="O20" i="15"/>
  <c r="P20" i="15" s="1"/>
  <c r="Q20" i="15" s="1"/>
  <c r="B20" i="15" s="1"/>
  <c r="L8" i="15"/>
  <c r="O11" i="15"/>
  <c r="P11" i="15" s="1"/>
  <c r="Q11" i="15" s="1"/>
  <c r="B11" i="15" s="1"/>
  <c r="O10" i="15"/>
  <c r="P10" i="15" s="1"/>
  <c r="Q10" i="15" s="1"/>
  <c r="B10" i="15" s="1"/>
  <c r="O9" i="15"/>
  <c r="P9" i="15" s="1"/>
  <c r="Q9" i="15" s="1"/>
  <c r="B9" i="15" s="1"/>
  <c r="O19" i="15"/>
  <c r="P19" i="15" s="1"/>
  <c r="Q19" i="15" s="1"/>
  <c r="B19" i="15" s="1"/>
  <c r="O14" i="15"/>
  <c r="P14" i="15" s="1"/>
  <c r="Q14" i="15" s="1"/>
  <c r="B14" i="15" s="1"/>
  <c r="O12" i="15"/>
  <c r="P12" i="15" s="1"/>
  <c r="Q12" i="15" s="1"/>
  <c r="B12" i="15" s="1"/>
  <c r="O25" i="15"/>
  <c r="P25" i="15" s="1"/>
  <c r="Q25" i="15" s="1"/>
  <c r="B25" i="15" s="1"/>
  <c r="B47" i="12" l="1"/>
  <c r="B48" i="16"/>
  <c r="B46" i="12"/>
  <c r="B47" i="16"/>
  <c r="B49" i="16"/>
  <c r="B48" i="12"/>
  <c r="B49" i="12"/>
  <c r="B50" i="16"/>
  <c r="B50" i="12"/>
  <c r="B51" i="16"/>
  <c r="B52" i="16"/>
  <c r="B51" i="12"/>
  <c r="B53" i="16"/>
  <c r="B52" i="12"/>
  <c r="B53" i="12"/>
  <c r="B54" i="16"/>
  <c r="B44" i="12"/>
  <c r="B45" i="16"/>
  <c r="B55" i="16"/>
  <c r="B54" i="12"/>
  <c r="B55" i="12"/>
  <c r="B56" i="16"/>
  <c r="B45" i="12"/>
  <c r="B46" i="16"/>
  <c r="G44" i="15"/>
  <c r="H44" i="15"/>
  <c r="H47" i="15"/>
  <c r="G47" i="15"/>
  <c r="H51" i="15"/>
  <c r="G51" i="15"/>
  <c r="H52" i="15"/>
  <c r="G52" i="15"/>
  <c r="H46" i="15"/>
  <c r="G46" i="15"/>
  <c r="H53" i="15"/>
  <c r="G53" i="15"/>
  <c r="G48" i="15"/>
  <c r="H48" i="15"/>
  <c r="H54" i="15"/>
  <c r="G54" i="15"/>
  <c r="H50" i="15"/>
  <c r="G50" i="15"/>
  <c r="H49" i="15"/>
  <c r="G49" i="15"/>
  <c r="H45" i="15"/>
  <c r="G45" i="15"/>
  <c r="H55" i="15"/>
  <c r="G55" i="15"/>
  <c r="G40" i="12"/>
  <c r="G38" i="12"/>
  <c r="G43" i="15"/>
  <c r="G39" i="12"/>
  <c r="B43" i="12"/>
  <c r="H43" i="12" s="1"/>
  <c r="H43" i="15"/>
  <c r="H40" i="12"/>
  <c r="B14" i="12"/>
  <c r="B15" i="16"/>
  <c r="B19" i="12"/>
  <c r="B20" i="16"/>
  <c r="B22" i="12"/>
  <c r="B23" i="16"/>
  <c r="B9" i="12"/>
  <c r="B10" i="16"/>
  <c r="B16" i="12"/>
  <c r="B17" i="16"/>
  <c r="B29" i="12"/>
  <c r="B30" i="16"/>
  <c r="B18" i="12"/>
  <c r="B19" i="16"/>
  <c r="B17" i="12"/>
  <c r="B18" i="16"/>
  <c r="B26" i="12"/>
  <c r="B27" i="16"/>
  <c r="B13" i="12"/>
  <c r="B14" i="16"/>
  <c r="B10" i="12"/>
  <c r="B11" i="16"/>
  <c r="B34" i="12"/>
  <c r="H34" i="12" s="1"/>
  <c r="B35" i="16"/>
  <c r="B27" i="12"/>
  <c r="B28" i="16"/>
  <c r="B12" i="12"/>
  <c r="B13" i="16"/>
  <c r="B11" i="12"/>
  <c r="B12" i="16"/>
  <c r="B30" i="12"/>
  <c r="B31" i="16"/>
  <c r="B15" i="12"/>
  <c r="B16" i="16"/>
  <c r="B25" i="12"/>
  <c r="B26" i="16"/>
  <c r="B20" i="12"/>
  <c r="B21" i="16"/>
  <c r="B24" i="12"/>
  <c r="B25" i="16"/>
  <c r="B33" i="12"/>
  <c r="G33" i="12" s="1"/>
  <c r="B34" i="16"/>
  <c r="B36" i="12"/>
  <c r="H36" i="12" s="1"/>
  <c r="B37" i="16"/>
  <c r="B35" i="12"/>
  <c r="H35" i="12" s="1"/>
  <c r="B36" i="16"/>
  <c r="B23" i="12"/>
  <c r="B24" i="16"/>
  <c r="B21" i="12"/>
  <c r="B22" i="16"/>
  <c r="G32" i="15"/>
  <c r="B32" i="16"/>
  <c r="B28" i="12"/>
  <c r="B29" i="16"/>
  <c r="H32" i="12"/>
  <c r="B41" i="12"/>
  <c r="G42" i="15"/>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H45" i="12" l="1"/>
  <c r="G45" i="12"/>
  <c r="G51" i="12"/>
  <c r="H51" i="12"/>
  <c r="H55" i="12"/>
  <c r="G55" i="12"/>
  <c r="H50" i="12"/>
  <c r="G50" i="12"/>
  <c r="G54" i="12"/>
  <c r="H54" i="12"/>
  <c r="H49" i="12"/>
  <c r="G49" i="12"/>
  <c r="H48" i="12"/>
  <c r="G48" i="12"/>
  <c r="H44" i="12"/>
  <c r="G44" i="12"/>
  <c r="G53" i="12"/>
  <c r="H53" i="12"/>
  <c r="H46" i="12"/>
  <c r="G46" i="12"/>
  <c r="H52" i="12"/>
  <c r="G52" i="12"/>
  <c r="H47" i="12"/>
  <c r="G47" i="12"/>
  <c r="G43" i="12"/>
  <c r="H33" i="12"/>
  <c r="G37" i="12"/>
  <c r="G34" i="12"/>
  <c r="G35" i="12"/>
  <c r="G36" i="12"/>
  <c r="G32" i="12"/>
  <c r="H41" i="12"/>
  <c r="G41" i="12"/>
  <c r="G42" i="12"/>
  <c r="G10" i="15"/>
  <c r="H10" i="15"/>
  <c r="H9" i="15"/>
  <c r="G13" i="15"/>
  <c r="G12" i="15"/>
  <c r="H12" i="15"/>
  <c r="H11" i="15"/>
  <c r="G11" i="15"/>
  <c r="J67" i="1"/>
  <c r="H67" i="1"/>
  <c r="A117" i="19" l="1"/>
  <c r="A63" i="16" s="1"/>
  <c r="G67" i="1" l="1"/>
  <c r="F67" i="1"/>
  <c r="C67" i="1"/>
  <c r="C65" i="1"/>
  <c r="A20" i="2" l="1"/>
  <c r="C66" i="1"/>
  <c r="J66" i="1"/>
  <c r="H66" i="1"/>
  <c r="D67" i="1"/>
  <c r="B144" i="1" s="1"/>
  <c r="A26" i="19" s="1"/>
  <c r="I67" i="1"/>
  <c r="F66" i="1"/>
  <c r="G66" i="1"/>
  <c r="B68" i="1" l="1"/>
  <c r="B69" i="1"/>
  <c r="A4" i="24" s="1"/>
  <c r="A30" i="19"/>
  <c r="A29" i="19"/>
  <c r="A28" i="19" s="1"/>
  <c r="A27" i="19"/>
  <c r="D66" i="1"/>
  <c r="B72" i="1" s="1"/>
  <c r="I66" i="1"/>
  <c r="B73" i="1" s="1"/>
  <c r="E3" i="23" l="1"/>
  <c r="B74" i="1"/>
  <c r="B70" i="1"/>
  <c r="A3" i="19" s="1"/>
  <c r="E3" i="22"/>
  <c r="B71" i="1"/>
  <c r="A8" i="19" s="1"/>
  <c r="A12" i="7" l="1"/>
  <c r="A11" i="7"/>
  <c r="A9" i="7"/>
  <c r="A8" i="7"/>
  <c r="E3" i="16"/>
  <c r="A7" i="26"/>
  <c r="A28" i="7"/>
  <c r="A27" i="7"/>
  <c r="A7" i="28"/>
  <c r="A7" i="27"/>
  <c r="A7" i="29"/>
  <c r="B19" i="9"/>
  <c r="A2" i="27"/>
  <c r="A2" i="28"/>
  <c r="A2" i="29"/>
  <c r="A2" i="26"/>
  <c r="B165" i="1"/>
  <c r="A4" i="8" s="1"/>
  <c r="B142" i="1"/>
  <c r="E4" i="7" s="1"/>
  <c r="A39" i="20"/>
  <c r="B40" i="9"/>
  <c r="A19" i="2"/>
  <c r="D72" i="15"/>
  <c r="A70" i="15"/>
  <c r="A68" i="15"/>
  <c r="D64" i="15"/>
  <c r="D60" i="15"/>
  <c r="A60" i="15"/>
  <c r="A25" i="23" l="1"/>
  <c r="A14" i="8"/>
  <c r="A7" i="7"/>
  <c r="A10" i="7"/>
  <c r="A26" i="7"/>
  <c r="A15" i="3"/>
  <c r="H27" i="15"/>
  <c r="G27" i="15"/>
  <c r="G28" i="15"/>
  <c r="H28" i="15"/>
  <c r="G30" i="15"/>
  <c r="G31" i="15"/>
  <c r="H30" i="15"/>
  <c r="G29" i="15"/>
  <c r="H29" i="15"/>
  <c r="G26" i="15"/>
  <c r="H26" i="15"/>
  <c r="H24" i="15"/>
  <c r="G24" i="15"/>
  <c r="G25" i="15"/>
  <c r="A6" i="7" l="1"/>
  <c r="F2" i="15"/>
  <c r="B62" i="1" l="1"/>
  <c r="D67" i="15" l="1"/>
  <c r="B19" i="13" l="1"/>
  <c r="B10" i="13"/>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40" i="8"/>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41" i="8"/>
  <c r="A35" i="20"/>
  <c r="A42" i="8"/>
  <c r="A34" i="20"/>
  <c r="A9" i="20" l="1"/>
  <c r="O123" i="1"/>
  <c r="E44" i="7"/>
  <c r="E31" i="20" s="1"/>
  <c r="E27" i="8" l="1"/>
  <c r="A23" i="2"/>
  <c r="E38" i="8"/>
  <c r="D72" i="12"/>
  <c r="A70" i="12"/>
  <c r="A68" i="12"/>
  <c r="D64" i="12"/>
  <c r="D60" i="12"/>
  <c r="A60" i="12"/>
  <c r="C8" i="12"/>
  <c r="C9" i="16" s="1"/>
  <c r="A32" i="20"/>
  <c r="A39" i="8"/>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63" i="15" l="1"/>
  <c r="A67" i="15"/>
  <c r="A72" i="15"/>
  <c r="D74" i="15"/>
  <c r="A62" i="15"/>
  <c r="A66" i="15"/>
  <c r="A65" i="15"/>
  <c r="A64" i="15"/>
  <c r="D63" i="15"/>
  <c r="D70" i="15"/>
  <c r="D62" i="15"/>
  <c r="A72" i="12"/>
  <c r="A66" i="12"/>
  <c r="A63" i="12"/>
  <c r="A67" i="12"/>
  <c r="A64" i="12"/>
  <c r="A13" i="3"/>
  <c r="A41" i="3" s="1"/>
  <c r="A65" i="12"/>
  <c r="D68" i="12"/>
  <c r="D66" i="12"/>
  <c r="D67" i="12"/>
  <c r="D63" i="12"/>
  <c r="D70" i="12"/>
  <c r="D62" i="12"/>
  <c r="A62"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L9" i="15" l="1"/>
  <c r="E9" i="15" s="1"/>
  <c r="J13" i="15"/>
  <c r="K13" i="15" s="1"/>
  <c r="I13" i="15" s="1"/>
  <c r="I14" i="15" s="1"/>
  <c r="I15" i="15" s="1"/>
  <c r="I16" i="15" s="1"/>
  <c r="L10" i="15"/>
  <c r="E10" i="15" s="1"/>
  <c r="D10" i="15" l="1"/>
  <c r="C11" i="15" s="1"/>
  <c r="J16" i="15"/>
  <c r="K16" i="15" s="1"/>
  <c r="J14" i="15"/>
  <c r="K14" i="15" s="1"/>
  <c r="J15" i="15"/>
  <c r="K15" i="15" s="1"/>
  <c r="J17" i="15"/>
  <c r="K17" i="15" s="1"/>
  <c r="I17" i="15" s="1"/>
  <c r="J18" i="15" s="1"/>
  <c r="K18" i="15" s="1"/>
  <c r="I18" i="15" s="1"/>
  <c r="J19" i="15" s="1"/>
  <c r="K19" i="15" s="1"/>
  <c r="I19" i="15" s="1"/>
  <c r="I20" i="15" s="1"/>
  <c r="I21" i="15" s="1"/>
  <c r="I22" i="15" s="1"/>
  <c r="M9" i="15"/>
  <c r="F9" i="15" s="1"/>
  <c r="M10" i="15"/>
  <c r="F10" i="15" s="1"/>
  <c r="J20" i="15" l="1"/>
  <c r="K20" i="15" s="1"/>
  <c r="L11" i="15"/>
  <c r="E11" i="15" s="1"/>
  <c r="J21" i="15"/>
  <c r="K21" i="15" s="1"/>
  <c r="J22" i="15"/>
  <c r="K22" i="15" s="1"/>
  <c r="J23" i="15"/>
  <c r="K23" i="15" s="1"/>
  <c r="I23" i="15" s="1"/>
  <c r="D11" i="15" l="1"/>
  <c r="C12" i="15" s="1"/>
  <c r="L12" i="15" s="1"/>
  <c r="E12" i="15" s="1"/>
  <c r="I24" i="15"/>
  <c r="J25" i="15" s="1"/>
  <c r="K25" i="15" s="1"/>
  <c r="I25" i="15" s="1"/>
  <c r="J26" i="15" s="1"/>
  <c r="K26" i="15" s="1"/>
  <c r="J24" i="15"/>
  <c r="K24" i="15" s="1"/>
  <c r="M11" i="15"/>
  <c r="F11" i="15" s="1"/>
  <c r="D12" i="15" l="1"/>
  <c r="C13" i="15" s="1"/>
  <c r="L13" i="15" s="1"/>
  <c r="E13" i="15" s="1"/>
  <c r="I26" i="15"/>
  <c r="I27" i="15" s="1"/>
  <c r="I28" i="15" s="1"/>
  <c r="M12" i="15" l="1"/>
  <c r="F12" i="15" s="1"/>
  <c r="D13" i="15"/>
  <c r="C14" i="15" s="1"/>
  <c r="L14" i="15" s="1"/>
  <c r="E14" i="15" s="1"/>
  <c r="J28" i="15"/>
  <c r="K28" i="15" s="1"/>
  <c r="J29" i="15"/>
  <c r="K29" i="15" s="1"/>
  <c r="I29" i="15" s="1"/>
  <c r="J27" i="15"/>
  <c r="K27" i="15" s="1"/>
  <c r="D14" i="15" l="1"/>
  <c r="C15" i="15" s="1"/>
  <c r="L15" i="15" s="1"/>
  <c r="E15" i="15" s="1"/>
  <c r="I30" i="15"/>
  <c r="J31" i="15" s="1"/>
  <c r="K31" i="15" s="1"/>
  <c r="I31" i="15" s="1"/>
  <c r="J32" i="15" s="1"/>
  <c r="K32" i="15" s="1"/>
  <c r="J30" i="15"/>
  <c r="K30" i="15" s="1"/>
  <c r="M13" i="15"/>
  <c r="F13" i="15" s="1"/>
  <c r="M14" i="15"/>
  <c r="F14" i="15" s="1"/>
  <c r="D15" i="15" l="1"/>
  <c r="C16" i="15" s="1"/>
  <c r="L16" i="15" s="1"/>
  <c r="E16" i="15" s="1"/>
  <c r="I32" i="15"/>
  <c r="J33" i="15" s="1"/>
  <c r="K33" i="15" s="1"/>
  <c r="I33" i="15" s="1"/>
  <c r="M15" i="15" l="1"/>
  <c r="F15" i="15" s="1"/>
  <c r="D16" i="15"/>
  <c r="C17" i="15" s="1"/>
  <c r="L17" i="15" s="1"/>
  <c r="E17" i="15" s="1"/>
  <c r="I34" i="15"/>
  <c r="J35" i="15" s="1"/>
  <c r="K35" i="15" s="1"/>
  <c r="J34" i="15"/>
  <c r="K34" i="15" s="1"/>
  <c r="M16" i="15" l="1"/>
  <c r="F16" i="15" s="1"/>
  <c r="D17" i="15"/>
  <c r="C18" i="15" s="1"/>
  <c r="L18" i="15" s="1"/>
  <c r="I35" i="15"/>
  <c r="M17" i="15" l="1"/>
  <c r="F17" i="15" s="1"/>
  <c r="E18" i="15"/>
  <c r="D18" i="15"/>
  <c r="C19" i="15" s="1"/>
  <c r="L19" i="15" s="1"/>
  <c r="J36" i="15"/>
  <c r="K36" i="15" s="1"/>
  <c r="I36" i="15"/>
  <c r="M18" i="15" l="1"/>
  <c r="F18" i="15" s="1"/>
  <c r="J37" i="15"/>
  <c r="K37" i="15" s="1"/>
  <c r="I37" i="15" s="1"/>
  <c r="E19" i="15"/>
  <c r="D19" i="15"/>
  <c r="C20" i="15" s="1"/>
  <c r="L20" i="15" s="1"/>
  <c r="I38" i="15" l="1"/>
  <c r="J38" i="15"/>
  <c r="K38" i="15" s="1"/>
  <c r="M19" i="15"/>
  <c r="F19" i="15" s="1"/>
  <c r="E20" i="15"/>
  <c r="D20" i="15"/>
  <c r="I39" i="15" l="1"/>
  <c r="I40" i="15" s="1"/>
  <c r="I41" i="15" s="1"/>
  <c r="J39" i="15"/>
  <c r="K39" i="15" s="1"/>
  <c r="C21" i="15"/>
  <c r="L21" i="15" s="1"/>
  <c r="E21" i="15" s="1"/>
  <c r="M20" i="15"/>
  <c r="F20" i="15" s="1"/>
  <c r="J41" i="15" l="1"/>
  <c r="K41" i="15" s="1"/>
  <c r="J40" i="15"/>
  <c r="K40" i="15" s="1"/>
  <c r="D21" i="15"/>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D23" i="15"/>
  <c r="C24" i="15" s="1"/>
  <c r="L24" i="15" s="1"/>
  <c r="E24" i="15" s="1"/>
  <c r="M22" i="15"/>
  <c r="F22" i="15" s="1"/>
  <c r="I46" i="15" l="1"/>
  <c r="J46" i="15"/>
  <c r="K46" i="15" s="1"/>
  <c r="M23" i="15"/>
  <c r="F23" i="15" s="1"/>
  <c r="D24" i="15"/>
  <c r="I47" i="15" l="1"/>
  <c r="J47" i="15"/>
  <c r="K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I54" i="15" l="1"/>
  <c r="J55" i="15" s="1"/>
  <c r="K55" i="15" s="1"/>
  <c r="I55" i="15" s="1"/>
  <c r="J54" i="15"/>
  <c r="K54"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C41" i="15" s="1"/>
  <c r="M40" i="15" l="1"/>
  <c r="F40" i="15" s="1"/>
  <c r="L41" i="15"/>
  <c r="E41" i="15" s="1"/>
  <c r="D41" i="15" l="1"/>
  <c r="M41" i="15" s="1"/>
  <c r="F41" i="15" s="1"/>
  <c r="C42" i="15" l="1"/>
  <c r="L42" i="15" l="1"/>
  <c r="E42" i="15" s="1"/>
  <c r="D42" i="15" l="1"/>
  <c r="C43" i="15" s="1"/>
  <c r="M42" i="15" l="1"/>
  <c r="F42" i="15" s="1"/>
  <c r="L43" i="15"/>
  <c r="E43" i="15" s="1"/>
  <c r="D43" i="15" l="1"/>
  <c r="M43" i="15" s="1"/>
  <c r="F43" i="15" s="1"/>
  <c r="C44" i="15" l="1"/>
  <c r="L44" i="15" s="1"/>
  <c r="E44" i="15" s="1"/>
  <c r="D44" i="15" l="1"/>
  <c r="C45" i="15" s="1"/>
  <c r="M44" i="15" l="1"/>
  <c r="F44" i="15" s="1"/>
  <c r="L45" i="15"/>
  <c r="E45" i="15" s="1"/>
  <c r="D45" i="15" l="1"/>
  <c r="M45" i="15" s="1"/>
  <c r="F45" i="15" s="1"/>
  <c r="C46" i="15" l="1"/>
  <c r="L46" i="15" l="1"/>
  <c r="E46" i="15" s="1"/>
  <c r="D46" i="15" l="1"/>
  <c r="M46" i="15" l="1"/>
  <c r="F46" i="15" s="1"/>
  <c r="C47" i="15"/>
  <c r="L47" i="15" l="1"/>
  <c r="E47" i="15" s="1"/>
  <c r="D47" i="15" l="1"/>
  <c r="M47" i="15" l="1"/>
  <c r="F47" i="15" s="1"/>
  <c r="C48" i="15"/>
  <c r="L48" i="15" l="1"/>
  <c r="E48" i="15" s="1"/>
  <c r="D48" i="15" l="1"/>
  <c r="M48" i="15" l="1"/>
  <c r="F48" i="15" s="1"/>
  <c r="C49" i="15"/>
  <c r="L49" i="15" l="1"/>
  <c r="E49" i="15" s="1"/>
  <c r="D49" i="15" l="1"/>
  <c r="M49" i="15" l="1"/>
  <c r="F49" i="15" s="1"/>
  <c r="C50" i="15"/>
  <c r="L50" i="15" l="1"/>
  <c r="E50" i="15" s="1"/>
  <c r="D50" i="15" l="1"/>
  <c r="M50" i="15" l="1"/>
  <c r="F50" i="15" s="1"/>
  <c r="C51" i="15"/>
  <c r="L51" i="15" l="1"/>
  <c r="E51" i="15" s="1"/>
  <c r="D51" i="15" l="1"/>
  <c r="M51" i="15" l="1"/>
  <c r="F51" i="15" s="1"/>
  <c r="C52" i="15"/>
  <c r="L52" i="15" l="1"/>
  <c r="E52" i="15" s="1"/>
  <c r="D52" i="15" l="1"/>
  <c r="C53" i="15" s="1"/>
  <c r="L53" i="15" s="1"/>
  <c r="E53" i="15" s="1"/>
  <c r="M52" i="15" l="1"/>
  <c r="F52" i="15" s="1"/>
  <c r="D53" i="15"/>
  <c r="M53" i="15" l="1"/>
  <c r="F53" i="15" s="1"/>
  <c r="C54" i="15"/>
  <c r="L54" i="15" l="1"/>
  <c r="E54" i="15" s="1"/>
  <c r="D54" i="15" l="1"/>
  <c r="M54" i="15" l="1"/>
  <c r="F54" i="15" s="1"/>
  <c r="C55" i="15"/>
  <c r="L55" i="15" l="1"/>
  <c r="E55" i="15" s="1"/>
  <c r="E56" i="15" l="1"/>
  <c r="D55" i="15"/>
  <c r="M55" i="15" l="1"/>
  <c r="F55" i="15" s="1"/>
  <c r="D56" i="15"/>
  <c r="F56" i="15" l="1"/>
  <c r="B90" i="1" l="1"/>
  <c r="F8" i="12" s="1"/>
  <c r="D8" i="12" l="1"/>
  <c r="D9" i="16" s="1"/>
  <c r="F9" i="16"/>
  <c r="A24" i="3"/>
  <c r="A23" i="3"/>
  <c r="A22" i="3" s="1"/>
  <c r="C9" i="12"/>
  <c r="C10" i="16" s="1"/>
  <c r="E9" i="12" l="1"/>
  <c r="E10" i="16" s="1"/>
  <c r="F9" i="12"/>
  <c r="D9" i="12" l="1"/>
  <c r="F10" i="16"/>
  <c r="F10" i="12"/>
  <c r="F11" i="12" l="1"/>
  <c r="F11" i="16"/>
  <c r="C10" i="12"/>
  <c r="D10" i="16"/>
  <c r="C11" i="16" l="1"/>
  <c r="E10" i="12"/>
  <c r="F12" i="12"/>
  <c r="F12" i="16"/>
  <c r="F13" i="12" l="1"/>
  <c r="F13" i="16"/>
  <c r="E11" i="16"/>
  <c r="D10" i="12"/>
  <c r="D11" i="16" l="1"/>
  <c r="C11" i="12"/>
  <c r="F14" i="16"/>
  <c r="F14" i="12"/>
  <c r="F15" i="16" l="1"/>
  <c r="F15" i="12"/>
  <c r="C12" i="16"/>
  <c r="E11" i="12"/>
  <c r="E12" i="16" l="1"/>
  <c r="D11" i="12"/>
  <c r="F16" i="16"/>
  <c r="F16" i="12"/>
  <c r="F17" i="16" l="1"/>
  <c r="F17" i="12"/>
  <c r="D12" i="16"/>
  <c r="C12" i="12"/>
  <c r="C13" i="16" l="1"/>
  <c r="E12" i="12"/>
  <c r="F18" i="16"/>
  <c r="F18" i="12"/>
  <c r="F19" i="16" l="1"/>
  <c r="F19" i="12"/>
  <c r="E13" i="16"/>
  <c r="D12" i="12"/>
  <c r="D13" i="16" l="1"/>
  <c r="C13" i="12"/>
  <c r="F20" i="16"/>
  <c r="F20" i="12"/>
  <c r="F21" i="16" l="1"/>
  <c r="F21" i="12"/>
  <c r="C14" i="16"/>
  <c r="E13" i="12"/>
  <c r="E14" i="16" l="1"/>
  <c r="D13" i="12"/>
  <c r="F22" i="16"/>
  <c r="F22" i="12"/>
  <c r="F23" i="16" l="1"/>
  <c r="F23" i="12"/>
  <c r="D14" i="16"/>
  <c r="C14" i="12"/>
  <c r="C15" i="16" l="1"/>
  <c r="E14" i="12"/>
  <c r="F24" i="16"/>
  <c r="F24" i="12"/>
  <c r="F25" i="16" l="1"/>
  <c r="F25" i="12"/>
  <c r="E15" i="16"/>
  <c r="D14" i="12"/>
  <c r="D15" i="16" l="1"/>
  <c r="C15" i="12"/>
  <c r="F26" i="16"/>
  <c r="F26" i="12"/>
  <c r="F27" i="16" l="1"/>
  <c r="F27" i="12"/>
  <c r="C16" i="16"/>
  <c r="E15" i="12"/>
  <c r="D15" i="12" l="1"/>
  <c r="E16" i="16"/>
  <c r="F28" i="16"/>
  <c r="F28" i="12"/>
  <c r="F29" i="16" l="1"/>
  <c r="F29" i="12"/>
  <c r="C16" i="12"/>
  <c r="D16" i="16"/>
  <c r="F30" i="16" l="1"/>
  <c r="F30" i="12"/>
  <c r="F31" i="16" s="1"/>
  <c r="C17" i="16"/>
  <c r="E16" i="12"/>
  <c r="D16" i="12" l="1"/>
  <c r="E17" i="16"/>
  <c r="C17" i="12" l="1"/>
  <c r="D17" i="16"/>
  <c r="C18" i="16" l="1"/>
  <c r="E17" i="12"/>
  <c r="D17" i="12" l="1"/>
  <c r="E18" i="16"/>
  <c r="C18" i="12" l="1"/>
  <c r="D18" i="16"/>
  <c r="C19" i="16" l="1"/>
  <c r="E18" i="12"/>
  <c r="D18" i="12" l="1"/>
  <c r="E19" i="16"/>
  <c r="C19" i="12" l="1"/>
  <c r="D19" i="16"/>
  <c r="C20" i="16" l="1"/>
  <c r="E19" i="12"/>
  <c r="D19" i="12" l="1"/>
  <c r="E20" i="16"/>
  <c r="C63" i="1" s="1"/>
  <c r="C60" i="1" s="1"/>
  <c r="C20" i="12" l="1"/>
  <c r="D20" i="16"/>
  <c r="C21" i="16" l="1"/>
  <c r="E20" i="12"/>
  <c r="D20" i="12" l="1"/>
  <c r="E21" i="16"/>
  <c r="C21" i="12" l="1"/>
  <c r="D21" i="16"/>
  <c r="C22" i="16" l="1"/>
  <c r="E21" i="12"/>
  <c r="D21" i="12" l="1"/>
  <c r="E22" i="16"/>
  <c r="C22" i="12" l="1"/>
  <c r="D22" i="16"/>
  <c r="C23" i="16" l="1"/>
  <c r="E22" i="12"/>
  <c r="D22" i="12" l="1"/>
  <c r="E23" i="16"/>
  <c r="C23" i="12" l="1"/>
  <c r="D23" i="16"/>
  <c r="C24" i="16" l="1"/>
  <c r="E23" i="12"/>
  <c r="D23" i="12" l="1"/>
  <c r="E24" i="16"/>
  <c r="C24" i="12" l="1"/>
  <c r="D24" i="16"/>
  <c r="C25" i="16" l="1"/>
  <c r="E24" i="12"/>
  <c r="D24" i="12" l="1"/>
  <c r="E25" i="16"/>
  <c r="C25" i="12" l="1"/>
  <c r="D25" i="16"/>
  <c r="C26" i="16" l="1"/>
  <c r="E25" i="12"/>
  <c r="D25" i="12" l="1"/>
  <c r="E26" i="16"/>
  <c r="C26" i="12" l="1"/>
  <c r="D26" i="16"/>
  <c r="C27" i="16" l="1"/>
  <c r="E26" i="12"/>
  <c r="D26" i="12" l="1"/>
  <c r="E27" i="16"/>
  <c r="C27" i="12" l="1"/>
  <c r="D27" i="16"/>
  <c r="C28" i="16" l="1"/>
  <c r="E27" i="12"/>
  <c r="D27" i="12" l="1"/>
  <c r="E28" i="16"/>
  <c r="C28" i="12" l="1"/>
  <c r="D28" i="16"/>
  <c r="C29" i="16" l="1"/>
  <c r="E28" i="12"/>
  <c r="D28" i="12" l="1"/>
  <c r="E29" i="16"/>
  <c r="C29" i="12" l="1"/>
  <c r="D29" i="16"/>
  <c r="C30" i="16" l="1"/>
  <c r="E29" i="12"/>
  <c r="D29" i="12" l="1"/>
  <c r="E30" i="16"/>
  <c r="C30" i="12" l="1"/>
  <c r="D30" i="16"/>
  <c r="C31" i="16" l="1"/>
  <c r="E30" i="12"/>
  <c r="D30" i="12" l="1"/>
  <c r="E31" i="16"/>
  <c r="C31" i="12" l="1"/>
  <c r="D31" i="16"/>
  <c r="C32" i="16" l="1"/>
  <c r="E31" i="12"/>
  <c r="E32" i="16" l="1"/>
  <c r="F31" i="12"/>
  <c r="F32" i="12" s="1"/>
  <c r="F32" i="16"/>
  <c r="D31" i="12" l="1"/>
  <c r="F33" i="12"/>
  <c r="F33" i="16"/>
  <c r="C32" i="12" l="1"/>
  <c r="D32" i="16"/>
  <c r="F34" i="12"/>
  <c r="F34" i="16"/>
  <c r="C33" i="16" l="1"/>
  <c r="E32" i="12"/>
  <c r="F35" i="12"/>
  <c r="F35" i="16"/>
  <c r="D32" i="12" l="1"/>
  <c r="E33" i="16"/>
  <c r="F36" i="12"/>
  <c r="F36" i="16"/>
  <c r="D33" i="16" l="1"/>
  <c r="C33" i="12"/>
  <c r="F37" i="16"/>
  <c r="E33" i="12" l="1"/>
  <c r="C34" i="16"/>
  <c r="E34" i="16" l="1"/>
  <c r="D33" i="12"/>
  <c r="D34" i="16" l="1"/>
  <c r="C34" i="12"/>
  <c r="E34" i="12" l="1"/>
  <c r="C35" i="16"/>
  <c r="E35" i="16" l="1"/>
  <c r="D34" i="12"/>
  <c r="D35" i="16" l="1"/>
  <c r="C35" i="12"/>
  <c r="C36" i="16" l="1"/>
  <c r="E35" i="12"/>
  <c r="E36" i="16" l="1"/>
  <c r="D35" i="12"/>
  <c r="D36" i="16" l="1"/>
  <c r="C36" i="12"/>
  <c r="E36" i="12" l="1"/>
  <c r="C37" i="16"/>
  <c r="E37" i="16" l="1"/>
  <c r="D36" i="12"/>
  <c r="D37" i="16" l="1"/>
  <c r="C37" i="12"/>
  <c r="D37" i="12" l="1"/>
  <c r="E37" i="12"/>
  <c r="E38" i="16" s="1"/>
  <c r="C38" i="12"/>
  <c r="C38" i="16"/>
  <c r="E38" i="12" l="1"/>
  <c r="E39" i="16" s="1"/>
  <c r="C39" i="16"/>
  <c r="D38" i="12"/>
  <c r="F37" i="12"/>
  <c r="F38" i="16" s="1"/>
  <c r="D38" i="16"/>
  <c r="F38" i="12" l="1"/>
  <c r="F39" i="16" s="1"/>
  <c r="C39" i="12"/>
  <c r="D39" i="16"/>
  <c r="E39" i="12" l="1"/>
  <c r="E40" i="16" s="1"/>
  <c r="C40" i="16"/>
  <c r="D39" i="12"/>
  <c r="F39" i="12" l="1"/>
  <c r="F40" i="16" s="1"/>
  <c r="D40" i="16"/>
  <c r="C40" i="12"/>
  <c r="D40" i="12" l="1"/>
  <c r="E40" i="12"/>
  <c r="E41" i="16" s="1"/>
  <c r="C41" i="16"/>
  <c r="C41" i="12" l="1"/>
  <c r="F40" i="12"/>
  <c r="F41" i="16" s="1"/>
  <c r="D41" i="16"/>
  <c r="C42" i="16" l="1"/>
  <c r="D41" i="12"/>
  <c r="E41" i="12"/>
  <c r="E42" i="16" s="1"/>
  <c r="D42" i="16" l="1"/>
  <c r="F41" i="12"/>
  <c r="F42" i="16" s="1"/>
  <c r="C42" i="12"/>
  <c r="E42" i="12" l="1"/>
  <c r="D42" i="12"/>
  <c r="C43" i="12" s="1"/>
  <c r="C43" i="16"/>
  <c r="C44" i="16" l="1"/>
  <c r="E43" i="12"/>
  <c r="E44" i="16" s="1"/>
  <c r="D43" i="12"/>
  <c r="F42" i="12"/>
  <c r="D43" i="16"/>
  <c r="D56" i="12"/>
  <c r="E43" i="16"/>
  <c r="E56" i="12"/>
  <c r="F43" i="16" l="1"/>
  <c r="D44" i="16"/>
  <c r="F43" i="12"/>
  <c r="F44" i="16" s="1"/>
  <c r="C44" i="12"/>
  <c r="D44" i="12" l="1"/>
  <c r="C45" i="12"/>
  <c r="E44" i="12"/>
  <c r="E45" i="16" s="1"/>
  <c r="C45" i="16"/>
  <c r="F56" i="12"/>
  <c r="D45" i="12" l="1"/>
  <c r="C46" i="16"/>
  <c r="E45" i="12"/>
  <c r="E46" i="16" s="1"/>
  <c r="F44" i="12"/>
  <c r="F45" i="16" s="1"/>
  <c r="D45" i="16"/>
  <c r="C46" i="12" l="1"/>
  <c r="F45" i="12"/>
  <c r="F46" i="16" s="1"/>
  <c r="D46" i="16"/>
  <c r="C47" i="16" l="1"/>
  <c r="E46" i="12"/>
  <c r="E47" i="16" s="1"/>
  <c r="D46" i="12"/>
  <c r="C47" i="12" s="1"/>
  <c r="C48" i="16" l="1"/>
  <c r="D47" i="12"/>
  <c r="E47" i="12"/>
  <c r="E48" i="16" s="1"/>
  <c r="C48" i="12"/>
  <c r="F46" i="12"/>
  <c r="F47" i="16" s="1"/>
  <c r="D47" i="16"/>
  <c r="E48" i="12" l="1"/>
  <c r="E49" i="16" s="1"/>
  <c r="C49" i="16"/>
  <c r="D48" i="12"/>
  <c r="D48" i="16"/>
  <c r="F47" i="12"/>
  <c r="F48" i="16" s="1"/>
  <c r="F48" i="12" l="1"/>
  <c r="F49" i="16" s="1"/>
  <c r="D49" i="16"/>
  <c r="C49" i="12"/>
  <c r="D49" i="12" l="1"/>
  <c r="C50" i="16"/>
  <c r="E49" i="12"/>
  <c r="E50" i="16" s="1"/>
  <c r="C50" i="12"/>
  <c r="C51" i="16" l="1"/>
  <c r="D50" i="12"/>
  <c r="C51" i="12" s="1"/>
  <c r="E50" i="12"/>
  <c r="E51" i="16" s="1"/>
  <c r="F49" i="12"/>
  <c r="F50" i="16" s="1"/>
  <c r="D50" i="16"/>
  <c r="E51" i="12" l="1"/>
  <c r="E52" i="16" s="1"/>
  <c r="C52" i="16"/>
  <c r="D51" i="12"/>
  <c r="F50" i="12"/>
  <c r="F51" i="16" s="1"/>
  <c r="D51" i="16"/>
  <c r="C52" i="12" l="1"/>
  <c r="D52" i="16"/>
  <c r="F51" i="12"/>
  <c r="F52" i="16" s="1"/>
  <c r="D52" i="12" l="1"/>
  <c r="E52" i="12"/>
  <c r="E53" i="16" s="1"/>
  <c r="C53" i="16"/>
  <c r="C53" i="12" l="1"/>
  <c r="F52" i="12"/>
  <c r="F53" i="16" s="1"/>
  <c r="D53" i="16"/>
  <c r="C54" i="16" l="1"/>
  <c r="E53" i="12"/>
  <c r="E54" i="16" s="1"/>
  <c r="D53" i="12"/>
  <c r="F53" i="12" l="1"/>
  <c r="F54" i="16" s="1"/>
  <c r="D54" i="16"/>
  <c r="C54" i="12"/>
  <c r="C55" i="16" l="1"/>
  <c r="E54" i="12"/>
  <c r="E55" i="16" s="1"/>
  <c r="D54" i="12"/>
  <c r="C55" i="12" l="1"/>
  <c r="F54" i="12"/>
  <c r="F55" i="16" s="1"/>
  <c r="D55" i="16"/>
  <c r="C56" i="16" l="1"/>
  <c r="E55" i="12"/>
  <c r="E56" i="16" s="1"/>
  <c r="E57" i="16" s="1"/>
  <c r="D55" i="12"/>
  <c r="F55" i="12" l="1"/>
  <c r="F56" i="16" s="1"/>
  <c r="F57" i="16" s="1"/>
  <c r="D56" i="16"/>
  <c r="D57" i="16" s="1"/>
</calcChain>
</file>

<file path=xl/sharedStrings.xml><?xml version="1.0" encoding="utf-8"?>
<sst xmlns="http://schemas.openxmlformats.org/spreadsheetml/2006/main" count="608" uniqueCount="447">
  <si>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</si>
  <si>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</si>
  <si>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</si>
  <si>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</si>
  <si>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</si>
  <si>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</si>
  <si>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</si>
  <si>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</si>
  <si>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</si>
  <si>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</si>
  <si>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</si>
  <si>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</si>
  <si>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</si>
  <si>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</si>
  <si>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</si>
  <si>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</si>
  <si>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</si>
  <si>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</si>
  <si>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</si>
  <si>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</si>
  <si>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</si>
  <si>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</si>
  <si>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</si>
  <si>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</si>
  <si>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</si>
  <si>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</si>
  <si>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</si>
  <si>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</si>
  <si>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</si>
  <si>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</si>
  <si>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</si>
  <si>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</si>
  <si>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</si>
  <si>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</si>
  <si>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</si>
  <si>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</si>
  <si>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</si>
  <si>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</si>
  <si>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</si>
  <si>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</si>
  <si>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</si>
  <si>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</si>
  <si>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</si>
  <si>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</si>
  <si>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</si>
  <si>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</si>
  <si>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</si>
  <si>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</si>
  <si>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</si>
  <si>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</si>
  <si>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</si>
  <si>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</si>
  <si>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</si>
  <si>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</si>
  <si>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</si>
  <si>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</si>
  <si>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</si>
  <si>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</si>
  <si>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</si>
  <si>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</si>
  <si>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</si>
  <si>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</si>
  <si>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</si>
  <si>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</si>
  <si>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</si>
  <si>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</si>
  <si>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</si>
  <si>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</si>
  <si>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</si>
  <si>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</si>
  <si>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</si>
  <si>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</si>
  <si>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</si>
  <si>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</si>
  <si>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</si>
  <si>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</si>
  <si>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</si>
  <si>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</si>
  <si>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</si>
  <si>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</si>
  <si>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</si>
  <si>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</si>
  <si>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</si>
  <si>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</si>
  <si>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</si>
  <si>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</si>
  <si>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</si>
  <si>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</si>
  <si>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</si>
  <si>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</si>
  <si>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</si>
  <si>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</si>
  <si>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</si>
  <si>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</si>
  <si>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</si>
  <si>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</si>
  <si>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</si>
  <si>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</si>
  <si>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</si>
  <si>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</si>
  <si>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</si>
  <si>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</si>
  <si>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</si>
  <si>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</si>
  <si>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</si>
  <si>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</si>
  <si>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</si>
  <si>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</si>
  <si>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</si>
  <si>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</si>
  <si>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</si>
  <si>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</si>
  <si>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</si>
  <si>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</si>
  <si>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</si>
  <si>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</si>
  <si>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</si>
  <si>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</si>
  <si>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</si>
  <si>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</si>
  <si>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</si>
  <si>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</si>
  <si>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</si>
  <si>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</si>
  <si>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</si>
  <si>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</si>
  <si>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</si>
  <si>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</si>
  <si>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</si>
  <si>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</si>
  <si>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</si>
  <si>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</si>
  <si>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</si>
  <si>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</si>
  <si>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</si>
  <si>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</si>
  <si>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</si>
  <si>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</si>
  <si>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</si>
  <si>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</si>
  <si>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</si>
  <si>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</si>
  <si>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</si>
  <si>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</si>
  <si>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</si>
  <si>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</si>
  <si>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</si>
  <si>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</si>
  <si>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</si>
  <si>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</si>
  <si>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</si>
  <si>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</si>
  <si>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</si>
  <si>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</si>
  <si>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</si>
  <si>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</si>
  <si>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</si>
  <si>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</si>
  <si>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</si>
  <si>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</si>
  <si>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</si>
  <si>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</si>
  <si>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</si>
  <si>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</si>
  <si>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</si>
  <si>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</si>
  <si>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</si>
  <si>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</si>
  <si>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</si>
  <si>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</si>
  <si>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</si>
  <si>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</si>
  <si>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</si>
  <si>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</si>
  <si>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</si>
  <si>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</si>
  <si>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</si>
  <si>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</si>
  <si>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</si>
  <si>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</si>
  <si>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</si>
  <si>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</si>
  <si>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</si>
  <si>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</si>
  <si>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</si>
  <si>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</si>
  <si>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</si>
  <si>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</si>
  <si>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</si>
  <si>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</si>
  <si>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</si>
  <si>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</si>
  <si>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</si>
  <si>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</si>
  <si>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</si>
  <si>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</si>
  <si>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</si>
  <si>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</si>
  <si>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</si>
  <si>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</si>
  <si>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</si>
  <si>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</si>
  <si>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</si>
  <si>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</si>
  <si>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</si>
  <si>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</si>
  <si>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</si>
  <si>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</si>
  <si>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</si>
  <si>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</si>
  <si>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</si>
  <si>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</si>
  <si>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</si>
  <si>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</si>
  <si>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</si>
  <si>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</si>
  <si>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</si>
  <si>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</si>
  <si>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</si>
  <si>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</si>
  <si>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</si>
  <si>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</si>
  <si>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</si>
  <si>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</si>
  <si>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</si>
  <si>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</si>
  <si>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</si>
  <si>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</si>
  <si>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</si>
  <si>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</si>
  <si>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</si>
  <si>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</si>
  <si>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</si>
  <si>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</si>
  <si>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</si>
  <si>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</si>
  <si>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</si>
  <si>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</si>
  <si>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</si>
  <si>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</si>
  <si>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</si>
  <si>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</si>
  <si>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</si>
  <si>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</si>
  <si>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</si>
  <si>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</si>
  <si>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</si>
  <si>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</si>
  <si>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</si>
  <si>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</si>
  <si>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</si>
  <si>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</si>
  <si>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</si>
  <si>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</si>
  <si>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</si>
  <si>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</si>
  <si>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</si>
  <si>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</si>
  <si>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</si>
  <si>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</si>
  <si>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</si>
  <si>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</si>
  <si>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</si>
  <si>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</si>
  <si>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</si>
  <si>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</si>
  <si>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</si>
  <si>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</si>
  <si>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</si>
  <si>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</si>
  <si>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</si>
  <si>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</si>
  <si>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</si>
  <si>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</si>
  <si>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</si>
  <si>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</si>
  <si>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</si>
  <si>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</si>
  <si>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</si>
  <si>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</si>
  <si>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</si>
  <si>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</si>
  <si>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</si>
  <si>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</si>
  <si>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</si>
  <si>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</si>
  <si>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</si>
  <si>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</si>
  <si>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</si>
  <si>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</si>
  <si>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</si>
  <si>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</si>
  <si>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</si>
  <si>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</si>
  <si>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</si>
  <si>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</si>
  <si>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</si>
  <si>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</si>
  <si>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</si>
  <si>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</si>
  <si>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</si>
  <si>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</si>
  <si>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</si>
  <si>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</si>
  <si>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</si>
  <si>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</si>
  <si>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</si>
  <si>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</si>
  <si>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</si>
  <si>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</si>
  <si>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</si>
  <si>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</si>
  <si>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</si>
  <si>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</si>
  <si>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</si>
  <si>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</si>
  <si>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</si>
  <si>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</si>
  <si>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</si>
  <si>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</si>
  <si>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</si>
  <si>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</si>
  <si>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</si>
  <si>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</si>
  <si>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</si>
  <si>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</si>
  <si>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</si>
  <si>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</si>
  <si>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</si>
  <si>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</si>
  <si>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</si>
  <si>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</si>
  <si>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</si>
  <si>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</si>
  <si>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</si>
  <si>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</si>
  <si>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</si>
  <si>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</si>
  <si>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</si>
  <si>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</si>
  <si>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</si>
  <si>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</si>
  <si>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</si>
  <si>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</si>
  <si>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</si>
  <si>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</si>
  <si>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</si>
  <si>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</si>
  <si>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</si>
  <si>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</si>
  <si>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</si>
  <si>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</si>
  <si>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</si>
  <si>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</si>
  <si>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</si>
  <si>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</si>
  <si>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</si>
  <si>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</si>
  <si>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</si>
  <si>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</si>
  <si>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</si>
  <si>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</si>
  <si>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</si>
  <si>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</si>
  <si>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</si>
  <si>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</si>
  <si>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</si>
  <si>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</si>
  <si>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</si>
  <si>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</si>
  <si>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 xml:space="preserve"> masala yuzasidan berilgan ma’lumotlarni muhokama qilib, Kredit qo‘mitasi a’zolariga taqdim etilgan zarur hujjatlarni o‘rganib, majlisda ishtirok etgan Kredit qo‘mitasi a’zolarining taklif va mulohazalarini inobatga olgan holda </t>
  </si>
  <si>
    <t>37,39</t>
  </si>
  <si>
    <t>16.12.2020 yildan №14:13:02:01:03:1179:0006:058</t>
  </si>
  <si>
    <t>13.12.2020 yildan 1718238/R-A1419303</t>
  </si>
  <si>
    <t>№ kadastr raqami</t>
  </si>
  <si>
    <t>Foydalanishga topshirilgan yili</t>
  </si>
  <si>
    <t xml:space="preserve"> sanasidan</t>
  </si>
  <si>
    <t>Kreditlash bo’limi boshlig’i</t>
  </si>
  <si>
    <t>o'n olti</t>
  </si>
  <si>
    <t>«PULLOL BUSINESS MIKROMOLIYA TASHKILOTI»  MChJ</t>
  </si>
  <si>
    <t>Abduraximova T.N.</t>
  </si>
  <si>
    <t>Toshkent shahri, Yakkasaroy tumani, Rakat ko'chasi, 10-uy, 18 xonadon</t>
  </si>
  <si>
    <t>№ 20208000405643889001</t>
  </si>
  <si>
    <t>№01088</t>
  </si>
  <si>
    <t>ATB “Kapitalbank” Markaziy amaliyotlar bo'limi</t>
  </si>
  <si>
    <t>310430149</t>
  </si>
  <si>
    <t>27-13/968</t>
  </si>
  <si>
    <t>14.08.2023y</t>
  </si>
  <si>
    <t>Obidov A. Sh.</t>
  </si>
  <si>
    <t>6. Boshqa shartlar – avtotransport vositasi shaklida garov ta'minlangandan keyin mikroqarz berish.</t>
  </si>
  <si>
    <t>1. Obidov Abdullo Shokir og'li</t>
  </si>
  <si>
    <t>o'lti</t>
  </si>
  <si>
    <t>o'n ikki</t>
  </si>
  <si>
    <t>o'n sakkiz</t>
  </si>
  <si>
    <t>yigirma to'rt</t>
  </si>
  <si>
    <t>o'ttiz olti</t>
  </si>
  <si>
    <t>qurbon</t>
  </si>
  <si>
    <t>(97) 706 96 65</t>
  </si>
  <si>
    <t>yigirma sakkiz</t>
  </si>
  <si>
    <t xml:space="preserve">o'ttiz </t>
  </si>
  <si>
    <t>Direktor</t>
  </si>
  <si>
    <t>Obidov Abdullo Shokir o'g'li</t>
  </si>
  <si>
    <t>Obidov A.Sh.</t>
  </si>
  <si>
    <t>Kredit bo'yicha menejer</t>
  </si>
  <si>
    <t>direktori</t>
  </si>
  <si>
    <t>qirq sakkiz</t>
  </si>
  <si>
    <t>55</t>
  </si>
  <si>
    <t>Йиллик фоиз(50% ошмаган холда)</t>
  </si>
  <si>
    <t>(90) 003 11 22</t>
  </si>
  <si>
    <t>Akramov R.N.</t>
  </si>
  <si>
    <t>2. Akramov R.N.</t>
  </si>
  <si>
    <t>YENGIL SEDAN</t>
  </si>
  <si>
    <t>RAKAMSIZ</t>
  </si>
  <si>
    <t>Eshbekov S.O.</t>
  </si>
  <si>
    <t xml:space="preserve">3. Eshbekov S.O.
</t>
  </si>
  <si>
    <t>155</t>
  </si>
  <si>
    <t>Bir yuz ellik besh</t>
  </si>
  <si>
    <t xml:space="preserve"> besh</t>
  </si>
  <si>
    <t>Djumanazarov B.A.</t>
  </si>
  <si>
    <t>0 BO'LSA SKRIT</t>
  </si>
  <si>
    <t>To'rtko'l filiali boshlig’i</t>
  </si>
  <si>
    <t>IIV 35210</t>
  </si>
  <si>
    <t>AE 6482058</t>
  </si>
  <si>
    <t>10.09.1999 y</t>
  </si>
  <si>
    <t>BAYRAMGELDIYEV NURGELDI QODOMBOY O'G'LI</t>
  </si>
  <si>
    <t>QORAQALPOG'ISTON RESPUBLIKASI ELLIKQAL'A TUMANI JASORAT MFY PAXTABIRLIK KO'CHASI 7-UY</t>
  </si>
  <si>
    <t xml:space="preserve">PAXTA ZAVODNI YON TOMONI KALENIN OXIRI </t>
  </si>
  <si>
    <t>ELLIKQAL'A TUMANI</t>
  </si>
  <si>
    <t>93 842 10 99 KLIENT</t>
  </si>
  <si>
    <t>94-886-00-39 AYOLI</t>
  </si>
  <si>
    <t>93-073-74-12 ONASI</t>
  </si>
  <si>
    <t>BERUNIY TUMANI TRO' VA IOB</t>
  </si>
  <si>
    <t>AAG       1523624      13.05.2023 y</t>
  </si>
  <si>
    <t>COBALT</t>
  </si>
  <si>
    <t>95H906KA</t>
  </si>
  <si>
    <t>XWBJF69VEMA215312</t>
  </si>
  <si>
    <t>B15D2T13210582DJCX0088</t>
  </si>
  <si>
    <t>OQ GAZ</t>
  </si>
  <si>
    <t>2021</t>
  </si>
  <si>
    <t>BAYRAMGELDIYEV N.Q.</t>
  </si>
  <si>
    <t>№0012784845</t>
  </si>
  <si>
    <t>№194-TR</t>
  </si>
  <si>
    <t>05.03.2026</t>
  </si>
  <si>
    <t>Mijoz quyidagi majburiyatlarga ega: "TOShKENT Sh., "TBC BANK" АKTSIYADORLIK TIJORАT BАNKI 28 596 342.00 so'm, TOShKENT Sh., "ANOR BANK" АKTSIYADORLIK JАMIYATI 13 028 800.00, 4 629 627.00, "TEZCOIN" MASULIYATI CHEKLANGAN JAMIYATI QO'SHMA KORXONA MIKROMOLIYA TASHKILOTI 432 456.00., Ayni paytda muddati o'tgan qarzdorligi mavjud emas. O‘rtacha oylik to‘lov 3 165 244.98 so‘mni tashkil qiladi.</t>
  </si>
  <si>
    <t>Qoraqalpogʼiston Resp. Ellikqalʼa tumani</t>
  </si>
  <si>
    <t>Йўловчиларни енгил автотранспорт воситаларида ташиш</t>
  </si>
  <si>
    <t>31009997250018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</si>
</sst>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6"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288">
    <xf numFmtId="0" fontId="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3" fillId="0" borderId="0">
      <alignment vertical="center"/>
    </xf>
    <xf numFmtId="0" fontId="53" fillId="0" borderId="0">
      <alignment vertical="center"/>
    </xf>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365">
    <xf numFmtId="0" fontId="0" fillId="0" borderId="0" xfId="0"/>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6" fillId="2" borderId="1" xfId="0" applyFont="1" applyFill="1" applyBorder="1" applyAlignment="1">
      <alignment vertical="center" wrapText="1"/>
    </xf>
    <xf numFmtId="165" fontId="5" fillId="0" borderId="1" xfId="0" applyNumberFormat="1" applyFont="1" applyBorder="1" applyAlignment="1">
      <alignment vertical="center" wrapText="1"/>
    </xf>
    <xf numFmtId="43" fontId="5"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5"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5" fillId="4" borderId="1" xfId="0" applyFont="1" applyFill="1" applyBorder="1" applyAlignment="1">
      <alignment vertical="center" wrapText="1"/>
    </xf>
    <xf numFmtId="0" fontId="14" fillId="0" borderId="0" xfId="0" applyFont="1" applyAlignment="1">
      <alignment horizontal="center" vertical="center" wrapText="1"/>
    </xf>
    <xf numFmtId="43" fontId="26" fillId="0" borderId="1" xfId="1" applyFont="1" applyBorder="1"/>
    <xf numFmtId="43" fontId="5"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5"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165" fontId="5" fillId="2" borderId="1" xfId="0" applyNumberFormat="1" applyFont="1" applyFill="1" applyBorder="1" applyAlignment="1">
      <alignment vertical="center" wrapText="1"/>
    </xf>
    <xf numFmtId="0" fontId="5"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5" fillId="4" borderId="3" xfId="1" applyFont="1" applyFill="1" applyBorder="1" applyAlignment="1">
      <alignment vertical="center" wrapText="1"/>
    </xf>
    <xf numFmtId="0" fontId="6" fillId="2" borderId="1" xfId="0" applyFont="1" applyFill="1" applyBorder="1" applyAlignment="1">
      <alignment horizontal="righ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5" fillId="6" borderId="1" xfId="0" applyFont="1" applyFill="1" applyBorder="1" applyAlignment="1">
      <alignment vertical="center" wrapText="1"/>
    </xf>
    <xf numFmtId="165" fontId="5" fillId="2" borderId="1" xfId="0" applyNumberFormat="1" applyFont="1" applyFill="1" applyBorder="1" applyAlignment="1">
      <alignment horizontal="left" vertical="center" wrapText="1"/>
    </xf>
    <xf numFmtId="14" fontId="5" fillId="6" borderId="1" xfId="0" applyNumberFormat="1" applyFont="1" applyFill="1" applyBorder="1" applyAlignment="1">
      <alignment vertical="center" wrapText="1"/>
    </xf>
    <xf numFmtId="165" fontId="5" fillId="6" borderId="1" xfId="0" applyNumberFormat="1" applyFont="1" applyFill="1" applyBorder="1" applyAlignment="1">
      <alignment vertical="center" wrapText="1"/>
    </xf>
    <xf numFmtId="0" fontId="5" fillId="7" borderId="1" xfId="0" applyFont="1" applyFill="1" applyBorder="1" applyAlignment="1">
      <alignment vertical="center" wrapText="1"/>
    </xf>
    <xf numFmtId="9" fontId="5" fillId="7" borderId="1" xfId="0" applyNumberFormat="1" applyFont="1" applyFill="1" applyBorder="1" applyAlignment="1">
      <alignment vertical="center" wrapText="1"/>
    </xf>
    <xf numFmtId="49" fontId="5" fillId="7" borderId="1" xfId="1" applyNumberFormat="1" applyFont="1" applyFill="1" applyBorder="1" applyAlignment="1">
      <alignment vertical="center" wrapText="1"/>
    </xf>
    <xf numFmtId="40" fontId="5" fillId="7" borderId="1" xfId="1" applyNumberFormat="1" applyFont="1" applyFill="1" applyBorder="1" applyAlignment="1">
      <alignment vertical="center" wrapText="1"/>
    </xf>
    <xf numFmtId="0" fontId="6" fillId="2" borderId="1" xfId="0" applyFont="1" applyFill="1" applyBorder="1" applyAlignment="1">
      <alignment horizontal="center" vertical="center" wrapText="1"/>
    </xf>
    <xf numFmtId="49" fontId="5"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5" fillId="3" borderId="1" xfId="0" applyFont="1" applyFill="1" applyBorder="1" applyAlignment="1">
      <alignment horizontal="center" vertical="center" wrapText="1"/>
    </xf>
    <xf numFmtId="0" fontId="13" fillId="0" borderId="0" xfId="0" applyFont="1" applyAlignment="1">
      <alignment vertical="top"/>
    </xf>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5" fillId="4" borderId="1" xfId="0" applyNumberFormat="1" applyFont="1" applyFill="1" applyBorder="1" applyAlignment="1">
      <alignment vertical="center" wrapText="1"/>
    </xf>
    <xf numFmtId="0" fontId="13" fillId="0" borderId="0" xfId="0" applyFont="1" applyAlignment="1">
      <alignment horizontal="right"/>
    </xf>
    <xf numFmtId="0" fontId="6" fillId="6" borderId="1" xfId="0" applyFont="1" applyFill="1" applyBorder="1" applyAlignment="1">
      <alignment horizontal="left" vertical="center" wrapText="1"/>
    </xf>
    <xf numFmtId="0" fontId="6" fillId="6" borderId="1" xfId="0"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0" fontId="5"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5" fillId="4" borderId="1" xfId="0" applyNumberFormat="1" applyFont="1" applyFill="1" applyBorder="1" applyAlignment="1">
      <alignment vertical="center" wrapText="1"/>
    </xf>
    <xf numFmtId="0" fontId="16" fillId="0" borderId="0" xfId="0" applyFont="1" applyAlignment="1">
      <alignment horizontal="center" vertical="top" wrapText="1"/>
    </xf>
    <xf numFmtId="0" fontId="41" fillId="2" borderId="1" xfId="0" applyFont="1" applyFill="1" applyBorder="1" applyAlignment="1">
      <alignment vertical="center" wrapText="1"/>
    </xf>
    <xf numFmtId="0" fontId="5" fillId="9" borderId="1" xfId="0" applyFont="1" applyFill="1" applyBorder="1" applyAlignment="1">
      <alignment vertical="center" wrapText="1"/>
    </xf>
    <xf numFmtId="0" fontId="3"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45" fillId="0" borderId="0" xfId="0" applyFont="1"/>
    <xf numFmtId="0" fontId="46" fillId="0" borderId="0" xfId="0" applyFont="1"/>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13" fillId="0" borderId="0" xfId="0" applyFont="1" applyAlignment="1">
      <alignment horizontal="left"/>
    </xf>
    <xf numFmtId="0" fontId="8" fillId="0" borderId="0" xfId="0" applyFont="1" applyAlignment="1">
      <alignment horizontal="right" wrapText="1"/>
    </xf>
    <xf numFmtId="14" fontId="5" fillId="3" borderId="1" xfId="0" applyNumberFormat="1" applyFont="1" applyFill="1" applyBorder="1" applyAlignment="1">
      <alignment horizontal="center" vertical="center" wrapText="1"/>
    </xf>
    <xf numFmtId="0" fontId="48" fillId="2" borderId="1" xfId="0" applyFont="1" applyFill="1" applyBorder="1" applyAlignment="1">
      <alignment horizontal="left" vertical="center" wrapText="1"/>
    </xf>
    <xf numFmtId="0" fontId="48"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49" fillId="4" borderId="1" xfId="0" applyFont="1" applyFill="1" applyBorder="1" applyAlignment="1">
      <alignment vertical="center" wrapText="1"/>
    </xf>
    <xf numFmtId="0" fontId="51" fillId="4" borderId="1" xfId="0" applyFont="1" applyFill="1" applyBorder="1" applyAlignment="1">
      <alignment vertical="center" wrapText="1"/>
    </xf>
    <xf numFmtId="0" fontId="50" fillId="2" borderId="1" xfId="0" applyFont="1" applyFill="1" applyBorder="1" applyAlignment="1">
      <alignment vertical="center" wrapText="1"/>
    </xf>
    <xf numFmtId="0" fontId="8" fillId="0" borderId="0" xfId="0" applyFont="1" applyAlignment="1">
      <alignment wrapText="1"/>
    </xf>
    <xf numFmtId="0" fontId="48" fillId="10" borderId="2" xfId="0" applyFont="1" applyFill="1" applyBorder="1" applyAlignment="1">
      <alignment horizontal="left" vertical="center" wrapText="1"/>
    </xf>
    <xf numFmtId="0" fontId="48" fillId="10" borderId="24" xfId="0" applyFont="1" applyFill="1" applyBorder="1" applyAlignment="1">
      <alignment horizontal="left" vertical="center" wrapText="1"/>
    </xf>
    <xf numFmtId="43" fontId="51" fillId="4" borderId="1" xfId="1" applyFont="1" applyFill="1" applyBorder="1" applyAlignment="1">
      <alignment vertical="center" wrapText="1"/>
    </xf>
    <xf numFmtId="0" fontId="7" fillId="5" borderId="0" xfId="0" applyFont="1" applyFill="1" applyAlignment="1">
      <alignment horizontal="center" wrapText="1"/>
    </xf>
    <xf numFmtId="0" fontId="13" fillId="11" borderId="0" xfId="0" applyFont="1" applyFill="1"/>
    <xf numFmtId="0" fontId="5" fillId="10" borderId="0" xfId="0" applyFont="1" applyFill="1"/>
    <xf numFmtId="0" fontId="24" fillId="0" borderId="0" xfId="0" applyFont="1" applyAlignment="1">
      <alignment horizontal="left" vertical="top" wrapText="1"/>
    </xf>
    <xf numFmtId="0" fontId="6" fillId="10" borderId="0" xfId="0" applyFont="1" applyFill="1" applyAlignment="1">
      <alignment vertical="center" wrapText="1"/>
    </xf>
    <xf numFmtId="0" fontId="5" fillId="10" borderId="0" xfId="0" applyFont="1" applyFill="1" applyAlignment="1">
      <alignment vertical="center" wrapText="1"/>
    </xf>
    <xf numFmtId="49" fontId="28" fillId="4" borderId="1" xfId="0" applyNumberFormat="1" applyFont="1" applyFill="1" applyBorder="1" applyAlignment="1">
      <alignment vertical="center" wrapText="1"/>
    </xf>
    <xf numFmtId="0" fontId="5" fillId="0" borderId="0" xfId="0" applyFont="1"/>
    <xf numFmtId="0" fontId="6" fillId="0" borderId="0" xfId="0" applyFont="1" applyAlignment="1">
      <alignment vertical="center"/>
    </xf>
    <xf numFmtId="0" fontId="5" fillId="0" borderId="13" xfId="0" applyFont="1" applyBorder="1" applyAlignment="1">
      <alignment vertical="center"/>
    </xf>
    <xf numFmtId="0" fontId="5" fillId="0" borderId="0" xfId="0" applyFont="1" applyAlignment="1">
      <alignment vertical="center"/>
    </xf>
    <xf numFmtId="0" fontId="5" fillId="0" borderId="15" xfId="0" applyFont="1" applyBorder="1" applyAlignment="1">
      <alignment vertical="center"/>
    </xf>
    <xf numFmtId="0" fontId="6" fillId="0" borderId="0" xfId="0" applyFont="1"/>
    <xf numFmtId="49" fontId="5" fillId="0" borderId="0" xfId="0" applyNumberFormat="1" applyFont="1"/>
    <xf numFmtId="0" fontId="6" fillId="0" borderId="0" xfId="0" applyFont="1" applyAlignment="1">
      <alignment wrapText="1"/>
    </xf>
    <xf numFmtId="0" fontId="6" fillId="9" borderId="1" xfId="0" applyFont="1" applyFill="1" applyBorder="1" applyAlignment="1">
      <alignment vertical="center" wrapText="1"/>
    </xf>
    <xf numFmtId="0" fontId="5" fillId="9" borderId="3" xfId="0" applyFont="1" applyFill="1" applyBorder="1" applyAlignment="1">
      <alignment vertical="center" wrapText="1"/>
    </xf>
    <xf numFmtId="0" fontId="5" fillId="12" borderId="1" xfId="0" applyFont="1" applyFill="1" applyBorder="1"/>
    <xf numFmtId="0" fontId="5" fillId="12" borderId="1" xfId="0" applyFont="1" applyFill="1" applyBorder="1" applyAlignment="1">
      <alignment wrapText="1"/>
    </xf>
    <xf numFmtId="14" fontId="5" fillId="10" borderId="0" xfId="0" applyNumberFormat="1" applyFont="1" applyFill="1"/>
    <xf numFmtId="0" fontId="54" fillId="10" borderId="16" xfId="0" applyFont="1" applyFill="1" applyBorder="1"/>
    <xf numFmtId="164" fontId="5" fillId="10" borderId="3" xfId="0" applyNumberFormat="1" applyFont="1" applyFill="1" applyBorder="1" applyAlignment="1">
      <alignment horizontal="left" vertical="top" wrapText="1"/>
    </xf>
    <xf numFmtId="168" fontId="6" fillId="10" borderId="0" xfId="0" applyNumberFormat="1" applyFont="1" applyFill="1"/>
    <xf numFmtId="0" fontId="25" fillId="10" borderId="0" xfId="0" applyFont="1" applyFill="1"/>
    <xf numFmtId="0" fontId="5" fillId="10" borderId="19" xfId="0" applyFont="1" applyFill="1" applyBorder="1"/>
    <xf numFmtId="0" fontId="5" fillId="10" borderId="20" xfId="0" applyFont="1" applyFill="1" applyBorder="1"/>
    <xf numFmtId="0" fontId="9"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5" fillId="10" borderId="1" xfId="0" applyFont="1" applyFill="1" applyBorder="1" applyAlignment="1">
      <alignment vertical="center" wrapText="1"/>
    </xf>
    <xf numFmtId="14" fontId="5" fillId="10" borderId="1" xfId="0" applyNumberFormat="1" applyFont="1" applyFill="1" applyBorder="1"/>
    <xf numFmtId="0" fontId="5" fillId="10" borderId="1" xfId="0" applyFont="1" applyFill="1" applyBorder="1"/>
    <xf numFmtId="49" fontId="5" fillId="10" borderId="1" xfId="0" applyNumberFormat="1" applyFont="1" applyFill="1" applyBorder="1"/>
    <xf numFmtId="164" fontId="5" fillId="10" borderId="1" xfId="0" applyNumberFormat="1" applyFont="1" applyFill="1" applyBorder="1" applyAlignment="1">
      <alignment vertical="center" wrapText="1"/>
    </xf>
    <xf numFmtId="164" fontId="5" fillId="10" borderId="0" xfId="0" applyNumberFormat="1" applyFont="1" applyFill="1" applyAlignment="1">
      <alignment vertical="center" wrapText="1"/>
    </xf>
    <xf numFmtId="14" fontId="9" fillId="2" borderId="1" xfId="0" applyNumberFormat="1" applyFont="1" applyFill="1" applyBorder="1" applyAlignment="1">
      <alignment horizontal="center" vertical="center" wrapText="1"/>
    </xf>
    <xf numFmtId="0" fontId="7" fillId="0" borderId="19" xfId="0" applyFont="1" applyBorder="1" applyAlignment="1">
      <alignment wrapText="1"/>
    </xf>
    <xf numFmtId="0" fontId="7" fillId="0" borderId="25" xfId="0" applyFont="1" applyBorder="1" applyAlignment="1">
      <alignment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10" fontId="28" fillId="10" borderId="0" xfId="287" applyNumberFormat="1" applyFont="1" applyFill="1" applyAlignment="1">
      <alignment horizontal="center"/>
    </xf>
    <xf numFmtId="0" fontId="28" fillId="10" borderId="0" xfId="0" applyFont="1" applyFill="1" applyAlignment="1">
      <alignment horizontal="center"/>
    </xf>
    <xf numFmtId="0" fontId="28" fillId="10" borderId="0" xfId="0" applyFont="1" applyFill="1"/>
    <xf numFmtId="43" fontId="5" fillId="10" borderId="0" xfId="0" applyNumberFormat="1" applyFont="1" applyFill="1"/>
    <xf numFmtId="164" fontId="5" fillId="0" borderId="0" xfId="0" applyNumberFormat="1" applyFont="1"/>
    <xf numFmtId="0" fontId="5" fillId="0" borderId="0" xfId="0" applyFont="1" applyAlignment="1">
      <alignment vertical="center" wrapText="1"/>
    </xf>
    <xf numFmtId="11" fontId="5" fillId="4" borderId="1" xfId="0" applyNumberFormat="1" applyFont="1" applyFill="1" applyBorder="1" applyAlignment="1">
      <alignment vertical="center" wrapText="1"/>
    </xf>
    <xf numFmtId="3" fontId="5" fillId="4" borderId="1" xfId="0" applyNumberFormat="1" applyFont="1" applyFill="1" applyBorder="1" applyAlignment="1">
      <alignment vertical="center" wrapText="1"/>
    </xf>
    <xf numFmtId="0" fontId="5" fillId="4" borderId="0" xfId="0" applyFont="1" applyFill="1"/>
    <xf numFmtId="0" fontId="5" fillId="9" borderId="0" xfId="0" applyFont="1" applyFill="1"/>
    <xf numFmtId="0" fontId="44"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3" fillId="0" borderId="0" xfId="0" applyFont="1" applyAlignment="1">
      <alignment horizontal="justify" vertical="top"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3" fillId="0" borderId="0" xfId="0" applyFont="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8" fillId="0" borderId="0" xfId="0" applyFont="1" applyAlignment="1">
      <alignment horizontal="left"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7" fillId="0" borderId="0" xfId="0" applyFont="1" applyAlignment="1">
      <alignment horizontal="left" vertical="top" wrapText="1"/>
    </xf>
    <xf numFmtId="0" fontId="27" fillId="0" borderId="0" xfId="0" applyFont="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1" fillId="0" borderId="0" xfId="0" applyFont="1" applyAlignment="1">
      <alignment horizontal="center" vertical="top" wrapText="1"/>
    </xf>
    <xf numFmtId="0" fontId="8" fillId="0" borderId="0" xfId="0" applyFont="1" applyAlignment="1">
      <alignment horizontal="center" vertical="top" wrapText="1"/>
    </xf>
    <xf numFmtId="0" fontId="31" fillId="0" borderId="0" xfId="0" applyFont="1" applyAlignment="1">
      <alignment horizontal="left"/>
    </xf>
    <xf numFmtId="0" fontId="8" fillId="0" borderId="0" xfId="0" applyFont="1" applyAlignment="1">
      <alignment horizontal="center" wrapText="1"/>
    </xf>
    <xf numFmtId="0" fontId="8" fillId="0" borderId="0" xfId="0" applyFont="1" applyAlignment="1">
      <alignment horizontal="left"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52" fillId="0" borderId="0" xfId="0" applyFont="1" applyAlignment="1">
      <alignment horizontal="center" wrapText="1"/>
    </xf>
    <xf numFmtId="0" fontId="14" fillId="0" borderId="0" xfId="0" applyFont="1" applyAlignment="1">
      <alignment horizontal="left" vertical="top" wrapText="1"/>
    </xf>
    <xf numFmtId="0" fontId="14" fillId="0" borderId="0" xfId="0" applyFont="1" applyAlignment="1">
      <alignment horizontal="right" vertical="center" wrapText="1"/>
    </xf>
    <xf numFmtId="0" fontId="7" fillId="0" borderId="20" xfId="0" applyFont="1" applyBorder="1" applyAlignment="1">
      <alignment horizontal="left" wrapText="1"/>
    </xf>
    <xf numFmtId="0" fontId="7" fillId="0" borderId="23" xfId="0" applyFont="1" applyBorder="1" applyAlignment="1">
      <alignment horizontal="left" wrapText="1"/>
    </xf>
    <xf numFmtId="0" fontId="7" fillId="0" borderId="19" xfId="0" applyFont="1" applyBorder="1" applyAlignment="1">
      <alignment horizontal="left" wrapText="1"/>
    </xf>
    <xf numFmtId="0" fontId="7" fillId="0" borderId="25" xfId="0" applyFont="1" applyBorder="1" applyAlignment="1">
      <alignment horizontal="left" wrapText="1"/>
    </xf>
    <xf numFmtId="0" fontId="7" fillId="0" borderId="0" xfId="0" applyFont="1" applyAlignment="1">
      <alignment horizontal="left" vertical="center" wrapText="1"/>
    </xf>
    <xf numFmtId="0" fontId="7" fillId="0" borderId="21" xfId="0" applyFont="1" applyBorder="1" applyAlignment="1">
      <alignment horizontal="left" wrapText="1"/>
    </xf>
    <xf numFmtId="0" fontId="7" fillId="0" borderId="22" xfId="0" applyFont="1" applyBorder="1" applyAlignment="1">
      <alignment horizontal="left"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4" fillId="0" borderId="0" xfId="0" applyFont="1" applyAlignment="1">
      <alignment horizontal="right" vertical="top" wrapText="1"/>
    </xf>
    <xf numFmtId="0" fontId="26" fillId="0" borderId="0" xfId="0" applyFont="1" applyAlignment="1">
      <alignment horizontal="righ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38" fillId="0" borderId="0" xfId="0" applyFont="1" applyAlignment="1">
      <alignment vertical="center" wrapText="1"/>
    </xf>
    <xf numFmtId="0" fontId="37" fillId="0" borderId="0" xfId="0" applyFont="1" applyAlignment="1">
      <alignment horizontal="justify"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37" fillId="0" borderId="0" xfId="0" applyFont="1" applyAlignment="1">
      <alignment horizontal="justify" vertical="top" wrapText="1"/>
    </xf>
    <xf numFmtId="0" fontId="13" fillId="0" borderId="0" xfId="0" applyFont="1" applyAlignment="1">
      <alignment horizontal="left"/>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0" fillId="0" borderId="0" xfId="0" applyFont="1" applyAlignment="1">
      <alignment horizontal="left" vertical="center" wrapText="1" readingOrder="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288">
    <cellStyle name="Обычный" xfId="0" builtinId="0"/>
    <cellStyle name="Обычный 10" xfId="72" xr:uid="{00000000-0005-0000-0000-000001000000}"/>
    <cellStyle name="Обычный 10 2" xfId="208" xr:uid="{00000000-0005-0000-0000-000002000000}"/>
    <cellStyle name="Обычный 11" xfId="73" xr:uid="{00000000-0005-0000-0000-000003000000}"/>
    <cellStyle name="Обычный 11 2" xfId="209" xr:uid="{00000000-0005-0000-0000-000004000000}"/>
    <cellStyle name="Обычный 2" xfId="63" xr:uid="{00000000-0005-0000-0000-000005000000}"/>
    <cellStyle name="Обычный 3" xfId="64" xr:uid="{00000000-0005-0000-0000-000006000000}"/>
    <cellStyle name="Обычный 4" xfId="66" xr:uid="{00000000-0005-0000-0000-000007000000}"/>
    <cellStyle name="Обычный 4 2" xfId="202" xr:uid="{00000000-0005-0000-0000-000008000000}"/>
    <cellStyle name="Обычный 5" xfId="67" xr:uid="{00000000-0005-0000-0000-000009000000}"/>
    <cellStyle name="Обычный 5 2" xfId="203" xr:uid="{00000000-0005-0000-0000-00000A000000}"/>
    <cellStyle name="Обычный 6" xfId="68" xr:uid="{00000000-0005-0000-0000-00000B000000}"/>
    <cellStyle name="Обычный 6 2" xfId="204" xr:uid="{00000000-0005-0000-0000-00000C000000}"/>
    <cellStyle name="Обычный 7" xfId="69" xr:uid="{00000000-0005-0000-0000-00000D000000}"/>
    <cellStyle name="Обычный 7 2" xfId="205" xr:uid="{00000000-0005-0000-0000-00000E000000}"/>
    <cellStyle name="Обычный 8" xfId="70" xr:uid="{00000000-0005-0000-0000-00000F000000}"/>
    <cellStyle name="Обычный 8 2" xfId="206" xr:uid="{00000000-0005-0000-0000-000010000000}"/>
    <cellStyle name="Обычный 9" xfId="71" xr:uid="{00000000-0005-0000-0000-000011000000}"/>
    <cellStyle name="Обычный 9 2" xfId="207" xr:uid="{00000000-0005-0000-0000-000012000000}"/>
    <cellStyle name="Процентный" xfId="287" builtinId="5"/>
    <cellStyle name="Финансовый" xfId="1" builtinId="3"/>
    <cellStyle name="Финансовый 10" xfId="125" xr:uid="{00000000-0005-0000-0000-000015000000}"/>
    <cellStyle name="Финансовый 10 2" xfId="261" xr:uid="{00000000-0005-0000-0000-000016000000}"/>
    <cellStyle name="Финансовый 11" xfId="61" xr:uid="{00000000-0005-0000-0000-000017000000}"/>
    <cellStyle name="Финансовый 11 2" xfId="199" xr:uid="{00000000-0005-0000-0000-000018000000}"/>
    <cellStyle name="Финансовый 12" xfId="49" xr:uid="{00000000-0005-0000-0000-000019000000}"/>
    <cellStyle name="Финансовый 12 2" xfId="187" xr:uid="{00000000-0005-0000-0000-00001A000000}"/>
    <cellStyle name="Финансовый 13" xfId="127" xr:uid="{00000000-0005-0000-0000-00001B000000}"/>
    <cellStyle name="Финансовый 13 2" xfId="263" xr:uid="{00000000-0005-0000-0000-00001C000000}"/>
    <cellStyle name="Финансовый 14" xfId="25" xr:uid="{00000000-0005-0000-0000-00001D000000}"/>
    <cellStyle name="Финансовый 14 2" xfId="163" xr:uid="{00000000-0005-0000-0000-00001E000000}"/>
    <cellStyle name="Финансовый 15" xfId="13" xr:uid="{00000000-0005-0000-0000-00001F000000}"/>
    <cellStyle name="Финансовый 15 2" xfId="151" xr:uid="{00000000-0005-0000-0000-000020000000}"/>
    <cellStyle name="Финансовый 16" xfId="139" xr:uid="{00000000-0005-0000-0000-000021000000}"/>
    <cellStyle name="Финансовый 17" xfId="275" xr:uid="{00000000-0005-0000-0000-000022000000}"/>
    <cellStyle name="Финансовый 2" xfId="2" xr:uid="{00000000-0005-0000-0000-000023000000}"/>
    <cellStyle name="Финансовый 2 10" xfId="62" xr:uid="{00000000-0005-0000-0000-000024000000}"/>
    <cellStyle name="Финансовый 2 10 2" xfId="200" xr:uid="{00000000-0005-0000-0000-000025000000}"/>
    <cellStyle name="Финансовый 2 11" xfId="50" xr:uid="{00000000-0005-0000-0000-000026000000}"/>
    <cellStyle name="Финансовый 2 11 2" xfId="188" xr:uid="{00000000-0005-0000-0000-000027000000}"/>
    <cellStyle name="Финансовый 2 12" xfId="128" xr:uid="{00000000-0005-0000-0000-000028000000}"/>
    <cellStyle name="Финансовый 2 12 2" xfId="264" xr:uid="{00000000-0005-0000-0000-000029000000}"/>
    <cellStyle name="Финансовый 2 13" xfId="26" xr:uid="{00000000-0005-0000-0000-00002A000000}"/>
    <cellStyle name="Финансовый 2 13 2" xfId="164" xr:uid="{00000000-0005-0000-0000-00002B000000}"/>
    <cellStyle name="Финансовый 2 14" xfId="14" xr:uid="{00000000-0005-0000-0000-00002C000000}"/>
    <cellStyle name="Финансовый 2 14 2" xfId="152" xr:uid="{00000000-0005-0000-0000-00002D000000}"/>
    <cellStyle name="Финансовый 2 15" xfId="140" xr:uid="{00000000-0005-0000-0000-00002E000000}"/>
    <cellStyle name="Финансовый 2 16" xfId="276" xr:uid="{00000000-0005-0000-0000-00002F000000}"/>
    <cellStyle name="Финансовый 2 2" xfId="4" xr:uid="{00000000-0005-0000-0000-000030000000}"/>
    <cellStyle name="Финансовый 2 2 10" xfId="28" xr:uid="{00000000-0005-0000-0000-000031000000}"/>
    <cellStyle name="Финансовый 2 2 10 2" xfId="166" xr:uid="{00000000-0005-0000-0000-000032000000}"/>
    <cellStyle name="Финансовый 2 2 11" xfId="16" xr:uid="{00000000-0005-0000-0000-000033000000}"/>
    <cellStyle name="Финансовый 2 2 11 2" xfId="154" xr:uid="{00000000-0005-0000-0000-000034000000}"/>
    <cellStyle name="Финансовый 2 2 12" xfId="142" xr:uid="{00000000-0005-0000-0000-000035000000}"/>
    <cellStyle name="Финансовый 2 2 13" xfId="278" xr:uid="{00000000-0005-0000-0000-000036000000}"/>
    <cellStyle name="Финансовый 2 2 2" xfId="10" xr:uid="{00000000-0005-0000-0000-000037000000}"/>
    <cellStyle name="Финансовый 2 2 2 10" xfId="284" xr:uid="{00000000-0005-0000-0000-000038000000}"/>
    <cellStyle name="Финансовый 2 2 2 2" xfId="46" xr:uid="{00000000-0005-0000-0000-000039000000}"/>
    <cellStyle name="Финансовый 2 2 2 2 2" xfId="104" xr:uid="{00000000-0005-0000-0000-00003A000000}"/>
    <cellStyle name="Финансовый 2 2 2 2 2 2" xfId="240" xr:uid="{00000000-0005-0000-0000-00003B000000}"/>
    <cellStyle name="Финансовый 2 2 2 2 3" xfId="184" xr:uid="{00000000-0005-0000-0000-00003C000000}"/>
    <cellStyle name="Финансовый 2 2 2 3" xfId="116" xr:uid="{00000000-0005-0000-0000-00003D000000}"/>
    <cellStyle name="Финансовый 2 2 2 3 2" xfId="252" xr:uid="{00000000-0005-0000-0000-00003E000000}"/>
    <cellStyle name="Финансовый 2 2 2 4" xfId="80" xr:uid="{00000000-0005-0000-0000-00003F000000}"/>
    <cellStyle name="Финансовый 2 2 2 4 2" xfId="216" xr:uid="{00000000-0005-0000-0000-000040000000}"/>
    <cellStyle name="Финансовый 2 2 2 5" xfId="58" xr:uid="{00000000-0005-0000-0000-000041000000}"/>
    <cellStyle name="Финансовый 2 2 2 5 2" xfId="196" xr:uid="{00000000-0005-0000-0000-000042000000}"/>
    <cellStyle name="Финансовый 2 2 2 6" xfId="136" xr:uid="{00000000-0005-0000-0000-000043000000}"/>
    <cellStyle name="Финансовый 2 2 2 6 2" xfId="272" xr:uid="{00000000-0005-0000-0000-000044000000}"/>
    <cellStyle name="Финансовый 2 2 2 7" xfId="34" xr:uid="{00000000-0005-0000-0000-000045000000}"/>
    <cellStyle name="Финансовый 2 2 2 7 2" xfId="172" xr:uid="{00000000-0005-0000-0000-000046000000}"/>
    <cellStyle name="Финансовый 2 2 2 8" xfId="22" xr:uid="{00000000-0005-0000-0000-000047000000}"/>
    <cellStyle name="Финансовый 2 2 2 8 2" xfId="160" xr:uid="{00000000-0005-0000-0000-000048000000}"/>
    <cellStyle name="Финансовый 2 2 2 9" xfId="148" xr:uid="{00000000-0005-0000-0000-000049000000}"/>
    <cellStyle name="Финансовый 2 2 3" xfId="40" xr:uid="{00000000-0005-0000-0000-00004A000000}"/>
    <cellStyle name="Финансовый 2 2 3 2" xfId="122" xr:uid="{00000000-0005-0000-0000-00004B000000}"/>
    <cellStyle name="Финансовый 2 2 3 2 2" xfId="258" xr:uid="{00000000-0005-0000-0000-00004C000000}"/>
    <cellStyle name="Финансовый 2 2 3 3" xfId="86" xr:uid="{00000000-0005-0000-0000-00004D000000}"/>
    <cellStyle name="Финансовый 2 2 3 3 2" xfId="222" xr:uid="{00000000-0005-0000-0000-00004E000000}"/>
    <cellStyle name="Финансовый 2 2 3 4" xfId="178" xr:uid="{00000000-0005-0000-0000-00004F000000}"/>
    <cellStyle name="Финансовый 2 2 4" xfId="92" xr:uid="{00000000-0005-0000-0000-000050000000}"/>
    <cellStyle name="Финансовый 2 2 4 2" xfId="228" xr:uid="{00000000-0005-0000-0000-000051000000}"/>
    <cellStyle name="Финансовый 2 2 5" xfId="98" xr:uid="{00000000-0005-0000-0000-000052000000}"/>
    <cellStyle name="Финансовый 2 2 5 2" xfId="234" xr:uid="{00000000-0005-0000-0000-000053000000}"/>
    <cellStyle name="Финансовый 2 2 6" xfId="110" xr:uid="{00000000-0005-0000-0000-000054000000}"/>
    <cellStyle name="Финансовый 2 2 6 2" xfId="246" xr:uid="{00000000-0005-0000-0000-000055000000}"/>
    <cellStyle name="Финансовый 2 2 7" xfId="65" xr:uid="{00000000-0005-0000-0000-000056000000}"/>
    <cellStyle name="Финансовый 2 2 7 2" xfId="201" xr:uid="{00000000-0005-0000-0000-000057000000}"/>
    <cellStyle name="Финансовый 2 2 8" xfId="52" xr:uid="{00000000-0005-0000-0000-000058000000}"/>
    <cellStyle name="Финансовый 2 2 8 2" xfId="190" xr:uid="{00000000-0005-0000-0000-000059000000}"/>
    <cellStyle name="Финансовый 2 2 9" xfId="130" xr:uid="{00000000-0005-0000-0000-00005A000000}"/>
    <cellStyle name="Финансовый 2 2 9 2" xfId="266" xr:uid="{00000000-0005-0000-0000-00005B000000}"/>
    <cellStyle name="Финансовый 2 3" xfId="6" xr:uid="{00000000-0005-0000-0000-00005C000000}"/>
    <cellStyle name="Финансовый 2 3 10" xfId="30" xr:uid="{00000000-0005-0000-0000-00005D000000}"/>
    <cellStyle name="Финансовый 2 3 10 2" xfId="168" xr:uid="{00000000-0005-0000-0000-00005E000000}"/>
    <cellStyle name="Финансовый 2 3 11" xfId="18" xr:uid="{00000000-0005-0000-0000-00005F000000}"/>
    <cellStyle name="Финансовый 2 3 11 2" xfId="156" xr:uid="{00000000-0005-0000-0000-000060000000}"/>
    <cellStyle name="Финансовый 2 3 12" xfId="144" xr:uid="{00000000-0005-0000-0000-000061000000}"/>
    <cellStyle name="Финансовый 2 3 13" xfId="280" xr:uid="{00000000-0005-0000-0000-000062000000}"/>
    <cellStyle name="Финансовый 2 3 2" xfId="12" xr:uid="{00000000-0005-0000-0000-000063000000}"/>
    <cellStyle name="Финансовый 2 3 2 10" xfId="286" xr:uid="{00000000-0005-0000-0000-000064000000}"/>
    <cellStyle name="Финансовый 2 3 2 2" xfId="48" xr:uid="{00000000-0005-0000-0000-000065000000}"/>
    <cellStyle name="Финансовый 2 3 2 2 2" xfId="106" xr:uid="{00000000-0005-0000-0000-000066000000}"/>
    <cellStyle name="Финансовый 2 3 2 2 2 2" xfId="242" xr:uid="{00000000-0005-0000-0000-000067000000}"/>
    <cellStyle name="Финансовый 2 3 2 2 3" xfId="186" xr:uid="{00000000-0005-0000-0000-000068000000}"/>
    <cellStyle name="Финансовый 2 3 2 3" xfId="118" xr:uid="{00000000-0005-0000-0000-000069000000}"/>
    <cellStyle name="Финансовый 2 3 2 3 2" xfId="254" xr:uid="{00000000-0005-0000-0000-00006A000000}"/>
    <cellStyle name="Финансовый 2 3 2 4" xfId="82" xr:uid="{00000000-0005-0000-0000-00006B000000}"/>
    <cellStyle name="Финансовый 2 3 2 4 2" xfId="218" xr:uid="{00000000-0005-0000-0000-00006C000000}"/>
    <cellStyle name="Финансовый 2 3 2 5" xfId="60" xr:uid="{00000000-0005-0000-0000-00006D000000}"/>
    <cellStyle name="Финансовый 2 3 2 5 2" xfId="198" xr:uid="{00000000-0005-0000-0000-00006E000000}"/>
    <cellStyle name="Финансовый 2 3 2 6" xfId="138" xr:uid="{00000000-0005-0000-0000-00006F000000}"/>
    <cellStyle name="Финансовый 2 3 2 6 2" xfId="274" xr:uid="{00000000-0005-0000-0000-000070000000}"/>
    <cellStyle name="Финансовый 2 3 2 7" xfId="36" xr:uid="{00000000-0005-0000-0000-000071000000}"/>
    <cellStyle name="Финансовый 2 3 2 7 2" xfId="174" xr:uid="{00000000-0005-0000-0000-000072000000}"/>
    <cellStyle name="Финансовый 2 3 2 8" xfId="24" xr:uid="{00000000-0005-0000-0000-000073000000}"/>
    <cellStyle name="Финансовый 2 3 2 8 2" xfId="162" xr:uid="{00000000-0005-0000-0000-000074000000}"/>
    <cellStyle name="Финансовый 2 3 2 9" xfId="150" xr:uid="{00000000-0005-0000-0000-000075000000}"/>
    <cellStyle name="Финансовый 2 3 3" xfId="42" xr:uid="{00000000-0005-0000-0000-000076000000}"/>
    <cellStyle name="Финансовый 2 3 3 2" xfId="124" xr:uid="{00000000-0005-0000-0000-000077000000}"/>
    <cellStyle name="Финансовый 2 3 3 2 2" xfId="260" xr:uid="{00000000-0005-0000-0000-000078000000}"/>
    <cellStyle name="Финансовый 2 3 3 3" xfId="88" xr:uid="{00000000-0005-0000-0000-000079000000}"/>
    <cellStyle name="Финансовый 2 3 3 3 2" xfId="224" xr:uid="{00000000-0005-0000-0000-00007A000000}"/>
    <cellStyle name="Финансовый 2 3 3 4" xfId="180" xr:uid="{00000000-0005-0000-0000-00007B000000}"/>
    <cellStyle name="Финансовый 2 3 4" xfId="94" xr:uid="{00000000-0005-0000-0000-00007C000000}"/>
    <cellStyle name="Финансовый 2 3 4 2" xfId="230" xr:uid="{00000000-0005-0000-0000-00007D000000}"/>
    <cellStyle name="Финансовый 2 3 5" xfId="100" xr:uid="{00000000-0005-0000-0000-00007E000000}"/>
    <cellStyle name="Финансовый 2 3 5 2" xfId="236" xr:uid="{00000000-0005-0000-0000-00007F000000}"/>
    <cellStyle name="Финансовый 2 3 6" xfId="112" xr:uid="{00000000-0005-0000-0000-000080000000}"/>
    <cellStyle name="Финансовый 2 3 6 2" xfId="248" xr:uid="{00000000-0005-0000-0000-000081000000}"/>
    <cellStyle name="Финансовый 2 3 7" xfId="76" xr:uid="{00000000-0005-0000-0000-000082000000}"/>
    <cellStyle name="Финансовый 2 3 7 2" xfId="212" xr:uid="{00000000-0005-0000-0000-000083000000}"/>
    <cellStyle name="Финансовый 2 3 8" xfId="54" xr:uid="{00000000-0005-0000-0000-000084000000}"/>
    <cellStyle name="Финансовый 2 3 8 2" xfId="192" xr:uid="{00000000-0005-0000-0000-000085000000}"/>
    <cellStyle name="Финансовый 2 3 9" xfId="132" xr:uid="{00000000-0005-0000-0000-000086000000}"/>
    <cellStyle name="Финансовый 2 3 9 2" xfId="268" xr:uid="{00000000-0005-0000-0000-000087000000}"/>
    <cellStyle name="Финансовый 2 4" xfId="8" xr:uid="{00000000-0005-0000-0000-000088000000}"/>
    <cellStyle name="Финансовый 2 4 10" xfId="282" xr:uid="{00000000-0005-0000-0000-000089000000}"/>
    <cellStyle name="Финансовый 2 4 2" xfId="44" xr:uid="{00000000-0005-0000-0000-00008A000000}"/>
    <cellStyle name="Финансовый 2 4 2 2" xfId="102" xr:uid="{00000000-0005-0000-0000-00008B000000}"/>
    <cellStyle name="Финансовый 2 4 2 2 2" xfId="238" xr:uid="{00000000-0005-0000-0000-00008C000000}"/>
    <cellStyle name="Финансовый 2 4 2 3" xfId="182" xr:uid="{00000000-0005-0000-0000-00008D000000}"/>
    <cellStyle name="Финансовый 2 4 3" xfId="114" xr:uid="{00000000-0005-0000-0000-00008E000000}"/>
    <cellStyle name="Финансовый 2 4 3 2" xfId="250" xr:uid="{00000000-0005-0000-0000-00008F000000}"/>
    <cellStyle name="Финансовый 2 4 4" xfId="78" xr:uid="{00000000-0005-0000-0000-000090000000}"/>
    <cellStyle name="Финансовый 2 4 4 2" xfId="214" xr:uid="{00000000-0005-0000-0000-000091000000}"/>
    <cellStyle name="Финансовый 2 4 5" xfId="56" xr:uid="{00000000-0005-0000-0000-000092000000}"/>
    <cellStyle name="Финансовый 2 4 5 2" xfId="194" xr:uid="{00000000-0005-0000-0000-000093000000}"/>
    <cellStyle name="Финансовый 2 4 6" xfId="134" xr:uid="{00000000-0005-0000-0000-000094000000}"/>
    <cellStyle name="Финансовый 2 4 6 2" xfId="270" xr:uid="{00000000-0005-0000-0000-000095000000}"/>
    <cellStyle name="Финансовый 2 4 7" xfId="32" xr:uid="{00000000-0005-0000-0000-000096000000}"/>
    <cellStyle name="Финансовый 2 4 7 2" xfId="170" xr:uid="{00000000-0005-0000-0000-000097000000}"/>
    <cellStyle name="Финансовый 2 4 8" xfId="20" xr:uid="{00000000-0005-0000-0000-000098000000}"/>
    <cellStyle name="Финансовый 2 4 8 2" xfId="158" xr:uid="{00000000-0005-0000-0000-000099000000}"/>
    <cellStyle name="Финансовый 2 4 9" xfId="146" xr:uid="{00000000-0005-0000-0000-00009A000000}"/>
    <cellStyle name="Финансовый 2 5" xfId="38" xr:uid="{00000000-0005-0000-0000-00009B000000}"/>
    <cellStyle name="Финансовый 2 5 2" xfId="120" xr:uid="{00000000-0005-0000-0000-00009C000000}"/>
    <cellStyle name="Финансовый 2 5 2 2" xfId="256" xr:uid="{00000000-0005-0000-0000-00009D000000}"/>
    <cellStyle name="Финансовый 2 5 3" xfId="84" xr:uid="{00000000-0005-0000-0000-00009E000000}"/>
    <cellStyle name="Финансовый 2 5 3 2" xfId="220" xr:uid="{00000000-0005-0000-0000-00009F000000}"/>
    <cellStyle name="Финансовый 2 5 4" xfId="176" xr:uid="{00000000-0005-0000-0000-0000A0000000}"/>
    <cellStyle name="Финансовый 2 6" xfId="90" xr:uid="{00000000-0005-0000-0000-0000A1000000}"/>
    <cellStyle name="Финансовый 2 6 2" xfId="226" xr:uid="{00000000-0005-0000-0000-0000A2000000}"/>
    <cellStyle name="Финансовый 2 7" xfId="96" xr:uid="{00000000-0005-0000-0000-0000A3000000}"/>
    <cellStyle name="Финансовый 2 7 2" xfId="232" xr:uid="{00000000-0005-0000-0000-0000A4000000}"/>
    <cellStyle name="Финансовый 2 8" xfId="108" xr:uid="{00000000-0005-0000-0000-0000A5000000}"/>
    <cellStyle name="Финансовый 2 8 2" xfId="244" xr:uid="{00000000-0005-0000-0000-0000A6000000}"/>
    <cellStyle name="Финансовый 2 9" xfId="126" xr:uid="{00000000-0005-0000-0000-0000A7000000}"/>
    <cellStyle name="Финансовый 2 9 2" xfId="262" xr:uid="{00000000-0005-0000-0000-0000A8000000}"/>
    <cellStyle name="Финансовый 3" xfId="3" xr:uid="{00000000-0005-0000-0000-0000A9000000}"/>
    <cellStyle name="Финансовый 3 10" xfId="27" xr:uid="{00000000-0005-0000-0000-0000AA000000}"/>
    <cellStyle name="Финансовый 3 10 2" xfId="165" xr:uid="{00000000-0005-0000-0000-0000AB000000}"/>
    <cellStyle name="Финансовый 3 11" xfId="15" xr:uid="{00000000-0005-0000-0000-0000AC000000}"/>
    <cellStyle name="Финансовый 3 11 2" xfId="153" xr:uid="{00000000-0005-0000-0000-0000AD000000}"/>
    <cellStyle name="Финансовый 3 12" xfId="141" xr:uid="{00000000-0005-0000-0000-0000AE000000}"/>
    <cellStyle name="Финансовый 3 13" xfId="277" xr:uid="{00000000-0005-0000-0000-0000AF000000}"/>
    <cellStyle name="Финансовый 3 2" xfId="9" xr:uid="{00000000-0005-0000-0000-0000B0000000}"/>
    <cellStyle name="Финансовый 3 2 10" xfId="283" xr:uid="{00000000-0005-0000-0000-0000B1000000}"/>
    <cellStyle name="Финансовый 3 2 2" xfId="45" xr:uid="{00000000-0005-0000-0000-0000B2000000}"/>
    <cellStyle name="Финансовый 3 2 2 2" xfId="103" xr:uid="{00000000-0005-0000-0000-0000B3000000}"/>
    <cellStyle name="Финансовый 3 2 2 2 2" xfId="239" xr:uid="{00000000-0005-0000-0000-0000B4000000}"/>
    <cellStyle name="Финансовый 3 2 2 3" xfId="183" xr:uid="{00000000-0005-0000-0000-0000B5000000}"/>
    <cellStyle name="Финансовый 3 2 3" xfId="115" xr:uid="{00000000-0005-0000-0000-0000B6000000}"/>
    <cellStyle name="Финансовый 3 2 3 2" xfId="251" xr:uid="{00000000-0005-0000-0000-0000B7000000}"/>
    <cellStyle name="Финансовый 3 2 4" xfId="79" xr:uid="{00000000-0005-0000-0000-0000B8000000}"/>
    <cellStyle name="Финансовый 3 2 4 2" xfId="215" xr:uid="{00000000-0005-0000-0000-0000B9000000}"/>
    <cellStyle name="Финансовый 3 2 5" xfId="57" xr:uid="{00000000-0005-0000-0000-0000BA000000}"/>
    <cellStyle name="Финансовый 3 2 5 2" xfId="195" xr:uid="{00000000-0005-0000-0000-0000BB000000}"/>
    <cellStyle name="Финансовый 3 2 6" xfId="135" xr:uid="{00000000-0005-0000-0000-0000BC000000}"/>
    <cellStyle name="Финансовый 3 2 6 2" xfId="271" xr:uid="{00000000-0005-0000-0000-0000BD000000}"/>
    <cellStyle name="Финансовый 3 2 7" xfId="33" xr:uid="{00000000-0005-0000-0000-0000BE000000}"/>
    <cellStyle name="Финансовый 3 2 7 2" xfId="171" xr:uid="{00000000-0005-0000-0000-0000BF000000}"/>
    <cellStyle name="Финансовый 3 2 8" xfId="21" xr:uid="{00000000-0005-0000-0000-0000C0000000}"/>
    <cellStyle name="Финансовый 3 2 8 2" xfId="159" xr:uid="{00000000-0005-0000-0000-0000C1000000}"/>
    <cellStyle name="Финансовый 3 2 9" xfId="147" xr:uid="{00000000-0005-0000-0000-0000C2000000}"/>
    <cellStyle name="Финансовый 3 3" xfId="39" xr:uid="{00000000-0005-0000-0000-0000C3000000}"/>
    <cellStyle name="Финансовый 3 3 2" xfId="121" xr:uid="{00000000-0005-0000-0000-0000C4000000}"/>
    <cellStyle name="Финансовый 3 3 2 2" xfId="257" xr:uid="{00000000-0005-0000-0000-0000C5000000}"/>
    <cellStyle name="Финансовый 3 3 3" xfId="85" xr:uid="{00000000-0005-0000-0000-0000C6000000}"/>
    <cellStyle name="Финансовый 3 3 3 2" xfId="221" xr:uid="{00000000-0005-0000-0000-0000C7000000}"/>
    <cellStyle name="Финансовый 3 3 4" xfId="177" xr:uid="{00000000-0005-0000-0000-0000C8000000}"/>
    <cellStyle name="Финансовый 3 4" xfId="91" xr:uid="{00000000-0005-0000-0000-0000C9000000}"/>
    <cellStyle name="Финансовый 3 4 2" xfId="227" xr:uid="{00000000-0005-0000-0000-0000CA000000}"/>
    <cellStyle name="Финансовый 3 5" xfId="97" xr:uid="{00000000-0005-0000-0000-0000CB000000}"/>
    <cellStyle name="Финансовый 3 5 2" xfId="233" xr:uid="{00000000-0005-0000-0000-0000CC000000}"/>
    <cellStyle name="Финансовый 3 6" xfId="109" xr:uid="{00000000-0005-0000-0000-0000CD000000}"/>
    <cellStyle name="Финансовый 3 6 2" xfId="245" xr:uid="{00000000-0005-0000-0000-0000CE000000}"/>
    <cellStyle name="Финансовый 3 7" xfId="74" xr:uid="{00000000-0005-0000-0000-0000CF000000}"/>
    <cellStyle name="Финансовый 3 7 2" xfId="210" xr:uid="{00000000-0005-0000-0000-0000D0000000}"/>
    <cellStyle name="Финансовый 3 8" xfId="51" xr:uid="{00000000-0005-0000-0000-0000D1000000}"/>
    <cellStyle name="Финансовый 3 8 2" xfId="189" xr:uid="{00000000-0005-0000-0000-0000D2000000}"/>
    <cellStyle name="Финансовый 3 9" xfId="129" xr:uid="{00000000-0005-0000-0000-0000D3000000}"/>
    <cellStyle name="Финансовый 3 9 2" xfId="265" xr:uid="{00000000-0005-0000-0000-0000D4000000}"/>
    <cellStyle name="Финансовый 4" xfId="5" xr:uid="{00000000-0005-0000-0000-0000D5000000}"/>
    <cellStyle name="Финансовый 4 10" xfId="29" xr:uid="{00000000-0005-0000-0000-0000D6000000}"/>
    <cellStyle name="Финансовый 4 10 2" xfId="167" xr:uid="{00000000-0005-0000-0000-0000D7000000}"/>
    <cellStyle name="Финансовый 4 11" xfId="17" xr:uid="{00000000-0005-0000-0000-0000D8000000}"/>
    <cellStyle name="Финансовый 4 11 2" xfId="155" xr:uid="{00000000-0005-0000-0000-0000D9000000}"/>
    <cellStyle name="Финансовый 4 12" xfId="143" xr:uid="{00000000-0005-0000-0000-0000DA000000}"/>
    <cellStyle name="Финансовый 4 13" xfId="279" xr:uid="{00000000-0005-0000-0000-0000DB000000}"/>
    <cellStyle name="Финансовый 4 2" xfId="11" xr:uid="{00000000-0005-0000-0000-0000DC000000}"/>
    <cellStyle name="Финансовый 4 2 10" xfId="285" xr:uid="{00000000-0005-0000-0000-0000DD000000}"/>
    <cellStyle name="Финансовый 4 2 2" xfId="47" xr:uid="{00000000-0005-0000-0000-0000DE000000}"/>
    <cellStyle name="Финансовый 4 2 2 2" xfId="105" xr:uid="{00000000-0005-0000-0000-0000DF000000}"/>
    <cellStyle name="Финансовый 4 2 2 2 2" xfId="241" xr:uid="{00000000-0005-0000-0000-0000E0000000}"/>
    <cellStyle name="Финансовый 4 2 2 3" xfId="185" xr:uid="{00000000-0005-0000-0000-0000E1000000}"/>
    <cellStyle name="Финансовый 4 2 3" xfId="117" xr:uid="{00000000-0005-0000-0000-0000E2000000}"/>
    <cellStyle name="Финансовый 4 2 3 2" xfId="253" xr:uid="{00000000-0005-0000-0000-0000E3000000}"/>
    <cellStyle name="Финансовый 4 2 4" xfId="81" xr:uid="{00000000-0005-0000-0000-0000E4000000}"/>
    <cellStyle name="Финансовый 4 2 4 2" xfId="217" xr:uid="{00000000-0005-0000-0000-0000E5000000}"/>
    <cellStyle name="Финансовый 4 2 5" xfId="59" xr:uid="{00000000-0005-0000-0000-0000E6000000}"/>
    <cellStyle name="Финансовый 4 2 5 2" xfId="197" xr:uid="{00000000-0005-0000-0000-0000E7000000}"/>
    <cellStyle name="Финансовый 4 2 6" xfId="137" xr:uid="{00000000-0005-0000-0000-0000E8000000}"/>
    <cellStyle name="Финансовый 4 2 6 2" xfId="273" xr:uid="{00000000-0005-0000-0000-0000E9000000}"/>
    <cellStyle name="Финансовый 4 2 7" xfId="35" xr:uid="{00000000-0005-0000-0000-0000EA000000}"/>
    <cellStyle name="Финансовый 4 2 7 2" xfId="173" xr:uid="{00000000-0005-0000-0000-0000EB000000}"/>
    <cellStyle name="Финансовый 4 2 8" xfId="23" xr:uid="{00000000-0005-0000-0000-0000EC000000}"/>
    <cellStyle name="Финансовый 4 2 8 2" xfId="161" xr:uid="{00000000-0005-0000-0000-0000ED000000}"/>
    <cellStyle name="Финансовый 4 2 9" xfId="149" xr:uid="{00000000-0005-0000-0000-0000EE000000}"/>
    <cellStyle name="Финансовый 4 3" xfId="41" xr:uid="{00000000-0005-0000-0000-0000EF000000}"/>
    <cellStyle name="Финансовый 4 3 2" xfId="123" xr:uid="{00000000-0005-0000-0000-0000F0000000}"/>
    <cellStyle name="Финансовый 4 3 2 2" xfId="259" xr:uid="{00000000-0005-0000-0000-0000F1000000}"/>
    <cellStyle name="Финансовый 4 3 3" xfId="87" xr:uid="{00000000-0005-0000-0000-0000F2000000}"/>
    <cellStyle name="Финансовый 4 3 3 2" xfId="223" xr:uid="{00000000-0005-0000-0000-0000F3000000}"/>
    <cellStyle name="Финансовый 4 3 4" xfId="179" xr:uid="{00000000-0005-0000-0000-0000F4000000}"/>
    <cellStyle name="Финансовый 4 4" xfId="93" xr:uid="{00000000-0005-0000-0000-0000F5000000}"/>
    <cellStyle name="Финансовый 4 4 2" xfId="229" xr:uid="{00000000-0005-0000-0000-0000F6000000}"/>
    <cellStyle name="Финансовый 4 5" xfId="99" xr:uid="{00000000-0005-0000-0000-0000F7000000}"/>
    <cellStyle name="Финансовый 4 5 2" xfId="235" xr:uid="{00000000-0005-0000-0000-0000F8000000}"/>
    <cellStyle name="Финансовый 4 6" xfId="111" xr:uid="{00000000-0005-0000-0000-0000F9000000}"/>
    <cellStyle name="Финансовый 4 6 2" xfId="247" xr:uid="{00000000-0005-0000-0000-0000FA000000}"/>
    <cellStyle name="Финансовый 4 7" xfId="75" xr:uid="{00000000-0005-0000-0000-0000FB000000}"/>
    <cellStyle name="Финансовый 4 7 2" xfId="211" xr:uid="{00000000-0005-0000-0000-0000FC000000}"/>
    <cellStyle name="Финансовый 4 8" xfId="53" xr:uid="{00000000-0005-0000-0000-0000FD000000}"/>
    <cellStyle name="Финансовый 4 8 2" xfId="191" xr:uid="{00000000-0005-0000-0000-0000FE000000}"/>
    <cellStyle name="Финансовый 4 9" xfId="131" xr:uid="{00000000-0005-0000-0000-0000FF000000}"/>
    <cellStyle name="Финансовый 4 9 2" xfId="267" xr:uid="{00000000-0005-0000-0000-000000010000}"/>
    <cellStyle name="Финансовый 5" xfId="7" xr:uid="{00000000-0005-0000-0000-000001010000}"/>
    <cellStyle name="Финансовый 5 10" xfId="281" xr:uid="{00000000-0005-0000-0000-000002010000}"/>
    <cellStyle name="Финансовый 5 2" xfId="43" xr:uid="{00000000-0005-0000-0000-000003010000}"/>
    <cellStyle name="Финансовый 5 2 2" xfId="101" xr:uid="{00000000-0005-0000-0000-000004010000}"/>
    <cellStyle name="Финансовый 5 2 2 2" xfId="237" xr:uid="{00000000-0005-0000-0000-000005010000}"/>
    <cellStyle name="Финансовый 5 2 3" xfId="181" xr:uid="{00000000-0005-0000-0000-000006010000}"/>
    <cellStyle name="Финансовый 5 3" xfId="113" xr:uid="{00000000-0005-0000-0000-000007010000}"/>
    <cellStyle name="Финансовый 5 3 2" xfId="249" xr:uid="{00000000-0005-0000-0000-000008010000}"/>
    <cellStyle name="Финансовый 5 4" xfId="77" xr:uid="{00000000-0005-0000-0000-000009010000}"/>
    <cellStyle name="Финансовый 5 4 2" xfId="213" xr:uid="{00000000-0005-0000-0000-00000A010000}"/>
    <cellStyle name="Финансовый 5 5" xfId="55" xr:uid="{00000000-0005-0000-0000-00000B010000}"/>
    <cellStyle name="Финансовый 5 5 2" xfId="193" xr:uid="{00000000-0005-0000-0000-00000C010000}"/>
    <cellStyle name="Финансовый 5 6" xfId="133" xr:uid="{00000000-0005-0000-0000-00000D010000}"/>
    <cellStyle name="Финансовый 5 6 2" xfId="269" xr:uid="{00000000-0005-0000-0000-00000E010000}"/>
    <cellStyle name="Финансовый 5 7" xfId="31" xr:uid="{00000000-0005-0000-0000-00000F010000}"/>
    <cellStyle name="Финансовый 5 7 2" xfId="169" xr:uid="{00000000-0005-0000-0000-000010010000}"/>
    <cellStyle name="Финансовый 5 8" xfId="19" xr:uid="{00000000-0005-0000-0000-000011010000}"/>
    <cellStyle name="Финансовый 5 8 2" xfId="157" xr:uid="{00000000-0005-0000-0000-000012010000}"/>
    <cellStyle name="Финансовый 5 9" xfId="145" xr:uid="{00000000-0005-0000-0000-000013010000}"/>
    <cellStyle name="Финансовый 6" xfId="37" xr:uid="{00000000-0005-0000-0000-000014010000}"/>
    <cellStyle name="Финансовый 6 2" xfId="119" xr:uid="{00000000-0005-0000-0000-000015010000}"/>
    <cellStyle name="Финансовый 6 2 2" xfId="255" xr:uid="{00000000-0005-0000-0000-000016010000}"/>
    <cellStyle name="Финансовый 6 3" xfId="83" xr:uid="{00000000-0005-0000-0000-000017010000}"/>
    <cellStyle name="Финансовый 6 3 2" xfId="219" xr:uid="{00000000-0005-0000-0000-000018010000}"/>
    <cellStyle name="Финансовый 6 4" xfId="175" xr:uid="{00000000-0005-0000-0000-000019010000}"/>
    <cellStyle name="Финансовый 7" xfId="89" xr:uid="{00000000-0005-0000-0000-00001A010000}"/>
    <cellStyle name="Финансовый 7 2" xfId="225" xr:uid="{00000000-0005-0000-0000-00001B010000}"/>
    <cellStyle name="Финансовый 8" xfId="95" xr:uid="{00000000-0005-0000-0000-00001C010000}"/>
    <cellStyle name="Финансовый 8 2" xfId="231" xr:uid="{00000000-0005-0000-0000-00001D010000}"/>
    <cellStyle name="Финансовый 9" xfId="107" xr:uid="{00000000-0005-0000-0000-00001E010000}"/>
    <cellStyle name="Финансовый 9 2" xfId="243" xr:uid="{00000000-0005-0000-0000-00001F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A23" sqref="A23:E23"/>
    </sheetView>
  </sheetViews>
  <sheetFormatPr defaultRowHeight="15" x14ac:dyDescent="0.25"/>
  <cols>
    <col min="1" max="1" width="22.85546875" style="61" customWidth="1"/>
    <col min="2" max="2" width="24.28515625" style="61" customWidth="1"/>
    <col min="3" max="3" width="21.28515625" style="61" customWidth="1"/>
    <col min="4" max="4" width="18" style="61" customWidth="1"/>
    <col min="5" max="5" width="29"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39" t="str">
        <f>""&amp;'Общие данные'!B147&amp;"
mikromoliya tashkiloti
Kredit qo‘mitasining yig‘ilishi"</f>
        <v>«PULLOL BUSINESS MIKROMOLIYA TASHKILOTI»  MChJ
mikromoliya tashkiloti
Kredit qo‘mitasining yig‘ilishi</v>
      </c>
      <c r="B1" s="239"/>
      <c r="C1" s="239"/>
      <c r="D1" s="239"/>
      <c r="E1" s="239"/>
    </row>
    <row r="2" spans="1:33" ht="29.25" customHeight="1" x14ac:dyDescent="0.25">
      <c r="A2" s="239" t="str">
        <f>""&amp;H7&amp;" protokolidan ko'chirma"</f>
        <v>№194-TR protokolidan ko'chirma</v>
      </c>
      <c r="B2" s="239"/>
      <c r="C2" s="239"/>
      <c r="D2" s="239"/>
      <c r="E2" s="239"/>
    </row>
    <row r="3" spans="1:33" ht="29.25" customHeight="1" x14ac:dyDescent="0.25">
      <c r="A3" s="132" t="s">
        <v>197</v>
      </c>
      <c r="B3" s="50"/>
      <c r="C3" s="50"/>
      <c r="D3" s="50"/>
      <c r="E3" s="133" t="str">
        <f>'Общие данные'!B68</f>
        <v>5 mart 2026 y.</v>
      </c>
    </row>
    <row r="4" spans="1:33" ht="29.25" customHeight="1" x14ac:dyDescent="0.25">
      <c r="A4" s="50"/>
      <c r="B4" s="239" t="s">
        <v>196</v>
      </c>
      <c r="C4" s="239"/>
      <c r="D4" s="239"/>
      <c r="E4" s="50"/>
    </row>
    <row r="5" spans="1:33" ht="36" customHeight="1" x14ac:dyDescent="0.25">
      <c r="A5" s="238" t="str">
        <f>"         "&amp;H8&amp;"."&amp;'Общие данные'!B5&amp;" ga "&amp;'Общие данные'!B65&amp;" berish masalasini ko‘rib chiqish to‘g‘risida."</f>
        <v xml:space="preserve">         1.BAYRAMGELDIYEV NURGELDI QODOMBOY O'G'LI ga mikroqarz berish masalasini ko‘rib chiqish to‘g‘risida.</v>
      </c>
      <c r="B5" s="238"/>
      <c r="C5" s="238"/>
      <c r="D5" s="238"/>
      <c r="E5" s="238"/>
    </row>
    <row r="7" spans="1:33" ht="21" customHeight="1" x14ac:dyDescent="0.35">
      <c r="A7" s="237" t="str">
        <f>"      "&amp;H9&amp;" masala yuzasidan: «PULLOL BUSINESS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"&amp;'Общие данные'!B85&amp;"% ("&amp;'Общие данные'!B86&amp;") foiz miqdorida "&amp;'Общие данные'!B65&amp;" berich bo‘yicha "&amp;'Общие данные'!B5&amp;"ning kredit arizasi va "&amp;'Общие данные'!B147&amp;"ning xulosasi bilan ishtirokchilarni tanishtirdi."</f>
        <v xml:space="preserve">      Birinchi masala yuzasidan: «PULLOL BUSINESS MIKROMOLIYA TASHKILOTI»  MChJ mikromoliya tashkiloti kredit bo‘yicha menejeri  BAYRAMGELDIYEV NURGELDI QODOMBOY O'G'LIga 60 000 000,00 (oltmish million so'm) so‘m miqdorida, muddati 30 (o'ttiz) oyga va yillik 55% (Ellik besh  ) foiz miqdorida mikroqarz berich bo‘yicha BAYRAMGELDIYEV NURGELDI QODOMBOY O'G'LIning kredit arizasi va «PULLOL BUSINESS MIKROMOLIYA TASHKILOTI»  MChJning xulosasi bilan ishtirokchilarni tanishtirdi.</v>
      </c>
      <c r="B7" s="237"/>
      <c r="C7" s="237"/>
      <c r="D7" s="237"/>
      <c r="E7" s="237"/>
      <c r="G7" s="62" t="s">
        <v>252</v>
      </c>
      <c r="H7" s="63" t="str">
        <f>'Общие данные'!B1</f>
        <v>№194-TR</v>
      </c>
    </row>
    <row r="8" spans="1:33" ht="23.25" x14ac:dyDescent="0.35">
      <c r="A8" s="237"/>
      <c r="B8" s="237"/>
      <c r="C8" s="237"/>
      <c r="D8" s="237"/>
      <c r="E8" s="237"/>
      <c r="G8" s="62" t="s">
        <v>253</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16.5" customHeight="1" x14ac:dyDescent="0.35">
      <c r="A9" s="237"/>
      <c r="B9" s="237"/>
      <c r="C9" s="237"/>
      <c r="D9" s="237"/>
      <c r="E9" s="237"/>
      <c r="G9" s="62" t="s">
        <v>254</v>
      </c>
      <c r="H9" s="63" t="str">
        <f>IF(H8=I8,I9,IF(H8=J8,J9,IF(H8=K8,K9,IF(H8=L8,L9,IF(H8=M8,M9,IF(H8=N8,N9,IF(H8=O8,O9,IF(H8=P8,P9,IF(H8=Q8,Q9,IF(H8=R8,R9,IF(H8=S8,S9,IF(H8=T8,T9,IF(H8=U8,U9,IF(H8=V8,V9,IF(H8=W8,W9,IF(H8=X8,X9,IF(H8=Y8,Y9,IF(H8=Z8,Z9,IF(H8=AA8,AA9,IF(H8=AB8,AB9,IF(H8=AC8,AC9,IF(H8=AD8,AD9,IF(H8=AE8,AE9,IF(H8=AF8,AF9,IF(H8=AG8,AG9)))))))))))))))))))))))))</f>
        <v>Birinchi</v>
      </c>
      <c r="I9" s="153" t="s">
        <v>184</v>
      </c>
      <c r="J9" s="154" t="s">
        <v>185</v>
      </c>
      <c r="K9" s="154" t="s">
        <v>186</v>
      </c>
      <c r="L9" s="154" t="s">
        <v>362</v>
      </c>
      <c r="M9" s="154" t="s">
        <v>187</v>
      </c>
      <c r="N9" s="154" t="s">
        <v>363</v>
      </c>
      <c r="O9" s="154" t="s">
        <v>188</v>
      </c>
      <c r="P9" s="154" t="s">
        <v>189</v>
      </c>
      <c r="Q9" s="154" t="s">
        <v>190</v>
      </c>
      <c r="R9" s="154" t="s">
        <v>352</v>
      </c>
      <c r="S9" s="154" t="s">
        <v>353</v>
      </c>
      <c r="T9" s="154" t="s">
        <v>354</v>
      </c>
      <c r="U9" s="154" t="s">
        <v>355</v>
      </c>
      <c r="V9" s="154" t="s">
        <v>364</v>
      </c>
      <c r="W9" s="154" t="s">
        <v>356</v>
      </c>
      <c r="X9" s="154" t="s">
        <v>357</v>
      </c>
      <c r="Y9" s="154" t="s">
        <v>358</v>
      </c>
      <c r="Z9" s="154" t="s">
        <v>359</v>
      </c>
      <c r="AA9" s="154" t="s">
        <v>360</v>
      </c>
      <c r="AB9" s="154" t="s">
        <v>191</v>
      </c>
      <c r="AC9" s="154" t="s">
        <v>192</v>
      </c>
      <c r="AD9" s="154" t="s">
        <v>193</v>
      </c>
      <c r="AE9" s="154" t="s">
        <v>194</v>
      </c>
      <c r="AF9" s="154" t="s">
        <v>361</v>
      </c>
      <c r="AG9" s="154" t="s">
        <v>195</v>
      </c>
    </row>
    <row r="10" spans="1:33" ht="10.5" hidden="1" customHeight="1" x14ac:dyDescent="0.25">
      <c r="A10" s="237"/>
      <c r="B10" s="237"/>
      <c r="C10" s="237"/>
      <c r="D10" s="237"/>
      <c r="E10" s="237"/>
    </row>
    <row r="11" spans="1:33" ht="9" hidden="1" customHeight="1" x14ac:dyDescent="0.25">
      <c r="A11" s="237"/>
      <c r="B11" s="237"/>
      <c r="C11" s="237"/>
      <c r="D11" s="237"/>
      <c r="E11" s="237"/>
    </row>
    <row r="12" spans="1:33" ht="3" customHeight="1" x14ac:dyDescent="0.25">
      <c r="A12" s="237"/>
      <c r="B12" s="237"/>
      <c r="C12" s="237"/>
      <c r="D12" s="237"/>
      <c r="E12" s="237"/>
    </row>
    <row r="13" spans="1:33" ht="7.5" customHeight="1" x14ac:dyDescent="0.25"/>
    <row r="14" spans="1:33" ht="15.75" customHeight="1" x14ac:dyDescent="0.25">
      <c r="A14" s="240" t="str">
        <f>""&amp;'Общие данные'!C64&amp;" ta’minoti:"</f>
        <v>Mikroqarz ta’minoti:</v>
      </c>
      <c r="B14" s="240"/>
      <c r="C14" s="240"/>
      <c r="D14" s="240"/>
      <c r="E14" s="240"/>
    </row>
    <row r="15" spans="1:33" ht="7.5" customHeight="1" x14ac:dyDescent="0.25"/>
    <row r="16" spans="1:33" ht="54" customHeight="1" x14ac:dyDescent="0.25">
      <c r="A16" s="237" t="str">
        <f>'Заключение КК'!A18:E18</f>
        <v xml:space="preserve">  Egalik huquqi BAYRAMGELDIYEV NURGELDI QODOMBOY O'G'LIga tegishli bo'lgan garovga olingan avtomobil markasi   COBALT, rangi -  OQ GAZ, ishlab chiqarilgan yili - 2021, davlat raqam belgisi 95H906KA, kuzov turi - YENGIL SEDAN, kuzov raqami XWBJF69VEMA215312, dvigatel raqami B15D2T13210582DJCX0088, shassi raqami - RAKAMSIZ</v>
      </c>
      <c r="B16" s="237"/>
      <c r="C16" s="237"/>
      <c r="D16" s="237"/>
      <c r="E16" s="237"/>
    </row>
    <row r="17" spans="1:5" ht="17.25" customHeight="1" x14ac:dyDescent="0.25">
      <c r="C17" s="155" t="s">
        <v>370</v>
      </c>
      <c r="D17" s="155" t="str">
        <f>""&amp;'Общие данные'!B147&amp;" kredit qo‘mitasi"</f>
        <v>«PULLOL BUSINESS MIKROMOLIYA TASHKILOTI»  MChJ kredit qo‘mitasi</v>
      </c>
      <c r="E17" s="155" t="str">
        <f>CONCATENATE(C17,D17)</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8" spans="1:5" ht="54" customHeight="1" x14ac:dyDescent="0.25">
      <c r="A18" s="237" t="str">
        <f>CONCATENATE(H9,E17)</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8" s="237"/>
      <c r="C18" s="237"/>
      <c r="D18" s="237"/>
      <c r="E18" s="237"/>
    </row>
    <row r="19" spans="1:5" ht="24" customHeight="1" x14ac:dyDescent="0.25">
      <c r="A19" s="241" t="s">
        <v>255</v>
      </c>
      <c r="B19" s="241"/>
      <c r="C19" s="241"/>
      <c r="D19" s="241"/>
      <c r="E19" s="241"/>
    </row>
    <row r="20" spans="1:5" ht="32.25" customHeight="1" x14ac:dyDescent="0.25">
      <c r="A20" s="237" t="str">
        <f>"       "&amp;'Общие данные'!B5&amp;"ga quyidagi shartlarda "&amp;'Общие данные'!B65&amp;" berish masalasi ma’qullansin:"</f>
        <v xml:space="preserve">       BAYRAMGELDIYEV NURGELDI QODOMBOY O'G'LIga quyidagi shartlarda mikroqarz berish masalasi ma’qullansin:</v>
      </c>
      <c r="B20" s="237"/>
      <c r="C20" s="237"/>
      <c r="D20" s="237"/>
      <c r="E20" s="237"/>
    </row>
    <row r="21" spans="1:5" s="134" customFormat="1" ht="18.75" customHeight="1" x14ac:dyDescent="0.25">
      <c r="A21" s="238" t="str">
        <f>"1. "&amp;'Общие данные'!C64&amp;" summasi: "&amp;FIXED('Общие данные'!B75)&amp;" ("&amp;'Общие данные'!B76&amp;") so'm."</f>
        <v>1. Mikroqarz summasi: 60 000 000,00 (oltmish million so'm) so'm.</v>
      </c>
      <c r="B21" s="238"/>
      <c r="C21" s="238"/>
      <c r="D21" s="238"/>
      <c r="E21" s="238"/>
    </row>
    <row r="22" spans="1:5" s="134" customFormat="1" ht="18.75" customHeight="1" x14ac:dyDescent="0.25">
      <c r="A22" s="238" t="str">
        <f>"2. "&amp;'Общие данные'!C64&amp;" muddati: "&amp;'Общие данные'!B81&amp;" ("&amp;'Общие данные'!B82&amp;") oy "</f>
        <v xml:space="preserve">2. Mikroqarz muddati: 30 (o'ttiz) oy </v>
      </c>
      <c r="B22" s="238"/>
      <c r="C22" s="238"/>
      <c r="D22" s="238"/>
      <c r="E22" s="238"/>
    </row>
    <row r="23" spans="1:5" s="134" customFormat="1" ht="18.75" customHeight="1" x14ac:dyDescent="0.25">
      <c r="A23" s="238" t="str">
        <f>"3. "&amp;'Общие данные'!C64&amp;"dan foydalanganlik uchun foiz stavkasi:yillik "&amp;'Общие данные'!B85&amp;"% ("&amp;'Общие данные'!B86&amp;") foiz."</f>
        <v>3. Mikroqarzdan foydalanganlik uchun foiz stavkasi:yillik 55% (Ellik besh  ) foiz.</v>
      </c>
      <c r="B23" s="238"/>
      <c r="C23" s="238"/>
      <c r="D23" s="238"/>
      <c r="E23" s="238"/>
    </row>
    <row r="24" spans="1:5" s="134" customFormat="1" ht="18.75" customHeight="1" x14ac:dyDescent="0.25">
      <c r="A24" s="238" t="str">
        <f>"4. "&amp;'Общие данные'!C64&amp;" bo‘yicha asosiy qarz va foizlarni to‘lash:"</f>
        <v>4. Mikroqarz bo‘yicha asosiy qarz va foizlarni to‘lash:</v>
      </c>
      <c r="B24" s="238"/>
      <c r="C24" s="238"/>
      <c r="D24" s="238"/>
      <c r="E24" s="238"/>
    </row>
    <row r="25" spans="1:5" s="134" customFormat="1" ht="18.75" customHeight="1" x14ac:dyDescent="0.25">
      <c r="A25" s="238" t="str">
        <f>'Кредитная заявка'!A19:D19</f>
        <v xml:space="preserve"> - mikroqarz shartnomasi bo'yicha har oy annuitet to'lovlari amalga oshiriladi</v>
      </c>
      <c r="B25" s="238"/>
      <c r="C25" s="238"/>
      <c r="D25" s="238"/>
      <c r="E25" s="238"/>
    </row>
    <row r="26" spans="1:5" ht="48" customHeight="1" x14ac:dyDescent="0.25">
      <c r="A26" s="237" t="str">
        <f>"5. "&amp;'Общие данные'!C64&amp;" bo‘yicha garov  "&amp;'Заключение КК'!A29:E29&amp;""</f>
        <v>5. Mikroqarz bo‘yicha garov   - BAYRAMGELDIYEV NURGELDI QODOMBOY O'G'LI ga mulk huquqi asosida tegishli avtotransport vositasi COBALT , quyidagi tafsilotlarga muvofiq:</v>
      </c>
      <c r="B26" s="237"/>
      <c r="C26" s="237"/>
      <c r="D26" s="237"/>
      <c r="E26" s="237"/>
    </row>
    <row r="27" spans="1:5" ht="40.5" customHeight="1" x14ac:dyDescent="0.25">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75.75" customHeight="1" x14ac:dyDescent="0.25">
      <c r="A28" s="17" t="str">
        <f>'Акт согласования'!A30</f>
        <v>COBALT</v>
      </c>
      <c r="B28" s="17" t="str">
        <f>'Акт согласования'!B30</f>
        <v>kuzov turi - YENGIL SEDAN, kuzov raqami XWBJF69VEMA215312</v>
      </c>
      <c r="C28" s="17" t="str">
        <f>'Акт согласования'!C30</f>
        <v>dvigatel raqami B15D2T13210582DJCX0088, shassi raqami - RAKAMSIZ</v>
      </c>
      <c r="D28" s="17" t="str">
        <f>'Акт согласования'!D30</f>
        <v>rangi -  OQ GAZ, ishlab chiqarilgan yili - 2021</v>
      </c>
      <c r="E28" s="17" t="str">
        <f>'Акт согласования'!E30</f>
        <v>84 000 000,00 
(sakson to'rt million so'm)</v>
      </c>
    </row>
    <row r="29" spans="1:5" ht="20.25" customHeight="1" x14ac:dyDescent="0.25">
      <c r="A29" s="237" t="str">
        <f>'Акт согласования'!A22:E22</f>
        <v>-* avtotransport egasi: BAYRAMGELDIYEV NURGELDI QODOMBOY O'G'LI</v>
      </c>
      <c r="B29" s="237"/>
      <c r="C29" s="237"/>
      <c r="D29" s="237"/>
      <c r="E29" s="237"/>
    </row>
    <row r="30" spans="1:5" ht="20.25" customHeight="1" x14ac:dyDescent="0.25">
      <c r="A30" s="237" t="str">
        <f>'Акт согласования'!A23:E23</f>
        <v>-* texnik pasport: AAG       1523624      13.05.2023 y</v>
      </c>
      <c r="B30" s="237"/>
      <c r="C30" s="237"/>
      <c r="D30" s="237"/>
      <c r="E30" s="237"/>
    </row>
    <row r="31" spans="1:5" ht="34.5" customHeight="1" x14ac:dyDescent="0.25">
      <c r="A31" s="237" t="str">
        <f>'Акт согласования'!A24:E24</f>
        <v>-* roʻyxatdan oʻtgan manzili/garaj manzili: QORAQALPOG'ISTON RESPUBLIKASI ELLIKQAL'A TUMANI JASORAT MFY PAXTABIRLIK KO'CHASI 7-UY</v>
      </c>
      <c r="B31" s="237"/>
      <c r="C31" s="237"/>
      <c r="D31" s="237"/>
      <c r="E31" s="237"/>
    </row>
    <row r="32" spans="1:5" ht="21" customHeight="1" x14ac:dyDescent="0.25">
      <c r="A32" s="237" t="str">
        <f>'Акт согласования'!A25:E25</f>
        <v>-* davlat raqami: 95H906KA</v>
      </c>
      <c r="B32" s="237"/>
      <c r="C32" s="237"/>
      <c r="D32" s="237"/>
      <c r="E32" s="237"/>
    </row>
    <row r="33" spans="1:5" ht="12" customHeight="1" x14ac:dyDescent="0.25">
      <c r="A33" s="135"/>
      <c r="B33" s="135"/>
      <c r="C33" s="135"/>
      <c r="D33" s="135"/>
      <c r="E33" s="135"/>
    </row>
    <row r="34" spans="1:5" ht="24" customHeight="1" x14ac:dyDescent="0.25">
      <c r="A34" s="237" t="s">
        <v>389</v>
      </c>
      <c r="B34" s="237"/>
      <c r="C34" s="237"/>
      <c r="D34" s="237"/>
      <c r="E34" s="237"/>
    </row>
    <row r="36" spans="1:5" ht="29.25" customHeight="1" x14ac:dyDescent="0.25">
      <c r="A36" s="234" t="s">
        <v>256</v>
      </c>
      <c r="B36" s="234"/>
      <c r="C36" s="234"/>
      <c r="D36" s="234"/>
      <c r="E36" s="234"/>
    </row>
    <row r="37" spans="1:5" ht="29.25" customHeight="1" x14ac:dyDescent="0.25">
      <c r="A37" s="235" t="s">
        <v>390</v>
      </c>
      <c r="B37" s="235"/>
      <c r="C37" s="164"/>
      <c r="D37" s="165"/>
      <c r="E37" s="165"/>
    </row>
    <row r="38" spans="1:5" ht="30.75" customHeight="1" x14ac:dyDescent="0.25">
      <c r="A38" s="236" t="s">
        <v>410</v>
      </c>
      <c r="B38" s="236"/>
      <c r="C38" s="164"/>
      <c r="D38" s="166"/>
      <c r="E38" s="166"/>
    </row>
    <row r="39" spans="1:5" ht="36" customHeight="1" x14ac:dyDescent="0.25">
      <c r="A39" s="236" t="s">
        <v>414</v>
      </c>
      <c r="B39" s="235"/>
      <c r="C39" s="131"/>
      <c r="D39" s="167"/>
      <c r="E39" s="167"/>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3"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0">
    <tabColor rgb="FFFF0000"/>
  </sheetPr>
  <dimension ref="A1:W30"/>
  <sheetViews>
    <sheetView zoomScale="85" zoomScaleNormal="85" zoomScaleSheetLayoutView="85" workbookViewId="0">
      <pane ySplit="1" topLeftCell="A2" activePane="bottomLeft" state="frozen"/>
      <selection pane="bottomLeft" activeCell="O2" sqref="O2"/>
    </sheetView>
  </sheetViews>
  <sheetFormatPr defaultRowHeight="15" x14ac:dyDescent="0.2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x14ac:dyDescent="0.25">
      <c r="A1" s="118" t="s">
        <v>14</v>
      </c>
      <c r="B1" s="119" t="s">
        <v>3</v>
      </c>
      <c r="D1" s="118"/>
      <c r="E1" s="118" t="s">
        <v>36</v>
      </c>
      <c r="F1" s="118" t="s">
        <v>37</v>
      </c>
      <c r="G1" s="118"/>
      <c r="H1" s="118"/>
      <c r="I1" s="118"/>
      <c r="J1" s="118"/>
      <c r="K1" s="118"/>
      <c r="L1" s="118" t="s">
        <v>38</v>
      </c>
      <c r="M1" s="118" t="s">
        <v>40</v>
      </c>
      <c r="N1" s="118" t="s">
        <v>39</v>
      </c>
    </row>
    <row r="2" spans="1:23" ht="15" customHeight="1" x14ac:dyDescent="0.25">
      <c r="A2" s="112">
        <v>1</v>
      </c>
      <c r="B2" t="s">
        <v>251</v>
      </c>
      <c r="C2" t="s">
        <v>62</v>
      </c>
      <c r="D2" s="114" t="s">
        <v>251</v>
      </c>
      <c r="E2" s="114" t="s">
        <v>41</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125</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TULYAGANOV XODJIAKBAR IRGASHEVICH, по согласованной залоговой стоимость - 15 000 000,00 (on besh million) сум.
- №33 от 21 yanvar 2021 г., заключенного с ООО «Clever Mikrokredit Tashkiloti» и TULYAGANOV XODJIAKBAR IRGASHEVICH, по согласованной залоговой стоимость - 15 000 000,00 (on besh million) сум.
0
0
0
0
0
0
0
0
0
0
0
0
0
0
0
0
0</v>
      </c>
    </row>
    <row r="3" spans="1:23" ht="15" customHeight="1" x14ac:dyDescent="0.25">
      <c r="A3" s="112">
        <v>2</v>
      </c>
      <c r="D3" s="114" t="s">
        <v>251</v>
      </c>
      <c r="E3" s="114" t="s">
        <v>41</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125</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TULYAGANOV XODJIAKBAR IRGASHEVICH, по согласованной залоговой стоимость - 15 000 000,00 (on besh million) сум.</v>
      </c>
      <c r="P3" t="str">
        <f t="shared" ref="P3:P21" si="1">IF(D3=$B$2,O3,IF(D3=$C$2,$B$1))</f>
        <v>- №386 от 6 noyabr 2019 г., заключенного с ООО «Clever Mikrokredit Tashkiloti» и TULYAGANOV XODJIAKBAR IRGASHEVICH, по согласованной залоговой стоимость - 15 000 000,00 (on besh million) сум.</v>
      </c>
    </row>
    <row r="4" spans="1:23" ht="15" customHeight="1" x14ac:dyDescent="0.25">
      <c r="A4" s="112">
        <v>3</v>
      </c>
      <c r="D4" s="114" t="s">
        <v>251</v>
      </c>
      <c r="E4" s="114" t="s">
        <v>41</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125</v>
      </c>
      <c r="O4" t="str">
        <f t="shared" si="0"/>
        <v>- №33 от 21 yanvar 2021 г., заключенного с ООО «Clever Mikrokredit Tashkiloti» и TULYAGANOV XODJIAKBAR IRGASHEVICH, по согласованной залоговой стоимость - 15 000 000,00 (on besh million) сум.</v>
      </c>
      <c r="P4" t="str">
        <f t="shared" si="1"/>
        <v>- №33 от 21 yanvar 2021 г., заключенного с ООО «Clever Mikrokredit Tashkiloti» и TULYAGANOV XODJIAKBAR IRGASHEVICH, по согласованной залоговой стоимость - 15 000 000,00 (on besh million) сум.</v>
      </c>
    </row>
    <row r="5" spans="1:23" ht="15" customHeight="1" x14ac:dyDescent="0.25">
      <c r="A5" s="112">
        <v>4</v>
      </c>
      <c r="D5" s="114" t="s">
        <v>251</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x14ac:dyDescent="0.25">
      <c r="A6" s="112">
        <v>5</v>
      </c>
      <c r="D6" s="114" t="s">
        <v>251</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x14ac:dyDescent="0.25">
      <c r="A7" s="112">
        <v>6</v>
      </c>
      <c r="D7" s="114" t="s">
        <v>251</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x14ac:dyDescent="0.25">
      <c r="A8" s="112">
        <v>7</v>
      </c>
      <c r="D8" s="114" t="s">
        <v>251</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x14ac:dyDescent="0.25">
      <c r="A9" s="112">
        <v>8</v>
      </c>
      <c r="D9" s="114" t="s">
        <v>251</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x14ac:dyDescent="0.25">
      <c r="A10" s="112">
        <v>9</v>
      </c>
      <c r="D10" s="114" t="s">
        <v>251</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x14ac:dyDescent="0.25">
      <c r="A11" s="112">
        <v>10</v>
      </c>
      <c r="D11" s="114" t="s">
        <v>251</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x14ac:dyDescent="0.25">
      <c r="A12" s="112">
        <v>11</v>
      </c>
      <c r="D12" s="114" t="s">
        <v>251</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x14ac:dyDescent="0.25">
      <c r="A13" s="112">
        <v>12</v>
      </c>
      <c r="D13" s="114" t="s">
        <v>251</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x14ac:dyDescent="0.25">
      <c r="A14" s="112">
        <v>13</v>
      </c>
      <c r="D14" s="114" t="s">
        <v>251</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x14ac:dyDescent="0.25">
      <c r="A15" s="112">
        <v>14</v>
      </c>
      <c r="D15" s="114" t="s">
        <v>251</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x14ac:dyDescent="0.25">
      <c r="A16" s="112">
        <v>15</v>
      </c>
      <c r="D16" s="114" t="s">
        <v>251</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x14ac:dyDescent="0.25">
      <c r="A17" s="112">
        <v>16</v>
      </c>
      <c r="D17" s="114" t="s">
        <v>251</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x14ac:dyDescent="0.25">
      <c r="A18" s="112">
        <v>17</v>
      </c>
      <c r="D18" s="114" t="s">
        <v>251</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x14ac:dyDescent="0.25">
      <c r="A19" s="112">
        <v>18</v>
      </c>
      <c r="D19" s="114" t="s">
        <v>251</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x14ac:dyDescent="0.25">
      <c r="A20" s="112">
        <v>19</v>
      </c>
      <c r="D20" s="114" t="s">
        <v>251</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x14ac:dyDescent="0.25">
      <c r="A21" s="112">
        <v>20</v>
      </c>
      <c r="D21" s="114" t="s">
        <v>251</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x14ac:dyDescent="0.25">
      <c r="M22" s="120">
        <f>SUM(M2:M21)+'Общие данные'!B136</f>
        <v>129000000</v>
      </c>
      <c r="Q22" t="s">
        <v>250</v>
      </c>
    </row>
    <row r="23" spans="1:17" x14ac:dyDescent="0.25">
      <c r="A23" s="101"/>
      <c r="B23" s="102"/>
      <c r="C23" s="102"/>
      <c r="D23" s="102"/>
      <c r="E23" s="102"/>
      <c r="F23" s="102"/>
      <c r="G23" s="102"/>
      <c r="H23" s="102"/>
      <c r="I23" s="102"/>
      <c r="J23" s="102"/>
      <c r="K23" s="102"/>
      <c r="L23" s="102"/>
      <c r="M23" s="102"/>
      <c r="N23" s="102"/>
      <c r="O23" s="102"/>
    </row>
    <row r="24" spans="1:17" x14ac:dyDescent="0.25">
      <c r="A24" s="102"/>
      <c r="B24" s="102"/>
      <c r="C24" s="102"/>
      <c r="D24" s="102"/>
      <c r="E24" s="102"/>
      <c r="F24" s="102"/>
      <c r="G24" s="102"/>
      <c r="H24" s="102"/>
      <c r="I24" s="102"/>
      <c r="J24" s="102"/>
      <c r="K24" s="102"/>
      <c r="L24" s="102"/>
      <c r="M24" s="102"/>
      <c r="N24" s="102"/>
      <c r="O24" s="102"/>
    </row>
    <row r="25" spans="1:17" x14ac:dyDescent="0.25">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x14ac:dyDescent="0.25">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x14ac:dyDescent="0.25">
      <c r="A27" s="102"/>
      <c r="B27" s="102"/>
      <c r="C27" s="102"/>
      <c r="D27" s="102"/>
      <c r="E27" s="102"/>
      <c r="F27" s="102"/>
      <c r="G27" s="102"/>
      <c r="H27" s="102"/>
      <c r="I27" s="102"/>
      <c r="J27" s="102"/>
      <c r="K27" s="102"/>
      <c r="L27" s="102"/>
      <c r="M27" s="102"/>
      <c r="N27" s="102"/>
      <c r="O27" s="102"/>
    </row>
    <row r="28" spans="1:17" x14ac:dyDescent="0.25">
      <c r="A28" s="102" t="s">
        <v>114</v>
      </c>
      <c r="B28" s="102" t="s">
        <v>115</v>
      </c>
      <c r="C28" s="102" t="s">
        <v>104</v>
      </c>
      <c r="D28" s="102" t="s">
        <v>105</v>
      </c>
      <c r="E28" s="102" t="s">
        <v>106</v>
      </c>
      <c r="F28" s="102" t="s">
        <v>107</v>
      </c>
      <c r="G28" s="102"/>
      <c r="H28" s="102"/>
      <c r="I28" s="102"/>
      <c r="J28" s="102"/>
      <c r="K28" s="102" t="s">
        <v>22</v>
      </c>
      <c r="L28" s="102" t="s">
        <v>109</v>
      </c>
      <c r="M28" s="102" t="s">
        <v>249</v>
      </c>
      <c r="N28" s="102" t="s">
        <v>248</v>
      </c>
      <c r="O28" s="102" t="s">
        <v>112</v>
      </c>
      <c r="P28" s="102" t="s">
        <v>113</v>
      </c>
    </row>
    <row r="29" spans="1:17" x14ac:dyDescent="0.25">
      <c r="A29" s="102" t="s">
        <v>114</v>
      </c>
      <c r="B29" s="102" t="s">
        <v>115</v>
      </c>
      <c r="C29" s="102" t="s">
        <v>104</v>
      </c>
      <c r="D29" s="102" t="s">
        <v>105</v>
      </c>
      <c r="E29" s="102" t="s">
        <v>106</v>
      </c>
      <c r="F29" s="102" t="s">
        <v>107</v>
      </c>
      <c r="G29" s="102"/>
      <c r="H29" s="102"/>
      <c r="I29" s="102"/>
      <c r="J29" s="102"/>
      <c r="K29" s="102" t="s">
        <v>24</v>
      </c>
      <c r="L29" s="102" t="s">
        <v>109</v>
      </c>
      <c r="M29" s="102" t="s">
        <v>249</v>
      </c>
      <c r="N29" s="102" t="s">
        <v>248</v>
      </c>
      <c r="O29" s="102" t="s">
        <v>112</v>
      </c>
      <c r="P29" s="102" t="s">
        <v>113</v>
      </c>
    </row>
    <row r="30" spans="1:17" x14ac:dyDescent="0.25">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100-000000000000}">
      <formula1>$B$2:$C$2</formula1>
    </dataValidation>
  </dataValidation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
    <tabColor rgb="FF00B050"/>
  </sheetPr>
  <dimension ref="A1:MW165"/>
  <sheetViews>
    <sheetView topLeftCell="A52" zoomScaleNormal="100" workbookViewId="0">
      <selection activeCell="B78" sqref="B78"/>
    </sheetView>
  </sheetViews>
  <sheetFormatPr defaultColWidth="9.140625" defaultRowHeight="15" zeroHeight="1" x14ac:dyDescent="0.2"/>
  <cols>
    <col min="1" max="1" width="68" style="186" bestFit="1" customWidth="1"/>
    <col min="2" max="2" width="64.42578125" style="187" customWidth="1"/>
    <col min="3" max="3" width="35.7109375" style="184" customWidth="1"/>
    <col min="4" max="4" width="70" style="189" customWidth="1"/>
    <col min="5" max="12" width="9.140625" style="189" customWidth="1"/>
    <col min="13" max="13" width="11.85546875" style="189" customWidth="1"/>
    <col min="14" max="355" width="9.140625" style="189" customWidth="1"/>
    <col min="356" max="356" width="5" style="189" customWidth="1"/>
    <col min="357" max="357" width="5.5703125" style="189" customWidth="1"/>
    <col min="358" max="358" width="5.42578125" style="189" customWidth="1"/>
    <col min="359" max="361" width="5.5703125" style="189" customWidth="1"/>
    <col min="362" max="997" width="5.5703125" style="184" customWidth="1"/>
    <col min="998" max="998" width="9.140625" style="184" customWidth="1"/>
    <col min="999" max="16384" width="9.140625" style="184"/>
  </cols>
  <sheetData>
    <row r="1" spans="1:4" x14ac:dyDescent="0.2">
      <c r="A1" s="3" t="str">
        <f>CONCATENATE(B65," olish uchun ariza")</f>
        <v>mikroqarz olish uchun ariza</v>
      </c>
      <c r="B1" s="49" t="s">
        <v>441</v>
      </c>
    </row>
    <row r="2" spans="1:4" x14ac:dyDescent="0.2">
      <c r="A2" s="3" t="str">
        <f>CONCATENATE(B65," olish uchun ariza sanasi QO’L BILAN KIRITILADI")</f>
        <v>mikroqarz olish uchun ariza sanasi QO’L BILAN KIRITILADI</v>
      </c>
      <c r="B2" s="57" t="s">
        <v>442</v>
      </c>
      <c r="D2" s="189">
        <f>180+B2</f>
        <v>46266</v>
      </c>
    </row>
    <row r="3" spans="1:4" x14ac:dyDescent="0.2">
      <c r="A3" s="3"/>
      <c r="B3" s="1"/>
    </row>
    <row r="4" spans="1:4" x14ac:dyDescent="0.2">
      <c r="A4" s="242" t="s">
        <v>48</v>
      </c>
      <c r="B4" s="242"/>
    </row>
    <row r="5" spans="1:4" x14ac:dyDescent="0.2">
      <c r="A5" s="3" t="s">
        <v>49</v>
      </c>
      <c r="B5" s="49" t="s">
        <v>424</v>
      </c>
    </row>
    <row r="6" spans="1:4" ht="30" x14ac:dyDescent="0.2">
      <c r="A6" s="3" t="s">
        <v>50</v>
      </c>
      <c r="B6" s="49" t="s">
        <v>129</v>
      </c>
      <c r="C6" s="184" t="s">
        <v>251</v>
      </c>
      <c r="D6" s="189" t="s">
        <v>129</v>
      </c>
    </row>
    <row r="7" spans="1:4" x14ac:dyDescent="0.2">
      <c r="A7" s="3" t="s">
        <v>51</v>
      </c>
      <c r="B7" s="49" t="s">
        <v>439</v>
      </c>
    </row>
    <row r="8" spans="1:4" hidden="1" x14ac:dyDescent="0.2">
      <c r="A8" s="3" t="s">
        <v>52</v>
      </c>
      <c r="B8" s="76" t="str">
        <f>B5</f>
        <v>BAYRAMGELDIYEV NURGELDI QODOMBOY O'G'LI</v>
      </c>
    </row>
    <row r="9" spans="1:4" hidden="1" x14ac:dyDescent="0.2">
      <c r="A9" s="3" t="s">
        <v>53</v>
      </c>
      <c r="B9" s="76" t="str">
        <f>B7</f>
        <v>BAYRAMGELDIYEV N.Q.</v>
      </c>
    </row>
    <row r="10" spans="1:4" hidden="1" x14ac:dyDescent="0.2">
      <c r="A10" s="3" t="s">
        <v>54</v>
      </c>
      <c r="B10" s="76" t="str">
        <f>B8</f>
        <v>BAYRAMGELDIYEV NURGELDI QODOMBOY O'G'LI</v>
      </c>
    </row>
    <row r="11" spans="1:4" hidden="1" x14ac:dyDescent="0.2">
      <c r="A11" s="3" t="s">
        <v>55</v>
      </c>
      <c r="B11" s="76" t="str">
        <f>B9</f>
        <v>BAYRAMGELDIYEV N.Q.</v>
      </c>
    </row>
    <row r="12" spans="1:4" hidden="1" x14ac:dyDescent="0.2">
      <c r="A12" s="3" t="s">
        <v>56</v>
      </c>
      <c r="B12" s="76" t="str">
        <f>B10</f>
        <v>BAYRAMGELDIYEV NURGELDI QODOMBOY O'G'LI</v>
      </c>
    </row>
    <row r="13" spans="1:4" hidden="1" x14ac:dyDescent="0.2">
      <c r="A13" s="3" t="s">
        <v>57</v>
      </c>
      <c r="B13" s="76" t="str">
        <f>B11</f>
        <v>BAYRAMGELDIYEV N.Q.</v>
      </c>
    </row>
    <row r="14" spans="1:4" hidden="1" x14ac:dyDescent="0.2">
      <c r="A14" s="3" t="s">
        <v>58</v>
      </c>
      <c r="B14" s="76" t="s">
        <v>61</v>
      </c>
    </row>
    <row r="15" spans="1:4" x14ac:dyDescent="0.2">
      <c r="A15" s="3" t="s">
        <v>59</v>
      </c>
      <c r="B15" s="136" t="s">
        <v>423</v>
      </c>
    </row>
    <row r="16" spans="1:4" x14ac:dyDescent="0.2">
      <c r="A16" s="3" t="s">
        <v>60</v>
      </c>
      <c r="B16" s="49" t="s">
        <v>422</v>
      </c>
    </row>
    <row r="17" spans="1:8" x14ac:dyDescent="0.2">
      <c r="A17" s="3"/>
      <c r="B17" s="49" t="s">
        <v>421</v>
      </c>
      <c r="D17" s="189" t="str">
        <f>TEXT(C17,"ДД.ММ.ГГГГ")</f>
        <v>00.01.1900</v>
      </c>
    </row>
    <row r="18" spans="1:8" x14ac:dyDescent="0.2">
      <c r="A18" s="3"/>
      <c r="B18" s="136">
        <v>46078</v>
      </c>
      <c r="C18" s="199" t="str">
        <f>TEXT(B18,"ДД.ММ.ГГГГ")</f>
        <v>25.02.2026</v>
      </c>
    </row>
    <row r="19" spans="1:8" x14ac:dyDescent="0.2">
      <c r="A19" s="3"/>
      <c r="B19" s="136">
        <f>DATE(YEAR(B18)+10,MONTH(B18),DAY(B18)-1)</f>
        <v>49729</v>
      </c>
      <c r="C19" s="199" t="str">
        <f>TEXT(B19,"ДД.ММ.ГГГГ")</f>
        <v>24.02.2036</v>
      </c>
    </row>
    <row r="20" spans="1:8" ht="45" x14ac:dyDescent="0.2">
      <c r="A20" s="3" t="s">
        <v>63</v>
      </c>
      <c r="B20" s="60" t="str">
        <f>""&amp;B17&amp;" tomonidan "&amp;C18&amp;" yilda berilgan"</f>
        <v>IIV 35210 tomonidan 25.02.2026 yilda berilgan</v>
      </c>
      <c r="C20" s="200" t="str">
        <f>""&amp;B17&amp;" tomonidan "&amp;C18&amp;" yilda berilgan"</f>
        <v>IIV 35210 tomonidan 25.02.2026 yilda berilgan</v>
      </c>
    </row>
    <row r="21" spans="1:8" ht="45" x14ac:dyDescent="0.2">
      <c r="A21" s="3" t="s">
        <v>64</v>
      </c>
      <c r="B21" s="60" t="str">
        <f>""&amp;C19&amp;" y."</f>
        <v>24.02.2036 y.</v>
      </c>
      <c r="C21" s="199" t="str">
        <f>""&amp;C19&amp;" yilgacha"</f>
        <v>24.02.2036 yilgacha</v>
      </c>
    </row>
    <row r="22" spans="1:8" ht="45" customHeight="1" x14ac:dyDescent="0.2">
      <c r="A22" s="3" t="s">
        <v>65</v>
      </c>
      <c r="B22" s="49" t="s">
        <v>425</v>
      </c>
      <c r="C22" s="199" t="str">
        <f>TEXT(B19,"ДД.ММ.ГГГГ")</f>
        <v>24.02.2036</v>
      </c>
    </row>
    <row r="23" spans="1:8" ht="30" x14ac:dyDescent="0.2">
      <c r="A23" s="3" t="s">
        <v>66</v>
      </c>
      <c r="B23" s="49" t="s">
        <v>90</v>
      </c>
      <c r="C23" s="184" t="s">
        <v>90</v>
      </c>
      <c r="D23" s="189" t="s">
        <v>91</v>
      </c>
    </row>
    <row r="24" spans="1:8" ht="30" hidden="1" customHeight="1" x14ac:dyDescent="0.2">
      <c r="A24" s="3" t="s">
        <v>67</v>
      </c>
      <c r="B24" s="76" t="s">
        <v>88</v>
      </c>
      <c r="C24" s="184" t="s">
        <v>88</v>
      </c>
      <c r="D24" s="189" t="s">
        <v>89</v>
      </c>
      <c r="F24" s="189" t="s">
        <v>0</v>
      </c>
      <c r="G24" s="189" t="s">
        <v>1</v>
      </c>
      <c r="H24" s="189" t="s">
        <v>3</v>
      </c>
    </row>
    <row r="25" spans="1:8" x14ac:dyDescent="0.2">
      <c r="A25" s="3" t="s">
        <v>68</v>
      </c>
      <c r="B25" s="49" t="s">
        <v>428</v>
      </c>
    </row>
    <row r="26" spans="1:8" ht="44.25" customHeight="1" x14ac:dyDescent="0.2">
      <c r="A26" s="3" t="s">
        <v>69</v>
      </c>
      <c r="B26" s="49" t="s">
        <v>426</v>
      </c>
      <c r="C26" s="184" t="s">
        <v>23</v>
      </c>
    </row>
    <row r="27" spans="1:8" ht="44.25" hidden="1" customHeight="1" x14ac:dyDescent="0.2">
      <c r="A27" s="3"/>
      <c r="B27" s="49" t="str">
        <f>IF(B23="mos keladi",B22,B28)</f>
        <v>QORAQALPOG'ISTON RESPUBLIKASI ELLIKQAL'A TUMANI JASORAT MFY PAXTABIRLIK KO'CHASI 7-UY</v>
      </c>
    </row>
    <row r="28" spans="1:8" ht="30" x14ac:dyDescent="0.2">
      <c r="A28" s="3" t="s">
        <v>70</v>
      </c>
      <c r="B28" s="49" t="s">
        <v>425</v>
      </c>
    </row>
    <row r="29" spans="1:8" x14ac:dyDescent="0.2">
      <c r="A29" s="3" t="s">
        <v>71</v>
      </c>
      <c r="B29" s="49" t="s">
        <v>88</v>
      </c>
      <c r="C29" s="184" t="s">
        <v>88</v>
      </c>
      <c r="D29" s="189" t="s">
        <v>89</v>
      </c>
      <c r="F29" s="189" t="s">
        <v>324</v>
      </c>
      <c r="G29" s="189" t="s">
        <v>325</v>
      </c>
      <c r="H29" s="189" t="s">
        <v>3</v>
      </c>
    </row>
    <row r="30" spans="1:8" ht="27" x14ac:dyDescent="0.2">
      <c r="A30" s="3" t="s">
        <v>72</v>
      </c>
      <c r="B30" s="175" t="s">
        <v>144</v>
      </c>
      <c r="C30" s="184" t="s">
        <v>144</v>
      </c>
      <c r="D30" s="189" t="s">
        <v>328</v>
      </c>
    </row>
    <row r="31" spans="1:8" x14ac:dyDescent="0.2">
      <c r="A31" s="3" t="s">
        <v>73</v>
      </c>
      <c r="B31" s="49" t="s">
        <v>427</v>
      </c>
    </row>
    <row r="32" spans="1:8" x14ac:dyDescent="0.2">
      <c r="A32" s="3" t="s">
        <v>58</v>
      </c>
      <c r="B32" s="49" t="s">
        <v>61</v>
      </c>
    </row>
    <row r="33" spans="1:4" x14ac:dyDescent="0.2">
      <c r="A33" s="3" t="s">
        <v>68</v>
      </c>
      <c r="B33" s="49"/>
    </row>
    <row r="34" spans="1:4" ht="15" hidden="1" customHeight="1" x14ac:dyDescent="0.2">
      <c r="A34" s="3"/>
      <c r="B34" s="49" t="str">
        <f>IF(B23="mos keladi",B26,B35)</f>
        <v xml:space="preserve">PAXTA ZAVODNI YON TOMONI KALENIN OXIRI </v>
      </c>
    </row>
    <row r="35" spans="1:4" x14ac:dyDescent="0.2">
      <c r="A35" s="3" t="s">
        <v>69</v>
      </c>
      <c r="B35" s="49"/>
    </row>
    <row r="36" spans="1:4" x14ac:dyDescent="0.2">
      <c r="A36" s="3" t="s">
        <v>74</v>
      </c>
      <c r="B36" s="49"/>
    </row>
    <row r="37" spans="1:4" x14ac:dyDescent="0.2">
      <c r="A37" s="3" t="s">
        <v>75</v>
      </c>
      <c r="B37" s="49"/>
    </row>
    <row r="38" spans="1:4" x14ac:dyDescent="0.2">
      <c r="A38" s="3" t="s">
        <v>76</v>
      </c>
      <c r="B38" s="49"/>
    </row>
    <row r="39" spans="1:4" x14ac:dyDescent="0.2">
      <c r="A39" s="3" t="s">
        <v>77</v>
      </c>
      <c r="B39" s="49"/>
    </row>
    <row r="40" spans="1:4" ht="24.75" customHeight="1" x14ac:dyDescent="0.2">
      <c r="A40" s="3" t="s">
        <v>78</v>
      </c>
      <c r="B40" s="49" t="str">
        <f>B25</f>
        <v>93 842 10 99 KLIENT</v>
      </c>
    </row>
    <row r="41" spans="1:4" ht="24.75" customHeight="1" x14ac:dyDescent="0.2">
      <c r="A41" s="3" t="s">
        <v>79</v>
      </c>
      <c r="B41" s="49" t="s">
        <v>429</v>
      </c>
    </row>
    <row r="42" spans="1:4" ht="24.75" customHeight="1" x14ac:dyDescent="0.2">
      <c r="A42" s="3" t="s">
        <v>78</v>
      </c>
      <c r="B42" s="231" t="s">
        <v>430</v>
      </c>
    </row>
    <row r="43" spans="1:4" x14ac:dyDescent="0.2">
      <c r="A43" s="3" t="s">
        <v>79</v>
      </c>
      <c r="B43" s="49"/>
    </row>
    <row r="44" spans="1:4" ht="23.25" x14ac:dyDescent="0.2">
      <c r="A44" s="177" t="s">
        <v>80</v>
      </c>
      <c r="B44" s="176" t="s">
        <v>345</v>
      </c>
      <c r="C44" s="184" t="s">
        <v>340</v>
      </c>
      <c r="D44" s="189" t="s">
        <v>345</v>
      </c>
    </row>
    <row r="45" spans="1:4" ht="15" hidden="1" customHeight="1" x14ac:dyDescent="0.2">
      <c r="A45" s="3"/>
      <c r="B45" s="174" t="str">
        <f>IF(B44=D44,CONCATENATE("MA'LUMOTNOMA ",B47,B46),C44)</f>
        <v>MA'LUMOTNOMA № №0012784845№0012784845</v>
      </c>
    </row>
    <row r="46" spans="1:4" ht="46.5" x14ac:dyDescent="0.2">
      <c r="A46" s="177" t="s">
        <v>346</v>
      </c>
      <c r="B46" s="188" t="s">
        <v>440</v>
      </c>
    </row>
    <row r="47" spans="1:4" ht="23.25" hidden="1" customHeight="1" x14ac:dyDescent="0.2">
      <c r="A47" s="177"/>
      <c r="B47" s="174" t="str">
        <f>CONCATENATE(C47," ",B46)</f>
        <v>№ №0012784845</v>
      </c>
      <c r="C47" s="184" t="s">
        <v>14</v>
      </c>
    </row>
    <row r="48" spans="1:4" ht="69.75" x14ac:dyDescent="0.2">
      <c r="A48" s="177" t="s">
        <v>347</v>
      </c>
      <c r="B48" s="174" t="s">
        <v>445</v>
      </c>
    </row>
    <row r="49" spans="1:4" ht="15" hidden="1" customHeight="1" x14ac:dyDescent="0.2">
      <c r="A49" s="3" t="s">
        <v>81</v>
      </c>
      <c r="B49" s="49" t="str">
        <f>B48</f>
        <v>Йўловчиларни енгил автотранспорт воситаларида ташиш</v>
      </c>
    </row>
    <row r="50" spans="1:4" ht="30" x14ac:dyDescent="0.2">
      <c r="A50" s="3" t="s">
        <v>82</v>
      </c>
      <c r="B50" s="49" t="s">
        <v>444</v>
      </c>
    </row>
    <row r="51" spans="1:4" x14ac:dyDescent="0.2">
      <c r="A51" s="3" t="s">
        <v>69</v>
      </c>
      <c r="B51" s="49"/>
    </row>
    <row r="52" spans="1:4" x14ac:dyDescent="0.2">
      <c r="A52" s="3" t="s">
        <v>83</v>
      </c>
      <c r="B52" s="49"/>
    </row>
    <row r="53" spans="1:4" x14ac:dyDescent="0.2">
      <c r="A53" s="3" t="s">
        <v>84</v>
      </c>
      <c r="B53" s="49"/>
    </row>
    <row r="54" spans="1:4" x14ac:dyDescent="0.2">
      <c r="A54" s="3" t="s">
        <v>85</v>
      </c>
      <c r="B54" s="49"/>
    </row>
    <row r="55" spans="1:4" x14ac:dyDescent="0.2">
      <c r="A55" s="3" t="s">
        <v>86</v>
      </c>
      <c r="B55" s="2" t="s">
        <v>446</v>
      </c>
    </row>
    <row r="56" spans="1:4" x14ac:dyDescent="0.2">
      <c r="A56" s="3" t="s">
        <v>87</v>
      </c>
      <c r="B56" s="2" t="s">
        <v>21</v>
      </c>
    </row>
    <row r="57" spans="1:4" ht="30" customHeight="1" x14ac:dyDescent="0.2">
      <c r="A57" s="243" t="s">
        <v>92</v>
      </c>
      <c r="B57" s="244"/>
    </row>
    <row r="58" spans="1:4" ht="20.25" hidden="1" customHeight="1" x14ac:dyDescent="0.2">
      <c r="A58" s="3" t="s">
        <v>93</v>
      </c>
      <c r="B58" s="49" t="str">
        <f>IF(B44=C44,C44,CONCATENATE(B44," ",B47))</f>
        <v>O'Z O'ZINI BAND QILGAN FUQARO № №0012784845</v>
      </c>
    </row>
    <row r="59" spans="1:4" ht="31.5" hidden="1" customHeight="1" x14ac:dyDescent="0.2">
      <c r="A59" s="3" t="s">
        <v>81</v>
      </c>
      <c r="B59" s="49" t="str">
        <f>B49</f>
        <v>Йўловчиларни енгил автотранспорт воситаларида ташиш</v>
      </c>
    </row>
    <row r="60" spans="1:4" ht="23.25" x14ac:dyDescent="0.2">
      <c r="A60" s="177" t="s">
        <v>94</v>
      </c>
      <c r="B60" s="181">
        <v>10000000</v>
      </c>
      <c r="C60" s="224">
        <f>C63/B75</f>
        <v>0.49483885466666666</v>
      </c>
    </row>
    <row r="61" spans="1:4" x14ac:dyDescent="0.2">
      <c r="A61" s="3" t="s">
        <v>95</v>
      </c>
      <c r="B61" s="5">
        <v>9000000</v>
      </c>
      <c r="C61" s="225" t="s">
        <v>407</v>
      </c>
      <c r="D61" s="228">
        <f>B60+B61</f>
        <v>19000000</v>
      </c>
    </row>
    <row r="62" spans="1:4" hidden="1" x14ac:dyDescent="0.2">
      <c r="A62" s="3" t="s">
        <v>96</v>
      </c>
      <c r="B62" s="49">
        <f>B53</f>
        <v>0</v>
      </c>
      <c r="C62" s="226"/>
    </row>
    <row r="63" spans="1:4" x14ac:dyDescent="0.2">
      <c r="A63" s="3" t="s">
        <v>97</v>
      </c>
      <c r="B63" s="49"/>
      <c r="C63" s="227">
        <f>SUM(График!E9:E20)</f>
        <v>29690331.280000001</v>
      </c>
    </row>
    <row r="64" spans="1:4" ht="15.75" thickBot="1" x14ac:dyDescent="0.25">
      <c r="A64" s="242" t="s">
        <v>98</v>
      </c>
      <c r="B64" s="242"/>
      <c r="C64" s="184" t="str">
        <f>PROPER(B65)</f>
        <v>Mikroqarz</v>
      </c>
      <c r="D64" s="189" t="str">
        <f>UPPER(B65)</f>
        <v>MIKROQARZ</v>
      </c>
    </row>
    <row r="65" spans="1:15" hidden="1" x14ac:dyDescent="0.2">
      <c r="A65" s="3" t="s">
        <v>99</v>
      </c>
      <c r="B65" s="1" t="str">
        <f>IF(B75&gt;100000001,"mikrokredit",IF(B75&lt;100000001,"mikroqarz",0))</f>
        <v>mikroqarz</v>
      </c>
      <c r="C65" s="201">
        <f>DATE(YEAR(B67),MONTH(B67)+B81,DAY(B67))</f>
        <v>47001</v>
      </c>
    </row>
    <row r="66" spans="1:15" hidden="1" x14ac:dyDescent="0.2">
      <c r="A66" s="3" t="s">
        <v>100</v>
      </c>
      <c r="B66" s="49" t="str">
        <f>B1</f>
        <v>№194-TR</v>
      </c>
      <c r="C66" s="184">
        <f>MONTH(C65)</f>
        <v>9</v>
      </c>
      <c r="D66" s="189" t="str">
        <f>IF(C66=C68,C70,IF(C66=D68,D70,IF(C66=F68,F70,IF(C66=G68,G70,IF(C66=H68,H70,IF(C66=I68,I70,IF(C66=J68,J70,IF(C66=K68,K70,IF(C66=L68,L70,IF(C66=M68,M70,IF(C66=N68,N70,IF(C66=O68,O70,))))))))))))</f>
        <v>sentabr</v>
      </c>
      <c r="F66" s="189">
        <f>DAY(C65)</f>
        <v>5</v>
      </c>
      <c r="G66" s="189">
        <f>YEAR(C65)</f>
        <v>2028</v>
      </c>
      <c r="H66" s="189">
        <f>MONTH(C65)</f>
        <v>9</v>
      </c>
      <c r="I66" s="189" t="str">
        <f>IF(C66=C68,C71,IF(C66=D68,D71,IF(C66=F68,F71,IF(C66=G68,G71,IF(C66=H68,H71,IF(C66=I68,I71,IF(C66=J68,J71,IF(C66=K68,K71,IF(C66=L68,L71,IF(C66=M68,M71,IF(C66=N68,N71,IF(C66=O68,O71,))))))))))))</f>
        <v>sentabr</v>
      </c>
      <c r="J66" s="189">
        <f>YEAR(C65)</f>
        <v>2028</v>
      </c>
    </row>
    <row r="67" spans="1:15" hidden="1" x14ac:dyDescent="0.2">
      <c r="A67" s="3" t="s">
        <v>101</v>
      </c>
      <c r="B67" s="85" t="str">
        <f>B2</f>
        <v>05.03.2026</v>
      </c>
      <c r="C67" s="184">
        <f>MONTH(B67)</f>
        <v>3</v>
      </c>
      <c r="D67" s="189" t="str">
        <f>IF(C67=C68,C70,IF(C67=D68,D70,IF(C67=F68,F70,IF(C67=G68,G70,IF(C67=H68,H70,IF(C67=I68,I70,IF(C67=J68,J70,IF(C67=K68,K70,IF(C67=L68,L70,IF(C67=M68,M70,IF(C67=N68,N70,IF(C67=O68,O70,))))))))))))</f>
        <v>mart</v>
      </c>
      <c r="F67" s="189">
        <f>DAY(B67)</f>
        <v>5</v>
      </c>
      <c r="G67" s="189">
        <f>YEAR(B67)</f>
        <v>2026</v>
      </c>
      <c r="H67" s="189">
        <f>MONTH(B67)</f>
        <v>3</v>
      </c>
      <c r="I67" s="189" t="str">
        <f>IF(C67=C68,C71,IF(C67=D68,D71,IF(C67=F68,F71,IF(C67=G68,G71,IF(C67=H68,H71,IF(C67=I68,I71,IF(C67=J68,J71,IF(C67=K68,K71,IF(C67=L68,L71,IF(C67=M68,M71,IF(C67=N68,N71,IF(C67=O68,O71,))))))))))))</f>
        <v>mart</v>
      </c>
      <c r="J67" s="189">
        <f>YEAR(B67)</f>
        <v>2026</v>
      </c>
    </row>
    <row r="68" spans="1:15" hidden="1" x14ac:dyDescent="0.2">
      <c r="A68" s="3" t="s">
        <v>102</v>
      </c>
      <c r="B68" s="77" t="str">
        <f>""&amp;F67&amp;" "&amp;D67&amp;" "&amp;G67&amp;" y."</f>
        <v>5 mart 2026 y.</v>
      </c>
      <c r="C68" s="184">
        <v>1</v>
      </c>
      <c r="D68" s="189">
        <v>2</v>
      </c>
      <c r="F68" s="189">
        <v>3</v>
      </c>
      <c r="G68" s="189">
        <v>4</v>
      </c>
      <c r="H68" s="189">
        <v>5</v>
      </c>
      <c r="I68" s="189">
        <v>6</v>
      </c>
      <c r="J68" s="189">
        <v>7</v>
      </c>
      <c r="K68" s="189">
        <v>8</v>
      </c>
      <c r="L68" s="189">
        <v>9</v>
      </c>
      <c r="M68" s="189">
        <v>10</v>
      </c>
      <c r="N68" s="189">
        <v>11</v>
      </c>
      <c r="O68" s="189">
        <v>12</v>
      </c>
    </row>
    <row r="69" spans="1:15" hidden="1" x14ac:dyDescent="0.2">
      <c r="A69" s="3"/>
      <c r="B69" s="77" t="str">
        <f>""&amp;F67&amp;" "&amp;I67&amp;" "&amp;G67&amp;" y."</f>
        <v>5 mart 2026 y.</v>
      </c>
    </row>
    <row r="70" spans="1:15" hidden="1" x14ac:dyDescent="0.2">
      <c r="A70" s="3"/>
      <c r="B70" s="59" t="str">
        <f>B68</f>
        <v>5 mart 2026 y.</v>
      </c>
      <c r="C70" s="184" t="s">
        <v>114</v>
      </c>
      <c r="D70" s="189" t="s">
        <v>115</v>
      </c>
      <c r="F70" s="189" t="s">
        <v>104</v>
      </c>
      <c r="G70" s="189" t="s">
        <v>105</v>
      </c>
      <c r="H70" s="189" t="s">
        <v>106</v>
      </c>
      <c r="I70" s="189" t="s">
        <v>107</v>
      </c>
      <c r="J70" s="189" t="s">
        <v>108</v>
      </c>
      <c r="K70" s="189" t="s">
        <v>109</v>
      </c>
      <c r="L70" s="189" t="s">
        <v>110</v>
      </c>
      <c r="M70" s="189" t="s">
        <v>111</v>
      </c>
      <c r="N70" s="189" t="s">
        <v>112</v>
      </c>
      <c r="O70" s="189" t="s">
        <v>113</v>
      </c>
    </row>
    <row r="71" spans="1:15" hidden="1" x14ac:dyDescent="0.2">
      <c r="A71" s="3"/>
      <c r="B71" s="59" t="str">
        <f>B69</f>
        <v>5 mart 2026 y.</v>
      </c>
      <c r="C71" s="184" t="s">
        <v>114</v>
      </c>
      <c r="D71" s="189" t="s">
        <v>115</v>
      </c>
      <c r="F71" s="189" t="s">
        <v>104</v>
      </c>
      <c r="G71" s="189" t="s">
        <v>105</v>
      </c>
      <c r="H71" s="189" t="s">
        <v>106</v>
      </c>
      <c r="I71" s="189" t="s">
        <v>107</v>
      </c>
      <c r="J71" s="189" t="s">
        <v>108</v>
      </c>
      <c r="K71" s="189" t="s">
        <v>109</v>
      </c>
      <c r="L71" s="189" t="s">
        <v>110</v>
      </c>
      <c r="M71" s="189" t="s">
        <v>111</v>
      </c>
      <c r="N71" s="189" t="s">
        <v>112</v>
      </c>
      <c r="O71" s="189" t="s">
        <v>113</v>
      </c>
    </row>
    <row r="72" spans="1:15" hidden="1" x14ac:dyDescent="0.2">
      <c r="A72" s="3" t="s">
        <v>103</v>
      </c>
      <c r="B72" s="58" t="str">
        <f>""&amp;F66&amp;" "&amp;D66&amp;" "&amp;G66&amp;" y."</f>
        <v>5 sentabr 2028 y.</v>
      </c>
    </row>
    <row r="73" spans="1:15" hidden="1" x14ac:dyDescent="0.2">
      <c r="A73" s="3"/>
      <c r="B73" s="58" t="str">
        <f>""&amp;F66&amp;" "&amp;I66&amp;" "&amp;G66&amp;" y."</f>
        <v>5 sentabr 2028 y.</v>
      </c>
    </row>
    <row r="74" spans="1:15" ht="15.75" hidden="1" thickBot="1" x14ac:dyDescent="0.25">
      <c r="A74" s="3" t="s">
        <v>116</v>
      </c>
      <c r="B74" s="1" t="str">
        <f>""&amp;B68&amp;"dan "&amp;B66&amp;""</f>
        <v>5 mart 2026 y.dan №194-TR</v>
      </c>
    </row>
    <row r="75" spans="1:15" x14ac:dyDescent="0.2">
      <c r="A75" s="3" t="str">
        <f>CONCATENATE(B65," miqdori (summasi)")</f>
        <v>mikroqarz miqdori (summasi)</v>
      </c>
      <c r="B75" s="68">
        <v>60000000</v>
      </c>
      <c r="C75" s="202" t="s">
        <v>122</v>
      </c>
    </row>
    <row r="76" spans="1:15" x14ac:dyDescent="0.2">
      <c r="A76" s="151" t="s">
        <v>117</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oltmish million so'm</v>
      </c>
      <c r="C76" s="20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Oltmish million so'm</v>
      </c>
    </row>
    <row r="77" spans="1:15" x14ac:dyDescent="0.2">
      <c r="A77" s="3" t="s">
        <v>118</v>
      </c>
      <c r="B77" s="49" t="s">
        <v>123</v>
      </c>
      <c r="C77" s="184" t="s">
        <v>124</v>
      </c>
      <c r="D77" s="189" t="s">
        <v>123</v>
      </c>
    </row>
    <row r="78" spans="1:15" x14ac:dyDescent="0.2">
      <c r="A78" s="3" t="str">
        <f>CONCATENATE(B65,"ni to'lash sanasi (14.10.2011)")</f>
        <v>mikroqarzni to'lash sanasi (14.10.2011)</v>
      </c>
      <c r="B78" s="49">
        <v>5</v>
      </c>
      <c r="C78" s="201">
        <f>DATE(YEAR(B67),MONTH(B67)+1,DAY(B78))</f>
        <v>46117</v>
      </c>
      <c r="D78" s="189" t="s">
        <v>25</v>
      </c>
      <c r="F78" s="189" t="s">
        <v>26</v>
      </c>
      <c r="G78" s="189" t="s">
        <v>27</v>
      </c>
      <c r="H78" s="189" t="s">
        <v>28</v>
      </c>
      <c r="I78" s="189" t="s">
        <v>29</v>
      </c>
      <c r="J78" s="189" t="s">
        <v>30</v>
      </c>
      <c r="K78" s="189" t="s">
        <v>31</v>
      </c>
    </row>
    <row r="79" spans="1:15" x14ac:dyDescent="0.25">
      <c r="A79" s="3" t="str">
        <f>CONCATENATE(B65,"ni to'lash sanasi (14.10.2011 y.) QO’L BILAN KIRITILADI")</f>
        <v>mikroqarzni to'lash sanasi (14.10.2011 y.) QO’L BILAN KIRITILADI</v>
      </c>
      <c r="B79" s="78">
        <f>DATE(YEAR(B67),MONTH(B67)+1,DAY(B78+C80))</f>
        <v>46118</v>
      </c>
      <c r="C79" s="204" t="str">
        <f>TEXT(C78,"ддд")</f>
        <v>Вс</v>
      </c>
      <c r="D79" s="189" t="s">
        <v>25</v>
      </c>
      <c r="F79" s="189" t="s">
        <v>26</v>
      </c>
      <c r="G79" s="189" t="s">
        <v>27</v>
      </c>
      <c r="H79" s="189" t="s">
        <v>28</v>
      </c>
      <c r="I79" s="189" t="s">
        <v>29</v>
      </c>
      <c r="J79" s="189" t="s">
        <v>30</v>
      </c>
      <c r="K79" s="189" t="s">
        <v>31</v>
      </c>
    </row>
    <row r="80" spans="1:15" x14ac:dyDescent="0.2">
      <c r="A80" s="3" t="s">
        <v>119</v>
      </c>
      <c r="B80" s="79">
        <f>B79</f>
        <v>46118</v>
      </c>
      <c r="C80" s="184">
        <f>IF(C79=J79,2,IF(C79=K79,1,0))</f>
        <v>1</v>
      </c>
    </row>
    <row r="81" spans="1:64" x14ac:dyDescent="0.2">
      <c r="A81" s="3" t="str">
        <f>CONCATENATE(B65," muddati")</f>
        <v>mikroqarz muddati</v>
      </c>
      <c r="B81" s="49">
        <v>30</v>
      </c>
      <c r="C81" s="205">
        <v>6</v>
      </c>
      <c r="D81" s="103">
        <v>12</v>
      </c>
      <c r="E81" s="103">
        <v>16</v>
      </c>
      <c r="F81" s="103">
        <v>18</v>
      </c>
      <c r="G81" s="103">
        <v>24</v>
      </c>
      <c r="H81" s="189">
        <v>28</v>
      </c>
      <c r="I81" s="103">
        <v>30</v>
      </c>
      <c r="J81" s="103">
        <v>36</v>
      </c>
      <c r="K81" s="103"/>
      <c r="L81" s="103"/>
      <c r="M81" s="103">
        <v>48</v>
      </c>
      <c r="N81" s="103"/>
      <c r="O81" s="103"/>
      <c r="P81" s="103"/>
      <c r="Q81" s="103"/>
      <c r="R81" s="103"/>
      <c r="S81" s="103"/>
      <c r="T81" s="103"/>
      <c r="U81" s="103"/>
      <c r="V81" s="103"/>
    </row>
    <row r="82" spans="1:64" x14ac:dyDescent="0.2">
      <c r="A82" s="197" t="str">
        <f>CONCATENATE(B65," TEGILMASIN")</f>
        <v>mikroqarz TEGILMASIN</v>
      </c>
      <c r="B82" s="198" t="str">
        <f>IF(B81=C81,"olti",IF(B81=D81,"o'n ikki",IF(B81=E81,"o'n sakkiz",IF(B81=F81,"o'n sakkiz",IF(B81=G81,"yigirma to'rt",IF(B81=H81,"yigirma sakkiz",IF(B81=I81,"o'ttiz",IF(B81=J81,"o'ttiz olti",IF(B81=M81,"qirq sakkiz",0)))))))))</f>
        <v>o'ttiz</v>
      </c>
      <c r="C82" s="205" t="s">
        <v>391</v>
      </c>
      <c r="D82" s="103" t="s">
        <v>392</v>
      </c>
      <c r="E82" s="103" t="s">
        <v>378</v>
      </c>
      <c r="F82" s="103" t="s">
        <v>393</v>
      </c>
      <c r="G82" s="103" t="s">
        <v>394</v>
      </c>
      <c r="H82" s="189" t="s">
        <v>398</v>
      </c>
      <c r="I82" s="103" t="s">
        <v>399</v>
      </c>
      <c r="J82" s="103" t="s">
        <v>395</v>
      </c>
      <c r="K82" s="103"/>
      <c r="L82" s="103"/>
      <c r="M82" s="103" t="s">
        <v>405</v>
      </c>
      <c r="N82" s="103"/>
      <c r="O82" s="103"/>
      <c r="P82" s="103"/>
      <c r="Q82" s="103"/>
      <c r="R82" s="103"/>
      <c r="S82" s="103"/>
      <c r="T82" s="103"/>
      <c r="U82" s="103"/>
      <c r="V82" s="103"/>
    </row>
    <row r="83" spans="1:64" ht="30" x14ac:dyDescent="0.2">
      <c r="A83" s="172" t="s">
        <v>342</v>
      </c>
      <c r="B83" s="147">
        <v>0</v>
      </c>
      <c r="BK83" s="189">
        <v>1</v>
      </c>
      <c r="BL83" s="189">
        <v>0</v>
      </c>
    </row>
    <row r="84" spans="1:64" x14ac:dyDescent="0.2">
      <c r="A84" s="3" t="str">
        <f>CONCATENATE(B65," stavkasi")</f>
        <v>mikroqarz stavkasi</v>
      </c>
      <c r="B84" s="81">
        <v>0.55000000000000004</v>
      </c>
    </row>
    <row r="85" spans="1:64" x14ac:dyDescent="0.2">
      <c r="A85" s="3" t="str">
        <f>CONCATENATE(B65," stavkasi")</f>
        <v>mikroqarz stavkasi</v>
      </c>
      <c r="B85" s="82" t="s">
        <v>406</v>
      </c>
    </row>
    <row r="86" spans="1:64" x14ac:dyDescent="0.2">
      <c r="A86" s="3" t="str">
        <f>CONCATENATE(B65," stavkasi (so’z bilan)")</f>
        <v>mikroqarz stavkasi (so’z bilan)</v>
      </c>
      <c r="B86" s="80"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C8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row>
    <row r="87" spans="1:64" x14ac:dyDescent="0.2">
      <c r="A87" s="3" t="str">
        <f>CONCATENATE("Muddati o'tgan ",B65," bo’yicha stavka")</f>
        <v>Muddati o'tgan mikroqarz bo’yicha stavka</v>
      </c>
      <c r="B87" s="81">
        <v>1.55</v>
      </c>
    </row>
    <row r="88" spans="1:64" x14ac:dyDescent="0.2">
      <c r="A88" s="151" t="s">
        <v>117</v>
      </c>
      <c r="B88" s="82" t="s">
        <v>415</v>
      </c>
    </row>
    <row r="89" spans="1:64" x14ac:dyDescent="0.2">
      <c r="A89" s="3" t="str">
        <f>CONCATENATE("Muddati o'tgan ",B65," bo’yicha stavka")</f>
        <v>Muddati o'tgan mikroqarz bo’yicha stavka</v>
      </c>
      <c r="B89" s="49" t="s">
        <v>416</v>
      </c>
      <c r="C89" s="232" t="s">
        <v>416</v>
      </c>
      <c r="D89" s="233" t="s">
        <v>417</v>
      </c>
    </row>
    <row r="90" spans="1:64" x14ac:dyDescent="0.2">
      <c r="A90" s="3" t="s">
        <v>120</v>
      </c>
      <c r="B90" s="83">
        <f>IF(B77=C77,LARGE(График!F9:F26,1),ROUND(PMT(B84/12,B81,-B75,0),-3))</f>
        <v>3720000</v>
      </c>
    </row>
    <row r="91" spans="1:64" x14ac:dyDescent="0.2">
      <c r="A91" s="242" t="s">
        <v>121</v>
      </c>
      <c r="B91" s="242"/>
    </row>
    <row r="92" spans="1:64" ht="18" x14ac:dyDescent="0.2">
      <c r="A92" s="84"/>
      <c r="B92" s="140" t="s">
        <v>126</v>
      </c>
      <c r="C92" s="206" t="s">
        <v>126</v>
      </c>
      <c r="D92" s="189" t="s">
        <v>127</v>
      </c>
    </row>
    <row r="93" spans="1:64" ht="18" x14ac:dyDescent="0.2">
      <c r="A93" s="8" t="s">
        <v>132</v>
      </c>
      <c r="B93" s="140" t="s">
        <v>128</v>
      </c>
      <c r="C93" s="207" t="s">
        <v>128</v>
      </c>
      <c r="D93" s="189" t="s">
        <v>129</v>
      </c>
    </row>
    <row r="94" spans="1:64" ht="36" x14ac:dyDescent="0.2">
      <c r="A94" s="8" t="s">
        <v>133</v>
      </c>
      <c r="B94" s="140" t="s">
        <v>130</v>
      </c>
      <c r="C94" s="184" t="s">
        <v>130</v>
      </c>
      <c r="D94" s="189" t="s">
        <v>131</v>
      </c>
    </row>
    <row r="95" spans="1:64" ht="36" x14ac:dyDescent="0.2">
      <c r="A95" s="8" t="s">
        <v>134</v>
      </c>
      <c r="B95" s="140"/>
    </row>
    <row r="96" spans="1:64" ht="36" x14ac:dyDescent="0.2">
      <c r="A96" s="8" t="s">
        <v>135</v>
      </c>
      <c r="B96" s="140"/>
    </row>
    <row r="97" spans="1:4" x14ac:dyDescent="0.2">
      <c r="A97" s="242" t="s">
        <v>136</v>
      </c>
      <c r="B97" s="242"/>
    </row>
    <row r="98" spans="1:4" ht="36" x14ac:dyDescent="0.2">
      <c r="A98" s="8" t="s">
        <v>137</v>
      </c>
      <c r="B98" s="140"/>
    </row>
    <row r="99" spans="1:4" ht="36" x14ac:dyDescent="0.2">
      <c r="A99" s="8" t="s">
        <v>138</v>
      </c>
      <c r="B99" s="140"/>
    </row>
    <row r="100" spans="1:4" ht="18" x14ac:dyDescent="0.2">
      <c r="A100" s="8" t="s">
        <v>139</v>
      </c>
      <c r="B100" s="148"/>
    </row>
    <row r="101" spans="1:4" ht="18" x14ac:dyDescent="0.2">
      <c r="A101" s="8" t="s">
        <v>140</v>
      </c>
      <c r="B101" s="146"/>
    </row>
    <row r="102" spans="1:4" ht="18" hidden="1" x14ac:dyDescent="0.2">
      <c r="A102" s="8"/>
      <c r="B102" s="140" t="str">
        <f>TEXT(B101,"ДД.ММ.ГГГГ")</f>
        <v>00.01.1900</v>
      </c>
    </row>
    <row r="103" spans="1:4" ht="18" x14ac:dyDescent="0.2">
      <c r="A103" s="8"/>
      <c r="B103" s="9" t="s">
        <v>141</v>
      </c>
      <c r="C103" s="184" t="s">
        <v>141</v>
      </c>
      <c r="D103" s="189" t="s">
        <v>142</v>
      </c>
    </row>
    <row r="104" spans="1:4" ht="60" x14ac:dyDescent="0.2">
      <c r="A104" s="180" t="s">
        <v>344</v>
      </c>
      <c r="B104" s="179" t="s">
        <v>343</v>
      </c>
      <c r="C104" s="208" t="s">
        <v>142</v>
      </c>
    </row>
    <row r="105" spans="1:4" ht="30" x14ac:dyDescent="0.2">
      <c r="A105" s="171" t="s">
        <v>365</v>
      </c>
      <c r="B105" s="9"/>
      <c r="C105" s="208"/>
    </row>
    <row r="106" spans="1:4" ht="30" x14ac:dyDescent="0.2">
      <c r="A106" s="171" t="s">
        <v>366</v>
      </c>
      <c r="B106" s="9"/>
      <c r="C106" s="208"/>
    </row>
    <row r="107" spans="1:4" ht="60" x14ac:dyDescent="0.2">
      <c r="A107" s="171" t="str">
        <f>A113</f>
        <v>Tug’ilgan sanasi (01.10.2011 y.)</v>
      </c>
      <c r="B107" s="219"/>
      <c r="C107" s="208"/>
    </row>
    <row r="108" spans="1:4" ht="60" x14ac:dyDescent="0.2">
      <c r="A108" s="171" t="str">
        <f>A114</f>
        <v>Pasport seriyasi (СА №1234567)</v>
      </c>
      <c r="B108" s="9"/>
      <c r="C108" s="208"/>
    </row>
    <row r="109" spans="1:4" ht="150" x14ac:dyDescent="0.2">
      <c r="A109" s="171" t="str">
        <f>A115</f>
        <v xml:space="preserve">Kim va qachon berilgan
(Toshkent shahri Chilonzor IIB tomonidan 2011 yil __.____)
</v>
      </c>
      <c r="B109" s="9"/>
      <c r="C109" s="208"/>
    </row>
    <row r="110" spans="1:4" ht="150" x14ac:dyDescent="0.2">
      <c r="A110" s="171" t="str">
        <f>A116</f>
        <v xml:space="preserve">doimiy ro’yhatdan o’tgan joyi
(Toshkent sh., Mirobod tumani, Nukus ko’chasi, 1 uy, 1 honadon)
</v>
      </c>
      <c r="B110" s="9"/>
      <c r="C110" s="208"/>
    </row>
    <row r="111" spans="1:4" hidden="1" x14ac:dyDescent="0.2">
      <c r="A111" s="138" t="s">
        <v>154</v>
      </c>
      <c r="B111" s="129">
        <f t="shared" ref="B111:B114" si="0">B105</f>
        <v>0</v>
      </c>
      <c r="C111" s="209" t="str">
        <f>IF(B93="HA",B5,C105)</f>
        <v>BAYRAMGELDIYEV NURGELDI QODOMBOY O'G'LI</v>
      </c>
    </row>
    <row r="112" spans="1:4" hidden="1" x14ac:dyDescent="0.2">
      <c r="A112" s="138"/>
      <c r="B112" s="129">
        <f t="shared" si="0"/>
        <v>0</v>
      </c>
      <c r="C112" s="209" t="s">
        <v>396</v>
      </c>
    </row>
    <row r="113" spans="1:19" hidden="1" x14ac:dyDescent="0.2">
      <c r="A113" s="139" t="s">
        <v>155</v>
      </c>
      <c r="B113" s="170">
        <f t="shared" si="0"/>
        <v>0</v>
      </c>
      <c r="C113" s="209" t="str">
        <f>IF(B93="HA",B15,C107)</f>
        <v>10.09.1999 y</v>
      </c>
    </row>
    <row r="114" spans="1:19" hidden="1" x14ac:dyDescent="0.2">
      <c r="A114" s="139" t="s">
        <v>60</v>
      </c>
      <c r="B114" s="170">
        <f t="shared" si="0"/>
        <v>0</v>
      </c>
      <c r="C114" s="209" t="str">
        <f>IF(B93="HA",B16,C108)</f>
        <v>AE 6482058</v>
      </c>
    </row>
    <row r="115" spans="1:19" ht="45" hidden="1" x14ac:dyDescent="0.2">
      <c r="A115" s="139" t="s">
        <v>63</v>
      </c>
      <c r="B115" s="129">
        <f>B109</f>
        <v>0</v>
      </c>
      <c r="C115" s="209" t="str">
        <f>IF(B93="HA",B20,C109)</f>
        <v>IIV 35210 tomonidan 25.02.2026 yilda berilgan</v>
      </c>
      <c r="D115" s="189">
        <v>493193762</v>
      </c>
    </row>
    <row r="116" spans="1:19" ht="57" hidden="1" x14ac:dyDescent="0.2">
      <c r="A116" s="139" t="s">
        <v>65</v>
      </c>
      <c r="B116" s="129">
        <f>B110</f>
        <v>0</v>
      </c>
      <c r="C116" s="210" t="str">
        <f>IF(B93="HA",B22,C110)</f>
        <v>QORAQALPOG'ISTON RESPUBLIKASI ELLIKQAL'A TUMANI JASORAT MFY PAXTABIRLIK KO'CHASI 7-UY</v>
      </c>
    </row>
    <row r="117" spans="1:19" x14ac:dyDescent="0.2">
      <c r="A117" s="139" t="s">
        <v>156</v>
      </c>
      <c r="B117" s="222" t="str">
        <f>IF(B93="ha",B5,B111)</f>
        <v>BAYRAMGELDIYEV NURGELDI QODOMBOY O'G'LI</v>
      </c>
      <c r="C117" s="211" t="str">
        <f>IF(B93="ha",B5,C111)</f>
        <v>BAYRAMGELDIYEV NURGELDI QODOMBOY O'G'LI</v>
      </c>
    </row>
    <row r="118" spans="1:19" x14ac:dyDescent="0.2">
      <c r="A118" s="139"/>
      <c r="B118" s="222" t="str">
        <f>IF(B93="ha",B7,B112)</f>
        <v>BAYRAMGELDIYEV N.Q.</v>
      </c>
      <c r="C118" s="211" t="str">
        <f>IF(B93="ha",B7,C112)</f>
        <v>BAYRAMGELDIYEV N.Q.</v>
      </c>
    </row>
    <row r="119" spans="1:19" x14ac:dyDescent="0.2">
      <c r="A119" s="3" t="s">
        <v>155</v>
      </c>
      <c r="B119" s="222" t="str">
        <f>IF(B93="ha",B15,B113)</f>
        <v>10.09.1999 y</v>
      </c>
      <c r="C119" s="211" t="str">
        <f>IF(B93="ha",B15,C113)</f>
        <v>10.09.1999 y</v>
      </c>
    </row>
    <row r="120" spans="1:19" x14ac:dyDescent="0.2">
      <c r="A120" s="3" t="s">
        <v>60</v>
      </c>
      <c r="B120" s="222" t="str">
        <f>IF(B93="ha",B16,B114)</f>
        <v>AE 6482058</v>
      </c>
      <c r="C120" s="211" t="str">
        <f>IF(B93="ha",B16,C114)</f>
        <v>AE 6482058</v>
      </c>
    </row>
    <row r="121" spans="1:19" ht="45" x14ac:dyDescent="0.2">
      <c r="A121" s="3" t="s">
        <v>63</v>
      </c>
      <c r="B121" s="222" t="str">
        <f>IF(B93="ha",B20,B115)</f>
        <v>IIV 35210 tomonidan 25.02.2026 yilda berilgan</v>
      </c>
      <c r="C121" s="211" t="str">
        <f>IF(B93="ha",B20,C115)</f>
        <v>IIV 35210 tomonidan 25.02.2026 yilda berilgan</v>
      </c>
    </row>
    <row r="122" spans="1:19" ht="57" x14ac:dyDescent="0.2">
      <c r="A122" s="3" t="s">
        <v>65</v>
      </c>
      <c r="B122" s="223" t="str">
        <f>IF(B93="ha",B22,B116)</f>
        <v>QORAQALPOG'ISTON RESPUBLIKASI ELLIKQAL'A TUMANI JASORAT MFY PAXTABIRLIK KO'CHASI 7-UY</v>
      </c>
      <c r="C122" s="212" t="str">
        <f>IF(B93="ha",B22,C116)</f>
        <v>QORAQALPOG'ISTON RESPUBLIKASI ELLIKQAL'A TUMANI JASORAT MFY PAXTABIRLIK KO'CHASI 7-UY</v>
      </c>
    </row>
    <row r="123" spans="1:19" ht="57" x14ac:dyDescent="0.2">
      <c r="A123" s="3" t="s">
        <v>157</v>
      </c>
      <c r="B123" s="49" t="s">
        <v>431</v>
      </c>
      <c r="C123" s="213" t="s">
        <v>43</v>
      </c>
      <c r="O123" s="189" t="str">
        <f>IF(B103=C103,B117,IF(B103=D103,C117,0))</f>
        <v>BAYRAMGELDIYEV NURGELDI QODOMBOY O'G'LI</v>
      </c>
    </row>
    <row r="124" spans="1:19" ht="45" x14ac:dyDescent="0.2">
      <c r="A124" s="3" t="s">
        <v>158</v>
      </c>
      <c r="B124" s="49" t="s">
        <v>432</v>
      </c>
      <c r="C124" s="211" t="s">
        <v>373</v>
      </c>
      <c r="D124" s="190" t="s">
        <v>147</v>
      </c>
      <c r="E124" s="190"/>
      <c r="R124" s="189" t="str">
        <f>""&amp;B95&amp;" (по генеральному доверенестью №"&amp;B100&amp;" от "&amp;B102&amp;")"</f>
        <v xml:space="preserve"> (по генеральному доверенестью № от 00.01.1900)</v>
      </c>
      <c r="S124" s="189" t="str">
        <f>""&amp;B95&amp;" ("&amp;B102&amp;"y. sanasidagi reestr raqami №"&amp;B100&amp;" bo'lgan Ishonchnomaga asosan)"</f>
        <v xml:space="preserve"> (00.01.1900y. sanasidagi reestr raqami № bo'lgan Ishonchnomaga asosan)</v>
      </c>
    </row>
    <row r="125" spans="1:19" ht="30" x14ac:dyDescent="0.2">
      <c r="A125" s="3" t="s">
        <v>159</v>
      </c>
      <c r="B125" s="49" t="s">
        <v>433</v>
      </c>
      <c r="C125" s="212" t="str">
        <f>""&amp;D126&amp;" "&amp;IF(C129=D129,"- xonali yakka tartibdagi uy-joy", IF(C129=F129,"-  xonali ko'p qavatli uydagi xonadon",0))&amp;""</f>
        <v>3 - xonali yakka tartibdagi uy-joy</v>
      </c>
      <c r="D125" s="191" t="s">
        <v>145</v>
      </c>
      <c r="E125" s="192"/>
      <c r="F125" s="189" t="str">
        <f>IF($C$129=$D$129,J125,IF($C$129=$F$129,I125,0))</f>
        <v>3 - xonali yakka tartibdagi uy-joy</v>
      </c>
      <c r="G125" s="189" t="str">
        <f>IF($C$129=$D$129,J125,IF($C$129=$F$129,I125,0))</f>
        <v>3 - xonali yakka tartibdagi uy-joy</v>
      </c>
      <c r="I125" s="189" t="str">
        <f>"Ko'p qavatli uydagi "&amp;D126&amp;" - xonali xonadon"</f>
        <v>Ko'p qavatli uydagi 3 - xonali xonadon</v>
      </c>
      <c r="J125" s="189" t="str">
        <f>""&amp;D126&amp;" - xonali yakka tartibdagi uy-joy"</f>
        <v>3 - xonali yakka tartibdagi uy-joy</v>
      </c>
      <c r="O125" s="189" t="str">
        <f>IF(B93=C93,R126,IF(B93=D93,R125,0))</f>
        <v>Микрофинансовой организацией и Заемщиком</v>
      </c>
      <c r="R125" s="189" t="str">
        <f>"Микрофинансовой организацией, Заемщиком и "&amp;IF(B94=D94,R124,IF(B94=C94,B111,0))&amp;""</f>
        <v>Микрофинансовой организацией, Заемщиком и 0</v>
      </c>
      <c r="S125" s="189" t="str">
        <f>"Mikromoliya tashkiloti, Qarz oluvchi va "&amp;IF(B94=D94,S124,IF(B94=C94,B111))&amp;""</f>
        <v>Mikromoliya tashkiloti, Qarz oluvchi va 0</v>
      </c>
    </row>
    <row r="126" spans="1:19" x14ac:dyDescent="0.2">
      <c r="A126" s="3" t="s">
        <v>160</v>
      </c>
      <c r="B126" s="230" t="s">
        <v>434</v>
      </c>
      <c r="C126" s="212" t="str">
        <f>C125</f>
        <v>3 - xonali yakka tartibdagi uy-joy</v>
      </c>
      <c r="D126" s="193">
        <v>3</v>
      </c>
      <c r="E126" s="192"/>
      <c r="F126" s="189" t="str">
        <f>IF($C$129=$D$129,J126,IF($C$129=$F$129,I126,0))</f>
        <v>yer uchastkasi maydoni - , umumiy maydoni - 72,13, yashash maydoni - 37,39</v>
      </c>
      <c r="G126" s="189" t="str">
        <f>IF($C$129=$D$129,J126,IF($C$129=$F$129,I126,0))</f>
        <v>yer uchastkasi maydoni - , umumiy maydoni - 72,13, yashash maydoni - 37,39</v>
      </c>
      <c r="I126" s="189" t="str">
        <f>"umumiy maydoni - "&amp;C130&amp;", yashash maydoni - "&amp;C133&amp;""</f>
        <v>umumiy maydoni - 72,13, yashash maydoni - 37,39</v>
      </c>
      <c r="J126" s="189" t="str">
        <f>"yer uchastkasi maydoni - "&amp;C131&amp;", umumiy maydoni - "&amp;C130&amp;", yashash maydoni - "&amp;C133&amp;""</f>
        <v>yer uchastkasi maydoni - , umumiy maydoni - 72,13, yashash maydoni - 37,39</v>
      </c>
      <c r="O126" s="189" t="str">
        <f>IF(B93=C93,S126,IF(B93=D93,S125,0))</f>
        <v>Mikromoliya tashkiloti va Qarz oluvchi</v>
      </c>
      <c r="R126" s="189" t="s">
        <v>47</v>
      </c>
      <c r="S126" s="189" t="s">
        <v>146</v>
      </c>
    </row>
    <row r="127" spans="1:19" ht="28.5" hidden="1" x14ac:dyDescent="0.2">
      <c r="A127" s="3" t="s">
        <v>161</v>
      </c>
      <c r="B127" s="76" t="str">
        <f>"kuzov turi - "&amp;B128&amp;", kuzov raqami "&amp;B129&amp;""</f>
        <v>kuzov turi - YENGIL SEDAN, kuzov raqami XWBJF69VEMA215312</v>
      </c>
      <c r="C127" s="211" t="s">
        <v>372</v>
      </c>
      <c r="D127" s="190" t="s">
        <v>374</v>
      </c>
      <c r="E127" s="190"/>
    </row>
    <row r="128" spans="1:19" x14ac:dyDescent="0.2">
      <c r="A128" s="69" t="s">
        <v>162</v>
      </c>
      <c r="B128" s="49" t="s">
        <v>411</v>
      </c>
      <c r="C128" s="214"/>
    </row>
    <row r="129" spans="1:7" ht="28.5" customHeight="1" x14ac:dyDescent="0.2">
      <c r="A129" s="69" t="s">
        <v>163</v>
      </c>
      <c r="B129" s="49" t="s">
        <v>435</v>
      </c>
      <c r="C129" s="215" t="s">
        <v>148</v>
      </c>
      <c r="D129" s="189" t="s">
        <v>148</v>
      </c>
      <c r="F129" s="189" t="s">
        <v>149</v>
      </c>
    </row>
    <row r="130" spans="1:7" ht="28.5" hidden="1" x14ac:dyDescent="0.25">
      <c r="A130" s="3" t="s">
        <v>164</v>
      </c>
      <c r="B130" s="76" t="str">
        <f>"dvigatel raqami "&amp;B131&amp;", shassi raqami - "&amp;B132&amp;""</f>
        <v>dvigatel raqami B15D2T13210582DJCX0088, shassi raqami - RAKAMSIZ</v>
      </c>
      <c r="C130" s="215">
        <v>72.13</v>
      </c>
      <c r="D130" s="194" t="s">
        <v>150</v>
      </c>
      <c r="E130" s="194"/>
      <c r="F130" s="189" t="str">
        <f>CONCATENATE(C130," ","kv.m")</f>
        <v>72,13 kv.m</v>
      </c>
      <c r="G130" s="195">
        <f>C130-C133</f>
        <v>34.739999999999995</v>
      </c>
    </row>
    <row r="131" spans="1:7" x14ac:dyDescent="0.25">
      <c r="A131" s="69" t="s">
        <v>165</v>
      </c>
      <c r="B131" s="85" t="s">
        <v>436</v>
      </c>
      <c r="C131" s="215"/>
      <c r="D131" s="194" t="s">
        <v>151</v>
      </c>
      <c r="E131" s="194"/>
    </row>
    <row r="132" spans="1:7" x14ac:dyDescent="0.2">
      <c r="A132" s="69" t="s">
        <v>166</v>
      </c>
      <c r="B132" s="49" t="s">
        <v>412</v>
      </c>
      <c r="C132" s="215"/>
    </row>
    <row r="133" spans="1:7" ht="25.5" hidden="1" customHeight="1" x14ac:dyDescent="0.25">
      <c r="A133" s="3" t="s">
        <v>167</v>
      </c>
      <c r="B133" s="76" t="str">
        <f>"rangi -  "&amp;B134&amp;", ishlab chiqarilgan yili - "&amp;B135&amp;""</f>
        <v>rangi -  OQ GAZ, ishlab chiqarilgan yili - 2021</v>
      </c>
      <c r="C133" s="216" t="s">
        <v>371</v>
      </c>
      <c r="D133" s="194" t="s">
        <v>247</v>
      </c>
      <c r="E133" s="194"/>
      <c r="F133" s="189" t="str">
        <f>CONCATENATE(C133," ","kv.m")</f>
        <v>37,39 kv.m</v>
      </c>
    </row>
    <row r="134" spans="1:7" x14ac:dyDescent="0.2">
      <c r="A134" s="69" t="s">
        <v>168</v>
      </c>
      <c r="B134" s="49" t="s">
        <v>437</v>
      </c>
      <c r="C134" s="215"/>
    </row>
    <row r="135" spans="1:7" x14ac:dyDescent="0.25">
      <c r="A135" s="69" t="s">
        <v>169</v>
      </c>
      <c r="B135" s="57" t="s">
        <v>438</v>
      </c>
      <c r="C135" s="214">
        <v>44181</v>
      </c>
      <c r="D135" s="196" t="s">
        <v>375</v>
      </c>
      <c r="E135" s="196"/>
    </row>
    <row r="136" spans="1:7" hidden="1" x14ac:dyDescent="0.25">
      <c r="A136" s="3" t="s">
        <v>170</v>
      </c>
      <c r="B136" s="21">
        <f>B75*1.4</f>
        <v>84000000</v>
      </c>
      <c r="C136" s="217">
        <f>B136</f>
        <v>84000000</v>
      </c>
      <c r="D136" s="194" t="s">
        <v>170</v>
      </c>
      <c r="E136" s="194"/>
    </row>
    <row r="137" spans="1:7" ht="23.25" hidden="1" x14ac:dyDescent="0.2">
      <c r="A137" s="177"/>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sakson to'rt million so'm</v>
      </c>
      <c r="C137" s="217" t="str">
        <f>B137</f>
        <v>sakson to'rt million so'm</v>
      </c>
    </row>
    <row r="138" spans="1:7" hidden="1" x14ac:dyDescent="0.2">
      <c r="A138" s="3"/>
      <c r="B138" s="149" t="str">
        <f>B137</f>
        <v>sakson to'rt million so'm</v>
      </c>
      <c r="C138" s="218"/>
    </row>
    <row r="139" spans="1:7" ht="20.25" x14ac:dyDescent="0.2">
      <c r="A139" s="3" t="s">
        <v>341</v>
      </c>
      <c r="B139" s="52">
        <v>66389</v>
      </c>
    </row>
    <row r="140" spans="1:7" x14ac:dyDescent="0.2">
      <c r="A140" s="3" t="s">
        <v>367</v>
      </c>
      <c r="B140" s="49">
        <v>2</v>
      </c>
    </row>
    <row r="141" spans="1:7" x14ac:dyDescent="0.2">
      <c r="A141" s="3" t="s">
        <v>152</v>
      </c>
      <c r="B141" s="2" t="s">
        <v>143</v>
      </c>
      <c r="C141" s="184">
        <v>1</v>
      </c>
    </row>
    <row r="142" spans="1:7" x14ac:dyDescent="0.2">
      <c r="A142" s="3" t="s">
        <v>153</v>
      </c>
      <c r="B142" s="4" t="str">
        <f>B70</f>
        <v>5 mart 2026 y.</v>
      </c>
      <c r="C142" s="184" t="str">
        <f>B70</f>
        <v>5 mart 2026 y.</v>
      </c>
    </row>
    <row r="143" spans="1:7" x14ac:dyDescent="0.2">
      <c r="A143" s="3"/>
      <c r="B143" s="1">
        <f>YEAR(B67)</f>
        <v>2026</v>
      </c>
    </row>
    <row r="144" spans="1:7" x14ac:dyDescent="0.2">
      <c r="A144" s="3"/>
      <c r="B144" s="152" t="str">
        <f>D67</f>
        <v>mart</v>
      </c>
    </row>
    <row r="145" spans="1:2" x14ac:dyDescent="0.2">
      <c r="A145" s="3"/>
      <c r="B145" s="1">
        <f>DAY(B67)</f>
        <v>5</v>
      </c>
    </row>
    <row r="146" spans="1:2" x14ac:dyDescent="0.2">
      <c r="A146" s="242" t="s">
        <v>348</v>
      </c>
      <c r="B146" s="242"/>
    </row>
    <row r="147" spans="1:2" x14ac:dyDescent="0.2">
      <c r="A147" s="3" t="s">
        <v>171</v>
      </c>
      <c r="B147" s="1" t="s">
        <v>379</v>
      </c>
    </row>
    <row r="148" spans="1:2" x14ac:dyDescent="0.2">
      <c r="A148" s="3"/>
      <c r="B148" s="1" t="s">
        <v>379</v>
      </c>
    </row>
    <row r="149" spans="1:2" x14ac:dyDescent="0.2">
      <c r="A149" s="3"/>
      <c r="B149" s="1" t="s">
        <v>379</v>
      </c>
    </row>
    <row r="150" spans="1:2" x14ac:dyDescent="0.25">
      <c r="A150" s="3" t="s">
        <v>400</v>
      </c>
      <c r="B150" s="15" t="s">
        <v>402</v>
      </c>
    </row>
    <row r="151" spans="1:2" x14ac:dyDescent="0.2">
      <c r="A151" s="3"/>
      <c r="B151" s="1" t="s">
        <v>401</v>
      </c>
    </row>
    <row r="152" spans="1:2" x14ac:dyDescent="0.2">
      <c r="A152" s="3" t="s">
        <v>173</v>
      </c>
      <c r="B152" s="1" t="s">
        <v>172</v>
      </c>
    </row>
    <row r="153" spans="1:2" ht="28.5" x14ac:dyDescent="0.2">
      <c r="A153" s="3" t="s">
        <v>174</v>
      </c>
      <c r="B153" s="1" t="s">
        <v>381</v>
      </c>
    </row>
    <row r="154" spans="1:2" x14ac:dyDescent="0.2">
      <c r="A154" s="3" t="s">
        <v>175</v>
      </c>
      <c r="B154" s="1" t="s">
        <v>382</v>
      </c>
    </row>
    <row r="155" spans="1:2" x14ac:dyDescent="0.2">
      <c r="A155" s="3" t="s">
        <v>176</v>
      </c>
      <c r="B155" s="1" t="s">
        <v>383</v>
      </c>
    </row>
    <row r="156" spans="1:2" x14ac:dyDescent="0.2">
      <c r="A156" s="3" t="s">
        <v>177</v>
      </c>
      <c r="B156" s="1" t="s">
        <v>384</v>
      </c>
    </row>
    <row r="157" spans="1:2" x14ac:dyDescent="0.2">
      <c r="A157" s="3" t="s">
        <v>178</v>
      </c>
      <c r="B157" s="2" t="s">
        <v>385</v>
      </c>
    </row>
    <row r="158" spans="1:2" x14ac:dyDescent="0.2">
      <c r="A158" s="3" t="s">
        <v>179</v>
      </c>
      <c r="B158" s="1" t="s">
        <v>380</v>
      </c>
    </row>
    <row r="159" spans="1:2" x14ac:dyDescent="0.2">
      <c r="A159" s="3" t="s">
        <v>377</v>
      </c>
      <c r="B159" s="1" t="s">
        <v>409</v>
      </c>
    </row>
    <row r="160" spans="1:2" x14ac:dyDescent="0.2">
      <c r="A160" s="3" t="s">
        <v>420</v>
      </c>
      <c r="B160" s="229" t="s">
        <v>418</v>
      </c>
    </row>
    <row r="161" spans="1:2" x14ac:dyDescent="0.2">
      <c r="A161" s="3" t="s">
        <v>403</v>
      </c>
      <c r="B161" s="1" t="s">
        <v>413</v>
      </c>
    </row>
    <row r="162" spans="1:2" x14ac:dyDescent="0.2">
      <c r="A162" s="3" t="s">
        <v>180</v>
      </c>
      <c r="B162" s="2" t="s">
        <v>386</v>
      </c>
    </row>
    <row r="163" spans="1:2" x14ac:dyDescent="0.2">
      <c r="A163" s="3" t="s">
        <v>181</v>
      </c>
      <c r="B163" s="2" t="s">
        <v>387</v>
      </c>
    </row>
    <row r="164" spans="1:2" x14ac:dyDescent="0.2">
      <c r="A164" s="3" t="s">
        <v>182</v>
      </c>
      <c r="B164" s="1" t="str">
        <f>B1</f>
        <v>№194-TR</v>
      </c>
    </row>
    <row r="165" spans="1:2" x14ac:dyDescent="0.2">
      <c r="A165" s="3" t="s">
        <v>183</v>
      </c>
      <c r="B165" s="4" t="str">
        <f>B70</f>
        <v>5 mart 2026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200-000000000000}">
      <formula1>$C$30:$D$30</formula1>
    </dataValidation>
    <dataValidation type="list" allowBlank="1" showInputMessage="1" showErrorMessage="1" sqref="B93" xr:uid="{00000000-0002-0000-0200-000001000000}">
      <formula1>$C$93:$D$93</formula1>
    </dataValidation>
    <dataValidation type="list" allowBlank="1" showInputMessage="1" showErrorMessage="1" sqref="B103" xr:uid="{00000000-0002-0000-0200-000002000000}">
      <formula1>$C$103:$D$103</formula1>
    </dataValidation>
    <dataValidation type="list" allowBlank="1" showInputMessage="1" showErrorMessage="1" sqref="B77" xr:uid="{00000000-0002-0000-0200-000003000000}">
      <formula1>$C$77:$D$77</formula1>
    </dataValidation>
    <dataValidation type="list" allowBlank="1" showInputMessage="1" showErrorMessage="1" sqref="C129" xr:uid="{00000000-0002-0000-0200-000004000000}">
      <formula1>$D$129:$F$129</formula1>
    </dataValidation>
    <dataValidation type="list" allowBlank="1" showInputMessage="1" showErrorMessage="1" sqref="B92" xr:uid="{00000000-0002-0000-0200-000005000000}">
      <formula1>$C$92:$D$92</formula1>
    </dataValidation>
    <dataValidation type="list" allowBlank="1" showInputMessage="1" showErrorMessage="1" sqref="B94" xr:uid="{00000000-0002-0000-0200-000006000000}">
      <formula1>$C$94:$D$94</formula1>
    </dataValidation>
    <dataValidation type="list" allowBlank="1" showInputMessage="1" showErrorMessage="1" sqref="B23" xr:uid="{00000000-0002-0000-0200-000007000000}">
      <formula1>$C$23:$D$23</formula1>
    </dataValidation>
    <dataValidation type="list" allowBlank="1" showInputMessage="1" showErrorMessage="1" sqref="B29" xr:uid="{00000000-0002-0000-0200-000008000000}">
      <formula1>$C$29:$G$29</formula1>
    </dataValidation>
    <dataValidation type="list" allowBlank="1" showInputMessage="1" showErrorMessage="1" sqref="B24" xr:uid="{00000000-0002-0000-0200-000009000000}">
      <formula1>$C$24:$D$24</formula1>
    </dataValidation>
    <dataValidation type="list" allowBlank="1" showInputMessage="1" showErrorMessage="1" sqref="B83" xr:uid="{00000000-0002-0000-0200-00000A000000}">
      <formula1>$BK$83:$BL$83</formula1>
    </dataValidation>
    <dataValidation type="list" allowBlank="1" showInputMessage="1" showErrorMessage="1" sqref="B6" xr:uid="{00000000-0002-0000-0200-00000B000000}">
      <formula1>$C$6:$D$6</formula1>
    </dataValidation>
    <dataValidation type="list" allowBlank="1" showInputMessage="1" showErrorMessage="1" sqref="B44" xr:uid="{00000000-0002-0000-0200-00000C000000}">
      <formula1>$C$44:$D$44</formula1>
    </dataValidation>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8">
    <tabColor theme="1"/>
  </sheetPr>
  <dimension ref="A1:H76"/>
  <sheetViews>
    <sheetView view="pageBreakPreview" topLeftCell="A25" zoomScaleSheetLayoutView="100" workbookViewId="0">
      <selection activeCell="F55" sqref="F55"/>
    </sheetView>
  </sheetViews>
  <sheetFormatPr defaultColWidth="9.140625" defaultRowHeight="15" outlineLevelCol="1" x14ac:dyDescent="0.25"/>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x14ac:dyDescent="0.25">
      <c r="A1" s="37"/>
      <c r="B1" s="37"/>
      <c r="C1" s="37"/>
      <c r="D1" s="37"/>
      <c r="E1" s="253" t="s">
        <v>15</v>
      </c>
      <c r="F1" s="253"/>
    </row>
    <row r="2" spans="1:8" x14ac:dyDescent="0.25">
      <c r="A2" s="37"/>
      <c r="B2" s="37"/>
      <c r="C2" s="37"/>
      <c r="D2" s="37"/>
      <c r="E2" s="37"/>
      <c r="F2" s="38" t="str">
        <f>"к договору микрозайма "&amp;'Общие данные'!B74&amp;""</f>
        <v>к договору микрозайма 5 mart 2026 y.dan №194-TR</v>
      </c>
    </row>
    <row r="3" spans="1:8" ht="6.75" customHeight="1" x14ac:dyDescent="0.25">
      <c r="A3" s="37"/>
      <c r="B3" s="37"/>
      <c r="C3" s="37"/>
      <c r="D3" s="37"/>
      <c r="E3" s="37"/>
      <c r="F3" s="37"/>
    </row>
    <row r="4" spans="1:8" x14ac:dyDescent="0.25">
      <c r="A4" s="254" t="s">
        <v>16</v>
      </c>
      <c r="B4" s="254"/>
      <c r="C4" s="254"/>
      <c r="D4" s="254"/>
      <c r="E4" s="254"/>
      <c r="F4" s="254"/>
    </row>
    <row r="5" spans="1:8" ht="7.5" customHeight="1" x14ac:dyDescent="0.25"/>
    <row r="6" spans="1:8" x14ac:dyDescent="0.25">
      <c r="A6" s="255" t="s">
        <v>14</v>
      </c>
      <c r="B6" s="256" t="s">
        <v>8</v>
      </c>
      <c r="C6" s="256" t="s">
        <v>9</v>
      </c>
      <c r="D6" s="257" t="s">
        <v>10</v>
      </c>
      <c r="E6" s="257"/>
      <c r="F6" s="257"/>
    </row>
    <row r="7" spans="1:8" s="16" customFormat="1" x14ac:dyDescent="0.25">
      <c r="A7" s="255"/>
      <c r="B7" s="256"/>
      <c r="C7" s="256"/>
      <c r="D7" s="17" t="s">
        <v>11</v>
      </c>
      <c r="E7" s="17" t="s">
        <v>12</v>
      </c>
      <c r="F7" s="17" t="s">
        <v>13</v>
      </c>
    </row>
    <row r="8" spans="1:8" x14ac:dyDescent="0.25">
      <c r="A8" s="18">
        <v>1</v>
      </c>
      <c r="B8" s="33">
        <f>'График дифференц'!B8</f>
        <v>46118</v>
      </c>
      <c r="C8" s="34">
        <f>'Общие данные'!B75</f>
        <v>60000000</v>
      </c>
      <c r="D8" s="34">
        <f>IF(A8&lt;'Общие данные'!$B$81,'График аннуитет.'!F8-'График аннуитет.'!E8,'График аннуитет.'!C8)</f>
        <v>826849.2799999998</v>
      </c>
      <c r="E8" s="34">
        <f>ROUND(C8*'Общие данные'!$B$84/H8,2)*'График аннуитет.'!G8</f>
        <v>2893150.72</v>
      </c>
      <c r="F8" s="34">
        <f>'Общие данные'!B90</f>
        <v>3720000</v>
      </c>
      <c r="G8" s="15">
        <f>B8-'Общие данные'!B67</f>
        <v>32</v>
      </c>
      <c r="H8" s="15">
        <f>DATE(YEAR(B8),12,31)-DATE(YEAR(B8),1,1)+1</f>
        <v>365</v>
      </c>
    </row>
    <row r="9" spans="1:8" x14ac:dyDescent="0.25">
      <c r="A9" s="18">
        <v>2</v>
      </c>
      <c r="B9" s="33">
        <f>'График дифференц'!B9</f>
        <v>46147</v>
      </c>
      <c r="C9" s="34">
        <f t="shared" ref="C9:C30" si="0">C8-D8</f>
        <v>59173150.719999999</v>
      </c>
      <c r="D9" s="34">
        <f>IF(A9&lt;'Общие данные'!$B$81,'График аннуитет.'!F9-'График аннуитет.'!E9,'График аннуитет.'!C9)</f>
        <v>1134214.42</v>
      </c>
      <c r="E9" s="34">
        <f>ROUND(C9*'Общие данные'!$B$84/H9,2)*'График аннуитет.'!G9</f>
        <v>2585785.58</v>
      </c>
      <c r="F9" s="34">
        <f>IF(A9&lt;'Общие данные'!$B$81,'График аннуитет.'!F8,'График аннуитет.'!D9+'График аннуитет.'!E9)</f>
        <v>3720000</v>
      </c>
      <c r="G9" s="15">
        <f>B9-B8</f>
        <v>29</v>
      </c>
      <c r="H9" s="15">
        <f t="shared" ref="H9:H31" si="1">DATE(YEAR(B9),12,31)-DATE(YEAR(B9),1,1)+1</f>
        <v>365</v>
      </c>
    </row>
    <row r="10" spans="1:8" x14ac:dyDescent="0.25">
      <c r="A10" s="18">
        <v>3</v>
      </c>
      <c r="B10" s="33">
        <f>'График дифференц'!B10</f>
        <v>46178</v>
      </c>
      <c r="C10" s="34">
        <f t="shared" si="0"/>
        <v>58038936.299999997</v>
      </c>
      <c r="D10" s="34">
        <f>IF(A10&lt;'Общие данные'!$B$81,'График аннуитет.'!F10-'График аннуитет.'!E10,'График аннуитет.'!C10)</f>
        <v>1008866.1700000004</v>
      </c>
      <c r="E10" s="34">
        <f>ROUND(C10*'Общие данные'!$B$84/H10,2)*'График аннуитет.'!G10</f>
        <v>2711133.8299999996</v>
      </c>
      <c r="F10" s="34">
        <f>IF(A10&lt;'Общие данные'!$B$81,'График аннуитет.'!F9,'График аннуитет.'!D10+'График аннуитет.'!E10)</f>
        <v>3720000</v>
      </c>
      <c r="G10" s="15">
        <f t="shared" ref="G10:G24" si="2">B10-B9</f>
        <v>31</v>
      </c>
      <c r="H10" s="15">
        <f t="shared" si="1"/>
        <v>365</v>
      </c>
    </row>
    <row r="11" spans="1:8" x14ac:dyDescent="0.25">
      <c r="A11" s="18">
        <v>4</v>
      </c>
      <c r="B11" s="33">
        <f>'График дифференц'!B11</f>
        <v>46209</v>
      </c>
      <c r="C11" s="34">
        <f t="shared" si="0"/>
        <v>57030070.129999995</v>
      </c>
      <c r="D11" s="34">
        <f>IF(A11&lt;'Общие данные'!$B$81,'График аннуитет.'!F11-'График аннуитет.'!E11,'График аннуитет.'!C11)</f>
        <v>1055992.6800000002</v>
      </c>
      <c r="E11" s="34">
        <f>ROUND(C11*'Общие данные'!$B$84/H11,2)*'График аннуитет.'!G11</f>
        <v>2664007.3199999998</v>
      </c>
      <c r="F11" s="34">
        <f>IF(A11&lt;'Общие данные'!$B$81,'График аннуитет.'!F10,'График аннуитет.'!D11+'График аннуитет.'!E11)</f>
        <v>3720000</v>
      </c>
      <c r="G11" s="15">
        <f t="shared" si="2"/>
        <v>31</v>
      </c>
      <c r="H11" s="15">
        <f t="shared" si="1"/>
        <v>365</v>
      </c>
    </row>
    <row r="12" spans="1:8" x14ac:dyDescent="0.25">
      <c r="A12" s="18">
        <v>5</v>
      </c>
      <c r="B12" s="33">
        <f>'График дифференц'!B12</f>
        <v>46239</v>
      </c>
      <c r="C12" s="34">
        <f t="shared" si="0"/>
        <v>55974077.449999996</v>
      </c>
      <c r="D12" s="34">
        <f>IF(A12&lt;'Общие данные'!$B$81,'График аннуитет.'!F12-'График аннуитет.'!E12,'График аннуитет.'!C12)</f>
        <v>1189665</v>
      </c>
      <c r="E12" s="34">
        <f>ROUND(C12*'Общие данные'!$B$84/H12,2)*'График аннуитет.'!G12</f>
        <v>2530335</v>
      </c>
      <c r="F12" s="34">
        <f>IF(A12&lt;'Общие данные'!$B$81,'График аннуитет.'!F11,'График аннуитет.'!D12+'График аннуитет.'!E12)</f>
        <v>3720000</v>
      </c>
      <c r="G12" s="15">
        <f t="shared" si="2"/>
        <v>30</v>
      </c>
      <c r="H12" s="15">
        <f t="shared" si="1"/>
        <v>365</v>
      </c>
    </row>
    <row r="13" spans="1:8" x14ac:dyDescent="0.25">
      <c r="A13" s="18">
        <v>6</v>
      </c>
      <c r="B13" s="33">
        <f>'График дифференц'!B13</f>
        <v>46272</v>
      </c>
      <c r="C13" s="34">
        <f t="shared" si="0"/>
        <v>54784412.449999996</v>
      </c>
      <c r="D13" s="34">
        <f>IF(A13&lt;'Общие данные'!$B$81,'График аннуитет.'!F13-'График аннуитет.'!E13,'График аннуитет.'!C13)</f>
        <v>995788.94999999972</v>
      </c>
      <c r="E13" s="34">
        <f>ROUND(C13*'Общие данные'!$B$84/H13,2)*'График аннуитет.'!G13</f>
        <v>2724211.0500000003</v>
      </c>
      <c r="F13" s="34">
        <f>IF(A13&lt;'Общие данные'!$B$81,'График аннуитет.'!F12,'График аннуитет.'!D13+'График аннуитет.'!E13)</f>
        <v>3720000</v>
      </c>
      <c r="G13" s="15">
        <f t="shared" si="2"/>
        <v>33</v>
      </c>
      <c r="H13" s="15">
        <f t="shared" si="1"/>
        <v>365</v>
      </c>
    </row>
    <row r="14" spans="1:8" x14ac:dyDescent="0.25">
      <c r="A14" s="18">
        <v>7</v>
      </c>
      <c r="B14" s="33">
        <f>'График дифференц'!B14</f>
        <v>46300</v>
      </c>
      <c r="C14" s="34">
        <f t="shared" si="0"/>
        <v>53788623.499999993</v>
      </c>
      <c r="D14" s="34">
        <f>IF(A14&lt;'Общие данные'!$B$81,'График аннуитет.'!F14-'График аннуитет.'!E14,'График аннуитет.'!C14)</f>
        <v>1450562.1999999997</v>
      </c>
      <c r="E14" s="34">
        <f>ROUND(C14*'Общие данные'!$B$84/H14,2)*'График аннуитет.'!G14</f>
        <v>2269437.8000000003</v>
      </c>
      <c r="F14" s="34">
        <f>IF(A14&lt;'Общие данные'!$B$81,'График аннуитет.'!F13,'График аннуитет.'!D14+'График аннуитет.'!E14)</f>
        <v>3720000</v>
      </c>
      <c r="G14" s="15">
        <f t="shared" si="2"/>
        <v>28</v>
      </c>
      <c r="H14" s="15">
        <f t="shared" si="1"/>
        <v>365</v>
      </c>
    </row>
    <row r="15" spans="1:8" x14ac:dyDescent="0.25">
      <c r="A15" s="18">
        <v>8</v>
      </c>
      <c r="B15" s="33">
        <f>'График дифференц'!B15</f>
        <v>46331</v>
      </c>
      <c r="C15" s="34">
        <f t="shared" si="0"/>
        <v>52338061.29999999</v>
      </c>
      <c r="D15" s="34">
        <f>IF(A15&lt;'Общие данные'!$B$81,'График аннуитет.'!F15-'График аннуитет.'!E15,'График аннуитет.'!C15)</f>
        <v>1275167.3299999996</v>
      </c>
      <c r="E15" s="34">
        <f>ROUND(C15*'Общие данные'!$B$84/H15,2)*'График аннуитет.'!G15</f>
        <v>2444832.6700000004</v>
      </c>
      <c r="F15" s="34">
        <f>IF(A15&lt;'Общие данные'!$B$81,'График аннуитет.'!F14,'График аннуитет.'!D15+'График аннуитет.'!E15)</f>
        <v>3720000</v>
      </c>
      <c r="G15" s="15">
        <f t="shared" si="2"/>
        <v>31</v>
      </c>
      <c r="H15" s="15">
        <f t="shared" si="1"/>
        <v>365</v>
      </c>
    </row>
    <row r="16" spans="1:8" x14ac:dyDescent="0.25">
      <c r="A16" s="18">
        <v>9</v>
      </c>
      <c r="B16" s="33">
        <f>'График дифференц'!B16</f>
        <v>46363</v>
      </c>
      <c r="C16" s="34">
        <f t="shared" si="0"/>
        <v>51062893.969999991</v>
      </c>
      <c r="D16" s="34">
        <f>IF(A16&lt;'Общие данные'!$B$81,'График аннуитет.'!F16-'График аннуитет.'!E16,'График аннуитет.'!C16)</f>
        <v>1257789.1200000001</v>
      </c>
      <c r="E16" s="34">
        <f>ROUND(C16*'Общие данные'!$B$84/H16,2)*'График аннуитет.'!G16</f>
        <v>2462210.88</v>
      </c>
      <c r="F16" s="34">
        <f>IF(A16&lt;'Общие данные'!$B$81,'График аннуитет.'!F15,'График аннуитет.'!D16+'График аннуитет.'!E16)</f>
        <v>3720000</v>
      </c>
      <c r="G16" s="15">
        <f t="shared" si="2"/>
        <v>32</v>
      </c>
      <c r="H16" s="15">
        <f t="shared" si="1"/>
        <v>365</v>
      </c>
    </row>
    <row r="17" spans="1:8" x14ac:dyDescent="0.25">
      <c r="A17" s="18">
        <v>10</v>
      </c>
      <c r="B17" s="33">
        <f>'График дифференц'!B17</f>
        <v>46392</v>
      </c>
      <c r="C17" s="34">
        <f t="shared" si="0"/>
        <v>49805104.849999994</v>
      </c>
      <c r="D17" s="34">
        <f>IF(A17&lt;'Общие данные'!$B$81,'График аннуитет.'!F17-'График аннуитет.'!E17,'График аннуитет.'!C17)</f>
        <v>1543585.0900000003</v>
      </c>
      <c r="E17" s="34">
        <f>ROUND(C17*'Общие данные'!$B$84/H17,2)*'График аннуитет.'!G17</f>
        <v>2176414.9099999997</v>
      </c>
      <c r="F17" s="34">
        <f>IF(A17&lt;'Общие данные'!$B$81,'График аннуитет.'!F16,'График аннуитет.'!D17+'График аннуитет.'!E17)</f>
        <v>3720000</v>
      </c>
      <c r="G17" s="15">
        <f t="shared" si="2"/>
        <v>29</v>
      </c>
      <c r="H17" s="15">
        <f t="shared" si="1"/>
        <v>365</v>
      </c>
    </row>
    <row r="18" spans="1:8" x14ac:dyDescent="0.25">
      <c r="A18" s="18">
        <v>11</v>
      </c>
      <c r="B18" s="33">
        <f>'График дифференц'!B18</f>
        <v>46423</v>
      </c>
      <c r="C18" s="34">
        <f t="shared" si="0"/>
        <v>48261519.75999999</v>
      </c>
      <c r="D18" s="34">
        <f>IF(A18&lt;'Общие данные'!$B$81,'График аннуитет.'!F18-'График аннуитет.'!E18,'График аннуитет.'!C18)</f>
        <v>1465591.96</v>
      </c>
      <c r="E18" s="34">
        <f>ROUND(C18*'Общие данные'!$B$84/H18,2)*'График аннуитет.'!G18</f>
        <v>2254408.04</v>
      </c>
      <c r="F18" s="34">
        <f>IF(A18&lt;'Общие данные'!$B$81,'График аннуитет.'!F17,'График аннуитет.'!D18+'График аннуитет.'!E18)</f>
        <v>3720000</v>
      </c>
      <c r="G18" s="15">
        <f t="shared" si="2"/>
        <v>31</v>
      </c>
      <c r="H18" s="15">
        <f t="shared" si="1"/>
        <v>365</v>
      </c>
    </row>
    <row r="19" spans="1:8" x14ac:dyDescent="0.25">
      <c r="A19" s="18">
        <v>12</v>
      </c>
      <c r="B19" s="33">
        <f>'График дифференц'!B19</f>
        <v>46451</v>
      </c>
      <c r="C19" s="34">
        <f t="shared" si="0"/>
        <v>46795927.79999999</v>
      </c>
      <c r="D19" s="34">
        <f>IF(A19&lt;'Общие данные'!$B$81,'График аннуитет.'!F19-'График аннуитет.'!E19,'График аннуитет.'!C19)</f>
        <v>1745596.52</v>
      </c>
      <c r="E19" s="34">
        <f>ROUND(C19*'Общие данные'!$B$84/H19,2)*'График аннуитет.'!G19</f>
        <v>1974403.48</v>
      </c>
      <c r="F19" s="34">
        <f>IF(A19&lt;'Общие данные'!$B$81,'График аннуитет.'!F18,'График аннуитет.'!D19+'График аннуитет.'!E19)</f>
        <v>3720000</v>
      </c>
      <c r="G19" s="15">
        <f>B19-B18</f>
        <v>28</v>
      </c>
      <c r="H19" s="15">
        <f t="shared" si="1"/>
        <v>365</v>
      </c>
    </row>
    <row r="20" spans="1:8" x14ac:dyDescent="0.25">
      <c r="A20" s="18">
        <v>13</v>
      </c>
      <c r="B20" s="33">
        <f>'График дифференц'!B20</f>
        <v>46482</v>
      </c>
      <c r="C20" s="34">
        <f t="shared" si="0"/>
        <v>45050331.279999986</v>
      </c>
      <c r="D20" s="34">
        <f>IF(A20&lt;'Общие данные'!$B$81,'График аннуитет.'!F20-'График аннуитет.'!E20,'График аннуитет.'!C20)</f>
        <v>1615594.1400000001</v>
      </c>
      <c r="E20" s="34">
        <f>ROUND(C20*'Общие данные'!$B$84/H20,2)*'График аннуитет.'!G20</f>
        <v>2104405.86</v>
      </c>
      <c r="F20" s="34">
        <f>IF(A20&lt;'Общие данные'!$B$81,'График аннуитет.'!F19,'График аннуитет.'!D20+'График аннуитет.'!E20)</f>
        <v>3720000</v>
      </c>
      <c r="G20" s="15">
        <f t="shared" si="2"/>
        <v>31</v>
      </c>
      <c r="H20" s="15">
        <f t="shared" si="1"/>
        <v>365</v>
      </c>
    </row>
    <row r="21" spans="1:8" x14ac:dyDescent="0.25">
      <c r="A21" s="18">
        <v>14</v>
      </c>
      <c r="B21" s="33">
        <f>'График дифференц'!B21</f>
        <v>46512</v>
      </c>
      <c r="C21" s="34">
        <f t="shared" si="0"/>
        <v>43434737.139999986</v>
      </c>
      <c r="D21" s="34">
        <f>IF(A21&lt;'Общие данные'!$B$81,'График аннуитет.'!F21-'График аннуитет.'!E21,'График аннуитет.'!C21)</f>
        <v>1756512</v>
      </c>
      <c r="E21" s="34">
        <f>ROUND(C21*'Общие данные'!$B$84/H21,2)*'График аннуитет.'!G21</f>
        <v>1963488</v>
      </c>
      <c r="F21" s="34">
        <f>IF(A21&lt;'Общие данные'!$B$81,'График аннуитет.'!F20,'График аннуитет.'!D21+'График аннуитет.'!E21)</f>
        <v>3720000</v>
      </c>
      <c r="G21" s="15">
        <f t="shared" si="2"/>
        <v>30</v>
      </c>
      <c r="H21" s="15">
        <f t="shared" si="1"/>
        <v>365</v>
      </c>
    </row>
    <row r="22" spans="1:8" x14ac:dyDescent="0.25">
      <c r="A22" s="18">
        <v>15</v>
      </c>
      <c r="B22" s="33">
        <f>'График дифференц'!B22</f>
        <v>46545</v>
      </c>
      <c r="C22" s="34">
        <f t="shared" si="0"/>
        <v>41678225.139999986</v>
      </c>
      <c r="D22" s="34">
        <f>IF(A22&lt;'Общие данные'!$B$81,'График аннуитет.'!F22-'График аннуитет.'!E22,'График аннуитет.'!C22)</f>
        <v>1647507.27</v>
      </c>
      <c r="E22" s="34">
        <f>ROUND(C22*'Общие данные'!$B$84/H22,2)*'График аннуитет.'!G22</f>
        <v>2072492.73</v>
      </c>
      <c r="F22" s="34">
        <f>IF(A22&lt;'Общие данные'!$B$81,'График аннуитет.'!F21,'График аннуитет.'!D22+'График аннуитет.'!E22)</f>
        <v>3720000</v>
      </c>
      <c r="G22" s="15">
        <f t="shared" si="2"/>
        <v>33</v>
      </c>
      <c r="H22" s="15">
        <f t="shared" si="1"/>
        <v>365</v>
      </c>
    </row>
    <row r="23" spans="1:8" x14ac:dyDescent="0.25">
      <c r="A23" s="18">
        <v>16</v>
      </c>
      <c r="B23" s="33">
        <f>'График дифференц'!B23</f>
        <v>46573</v>
      </c>
      <c r="C23" s="34">
        <f t="shared" si="0"/>
        <v>40030717.869999982</v>
      </c>
      <c r="D23" s="34">
        <f>IF(A23&lt;'Общие данные'!$B$81,'График аннуитет.'!F23-'График аннуитет.'!E23,'График аннуитет.'!C23)</f>
        <v>2031032.72</v>
      </c>
      <c r="E23" s="34">
        <f>ROUND(C23*'Общие данные'!$B$84/H23,2)*'График аннуитет.'!G23</f>
        <v>1688967.28</v>
      </c>
      <c r="F23" s="34">
        <f>IF(A23&lt;'Общие данные'!$B$81,'График аннуитет.'!F22,'График аннуитет.'!D23+'График аннуитет.'!E23)</f>
        <v>3720000</v>
      </c>
      <c r="G23" s="15">
        <f t="shared" si="2"/>
        <v>28</v>
      </c>
      <c r="H23" s="15">
        <f t="shared" si="1"/>
        <v>365</v>
      </c>
    </row>
    <row r="24" spans="1:8" x14ac:dyDescent="0.25">
      <c r="A24" s="18">
        <v>17</v>
      </c>
      <c r="B24" s="33">
        <f>'График дифференц'!B24</f>
        <v>46604</v>
      </c>
      <c r="C24" s="34">
        <f t="shared" si="0"/>
        <v>37999685.149999984</v>
      </c>
      <c r="D24" s="34">
        <f>IF(A24&lt;'Общие данные'!$B$81,'График аннуитет.'!F24-'График аннуитет.'!E24,'График аннуитет.'!C24)</f>
        <v>1944946.2</v>
      </c>
      <c r="E24" s="34">
        <f>ROUND(C24*'Общие данные'!$B$84/H24,2)*'График аннуитет.'!G24</f>
        <v>1775053.8</v>
      </c>
      <c r="F24" s="34">
        <f>IF(A24&lt;'Общие данные'!$B$81,'График аннуитет.'!F23,'График аннуитет.'!D24+'График аннуитет.'!E24)</f>
        <v>3720000</v>
      </c>
      <c r="G24" s="15">
        <f t="shared" si="2"/>
        <v>31</v>
      </c>
      <c r="H24" s="15">
        <f t="shared" si="1"/>
        <v>365</v>
      </c>
    </row>
    <row r="25" spans="1:8" x14ac:dyDescent="0.25">
      <c r="A25" s="18">
        <v>18</v>
      </c>
      <c r="B25" s="33">
        <f>'График дифференц'!B25</f>
        <v>46636</v>
      </c>
      <c r="C25" s="34">
        <f t="shared" si="0"/>
        <v>36054738.949999981</v>
      </c>
      <c r="D25" s="34">
        <f>IF(A25&lt;'Общие данные'!$B$81,'График аннуитет.'!F25-'График аннуитет.'!E25,'График аннуитет.'!C25)</f>
        <v>1981470.08</v>
      </c>
      <c r="E25" s="34">
        <f>ROUND(C25*'Общие данные'!$B$84/H25,2)*'График аннуитет.'!G25</f>
        <v>1738529.92</v>
      </c>
      <c r="F25" s="34">
        <f>IF(A25&lt;'Общие данные'!$B$81,'График аннуитет.'!F24,'График аннуитет.'!D25+'График аннуитет.'!E25)</f>
        <v>3720000</v>
      </c>
      <c r="G25" s="15">
        <f>B25-B24</f>
        <v>32</v>
      </c>
      <c r="H25" s="15">
        <f t="shared" si="1"/>
        <v>365</v>
      </c>
    </row>
    <row r="26" spans="1:8" x14ac:dyDescent="0.25">
      <c r="A26" s="18">
        <v>19</v>
      </c>
      <c r="B26" s="33">
        <f>'График дифференц'!B26</f>
        <v>46665</v>
      </c>
      <c r="C26" s="34">
        <f t="shared" si="0"/>
        <v>34073268.869999982</v>
      </c>
      <c r="D26" s="34">
        <f>IF(A26&lt;'Общие данные'!$B$81,'График аннуитет.'!F26-'График аннуитет.'!E26,'График аннуитет.'!C26)</f>
        <v>2231044.88</v>
      </c>
      <c r="E26" s="34">
        <f>ROUND(C26*'Общие данные'!$B$84/H26,2)*'График аннуитет.'!G26</f>
        <v>1488955.1199999999</v>
      </c>
      <c r="F26" s="34">
        <f>IF(A26&lt;'Общие данные'!$B$81,'График аннуитет.'!F25,'График аннуитет.'!D26+'График аннуитет.'!E26)</f>
        <v>3720000</v>
      </c>
      <c r="G26" s="15">
        <f t="shared" ref="G26:G30" si="3">B26-B25</f>
        <v>29</v>
      </c>
      <c r="H26" s="15">
        <f t="shared" si="1"/>
        <v>365</v>
      </c>
    </row>
    <row r="27" spans="1:8" x14ac:dyDescent="0.25">
      <c r="A27" s="18">
        <v>20</v>
      </c>
      <c r="B27" s="33">
        <f>'График дифференц'!B27</f>
        <v>46696</v>
      </c>
      <c r="C27" s="34">
        <f t="shared" si="0"/>
        <v>31842223.989999983</v>
      </c>
      <c r="D27" s="34">
        <f>IF(A27&lt;'Общие данные'!$B$81,'График аннуитет.'!F27-'График аннуитет.'!E27,'График аннуитет.'!C27)</f>
        <v>2232575.67</v>
      </c>
      <c r="E27" s="34">
        <f>ROUND(C27*'Общие данные'!$B$84/H27,2)*'График аннуитет.'!G27</f>
        <v>1487424.33</v>
      </c>
      <c r="F27" s="34">
        <f>IF(A27&lt;'Общие данные'!$B$81,'График аннуитет.'!F26,'График аннуитет.'!D27+'График аннуитет.'!E27)</f>
        <v>3720000</v>
      </c>
      <c r="G27" s="15">
        <f t="shared" si="3"/>
        <v>31</v>
      </c>
      <c r="H27" s="15">
        <f t="shared" si="1"/>
        <v>365</v>
      </c>
    </row>
    <row r="28" spans="1:8" x14ac:dyDescent="0.25">
      <c r="A28" s="18">
        <v>21</v>
      </c>
      <c r="B28" s="33">
        <f>'График дифференц'!B28</f>
        <v>46727</v>
      </c>
      <c r="C28" s="34">
        <f t="shared" si="0"/>
        <v>29609648.319999985</v>
      </c>
      <c r="D28" s="34">
        <f>IF(A28&lt;'Общие данные'!$B$81,'График аннуитет.'!F28-'График аннуитет.'!E28,'График аннуитет.'!C28)</f>
        <v>2336864.3200000003</v>
      </c>
      <c r="E28" s="34">
        <f>ROUND(C28*'Общие данные'!$B$84/H28,2)*'График аннуитет.'!G28</f>
        <v>1383135.68</v>
      </c>
      <c r="F28" s="34">
        <f>IF(A28&lt;'Общие данные'!$B$81,'График аннуитет.'!F27,'График аннуитет.'!D28+'График аннуитет.'!E28)</f>
        <v>3720000</v>
      </c>
      <c r="G28" s="15">
        <f t="shared" si="3"/>
        <v>31</v>
      </c>
      <c r="H28" s="15">
        <f t="shared" si="1"/>
        <v>365</v>
      </c>
    </row>
    <row r="29" spans="1:8" x14ac:dyDescent="0.25">
      <c r="A29" s="18">
        <v>22</v>
      </c>
      <c r="B29" s="33">
        <f>'График дифференц'!B29</f>
        <v>46757</v>
      </c>
      <c r="C29" s="34">
        <f t="shared" si="0"/>
        <v>27272783.999999985</v>
      </c>
      <c r="D29" s="34">
        <f>IF(A29&lt;'Общие данные'!$B$81,'График аннуитет.'!F29-'График аннуитет.'!E29,'График аннуитет.'!C29)</f>
        <v>2490489.2999999998</v>
      </c>
      <c r="E29" s="34">
        <f>ROUND(C29*'Общие данные'!$B$84/H29,2)*'График аннуитет.'!G29</f>
        <v>1229510.7000000002</v>
      </c>
      <c r="F29" s="34">
        <f>IF(A29&lt;'Общие данные'!$B$81,'График аннуитет.'!F28,'График аннуитет.'!D29+'График аннуитет.'!E29)</f>
        <v>3720000</v>
      </c>
      <c r="G29" s="15">
        <f t="shared" si="3"/>
        <v>30</v>
      </c>
      <c r="H29" s="15">
        <f t="shared" si="1"/>
        <v>366</v>
      </c>
    </row>
    <row r="30" spans="1:8" x14ac:dyDescent="0.25">
      <c r="A30" s="18">
        <v>23</v>
      </c>
      <c r="B30" s="33">
        <f>'График дифференц'!B30</f>
        <v>46790</v>
      </c>
      <c r="C30" s="34">
        <f t="shared" si="0"/>
        <v>24782294.699999984</v>
      </c>
      <c r="D30" s="34">
        <f>IF(A30&lt;'Общие данные'!$B$81,'График аннуитет.'!F30-'График аннуитет.'!E30,'График аннуитет.'!C30)</f>
        <v>2491042.0499999998</v>
      </c>
      <c r="E30" s="34">
        <f>ROUND(C30*'Общие данные'!$B$84/H30,2)*'График аннуитет.'!G30</f>
        <v>1228957.95</v>
      </c>
      <c r="F30" s="34">
        <f>IF(A30&lt;'Общие данные'!$B$81,'График аннуитет.'!F29,'График аннуитет.'!D30+'График аннуитет.'!E30)</f>
        <v>3720000</v>
      </c>
      <c r="G30" s="15">
        <f t="shared" si="3"/>
        <v>33</v>
      </c>
      <c r="H30" s="15">
        <f t="shared" si="1"/>
        <v>366</v>
      </c>
    </row>
    <row r="31" spans="1:8" x14ac:dyDescent="0.25">
      <c r="A31" s="18">
        <v>24</v>
      </c>
      <c r="B31" s="33">
        <f>'График дифференц'!B31</f>
        <v>46818</v>
      </c>
      <c r="C31" s="34">
        <f t="shared" ref="C31" si="4">C30-D30</f>
        <v>22291252.649999984</v>
      </c>
      <c r="D31" s="34">
        <f>IF(A31&lt;'Общие данные'!$B$81,'График аннуитет.'!F31-'График аннуитет.'!E31,'График аннуитет.'!C31)</f>
        <v>2782062.16</v>
      </c>
      <c r="E31" s="34">
        <f>ROUND(C31*'Общие данные'!$B$84/H31,2)*'График аннуитет.'!G31</f>
        <v>937937.84</v>
      </c>
      <c r="F31" s="34">
        <f>IF(A31&lt;'Общие данные'!$B$81,'График аннуитет.'!F30,'График аннуитет.'!D31+'График аннуитет.'!E31)</f>
        <v>3720000</v>
      </c>
      <c r="G31" s="15">
        <f>B31-B30</f>
        <v>28</v>
      </c>
      <c r="H31" s="15">
        <f t="shared" si="1"/>
        <v>366</v>
      </c>
    </row>
    <row r="32" spans="1:8" x14ac:dyDescent="0.25">
      <c r="A32" s="18">
        <f>1+A31</f>
        <v>25</v>
      </c>
      <c r="B32" s="33">
        <f>'График дифференц'!B32</f>
        <v>46848</v>
      </c>
      <c r="C32" s="34">
        <f t="shared" ref="C32:C55" si="5">C31-D31</f>
        <v>19509190.489999983</v>
      </c>
      <c r="D32" s="34">
        <f>IF(A32&lt;'Общие данные'!$B$81,'График аннуитет.'!F32-'График аннуитет.'!E32,'График аннуитет.'!C32)</f>
        <v>2840487.3</v>
      </c>
      <c r="E32" s="34">
        <f>ROUND(C32*'Общие данные'!$B$84/H32,2)*'График аннуитет.'!G32</f>
        <v>879512.7</v>
      </c>
      <c r="F32" s="34">
        <f>IF(A32&lt;'Общие данные'!$B$81,'График аннуитет.'!F31,'График аннуитет.'!D32+'График аннуитет.'!E32)</f>
        <v>3720000</v>
      </c>
      <c r="G32" s="15">
        <f t="shared" ref="G32:G55" si="6">B32-B31</f>
        <v>30</v>
      </c>
      <c r="H32" s="15">
        <f t="shared" ref="H32:H55" si="7">DATE(YEAR(B32),12,31)-DATE(YEAR(B32),1,1)+1</f>
        <v>366</v>
      </c>
    </row>
    <row r="33" spans="1:8" x14ac:dyDescent="0.25">
      <c r="A33" s="18">
        <f t="shared" ref="A33:A55" si="8">1+A32</f>
        <v>26</v>
      </c>
      <c r="B33" s="33">
        <f>'График дифференц'!B33</f>
        <v>46878</v>
      </c>
      <c r="C33" s="34">
        <f t="shared" si="5"/>
        <v>16668703.189999983</v>
      </c>
      <c r="D33" s="34">
        <f>IF(A33&lt;'Общие данные'!$B$81,'График аннуитет.'!F33-'График аннуитет.'!E33,'График аннуитет.'!C33)</f>
        <v>2968542</v>
      </c>
      <c r="E33" s="34">
        <f>ROUND(C33*'Общие данные'!$B$84/H33,2)*'График аннуитет.'!G33</f>
        <v>751458</v>
      </c>
      <c r="F33" s="34">
        <f>IF(A33&lt;'Общие данные'!$B$81,'График аннуитет.'!F32,'График аннуитет.'!D33+'График аннуитет.'!E33)</f>
        <v>3720000</v>
      </c>
      <c r="G33" s="15">
        <f t="shared" si="6"/>
        <v>30</v>
      </c>
      <c r="H33" s="15">
        <f t="shared" si="7"/>
        <v>366</v>
      </c>
    </row>
    <row r="34" spans="1:8" x14ac:dyDescent="0.25">
      <c r="A34" s="18">
        <f t="shared" si="8"/>
        <v>27</v>
      </c>
      <c r="B34" s="33">
        <f>'График дифференц'!B34</f>
        <v>46909</v>
      </c>
      <c r="C34" s="34">
        <f t="shared" si="5"/>
        <v>13700161.189999983</v>
      </c>
      <c r="D34" s="34">
        <f>IF(A34&lt;'Общие данные'!$B$81,'График аннуитет.'!F34-'График аннуитет.'!E34,'График аннуитет.'!C34)</f>
        <v>3081782.23</v>
      </c>
      <c r="E34" s="34">
        <f>ROUND(C34*'Общие данные'!$B$84/H34,2)*'График аннуитет.'!G34</f>
        <v>638217.7699999999</v>
      </c>
      <c r="F34" s="34">
        <f>IF(A34&lt;'Общие данные'!$B$81,'График аннуитет.'!F33,'График аннуитет.'!D34+'График аннуитет.'!E34)</f>
        <v>3720000</v>
      </c>
      <c r="G34" s="15">
        <f t="shared" si="6"/>
        <v>31</v>
      </c>
      <c r="H34" s="15">
        <f t="shared" si="7"/>
        <v>366</v>
      </c>
    </row>
    <row r="35" spans="1:8" x14ac:dyDescent="0.25">
      <c r="A35" s="18">
        <f t="shared" si="8"/>
        <v>28</v>
      </c>
      <c r="B35" s="33">
        <f>'График дифференц'!B35</f>
        <v>46939</v>
      </c>
      <c r="C35" s="34">
        <f t="shared" si="5"/>
        <v>10618378.959999982</v>
      </c>
      <c r="D35" s="34">
        <f>IF(A35&lt;'Общие данные'!$B$81,'График аннуитет.'!F35-'График аннуитет.'!E35,'График аннуитет.'!C35)</f>
        <v>3241302.6</v>
      </c>
      <c r="E35" s="34">
        <f>ROUND(C35*'Общие данные'!$B$84/H35,2)*'График аннуитет.'!G35</f>
        <v>478697.4</v>
      </c>
      <c r="F35" s="34">
        <f>IF(A35&lt;'Общие данные'!$B$81,'График аннуитет.'!F34,'График аннуитет.'!D35+'График аннуитет.'!E35)</f>
        <v>3720000</v>
      </c>
      <c r="G35" s="15">
        <f t="shared" si="6"/>
        <v>30</v>
      </c>
      <c r="H35" s="15">
        <f t="shared" si="7"/>
        <v>366</v>
      </c>
    </row>
    <row r="36" spans="1:8" x14ac:dyDescent="0.25">
      <c r="A36" s="18">
        <f t="shared" si="8"/>
        <v>29</v>
      </c>
      <c r="B36" s="33">
        <f>'График дифференц'!B36</f>
        <v>46972</v>
      </c>
      <c r="C36" s="34">
        <f t="shared" si="5"/>
        <v>7377076.3599999826</v>
      </c>
      <c r="D36" s="34">
        <f>IF(A36&lt;'Общие данные'!$B$81,'График аннуитет.'!F36-'График аннуитет.'!E36,'График аннуитет.'!C36)</f>
        <v>3354169.59</v>
      </c>
      <c r="E36" s="34">
        <f>ROUND(C36*'Общие данные'!$B$84/H36,2)*'График аннуитет.'!G36</f>
        <v>365830.41000000003</v>
      </c>
      <c r="F36" s="34">
        <f>IF(A36&lt;'Общие данные'!$B$81,'График аннуитет.'!F35,'График аннуитет.'!D36+'График аннуитет.'!E36)</f>
        <v>3720000</v>
      </c>
      <c r="G36" s="15">
        <f t="shared" si="6"/>
        <v>33</v>
      </c>
      <c r="H36" s="15">
        <f t="shared" si="7"/>
        <v>366</v>
      </c>
    </row>
    <row r="37" spans="1:8" x14ac:dyDescent="0.25">
      <c r="A37" s="18">
        <f t="shared" si="8"/>
        <v>30</v>
      </c>
      <c r="B37" s="33">
        <f>'График дифференц'!B37</f>
        <v>47001</v>
      </c>
      <c r="C37" s="34">
        <f t="shared" si="5"/>
        <v>4022906.7699999828</v>
      </c>
      <c r="D37" s="34">
        <f>IF(A37&lt;'Общие данные'!$B$81,'График аннуитет.'!F37-'График аннуитет.'!E37,'График аннуитет.'!C37)</f>
        <v>4022906.7699999828</v>
      </c>
      <c r="E37" s="34">
        <f>ROUND(C37*'Общие данные'!$B$84/H37,2)*'График аннуитет.'!G37</f>
        <v>175315.15000000002</v>
      </c>
      <c r="F37" s="34">
        <f>IF(A37&lt;'Общие данные'!$B$81,'График аннуитет.'!F36,'График аннуитет.'!D37+'График аннуитет.'!E37)</f>
        <v>4198221.9199999832</v>
      </c>
      <c r="G37" s="15">
        <f t="shared" si="6"/>
        <v>29</v>
      </c>
      <c r="H37" s="15">
        <f t="shared" si="7"/>
        <v>366</v>
      </c>
    </row>
    <row r="38" spans="1:8" x14ac:dyDescent="0.25">
      <c r="A38" s="18">
        <f t="shared" si="8"/>
        <v>31</v>
      </c>
      <c r="B38" s="33" t="b">
        <f>'График дифференц'!B38</f>
        <v>0</v>
      </c>
      <c r="C38" s="34">
        <f t="shared" si="5"/>
        <v>0</v>
      </c>
      <c r="D38" s="34">
        <f>IF(A38&lt;'Общие данные'!$B$81,'График аннуитет.'!F38-'График аннуитет.'!E38,'График аннуитет.'!C38)</f>
        <v>0</v>
      </c>
      <c r="E38" s="34">
        <f>ROUND(C38*'Общие данные'!$B$84/H38,2)*'График аннуитет.'!G38</f>
        <v>0</v>
      </c>
      <c r="F38" s="34">
        <f>IF(A38&lt;'Общие данные'!$B$81,'График аннуитет.'!F37,'График аннуитет.'!D38+'График аннуитет.'!E38)</f>
        <v>0</v>
      </c>
      <c r="G38" s="15">
        <f t="shared" si="6"/>
        <v>-47001</v>
      </c>
      <c r="H38" s="15">
        <f t="shared" si="7"/>
        <v>366</v>
      </c>
    </row>
    <row r="39" spans="1:8" x14ac:dyDescent="0.25">
      <c r="A39" s="18">
        <f t="shared" si="8"/>
        <v>32</v>
      </c>
      <c r="B39" s="33" t="b">
        <f>'График дифференц'!B39</f>
        <v>0</v>
      </c>
      <c r="C39" s="34">
        <f t="shared" si="5"/>
        <v>0</v>
      </c>
      <c r="D39" s="34">
        <f>IF(A39&lt;'Общие данные'!$B$81,'График аннуитет.'!F39-'График аннуитет.'!E39,'График аннуитет.'!C39)</f>
        <v>0</v>
      </c>
      <c r="E39" s="34">
        <f>ROUND(C39*'Общие данные'!$B$84/H39,2)*'График аннуитет.'!G39</f>
        <v>0</v>
      </c>
      <c r="F39" s="34">
        <f>IF(A39&lt;'Общие данные'!$B$81,'График аннуитет.'!F38,'График аннуитет.'!D39+'График аннуитет.'!E39)</f>
        <v>0</v>
      </c>
      <c r="G39" s="15">
        <f t="shared" si="6"/>
        <v>0</v>
      </c>
      <c r="H39" s="15">
        <f t="shared" si="7"/>
        <v>366</v>
      </c>
    </row>
    <row r="40" spans="1:8" x14ac:dyDescent="0.25">
      <c r="A40" s="18">
        <f t="shared" si="8"/>
        <v>33</v>
      </c>
      <c r="B40" s="33" t="b">
        <f>'График дифференц'!B40</f>
        <v>0</v>
      </c>
      <c r="C40" s="34">
        <f t="shared" si="5"/>
        <v>0</v>
      </c>
      <c r="D40" s="34">
        <f>IF(A40&lt;'Общие данные'!$B$81,'График аннуитет.'!F40-'График аннуитет.'!E40,'График аннуитет.'!C40)</f>
        <v>0</v>
      </c>
      <c r="E40" s="34">
        <f>ROUND(C40*'Общие данные'!$B$84/H40,2)*'График аннуитет.'!G40</f>
        <v>0</v>
      </c>
      <c r="F40" s="34">
        <f>IF(A40&lt;'Общие данные'!$B$81,'График аннуитет.'!F39,'График аннуитет.'!D40+'График аннуитет.'!E40)</f>
        <v>0</v>
      </c>
      <c r="G40" s="15">
        <f t="shared" si="6"/>
        <v>0</v>
      </c>
      <c r="H40" s="15">
        <f t="shared" si="7"/>
        <v>366</v>
      </c>
    </row>
    <row r="41" spans="1:8" x14ac:dyDescent="0.25">
      <c r="A41" s="18">
        <f t="shared" si="8"/>
        <v>34</v>
      </c>
      <c r="B41" s="33" t="b">
        <f>'График дифференц'!B41</f>
        <v>0</v>
      </c>
      <c r="C41" s="34">
        <f t="shared" si="5"/>
        <v>0</v>
      </c>
      <c r="D41" s="34">
        <f>IF(A41&lt;'Общие данные'!$B$81,'График аннуитет.'!F41-'График аннуитет.'!E41,'График аннуитет.'!C41)</f>
        <v>0</v>
      </c>
      <c r="E41" s="34">
        <f>ROUND(C41*'Общие данные'!$B$84/H41,2)*'График аннуитет.'!G41</f>
        <v>0</v>
      </c>
      <c r="F41" s="34">
        <f>IF(A41&lt;'Общие данные'!$B$81,'График аннуитет.'!F40,'График аннуитет.'!D41+'График аннуитет.'!E41)</f>
        <v>0</v>
      </c>
      <c r="G41" s="15">
        <f t="shared" si="6"/>
        <v>0</v>
      </c>
      <c r="H41" s="15">
        <f t="shared" si="7"/>
        <v>366</v>
      </c>
    </row>
    <row r="42" spans="1:8" x14ac:dyDescent="0.25">
      <c r="A42" s="18">
        <f t="shared" si="8"/>
        <v>35</v>
      </c>
      <c r="B42" s="33" t="b">
        <f>'График дифференц'!B42</f>
        <v>0</v>
      </c>
      <c r="C42" s="34">
        <f t="shared" si="5"/>
        <v>0</v>
      </c>
      <c r="D42" s="34">
        <f>IF(A42&lt;'Общие данные'!$B$81,'График аннуитет.'!F42-'График аннуитет.'!E42,'График аннуитет.'!C42)</f>
        <v>0</v>
      </c>
      <c r="E42" s="34">
        <f>ROUND(C42*'Общие данные'!$B$84/H42,2)*'График аннуитет.'!G42</f>
        <v>0</v>
      </c>
      <c r="F42" s="34">
        <f>IF(A42&lt;'Общие данные'!$B$81,'График аннуитет.'!F41,'График аннуитет.'!D42+'График аннуитет.'!E42)</f>
        <v>0</v>
      </c>
      <c r="G42" s="15">
        <f t="shared" si="6"/>
        <v>0</v>
      </c>
      <c r="H42" s="15">
        <f t="shared" si="7"/>
        <v>366</v>
      </c>
    </row>
    <row r="43" spans="1:8" x14ac:dyDescent="0.25">
      <c r="A43" s="18">
        <f t="shared" si="8"/>
        <v>36</v>
      </c>
      <c r="B43" s="33" t="b">
        <f>'График дифференц'!B43</f>
        <v>0</v>
      </c>
      <c r="C43" s="34">
        <f t="shared" si="5"/>
        <v>0</v>
      </c>
      <c r="D43" s="34">
        <f>IF(A43&lt;'Общие данные'!$B$81,'График аннуитет.'!F43-'График аннуитет.'!E43,'График аннуитет.'!C43)</f>
        <v>0</v>
      </c>
      <c r="E43" s="34">
        <f>ROUND(C43*'Общие данные'!$B$84/H43,2)*'График аннуитет.'!G43</f>
        <v>0</v>
      </c>
      <c r="F43" s="34">
        <f>IF(A43&lt;'Общие данные'!$B$81,'График аннуитет.'!F42,'График аннуитет.'!D43+'График аннуитет.'!E43)</f>
        <v>0</v>
      </c>
      <c r="G43" s="15">
        <f t="shared" si="6"/>
        <v>0</v>
      </c>
      <c r="H43" s="15">
        <f t="shared" si="7"/>
        <v>366</v>
      </c>
    </row>
    <row r="44" spans="1:8" x14ac:dyDescent="0.25">
      <c r="A44" s="18">
        <f t="shared" si="8"/>
        <v>37</v>
      </c>
      <c r="B44" s="33" t="b">
        <f>'График дифференц'!B44</f>
        <v>0</v>
      </c>
      <c r="C44" s="34">
        <f t="shared" si="5"/>
        <v>0</v>
      </c>
      <c r="D44" s="34">
        <f>IF(A44&lt;'Общие данные'!$B$81,'График аннуитет.'!F44-'График аннуитет.'!E44,'График аннуитет.'!C44)</f>
        <v>0</v>
      </c>
      <c r="E44" s="34">
        <f>ROUND(C44*'Общие данные'!$B$84/H44,2)*'График аннуитет.'!G44</f>
        <v>0</v>
      </c>
      <c r="F44" s="34">
        <f>IF(A44&lt;'Общие данные'!$B$81,'График аннуитет.'!F43,'График аннуитет.'!D44+'График аннуитет.'!E44)</f>
        <v>0</v>
      </c>
      <c r="G44" s="15">
        <f t="shared" si="6"/>
        <v>0</v>
      </c>
      <c r="H44" s="15">
        <f t="shared" si="7"/>
        <v>366</v>
      </c>
    </row>
    <row r="45" spans="1:8" x14ac:dyDescent="0.25">
      <c r="A45" s="18">
        <f t="shared" si="8"/>
        <v>38</v>
      </c>
      <c r="B45" s="33" t="b">
        <f>'График дифференц'!B45</f>
        <v>0</v>
      </c>
      <c r="C45" s="34">
        <f t="shared" si="5"/>
        <v>0</v>
      </c>
      <c r="D45" s="34">
        <f>IF(A45&lt;'Общие данные'!$B$81,'График аннуитет.'!F45-'График аннуитет.'!E45,'График аннуитет.'!C45)</f>
        <v>0</v>
      </c>
      <c r="E45" s="34">
        <f>ROUND(C45*'Общие данные'!$B$84/H45,2)*'График аннуитет.'!G45</f>
        <v>0</v>
      </c>
      <c r="F45" s="34">
        <f>IF(A45&lt;'Общие данные'!$B$81,'График аннуитет.'!F44,'График аннуитет.'!D45+'График аннуитет.'!E45)</f>
        <v>0</v>
      </c>
      <c r="G45" s="15">
        <f t="shared" si="6"/>
        <v>0</v>
      </c>
      <c r="H45" s="15">
        <f t="shared" si="7"/>
        <v>366</v>
      </c>
    </row>
    <row r="46" spans="1:8" x14ac:dyDescent="0.25">
      <c r="A46" s="18">
        <f t="shared" si="8"/>
        <v>39</v>
      </c>
      <c r="B46" s="33" t="b">
        <f>'График дифференц'!B46</f>
        <v>0</v>
      </c>
      <c r="C46" s="34">
        <f t="shared" si="5"/>
        <v>0</v>
      </c>
      <c r="D46" s="34">
        <f>IF(A46&lt;'Общие данные'!$B$81,'График аннуитет.'!F46-'График аннуитет.'!E46,'График аннуитет.'!C46)</f>
        <v>0</v>
      </c>
      <c r="E46" s="34">
        <f>ROUND(C46*'Общие данные'!$B$84/H46,2)*'График аннуитет.'!G46</f>
        <v>0</v>
      </c>
      <c r="F46" s="34">
        <f>IF(A46&lt;'Общие данные'!$B$81,'График аннуитет.'!F45,'График аннуитет.'!D46+'График аннуитет.'!E46)</f>
        <v>0</v>
      </c>
      <c r="G46" s="15">
        <f t="shared" si="6"/>
        <v>0</v>
      </c>
      <c r="H46" s="15">
        <f t="shared" si="7"/>
        <v>366</v>
      </c>
    </row>
    <row r="47" spans="1:8" x14ac:dyDescent="0.25">
      <c r="A47" s="18">
        <f t="shared" si="8"/>
        <v>40</v>
      </c>
      <c r="B47" s="33" t="b">
        <f>'График дифференц'!B47</f>
        <v>0</v>
      </c>
      <c r="C47" s="34">
        <f t="shared" si="5"/>
        <v>0</v>
      </c>
      <c r="D47" s="34">
        <f>IF(A47&lt;'Общие данные'!$B$81,'График аннуитет.'!F47-'График аннуитет.'!E47,'График аннуитет.'!C47)</f>
        <v>0</v>
      </c>
      <c r="E47" s="34">
        <f>ROUND(C47*'Общие данные'!$B$84/H47,2)*'График аннуитет.'!G47</f>
        <v>0</v>
      </c>
      <c r="F47" s="34">
        <f>IF(A47&lt;'Общие данные'!$B$81,'График аннуитет.'!F46,'График аннуитет.'!D47+'График аннуитет.'!E47)</f>
        <v>0</v>
      </c>
      <c r="G47" s="15">
        <f t="shared" si="6"/>
        <v>0</v>
      </c>
      <c r="H47" s="15">
        <f t="shared" si="7"/>
        <v>366</v>
      </c>
    </row>
    <row r="48" spans="1:8" x14ac:dyDescent="0.25">
      <c r="A48" s="18">
        <f t="shared" si="8"/>
        <v>41</v>
      </c>
      <c r="B48" s="33" t="b">
        <f>'График дифференц'!B48</f>
        <v>0</v>
      </c>
      <c r="C48" s="34">
        <f t="shared" si="5"/>
        <v>0</v>
      </c>
      <c r="D48" s="34">
        <f>IF(A48&lt;'Общие данные'!$B$81,'График аннуитет.'!F48-'График аннуитет.'!E48,'График аннуитет.'!C48)</f>
        <v>0</v>
      </c>
      <c r="E48" s="34">
        <f>ROUND(C48*'Общие данные'!$B$84/H48,2)*'График аннуитет.'!G48</f>
        <v>0</v>
      </c>
      <c r="F48" s="34">
        <f>IF(A48&lt;'Общие данные'!$B$81,'График аннуитет.'!F47,'График аннуитет.'!D48+'График аннуитет.'!E48)</f>
        <v>0</v>
      </c>
      <c r="G48" s="15">
        <f t="shared" si="6"/>
        <v>0</v>
      </c>
      <c r="H48" s="15">
        <f t="shared" si="7"/>
        <v>366</v>
      </c>
    </row>
    <row r="49" spans="1:8" x14ac:dyDescent="0.25">
      <c r="A49" s="18">
        <f t="shared" si="8"/>
        <v>42</v>
      </c>
      <c r="B49" s="33" t="b">
        <f>'График дифференц'!B49</f>
        <v>0</v>
      </c>
      <c r="C49" s="34">
        <f t="shared" si="5"/>
        <v>0</v>
      </c>
      <c r="D49" s="34">
        <f>IF(A49&lt;'Общие данные'!$B$81,'График аннуитет.'!F49-'График аннуитет.'!E49,'График аннуитет.'!C49)</f>
        <v>0</v>
      </c>
      <c r="E49" s="34">
        <f>ROUND(C49*'Общие данные'!$B$84/H49,2)*'График аннуитет.'!G49</f>
        <v>0</v>
      </c>
      <c r="F49" s="34">
        <f>IF(A49&lt;'Общие данные'!$B$81,'График аннуитет.'!F48,'График аннуитет.'!D49+'График аннуитет.'!E49)</f>
        <v>0</v>
      </c>
      <c r="G49" s="15">
        <f t="shared" si="6"/>
        <v>0</v>
      </c>
      <c r="H49" s="15">
        <f t="shared" si="7"/>
        <v>366</v>
      </c>
    </row>
    <row r="50" spans="1:8" x14ac:dyDescent="0.25">
      <c r="A50" s="18">
        <f t="shared" si="8"/>
        <v>43</v>
      </c>
      <c r="B50" s="33" t="b">
        <f>'График дифференц'!B50</f>
        <v>0</v>
      </c>
      <c r="C50" s="34">
        <f t="shared" si="5"/>
        <v>0</v>
      </c>
      <c r="D50" s="34">
        <f>IF(A50&lt;'Общие данные'!$B$81,'График аннуитет.'!F50-'График аннуитет.'!E50,'График аннуитет.'!C50)</f>
        <v>0</v>
      </c>
      <c r="E50" s="34">
        <f>ROUND(C50*'Общие данные'!$B$84/H50,2)*'График аннуитет.'!G50</f>
        <v>0</v>
      </c>
      <c r="F50" s="34">
        <f>IF(A50&lt;'Общие данные'!$B$81,'График аннуитет.'!F49,'График аннуитет.'!D50+'График аннуитет.'!E50)</f>
        <v>0</v>
      </c>
      <c r="G50" s="15">
        <f t="shared" si="6"/>
        <v>0</v>
      </c>
      <c r="H50" s="15">
        <f t="shared" si="7"/>
        <v>366</v>
      </c>
    </row>
    <row r="51" spans="1:8" x14ac:dyDescent="0.25">
      <c r="A51" s="18">
        <f t="shared" si="8"/>
        <v>44</v>
      </c>
      <c r="B51" s="33" t="b">
        <f>'График дифференц'!B51</f>
        <v>0</v>
      </c>
      <c r="C51" s="34">
        <f t="shared" si="5"/>
        <v>0</v>
      </c>
      <c r="D51" s="34">
        <f>IF(A51&lt;'Общие данные'!$B$81,'График аннуитет.'!F51-'График аннуитет.'!E51,'График аннуитет.'!C51)</f>
        <v>0</v>
      </c>
      <c r="E51" s="34">
        <f>ROUND(C51*'Общие данные'!$B$84/H51,2)*'График аннуитет.'!G51</f>
        <v>0</v>
      </c>
      <c r="F51" s="34">
        <f>IF(A51&lt;'Общие данные'!$B$81,'График аннуитет.'!F50,'График аннуитет.'!D51+'График аннуитет.'!E51)</f>
        <v>0</v>
      </c>
      <c r="G51" s="15">
        <f t="shared" si="6"/>
        <v>0</v>
      </c>
      <c r="H51" s="15">
        <f t="shared" si="7"/>
        <v>366</v>
      </c>
    </row>
    <row r="52" spans="1:8" x14ac:dyDescent="0.25">
      <c r="A52" s="18">
        <f t="shared" si="8"/>
        <v>45</v>
      </c>
      <c r="B52" s="33" t="b">
        <f>'График дифференц'!B52</f>
        <v>0</v>
      </c>
      <c r="C52" s="34">
        <f t="shared" si="5"/>
        <v>0</v>
      </c>
      <c r="D52" s="34">
        <f>IF(A52&lt;'Общие данные'!$B$81,'График аннуитет.'!F52-'График аннуитет.'!E52,'График аннуитет.'!C52)</f>
        <v>0</v>
      </c>
      <c r="E52" s="34">
        <f>ROUND(C52*'Общие данные'!$B$84/H52,2)*'График аннуитет.'!G52</f>
        <v>0</v>
      </c>
      <c r="F52" s="34">
        <f>IF(A52&lt;'Общие данные'!$B$81,'График аннуитет.'!F51,'График аннуитет.'!D52+'График аннуитет.'!E52)</f>
        <v>0</v>
      </c>
      <c r="G52" s="15">
        <f t="shared" si="6"/>
        <v>0</v>
      </c>
      <c r="H52" s="15">
        <f t="shared" si="7"/>
        <v>366</v>
      </c>
    </row>
    <row r="53" spans="1:8" x14ac:dyDescent="0.25">
      <c r="A53" s="18">
        <f t="shared" si="8"/>
        <v>46</v>
      </c>
      <c r="B53" s="33" t="b">
        <f>'График дифференц'!B53</f>
        <v>0</v>
      </c>
      <c r="C53" s="34">
        <f t="shared" si="5"/>
        <v>0</v>
      </c>
      <c r="D53" s="34">
        <f>IF(A53&lt;'Общие данные'!$B$81,'График аннуитет.'!F53-'График аннуитет.'!E53,'График аннуитет.'!C53)</f>
        <v>0</v>
      </c>
      <c r="E53" s="34">
        <f>ROUND(C53*'Общие данные'!$B$84/H53,2)*'График аннуитет.'!G53</f>
        <v>0</v>
      </c>
      <c r="F53" s="34">
        <f>IF(A53&lt;'Общие данные'!$B$81,'График аннуитет.'!F52,'График аннуитет.'!D53+'График аннуитет.'!E53)</f>
        <v>0</v>
      </c>
      <c r="G53" s="15">
        <f t="shared" si="6"/>
        <v>0</v>
      </c>
      <c r="H53" s="15">
        <f t="shared" si="7"/>
        <v>366</v>
      </c>
    </row>
    <row r="54" spans="1:8" x14ac:dyDescent="0.25">
      <c r="A54" s="18">
        <f t="shared" si="8"/>
        <v>47</v>
      </c>
      <c r="B54" s="33" t="b">
        <f>'График дифференц'!B54</f>
        <v>0</v>
      </c>
      <c r="C54" s="34">
        <f t="shared" si="5"/>
        <v>0</v>
      </c>
      <c r="D54" s="34">
        <f>IF(A54&lt;'Общие данные'!$B$81,'График аннуитет.'!F54-'График аннуитет.'!E54,'График аннуитет.'!C54)</f>
        <v>0</v>
      </c>
      <c r="E54" s="34">
        <f>ROUND(C54*'Общие данные'!$B$84/H54,2)*'График аннуитет.'!G54</f>
        <v>0</v>
      </c>
      <c r="F54" s="34">
        <f>IF(A54&lt;'Общие данные'!$B$81,'График аннуитет.'!F53,'График аннуитет.'!D54+'График аннуитет.'!E54)</f>
        <v>0</v>
      </c>
      <c r="G54" s="15">
        <f t="shared" si="6"/>
        <v>0</v>
      </c>
      <c r="H54" s="15">
        <f t="shared" si="7"/>
        <v>366</v>
      </c>
    </row>
    <row r="55" spans="1:8" x14ac:dyDescent="0.25">
      <c r="A55" s="18">
        <f t="shared" si="8"/>
        <v>48</v>
      </c>
      <c r="B55" s="33" t="b">
        <f>'График дифференц'!B55</f>
        <v>0</v>
      </c>
      <c r="C55" s="34">
        <f t="shared" si="5"/>
        <v>0</v>
      </c>
      <c r="D55" s="34">
        <f>IF(A55&lt;'Общие данные'!$B$81,'График аннуитет.'!F55-'График аннуитет.'!E55,'График аннуитет.'!C55)</f>
        <v>0</v>
      </c>
      <c r="E55" s="34">
        <f>ROUND(C55*'Общие данные'!$B$84/H55,2)*'График аннуитет.'!G55</f>
        <v>0</v>
      </c>
      <c r="F55" s="34">
        <f>IF(A55&lt;'Общие данные'!$B$81,'График аннуитет.'!F54,'График аннуитет.'!D55+'График аннуитет.'!E55)</f>
        <v>0</v>
      </c>
      <c r="G55" s="15">
        <f t="shared" si="6"/>
        <v>0</v>
      </c>
      <c r="H55" s="15">
        <f t="shared" si="7"/>
        <v>366</v>
      </c>
    </row>
    <row r="56" spans="1:8" x14ac:dyDescent="0.25">
      <c r="A56" s="46"/>
      <c r="B56" s="47" t="s">
        <v>7</v>
      </c>
      <c r="C56" s="48"/>
      <c r="D56" s="48">
        <f>SUM(D8:D43)</f>
        <v>59999999.99999997</v>
      </c>
      <c r="E56" s="48">
        <f t="shared" ref="E56:F56" si="9">SUM(E8:E43)</f>
        <v>52078221.920000002</v>
      </c>
      <c r="F56" s="48">
        <f t="shared" si="9"/>
        <v>112078221.91999999</v>
      </c>
    </row>
    <row r="57" spans="1:8" ht="9" customHeight="1" x14ac:dyDescent="0.25">
      <c r="B57" s="35"/>
      <c r="C57" s="36"/>
      <c r="D57" s="36"/>
      <c r="E57" s="36"/>
      <c r="F57" s="36"/>
    </row>
    <row r="58" spans="1:8" ht="47.25" customHeight="1" x14ac:dyDescent="0.25">
      <c r="A58" s="237" t="s">
        <v>17</v>
      </c>
      <c r="B58" s="237"/>
      <c r="C58" s="237"/>
      <c r="D58" s="237"/>
      <c r="E58" s="237"/>
      <c r="F58" s="237"/>
    </row>
    <row r="59" spans="1:8" ht="7.5" customHeight="1" x14ac:dyDescent="0.25"/>
    <row r="60" spans="1:8" x14ac:dyDescent="0.25">
      <c r="A60" s="251" t="e">
        <f>#REF!</f>
        <v>#REF!</v>
      </c>
      <c r="B60" s="251"/>
      <c r="C60" s="251"/>
      <c r="D60" s="251" t="e">
        <f>#REF!</f>
        <v>#REF!</v>
      </c>
      <c r="E60" s="251"/>
      <c r="F60" s="251"/>
    </row>
    <row r="61" spans="1:8" ht="11.25" customHeight="1" x14ac:dyDescent="0.25">
      <c r="A61" s="252"/>
      <c r="B61" s="252"/>
      <c r="C61" s="252"/>
      <c r="D61" s="252"/>
      <c r="E61" s="252"/>
      <c r="F61" s="252"/>
    </row>
    <row r="62" spans="1:8" ht="30" customHeight="1" x14ac:dyDescent="0.25">
      <c r="A62" s="250" t="e">
        <f>#REF!</f>
        <v>#REF!</v>
      </c>
      <c r="B62" s="250"/>
      <c r="C62" s="250"/>
      <c r="D62" s="250" t="e">
        <f>#REF!</f>
        <v>#REF!</v>
      </c>
      <c r="E62" s="250"/>
      <c r="F62" s="250"/>
    </row>
    <row r="63" spans="1:8" ht="32.25" customHeight="1" x14ac:dyDescent="0.25">
      <c r="A63" s="246" t="e">
        <f>#REF!</f>
        <v>#REF!</v>
      </c>
      <c r="B63" s="246"/>
      <c r="C63" s="246"/>
      <c r="D63" s="246" t="e">
        <f>#REF!</f>
        <v>#REF!</v>
      </c>
      <c r="E63" s="246"/>
      <c r="F63" s="246"/>
    </row>
    <row r="64" spans="1:8" x14ac:dyDescent="0.25">
      <c r="A64" s="246" t="e">
        <f>#REF!</f>
        <v>#REF!</v>
      </c>
      <c r="B64" s="246"/>
      <c r="C64" s="246"/>
      <c r="D64" s="246" t="str">
        <f>"паспорт серии "&amp;'Общие данные'!B16&amp;", "&amp;'Общие данные'!B20&amp;""</f>
        <v>паспорт серии AE 6482058, IIV 35210 tomonidan 25.02.2026 yilda berilgan</v>
      </c>
      <c r="E64" s="246"/>
      <c r="F64" s="246"/>
    </row>
    <row r="65" spans="1:6" ht="32.25" customHeight="1" x14ac:dyDescent="0.25">
      <c r="A65" s="246" t="e">
        <f>#REF!</f>
        <v>#REF!</v>
      </c>
      <c r="B65" s="246"/>
      <c r="C65" s="246"/>
      <c r="D65" s="246"/>
      <c r="E65" s="246"/>
      <c r="F65" s="246"/>
    </row>
    <row r="66" spans="1:6" x14ac:dyDescent="0.25">
      <c r="A66" s="246" t="e">
        <f>#REF!</f>
        <v>#REF!</v>
      </c>
      <c r="B66" s="246"/>
      <c r="C66" s="246"/>
      <c r="D66" s="246" t="e">
        <f>#REF!</f>
        <v>#REF!</v>
      </c>
      <c r="E66" s="246"/>
      <c r="F66" s="246"/>
    </row>
    <row r="67" spans="1:6" x14ac:dyDescent="0.25">
      <c r="A67" s="246" t="e">
        <f>#REF!</f>
        <v>#REF!</v>
      </c>
      <c r="B67" s="246"/>
      <c r="C67" s="246"/>
      <c r="D67" s="246" t="e">
        <f>#REF!</f>
        <v>#REF!</v>
      </c>
      <c r="E67" s="246"/>
      <c r="F67" s="246"/>
    </row>
    <row r="68" spans="1:6" x14ac:dyDescent="0.25">
      <c r="A68" s="246" t="e">
        <f>#REF!</f>
        <v>#REF!</v>
      </c>
      <c r="B68" s="246"/>
      <c r="C68" s="246"/>
      <c r="D68" s="246" t="e">
        <f>#REF!</f>
        <v>#REF!</v>
      </c>
      <c r="E68" s="246"/>
      <c r="F68" s="246"/>
    </row>
    <row r="69" spans="1:6" ht="8.25" customHeight="1" x14ac:dyDescent="0.25">
      <c r="A69" s="246"/>
      <c r="B69" s="246"/>
      <c r="C69" s="246"/>
      <c r="D69" s="246"/>
      <c r="E69" s="246"/>
      <c r="F69" s="246"/>
    </row>
    <row r="70" spans="1:6" x14ac:dyDescent="0.25">
      <c r="A70" s="250" t="e">
        <f>#REF!</f>
        <v>#REF!</v>
      </c>
      <c r="B70" s="250"/>
      <c r="C70" s="250"/>
      <c r="D70" s="250" t="e">
        <f>#REF!</f>
        <v>#REF!</v>
      </c>
      <c r="E70" s="250"/>
      <c r="F70" s="250"/>
    </row>
    <row r="71" spans="1:6" ht="7.5" customHeight="1" x14ac:dyDescent="0.25">
      <c r="A71" s="250"/>
      <c r="B71" s="250"/>
      <c r="C71" s="250"/>
      <c r="D71" s="250"/>
      <c r="E71" s="250"/>
      <c r="F71" s="250"/>
    </row>
    <row r="72" spans="1:6" x14ac:dyDescent="0.25">
      <c r="A72" s="250" t="e">
        <f>#REF!</f>
        <v>#REF!</v>
      </c>
      <c r="B72" s="250"/>
      <c r="C72" s="250"/>
      <c r="D72" s="250" t="e">
        <f>#REF!</f>
        <v>#REF!</v>
      </c>
      <c r="E72" s="250"/>
      <c r="F72" s="250"/>
    </row>
    <row r="73" spans="1:6" ht="8.25" customHeight="1" x14ac:dyDescent="0.25">
      <c r="A73" s="246"/>
      <c r="B73" s="246"/>
      <c r="C73" s="246"/>
      <c r="D73" s="246"/>
      <c r="E73" s="246"/>
      <c r="F73" s="246"/>
    </row>
    <row r="74" spans="1:6" ht="30" customHeight="1" x14ac:dyDescent="0.25">
      <c r="A74" s="247"/>
      <c r="B74" s="247"/>
      <c r="C74" s="247"/>
      <c r="D74" s="248"/>
      <c r="E74" s="248"/>
      <c r="F74" s="248"/>
    </row>
    <row r="75" spans="1:6" x14ac:dyDescent="0.25">
      <c r="A75" s="249"/>
      <c r="B75" s="249"/>
      <c r="C75" s="249"/>
      <c r="D75" s="249"/>
      <c r="E75" s="249"/>
      <c r="F75" s="249"/>
    </row>
    <row r="76" spans="1:6" x14ac:dyDescent="0.25">
      <c r="A76" s="245"/>
      <c r="B76" s="245"/>
      <c r="C76" s="245"/>
      <c r="D76" s="245"/>
      <c r="E76" s="245"/>
      <c r="F76" s="245"/>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7" priority="4" operator="lessThan">
      <formula>22105</formula>
    </cfRule>
  </conditionalFormatting>
  <conditionalFormatting sqref="C8:C55">
    <cfRule type="cellIs" dxfId="6" priority="3" operator="lessThan">
      <formula>1</formula>
    </cfRule>
  </conditionalFormatting>
  <conditionalFormatting sqref="C8:F55">
    <cfRule type="cellIs" dxfId="5" priority="1" operator="lessThan">
      <formula>0.1</formula>
    </cfRule>
  </conditionalFormatting>
  <pageMargins left="0.7" right="0.7" top="0.75" bottom="0.75" header="0.3" footer="0.3"/>
  <pageSetup paperSize="9" scale="92"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00B050"/>
  </sheetPr>
  <dimension ref="A1:F43"/>
  <sheetViews>
    <sheetView view="pageBreakPreview" zoomScaleSheetLayoutView="100" workbookViewId="0">
      <selection activeCell="A21" sqref="A21:F21"/>
    </sheetView>
  </sheetViews>
  <sheetFormatPr defaultColWidth="9.140625" defaultRowHeight="12.75" x14ac:dyDescent="0.2"/>
  <cols>
    <col min="1" max="6" width="14.28515625" style="24" customWidth="1"/>
    <col min="7" max="16384" width="9.140625" style="24"/>
  </cols>
  <sheetData>
    <row r="1" spans="1:6" x14ac:dyDescent="0.2">
      <c r="A1" s="259" t="s">
        <v>212</v>
      </c>
      <c r="B1" s="259"/>
      <c r="C1" s="259"/>
      <c r="D1" s="259"/>
      <c r="E1" s="259"/>
      <c r="F1" s="259"/>
    </row>
    <row r="2" spans="1:6" ht="35.25" customHeight="1" x14ac:dyDescent="0.2">
      <c r="A2" s="260" t="s">
        <v>322</v>
      </c>
      <c r="B2" s="260"/>
      <c r="C2" s="260"/>
      <c r="D2" s="260"/>
      <c r="E2" s="260"/>
      <c r="F2" s="260"/>
    </row>
    <row r="3" spans="1:6" x14ac:dyDescent="0.2">
      <c r="A3" s="259" t="s">
        <v>213</v>
      </c>
      <c r="B3" s="259"/>
      <c r="C3" s="259"/>
      <c r="D3" s="259"/>
      <c r="E3" s="259"/>
      <c r="F3" s="259"/>
    </row>
    <row r="4" spans="1:6" x14ac:dyDescent="0.2">
      <c r="A4" s="258" t="str">
        <f>'Заключение КК'!A4:E4</f>
        <v>Mijozning to'liq ismi sharifi: BAYRAMGELDIYEV NURGELDI QODOMBOY O'G'LI</v>
      </c>
      <c r="B4" s="258"/>
      <c r="C4" s="258"/>
      <c r="D4" s="258"/>
      <c r="E4" s="258"/>
      <c r="F4" s="258"/>
    </row>
    <row r="5" spans="1:6" x14ac:dyDescent="0.2">
      <c r="A5" s="258" t="str">
        <f>'Заключение КК'!A5:E5</f>
        <v>Tug'ilgan sanasi: 10.09.1999 y</v>
      </c>
      <c r="B5" s="258"/>
      <c r="C5" s="258"/>
      <c r="D5" s="258"/>
      <c r="E5" s="258"/>
      <c r="F5" s="258"/>
    </row>
    <row r="6" spans="1:6" ht="32.25" customHeight="1" x14ac:dyDescent="0.2">
      <c r="A6" s="258" t="str">
        <f>'Заключение КК'!A6:E6</f>
        <v>Pasport seriyasi AE 6482058 IIV 35210 tomonidan 25.02.2026 yilda berilgan, amal qilish muddati - 24.02.2036 y.</v>
      </c>
      <c r="B6" s="258"/>
      <c r="C6" s="258"/>
      <c r="D6" s="258"/>
      <c r="E6" s="258"/>
      <c r="F6" s="258"/>
    </row>
    <row r="7" spans="1:6" x14ac:dyDescent="0.2">
      <c r="A7" s="258" t="str">
        <f>"Fuqaroligi: "&amp;'Общие данные'!B32&amp;""</f>
        <v>Fuqaroligi: O’zbekiston Respublikasi</v>
      </c>
      <c r="B7" s="258"/>
      <c r="C7" s="258"/>
      <c r="D7" s="258"/>
      <c r="E7" s="258"/>
      <c r="F7" s="258"/>
    </row>
    <row r="8" spans="1:6" ht="26.25" customHeight="1" x14ac:dyDescent="0.2">
      <c r="A8" s="258" t="str">
        <f>'Заключение КК'!A7:E7</f>
        <v xml:space="preserve">Ro‘yxatdan o‘tgan manzili: QORAQALPOG'ISTON RESPUBLIKASI ELLIKQAL'A TUMANI JASORAT MFY PAXTABIRLIK KO'CHASI 7-UY, mo'ljal: PAXTA ZAVODNI YON TOMONI KALENIN OXIRI </v>
      </c>
      <c r="B8" s="258"/>
      <c r="C8" s="258"/>
      <c r="D8" s="258"/>
      <c r="E8" s="258"/>
      <c r="F8" s="258"/>
    </row>
    <row r="9" spans="1:6" ht="25.5" customHeight="1" x14ac:dyDescent="0.2">
      <c r="A9" s="258" t="str">
        <f>IF('Общие данные'!B23="mos keladi"," ",'Анкета Клиента'!A10:F10)</f>
        <v xml:space="preserve"> </v>
      </c>
      <c r="B9" s="258"/>
      <c r="C9" s="258"/>
      <c r="D9" s="258"/>
      <c r="E9" s="258"/>
      <c r="F9" s="258"/>
    </row>
    <row r="10" spans="1:6" ht="31.5" hidden="1" customHeight="1" x14ac:dyDescent="0.2">
      <c r="A10" s="258" t="str">
        <f>"Haqiqatdan yashash joy manzili: "&amp;'Общие данные'!B28&amp;""</f>
        <v>Haqiqatdan yashash joy manzili: QORAQALPOG'ISTON RESPUBLIKASI ELLIKQAL'A TUMANI JASORAT MFY PAXTABIRLIK KO'CHASI 7-UY</v>
      </c>
      <c r="B10" s="258"/>
      <c r="C10" s="258"/>
      <c r="D10" s="258"/>
      <c r="E10" s="258"/>
      <c r="F10" s="258"/>
    </row>
    <row r="11" spans="1:6" ht="16.5" hidden="1" customHeight="1" x14ac:dyDescent="0.2">
      <c r="A11" s="258" t="str">
        <f>'Заключение КК'!A8:E8</f>
        <v>Ish joyi:  lavozimi Йўловчиларни енгил автотранспорт воситаларида ташишda O'Z O'ZINI BAND QILGAN FUQARO</v>
      </c>
      <c r="B11" s="258"/>
      <c r="C11" s="258"/>
      <c r="D11" s="258"/>
      <c r="E11" s="258"/>
      <c r="F11" s="258"/>
    </row>
    <row r="12" spans="1:6" x14ac:dyDescent="0.2">
      <c r="A12" s="259" t="s">
        <v>214</v>
      </c>
      <c r="B12" s="259"/>
      <c r="C12" s="259"/>
      <c r="D12" s="259"/>
      <c r="E12" s="259"/>
      <c r="F12" s="259"/>
    </row>
    <row r="13" spans="1:6" x14ac:dyDescent="0.2">
      <c r="A13" s="258" t="str">
        <f>"Uy telefoni raqami: "&amp;'Общие данные'!B40&amp;""</f>
        <v>Uy telefoni raqami: 93 842 10 99 KLIENT</v>
      </c>
      <c r="B13" s="258"/>
      <c r="C13" s="258"/>
      <c r="D13" s="258"/>
      <c r="E13" s="258"/>
      <c r="F13" s="258"/>
    </row>
    <row r="14" spans="1:6" x14ac:dyDescent="0.2">
      <c r="A14" s="258" t="str">
        <f>"Uyali telefon raqami: "&amp;'Общие данные'!B41&amp;""</f>
        <v>Uyali telefon raqami: 94-886-00-39 AYOLI</v>
      </c>
      <c r="B14" s="258"/>
      <c r="C14" s="258"/>
      <c r="D14" s="258"/>
      <c r="E14" s="258"/>
      <c r="F14" s="258"/>
    </row>
    <row r="15" spans="1:6" x14ac:dyDescent="0.2">
      <c r="A15" s="258" t="str">
        <f>"Uyali telefon raqami: "&amp;'Общие данные'!B42&amp;""</f>
        <v>Uyali telefon raqami: 93-073-74-12 ONASI</v>
      </c>
      <c r="B15" s="258"/>
      <c r="C15" s="258"/>
      <c r="D15" s="258"/>
      <c r="E15" s="258"/>
      <c r="F15" s="258"/>
    </row>
    <row r="16" spans="1:6" hidden="1" x14ac:dyDescent="0.2">
      <c r="A16" s="258" t="str">
        <f>"Uyali telefon raqami: "&amp;'Общие данные'!B42&amp;""</f>
        <v>Uyali telefon raqami: 93-073-74-12 ONASI</v>
      </c>
      <c r="B16" s="258"/>
      <c r="C16" s="258"/>
      <c r="D16" s="258"/>
      <c r="E16" s="258"/>
      <c r="F16" s="258"/>
    </row>
    <row r="17" spans="1:6" x14ac:dyDescent="0.2">
      <c r="A17" s="258" t="str">
        <f>"Ish telefoni raqami: "&amp;'Общие данные'!B43&amp;""</f>
        <v xml:space="preserve">Ish telefoni raqami: </v>
      </c>
      <c r="B17" s="258"/>
      <c r="C17" s="258"/>
      <c r="D17" s="258"/>
      <c r="E17" s="258"/>
      <c r="F17" s="258"/>
    </row>
    <row r="18" spans="1:6" x14ac:dyDescent="0.2">
      <c r="A18" s="259" t="s">
        <v>215</v>
      </c>
      <c r="B18" s="259"/>
      <c r="C18" s="259"/>
      <c r="D18" s="259"/>
      <c r="E18" s="259"/>
      <c r="F18" s="259"/>
    </row>
    <row r="19" spans="1:6" x14ac:dyDescent="0.2">
      <c r="A19" s="258" t="str">
        <f>"Muassasa nomlanishi:"&amp;'Общие данные'!B58&amp;""</f>
        <v>Muassasa nomlanishi:O'Z O'ZINI BAND QILGAN FUQARO № №0012784845</v>
      </c>
      <c r="B19" s="258"/>
      <c r="C19" s="258"/>
      <c r="D19" s="258"/>
      <c r="E19" s="258"/>
      <c r="F19" s="258"/>
    </row>
    <row r="20" spans="1:6" x14ac:dyDescent="0.2">
      <c r="A20" s="258" t="str">
        <f>"Ro‘yxatdan o‘tish manzili:"&amp;'Общие данные'!B50&amp;""</f>
        <v>Ro‘yxatdan o‘tish manzili:Qoraqalpogʼiston Resp. Ellikqalʼa tumani</v>
      </c>
      <c r="B20" s="258"/>
      <c r="C20" s="258"/>
      <c r="D20" s="258"/>
      <c r="E20" s="258"/>
      <c r="F20" s="258"/>
    </row>
    <row r="21" spans="1:6" x14ac:dyDescent="0.2">
      <c r="A21" s="258" t="str">
        <f>"Lavozimi: "&amp;'Общие данные'!B59&amp;""</f>
        <v>Lavozimi: Йўловчиларни енгил автотранспорт воситаларида ташиш</v>
      </c>
      <c r="B21" s="258"/>
      <c r="C21" s="258"/>
      <c r="D21" s="258"/>
      <c r="E21" s="258"/>
      <c r="F21" s="258"/>
    </row>
    <row r="22" spans="1:6" x14ac:dyDescent="0.2">
      <c r="A22" s="259" t="s">
        <v>216</v>
      </c>
      <c r="B22" s="261"/>
      <c r="C22" s="261"/>
      <c r="D22" s="261"/>
      <c r="E22" s="261"/>
      <c r="F22" s="261"/>
    </row>
    <row r="23" spans="1:6" s="26" customFormat="1" ht="25.5" x14ac:dyDescent="0.25">
      <c r="A23" s="25" t="s">
        <v>217</v>
      </c>
      <c r="B23" s="25" t="s">
        <v>218</v>
      </c>
      <c r="C23" s="25" t="s">
        <v>219</v>
      </c>
      <c r="D23" s="25" t="s">
        <v>220</v>
      </c>
      <c r="E23" s="25" t="s">
        <v>221</v>
      </c>
      <c r="F23" s="25" t="s">
        <v>222</v>
      </c>
    </row>
    <row r="24" spans="1:6" ht="51" x14ac:dyDescent="0.2">
      <c r="A24" s="27" t="s">
        <v>223</v>
      </c>
      <c r="B24" s="28">
        <f>'Общие данные'!B60</f>
        <v>10000000</v>
      </c>
      <c r="C24" s="28">
        <v>0</v>
      </c>
      <c r="D24" s="28">
        <v>0</v>
      </c>
      <c r="E24" s="27" t="s">
        <v>226</v>
      </c>
      <c r="F24" s="28">
        <v>700000</v>
      </c>
    </row>
    <row r="25" spans="1:6" ht="25.5" x14ac:dyDescent="0.2">
      <c r="A25" s="27" t="s">
        <v>224</v>
      </c>
      <c r="B25" s="28">
        <v>0</v>
      </c>
      <c r="C25" s="28">
        <v>0</v>
      </c>
      <c r="D25" s="28">
        <v>0</v>
      </c>
      <c r="E25" s="27" t="s">
        <v>227</v>
      </c>
      <c r="F25" s="28">
        <v>500000</v>
      </c>
    </row>
    <row r="26" spans="1:6" ht="28.5" customHeight="1" x14ac:dyDescent="0.2">
      <c r="A26" s="27" t="s">
        <v>225</v>
      </c>
      <c r="B26" s="28">
        <f>'Общие данные'!B61</f>
        <v>9000000</v>
      </c>
      <c r="C26" s="28">
        <v>0</v>
      </c>
      <c r="D26" s="28">
        <v>0</v>
      </c>
      <c r="E26" s="27" t="s">
        <v>228</v>
      </c>
      <c r="F26" s="28">
        <v>600000</v>
      </c>
    </row>
    <row r="27" spans="1:6" s="31" customFormat="1" x14ac:dyDescent="0.2">
      <c r="A27" s="29" t="s">
        <v>204</v>
      </c>
      <c r="B27" s="30">
        <f>B24+B25+B26</f>
        <v>19000000</v>
      </c>
      <c r="C27" s="30">
        <f t="shared" ref="C27:F27" si="0">SUM(C24:C26)</f>
        <v>0</v>
      </c>
      <c r="D27" s="30">
        <f t="shared" si="0"/>
        <v>0</v>
      </c>
      <c r="E27" s="29"/>
      <c r="F27" s="30">
        <f t="shared" si="0"/>
        <v>1800000</v>
      </c>
    </row>
    <row r="28" spans="1:6" ht="31.5" customHeight="1" x14ac:dyDescent="0.2">
      <c r="A28" s="258" t="str">
        <f>"Men, "&amp;'Общие данные'!B5&amp;", ushbu anketada ko‘rsatilgan barcha ma'lumotlar anketa to'ldirilgan sanada  to'g'ri va aniq ekanligini tasdiqlayman."</f>
        <v>Men, BAYRAMGELDIYEV NURGELDI QODOMBOY O'G'LI, ushbu anketada ko‘rsatilgan barcha ma'lumotlar anketa to'ldirilgan sanada  to'g'ri va aniq ekanligini tasdiqlayman.</v>
      </c>
      <c r="B28" s="258"/>
      <c r="C28" s="258"/>
      <c r="D28" s="258"/>
      <c r="E28" s="258"/>
      <c r="F28" s="258"/>
    </row>
    <row r="29" spans="1:6" x14ac:dyDescent="0.2">
      <c r="A29" s="258" t="str">
        <f>"Men,  "&amp;'Общие данные'!B5&amp;", quyidagilarni tan olaman va roziman::"</f>
        <v>Men,  BAYRAMGELDIYEV NURGELDI QODOMBOY O'G'LI, quyidagilarni tan olaman va roziman::</v>
      </c>
      <c r="B29" s="258"/>
      <c r="C29" s="258"/>
      <c r="D29" s="258"/>
      <c r="E29" s="258"/>
      <c r="F29" s="258"/>
    </row>
    <row r="30" spans="1:6" ht="45.75" customHeight="1" x14ac:dyDescent="0.2">
      <c r="A30" s="25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58"/>
      <c r="C30" s="258"/>
      <c r="D30" s="258"/>
      <c r="E30" s="258"/>
      <c r="F30" s="258"/>
    </row>
    <row r="31" spans="1:6" ht="42.75" customHeight="1" x14ac:dyDescent="0.2">
      <c r="A31" s="258" t="str">
        <f>"2. Mazkur anketaning "&amp;'Общие данные'!B147&amp;" tomonidan qabul qilinishi «PULLOL BUSINESS MIKROMOLIYA TASHKILOTI»  MChJ tomonidan menga "&amp;'Общие данные'!B65&amp;" berish majburiyatini yuklamaydi."</f>
        <v>2. Mazkur anketaning «PULLOL BUSINESS MIKROMOLIYA TASHKILOTI»  MChJ tomonidan qabul qilinishi «PULLOL BUSINESS MIKROMOLIYA TASHKILOTI»  MChJ tomonidan menga mikroqarz berish majburiyatini yuklamaydi.</v>
      </c>
      <c r="B31" s="258"/>
      <c r="C31" s="258"/>
      <c r="D31" s="258"/>
      <c r="E31" s="258"/>
      <c r="F31" s="258"/>
    </row>
    <row r="32" spans="1:6" ht="71.25" customHeight="1" x14ac:dyDescent="0.2">
      <c r="A32" s="258" t="s">
        <v>229</v>
      </c>
      <c r="B32" s="258"/>
      <c r="C32" s="258"/>
      <c r="D32" s="258"/>
      <c r="E32" s="258"/>
      <c r="F32" s="258"/>
    </row>
    <row r="33" spans="1:6" x14ac:dyDescent="0.2">
      <c r="A33" s="258"/>
      <c r="B33" s="258"/>
      <c r="C33" s="258"/>
      <c r="D33" s="258"/>
      <c r="E33" s="258"/>
      <c r="F33" s="258"/>
    </row>
    <row r="34" spans="1:6" ht="12.75" customHeight="1" x14ac:dyDescent="0.2">
      <c r="A34" s="261" t="s">
        <v>230</v>
      </c>
      <c r="B34" s="261"/>
      <c r="C34" s="261"/>
      <c r="D34" s="150" t="s">
        <v>153</v>
      </c>
      <c r="E34" s="261" t="s">
        <v>231</v>
      </c>
      <c r="F34" s="261"/>
    </row>
    <row r="35" spans="1:6" ht="25.5" customHeight="1" x14ac:dyDescent="0.2">
      <c r="A35" s="262"/>
      <c r="B35" s="262"/>
      <c r="C35" s="262"/>
      <c r="D35" s="263" t="str">
        <f>'Общие данные'!B2</f>
        <v>05.03.2026</v>
      </c>
      <c r="E35" s="262"/>
      <c r="F35" s="262"/>
    </row>
    <row r="36" spans="1:6" ht="25.5" customHeight="1" x14ac:dyDescent="0.2">
      <c r="A36" s="262"/>
      <c r="B36" s="262"/>
      <c r="C36" s="262"/>
      <c r="D36" s="263"/>
      <c r="E36" s="262"/>
      <c r="F36" s="262"/>
    </row>
    <row r="37" spans="1:6" x14ac:dyDescent="0.2">
      <c r="A37" s="258"/>
      <c r="B37" s="258"/>
      <c r="C37" s="258"/>
      <c r="D37" s="258"/>
      <c r="E37" s="258"/>
      <c r="F37" s="258"/>
    </row>
    <row r="38" spans="1:6" x14ac:dyDescent="0.2">
      <c r="A38" s="258"/>
      <c r="B38" s="258"/>
      <c r="C38" s="258"/>
      <c r="D38" s="258"/>
      <c r="E38" s="258"/>
      <c r="F38" s="258"/>
    </row>
    <row r="39" spans="1:6" x14ac:dyDescent="0.2">
      <c r="A39" s="258"/>
      <c r="B39" s="258"/>
      <c r="C39" s="258"/>
      <c r="D39" s="258"/>
      <c r="E39" s="258"/>
      <c r="F39" s="258"/>
    </row>
    <row r="40" spans="1:6" x14ac:dyDescent="0.2">
      <c r="A40" s="258"/>
      <c r="B40" s="258"/>
      <c r="C40" s="258"/>
      <c r="D40" s="258"/>
      <c r="E40" s="258"/>
      <c r="F40" s="258"/>
    </row>
    <row r="41" spans="1:6" x14ac:dyDescent="0.2">
      <c r="A41" s="258"/>
      <c r="B41" s="258"/>
      <c r="C41" s="258"/>
      <c r="D41" s="258"/>
      <c r="E41" s="258"/>
      <c r="F41" s="258"/>
    </row>
    <row r="42" spans="1:6" x14ac:dyDescent="0.2">
      <c r="A42" s="258"/>
      <c r="B42" s="258"/>
      <c r="C42" s="258"/>
      <c r="D42" s="258"/>
      <c r="E42" s="258"/>
      <c r="F42" s="258"/>
    </row>
    <row r="43" spans="1:6" x14ac:dyDescent="0.2">
      <c r="A43" s="258"/>
      <c r="B43" s="258"/>
      <c r="C43" s="258"/>
      <c r="D43" s="258"/>
      <c r="E43" s="258"/>
      <c r="F43" s="25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6">
    <tabColor rgb="FF00B050"/>
  </sheetPr>
  <dimension ref="A1:E77"/>
  <sheetViews>
    <sheetView view="pageBreakPreview" zoomScaleSheetLayoutView="100" workbookViewId="0">
      <selection activeCell="A10" sqref="A10:D10"/>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x14ac:dyDescent="0.25">
      <c r="C1" s="265" t="str">
        <f>""&amp;'Общие данные'!B147&amp;"ning
"&amp;'Общие данные'!A160&amp;""</f>
        <v>«PULLOL BUSINESS MIKROMOLIYA TASHKILOTI»  MChJning
To'rtko'l filiali boshlig’i</v>
      </c>
      <c r="D1" s="265"/>
    </row>
    <row r="2" spans="1:4" x14ac:dyDescent="0.25">
      <c r="C2" s="13"/>
      <c r="D2" s="14" t="str">
        <f>""&amp;'Общие данные'!B160&amp;"ga"</f>
        <v>Djumanazarov B.A.ga</v>
      </c>
    </row>
    <row r="4" spans="1:4" x14ac:dyDescent="0.25">
      <c r="A4" s="264" t="str">
        <f>""&amp;'Общие данные'!C64&amp;" olish uchun Ariza"</f>
        <v>Mikroqarz olish uchun Ariza</v>
      </c>
      <c r="B4" s="264"/>
      <c r="C4" s="264"/>
      <c r="D4" s="264"/>
    </row>
    <row r="5" spans="1:4" x14ac:dyDescent="0.25">
      <c r="A5" s="264"/>
      <c r="B5" s="264"/>
      <c r="C5" s="264"/>
      <c r="D5" s="264"/>
    </row>
    <row r="6" spans="1:4" ht="66" customHeight="1" x14ac:dyDescent="0.25">
      <c r="A6" s="266" t="str">
        <f>""&amp;'Общие данные'!B28&amp;".-da yashovchi O‘zbekiston Respublikasi fuqarosi "&amp;'Общие данные'!B8&amp;"dan. "</f>
        <v xml:space="preserve">QORAQALPOG'ISTON RESPUBLIKASI ELLIKQAL'A TUMANI JASORAT MFY PAXTABIRLIK KO'CHASI 7-UY.-da yashovchi O‘zbekiston Respublikasi fuqarosi BAYRAMGELDIYEV NURGELDI QODOMBOY O'G'LIdan. </v>
      </c>
      <c r="B6" s="266"/>
      <c r="C6" s="266"/>
      <c r="D6" s="266"/>
    </row>
    <row r="7" spans="1:4" ht="19.5" customHeight="1" x14ac:dyDescent="0.25">
      <c r="A7" s="266" t="str">
        <f>"Tug'ilgan kuni: "&amp;'Общие данные'!B15&amp;""</f>
        <v>Tug'ilgan kuni: 10.09.1999 y</v>
      </c>
      <c r="B7" s="266"/>
      <c r="C7" s="266"/>
      <c r="D7" s="266"/>
    </row>
    <row r="8" spans="1:4" ht="34.5" customHeight="1" x14ac:dyDescent="0.25">
      <c r="A8" s="266" t="str">
        <f>"Pasport seriyasi: "&amp;'Общие данные'!B16&amp;" "&amp;'Общие данные'!B20&amp;""</f>
        <v>Pasport seriyasi: AE 6482058 IIV 35210 tomonidan 25.02.2026 yilda berilgan</v>
      </c>
      <c r="B8" s="266"/>
      <c r="C8" s="266"/>
      <c r="D8" s="266"/>
    </row>
    <row r="9" spans="1:4" ht="16.5" customHeight="1" x14ac:dyDescent="0.25">
      <c r="A9" s="266" t="str">
        <f>"Asosiy ish joyi : "&amp;'Общие данные'!B58&amp;""</f>
        <v>Asosiy ish joyi : O'Z O'ZINI BAND QILGAN FUQARO № №0012784845</v>
      </c>
      <c r="B9" s="266"/>
      <c r="C9" s="266"/>
      <c r="D9" s="266"/>
    </row>
    <row r="10" spans="1:4" ht="15.75" customHeight="1" x14ac:dyDescent="0.25">
      <c r="A10" s="266" t="str">
        <f>"Lavozimi: "&amp;'Общие данные'!B59&amp;""</f>
        <v>Lavozimi: Йўловчиларни енгил автотранспорт воситаларида ташиш</v>
      </c>
      <c r="B10" s="266"/>
      <c r="C10" s="266"/>
      <c r="D10" s="266"/>
    </row>
    <row r="11" spans="1:4" x14ac:dyDescent="0.25">
      <c r="A11" s="266" t="str">
        <f>"O’rtacha oylik daromadi: "&amp;FIXED('Общие данные'!D61,2)&amp;" so'm."</f>
        <v>O’rtacha oylik daromadi: 19 000 000,00 so'm.</v>
      </c>
      <c r="B11" s="266"/>
      <c r="C11" s="266"/>
      <c r="D11" s="266"/>
    </row>
    <row r="12" spans="1:4" x14ac:dyDescent="0.25">
      <c r="A12" s="266" t="str">
        <f>"Menga quyidagi shartlarda "&amp;'Общие данные'!B65&amp;" berishingizni so’rayman:"</f>
        <v>Menga quyidagi shartlarda mikroqarz berishingizni so’rayman:</v>
      </c>
      <c r="B12" s="266"/>
      <c r="C12" s="266"/>
      <c r="D12" s="266"/>
    </row>
    <row r="13" spans="1:4" x14ac:dyDescent="0.25">
      <c r="A13" s="266" t="str">
        <f>""&amp;'Общие данные'!C64&amp;" summasi: "&amp;FIXED('Общие данные'!B75,2)&amp;" ("&amp;'Общие данные'!B76&amp;") so'm."</f>
        <v>Mikroqarz summasi: 60 000 000,00 (oltmish million so'm) so'm.</v>
      </c>
      <c r="B13" s="266"/>
      <c r="C13" s="266"/>
      <c r="D13" s="266"/>
    </row>
    <row r="14" spans="1:4" x14ac:dyDescent="0.25">
      <c r="A14" s="266" t="str">
        <f>""&amp;'Общие данные'!C64&amp;" muddati: "&amp;'Общие данные'!B81&amp;" ("&amp;'Общие данные'!B82&amp;") oy."</f>
        <v>Mikroqarz muddati: 30 (o'ttiz) oy.</v>
      </c>
      <c r="B14" s="266"/>
      <c r="C14" s="266"/>
      <c r="D14" s="266"/>
    </row>
    <row r="15" spans="1:4" ht="17.25" customHeight="1" x14ac:dyDescent="0.25">
      <c r="A15" s="266" t="str">
        <f>""&amp;'Общие данные'!C64&amp;"dan foydalanganlik uchun foiz stavkasi: yillik  "&amp;'Общие данные'!B85&amp;"% ("&amp;'Общие данные'!B86&amp;") foiz"</f>
        <v>Mikroqarzdan foydalanganlik uchun foiz stavkasi: yillik  55% (Ellik besh  ) foiz</v>
      </c>
      <c r="B15" s="266"/>
      <c r="C15" s="266"/>
      <c r="D15" s="266"/>
    </row>
    <row r="16" spans="1:4" x14ac:dyDescent="0.25">
      <c r="A16" s="266" t="str">
        <f>""&amp;'Общие данные'!C64&amp;" bo'yicha asosiy qarz va foizlarni to'lash:"</f>
        <v>Mikroqarz bo'yicha asosiy qarz va foizlarni to'lash:</v>
      </c>
      <c r="B16" s="266"/>
      <c r="C16" s="266"/>
      <c r="D16" s="266"/>
    </row>
    <row r="17" spans="1:5" ht="20.25" hidden="1" customHeight="1" x14ac:dyDescent="0.25">
      <c r="A17" s="267" t="str">
        <f>" - "&amp;'Общие данные'!B65&amp;" shartnomasi bo'yicha har oy differensial to'lovlari amalga oshiriladi"</f>
        <v xml:space="preserve"> - mikroqarz shartnomasi bo'yicha har oy differensial to'lovlari amalga oshiriladi</v>
      </c>
      <c r="B17" s="267"/>
      <c r="C17" s="267"/>
      <c r="D17" s="267"/>
    </row>
    <row r="18" spans="1:5" ht="33.75" hidden="1" customHeight="1" x14ac:dyDescent="0.25">
      <c r="A18" s="267" t="str">
        <f>" - "&amp;'Общие данные'!B65&amp;" shartnomasi bo'yicha har oy annuitet to'lovlari amalga oshiriladi"</f>
        <v xml:space="preserve"> - mikroqarz shartnomasi bo'yicha har oy annuitet to'lovlari amalga oshiriladi</v>
      </c>
      <c r="B18" s="267"/>
      <c r="C18" s="267"/>
      <c r="D18" s="267"/>
    </row>
    <row r="19" spans="1:5" ht="33.75" customHeight="1" x14ac:dyDescent="0.25">
      <c r="A19" s="267" t="str">
        <f>IF('Общие данные'!B77='Общие данные'!C77,'Кредитная заявка'!A17:D17,IF('Общие данные'!B77='Общие данные'!D77,'Кредитная заявка'!A18:D18))</f>
        <v xml:space="preserve"> - mikroqarz shartnomasi bo'yicha har oy annuitet to'lovlari amalga oshiriladi</v>
      </c>
      <c r="B19" s="267"/>
      <c r="C19" s="267"/>
      <c r="D19" s="267"/>
    </row>
    <row r="20" spans="1:5" ht="33.75" hidden="1" customHeight="1" x14ac:dyDescent="0.25">
      <c r="A20" s="266" t="str">
        <f>IF(DAY('Общие данные'!F67)&lt;15,"   ","  Oxirgi yakuniy to'lov "&amp;'Общие данные'!B65&amp;" shartnomasi tuzilgan kundan boshlab oxirgi oyning oxirgi kunida amalga oshiriladi")</f>
        <v xml:space="preserve">   </v>
      </c>
      <c r="B20" s="266"/>
      <c r="C20" s="266"/>
      <c r="D20" s="266"/>
    </row>
    <row r="21" spans="1:5" x14ac:dyDescent="0.25">
      <c r="A21" s="266" t="str">
        <f>""&amp;'Общие данные'!C64&amp;" ta’minoti::"</f>
        <v>Mikroqarz ta’minoti::</v>
      </c>
      <c r="B21" s="266"/>
      <c r="C21" s="266"/>
      <c r="D21" s="266"/>
    </row>
    <row r="22" spans="1:5" ht="79.5" customHeight="1" x14ac:dyDescent="0.25">
      <c r="A22" s="267" t="str">
        <f>IF('Общие данные'!B103="Avtotransport",A26,A23)</f>
        <v xml:space="preserve">  Egalik huquqi BAYRAMGELDIYEV NURGELDI QODOMBOY O'G'LIga tegishli bo'lgan garovga olingan avtomobil markasi   COBALT, rangi -  OQ GAZ, ishlab chiqarilgan yili - 2021, davlat raqam belgisi 95H906KA, kuzov turi - YENGIL SEDAN, kuzov raqami XWBJF69VEMA215312, dvigatel raqami B15D2T13210582DJCX0088, shassi raqami - RAKAMSIZ</v>
      </c>
      <c r="B22" s="267"/>
      <c r="C22" s="267"/>
      <c r="D22" s="267"/>
    </row>
    <row r="23" spans="1:5" ht="79.5" hidden="1" customHeight="1" x14ac:dyDescent="0.25">
      <c r="A23" s="267" t="str">
        <f>IF('Общие данные'!B92='Общие данные'!C92,A25,IF('Общие данные'!B92='Общие данные'!D92,A24,0))</f>
        <v xml:space="preserve"> Egalik huquqi BAYRAMGELDIYEV NURGELDI QODOMBOY O'G'LIga tegishli bo'lgan umumiy maydoni - 72,13  va yashash maydoni - 37,39 3 - xonali yakka tartibdagi uy-joy, SAMARQAND VILOYATI TAYLOQ TUMANI CHAROG'BON MFY YANGI TAYLOQ QISHLOG'I 6 TURAR JOY 12 QAVAT 58 XONADON </v>
      </c>
      <c r="B23" s="267"/>
      <c r="C23" s="267"/>
      <c r="D23" s="267"/>
    </row>
    <row r="24" spans="1:5" ht="96.75" hidden="1" customHeight="1" x14ac:dyDescent="0.25">
      <c r="A24" s="267"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BAYRAMGELDIYEV NURGELDI QODOMBOY O'G'LIga 3 - xonali yakka tartibdagi uy-joy, umumiy maydoni - 72,13 va yashash maydoni - 37,39, manzili: SAMARQAND VILOYATI TAYLOQ TUMANI CHAROG'BON MFY YANGI TAYLOQ QISHLOG'I 6 TURAR JOY 12 QAVAT 58 XONADON.</v>
      </c>
      <c r="B24" s="267"/>
      <c r="C24" s="267"/>
      <c r="D24" s="267"/>
      <c r="E24" s="156"/>
    </row>
    <row r="25" spans="1:5" ht="92.25" hidden="1" customHeight="1" x14ac:dyDescent="0.25">
      <c r="A25" s="267"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BAYRAMGELDIYEV NURGELDI QODOMBOY O'G'LIga tegishli bo'lgan umumiy maydoni - 72,13  va yashash maydoni - 37,39 3 - xonali yakka tartibdagi uy-joy, SAMARQAND VILOYATI TAYLOQ TUMANI CHAROG'BON MFY YANGI TAYLOQ QISHLOG'I 6 TURAR JOY 12 QAVAT 58 XONADON </v>
      </c>
      <c r="B25" s="267"/>
      <c r="C25" s="267"/>
      <c r="D25" s="267"/>
    </row>
    <row r="26" spans="1:5" ht="78" hidden="1" customHeight="1" x14ac:dyDescent="0.25">
      <c r="A26" s="267" t="str">
        <f>IF('Общие данные'!B92='Общие данные'!C92,'Кредитная заявка'!A28:D28,IF('Общие данные'!B92='Общие данные'!D92,'Кредитная заявка'!A27:D27,0))</f>
        <v xml:space="preserve">  Egalik huquqi BAYRAMGELDIYEV NURGELDI QODOMBOY O'G'LIga tegishli bo'lgan garovga olingan avtomobil markasi   COBALT, rangi -  OQ GAZ, ishlab chiqarilgan yili - 2021, davlat raqam belgisi 95H906KA, kuzov turi - YENGIL SEDAN, kuzov raqami XWBJF69VEMA215312, dvigatel raqami B15D2T13210582DJCX0088, shassi raqami - RAKAMSIZ</v>
      </c>
      <c r="B26" s="267"/>
      <c r="C26" s="267"/>
      <c r="D26" s="267"/>
    </row>
    <row r="27" spans="1:5" ht="93" hidden="1" customHeight="1" x14ac:dyDescent="0.25">
      <c r="A27" s="267"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BAYRAMGELDIYEV NURGELDI QODOMBOY O'G'LIga tegishli bo'lgan COBALT, rangi -  OQ GAZ, ishlab chiqarilgan yili - 2021, davlat raqam belgisi 95H906KA, kuzov turi - YENGIL SEDAN, kuzov raqami XWBJF69VEMA215312, dvigatel raqami B15D2T13210582DJCX0088, shassi raqami - RAKAMSIZ avtotransport vositasi </v>
      </c>
      <c r="B27" s="267"/>
      <c r="C27" s="267"/>
      <c r="D27" s="267"/>
    </row>
    <row r="28" spans="1:5" ht="93.75" hidden="1" customHeight="1" x14ac:dyDescent="0.25">
      <c r="A28" s="267"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BAYRAMGELDIYEV NURGELDI QODOMBOY O'G'LIga tegishli bo'lgan garovga olingan avtomobil markasi   COBALT, rangi -  OQ GAZ, ishlab chiqarilgan yili - 2021, davlat raqam belgisi 95H906KA, kuzov turi - YENGIL SEDAN, kuzov raqami XWBJF69VEMA215312, dvigatel raqami B15D2T13210582DJCX0088, shassi raqami - RAKAMSIZ</v>
      </c>
      <c r="B28" s="267"/>
      <c r="C28" s="267"/>
      <c r="D28" s="267"/>
    </row>
    <row r="29" spans="1:5" ht="10.5" customHeight="1" x14ac:dyDescent="0.25">
      <c r="A29" s="266"/>
      <c r="B29" s="266"/>
      <c r="C29" s="266"/>
      <c r="D29" s="266"/>
    </row>
    <row r="30" spans="1:5" ht="53.25" customHeight="1" x14ac:dyDescent="0.25">
      <c r="A30" s="267"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0" s="267"/>
      <c r="C30" s="267"/>
      <c r="D30" s="267"/>
    </row>
    <row r="31" spans="1:5" ht="15.75" customHeight="1" x14ac:dyDescent="0.25">
      <c r="A31" s="267" t="s">
        <v>243</v>
      </c>
      <c r="B31" s="267"/>
      <c r="C31" s="267"/>
      <c r="D31" s="267"/>
    </row>
    <row r="32" spans="1:5" x14ac:dyDescent="0.25">
      <c r="A32" s="267" t="s">
        <v>244</v>
      </c>
      <c r="B32" s="267"/>
      <c r="C32" s="267"/>
      <c r="D32" s="267"/>
    </row>
    <row r="33" spans="1:4" x14ac:dyDescent="0.25">
      <c r="A33" s="267" t="s">
        <v>245</v>
      </c>
      <c r="B33" s="267"/>
      <c r="C33" s="267"/>
      <c r="D33" s="267"/>
    </row>
    <row r="34" spans="1:4" x14ac:dyDescent="0.25">
      <c r="A34" s="266" t="str">
        <f>"Ariza berilgan sana: "&amp;TEXT('Общие данные'!B2,"ДД.ММ.ГГГГ")&amp;"y."</f>
        <v>Ariza berilgan sana: 05.03.2026y.</v>
      </c>
      <c r="B34" s="266"/>
      <c r="C34" s="266"/>
      <c r="D34" s="266"/>
    </row>
    <row r="35" spans="1:4" x14ac:dyDescent="0.25">
      <c r="A35" s="266"/>
      <c r="B35" s="266"/>
      <c r="C35" s="266"/>
      <c r="D35" s="266"/>
    </row>
    <row r="36" spans="1:4" x14ac:dyDescent="0.25">
      <c r="A36" s="266" t="s">
        <v>246</v>
      </c>
      <c r="B36" s="266"/>
      <c r="C36" s="266"/>
      <c r="D36" s="266"/>
    </row>
    <row r="37" spans="1:4" x14ac:dyDescent="0.25">
      <c r="A37" s="266"/>
      <c r="B37" s="266"/>
      <c r="C37" s="266"/>
      <c r="D37" s="266"/>
    </row>
    <row r="38" spans="1:4" x14ac:dyDescent="0.25">
      <c r="A38" s="266"/>
      <c r="B38" s="266"/>
      <c r="C38" s="266"/>
      <c r="D38" s="266"/>
    </row>
    <row r="39" spans="1:4" ht="15.75" customHeight="1" x14ac:dyDescent="0.25">
      <c r="A39" s="268" t="str">
        <f>'Общие данные'!B5</f>
        <v>BAYRAMGELDIYEV NURGELDI QODOMBOY O'G'LI</v>
      </c>
      <c r="B39" s="268"/>
      <c r="C39" s="268"/>
      <c r="D39" s="11" t="s">
        <v>4</v>
      </c>
    </row>
    <row r="40" spans="1:4" x14ac:dyDescent="0.25">
      <c r="A40" s="10"/>
      <c r="B40" s="10"/>
      <c r="D40" s="12" t="s">
        <v>327</v>
      </c>
    </row>
    <row r="41" spans="1:4" x14ac:dyDescent="0.25">
      <c r="A41" s="266"/>
      <c r="B41" s="266"/>
      <c r="C41" s="266"/>
      <c r="D41" s="266"/>
    </row>
    <row r="42" spans="1:4" x14ac:dyDescent="0.25">
      <c r="A42" s="266"/>
      <c r="B42" s="266"/>
      <c r="C42" s="266"/>
      <c r="D42" s="266"/>
    </row>
    <row r="43" spans="1:4" x14ac:dyDescent="0.25">
      <c r="A43" s="266"/>
      <c r="B43" s="266"/>
      <c r="C43" s="266"/>
      <c r="D43" s="266"/>
    </row>
    <row r="44" spans="1:4" x14ac:dyDescent="0.25">
      <c r="A44" s="266"/>
      <c r="B44" s="266"/>
      <c r="C44" s="266"/>
      <c r="D44" s="266"/>
    </row>
    <row r="45" spans="1:4" x14ac:dyDescent="0.25">
      <c r="A45" s="266"/>
      <c r="B45" s="266"/>
      <c r="C45" s="266"/>
      <c r="D45" s="266"/>
    </row>
    <row r="46" spans="1:4" x14ac:dyDescent="0.25">
      <c r="A46" s="266"/>
      <c r="B46" s="266"/>
      <c r="C46" s="266"/>
      <c r="D46" s="266"/>
    </row>
    <row r="47" spans="1:4" x14ac:dyDescent="0.25">
      <c r="A47" s="266"/>
      <c r="B47" s="266"/>
      <c r="C47" s="266"/>
      <c r="D47" s="266"/>
    </row>
    <row r="48" spans="1:4" x14ac:dyDescent="0.25">
      <c r="A48" s="266"/>
      <c r="B48" s="266"/>
      <c r="C48" s="266"/>
      <c r="D48" s="266"/>
    </row>
    <row r="49" spans="1:4" x14ac:dyDescent="0.25">
      <c r="A49" s="266"/>
      <c r="B49" s="266"/>
      <c r="C49" s="266"/>
      <c r="D49" s="266"/>
    </row>
    <row r="50" spans="1:4" x14ac:dyDescent="0.25">
      <c r="A50" s="266"/>
      <c r="B50" s="266"/>
      <c r="C50" s="266"/>
      <c r="D50" s="266"/>
    </row>
    <row r="51" spans="1:4" x14ac:dyDescent="0.25">
      <c r="A51" s="266"/>
      <c r="B51" s="266"/>
      <c r="C51" s="266"/>
      <c r="D51" s="266"/>
    </row>
    <row r="52" spans="1:4" x14ac:dyDescent="0.25">
      <c r="A52" s="266"/>
      <c r="B52" s="266"/>
      <c r="C52" s="266"/>
      <c r="D52" s="266"/>
    </row>
    <row r="53" spans="1:4" x14ac:dyDescent="0.25">
      <c r="A53" s="266"/>
      <c r="B53" s="266"/>
      <c r="C53" s="266"/>
      <c r="D53" s="266"/>
    </row>
    <row r="54" spans="1:4" x14ac:dyDescent="0.25">
      <c r="A54" s="266"/>
      <c r="B54" s="266"/>
      <c r="C54" s="266"/>
      <c r="D54" s="266"/>
    </row>
    <row r="55" spans="1:4" x14ac:dyDescent="0.25">
      <c r="A55" s="266"/>
      <c r="B55" s="266"/>
      <c r="C55" s="266"/>
      <c r="D55" s="266"/>
    </row>
    <row r="56" spans="1:4" x14ac:dyDescent="0.25">
      <c r="A56" s="266"/>
      <c r="B56" s="266"/>
      <c r="C56" s="266"/>
      <c r="D56" s="266"/>
    </row>
    <row r="57" spans="1:4" x14ac:dyDescent="0.25">
      <c r="A57" s="266"/>
      <c r="B57" s="266"/>
      <c r="C57" s="266"/>
      <c r="D57" s="266"/>
    </row>
    <row r="58" spans="1:4" x14ac:dyDescent="0.25">
      <c r="A58" s="266"/>
      <c r="B58" s="266"/>
      <c r="C58" s="266"/>
      <c r="D58" s="266"/>
    </row>
    <row r="59" spans="1:4" x14ac:dyDescent="0.25">
      <c r="A59" s="266"/>
      <c r="B59" s="266"/>
      <c r="C59" s="266"/>
      <c r="D59" s="266"/>
    </row>
    <row r="60" spans="1:4" x14ac:dyDescent="0.25">
      <c r="A60" s="266"/>
      <c r="B60" s="266"/>
      <c r="C60" s="266"/>
      <c r="D60" s="266"/>
    </row>
    <row r="61" spans="1:4" x14ac:dyDescent="0.25">
      <c r="A61" s="266"/>
      <c r="B61" s="266"/>
      <c r="C61" s="266"/>
      <c r="D61" s="266"/>
    </row>
    <row r="62" spans="1:4" x14ac:dyDescent="0.25">
      <c r="A62" s="266"/>
      <c r="B62" s="266"/>
      <c r="C62" s="266"/>
      <c r="D62" s="266"/>
    </row>
    <row r="63" spans="1:4" x14ac:dyDescent="0.25">
      <c r="A63" s="266"/>
      <c r="B63" s="266"/>
      <c r="C63" s="266"/>
      <c r="D63" s="266"/>
    </row>
    <row r="64" spans="1:4" x14ac:dyDescent="0.25">
      <c r="A64" s="266"/>
      <c r="B64" s="266"/>
      <c r="C64" s="266"/>
      <c r="D64" s="266"/>
    </row>
    <row r="65" spans="1:4" x14ac:dyDescent="0.25">
      <c r="A65" s="266"/>
      <c r="B65" s="266"/>
      <c r="C65" s="266"/>
      <c r="D65" s="266"/>
    </row>
    <row r="66" spans="1:4" x14ac:dyDescent="0.25">
      <c r="A66" s="266"/>
      <c r="B66" s="266"/>
      <c r="C66" s="266"/>
      <c r="D66" s="266"/>
    </row>
    <row r="67" spans="1:4" x14ac:dyDescent="0.25">
      <c r="A67" s="266"/>
      <c r="B67" s="266"/>
      <c r="C67" s="266"/>
      <c r="D67" s="266"/>
    </row>
    <row r="68" spans="1:4" x14ac:dyDescent="0.25">
      <c r="A68" s="266"/>
      <c r="B68" s="266"/>
      <c r="C68" s="266"/>
      <c r="D68" s="266"/>
    </row>
    <row r="69" spans="1:4" x14ac:dyDescent="0.25">
      <c r="A69" s="266"/>
      <c r="B69" s="266"/>
      <c r="C69" s="266"/>
      <c r="D69" s="266"/>
    </row>
    <row r="70" spans="1:4" x14ac:dyDescent="0.25">
      <c r="A70" s="266"/>
      <c r="B70" s="266"/>
      <c r="C70" s="266"/>
      <c r="D70" s="266"/>
    </row>
    <row r="71" spans="1:4" x14ac:dyDescent="0.25">
      <c r="A71" s="266"/>
      <c r="B71" s="266"/>
      <c r="C71" s="266"/>
      <c r="D71" s="266"/>
    </row>
    <row r="72" spans="1:4" x14ac:dyDescent="0.25">
      <c r="A72" s="266"/>
      <c r="B72" s="266"/>
      <c r="C72" s="266"/>
      <c r="D72" s="266"/>
    </row>
    <row r="73" spans="1:4" x14ac:dyDescent="0.25">
      <c r="A73" s="266"/>
      <c r="B73" s="266"/>
      <c r="C73" s="266"/>
      <c r="D73" s="266"/>
    </row>
    <row r="74" spans="1:4" x14ac:dyDescent="0.25">
      <c r="A74" s="266"/>
      <c r="B74" s="266"/>
      <c r="C74" s="266"/>
      <c r="D74" s="266"/>
    </row>
    <row r="75" spans="1:4" x14ac:dyDescent="0.25">
      <c r="A75" s="266"/>
      <c r="B75" s="266"/>
      <c r="C75" s="266"/>
      <c r="D75" s="266"/>
    </row>
    <row r="76" spans="1:4" x14ac:dyDescent="0.25">
      <c r="A76" s="266"/>
      <c r="B76" s="266"/>
      <c r="C76" s="266"/>
      <c r="D76" s="266"/>
    </row>
    <row r="77" spans="1:4" x14ac:dyDescent="0.25">
      <c r="A77" s="266"/>
      <c r="B77" s="266"/>
      <c r="C77" s="266"/>
      <c r="D77" s="266"/>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0866141732283472" right="0.70866141732283472" top="0.74803149606299213" bottom="0.74803149606299213" header="0.31496062992125984" footer="0.31496062992125984"/>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F28" sqref="F28"/>
    </sheetView>
  </sheetViews>
  <sheetFormatPr defaultColWidth="9.140625" defaultRowHeight="15.75" x14ac:dyDescent="0.2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x14ac:dyDescent="0.25">
      <c r="A2" s="273" t="s">
        <v>232</v>
      </c>
      <c r="B2" s="273"/>
      <c r="C2" s="273"/>
      <c r="D2" s="273"/>
      <c r="E2" s="273"/>
    </row>
    <row r="3" spans="1:5" x14ac:dyDescent="0.25">
      <c r="E3" s="121" t="str">
        <f>'Общие данные'!B68</f>
        <v>5 mart 2026 y.</v>
      </c>
    </row>
    <row r="5" spans="1:5" s="123" customFormat="1" ht="27" customHeight="1" x14ac:dyDescent="0.25">
      <c r="A5" s="277" t="s">
        <v>233</v>
      </c>
      <c r="B5" s="278"/>
      <c r="C5" s="274" t="str">
        <f>'Общие данные'!B8</f>
        <v>BAYRAMGELDIYEV NURGELDI QODOMBOY O'G'LI</v>
      </c>
      <c r="D5" s="275"/>
      <c r="E5" s="276"/>
    </row>
    <row r="7" spans="1:5" ht="15.75" customHeight="1" x14ac:dyDescent="0.25">
      <c r="A7" s="279" t="s">
        <v>349</v>
      </c>
      <c r="B7" s="280"/>
      <c r="C7" s="281"/>
      <c r="D7" s="124" t="s">
        <v>128</v>
      </c>
      <c r="E7" s="124"/>
    </row>
    <row r="8" spans="1:5" x14ac:dyDescent="0.25">
      <c r="A8" s="282"/>
      <c r="B8" s="283"/>
      <c r="C8" s="284"/>
      <c r="D8" s="124" t="s">
        <v>237</v>
      </c>
      <c r="E8" s="124"/>
    </row>
    <row r="9" spans="1:5" ht="15.75" customHeight="1" x14ac:dyDescent="0.25">
      <c r="A9" s="270" t="s">
        <v>234</v>
      </c>
      <c r="B9" s="270"/>
      <c r="C9" s="270"/>
      <c r="D9" s="124" t="s">
        <v>128</v>
      </c>
      <c r="E9" s="124"/>
    </row>
    <row r="10" spans="1:5" x14ac:dyDescent="0.25">
      <c r="A10" s="270"/>
      <c r="B10" s="270"/>
      <c r="C10" s="270"/>
      <c r="D10" s="124" t="s">
        <v>237</v>
      </c>
      <c r="E10" s="124"/>
    </row>
    <row r="11" spans="1:5" ht="15.75" customHeight="1" x14ac:dyDescent="0.25">
      <c r="A11" s="270" t="s">
        <v>235</v>
      </c>
      <c r="B11" s="270"/>
      <c r="C11" s="270"/>
      <c r="D11" s="124" t="s">
        <v>128</v>
      </c>
      <c r="E11" s="124"/>
    </row>
    <row r="12" spans="1:5" x14ac:dyDescent="0.25">
      <c r="A12" s="270"/>
      <c r="B12" s="270"/>
      <c r="C12" s="270"/>
      <c r="D12" s="124" t="s">
        <v>237</v>
      </c>
      <c r="E12" s="124"/>
    </row>
    <row r="13" spans="1:5" ht="34.5" customHeight="1" x14ac:dyDescent="0.25">
      <c r="A13" s="271" t="s">
        <v>236</v>
      </c>
      <c r="B13" s="271"/>
      <c r="C13" s="271"/>
      <c r="D13" s="271"/>
      <c r="E13" s="271"/>
    </row>
    <row r="14" spans="1:5" ht="16.5" thickBot="1" x14ac:dyDescent="0.3">
      <c r="A14" s="272"/>
      <c r="B14" s="272"/>
      <c r="C14" s="272"/>
      <c r="D14" s="272"/>
      <c r="E14" s="272"/>
    </row>
    <row r="15" spans="1:5" ht="16.5" thickBot="1" x14ac:dyDescent="0.3">
      <c r="A15" s="272"/>
      <c r="B15" s="272"/>
      <c r="C15" s="272"/>
      <c r="D15" s="272"/>
      <c r="E15" s="272"/>
    </row>
    <row r="16" spans="1:5" ht="16.5" thickBot="1" x14ac:dyDescent="0.3">
      <c r="A16" s="272"/>
      <c r="B16" s="272"/>
      <c r="C16" s="272"/>
      <c r="D16" s="272"/>
      <c r="E16" s="272"/>
    </row>
    <row r="18" spans="1:8" ht="18.75" customHeight="1" x14ac:dyDescent="0.25">
      <c r="A18" s="270" t="s">
        <v>238</v>
      </c>
      <c r="B18" s="270"/>
      <c r="C18" s="270"/>
      <c r="D18" s="124" t="s">
        <v>128</v>
      </c>
      <c r="E18" s="124"/>
    </row>
    <row r="19" spans="1:8" ht="18.75" customHeight="1" x14ac:dyDescent="0.25">
      <c r="A19" s="270"/>
      <c r="B19" s="270"/>
      <c r="C19" s="270"/>
      <c r="D19" s="124" t="s">
        <v>237</v>
      </c>
      <c r="E19" s="124"/>
    </row>
    <row r="20" spans="1:8" ht="29.25" customHeight="1" x14ac:dyDescent="0.25">
      <c r="A20" s="270" t="s">
        <v>239</v>
      </c>
      <c r="B20" s="270"/>
      <c r="C20" s="270"/>
      <c r="D20" s="124" t="s">
        <v>128</v>
      </c>
      <c r="E20" s="124"/>
    </row>
    <row r="21" spans="1:8" ht="29.25" customHeight="1" x14ac:dyDescent="0.25">
      <c r="A21" s="270"/>
      <c r="B21" s="270"/>
      <c r="C21" s="270"/>
      <c r="D21" s="124" t="s">
        <v>237</v>
      </c>
      <c r="E21" s="124"/>
    </row>
    <row r="23" spans="1:8" ht="15.75" customHeight="1" x14ac:dyDescent="0.25">
      <c r="A23" s="271" t="s">
        <v>240</v>
      </c>
      <c r="B23" s="271"/>
      <c r="C23" s="271"/>
      <c r="D23" s="271"/>
      <c r="E23" s="271"/>
    </row>
    <row r="24" spans="1:8" ht="16.5" thickBot="1" x14ac:dyDescent="0.3">
      <c r="A24" s="272"/>
      <c r="B24" s="272"/>
      <c r="C24" s="272"/>
      <c r="D24" s="272"/>
      <c r="E24" s="272"/>
    </row>
    <row r="25" spans="1:8" ht="16.5" thickBot="1" x14ac:dyDescent="0.3">
      <c r="A25" s="272"/>
      <c r="B25" s="272"/>
      <c r="C25" s="272"/>
      <c r="D25" s="272"/>
      <c r="E25" s="272"/>
    </row>
    <row r="26" spans="1:8" ht="16.5" thickBot="1" x14ac:dyDescent="0.3">
      <c r="A26" s="272"/>
      <c r="B26" s="272"/>
      <c r="C26" s="272"/>
      <c r="D26" s="272"/>
      <c r="E26" s="272"/>
    </row>
    <row r="28" spans="1:8" ht="78.75" customHeight="1" x14ac:dyDescent="0.25">
      <c r="A28" s="269" t="s">
        <v>241</v>
      </c>
      <c r="B28" s="269"/>
      <c r="C28" s="269"/>
      <c r="D28" s="269"/>
      <c r="E28" s="269"/>
    </row>
    <row r="30" spans="1:8" ht="33" customHeight="1" x14ac:dyDescent="0.25">
      <c r="A30" s="269" t="s">
        <v>242</v>
      </c>
      <c r="B30" s="269"/>
      <c r="C30" s="269"/>
      <c r="D30" s="269"/>
      <c r="E30" s="269"/>
      <c r="F30" s="125"/>
      <c r="G30" s="125"/>
      <c r="H30" s="125"/>
    </row>
    <row r="33" spans="1:5" ht="16.5" thickBot="1" x14ac:dyDescent="0.3">
      <c r="A33" s="126" t="str">
        <f>C5</f>
        <v>BAYRAMGELDIYEV NURGELDI QODOMBOY O'G'LI</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22">
    <tabColor rgb="FF00B050"/>
  </sheetPr>
  <dimension ref="A3:C11"/>
  <sheetViews>
    <sheetView view="pageBreakPreview" zoomScaleNormal="100" zoomScaleSheetLayoutView="100" workbookViewId="0">
      <selection activeCell="C9" sqref="C9"/>
    </sheetView>
  </sheetViews>
  <sheetFormatPr defaultRowHeight="15" x14ac:dyDescent="0.25"/>
  <cols>
    <col min="1" max="1" width="54.42578125" style="15" customWidth="1"/>
    <col min="2" max="2" width="32.28515625" style="15" customWidth="1"/>
  </cols>
  <sheetData>
    <row r="3" spans="1:3" ht="35.25" customHeight="1" x14ac:dyDescent="0.25">
      <c r="A3" s="285" t="s">
        <v>209</v>
      </c>
      <c r="B3" s="285"/>
    </row>
    <row r="4" spans="1:3" ht="92.25" customHeight="1" x14ac:dyDescent="0.25">
      <c r="A4" s="237"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BAYRAMGELDIYEV NURGELDI QODOMBOY O'G'LI «PULLOL BUSINESS MIKROMOLIYA TASHKILOTI»  MChJ bilan 5 mart 2026 y. sanasidagi №194-TR-sonli shartnomaning garov ta'minoti sifatida taqdim etilayotgan mulk COBALT rusumli avtotransport vositasini qonunga xilof ravishda o‘zlashtirmaslikka, yashirmaslikka, nobud qilmaslikka yoki unga shikast yetkazmaslik majburiyatini olaman.</v>
      </c>
      <c r="B4" s="237"/>
    </row>
    <row r="5" spans="1:3" ht="56.25" customHeight="1" x14ac:dyDescent="0.25">
      <c r="A5" s="286" t="s">
        <v>210</v>
      </c>
      <c r="B5" s="286"/>
    </row>
    <row r="6" spans="1:3" ht="42.75" customHeight="1" x14ac:dyDescent="0.25"/>
    <row r="7" spans="1:3" x14ac:dyDescent="0.25">
      <c r="A7" s="15" t="str">
        <f>'Общие данные'!B5</f>
        <v>BAYRAMGELDIYEV NURGELDI QODOMBOY O'G'LI</v>
      </c>
      <c r="B7" s="137" t="s">
        <v>211</v>
      </c>
    </row>
    <row r="9" spans="1:3" x14ac:dyDescent="0.25">
      <c r="A9" s="15">
        <f>'Общие данные'!B105</f>
        <v>0</v>
      </c>
      <c r="B9" s="137" t="s">
        <v>211</v>
      </c>
      <c r="C9" t="s">
        <v>419</v>
      </c>
    </row>
    <row r="10" spans="1:3" ht="26.25" customHeight="1" x14ac:dyDescent="0.25"/>
    <row r="11" spans="1:3" x14ac:dyDescent="0.25">
      <c r="A11" s="15" t="str">
        <f>"sana:   "&amp;TEXT('Общие данные'!B2,"ДД.ММ.ГГГГ")&amp;" y."</f>
        <v>sana:   05.03.2026 y.</v>
      </c>
    </row>
  </sheetData>
  <mergeCells count="3">
    <mergeCell ref="A3:B3"/>
    <mergeCell ref="A4:B4"/>
    <mergeCell ref="A5:B5"/>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7">
    <tabColor rgb="FF00B050"/>
  </sheetPr>
  <dimension ref="A1:E60"/>
  <sheetViews>
    <sheetView view="pageBreakPreview" topLeftCell="A7" zoomScaleNormal="100" zoomScaleSheetLayoutView="100" workbookViewId="0">
      <selection activeCell="A25" sqref="A25:E25"/>
    </sheetView>
  </sheetViews>
  <sheetFormatPr defaultColWidth="9.140625" defaultRowHeight="15" outlineLevelRow="1" x14ac:dyDescent="0.25"/>
  <cols>
    <col min="1" max="1" width="23.7109375" style="15" customWidth="1"/>
    <col min="2" max="3" width="17" style="15" customWidth="1"/>
    <col min="4" max="4" width="15" style="15" customWidth="1"/>
    <col min="5" max="5" width="24.5703125" style="15" customWidth="1"/>
    <col min="6" max="16384" width="9.140625" style="15"/>
  </cols>
  <sheetData>
    <row r="1" spans="1:5" ht="36" customHeight="1" x14ac:dyDescent="0.25">
      <c r="A1" s="250" t="str">
        <f>""&amp;'Общие данные'!B147&amp;"
mikromoliya tashkilotining Xulosasi"</f>
        <v>«PULLOL BUSINESS MIKROMOLIYA TASHKILOTI»  MChJ
mikromoliya tashkilotining Xulosasi</v>
      </c>
      <c r="B1" s="250"/>
      <c r="C1" s="250"/>
      <c r="D1" s="250"/>
      <c r="E1" s="250"/>
    </row>
    <row r="2" spans="1:5" x14ac:dyDescent="0.25">
      <c r="A2" s="237"/>
      <c r="B2" s="237"/>
      <c r="C2" s="237"/>
      <c r="D2" s="237"/>
      <c r="E2" s="237"/>
    </row>
    <row r="3" spans="1:5" x14ac:dyDescent="0.25">
      <c r="A3" s="250" t="s">
        <v>198</v>
      </c>
      <c r="B3" s="250"/>
      <c r="C3" s="250"/>
      <c r="D3" s="250"/>
      <c r="E3" s="250"/>
    </row>
    <row r="4" spans="1:5" x14ac:dyDescent="0.25">
      <c r="A4" s="237" t="str">
        <f>"Mijozning to'liq ismi sharifi: "&amp;'Общие данные'!B5&amp;""</f>
        <v>Mijozning to'liq ismi sharifi: BAYRAMGELDIYEV NURGELDI QODOMBOY O'G'LI</v>
      </c>
      <c r="B4" s="237"/>
      <c r="C4" s="237"/>
      <c r="D4" s="237"/>
      <c r="E4" s="237"/>
    </row>
    <row r="5" spans="1:5" x14ac:dyDescent="0.25">
      <c r="A5" s="237" t="str">
        <f>"Tug'ilgan sanasi: "&amp;'Общие данные'!B15&amp;""</f>
        <v>Tug'ilgan sanasi: 10.09.1999 y</v>
      </c>
      <c r="B5" s="237"/>
      <c r="C5" s="237"/>
      <c r="D5" s="237"/>
      <c r="E5" s="237"/>
    </row>
    <row r="6" spans="1:5" ht="31.5" customHeight="1" x14ac:dyDescent="0.25">
      <c r="A6" s="237" t="str">
        <f>"Pasport seriyasi "&amp;'Общие данные'!B16&amp;" "&amp;'Общие данные'!B20&amp;", amal qilish muddati - "&amp;'Общие данные'!B21&amp;""</f>
        <v>Pasport seriyasi AE 6482058 IIV 35210 tomonidan 25.02.2026 yilda berilgan, amal qilish muddati - 24.02.2036 y.</v>
      </c>
      <c r="B6" s="237"/>
      <c r="C6" s="237"/>
      <c r="D6" s="237"/>
      <c r="E6" s="237"/>
    </row>
    <row r="7" spans="1:5" ht="48" customHeight="1" x14ac:dyDescent="0.25">
      <c r="A7" s="237" t="str">
        <f>"Ro‘yxatdan o‘tgan manzili: "&amp;'Общие данные'!B28&amp;", mo'ljal: "&amp;'Общие данные'!B26&amp;""</f>
        <v xml:space="preserve">Ro‘yxatdan o‘tgan manzili: QORAQALPOG'ISTON RESPUBLIKASI ELLIKQAL'A TUMANI JASORAT MFY PAXTABIRLIK KO'CHASI 7-UY, mo'ljal: PAXTA ZAVODNI YON TOMONI KALENIN OXIRI </v>
      </c>
      <c r="B7" s="237"/>
      <c r="C7" s="237"/>
      <c r="D7" s="237"/>
      <c r="E7" s="237"/>
    </row>
    <row r="8" spans="1:5" ht="33" customHeight="1" x14ac:dyDescent="0.25">
      <c r="A8" s="237" t="str">
        <f>"Ish joyi: "&amp;'Общие данные'!B52&amp;" lavozimi "&amp;'Общие данные'!B49&amp;"da "&amp;'Общие данные'!B44&amp;""</f>
        <v>Ish joyi:  lavozimi Йўловчиларни енгил автотранспорт воситаларида ташишda O'Z O'ZINI BAND QILGAN FUQARO</v>
      </c>
      <c r="B8" s="237"/>
      <c r="C8" s="237"/>
      <c r="D8" s="237"/>
      <c r="E8" s="237"/>
    </row>
    <row r="9" spans="1:5" x14ac:dyDescent="0.25">
      <c r="A9" s="237"/>
      <c r="B9" s="237"/>
      <c r="C9" s="237"/>
      <c r="D9" s="237"/>
      <c r="E9" s="237"/>
    </row>
    <row r="10" spans="1:5" x14ac:dyDescent="0.25">
      <c r="A10" s="250" t="str">
        <f>"Mijoz tomonidan so’ralgan "&amp;'Общие данные'!B65&amp;" shartlari:"</f>
        <v>Mijoz tomonidan so’ralgan mikroqarz shartlari:</v>
      </c>
      <c r="B10" s="250"/>
      <c r="C10" s="250"/>
      <c r="D10" s="250"/>
      <c r="E10" s="250"/>
    </row>
    <row r="11" spans="1:5" x14ac:dyDescent="0.25">
      <c r="A11" s="237" t="str">
        <f>'Кредитная заявка'!A13:D13</f>
        <v>Mikroqarz summasi: 60 000 000,00 (oltmish million so'm) so'm.</v>
      </c>
      <c r="B11" s="237"/>
      <c r="C11" s="237"/>
      <c r="D11" s="237"/>
      <c r="E11" s="237"/>
    </row>
    <row r="12" spans="1:5" x14ac:dyDescent="0.25">
      <c r="A12" s="237" t="str">
        <f>'Кредитная заявка'!A14:D14</f>
        <v>Mikroqarz muddati: 30 (o'ttiz) oy.</v>
      </c>
      <c r="B12" s="237"/>
      <c r="C12" s="237"/>
      <c r="D12" s="237"/>
      <c r="E12" s="237"/>
    </row>
    <row r="13" spans="1:5" x14ac:dyDescent="0.25">
      <c r="A13" s="237" t="str">
        <f>'Кредитная заявка'!A15:D15</f>
        <v>Mikroqarzdan foydalanganlik uchun foiz stavkasi: yillik  55% (Ellik besh  ) foiz</v>
      </c>
      <c r="B13" s="237"/>
      <c r="C13" s="237"/>
      <c r="D13" s="237"/>
      <c r="E13" s="237"/>
    </row>
    <row r="14" spans="1:5" x14ac:dyDescent="0.25">
      <c r="A14" s="237" t="str">
        <f>'Кредитная заявка'!A16:D16</f>
        <v>Mikroqarz bo'yicha asosiy qarz va foizlarni to'lash:</v>
      </c>
      <c r="B14" s="237"/>
      <c r="C14" s="237"/>
      <c r="D14" s="237"/>
      <c r="E14" s="237"/>
    </row>
    <row r="15" spans="1:5" ht="18.75" customHeight="1" x14ac:dyDescent="0.25">
      <c r="A15" s="237" t="str">
        <f>'Кредитная заявка'!A19:D19</f>
        <v xml:space="preserve"> - mikroqarz shartnomasi bo'yicha har oy annuitet to'lovlari amalga oshiriladi</v>
      </c>
      <c r="B15" s="237"/>
      <c r="C15" s="237"/>
      <c r="D15" s="237"/>
      <c r="E15" s="237"/>
    </row>
    <row r="16" spans="1:5" ht="14.25" customHeight="1" x14ac:dyDescent="0.25">
      <c r="A16" s="240" t="str">
        <f>'Кредитная заявка'!A20:D20</f>
        <v xml:space="preserve">   </v>
      </c>
      <c r="B16" s="240"/>
      <c r="C16" s="240"/>
      <c r="D16" s="240"/>
      <c r="E16" s="240"/>
    </row>
    <row r="17" spans="1:5" x14ac:dyDescent="0.25">
      <c r="A17" s="237" t="str">
        <f>'Кредитная заявка'!A21:D21</f>
        <v>Mikroqarz ta’minoti::</v>
      </c>
      <c r="B17" s="237"/>
      <c r="C17" s="237"/>
      <c r="D17" s="237"/>
      <c r="E17" s="237"/>
    </row>
    <row r="18" spans="1:5" ht="67.5" customHeight="1" x14ac:dyDescent="0.25">
      <c r="A18" s="237" t="str">
        <f>'Кредитная заявка'!A22:D22</f>
        <v xml:space="preserve">  Egalik huquqi BAYRAMGELDIYEV NURGELDI QODOMBOY O'G'LIga tegishli bo'lgan garovga olingan avtomobil markasi   COBALT, rangi -  OQ GAZ, ishlab chiqarilgan yili - 2021, davlat raqam belgisi 95H906KA, kuzov turi - YENGIL SEDAN, kuzov raqami XWBJF69VEMA215312, dvigatel raqami B15D2T13210582DJCX0088, shassi raqami - RAKAMSIZ</v>
      </c>
      <c r="B18" s="237"/>
      <c r="C18" s="237"/>
      <c r="D18" s="237"/>
      <c r="E18" s="237"/>
    </row>
    <row r="19" spans="1:5" x14ac:dyDescent="0.25">
      <c r="A19" s="250" t="s">
        <v>199</v>
      </c>
      <c r="B19" s="250"/>
      <c r="C19" s="250"/>
      <c r="D19" s="250"/>
      <c r="E19" s="250"/>
    </row>
    <row r="20" spans="1:5" ht="21" customHeight="1" x14ac:dyDescent="0.25">
      <c r="A20" s="237" t="str">
        <f>"Anketaga muvofiq "&amp;'Общие данные'!B9&amp;"ning o‘rtacha oylik daromadi  "&amp;FIXED('Общие данные'!D61)&amp;" so‘mni tashkil etdi."</f>
        <v>Anketaga muvofiq BAYRAMGELDIYEV N.Q.ning o‘rtacha oylik daromadi  19 000 000,00 so‘mni tashkil etdi.</v>
      </c>
      <c r="B20" s="237"/>
      <c r="C20" s="237"/>
      <c r="D20" s="237"/>
      <c r="E20" s="237"/>
    </row>
    <row r="21" spans="1:5" ht="21" customHeight="1" x14ac:dyDescent="0.25">
      <c r="A21" s="237" t="str">
        <f>"Mijozning o'rtacha oylik xarajatlari "&amp;FIXED('Анкета Клиента'!F27)&amp;" so'mni tashkil etdi"</f>
        <v>Mijozning o'rtacha oylik xarajatlari 1 800 000,00 so'mni tashkil etdi</v>
      </c>
      <c r="B21" s="237"/>
      <c r="C21" s="237"/>
      <c r="D21" s="237"/>
      <c r="E21" s="237"/>
    </row>
    <row r="22" spans="1:5" ht="15" hidden="1" customHeight="1" x14ac:dyDescent="0.25">
      <c r="A22" s="237" t="str">
        <f>IF('Общие данные'!B77='Общие данные'!C77,'Заключение КК'!A23:E23,'Заключение КК'!A24:E24)</f>
        <v>Mikroqarz bo‘yicha oylik annuitet to‘lovi miqdori 3 720 000,00 so‘mni tashkil etadi.</v>
      </c>
      <c r="B22" s="237"/>
      <c r="C22" s="237"/>
      <c r="D22" s="237"/>
      <c r="E22" s="237"/>
    </row>
    <row r="23" spans="1:5" x14ac:dyDescent="0.25">
      <c r="A23" s="237" t="str">
        <f>""&amp;'Общие данные'!C64&amp;" shartnomasi bo'yicha birinchi oy uchun to'lov "&amp;FIXED('Общие данные'!B90)&amp;" so'mni tashkil etadi."</f>
        <v>Mikroqarz shartnomasi bo'yicha birinchi oy uchun to'lov 3 720 000,00 so'mni tashkil etadi.</v>
      </c>
      <c r="B23" s="237"/>
      <c r="C23" s="237"/>
      <c r="D23" s="237"/>
      <c r="E23" s="237"/>
    </row>
    <row r="24" spans="1:5" hidden="1" x14ac:dyDescent="0.25">
      <c r="A24" s="237" t="str">
        <f>""&amp;'Общие данные'!C64&amp;" bo‘yicha oylik "&amp;'Общие данные'!B77&amp;" to‘lovi miqdori "&amp;FIXED('Общие данные'!B90)&amp;" so‘mni tashkil etadi."</f>
        <v>Mikroqarz bo‘yicha oylik annuitet to‘lovi miqdori 3 720 000,00 so‘mni tashkil etadi.</v>
      </c>
      <c r="B24" s="237"/>
      <c r="C24" s="237"/>
      <c r="D24" s="237"/>
      <c r="E24" s="237"/>
    </row>
    <row r="25" spans="1:5" ht="76.5" customHeight="1" x14ac:dyDescent="0.25">
      <c r="A25" s="240" t="s">
        <v>443</v>
      </c>
      <c r="B25" s="240"/>
      <c r="C25" s="240"/>
      <c r="D25" s="240"/>
      <c r="E25" s="240"/>
    </row>
    <row r="26" spans="1:5" x14ac:dyDescent="0.25">
      <c r="A26" s="250" t="str">
        <f>""&amp;'Общие данные'!C64&amp;" bo’yicha ta’minot:"</f>
        <v>Mikroqarz bo’yicha ta’minot:</v>
      </c>
      <c r="B26" s="250"/>
      <c r="C26" s="250"/>
      <c r="D26" s="250"/>
      <c r="E26" s="250"/>
    </row>
    <row r="27" spans="1:5" ht="31.5" customHeight="1" x14ac:dyDescent="0.25">
      <c r="A27" s="237" t="str">
        <f>" - "&amp;'Общие данные'!B117&amp;" ga mulk huquqi asosida tegishli avtotransport vositasi "&amp;'Общие данные'!B125&amp;" , quyidagi tafsilotlarga muvofiq:"</f>
        <v xml:space="preserve"> - BAYRAMGELDIYEV NURGELDI QODOMBOY O'G'LI ga mulk huquqi asosida tegishli avtotransport vositasi COBALT , quyidagi tafsilotlarga muvofiq:</v>
      </c>
      <c r="B27" s="237"/>
      <c r="C27" s="237"/>
      <c r="D27" s="237"/>
      <c r="E27" s="237"/>
    </row>
    <row r="28" spans="1:5" ht="67.5" hidden="1" customHeight="1" x14ac:dyDescent="0.25">
      <c r="A28" s="237" t="str">
        <f>" -   "&amp;'Общие данные'!C117&amp;" ga mulk huquqi asosida tegishli ko'chmas mulk shaklida "&amp;'Общие данные'!C126&amp;", manzili: "&amp;'Общие данные'!C123&amp;", quyidagi tafsilotlarga muvofiq:"</f>
        <v xml:space="preserve"> -   BAYRAMGELDIYEV NURGELDI QODOMBOY O'G'LI ga mulk huquqi asosida tegishli ko'chmas mulk shaklida 3 - xonali yakka tartibdagi uy-joy, manzili: SAMARQAND VILOYATI TAYLOQ TUMANI CHAROG'BON MFY YANGI TAYLOQ QISHLOG'I 6 TURAR JOY 12 QAVAT 58 XONADON, quyidagi tafsilotlarga muvofiq:</v>
      </c>
      <c r="B28" s="237"/>
      <c r="C28" s="237"/>
      <c r="D28" s="237"/>
      <c r="E28" s="237"/>
    </row>
    <row r="29" spans="1:5" ht="44.25" hidden="1" customHeight="1" x14ac:dyDescent="0.25">
      <c r="A29" s="237" t="str">
        <f>IF('Общие данные'!B103="Avtotransport",'Заключение КК'!A27:E27,'Заключение КК'!A28:E28)</f>
        <v xml:space="preserve"> - BAYRAMGELDIYEV NURGELDI QODOMBOY O'G'LI ga mulk huquqi asosida tegishli avtotransport vositasi COBALT , quyidagi tafsilotlarga muvofiq:</v>
      </c>
      <c r="B29" s="237"/>
      <c r="C29" s="237"/>
      <c r="D29" s="237"/>
      <c r="E29" s="237"/>
    </row>
    <row r="30" spans="1:5" s="16" customFormat="1" ht="47.25" customHeight="1" outlineLevel="1" x14ac:dyDescent="0.25">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9" customHeight="1" outlineLevel="1" x14ac:dyDescent="0.25">
      <c r="A31" s="17" t="str">
        <f>'Акт согласования'!A30</f>
        <v>COBALT</v>
      </c>
      <c r="B31" s="17" t="str">
        <f>'Акт согласования'!B30</f>
        <v>kuzov turi - YENGIL SEDAN, kuzov raqami XWBJF69VEMA215312</v>
      </c>
      <c r="C31" s="17" t="str">
        <f>'Акт согласования'!C30</f>
        <v>dvigatel raqami B15D2T13210582DJCX0088, shassi raqami - RAKAMSIZ</v>
      </c>
      <c r="D31" s="17" t="str">
        <f>'Акт согласования'!D30</f>
        <v>rangi -  OQ GAZ, ishlab chiqarilgan yili - 2021</v>
      </c>
      <c r="E31" s="17" t="str">
        <f>'Акт согласования'!E30</f>
        <v>84 000 000,00 
(sakson to'rt million so'm)</v>
      </c>
    </row>
    <row r="32" spans="1:5" ht="15.75" customHeight="1" outlineLevel="1" x14ac:dyDescent="0.25">
      <c r="A32" s="237" t="str">
        <f>'Акт согласования'!A22</f>
        <v>-* avtotransport egasi: BAYRAMGELDIYEV NURGELDI QODOMBOY O'G'LI</v>
      </c>
      <c r="B32" s="237"/>
      <c r="C32" s="237"/>
      <c r="D32" s="237"/>
      <c r="E32" s="237"/>
    </row>
    <row r="33" spans="1:5" ht="15" customHeight="1" outlineLevel="1" x14ac:dyDescent="0.25">
      <c r="A33" s="237" t="str">
        <f>'Акт согласования'!A23</f>
        <v>-* texnik pasport: AAG       1523624      13.05.2023 y</v>
      </c>
      <c r="B33" s="237"/>
      <c r="C33" s="237"/>
      <c r="D33" s="237"/>
      <c r="E33" s="237"/>
    </row>
    <row r="34" spans="1:5" ht="33" customHeight="1" outlineLevel="1" x14ac:dyDescent="0.25">
      <c r="A34" s="237" t="str">
        <f>'Акт согласования'!A24</f>
        <v>-* roʻyxatdan oʻtgan manzili/garaj manzili: QORAQALPOG'ISTON RESPUBLIKASI ELLIKQAL'A TUMANI JASORAT MFY PAXTABIRLIK KO'CHASI 7-UY</v>
      </c>
      <c r="B34" s="237"/>
      <c r="C34" s="237"/>
      <c r="D34" s="237"/>
      <c r="E34" s="237"/>
    </row>
    <row r="35" spans="1:5" ht="15" customHeight="1" outlineLevel="1" x14ac:dyDescent="0.25">
      <c r="A35" s="237" t="str">
        <f>'Акт согласования'!A25</f>
        <v>-* davlat raqami: 95H906KA</v>
      </c>
      <c r="B35" s="237"/>
      <c r="C35" s="237"/>
      <c r="D35" s="237"/>
      <c r="E35" s="237"/>
    </row>
    <row r="36" spans="1:5" ht="9" customHeight="1" x14ac:dyDescent="0.25">
      <c r="A36" s="237"/>
      <c r="B36" s="237"/>
      <c r="C36" s="237"/>
      <c r="D36" s="237"/>
      <c r="E36" s="237"/>
    </row>
    <row r="37" spans="1:5" ht="39" customHeight="1" x14ac:dyDescent="0.25">
      <c r="A37" s="250" t="str">
        <f>""&amp;'Общие данные'!B147&amp;"
mikromoliya tashkilotining Xulosasi"</f>
        <v>«PULLOL BUSINESS MIKROMOLIYA TASHKILOTI»  MChJ
mikromoliya tashkilotining Xulosasi</v>
      </c>
      <c r="B37" s="250"/>
      <c r="C37" s="250"/>
      <c r="D37" s="250"/>
      <c r="E37" s="250"/>
    </row>
    <row r="38" spans="1:5" ht="48" customHeight="1" x14ac:dyDescent="0.25">
      <c r="A38" s="237" t="str">
        <f>""&amp;'Общие данные'!B147&amp;" kredit qo‘mitasining xulosasiga quyidagi shartlarda "&amp;'Общие данные'!B10&amp;"ga "&amp;'Общие данные'!B65&amp;" berish masalasi kiritiladi:"</f>
        <v>«PULLOL BUSINESS MIKROMOLIYA TASHKILOTI»  MChJ kredit qo‘mitasining xulosasiga quyidagi shartlarda BAYRAMGELDIYEV NURGELDI QODOMBOY O'G'LIga mikroqarz berish masalasi kiritiladi:</v>
      </c>
      <c r="B38" s="237"/>
      <c r="C38" s="237"/>
      <c r="D38" s="237"/>
      <c r="E38" s="237"/>
    </row>
    <row r="39" spans="1:5" x14ac:dyDescent="0.25">
      <c r="A39" s="237" t="str">
        <f>A11</f>
        <v>Mikroqarz summasi: 60 000 000,00 (oltmish million so'm) so'm.</v>
      </c>
      <c r="B39" s="237"/>
      <c r="C39" s="237"/>
      <c r="D39" s="237"/>
      <c r="E39" s="237"/>
    </row>
    <row r="40" spans="1:5" x14ac:dyDescent="0.25">
      <c r="A40" s="237" t="str">
        <f t="shared" ref="A40:A46" si="0">A12</f>
        <v>Mikroqarz muddati: 30 (o'ttiz) oy.</v>
      </c>
      <c r="B40" s="237"/>
      <c r="C40" s="237"/>
      <c r="D40" s="237"/>
      <c r="E40" s="237"/>
    </row>
    <row r="41" spans="1:5" x14ac:dyDescent="0.25">
      <c r="A41" s="237" t="str">
        <f t="shared" si="0"/>
        <v>Mikroqarzdan foydalanganlik uchun foiz stavkasi: yillik  55% (Ellik besh  ) foiz</v>
      </c>
      <c r="B41" s="237"/>
      <c r="C41" s="237"/>
      <c r="D41" s="237"/>
      <c r="E41" s="237"/>
    </row>
    <row r="42" spans="1:5" x14ac:dyDescent="0.25">
      <c r="A42" s="237" t="str">
        <f t="shared" si="0"/>
        <v>Mikroqarz bo'yicha asosiy qarz va foizlarni to'lash:</v>
      </c>
      <c r="B42" s="237"/>
      <c r="C42" s="237"/>
      <c r="D42" s="237"/>
      <c r="E42" s="237"/>
    </row>
    <row r="43" spans="1:5" ht="20.25" customHeight="1" x14ac:dyDescent="0.25">
      <c r="A43" s="237" t="str">
        <f t="shared" si="0"/>
        <v xml:space="preserve"> - mikroqarz shartnomasi bo'yicha har oy annuitet to'lovlari amalga oshiriladi</v>
      </c>
      <c r="B43" s="237"/>
      <c r="C43" s="237"/>
      <c r="D43" s="237"/>
      <c r="E43" s="237"/>
    </row>
    <row r="44" spans="1:5" ht="26.25" customHeight="1" x14ac:dyDescent="0.25">
      <c r="A44" s="237" t="str">
        <f t="shared" si="0"/>
        <v xml:space="preserve">   </v>
      </c>
      <c r="B44" s="237"/>
      <c r="C44" s="237"/>
      <c r="D44" s="237"/>
      <c r="E44" s="237"/>
    </row>
    <row r="45" spans="1:5" x14ac:dyDescent="0.25">
      <c r="A45" s="237" t="str">
        <f t="shared" si="0"/>
        <v>Mikroqarz ta’minoti::</v>
      </c>
      <c r="B45" s="237"/>
      <c r="C45" s="237"/>
      <c r="D45" s="237"/>
      <c r="E45" s="237"/>
    </row>
    <row r="46" spans="1:5" ht="72" customHeight="1" x14ac:dyDescent="0.25">
      <c r="A46" s="237" t="str">
        <f t="shared" si="0"/>
        <v xml:space="preserve">  Egalik huquqi BAYRAMGELDIYEV NURGELDI QODOMBOY O'G'LIga tegishli bo'lgan garovga olingan avtomobil markasi   COBALT, rangi -  OQ GAZ, ishlab chiqarilgan yili - 2021, davlat raqam belgisi 95H906KA, kuzov turi - YENGIL SEDAN, kuzov raqami XWBJF69VEMA215312, dvigatel raqami B15D2T13210582DJCX0088, shassi raqami - RAKAMSIZ</v>
      </c>
      <c r="B46" s="237"/>
      <c r="C46" s="237"/>
      <c r="D46" s="237"/>
      <c r="E46" s="237"/>
    </row>
    <row r="47" spans="1:5" x14ac:dyDescent="0.25">
      <c r="A47" s="237"/>
      <c r="B47" s="237"/>
      <c r="C47" s="237"/>
      <c r="D47" s="237"/>
      <c r="E47" s="237"/>
    </row>
    <row r="48" spans="1:5" ht="36.75" customHeight="1" x14ac:dyDescent="0.25">
      <c r="A48" s="237" t="str">
        <f>""&amp;'Общие данные'!B147&amp;" mikromoliya tashkilotining xulosasi  "&amp;TEXT('Общие данные'!B2,"ДД.ММ.ГГГГ")&amp;" y. tayyorlangan"</f>
        <v>«PULLOL BUSINESS MIKROMOLIYA TASHKILOTI»  MChJ mikromoliya tashkilotining xulosasi  05.03.2026 y. tayyorlangan</v>
      </c>
      <c r="B48" s="237"/>
      <c r="C48" s="237"/>
      <c r="D48" s="237"/>
      <c r="E48" s="237"/>
    </row>
    <row r="49" spans="1:5" x14ac:dyDescent="0.25">
      <c r="A49" s="237"/>
      <c r="B49" s="237"/>
      <c r="C49" s="237"/>
      <c r="D49" s="237"/>
      <c r="E49" s="237"/>
    </row>
    <row r="50" spans="1:5" ht="15.75" customHeight="1" x14ac:dyDescent="0.25">
      <c r="A50" s="240"/>
      <c r="B50" s="240"/>
      <c r="C50" s="240"/>
      <c r="D50" s="22"/>
      <c r="E50" s="23"/>
    </row>
    <row r="51" spans="1:5" ht="35.25" customHeight="1" x14ac:dyDescent="0.25">
      <c r="A51" s="240" t="str">
        <f>'Общие данные'!A160</f>
        <v>To'rtko'l filiali boshlig’i</v>
      </c>
      <c r="B51" s="240"/>
      <c r="C51" s="240"/>
      <c r="D51" s="23"/>
      <c r="E51" s="23" t="str">
        <f>'Общие данные'!B160</f>
        <v>Djumanazarov B.A.</v>
      </c>
    </row>
    <row r="52" spans="1:5" x14ac:dyDescent="0.25">
      <c r="A52" s="237"/>
      <c r="B52" s="237"/>
      <c r="C52" s="237"/>
      <c r="D52" s="237"/>
      <c r="E52" s="237"/>
    </row>
    <row r="53" spans="1:5" ht="47.25" customHeight="1" x14ac:dyDescent="0.25">
      <c r="A53" s="237" t="str">
        <f>""&amp;'Общие данные'!B147&amp;" mikromoliya tashkilotining Kredit qo‘mitasi a’zolari "&amp;'Общие данные'!B147&amp;"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53" s="237"/>
      <c r="C53" s="237"/>
      <c r="D53" s="237"/>
      <c r="E53" s="237"/>
    </row>
    <row r="54" spans="1:5" x14ac:dyDescent="0.25">
      <c r="A54" s="19"/>
      <c r="B54" s="19"/>
      <c r="C54" s="19"/>
      <c r="D54" s="19"/>
      <c r="E54" s="19"/>
    </row>
    <row r="55" spans="1:5" x14ac:dyDescent="0.25">
      <c r="A55" s="240" t="s">
        <v>402</v>
      </c>
      <c r="B55" s="240"/>
      <c r="C55" s="19"/>
      <c r="D55" s="19"/>
      <c r="E55" s="19"/>
    </row>
    <row r="56" spans="1:5" x14ac:dyDescent="0.25">
      <c r="A56" s="19"/>
      <c r="B56" s="19"/>
      <c r="C56" s="19"/>
      <c r="D56" s="19"/>
      <c r="E56" s="19"/>
    </row>
    <row r="57" spans="1:5" x14ac:dyDescent="0.25">
      <c r="C57" s="22"/>
      <c r="D57" s="22"/>
      <c r="E57" s="22"/>
    </row>
    <row r="58" spans="1:5" x14ac:dyDescent="0.25">
      <c r="A58" s="240" t="s">
        <v>413</v>
      </c>
      <c r="B58" s="240"/>
      <c r="C58" s="22"/>
      <c r="D58" s="22"/>
      <c r="E58" s="22"/>
    </row>
    <row r="59" spans="1:5" ht="21" customHeight="1" x14ac:dyDescent="0.25">
      <c r="A59" s="237"/>
      <c r="B59" s="237"/>
      <c r="C59" s="237"/>
      <c r="D59" s="237"/>
      <c r="E59" s="237"/>
    </row>
    <row r="60" spans="1:5" x14ac:dyDescent="0.25">
      <c r="A60" s="15" t="s">
        <v>409</v>
      </c>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8:B58"/>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0866141732283472" right="0.51181102362204722" top="0.74803149606299213" bottom="0.74803149606299213" header="0.31496062992125984" footer="0.31496062992125984"/>
  <pageSetup paperSize="9" scale="9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3">
    <tabColor rgb="FF00B050"/>
  </sheetPr>
  <dimension ref="A1:K132"/>
  <sheetViews>
    <sheetView view="pageBreakPreview" zoomScaleNormal="55" zoomScaleSheetLayoutView="100" workbookViewId="0">
      <selection sqref="A1:B1"/>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287" t="str">
        <f>""&amp;'Общие данные'!C64&amp;" shartnoma "&amp;'Общие данные'!B66&amp;""</f>
        <v>Mikroqarz shartnoma №194-TR</v>
      </c>
      <c r="B1" s="287"/>
    </row>
    <row r="3" spans="1:3" x14ac:dyDescent="0.25">
      <c r="A3" s="287" t="str">
        <f>"Toshkent shahri                                                                               "&amp;'Общие данные'!B70&amp;""</f>
        <v>Toshkent shahri                                                                               5 mart 2026 y.</v>
      </c>
      <c r="B3" s="287"/>
    </row>
    <row r="4" spans="1:3" x14ac:dyDescent="0.25">
      <c r="A4" s="66"/>
    </row>
    <row r="5" spans="1:3" ht="132.75" customHeight="1" x14ac:dyDescent="0.25">
      <c r="A5" s="288" t="str">
        <f>""&amp;'Общие данные'!B147&amp;", bundan buyon «Mikromoliya tashkiloti» deb nomlanuvchi, ishonchnoma asosida xarakat qiluvchi "&amp;'Общие данные'!A160&amp;" "&amp;'Общие данные'!B160&amp;"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«PULLOL BUSINESS MIKROMOLIYA TASHKILOTI»  MChJ, bundan buyon «Mikromoliya tashkiloti» deb nomlanuvchi, ishonchnoma asosida xarakat qiluvchi To'rtko'l filiali boshlig’i Djumanazarov B.A.  bir tomondan va o‘z manfaati yo‘lida hamda o‘z nomidan harakat qiluvchi O‘zbekiston Respublikasi fuqarosi BAYRAMGELDIYEV NURGELDI QODOMBOY O'G'LI  (pasport raqami AE 6482058, IIV 35210 tomonidan 25.02.2026 yilda berilgan ), bundan buyon «Qarz oluvchi» deb nomlanuvchi, boshqa tomondan, birgalikda “Tomonlar” yoki alohida “Tomon” deb nomlanuvchilar, Qarz oluvchi tomonidan 05.03.2026 yil,mikroqarz olish uchun ariza berilganligini hisobga olib, ushbu Mikroqarz shartnomasini (bundan keyin – «Shartnoma») quyidagilar haqida tuzdilar:</v>
      </c>
      <c r="B5" s="288"/>
    </row>
    <row r="7" spans="1:3" x14ac:dyDescent="0.25">
      <c r="A7" s="287" t="s">
        <v>258</v>
      </c>
      <c r="B7" s="287"/>
    </row>
    <row r="8" spans="1:3" ht="51.75" customHeight="1" x14ac:dyDescent="0.25">
      <c r="A8" s="288"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60 000 000,00 (Oltmish million so'm) bo‘lgan mikroqarzni 5 mart 2026 y. dan 5 sentabr 2028 y. gacha bo'lgan muddatga naqd pul va/yoki o'tkazmasi shaklida ajratadi.</v>
      </c>
      <c r="B8" s="288"/>
    </row>
    <row r="9" spans="1:3" ht="36" customHeight="1" x14ac:dyDescent="0.25">
      <c r="A9" s="288"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88"/>
    </row>
    <row r="10" spans="1:3" x14ac:dyDescent="0.25">
      <c r="A10" s="32"/>
    </row>
    <row r="11" spans="1:3" x14ac:dyDescent="0.25">
      <c r="A11" s="291" t="str">
        <f>"2. "&amp;'Общие данные'!D64&amp;" BERISH VA QAYTARISH TARTIBI"</f>
        <v>2. MIKROQARZ BERISH VA QAYTARISH TARTIBI</v>
      </c>
      <c r="B11" s="291"/>
      <c r="C11" s="64"/>
    </row>
    <row r="12" spans="1:3" ht="36" customHeight="1" x14ac:dyDescent="0.25">
      <c r="A12" s="288"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88"/>
    </row>
    <row r="13" spans="1:3" ht="35.25" customHeight="1" x14ac:dyDescent="0.25">
      <c r="A13" s="288"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88"/>
    </row>
    <row r="14" spans="1:3" ht="35.25" customHeight="1" x14ac:dyDescent="0.25">
      <c r="A14" s="288"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88"/>
    </row>
    <row r="15" spans="1:3" ht="66" customHeight="1" x14ac:dyDescent="0.25">
      <c r="A15" s="288"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155% (Bir yuz ellik besh) foiz miqdorida foizlar hisoblaydi.</v>
      </c>
      <c r="B15" s="288"/>
    </row>
    <row r="16" spans="1:3" ht="177.75" customHeight="1" x14ac:dyDescent="0.25">
      <c r="A16" s="288" t="s">
        <v>326</v>
      </c>
      <c r="B16" s="288"/>
    </row>
    <row r="17" spans="1:11" ht="161.25" customHeight="1" x14ac:dyDescent="0.25">
      <c r="A17" s="28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88"/>
      <c r="C17" s="156" t="s">
        <v>329</v>
      </c>
      <c r="H17" s="6" t="str">
        <f>'Общие данные'!B65</f>
        <v>mikroqarz</v>
      </c>
      <c r="I17" s="6" t="s">
        <v>330</v>
      </c>
    </row>
    <row r="18" spans="1:11" ht="100.5" customHeight="1" x14ac:dyDescent="0.25">
      <c r="A18" s="290" t="s">
        <v>368</v>
      </c>
      <c r="B18" s="290"/>
    </row>
    <row r="19" spans="1:11" ht="36" customHeight="1" x14ac:dyDescent="0.25">
      <c r="A19" s="288"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88"/>
    </row>
    <row r="20" spans="1:11" ht="48.75" customHeight="1" x14ac:dyDescent="0.25">
      <c r="A20" s="288"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88"/>
    </row>
    <row r="21" spans="1:11" ht="113.25" customHeight="1" x14ac:dyDescent="0.25">
      <c r="A21" s="29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92"/>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91" t="str">
        <f>"3. "&amp;'Общие данные'!D64&amp;" TA'MINOTI BO‘YICHA "</f>
        <v xml:space="preserve">3. MIKROQARZ TA'MINOTI BO‘YICHA </v>
      </c>
      <c r="B22" s="291"/>
    </row>
    <row r="23" spans="1:11" ht="19.5" customHeight="1" x14ac:dyDescent="0.25">
      <c r="A23" s="288" t="str">
        <f>"3.1. Ushbu Shartnoma bo‘yicha taqdim etilgan "&amp;'Общие данные'!C64&amp;" quyidagi garov bilan ta'minlanadi:"</f>
        <v>3.1. Ushbu Shartnoma bo‘yicha taqdim etilgan Mikroqarz quyidagi garov bilan ta'minlanadi:</v>
      </c>
      <c r="B23" s="288"/>
    </row>
    <row r="24" spans="1:11" ht="128.44999999999999" customHeight="1" x14ac:dyDescent="0.25">
      <c r="A24" s="289" t="str">
        <f>IF('Общие данные'!B103='Общие данные'!C103,договор!A28,IF('Общие данные'!B103='Общие данные'!D103,договор!A25,0))</f>
        <v>3.1.1. Mikromoliya tashkiloti va Qarz oluvchi tomonidan 2026 yil 5 martda imzolangan 1-sonli garov predmeti qiymatini tasdiqlash dalolatnomasiga muvofiq OQ GAZ rangli, ishlab chiqarilgan yili – 2021 yil,  dvigatel raqami B15D2T13210582DJCX0088, shassi - RAKAMSIZ,  kuzov turi - YENGIL SEDAN, kuzov raqami №XWBJF69VEMA215312, davlat raqam belgisi 95H906KA bo'lgan COBALT rusumli avtomashinasi (bundan keyin “Garov predmeti”), egalik huquqiga ega  BAYRAMGELDIYEV NURGELDI QODOMBOY O'G'LIga tegishli va kelishilgan garov qiymati 2026 yil 5 martda imzolangan 1-sonli Garov predmeti qiymatini tasdiqlash dalolatnomasiga muvifiq 84 000 000,00 (sakson to'rt million so'm) so'mni tashkil qiladi. Garov garovining aniq shartlari tegishli notarial rasmiylashtirilgan garov shartnomasi bilan belgilanadi.</v>
      </c>
      <c r="B24" s="289"/>
    </row>
    <row r="25" spans="1:11" ht="129" hidden="1" customHeight="1" x14ac:dyDescent="0.25">
      <c r="A25" s="288" t="str">
        <f>IF('Общие данные'!B92='Общие данные'!C92,договор!A27,IF('Общие данные'!B92='Общие данные'!D92,договор!A26,0))</f>
        <v>3.1.1. Mikromoliya tashkiloti va Qarz oluvchi tomonidan 2026 yil 5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BAYRAMGELDIYEV NURGELDI QODOMBOY O'G'LIga tegishli va kelishilgan garov qiymati 2026 yil 5 martda imzolangan 1-sonli Garov predmeti qiymatini tasdiqlash dalolatnomasiga muvofiq 84 000 000,00 (sakson to'rt million so'm) so'mni tashkil qiladi. Garovning aniq shartlari tegishli tarzda notarial tasdiqlangan garov shartnomasi bilan belgilangan.</v>
      </c>
      <c r="B25" s="288"/>
    </row>
    <row r="26" spans="1:11" ht="129.75" hidden="1" customHeight="1" x14ac:dyDescent="0.25">
      <c r="A26" s="289" t="str">
        <f>"3.1.1. "&amp;'Общие данные'!O126&amp;"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данные'!F126&amp;" bo'lgan, "&amp;'Общие данные'!F125&amp;"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2026 yil 5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BAYRAMGELDIYEV NURGELDI QODOMBOY O'G'LIga tegishli va kelishilgan garov qiymati 2026 yil 5 martda imzolangan 1-sonli Garov predmeti qiymatini tasdiqlash dalolatnomasiga muvofiq 84 000 000,00 (sakson to'rt million so'm) so'mni tashkil qiladi. Garovning aniq shartlari tegishli tarzda notarial tasdiqlangan garov shartnomasi bilan belgilangan.</v>
      </c>
      <c r="B26" s="289"/>
    </row>
    <row r="27" spans="1:11" ht="131.25" hidden="1" customHeight="1" x14ac:dyDescent="0.25">
      <c r="A27" s="288" t="str">
        <f>"3.1.1. "&amp;'Общие данные'!O126&amp;"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данные'!F126&amp;" bo'lgan, "&amp;'Общие данные'!F125&amp;"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2026 yil 5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BAYRAMGELDIYEV NURGELDI QODOMBOY O'G'LIga tegishli va kelishilgan garov qiymati 2026 yil 5 martda imzolangan 1-sonli Garov predmeti qiymatini tasdiqlash dalolatnomasiga muvofiq 84 000 000,00 (sakson to'rt million so'm) so'mni tashkil qiladi. Garovning aniq shartlari tegishli tarzda notarial tasdiqlangan garov shartnomasi bilan belgilangan.</v>
      </c>
      <c r="B27" s="288"/>
    </row>
    <row r="28" spans="1:11" ht="114" hidden="1" customHeight="1" x14ac:dyDescent="0.25">
      <c r="A28" s="289" t="str">
        <f>IF('Общие данные'!B92='Общие данные'!C92,A29,IF('Общие данные'!B92='Общие данные'!D92,A30,0))</f>
        <v>3.1.1. Mikromoliya tashkiloti va Qarz oluvchi tomonidan 2026 yil 5 martda imzolangan 1-sonli garov predmeti qiymatini tasdiqlash dalolatnomasiga muvofiq OQ GAZ rangli, ishlab chiqarilgan yili – 2021 yil,  dvigatel raqami B15D2T13210582DJCX0088, shassi - RAKAMSIZ,  kuzov turi - YENGIL SEDAN, kuzov raqami №XWBJF69VEMA215312, davlat raqam belgisi 95H906KA bo'lgan COBALT rusumli avtomashinasi (bundan keyin “Garov predmeti”), egalik huquqiga ega  BAYRAMGELDIYEV NURGELDI QODOMBOY O'G'LIga tegishli va kelishilgan garov qiymati 2026 yil 5 martda imzolangan 1-sonli Garov predmeti qiymatini tasdiqlash dalolatnomasiga muvifiq 84 000 000,00 (sakson to'rt million so'm) so'mni tashkil qiladi. Garov garovining aniq shartlari tegishli notarial rasmiylashtirilgan garov shartnomasi bilan belgilanadi.</v>
      </c>
      <c r="B28" s="289"/>
      <c r="K28" s="6" t="s">
        <v>323</v>
      </c>
    </row>
    <row r="29" spans="1:11" ht="114.75" hidden="1" customHeight="1" x14ac:dyDescent="0.25">
      <c r="A29" s="289" t="str">
        <f>"3.1.1. "&amp;'Общие данные'!O126&amp;"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2026 yil 5 martda imzolangan 1-sonli garov predmeti qiymatini tasdiqlash dalolatnomasiga muvofiq OQ GAZ rangli, ishlab chiqarilgan yili – 2021 yil,  dvigatel raqami B15D2T13210582DJCX0088, shassi - RAKAMSIZ,  kuzov turi - YENGIL SEDAN, kuzov raqami №XWBJF69VEMA215312, davlat raqam belgisi 95H906KA bo'lgan COBALT rusumli avtomashinasi (bundan keyin “Garov predmeti”), egalik huquqiga ega  BAYRAMGELDIYEV NURGELDI QODOMBOY O'G'LIga tegishli va kelishilgan garov qiymati 2026 yil 5 martda imzolangan 1-sonli Garov predmeti qiymatini tasdiqlash dalolatnomasiga muvifiq 84 000 000,00 (sakson to'rt million so'm) so'mni tashkil qiladi. Garov garovining aniq shartlari tegishli notarial rasmiylashtirilgan garov shartnomasi bilan belgilanadi.</v>
      </c>
      <c r="B29" s="289"/>
    </row>
    <row r="30" spans="1:11" ht="115.5" hidden="1" customHeight="1" x14ac:dyDescent="0.25">
      <c r="A30" s="294" t="str">
        <f>"3.1.1. "&amp;'Общие данные'!O126&amp;"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2026 yil 5 martda imzolangan 1-sonli navbatdagi garov predmeti qiymatini tasdiqlash dalolatnomasiga muvofiq OQ GAZ rangli, ishlab chiqarilgan yili – 2021 yil,  dvigatel raqami B15D2T13210582DJCX0088, shassi - RAKAMSIZ,  kuzov turi - YENGIL SEDAN, kuzov raqami №XWBJF69VEMA215312, davlat raqam belgisi 95H906KA bo'lgan COBALT rusumli avtomashinasi (bundan keyin “navbatdagi garov predmeti”), egalik huquqiga ega  BAYRAMGELDIYEV NURGELDI QODOMBOY O'G'LIga tegishli va kelishilgan garov qiymati 2026 yil 5 martda imzolangan 1-sonli Garov predmeti qiymatini tasdiqlash dalolatnomasiga muvifiq 84 000 000,00 (sakson to'rt million so'm) so'mni tashkil qiladi. Garov garovining aniq shartlari tegishli notarial rasmiylashtirilgan garov shartnomasi bilan belgilanadi.</v>
      </c>
      <c r="B30" s="294"/>
    </row>
    <row r="31" spans="1:11" ht="117" customHeight="1" x14ac:dyDescent="0.25">
      <c r="A31" s="29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93"/>
    </row>
    <row r="32" spans="1:11" ht="94.5" hidden="1" x14ac:dyDescent="0.25">
      <c r="A32" s="160" t="s">
        <v>350</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x14ac:dyDescent="0.25">
      <c r="A33" s="160"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332</v>
      </c>
    </row>
    <row r="34" spans="1:8" ht="85.5" customHeight="1" x14ac:dyDescent="0.25">
      <c r="A34" s="293" t="s">
        <v>259</v>
      </c>
      <c r="B34" s="293"/>
    </row>
    <row r="35" spans="1:8" ht="84" customHeight="1" x14ac:dyDescent="0.25">
      <c r="A35" s="293" t="s">
        <v>311</v>
      </c>
      <c r="B35" s="293"/>
    </row>
    <row r="37" spans="1:8" x14ac:dyDescent="0.25">
      <c r="A37" s="296" t="s">
        <v>310</v>
      </c>
      <c r="B37" s="296"/>
      <c r="C37" s="75"/>
    </row>
    <row r="38" spans="1:8" x14ac:dyDescent="0.25">
      <c r="A38" s="295" t="s">
        <v>309</v>
      </c>
      <c r="B38" s="295"/>
    </row>
    <row r="39" spans="1:8" ht="101.25" customHeight="1" x14ac:dyDescent="0.25">
      <c r="A39" s="29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v>
      </c>
      <c r="B39" s="293"/>
      <c r="C39" s="6" t="str">
        <f>"4.1.1. Ushbu Shartnomada ko‘rsatilgan asoslar bo‘yicha Qarz oluvchiga Shartnomada ko‘zda tutilgan "&amp;'Общие данные'!B65&amp;""</f>
        <v>4.1.1. Ushbu Shartnomada ko‘rsatilgan asoslar bo‘yicha Qarz oluvchiga Shartnomada ko‘zda tutilgan mikroqarz</v>
      </c>
      <c r="H39" s="156" t="s">
        <v>333</v>
      </c>
    </row>
    <row r="40" spans="1:8" ht="39" customHeight="1" x14ac:dyDescent="0.25">
      <c r="A40" s="29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93"/>
    </row>
    <row r="41" spans="1:8" x14ac:dyDescent="0.25">
      <c r="A41" s="293" t="s">
        <v>312</v>
      </c>
      <c r="B41" s="293"/>
    </row>
    <row r="42" spans="1:8" ht="20.25" customHeight="1" x14ac:dyDescent="0.25">
      <c r="A42" s="293" t="str">
        <f>"b) "&amp;'Общие данные'!B65&amp;" summasiga hisoblanadigan asosiy qarz bo‘yicha muddati o‘tgan qarzdorlik va/yoki foizlarning yuzaga kelishi;"</f>
        <v>b) mikroqarz summasiga hisoblanadigan asosiy qarz bo‘yicha muddati o‘tgan qarzdorlik va/yoki foizlarning yuzaga kelishi;</v>
      </c>
      <c r="B42" s="293"/>
    </row>
    <row r="43" spans="1:8" ht="37.5" customHeight="1" x14ac:dyDescent="0.25">
      <c r="A43" s="293" t="s">
        <v>313</v>
      </c>
      <c r="B43" s="293"/>
    </row>
    <row r="44" spans="1:8" ht="52.5" customHeight="1" x14ac:dyDescent="0.25">
      <c r="A44" s="293" t="s">
        <v>314</v>
      </c>
      <c r="B44" s="293"/>
    </row>
    <row r="45" spans="1:8" ht="19.5" customHeight="1" x14ac:dyDescent="0.25">
      <c r="A45" s="293" t="s">
        <v>315</v>
      </c>
      <c r="B45" s="293"/>
    </row>
    <row r="46" spans="1:8" ht="51.75" customHeight="1" x14ac:dyDescent="0.25">
      <c r="A46" s="29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93"/>
    </row>
    <row r="47" spans="1:8" ht="33.75" customHeight="1" x14ac:dyDescent="0.25">
      <c r="A47" s="293" t="s">
        <v>308</v>
      </c>
      <c r="B47" s="293"/>
    </row>
    <row r="48" spans="1:8" ht="36.75" customHeight="1" x14ac:dyDescent="0.25">
      <c r="A48" s="293" t="s">
        <v>307</v>
      </c>
      <c r="B48" s="293"/>
      <c r="C48" s="160"/>
    </row>
    <row r="49" spans="1:8" ht="100.5" customHeight="1" x14ac:dyDescent="0.25">
      <c r="A49" s="288" t="s">
        <v>306</v>
      </c>
      <c r="B49" s="288"/>
      <c r="C49" s="160"/>
    </row>
    <row r="50" spans="1:8" ht="70.5" customHeight="1" x14ac:dyDescent="0.25">
      <c r="A50" s="288" t="s">
        <v>305</v>
      </c>
      <c r="B50" s="288"/>
      <c r="C50" s="160"/>
    </row>
    <row r="51" spans="1:8" ht="39.75" customHeight="1" x14ac:dyDescent="0.25">
      <c r="A51" s="288"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88"/>
      <c r="C51" s="160"/>
    </row>
    <row r="52" spans="1:8" ht="33" customHeight="1" x14ac:dyDescent="0.25">
      <c r="A52" s="288" t="s">
        <v>316</v>
      </c>
      <c r="B52" s="288"/>
      <c r="C52" s="160"/>
    </row>
    <row r="53" spans="1:8" ht="39.75" customHeight="1" x14ac:dyDescent="0.25">
      <c r="A53" s="288" t="s">
        <v>304</v>
      </c>
      <c r="B53" s="288"/>
      <c r="C53" s="160"/>
    </row>
    <row r="54" spans="1:8" ht="50.25" customHeight="1" x14ac:dyDescent="0.25">
      <c r="A54" s="28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88"/>
      <c r="C54" s="160" t="str">
        <f>"4.1.10. Qarz oluvchi taqdim etilgan "&amp;'Общие данные'!B65&amp;"dan Shartnoma tuzilgan kundan boshlab 1 (bir) oy davomida foydalanmagan"</f>
        <v>4.1.10. Qarz oluvchi taqdim etilgan mikroqarzdan Shartnoma tuzilgan kundan boshlab 1 (bir) oy davomida foydalanmagan</v>
      </c>
      <c r="H54" s="6" t="s">
        <v>334</v>
      </c>
    </row>
    <row r="55" spans="1:8" ht="19.5" customHeight="1" x14ac:dyDescent="0.25">
      <c r="A55" s="288" t="str">
        <f>"4.1.11. Oldingi "&amp;'Общие данные'!B65&amp;" to‘liq to‘lanmagunga qadar yangi "&amp;'Общие данные'!B65&amp;" berishni rad etish."</f>
        <v>4.1.11. Oldingi mikroqarz to‘liq to‘lanmagunga qadar yangi mikroqarz berishni rad etish.</v>
      </c>
      <c r="B55" s="288"/>
      <c r="C55" s="160"/>
    </row>
    <row r="57" spans="1:8" x14ac:dyDescent="0.25">
      <c r="A57" s="291" t="s">
        <v>303</v>
      </c>
      <c r="B57" s="291"/>
      <c r="C57" s="159"/>
    </row>
    <row r="58" spans="1:8" x14ac:dyDescent="0.25">
      <c r="A58" s="297" t="s">
        <v>302</v>
      </c>
      <c r="B58" s="297"/>
      <c r="C58" s="161"/>
    </row>
    <row r="59" spans="1:8" ht="36" customHeight="1" x14ac:dyDescent="0.25">
      <c r="A59" s="288"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88"/>
      <c r="C59" s="160"/>
    </row>
    <row r="60" spans="1:8" ht="36.75" customHeight="1" x14ac:dyDescent="0.25">
      <c r="A60" s="288"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88"/>
      <c r="C60" s="160"/>
    </row>
    <row r="61" spans="1:8" ht="17.25" customHeight="1" x14ac:dyDescent="0.25">
      <c r="A61" s="288" t="str">
        <f>"5.1.3. "&amp;'Общие данные'!C64&amp;" xizmatlari ko‘rsatish qoidalari bilan tanishish."</f>
        <v>5.1.3. Mikroqarz xizmatlari ko‘rsatish qoidalari bilan tanishish.</v>
      </c>
      <c r="B61" s="288"/>
      <c r="C61" s="160"/>
    </row>
    <row r="62" spans="1:8" ht="36" customHeight="1" x14ac:dyDescent="0.25">
      <c r="A62" s="288"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88"/>
      <c r="C62" s="160"/>
    </row>
    <row r="63" spans="1:8" ht="33.75" customHeight="1" x14ac:dyDescent="0.25">
      <c r="A63" s="288" t="s">
        <v>317</v>
      </c>
      <c r="B63" s="288"/>
      <c r="C63" s="160"/>
    </row>
    <row r="64" spans="1:8" x14ac:dyDescent="0.25">
      <c r="A64" s="297" t="s">
        <v>301</v>
      </c>
      <c r="B64" s="297"/>
      <c r="C64" s="161"/>
    </row>
    <row r="65" spans="1:8" ht="37.5" customHeight="1" x14ac:dyDescent="0.25">
      <c r="A65" s="288"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88"/>
      <c r="C65" s="160"/>
    </row>
    <row r="66" spans="1:8" ht="39.75" customHeight="1" x14ac:dyDescent="0.25">
      <c r="A66" s="288" t="s">
        <v>318</v>
      </c>
      <c r="B66" s="288"/>
      <c r="C66" s="160"/>
    </row>
    <row r="67" spans="1:8" ht="27" customHeight="1" x14ac:dyDescent="0.25">
      <c r="A67" s="288" t="str">
        <f>"5.2.3. To‘lov jadvaliga muvofiq "&amp;'Общие данные'!B65&amp;", shuningdek hisoblangan foizlar to‘lovlarini amalga oshirish."</f>
        <v>5.2.3. To‘lov jadvaliga muvofiq mikroqarz, shuningdek hisoblangan foizlar to‘lovlarini amalga oshirish.</v>
      </c>
      <c r="B67" s="288"/>
      <c r="C67" s="160"/>
    </row>
    <row r="68" spans="1:8" ht="84" customHeight="1" x14ac:dyDescent="0.25">
      <c r="A68" s="28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88"/>
      <c r="C68" s="160" t="s">
        <v>335</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x14ac:dyDescent="0.25">
      <c r="A69" s="288" t="s">
        <v>319</v>
      </c>
      <c r="B69" s="288"/>
      <c r="C69" s="160"/>
    </row>
    <row r="70" spans="1:8" ht="36" customHeight="1" x14ac:dyDescent="0.25">
      <c r="A70" s="288"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88"/>
      <c r="C70" s="160"/>
    </row>
    <row r="71" spans="1:8" ht="51.75" customHeight="1" x14ac:dyDescent="0.25">
      <c r="A71" s="290" t="s">
        <v>336</v>
      </c>
      <c r="B71" s="290"/>
      <c r="C71" s="163"/>
    </row>
    <row r="72" spans="1:8" ht="71.25" customHeight="1" x14ac:dyDescent="0.25">
      <c r="A72" s="288"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88"/>
      <c r="C72" s="160"/>
    </row>
    <row r="73" spans="1:8" ht="33.75" customHeight="1" x14ac:dyDescent="0.25">
      <c r="A73" s="288"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88"/>
      <c r="C73" s="160"/>
      <c r="H73" s="6" t="s">
        <v>331</v>
      </c>
    </row>
    <row r="74" spans="1:8" ht="68.25" customHeight="1" x14ac:dyDescent="0.25">
      <c r="A74" s="28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88"/>
      <c r="C74" s="160"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337</v>
      </c>
    </row>
    <row r="75" spans="1:8" x14ac:dyDescent="0.25">
      <c r="A75" s="71"/>
    </row>
    <row r="76" spans="1:8" x14ac:dyDescent="0.25">
      <c r="A76" s="296" t="s">
        <v>300</v>
      </c>
      <c r="B76" s="296"/>
      <c r="C76" s="162"/>
    </row>
    <row r="77" spans="1:8" ht="98.25" customHeight="1" x14ac:dyDescent="0.25">
      <c r="A77" s="28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88"/>
      <c r="C77" s="160" t="s">
        <v>338</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x14ac:dyDescent="0.25">
      <c r="A78" s="288" t="s">
        <v>299</v>
      </c>
      <c r="B78" s="288"/>
      <c r="C78" s="160"/>
    </row>
    <row r="79" spans="1:8" ht="35.25" customHeight="1" x14ac:dyDescent="0.25">
      <c r="A79" s="288" t="s">
        <v>298</v>
      </c>
      <c r="B79" s="288"/>
      <c r="C79" s="160"/>
    </row>
    <row r="80" spans="1:8" ht="33" customHeight="1" x14ac:dyDescent="0.25">
      <c r="A80" s="288" t="s">
        <v>297</v>
      </c>
      <c r="B80" s="288"/>
      <c r="C80" s="160"/>
    </row>
    <row r="82" spans="1:3" x14ac:dyDescent="0.25">
      <c r="A82" s="264" t="s">
        <v>296</v>
      </c>
      <c r="B82" s="264"/>
      <c r="C82" s="65"/>
    </row>
    <row r="83" spans="1:3" ht="162.75" customHeight="1" x14ac:dyDescent="0.25">
      <c r="A83" s="288" t="s">
        <v>295</v>
      </c>
      <c r="B83" s="288"/>
      <c r="C83" s="160"/>
    </row>
    <row r="84" spans="1:3" ht="33.75" customHeight="1" x14ac:dyDescent="0.25">
      <c r="A84" s="288" t="s">
        <v>339</v>
      </c>
      <c r="B84" s="288"/>
      <c r="C84" s="160"/>
    </row>
    <row r="85" spans="1:3" ht="51.75" customHeight="1" x14ac:dyDescent="0.25">
      <c r="A85" s="288" t="s">
        <v>294</v>
      </c>
      <c r="B85" s="288"/>
      <c r="C85" s="160"/>
    </row>
    <row r="86" spans="1:3" ht="36" customHeight="1" x14ac:dyDescent="0.25">
      <c r="A86" s="288" t="s">
        <v>293</v>
      </c>
      <c r="B86" s="288"/>
      <c r="C86" s="160"/>
    </row>
    <row r="88" spans="1:3" x14ac:dyDescent="0.25">
      <c r="A88" s="264" t="s">
        <v>292</v>
      </c>
      <c r="B88" s="264"/>
      <c r="C88" s="65"/>
    </row>
    <row r="89" spans="1:3" ht="114.75" customHeight="1" x14ac:dyDescent="0.25">
      <c r="A89" s="288" t="s">
        <v>351</v>
      </c>
      <c r="B89" s="288"/>
      <c r="C89" s="160"/>
    </row>
    <row r="90" spans="1:3" ht="36" customHeight="1" x14ac:dyDescent="0.25">
      <c r="A90" s="288" t="s">
        <v>320</v>
      </c>
      <c r="B90" s="288"/>
      <c r="C90" s="160"/>
    </row>
    <row r="91" spans="1:3" ht="64.5" customHeight="1" x14ac:dyDescent="0.25">
      <c r="A91" s="288"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88"/>
      <c r="C91" s="160"/>
    </row>
    <row r="93" spans="1:3" x14ac:dyDescent="0.25">
      <c r="A93" s="298" t="s">
        <v>291</v>
      </c>
      <c r="B93" s="298"/>
      <c r="C93" s="73"/>
    </row>
    <row r="94" spans="1:3" ht="20.25" customHeight="1" x14ac:dyDescent="0.25">
      <c r="A94" s="288" t="s">
        <v>290</v>
      </c>
      <c r="B94" s="288"/>
      <c r="C94" s="160"/>
    </row>
    <row r="95" spans="1:3" ht="33.75" customHeight="1" x14ac:dyDescent="0.25">
      <c r="A95" s="288"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88"/>
      <c r="C95" s="160"/>
    </row>
    <row r="96" spans="1:3" ht="51" customHeight="1" x14ac:dyDescent="0.25">
      <c r="A96" s="288" t="s">
        <v>289</v>
      </c>
      <c r="B96" s="288"/>
      <c r="C96" s="160"/>
    </row>
    <row r="98" spans="1:3" x14ac:dyDescent="0.25">
      <c r="A98" s="291" t="s">
        <v>288</v>
      </c>
      <c r="B98" s="291"/>
      <c r="C98" s="64"/>
    </row>
    <row r="99" spans="1:3" ht="82.5" customHeight="1" x14ac:dyDescent="0.25">
      <c r="A99" s="288" t="s">
        <v>287</v>
      </c>
      <c r="B99" s="288"/>
      <c r="C99" s="160"/>
    </row>
    <row r="100" spans="1:3" ht="66" customHeight="1" x14ac:dyDescent="0.25">
      <c r="A100" s="288" t="s">
        <v>286</v>
      </c>
      <c r="B100" s="288"/>
      <c r="C100" s="160"/>
    </row>
    <row r="101" spans="1:3" ht="48" customHeight="1" x14ac:dyDescent="0.25">
      <c r="A101" s="288" t="s">
        <v>285</v>
      </c>
      <c r="B101" s="288"/>
      <c r="C101" s="160"/>
    </row>
    <row r="103" spans="1:3" x14ac:dyDescent="0.25">
      <c r="A103" s="264" t="s">
        <v>284</v>
      </c>
      <c r="B103" s="264"/>
      <c r="C103" s="145"/>
    </row>
    <row r="104" spans="1:3" ht="37.5" customHeight="1" x14ac:dyDescent="0.25">
      <c r="A104" s="288" t="s">
        <v>283</v>
      </c>
      <c r="B104" s="288"/>
      <c r="C104" s="160"/>
    </row>
    <row r="105" spans="1:3" ht="34.5" customHeight="1" x14ac:dyDescent="0.25">
      <c r="A105" s="288" t="s">
        <v>282</v>
      </c>
      <c r="B105" s="288"/>
      <c r="C105" s="160"/>
    </row>
    <row r="106" spans="1:3" ht="66.75" customHeight="1" x14ac:dyDescent="0.25">
      <c r="A106" s="288" t="s">
        <v>281</v>
      </c>
      <c r="B106" s="288"/>
      <c r="C106" s="160"/>
    </row>
    <row r="107" spans="1:3" ht="51" customHeight="1" x14ac:dyDescent="0.25">
      <c r="A107" s="288" t="s">
        <v>280</v>
      </c>
      <c r="B107" s="288"/>
      <c r="C107" s="160"/>
    </row>
    <row r="108" spans="1:3" ht="37.5" customHeight="1" x14ac:dyDescent="0.25">
      <c r="A108" s="288" t="s">
        <v>279</v>
      </c>
      <c r="B108" s="288"/>
      <c r="C108" s="160"/>
    </row>
    <row r="109" spans="1:3" ht="38.25" customHeight="1" x14ac:dyDescent="0.25">
      <c r="A109" s="288" t="s">
        <v>278</v>
      </c>
      <c r="B109" s="288"/>
      <c r="C109" s="160"/>
    </row>
    <row r="110" spans="1:3" ht="21" customHeight="1" x14ac:dyDescent="0.25">
      <c r="A110" s="288" t="s">
        <v>277</v>
      </c>
      <c r="B110" s="288"/>
      <c r="C110" s="160"/>
    </row>
    <row r="111" spans="1:3" ht="32.25" customHeight="1" x14ac:dyDescent="0.25">
      <c r="A111" s="288"/>
      <c r="B111" s="288"/>
      <c r="C111" s="160"/>
    </row>
    <row r="113" spans="1:3" x14ac:dyDescent="0.25">
      <c r="A113" s="298" t="s">
        <v>321</v>
      </c>
      <c r="B113" s="298"/>
      <c r="C113" s="73"/>
    </row>
    <row r="115" spans="1:3" x14ac:dyDescent="0.25">
      <c r="A115" s="74" t="s">
        <v>276</v>
      </c>
      <c r="B115" s="74" t="s">
        <v>275</v>
      </c>
    </row>
    <row r="117" spans="1:3" ht="31.5" x14ac:dyDescent="0.25">
      <c r="A117" s="73" t="str">
        <f>'Общие данные'!B148</f>
        <v>«PULLOL BUSINESS MIKROMOLIYA TASHKILOTI»  MChJ</v>
      </c>
      <c r="B117" s="67" t="str">
        <f>'Общие данные'!B5</f>
        <v>BAYRAMGELDIYEV NURGELDI QODOMBOY O'G'LI</v>
      </c>
    </row>
    <row r="119" spans="1:3" ht="43.5" customHeight="1" x14ac:dyDescent="0.25">
      <c r="A119" s="70" t="str">
        <f>"Manzil: "&amp;'Общие данные'!B153&amp;""</f>
        <v>Manzil: Toshkent shahri, Yakkasaroy tumani, Rakat ko'chasi, 10-uy, 18 xonadon</v>
      </c>
      <c r="B119" s="70" t="str">
        <f>"Manzil: "&amp;'Общие данные'!B27&amp;""</f>
        <v>Manzil: QORAQALPOG'ISTON RESPUBLIKASI ELLIKQAL'A TUMANI JASORAT MFY PAXTABIRLIK KO'CHASI 7-UY</v>
      </c>
    </row>
    <row r="120" spans="1:3" x14ac:dyDescent="0.25">
      <c r="A120" s="72" t="str">
        <f>"h/r: "&amp;'Общие данные'!B154&amp;""</f>
        <v>h/r: № 20208000405643889001</v>
      </c>
    </row>
    <row r="121" spans="1:3" ht="55.5" customHeight="1" x14ac:dyDescent="0.25">
      <c r="A121" s="70" t="str">
        <f>"MFO: "&amp;'Общие данные'!B155&amp;" в "&amp;'Общие данные'!B156&amp;""</f>
        <v>MFO: №01088 в ATB “Kapitalbank” Markaziy amaliyotlar bo'limi</v>
      </c>
      <c r="B121" s="70" t="str">
        <f>"pasport seriyasi: "&amp;'Общие данные'!B16&amp;", "&amp;'Общие данные'!B20&amp;""</f>
        <v>pasport seriyasi: AE 6482058, IIV 35210 tomonidan 25.02.2026 yilda berilgan</v>
      </c>
    </row>
    <row r="122" spans="1:3" x14ac:dyDescent="0.25">
      <c r="A122" s="70" t="str">
        <f>"STIR: "&amp;'Общие данные'!B157&amp;""</f>
        <v>STIR: 310430149</v>
      </c>
      <c r="B122" s="66" t="str">
        <f>"Tel: "&amp;'Общие данные'!B40&amp;""</f>
        <v>Tel: 93 842 10 99 KLIENT</v>
      </c>
    </row>
    <row r="123" spans="1:3" x14ac:dyDescent="0.25">
      <c r="A123" s="182" t="str">
        <f>"Tel: (55) 510 02 16"</f>
        <v>Tel: (55) 510 02 16</v>
      </c>
      <c r="B123" s="66" t="str">
        <f>'Общие данные'!B41</f>
        <v>94-886-00-39 AYOLI</v>
      </c>
    </row>
    <row r="124" spans="1:3" x14ac:dyDescent="0.25">
      <c r="A124" s="182" t="s">
        <v>408</v>
      </c>
      <c r="B124" s="66" t="str">
        <f>'Общие данные'!B42</f>
        <v>93-073-74-12 ONASI</v>
      </c>
    </row>
    <row r="125" spans="1:3" x14ac:dyDescent="0.25">
      <c r="A125" s="173" t="s">
        <v>397</v>
      </c>
    </row>
    <row r="126" spans="1:3" x14ac:dyDescent="0.25">
      <c r="A126" s="299" t="str">
        <f>'Общие данные'!A160</f>
        <v>To'rtko'l filiali boshlig’i</v>
      </c>
    </row>
    <row r="127" spans="1:3" x14ac:dyDescent="0.25">
      <c r="A127" s="299"/>
      <c r="B127" s="65" t="str">
        <f>""&amp;'Общие данные'!B7&amp;"     __________________"</f>
        <v>BAYRAMGELDIYEV N.Q.     __________________</v>
      </c>
    </row>
    <row r="129" spans="1:2" x14ac:dyDescent="0.25">
      <c r="A129" s="145" t="str">
        <f>""&amp;'Общие данные'!B160&amp;"     __________________"</f>
        <v>Djumanazarov B.A.     __________________</v>
      </c>
      <c r="B129" s="173" t="str">
        <f>""&amp;'Общие данные'!B65&amp;" shartnoma bir nusxasini oldim ________ "</f>
        <v xml:space="preserve">mikroqarz shartnoma bir nusxasini oldim ________ </v>
      </c>
    </row>
    <row r="132" spans="1:2" hidden="1" x14ac:dyDescent="0.25">
      <c r="A132" s="6" t="str">
        <f>"менеджер :   "&amp;'Общие данные'!B161&amp;"______________"</f>
        <v>менеджер :   Eshbekov S.O.______________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23622047244094491" header="0.31496062992125984" footer="0.31496062992125984"/>
  <pageSetup paperSize="9" scale="75" orientation="portrait" r:id="rId1"/>
  <rowBreaks count="4" manualBreakCount="4">
    <brk id="20" max="1" man="1"/>
    <brk id="48" max="1" man="1"/>
    <brk id="72" max="1" man="1"/>
    <brk id="96" max="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9">
    <tabColor theme="1"/>
  </sheetPr>
  <dimension ref="A1:V76"/>
  <sheetViews>
    <sheetView topLeftCell="A4" zoomScale="70" zoomScaleNormal="70" zoomScaleSheetLayoutView="70" workbookViewId="0">
      <selection activeCell="E8" sqref="E8"/>
    </sheetView>
  </sheetViews>
  <sheetFormatPr defaultColWidth="9.140625" defaultRowHeight="15" outlineLevelCol="1" x14ac:dyDescent="0.25"/>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x14ac:dyDescent="0.25">
      <c r="A1" s="86"/>
      <c r="B1" s="86"/>
      <c r="C1" s="86"/>
      <c r="D1" s="86"/>
      <c r="E1" s="309" t="s">
        <v>15</v>
      </c>
      <c r="F1" s="309"/>
    </row>
    <row r="2" spans="1:22" x14ac:dyDescent="0.25">
      <c r="A2" s="86"/>
      <c r="B2" s="86"/>
      <c r="C2" s="86"/>
      <c r="D2" s="86"/>
      <c r="E2" s="86"/>
      <c r="F2" s="88" t="str">
        <f>"к договору микрозайма "&amp;'Общие данные'!B74&amp;""</f>
        <v>к договору микрозайма 5 mart 2026 y.dan №194-TR</v>
      </c>
    </row>
    <row r="3" spans="1:22" ht="19.5" customHeight="1" x14ac:dyDescent="0.25">
      <c r="A3" s="86"/>
      <c r="B3" s="86"/>
      <c r="C3" s="86"/>
      <c r="D3" s="86"/>
      <c r="E3" s="86"/>
      <c r="F3" s="86"/>
      <c r="H3" s="89"/>
      <c r="I3" s="89"/>
      <c r="J3" s="90"/>
      <c r="K3" s="90"/>
    </row>
    <row r="4" spans="1:22" ht="19.5" customHeight="1" x14ac:dyDescent="0.25">
      <c r="A4" s="310" t="s">
        <v>16</v>
      </c>
      <c r="B4" s="310"/>
      <c r="C4" s="310"/>
      <c r="D4" s="310"/>
      <c r="E4" s="310"/>
      <c r="F4" s="310"/>
      <c r="H4" s="89"/>
      <c r="I4" s="89"/>
      <c r="J4" s="89"/>
      <c r="K4" s="89"/>
    </row>
    <row r="5" spans="1:22" ht="19.5" customHeight="1" x14ac:dyDescent="0.25">
      <c r="L5" s="87">
        <f>'Общие данные'!B81</f>
        <v>30</v>
      </c>
    </row>
    <row r="6" spans="1:22" x14ac:dyDescent="0.25">
      <c r="A6" s="311" t="s">
        <v>14</v>
      </c>
      <c r="B6" s="312" t="s">
        <v>8</v>
      </c>
      <c r="C6" s="312" t="s">
        <v>9</v>
      </c>
      <c r="D6" s="313" t="s">
        <v>10</v>
      </c>
      <c r="E6" s="313"/>
      <c r="F6" s="313"/>
    </row>
    <row r="7" spans="1:22" s="16" customFormat="1" x14ac:dyDescent="0.25">
      <c r="A7" s="311"/>
      <c r="B7" s="312"/>
      <c r="C7" s="312"/>
      <c r="D7" s="91" t="s">
        <v>11</v>
      </c>
      <c r="E7" s="91" t="s">
        <v>12</v>
      </c>
      <c r="F7" s="91" t="s">
        <v>13</v>
      </c>
      <c r="G7" s="92"/>
      <c r="H7" s="92"/>
      <c r="I7" s="92"/>
      <c r="J7" s="92"/>
      <c r="K7" s="92"/>
      <c r="L7" s="92"/>
      <c r="M7" s="92"/>
      <c r="N7" s="92"/>
    </row>
    <row r="8" spans="1:22" x14ac:dyDescent="0.25">
      <c r="A8" s="93">
        <v>1</v>
      </c>
      <c r="B8" s="94">
        <f>'Общие данные'!B79</f>
        <v>46118</v>
      </c>
      <c r="C8" s="51">
        <f>'Общие данные'!B75</f>
        <v>60000000</v>
      </c>
      <c r="D8" s="51">
        <f>IF(IF(C8=0,L8,IF(C8&gt;1,I8))="",0,(IF(C8=0,L8,IF(C8&gt;1,I8))))</f>
        <v>2000000</v>
      </c>
      <c r="E8" s="51">
        <f>IF(C8=0,N6,IF(C8&gt;1,L8))</f>
        <v>2893150.72</v>
      </c>
      <c r="F8" s="51">
        <f>IF(C8=0,O6,IF(C8&gt;1,M8))</f>
        <v>4893150.7200000007</v>
      </c>
      <c r="G8" s="107">
        <f>B8-'Общие данные'!B67</f>
        <v>32</v>
      </c>
      <c r="H8" s="87">
        <f>DATE(YEAR(B8),12,31)-DATE(YEAR(B8),1,1)+1</f>
        <v>365</v>
      </c>
      <c r="I8" s="95">
        <f>IF('Общие данные'!B83=0,ROUND(C8/L5,2),"")</f>
        <v>2000000</v>
      </c>
      <c r="J8" s="95"/>
      <c r="K8" s="95"/>
      <c r="L8" s="89">
        <f>ROUND(C8*'Общие данные'!$B$84/H8,2)*G8</f>
        <v>2893150.72</v>
      </c>
      <c r="M8" s="89">
        <f t="shared" ref="M8:M31" si="0">D8+E8</f>
        <v>4893150.7200000007</v>
      </c>
      <c r="N8" s="89"/>
      <c r="O8" s="104" t="str">
        <f>TEXT(B8,"ддд")</f>
        <v>Пн</v>
      </c>
      <c r="P8" s="106">
        <f>IF(O8=$U$8,2,IF(O8=$V$8,1,0))</f>
        <v>0</v>
      </c>
      <c r="Q8" s="106">
        <f>DAY('Общие данные'!$B$78)+P8</f>
        <v>5</v>
      </c>
      <c r="R8" s="101"/>
      <c r="S8" s="102" t="s">
        <v>28</v>
      </c>
      <c r="T8" s="102" t="s">
        <v>29</v>
      </c>
      <c r="U8" s="102" t="s">
        <v>30</v>
      </c>
      <c r="V8" s="103" t="s">
        <v>31</v>
      </c>
    </row>
    <row r="9" spans="1:22" x14ac:dyDescent="0.25">
      <c r="A9" s="93">
        <v>2</v>
      </c>
      <c r="B9" s="94">
        <f>IF(A9&lt;='Общие данные'!$B$81,DATE(YEAR(R9),MONTH(R9),DAY(IF(A9='Общие данные'!$B$81,'Общие данные'!$B$67,IF(A9&lt;'Общие данные'!$B$81,(Q9),IF(A9&gt;'Общие данные'!$B$81,$H$56,0))))))</f>
        <v>46147</v>
      </c>
      <c r="C9" s="51">
        <f t="shared" ref="C9:C30" si="1">C8-D8</f>
        <v>58000000</v>
      </c>
      <c r="D9" s="51">
        <f t="shared" ref="D9:D30" si="2">IF(C9=0,L9,IF(C9&gt;1,I9))</f>
        <v>2000000</v>
      </c>
      <c r="E9" s="51">
        <f t="shared" ref="E9:E30" si="3">IF(C9=0,N8,IF(C9&gt;1,L9))</f>
        <v>2534520.54</v>
      </c>
      <c r="F9" s="51">
        <f t="shared" ref="F9:F30" si="4">IF(C9=0,N8,IF(C9&gt;1,M9))</f>
        <v>4534520.54</v>
      </c>
      <c r="G9" s="87">
        <f>B9-B8</f>
        <v>29</v>
      </c>
      <c r="H9" s="87">
        <f t="shared" ref="H9:H31" si="5">DATE(YEAR(B9),12,31)-DATE(YEAR(B9),1,1)+1</f>
        <v>365</v>
      </c>
      <c r="I9" s="95">
        <f>IF(I8="",ROUND(C8/(L5-1),2),I8)</f>
        <v>2000000</v>
      </c>
      <c r="J9" s="95"/>
      <c r="K9" s="95"/>
      <c r="L9" s="89">
        <f>ROUND(C9*'Общие данные'!$B$84/H9,2)*G9</f>
        <v>2534520.54</v>
      </c>
      <c r="M9" s="89">
        <f t="shared" si="0"/>
        <v>4534520.54</v>
      </c>
      <c r="N9" s="89"/>
      <c r="O9" s="104" t="str">
        <f>TEXT(R9,"ддд")</f>
        <v>Вт</v>
      </c>
      <c r="P9" s="106">
        <f t="shared" ref="P9:P31" si="6">IF(O9=$U$8,2,IF(O9=$V$8,1,0))</f>
        <v>0</v>
      </c>
      <c r="Q9" s="106">
        <f>DAY('Общие данные'!$B$78)+P9</f>
        <v>5</v>
      </c>
      <c r="R9" s="101">
        <f>IF(A9&lt;='Общие данные'!$B$81,DATE(YEAR($B$8),MONTH($B$8)+A8,DAY('Общие данные'!$B$78)),0)</f>
        <v>46147</v>
      </c>
      <c r="S9" s="87"/>
      <c r="T9" s="87"/>
      <c r="U9" s="87"/>
      <c r="V9" s="87"/>
    </row>
    <row r="10" spans="1:22" x14ac:dyDescent="0.25">
      <c r="A10" s="93">
        <v>3</v>
      </c>
      <c r="B10" s="94">
        <f>IF(A10&lt;='Общие данные'!$B$81,DATE(YEAR(R10),MONTH(R10),DAY(IF(A10='Общие данные'!$B$81,'Общие данные'!$B$67,IF(A10&lt;'Общие данные'!$B$81,(Q10),IF(A10&gt;'Общие данные'!$B$81,$H$56,0))))))</f>
        <v>46178</v>
      </c>
      <c r="C10" s="51">
        <f t="shared" si="1"/>
        <v>56000000</v>
      </c>
      <c r="D10" s="51">
        <f t="shared" si="2"/>
        <v>2000000</v>
      </c>
      <c r="E10" s="51">
        <f t="shared" si="3"/>
        <v>2615890.36</v>
      </c>
      <c r="F10" s="51">
        <f t="shared" si="4"/>
        <v>4615890.3599999994</v>
      </c>
      <c r="G10" s="87">
        <f t="shared" ref="G10:G31" si="7">B10-B9</f>
        <v>31</v>
      </c>
      <c r="H10" s="87">
        <f t="shared" si="5"/>
        <v>365</v>
      </c>
      <c r="I10" s="95">
        <f>I9</f>
        <v>2000000</v>
      </c>
      <c r="J10" s="95"/>
      <c r="K10" s="95"/>
      <c r="L10" s="89">
        <f>ROUND(C10*'Общие данные'!$B$84/H10,2)*G10</f>
        <v>2615890.36</v>
      </c>
      <c r="M10" s="89">
        <f t="shared" si="0"/>
        <v>4615890.3599999994</v>
      </c>
      <c r="N10" s="89"/>
      <c r="O10" s="104" t="str">
        <f t="shared" ref="O10:O31" si="8">TEXT(R10,"ддд")</f>
        <v>Пт</v>
      </c>
      <c r="P10" s="106">
        <f t="shared" si="6"/>
        <v>0</v>
      </c>
      <c r="Q10" s="106">
        <f>DAY('Общие данные'!$B$78)+P10</f>
        <v>5</v>
      </c>
      <c r="R10" s="101">
        <f>IF(A10&lt;='Общие данные'!$B$81,DATE(YEAR($B$8),MONTH($B$8)+A9,DAY('Общие данные'!$B$78)),0)</f>
        <v>46178</v>
      </c>
      <c r="S10" s="87"/>
      <c r="T10" s="87"/>
      <c r="U10" s="87"/>
      <c r="V10" s="87"/>
    </row>
    <row r="11" spans="1:22" x14ac:dyDescent="0.25">
      <c r="A11" s="93">
        <v>4</v>
      </c>
      <c r="B11" s="94">
        <f>IF(A11&lt;='Общие данные'!$B$81,DATE(YEAR(R11),MONTH(R11),DAY(IF(A11='Общие данные'!$B$81,'Общие данные'!$B$67,IF(A11&lt;'Общие данные'!$B$81,(Q11),IF(A11&gt;'Общие данные'!$B$81,$H$56,0))))))</f>
        <v>46209</v>
      </c>
      <c r="C11" s="51">
        <f t="shared" si="1"/>
        <v>54000000</v>
      </c>
      <c r="D11" s="51">
        <f t="shared" si="2"/>
        <v>2000000</v>
      </c>
      <c r="E11" s="51">
        <f t="shared" si="3"/>
        <v>2522465.66</v>
      </c>
      <c r="F11" s="51">
        <f t="shared" si="4"/>
        <v>4522465.66</v>
      </c>
      <c r="G11" s="87">
        <f t="shared" si="7"/>
        <v>31</v>
      </c>
      <c r="H11" s="87">
        <f t="shared" si="5"/>
        <v>365</v>
      </c>
      <c r="I11" s="95">
        <f>I10</f>
        <v>2000000</v>
      </c>
      <c r="J11" s="95"/>
      <c r="K11" s="95"/>
      <c r="L11" s="89">
        <f>ROUND(C11*'Общие данные'!$B$84/H11,2)*G11</f>
        <v>2522465.66</v>
      </c>
      <c r="M11" s="89">
        <f t="shared" si="0"/>
        <v>4522465.66</v>
      </c>
      <c r="N11" s="89"/>
      <c r="O11" s="104" t="str">
        <f t="shared" si="8"/>
        <v>Вс</v>
      </c>
      <c r="P11" s="106">
        <f t="shared" si="6"/>
        <v>1</v>
      </c>
      <c r="Q11" s="106">
        <f>DAY('Общие данные'!$B$78)+P11</f>
        <v>6</v>
      </c>
      <c r="R11" s="101">
        <f>IF(A11&lt;='Общие данные'!$B$81,DATE(YEAR($B$8),MONTH($B$8)+A10,DAY('Общие данные'!$B$78)),0)</f>
        <v>46208</v>
      </c>
      <c r="S11" s="87"/>
      <c r="T11" s="87"/>
      <c r="U11" s="87"/>
      <c r="V11" s="87"/>
    </row>
    <row r="12" spans="1:22" x14ac:dyDescent="0.25">
      <c r="A12" s="93">
        <v>5</v>
      </c>
      <c r="B12" s="94">
        <f>IF(A12&lt;='Общие данные'!$B$81,DATE(YEAR(R12),MONTH(R12),DAY(IF(A12='Общие данные'!$B$81,'Общие данные'!$B$67,IF(A12&lt;'Общие данные'!$B$81,(Q12),IF(A12&gt;'Общие данные'!$B$81,$H$56,0))))))</f>
        <v>46239</v>
      </c>
      <c r="C12" s="51">
        <f t="shared" si="1"/>
        <v>52000000</v>
      </c>
      <c r="D12" s="51">
        <f t="shared" si="2"/>
        <v>2000000</v>
      </c>
      <c r="E12" s="51">
        <f t="shared" si="3"/>
        <v>2350684.8000000003</v>
      </c>
      <c r="F12" s="51">
        <f t="shared" si="4"/>
        <v>4350684.8000000007</v>
      </c>
      <c r="G12" s="87">
        <f t="shared" si="7"/>
        <v>30</v>
      </c>
      <c r="H12" s="87">
        <f t="shared" si="5"/>
        <v>365</v>
      </c>
      <c r="I12" s="95">
        <f>I11</f>
        <v>2000000</v>
      </c>
      <c r="J12" s="95">
        <f>'Общие данные'!B75</f>
        <v>60000000</v>
      </c>
      <c r="K12" s="95"/>
      <c r="L12" s="89">
        <f>ROUND(C12*'Общие данные'!$B$84/H12,2)*G12</f>
        <v>2350684.8000000003</v>
      </c>
      <c r="M12" s="89">
        <f t="shared" si="0"/>
        <v>4350684.8000000007</v>
      </c>
      <c r="N12" s="89"/>
      <c r="O12" s="104" t="str">
        <f t="shared" si="8"/>
        <v>Ср</v>
      </c>
      <c r="P12" s="106">
        <f t="shared" si="6"/>
        <v>0</v>
      </c>
      <c r="Q12" s="106">
        <f>DAY('Общие данные'!$B$78)+P12</f>
        <v>5</v>
      </c>
      <c r="R12" s="101">
        <f>IF(A12&lt;='Общие данные'!$B$81,DATE(YEAR($B$8),MONTH($B$8)+A11,DAY('Общие данные'!$B$78)),0)</f>
        <v>46239</v>
      </c>
      <c r="S12" s="87"/>
      <c r="T12" s="87"/>
      <c r="U12" s="87"/>
      <c r="V12" s="87"/>
    </row>
    <row r="13" spans="1:22" x14ac:dyDescent="0.25">
      <c r="A13" s="93">
        <v>6</v>
      </c>
      <c r="B13" s="94">
        <f>IF(A13&lt;='Общие данные'!$B$81,DATE(YEAR(R13),MONTH(R13),DAY(IF(A13='Общие данные'!$B$81,'Общие данные'!$B$67,IF(A13&lt;'Общие данные'!$B$81,(Q13),IF(A13&gt;'Общие данные'!$B$81,$H$56,0))))))</f>
        <v>46272</v>
      </c>
      <c r="C13" s="51">
        <f t="shared" si="1"/>
        <v>50000000</v>
      </c>
      <c r="D13" s="51">
        <f t="shared" si="2"/>
        <v>2000000</v>
      </c>
      <c r="E13" s="51">
        <f t="shared" si="3"/>
        <v>2486301.5100000002</v>
      </c>
      <c r="F13" s="51">
        <f t="shared" si="4"/>
        <v>4486301.51</v>
      </c>
      <c r="G13" s="87">
        <f t="shared" si="7"/>
        <v>33</v>
      </c>
      <c r="H13" s="87">
        <f t="shared" si="5"/>
        <v>365</v>
      </c>
      <c r="I13" s="95">
        <f>IF(L5=H1,K13,IF(L5&gt;H1,I12))</f>
        <v>2000000</v>
      </c>
      <c r="J13" s="95">
        <f>SUM($I$8:I12)</f>
        <v>10000000</v>
      </c>
      <c r="K13" s="95">
        <f>$J$12-J13</f>
        <v>50000000</v>
      </c>
      <c r="L13" s="89">
        <f>ROUND(C13*'Общие данные'!$B$84/H13,2)*G13</f>
        <v>2486301.5100000002</v>
      </c>
      <c r="M13" s="89">
        <f t="shared" si="0"/>
        <v>4486301.51</v>
      </c>
      <c r="N13" s="89"/>
      <c r="O13" s="104" t="str">
        <f t="shared" si="8"/>
        <v>Сб</v>
      </c>
      <c r="P13" s="106">
        <f t="shared" si="6"/>
        <v>2</v>
      </c>
      <c r="Q13" s="106">
        <f>DAY('Общие данные'!$B$78)+P13</f>
        <v>7</v>
      </c>
      <c r="R13" s="101">
        <f>IF(A13&lt;='Общие данные'!$B$81,DATE(YEAR($B$8),MONTH($B$8)+A12,DAY('Общие данные'!$B$78)),0)</f>
        <v>46270</v>
      </c>
      <c r="S13" s="87"/>
      <c r="T13" s="87"/>
      <c r="U13" s="87"/>
      <c r="V13" s="87"/>
    </row>
    <row r="14" spans="1:22" x14ac:dyDescent="0.25">
      <c r="A14" s="93">
        <v>7</v>
      </c>
      <c r="B14" s="94">
        <f>IF(A14&lt;='Общие данные'!$B$81,DATE(YEAR(R14),MONTH(R14),DAY(IF(A14='Общие данные'!$B$81,'Общие данные'!$B$67,IF(A14&lt;'Общие данные'!$B$81,(Q14),IF(A14&gt;'Общие данные'!$B$81,$H$56,0))))))</f>
        <v>46300</v>
      </c>
      <c r="C14" s="51">
        <f t="shared" si="1"/>
        <v>48000000</v>
      </c>
      <c r="D14" s="51">
        <f t="shared" si="2"/>
        <v>2000000</v>
      </c>
      <c r="E14" s="51">
        <f t="shared" si="3"/>
        <v>2025205.56</v>
      </c>
      <c r="F14" s="51">
        <f t="shared" si="4"/>
        <v>4025205.56</v>
      </c>
      <c r="G14" s="87">
        <f t="shared" si="7"/>
        <v>28</v>
      </c>
      <c r="H14" s="87">
        <f t="shared" si="5"/>
        <v>365</v>
      </c>
      <c r="I14" s="95">
        <f>IF($L$5=A14,K14,IF($L$5&gt;A14,I13))</f>
        <v>2000000</v>
      </c>
      <c r="J14" s="95">
        <f>SUM($I$8:I13)</f>
        <v>12000000</v>
      </c>
      <c r="K14" s="95">
        <f t="shared" ref="K14:K31" si="9">$J$12-J14</f>
        <v>48000000</v>
      </c>
      <c r="L14" s="89">
        <f>ROUND(C14*'Общие данные'!$B$84/H14,2)*G14</f>
        <v>2025205.56</v>
      </c>
      <c r="M14" s="89">
        <f t="shared" si="0"/>
        <v>4025205.56</v>
      </c>
      <c r="N14" s="89"/>
      <c r="O14" s="104" t="str">
        <f t="shared" si="8"/>
        <v>Пн</v>
      </c>
      <c r="P14" s="106">
        <f t="shared" si="6"/>
        <v>0</v>
      </c>
      <c r="Q14" s="106">
        <f>DAY('Общие данные'!$B$78)+P14</f>
        <v>5</v>
      </c>
      <c r="R14" s="101">
        <f>IF(A14&lt;='Общие данные'!$B$81,DATE(YEAR($B$8),MONTH($B$8)+A13,DAY('Общие данные'!$B$78)),0)</f>
        <v>46300</v>
      </c>
      <c r="S14" s="87"/>
      <c r="T14" s="87"/>
      <c r="U14" s="87"/>
      <c r="V14" s="87"/>
    </row>
    <row r="15" spans="1:22" x14ac:dyDescent="0.25">
      <c r="A15" s="93">
        <v>8</v>
      </c>
      <c r="B15" s="94">
        <f>IF(A15&lt;='Общие данные'!$B$81,DATE(YEAR(R15),MONTH(R15),DAY(IF(A15='Общие данные'!$B$81,'Общие данные'!$B$67,IF(A15&lt;'Общие данные'!$B$81,(Q15),IF(A15&gt;'Общие данные'!$B$81,$H$56,0))))))</f>
        <v>46331</v>
      </c>
      <c r="C15" s="51">
        <f t="shared" si="1"/>
        <v>46000000</v>
      </c>
      <c r="D15" s="51">
        <f t="shared" si="2"/>
        <v>2000000</v>
      </c>
      <c r="E15" s="51">
        <f t="shared" si="3"/>
        <v>2148767.1700000004</v>
      </c>
      <c r="F15" s="51">
        <f t="shared" si="4"/>
        <v>4148767.1700000004</v>
      </c>
      <c r="G15" s="87">
        <f t="shared" si="7"/>
        <v>31</v>
      </c>
      <c r="H15" s="87">
        <f t="shared" si="5"/>
        <v>365</v>
      </c>
      <c r="I15" s="95">
        <f t="shared" ref="I15:I31" si="10">IF($L$5=A15,K15,IF($L$5&gt;A15,I14))</f>
        <v>2000000</v>
      </c>
      <c r="J15" s="95">
        <f>SUM($I$8:I14)</f>
        <v>14000000</v>
      </c>
      <c r="K15" s="95">
        <f t="shared" si="9"/>
        <v>46000000</v>
      </c>
      <c r="L15" s="89">
        <f>ROUND(C15*'Общие данные'!$B$84/H15,2)*G15</f>
        <v>2148767.1700000004</v>
      </c>
      <c r="M15" s="89">
        <f t="shared" si="0"/>
        <v>4148767.1700000004</v>
      </c>
      <c r="N15" s="89"/>
      <c r="O15" s="104" t="str">
        <f t="shared" si="8"/>
        <v>Чт</v>
      </c>
      <c r="P15" s="106">
        <f t="shared" si="6"/>
        <v>0</v>
      </c>
      <c r="Q15" s="106">
        <f>DAY('Общие данные'!$B$78)+P15</f>
        <v>5</v>
      </c>
      <c r="R15" s="101">
        <f>IF(A15&lt;='Общие данные'!$B$81,DATE(YEAR($B$8),MONTH($B$8)+A14,DAY('Общие данные'!$B$78)),0)</f>
        <v>46331</v>
      </c>
      <c r="S15" s="87"/>
      <c r="T15" s="87"/>
      <c r="U15" s="87"/>
      <c r="V15" s="87"/>
    </row>
    <row r="16" spans="1:22" x14ac:dyDescent="0.25">
      <c r="A16" s="93">
        <v>9</v>
      </c>
      <c r="B16" s="94">
        <f>IF(A16&lt;='Общие данные'!$B$81,DATE(YEAR(R16),MONTH(R16),DAY(IF(A16='Общие данные'!$B$81,'Общие данные'!$B$67,IF(A16&lt;'Общие данные'!$B$81,(Q16),IF(A16&gt;'Общие данные'!$B$81,$H$56,0))))))</f>
        <v>46363</v>
      </c>
      <c r="C16" s="51">
        <f t="shared" si="1"/>
        <v>44000000</v>
      </c>
      <c r="D16" s="51">
        <f t="shared" si="2"/>
        <v>2000000</v>
      </c>
      <c r="E16" s="51">
        <f t="shared" si="3"/>
        <v>2121643.84</v>
      </c>
      <c r="F16" s="51">
        <f t="shared" si="4"/>
        <v>4121643.84</v>
      </c>
      <c r="G16" s="87">
        <f t="shared" si="7"/>
        <v>32</v>
      </c>
      <c r="H16" s="87">
        <f t="shared" si="5"/>
        <v>365</v>
      </c>
      <c r="I16" s="95">
        <f t="shared" si="10"/>
        <v>2000000</v>
      </c>
      <c r="J16" s="95">
        <f>SUM($I$8:I15)</f>
        <v>16000000</v>
      </c>
      <c r="K16" s="95">
        <f t="shared" si="9"/>
        <v>44000000</v>
      </c>
      <c r="L16" s="89">
        <f>ROUND(C16*'Общие данные'!$B$84/H16,2)*G16</f>
        <v>2121643.84</v>
      </c>
      <c r="M16" s="89">
        <f t="shared" si="0"/>
        <v>4121643.84</v>
      </c>
      <c r="N16" s="89"/>
      <c r="O16" s="104" t="str">
        <f t="shared" si="8"/>
        <v>Сб</v>
      </c>
      <c r="P16" s="106">
        <f t="shared" si="6"/>
        <v>2</v>
      </c>
      <c r="Q16" s="106">
        <f>DAY('Общие данные'!$B$78)+P16</f>
        <v>7</v>
      </c>
      <c r="R16" s="101">
        <f>IF(A16&lt;='Общие данные'!$B$81,DATE(YEAR($B$8),MONTH($B$8)+A15,DAY('Общие данные'!$B$78)),0)</f>
        <v>46361</v>
      </c>
      <c r="S16" s="87"/>
      <c r="T16" s="87"/>
      <c r="U16" s="87"/>
      <c r="V16" s="87"/>
    </row>
    <row r="17" spans="1:22" x14ac:dyDescent="0.25">
      <c r="A17" s="93">
        <v>10</v>
      </c>
      <c r="B17" s="94">
        <f>IF(A17&lt;='Общие данные'!$B$81,DATE(YEAR(R17),MONTH(R17),DAY(IF(A17='Общие данные'!$B$81,'Общие данные'!$B$67,IF(A17&lt;'Общие данные'!$B$81,(Q17),IF(A17&gt;'Общие данные'!$B$81,$H$56,0))))))</f>
        <v>46392</v>
      </c>
      <c r="C17" s="51">
        <f t="shared" si="1"/>
        <v>42000000</v>
      </c>
      <c r="D17" s="51">
        <f t="shared" si="2"/>
        <v>2000000</v>
      </c>
      <c r="E17" s="51">
        <f t="shared" si="3"/>
        <v>1835342.43</v>
      </c>
      <c r="F17" s="51">
        <f t="shared" si="4"/>
        <v>3835342.4299999997</v>
      </c>
      <c r="G17" s="87">
        <f t="shared" si="7"/>
        <v>29</v>
      </c>
      <c r="H17" s="87">
        <f t="shared" si="5"/>
        <v>365</v>
      </c>
      <c r="I17" s="95">
        <f t="shared" si="10"/>
        <v>2000000</v>
      </c>
      <c r="J17" s="95">
        <f>SUM($I$8:I16)</f>
        <v>18000000</v>
      </c>
      <c r="K17" s="95">
        <f>$J$12-J17</f>
        <v>42000000</v>
      </c>
      <c r="L17" s="89">
        <f>ROUND(C17*'Общие данные'!$B$84/H17,2)*G17</f>
        <v>1835342.43</v>
      </c>
      <c r="M17" s="89">
        <f t="shared" si="0"/>
        <v>3835342.4299999997</v>
      </c>
      <c r="N17" s="89"/>
      <c r="O17" s="104" t="str">
        <f t="shared" si="8"/>
        <v>Вт</v>
      </c>
      <c r="P17" s="106">
        <f t="shared" si="6"/>
        <v>0</v>
      </c>
      <c r="Q17" s="106">
        <f>DAY('Общие данные'!$B$78)+P17</f>
        <v>5</v>
      </c>
      <c r="R17" s="101">
        <f>IF(A17&lt;='Общие данные'!$B$81,DATE(YEAR($B$8),MONTH($B$8)+A16,DAY('Общие данные'!$B$78)),0)</f>
        <v>46392</v>
      </c>
      <c r="S17" s="87"/>
      <c r="T17" s="87"/>
      <c r="U17" s="87"/>
      <c r="V17" s="87"/>
    </row>
    <row r="18" spans="1:22" x14ac:dyDescent="0.25">
      <c r="A18" s="93">
        <v>11</v>
      </c>
      <c r="B18" s="94">
        <f>IF(A18&lt;='Общие данные'!$B$81,DATE(YEAR(R18),MONTH(R18),DAY(IF(A18='Общие данные'!$B$81,'Общие данные'!$B$67,IF(A18&lt;'Общие данные'!$B$81,(Q18),IF(A18&gt;'Общие данные'!$B$81,$H$56,0))))))</f>
        <v>46423</v>
      </c>
      <c r="C18" s="51">
        <f t="shared" si="1"/>
        <v>40000000</v>
      </c>
      <c r="D18" s="51">
        <f t="shared" si="2"/>
        <v>2000000</v>
      </c>
      <c r="E18" s="51">
        <f t="shared" si="3"/>
        <v>1868493.07</v>
      </c>
      <c r="F18" s="51">
        <f t="shared" si="4"/>
        <v>3868493.0700000003</v>
      </c>
      <c r="G18" s="87">
        <f t="shared" si="7"/>
        <v>31</v>
      </c>
      <c r="H18" s="87">
        <f t="shared" si="5"/>
        <v>365</v>
      </c>
      <c r="I18" s="95">
        <f t="shared" si="10"/>
        <v>2000000</v>
      </c>
      <c r="J18" s="95">
        <f>SUM($I$8:I17)</f>
        <v>20000000</v>
      </c>
      <c r="K18" s="95">
        <f t="shared" si="9"/>
        <v>40000000</v>
      </c>
      <c r="L18" s="89">
        <f>ROUND(C18*'Общие данные'!$B$84/H18,2)*G18</f>
        <v>1868493.07</v>
      </c>
      <c r="M18" s="89">
        <f t="shared" si="0"/>
        <v>3868493.0700000003</v>
      </c>
      <c r="N18" s="89"/>
      <c r="O18" s="104" t="str">
        <f t="shared" si="8"/>
        <v>Пт</v>
      </c>
      <c r="P18" s="106">
        <f t="shared" si="6"/>
        <v>0</v>
      </c>
      <c r="Q18" s="106">
        <f>DAY('Общие данные'!$B$78)+P18</f>
        <v>5</v>
      </c>
      <c r="R18" s="101">
        <f>IF(A18&lt;='Общие данные'!$B$81,DATE(YEAR($B$8),MONTH($B$8)+A17,DAY('Общие данные'!$B$78)),0)</f>
        <v>46423</v>
      </c>
      <c r="S18" s="87"/>
      <c r="T18" s="87"/>
      <c r="U18" s="87"/>
      <c r="V18" s="87"/>
    </row>
    <row r="19" spans="1:22" x14ac:dyDescent="0.25">
      <c r="A19" s="93">
        <v>12</v>
      </c>
      <c r="B19" s="94">
        <f>IF(A19&lt;='Общие данные'!$B$81,DATE(YEAR(R19),MONTH(R19),DAY(IF(A19='Общие данные'!$B$81,'Общие данные'!$B$67,IF(A19&lt;'Общие данные'!$B$81,(Q19),IF(A19&gt;'Общие данные'!$B$81,$H$56,0))))))</f>
        <v>46451</v>
      </c>
      <c r="C19" s="51">
        <f t="shared" si="1"/>
        <v>38000000</v>
      </c>
      <c r="D19" s="51">
        <f t="shared" si="2"/>
        <v>2000000</v>
      </c>
      <c r="E19" s="51">
        <f t="shared" si="3"/>
        <v>1603287.5599999998</v>
      </c>
      <c r="F19" s="51">
        <f t="shared" si="4"/>
        <v>3603287.5599999996</v>
      </c>
      <c r="G19" s="87">
        <f t="shared" si="7"/>
        <v>28</v>
      </c>
      <c r="H19" s="87">
        <f t="shared" si="5"/>
        <v>365</v>
      </c>
      <c r="I19" s="95">
        <f t="shared" si="10"/>
        <v>2000000</v>
      </c>
      <c r="J19" s="95">
        <f>SUM($I$8:I18)</f>
        <v>22000000</v>
      </c>
      <c r="K19" s="95">
        <f t="shared" si="9"/>
        <v>38000000</v>
      </c>
      <c r="L19" s="89">
        <f>ROUND(C19*'Общие данные'!$B$84/H19,2)*G19</f>
        <v>1603287.5599999998</v>
      </c>
      <c r="M19" s="89">
        <f t="shared" si="0"/>
        <v>3603287.5599999996</v>
      </c>
      <c r="N19" s="89"/>
      <c r="O19" s="104" t="str">
        <f t="shared" si="8"/>
        <v>Пт</v>
      </c>
      <c r="P19" s="106">
        <f t="shared" si="6"/>
        <v>0</v>
      </c>
      <c r="Q19" s="106">
        <f>DAY('Общие данные'!$B$78)+P19</f>
        <v>5</v>
      </c>
      <c r="R19" s="101">
        <f>IF(A19&lt;='Общие данные'!$B$81,DATE(YEAR($B$8),MONTH($B$8)+A18,DAY('Общие данные'!$B$78)),0)</f>
        <v>46451</v>
      </c>
      <c r="S19" s="87"/>
      <c r="T19" s="87"/>
      <c r="U19" s="87"/>
      <c r="V19" s="87"/>
    </row>
    <row r="20" spans="1:22" x14ac:dyDescent="0.25">
      <c r="A20" s="93">
        <v>13</v>
      </c>
      <c r="B20" s="94">
        <f>IF(A20&lt;='Общие данные'!$B$81,DATE(YEAR(R20),MONTH(R20),DAY(IF(A20='Общие данные'!$B$81,'Общие данные'!$B$67,IF(A20&lt;'Общие данные'!$B$81,(Q20),IF(A20&gt;'Общие данные'!$B$81,$H$56,0))))))</f>
        <v>46482</v>
      </c>
      <c r="C20" s="51">
        <f t="shared" si="1"/>
        <v>36000000</v>
      </c>
      <c r="D20" s="51">
        <f t="shared" si="2"/>
        <v>2000000</v>
      </c>
      <c r="E20" s="51">
        <f t="shared" si="3"/>
        <v>1681643.98</v>
      </c>
      <c r="F20" s="51">
        <f t="shared" si="4"/>
        <v>3681643.98</v>
      </c>
      <c r="G20" s="87">
        <f t="shared" si="7"/>
        <v>31</v>
      </c>
      <c r="H20" s="87">
        <f t="shared" si="5"/>
        <v>365</v>
      </c>
      <c r="I20" s="95">
        <f t="shared" si="10"/>
        <v>2000000</v>
      </c>
      <c r="J20" s="95">
        <f>SUM($I$8:I19)</f>
        <v>24000000</v>
      </c>
      <c r="K20" s="95">
        <f>$J$12-J20</f>
        <v>36000000</v>
      </c>
      <c r="L20" s="89">
        <f>ROUND(C20*'Общие данные'!$B$84/H20,2)*G20</f>
        <v>1681643.98</v>
      </c>
      <c r="M20" s="89">
        <f t="shared" si="0"/>
        <v>3681643.98</v>
      </c>
      <c r="N20" s="89"/>
      <c r="O20" s="104" t="str">
        <f t="shared" si="8"/>
        <v>Пн</v>
      </c>
      <c r="P20" s="106">
        <f t="shared" si="6"/>
        <v>0</v>
      </c>
      <c r="Q20" s="106">
        <f>DAY('Общие данные'!$B$78)+P20</f>
        <v>5</v>
      </c>
      <c r="R20" s="101">
        <f>IF(A20&lt;='Общие данные'!$B$81,DATE(YEAR($B$8),MONTH($B$8)+A19,DAY('Общие данные'!$B$78)),0)</f>
        <v>46482</v>
      </c>
      <c r="S20" s="87"/>
      <c r="T20" s="87"/>
      <c r="U20" s="87"/>
      <c r="V20" s="87"/>
    </row>
    <row r="21" spans="1:22" x14ac:dyDescent="0.25">
      <c r="A21" s="93">
        <v>14</v>
      </c>
      <c r="B21" s="94">
        <f>IF(A21&lt;='Общие данные'!$B$81,DATE(YEAR(R21),MONTH(R21),DAY(IF(A21='Общие данные'!$B$81,'Общие данные'!$B$67,IF(A21&lt;'Общие данные'!$B$81,(Q21),IF(A21&gt;'Общие данные'!$B$81,$H$56,0))))))</f>
        <v>46512</v>
      </c>
      <c r="C21" s="51">
        <f t="shared" si="1"/>
        <v>34000000</v>
      </c>
      <c r="D21" s="51">
        <f t="shared" si="2"/>
        <v>2000000</v>
      </c>
      <c r="E21" s="51">
        <f t="shared" si="3"/>
        <v>1536986.4</v>
      </c>
      <c r="F21" s="51">
        <f t="shared" si="4"/>
        <v>3536986.4</v>
      </c>
      <c r="G21" s="87">
        <f t="shared" si="7"/>
        <v>30</v>
      </c>
      <c r="H21" s="87">
        <f t="shared" si="5"/>
        <v>365</v>
      </c>
      <c r="I21" s="95">
        <f t="shared" si="10"/>
        <v>2000000</v>
      </c>
      <c r="J21" s="95">
        <f>SUM($I$8:I20)</f>
        <v>26000000</v>
      </c>
      <c r="K21" s="95">
        <f t="shared" si="9"/>
        <v>34000000</v>
      </c>
      <c r="L21" s="89">
        <f>ROUND(C21*'Общие данные'!$B$84/H21,2)*G21</f>
        <v>1536986.4</v>
      </c>
      <c r="M21" s="89">
        <f t="shared" si="0"/>
        <v>3536986.4</v>
      </c>
      <c r="N21" s="89"/>
      <c r="O21" s="104" t="str">
        <f t="shared" si="8"/>
        <v>Ср</v>
      </c>
      <c r="P21" s="106">
        <f t="shared" si="6"/>
        <v>0</v>
      </c>
      <c r="Q21" s="106">
        <f>DAY('Общие данные'!$B$78)+P21</f>
        <v>5</v>
      </c>
      <c r="R21" s="101">
        <f>IF(A21&lt;='Общие данные'!$B$81,DATE(YEAR($B$8),MONTH($B$8)+A20,DAY('Общие данные'!$B$78)),0)</f>
        <v>46512</v>
      </c>
      <c r="S21" s="87"/>
      <c r="T21" s="87"/>
      <c r="U21" s="87"/>
      <c r="V21" s="87"/>
    </row>
    <row r="22" spans="1:22" x14ac:dyDescent="0.25">
      <c r="A22" s="93">
        <v>15</v>
      </c>
      <c r="B22" s="94">
        <f>IF(A22&lt;='Общие данные'!$B$81,DATE(YEAR(R22),MONTH(R22),DAY(IF(A22='Общие данные'!$B$81,'Общие данные'!$B$67,IF(A22&lt;'Общие данные'!$B$81,(Q22),IF(A22&gt;'Общие данные'!$B$81,$H$56,0))))))</f>
        <v>46545</v>
      </c>
      <c r="C22" s="51">
        <f t="shared" si="1"/>
        <v>32000000</v>
      </c>
      <c r="D22" s="51">
        <f t="shared" si="2"/>
        <v>2000000</v>
      </c>
      <c r="E22" s="51">
        <f t="shared" si="3"/>
        <v>1591232.94</v>
      </c>
      <c r="F22" s="51">
        <f t="shared" si="4"/>
        <v>3591232.94</v>
      </c>
      <c r="G22" s="87">
        <f t="shared" si="7"/>
        <v>33</v>
      </c>
      <c r="H22" s="87">
        <f t="shared" si="5"/>
        <v>365</v>
      </c>
      <c r="I22" s="95">
        <f t="shared" si="10"/>
        <v>2000000</v>
      </c>
      <c r="J22" s="95">
        <f>SUM($I$8:I21)</f>
        <v>28000000</v>
      </c>
      <c r="K22" s="95">
        <f t="shared" si="9"/>
        <v>32000000</v>
      </c>
      <c r="L22" s="89">
        <f>ROUND(C22*'Общие данные'!$B$84/H22,2)*G22</f>
        <v>1591232.94</v>
      </c>
      <c r="M22" s="89">
        <f t="shared" si="0"/>
        <v>3591232.94</v>
      </c>
      <c r="N22" s="89"/>
      <c r="O22" s="104" t="str">
        <f t="shared" si="8"/>
        <v>Сб</v>
      </c>
      <c r="P22" s="106">
        <f t="shared" si="6"/>
        <v>2</v>
      </c>
      <c r="Q22" s="106">
        <f>DAY('Общие данные'!$B$78)+P22</f>
        <v>7</v>
      </c>
      <c r="R22" s="101">
        <f>IF(A22&lt;='Общие данные'!$B$81,DATE(YEAR($B$8),MONTH($B$8)+A21,DAY('Общие данные'!$B$78)),0)</f>
        <v>46543</v>
      </c>
      <c r="S22" s="87"/>
      <c r="T22" s="87"/>
      <c r="U22" s="87"/>
      <c r="V22" s="87"/>
    </row>
    <row r="23" spans="1:22" x14ac:dyDescent="0.25">
      <c r="A23" s="93">
        <v>16</v>
      </c>
      <c r="B23" s="94">
        <f>IF(A23&lt;='Общие данные'!$B$81,DATE(YEAR(R23),MONTH(R23),DAY(IF(A23='Общие данные'!$B$81,'Общие данные'!$B$67,IF(A23&lt;'Общие данные'!$B$81,(Q23),IF(A23&gt;'Общие данные'!$B$81,$H$56,0))))))</f>
        <v>46573</v>
      </c>
      <c r="C23" s="51">
        <f t="shared" si="1"/>
        <v>30000000</v>
      </c>
      <c r="D23" s="51">
        <f t="shared" si="2"/>
        <v>2000000</v>
      </c>
      <c r="E23" s="51">
        <f t="shared" si="3"/>
        <v>1265753.4400000002</v>
      </c>
      <c r="F23" s="51">
        <f t="shared" si="4"/>
        <v>3265753.4400000004</v>
      </c>
      <c r="G23" s="87">
        <f t="shared" si="7"/>
        <v>28</v>
      </c>
      <c r="H23" s="87">
        <f t="shared" si="5"/>
        <v>365</v>
      </c>
      <c r="I23" s="95">
        <f t="shared" si="10"/>
        <v>2000000</v>
      </c>
      <c r="J23" s="95">
        <f>SUM($I$8:I22)</f>
        <v>30000000</v>
      </c>
      <c r="K23" s="95">
        <f t="shared" si="9"/>
        <v>30000000</v>
      </c>
      <c r="L23" s="89">
        <f>ROUND(C23*'Общие данные'!$B$84/H23,2)*G23</f>
        <v>1265753.4400000002</v>
      </c>
      <c r="M23" s="89">
        <f t="shared" si="0"/>
        <v>3265753.4400000004</v>
      </c>
      <c r="N23" s="89"/>
      <c r="O23" s="104" t="str">
        <f t="shared" si="8"/>
        <v>Пн</v>
      </c>
      <c r="P23" s="106">
        <f t="shared" si="6"/>
        <v>0</v>
      </c>
      <c r="Q23" s="106">
        <f>DAY('Общие данные'!$B$78)+P23</f>
        <v>5</v>
      </c>
      <c r="R23" s="101">
        <f>IF(A23&lt;='Общие данные'!$B$81,DATE(YEAR($B$8),MONTH($B$8)+A22,DAY('Общие данные'!$B$78)),0)</f>
        <v>46573</v>
      </c>
      <c r="S23" s="87"/>
      <c r="T23" s="87"/>
      <c r="U23" s="87"/>
      <c r="V23" s="87"/>
    </row>
    <row r="24" spans="1:22" x14ac:dyDescent="0.25">
      <c r="A24" s="93">
        <v>17</v>
      </c>
      <c r="B24" s="94">
        <f>IF(A24&lt;='Общие данные'!$B$81,DATE(YEAR(R24),MONTH(R24),DAY(IF(A24='Общие данные'!$B$81,'Общие данные'!$B$67,IF(A24&lt;'Общие данные'!$B$81,(Q24),IF(A24&gt;'Общие данные'!$B$81,$H$56,0))))))</f>
        <v>46604</v>
      </c>
      <c r="C24" s="51">
        <f t="shared" si="1"/>
        <v>28000000</v>
      </c>
      <c r="D24" s="51">
        <f t="shared" si="2"/>
        <v>2000000</v>
      </c>
      <c r="E24" s="51">
        <f t="shared" si="3"/>
        <v>1307945.18</v>
      </c>
      <c r="F24" s="51">
        <f t="shared" si="4"/>
        <v>3307945.1799999997</v>
      </c>
      <c r="G24" s="87">
        <f t="shared" si="7"/>
        <v>31</v>
      </c>
      <c r="H24" s="87">
        <f t="shared" si="5"/>
        <v>365</v>
      </c>
      <c r="I24" s="95">
        <f t="shared" si="10"/>
        <v>2000000</v>
      </c>
      <c r="J24" s="95">
        <f>SUM($I$8:I23)</f>
        <v>32000000</v>
      </c>
      <c r="K24" s="95">
        <f t="shared" si="9"/>
        <v>28000000</v>
      </c>
      <c r="L24" s="89">
        <f>ROUND(C24*'Общие данные'!$B$84/H24,2)*G24</f>
        <v>1307945.18</v>
      </c>
      <c r="M24" s="89">
        <f t="shared" si="0"/>
        <v>3307945.1799999997</v>
      </c>
      <c r="N24" s="89"/>
      <c r="O24" s="104" t="str">
        <f t="shared" si="8"/>
        <v>Чт</v>
      </c>
      <c r="P24" s="106">
        <f t="shared" si="6"/>
        <v>0</v>
      </c>
      <c r="Q24" s="106">
        <f>DAY('Общие данные'!$B$78)+P24</f>
        <v>5</v>
      </c>
      <c r="R24" s="101">
        <f>IF(A24&lt;='Общие данные'!$B$81,DATE(YEAR($B$8),MONTH($B$8)+A23,DAY('Общие данные'!$B$78)),0)</f>
        <v>46604</v>
      </c>
      <c r="S24" s="87"/>
      <c r="T24" s="87"/>
      <c r="U24" s="87"/>
      <c r="V24" s="87"/>
    </row>
    <row r="25" spans="1:22" x14ac:dyDescent="0.25">
      <c r="A25" s="93">
        <v>18</v>
      </c>
      <c r="B25" s="94">
        <f>IF(A25&lt;='Общие данные'!$B$81,DATE(YEAR(R25),MONTH(R25),DAY(IF(A25='Общие данные'!$B$81,'Общие данные'!$B$67,IF(A25&lt;'Общие данные'!$B$81,(Q25),IF(A25&gt;'Общие данные'!$B$81,$H$56,0))))))</f>
        <v>46636</v>
      </c>
      <c r="C25" s="51">
        <f t="shared" si="1"/>
        <v>26000000</v>
      </c>
      <c r="D25" s="51">
        <f t="shared" si="2"/>
        <v>2000000</v>
      </c>
      <c r="E25" s="51">
        <f t="shared" si="3"/>
        <v>1253698.5600000001</v>
      </c>
      <c r="F25" s="51">
        <f t="shared" si="4"/>
        <v>3253698.5600000001</v>
      </c>
      <c r="G25" s="87">
        <f t="shared" si="7"/>
        <v>32</v>
      </c>
      <c r="H25" s="87">
        <f t="shared" si="5"/>
        <v>365</v>
      </c>
      <c r="I25" s="95">
        <f t="shared" si="10"/>
        <v>2000000</v>
      </c>
      <c r="J25" s="95">
        <f>SUM($I$8:I24)</f>
        <v>34000000</v>
      </c>
      <c r="K25" s="95">
        <f t="shared" si="9"/>
        <v>26000000</v>
      </c>
      <c r="L25" s="89">
        <f>ROUND(C25*'Общие данные'!$B$84/H25,2)*G25</f>
        <v>1253698.5600000001</v>
      </c>
      <c r="M25" s="89">
        <f t="shared" si="0"/>
        <v>3253698.5600000001</v>
      </c>
      <c r="N25" s="89"/>
      <c r="O25" s="104" t="str">
        <f t="shared" si="8"/>
        <v>Вс</v>
      </c>
      <c r="P25" s="106">
        <f t="shared" si="6"/>
        <v>1</v>
      </c>
      <c r="Q25" s="106">
        <f>DAY('Общие данные'!$B$78)+P25</f>
        <v>6</v>
      </c>
      <c r="R25" s="101">
        <f>IF(A25&lt;='Общие данные'!$B$81,DATE(YEAR($B$8),MONTH($B$8)+A24,DAY('Общие данные'!$B$78)),0)</f>
        <v>46635</v>
      </c>
      <c r="S25" s="87"/>
      <c r="T25" s="87"/>
      <c r="U25" s="87"/>
      <c r="V25" s="87"/>
    </row>
    <row r="26" spans="1:22" x14ac:dyDescent="0.25">
      <c r="A26" s="93">
        <v>19</v>
      </c>
      <c r="B26" s="94">
        <f>IF(A26&lt;='Общие данные'!$B$81,DATE(YEAR(R26),MONTH(R26),DAY(IF(A26='Общие данные'!$B$81,'Общие данные'!$B$67,IF(A26&lt;'Общие данные'!$B$81,(Q26),IF(A26&gt;'Общие данные'!$B$81,$H$56,0))))))</f>
        <v>46665</v>
      </c>
      <c r="C26" s="51">
        <f t="shared" si="1"/>
        <v>24000000</v>
      </c>
      <c r="D26" s="51">
        <f t="shared" si="2"/>
        <v>2000000</v>
      </c>
      <c r="E26" s="51">
        <f t="shared" si="3"/>
        <v>1048767.02</v>
      </c>
      <c r="F26" s="51">
        <f t="shared" si="4"/>
        <v>3048767.02</v>
      </c>
      <c r="G26" s="87">
        <f t="shared" si="7"/>
        <v>29</v>
      </c>
      <c r="H26" s="87">
        <f t="shared" si="5"/>
        <v>365</v>
      </c>
      <c r="I26" s="95">
        <f t="shared" si="10"/>
        <v>2000000</v>
      </c>
      <c r="J26" s="95">
        <f>SUM($I$8:I25)</f>
        <v>36000000</v>
      </c>
      <c r="K26" s="95">
        <f t="shared" si="9"/>
        <v>24000000</v>
      </c>
      <c r="L26" s="89">
        <f>ROUND(C26*'Общие данные'!$B$84/H26,2)*G26</f>
        <v>1048767.02</v>
      </c>
      <c r="M26" s="89">
        <f t="shared" si="0"/>
        <v>3048767.02</v>
      </c>
      <c r="N26" s="89"/>
      <c r="O26" s="104" t="str">
        <f t="shared" si="8"/>
        <v>Вт</v>
      </c>
      <c r="P26" s="106">
        <f t="shared" si="6"/>
        <v>0</v>
      </c>
      <c r="Q26" s="106">
        <f>DAY('Общие данные'!$B$78)+P26</f>
        <v>5</v>
      </c>
      <c r="R26" s="101">
        <f>IF(A26&lt;='Общие данные'!$B$81,DATE(YEAR($B$8),MONTH($B$8)+A25,DAY('Общие данные'!$B$78)),0)</f>
        <v>46665</v>
      </c>
      <c r="S26" s="87"/>
      <c r="T26" s="87"/>
      <c r="U26" s="87"/>
      <c r="V26" s="87"/>
    </row>
    <row r="27" spans="1:22" x14ac:dyDescent="0.25">
      <c r="A27" s="93">
        <v>20</v>
      </c>
      <c r="B27" s="94">
        <f>IF(A27&lt;='Общие данные'!$B$81,DATE(YEAR(R27),MONTH(R27),DAY(IF(A27='Общие данные'!$B$81,'Общие данные'!$B$67,IF(A27&lt;'Общие данные'!$B$81,(Q27),IF(A27&gt;'Общие данные'!$B$81,$H$56,0))))))</f>
        <v>46696</v>
      </c>
      <c r="C27" s="51">
        <f t="shared" si="1"/>
        <v>22000000</v>
      </c>
      <c r="D27" s="51">
        <f t="shared" si="2"/>
        <v>2000000</v>
      </c>
      <c r="E27" s="51">
        <f t="shared" si="3"/>
        <v>1027671.08</v>
      </c>
      <c r="F27" s="51">
        <f t="shared" si="4"/>
        <v>3027671.08</v>
      </c>
      <c r="G27" s="87">
        <f t="shared" si="7"/>
        <v>31</v>
      </c>
      <c r="H27" s="87">
        <f t="shared" si="5"/>
        <v>365</v>
      </c>
      <c r="I27" s="95">
        <f t="shared" si="10"/>
        <v>2000000</v>
      </c>
      <c r="J27" s="95">
        <f>SUM($I$8:I26)</f>
        <v>38000000</v>
      </c>
      <c r="K27" s="95">
        <f t="shared" si="9"/>
        <v>22000000</v>
      </c>
      <c r="L27" s="89">
        <f>ROUND(C27*'Общие данные'!$B$84/H27,2)*G27</f>
        <v>1027671.08</v>
      </c>
      <c r="M27" s="89">
        <f t="shared" si="0"/>
        <v>3027671.08</v>
      </c>
      <c r="N27" s="89"/>
      <c r="O27" s="104" t="str">
        <f t="shared" si="8"/>
        <v>Пт</v>
      </c>
      <c r="P27" s="106">
        <f t="shared" si="6"/>
        <v>0</v>
      </c>
      <c r="Q27" s="106">
        <f>DAY('Общие данные'!$B$78)+P27</f>
        <v>5</v>
      </c>
      <c r="R27" s="101">
        <f>IF(A27&lt;='Общие данные'!$B$81,DATE(YEAR($B$8),MONTH($B$8)+A26,DAY('Общие данные'!$B$78)),0)</f>
        <v>46696</v>
      </c>
      <c r="S27" s="87"/>
      <c r="T27" s="87"/>
      <c r="U27" s="87"/>
      <c r="V27" s="87"/>
    </row>
    <row r="28" spans="1:22" x14ac:dyDescent="0.25">
      <c r="A28" s="93">
        <v>21</v>
      </c>
      <c r="B28" s="94">
        <f>IF(A28&lt;='Общие данные'!$B$81,DATE(YEAR(R28),MONTH(R28),DAY(IF(A28='Общие данные'!$B$81,'Общие данные'!$B$67,IF(A28&lt;'Общие данные'!$B$81,(Q28),IF(A28&gt;'Общие данные'!$B$81,$H$56,0))))))</f>
        <v>46727</v>
      </c>
      <c r="C28" s="51">
        <f t="shared" si="1"/>
        <v>20000000</v>
      </c>
      <c r="D28" s="51">
        <f t="shared" si="2"/>
        <v>2000000</v>
      </c>
      <c r="E28" s="51">
        <f t="shared" si="3"/>
        <v>934246.69000000006</v>
      </c>
      <c r="F28" s="51">
        <f t="shared" si="4"/>
        <v>2934246.69</v>
      </c>
      <c r="G28" s="87">
        <f t="shared" si="7"/>
        <v>31</v>
      </c>
      <c r="H28" s="87">
        <f t="shared" si="5"/>
        <v>365</v>
      </c>
      <c r="I28" s="95">
        <f t="shared" si="10"/>
        <v>2000000</v>
      </c>
      <c r="J28" s="95">
        <f>SUM($I$8:I27)</f>
        <v>40000000</v>
      </c>
      <c r="K28" s="95">
        <f t="shared" si="9"/>
        <v>20000000</v>
      </c>
      <c r="L28" s="89">
        <f>ROUND(C28*'Общие данные'!$B$84/H28,2)*G28</f>
        <v>934246.69000000006</v>
      </c>
      <c r="M28" s="89">
        <f t="shared" si="0"/>
        <v>2934246.69</v>
      </c>
      <c r="N28" s="89"/>
      <c r="O28" s="104" t="str">
        <f t="shared" si="8"/>
        <v>Вс</v>
      </c>
      <c r="P28" s="106">
        <f t="shared" si="6"/>
        <v>1</v>
      </c>
      <c r="Q28" s="106">
        <f>DAY('Общие данные'!$B$78)+P28</f>
        <v>6</v>
      </c>
      <c r="R28" s="101">
        <f>IF(A28&lt;='Общие данные'!$B$81,DATE(YEAR($B$8),MONTH($B$8)+A27,DAY('Общие данные'!$B$78)),0)</f>
        <v>46726</v>
      </c>
      <c r="S28" s="87"/>
      <c r="T28" s="87"/>
      <c r="U28" s="87"/>
      <c r="V28" s="87"/>
    </row>
    <row r="29" spans="1:22" x14ac:dyDescent="0.25">
      <c r="A29" s="93">
        <v>22</v>
      </c>
      <c r="B29" s="94">
        <f>IF(A29&lt;='Общие данные'!$B$81,DATE(YEAR(R29),MONTH(R29),DAY(IF(A29='Общие данные'!$B$81,'Общие данные'!$B$67,IF(A29&lt;'Общие данные'!$B$81,(Q29),IF(A29&gt;'Общие данные'!$B$81,$H$56,0))))))</f>
        <v>46757</v>
      </c>
      <c r="C29" s="51">
        <f t="shared" si="1"/>
        <v>18000000</v>
      </c>
      <c r="D29" s="51">
        <f t="shared" si="2"/>
        <v>2000000</v>
      </c>
      <c r="E29" s="51">
        <f t="shared" si="3"/>
        <v>811475.4</v>
      </c>
      <c r="F29" s="51">
        <f t="shared" si="4"/>
        <v>2811475.4</v>
      </c>
      <c r="G29" s="87">
        <f t="shared" si="7"/>
        <v>30</v>
      </c>
      <c r="H29" s="87">
        <f t="shared" si="5"/>
        <v>366</v>
      </c>
      <c r="I29" s="95">
        <f t="shared" si="10"/>
        <v>2000000</v>
      </c>
      <c r="J29" s="95">
        <f>SUM($I$8:I28)</f>
        <v>42000000</v>
      </c>
      <c r="K29" s="95">
        <f t="shared" si="9"/>
        <v>18000000</v>
      </c>
      <c r="L29" s="89">
        <f>ROUND(C29*'Общие данные'!$B$84/H29,2)*G29</f>
        <v>811475.4</v>
      </c>
      <c r="M29" s="89">
        <f t="shared" si="0"/>
        <v>2811475.4</v>
      </c>
      <c r="N29" s="89"/>
      <c r="O29" s="104" t="str">
        <f t="shared" si="8"/>
        <v>Ср</v>
      </c>
      <c r="P29" s="106">
        <f t="shared" si="6"/>
        <v>0</v>
      </c>
      <c r="Q29" s="106">
        <f>DAY('Общие данные'!$B$78)+P29</f>
        <v>5</v>
      </c>
      <c r="R29" s="101">
        <f>IF(A29&lt;='Общие данные'!$B$81,DATE(YEAR($B$8),MONTH($B$8)+A28,DAY('Общие данные'!$B$78)),0)</f>
        <v>46757</v>
      </c>
      <c r="S29" s="87"/>
      <c r="T29" s="87"/>
      <c r="U29" s="87"/>
      <c r="V29" s="87"/>
    </row>
    <row r="30" spans="1:22" x14ac:dyDescent="0.25">
      <c r="A30" s="93">
        <v>23</v>
      </c>
      <c r="B30" s="94">
        <f>IF(A30&lt;='Общие данные'!$B$81,DATE(YEAR(R30),MONTH(R30),DAY(IF(A30='Общие данные'!$B$81,'Общие данные'!$B$67,IF(A30&lt;'Общие данные'!$B$81,(Q30),IF(A30&gt;'Общие данные'!$B$81,$H$56,0))))))</f>
        <v>46790</v>
      </c>
      <c r="C30" s="51">
        <f t="shared" si="1"/>
        <v>16000000</v>
      </c>
      <c r="D30" s="51">
        <f t="shared" si="2"/>
        <v>2000000</v>
      </c>
      <c r="E30" s="51">
        <f t="shared" si="3"/>
        <v>793442.76</v>
      </c>
      <c r="F30" s="51">
        <f t="shared" si="4"/>
        <v>2793442.76</v>
      </c>
      <c r="G30" s="87">
        <f t="shared" si="7"/>
        <v>33</v>
      </c>
      <c r="H30" s="87">
        <f t="shared" si="5"/>
        <v>366</v>
      </c>
      <c r="I30" s="95">
        <f t="shared" si="10"/>
        <v>2000000</v>
      </c>
      <c r="J30" s="95">
        <f>SUM($I$8:I29)</f>
        <v>44000000</v>
      </c>
      <c r="K30" s="95">
        <f t="shared" si="9"/>
        <v>16000000</v>
      </c>
      <c r="L30" s="89">
        <f>ROUND(C30*'Общие данные'!$B$84/H30,2)*G30</f>
        <v>793442.76</v>
      </c>
      <c r="M30" s="89">
        <f t="shared" si="0"/>
        <v>2793442.76</v>
      </c>
      <c r="N30" s="89"/>
      <c r="O30" s="104" t="str">
        <f t="shared" si="8"/>
        <v>Сб</v>
      </c>
      <c r="P30" s="106">
        <f t="shared" si="6"/>
        <v>2</v>
      </c>
      <c r="Q30" s="106">
        <f>DAY('Общие данные'!$B$78)+P30</f>
        <v>7</v>
      </c>
      <c r="R30" s="101">
        <f>IF(A30&lt;='Общие данные'!$B$81,DATE(YEAR($B$8),MONTH($B$8)+A29,DAY('Общие данные'!$B$78)),0)</f>
        <v>46788</v>
      </c>
      <c r="S30" s="87"/>
      <c r="T30" s="87"/>
      <c r="U30" s="87"/>
      <c r="V30" s="87"/>
    </row>
    <row r="31" spans="1:22" x14ac:dyDescent="0.25">
      <c r="A31" s="93">
        <v>24</v>
      </c>
      <c r="B31" s="94">
        <f>IF(A31&lt;='Общие данные'!$B$81,DATE(YEAR(R31),MONTH(R31),DAY(IF(A31='Общие данные'!$B$81,'Общие данные'!$B$67,IF(A31&lt;'Общие данные'!$B$81,(Q31),IF(A31&gt;'Общие данные'!$B$81,$H$56,0))))))</f>
        <v>46818</v>
      </c>
      <c r="C31" s="51">
        <f t="shared" ref="C31" si="11">C30-D30</f>
        <v>14000000</v>
      </c>
      <c r="D31" s="51">
        <f t="shared" ref="D31" si="12">IF(C31=0,L31,IF(C31&gt;1,I31))</f>
        <v>2000000</v>
      </c>
      <c r="E31" s="51">
        <f t="shared" ref="E31" si="13">IF(C31=0,N30,IF(C31&gt;1,L31))</f>
        <v>589071</v>
      </c>
      <c r="F31" s="51">
        <f t="shared" ref="F31" si="14">IF(C31=0,N30,IF(C31&gt;1,M31))</f>
        <v>2589071</v>
      </c>
      <c r="G31" s="87">
        <f t="shared" si="7"/>
        <v>28</v>
      </c>
      <c r="H31" s="87">
        <f t="shared" si="5"/>
        <v>366</v>
      </c>
      <c r="I31" s="95">
        <f t="shared" si="10"/>
        <v>2000000</v>
      </c>
      <c r="J31" s="95">
        <f>SUM($I$8:I30)</f>
        <v>46000000</v>
      </c>
      <c r="K31" s="95">
        <f t="shared" si="9"/>
        <v>14000000</v>
      </c>
      <c r="L31" s="89">
        <f>ROUND(C31*'Общие данные'!$B$84/H31,2)*G31</f>
        <v>589071</v>
      </c>
      <c r="M31" s="89">
        <f t="shared" si="0"/>
        <v>2589071</v>
      </c>
      <c r="N31" s="89"/>
      <c r="O31" s="104" t="str">
        <f t="shared" si="8"/>
        <v>Вс</v>
      </c>
      <c r="P31" s="106">
        <f t="shared" si="6"/>
        <v>1</v>
      </c>
      <c r="Q31" s="106">
        <f>DAY('Общие данные'!$B$78)+P31</f>
        <v>6</v>
      </c>
      <c r="R31" s="101">
        <f>IF(A31&lt;='Общие данные'!$B$81,DATE(YEAR($B$8),MONTH($B$8)+A30,DAY('Общие данные'!$B$78)),0)</f>
        <v>46817</v>
      </c>
      <c r="S31" s="87"/>
      <c r="T31" s="87"/>
      <c r="U31" s="87"/>
      <c r="V31" s="87"/>
    </row>
    <row r="32" spans="1:22" x14ac:dyDescent="0.25">
      <c r="A32" s="93">
        <f>1+A31</f>
        <v>25</v>
      </c>
      <c r="B32" s="94">
        <f>IF(A32&lt;='Общие данные'!$B$81,DATE(YEAR(R32),MONTH(R32),DAY(IF(A32='Общие данные'!$B$81,'Общие данные'!$B$67,IF(A32&lt;'Общие данные'!$B$81,(Q32),IF(A32&gt;'Общие данные'!$B$81,$H$56,0))))))</f>
        <v>46848</v>
      </c>
      <c r="C32" s="51">
        <f t="shared" ref="C32:C42" si="15">C31-D31</f>
        <v>12000000</v>
      </c>
      <c r="D32" s="51">
        <f t="shared" ref="D32:D42" si="16">IF(C32=0,L32,IF(C32&gt;1,I32))</f>
        <v>2000000</v>
      </c>
      <c r="E32" s="51">
        <f t="shared" ref="E32:E42" si="17">IF(C32=0,N31,IF(C32&gt;1,L32))</f>
        <v>540983.70000000007</v>
      </c>
      <c r="F32" s="51">
        <f t="shared" ref="F32:F42" si="18">IF(C32=0,N31,IF(C32&gt;1,M32))</f>
        <v>2540983.7000000002</v>
      </c>
      <c r="G32" s="87">
        <f t="shared" ref="G32:G42" si="19">B32-B31</f>
        <v>30</v>
      </c>
      <c r="H32" s="87">
        <f t="shared" ref="H32:H42" si="20">DATE(YEAR(B32),12,31)-DATE(YEAR(B32),1,1)+1</f>
        <v>366</v>
      </c>
      <c r="I32" s="95">
        <f t="shared" ref="I32:I42" si="21">IF($L$5=A32,K32,IF($L$5&gt;A32,I31))</f>
        <v>2000000</v>
      </c>
      <c r="J32" s="95">
        <f>SUM($I$8:I31)</f>
        <v>48000000</v>
      </c>
      <c r="K32" s="95">
        <f t="shared" ref="K32:K42" si="22">$J$12-J32</f>
        <v>12000000</v>
      </c>
      <c r="L32" s="89">
        <f>ROUND(C32*'Общие данные'!$B$84/H32,2)*G32</f>
        <v>540983.70000000007</v>
      </c>
      <c r="M32" s="89">
        <f t="shared" ref="M32:M42" si="23">D32+E32</f>
        <v>2540983.7000000002</v>
      </c>
      <c r="N32" s="89"/>
      <c r="O32" s="104" t="str">
        <f t="shared" ref="O32:O42" si="24">TEXT(R32,"ддд")</f>
        <v>Ср</v>
      </c>
      <c r="P32" s="106">
        <f t="shared" ref="P32:P42" si="25">IF(O32=$U$8,2,IF(O32=$V$8,1,0))</f>
        <v>0</v>
      </c>
      <c r="Q32" s="106">
        <f>DAY('Общие данные'!$B$78)+P32</f>
        <v>5</v>
      </c>
      <c r="R32" s="101">
        <f>IF(A32&lt;='Общие данные'!$B$81,DATE(YEAR($B$8),MONTH($B$8)+A31,DAY('Общие данные'!$B$78)),0)</f>
        <v>46848</v>
      </c>
      <c r="S32" s="87"/>
      <c r="T32" s="87"/>
      <c r="U32" s="87"/>
      <c r="V32" s="87"/>
    </row>
    <row r="33" spans="1:22" x14ac:dyDescent="0.25">
      <c r="A33" s="93">
        <f t="shared" ref="A33:A42" si="26">1+A32</f>
        <v>26</v>
      </c>
      <c r="B33" s="94">
        <f>IF(A33&lt;='Общие данные'!$B$81,DATE(YEAR(R33),MONTH(R33),DAY(IF(A33='Общие данные'!$B$81,'Общие данные'!$B$67,IF(A33&lt;'Общие данные'!$B$81,(Q33),IF(A33&gt;'Общие данные'!$B$81,$H$56,0))))))</f>
        <v>46878</v>
      </c>
      <c r="C33" s="51">
        <f t="shared" si="15"/>
        <v>10000000</v>
      </c>
      <c r="D33" s="51">
        <f t="shared" si="16"/>
        <v>2000000</v>
      </c>
      <c r="E33" s="51">
        <f t="shared" si="17"/>
        <v>450819.6</v>
      </c>
      <c r="F33" s="51">
        <f t="shared" si="18"/>
        <v>2450819.6</v>
      </c>
      <c r="G33" s="87">
        <f t="shared" si="19"/>
        <v>30</v>
      </c>
      <c r="H33" s="87">
        <f t="shared" si="20"/>
        <v>366</v>
      </c>
      <c r="I33" s="95">
        <f t="shared" si="21"/>
        <v>2000000</v>
      </c>
      <c r="J33" s="95">
        <f>SUM($I$8:I32)</f>
        <v>50000000</v>
      </c>
      <c r="K33" s="95">
        <f t="shared" si="22"/>
        <v>10000000</v>
      </c>
      <c r="L33" s="89">
        <f>ROUND(C33*'Общие данные'!$B$84/H33,2)*G33</f>
        <v>450819.6</v>
      </c>
      <c r="M33" s="89">
        <f t="shared" si="23"/>
        <v>2450819.6</v>
      </c>
      <c r="N33" s="89"/>
      <c r="O33" s="104" t="str">
        <f t="shared" si="24"/>
        <v>Пт</v>
      </c>
      <c r="P33" s="106">
        <f t="shared" si="25"/>
        <v>0</v>
      </c>
      <c r="Q33" s="106">
        <f>DAY('Общие данные'!$B$78)+P33</f>
        <v>5</v>
      </c>
      <c r="R33" s="101">
        <f>IF(A33&lt;='Общие данные'!$B$81,DATE(YEAR($B$8),MONTH($B$8)+A32,DAY('Общие данные'!$B$78)),0)</f>
        <v>46878</v>
      </c>
      <c r="S33" s="87"/>
      <c r="T33" s="87"/>
      <c r="U33" s="87"/>
      <c r="V33" s="87"/>
    </row>
    <row r="34" spans="1:22" x14ac:dyDescent="0.25">
      <c r="A34" s="93">
        <f t="shared" si="26"/>
        <v>27</v>
      </c>
      <c r="B34" s="94">
        <f>IF(A34&lt;='Общие данные'!$B$81,DATE(YEAR(R34),MONTH(R34),DAY(IF(A34='Общие данные'!$B$81,'Общие данные'!$B$67,IF(A34&lt;'Общие данные'!$B$81,(Q34),IF(A34&gt;'Общие данные'!$B$81,$H$56,0))))))</f>
        <v>46909</v>
      </c>
      <c r="C34" s="51">
        <f t="shared" si="15"/>
        <v>8000000</v>
      </c>
      <c r="D34" s="51">
        <f t="shared" si="16"/>
        <v>2000000</v>
      </c>
      <c r="E34" s="51">
        <f t="shared" si="17"/>
        <v>372677.66000000003</v>
      </c>
      <c r="F34" s="51">
        <f t="shared" si="18"/>
        <v>2372677.66</v>
      </c>
      <c r="G34" s="87">
        <f t="shared" si="19"/>
        <v>31</v>
      </c>
      <c r="H34" s="87">
        <f t="shared" si="20"/>
        <v>366</v>
      </c>
      <c r="I34" s="95">
        <f t="shared" si="21"/>
        <v>2000000</v>
      </c>
      <c r="J34" s="95">
        <f>SUM($I$8:I33)</f>
        <v>52000000</v>
      </c>
      <c r="K34" s="95">
        <f t="shared" si="22"/>
        <v>8000000</v>
      </c>
      <c r="L34" s="89">
        <f>ROUND(C34*'Общие данные'!$B$84/H34,2)*G34</f>
        <v>372677.66000000003</v>
      </c>
      <c r="M34" s="89">
        <f t="shared" si="23"/>
        <v>2372677.66</v>
      </c>
      <c r="N34" s="89"/>
      <c r="O34" s="104" t="str">
        <f t="shared" si="24"/>
        <v>Пн</v>
      </c>
      <c r="P34" s="106">
        <f t="shared" si="25"/>
        <v>0</v>
      </c>
      <c r="Q34" s="106">
        <f>DAY('Общие данные'!$B$78)+P34</f>
        <v>5</v>
      </c>
      <c r="R34" s="101">
        <f>IF(A34&lt;='Общие данные'!$B$81,DATE(YEAR($B$8),MONTH($B$8)+A33,DAY('Общие данные'!$B$78)),0)</f>
        <v>46909</v>
      </c>
      <c r="S34" s="87"/>
      <c r="T34" s="87"/>
      <c r="U34" s="87"/>
      <c r="V34" s="87"/>
    </row>
    <row r="35" spans="1:22" x14ac:dyDescent="0.25">
      <c r="A35" s="93">
        <f t="shared" si="26"/>
        <v>28</v>
      </c>
      <c r="B35" s="94">
        <f>IF(A35&lt;='Общие данные'!$B$81,DATE(YEAR(R35),MONTH(R35),DAY(IF(A35='Общие данные'!$B$81,'Общие данные'!$B$67,IF(A35&lt;'Общие данные'!$B$81,(Q35),IF(A35&gt;'Общие данные'!$B$81,$H$56,0))))))</f>
        <v>46939</v>
      </c>
      <c r="C35" s="51">
        <f t="shared" si="15"/>
        <v>6000000</v>
      </c>
      <c r="D35" s="51">
        <f t="shared" si="16"/>
        <v>2000000</v>
      </c>
      <c r="E35" s="51">
        <f t="shared" si="17"/>
        <v>270491.69999999995</v>
      </c>
      <c r="F35" s="51">
        <f t="shared" si="18"/>
        <v>2270491.7000000002</v>
      </c>
      <c r="G35" s="87">
        <f t="shared" si="19"/>
        <v>30</v>
      </c>
      <c r="H35" s="87">
        <f t="shared" si="20"/>
        <v>366</v>
      </c>
      <c r="I35" s="95">
        <f t="shared" si="21"/>
        <v>2000000</v>
      </c>
      <c r="J35" s="95">
        <f>SUM($I$8:I34)</f>
        <v>54000000</v>
      </c>
      <c r="K35" s="95">
        <f t="shared" si="22"/>
        <v>6000000</v>
      </c>
      <c r="L35" s="89">
        <f>ROUND(C35*'Общие данные'!$B$84/H35,2)*G35</f>
        <v>270491.69999999995</v>
      </c>
      <c r="M35" s="89">
        <f t="shared" si="23"/>
        <v>2270491.7000000002</v>
      </c>
      <c r="N35" s="89"/>
      <c r="O35" s="104" t="str">
        <f t="shared" si="24"/>
        <v>Ср</v>
      </c>
      <c r="P35" s="106">
        <f t="shared" si="25"/>
        <v>0</v>
      </c>
      <c r="Q35" s="106">
        <f>DAY('Общие данные'!$B$78)+P35</f>
        <v>5</v>
      </c>
      <c r="R35" s="101">
        <f>IF(A35&lt;='Общие данные'!$B$81,DATE(YEAR($B$8),MONTH($B$8)+A34,DAY('Общие данные'!$B$78)),0)</f>
        <v>46939</v>
      </c>
      <c r="S35" s="87"/>
      <c r="T35" s="87"/>
      <c r="U35" s="87"/>
      <c r="V35" s="87"/>
    </row>
    <row r="36" spans="1:22" x14ac:dyDescent="0.25">
      <c r="A36" s="93">
        <f t="shared" si="26"/>
        <v>29</v>
      </c>
      <c r="B36" s="94">
        <f>IF(A36&lt;='Общие данные'!$B$81,DATE(YEAR(R36),MONTH(R36),DAY(IF(A36='Общие данные'!$B$81,'Общие данные'!$B$67,IF(A36&lt;'Общие данные'!$B$81,(Q36),IF(A36&gt;'Общие данные'!$B$81,$H$56,0))))))</f>
        <v>46972</v>
      </c>
      <c r="C36" s="51">
        <f t="shared" si="15"/>
        <v>4000000</v>
      </c>
      <c r="D36" s="51">
        <f t="shared" si="16"/>
        <v>2000000</v>
      </c>
      <c r="E36" s="51">
        <f t="shared" si="17"/>
        <v>198360.69</v>
      </c>
      <c r="F36" s="51">
        <f t="shared" si="18"/>
        <v>2198360.69</v>
      </c>
      <c r="G36" s="87">
        <f t="shared" si="19"/>
        <v>33</v>
      </c>
      <c r="H36" s="87">
        <f t="shared" si="20"/>
        <v>366</v>
      </c>
      <c r="I36" s="95">
        <f t="shared" si="21"/>
        <v>2000000</v>
      </c>
      <c r="J36" s="95">
        <f>SUM($I$8:I35)</f>
        <v>56000000</v>
      </c>
      <c r="K36" s="95">
        <f t="shared" si="22"/>
        <v>4000000</v>
      </c>
      <c r="L36" s="89">
        <f>ROUND(C36*'Общие данные'!$B$84/H36,2)*G36</f>
        <v>198360.69</v>
      </c>
      <c r="M36" s="89">
        <f t="shared" si="23"/>
        <v>2198360.69</v>
      </c>
      <c r="N36" s="89"/>
      <c r="O36" s="104" t="str">
        <f t="shared" si="24"/>
        <v>Сб</v>
      </c>
      <c r="P36" s="106">
        <f t="shared" si="25"/>
        <v>2</v>
      </c>
      <c r="Q36" s="106">
        <f>DAY('Общие данные'!$B$78)+P36</f>
        <v>7</v>
      </c>
      <c r="R36" s="101">
        <f>IF(A36&lt;='Общие данные'!$B$81,DATE(YEAR($B$8),MONTH($B$8)+A35,DAY('Общие данные'!$B$78)),0)</f>
        <v>46970</v>
      </c>
      <c r="S36" s="87"/>
      <c r="T36" s="87"/>
      <c r="U36" s="87"/>
      <c r="V36" s="87"/>
    </row>
    <row r="37" spans="1:22" x14ac:dyDescent="0.25">
      <c r="A37" s="93">
        <f t="shared" si="26"/>
        <v>30</v>
      </c>
      <c r="B37" s="94">
        <f>IF(A37&lt;='Общие данные'!$B$81,DATE(YEAR(R37),MONTH(R37),DAY(IF(A37='Общие данные'!$B$81,'Общие данные'!$B$67,IF(A37&lt;'Общие данные'!$B$81,(Q37),IF(A37&gt;'Общие данные'!$B$81,$H$56,0))))))</f>
        <v>47001</v>
      </c>
      <c r="C37" s="51">
        <f t="shared" si="15"/>
        <v>2000000</v>
      </c>
      <c r="D37" s="51">
        <f t="shared" si="16"/>
        <v>2000000</v>
      </c>
      <c r="E37" s="51">
        <f t="shared" si="17"/>
        <v>87158.34</v>
      </c>
      <c r="F37" s="51">
        <f t="shared" si="18"/>
        <v>2087158.34</v>
      </c>
      <c r="G37" s="87">
        <f t="shared" si="19"/>
        <v>29</v>
      </c>
      <c r="H37" s="87">
        <f t="shared" si="20"/>
        <v>366</v>
      </c>
      <c r="I37" s="95">
        <f t="shared" si="21"/>
        <v>2000000</v>
      </c>
      <c r="J37" s="95">
        <f>SUM($I$8:I36)</f>
        <v>58000000</v>
      </c>
      <c r="K37" s="95">
        <f t="shared" si="22"/>
        <v>2000000</v>
      </c>
      <c r="L37" s="89">
        <f>ROUND(C37*'Общие данные'!$B$84/H37,2)*G37</f>
        <v>87158.34</v>
      </c>
      <c r="M37" s="89">
        <f t="shared" si="23"/>
        <v>2087158.34</v>
      </c>
      <c r="N37" s="89"/>
      <c r="O37" s="104" t="str">
        <f t="shared" si="24"/>
        <v>Вт</v>
      </c>
      <c r="P37" s="106">
        <f t="shared" si="25"/>
        <v>0</v>
      </c>
      <c r="Q37" s="106">
        <f>DAY('Общие данные'!$B$78)+P37</f>
        <v>5</v>
      </c>
      <c r="R37" s="101">
        <f>IF(A37&lt;='Общие данные'!$B$81,DATE(YEAR($B$8),MONTH($B$8)+A36,DAY('Общие данные'!$B$78)),0)</f>
        <v>47001</v>
      </c>
      <c r="S37" s="87"/>
      <c r="T37" s="87"/>
      <c r="U37" s="87"/>
      <c r="V37" s="87"/>
    </row>
    <row r="38" spans="1:22" x14ac:dyDescent="0.25">
      <c r="A38" s="93">
        <f t="shared" si="26"/>
        <v>31</v>
      </c>
      <c r="B38" s="94" t="b">
        <f>IF(A38&lt;='Общие данные'!$B$81,DATE(YEAR(R38),MONTH(R38),DAY(IF(A38='Общие данные'!$B$81,'Общие данные'!$B$67,IF(A38&lt;'Общие данные'!$B$81,(Q38),IF(A38&gt;'Общие данные'!$B$81,$H$56,0))))))</f>
        <v>0</v>
      </c>
      <c r="C38" s="51">
        <f t="shared" si="15"/>
        <v>0</v>
      </c>
      <c r="D38" s="51">
        <f t="shared" si="16"/>
        <v>0</v>
      </c>
      <c r="E38" s="51">
        <f t="shared" si="17"/>
        <v>0</v>
      </c>
      <c r="F38" s="51">
        <f t="shared" si="18"/>
        <v>0</v>
      </c>
      <c r="G38" s="87">
        <f t="shared" si="19"/>
        <v>-47001</v>
      </c>
      <c r="H38" s="87">
        <f t="shared" si="20"/>
        <v>366</v>
      </c>
      <c r="I38" s="95" t="b">
        <f t="shared" si="21"/>
        <v>0</v>
      </c>
      <c r="J38" s="95">
        <f>SUM($I$8:I37)</f>
        <v>60000000</v>
      </c>
      <c r="K38" s="95">
        <f t="shared" si="22"/>
        <v>0</v>
      </c>
      <c r="L38" s="89">
        <f>ROUND(C38*'Общие данные'!$B$84/H38,2)*G38</f>
        <v>0</v>
      </c>
      <c r="M38" s="89">
        <f t="shared" si="23"/>
        <v>0</v>
      </c>
      <c r="N38" s="89"/>
      <c r="O38" s="104" t="str">
        <f t="shared" si="24"/>
        <v>Сб</v>
      </c>
      <c r="P38" s="106">
        <f t="shared" si="25"/>
        <v>2</v>
      </c>
      <c r="Q38" s="106">
        <f>DAY('Общие данные'!$B$78)+P38</f>
        <v>7</v>
      </c>
      <c r="R38" s="101">
        <f>IF(A38&lt;='Общие данные'!$B$81,DATE(YEAR($B$8),MONTH($B$8)+A37,DAY('Общие данные'!$B$78)),0)</f>
        <v>0</v>
      </c>
      <c r="S38" s="87"/>
      <c r="T38" s="87"/>
      <c r="U38" s="87"/>
      <c r="V38" s="87"/>
    </row>
    <row r="39" spans="1:22" x14ac:dyDescent="0.25">
      <c r="A39" s="93">
        <f t="shared" si="26"/>
        <v>32</v>
      </c>
      <c r="B39" s="94" t="b">
        <f>IF(A39&lt;='Общие данные'!$B$81,DATE(YEAR(R39),MONTH(R39),DAY(IF(A39='Общие данные'!$B$81,'Общие данные'!$B$67,IF(A39&lt;'Общие данные'!$B$81,(Q39),IF(A39&gt;'Общие данные'!$B$81,$H$56,0))))))</f>
        <v>0</v>
      </c>
      <c r="C39" s="51">
        <f t="shared" si="15"/>
        <v>0</v>
      </c>
      <c r="D39" s="51">
        <f t="shared" si="16"/>
        <v>0</v>
      </c>
      <c r="E39" s="51">
        <f t="shared" si="17"/>
        <v>0</v>
      </c>
      <c r="F39" s="51">
        <f t="shared" si="18"/>
        <v>0</v>
      </c>
      <c r="G39" s="87">
        <f t="shared" si="19"/>
        <v>0</v>
      </c>
      <c r="H39" s="87">
        <f t="shared" si="20"/>
        <v>366</v>
      </c>
      <c r="I39" s="95" t="b">
        <f t="shared" si="21"/>
        <v>0</v>
      </c>
      <c r="J39" s="95">
        <f>SUM($I$8:I38)</f>
        <v>60000000</v>
      </c>
      <c r="K39" s="95">
        <f t="shared" si="22"/>
        <v>0</v>
      </c>
      <c r="L39" s="89">
        <f>ROUND(C39*'Общие данные'!$B$84/H39,2)*G39</f>
        <v>0</v>
      </c>
      <c r="M39" s="89">
        <f t="shared" si="23"/>
        <v>0</v>
      </c>
      <c r="N39" s="89"/>
      <c r="O39" s="104" t="str">
        <f t="shared" si="24"/>
        <v>Сб</v>
      </c>
      <c r="P39" s="106">
        <f t="shared" si="25"/>
        <v>2</v>
      </c>
      <c r="Q39" s="106">
        <f>DAY('Общие данные'!$B$78)+P39</f>
        <v>7</v>
      </c>
      <c r="R39" s="101">
        <f>IF(A39&lt;='Общие данные'!$B$81,DATE(YEAR($B$8),MONTH($B$8)+A38,DAY('Общие данные'!$B$78)),0)</f>
        <v>0</v>
      </c>
      <c r="S39" s="87"/>
      <c r="T39" s="87"/>
      <c r="U39" s="87"/>
      <c r="V39" s="87"/>
    </row>
    <row r="40" spans="1:22" x14ac:dyDescent="0.25">
      <c r="A40" s="93">
        <f t="shared" si="26"/>
        <v>33</v>
      </c>
      <c r="B40" s="94" t="b">
        <f>IF(A40&lt;='Общие данные'!$B$81,DATE(YEAR(R40),MONTH(R40),DAY(IF(A40='Общие данные'!$B$81,'Общие данные'!$B$67,IF(A40&lt;'Общие данные'!$B$81,(Q40),IF(A40&gt;'Общие данные'!$B$81,$H$56,0))))))</f>
        <v>0</v>
      </c>
      <c r="C40" s="51">
        <f t="shared" si="15"/>
        <v>0</v>
      </c>
      <c r="D40" s="51">
        <f t="shared" si="16"/>
        <v>0</v>
      </c>
      <c r="E40" s="51">
        <f t="shared" si="17"/>
        <v>0</v>
      </c>
      <c r="F40" s="51">
        <f t="shared" si="18"/>
        <v>0</v>
      </c>
      <c r="G40" s="87">
        <f t="shared" si="19"/>
        <v>0</v>
      </c>
      <c r="H40" s="87">
        <f t="shared" si="20"/>
        <v>366</v>
      </c>
      <c r="I40" s="95" t="b">
        <f t="shared" si="21"/>
        <v>0</v>
      </c>
      <c r="J40" s="95">
        <f>SUM($I$8:I39)</f>
        <v>60000000</v>
      </c>
      <c r="K40" s="95">
        <f t="shared" si="22"/>
        <v>0</v>
      </c>
      <c r="L40" s="89">
        <f>ROUND(C40*'Общие данные'!$B$84/H40,2)*G40</f>
        <v>0</v>
      </c>
      <c r="M40" s="89">
        <f t="shared" si="23"/>
        <v>0</v>
      </c>
      <c r="N40" s="89"/>
      <c r="O40" s="104" t="str">
        <f t="shared" si="24"/>
        <v>Сб</v>
      </c>
      <c r="P40" s="106">
        <f t="shared" si="25"/>
        <v>2</v>
      </c>
      <c r="Q40" s="106">
        <f>DAY('Общие данные'!$B$78)+P40</f>
        <v>7</v>
      </c>
      <c r="R40" s="101">
        <f>IF(A40&lt;='Общие данные'!$B$81,DATE(YEAR($B$8),MONTH($B$8)+A39,DAY('Общие данные'!$B$78)),0)</f>
        <v>0</v>
      </c>
      <c r="S40" s="87"/>
      <c r="T40" s="87"/>
      <c r="U40" s="87"/>
      <c r="V40" s="87"/>
    </row>
    <row r="41" spans="1:22" x14ac:dyDescent="0.25">
      <c r="A41" s="93">
        <f t="shared" si="26"/>
        <v>34</v>
      </c>
      <c r="B41" s="94" t="b">
        <f>IF(A41&lt;='Общие данные'!$B$81,DATE(YEAR(R41),MONTH(R41),DAY(IF(A41='Общие данные'!$B$81,'Общие данные'!$B$67,IF(A41&lt;'Общие данные'!$B$81,(Q41),IF(A41&gt;'Общие данные'!$B$81,$H$56,0))))))</f>
        <v>0</v>
      </c>
      <c r="C41" s="51">
        <f t="shared" si="15"/>
        <v>0</v>
      </c>
      <c r="D41" s="51">
        <f t="shared" si="16"/>
        <v>0</v>
      </c>
      <c r="E41" s="51">
        <f t="shared" si="17"/>
        <v>0</v>
      </c>
      <c r="F41" s="51">
        <f t="shared" si="18"/>
        <v>0</v>
      </c>
      <c r="G41" s="87">
        <f t="shared" si="19"/>
        <v>0</v>
      </c>
      <c r="H41" s="87">
        <f t="shared" si="20"/>
        <v>366</v>
      </c>
      <c r="I41" s="95" t="b">
        <f t="shared" si="21"/>
        <v>0</v>
      </c>
      <c r="J41" s="95">
        <f>SUM($I$8:I40)</f>
        <v>60000000</v>
      </c>
      <c r="K41" s="95">
        <f t="shared" si="22"/>
        <v>0</v>
      </c>
      <c r="L41" s="89">
        <f>ROUND(C41*'Общие данные'!$B$84/H41,2)*G41</f>
        <v>0</v>
      </c>
      <c r="M41" s="89">
        <f t="shared" si="23"/>
        <v>0</v>
      </c>
      <c r="N41" s="89"/>
      <c r="O41" s="104" t="str">
        <f t="shared" si="24"/>
        <v>Сб</v>
      </c>
      <c r="P41" s="106">
        <f t="shared" si="25"/>
        <v>2</v>
      </c>
      <c r="Q41" s="106">
        <f>DAY('Общие данные'!$B$78)+P41</f>
        <v>7</v>
      </c>
      <c r="R41" s="101">
        <f>IF(A41&lt;='Общие данные'!$B$81,DATE(YEAR($B$8),MONTH($B$8)+A40,DAY('Общие данные'!$B$78)),0)</f>
        <v>0</v>
      </c>
      <c r="S41" s="87"/>
      <c r="T41" s="87"/>
      <c r="U41" s="87"/>
      <c r="V41" s="87"/>
    </row>
    <row r="42" spans="1:22" x14ac:dyDescent="0.25">
      <c r="A42" s="93">
        <f t="shared" si="26"/>
        <v>35</v>
      </c>
      <c r="B42" s="94" t="b">
        <f>IF(A42&lt;='Общие данные'!$B$81,DATE(YEAR(R42),MONTH(R42),DAY(IF(A42='Общие данные'!$B$81,'Общие данные'!$B$67,IF(A42&lt;'Общие данные'!$B$81,(Q42),IF(A42&gt;'Общие данные'!$B$81,$H$56,0))))))</f>
        <v>0</v>
      </c>
      <c r="C42" s="51">
        <f t="shared" si="15"/>
        <v>0</v>
      </c>
      <c r="D42" s="51">
        <f t="shared" si="16"/>
        <v>0</v>
      </c>
      <c r="E42" s="51">
        <f t="shared" si="17"/>
        <v>0</v>
      </c>
      <c r="F42" s="51">
        <f t="shared" si="18"/>
        <v>0</v>
      </c>
      <c r="G42" s="87">
        <f t="shared" si="19"/>
        <v>0</v>
      </c>
      <c r="H42" s="87">
        <f t="shared" si="20"/>
        <v>366</v>
      </c>
      <c r="I42" s="95" t="b">
        <f t="shared" si="21"/>
        <v>0</v>
      </c>
      <c r="J42" s="95">
        <f>SUM($I$8:I41)</f>
        <v>60000000</v>
      </c>
      <c r="K42" s="95">
        <f t="shared" si="22"/>
        <v>0</v>
      </c>
      <c r="L42" s="89">
        <f>ROUND(C42*'Общие данные'!$B$84/H42,2)*G42</f>
        <v>0</v>
      </c>
      <c r="M42" s="89">
        <f t="shared" si="23"/>
        <v>0</v>
      </c>
      <c r="N42" s="89"/>
      <c r="O42" s="104" t="str">
        <f t="shared" si="24"/>
        <v>Сб</v>
      </c>
      <c r="P42" s="106">
        <f t="shared" si="25"/>
        <v>2</v>
      </c>
      <c r="Q42" s="106">
        <f>DAY('Общие данные'!$B$78)+P42</f>
        <v>7</v>
      </c>
      <c r="R42" s="101">
        <f>IF(A42&lt;='Общие данные'!$B$81,DATE(YEAR($B$8),MONTH($B$8)+A41,DAY('Общие данные'!$B$78)),0)</f>
        <v>0</v>
      </c>
      <c r="S42" s="87"/>
      <c r="T42" s="87"/>
      <c r="U42" s="87"/>
      <c r="V42" s="87"/>
    </row>
    <row r="43" spans="1:22" x14ac:dyDescent="0.25">
      <c r="A43" s="93">
        <f t="shared" ref="A43:A55" si="27">1+A42</f>
        <v>36</v>
      </c>
      <c r="B43" s="94" t="b">
        <f>IF(A43&lt;='Общие данные'!$B$81,DATE(YEAR(R43),MONTH(R43),DAY(IF(A43='Общие данные'!$B$81,'Общие данные'!$B$67,IF(A43&lt;'Общие данные'!$B$81,(Q43),IF(A43&gt;'Общие данные'!$B$81,$H$56,0))))))</f>
        <v>0</v>
      </c>
      <c r="C43" s="51">
        <f t="shared" ref="C43:C55" si="28">C42-D42</f>
        <v>0</v>
      </c>
      <c r="D43" s="51">
        <f t="shared" ref="D43:D55" si="29">IF(C43=0,L43,IF(C43&gt;1,I43))</f>
        <v>0</v>
      </c>
      <c r="E43" s="51">
        <f t="shared" ref="E43:E55" si="30">IF(C43=0,N42,IF(C43&gt;1,L43))</f>
        <v>0</v>
      </c>
      <c r="F43" s="51">
        <f t="shared" ref="F43:F55" si="31">IF(C43=0,N42,IF(C43&gt;1,M43))</f>
        <v>0</v>
      </c>
      <c r="G43" s="87">
        <f t="shared" ref="G43:G55" si="32">B43-B42</f>
        <v>0</v>
      </c>
      <c r="H43" s="87">
        <f t="shared" ref="H43:H55" si="33">DATE(YEAR(B43),12,31)-DATE(YEAR(B43),1,1)+1</f>
        <v>366</v>
      </c>
      <c r="I43" s="95" t="b">
        <f t="shared" ref="I43:I55" si="34">IF($L$5=A43,K43,IF($L$5&gt;A43,I42))</f>
        <v>0</v>
      </c>
      <c r="J43" s="95">
        <f>SUM($I$8:I42)</f>
        <v>60000000</v>
      </c>
      <c r="K43" s="95">
        <f t="shared" ref="K43:K55" si="35">$J$12-J43</f>
        <v>0</v>
      </c>
      <c r="L43" s="89">
        <f>ROUND(C43*'Общие данные'!$B$84/H43,2)*G43</f>
        <v>0</v>
      </c>
      <c r="M43" s="89">
        <f t="shared" ref="M43:M55" si="36">D43+E43</f>
        <v>0</v>
      </c>
      <c r="N43" s="89"/>
      <c r="O43" s="104" t="str">
        <f t="shared" ref="O43:O55" si="37">TEXT(R43,"ддд")</f>
        <v>Сб</v>
      </c>
      <c r="P43" s="106">
        <f t="shared" ref="P43:P55" si="38">IF(O43=$U$8,2,IF(O43=$V$8,1,0))</f>
        <v>2</v>
      </c>
      <c r="Q43" s="106">
        <f>DAY('Общие данные'!$B$78)+P43</f>
        <v>7</v>
      </c>
      <c r="R43" s="101">
        <f>IF(A43&lt;='Общие данные'!$B$81,DATE(YEAR($B$8),MONTH($B$8)+A42,DAY('Общие данные'!$B$78)),0)</f>
        <v>0</v>
      </c>
      <c r="S43" s="87"/>
      <c r="T43" s="87"/>
      <c r="U43" s="87"/>
      <c r="V43" s="87"/>
    </row>
    <row r="44" spans="1:22" x14ac:dyDescent="0.25">
      <c r="A44" s="93">
        <f t="shared" si="27"/>
        <v>37</v>
      </c>
      <c r="B44" s="94" t="b">
        <f>IF(A44&lt;='Общие данные'!$B$81,DATE(YEAR(R44),MONTH(R44),DAY(IF(A44='Общие данные'!$B$81,'Общие данные'!$B$67,IF(A44&lt;'Общие данные'!$B$81,(Q44),IF(A44&gt;'Общие данные'!$B$81,$H$56,0))))))</f>
        <v>0</v>
      </c>
      <c r="C44" s="51">
        <f t="shared" si="28"/>
        <v>0</v>
      </c>
      <c r="D44" s="51">
        <f t="shared" si="29"/>
        <v>0</v>
      </c>
      <c r="E44" s="51">
        <f t="shared" si="30"/>
        <v>0</v>
      </c>
      <c r="F44" s="51">
        <f t="shared" si="31"/>
        <v>0</v>
      </c>
      <c r="G44" s="87">
        <f t="shared" si="32"/>
        <v>0</v>
      </c>
      <c r="H44" s="87">
        <f t="shared" si="33"/>
        <v>366</v>
      </c>
      <c r="I44" s="95" t="b">
        <f t="shared" si="34"/>
        <v>0</v>
      </c>
      <c r="J44" s="95">
        <f>SUM($I$8:I43)</f>
        <v>60000000</v>
      </c>
      <c r="K44" s="95">
        <f t="shared" si="35"/>
        <v>0</v>
      </c>
      <c r="L44" s="89">
        <f>ROUND(C44*'Общие данные'!$B$84/H44,2)*G44</f>
        <v>0</v>
      </c>
      <c r="M44" s="89">
        <f t="shared" si="36"/>
        <v>0</v>
      </c>
      <c r="N44" s="89"/>
      <c r="O44" s="104" t="str">
        <f t="shared" si="37"/>
        <v>Сб</v>
      </c>
      <c r="P44" s="106">
        <f t="shared" si="38"/>
        <v>2</v>
      </c>
      <c r="Q44" s="106">
        <f>DAY('Общие данные'!$B$78)+P44</f>
        <v>7</v>
      </c>
      <c r="R44" s="101">
        <f>IF(A44&lt;='Общие данные'!$B$81,DATE(YEAR($B$8),MONTH($B$8)+A43,DAY('Общие данные'!$B$78)),0)</f>
        <v>0</v>
      </c>
      <c r="S44" s="87"/>
      <c r="T44" s="87"/>
      <c r="U44" s="87"/>
      <c r="V44" s="87"/>
    </row>
    <row r="45" spans="1:22" x14ac:dyDescent="0.25">
      <c r="A45" s="93">
        <f t="shared" si="27"/>
        <v>38</v>
      </c>
      <c r="B45" s="94" t="b">
        <f>IF(A45&lt;='Общие данные'!$B$81,DATE(YEAR(R45),MONTH(R45),DAY(IF(A45='Общие данные'!$B$81,'Общие данные'!$B$67,IF(A45&lt;'Общие данные'!$B$81,(Q45),IF(A45&gt;'Общие данные'!$B$81,$H$56,0))))))</f>
        <v>0</v>
      </c>
      <c r="C45" s="51">
        <f t="shared" si="28"/>
        <v>0</v>
      </c>
      <c r="D45" s="51">
        <f t="shared" si="29"/>
        <v>0</v>
      </c>
      <c r="E45" s="51">
        <f t="shared" si="30"/>
        <v>0</v>
      </c>
      <c r="F45" s="51">
        <f t="shared" si="31"/>
        <v>0</v>
      </c>
      <c r="G45" s="87">
        <f t="shared" si="32"/>
        <v>0</v>
      </c>
      <c r="H45" s="87">
        <f t="shared" si="33"/>
        <v>366</v>
      </c>
      <c r="I45" s="95" t="b">
        <f t="shared" si="34"/>
        <v>0</v>
      </c>
      <c r="J45" s="95">
        <f>SUM($I$8:I44)</f>
        <v>60000000</v>
      </c>
      <c r="K45" s="95">
        <f t="shared" si="35"/>
        <v>0</v>
      </c>
      <c r="L45" s="89">
        <f>ROUND(C45*'Общие данные'!$B$84/H45,2)*G45</f>
        <v>0</v>
      </c>
      <c r="M45" s="89">
        <f t="shared" si="36"/>
        <v>0</v>
      </c>
      <c r="N45" s="89"/>
      <c r="O45" s="104" t="str">
        <f t="shared" si="37"/>
        <v>Сб</v>
      </c>
      <c r="P45" s="106">
        <f t="shared" si="38"/>
        <v>2</v>
      </c>
      <c r="Q45" s="106">
        <f>DAY('Общие данные'!$B$78)+P45</f>
        <v>7</v>
      </c>
      <c r="R45" s="101">
        <f>IF(A45&lt;='Общие данные'!$B$81,DATE(YEAR($B$8),MONTH($B$8)+A44,DAY('Общие данные'!$B$78)),0)</f>
        <v>0</v>
      </c>
      <c r="S45" s="87"/>
      <c r="T45" s="87"/>
      <c r="U45" s="87"/>
      <c r="V45" s="87"/>
    </row>
    <row r="46" spans="1:22" x14ac:dyDescent="0.25">
      <c r="A46" s="93">
        <f t="shared" si="27"/>
        <v>39</v>
      </c>
      <c r="B46" s="94" t="b">
        <f>IF(A46&lt;='Общие данные'!$B$81,DATE(YEAR(R46),MONTH(R46),DAY(IF(A46='Общие данные'!$B$81,'Общие данные'!$B$67,IF(A46&lt;'Общие данные'!$B$81,(Q46),IF(A46&gt;'Общие данные'!$B$81,$H$56,0))))))</f>
        <v>0</v>
      </c>
      <c r="C46" s="51">
        <f t="shared" si="28"/>
        <v>0</v>
      </c>
      <c r="D46" s="51">
        <f t="shared" si="29"/>
        <v>0</v>
      </c>
      <c r="E46" s="51">
        <f t="shared" si="30"/>
        <v>0</v>
      </c>
      <c r="F46" s="51">
        <f t="shared" si="31"/>
        <v>0</v>
      </c>
      <c r="G46" s="87">
        <f t="shared" si="32"/>
        <v>0</v>
      </c>
      <c r="H46" s="87">
        <f t="shared" si="33"/>
        <v>366</v>
      </c>
      <c r="I46" s="95" t="b">
        <f t="shared" si="34"/>
        <v>0</v>
      </c>
      <c r="J46" s="95">
        <f>SUM($I$8:I45)</f>
        <v>60000000</v>
      </c>
      <c r="K46" s="95">
        <f t="shared" si="35"/>
        <v>0</v>
      </c>
      <c r="L46" s="89">
        <f>ROUND(C46*'Общие данные'!$B$84/H46,2)*G46</f>
        <v>0</v>
      </c>
      <c r="M46" s="89">
        <f t="shared" si="36"/>
        <v>0</v>
      </c>
      <c r="N46" s="89"/>
      <c r="O46" s="104" t="str">
        <f t="shared" si="37"/>
        <v>Сб</v>
      </c>
      <c r="P46" s="106">
        <f t="shared" si="38"/>
        <v>2</v>
      </c>
      <c r="Q46" s="106">
        <f>DAY('Общие данные'!$B$78)+P46</f>
        <v>7</v>
      </c>
      <c r="R46" s="101">
        <f>IF(A46&lt;='Общие данные'!$B$81,DATE(YEAR($B$8),MONTH($B$8)+A45,DAY('Общие данные'!$B$78)),0)</f>
        <v>0</v>
      </c>
      <c r="S46" s="87"/>
      <c r="T46" s="87"/>
      <c r="U46" s="87"/>
      <c r="V46" s="87"/>
    </row>
    <row r="47" spans="1:22" x14ac:dyDescent="0.25">
      <c r="A47" s="93">
        <f t="shared" si="27"/>
        <v>40</v>
      </c>
      <c r="B47" s="94" t="b">
        <f>IF(A47&lt;='Общие данные'!$B$81,DATE(YEAR(R47),MONTH(R47),DAY(IF(A47='Общие данные'!$B$81,'Общие данные'!$B$67,IF(A47&lt;'Общие данные'!$B$81,(Q47),IF(A47&gt;'Общие данные'!$B$81,$H$56,0))))))</f>
        <v>0</v>
      </c>
      <c r="C47" s="51">
        <f t="shared" si="28"/>
        <v>0</v>
      </c>
      <c r="D47" s="51">
        <f t="shared" si="29"/>
        <v>0</v>
      </c>
      <c r="E47" s="51">
        <f t="shared" si="30"/>
        <v>0</v>
      </c>
      <c r="F47" s="51">
        <f t="shared" si="31"/>
        <v>0</v>
      </c>
      <c r="G47" s="87">
        <f t="shared" si="32"/>
        <v>0</v>
      </c>
      <c r="H47" s="87">
        <f t="shared" si="33"/>
        <v>366</v>
      </c>
      <c r="I47" s="95" t="b">
        <f t="shared" si="34"/>
        <v>0</v>
      </c>
      <c r="J47" s="95">
        <f>SUM($I$8:I46)</f>
        <v>60000000</v>
      </c>
      <c r="K47" s="95">
        <f t="shared" si="35"/>
        <v>0</v>
      </c>
      <c r="L47" s="89">
        <f>ROUND(C47*'Общие данные'!$B$84/H47,2)*G47</f>
        <v>0</v>
      </c>
      <c r="M47" s="89">
        <f t="shared" si="36"/>
        <v>0</v>
      </c>
      <c r="N47" s="89"/>
      <c r="O47" s="104" t="str">
        <f t="shared" si="37"/>
        <v>Сб</v>
      </c>
      <c r="P47" s="106">
        <f t="shared" si="38"/>
        <v>2</v>
      </c>
      <c r="Q47" s="106">
        <f>DAY('Общие данные'!$B$78)+P47</f>
        <v>7</v>
      </c>
      <c r="R47" s="101">
        <f>IF(A47&lt;='Общие данные'!$B$81,DATE(YEAR($B$8),MONTH($B$8)+A46,DAY('Общие данные'!$B$78)),0)</f>
        <v>0</v>
      </c>
      <c r="S47" s="87"/>
      <c r="T47" s="87"/>
      <c r="U47" s="87"/>
      <c r="V47" s="87"/>
    </row>
    <row r="48" spans="1:22" x14ac:dyDescent="0.25">
      <c r="A48" s="93">
        <f t="shared" si="27"/>
        <v>41</v>
      </c>
      <c r="B48" s="94" t="b">
        <f>IF(A48&lt;='Общие данные'!$B$81,DATE(YEAR(R48),MONTH(R48),DAY(IF(A48='Общие данные'!$B$81,'Общие данные'!$B$67,IF(A48&lt;'Общие данные'!$B$81,(Q48),IF(A48&gt;'Общие данные'!$B$81,$H$56,0))))))</f>
        <v>0</v>
      </c>
      <c r="C48" s="51">
        <f t="shared" si="28"/>
        <v>0</v>
      </c>
      <c r="D48" s="51">
        <f t="shared" si="29"/>
        <v>0</v>
      </c>
      <c r="E48" s="51">
        <f t="shared" si="30"/>
        <v>0</v>
      </c>
      <c r="F48" s="51">
        <f t="shared" si="31"/>
        <v>0</v>
      </c>
      <c r="G48" s="87">
        <f t="shared" si="32"/>
        <v>0</v>
      </c>
      <c r="H48" s="87">
        <f t="shared" si="33"/>
        <v>366</v>
      </c>
      <c r="I48" s="95" t="b">
        <f t="shared" si="34"/>
        <v>0</v>
      </c>
      <c r="J48" s="95">
        <f>SUM($I$8:I47)</f>
        <v>60000000</v>
      </c>
      <c r="K48" s="95">
        <f t="shared" si="35"/>
        <v>0</v>
      </c>
      <c r="L48" s="89">
        <f>ROUND(C48*'Общие данные'!$B$84/H48,2)*G48</f>
        <v>0</v>
      </c>
      <c r="M48" s="89">
        <f t="shared" si="36"/>
        <v>0</v>
      </c>
      <c r="N48" s="89"/>
      <c r="O48" s="104" t="str">
        <f t="shared" si="37"/>
        <v>Сб</v>
      </c>
      <c r="P48" s="106">
        <f t="shared" si="38"/>
        <v>2</v>
      </c>
      <c r="Q48" s="106">
        <f>DAY('Общие данные'!$B$78)+P48</f>
        <v>7</v>
      </c>
      <c r="R48" s="101">
        <f>IF(A48&lt;='Общие данные'!$B$81,DATE(YEAR($B$8),MONTH($B$8)+A47,DAY('Общие данные'!$B$78)),0)</f>
        <v>0</v>
      </c>
      <c r="S48" s="87"/>
      <c r="T48" s="87"/>
      <c r="U48" s="87"/>
      <c r="V48" s="87"/>
    </row>
    <row r="49" spans="1:22" x14ac:dyDescent="0.25">
      <c r="A49" s="93">
        <f t="shared" si="27"/>
        <v>42</v>
      </c>
      <c r="B49" s="94" t="b">
        <f>IF(A49&lt;='Общие данные'!$B$81,DATE(YEAR(R49),MONTH(R49),DAY(IF(A49='Общие данные'!$B$81,'Общие данные'!$B$67,IF(A49&lt;'Общие данные'!$B$81,(Q49),IF(A49&gt;'Общие данные'!$B$81,$H$56,0))))))</f>
        <v>0</v>
      </c>
      <c r="C49" s="51">
        <f t="shared" si="28"/>
        <v>0</v>
      </c>
      <c r="D49" s="51">
        <f t="shared" si="29"/>
        <v>0</v>
      </c>
      <c r="E49" s="51">
        <f t="shared" si="30"/>
        <v>0</v>
      </c>
      <c r="F49" s="51">
        <f t="shared" si="31"/>
        <v>0</v>
      </c>
      <c r="G49" s="87">
        <f t="shared" si="32"/>
        <v>0</v>
      </c>
      <c r="H49" s="87">
        <f t="shared" si="33"/>
        <v>366</v>
      </c>
      <c r="I49" s="95" t="b">
        <f t="shared" si="34"/>
        <v>0</v>
      </c>
      <c r="J49" s="95">
        <f>SUM($I$8:I48)</f>
        <v>60000000</v>
      </c>
      <c r="K49" s="95">
        <f t="shared" si="35"/>
        <v>0</v>
      </c>
      <c r="L49" s="89">
        <f>ROUND(C49*'Общие данные'!$B$84/H49,2)*G49</f>
        <v>0</v>
      </c>
      <c r="M49" s="89">
        <f t="shared" si="36"/>
        <v>0</v>
      </c>
      <c r="N49" s="89"/>
      <c r="O49" s="104" t="str">
        <f t="shared" si="37"/>
        <v>Сб</v>
      </c>
      <c r="P49" s="106">
        <f t="shared" si="38"/>
        <v>2</v>
      </c>
      <c r="Q49" s="106">
        <f>DAY('Общие данные'!$B$78)+P49</f>
        <v>7</v>
      </c>
      <c r="R49" s="101">
        <f>IF(A49&lt;='Общие данные'!$B$81,DATE(YEAR($B$8),MONTH($B$8)+A48,DAY('Общие данные'!$B$78)),0)</f>
        <v>0</v>
      </c>
      <c r="S49" s="87"/>
      <c r="T49" s="87"/>
      <c r="U49" s="87"/>
      <c r="V49" s="87"/>
    </row>
    <row r="50" spans="1:22" x14ac:dyDescent="0.25">
      <c r="A50" s="93">
        <f t="shared" si="27"/>
        <v>43</v>
      </c>
      <c r="B50" s="94" t="b">
        <f>IF(A50&lt;='Общие данные'!$B$81,DATE(YEAR(R50),MONTH(R50),DAY(IF(A50='Общие данные'!$B$81,'Общие данные'!$B$67,IF(A50&lt;'Общие данные'!$B$81,(Q50),IF(A50&gt;'Общие данные'!$B$81,$H$56,0))))))</f>
        <v>0</v>
      </c>
      <c r="C50" s="51">
        <f t="shared" si="28"/>
        <v>0</v>
      </c>
      <c r="D50" s="51">
        <f t="shared" si="29"/>
        <v>0</v>
      </c>
      <c r="E50" s="51">
        <f t="shared" si="30"/>
        <v>0</v>
      </c>
      <c r="F50" s="51">
        <f t="shared" si="31"/>
        <v>0</v>
      </c>
      <c r="G50" s="87">
        <f t="shared" si="32"/>
        <v>0</v>
      </c>
      <c r="H50" s="87">
        <f t="shared" si="33"/>
        <v>366</v>
      </c>
      <c r="I50" s="95" t="b">
        <f t="shared" si="34"/>
        <v>0</v>
      </c>
      <c r="J50" s="95">
        <f>SUM($I$8:I49)</f>
        <v>60000000</v>
      </c>
      <c r="K50" s="95">
        <f t="shared" si="35"/>
        <v>0</v>
      </c>
      <c r="L50" s="89">
        <f>ROUND(C50*'Общие данные'!$B$84/H50,2)*G50</f>
        <v>0</v>
      </c>
      <c r="M50" s="89">
        <f t="shared" si="36"/>
        <v>0</v>
      </c>
      <c r="N50" s="89"/>
      <c r="O50" s="104" t="str">
        <f t="shared" si="37"/>
        <v>Сб</v>
      </c>
      <c r="P50" s="106">
        <f t="shared" si="38"/>
        <v>2</v>
      </c>
      <c r="Q50" s="106">
        <f>DAY('Общие данные'!$B$78)+P50</f>
        <v>7</v>
      </c>
      <c r="R50" s="101">
        <f>IF(A50&lt;='Общие данные'!$B$81,DATE(YEAR($B$8),MONTH($B$8)+A49,DAY('Общие данные'!$B$78)),0)</f>
        <v>0</v>
      </c>
      <c r="S50" s="87"/>
      <c r="T50" s="87"/>
      <c r="U50" s="87"/>
      <c r="V50" s="87"/>
    </row>
    <row r="51" spans="1:22" x14ac:dyDescent="0.25">
      <c r="A51" s="93">
        <f t="shared" si="27"/>
        <v>44</v>
      </c>
      <c r="B51" s="94" t="b">
        <f>IF(A51&lt;='Общие данные'!$B$81,DATE(YEAR(R51),MONTH(R51),DAY(IF(A51='Общие данные'!$B$81,'Общие данные'!$B$67,IF(A51&lt;'Общие данные'!$B$81,(Q51),IF(A51&gt;'Общие данные'!$B$81,$H$56,0))))))</f>
        <v>0</v>
      </c>
      <c r="C51" s="51">
        <f t="shared" si="28"/>
        <v>0</v>
      </c>
      <c r="D51" s="51">
        <f t="shared" si="29"/>
        <v>0</v>
      </c>
      <c r="E51" s="51">
        <f t="shared" si="30"/>
        <v>0</v>
      </c>
      <c r="F51" s="51">
        <f t="shared" si="31"/>
        <v>0</v>
      </c>
      <c r="G51" s="87">
        <f t="shared" si="32"/>
        <v>0</v>
      </c>
      <c r="H51" s="87">
        <f t="shared" si="33"/>
        <v>366</v>
      </c>
      <c r="I51" s="95" t="b">
        <f t="shared" si="34"/>
        <v>0</v>
      </c>
      <c r="J51" s="95">
        <f>SUM($I$8:I50)</f>
        <v>60000000</v>
      </c>
      <c r="K51" s="95">
        <f t="shared" si="35"/>
        <v>0</v>
      </c>
      <c r="L51" s="89">
        <f>ROUND(C51*'Общие данные'!$B$84/H51,2)*G51</f>
        <v>0</v>
      </c>
      <c r="M51" s="89">
        <f t="shared" si="36"/>
        <v>0</v>
      </c>
      <c r="N51" s="89"/>
      <c r="O51" s="104" t="str">
        <f t="shared" si="37"/>
        <v>Сб</v>
      </c>
      <c r="P51" s="106">
        <f t="shared" si="38"/>
        <v>2</v>
      </c>
      <c r="Q51" s="106">
        <f>DAY('Общие данные'!$B$78)+P51</f>
        <v>7</v>
      </c>
      <c r="R51" s="101">
        <f>IF(A51&lt;='Общие данные'!$B$81,DATE(YEAR($B$8),MONTH($B$8)+A50,DAY('Общие данные'!$B$78)),0)</f>
        <v>0</v>
      </c>
      <c r="S51" s="87"/>
      <c r="T51" s="87"/>
      <c r="U51" s="87"/>
      <c r="V51" s="87"/>
    </row>
    <row r="52" spans="1:22" x14ac:dyDescent="0.25">
      <c r="A52" s="93">
        <f t="shared" si="27"/>
        <v>45</v>
      </c>
      <c r="B52" s="94" t="b">
        <f>IF(A52&lt;='Общие данные'!$B$81,DATE(YEAR(R52),MONTH(R52),DAY(IF(A52='Общие данные'!$B$81,'Общие данные'!$B$67,IF(A52&lt;'Общие данные'!$B$81,(Q52),IF(A52&gt;'Общие данные'!$B$81,$H$56,0))))))</f>
        <v>0</v>
      </c>
      <c r="C52" s="51">
        <f t="shared" si="28"/>
        <v>0</v>
      </c>
      <c r="D52" s="51">
        <f t="shared" si="29"/>
        <v>0</v>
      </c>
      <c r="E52" s="51">
        <f t="shared" si="30"/>
        <v>0</v>
      </c>
      <c r="F52" s="51">
        <f t="shared" si="31"/>
        <v>0</v>
      </c>
      <c r="G52" s="87">
        <f t="shared" si="32"/>
        <v>0</v>
      </c>
      <c r="H52" s="87">
        <f t="shared" si="33"/>
        <v>366</v>
      </c>
      <c r="I52" s="95" t="b">
        <f t="shared" si="34"/>
        <v>0</v>
      </c>
      <c r="J52" s="95">
        <f>SUM($I$8:I51)</f>
        <v>60000000</v>
      </c>
      <c r="K52" s="95">
        <f t="shared" si="35"/>
        <v>0</v>
      </c>
      <c r="L52" s="89">
        <f>ROUND(C52*'Общие данные'!$B$84/H52,2)*G52</f>
        <v>0</v>
      </c>
      <c r="M52" s="89">
        <f t="shared" si="36"/>
        <v>0</v>
      </c>
      <c r="N52" s="89"/>
      <c r="O52" s="104" t="str">
        <f t="shared" si="37"/>
        <v>Сб</v>
      </c>
      <c r="P52" s="106">
        <f t="shared" si="38"/>
        <v>2</v>
      </c>
      <c r="Q52" s="106">
        <f>DAY('Общие данные'!$B$78)+P52</f>
        <v>7</v>
      </c>
      <c r="R52" s="101">
        <f>IF(A52&lt;='Общие данные'!$B$81,DATE(YEAR($B$8),MONTH($B$8)+A51,DAY('Общие данные'!$B$78)),0)</f>
        <v>0</v>
      </c>
      <c r="S52" s="87"/>
      <c r="T52" s="87"/>
      <c r="U52" s="87"/>
      <c r="V52" s="87"/>
    </row>
    <row r="53" spans="1:22" x14ac:dyDescent="0.25">
      <c r="A53" s="93">
        <f t="shared" si="27"/>
        <v>46</v>
      </c>
      <c r="B53" s="94" t="b">
        <f>IF(A53&lt;='Общие данные'!$B$81,DATE(YEAR(R53),MONTH(R53),DAY(IF(A53='Общие данные'!$B$81,'Общие данные'!$B$67,IF(A53&lt;'Общие данные'!$B$81,(Q53),IF(A53&gt;'Общие данные'!$B$81,$H$56,0))))))</f>
        <v>0</v>
      </c>
      <c r="C53" s="51">
        <f t="shared" si="28"/>
        <v>0</v>
      </c>
      <c r="D53" s="51">
        <f t="shared" si="29"/>
        <v>0</v>
      </c>
      <c r="E53" s="51">
        <f t="shared" si="30"/>
        <v>0</v>
      </c>
      <c r="F53" s="51">
        <f t="shared" si="31"/>
        <v>0</v>
      </c>
      <c r="G53" s="87">
        <f t="shared" si="32"/>
        <v>0</v>
      </c>
      <c r="H53" s="87">
        <f t="shared" si="33"/>
        <v>366</v>
      </c>
      <c r="I53" s="95" t="b">
        <f t="shared" si="34"/>
        <v>0</v>
      </c>
      <c r="J53" s="95">
        <f>SUM($I$8:I52)</f>
        <v>60000000</v>
      </c>
      <c r="K53" s="95">
        <f t="shared" si="35"/>
        <v>0</v>
      </c>
      <c r="L53" s="89">
        <f>ROUND(C53*'Общие данные'!$B$84/H53,2)*G53</f>
        <v>0</v>
      </c>
      <c r="M53" s="89">
        <f t="shared" si="36"/>
        <v>0</v>
      </c>
      <c r="N53" s="89"/>
      <c r="O53" s="104" t="str">
        <f t="shared" si="37"/>
        <v>Сб</v>
      </c>
      <c r="P53" s="106">
        <f t="shared" si="38"/>
        <v>2</v>
      </c>
      <c r="Q53" s="106">
        <f>DAY('Общие данные'!$B$78)+P53</f>
        <v>7</v>
      </c>
      <c r="R53" s="101">
        <f>IF(A53&lt;='Общие данные'!$B$81,DATE(YEAR($B$8),MONTH($B$8)+A52,DAY('Общие данные'!$B$78)),0)</f>
        <v>0</v>
      </c>
      <c r="S53" s="87"/>
      <c r="T53" s="87"/>
      <c r="U53" s="87"/>
      <c r="V53" s="87"/>
    </row>
    <row r="54" spans="1:22" x14ac:dyDescent="0.25">
      <c r="A54" s="93">
        <f t="shared" si="27"/>
        <v>47</v>
      </c>
      <c r="B54" s="94" t="b">
        <f>IF(A54&lt;='Общие данные'!$B$81,DATE(YEAR(R54),MONTH(R54),DAY(IF(A54='Общие данные'!$B$81,'Общие данные'!$B$67,IF(A54&lt;'Общие данные'!$B$81,(Q54),IF(A54&gt;'Общие данные'!$B$81,$H$56,0))))))</f>
        <v>0</v>
      </c>
      <c r="C54" s="51">
        <f t="shared" si="28"/>
        <v>0</v>
      </c>
      <c r="D54" s="51">
        <f t="shared" si="29"/>
        <v>0</v>
      </c>
      <c r="E54" s="51">
        <f t="shared" si="30"/>
        <v>0</v>
      </c>
      <c r="F54" s="51">
        <f t="shared" si="31"/>
        <v>0</v>
      </c>
      <c r="G54" s="87">
        <f t="shared" si="32"/>
        <v>0</v>
      </c>
      <c r="H54" s="87">
        <f t="shared" si="33"/>
        <v>366</v>
      </c>
      <c r="I54" s="95" t="b">
        <f t="shared" si="34"/>
        <v>0</v>
      </c>
      <c r="J54" s="95">
        <f>SUM($I$8:I53)</f>
        <v>60000000</v>
      </c>
      <c r="K54" s="95">
        <f t="shared" si="35"/>
        <v>0</v>
      </c>
      <c r="L54" s="89">
        <f>ROUND(C54*'Общие данные'!$B$84/H54,2)*G54</f>
        <v>0</v>
      </c>
      <c r="M54" s="89">
        <f t="shared" si="36"/>
        <v>0</v>
      </c>
      <c r="N54" s="89"/>
      <c r="O54" s="104" t="str">
        <f t="shared" si="37"/>
        <v>Сб</v>
      </c>
      <c r="P54" s="106">
        <f t="shared" si="38"/>
        <v>2</v>
      </c>
      <c r="Q54" s="106">
        <f>DAY('Общие данные'!$B$78)+P54</f>
        <v>7</v>
      </c>
      <c r="R54" s="101">
        <f>IF(A54&lt;='Общие данные'!$B$81,DATE(YEAR($B$8),MONTH($B$8)+A53,DAY('Общие данные'!$B$78)),0)</f>
        <v>0</v>
      </c>
      <c r="S54" s="87"/>
      <c r="T54" s="87"/>
      <c r="U54" s="87"/>
      <c r="V54" s="87"/>
    </row>
    <row r="55" spans="1:22" x14ac:dyDescent="0.25">
      <c r="A55" s="93">
        <f t="shared" si="27"/>
        <v>48</v>
      </c>
      <c r="B55" s="94" t="b">
        <f>IF(A55&lt;='Общие данные'!$B$81,DATE(YEAR(R55),MONTH(R55),DAY(IF(A55='Общие данные'!$B$81,'Общие данные'!$B$67,IF(A55&lt;'Общие данные'!$B$81,(Q55),IF(A55&gt;'Общие данные'!$B$81,$H$56,0))))))</f>
        <v>0</v>
      </c>
      <c r="C55" s="51">
        <f t="shared" si="28"/>
        <v>0</v>
      </c>
      <c r="D55" s="51">
        <f t="shared" si="29"/>
        <v>0</v>
      </c>
      <c r="E55" s="51">
        <f t="shared" si="30"/>
        <v>0</v>
      </c>
      <c r="F55" s="51">
        <f t="shared" si="31"/>
        <v>0</v>
      </c>
      <c r="G55" s="87">
        <f t="shared" si="32"/>
        <v>0</v>
      </c>
      <c r="H55" s="87">
        <f t="shared" si="33"/>
        <v>366</v>
      </c>
      <c r="I55" s="95" t="b">
        <f t="shared" si="34"/>
        <v>0</v>
      </c>
      <c r="J55" s="95">
        <f>SUM($I$8:I54)</f>
        <v>60000000</v>
      </c>
      <c r="K55" s="95">
        <f t="shared" si="35"/>
        <v>0</v>
      </c>
      <c r="L55" s="89">
        <f>ROUND(C55*'Общие данные'!$B$84/H55,2)*G55</f>
        <v>0</v>
      </c>
      <c r="M55" s="89">
        <f t="shared" si="36"/>
        <v>0</v>
      </c>
      <c r="N55" s="89"/>
      <c r="O55" s="104" t="str">
        <f t="shared" si="37"/>
        <v>Сб</v>
      </c>
      <c r="P55" s="106">
        <f t="shared" si="38"/>
        <v>2</v>
      </c>
      <c r="Q55" s="106">
        <f>DAY('Общие данные'!$B$78)+P55</f>
        <v>7</v>
      </c>
      <c r="R55" s="101">
        <f>IF(A55&lt;='Общие данные'!$B$81,DATE(YEAR($B$8),MONTH($B$8)+A54,DAY('Общие данные'!$B$78)),0)</f>
        <v>0</v>
      </c>
      <c r="S55" s="87"/>
      <c r="T55" s="87"/>
      <c r="U55" s="87"/>
      <c r="V55" s="87"/>
    </row>
    <row r="56" spans="1:22" x14ac:dyDescent="0.25">
      <c r="A56" s="96"/>
      <c r="B56" s="97" t="s">
        <v>7</v>
      </c>
      <c r="C56" s="98"/>
      <c r="D56" s="98">
        <f>SUM(D8:D55)</f>
        <v>60000000</v>
      </c>
      <c r="E56" s="98">
        <f>SUM(E8:E55)</f>
        <v>42768179.360000007</v>
      </c>
      <c r="F56" s="98">
        <f>SUM(F8:F55)</f>
        <v>102768179.36</v>
      </c>
    </row>
    <row r="57" spans="1:22" ht="9" customHeight="1" x14ac:dyDescent="0.25">
      <c r="B57" s="99"/>
      <c r="C57" s="100"/>
      <c r="D57" s="100"/>
      <c r="E57" s="100"/>
      <c r="F57" s="100"/>
    </row>
    <row r="58" spans="1:22" ht="47.25" customHeight="1" x14ac:dyDescent="0.25">
      <c r="A58" s="306" t="s">
        <v>17</v>
      </c>
      <c r="B58" s="306"/>
      <c r="C58" s="306"/>
      <c r="D58" s="306"/>
      <c r="E58" s="306"/>
      <c r="F58" s="306"/>
    </row>
    <row r="59" spans="1:22" ht="7.5" customHeight="1" x14ac:dyDescent="0.25"/>
    <row r="60" spans="1:22" x14ac:dyDescent="0.25">
      <c r="A60" s="307" t="e">
        <f>#REF!</f>
        <v>#REF!</v>
      </c>
      <c r="B60" s="307"/>
      <c r="C60" s="307"/>
      <c r="D60" s="307" t="e">
        <f>#REF!</f>
        <v>#REF!</v>
      </c>
      <c r="E60" s="307"/>
      <c r="F60" s="307"/>
    </row>
    <row r="61" spans="1:22" ht="11.25" customHeight="1" x14ac:dyDescent="0.25">
      <c r="A61" s="308"/>
      <c r="B61" s="308"/>
      <c r="C61" s="308"/>
      <c r="D61" s="308"/>
      <c r="E61" s="308"/>
      <c r="F61" s="308"/>
    </row>
    <row r="62" spans="1:22" ht="30" customHeight="1" x14ac:dyDescent="0.25">
      <c r="A62" s="305" t="e">
        <f>#REF!</f>
        <v>#REF!</v>
      </c>
      <c r="B62" s="305"/>
      <c r="C62" s="305"/>
      <c r="D62" s="305" t="e">
        <f>#REF!</f>
        <v>#REF!</v>
      </c>
      <c r="E62" s="305"/>
      <c r="F62" s="305"/>
    </row>
    <row r="63" spans="1:22" ht="32.25" customHeight="1" x14ac:dyDescent="0.25">
      <c r="A63" s="301" t="e">
        <f>#REF!</f>
        <v>#REF!</v>
      </c>
      <c r="B63" s="301"/>
      <c r="C63" s="301"/>
      <c r="D63" s="301" t="e">
        <f>#REF!</f>
        <v>#REF!</v>
      </c>
      <c r="E63" s="301"/>
      <c r="F63" s="301"/>
    </row>
    <row r="64" spans="1:22" x14ac:dyDescent="0.25">
      <c r="A64" s="301" t="e">
        <f>#REF!</f>
        <v>#REF!</v>
      </c>
      <c r="B64" s="301"/>
      <c r="C64" s="301"/>
      <c r="D64" s="301" t="str">
        <f>"паспорт серии "&amp;'Общие данные'!B16&amp;", "&amp;'Общие данные'!B20&amp;""</f>
        <v>паспорт серии AE 6482058, IIV 35210 tomonidan 25.02.2026 yilda berilgan</v>
      </c>
      <c r="E64" s="301"/>
      <c r="F64" s="301"/>
    </row>
    <row r="65" spans="1:6" ht="32.25" customHeight="1" x14ac:dyDescent="0.25">
      <c r="A65" s="301" t="e">
        <f>#REF!</f>
        <v>#REF!</v>
      </c>
      <c r="B65" s="301"/>
      <c r="C65" s="301"/>
      <c r="D65" s="301"/>
      <c r="E65" s="301"/>
      <c r="F65" s="301"/>
    </row>
    <row r="66" spans="1:6" x14ac:dyDescent="0.25">
      <c r="A66" s="301" t="e">
        <f>#REF!</f>
        <v>#REF!</v>
      </c>
      <c r="B66" s="301"/>
      <c r="C66" s="301"/>
      <c r="D66" s="301" t="e">
        <f>#REF!</f>
        <v>#REF!</v>
      </c>
      <c r="E66" s="301"/>
      <c r="F66" s="301"/>
    </row>
    <row r="67" spans="1:6" x14ac:dyDescent="0.25">
      <c r="A67" s="301" t="e">
        <f>#REF!</f>
        <v>#REF!</v>
      </c>
      <c r="B67" s="301"/>
      <c r="C67" s="301"/>
      <c r="D67" s="301" t="e">
        <f>#REF!</f>
        <v>#REF!</v>
      </c>
      <c r="E67" s="301"/>
      <c r="F67" s="301"/>
    </row>
    <row r="68" spans="1:6" x14ac:dyDescent="0.25">
      <c r="A68" s="301" t="e">
        <f>#REF!</f>
        <v>#REF!</v>
      </c>
      <c r="B68" s="301"/>
      <c r="C68" s="301"/>
      <c r="D68" s="301" t="e">
        <f>#REF!</f>
        <v>#REF!</v>
      </c>
      <c r="E68" s="301"/>
      <c r="F68" s="301"/>
    </row>
    <row r="69" spans="1:6" ht="8.25" customHeight="1" x14ac:dyDescent="0.25">
      <c r="A69" s="301"/>
      <c r="B69" s="301"/>
      <c r="C69" s="301"/>
      <c r="D69" s="301"/>
      <c r="E69" s="301"/>
      <c r="F69" s="301"/>
    </row>
    <row r="70" spans="1:6" x14ac:dyDescent="0.25">
      <c r="A70" s="305" t="e">
        <f>#REF!</f>
        <v>#REF!</v>
      </c>
      <c r="B70" s="305"/>
      <c r="C70" s="305"/>
      <c r="D70" s="305" t="e">
        <f>#REF!</f>
        <v>#REF!</v>
      </c>
      <c r="E70" s="305"/>
      <c r="F70" s="305"/>
    </row>
    <row r="71" spans="1:6" ht="7.5" customHeight="1" x14ac:dyDescent="0.25">
      <c r="A71" s="305"/>
      <c r="B71" s="305"/>
      <c r="C71" s="305"/>
      <c r="D71" s="305"/>
      <c r="E71" s="305"/>
      <c r="F71" s="305"/>
    </row>
    <row r="72" spans="1:6" x14ac:dyDescent="0.25">
      <c r="A72" s="305" t="e">
        <f>#REF!</f>
        <v>#REF!</v>
      </c>
      <c r="B72" s="305"/>
      <c r="C72" s="305"/>
      <c r="D72" s="305" t="e">
        <f>#REF!</f>
        <v>#REF!</v>
      </c>
      <c r="E72" s="305"/>
      <c r="F72" s="305"/>
    </row>
    <row r="73" spans="1:6" ht="8.25" customHeight="1" x14ac:dyDescent="0.25">
      <c r="A73" s="301"/>
      <c r="B73" s="301"/>
      <c r="C73" s="301"/>
      <c r="D73" s="301"/>
      <c r="E73" s="301"/>
      <c r="F73" s="301"/>
    </row>
    <row r="74" spans="1:6" ht="30" customHeight="1" x14ac:dyDescent="0.25">
      <c r="A74" s="302"/>
      <c r="B74" s="302"/>
      <c r="C74" s="302"/>
      <c r="D74" s="303" t="e">
        <f>#REF!</f>
        <v>#REF!</v>
      </c>
      <c r="E74" s="303"/>
      <c r="F74" s="303"/>
    </row>
    <row r="75" spans="1:6" x14ac:dyDescent="0.25">
      <c r="A75" s="304"/>
      <c r="B75" s="304"/>
      <c r="C75" s="304"/>
      <c r="D75" s="304"/>
      <c r="E75" s="304"/>
      <c r="F75" s="304"/>
    </row>
    <row r="76" spans="1:6" x14ac:dyDescent="0.25">
      <c r="A76" s="300"/>
      <c r="B76" s="300"/>
      <c r="C76" s="300"/>
      <c r="D76" s="300"/>
      <c r="E76" s="300"/>
      <c r="F76" s="300"/>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4" priority="4" operator="lessThan">
      <formula>22105</formula>
    </cfRule>
  </conditionalFormatting>
  <conditionalFormatting sqref="C8:C55">
    <cfRule type="cellIs" dxfId="3" priority="3" operator="lessThan">
      <formula>1</formula>
    </cfRule>
  </conditionalFormatting>
  <conditionalFormatting sqref="C8:F55">
    <cfRule type="cellIs" dxfId="2"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77"/>
  <sheetViews>
    <sheetView view="pageBreakPreview" topLeftCell="A3" zoomScale="85" zoomScaleNormal="100" zoomScaleSheetLayoutView="85" workbookViewId="0">
      <selection activeCell="A7" sqref="A7:F57"/>
    </sheetView>
  </sheetViews>
  <sheetFormatPr defaultColWidth="9.140625" defaultRowHeight="15" outlineLevelCol="1" x14ac:dyDescent="0.25"/>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x14ac:dyDescent="0.25"/>
    <row r="2" spans="1:16" ht="6" customHeight="1" x14ac:dyDescent="0.25">
      <c r="A2" s="37"/>
      <c r="B2" s="37"/>
      <c r="C2" s="37"/>
      <c r="D2" s="37"/>
      <c r="E2" s="253"/>
      <c r="F2" s="253"/>
      <c r="G2" s="20"/>
    </row>
    <row r="3" spans="1:16" ht="57.75" customHeight="1" x14ac:dyDescent="0.25">
      <c r="A3" s="37"/>
      <c r="B3" s="37"/>
      <c r="C3" s="37"/>
      <c r="D3" s="37"/>
      <c r="E3" s="316" t="str">
        <f>""&amp;'Общие данные'!B74&amp;" 
"&amp;'Общие данные'!B65&amp;" shartnomasiga 
1 sonli ilova"</f>
        <v>5 mart 2026 y.dan №194-TR 
mikroqarz shartnomasiga 
1 sonli ilova</v>
      </c>
      <c r="F3" s="316"/>
      <c r="G3" s="20"/>
    </row>
    <row r="4" spans="1:16" ht="6.75" hidden="1" customHeight="1" x14ac:dyDescent="0.25">
      <c r="A4" s="37"/>
      <c r="B4" s="37"/>
      <c r="C4" s="37"/>
      <c r="D4" s="37"/>
      <c r="E4" s="37"/>
      <c r="F4" s="37"/>
    </row>
    <row r="5" spans="1:16" x14ac:dyDescent="0.25">
      <c r="A5" s="254" t="s">
        <v>260</v>
      </c>
      <c r="B5" s="254"/>
      <c r="C5" s="254"/>
      <c r="D5" s="254"/>
      <c r="E5" s="254"/>
      <c r="F5" s="254"/>
    </row>
    <row r="6" spans="1:16" ht="7.5" customHeight="1" x14ac:dyDescent="0.25"/>
    <row r="7" spans="1:16" ht="15" customHeight="1" x14ac:dyDescent="0.25">
      <c r="A7" s="255" t="s">
        <v>14</v>
      </c>
      <c r="B7" s="256" t="s">
        <v>261</v>
      </c>
      <c r="C7" s="256" t="s">
        <v>262</v>
      </c>
      <c r="D7" s="257" t="s">
        <v>263</v>
      </c>
      <c r="E7" s="257"/>
      <c r="F7" s="257"/>
    </row>
    <row r="8" spans="1:16" s="16" customFormat="1" x14ac:dyDescent="0.25">
      <c r="A8" s="255"/>
      <c r="B8" s="256"/>
      <c r="C8" s="256"/>
      <c r="D8" s="17" t="s">
        <v>264</v>
      </c>
      <c r="E8" s="17" t="s">
        <v>265</v>
      </c>
      <c r="F8" s="17" t="s">
        <v>266</v>
      </c>
    </row>
    <row r="9" spans="1:16" x14ac:dyDescent="0.25">
      <c r="A9" s="18">
        <v>1</v>
      </c>
      <c r="B9" s="33">
        <f>IF('График дифференц'!B8=FALSE,"",'График дифференц'!B8)</f>
        <v>46118</v>
      </c>
      <c r="C9" s="34">
        <f>IF('Общие данные'!$B$77='Общие данные'!$C$77,'График дифференц'!C8,IF('Общие данные'!$B$77='Общие данные'!$D$77,'График аннуитет.'!C8))</f>
        <v>60000000</v>
      </c>
      <c r="D9" s="34">
        <f>IF('Общие данные'!$B$77='Общие данные'!$C$77,'График дифференц'!D8,IF('Общие данные'!$B$77='Общие данные'!$D$77,'График аннуитет.'!D8))</f>
        <v>826849.2799999998</v>
      </c>
      <c r="E9" s="34">
        <f>IF('Общие данные'!$B$77='Общие данные'!$C$77,'График дифференц'!E8,IF('Общие данные'!$B$77='Общие данные'!$D$77,'График аннуитет.'!E8))</f>
        <v>2893150.72</v>
      </c>
      <c r="F9" s="34">
        <f>IF('Общие данные'!$B$77='Общие данные'!$C$77,'График дифференц'!F8,IF('Общие данные'!$B$77='Общие данные'!$D$77,'График аннуитет.'!F8))</f>
        <v>3720000</v>
      </c>
    </row>
    <row r="10" spans="1:16" x14ac:dyDescent="0.25">
      <c r="A10" s="18">
        <v>2</v>
      </c>
      <c r="B10" s="33">
        <f>IF('График дифференц'!B9=FALSE,"",'График дифференц'!B9)</f>
        <v>46147</v>
      </c>
      <c r="C10" s="34">
        <f>IF('Общие данные'!$B$77='Общие данные'!$C$77,'График дифференц'!C9,IF('Общие данные'!$B$77='Общие данные'!$D$77,'График аннуитет.'!C9))</f>
        <v>59173150.719999999</v>
      </c>
      <c r="D10" s="34">
        <f>IF('Общие данные'!$B$77='Общие данные'!$C$77,'График дифференц'!D9,IF('Общие данные'!$B$77='Общие данные'!$D$77,'График аннуитет.'!D9))</f>
        <v>1134214.42</v>
      </c>
      <c r="E10" s="34">
        <f>IF('Общие данные'!$B$77='Общие данные'!$C$77,'График дифференц'!E9,IF('Общие данные'!$B$77='Общие данные'!$D$77,'График аннуитет.'!E9))</f>
        <v>2585785.58</v>
      </c>
      <c r="F10" s="34">
        <f>IF('Общие данные'!$B$77='Общие данные'!$C$77,'График дифференц'!F9,IF('Общие данные'!$B$77='Общие данные'!$D$77,'График аннуитет.'!F9))</f>
        <v>3720000</v>
      </c>
    </row>
    <row r="11" spans="1:16" x14ac:dyDescent="0.25">
      <c r="A11" s="18">
        <v>3</v>
      </c>
      <c r="B11" s="33">
        <f>IF('График дифференц'!B10=FALSE,"",'График дифференц'!B10)</f>
        <v>46178</v>
      </c>
      <c r="C11" s="34">
        <f>IF('Общие данные'!$B$77='Общие данные'!$C$77,'График дифференц'!C10,IF('Общие данные'!$B$77='Общие данные'!$D$77,'График аннуитет.'!C10))</f>
        <v>58038936.299999997</v>
      </c>
      <c r="D11" s="34">
        <f>IF('Общие данные'!$B$77='Общие данные'!$C$77,'График дифференц'!D10,IF('Общие данные'!$B$77='Общие данные'!$D$77,'График аннуитет.'!D10))</f>
        <v>1008866.1700000004</v>
      </c>
      <c r="E11" s="34">
        <f>IF('Общие данные'!$B$77='Общие данные'!$C$77,'График дифференц'!E10,IF('Общие данные'!$B$77='Общие данные'!$D$77,'График аннуитет.'!E10))</f>
        <v>2711133.8299999996</v>
      </c>
      <c r="F11" s="34">
        <f>IF('Общие данные'!$B$77='Общие данные'!$C$77,'График дифференц'!F10,IF('Общие данные'!$B$77='Общие данные'!$D$77,'График аннуитет.'!F10))</f>
        <v>3720000</v>
      </c>
    </row>
    <row r="12" spans="1:16" x14ac:dyDescent="0.25">
      <c r="A12" s="18">
        <v>4</v>
      </c>
      <c r="B12" s="33">
        <f>IF('График дифференц'!B11=FALSE,"",'График дифференц'!B11)</f>
        <v>46209</v>
      </c>
      <c r="C12" s="34">
        <f>IF('Общие данные'!$B$77='Общие данные'!$C$77,'График дифференц'!C11,IF('Общие данные'!$B$77='Общие данные'!$D$77,'График аннуитет.'!C11))</f>
        <v>57030070.129999995</v>
      </c>
      <c r="D12" s="34">
        <f>IF('Общие данные'!$B$77='Общие данные'!$C$77,'График дифференц'!D11,IF('Общие данные'!$B$77='Общие данные'!$D$77,'График аннуитет.'!D11))</f>
        <v>1055992.6800000002</v>
      </c>
      <c r="E12" s="34">
        <f>IF('Общие данные'!$B$77='Общие данные'!$C$77,'График дифференц'!E11,IF('Общие данные'!$B$77='Общие данные'!$D$77,'График аннуитет.'!E11))</f>
        <v>2664007.3199999998</v>
      </c>
      <c r="F12" s="34">
        <f>IF('Общие данные'!$B$77='Общие данные'!$C$77,'График дифференц'!F11,IF('Общие данные'!$B$77='Общие данные'!$D$77,'График аннуитет.'!F11))</f>
        <v>3720000</v>
      </c>
      <c r="H12" s="314" t="s">
        <v>369</v>
      </c>
      <c r="I12" s="314"/>
      <c r="J12" s="314"/>
      <c r="K12" s="314"/>
      <c r="L12" s="314"/>
      <c r="M12" s="314"/>
      <c r="N12" s="314"/>
      <c r="O12" s="314"/>
      <c r="P12" s="314"/>
    </row>
    <row r="13" spans="1:16" x14ac:dyDescent="0.25">
      <c r="A13" s="18">
        <v>5</v>
      </c>
      <c r="B13" s="33">
        <f>IF('График дифференц'!B12=FALSE,"",'График дифференц'!B12)</f>
        <v>46239</v>
      </c>
      <c r="C13" s="34">
        <f>IF('Общие данные'!$B$77='Общие данные'!$C$77,'График дифференц'!C12,IF('Общие данные'!$B$77='Общие данные'!$D$77,'График аннуитет.'!C12))</f>
        <v>55974077.449999996</v>
      </c>
      <c r="D13" s="34">
        <f>IF('Общие данные'!$B$77='Общие данные'!$C$77,'График дифференц'!D12,IF('Общие данные'!$B$77='Общие данные'!$D$77,'График аннуитет.'!D12))</f>
        <v>1189665</v>
      </c>
      <c r="E13" s="34">
        <f>IF('Общие данные'!$B$77='Общие данные'!$C$77,'График дифференц'!E12,IF('Общие данные'!$B$77='Общие данные'!$D$77,'График аннуитет.'!E12))</f>
        <v>2530335</v>
      </c>
      <c r="F13" s="34">
        <f>IF('Общие данные'!$B$77='Общие данные'!$C$77,'График дифференц'!F12,IF('Общие данные'!$B$77='Общие данные'!$D$77,'График аннуитет.'!F12))</f>
        <v>3720000</v>
      </c>
      <c r="H13" s="314"/>
      <c r="I13" s="314"/>
      <c r="J13" s="314"/>
      <c r="K13" s="314"/>
      <c r="L13" s="314"/>
      <c r="M13" s="314"/>
      <c r="N13" s="314"/>
      <c r="O13" s="314"/>
      <c r="P13" s="314"/>
    </row>
    <row r="14" spans="1:16" x14ac:dyDescent="0.25">
      <c r="A14" s="18">
        <v>6</v>
      </c>
      <c r="B14" s="33">
        <f>IF('График дифференц'!B13=FALSE,"",'График дифференц'!B13)</f>
        <v>46272</v>
      </c>
      <c r="C14" s="34">
        <f>IF('Общие данные'!$B$77='Общие данные'!$C$77,'График дифференц'!C13,IF('Общие данные'!$B$77='Общие данные'!$D$77,'График аннуитет.'!C13))</f>
        <v>54784412.449999996</v>
      </c>
      <c r="D14" s="34">
        <f>IF('Общие данные'!$B$77='Общие данные'!$C$77,'График дифференц'!D13,IF('Общие данные'!$B$77='Общие данные'!$D$77,'График аннуитет.'!D13))</f>
        <v>995788.94999999972</v>
      </c>
      <c r="E14" s="34">
        <f>IF('Общие данные'!$B$77='Общие данные'!$C$77,'График дифференц'!E13,IF('Общие данные'!$B$77='Общие данные'!$D$77,'График аннуитет.'!E13))</f>
        <v>2724211.0500000003</v>
      </c>
      <c r="F14" s="34">
        <f>IF('Общие данные'!$B$77='Общие данные'!$C$77,'График дифференц'!F13,IF('Общие данные'!$B$77='Общие данные'!$D$77,'График аннуитет.'!F13))</f>
        <v>3720000</v>
      </c>
      <c r="H14" s="314"/>
      <c r="I14" s="314"/>
      <c r="J14" s="314"/>
      <c r="K14" s="314"/>
      <c r="L14" s="314"/>
      <c r="M14" s="314"/>
      <c r="N14" s="314"/>
      <c r="O14" s="314"/>
      <c r="P14" s="314"/>
    </row>
    <row r="15" spans="1:16" x14ac:dyDescent="0.25">
      <c r="A15" s="18">
        <v>7</v>
      </c>
      <c r="B15" s="33">
        <f>IF('График дифференц'!B14=FALSE,"",'График дифференц'!B14)</f>
        <v>46300</v>
      </c>
      <c r="C15" s="34">
        <f>IF('Общие данные'!$B$77='Общие данные'!$C$77,'График дифференц'!C14,IF('Общие данные'!$B$77='Общие данные'!$D$77,'График аннуитет.'!C14))</f>
        <v>53788623.499999993</v>
      </c>
      <c r="D15" s="34">
        <f>IF('Общие данные'!$B$77='Общие данные'!$C$77,'График дифференц'!D14,IF('Общие данные'!$B$77='Общие данные'!$D$77,'График аннуитет.'!D14))</f>
        <v>1450562.1999999997</v>
      </c>
      <c r="E15" s="34">
        <f>IF('Общие данные'!$B$77='Общие данные'!$C$77,'График дифференц'!E14,IF('Общие данные'!$B$77='Общие данные'!$D$77,'График аннуитет.'!E14))</f>
        <v>2269437.8000000003</v>
      </c>
      <c r="F15" s="34">
        <f>IF('Общие данные'!$B$77='Общие данные'!$C$77,'График дифференц'!F14,IF('Общие данные'!$B$77='Общие данные'!$D$77,'График аннуитет.'!F14))</f>
        <v>3720000</v>
      </c>
      <c r="H15" s="314"/>
      <c r="I15" s="314"/>
      <c r="J15" s="314"/>
      <c r="K15" s="314"/>
      <c r="L15" s="314"/>
      <c r="M15" s="314"/>
      <c r="N15" s="314"/>
      <c r="O15" s="314"/>
      <c r="P15" s="314"/>
    </row>
    <row r="16" spans="1:16" x14ac:dyDescent="0.25">
      <c r="A16" s="18">
        <v>8</v>
      </c>
      <c r="B16" s="33">
        <f>IF('График дифференц'!B15=FALSE,"",'График дифференц'!B15)</f>
        <v>46331</v>
      </c>
      <c r="C16" s="34">
        <f>IF('Общие данные'!$B$77='Общие данные'!$C$77,'График дифференц'!C15,IF('Общие данные'!$B$77='Общие данные'!$D$77,'График аннуитет.'!C15))</f>
        <v>52338061.29999999</v>
      </c>
      <c r="D16" s="34">
        <f>IF('Общие данные'!$B$77='Общие данные'!$C$77,'График дифференц'!D15,IF('Общие данные'!$B$77='Общие данные'!$D$77,'График аннуитет.'!D15))</f>
        <v>1275167.3299999996</v>
      </c>
      <c r="E16" s="34">
        <f>IF('Общие данные'!$B$77='Общие данные'!$C$77,'График дифференц'!E15,IF('Общие данные'!$B$77='Общие данные'!$D$77,'График аннуитет.'!E15))</f>
        <v>2444832.6700000004</v>
      </c>
      <c r="F16" s="34">
        <f>IF('Общие данные'!$B$77='Общие данные'!$C$77,'График дифференц'!F15,IF('Общие данные'!$B$77='Общие данные'!$D$77,'График аннуитет.'!F15))</f>
        <v>3720000</v>
      </c>
      <c r="H16" s="314"/>
      <c r="I16" s="314"/>
      <c r="J16" s="314"/>
      <c r="K16" s="314"/>
      <c r="L16" s="314"/>
      <c r="M16" s="314"/>
      <c r="N16" s="314"/>
      <c r="O16" s="314"/>
      <c r="P16" s="314"/>
    </row>
    <row r="17" spans="1:16" x14ac:dyDescent="0.25">
      <c r="A17" s="18">
        <v>9</v>
      </c>
      <c r="B17" s="33">
        <f>IF('График дифференц'!B16=FALSE,"",'График дифференц'!B16)</f>
        <v>46363</v>
      </c>
      <c r="C17" s="34">
        <f>IF('Общие данные'!$B$77='Общие данные'!$C$77,'График дифференц'!C16,IF('Общие данные'!$B$77='Общие данные'!$D$77,'График аннуитет.'!C16))</f>
        <v>51062893.969999991</v>
      </c>
      <c r="D17" s="34">
        <f>IF('Общие данные'!$B$77='Общие данные'!$C$77,'График дифференц'!D16,IF('Общие данные'!$B$77='Общие данные'!$D$77,'График аннуитет.'!D16))</f>
        <v>1257789.1200000001</v>
      </c>
      <c r="E17" s="34">
        <f>IF('Общие данные'!$B$77='Общие данные'!$C$77,'График дифференц'!E16,IF('Общие данные'!$B$77='Общие данные'!$D$77,'График аннуитет.'!E16))</f>
        <v>2462210.88</v>
      </c>
      <c r="F17" s="34">
        <f>IF('Общие данные'!$B$77='Общие данные'!$C$77,'График дифференц'!F16,IF('Общие данные'!$B$77='Общие данные'!$D$77,'График аннуитет.'!F16))</f>
        <v>3720000</v>
      </c>
      <c r="H17" s="314"/>
      <c r="I17" s="314"/>
      <c r="J17" s="314"/>
      <c r="K17" s="314"/>
      <c r="L17" s="314"/>
      <c r="M17" s="314"/>
      <c r="N17" s="314"/>
      <c r="O17" s="314"/>
      <c r="P17" s="314"/>
    </row>
    <row r="18" spans="1:16" x14ac:dyDescent="0.25">
      <c r="A18" s="18">
        <v>10</v>
      </c>
      <c r="B18" s="33">
        <f>IF('График дифференц'!B17=FALSE,"",'График дифференц'!B17)</f>
        <v>46392</v>
      </c>
      <c r="C18" s="34">
        <f>IF('Общие данные'!$B$77='Общие данные'!$C$77,'График дифференц'!C17,IF('Общие данные'!$B$77='Общие данные'!$D$77,'График аннуитет.'!C17))</f>
        <v>49805104.849999994</v>
      </c>
      <c r="D18" s="34">
        <f>IF('Общие данные'!$B$77='Общие данные'!$C$77,'График дифференц'!D17,IF('Общие данные'!$B$77='Общие данные'!$D$77,'График аннуитет.'!D17))</f>
        <v>1543585.0900000003</v>
      </c>
      <c r="E18" s="34">
        <f>IF('Общие данные'!$B$77='Общие данные'!$C$77,'График дифференц'!E17,IF('Общие данные'!$B$77='Общие данные'!$D$77,'График аннуитет.'!E17))</f>
        <v>2176414.9099999997</v>
      </c>
      <c r="F18" s="34">
        <f>IF('Общие данные'!$B$77='Общие данные'!$C$77,'График дифференц'!F17,IF('Общие данные'!$B$77='Общие данные'!$D$77,'График аннуитет.'!F17))</f>
        <v>3720000</v>
      </c>
      <c r="H18" s="314"/>
      <c r="I18" s="314"/>
      <c r="J18" s="314"/>
      <c r="K18" s="314"/>
      <c r="L18" s="314"/>
      <c r="M18" s="314"/>
      <c r="N18" s="314"/>
      <c r="O18" s="314"/>
      <c r="P18" s="314"/>
    </row>
    <row r="19" spans="1:16" x14ac:dyDescent="0.25">
      <c r="A19" s="18">
        <v>11</v>
      </c>
      <c r="B19" s="33">
        <f>IF('График дифференц'!B18=FALSE,"",'График дифференц'!B18)</f>
        <v>46423</v>
      </c>
      <c r="C19" s="34">
        <f>IF('Общие данные'!$B$77='Общие данные'!$C$77,'График дифференц'!C18,IF('Общие данные'!$B$77='Общие данные'!$D$77,'График аннуитет.'!C18))</f>
        <v>48261519.75999999</v>
      </c>
      <c r="D19" s="34">
        <f>IF('Общие данные'!$B$77='Общие данные'!$C$77,'График дифференц'!D18,IF('Общие данные'!$B$77='Общие данные'!$D$77,'График аннуитет.'!D18))</f>
        <v>1465591.96</v>
      </c>
      <c r="E19" s="34">
        <f>IF('Общие данные'!$B$77='Общие данные'!$C$77,'График дифференц'!E18,IF('Общие данные'!$B$77='Общие данные'!$D$77,'График аннуитет.'!E18))</f>
        <v>2254408.04</v>
      </c>
      <c r="F19" s="34">
        <f>IF('Общие данные'!$B$77='Общие данные'!$C$77,'График дифференц'!F18,IF('Общие данные'!$B$77='Общие данные'!$D$77,'График аннуитет.'!F18))</f>
        <v>3720000</v>
      </c>
      <c r="H19" s="314"/>
      <c r="I19" s="314"/>
      <c r="J19" s="314"/>
      <c r="K19" s="314"/>
      <c r="L19" s="314"/>
      <c r="M19" s="314"/>
      <c r="N19" s="314"/>
      <c r="O19" s="314"/>
      <c r="P19" s="314"/>
    </row>
    <row r="20" spans="1:16" x14ac:dyDescent="0.25">
      <c r="A20" s="18">
        <v>12</v>
      </c>
      <c r="B20" s="33">
        <f>IF('График дифференц'!B19=FALSE,"",'График дифференц'!B19)</f>
        <v>46451</v>
      </c>
      <c r="C20" s="34">
        <f>IF('Общие данные'!$B$77='Общие данные'!$C$77,'График дифференц'!C19,IF('Общие данные'!$B$77='Общие данные'!$D$77,'График аннуитет.'!C19))</f>
        <v>46795927.79999999</v>
      </c>
      <c r="D20" s="34">
        <f>IF('Общие данные'!$B$77='Общие данные'!$C$77,'График дифференц'!D19,IF('Общие данные'!$B$77='Общие данные'!$D$77,'График аннуитет.'!D19))</f>
        <v>1745596.52</v>
      </c>
      <c r="E20" s="34">
        <f>IF('Общие данные'!$B$77='Общие данные'!$C$77,'График дифференц'!E19,IF('Общие данные'!$B$77='Общие данные'!$D$77,'График аннуитет.'!E19))</f>
        <v>1974403.48</v>
      </c>
      <c r="F20" s="34">
        <f>IF('Общие данные'!$B$77='Общие данные'!$C$77,'График дифференц'!F19,IF('Общие данные'!$B$77='Общие данные'!$D$77,'График аннуитет.'!F19))</f>
        <v>3720000</v>
      </c>
      <c r="H20" s="314"/>
      <c r="I20" s="314"/>
      <c r="J20" s="314"/>
      <c r="K20" s="314"/>
      <c r="L20" s="314"/>
      <c r="M20" s="314"/>
      <c r="N20" s="314"/>
      <c r="O20" s="314"/>
      <c r="P20" s="314"/>
    </row>
    <row r="21" spans="1:16" x14ac:dyDescent="0.25">
      <c r="A21" s="18">
        <v>13</v>
      </c>
      <c r="B21" s="33">
        <f>IF('График дифференц'!B20=FALSE,"",'График дифференц'!B20)</f>
        <v>46482</v>
      </c>
      <c r="C21" s="34">
        <f>IF('Общие данные'!$B$77='Общие данные'!$C$77,'График дифференц'!C20,IF('Общие данные'!$B$77='Общие данные'!$D$77,'График аннуитет.'!C20))</f>
        <v>45050331.279999986</v>
      </c>
      <c r="D21" s="34">
        <f>IF('Общие данные'!$B$77='Общие данные'!$C$77,'График дифференц'!D20,IF('Общие данные'!$B$77='Общие данные'!$D$77,'График аннуитет.'!D20))</f>
        <v>1615594.1400000001</v>
      </c>
      <c r="E21" s="34">
        <f>IF('Общие данные'!$B$77='Общие данные'!$C$77,'График дифференц'!E20,IF('Общие данные'!$B$77='Общие данные'!$D$77,'График аннуитет.'!E20))</f>
        <v>2104405.86</v>
      </c>
      <c r="F21" s="34">
        <f>IF('Общие данные'!$B$77='Общие данные'!$C$77,'График дифференц'!F20,IF('Общие данные'!$B$77='Общие данные'!$D$77,'График аннуитет.'!F20))</f>
        <v>3720000</v>
      </c>
      <c r="H21" s="314"/>
      <c r="I21" s="314"/>
      <c r="J21" s="314"/>
      <c r="K21" s="314"/>
      <c r="L21" s="314"/>
      <c r="M21" s="314"/>
      <c r="N21" s="314"/>
      <c r="O21" s="314"/>
      <c r="P21" s="314"/>
    </row>
    <row r="22" spans="1:16" x14ac:dyDescent="0.25">
      <c r="A22" s="18">
        <v>14</v>
      </c>
      <c r="B22" s="33">
        <f>IF('График дифференц'!B21=FALSE,"",'График дифференц'!B21)</f>
        <v>46512</v>
      </c>
      <c r="C22" s="34">
        <f>IF('Общие данные'!$B$77='Общие данные'!$C$77,'График дифференц'!C21,IF('Общие данные'!$B$77='Общие данные'!$D$77,'График аннуитет.'!C21))</f>
        <v>43434737.139999986</v>
      </c>
      <c r="D22" s="34">
        <f>IF('Общие данные'!$B$77='Общие данные'!$C$77,'График дифференц'!D21,IF('Общие данные'!$B$77='Общие данные'!$D$77,'График аннуитет.'!D21))</f>
        <v>1756512</v>
      </c>
      <c r="E22" s="34">
        <f>IF('Общие данные'!$B$77='Общие данные'!$C$77,'График дифференц'!E21,IF('Общие данные'!$B$77='Общие данные'!$D$77,'График аннуитет.'!E21))</f>
        <v>1963488</v>
      </c>
      <c r="F22" s="34">
        <f>IF('Общие данные'!$B$77='Общие данные'!$C$77,'График дифференц'!F21,IF('Общие данные'!$B$77='Общие данные'!$D$77,'График аннуитет.'!F21))</f>
        <v>3720000</v>
      </c>
      <c r="H22" s="314"/>
      <c r="I22" s="314"/>
      <c r="J22" s="314"/>
      <c r="K22" s="314"/>
      <c r="L22" s="314"/>
      <c r="M22" s="314"/>
      <c r="N22" s="314"/>
      <c r="O22" s="314"/>
      <c r="P22" s="314"/>
    </row>
    <row r="23" spans="1:16" x14ac:dyDescent="0.25">
      <c r="A23" s="18">
        <v>15</v>
      </c>
      <c r="B23" s="33">
        <f>IF('График дифференц'!B22=FALSE,"",'График дифференц'!B22)</f>
        <v>46545</v>
      </c>
      <c r="C23" s="34">
        <f>IF('Общие данные'!$B$77='Общие данные'!$C$77,'График дифференц'!C22,IF('Общие данные'!$B$77='Общие данные'!$D$77,'График аннуитет.'!C22))</f>
        <v>41678225.139999986</v>
      </c>
      <c r="D23" s="34">
        <f>IF('Общие данные'!$B$77='Общие данные'!$C$77,'График дифференц'!D22,IF('Общие данные'!$B$77='Общие данные'!$D$77,'График аннуитет.'!D22))</f>
        <v>1647507.27</v>
      </c>
      <c r="E23" s="34">
        <f>IF('Общие данные'!$B$77='Общие данные'!$C$77,'График дифференц'!E22,IF('Общие данные'!$B$77='Общие данные'!$D$77,'График аннуитет.'!E22))</f>
        <v>2072492.73</v>
      </c>
      <c r="F23" s="34">
        <f>IF('Общие данные'!$B$77='Общие данные'!$C$77,'График дифференц'!F22,IF('Общие данные'!$B$77='Общие данные'!$D$77,'График аннуитет.'!F22))</f>
        <v>3720000</v>
      </c>
      <c r="H23" s="314"/>
      <c r="I23" s="314"/>
      <c r="J23" s="314"/>
      <c r="K23" s="314"/>
      <c r="L23" s="314"/>
      <c r="M23" s="314"/>
      <c r="N23" s="314"/>
      <c r="O23" s="314"/>
      <c r="P23" s="314"/>
    </row>
    <row r="24" spans="1:16" x14ac:dyDescent="0.25">
      <c r="A24" s="18">
        <v>16</v>
      </c>
      <c r="B24" s="33">
        <f>IF('График дифференц'!B23=FALSE,"",'График дифференц'!B23)</f>
        <v>46573</v>
      </c>
      <c r="C24" s="34">
        <f>IF('Общие данные'!$B$77='Общие данные'!$C$77,'График дифференц'!C23,IF('Общие данные'!$B$77='Общие данные'!$D$77,'График аннуитет.'!C23))</f>
        <v>40030717.869999982</v>
      </c>
      <c r="D24" s="34">
        <f>IF('Общие данные'!$B$77='Общие данные'!$C$77,'График дифференц'!D23,IF('Общие данные'!$B$77='Общие данные'!$D$77,'График аннуитет.'!D23))</f>
        <v>2031032.72</v>
      </c>
      <c r="E24" s="34">
        <f>IF('Общие данные'!$B$77='Общие данные'!$C$77,'График дифференц'!E23,IF('Общие данные'!$B$77='Общие данные'!$D$77,'График аннуитет.'!E23))</f>
        <v>1688967.28</v>
      </c>
      <c r="F24" s="34">
        <f>IF('Общие данные'!$B$77='Общие данные'!$C$77,'График дифференц'!F23,IF('Общие данные'!$B$77='Общие данные'!$D$77,'График аннуитет.'!F23))</f>
        <v>3720000</v>
      </c>
      <c r="H24" s="314"/>
      <c r="I24" s="314"/>
      <c r="J24" s="314"/>
      <c r="K24" s="314"/>
      <c r="L24" s="314"/>
      <c r="M24" s="314"/>
      <c r="N24" s="314"/>
      <c r="O24" s="314"/>
      <c r="P24" s="314"/>
    </row>
    <row r="25" spans="1:16" x14ac:dyDescent="0.25">
      <c r="A25" s="18">
        <v>17</v>
      </c>
      <c r="B25" s="33">
        <f>IF('График дифференц'!B24=FALSE,"",'График дифференц'!B24)</f>
        <v>46604</v>
      </c>
      <c r="C25" s="34">
        <f>IF('Общие данные'!$B$77='Общие данные'!$C$77,'График дифференц'!C24,IF('Общие данные'!$B$77='Общие данные'!$D$77,'График аннуитет.'!C24))</f>
        <v>37999685.149999984</v>
      </c>
      <c r="D25" s="34">
        <f>IF('Общие данные'!$B$77='Общие данные'!$C$77,'График дифференц'!D24,IF('Общие данные'!$B$77='Общие данные'!$D$77,'График аннуитет.'!D24))</f>
        <v>1944946.2</v>
      </c>
      <c r="E25" s="34">
        <f>IF('Общие данные'!$B$77='Общие данные'!$C$77,'График дифференц'!E24,IF('Общие данные'!$B$77='Общие данные'!$D$77,'График аннуитет.'!E24))</f>
        <v>1775053.8</v>
      </c>
      <c r="F25" s="34">
        <f>IF('Общие данные'!$B$77='Общие данные'!$C$77,'График дифференц'!F24,IF('Общие данные'!$B$77='Общие данные'!$D$77,'График аннуитет.'!F24))</f>
        <v>3720000</v>
      </c>
    </row>
    <row r="26" spans="1:16" x14ac:dyDescent="0.25">
      <c r="A26" s="18">
        <v>18</v>
      </c>
      <c r="B26" s="33">
        <f>IF('График дифференц'!B25=FALSE,"",'График дифференц'!B25)</f>
        <v>46636</v>
      </c>
      <c r="C26" s="34">
        <f>IF('Общие данные'!$B$77='Общие данные'!$C$77,'График дифференц'!C25,IF('Общие данные'!$B$77='Общие данные'!$D$77,'График аннуитет.'!C25))</f>
        <v>36054738.949999981</v>
      </c>
      <c r="D26" s="34">
        <f>IF('Общие данные'!$B$77='Общие данные'!$C$77,'График дифференц'!D25,IF('Общие данные'!$B$77='Общие данные'!$D$77,'График аннуитет.'!D25))</f>
        <v>1981470.08</v>
      </c>
      <c r="E26" s="34">
        <f>IF('Общие данные'!$B$77='Общие данные'!$C$77,'График дифференц'!E25,IF('Общие данные'!$B$77='Общие данные'!$D$77,'График аннуитет.'!E25))</f>
        <v>1738529.92</v>
      </c>
      <c r="F26" s="34">
        <f>IF('Общие данные'!$B$77='Общие данные'!$C$77,'График дифференц'!F25,IF('Общие данные'!$B$77='Общие данные'!$D$77,'График аннуитет.'!F25))</f>
        <v>3720000</v>
      </c>
    </row>
    <row r="27" spans="1:16" x14ac:dyDescent="0.25">
      <c r="A27" s="18">
        <f>1+A26</f>
        <v>19</v>
      </c>
      <c r="B27" s="33">
        <f>IF('График дифференц'!B26=FALSE,"",'График дифференц'!B26)</f>
        <v>46665</v>
      </c>
      <c r="C27" s="34">
        <f>IF('Общие данные'!$B$77='Общие данные'!$C$77,'График дифференц'!C26,IF('Общие данные'!$B$77='Общие данные'!$D$77,'График аннуитет.'!C26))</f>
        <v>34073268.869999982</v>
      </c>
      <c r="D27" s="34">
        <f>IF('Общие данные'!$B$77='Общие данные'!$C$77,'График дифференц'!D26,IF('Общие данные'!$B$77='Общие данные'!$D$77,'График аннуитет.'!D26))</f>
        <v>2231044.88</v>
      </c>
      <c r="E27" s="34">
        <f>IF('Общие данные'!$B$77='Общие данные'!$C$77,'График дифференц'!E26,IF('Общие данные'!$B$77='Общие данные'!$D$77,'График аннуитет.'!E26))</f>
        <v>1488955.1199999999</v>
      </c>
      <c r="F27" s="34">
        <f>IF('Общие данные'!$B$77='Общие данные'!$C$77,'График дифференц'!F26,IF('Общие данные'!$B$77='Общие данные'!$D$77,'График аннуитет.'!F26))</f>
        <v>3720000</v>
      </c>
    </row>
    <row r="28" spans="1:16" x14ac:dyDescent="0.25">
      <c r="A28" s="18">
        <f t="shared" ref="A28:A43" si="0">1+A27</f>
        <v>20</v>
      </c>
      <c r="B28" s="33">
        <f>IF('График дифференц'!B27=FALSE,"",'График дифференц'!B27)</f>
        <v>46696</v>
      </c>
      <c r="C28" s="34">
        <f>IF('Общие данные'!$B$77='Общие данные'!$C$77,'График дифференц'!C27,IF('Общие данные'!$B$77='Общие данные'!$D$77,'График аннуитет.'!C27))</f>
        <v>31842223.989999983</v>
      </c>
      <c r="D28" s="34">
        <f>IF('Общие данные'!$B$77='Общие данные'!$C$77,'График дифференц'!D27,IF('Общие данные'!$B$77='Общие данные'!$D$77,'График аннуитет.'!D27))</f>
        <v>2232575.67</v>
      </c>
      <c r="E28" s="34">
        <f>IF('Общие данные'!$B$77='Общие данные'!$C$77,'График дифференц'!E27,IF('Общие данные'!$B$77='Общие данные'!$D$77,'График аннуитет.'!E27))</f>
        <v>1487424.33</v>
      </c>
      <c r="F28" s="34">
        <f>IF('Общие данные'!$B$77='Общие данные'!$C$77,'График дифференц'!F27,IF('Общие данные'!$B$77='Общие данные'!$D$77,'График аннуитет.'!F27))</f>
        <v>3720000</v>
      </c>
    </row>
    <row r="29" spans="1:16" x14ac:dyDescent="0.25">
      <c r="A29" s="18">
        <f t="shared" si="0"/>
        <v>21</v>
      </c>
      <c r="B29" s="33">
        <f>IF('График дифференц'!B28=FALSE,"",'График дифференц'!B28)</f>
        <v>46727</v>
      </c>
      <c r="C29" s="34">
        <f>IF('Общие данные'!$B$77='Общие данные'!$C$77,'График дифференц'!C28,IF('Общие данные'!$B$77='Общие данные'!$D$77,'График аннуитет.'!C28))</f>
        <v>29609648.319999985</v>
      </c>
      <c r="D29" s="34">
        <f>IF('Общие данные'!$B$77='Общие данные'!$C$77,'График дифференц'!D28,IF('Общие данные'!$B$77='Общие данные'!$D$77,'График аннуитет.'!D28))</f>
        <v>2336864.3200000003</v>
      </c>
      <c r="E29" s="34">
        <f>IF('Общие данные'!$B$77='Общие данные'!$C$77,'График дифференц'!E28,IF('Общие данные'!$B$77='Общие данные'!$D$77,'График аннуитет.'!E28))</f>
        <v>1383135.68</v>
      </c>
      <c r="F29" s="34">
        <f>IF('Общие данные'!$B$77='Общие данные'!$C$77,'График дифференц'!F28,IF('Общие данные'!$B$77='Общие данные'!$D$77,'График аннуитет.'!F28))</f>
        <v>3720000</v>
      </c>
    </row>
    <row r="30" spans="1:16" x14ac:dyDescent="0.25">
      <c r="A30" s="18">
        <f t="shared" si="0"/>
        <v>22</v>
      </c>
      <c r="B30" s="33">
        <f>IF('График дифференц'!B29=FALSE,"",'График дифференц'!B29)</f>
        <v>46757</v>
      </c>
      <c r="C30" s="34">
        <f>IF('Общие данные'!$B$77='Общие данные'!$C$77,'График дифференц'!C29,IF('Общие данные'!$B$77='Общие данные'!$D$77,'График аннуитет.'!C29))</f>
        <v>27272783.999999985</v>
      </c>
      <c r="D30" s="34">
        <f>IF('Общие данные'!$B$77='Общие данные'!$C$77,'График дифференц'!D29,IF('Общие данные'!$B$77='Общие данные'!$D$77,'График аннуитет.'!D29))</f>
        <v>2490489.2999999998</v>
      </c>
      <c r="E30" s="34">
        <f>IF('Общие данные'!$B$77='Общие данные'!$C$77,'График дифференц'!E29,IF('Общие данные'!$B$77='Общие данные'!$D$77,'График аннуитет.'!E29))</f>
        <v>1229510.7000000002</v>
      </c>
      <c r="F30" s="34">
        <f>IF('Общие данные'!$B$77='Общие данные'!$C$77,'График дифференц'!F29,IF('Общие данные'!$B$77='Общие данные'!$D$77,'График аннуитет.'!F29))</f>
        <v>3720000</v>
      </c>
    </row>
    <row r="31" spans="1:16" x14ac:dyDescent="0.25">
      <c r="A31" s="18">
        <f t="shared" si="0"/>
        <v>23</v>
      </c>
      <c r="B31" s="33">
        <f>IF('График дифференц'!B30=FALSE,"",'График дифференц'!B30)</f>
        <v>46790</v>
      </c>
      <c r="C31" s="34">
        <f>IF('Общие данные'!$B$77='Общие данные'!$C$77,'График дифференц'!C30,IF('Общие данные'!$B$77='Общие данные'!$D$77,'График аннуитет.'!C30))</f>
        <v>24782294.699999984</v>
      </c>
      <c r="D31" s="34">
        <f>IF('Общие данные'!$B$77='Общие данные'!$C$77,'График дифференц'!D30,IF('Общие данные'!$B$77='Общие данные'!$D$77,'График аннуитет.'!D30))</f>
        <v>2491042.0499999998</v>
      </c>
      <c r="E31" s="34">
        <f>IF('Общие данные'!$B$77='Общие данные'!$C$77,'График дифференц'!E30,IF('Общие данные'!$B$77='Общие данные'!$D$77,'График аннуитет.'!E30))</f>
        <v>1228957.95</v>
      </c>
      <c r="F31" s="34">
        <f>IF('Общие данные'!$B$77='Общие данные'!$C$77,'График дифференц'!F30,IF('Общие данные'!$B$77='Общие данные'!$D$77,'График аннуитет.'!F30))</f>
        <v>3720000</v>
      </c>
    </row>
    <row r="32" spans="1:16" x14ac:dyDescent="0.25">
      <c r="A32" s="18">
        <f t="shared" si="0"/>
        <v>24</v>
      </c>
      <c r="B32" s="33">
        <f>IF('График дифференц'!B31=FALSE,"",'График дифференц'!B31)</f>
        <v>46818</v>
      </c>
      <c r="C32" s="34">
        <f>IF('Общие данные'!$B$77='Общие данные'!$C$77,'График дифференц'!C31,IF('Общие данные'!$B$77='Общие данные'!$D$77,'График аннуитет.'!C31))</f>
        <v>22291252.649999984</v>
      </c>
      <c r="D32" s="34">
        <f>IF('Общие данные'!$B$77='Общие данные'!$C$77,'График дифференц'!D31,IF('Общие данные'!$B$77='Общие данные'!$D$77,'График аннуитет.'!D31))</f>
        <v>2782062.16</v>
      </c>
      <c r="E32" s="34">
        <f>IF('Общие данные'!$B$77='Общие данные'!$C$77,'График дифференц'!E31,IF('Общие данные'!$B$77='Общие данные'!$D$77,'График аннуитет.'!E31))</f>
        <v>937937.84</v>
      </c>
      <c r="F32" s="34">
        <f>IF('Общие данные'!$B$77='Общие данные'!$C$77,'График дифференц'!F31,IF('Общие данные'!$B$77='Общие данные'!$D$77,'График аннуитет.'!F31))</f>
        <v>3720000</v>
      </c>
    </row>
    <row r="33" spans="1:6" x14ac:dyDescent="0.25">
      <c r="A33" s="18">
        <f t="shared" si="0"/>
        <v>25</v>
      </c>
      <c r="B33" s="33">
        <f>IF('График дифференц'!B32=FALSE,"",'График дифференц'!B32)</f>
        <v>46848</v>
      </c>
      <c r="C33" s="34">
        <f>IF('Общие данные'!$B$77='Общие данные'!$C$77,'График дифференц'!C32,IF('Общие данные'!$B$77='Общие данные'!$D$77,'График аннуитет.'!C32))</f>
        <v>19509190.489999983</v>
      </c>
      <c r="D33" s="34">
        <f>IF('Общие данные'!$B$77='Общие данные'!$C$77,'График дифференц'!D32,IF('Общие данные'!$B$77='Общие данные'!$D$77,'График аннуитет.'!D32))</f>
        <v>2840487.3</v>
      </c>
      <c r="E33" s="34">
        <f>IF('Общие данные'!$B$77='Общие данные'!$C$77,'График дифференц'!E32,IF('Общие данные'!$B$77='Общие данные'!$D$77,'График аннуитет.'!E32))</f>
        <v>879512.7</v>
      </c>
      <c r="F33" s="34">
        <f>IF('Общие данные'!$B$77='Общие данные'!$C$77,'График дифференц'!F32,IF('Общие данные'!$B$77='Общие данные'!$D$77,'График аннуитет.'!F32))</f>
        <v>3720000</v>
      </c>
    </row>
    <row r="34" spans="1:6" x14ac:dyDescent="0.25">
      <c r="A34" s="18">
        <f t="shared" si="0"/>
        <v>26</v>
      </c>
      <c r="B34" s="33">
        <f>IF('График дифференц'!B33=FALSE,"",'График дифференц'!B33)</f>
        <v>46878</v>
      </c>
      <c r="C34" s="34">
        <f>IF('Общие данные'!$B$77='Общие данные'!$C$77,'График дифференц'!C33,IF('Общие данные'!$B$77='Общие данные'!$D$77,'График аннуитет.'!C33))</f>
        <v>16668703.189999983</v>
      </c>
      <c r="D34" s="34">
        <f>IF('Общие данные'!$B$77='Общие данные'!$C$77,'График дифференц'!D33,IF('Общие данные'!$B$77='Общие данные'!$D$77,'График аннуитет.'!D33))</f>
        <v>2968542</v>
      </c>
      <c r="E34" s="34">
        <f>IF('Общие данные'!$B$77='Общие данные'!$C$77,'График дифференц'!E33,IF('Общие данные'!$B$77='Общие данные'!$D$77,'График аннуитет.'!E33))</f>
        <v>751458</v>
      </c>
      <c r="F34" s="34">
        <f>IF('Общие данные'!$B$77='Общие данные'!$C$77,'График дифференц'!F33,IF('Общие данные'!$B$77='Общие данные'!$D$77,'График аннуитет.'!F33))</f>
        <v>3720000</v>
      </c>
    </row>
    <row r="35" spans="1:6" x14ac:dyDescent="0.25">
      <c r="A35" s="18">
        <f t="shared" si="0"/>
        <v>27</v>
      </c>
      <c r="B35" s="33">
        <f>IF('График дифференц'!B34=FALSE,"",'График дифференц'!B34)</f>
        <v>46909</v>
      </c>
      <c r="C35" s="34">
        <f>IF('Общие данные'!$B$77='Общие данные'!$C$77,'График дифференц'!C34,IF('Общие данные'!$B$77='Общие данные'!$D$77,'График аннуитет.'!C34))</f>
        <v>13700161.189999983</v>
      </c>
      <c r="D35" s="34">
        <f>IF('Общие данные'!$B$77='Общие данные'!$C$77,'График дифференц'!D34,IF('Общие данные'!$B$77='Общие данные'!$D$77,'График аннуитет.'!D34))</f>
        <v>3081782.23</v>
      </c>
      <c r="E35" s="34">
        <f>IF('Общие данные'!$B$77='Общие данные'!$C$77,'График дифференц'!E34,IF('Общие данные'!$B$77='Общие данные'!$D$77,'График аннуитет.'!E34))</f>
        <v>638217.7699999999</v>
      </c>
      <c r="F35" s="34">
        <f>IF('Общие данные'!$B$77='Общие данные'!$C$77,'График дифференц'!F34,IF('Общие данные'!$B$77='Общие данные'!$D$77,'График аннуитет.'!F34))</f>
        <v>3720000</v>
      </c>
    </row>
    <row r="36" spans="1:6" x14ac:dyDescent="0.25">
      <c r="A36" s="18">
        <f t="shared" si="0"/>
        <v>28</v>
      </c>
      <c r="B36" s="33">
        <f>IF('График дифференц'!B35=FALSE,"",'График дифференц'!B35)</f>
        <v>46939</v>
      </c>
      <c r="C36" s="34">
        <f>IF('Общие данные'!$B$77='Общие данные'!$C$77,'График дифференц'!C35,IF('Общие данные'!$B$77='Общие данные'!$D$77,'График аннуитет.'!C35))</f>
        <v>10618378.959999982</v>
      </c>
      <c r="D36" s="34">
        <f>IF('Общие данные'!$B$77='Общие данные'!$C$77,'График дифференц'!D35,IF('Общие данные'!$B$77='Общие данные'!$D$77,'График аннуитет.'!D35))</f>
        <v>3241302.6</v>
      </c>
      <c r="E36" s="34">
        <f>IF('Общие данные'!$B$77='Общие данные'!$C$77,'График дифференц'!E35,IF('Общие данные'!$B$77='Общие данные'!$D$77,'График аннуитет.'!E35))</f>
        <v>478697.4</v>
      </c>
      <c r="F36" s="34">
        <f>IF('Общие данные'!$B$77='Общие данные'!$C$77,'График дифференц'!F35,IF('Общие данные'!$B$77='Общие данные'!$D$77,'График аннуитет.'!F35))</f>
        <v>3720000</v>
      </c>
    </row>
    <row r="37" spans="1:6" x14ac:dyDescent="0.25">
      <c r="A37" s="18">
        <f t="shared" si="0"/>
        <v>29</v>
      </c>
      <c r="B37" s="33">
        <f>IF('График дифференц'!B36=FALSE,"",'График дифференц'!B36)</f>
        <v>46972</v>
      </c>
      <c r="C37" s="34">
        <f>IF('Общие данные'!$B$77='Общие данные'!$C$77,'График дифференц'!C36,IF('Общие данные'!$B$77='Общие данные'!$D$77,'График аннуитет.'!C36))</f>
        <v>7377076.3599999826</v>
      </c>
      <c r="D37" s="34">
        <f>IF('Общие данные'!$B$77='Общие данные'!$C$77,'График дифференц'!D36,IF('Общие данные'!$B$77='Общие данные'!$D$77,'График аннуитет.'!D36))</f>
        <v>3354169.59</v>
      </c>
      <c r="E37" s="34">
        <f>IF('Общие данные'!$B$77='Общие данные'!$C$77,'График дифференц'!E36,IF('Общие данные'!$B$77='Общие данные'!$D$77,'График аннуитет.'!E36))</f>
        <v>365830.41000000003</v>
      </c>
      <c r="F37" s="34">
        <f>IF('Общие данные'!$B$77='Общие данные'!$C$77,'График дифференц'!F36,IF('Общие данные'!$B$77='Общие данные'!$D$77,'График аннуитет.'!F36))</f>
        <v>3720000</v>
      </c>
    </row>
    <row r="38" spans="1:6" x14ac:dyDescent="0.25">
      <c r="A38" s="18">
        <f t="shared" si="0"/>
        <v>30</v>
      </c>
      <c r="B38" s="33">
        <f>IF('График дифференц'!B37=FALSE,"",'График дифференц'!B37)</f>
        <v>47001</v>
      </c>
      <c r="C38" s="34">
        <f>IF('Общие данные'!$B$77='Общие данные'!$C$77,'График дифференц'!C37,IF('Общие данные'!$B$77='Общие данные'!$D$77,'График аннуитет.'!C37))</f>
        <v>4022906.7699999828</v>
      </c>
      <c r="D38" s="34">
        <f>IF('Общие данные'!$B$77='Общие данные'!$C$77,'График дифференц'!D37,IF('Общие данные'!$B$77='Общие данные'!$D$77,'График аннуитет.'!D37))</f>
        <v>4022906.7699999828</v>
      </c>
      <c r="E38" s="34">
        <f>IF('Общие данные'!$B$77='Общие данные'!$C$77,'График дифференц'!E37,IF('Общие данные'!$B$77='Общие данные'!$D$77,'График аннуитет.'!E37))</f>
        <v>175315.15000000002</v>
      </c>
      <c r="F38" s="34">
        <f>IF('Общие данные'!$B$77='Общие данные'!$C$77,'График дифференц'!F37,IF('Общие данные'!$B$77='Общие данные'!$D$77,'График аннуитет.'!F37))</f>
        <v>4198221.9199999832</v>
      </c>
    </row>
    <row r="39" spans="1:6" hidden="1" x14ac:dyDescent="0.25">
      <c r="A39" s="18">
        <f t="shared" si="0"/>
        <v>31</v>
      </c>
      <c r="B39" s="33" t="str">
        <f>IF('График дифференц'!B38=FALSE,"",'График дифференц'!B38)</f>
        <v/>
      </c>
      <c r="C39" s="34">
        <f>IF('Общие данные'!$B$77='Общие данные'!$C$77,'График дифференц'!C38,IF('Общие данные'!$B$77='Общие данные'!$D$77,'График аннуитет.'!C38))</f>
        <v>0</v>
      </c>
      <c r="D39" s="34">
        <f>IF('Общие данные'!$B$77='Общие данные'!$C$77,'График дифференц'!D38,IF('Общие данные'!$B$77='Общие данные'!$D$77,'График аннуитет.'!D38))</f>
        <v>0</v>
      </c>
      <c r="E39" s="34">
        <f>IF('Общие данные'!$B$77='Общие данные'!$C$77,'График дифференц'!E38,IF('Общие данные'!$B$77='Общие данные'!$D$77,'График аннуитет.'!E38))</f>
        <v>0</v>
      </c>
      <c r="F39" s="34">
        <f>IF('Общие данные'!$B$77='Общие данные'!$C$77,'График дифференц'!F38,IF('Общие данные'!$B$77='Общие данные'!$D$77,'График аннуитет.'!F38))</f>
        <v>0</v>
      </c>
    </row>
    <row r="40" spans="1:6" hidden="1" x14ac:dyDescent="0.25">
      <c r="A40" s="18">
        <f t="shared" si="0"/>
        <v>32</v>
      </c>
      <c r="B40" s="33" t="str">
        <f>IF('График дифференц'!B39=FALSE,"",'График дифференц'!B39)</f>
        <v/>
      </c>
      <c r="C40" s="34">
        <f>IF('Общие данные'!$B$77='Общие данные'!$C$77,'График дифференц'!C39,IF('Общие данные'!$B$77='Общие данные'!$D$77,'График аннуитет.'!C39))</f>
        <v>0</v>
      </c>
      <c r="D40" s="34">
        <f>IF('Общие данные'!$B$77='Общие данные'!$C$77,'График дифференц'!D39,IF('Общие данные'!$B$77='Общие данные'!$D$77,'График аннуитет.'!D39))</f>
        <v>0</v>
      </c>
      <c r="E40" s="34">
        <f>IF('Общие данные'!$B$77='Общие данные'!$C$77,'График дифференц'!E39,IF('Общие данные'!$B$77='Общие данные'!$D$77,'График аннуитет.'!E39))</f>
        <v>0</v>
      </c>
      <c r="F40" s="34">
        <f>IF('Общие данные'!$B$77='Общие данные'!$C$77,'График дифференц'!F39,IF('Общие данные'!$B$77='Общие данные'!$D$77,'График аннуитет.'!F39))</f>
        <v>0</v>
      </c>
    </row>
    <row r="41" spans="1:6" hidden="1" x14ac:dyDescent="0.25">
      <c r="A41" s="18">
        <f t="shared" si="0"/>
        <v>33</v>
      </c>
      <c r="B41" s="33" t="str">
        <f>IF('График дифференц'!B40=FALSE,"",'График дифференц'!B40)</f>
        <v/>
      </c>
      <c r="C41" s="34">
        <f>IF('Общие данные'!$B$77='Общие данные'!$C$77,'График дифференц'!C40,IF('Общие данные'!$B$77='Общие данные'!$D$77,'График аннуитет.'!C40))</f>
        <v>0</v>
      </c>
      <c r="D41" s="34">
        <f>IF('Общие данные'!$B$77='Общие данные'!$C$77,'График дифференц'!D40,IF('Общие данные'!$B$77='Общие данные'!$D$77,'График аннуитет.'!D40))</f>
        <v>0</v>
      </c>
      <c r="E41" s="34">
        <f>IF('Общие данные'!$B$77='Общие данные'!$C$77,'График дифференц'!E40,IF('Общие данные'!$B$77='Общие данные'!$D$77,'График аннуитет.'!E40))</f>
        <v>0</v>
      </c>
      <c r="F41" s="34">
        <f>IF('Общие данные'!$B$77='Общие данные'!$C$77,'График дифференц'!F40,IF('Общие данные'!$B$77='Общие данные'!$D$77,'График аннуитет.'!F40))</f>
        <v>0</v>
      </c>
    </row>
    <row r="42" spans="1:6" hidden="1" x14ac:dyDescent="0.25">
      <c r="A42" s="18">
        <f t="shared" si="0"/>
        <v>34</v>
      </c>
      <c r="B42" s="33" t="str">
        <f>IF('График дифференц'!B41=FALSE,"",'График дифференц'!B41)</f>
        <v/>
      </c>
      <c r="C42" s="34">
        <f>IF('Общие данные'!$B$77='Общие данные'!$C$77,'График дифференц'!C41,IF('Общие данные'!$B$77='Общие данные'!$D$77,'График аннуитет.'!C41))</f>
        <v>0</v>
      </c>
      <c r="D42" s="34">
        <f>IF('Общие данные'!$B$77='Общие данные'!$C$77,'График дифференц'!D41,IF('Общие данные'!$B$77='Общие данные'!$D$77,'График аннуитет.'!D41))</f>
        <v>0</v>
      </c>
      <c r="E42" s="34">
        <f>IF('Общие данные'!$B$77='Общие данные'!$C$77,'График дифференц'!E41,IF('Общие данные'!$B$77='Общие данные'!$D$77,'График аннуитет.'!E41))</f>
        <v>0</v>
      </c>
      <c r="F42" s="34">
        <f>IF('Общие данные'!$B$77='Общие данные'!$C$77,'График дифференц'!F41,IF('Общие данные'!$B$77='Общие данные'!$D$77,'График аннуитет.'!F41))</f>
        <v>0</v>
      </c>
    </row>
    <row r="43" spans="1:6" hidden="1" x14ac:dyDescent="0.25">
      <c r="A43" s="18">
        <f t="shared" si="0"/>
        <v>35</v>
      </c>
      <c r="B43" s="33" t="str">
        <f>IF('График дифференц'!B42=FALSE,"",'График дифференц'!B42)</f>
        <v/>
      </c>
      <c r="C43" s="34">
        <f>IF('Общие данные'!$B$77='Общие данные'!$C$77,'График дифференц'!C42,IF('Общие данные'!$B$77='Общие данные'!$D$77,'График аннуитет.'!C42))</f>
        <v>0</v>
      </c>
      <c r="D43" s="34">
        <f>IF('Общие данные'!$B$77='Общие данные'!$C$77,'График дифференц'!D42,IF('Общие данные'!$B$77='Общие данные'!$D$77,'График аннуитет.'!D42))</f>
        <v>0</v>
      </c>
      <c r="E43" s="34">
        <f>IF('Общие данные'!$B$77='Общие данные'!$C$77,'График дифференц'!E42,IF('Общие данные'!$B$77='Общие данные'!$D$77,'График аннуитет.'!E42))</f>
        <v>0</v>
      </c>
      <c r="F43" s="34">
        <f>IF('Общие данные'!$B$77='Общие данные'!$C$77,'График дифференц'!F42,IF('Общие данные'!$B$77='Общие данные'!$D$77,'График аннуитет.'!F42))</f>
        <v>0</v>
      </c>
    </row>
    <row r="44" spans="1:6" s="37" customFormat="1" hidden="1" x14ac:dyDescent="0.25">
      <c r="A44" s="18">
        <f>1+A43</f>
        <v>36</v>
      </c>
      <c r="B44" s="33" t="str">
        <f>IF('График дифференц'!B43=FALSE,"",'График дифференц'!B43)</f>
        <v/>
      </c>
      <c r="C44" s="34">
        <f>IF('Общие данные'!$B$77='Общие данные'!$C$77,'График дифференц'!C43,IF('Общие данные'!$B$77='Общие данные'!$D$77,'График аннуитет.'!C43))</f>
        <v>0</v>
      </c>
      <c r="D44" s="34">
        <f>IF('Общие данные'!$B$77='Общие данные'!$C$77,'График дифференц'!D43,IF('Общие данные'!$B$77='Общие данные'!$D$77,'График аннуитет.'!D43))</f>
        <v>0</v>
      </c>
      <c r="E44" s="34">
        <f>IF('Общие данные'!$B$77='Общие данные'!$C$77,'График дифференц'!E43,IF('Общие данные'!$B$77='Общие данные'!$D$77,'График аннуитет.'!E43))</f>
        <v>0</v>
      </c>
      <c r="F44" s="34">
        <f>IF('Общие данные'!$B$77='Общие данные'!$C$77,'График дифференц'!F43,IF('Общие данные'!$B$77='Общие данные'!$D$77,'График аннуитет.'!F43))</f>
        <v>0</v>
      </c>
    </row>
    <row r="45" spans="1:6" s="37" customFormat="1" hidden="1" x14ac:dyDescent="0.25">
      <c r="A45" s="18">
        <f t="shared" ref="A45:A56" si="1">1+A44</f>
        <v>37</v>
      </c>
      <c r="B45" s="33" t="str">
        <f>IF('График дифференц'!B44=FALSE,"",'График дифференц'!B44)</f>
        <v/>
      </c>
      <c r="C45" s="34">
        <f>IF('Общие данные'!$B$77='Общие данные'!$C$77,'График дифференц'!C44,IF('Общие данные'!$B$77='Общие данные'!$D$77,'График аннуитет.'!C44))</f>
        <v>0</v>
      </c>
      <c r="D45" s="34">
        <f>IF('Общие данные'!$B$77='Общие данные'!$C$77,'График дифференц'!D44,IF('Общие данные'!$B$77='Общие данные'!$D$77,'График аннуитет.'!D44))</f>
        <v>0</v>
      </c>
      <c r="E45" s="34">
        <f>IF('Общие данные'!$B$77='Общие данные'!$C$77,'График дифференц'!E44,IF('Общие данные'!$B$77='Общие данные'!$D$77,'График аннуитет.'!E44))</f>
        <v>0</v>
      </c>
      <c r="F45" s="34">
        <f>IF('Общие данные'!$B$77='Общие данные'!$C$77,'График дифференц'!F44,IF('Общие данные'!$B$77='Общие данные'!$D$77,'График аннуитет.'!F44))</f>
        <v>0</v>
      </c>
    </row>
    <row r="46" spans="1:6" s="37" customFormat="1" hidden="1" x14ac:dyDescent="0.25">
      <c r="A46" s="18">
        <f t="shared" si="1"/>
        <v>38</v>
      </c>
      <c r="B46" s="33" t="str">
        <f>IF('График дифференц'!B45=FALSE,"",'График дифференц'!B45)</f>
        <v/>
      </c>
      <c r="C46" s="34">
        <f>IF('Общие данные'!$B$77='Общие данные'!$C$77,'График дифференц'!C45,IF('Общие данные'!$B$77='Общие данные'!$D$77,'График аннуитет.'!C45))</f>
        <v>0</v>
      </c>
      <c r="D46" s="34">
        <f>IF('Общие данные'!$B$77='Общие данные'!$C$77,'График дифференц'!D45,IF('Общие данные'!$B$77='Общие данные'!$D$77,'График аннуитет.'!D45))</f>
        <v>0</v>
      </c>
      <c r="E46" s="34">
        <f>IF('Общие данные'!$B$77='Общие данные'!$C$77,'График дифференц'!E45,IF('Общие данные'!$B$77='Общие данные'!$D$77,'График аннуитет.'!E45))</f>
        <v>0</v>
      </c>
      <c r="F46" s="34">
        <f>IF('Общие данные'!$B$77='Общие данные'!$C$77,'График дифференц'!F45,IF('Общие данные'!$B$77='Общие данные'!$D$77,'График аннуитет.'!F45))</f>
        <v>0</v>
      </c>
    </row>
    <row r="47" spans="1:6" s="37" customFormat="1" hidden="1" x14ac:dyDescent="0.25">
      <c r="A47" s="18">
        <f t="shared" si="1"/>
        <v>39</v>
      </c>
      <c r="B47" s="33" t="str">
        <f>IF('График дифференц'!B46=FALSE,"",'График дифференц'!B46)</f>
        <v/>
      </c>
      <c r="C47" s="34">
        <f>IF('Общие данные'!$B$77='Общие данные'!$C$77,'График дифференц'!C46,IF('Общие данные'!$B$77='Общие данные'!$D$77,'График аннуитет.'!C46))</f>
        <v>0</v>
      </c>
      <c r="D47" s="34">
        <f>IF('Общие данные'!$B$77='Общие данные'!$C$77,'График дифференц'!D46,IF('Общие данные'!$B$77='Общие данные'!$D$77,'График аннуитет.'!D46))</f>
        <v>0</v>
      </c>
      <c r="E47" s="34">
        <f>IF('Общие данные'!$B$77='Общие данные'!$C$77,'График дифференц'!E46,IF('Общие данные'!$B$77='Общие данные'!$D$77,'График аннуитет.'!E46))</f>
        <v>0</v>
      </c>
      <c r="F47" s="34">
        <f>IF('Общие данные'!$B$77='Общие данные'!$C$77,'График дифференц'!F46,IF('Общие данные'!$B$77='Общие данные'!$D$77,'График аннуитет.'!F46))</f>
        <v>0</v>
      </c>
    </row>
    <row r="48" spans="1:6" s="37" customFormat="1" hidden="1" x14ac:dyDescent="0.25">
      <c r="A48" s="18">
        <f t="shared" si="1"/>
        <v>40</v>
      </c>
      <c r="B48" s="33" t="str">
        <f>IF('График дифференц'!B47=FALSE,"",'График дифференц'!B47)</f>
        <v/>
      </c>
      <c r="C48" s="34">
        <f>IF('Общие данные'!$B$77='Общие данные'!$C$77,'График дифференц'!C47,IF('Общие данные'!$B$77='Общие данные'!$D$77,'График аннуитет.'!C47))</f>
        <v>0</v>
      </c>
      <c r="D48" s="34">
        <f>IF('Общие данные'!$B$77='Общие данные'!$C$77,'График дифференц'!D47,IF('Общие данные'!$B$77='Общие данные'!$D$77,'График аннуитет.'!D47))</f>
        <v>0</v>
      </c>
      <c r="E48" s="34">
        <f>IF('Общие данные'!$B$77='Общие данные'!$C$77,'График дифференц'!E47,IF('Общие данные'!$B$77='Общие данные'!$D$77,'График аннуитет.'!E47))</f>
        <v>0</v>
      </c>
      <c r="F48" s="34">
        <f>IF('Общие данные'!$B$77='Общие данные'!$C$77,'График дифференц'!F47,IF('Общие данные'!$B$77='Общие данные'!$D$77,'График аннуитет.'!F47))</f>
        <v>0</v>
      </c>
    </row>
    <row r="49" spans="1:6" s="37" customFormat="1" hidden="1" x14ac:dyDescent="0.25">
      <c r="A49" s="18">
        <f t="shared" si="1"/>
        <v>41</v>
      </c>
      <c r="B49" s="33" t="str">
        <f>IF('График дифференц'!B48=FALSE,"",'График дифференц'!B48)</f>
        <v/>
      </c>
      <c r="C49" s="34">
        <f>IF('Общие данные'!$B$77='Общие данные'!$C$77,'График дифференц'!C48,IF('Общие данные'!$B$77='Общие данные'!$D$77,'График аннуитет.'!C48))</f>
        <v>0</v>
      </c>
      <c r="D49" s="34">
        <f>IF('Общие данные'!$B$77='Общие данные'!$C$77,'График дифференц'!D48,IF('Общие данные'!$B$77='Общие данные'!$D$77,'График аннуитет.'!D48))</f>
        <v>0</v>
      </c>
      <c r="E49" s="34">
        <f>IF('Общие данные'!$B$77='Общие данные'!$C$77,'График дифференц'!E48,IF('Общие данные'!$B$77='Общие данные'!$D$77,'График аннуитет.'!E48))</f>
        <v>0</v>
      </c>
      <c r="F49" s="34">
        <f>IF('Общие данные'!$B$77='Общие данные'!$C$77,'График дифференц'!F48,IF('Общие данные'!$B$77='Общие данные'!$D$77,'График аннуитет.'!F48))</f>
        <v>0</v>
      </c>
    </row>
    <row r="50" spans="1:6" s="37" customFormat="1" hidden="1" x14ac:dyDescent="0.25">
      <c r="A50" s="18">
        <f t="shared" si="1"/>
        <v>42</v>
      </c>
      <c r="B50" s="33" t="str">
        <f>IF('График дифференц'!B49=FALSE,"",'График дифференц'!B49)</f>
        <v/>
      </c>
      <c r="C50" s="34">
        <f>IF('Общие данные'!$B$77='Общие данные'!$C$77,'График дифференц'!C49,IF('Общие данные'!$B$77='Общие данные'!$D$77,'График аннуитет.'!C49))</f>
        <v>0</v>
      </c>
      <c r="D50" s="34">
        <f>IF('Общие данные'!$B$77='Общие данные'!$C$77,'График дифференц'!D49,IF('Общие данные'!$B$77='Общие данные'!$D$77,'График аннуитет.'!D49))</f>
        <v>0</v>
      </c>
      <c r="E50" s="34">
        <f>IF('Общие данные'!$B$77='Общие данные'!$C$77,'График дифференц'!E49,IF('Общие данные'!$B$77='Общие данные'!$D$77,'График аннуитет.'!E49))</f>
        <v>0</v>
      </c>
      <c r="F50" s="34">
        <f>IF('Общие данные'!$B$77='Общие данные'!$C$77,'График дифференц'!F49,IF('Общие данные'!$B$77='Общие данные'!$D$77,'График аннуитет.'!F49))</f>
        <v>0</v>
      </c>
    </row>
    <row r="51" spans="1:6" s="37" customFormat="1" hidden="1" x14ac:dyDescent="0.25">
      <c r="A51" s="18">
        <f t="shared" si="1"/>
        <v>43</v>
      </c>
      <c r="B51" s="33" t="str">
        <f>IF('График дифференц'!B50=FALSE,"",'График дифференц'!B50)</f>
        <v/>
      </c>
      <c r="C51" s="34">
        <f>IF('Общие данные'!$B$77='Общие данные'!$C$77,'График дифференц'!C50,IF('Общие данные'!$B$77='Общие данные'!$D$77,'График аннуитет.'!C50))</f>
        <v>0</v>
      </c>
      <c r="D51" s="34">
        <f>IF('Общие данные'!$B$77='Общие данные'!$C$77,'График дифференц'!D50,IF('Общие данные'!$B$77='Общие данные'!$D$77,'График аннуитет.'!D50))</f>
        <v>0</v>
      </c>
      <c r="E51" s="34">
        <f>IF('Общие данные'!$B$77='Общие данные'!$C$77,'График дифференц'!E50,IF('Общие данные'!$B$77='Общие данные'!$D$77,'График аннуитет.'!E50))</f>
        <v>0</v>
      </c>
      <c r="F51" s="34">
        <f>IF('Общие данные'!$B$77='Общие данные'!$C$77,'График дифференц'!F50,IF('Общие данные'!$B$77='Общие данные'!$D$77,'График аннуитет.'!F50))</f>
        <v>0</v>
      </c>
    </row>
    <row r="52" spans="1:6" s="37" customFormat="1" hidden="1" x14ac:dyDescent="0.25">
      <c r="A52" s="18">
        <f t="shared" si="1"/>
        <v>44</v>
      </c>
      <c r="B52" s="33" t="str">
        <f>IF('График дифференц'!B51=FALSE,"",'График дифференц'!B51)</f>
        <v/>
      </c>
      <c r="C52" s="34">
        <f>IF('Общие данные'!$B$77='Общие данные'!$C$77,'График дифференц'!C51,IF('Общие данные'!$B$77='Общие данные'!$D$77,'График аннуитет.'!C51))</f>
        <v>0</v>
      </c>
      <c r="D52" s="34">
        <f>IF('Общие данные'!$B$77='Общие данные'!$C$77,'График дифференц'!D51,IF('Общие данные'!$B$77='Общие данные'!$D$77,'График аннуитет.'!D51))</f>
        <v>0</v>
      </c>
      <c r="E52" s="34">
        <f>IF('Общие данные'!$B$77='Общие данные'!$C$77,'График дифференц'!E51,IF('Общие данные'!$B$77='Общие данные'!$D$77,'График аннуитет.'!E51))</f>
        <v>0</v>
      </c>
      <c r="F52" s="34">
        <f>IF('Общие данные'!$B$77='Общие данные'!$C$77,'График дифференц'!F51,IF('Общие данные'!$B$77='Общие данные'!$D$77,'График аннуитет.'!F51))</f>
        <v>0</v>
      </c>
    </row>
    <row r="53" spans="1:6" s="37" customFormat="1" hidden="1" x14ac:dyDescent="0.25">
      <c r="A53" s="18">
        <f t="shared" si="1"/>
        <v>45</v>
      </c>
      <c r="B53" s="33" t="str">
        <f>IF('График дифференц'!B52=FALSE,"",'График дифференц'!B52)</f>
        <v/>
      </c>
      <c r="C53" s="34">
        <f>IF('Общие данные'!$B$77='Общие данные'!$C$77,'График дифференц'!C52,IF('Общие данные'!$B$77='Общие данные'!$D$77,'График аннуитет.'!C52))</f>
        <v>0</v>
      </c>
      <c r="D53" s="34">
        <f>IF('Общие данные'!$B$77='Общие данные'!$C$77,'График дифференц'!D52,IF('Общие данные'!$B$77='Общие данные'!$D$77,'График аннуитет.'!D52))</f>
        <v>0</v>
      </c>
      <c r="E53" s="34">
        <f>IF('Общие данные'!$B$77='Общие данные'!$C$77,'График дифференц'!E52,IF('Общие данные'!$B$77='Общие данные'!$D$77,'График аннуитет.'!E52))</f>
        <v>0</v>
      </c>
      <c r="F53" s="34">
        <f>IF('Общие данные'!$B$77='Общие данные'!$C$77,'График дифференц'!F52,IF('Общие данные'!$B$77='Общие данные'!$D$77,'График аннуитет.'!F52))</f>
        <v>0</v>
      </c>
    </row>
    <row r="54" spans="1:6" s="37" customFormat="1" hidden="1" x14ac:dyDescent="0.25">
      <c r="A54" s="18">
        <f t="shared" si="1"/>
        <v>46</v>
      </c>
      <c r="B54" s="33" t="str">
        <f>IF('График дифференц'!B53=FALSE,"",'График дифференц'!B53)</f>
        <v/>
      </c>
      <c r="C54" s="34">
        <f>IF('Общие данные'!$B$77='Общие данные'!$C$77,'График дифференц'!C53,IF('Общие данные'!$B$77='Общие данные'!$D$77,'График аннуитет.'!C53))</f>
        <v>0</v>
      </c>
      <c r="D54" s="34">
        <f>IF('Общие данные'!$B$77='Общие данные'!$C$77,'График дифференц'!D53,IF('Общие данные'!$B$77='Общие данные'!$D$77,'График аннуитет.'!D53))</f>
        <v>0</v>
      </c>
      <c r="E54" s="34">
        <f>IF('Общие данные'!$B$77='Общие данные'!$C$77,'График дифференц'!E53,IF('Общие данные'!$B$77='Общие данные'!$D$77,'График аннуитет.'!E53))</f>
        <v>0</v>
      </c>
      <c r="F54" s="34">
        <f>IF('Общие данные'!$B$77='Общие данные'!$C$77,'График дифференц'!F53,IF('Общие данные'!$B$77='Общие данные'!$D$77,'График аннуитет.'!F53))</f>
        <v>0</v>
      </c>
    </row>
    <row r="55" spans="1:6" s="37" customFormat="1" hidden="1" x14ac:dyDescent="0.25">
      <c r="A55" s="18">
        <f t="shared" si="1"/>
        <v>47</v>
      </c>
      <c r="B55" s="33" t="str">
        <f>IF('График дифференц'!B54=FALSE,"",'График дифференц'!B54)</f>
        <v/>
      </c>
      <c r="C55" s="34">
        <f>IF('Общие данные'!$B$77='Общие данные'!$C$77,'График дифференц'!C54,IF('Общие данные'!$B$77='Общие данные'!$D$77,'График аннуитет.'!C54))</f>
        <v>0</v>
      </c>
      <c r="D55" s="34">
        <f>IF('Общие данные'!$B$77='Общие данные'!$C$77,'График дифференц'!D54,IF('Общие данные'!$B$77='Общие данные'!$D$77,'График аннуитет.'!D54))</f>
        <v>0</v>
      </c>
      <c r="E55" s="34">
        <f>IF('Общие данные'!$B$77='Общие данные'!$C$77,'График дифференц'!E54,IF('Общие данные'!$B$77='Общие данные'!$D$77,'График аннуитет.'!E54))</f>
        <v>0</v>
      </c>
      <c r="F55" s="34">
        <f>IF('Общие данные'!$B$77='Общие данные'!$C$77,'График дифференц'!F54,IF('Общие данные'!$B$77='Общие данные'!$D$77,'График аннуитет.'!F54))</f>
        <v>0</v>
      </c>
    </row>
    <row r="56" spans="1:6" s="37" customFormat="1" hidden="1" x14ac:dyDescent="0.25">
      <c r="A56" s="18">
        <f t="shared" si="1"/>
        <v>48</v>
      </c>
      <c r="B56" s="33" t="str">
        <f>IF('График дифференц'!B55=FALSE,"",'График дифференц'!B55)</f>
        <v/>
      </c>
      <c r="C56" s="34">
        <f>IF('Общие данные'!$B$77='Общие данные'!$C$77,'График дифференц'!C55,IF('Общие данные'!$B$77='Общие данные'!$D$77,'График аннуитет.'!C55))</f>
        <v>0</v>
      </c>
      <c r="D56" s="34">
        <f>IF('Общие данные'!$B$77='Общие данные'!$C$77,'График дифференц'!D55,IF('Общие данные'!$B$77='Общие данные'!$D$77,'График аннуитет.'!D55))</f>
        <v>0</v>
      </c>
      <c r="E56" s="34">
        <f>IF('Общие данные'!$B$77='Общие данные'!$C$77,'График дифференц'!E55,IF('Общие данные'!$B$77='Общие данные'!$D$77,'График аннуитет.'!E55))</f>
        <v>0</v>
      </c>
      <c r="F56" s="34">
        <f>IF('Общие данные'!$B$77='Общие данные'!$C$77,'График дифференц'!F55,IF('Общие данные'!$B$77='Общие данные'!$D$77,'График аннуитет.'!F55))</f>
        <v>0</v>
      </c>
    </row>
    <row r="57" spans="1:6" ht="15" customHeight="1" x14ac:dyDescent="0.25">
      <c r="A57" s="46"/>
      <c r="B57" s="47" t="s">
        <v>204</v>
      </c>
      <c r="C57" s="48"/>
      <c r="D57" s="48">
        <f>SUM(D9:D56)</f>
        <v>59999999.99999997</v>
      </c>
      <c r="E57" s="48">
        <f>SUM(E9:E56)</f>
        <v>52078221.920000002</v>
      </c>
      <c r="F57" s="48">
        <f>SUM(F9:F56)</f>
        <v>112078221.91999999</v>
      </c>
    </row>
    <row r="58" spans="1:6" ht="14.25" customHeight="1" x14ac:dyDescent="0.25">
      <c r="B58" s="35"/>
      <c r="C58" s="36"/>
      <c r="D58" s="36"/>
      <c r="E58" s="36"/>
      <c r="F58" s="36"/>
    </row>
    <row r="59" spans="1:6" ht="47.25" customHeight="1" x14ac:dyDescent="0.25">
      <c r="A59" s="237" t="str">
        <f>"*"&amp;'Общие данные'!C64&amp;" bo‘yicha to‘lovlar to‘lov jadvalida ko‘rsatilmagan sanalarda to‘langan taqdirda, to‘lov summasi mikroqarz shartnomasining 2.4.-bandiga muvofiq "&amp;'Общие данные'!B65&amp;" qoldig‘iga hisoblangan foizlar summasiga o‘zgartiriladi."</f>
        <v>*Mikroqarz bo‘yicha to‘lovlar to‘lov jadvalida ko‘rsatilmagan sanalarda to‘langan taqdirda, to‘lov summasi mikroqarz shartnomasining 2.4.-bandiga muvofiq mikroqarz qoldig‘iga hisoblangan foizlar summasiga o‘zgartiriladi.</v>
      </c>
      <c r="B59" s="237"/>
      <c r="C59" s="237"/>
      <c r="D59" s="237"/>
      <c r="E59" s="237"/>
      <c r="F59" s="237"/>
    </row>
    <row r="60" spans="1:6" ht="7.5" customHeight="1" x14ac:dyDescent="0.25"/>
    <row r="61" spans="1:6" ht="15" customHeight="1" x14ac:dyDescent="0.25">
      <c r="A61" s="251" t="s">
        <v>267</v>
      </c>
      <c r="B61" s="251"/>
      <c r="C61" s="251"/>
      <c r="D61" s="251" t="s">
        <v>275</v>
      </c>
      <c r="E61" s="251"/>
      <c r="F61" s="251"/>
    </row>
    <row r="62" spans="1:6" ht="11.25" customHeight="1" x14ac:dyDescent="0.25">
      <c r="A62" s="252"/>
      <c r="B62" s="252"/>
      <c r="C62" s="252"/>
      <c r="D62" s="252"/>
      <c r="E62" s="252"/>
      <c r="F62" s="252"/>
    </row>
    <row r="63" spans="1:6" ht="30" customHeight="1" x14ac:dyDescent="0.25">
      <c r="A63" s="250" t="str">
        <f>договор!A117</f>
        <v>«PULLOL BUSINESS MIKROMOLIYA TASHKILOTI»  MChJ</v>
      </c>
      <c r="B63" s="250"/>
      <c r="C63" s="250"/>
      <c r="D63" s="250" t="str">
        <f>договор!B117</f>
        <v>BAYRAMGELDIYEV NURGELDI QODOMBOY O'G'LI</v>
      </c>
      <c r="E63" s="250"/>
      <c r="F63" s="250"/>
    </row>
    <row r="64" spans="1:6" ht="47.25" customHeight="1" x14ac:dyDescent="0.25">
      <c r="A64" s="246" t="str">
        <f>договор!A119</f>
        <v>Manzil: Toshkent shahri, Yakkasaroy tumani, Rakat ko'chasi, 10-uy, 18 xonadon</v>
      </c>
      <c r="B64" s="246"/>
      <c r="C64" s="246"/>
      <c r="D64" s="246" t="str">
        <f>договор!B119</f>
        <v>Manzil: QORAQALPOG'ISTON RESPUBLIKASI ELLIKQAL'A TUMANI JASORAT MFY PAXTABIRLIK KO'CHASI 7-UY</v>
      </c>
      <c r="E64" s="246"/>
      <c r="F64" s="246"/>
    </row>
    <row r="65" spans="1:6" ht="15" customHeight="1" x14ac:dyDescent="0.25">
      <c r="A65" s="246" t="str">
        <f>договор!A120</f>
        <v>h/r: № 20208000405643889001</v>
      </c>
      <c r="B65" s="246"/>
      <c r="C65" s="246"/>
      <c r="D65" s="246" t="str">
        <f>договор!B121</f>
        <v>pasport seriyasi: AE 6482058, IIV 35210 tomonidan 25.02.2026 yilda berilgan</v>
      </c>
      <c r="E65" s="246"/>
      <c r="F65" s="246"/>
    </row>
    <row r="66" spans="1:6" ht="32.25" customHeight="1" x14ac:dyDescent="0.25">
      <c r="A66" s="246" t="str">
        <f>договор!A121</f>
        <v>MFO: №01088 в ATB “Kapitalbank” Markaziy amaliyotlar bo'limi</v>
      </c>
      <c r="B66" s="246"/>
      <c r="C66" s="246"/>
      <c r="D66" s="246"/>
      <c r="E66" s="246"/>
      <c r="F66" s="246"/>
    </row>
    <row r="67" spans="1:6" ht="15" customHeight="1" x14ac:dyDescent="0.25">
      <c r="A67" s="246" t="str">
        <f>договор!A122</f>
        <v>STIR: 310430149</v>
      </c>
      <c r="B67" s="246"/>
      <c r="C67" s="246"/>
      <c r="D67" s="246" t="str">
        <f>договор!B122</f>
        <v>Tel: 93 842 10 99 KLIENT</v>
      </c>
      <c r="E67" s="246"/>
      <c r="F67" s="246"/>
    </row>
    <row r="68" spans="1:6" ht="15" customHeight="1" x14ac:dyDescent="0.25">
      <c r="A68" s="246" t="str">
        <f>договор!A123</f>
        <v>Tel: (55) 510 02 16</v>
      </c>
      <c r="B68" s="246"/>
      <c r="C68" s="246"/>
      <c r="D68" s="246" t="str">
        <f>договор!B123</f>
        <v>94-886-00-39 AYOLI</v>
      </c>
      <c r="E68" s="246"/>
      <c r="F68" s="246"/>
    </row>
    <row r="69" spans="1:6" ht="15" customHeight="1" x14ac:dyDescent="0.25">
      <c r="A69" s="246" t="str">
        <f>договор!A124</f>
        <v>(90) 003 11 22</v>
      </c>
      <c r="B69" s="246"/>
      <c r="C69" s="246"/>
      <c r="D69" s="246" t="str">
        <f>договор!B124</f>
        <v>93-073-74-12 ONASI</v>
      </c>
      <c r="E69" s="246"/>
      <c r="F69" s="246"/>
    </row>
    <row r="70" spans="1:6" ht="23.25" customHeight="1" x14ac:dyDescent="0.25">
      <c r="A70" s="246" t="str">
        <f>договор!A125</f>
        <v>(97) 706 96 65</v>
      </c>
      <c r="B70" s="246"/>
      <c r="C70" s="246"/>
      <c r="D70" s="246" t="str">
        <f>IF(договор!B125=0,"",договор!B125)</f>
        <v/>
      </c>
      <c r="E70" s="246"/>
      <c r="F70" s="246"/>
    </row>
    <row r="71" spans="1:6" ht="29.25" customHeight="1" x14ac:dyDescent="0.25">
      <c r="A71" s="315" t="str">
        <f>'Общие данные'!A160</f>
        <v>To'rtko'l filiali boshlig’i</v>
      </c>
      <c r="B71" s="315"/>
      <c r="C71" s="315"/>
      <c r="D71" s="250" t="str">
        <f>договор!B127</f>
        <v>BAYRAMGELDIYEV N.Q.     __________________</v>
      </c>
      <c r="E71" s="250"/>
      <c r="F71" s="250"/>
    </row>
    <row r="72" spans="1:6" ht="15" customHeight="1" x14ac:dyDescent="0.25">
      <c r="A72" s="246"/>
      <c r="B72" s="246"/>
      <c r="C72" s="246"/>
      <c r="D72" s="250"/>
      <c r="E72" s="250"/>
      <c r="F72" s="250"/>
    </row>
    <row r="73" spans="1:6" x14ac:dyDescent="0.25">
      <c r="A73" s="315" t="str">
        <f>договор!A129</f>
        <v>Djumanazarov B.A.     __________________</v>
      </c>
      <c r="B73" s="315"/>
      <c r="C73" s="315"/>
      <c r="D73" s="250"/>
      <c r="E73" s="250"/>
      <c r="F73" s="250"/>
    </row>
    <row r="74" spans="1:6" ht="8.25" customHeight="1" x14ac:dyDescent="0.25">
      <c r="A74" s="246"/>
      <c r="B74" s="246"/>
      <c r="C74" s="246"/>
      <c r="D74" s="246"/>
      <c r="E74" s="246"/>
      <c r="F74" s="246"/>
    </row>
    <row r="75" spans="1:6" ht="30" customHeight="1" x14ac:dyDescent="0.25">
      <c r="A75" s="247"/>
      <c r="B75" s="247"/>
      <c r="C75" s="247"/>
      <c r="D75" s="248"/>
      <c r="E75" s="248"/>
      <c r="F75" s="248"/>
    </row>
    <row r="76" spans="1:6" x14ac:dyDescent="0.25">
      <c r="A76" s="249"/>
      <c r="B76" s="249"/>
      <c r="C76" s="249"/>
      <c r="D76" s="249"/>
      <c r="E76" s="249"/>
      <c r="F76" s="249"/>
    </row>
    <row r="77" spans="1:6" x14ac:dyDescent="0.25">
      <c r="A77" s="245"/>
      <c r="B77" s="245"/>
      <c r="C77" s="245"/>
      <c r="D77" s="245"/>
      <c r="E77" s="245"/>
      <c r="F77" s="245"/>
    </row>
  </sheetData>
  <mergeCells count="42">
    <mergeCell ref="E2:F2"/>
    <mergeCell ref="A5:F5"/>
    <mergeCell ref="A7:A8"/>
    <mergeCell ref="B7:B8"/>
    <mergeCell ref="C7:C8"/>
    <mergeCell ref="D7:F7"/>
    <mergeCell ref="E3:F3"/>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D68:F68"/>
    <mergeCell ref="A69:C69"/>
    <mergeCell ref="D69:F69"/>
    <mergeCell ref="A70:C70"/>
    <mergeCell ref="D70:F70"/>
    <mergeCell ref="H12:P24"/>
    <mergeCell ref="A77:C77"/>
    <mergeCell ref="D77:F77"/>
    <mergeCell ref="A74:C74"/>
    <mergeCell ref="D74:F74"/>
    <mergeCell ref="A75:C75"/>
    <mergeCell ref="D75:F75"/>
    <mergeCell ref="A76:C76"/>
    <mergeCell ref="D76:F76"/>
    <mergeCell ref="A71:C71"/>
    <mergeCell ref="D71:F71"/>
    <mergeCell ref="A72:C72"/>
    <mergeCell ref="D72:F72"/>
    <mergeCell ref="A73:C73"/>
    <mergeCell ref="D73:F73"/>
    <mergeCell ref="A68:C68"/>
  </mergeCells>
  <conditionalFormatting sqref="B9:B56">
    <cfRule type="cellIs" dxfId="1" priority="2" operator="lessThan">
      <formula>22105</formula>
    </cfRule>
  </conditionalFormatting>
  <conditionalFormatting sqref="C9:F56">
    <cfRule type="cellIs" dxfId="0" priority="1" operator="lessThan">
      <formula>0.1</formula>
    </cfRule>
  </conditionalFormatting>
  <printOptions horizontalCentered="1"/>
  <pageMargins left="0.70866141732283472" right="0.70866141732283472" top="0.59055118110236227" bottom="0.35433070866141736" header="0.31496062992125984" footer="0.31496062992125984"/>
  <pageSetup paperSize="9" scale="7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XFB29"/>
  <sheetViews>
    <sheetView view="pageBreakPreview" topLeftCell="A5" zoomScaleNormal="100" zoomScaleSheetLayoutView="100" workbookViewId="0">
      <selection activeCell="B8" sqref="B8"/>
    </sheetView>
  </sheetViews>
  <sheetFormatPr defaultColWidth="0" defaultRowHeight="15.75" zeroHeight="1" x14ac:dyDescent="0.25"/>
  <cols>
    <col min="1" max="1" width="33" style="6" customWidth="1"/>
    <col min="2" max="2" width="53.42578125" style="6" customWidth="1"/>
    <col min="3" max="16381" width="9.140625" style="6" hidden="1"/>
    <col min="16382" max="16382" width="69.28515625" style="6" customWidth="1"/>
    <col min="16383" max="16383" width="15.28515625" style="6" customWidth="1"/>
    <col min="16384" max="16384" width="4" style="6" customWidth="1"/>
  </cols>
  <sheetData>
    <row r="5" spans="1:2" x14ac:dyDescent="0.25"/>
    <row r="6" spans="1:2" ht="17.25" customHeight="1" x14ac:dyDescent="0.25">
      <c r="B6" s="14" t="str">
        <f>'Общие данные'!B148</f>
        <v>«PULLOL BUSINESS MIKROMOLIYA TASHKILOTI»  MChJ</v>
      </c>
    </row>
    <row r="7" spans="1:2" ht="33" customHeight="1" x14ac:dyDescent="0.25">
      <c r="A7" s="178"/>
      <c r="B7" s="169" t="str">
        <f>""&amp;'Общие данные'!A160&amp;" "&amp;'Общие данные'!B160&amp;"ga"</f>
        <v>To'rtko'l filiali boshlig’i Djumanazarov B.A.ga</v>
      </c>
    </row>
    <row r="8" spans="1:2" x14ac:dyDescent="0.25">
      <c r="A8" s="157"/>
      <c r="B8" s="169" t="str">
        <f>""&amp;'Общие данные'!B111&amp;"dan"</f>
        <v>0dan</v>
      </c>
    </row>
    <row r="9" spans="1:2" ht="15.75" hidden="1" customHeight="1" x14ac:dyDescent="0.25">
      <c r="B9" s="7">
        <f>'Общие данные'!B111</f>
        <v>0</v>
      </c>
    </row>
    <row r="10" spans="1:2" ht="15.75" hidden="1" customHeight="1" x14ac:dyDescent="0.25">
      <c r="B10" s="7" t="str">
        <f>'Общие данные'!C111</f>
        <v>BAYRAMGELDIYEV NURGELDI QODOMBOY O'G'LI</v>
      </c>
    </row>
    <row r="11" spans="1:2" ht="15.75" hidden="1" customHeight="1" x14ac:dyDescent="0.25">
      <c r="B11" s="157" t="s">
        <v>269</v>
      </c>
    </row>
    <row r="12" spans="1:2" x14ac:dyDescent="0.25"/>
    <row r="13" spans="1:2" ht="115.5" customHeight="1" x14ac:dyDescent="0.25">
      <c r="A13" s="267" t="str">
        <f>IF('Общие данные'!B103="Avtotransport",A14,A15)</f>
        <v>BAYRAMGELDIYEV NURGELDI QODOMBOY O'G'LI tomonidan so’ralayotgan 30 (o'ttiz) oy muddatga, 60 000 000 (oltmish million so'm) miqdoridagi mikroqarzning ta’minoti sifatida menga mulk huquqi asosida tegishli bo’lgan  COBALT, kuzov turi - YENGIL SEDAN, kuzov raqami XWBJF69VEMA215312, dvigatel raqami B15D2T13210582DJCX0088, shassi raqami - RAKAMSIZ, rangi -  OQ GAZ, ishlab chiqarilgan yili - 2021, avtotransport vositasini qabul qilishingizni so’rayman:</v>
      </c>
      <c r="B13" s="267"/>
    </row>
    <row r="14" spans="1:2" ht="124.5" hidden="1" customHeight="1" x14ac:dyDescent="0.25">
      <c r="A14" s="267"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BAYRAMGELDIYEV NURGELDI QODOMBOY O'G'LI tomonidan so’ralayotgan 30 (o'ttiz) oy muddatga, 60 000 000 (oltmish million so'm) miqdoridagi mikroqarzning ta’minoti sifatida menga mulk huquqi asosida tegishli bo’lgan  COBALT, kuzov turi - YENGIL SEDAN, kuzov raqami XWBJF69VEMA215312, dvigatel raqami B15D2T13210582DJCX0088, shassi raqami - RAKAMSIZ, rangi -  OQ GAZ, ishlab chiqarilgan yili - 2021, avtotransport vositasini qabul qilishingizni so’rayman:</v>
      </c>
      <c r="B14" s="267"/>
    </row>
    <row r="15" spans="1:2" ht="116.25" hidden="1" customHeight="1" x14ac:dyDescent="0.25">
      <c r="A15" s="267"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BAYRAMGELDIYEV NURGELDI QODOMBOY O'G'LI tomonidan so’ralayotgan 30 (o'ttiz) oy muddatga, 60 000 000 (oltmish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67"/>
    </row>
    <row r="16" spans="1:2" x14ac:dyDescent="0.25"/>
    <row r="17" spans="1:2 16382:16382" x14ac:dyDescent="0.25"/>
    <row r="18" spans="1:2 16382:16382" x14ac:dyDescent="0.25">
      <c r="B18" s="7" t="s">
        <v>268</v>
      </c>
    </row>
    <row r="19" spans="1:2 16382:16382" ht="18.75" customHeight="1" x14ac:dyDescent="0.25">
      <c r="A19" s="6">
        <f>IF('Общие данные'!B94='Общие данные'!C94,'Общие данные'!B112,'Общие данные'!B7)</f>
        <v>0</v>
      </c>
      <c r="B19" s="56" t="str">
        <f>'Общие данные'!B2</f>
        <v>05.03.2026</v>
      </c>
    </row>
    <row r="20" spans="1:2 16382:16382" ht="60.75" hidden="1" customHeight="1" x14ac:dyDescent="0.25">
      <c r="A20" s="321" t="str">
        <f>IF('Общие данные'!B94='Общие данные'!D94,CONCATENATE(A23," ",A28,A22),"")</f>
        <v/>
      </c>
      <c r="B20" s="321"/>
    </row>
    <row r="21" spans="1:2 16382:16382" hidden="1" x14ac:dyDescent="0.25">
      <c r="A21" s="6" t="s">
        <v>23</v>
      </c>
    </row>
    <row r="22" spans="1:2 16382:16382" ht="67.5" customHeight="1" x14ac:dyDescent="0.25">
      <c r="A22" s="322" t="str">
        <f>" xususiy faoliyat ko'rsatuvchi notarius tomonidan "&amp;'Общие данные'!B98&amp;" "&amp;'Общие данные'!B99&amp;" berilgan ishonchnomaga asosan "</f>
        <v xml:space="preserve"> xususiy faoliyat ko'rsatuvchi notarius tomonidan   berilgan ishonchnomaga asosan </v>
      </c>
      <c r="B22" s="323"/>
      <c r="XFB22" s="6" t="s">
        <v>419</v>
      </c>
    </row>
    <row r="23" spans="1:2 16382:16382" x14ac:dyDescent="0.25">
      <c r="A23" s="319" t="str">
        <f>"№"&amp;'Общие данные'!B100&amp; ""</f>
        <v>№</v>
      </c>
      <c r="B23" s="320"/>
    </row>
    <row r="24" spans="1:2 16382:16382" x14ac:dyDescent="0.25">
      <c r="A24" s="319"/>
      <c r="B24" s="320"/>
    </row>
    <row r="25" spans="1:2 16382:16382" ht="14.25" hidden="1" customHeight="1" x14ac:dyDescent="0.25">
      <c r="A25" s="220" t="str">
        <f>'Общие данные'!B102</f>
        <v>00.01.1900</v>
      </c>
      <c r="B25" s="221"/>
    </row>
    <row r="26" spans="1:2 16382:16382" ht="15.75" hidden="1" customHeight="1" x14ac:dyDescent="0.25">
      <c r="A26" s="220" t="str">
        <f>TEXT(A25,"ДД.ММ.ГГГГ")</f>
        <v>00.01.1900</v>
      </c>
      <c r="B26" s="221"/>
    </row>
    <row r="27" spans="1:2 16382:16382" ht="15.75" hidden="1" customHeight="1" x14ac:dyDescent="0.25">
      <c r="A27" s="220" t="s">
        <v>376</v>
      </c>
      <c r="B27" s="221"/>
    </row>
    <row r="28" spans="1:2 16382:16382" x14ac:dyDescent="0.25">
      <c r="A28" s="317" t="str">
        <f>CONCATENATE(A26,A27)</f>
        <v>00.01.1900 sanasidan</v>
      </c>
      <c r="B28" s="318"/>
    </row>
    <row r="29" spans="1:2 16382:16382" x14ac:dyDescent="0.25">
      <c r="A29" s="156"/>
      <c r="B29" s="156"/>
    </row>
  </sheetData>
  <mergeCells count="7">
    <mergeCell ref="A28:B28"/>
    <mergeCell ref="A23:B24"/>
    <mergeCell ref="A13:B13"/>
    <mergeCell ref="A14:B14"/>
    <mergeCell ref="A15:B15"/>
    <mergeCell ref="A20:B20"/>
    <mergeCell ref="A22:B2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G64"/>
  <sheetViews>
    <sheetView tabSelected="1" view="pageBreakPreview" zoomScaleNormal="100" zoomScaleSheetLayoutView="100" workbookViewId="0">
      <selection activeCell="I63" sqref="I63"/>
    </sheetView>
  </sheetViews>
  <sheetFormatPr defaultColWidth="9.140625" defaultRowHeight="15" outlineLevelRow="1" x14ac:dyDescent="0.25"/>
  <cols>
    <col min="1" max="1" width="28.42578125" style="15" customWidth="1"/>
    <col min="2" max="2" width="22.85546875" style="15" customWidth="1"/>
    <col min="3" max="3" width="22.42578125" style="15" customWidth="1"/>
    <col min="4" max="4" width="21.42578125" style="15" customWidth="1"/>
    <col min="5" max="5" width="23.7109375" style="15" customWidth="1"/>
    <col min="6" max="16384" width="9.140625" style="15"/>
  </cols>
  <sheetData>
    <row r="1" spans="1:5" ht="106.5" customHeight="1" x14ac:dyDescent="0.25"/>
    <row r="2" spans="1:5" x14ac:dyDescent="0.25">
      <c r="A2" s="254" t="str">
        <f>"GAROV PREDMETI QIYMATINI KELISHISH 
№"&amp;'Общие данные'!B141&amp;" SONLI DALOLATNOMASI
 "</f>
        <v xml:space="preserve">GAROV PREDMETI QIYMATINI KELISHISH 
№1 SONLI DALOLATNOMASI
 </v>
      </c>
      <c r="B2" s="254"/>
      <c r="C2" s="254"/>
      <c r="D2" s="254"/>
      <c r="E2" s="254"/>
    </row>
    <row r="3" spans="1:5" x14ac:dyDescent="0.25">
      <c r="A3" s="40"/>
      <c r="B3" s="40"/>
      <c r="C3" s="40"/>
      <c r="D3" s="40"/>
      <c r="E3" s="40"/>
    </row>
    <row r="4" spans="1:5" x14ac:dyDescent="0.25">
      <c r="A4" s="37" t="s">
        <v>202</v>
      </c>
      <c r="B4" s="37"/>
      <c r="C4" s="37"/>
      <c r="D4" s="37"/>
      <c r="E4" s="37" t="str">
        <f>'Общие данные'!B142</f>
        <v>5 mart 2026 y.</v>
      </c>
    </row>
    <row r="5" spans="1:5" ht="9" customHeight="1" x14ac:dyDescent="0.25">
      <c r="A5" s="237"/>
      <c r="B5" s="237"/>
      <c r="C5" s="237"/>
      <c r="D5" s="237"/>
      <c r="E5" s="237"/>
    </row>
    <row r="6" spans="1:5" ht="87" customHeight="1" x14ac:dyDescent="0.25">
      <c r="A6" s="237" t="str">
        <f>IF('Общие данные'!B103="avtotransport",'Акт согласования'!A10:E10,'Акт согласования'!A7:E7)</f>
        <v>«PULLOL BUSINESS MIKROMOLIYA TASHKILOTI»  MChJning (1-tomon) vakili bo‘lgan  To'rtko'l filiali boshlig’i Djumanazarov B.A., O‘zbekiston Respublikasi fuqarosi va garovga beruvchi BAYRAMGELDIYEV NURGELDI QODOMBOY O'G'LI (2-tomon) o’rtalarida, 5 mart 2026 y.dan №194-TR-sonli Mikroqarz shartnomasiga muvofiq 1-tomon 2-tomonga berilgan mikroqarz bo‘yicha ta’minot sifatida taqdim etilgan, 2-tomonga mulk huquqi asosida tegishli bo‘lgan mulkning garov qiymatini kelishish muzokaralari o’tkazildi.</v>
      </c>
      <c r="B6" s="237"/>
      <c r="C6" s="237"/>
      <c r="D6" s="237"/>
      <c r="E6" s="237"/>
    </row>
    <row r="7" spans="1:5" ht="88.5" hidden="1" customHeight="1" x14ac:dyDescent="0.25">
      <c r="A7" s="237" t="str">
        <f>IF('Общие данные'!B93="ha",'Акт согласования'!A9:E9,'Акт согласования'!A8:E8)</f>
        <v xml:space="preserve">«PULLOL BUSINESS MIKROMOLIYA TASHKILOTI»  MChJning (1-tomon) vakili bo‘lgan  To'rtko'l filiali boshlig’i Djumanazarov B.A., va O‘zbekiston Respublikasi fuqarosi  BAYRAMGELDIYEV NURGELDI QODOMBOY O'G'LI (2-tomon) va garov egasi BAYRAMGELDIYEV NURGELDI QODOMBOY O'G'LI (3-tomon) 5 mart 2026 y.dan №194-TR Mikroqarz shartnomasiga muvofiq 1-tomon 2-tomonga berilgan mikroqarz bo‘yicha ta’minot sifatida taqdim etilgan, 2-tomonga mulk huquqi asosida tegishli bo‘lgan mulkning garov qiymatini kelishish muzokaralari o’tkazildi. </v>
      </c>
      <c r="B7" s="237"/>
      <c r="C7" s="237"/>
      <c r="D7" s="237"/>
      <c r="E7" s="237"/>
    </row>
    <row r="8" spans="1:5" ht="88.5" hidden="1" customHeight="1" x14ac:dyDescent="0.25">
      <c r="A8" s="237" t="str">
        <f>""&amp;'Общие данные'!B147&amp;"ning (1-tomon) vakili bo‘lgan  "&amp;'Общие данные'!A160&amp;" "&amp;'Общие данные'!B160&amp;",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«PULLOL BUSINESS MIKROMOLIYA TASHKILOTI»  MChJning (1-tomon) vakili bo‘lgan  To'rtko'l filiali boshlig’i Djumanazarov B.A., va O‘zbekiston Respublikasi fuqarosi  BAYRAMGELDIYEV NURGELDI QODOMBOY O'G'LI (2-tomon) va garov egasi BAYRAMGELDIYEV NURGELDI QODOMBOY O'G'LI (3-tomon) 5 mart 2026 y.dan №194-TR Mikroqarz shartnomasiga muvofiq 1-tomon 2-tomonga berilgan mikroqarz bo‘yicha ta’minot sifatida taqdim etilgan, 2-tomonga mulk huquqi asosida tegishli bo‘lgan mulkning garov qiymatini kelishish muzokaralari o’tkazildi. </v>
      </c>
      <c r="B8" s="237"/>
      <c r="C8" s="237"/>
      <c r="D8" s="237"/>
      <c r="E8" s="237"/>
    </row>
    <row r="9" spans="1:5" ht="88.5" hidden="1" customHeight="1" x14ac:dyDescent="0.25">
      <c r="A9" s="237" t="str">
        <f>""&amp;'Общие данные'!B147&amp;"ning (1-tomon) vakili bo‘lgan  "&amp;'Общие данные'!A160&amp;" "&amp;'Общие данные'!B160&amp;",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«PULLOL BUSINESS MIKROMOLIYA TASHKILOTI»  MChJning (1-tomon) vakili bo‘lgan  To'rtko'l filiali boshlig’i Djumanazarov B.A., va O‘zbekiston Respublikasi fuqarosi  BAYRAMGELDIYEV NURGELDI QODOMBOY O'G'LI (2-tomon) va garov egasi BAYRAMGELDIYEV NURGELDI QODOMBOY O'G'LI (3-tomon) 5 mart 2026 y.dan №194-TR Mikroqarz shartnomasiga muvofiq 1-tomon 2-tomonga berilgan mikroqarz bo‘yicha ta’minot sifatida taqdim etilgan, 2-tomonga mulk huquqi asosida tegishli bo‘lgan mulkning garov qiymatini kelishish muzokaralari o’tkazildi. </v>
      </c>
      <c r="B9" s="237"/>
      <c r="C9" s="237"/>
      <c r="D9" s="237"/>
      <c r="E9" s="237"/>
    </row>
    <row r="10" spans="1:5" ht="88.5" hidden="1" customHeight="1" x14ac:dyDescent="0.25">
      <c r="A10" s="237" t="str">
        <f>IF('Общие данные'!B93="ha",'Акт согласования'!A12:E12,'Акт согласования'!A11:E11)</f>
        <v>«PULLOL BUSINESS MIKROMOLIYA TASHKILOTI»  MChJning (1-tomon) vakili bo‘lgan  To'rtko'l filiali boshlig’i Djumanazarov B.A., O‘zbekiston Respublikasi fuqarosi va garovga beruvchi BAYRAMGELDIYEV NURGELDI QODOMBOY O'G'LI (2-tomon) o’rtalarida, 5 mart 2026 y.dan №194-TR-sonli Mikroqarz shartnomasiga muvofiq 1-tomon 2-tomonga berilgan mikroqarz bo‘yicha ta’minot sifatida taqdim etilgan, 2-tomonga mulk huquqi asosida tegishli bo‘lgan mulkning garov qiymatini kelishish muzokaralari o’tkazildi.</v>
      </c>
      <c r="B10" s="237"/>
      <c r="C10" s="237"/>
      <c r="D10" s="237"/>
      <c r="E10" s="237"/>
    </row>
    <row r="11" spans="1:5" ht="88.5" hidden="1" customHeight="1" x14ac:dyDescent="0.25">
      <c r="A11" s="237" t="str">
        <f>""&amp;'Общие данные'!B147&amp;"ning (1-tomon) vakili bo‘lgan  "&amp;'Общие данные'!A160&amp;" "&amp;'Общие данные'!B160&amp;",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«PULLOL BUSINESS MIKROMOLIYA TASHKILOTI»  MChJning (1-tomon) vakili bo‘lgan  To'rtko'l filiali boshlig’i Djumanazarov B.A., O‘zbekiston Respublikasi fuqarosi BAYRAMGELDIYEV NURGELDI QODOMBOY O'G'LI (2-tomon) va garovga beruvchi O‘zbekiston Respublikasi fuqarosi BAYRAMGELDIYEV NURGELDI QODOMBOY O'G'LI (3-tomon) o’rtalarida, 5 mart 2026 y.dan №194-TR-sonli Mikroqarz shartnomasiga muvofiq 1-tomon 2-tomonga berilgan mikroqarz bo‘yicha ta’minot sifatida taqdim etilgan, 3-tomonga mulk huquqi asosida tegishli bo‘lgan mulkning garov qiymatini kelishish muzokaralari o’tkazildi.</v>
      </c>
      <c r="B11" s="237"/>
      <c r="C11" s="237"/>
      <c r="D11" s="237"/>
      <c r="E11" s="237"/>
    </row>
    <row r="12" spans="1:5" ht="88.5" hidden="1" customHeight="1" x14ac:dyDescent="0.25">
      <c r="A12" s="237" t="str">
        <f>""&amp;'Общие данные'!B147&amp;"ning (1-tomon) vakili bo‘lgan  "&amp;'Общие данные'!A160&amp;" "&amp;'Общие данные'!B160&amp;",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«PULLOL BUSINESS MIKROMOLIYA TASHKILOTI»  MChJning (1-tomon) vakili bo‘lgan  To'rtko'l filiali boshlig’i Djumanazarov B.A., O‘zbekiston Respublikasi fuqarosi va garovga beruvchi BAYRAMGELDIYEV NURGELDI QODOMBOY O'G'LI (2-tomon) o’rtalarida, 5 mart 2026 y.dan №194-TR-sonli Mikroqarz shartnomasiga muvofiq 1-tomon 2-tomonga berilgan mikroqarz bo‘yicha ta’minot sifatida taqdim etilgan, 2-tomonga mulk huquqi asosida tegishli bo‘lgan mulkning garov qiymatini kelishish muzokaralari o’tkazildi.</v>
      </c>
      <c r="B12" s="237"/>
      <c r="C12" s="237"/>
      <c r="D12" s="237"/>
      <c r="E12" s="237"/>
    </row>
    <row r="13" spans="1:5" ht="88.5" hidden="1" customHeight="1" x14ac:dyDescent="0.25">
      <c r="A13" s="237" t="str">
        <f>"Garov predmeti sifatida "&amp;'Общие данные'!B125&amp;", 3-tomonga egalik huquqi tegishli bo'lgan, quyidagi tafsilotlarga ega avtotransport vositasi taqdim etiladi:"</f>
        <v>Garov predmeti sifatida COBALT, 3-tomonga egalik huquqi tegishli bo'lgan, quyidagi tafsilotlarga ega avtotransport vositasi taqdim etiladi:</v>
      </c>
      <c r="B13" s="237"/>
      <c r="C13" s="237"/>
      <c r="D13" s="237"/>
      <c r="E13" s="237"/>
    </row>
    <row r="14" spans="1:5" ht="88.5" hidden="1" customHeight="1" x14ac:dyDescent="0.25">
      <c r="A14" s="237" t="str">
        <f>"Garov predmeti sifatida "&amp;'Общие данные'!B125&amp;", 2-tomonga egalik huquqi tegishli bo'lgan, quyidagi tafsilotlarga ega avtotransport vositasi taqdim etiladi:"</f>
        <v>Garov predmeti sifatida COBALT, 2-tomonga egalik huquqi tegishli bo'lgan, quyidagi tafsilotlarga ega avtotransport vositasi taqdim etiladi:</v>
      </c>
      <c r="B14" s="237"/>
      <c r="C14" s="237"/>
      <c r="D14" s="237"/>
      <c r="E14" s="237"/>
    </row>
    <row r="15" spans="1:5" ht="88.5" hidden="1" customHeight="1" x14ac:dyDescent="0.25">
      <c r="A15" s="237" t="str">
        <f>IF('Общие данные'!B93="ha",'Акт согласования'!A14:E14,'Акт согласования'!A13:E13)</f>
        <v>Garov predmeti sifatida COBALT, 2-tomonga egalik huquqi tegishli bo'lgan, quyidagi tafsilotlarga ega avtotransport vositasi taqdim etiladi:</v>
      </c>
      <c r="B15" s="237"/>
      <c r="C15" s="237"/>
      <c r="D15" s="237"/>
      <c r="E15" s="237"/>
    </row>
    <row r="16" spans="1:5" ht="88.5" hidden="1" customHeight="1" x14ac:dyDescent="0.25">
      <c r="A16" s="237"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7"/>
      <c r="C16" s="237"/>
      <c r="D16" s="237"/>
      <c r="E16" s="237"/>
    </row>
    <row r="17" spans="1:5" ht="13.5" hidden="1" customHeight="1" x14ac:dyDescent="0.25">
      <c r="A17" s="237"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7"/>
      <c r="C17" s="237"/>
      <c r="D17" s="237"/>
      <c r="E17" s="237"/>
    </row>
    <row r="18" spans="1:5" ht="11.25" hidden="1" customHeight="1" x14ac:dyDescent="0.25">
      <c r="A18" s="237" t="str">
        <f>IF('Общие данные'!B93="ha",'Акт согласования'!A16:E16,'Акт согласования'!A17:E17)</f>
        <v>Garov predmeti sifatida 3 - xonali yakka tartibdagi uy-joy, 2-tomonga egalik huquqi tegishli bo'lgan, quyidagi tafsilotlarga ega ko'chmas mulk taqdim etiladi:</v>
      </c>
      <c r="B18" s="237"/>
      <c r="C18" s="237"/>
      <c r="D18" s="237"/>
      <c r="E18" s="237"/>
    </row>
    <row r="19" spans="1:5" ht="39.75" customHeight="1" x14ac:dyDescent="0.25">
      <c r="A19" s="237" t="str">
        <f>IF('Общие данные'!B103="Avtotransport",'Акт согласования'!A15:E15,'Акт согласования'!A18:E18)</f>
        <v>Garov predmeti sifatida COBALT, 2-tomonga egalik huquqi tegishli bo'lgan, quyidagi tafsilotlarga ega avtotransport vositasi taqdim etiladi:</v>
      </c>
      <c r="B19" s="237"/>
      <c r="C19" s="237"/>
      <c r="D19" s="237"/>
      <c r="E19" s="237"/>
    </row>
    <row r="20" spans="1:5" ht="48" customHeight="1" outlineLevel="1" x14ac:dyDescent="0.25">
      <c r="A20" s="39" t="s">
        <v>200</v>
      </c>
      <c r="B20" s="324" t="str">
        <f>IF('Общие данные'!B103='Общие данные'!C103,"Kuzov turi  va kuzov raqami*","Foydali maydoni")</f>
        <v>Kuzov turi  va kuzov raqami*</v>
      </c>
      <c r="C20" s="325"/>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x14ac:dyDescent="0.25">
      <c r="A21" s="17" t="str">
        <f>IF('Общие данные'!B103='Общие данные'!C103,'Общие данные'!B125,'Общие данные'!C125)</f>
        <v>COBALT</v>
      </c>
      <c r="B21" s="256" t="str">
        <f>IF('Общие данные'!B103='Общие данные'!C103,'Общие данные'!B127,CONCATENATE('Общие данные'!G130," ","kv.m"))</f>
        <v>kuzov turi - YENGIL SEDAN, kuzov raqami XWBJF69VEMA215312</v>
      </c>
      <c r="C21" s="256"/>
      <c r="D21" s="17" t="str">
        <f>IF('Общие данные'!B103='Общие данные'!C103,'Общие данные'!B130,'Общие данные'!F133)</f>
        <v>dvigatel raqami B15D2T13210582DJCX0088, shassi raqami - RAKAMSIZ</v>
      </c>
      <c r="E21" s="17" t="str">
        <f>IF('Общие данные'!B103='Общие данные'!C103,'Общие данные'!B133,'Общие данные'!F130)</f>
        <v>rangi -  OQ GAZ, ishlab chiqarilgan yili - 2021</v>
      </c>
    </row>
    <row r="22" spans="1:5" ht="17.25" customHeight="1" outlineLevel="1" x14ac:dyDescent="0.25">
      <c r="A22" s="237" t="str">
        <f>"-* "&amp;IF('Общие данные'!B103='Общие данные'!C103,"avtotransport "&amp;"egasi: "&amp;'Общие данные'!B117&amp;"","ko'chmas mulk"&amp;" egasi: "&amp;'Общие данные'!B117&amp;"")</f>
        <v>-* avtotransport egasi: BAYRAMGELDIYEV NURGELDI QODOMBOY O'G'LI</v>
      </c>
      <c r="B22" s="237"/>
      <c r="C22" s="237"/>
      <c r="D22" s="237"/>
      <c r="E22" s="237"/>
    </row>
    <row r="23" spans="1:5" outlineLevel="1" x14ac:dyDescent="0.25">
      <c r="A23" s="237" t="str">
        <f>IF('Общие данные'!B103='Общие данные'!C103,"-* texnik pasport: "&amp;'Общие данные'!B124&amp;"","-* reest raqami: "&amp;'Общие данные'!C124&amp;"")</f>
        <v>-* texnik pasport: AAG       1523624      13.05.2023 y</v>
      </c>
      <c r="B23" s="237"/>
      <c r="C23" s="237"/>
      <c r="D23" s="237"/>
      <c r="E23" s="237"/>
    </row>
    <row r="24" spans="1:5" s="183" customFormat="1" outlineLevel="1" x14ac:dyDescent="0.25">
      <c r="A24" s="237" t="str">
        <f>IF('Общие данные'!B103='Общие данные'!C103,"-* roʻyxatdan oʻtgan manzili/garaj manzili: "&amp;'Общие данные'!B122&amp;"","-*  kadastr raqami: "&amp;'Общие данные'!C127&amp;"")</f>
        <v>-* roʻyxatdan oʻtgan manzili/garaj manzili: QORAQALPOG'ISTON RESPUBLIKASI ELLIKQAL'A TUMANI JASORAT MFY PAXTABIRLIK KO'CHASI 7-UY</v>
      </c>
      <c r="B24" s="237"/>
      <c r="C24" s="237"/>
      <c r="D24" s="237"/>
      <c r="E24" s="237"/>
    </row>
    <row r="25" spans="1:5" ht="33" customHeight="1" outlineLevel="1" x14ac:dyDescent="0.25">
      <c r="A25" s="237" t="str">
        <f>IF('Общие данные'!B103='Общие данные'!C103,"-* davlat raqami: "&amp;'Общие данные'!B126&amp;"","-* manzili: "&amp;'Общие данные'!C123&amp;"")</f>
        <v>-* davlat raqami: 95H906KA</v>
      </c>
      <c r="B25" s="237"/>
      <c r="C25" s="237"/>
      <c r="D25" s="237"/>
      <c r="E25" s="237"/>
    </row>
    <row r="26" spans="1:5" ht="65.25" customHeight="1" x14ac:dyDescent="0.25">
      <c r="A26" s="237"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5 mart 2026 y.dan №194-TR Mikroqarz shartnomasi bo‘yicha berilgan mikroqarz bo‘yicha  
84 000 000,00 (sakson to'rt million so'm) so’m bo‘lgan kelishilgan garov qiymatida qabul qiladi::</v>
      </c>
      <c r="B26" s="237"/>
      <c r="C26" s="237"/>
      <c r="D26" s="237"/>
      <c r="E26" s="237"/>
    </row>
    <row r="27" spans="1:5" ht="66" hidden="1" customHeight="1" x14ac:dyDescent="0.25">
      <c r="A27" s="237"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5 mart 2026 y.dan №194-TR mikroqarz shartnomasi bo‘yicha berilgan mikroqarz bo‘yicha  
84 000 000,00 (sakson to'rt million so'm) so’m bo‘lgan kelishilgan garov qiymatida qabul qiladi::</v>
      </c>
      <c r="B27" s="237"/>
      <c r="C27" s="237"/>
      <c r="D27" s="237"/>
      <c r="E27" s="237"/>
    </row>
    <row r="28" spans="1:5" ht="58.5" hidden="1" customHeight="1" x14ac:dyDescent="0.25">
      <c r="A28" s="237"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5 mart 2026 y.dan №194-TR Mikroqarz shartnomasi bo‘yicha berilgan mikroqarz bo‘yicha  
84 000 000,00 (sakson to'rt million so'm) so’m bo‘lgan kelishilgan garov qiymatida qabul qiladi::</v>
      </c>
      <c r="B28" s="237"/>
      <c r="C28" s="237"/>
      <c r="D28" s="237"/>
      <c r="E28" s="237"/>
    </row>
    <row r="29" spans="1:5" ht="51.75" customHeight="1" outlineLevel="1" x14ac:dyDescent="0.25">
      <c r="A29" s="39" t="s">
        <v>200</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201</v>
      </c>
    </row>
    <row r="30" spans="1:5" ht="76.5" customHeight="1" outlineLevel="1" x14ac:dyDescent="0.25">
      <c r="A30" s="17" t="str">
        <f>A21</f>
        <v>COBALT</v>
      </c>
      <c r="B30" s="17" t="str">
        <f>B21</f>
        <v>kuzov turi - YENGIL SEDAN, kuzov raqami XWBJF69VEMA215312</v>
      </c>
      <c r="C30" s="17" t="str">
        <f>D21</f>
        <v>dvigatel raqami B15D2T13210582DJCX0088, shassi raqami - RAKAMSIZ</v>
      </c>
      <c r="D30" s="17" t="str">
        <f>IF('Общие данные'!B103='Общие данные'!C103,E21,TEXT('Общие данные'!C135,"ДД.ММ.ГГГГ"))</f>
        <v>rangi -  OQ GAZ, ishlab chiqarilgan yili - 2021</v>
      </c>
      <c r="E30" s="17" t="str">
        <f>""&amp;FIXED('Общие данные'!B136,2)&amp;" 
("&amp;'Общие данные'!B137&amp;")"</f>
        <v>84 000 000,00 
(sakson to'rt million so'm)</v>
      </c>
    </row>
    <row r="31" spans="1:5" ht="16.5" customHeight="1" x14ac:dyDescent="0.25">
      <c r="A31" s="16"/>
      <c r="B31" s="16"/>
      <c r="C31" s="16"/>
      <c r="D31" s="16"/>
      <c r="E31" s="16"/>
    </row>
    <row r="32" spans="1:5" ht="56.25" hidden="1" customHeight="1" outlineLevel="1" x14ac:dyDescent="0.25">
      <c r="A32" s="39" t="s">
        <v>5</v>
      </c>
      <c r="B32" s="39" t="s">
        <v>18</v>
      </c>
      <c r="C32" s="39" t="s">
        <v>19</v>
      </c>
      <c r="D32" s="39" t="s">
        <v>20</v>
      </c>
      <c r="E32" s="39" t="s">
        <v>6</v>
      </c>
    </row>
    <row r="33" spans="1:5" ht="15.75" hidden="1" customHeight="1" outlineLevel="1" x14ac:dyDescent="0.25">
      <c r="A33" s="17" t="e">
        <f>#REF!</f>
        <v>#REF!</v>
      </c>
      <c r="B33" s="111" t="e">
        <f>#REF!</f>
        <v>#REF!</v>
      </c>
      <c r="C33" s="111" t="e">
        <f>#REF!</f>
        <v>#REF!</v>
      </c>
      <c r="D33" s="111" t="e">
        <f>#REF!</f>
        <v>#REF!</v>
      </c>
      <c r="E33" s="328" t="str">
        <f>""&amp;FIXED('Общие данные'!C136,2)&amp;" ("&amp;'Общие данные'!B137&amp;")"</f>
        <v>84 000 000,00 (sakson to'rt million so'm)</v>
      </c>
    </row>
    <row r="34" spans="1:5" ht="15.75" hidden="1" customHeight="1" outlineLevel="1" x14ac:dyDescent="0.25">
      <c r="A34" s="17"/>
      <c r="B34" s="111"/>
      <c r="C34" s="111"/>
      <c r="D34" s="111"/>
      <c r="E34" s="329"/>
    </row>
    <row r="35" spans="1:5" ht="15.75" hidden="1" customHeight="1" outlineLevel="1" x14ac:dyDescent="0.25">
      <c r="A35" s="17" t="e">
        <f>#REF!</f>
        <v>#REF!</v>
      </c>
      <c r="B35" s="111" t="e">
        <f>#REF!</f>
        <v>#REF!</v>
      </c>
      <c r="C35" s="111" t="e">
        <f>#REF!</f>
        <v>#REF!</v>
      </c>
      <c r="D35" s="111" t="e">
        <f>#REF!</f>
        <v>#REF!</v>
      </c>
      <c r="E35" s="329"/>
    </row>
    <row r="36" spans="1:5" ht="15.75" hidden="1" customHeight="1" outlineLevel="1" x14ac:dyDescent="0.25">
      <c r="A36" s="17" t="e">
        <f>#REF!</f>
        <v>#REF!</v>
      </c>
      <c r="B36" s="111" t="e">
        <f>#REF!</f>
        <v>#REF!</v>
      </c>
      <c r="C36" s="111" t="e">
        <f>#REF!</f>
        <v>#REF!</v>
      </c>
      <c r="D36" s="111" t="e">
        <f>#REF!</f>
        <v>#REF!</v>
      </c>
      <c r="E36" s="329"/>
    </row>
    <row r="37" spans="1:5" ht="15.75" hidden="1" customHeight="1" outlineLevel="1" x14ac:dyDescent="0.25">
      <c r="A37" s="17" t="e">
        <f>#REF!</f>
        <v>#REF!</v>
      </c>
      <c r="B37" s="111" t="e">
        <f>#REF!</f>
        <v>#REF!</v>
      </c>
      <c r="C37" s="111" t="e">
        <f>#REF!</f>
        <v>#REF!</v>
      </c>
      <c r="D37" s="111" t="e">
        <f>#REF!</f>
        <v>#REF!</v>
      </c>
      <c r="E37" s="329"/>
    </row>
    <row r="38" spans="1:5" ht="15.75" hidden="1" customHeight="1" outlineLevel="1" x14ac:dyDescent="0.25">
      <c r="A38" s="17" t="e">
        <f>#REF!</f>
        <v>#REF!</v>
      </c>
      <c r="B38" s="111" t="e">
        <f>#REF!</f>
        <v>#REF!</v>
      </c>
      <c r="C38" s="111" t="e">
        <f>#REF!</f>
        <v>#REF!</v>
      </c>
      <c r="D38" s="111" t="e">
        <f>#REF!</f>
        <v>#REF!</v>
      </c>
      <c r="E38" s="329"/>
    </row>
    <row r="39" spans="1:5" ht="15.75" hidden="1" customHeight="1" outlineLevel="1" x14ac:dyDescent="0.25">
      <c r="A39" s="17" t="e">
        <f>#REF!</f>
        <v>#REF!</v>
      </c>
      <c r="B39" s="111" t="e">
        <f>#REF!</f>
        <v>#REF!</v>
      </c>
      <c r="C39" s="111" t="e">
        <f>#REF!</f>
        <v>#REF!</v>
      </c>
      <c r="D39" s="111" t="e">
        <f>#REF!</f>
        <v>#REF!</v>
      </c>
      <c r="E39" s="329"/>
    </row>
    <row r="40" spans="1:5" ht="15.75" hidden="1" customHeight="1" outlineLevel="1" x14ac:dyDescent="0.25">
      <c r="A40" s="17" t="e">
        <f>#REF!</f>
        <v>#REF!</v>
      </c>
      <c r="B40" s="111" t="e">
        <f>#REF!</f>
        <v>#REF!</v>
      </c>
      <c r="C40" s="111" t="e">
        <f>#REF!</f>
        <v>#REF!</v>
      </c>
      <c r="D40" s="111" t="e">
        <f>#REF!</f>
        <v>#REF!</v>
      </c>
      <c r="E40" s="329"/>
    </row>
    <row r="41" spans="1:5" ht="15.75" hidden="1" customHeight="1" outlineLevel="1" x14ac:dyDescent="0.25">
      <c r="A41" s="17" t="e">
        <f>#REF!</f>
        <v>#REF!</v>
      </c>
      <c r="B41" s="111" t="e">
        <f>#REF!</f>
        <v>#REF!</v>
      </c>
      <c r="C41" s="111" t="e">
        <f>#REF!</f>
        <v>#REF!</v>
      </c>
      <c r="D41" s="111" t="e">
        <f>#REF!</f>
        <v>#REF!</v>
      </c>
      <c r="E41" s="329"/>
    </row>
    <row r="42" spans="1:5" ht="15.75" hidden="1" customHeight="1" outlineLevel="1" x14ac:dyDescent="0.25">
      <c r="A42" s="17" t="e">
        <f>#REF!</f>
        <v>#REF!</v>
      </c>
      <c r="B42" s="111" t="e">
        <f>#REF!</f>
        <v>#REF!</v>
      </c>
      <c r="C42" s="111" t="e">
        <f>#REF!</f>
        <v>#REF!</v>
      </c>
      <c r="D42" s="111" t="e">
        <f>#REF!</f>
        <v>#REF!</v>
      </c>
      <c r="E42" s="329"/>
    </row>
    <row r="43" spans="1:5" ht="15.75" hidden="1" customHeight="1" outlineLevel="1" x14ac:dyDescent="0.25">
      <c r="A43" s="17" t="e">
        <f>#REF!</f>
        <v>#REF!</v>
      </c>
      <c r="B43" s="17" t="e">
        <f>#REF!</f>
        <v>#REF!</v>
      </c>
      <c r="C43" s="17" t="e">
        <f>#REF!</f>
        <v>#REF!</v>
      </c>
      <c r="D43" s="17" t="e">
        <f>#REF!</f>
        <v>#REF!</v>
      </c>
      <c r="E43" s="330"/>
    </row>
    <row r="44" spans="1:5" s="37" customFormat="1" ht="15.75" hidden="1" customHeight="1" outlineLevel="1" x14ac:dyDescent="0.2">
      <c r="A44" s="39" t="e">
        <f>#REF!</f>
        <v>#REF!</v>
      </c>
      <c r="B44" s="39" t="e">
        <f>#REF!</f>
        <v>#REF!</v>
      </c>
      <c r="C44" s="39" t="e">
        <f>#REF!</f>
        <v>#REF!</v>
      </c>
      <c r="D44" s="39" t="e">
        <f>#REF!</f>
        <v>#REF!</v>
      </c>
      <c r="E44" s="39" t="str">
        <f>FIXED('Общие данные'!C136,2)</f>
        <v>84 000 000,00</v>
      </c>
    </row>
    <row r="45" spans="1:5" ht="12.75" customHeight="1" collapsed="1" x14ac:dyDescent="0.25">
      <c r="A45" s="16"/>
      <c r="B45" s="16"/>
      <c r="C45" s="16"/>
      <c r="D45" s="16"/>
      <c r="E45" s="16"/>
    </row>
    <row r="46" spans="1:5" ht="93.75" hidden="1" customHeight="1" x14ac:dyDescent="0.25">
      <c r="A46" s="23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TULYAGANOV XODJIAKBAR IRGASHEVICH, по согласованной залоговой стоимость - 15 000 000,00 (on besh million) сум.
- №33 от 21 yanvar 2021 г., заключенного с ООО «Clever Mikrokredit Tashkiloti» и TULYAGANOV XODJIAKBAR IRGASHEVICH, по согласованной залоговой стоимость - 15 000 000,00 (on besh million) сум.
0
0
0
0
0
0
0
0
0
0
0
0
0
0
0
0
0</v>
      </c>
      <c r="B46" s="237"/>
      <c r="C46" s="237"/>
      <c r="D46" s="237"/>
      <c r="E46" s="237"/>
    </row>
    <row r="47" spans="1:5" ht="42" customHeight="1" x14ac:dyDescent="0.25">
      <c r="A47" s="237" t="s">
        <v>205</v>
      </c>
      <c r="B47" s="237"/>
      <c r="C47" s="237"/>
      <c r="D47" s="237"/>
      <c r="E47" s="237"/>
    </row>
    <row r="48" spans="1:5" ht="35.25" customHeight="1" x14ac:dyDescent="0.25">
      <c r="A48" s="237" t="str">
        <f>"Shunday qilib, garov predmetining kelishilgan garov qiymati  "&amp;FIXED('Общие данные'!B136)&amp;" ("&amp;'Общие данные'!B137&amp;") so‘mni tashkil etadi."</f>
        <v>Shunday qilib, garov predmetining kelishilgan garov qiymati  84 000 000,00 (sakson to'rt million so'm) so‘mni tashkil etadi.</v>
      </c>
      <c r="B48" s="237"/>
      <c r="C48" s="237"/>
      <c r="D48" s="237"/>
      <c r="E48" s="237"/>
    </row>
    <row r="49" spans="1:7" ht="35.25" hidden="1" customHeight="1" x14ac:dyDescent="0.25">
      <c r="A49" s="19"/>
      <c r="B49" s="19"/>
      <c r="C49" s="19"/>
      <c r="D49" s="19">
        <f>IF('Общие данные'!B92='Общие данные'!C92,'Общие данные'!C136,IF('Общие данные'!B92='Общие данные'!D92,'Данные для послед. Залога'!M22,0))</f>
        <v>84000000</v>
      </c>
      <c r="E49" s="19" t="str">
        <f>IF('Общие данные'!B92='Общие данные'!C92,'Общие данные'!B137,IF('Общие данные'!B92='Общие данные'!D92,'Данные для послед. Залога'!Q22,0))</f>
        <v>sakson to'rt million so'm</v>
      </c>
    </row>
    <row r="50" spans="1:7" x14ac:dyDescent="0.25">
      <c r="A50" s="315" t="s">
        <v>206</v>
      </c>
      <c r="B50" s="315"/>
      <c r="C50" s="315"/>
      <c r="D50" s="22"/>
      <c r="E50" s="22"/>
    </row>
    <row r="51" spans="1:7" x14ac:dyDescent="0.25">
      <c r="A51" s="240" t="str">
        <f>'Общие данные'!B148</f>
        <v>«PULLOL BUSINESS MIKROMOLIYA TASHKILOTI»  MChJ</v>
      </c>
      <c r="B51" s="240"/>
      <c r="C51" s="240"/>
      <c r="D51" s="168"/>
      <c r="E51" s="168"/>
    </row>
    <row r="52" spans="1:7" ht="15" customHeight="1" x14ac:dyDescent="0.25">
      <c r="A52" s="240" t="str">
        <f>""&amp;'Общие данные'!A160&amp;""</f>
        <v>To'rtko'l filiali boshlig’i</v>
      </c>
      <c r="B52" s="240"/>
      <c r="C52" s="240"/>
      <c r="D52" s="315" t="str">
        <f>"_______________   "&amp;'Общие данные'!B160&amp;""</f>
        <v>_______________   Djumanazarov B.A.</v>
      </c>
      <c r="E52" s="315"/>
    </row>
    <row r="53" spans="1:7" x14ac:dyDescent="0.25">
      <c r="A53" s="53"/>
      <c r="B53" s="53"/>
      <c r="C53" s="53"/>
      <c r="D53" s="53"/>
      <c r="E53" s="53"/>
    </row>
    <row r="54" spans="1:7" x14ac:dyDescent="0.25">
      <c r="A54" s="315"/>
      <c r="B54" s="315"/>
      <c r="C54" s="315"/>
      <c r="D54" s="53"/>
      <c r="E54" s="53"/>
    </row>
    <row r="55" spans="1:7" hidden="1" x14ac:dyDescent="0.25">
      <c r="A55" s="240" t="s">
        <v>42</v>
      </c>
      <c r="B55" s="240"/>
      <c r="C55" s="240"/>
      <c r="D55" s="53"/>
      <c r="E55" s="53"/>
    </row>
    <row r="56" spans="1:7" hidden="1" x14ac:dyDescent="0.25">
      <c r="A56" s="240" t="str">
        <f>'Общие данные'!B148</f>
        <v>«PULLOL BUSINESS MIKROMOLIYA TASHKILOTI»  MChJ</v>
      </c>
      <c r="B56" s="240"/>
      <c r="C56" s="240"/>
      <c r="D56" s="240" t="e">
        <f>"_______________   "&amp;'Общие данные'!#REF!&amp;""</f>
        <v>#REF!</v>
      </c>
      <c r="E56" s="240"/>
    </row>
    <row r="57" spans="1:7" ht="12.75" customHeight="1" x14ac:dyDescent="0.25">
      <c r="A57" s="240"/>
      <c r="B57" s="240"/>
      <c r="C57" s="240"/>
      <c r="D57" s="240"/>
      <c r="E57" s="240"/>
    </row>
    <row r="58" spans="1:7" x14ac:dyDescent="0.25">
      <c r="A58" s="315" t="s">
        <v>207</v>
      </c>
      <c r="B58" s="315"/>
      <c r="C58" s="315"/>
      <c r="D58" s="240"/>
      <c r="E58" s="240"/>
    </row>
    <row r="59" spans="1:7" ht="31.5" customHeight="1" x14ac:dyDescent="0.25">
      <c r="A59" s="240" t="s">
        <v>208</v>
      </c>
      <c r="B59" s="240"/>
      <c r="C59" s="240"/>
      <c r="D59" s="315" t="str">
        <f>"_______________  "&amp;'Общие данные'!B7&amp;""</f>
        <v>_______________  BAYRAMGELDIYEV N.Q.</v>
      </c>
      <c r="E59" s="315"/>
    </row>
    <row r="60" spans="1:7" ht="12.75" customHeight="1" x14ac:dyDescent="0.25">
      <c r="A60" s="240"/>
      <c r="B60" s="240"/>
      <c r="C60" s="240"/>
      <c r="D60" s="326" t="str">
        <f>IF('Общие данные'!B93="да","",'Общие данные'!B118)</f>
        <v>BAYRAMGELDIYEV N.Q.</v>
      </c>
      <c r="E60" s="326"/>
    </row>
    <row r="61" spans="1:7" ht="17.25" customHeight="1" x14ac:dyDescent="0.25">
      <c r="A61" s="315" t="str">
        <f>+IF('Общие данные'!B93="ha"," ","3-tomondan:")</f>
        <v xml:space="preserve"> </v>
      </c>
      <c r="B61" s="315"/>
      <c r="C61" s="315"/>
      <c r="D61" s="327"/>
      <c r="E61" s="327"/>
      <c r="F61" s="15" t="str">
        <f>IF('Общие данные'!B94='Общие данные'!D94,B7,"")</f>
        <v/>
      </c>
      <c r="G61" s="15" t="s">
        <v>419</v>
      </c>
    </row>
    <row r="62" spans="1:7" ht="29.25" customHeight="1" x14ac:dyDescent="0.25">
      <c r="A62" s="240" t="str">
        <f>+IF('Общие данные'!B93="ha"," ","O'zbekiston Respublikasi fuqarosi")</f>
        <v xml:space="preserve"> </v>
      </c>
      <c r="B62" s="240"/>
      <c r="C62" s="240"/>
      <c r="D62" s="315" t="str">
        <f>IF('Общие данные'!B93='Общие данные'!C93,"",A63)</f>
        <v/>
      </c>
      <c r="E62" s="315"/>
    </row>
    <row r="63" spans="1:7" ht="77.25" customHeight="1" x14ac:dyDescent="0.25">
      <c r="A63" s="185" t="str">
        <f>IF('Общие данные'!B94='Общие данные'!C94,"_______________  "&amp;'Общие данные'!B112&amp;"","_______________  "&amp;'Общие данные'!B7&amp;"")</f>
        <v>_______________  0</v>
      </c>
      <c r="B63" s="53"/>
      <c r="C63" s="240" t="str">
        <f>'заявление залогодателя'!A20</f>
        <v/>
      </c>
      <c r="D63" s="240"/>
      <c r="E63" s="240"/>
    </row>
    <row r="64" spans="1:7" ht="6.75" hidden="1" customHeight="1" x14ac:dyDescent="0.25">
      <c r="D64" s="247"/>
      <c r="E64" s="247"/>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31496062992125984" top="0.74803149606299213" bottom="0.74803149606299213" header="0.31496062992125984" footer="0.31496062992125984"/>
  <pageSetup paperSize="9" scale="7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D19" sqref="D19"/>
    </sheetView>
  </sheetViews>
  <sheetFormatPr defaultColWidth="9.140625" defaultRowHeight="15" outlineLevelRow="1" x14ac:dyDescent="0.25"/>
  <cols>
    <col min="1" max="1" width="23.85546875" style="15" customWidth="1"/>
    <col min="2" max="2" width="23.28515625" style="15" customWidth="1"/>
    <col min="3" max="3" width="17" style="15" customWidth="1"/>
    <col min="4" max="4" width="17.5703125" style="15" customWidth="1"/>
    <col min="5" max="5" width="21.42578125" style="15" customWidth="1"/>
    <col min="6" max="16384" width="9.140625" style="15"/>
  </cols>
  <sheetData>
    <row r="3" spans="1:5" ht="16.5" customHeight="1" x14ac:dyDescent="0.25"/>
    <row r="4" spans="1:5" ht="17.25" customHeight="1" x14ac:dyDescent="0.25">
      <c r="A4" s="250" t="str">
        <f>""&amp;'Общие данные'!B147&amp;" direktorining
"&amp;'Общие данные'!B165&amp;"dagi "&amp;'Общие данные'!B164&amp;"-sonli buyrug‘i"</f>
        <v>«PULLOL BUSINESS MIKROMOLIYA TASHKILOTI»  MChJ direktorining
5 mart 2026 y.dagi №194-TR-sonli buyrug‘i</v>
      </c>
      <c r="B4" s="250"/>
      <c r="C4" s="250"/>
      <c r="D4" s="250"/>
      <c r="E4" s="250"/>
    </row>
    <row r="5" spans="1:5" x14ac:dyDescent="0.25">
      <c r="A5" s="250"/>
      <c r="B5" s="250"/>
      <c r="C5" s="250"/>
      <c r="D5" s="250"/>
      <c r="E5" s="250"/>
    </row>
    <row r="6" spans="1:5" x14ac:dyDescent="0.25">
      <c r="A6" s="250"/>
      <c r="B6" s="250"/>
      <c r="C6" s="250"/>
      <c r="D6" s="250"/>
      <c r="E6" s="250"/>
    </row>
    <row r="7" spans="1:5" x14ac:dyDescent="0.25">
      <c r="A7" s="237"/>
      <c r="B7" s="237"/>
      <c r="C7" s="237"/>
      <c r="D7" s="237"/>
      <c r="E7" s="237"/>
    </row>
    <row r="8" spans="1:5" ht="53.25" customHeight="1" x14ac:dyDescent="0.25">
      <c r="A8" s="237" t="str">
        <f>"Men, Obidov Abdullo Shokir og'li "&amp;'Общие данные'!B147&amp;" direktori, jismoniy shaxs "&amp;'Общие данные'!B10&amp;"ga quyidagi shartlarda "&amp;'Общие данные'!B65&amp;" berishni buyuraman:"</f>
        <v>Men, Obidov Abdullo Shokir og'li «PULLOL BUSINESS MIKROMOLIYA TASHKILOTI»  MChJ direktori, jismoniy shaxs BAYRAMGELDIYEV NURGELDI QODOMBOY O'G'LIga quyidagi shartlarda mikroqarz berishni buyuraman:</v>
      </c>
      <c r="B8" s="237"/>
      <c r="C8" s="237"/>
      <c r="D8" s="237"/>
      <c r="E8" s="237"/>
    </row>
    <row r="9" spans="1:5" ht="26.25" customHeight="1" x14ac:dyDescent="0.25">
      <c r="A9" s="237" t="str">
        <f>'Кредитная заявка'!A13:D13</f>
        <v>Mikroqarz summasi: 60 000 000,00 (oltmish million so'm) so'm.</v>
      </c>
      <c r="B9" s="237"/>
      <c r="C9" s="237"/>
      <c r="D9" s="237"/>
      <c r="E9" s="237"/>
    </row>
    <row r="10" spans="1:5" ht="21" customHeight="1" x14ac:dyDescent="0.25">
      <c r="A10" s="237" t="str">
        <f>'Кредитная заявка'!A14:D14</f>
        <v>Mikroqarz muddati: 30 (o'ttiz) oy.</v>
      </c>
      <c r="B10" s="237"/>
      <c r="C10" s="237"/>
      <c r="D10" s="237"/>
      <c r="E10" s="237"/>
    </row>
    <row r="11" spans="1:5" ht="27" customHeight="1" x14ac:dyDescent="0.25">
      <c r="A11" s="237" t="str">
        <f>'Кредитная заявка'!A15:D15</f>
        <v>Mikroqarzdan foydalanganlik uchun foiz stavkasi: yillik  55% (Ellik besh  ) foiz</v>
      </c>
      <c r="B11" s="237"/>
      <c r="C11" s="237"/>
      <c r="D11" s="237"/>
      <c r="E11" s="237"/>
    </row>
    <row r="12" spans="1:5" ht="26.25" customHeight="1" x14ac:dyDescent="0.25">
      <c r="A12" s="237" t="str">
        <f>'Кредитная заявка'!A16:D16</f>
        <v>Mikroqarz bo'yicha asosiy qarz va foizlarni to'lash:</v>
      </c>
      <c r="B12" s="237"/>
      <c r="C12" s="237"/>
      <c r="D12" s="237"/>
      <c r="E12" s="237"/>
    </row>
    <row r="13" spans="1:5" ht="21.75" hidden="1" customHeight="1" x14ac:dyDescent="0.25">
      <c r="A13" s="237" t="str">
        <f>'Кредитная заявка'!A17:D17</f>
        <v xml:space="preserve"> - mikroqarz shartnomasi bo'yicha har oy differensial to'lovlari amalga oshiriladi</v>
      </c>
      <c r="B13" s="237"/>
      <c r="C13" s="237"/>
      <c r="D13" s="237"/>
      <c r="E13" s="237"/>
    </row>
    <row r="14" spans="1:5" hidden="1" x14ac:dyDescent="0.25">
      <c r="A14" s="237" t="str">
        <f>'Кредитная заявка'!A19:D19</f>
        <v xml:space="preserve"> - mikroqarz shartnomasi bo'yicha har oy annuitet to'lovlari amalga oshiriladi</v>
      </c>
      <c r="B14" s="237"/>
      <c r="C14" s="237"/>
      <c r="D14" s="237"/>
      <c r="E14" s="237"/>
    </row>
    <row r="15" spans="1:5" ht="23.25" customHeight="1" x14ac:dyDescent="0.25">
      <c r="A15" s="237" t="str">
        <f>IF('Общие данные'!B103="Avtotransport",'Приказ на сделку'!A14:E14,'Приказ на сделку'!A13:E13)</f>
        <v xml:space="preserve"> - mikroqarz shartnomasi bo'yicha har oy annuitet to'lovlari amalga oshiriladi</v>
      </c>
      <c r="B15" s="237"/>
      <c r="C15" s="237"/>
      <c r="D15" s="237"/>
      <c r="E15" s="237"/>
    </row>
    <row r="16" spans="1:5" ht="45.75" customHeight="1" x14ac:dyDescent="0.25">
      <c r="A16" s="240"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BAYRAMGELDIYEV NURGELDI QODOMBOY O'G'LIga tegishli COBALT ko'rinishidagi transport vositasini quyidagi ma'lumotlarga muvofiq garovga qabul qilinsin:</v>
      </c>
      <c r="B16" s="240"/>
      <c r="C16" s="240"/>
      <c r="D16" s="240"/>
      <c r="E16" s="240"/>
    </row>
    <row r="17" spans="1:5" ht="50.25" hidden="1" customHeight="1" x14ac:dyDescent="0.25">
      <c r="A17" s="237" t="str">
        <f>""&amp;'Общие данные'!C117&amp;"ga tegishli "&amp;'Общие данные'!C126&amp;" ko'rinishidagi ko'chmas mulkni quyidagi ma'lumotlarga muvofiq  garovga qabul qilinsin:"</f>
        <v>BAYRAMGELDIYEV NURGELDI QODOMBOY O'G'LIga tegishli 3 - xonali yakka tartibdagi uy-joy ko'rinishidagi ko'chmas mulkni quyidagi ma'lumotlarga muvofiq  garovga qabul qilinsin:</v>
      </c>
      <c r="B17" s="237"/>
      <c r="C17" s="237"/>
      <c r="D17" s="237"/>
      <c r="E17" s="237"/>
    </row>
    <row r="18" spans="1:5" ht="47.25" hidden="1" customHeight="1" x14ac:dyDescent="0.25">
      <c r="A18" s="237" t="str">
        <f>""&amp;'Общие данные'!B117&amp;"ga tegishli "&amp;'Общие данные'!B125&amp;" ko'rinishidagi transport vositasini quyidagi ma'lumotlarga muvofiq garovga qabul qilinsin:"</f>
        <v>BAYRAMGELDIYEV NURGELDI QODOMBOY O'G'LIga tegishli COBALT ko'rinishidagi transport vositasini quyidagi ma'lumotlarga muvofiq garovga qabul qilinsin:</v>
      </c>
      <c r="B18" s="237"/>
      <c r="C18" s="237"/>
      <c r="D18" s="237"/>
      <c r="E18" s="237"/>
    </row>
    <row r="19" spans="1:5" s="37" customFormat="1" ht="60" customHeight="1" outlineLevel="1" x14ac:dyDescent="0.2">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89.25" customHeight="1" outlineLevel="1" x14ac:dyDescent="0.25">
      <c r="A20" s="17" t="str">
        <f>'Акт согласования'!A30</f>
        <v>COBALT</v>
      </c>
      <c r="B20" s="17" t="str">
        <f>'Акт согласования'!B30</f>
        <v>kuzov turi - YENGIL SEDAN, kuzov raqami XWBJF69VEMA215312</v>
      </c>
      <c r="C20" s="17" t="str">
        <f>'Акт согласования'!C30</f>
        <v>dvigatel raqami B15D2T13210582DJCX0088, shassi raqami - RAKAMSIZ</v>
      </c>
      <c r="D20" s="17" t="str">
        <f>'Акт согласования'!D30</f>
        <v>rangi -  OQ GAZ, ishlab chiqarilgan yili - 2021</v>
      </c>
      <c r="E20" s="17" t="str">
        <f>'Акт согласования'!E30</f>
        <v>84 000 000,00 
(sakson to'rt million so'm)</v>
      </c>
    </row>
    <row r="21" spans="1:5" ht="20.25" customHeight="1" outlineLevel="1" x14ac:dyDescent="0.25">
      <c r="A21" s="237" t="str">
        <f>'Акт согласования'!A22:E22</f>
        <v>-* avtotransport egasi: BAYRAMGELDIYEV NURGELDI QODOMBOY O'G'LI</v>
      </c>
      <c r="B21" s="237"/>
      <c r="C21" s="237"/>
      <c r="D21" s="237"/>
      <c r="E21" s="237"/>
    </row>
    <row r="22" spans="1:5" ht="20.25" customHeight="1" outlineLevel="1" x14ac:dyDescent="0.25">
      <c r="A22" s="237" t="str">
        <f>'Акт согласования'!A23:E23</f>
        <v>-* texnik pasport: AAG       1523624      13.05.2023 y</v>
      </c>
      <c r="B22" s="237"/>
      <c r="C22" s="237"/>
      <c r="D22" s="237"/>
      <c r="E22" s="237"/>
    </row>
    <row r="23" spans="1:5" ht="36" customHeight="1" outlineLevel="1" x14ac:dyDescent="0.25">
      <c r="A23" s="237" t="str">
        <f>'Акт согласования'!A24:E24</f>
        <v>-* roʻyxatdan oʻtgan manzili/garaj manzili: QORAQALPOG'ISTON RESPUBLIKASI ELLIKQAL'A TUMANI JASORAT MFY PAXTABIRLIK KO'CHASI 7-UY</v>
      </c>
      <c r="B23" s="237"/>
      <c r="C23" s="237"/>
      <c r="D23" s="237"/>
      <c r="E23" s="237"/>
    </row>
    <row r="24" spans="1:5" ht="35.25" customHeight="1" outlineLevel="1" x14ac:dyDescent="0.25">
      <c r="A24" s="237" t="str">
        <f>'Акт согласования'!A25:E25</f>
        <v>-* davlat raqami: 95H906KA</v>
      </c>
      <c r="B24" s="237"/>
      <c r="C24" s="237"/>
      <c r="D24" s="237"/>
      <c r="E24" s="237"/>
    </row>
    <row r="25" spans="1:5" x14ac:dyDescent="0.25">
      <c r="A25" s="237"/>
      <c r="B25" s="237"/>
      <c r="C25" s="237"/>
      <c r="D25" s="237"/>
      <c r="E25" s="237"/>
    </row>
    <row r="26" spans="1:5" s="37" customFormat="1" ht="41.25" hidden="1" customHeight="1" outlineLevel="1" x14ac:dyDescent="0.2">
      <c r="A26" s="39" t="s">
        <v>200</v>
      </c>
      <c r="B26" s="39" t="s">
        <v>257</v>
      </c>
      <c r="C26" s="39" t="s">
        <v>274</v>
      </c>
      <c r="D26" s="39" t="s">
        <v>203</v>
      </c>
      <c r="E26" s="39" t="str">
        <f>'Акт согласования'!E29</f>
        <v>Kelishilgan garov qiymati, so'm</v>
      </c>
    </row>
    <row r="27" spans="1:5" hidden="1" outlineLevel="1" x14ac:dyDescent="0.25">
      <c r="A27" s="17" t="e">
        <f>'Акт согласования'!A33</f>
        <v>#REF!</v>
      </c>
      <c r="B27" s="111" t="e">
        <f>'Акт согласования'!B33</f>
        <v>#REF!</v>
      </c>
      <c r="C27" s="111" t="e">
        <f>'Акт согласования'!C33</f>
        <v>#REF!</v>
      </c>
      <c r="D27" s="111" t="e">
        <f>'Акт согласования'!D33</f>
        <v>#REF!</v>
      </c>
      <c r="E27" s="256" t="str">
        <f>'Акт согласования'!E33</f>
        <v>84 000 000,00 (sakson to'rt million so'm)</v>
      </c>
    </row>
    <row r="28" spans="1:5" hidden="1" outlineLevel="1" x14ac:dyDescent="0.25">
      <c r="A28" s="17">
        <f>'Акт согласования'!A34</f>
        <v>0</v>
      </c>
      <c r="B28" s="111">
        <f>'Акт согласования'!B34</f>
        <v>0</v>
      </c>
      <c r="C28" s="111">
        <f>'Акт согласования'!C34</f>
        <v>0</v>
      </c>
      <c r="D28" s="111">
        <f>'Акт согласования'!D34</f>
        <v>0</v>
      </c>
      <c r="E28" s="256"/>
    </row>
    <row r="29" spans="1:5" hidden="1" outlineLevel="1" x14ac:dyDescent="0.25">
      <c r="A29" s="17" t="e">
        <f>'Акт согласования'!A35</f>
        <v>#REF!</v>
      </c>
      <c r="B29" s="111" t="e">
        <f>'Акт согласования'!B35</f>
        <v>#REF!</v>
      </c>
      <c r="C29" s="111" t="e">
        <f>'Акт согласования'!C35</f>
        <v>#REF!</v>
      </c>
      <c r="D29" s="111" t="e">
        <f>'Акт согласования'!D35</f>
        <v>#REF!</v>
      </c>
      <c r="E29" s="256"/>
    </row>
    <row r="30" spans="1:5" hidden="1" outlineLevel="1" x14ac:dyDescent="0.25">
      <c r="A30" s="17" t="e">
        <f>'Акт согласования'!A36</f>
        <v>#REF!</v>
      </c>
      <c r="B30" s="111" t="e">
        <f>'Акт согласования'!B36</f>
        <v>#REF!</v>
      </c>
      <c r="C30" s="111" t="e">
        <f>'Акт согласования'!C36</f>
        <v>#REF!</v>
      </c>
      <c r="D30" s="111" t="e">
        <f>'Акт согласования'!D36</f>
        <v>#REF!</v>
      </c>
      <c r="E30" s="256"/>
    </row>
    <row r="31" spans="1:5" hidden="1" outlineLevel="1" x14ac:dyDescent="0.25">
      <c r="A31" s="17" t="e">
        <f>'Акт согласования'!A37</f>
        <v>#REF!</v>
      </c>
      <c r="B31" s="111" t="e">
        <f>'Акт согласования'!B37</f>
        <v>#REF!</v>
      </c>
      <c r="C31" s="111" t="e">
        <f>'Акт согласования'!C37</f>
        <v>#REF!</v>
      </c>
      <c r="D31" s="111" t="e">
        <f>'Акт согласования'!D37</f>
        <v>#REF!</v>
      </c>
      <c r="E31" s="256"/>
    </row>
    <row r="32" spans="1:5" hidden="1" outlineLevel="1" x14ac:dyDescent="0.25">
      <c r="A32" s="17" t="e">
        <f>'Акт согласования'!A38</f>
        <v>#REF!</v>
      </c>
      <c r="B32" s="111" t="e">
        <f>'Акт согласования'!B38</f>
        <v>#REF!</v>
      </c>
      <c r="C32" s="111" t="e">
        <f>'Акт согласования'!C38</f>
        <v>#REF!</v>
      </c>
      <c r="D32" s="111" t="e">
        <f>'Акт согласования'!D38</f>
        <v>#REF!</v>
      </c>
      <c r="E32" s="256"/>
    </row>
    <row r="33" spans="1:5" hidden="1" outlineLevel="1" x14ac:dyDescent="0.25">
      <c r="A33" s="17" t="e">
        <f>'Акт согласования'!A39</f>
        <v>#REF!</v>
      </c>
      <c r="B33" s="111" t="e">
        <f>'Акт согласования'!B39</f>
        <v>#REF!</v>
      </c>
      <c r="C33" s="111" t="e">
        <f>'Акт согласования'!C39</f>
        <v>#REF!</v>
      </c>
      <c r="D33" s="111" t="e">
        <f>'Акт согласования'!D39</f>
        <v>#REF!</v>
      </c>
      <c r="E33" s="256"/>
    </row>
    <row r="34" spans="1:5" hidden="1" outlineLevel="1" x14ac:dyDescent="0.25">
      <c r="A34" s="17" t="e">
        <f>'Акт согласования'!A40</f>
        <v>#REF!</v>
      </c>
      <c r="B34" s="111" t="e">
        <f>'Акт согласования'!B40</f>
        <v>#REF!</v>
      </c>
      <c r="C34" s="111" t="e">
        <f>'Акт согласования'!C40</f>
        <v>#REF!</v>
      </c>
      <c r="D34" s="111" t="e">
        <f>'Акт согласования'!D40</f>
        <v>#REF!</v>
      </c>
      <c r="E34" s="256"/>
    </row>
    <row r="35" spans="1:5" hidden="1" outlineLevel="1" x14ac:dyDescent="0.25">
      <c r="A35" s="17" t="e">
        <f>'Акт согласования'!A41</f>
        <v>#REF!</v>
      </c>
      <c r="B35" s="111" t="e">
        <f>'Акт согласования'!B41</f>
        <v>#REF!</v>
      </c>
      <c r="C35" s="111" t="e">
        <f>'Акт согласования'!C41</f>
        <v>#REF!</v>
      </c>
      <c r="D35" s="111" t="e">
        <f>'Акт согласования'!D41</f>
        <v>#REF!</v>
      </c>
      <c r="E35" s="256"/>
    </row>
    <row r="36" spans="1:5" hidden="1" outlineLevel="1" x14ac:dyDescent="0.25">
      <c r="A36" s="17" t="e">
        <f>'Акт согласования'!A42</f>
        <v>#REF!</v>
      </c>
      <c r="B36" s="111" t="e">
        <f>'Акт согласования'!B42</f>
        <v>#REF!</v>
      </c>
      <c r="C36" s="111" t="e">
        <f>'Акт согласования'!C42</f>
        <v>#REF!</v>
      </c>
      <c r="D36" s="111" t="e">
        <f>'Акт согласования'!D42</f>
        <v>#REF!</v>
      </c>
      <c r="E36" s="256"/>
    </row>
    <row r="37" spans="1:5" hidden="1" outlineLevel="1" x14ac:dyDescent="0.25">
      <c r="A37" s="17" t="e">
        <f>'Акт согласования'!A43</f>
        <v>#REF!</v>
      </c>
      <c r="B37" s="17" t="e">
        <f>'Акт согласования'!B43</f>
        <v>#REF!</v>
      </c>
      <c r="C37" s="17" t="e">
        <f>'Акт согласования'!C43</f>
        <v>#REF!</v>
      </c>
      <c r="D37" s="17" t="e">
        <f>'Акт согласования'!D43</f>
        <v>#REF!</v>
      </c>
      <c r="E37" s="256"/>
    </row>
    <row r="38" spans="1:5" s="37" customFormat="1" ht="14.25" hidden="1" outlineLevel="1" x14ac:dyDescent="0.2">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84 000 000,00</v>
      </c>
    </row>
    <row r="39" spans="1:5" s="37" customFormat="1" ht="15" hidden="1" customHeight="1" outlineLevel="1" x14ac:dyDescent="0.2">
      <c r="A39" s="237" t="e">
        <f>_xlfn.SINGLE('Акт согласования'!#REF!)</f>
        <v>#REF!</v>
      </c>
      <c r="B39" s="237"/>
      <c r="C39" s="237"/>
      <c r="D39" s="237"/>
      <c r="E39" s="237"/>
    </row>
    <row r="40" spans="1:5" s="37" customFormat="1" hidden="1" outlineLevel="1" x14ac:dyDescent="0.2">
      <c r="A40" s="237" t="e">
        <f>_xlfn.SINGLE('Акт согласования'!#REF!)</f>
        <v>#REF!</v>
      </c>
      <c r="B40" s="237"/>
      <c r="C40" s="237"/>
      <c r="D40" s="237"/>
      <c r="E40" s="237"/>
    </row>
    <row r="41" spans="1:5" s="37" customFormat="1" hidden="1" outlineLevel="1" x14ac:dyDescent="0.2">
      <c r="A41" s="237" t="e">
        <f>_xlfn.SINGLE('Акт согласования'!#REF!)</f>
        <v>#REF!</v>
      </c>
      <c r="B41" s="237"/>
      <c r="C41" s="237"/>
      <c r="D41" s="237"/>
      <c r="E41" s="237"/>
    </row>
    <row r="42" spans="1:5" s="37" customFormat="1" hidden="1" outlineLevel="1" x14ac:dyDescent="0.2">
      <c r="A42" s="237" t="e">
        <f>_xlfn.SINGLE('Акт согласования'!#REF!)</f>
        <v>#REF!</v>
      </c>
      <c r="B42" s="237"/>
      <c r="C42" s="237"/>
      <c r="D42" s="237"/>
      <c r="E42" s="237"/>
    </row>
    <row r="43" spans="1:5" s="37" customFormat="1" collapsed="1" x14ac:dyDescent="0.2">
      <c r="A43" s="237"/>
      <c r="B43" s="237"/>
      <c r="C43" s="237"/>
      <c r="D43" s="237"/>
      <c r="E43" s="237"/>
    </row>
    <row r="44" spans="1:5" s="37" customFormat="1" x14ac:dyDescent="0.2">
      <c r="A44" s="237"/>
      <c r="B44" s="237"/>
      <c r="C44" s="237"/>
      <c r="D44" s="237"/>
      <c r="E44" s="237"/>
    </row>
    <row r="45" spans="1:5" s="37" customFormat="1" hidden="1" x14ac:dyDescent="0.2">
      <c r="A45" s="237"/>
      <c r="B45" s="237"/>
      <c r="C45" s="237"/>
      <c r="D45" s="237"/>
      <c r="E45" s="237"/>
    </row>
    <row r="46" spans="1:5" s="37" customFormat="1" ht="14.25" hidden="1" x14ac:dyDescent="0.2">
      <c r="A46" s="50"/>
      <c r="B46" s="50"/>
      <c r="C46" s="50"/>
      <c r="D46" s="50"/>
      <c r="E46" s="50"/>
    </row>
    <row r="47" spans="1:5" hidden="1" x14ac:dyDescent="0.25">
      <c r="A47" s="237"/>
      <c r="B47" s="237"/>
      <c r="C47" s="237"/>
      <c r="D47" s="237"/>
      <c r="E47" s="237"/>
    </row>
    <row r="48" spans="1:5" ht="15" customHeight="1" x14ac:dyDescent="0.25">
      <c r="A48" s="315" t="s">
        <v>379</v>
      </c>
      <c r="B48" s="315"/>
      <c r="C48" s="315"/>
      <c r="D48" s="331"/>
      <c r="E48" s="331"/>
    </row>
    <row r="49" spans="1:5" ht="15" customHeight="1" x14ac:dyDescent="0.25">
      <c r="A49" s="315" t="s">
        <v>404</v>
      </c>
      <c r="B49" s="315"/>
      <c r="C49" s="315"/>
      <c r="D49" s="331" t="s">
        <v>388</v>
      </c>
      <c r="E49" s="331"/>
    </row>
    <row r="50" spans="1:5" x14ac:dyDescent="0.25">
      <c r="A50" s="237"/>
      <c r="B50" s="237"/>
      <c r="C50" s="237"/>
      <c r="D50" s="237"/>
      <c r="E50" s="237"/>
    </row>
    <row r="51" spans="1:5" x14ac:dyDescent="0.25">
      <c r="A51" s="237"/>
      <c r="B51" s="237"/>
      <c r="C51" s="237"/>
      <c r="D51" s="237"/>
      <c r="E51" s="237"/>
    </row>
    <row r="52" spans="1:5" x14ac:dyDescent="0.25">
      <c r="A52" s="237"/>
      <c r="B52" s="237"/>
      <c r="C52" s="237"/>
      <c r="D52" s="237"/>
      <c r="E52" s="237"/>
    </row>
    <row r="53" spans="1:5" x14ac:dyDescent="0.25">
      <c r="A53" s="237"/>
      <c r="B53" s="237"/>
      <c r="C53" s="237"/>
      <c r="D53" s="237"/>
      <c r="E53" s="237"/>
    </row>
    <row r="54" spans="1:5" x14ac:dyDescent="0.25">
      <c r="A54" s="237"/>
      <c r="B54" s="237"/>
      <c r="C54" s="237"/>
      <c r="D54" s="237"/>
      <c r="E54" s="237"/>
    </row>
    <row r="55" spans="1:5" x14ac:dyDescent="0.25">
      <c r="A55" s="237"/>
      <c r="B55" s="237"/>
      <c r="C55" s="237"/>
      <c r="D55" s="237"/>
      <c r="E55" s="237"/>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51181102362204722" top="0.74803149606299213" bottom="0.74803149606299213" header="0.31496062992125984" footer="0.31496062992125984"/>
  <pageSetup paperSize="9" scale="8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3" zoomScaleSheetLayoutView="100" workbookViewId="0">
      <selection activeCell="C33" sqref="C33"/>
    </sheetView>
  </sheetViews>
  <sheetFormatPr defaultColWidth="9.140625" defaultRowHeight="15" x14ac:dyDescent="0.2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x14ac:dyDescent="0.3"/>
    <row r="2" spans="2:7" ht="62.25" customHeight="1" x14ac:dyDescent="0.35">
      <c r="B2" s="342" t="str">
        <f>'Общие данные'!B148</f>
        <v>«PULLOL BUSINESS MIKROMOLIYA TASHKILOTI»  MChJ</v>
      </c>
      <c r="C2" s="343"/>
      <c r="D2" s="343"/>
      <c r="E2" s="343"/>
      <c r="F2" s="344"/>
      <c r="G2" s="41"/>
    </row>
    <row r="3" spans="2:7" x14ac:dyDescent="0.25">
      <c r="B3" s="335"/>
      <c r="C3" s="249"/>
      <c r="D3" s="249"/>
      <c r="E3" s="249"/>
      <c r="F3" s="336"/>
      <c r="G3" s="42"/>
    </row>
    <row r="4" spans="2:7" ht="8.25" customHeight="1" x14ac:dyDescent="0.25">
      <c r="B4" s="54"/>
      <c r="F4" s="55"/>
      <c r="G4" s="42"/>
    </row>
    <row r="5" spans="2:7" ht="12" customHeight="1" x14ac:dyDescent="0.25">
      <c r="B5" s="44"/>
      <c r="C5" s="42"/>
      <c r="D5" s="42"/>
      <c r="E5" s="42"/>
      <c r="F5" s="45"/>
      <c r="G5" s="42"/>
    </row>
    <row r="6" spans="2:7" ht="6.75" customHeight="1" x14ac:dyDescent="0.25">
      <c r="B6" s="44"/>
      <c r="C6" s="42"/>
      <c r="D6" s="42"/>
      <c r="E6" s="42"/>
      <c r="F6" s="45"/>
      <c r="G6" s="42"/>
    </row>
    <row r="7" spans="2:7" ht="6.75" customHeight="1" x14ac:dyDescent="0.25">
      <c r="B7" s="44"/>
      <c r="C7" s="42"/>
      <c r="D7" s="42"/>
      <c r="E7" s="42"/>
      <c r="F7" s="45"/>
      <c r="G7" s="42"/>
    </row>
    <row r="8" spans="2:7" x14ac:dyDescent="0.25">
      <c r="B8" s="44"/>
      <c r="C8" s="42"/>
      <c r="D8" s="42"/>
      <c r="E8" s="42"/>
      <c r="F8" s="45"/>
      <c r="G8" s="42"/>
    </row>
    <row r="9" spans="2:7" x14ac:dyDescent="0.25">
      <c r="B9" s="44"/>
      <c r="C9" s="42"/>
      <c r="D9" s="42"/>
      <c r="E9" s="42"/>
      <c r="F9" s="45"/>
      <c r="G9" s="42"/>
    </row>
    <row r="10" spans="2:7" x14ac:dyDescent="0.25">
      <c r="B10" s="335" t="s">
        <v>23</v>
      </c>
      <c r="C10" s="249"/>
      <c r="D10" s="249"/>
      <c r="E10" s="249"/>
      <c r="F10" s="336"/>
      <c r="G10" s="42"/>
    </row>
    <row r="11" spans="2:7" x14ac:dyDescent="0.25">
      <c r="B11" s="335" t="s">
        <v>23</v>
      </c>
      <c r="C11" s="249"/>
      <c r="D11" s="249"/>
      <c r="E11" s="249"/>
      <c r="F11" s="336"/>
      <c r="G11" s="42"/>
    </row>
    <row r="12" spans="2:7" ht="135" customHeight="1" x14ac:dyDescent="0.8">
      <c r="B12" s="345" t="str">
        <f>'Общие данные'!B5</f>
        <v>BAYRAMGELDIYEV NURGELDI QODOMBOY O'G'LI</v>
      </c>
      <c r="C12" s="346"/>
      <c r="D12" s="346"/>
      <c r="E12" s="346"/>
      <c r="F12" s="347"/>
      <c r="G12" s="43"/>
    </row>
    <row r="13" spans="2:7" x14ac:dyDescent="0.25">
      <c r="B13" s="335"/>
      <c r="C13" s="249"/>
      <c r="D13" s="249"/>
      <c r="E13" s="249"/>
      <c r="F13" s="336"/>
      <c r="G13" s="42"/>
    </row>
    <row r="14" spans="2:7" x14ac:dyDescent="0.25">
      <c r="B14" s="44"/>
      <c r="C14" s="42"/>
      <c r="D14" s="42"/>
      <c r="E14" s="42"/>
      <c r="F14" s="45"/>
      <c r="G14" s="42"/>
    </row>
    <row r="15" spans="2:7" x14ac:dyDescent="0.25">
      <c r="B15" s="44"/>
      <c r="C15" s="42"/>
      <c r="D15" s="42"/>
      <c r="E15" s="42"/>
      <c r="F15" s="45"/>
      <c r="G15" s="42"/>
    </row>
    <row r="16" spans="2:7" x14ac:dyDescent="0.25">
      <c r="B16" s="44"/>
      <c r="C16" s="42"/>
      <c r="D16" s="42"/>
      <c r="E16" s="42"/>
      <c r="F16" s="45"/>
      <c r="G16" s="42"/>
    </row>
    <row r="17" spans="2:7" x14ac:dyDescent="0.25">
      <c r="B17" s="44"/>
      <c r="C17" s="42"/>
      <c r="D17" s="42"/>
      <c r="E17" s="42"/>
      <c r="F17" s="45"/>
      <c r="G17" s="42"/>
    </row>
    <row r="18" spans="2:7" x14ac:dyDescent="0.25">
      <c r="B18" s="335"/>
      <c r="C18" s="249"/>
      <c r="D18" s="249"/>
      <c r="E18" s="249"/>
      <c r="F18" s="336"/>
      <c r="G18" s="42"/>
    </row>
    <row r="19" spans="2:7" ht="20.25" x14ac:dyDescent="0.3">
      <c r="B19" s="339" t="str">
        <f>""&amp;'Общие данные'!C64&amp;" shartnoma "&amp;'Общие данные'!B74&amp;""</f>
        <v>Mikroqarz shartnoma 5 mart 2026 y.dan №194-TR</v>
      </c>
      <c r="C19" s="340"/>
      <c r="D19" s="340"/>
      <c r="E19" s="340"/>
      <c r="F19" s="341"/>
      <c r="G19" s="42"/>
    </row>
    <row r="20" spans="2:7" x14ac:dyDescent="0.25">
      <c r="B20" s="335"/>
      <c r="C20" s="249"/>
      <c r="D20" s="249"/>
      <c r="E20" s="249"/>
      <c r="F20" s="336"/>
      <c r="G20" s="42"/>
    </row>
    <row r="21" spans="2:7" x14ac:dyDescent="0.25">
      <c r="B21" s="335"/>
      <c r="C21" s="249"/>
      <c r="D21" s="249"/>
      <c r="E21" s="249"/>
      <c r="F21" s="336"/>
      <c r="G21" s="42"/>
    </row>
    <row r="22" spans="2:7" x14ac:dyDescent="0.25">
      <c r="B22" s="335"/>
      <c r="C22" s="249"/>
      <c r="D22" s="249"/>
      <c r="E22" s="249"/>
      <c r="F22" s="336"/>
      <c r="G22" s="42"/>
    </row>
    <row r="23" spans="2:7" x14ac:dyDescent="0.25">
      <c r="B23" s="335"/>
      <c r="C23" s="249"/>
      <c r="D23" s="249"/>
      <c r="E23" s="249"/>
      <c r="F23" s="336"/>
      <c r="G23" s="42"/>
    </row>
    <row r="24" spans="2:7" x14ac:dyDescent="0.25">
      <c r="B24" s="337" t="str">
        <f>" Foiz stavkasi: "&amp;'Общие данные'!B85&amp;"%"</f>
        <v xml:space="preserve"> Foiz stavkasi: 55%</v>
      </c>
      <c r="C24" s="236"/>
      <c r="D24" s="236"/>
      <c r="E24" s="236"/>
      <c r="F24" s="338"/>
      <c r="G24" s="42"/>
    </row>
    <row r="25" spans="2:7" ht="15" customHeight="1" x14ac:dyDescent="0.25">
      <c r="B25" s="337" t="str">
        <f>" "&amp;'Общие данные'!C64&amp;" muddati: "&amp;'Общие данные'!B81&amp;" oy"</f>
        <v xml:space="preserve"> Mikroqarz muddati: 30 oy</v>
      </c>
      <c r="C25" s="236"/>
      <c r="D25" s="236"/>
      <c r="E25" s="236"/>
      <c r="F25" s="338"/>
      <c r="G25" s="42"/>
    </row>
    <row r="26" spans="2:7" x14ac:dyDescent="0.25">
      <c r="B26" s="337" t="str">
        <f>" "&amp;'Общие данные'!C64&amp;" miqdori: "&amp;FIXED('Общие данные'!B75,2)&amp;" so'm"</f>
        <v xml:space="preserve"> Mikroqarz miqdori: 60 000 000,00 so'm</v>
      </c>
      <c r="C26" s="236"/>
      <c r="D26" s="236"/>
      <c r="E26" s="236"/>
      <c r="F26" s="338"/>
      <c r="G26" s="42"/>
    </row>
    <row r="27" spans="2:7" x14ac:dyDescent="0.25">
      <c r="B27" s="335"/>
      <c r="C27" s="249"/>
      <c r="D27" s="249"/>
      <c r="E27" s="249"/>
      <c r="F27" s="336"/>
      <c r="G27" s="42"/>
    </row>
    <row r="28" spans="2:7" hidden="1" x14ac:dyDescent="0.25">
      <c r="G28" s="42"/>
    </row>
    <row r="29" spans="2:7" x14ac:dyDescent="0.25">
      <c r="B29" s="335"/>
      <c r="C29" s="249"/>
      <c r="D29" s="249"/>
      <c r="E29" s="249"/>
      <c r="F29" s="336"/>
      <c r="G29" s="42"/>
    </row>
    <row r="30" spans="2:7" ht="12.75" customHeight="1" x14ac:dyDescent="0.25">
      <c r="B30" s="44"/>
      <c r="C30" s="42"/>
      <c r="D30" s="42"/>
      <c r="E30" s="42"/>
      <c r="F30" s="45"/>
      <c r="G30" s="42"/>
    </row>
    <row r="31" spans="2:7" x14ac:dyDescent="0.25">
      <c r="B31" s="44"/>
      <c r="C31" s="42"/>
      <c r="D31" s="42"/>
      <c r="E31" s="42"/>
      <c r="F31" s="45"/>
      <c r="G31" s="42"/>
    </row>
    <row r="32" spans="2:7" ht="2.25" customHeight="1" x14ac:dyDescent="0.25">
      <c r="B32" s="44"/>
      <c r="C32" s="42"/>
      <c r="D32" s="42"/>
      <c r="E32" s="42"/>
      <c r="F32" s="45"/>
      <c r="G32" s="42"/>
    </row>
    <row r="33" spans="2:7" x14ac:dyDescent="0.25">
      <c r="B33" s="44"/>
      <c r="C33" s="42"/>
      <c r="D33" s="42"/>
      <c r="E33" s="42"/>
      <c r="F33" s="45"/>
      <c r="G33" s="42"/>
    </row>
    <row r="34" spans="2:7" x14ac:dyDescent="0.25">
      <c r="B34" s="44"/>
      <c r="C34" s="42"/>
      <c r="D34" s="42"/>
      <c r="E34" s="42"/>
      <c r="F34" s="45"/>
      <c r="G34" s="42"/>
    </row>
    <row r="35" spans="2:7" x14ac:dyDescent="0.25">
      <c r="B35" s="44"/>
      <c r="C35" s="42"/>
      <c r="D35" s="42"/>
      <c r="E35" s="42"/>
      <c r="F35" s="45"/>
      <c r="G35" s="42"/>
    </row>
    <row r="36" spans="2:7" x14ac:dyDescent="0.25">
      <c r="B36" s="44"/>
      <c r="C36" s="42"/>
      <c r="D36" s="42"/>
      <c r="E36" s="42"/>
      <c r="F36" s="45"/>
      <c r="G36" s="42"/>
    </row>
    <row r="37" spans="2:7" x14ac:dyDescent="0.25">
      <c r="B37" s="44"/>
      <c r="C37" s="42"/>
      <c r="D37" s="42"/>
      <c r="E37" s="42"/>
      <c r="F37" s="45"/>
      <c r="G37" s="42"/>
    </row>
    <row r="38" spans="2:7" x14ac:dyDescent="0.25">
      <c r="B38" s="44"/>
      <c r="C38" s="42"/>
      <c r="D38" s="42"/>
      <c r="E38" s="42"/>
      <c r="F38" s="45"/>
      <c r="G38" s="42"/>
    </row>
    <row r="39" spans="2:7" x14ac:dyDescent="0.25">
      <c r="B39" s="44"/>
      <c r="C39" s="42"/>
      <c r="D39" s="42"/>
      <c r="E39" s="42"/>
      <c r="F39" s="45"/>
      <c r="G39" s="42"/>
    </row>
    <row r="40" spans="2:7" ht="15.75" thickBot="1" x14ac:dyDescent="0.3">
      <c r="B40" s="332" t="str">
        <f>"Toshkent sh., "&amp;'Общие данные'!B70&amp;""</f>
        <v>Toshkent sh., 5 mart 2026 y.</v>
      </c>
      <c r="C40" s="333"/>
      <c r="D40" s="333"/>
      <c r="E40" s="333"/>
      <c r="F40" s="334"/>
      <c r="G40" s="42"/>
    </row>
    <row r="41" spans="2:7" x14ac:dyDescent="0.25">
      <c r="B41" s="249"/>
      <c r="C41" s="249"/>
      <c r="D41" s="249"/>
      <c r="E41" s="249"/>
      <c r="F41" s="249"/>
      <c r="G41" s="42"/>
    </row>
    <row r="42" spans="2:7" x14ac:dyDescent="0.25">
      <c r="B42" s="249"/>
      <c r="C42" s="249"/>
      <c r="D42" s="249"/>
      <c r="E42" s="249"/>
      <c r="F42" s="249"/>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topLeftCell="A13" zoomScaleNormal="100" zoomScaleSheetLayoutView="100" workbookViewId="0">
      <selection activeCell="E8" sqref="E8"/>
    </sheetView>
  </sheetViews>
  <sheetFormatPr defaultColWidth="9.140625" defaultRowHeight="15" x14ac:dyDescent="0.25"/>
  <cols>
    <col min="1" max="1" width="33.85546875" style="15" customWidth="1"/>
    <col min="2" max="2" width="21.28515625" style="15" customWidth="1"/>
    <col min="3" max="3" width="19.140625" style="15" customWidth="1"/>
    <col min="4" max="5" width="21.28515625" style="15" customWidth="1"/>
    <col min="6" max="16384" width="9.140625" style="15"/>
  </cols>
  <sheetData>
    <row r="2" spans="1:5" x14ac:dyDescent="0.25">
      <c r="A2" s="108" t="s">
        <v>44</v>
      </c>
    </row>
    <row r="3" spans="1:5" x14ac:dyDescent="0.25">
      <c r="A3" s="108" t="s">
        <v>45</v>
      </c>
    </row>
    <row r="6" spans="1:5" ht="20.25" customHeight="1" x14ac:dyDescent="0.25">
      <c r="E6" s="109" t="s">
        <v>32</v>
      </c>
    </row>
    <row r="7" spans="1:5" x14ac:dyDescent="0.25">
      <c r="E7" s="109" t="s">
        <v>46</v>
      </c>
    </row>
    <row r="9" spans="1:5" ht="107.25" customHeight="1" x14ac:dyDescent="0.25">
      <c r="A9" s="349"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BAYRAMGELDIYEV NURGELDI QODOMBOY O'G'LI  (паспорт: AE 6482058 IIV 35210 tomonidan 25.02.2026 yilda berilgan) заключен договор микрозайма 5 mart 2026 y.dan №194-TR, на сумму 60 000 000,00 (oltmish million so'm) сум, сроком на 30 (o'ttiz) месяцев. В качестве своевременного исполнения обязательств по договору Микрозайма 5 mart 2026 y.dan №194-TR планирует предоставить нижеследующее автотранспортного средство марки COBALT принадлежащее на правах собственности BAYRAMGELDIYEV NURGELDI QODOMBOY O'G'LI</v>
      </c>
      <c r="B9" s="349"/>
      <c r="C9" s="349"/>
      <c r="D9" s="349"/>
      <c r="E9" s="349"/>
    </row>
    <row r="11" spans="1:5" ht="28.5" x14ac:dyDescent="0.2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x14ac:dyDescent="0.25">
      <c r="A12" s="39" t="str">
        <f>'Приказ на сделку'!A20</f>
        <v>COBALT</v>
      </c>
      <c r="B12" s="39" t="str">
        <f>'Приказ на сделку'!B20</f>
        <v>kuzov turi - YENGIL SEDAN, kuzov raqami XWBJF69VEMA215312</v>
      </c>
      <c r="C12" s="39" t="str">
        <f>'Приказ на сделку'!C20</f>
        <v>dvigatel raqami B15D2T13210582DJCX0088, shassi raqami - RAKAMSIZ</v>
      </c>
      <c r="D12" s="39" t="str">
        <f>'Приказ на сделку'!D20</f>
        <v>rangi -  OQ GAZ, ishlab chiqarilgan yili - 2021</v>
      </c>
      <c r="E12" s="39" t="str">
        <f>'Приказ на сделку'!E20</f>
        <v>84 000 000,00 
(sakson to'rt million so'm)</v>
      </c>
    </row>
    <row r="13" spans="1:5" x14ac:dyDescent="0.25">
      <c r="A13" s="353" t="str">
        <f>'Приказ на сделку'!A21:E21</f>
        <v>-* avtotransport egasi: BAYRAMGELDIYEV NURGELDI QODOMBOY O'G'LI</v>
      </c>
      <c r="B13" s="353"/>
      <c r="C13" s="353"/>
      <c r="D13" s="353"/>
      <c r="E13" s="353"/>
    </row>
    <row r="14" spans="1:5" x14ac:dyDescent="0.25">
      <c r="A14" s="353" t="str">
        <f>'Приказ на сделку'!A22:E22</f>
        <v>-* texnik pasport: AAG       1523624      13.05.2023 y</v>
      </c>
      <c r="B14" s="353"/>
      <c r="C14" s="353"/>
      <c r="D14" s="353"/>
      <c r="E14" s="353"/>
    </row>
    <row r="15" spans="1:5" x14ac:dyDescent="0.25">
      <c r="A15" s="353" t="str">
        <f>'Приказ на сделку'!A23:E23</f>
        <v>-* roʻyxatdan oʻtgan manzili/garaj manzili: QORAQALPOG'ISTON RESPUBLIKASI ELLIKQAL'A TUMANI JASORAT MFY PAXTABIRLIK KO'CHASI 7-UY</v>
      </c>
      <c r="B15" s="353"/>
      <c r="C15" s="353"/>
      <c r="D15" s="353"/>
      <c r="E15" s="353"/>
    </row>
    <row r="16" spans="1:5" x14ac:dyDescent="0.25">
      <c r="A16" s="353" t="str">
        <f>'Приказ на сделку'!A24:E24</f>
        <v>-* davlat raqami: 95H906KA</v>
      </c>
      <c r="B16" s="353"/>
      <c r="C16" s="353"/>
      <c r="D16" s="353"/>
      <c r="E16" s="353"/>
    </row>
    <row r="17" spans="1:5" ht="3" customHeight="1" x14ac:dyDescent="0.25"/>
    <row r="19" spans="1:5" ht="59.25" hidden="1" customHeight="1" x14ac:dyDescent="0.25">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x14ac:dyDescent="0.25">
      <c r="A20" s="17" t="e">
        <f>'Акт согласования'!A33</f>
        <v>#REF!</v>
      </c>
      <c r="B20" s="17" t="e">
        <f>'Акт согласования'!B33</f>
        <v>#REF!</v>
      </c>
      <c r="C20" s="17" t="e">
        <f>'Акт согласования'!C33</f>
        <v>#REF!</v>
      </c>
      <c r="D20" s="17" t="e">
        <f>'Акт согласования'!D33</f>
        <v>#REF!</v>
      </c>
      <c r="E20" s="328" t="str">
        <f>""&amp;FIXED('Общие данные'!C136,2)&amp;" ("&amp;'Общие данные'!C137&amp;")"</f>
        <v>84 000 000,00 (sakson to'rt million so'm)</v>
      </c>
    </row>
    <row r="21" spans="1:5" ht="17.25" hidden="1" customHeight="1" x14ac:dyDescent="0.25">
      <c r="A21" s="17">
        <f>'Акт согласования'!A34</f>
        <v>0</v>
      </c>
      <c r="B21" s="17">
        <f>'Акт согласования'!B34</f>
        <v>0</v>
      </c>
      <c r="C21" s="17">
        <f>'Акт согласования'!C34</f>
        <v>0</v>
      </c>
      <c r="D21" s="17">
        <f>'Акт согласования'!D34</f>
        <v>0</v>
      </c>
      <c r="E21" s="329"/>
    </row>
    <row r="22" spans="1:5" ht="17.25" hidden="1" customHeight="1" x14ac:dyDescent="0.25">
      <c r="A22" s="17" t="e">
        <f>'Акт согласования'!A35</f>
        <v>#REF!</v>
      </c>
      <c r="B22" s="17" t="e">
        <f>'Акт согласования'!B35</f>
        <v>#REF!</v>
      </c>
      <c r="C22" s="17" t="e">
        <f>'Акт согласования'!C35</f>
        <v>#REF!</v>
      </c>
      <c r="D22" s="17" t="e">
        <f>'Акт согласования'!D35</f>
        <v>#REF!</v>
      </c>
      <c r="E22" s="329"/>
    </row>
    <row r="23" spans="1:5" ht="17.25" hidden="1" customHeight="1" x14ac:dyDescent="0.25">
      <c r="A23" s="17" t="e">
        <f>'Акт согласования'!A36</f>
        <v>#REF!</v>
      </c>
      <c r="B23" s="17" t="e">
        <f>'Акт согласования'!B36</f>
        <v>#REF!</v>
      </c>
      <c r="C23" s="17" t="e">
        <f>'Акт согласования'!C36</f>
        <v>#REF!</v>
      </c>
      <c r="D23" s="17" t="e">
        <f>'Акт согласования'!D36</f>
        <v>#REF!</v>
      </c>
      <c r="E23" s="329"/>
    </row>
    <row r="24" spans="1:5" ht="17.25" hidden="1" customHeight="1" x14ac:dyDescent="0.25">
      <c r="A24" s="17" t="e">
        <f>'Акт согласования'!A37</f>
        <v>#REF!</v>
      </c>
      <c r="B24" s="17" t="e">
        <f>'Акт согласования'!B37</f>
        <v>#REF!</v>
      </c>
      <c r="C24" s="17" t="e">
        <f>'Акт согласования'!C37</f>
        <v>#REF!</v>
      </c>
      <c r="D24" s="17" t="e">
        <f>'Акт согласования'!D37</f>
        <v>#REF!</v>
      </c>
      <c r="E24" s="329"/>
    </row>
    <row r="25" spans="1:5" ht="15.75" hidden="1" customHeight="1" x14ac:dyDescent="0.25">
      <c r="A25" s="17" t="e">
        <f>'Акт согласования'!A38</f>
        <v>#REF!</v>
      </c>
      <c r="B25" s="17" t="e">
        <f>'Акт согласования'!B38</f>
        <v>#REF!</v>
      </c>
      <c r="C25" s="17" t="e">
        <f>'Акт согласования'!C38</f>
        <v>#REF!</v>
      </c>
      <c r="D25" s="17" t="e">
        <f>'Акт согласования'!D38</f>
        <v>#REF!</v>
      </c>
      <c r="E25" s="329"/>
    </row>
    <row r="26" spans="1:5" ht="17.25" hidden="1" customHeight="1" x14ac:dyDescent="0.25">
      <c r="A26" s="17" t="e">
        <f>'Акт согласования'!A39</f>
        <v>#REF!</v>
      </c>
      <c r="B26" s="17" t="e">
        <f>'Акт согласования'!B39</f>
        <v>#REF!</v>
      </c>
      <c r="C26" s="17" t="e">
        <f>'Акт согласования'!C39</f>
        <v>#REF!</v>
      </c>
      <c r="D26" s="17" t="e">
        <f>'Акт согласования'!D39</f>
        <v>#REF!</v>
      </c>
      <c r="E26" s="329"/>
    </row>
    <row r="27" spans="1:5" ht="17.25" hidden="1" customHeight="1" x14ac:dyDescent="0.25">
      <c r="A27" s="17" t="e">
        <f>'Акт согласования'!A40</f>
        <v>#REF!</v>
      </c>
      <c r="B27" s="17" t="e">
        <f>'Акт согласования'!B40</f>
        <v>#REF!</v>
      </c>
      <c r="C27" s="17" t="e">
        <f>'Акт согласования'!C40</f>
        <v>#REF!</v>
      </c>
      <c r="D27" s="17" t="e">
        <f>'Акт согласования'!D40</f>
        <v>#REF!</v>
      </c>
      <c r="E27" s="329"/>
    </row>
    <row r="28" spans="1:5" ht="17.25" hidden="1" customHeight="1" x14ac:dyDescent="0.25">
      <c r="A28" s="17" t="e">
        <f>'Акт согласования'!A41</f>
        <v>#REF!</v>
      </c>
      <c r="B28" s="17" t="e">
        <f>'Акт согласования'!B41</f>
        <v>#REF!</v>
      </c>
      <c r="C28" s="17" t="e">
        <f>'Акт согласования'!C41</f>
        <v>#REF!</v>
      </c>
      <c r="D28" s="17" t="e">
        <f>'Акт согласования'!D41</f>
        <v>#REF!</v>
      </c>
      <c r="E28" s="329"/>
    </row>
    <row r="29" spans="1:5" ht="17.25" hidden="1" customHeight="1" x14ac:dyDescent="0.25">
      <c r="A29" s="17" t="e">
        <f>'Акт согласования'!A42</f>
        <v>#REF!</v>
      </c>
      <c r="B29" s="17" t="e">
        <f>'Акт согласования'!B42</f>
        <v>#REF!</v>
      </c>
      <c r="C29" s="17" t="e">
        <f>'Акт согласования'!C42</f>
        <v>#REF!</v>
      </c>
      <c r="D29" s="17" t="e">
        <f>'Акт согласования'!D42</f>
        <v>#REF!</v>
      </c>
      <c r="E29" s="329"/>
    </row>
    <row r="30" spans="1:5" ht="17.25" hidden="1" customHeight="1" x14ac:dyDescent="0.25">
      <c r="A30" s="17" t="e">
        <f>'Акт согласования'!A43</f>
        <v>#REF!</v>
      </c>
      <c r="B30" s="17" t="e">
        <f>'Акт согласования'!B43</f>
        <v>#REF!</v>
      </c>
      <c r="C30" s="17" t="e">
        <f>'Акт согласования'!C43</f>
        <v>#REF!</v>
      </c>
      <c r="D30" s="17" t="e">
        <f>'Акт согласования'!D43</f>
        <v>#REF!</v>
      </c>
      <c r="E30" s="330"/>
    </row>
    <row r="31" spans="1:5" ht="17.25" hidden="1" customHeight="1" x14ac:dyDescent="0.25">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84 000 000,00</v>
      </c>
    </row>
    <row r="32" spans="1:5" ht="18.75" hidden="1" customHeight="1" x14ac:dyDescent="0.25">
      <c r="A32" s="349" t="e">
        <f>_xlfn.SINGLE('Акт согласования'!#REF!)</f>
        <v>#REF!</v>
      </c>
      <c r="B32" s="349"/>
      <c r="C32" s="349"/>
      <c r="D32" s="349"/>
      <c r="E32" s="349"/>
    </row>
    <row r="33" spans="1:5" ht="24.75" hidden="1" customHeight="1" x14ac:dyDescent="0.25">
      <c r="A33" s="349" t="e">
        <f>_xlfn.SINGLE('Акт согласования'!#REF!)</f>
        <v>#REF!</v>
      </c>
      <c r="B33" s="349"/>
      <c r="C33" s="349"/>
      <c r="D33" s="349"/>
      <c r="E33" s="349"/>
    </row>
    <row r="34" spans="1:5" ht="30.75" hidden="1" customHeight="1" x14ac:dyDescent="0.25">
      <c r="A34" s="349" t="e">
        <f>_xlfn.SINGLE('Акт согласования'!#REF!)</f>
        <v>#REF!</v>
      </c>
      <c r="B34" s="349"/>
      <c r="C34" s="349"/>
      <c r="D34" s="349"/>
      <c r="E34" s="349"/>
    </row>
    <row r="35" spans="1:5" ht="15" hidden="1" customHeight="1" x14ac:dyDescent="0.25">
      <c r="A35" s="349" t="e">
        <f>_xlfn.SINGLE('Акт согласования'!#REF!)</f>
        <v>#REF!</v>
      </c>
      <c r="B35" s="349"/>
      <c r="C35" s="349"/>
      <c r="D35" s="349"/>
      <c r="E35" s="349"/>
    </row>
    <row r="36" spans="1:5" x14ac:dyDescent="0.25">
      <c r="A36" s="22"/>
      <c r="B36" s="22"/>
      <c r="C36" s="22"/>
      <c r="D36" s="22"/>
      <c r="E36" s="22"/>
    </row>
    <row r="37" spans="1:5" s="130" customFormat="1" ht="108" customHeight="1" x14ac:dyDescent="0.25">
      <c r="A37" s="352"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TULYAGANOV XODJIAKBAR IRGASHEVICH, по согласованной залоговой стоимость - 15 000 000,00 (on besh million) сум.
- №33 от 21 yanvar 2021 г., заключенного с ООО «Clever Mikrokredit Tashkiloti» и TULYAGANOV XODJIAKBAR IRGASHEVICH, по согласованной залоговой стоимость - 15 000 000,00 (on besh million) сум.
0
0
0
0
0
0
0
0
0
0
0
0
0
0
0
0
0</v>
      </c>
      <c r="B37" s="352"/>
      <c r="C37" s="352"/>
      <c r="D37" s="352"/>
      <c r="E37" s="352"/>
    </row>
    <row r="38" spans="1:5" ht="40.5" customHeight="1" x14ac:dyDescent="0.25">
      <c r="A38" s="349" t="str">
        <f>'Акт согласования'!A47:E47</f>
        <v>Shu bilan birga, garov predmetining kelishilgan garov qiymati deganda ushbu mulk garov sifatida taqdim etilgan/qabul qilingan qiymati tushuniladi.</v>
      </c>
      <c r="B38" s="349"/>
      <c r="C38" s="349"/>
      <c r="D38" s="349"/>
      <c r="E38" s="349"/>
    </row>
    <row r="39" spans="1:5" ht="39" customHeight="1" x14ac:dyDescent="0.25">
      <c r="A39" s="34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5 mart 2026 y.dan №194-TR, при сохранении запрета.</v>
      </c>
      <c r="B39" s="349"/>
      <c r="C39" s="349"/>
      <c r="D39" s="349"/>
      <c r="E39" s="349"/>
    </row>
    <row r="40" spans="1:5" x14ac:dyDescent="0.25">
      <c r="A40" s="350"/>
      <c r="B40" s="350"/>
      <c r="C40" s="350"/>
      <c r="D40" s="350"/>
      <c r="E40" s="350"/>
    </row>
    <row r="41" spans="1:5" x14ac:dyDescent="0.25">
      <c r="A41" s="351" t="s">
        <v>33</v>
      </c>
      <c r="B41" s="351"/>
      <c r="C41" s="351"/>
      <c r="D41" s="351"/>
      <c r="E41" s="351"/>
    </row>
    <row r="42" spans="1:5" x14ac:dyDescent="0.25">
      <c r="A42" s="350"/>
      <c r="B42" s="350"/>
      <c r="C42" s="350"/>
      <c r="D42" s="350"/>
      <c r="E42" s="350"/>
    </row>
    <row r="43" spans="1:5" x14ac:dyDescent="0.25">
      <c r="A43" s="351" t="s">
        <v>34</v>
      </c>
      <c r="B43" s="351"/>
      <c r="C43" s="351"/>
      <c r="D43" s="351"/>
      <c r="E43" s="351"/>
    </row>
    <row r="44" spans="1:5" ht="28.5" customHeight="1" x14ac:dyDescent="0.25">
      <c r="A44" s="348" t="s">
        <v>35</v>
      </c>
      <c r="B44" s="348"/>
      <c r="C44" s="348"/>
      <c r="D44" s="348"/>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Y29" sqref="Y29"/>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x14ac:dyDescent="0.2">
      <c r="A1" s="31"/>
      <c r="B1" s="31"/>
      <c r="C1" s="31"/>
      <c r="D1" s="31"/>
      <c r="E1" s="31"/>
      <c r="F1" s="31"/>
      <c r="G1" s="31"/>
      <c r="H1" s="31"/>
      <c r="I1" s="31"/>
    </row>
    <row r="2" spans="1:9" x14ac:dyDescent="0.2">
      <c r="A2" s="361" t="str">
        <f>""&amp;" "&amp;'Общие данные'!B74&amp;"-sonli "&amp;" "&amp;'Общие данные'!C64&amp;" shartnomasi bo‘yicha
 garovga qo‘yilgan mol-mulkni tekshirish bo’yicha "&amp;'Общие данные'!B5&amp;" bilan tuzilgan dalolatnomasi"</f>
        <v xml:space="preserve"> 5 mart 2026 y.dan №194-TR-sonli  Mikroqarz shartnomasi bo‘yicha
 garovga qo‘yilgan mol-mulkni tekshirish bo’yicha BAYRAMGELDIYEV NURGELDI QODOMBOY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197</v>
      </c>
      <c r="F5" s="158"/>
      <c r="H5" s="142" t="str">
        <f>TEXT('Общие данные'!D2,"ДД.ММ.ГГГГ")</f>
        <v>01.09.2026</v>
      </c>
    </row>
    <row r="7" spans="1:9" ht="45" customHeight="1" x14ac:dyDescent="0.2">
      <c r="A7" s="360" t="str">
        <f>"      Men, «PULLOL BUSINESS MIKROMOLIYA TASHKILOTI»  MChJ”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«PULLOL BUSINESS MIKROMOLIYA TASHKILOTI»  MChJ” Direktori Obidov A.Sh., jismoniy shaxs  BAYRAMGELDIYEV NURGELDI QODOMBOY O'G'LI  5 mart 2026 y.dan №194-TR-sonli mikroqarz shartnomasi bo‘yicha garovga qo‘yilgan mol-mulkni ko‘zdan kechirdim</v>
      </c>
      <c r="B7" s="360"/>
      <c r="C7" s="360"/>
      <c r="D7" s="360"/>
      <c r="E7" s="360"/>
      <c r="F7" s="360"/>
      <c r="G7" s="360"/>
      <c r="H7" s="360"/>
    </row>
    <row r="8" spans="1:9" ht="19.5" customHeight="1" x14ac:dyDescent="0.2">
      <c r="A8" s="355" t="s">
        <v>270</v>
      </c>
      <c r="B8" s="355"/>
      <c r="C8" s="355"/>
      <c r="D8" s="355"/>
      <c r="E8" s="355"/>
      <c r="F8" s="355"/>
      <c r="G8" s="355"/>
      <c r="H8" s="355"/>
    </row>
    <row r="9" spans="1:9" s="143" customFormat="1" ht="32.25" customHeight="1" x14ac:dyDescent="0.25">
      <c r="A9" s="356" t="str">
        <f>'Акт согласования'!A20</f>
        <v>Nomi</v>
      </c>
      <c r="B9" s="357"/>
      <c r="C9" s="356" t="str">
        <f>'Акт согласования'!B20</f>
        <v>Kuzov turi  va kuzov raqami*</v>
      </c>
      <c r="D9" s="357"/>
      <c r="E9" s="356" t="str">
        <f>'Акт согласования'!D20</f>
        <v>Dvigatel va shassi raqami*</v>
      </c>
      <c r="F9" s="357"/>
      <c r="G9" s="356" t="str">
        <f>'Акт согласования'!E20</f>
        <v>Ishlab chiqarilgan yili va rangi**</v>
      </c>
      <c r="H9" s="357"/>
    </row>
    <row r="10" spans="1:9" s="141" customFormat="1" ht="58.5" customHeight="1" x14ac:dyDescent="0.2">
      <c r="A10" s="358" t="str">
        <f>'Акт согласования'!A21</f>
        <v>COBALT</v>
      </c>
      <c r="B10" s="358"/>
      <c r="C10" s="358" t="str">
        <f>'Акт согласования'!B21</f>
        <v>kuzov turi - YENGIL SEDAN, kuzov raqami XWBJF69VEMA215312</v>
      </c>
      <c r="D10" s="358"/>
      <c r="E10" s="358" t="str">
        <f>'Акт согласования'!D21</f>
        <v>dvigatel raqami B15D2T13210582DJCX0088, shassi raqami - RAKAMSIZ</v>
      </c>
      <c r="F10" s="358"/>
      <c r="G10" s="358" t="str">
        <f>'Акт согласования'!E21</f>
        <v>rangi -  OQ GAZ, ishlab chiqarilgan yili - 2021</v>
      </c>
      <c r="H10" s="358"/>
    </row>
    <row r="11" spans="1:9" ht="19.5" customHeight="1" x14ac:dyDescent="0.2">
      <c r="A11" s="359" t="str">
        <f>'Акт согласования'!A22:E22</f>
        <v>-* avtotransport egasi: BAYRAMGELDIYEV NURGELDI QODOMBOY O'G'LI</v>
      </c>
      <c r="B11" s="359"/>
      <c r="C11" s="359"/>
      <c r="D11" s="359"/>
      <c r="E11" s="359"/>
      <c r="F11" s="359"/>
      <c r="G11" s="359"/>
      <c r="H11" s="359"/>
    </row>
    <row r="12" spans="1:9" ht="19.5" customHeight="1" x14ac:dyDescent="0.2">
      <c r="A12" s="359" t="str">
        <f>'Акт согласования'!A23:E23</f>
        <v>-* texnik pasport: AAG       1523624      13.05.2023 y</v>
      </c>
      <c r="B12" s="359"/>
      <c r="C12" s="359"/>
      <c r="D12" s="359"/>
      <c r="E12" s="359"/>
      <c r="F12" s="359"/>
      <c r="G12" s="359"/>
      <c r="H12" s="359"/>
    </row>
    <row r="13" spans="1:9" ht="19.5" customHeight="1" x14ac:dyDescent="0.2">
      <c r="A13" s="359" t="str">
        <f>'Акт согласования'!A24:E24</f>
        <v>-* roʻyxatdan oʻtgan manzili/garaj manzili: QORAQALPOG'ISTON RESPUBLIKASI ELLIKQAL'A TUMANI JASORAT MFY PAXTABIRLIK KO'CHASI 7-UY</v>
      </c>
      <c r="B13" s="359"/>
      <c r="C13" s="359"/>
      <c r="D13" s="359"/>
      <c r="E13" s="359"/>
      <c r="F13" s="359"/>
      <c r="G13" s="359"/>
      <c r="H13" s="359"/>
    </row>
    <row r="14" spans="1:9" ht="19.5" customHeight="1" x14ac:dyDescent="0.2">
      <c r="A14" s="359" t="str">
        <f>'Акт согласования'!A25:E25</f>
        <v>-* davlat raqami: 95H906KA</v>
      </c>
      <c r="B14" s="359"/>
      <c r="C14" s="359"/>
      <c r="D14" s="359"/>
      <c r="E14" s="359"/>
      <c r="F14" s="359"/>
      <c r="G14" s="359"/>
      <c r="H14" s="359"/>
    </row>
    <row r="15" spans="1:9" ht="33.75" customHeight="1" x14ac:dyDescent="0.2">
      <c r="A15" s="362" t="str">
        <f>+"Shu bilan birga, yuqoridagi mulkning kelishilgan garov qiymati "&amp;'Акт согласования'!E30</f>
        <v>Shu bilan birga, yuqoridagi mulkning kelishilgan garov qiymati 84 000 000,00 
(sakson to'rt million so'm)</v>
      </c>
      <c r="B15" s="362"/>
      <c r="C15" s="362"/>
      <c r="D15" s="362"/>
      <c r="E15" s="362"/>
      <c r="F15" s="362"/>
      <c r="G15" s="362"/>
      <c r="H15" s="362"/>
    </row>
    <row r="17" spans="1:8" ht="27" customHeight="1" x14ac:dyDescent="0.2">
      <c r="A17" s="354" t="s">
        <v>271</v>
      </c>
      <c r="B17" s="354"/>
      <c r="C17" s="354"/>
      <c r="D17" s="354"/>
      <c r="E17" s="354"/>
      <c r="F17" s="354"/>
      <c r="G17" s="354"/>
      <c r="H17" s="354"/>
    </row>
    <row r="21" spans="1:8" s="31" customFormat="1" x14ac:dyDescent="0.2"/>
    <row r="22" spans="1:8" s="31" customFormat="1" x14ac:dyDescent="0.2">
      <c r="A22" s="31" t="str">
        <f>'Общие данные'!A150</f>
        <v>Direktor</v>
      </c>
      <c r="H22" s="144" t="str">
        <f>'Общие данные'!B150</f>
        <v>Obidov A.Sh.</v>
      </c>
    </row>
    <row r="23" spans="1:8" s="31" customFormat="1" ht="32.25" customHeight="1" x14ac:dyDescent="0.2">
      <c r="H23" s="144"/>
    </row>
    <row r="24" spans="1:8" s="31" customFormat="1" ht="16.5" hidden="1" customHeight="1" x14ac:dyDescent="0.2">
      <c r="A24" s="31" t="s">
        <v>272</v>
      </c>
      <c r="H24" s="31" t="str">
        <f>'Общие данные'!B159</f>
        <v>Akramov R.N.</v>
      </c>
    </row>
    <row r="25" spans="1:8" s="31" customFormat="1" ht="60" customHeight="1" x14ac:dyDescent="0.2"/>
    <row r="26" spans="1:8" s="31" customFormat="1" x14ac:dyDescent="0.2">
      <c r="A26" s="31" t="s">
        <v>273</v>
      </c>
      <c r="H26" s="144" t="str">
        <f>'Общие данные'!B7</f>
        <v>BAYRAMGELDIYEV N.Q.</v>
      </c>
    </row>
    <row r="27" spans="1:8" s="31" customFormat="1" x14ac:dyDescent="0.2"/>
    <row r="28" spans="1:8" s="31" customFormat="1" x14ac:dyDescent="0.2"/>
    <row r="29" spans="1:8" s="31" customFormat="1" x14ac:dyDescent="0.2"/>
    <row r="30" spans="1:8" s="31"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Normal="100" zoomScaleSheetLayoutView="100" workbookViewId="0">
      <selection activeCell="D23" sqref="D23"/>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1" t="str">
        <f>""&amp;" "&amp;'Общие данные'!B74&amp;"-sonli "&amp;" "&amp;'Общие данные'!C64&amp;" shartnomasi bo‘yicha
 garovga qo‘yilgan mol-mulkni tekshirish bo’yicha "&amp;'Общие данные'!B5&amp;" bilan tuzilgan dalolatnomasi"</f>
        <v xml:space="preserve"> 5 mart 2026 y.dan №194-TR-sonli  Mikroqarz shartnomasi bo‘yicha
 garovga qo‘yilgan mol-mulkni tekshirish bo’yicha BAYRAMGELDIYEV NURGELDI QODOMBOY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197</v>
      </c>
      <c r="H5" s="142" t="str">
        <f>TEXT(+'Общие данные'!B2+360,"ДД.ММ.ГГГГ")</f>
        <v>28.02.2027</v>
      </c>
    </row>
    <row r="7" spans="1:9" ht="45" customHeight="1" x14ac:dyDescent="0.2">
      <c r="A7" s="360"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«PULLOL BUSINESS MIKROMOLIYA TASHKILOTI»  MChJ Direktori Obidov A.Sh., jismoniy shaxs  BAYRAMGELDIYEV NURGELDI QODOMBOY O'G'LI  5 mart 2026 y.dan №194-TR-sonli Mikroqarz shartnomasi bo‘yicha garovga qo‘yilgan mol-mulkni ko‘zdan kechirdim</v>
      </c>
      <c r="B7" s="360"/>
      <c r="C7" s="360"/>
      <c r="D7" s="360"/>
      <c r="E7" s="360"/>
      <c r="F7" s="360"/>
      <c r="G7" s="360"/>
      <c r="H7" s="360"/>
    </row>
    <row r="8" spans="1:9" ht="19.5" customHeight="1" x14ac:dyDescent="0.2">
      <c r="A8" s="355" t="s">
        <v>270</v>
      </c>
      <c r="B8" s="355"/>
      <c r="C8" s="355"/>
      <c r="D8" s="355"/>
      <c r="E8" s="355"/>
      <c r="F8" s="355"/>
      <c r="G8" s="355"/>
      <c r="H8" s="355"/>
    </row>
    <row r="9" spans="1:9" s="143" customFormat="1" ht="32.25" customHeight="1" x14ac:dyDescent="0.25">
      <c r="A9" s="356" t="str">
        <f>' Акт мониторинга 1'!A9</f>
        <v>Nomi</v>
      </c>
      <c r="B9" s="357"/>
      <c r="C9" s="356" t="str">
        <f>' Акт мониторинга 1'!C9</f>
        <v>Kuzov turi  va kuzov raqami*</v>
      </c>
      <c r="D9" s="357"/>
      <c r="E9" s="356" t="str">
        <f>' Акт мониторинга 1'!E9</f>
        <v>Dvigatel va shassi raqami*</v>
      </c>
      <c r="F9" s="357"/>
      <c r="G9" s="356" t="str">
        <f>' Акт мониторинга 1'!G9</f>
        <v>Ishlab chiqarilgan yili va rangi**</v>
      </c>
      <c r="H9" s="357"/>
    </row>
    <row r="10" spans="1:9" s="141" customFormat="1" ht="58.5" customHeight="1" x14ac:dyDescent="0.2">
      <c r="A10" s="358" t="str">
        <f>' Акт мониторинга 1'!A10</f>
        <v>COBALT</v>
      </c>
      <c r="B10" s="358"/>
      <c r="C10" s="358" t="str">
        <f>' Акт мониторинга 1'!C10</f>
        <v>kuzov turi - YENGIL SEDAN, kuzov raqami XWBJF69VEMA215312</v>
      </c>
      <c r="D10" s="358"/>
      <c r="E10" s="358" t="str">
        <f>' Акт мониторинга 1'!E10</f>
        <v>dvigatel raqami B15D2T13210582DJCX0088, shassi raqami - RAKAMSIZ</v>
      </c>
      <c r="F10" s="358"/>
      <c r="G10" s="358" t="str">
        <f>' Акт мониторинга 1'!G10</f>
        <v>rangi -  OQ GAZ, ishlab chiqarilgan yili - 2021</v>
      </c>
      <c r="H10" s="358"/>
    </row>
    <row r="11" spans="1:9" ht="19.5" customHeight="1" x14ac:dyDescent="0.2">
      <c r="A11" s="359" t="str">
        <f>'Акт согласования'!A22:E22</f>
        <v>-* avtotransport egasi: BAYRAMGELDIYEV NURGELDI QODOMBOY O'G'LI</v>
      </c>
      <c r="B11" s="359"/>
      <c r="C11" s="359"/>
      <c r="D11" s="359"/>
      <c r="E11" s="359"/>
      <c r="F11" s="359"/>
      <c r="G11" s="359"/>
      <c r="H11" s="359"/>
    </row>
    <row r="12" spans="1:9" ht="19.5" customHeight="1" x14ac:dyDescent="0.2">
      <c r="A12" s="359" t="str">
        <f>'Акт согласования'!A23:E23</f>
        <v>-* texnik pasport: AAG       1523624      13.05.2023 y</v>
      </c>
      <c r="B12" s="359"/>
      <c r="C12" s="359"/>
      <c r="D12" s="359"/>
      <c r="E12" s="359"/>
      <c r="F12" s="359"/>
      <c r="G12" s="359"/>
      <c r="H12" s="359"/>
    </row>
    <row r="13" spans="1:9" ht="19.5" customHeight="1" x14ac:dyDescent="0.2">
      <c r="A13" s="359" t="str">
        <f>'Акт согласования'!A24:E24</f>
        <v>-* roʻyxatdan oʻtgan manzili/garaj manzili: QORAQALPOG'ISTON RESPUBLIKASI ELLIKQAL'A TUMANI JASORAT MFY PAXTABIRLIK KO'CHASI 7-UY</v>
      </c>
      <c r="B13" s="359"/>
      <c r="C13" s="359"/>
      <c r="D13" s="359"/>
      <c r="E13" s="359"/>
      <c r="F13" s="359"/>
      <c r="G13" s="359"/>
      <c r="H13" s="359"/>
    </row>
    <row r="14" spans="1:9" ht="19.5" customHeight="1" x14ac:dyDescent="0.2">
      <c r="A14" s="359" t="str">
        <f>'Акт согласования'!A25:E25</f>
        <v>-* davlat raqami: 95H906KA</v>
      </c>
      <c r="B14" s="359"/>
      <c r="C14" s="359"/>
      <c r="D14" s="359"/>
      <c r="E14" s="359"/>
      <c r="F14" s="359"/>
      <c r="G14" s="359"/>
      <c r="H14" s="359"/>
    </row>
    <row r="15" spans="1:9" ht="33.75" customHeight="1" x14ac:dyDescent="0.2">
      <c r="A15" s="362" t="str">
        <f>+"Shu bilan birga, yuqoridagi mulkning kelishilgan garov qiymati "&amp;'Акт согласования'!E30</f>
        <v>Shu bilan birga, yuqoridagi mulkning kelishilgan garov qiymati 84 000 000,00 
(sakson to'rt million so'm)</v>
      </c>
      <c r="B15" s="362"/>
      <c r="C15" s="362"/>
      <c r="D15" s="362"/>
      <c r="E15" s="362"/>
      <c r="F15" s="362"/>
      <c r="G15" s="362"/>
      <c r="H15" s="362"/>
    </row>
    <row r="17" spans="1:8" ht="35.25" customHeight="1" x14ac:dyDescent="0.2">
      <c r="A17" s="354" t="s">
        <v>271</v>
      </c>
      <c r="B17" s="354"/>
      <c r="C17" s="354"/>
      <c r="D17" s="354"/>
      <c r="E17" s="354"/>
      <c r="F17" s="354"/>
      <c r="G17" s="354"/>
      <c r="H17" s="354"/>
    </row>
    <row r="21" spans="1:8" s="31" customFormat="1" x14ac:dyDescent="0.2"/>
    <row r="22" spans="1:8" s="31" customFormat="1" x14ac:dyDescent="0.2">
      <c r="A22" s="31" t="str">
        <f>'Общие данные'!A150</f>
        <v>Direktor</v>
      </c>
      <c r="H22" s="144" t="str">
        <f>'Общие данные'!B150</f>
        <v>Obidov A.Sh.</v>
      </c>
    </row>
    <row r="23" spans="1:8" s="31" customFormat="1" ht="32.25" customHeight="1" x14ac:dyDescent="0.2">
      <c r="H23" s="144"/>
    </row>
    <row r="24" spans="1:8" s="31" customFormat="1" ht="16.5" hidden="1" customHeight="1" x14ac:dyDescent="0.2">
      <c r="A24" s="31" t="s">
        <v>272</v>
      </c>
      <c r="H24" s="31" t="str">
        <f>'Общие данные'!B159</f>
        <v>Akramov R.N.</v>
      </c>
    </row>
    <row r="25" spans="1:8" s="31" customFormat="1" ht="60" customHeight="1" x14ac:dyDescent="0.2"/>
    <row r="26" spans="1:8" s="31" customFormat="1" x14ac:dyDescent="0.2">
      <c r="A26" s="31" t="s">
        <v>273</v>
      </c>
      <c r="H26" s="144" t="str">
        <f>'Общие данные'!B7</f>
        <v>BAYRAMGELDIYEV N.Q.</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E23" sqref="E23"/>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1" t="str">
        <f>""&amp;" "&amp;'Общие данные'!B74&amp;"-sonli "&amp;" "&amp;'Общие данные'!C64&amp;" shartnomasi bo‘yicha
 garovga qo‘yilgan mol-mulkni tekshirish bo’yicha "&amp;'Общие данные'!B5&amp;" bilan tuzilgan dalolatnomasi"</f>
        <v xml:space="preserve"> 5 mart 2026 y.dan №194-TR-sonli  Mikroqarz shartnomasi bo‘yicha
 garovga qo‘yilgan mol-mulkni tekshirish bo’yicha BAYRAMGELDIYEV NURGELDI QODOMBOY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197</v>
      </c>
      <c r="H5" s="142" t="str">
        <f>TEXT(+'Общие данные'!B2+540,"ДД.ММ.ГГГГ")</f>
        <v>27.08.2027</v>
      </c>
    </row>
    <row r="7" spans="1:9" ht="45" customHeight="1" x14ac:dyDescent="0.2">
      <c r="A7" s="360"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«PULLOL BUSINESS MIKROMOLIYA TASHKILOTI»  MChJ Direktori Obidov A.Sh., jismoniy shaxs  BAYRAMGELDIYEV NURGELDI QODOMBOY O'G'LI  5 mart 2026 y.dan №194-TR-sonli Mikroqarz shartnomasi bo‘yicha garovga qo‘yilgan mol-mulkni ko‘zdan kechirdim</v>
      </c>
      <c r="B7" s="360"/>
      <c r="C7" s="360"/>
      <c r="D7" s="360"/>
      <c r="E7" s="360"/>
      <c r="F7" s="360"/>
      <c r="G7" s="360"/>
      <c r="H7" s="360"/>
    </row>
    <row r="8" spans="1:9" ht="19.5" customHeight="1" x14ac:dyDescent="0.2">
      <c r="A8" s="355" t="s">
        <v>270</v>
      </c>
      <c r="B8" s="355"/>
      <c r="C8" s="355"/>
      <c r="D8" s="355"/>
      <c r="E8" s="355"/>
      <c r="F8" s="355"/>
      <c r="G8" s="355"/>
      <c r="H8" s="355"/>
    </row>
    <row r="9" spans="1:9" s="143" customFormat="1" ht="32.25" customHeight="1" x14ac:dyDescent="0.25">
      <c r="A9" s="356" t="str">
        <f>' Акт мониторинга 1'!A9</f>
        <v>Nomi</v>
      </c>
      <c r="B9" s="357"/>
      <c r="C9" s="356" t="str">
        <f>' Акт мониторинга 1'!C9</f>
        <v>Kuzov turi  va kuzov raqami*</v>
      </c>
      <c r="D9" s="357"/>
      <c r="E9" s="356" t="str">
        <f>' Акт мониторинга 1'!E9</f>
        <v>Dvigatel va shassi raqami*</v>
      </c>
      <c r="F9" s="357"/>
      <c r="G9" s="356" t="str">
        <f>' Акт мониторинга 1'!G9</f>
        <v>Ishlab chiqarilgan yili va rangi**</v>
      </c>
      <c r="H9" s="357"/>
    </row>
    <row r="10" spans="1:9" s="141" customFormat="1" ht="58.5" customHeight="1" x14ac:dyDescent="0.2">
      <c r="A10" s="363" t="str">
        <f>' Акт мониторинга 1'!A10</f>
        <v>COBALT</v>
      </c>
      <c r="B10" s="364"/>
      <c r="C10" s="363" t="str">
        <f>' Акт мониторинга 1'!C10</f>
        <v>kuzov turi - YENGIL SEDAN, kuzov raqami XWBJF69VEMA215312</v>
      </c>
      <c r="D10" s="364"/>
      <c r="E10" s="363" t="str">
        <f>' Акт мониторинга 1'!E10</f>
        <v>dvigatel raqami B15D2T13210582DJCX0088, shassi raqami - RAKAMSIZ</v>
      </c>
      <c r="F10" s="364"/>
      <c r="G10" s="363" t="str">
        <f>' Акт мониторинга 1'!G10</f>
        <v>rangi -  OQ GAZ, ishlab chiqarilgan yili - 2021</v>
      </c>
      <c r="H10" s="364"/>
    </row>
    <row r="11" spans="1:9" ht="19.5" customHeight="1" x14ac:dyDescent="0.2">
      <c r="A11" s="359" t="str">
        <f>'Акт согласования'!A22:E22</f>
        <v>-* avtotransport egasi: BAYRAMGELDIYEV NURGELDI QODOMBOY O'G'LI</v>
      </c>
      <c r="B11" s="359"/>
      <c r="C11" s="359"/>
      <c r="D11" s="359"/>
      <c r="E11" s="359"/>
      <c r="F11" s="359"/>
      <c r="G11" s="359"/>
      <c r="H11" s="359"/>
    </row>
    <row r="12" spans="1:9" ht="19.5" customHeight="1" x14ac:dyDescent="0.2">
      <c r="A12" s="359" t="str">
        <f>'Акт согласования'!A23:E23</f>
        <v>-* texnik pasport: AAG       1523624      13.05.2023 y</v>
      </c>
      <c r="B12" s="359"/>
      <c r="C12" s="359"/>
      <c r="D12" s="359"/>
      <c r="E12" s="359"/>
      <c r="F12" s="359"/>
      <c r="G12" s="359"/>
      <c r="H12" s="359"/>
    </row>
    <row r="13" spans="1:9" ht="19.5" customHeight="1" x14ac:dyDescent="0.2">
      <c r="A13" s="359" t="str">
        <f>'Акт согласования'!A24:E24</f>
        <v>-* roʻyxatdan oʻtgan manzili/garaj manzili: QORAQALPOG'ISTON RESPUBLIKASI ELLIKQAL'A TUMANI JASORAT MFY PAXTABIRLIK KO'CHASI 7-UY</v>
      </c>
      <c r="B13" s="359"/>
      <c r="C13" s="359"/>
      <c r="D13" s="359"/>
      <c r="E13" s="359"/>
      <c r="F13" s="359"/>
      <c r="G13" s="359"/>
      <c r="H13" s="359"/>
    </row>
    <row r="14" spans="1:9" ht="19.5" customHeight="1" x14ac:dyDescent="0.2">
      <c r="A14" s="359" t="str">
        <f>'Акт согласования'!A25:E25</f>
        <v>-* davlat raqami: 95H906KA</v>
      </c>
      <c r="B14" s="359"/>
      <c r="C14" s="359"/>
      <c r="D14" s="359"/>
      <c r="E14" s="359"/>
      <c r="F14" s="359"/>
      <c r="G14" s="359"/>
      <c r="H14" s="359"/>
    </row>
    <row r="15" spans="1:9" ht="33.75" customHeight="1" x14ac:dyDescent="0.2">
      <c r="A15" s="362" t="str">
        <f>+"Shu bilan birga, yuqoridagi mulkning kelishilgan garov qiymati "&amp;'Акт согласования'!E30</f>
        <v>Shu bilan birga, yuqoridagi mulkning kelishilgan garov qiymati 84 000 000,00 
(sakson to'rt million so'm)</v>
      </c>
      <c r="B15" s="362"/>
      <c r="C15" s="362"/>
      <c r="D15" s="362"/>
      <c r="E15" s="362"/>
      <c r="F15" s="362"/>
      <c r="G15" s="362"/>
      <c r="H15" s="362"/>
    </row>
    <row r="17" spans="1:8" s="141" customFormat="1" ht="32.25" customHeight="1" x14ac:dyDescent="0.2">
      <c r="A17" s="354" t="s">
        <v>271</v>
      </c>
      <c r="B17" s="354"/>
      <c r="C17" s="354"/>
      <c r="D17" s="354"/>
      <c r="E17" s="354"/>
      <c r="F17" s="354"/>
      <c r="G17" s="354"/>
      <c r="H17" s="354"/>
    </row>
    <row r="21" spans="1:8" s="31" customFormat="1" x14ac:dyDescent="0.2"/>
    <row r="22" spans="1:8" s="31" customFormat="1" x14ac:dyDescent="0.2">
      <c r="A22" s="31" t="str">
        <f>'Общие данные'!A150</f>
        <v>Direktor</v>
      </c>
      <c r="H22" s="144" t="str">
        <f>'Общие данные'!B150</f>
        <v>Obidov A.Sh.</v>
      </c>
    </row>
    <row r="23" spans="1:8" s="31" customFormat="1" ht="32.25" customHeight="1" x14ac:dyDescent="0.2">
      <c r="H23" s="144"/>
    </row>
    <row r="24" spans="1:8" s="31" customFormat="1" ht="16.5" hidden="1" customHeight="1" x14ac:dyDescent="0.2">
      <c r="A24" s="31" t="s">
        <v>272</v>
      </c>
      <c r="H24" s="31" t="str">
        <f>'Общие данные'!B159</f>
        <v>Akramov R.N.</v>
      </c>
    </row>
    <row r="25" spans="1:8" s="31" customFormat="1" ht="60" customHeight="1" x14ac:dyDescent="0.2"/>
    <row r="26" spans="1:8" s="31" customFormat="1" x14ac:dyDescent="0.2">
      <c r="A26" s="31" t="s">
        <v>273</v>
      </c>
      <c r="H26" s="144" t="str">
        <f>'Общие данные'!B7</f>
        <v>BAYRAMGELDIYEV N.Q.</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zoomScaleNormal="100" zoomScaleSheetLayoutView="100" workbookViewId="0">
      <selection activeCell="T22" sqref="T22"/>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1" t="str">
        <f>""&amp;" "&amp;'Общие данные'!B74&amp;"-sonli "&amp;" "&amp;'Общие данные'!C64&amp;" shartnomasi bo‘yicha
 garovga qo‘yilgan mol-mulkni tekshirish bo’yicha "&amp;'Общие данные'!B5&amp;" bilan tuzilgan dalolatnomasi"</f>
        <v xml:space="preserve"> 5 mart 2026 y.dan №194-TR-sonli  Mikroqarz shartnomasi bo‘yicha
 garovga qo‘yilgan mol-mulkni tekshirish bo’yicha BAYRAMGELDIYEV NURGELDI QODOMBOY O'G'LI bilan tuzilgan dalolatnomasi</v>
      </c>
      <c r="B2" s="361"/>
      <c r="C2" s="361"/>
      <c r="D2" s="361"/>
      <c r="E2" s="361"/>
      <c r="F2" s="361"/>
      <c r="G2" s="361"/>
      <c r="H2" s="361"/>
      <c r="I2" s="31"/>
    </row>
    <row r="3" spans="1:9" x14ac:dyDescent="0.2">
      <c r="A3" s="361"/>
      <c r="B3" s="361"/>
      <c r="C3" s="361"/>
      <c r="D3" s="361"/>
      <c r="E3" s="361"/>
      <c r="F3" s="361"/>
      <c r="G3" s="361"/>
      <c r="H3" s="361"/>
      <c r="I3" s="31"/>
    </row>
    <row r="5" spans="1:9" x14ac:dyDescent="0.2">
      <c r="A5" s="24" t="s">
        <v>197</v>
      </c>
      <c r="H5" s="142" t="str">
        <f>TEXT(+'Общие данные'!B2+720,"ДД.ММ.ГГГГ")</f>
        <v>23.02.2028</v>
      </c>
    </row>
    <row r="7" spans="1:9" ht="45" customHeight="1" x14ac:dyDescent="0.2">
      <c r="A7" s="360"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«PULLOL BUSINESS MIKROMOLIYA TASHKILOTI»  MChJ Direktori Obidov A.Sh., jismoniy shaxs  BAYRAMGELDIYEV NURGELDI QODOMBOY O'G'LI  5 mart 2026 y.dan №194-TR-sonli Mikroqarz shartnomasi bo‘yicha garovga qo‘yilgan mol-mulkni ko‘zdan kechirdim</v>
      </c>
      <c r="B7" s="360"/>
      <c r="C7" s="360"/>
      <c r="D7" s="360"/>
      <c r="E7" s="360"/>
      <c r="F7" s="360"/>
      <c r="G7" s="360"/>
      <c r="H7" s="360"/>
    </row>
    <row r="8" spans="1:9" ht="19.5" customHeight="1" x14ac:dyDescent="0.2">
      <c r="A8" s="355" t="s">
        <v>270</v>
      </c>
      <c r="B8" s="355"/>
      <c r="C8" s="355"/>
      <c r="D8" s="355"/>
      <c r="E8" s="355"/>
      <c r="F8" s="355"/>
      <c r="G8" s="355"/>
      <c r="H8" s="355"/>
    </row>
    <row r="9" spans="1:9" s="143" customFormat="1" ht="32.25" customHeight="1" x14ac:dyDescent="0.25">
      <c r="A9" s="356" t="str">
        <f>' Акт мониторинга 1'!A9</f>
        <v>Nomi</v>
      </c>
      <c r="B9" s="357"/>
      <c r="C9" s="356" t="str">
        <f>' Акт мониторинга 1'!C9</f>
        <v>Kuzov turi  va kuzov raqami*</v>
      </c>
      <c r="D9" s="357"/>
      <c r="E9" s="356" t="str">
        <f>' Акт мониторинга 1'!E9</f>
        <v>Dvigatel va shassi raqami*</v>
      </c>
      <c r="F9" s="357"/>
      <c r="G9" s="356" t="str">
        <f>' Акт мониторинга 1'!G9</f>
        <v>Ishlab chiqarilgan yili va rangi**</v>
      </c>
      <c r="H9" s="357"/>
    </row>
    <row r="10" spans="1:9" s="141" customFormat="1" ht="58.5" customHeight="1" x14ac:dyDescent="0.2">
      <c r="A10" s="358" t="str">
        <f>' Акт мониторинга 1'!A10</f>
        <v>COBALT</v>
      </c>
      <c r="B10" s="358"/>
      <c r="C10" s="358" t="str">
        <f>' Акт мониторинга 1'!C10</f>
        <v>kuzov turi - YENGIL SEDAN, kuzov raqami XWBJF69VEMA215312</v>
      </c>
      <c r="D10" s="358"/>
      <c r="E10" s="358" t="str">
        <f>' Акт мониторинга 1'!E10</f>
        <v>dvigatel raqami B15D2T13210582DJCX0088, shassi raqami - RAKAMSIZ</v>
      </c>
      <c r="F10" s="358"/>
      <c r="G10" s="358" t="str">
        <f>' Акт мониторинга 1'!G10</f>
        <v>rangi -  OQ GAZ, ishlab chiqarilgan yili - 2021</v>
      </c>
      <c r="H10" s="358"/>
    </row>
    <row r="11" spans="1:9" ht="19.5" customHeight="1" x14ac:dyDescent="0.2">
      <c r="A11" s="359" t="str">
        <f>'Акт согласования'!A22:E22</f>
        <v>-* avtotransport egasi: BAYRAMGELDIYEV NURGELDI QODOMBOY O'G'LI</v>
      </c>
      <c r="B11" s="359"/>
      <c r="C11" s="359"/>
      <c r="D11" s="359"/>
      <c r="E11" s="359"/>
      <c r="F11" s="359"/>
      <c r="G11" s="359"/>
      <c r="H11" s="359"/>
    </row>
    <row r="12" spans="1:9" ht="19.5" customHeight="1" x14ac:dyDescent="0.2">
      <c r="A12" s="359" t="str">
        <f>'Акт согласования'!A23:E23</f>
        <v>-* texnik pasport: AAG       1523624      13.05.2023 y</v>
      </c>
      <c r="B12" s="359"/>
      <c r="C12" s="359"/>
      <c r="D12" s="359"/>
      <c r="E12" s="359"/>
      <c r="F12" s="359"/>
      <c r="G12" s="359"/>
      <c r="H12" s="359"/>
    </row>
    <row r="13" spans="1:9" ht="19.5" customHeight="1" x14ac:dyDescent="0.2">
      <c r="A13" s="359" t="str">
        <f>'Акт согласования'!A24:E24</f>
        <v>-* roʻyxatdan oʻtgan manzili/garaj manzili: QORAQALPOG'ISTON RESPUBLIKASI ELLIKQAL'A TUMANI JASORAT MFY PAXTABIRLIK KO'CHASI 7-UY</v>
      </c>
      <c r="B13" s="359"/>
      <c r="C13" s="359"/>
      <c r="D13" s="359"/>
      <c r="E13" s="359"/>
      <c r="F13" s="359"/>
      <c r="G13" s="359"/>
      <c r="H13" s="359"/>
    </row>
    <row r="14" spans="1:9" ht="19.5" customHeight="1" x14ac:dyDescent="0.2">
      <c r="A14" s="359" t="str">
        <f>'Акт согласования'!A25:E25</f>
        <v>-* davlat raqami: 95H906KA</v>
      </c>
      <c r="B14" s="359"/>
      <c r="C14" s="359"/>
      <c r="D14" s="359"/>
      <c r="E14" s="359"/>
      <c r="F14" s="359"/>
      <c r="G14" s="359"/>
      <c r="H14" s="359"/>
    </row>
    <row r="15" spans="1:9" ht="33.75" customHeight="1" x14ac:dyDescent="0.2">
      <c r="A15" s="362" t="str">
        <f>+"Shu bilan birga, yuqoridagi mulkning kelishilgan garov qiymati "&amp;'Акт согласования'!E30</f>
        <v>Shu bilan birga, yuqoridagi mulkning kelishilgan garov qiymati 84 000 000,00 
(sakson to'rt million so'm)</v>
      </c>
      <c r="B15" s="362"/>
      <c r="C15" s="362"/>
      <c r="D15" s="362"/>
      <c r="E15" s="362"/>
      <c r="F15" s="362"/>
      <c r="G15" s="362"/>
      <c r="H15" s="362"/>
    </row>
    <row r="17" spans="1:8" ht="28.5" customHeight="1" x14ac:dyDescent="0.2">
      <c r="A17" s="354" t="s">
        <v>271</v>
      </c>
      <c r="B17" s="354"/>
      <c r="C17" s="354"/>
      <c r="D17" s="354"/>
      <c r="E17" s="354"/>
      <c r="F17" s="354"/>
      <c r="G17" s="354"/>
      <c r="H17" s="354"/>
    </row>
    <row r="21" spans="1:8" s="31" customFormat="1" x14ac:dyDescent="0.2"/>
    <row r="22" spans="1:8" s="31" customFormat="1" x14ac:dyDescent="0.2">
      <c r="A22" s="31" t="str">
        <f>'Общие данные'!A150</f>
        <v>Direktor</v>
      </c>
      <c r="H22" s="144" t="str">
        <f>'Общие данные'!B150</f>
        <v>Obidov A.Sh.</v>
      </c>
    </row>
    <row r="23" spans="1:8" s="31" customFormat="1" ht="32.25" customHeight="1" x14ac:dyDescent="0.2">
      <c r="H23" s="144"/>
    </row>
    <row r="24" spans="1:8" s="31" customFormat="1" ht="16.5" hidden="1" customHeight="1" x14ac:dyDescent="0.2">
      <c r="A24" s="31" t="s">
        <v>272</v>
      </c>
      <c r="H24" s="31" t="str">
        <f>'Общие данные'!B159</f>
        <v>Akramov R.N.</v>
      </c>
    </row>
    <row r="25" spans="1:8" s="31" customFormat="1" ht="60" customHeight="1" x14ac:dyDescent="0.2"/>
    <row r="26" spans="1:8" s="31" customFormat="1" x14ac:dyDescent="0.2">
      <c r="A26" s="31" t="s">
        <v>273</v>
      </c>
      <c r="H26" s="144" t="str">
        <f>'Общие данные'!B7</f>
        <v>BAYRAMGELDIYEV N.Q.</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13</vt:i4>
      </vt:variant>
    </vt:vector>
  </HeadingPairs>
  <TitlesOfParts>
    <vt:vector size="35" baseType="lpstr">
      <vt:lpstr>Протокол  (2)</vt:lpstr>
      <vt:lpstr>Данные для послед. Залога</vt:lpstr>
      <vt:lpstr>Общие данные</vt:lpstr>
      <vt:lpstr>График аннуитет.</vt:lpstr>
      <vt:lpstr>Анкета Клиента</vt:lpstr>
      <vt:lpstr>Кредитная заявка</vt:lpstr>
      <vt:lpstr>Анкета 2</vt:lpstr>
      <vt:lpstr>Мажбуриятнома </vt:lpstr>
      <vt:lpstr>Заключение КК</vt:lpstr>
      <vt:lpstr>договор</vt:lpstr>
      <vt:lpstr>График дифференц</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Лист1</vt:lpstr>
      <vt:lpstr>' Акт мониторинга 3'!Область_печати</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'Мажбуриятнома '!Область_печати</vt:lpstr>
      <vt:lpstr>обложка!Область_печати</vt:lpstr>
      <vt:lpstr>'Приказ на сделку'!Область_печати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Taylakov Ulug'bek Norbekovich</cp:lastModifiedBy>
  <cp:lastPrinted>2026-03-03T06:09:19Z</cp:lastPrinted>
  <dcterms:created xsi:type="dcterms:W3CDTF">2015-06-05T18:19:34Z</dcterms:created>
  <dcterms:modified xsi:type="dcterms:W3CDTF">2026-03-05T09:26:14Z</dcterms:modified>
</cp:coreProperties>
</file>