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codeName="ЭтаКнига"/>
  <mc:AlternateContent xmlns:mc="http://schemas.openxmlformats.org/markup-compatibility/2006">
    <mc:Choice Requires="x15">
      <x15ac:absPath xmlns:x15ac="http://schemas.microsoft.com/office/spreadsheetml/2010/11/ac" url="G:\Мой диск\StartUP\EPL\Excel\17.02.2026\"/>
    </mc:Choice>
  </mc:AlternateContent>
  <xr:revisionPtr revIDLastSave="0" documentId="13_ncr:1_{5A6AE82B-117A-4578-BD54-AC7596317946}" xr6:coauthVersionLast="47" xr6:coauthVersionMax="47" xr10:uidLastSave="{00000000-0000-0000-0000-000000000000}"/>
  <bookViews>
    <workbookView xWindow="14295" yWindow="0" windowWidth="14610" windowHeight="15585" tabRatio="915" firstSheet="15" activeTab="20" xr2:uid="{00000000-000D-0000-FFFF-FFFF00000000}"/>
  </bookViews>
  <sheets>
    <sheet name="protokol" sheetId="23" r:id="rId1"/>
    <sheet name="График дифференц" sheetId="15" state="hidden" r:id="rId2"/>
    <sheet name="Данные для послед. Залога" sheetId="21" state="hidden" r:id="rId3"/>
    <sheet name="umumiy_malumot" sheetId="1" r:id="rId4"/>
    <sheet name="График аннуитет." sheetId="12" state="hidden" r:id="rId5"/>
    <sheet name="mijoz_anketasi" sheetId="4" r:id="rId6"/>
    <sheet name="anketa" sheetId="22" r:id="rId7"/>
    <sheet name="kredit_ariza" sheetId="2" r:id="rId8"/>
    <sheet name="majburiyatnoma" sheetId="24" r:id="rId9"/>
    <sheet name="xulosa" sheetId="3" r:id="rId10"/>
    <sheet name="shartnoma" sheetId="19" r:id="rId11"/>
    <sheet name="grafik" sheetId="16" r:id="rId12"/>
    <sheet name="garov_ariza" sheetId="13" r:id="rId13"/>
    <sheet name="dalolatnoma" sheetId="7" r:id="rId14"/>
    <sheet name="buyruq" sheetId="8" r:id="rId15"/>
    <sheet name="muqova" sheetId="9" r:id="rId16"/>
    <sheet name="Письмо" sheetId="20" state="hidden" r:id="rId17"/>
    <sheet name="monitoring_1" sheetId="26" r:id="rId18"/>
    <sheet name="monitoring_2" sheetId="27" r:id="rId19"/>
    <sheet name="monitoring_3" sheetId="28" r:id="rId20"/>
    <sheet name="monitoring_4" sheetId="29" r:id="rId21"/>
  </sheets>
  <externalReferences>
    <externalReference r:id="rId22"/>
  </externalReferences>
  <definedNames>
    <definedName name="mos">'[1]Общие данные'!$C$23:$D$23</definedName>
    <definedName name="mulk">'[1]Общие данные'!$C$24:$W$24</definedName>
    <definedName name="_xlnm.Print_Area" localSheetId="14">buyruq!$A$1:$E$51</definedName>
    <definedName name="_xlnm.Print_Area" localSheetId="13">dalolatnoma!$A$1:$E$79</definedName>
    <definedName name="_xlnm.Print_Area" localSheetId="12">garov_ariza!$A$3:$B$20</definedName>
    <definedName name="_xlnm.Print_Area" localSheetId="11">grafik!$A$1:$F$74</definedName>
    <definedName name="_xlnm.Print_Area" localSheetId="7">kredit_ariza!$A$1:$D$40</definedName>
    <definedName name="_xlnm.Print_Area" localSheetId="5">mijoz_anketasi!$A$1:$F$36</definedName>
    <definedName name="_xlnm.Print_Area" localSheetId="18">monitoring_2!$A$1:$H$26</definedName>
    <definedName name="_xlnm.Print_Area" localSheetId="19">monitoring_3!$A$1:$H$26</definedName>
    <definedName name="_xlnm.Print_Area" localSheetId="20">monitoring_4!$A$1:$H$26</definedName>
    <definedName name="_xlnm.Print_Area" localSheetId="15">muqova!$A$1:$G$42</definedName>
    <definedName name="_xlnm.Print_Area" localSheetId="0">protokol!$A$1:$E$57</definedName>
    <definedName name="_xlnm.Print_Area" localSheetId="10">shartnoma!$A$1:$B$129</definedName>
    <definedName name="_xlnm.Print_Area" localSheetId="4">'График аннуитет.'!$A$1:$F$75</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56" i="23" l="1"/>
  <c r="A77" i="3"/>
  <c r="E69" i="3"/>
  <c r="A69" i="3"/>
  <c r="A21" i="7"/>
  <c r="A48" i="7" s="1"/>
  <c r="H125" i="1"/>
  <c r="E125" i="1"/>
  <c r="H126" i="1"/>
  <c r="E126" i="1" s="1"/>
  <c r="D126" i="1"/>
  <c r="A15" i="19"/>
  <c r="A5" i="19"/>
  <c r="B82" i="1"/>
  <c r="C86" i="1"/>
  <c r="B86" i="1"/>
  <c r="C123" i="1"/>
  <c r="A7" i="3"/>
  <c r="B124" i="19" l="1"/>
  <c r="D69" i="16" s="1"/>
  <c r="A20" i="4" l="1"/>
  <c r="B65" i="1" l="1"/>
  <c r="A16" i="2" s="1"/>
  <c r="A82" i="1" l="1"/>
  <c r="B129" i="19"/>
  <c r="C126" i="1"/>
  <c r="C10" i="26" l="1"/>
  <c r="B47" i="7"/>
  <c r="B31" i="3"/>
  <c r="B21" i="7"/>
  <c r="B48" i="7" s="1"/>
  <c r="I126" i="1" l="1"/>
  <c r="C31" i="3"/>
  <c r="A59" i="16" l="1"/>
  <c r="A23" i="19" l="1"/>
  <c r="B26" i="9"/>
  <c r="B25" i="9"/>
  <c r="A26" i="3"/>
  <c r="A14" i="19"/>
  <c r="A13" i="19"/>
  <c r="A14" i="2"/>
  <c r="A15" i="2"/>
  <c r="A21" i="2"/>
  <c r="A14" i="23"/>
  <c r="A22" i="23"/>
  <c r="A23" i="23"/>
  <c r="A24" i="23"/>
  <c r="A55" i="23"/>
  <c r="B136" i="1"/>
  <c r="G10" i="26" l="1"/>
  <c r="E21" i="7"/>
  <c r="A22" i="8" l="1"/>
  <c r="A21" i="8"/>
  <c r="A40" i="7"/>
  <c r="D80" i="7"/>
  <c r="B8" i="13"/>
  <c r="A19" i="13"/>
  <c r="B19" i="1" l="1"/>
  <c r="A33" i="16" l="1"/>
  <c r="A34" i="16" s="1"/>
  <c r="A35" i="16" s="1"/>
  <c r="A36" i="16" s="1"/>
  <c r="A37" i="16" s="1"/>
  <c r="A38" i="16" s="1"/>
  <c r="A39" i="16" s="1"/>
  <c r="A40" i="16" s="1"/>
  <c r="A41" i="16" s="1"/>
  <c r="A42" i="16" s="1"/>
  <c r="A43" i="16" s="1"/>
  <c r="A44" i="16" s="1"/>
  <c r="A45" i="16" s="1"/>
  <c r="A46" i="16" s="1"/>
  <c r="A47" i="16" s="1"/>
  <c r="A48" i="16" s="1"/>
  <c r="A49" i="16" s="1"/>
  <c r="A50" i="16" s="1"/>
  <c r="A51" i="16" s="1"/>
  <c r="A52" i="16" s="1"/>
  <c r="A53" i="16" s="1"/>
  <c r="A54" i="16" s="1"/>
  <c r="A55" i="16" s="1"/>
  <c r="A56" i="16" s="1"/>
  <c r="A32" i="15"/>
  <c r="A33" i="15" s="1"/>
  <c r="A34" i="15" s="1"/>
  <c r="A35" i="15" s="1"/>
  <c r="A36" i="15" s="1"/>
  <c r="A37" i="15" s="1"/>
  <c r="A38" i="15" s="1"/>
  <c r="A39" i="15" s="1"/>
  <c r="A40" i="15" s="1"/>
  <c r="A41" i="15" s="1"/>
  <c r="A42" i="15" s="1"/>
  <c r="A43" i="15" s="1"/>
  <c r="A44" i="15" s="1"/>
  <c r="A45" i="15" s="1"/>
  <c r="A46" i="15" s="1"/>
  <c r="A47" i="15" s="1"/>
  <c r="A48" i="15" s="1"/>
  <c r="A49" i="15" s="1"/>
  <c r="A50" i="15" s="1"/>
  <c r="A51" i="15" s="1"/>
  <c r="A52" i="15" s="1"/>
  <c r="A53" i="15" s="1"/>
  <c r="A54" i="15" s="1"/>
  <c r="A55" i="15" s="1"/>
  <c r="A32" i="12"/>
  <c r="A33" i="12" s="1"/>
  <c r="A34" i="12" s="1"/>
  <c r="A35" i="12" s="1"/>
  <c r="A36" i="12" s="1"/>
  <c r="A37" i="12" s="1"/>
  <c r="A38" i="12" s="1"/>
  <c r="A39" i="12" s="1"/>
  <c r="A40" i="12" s="1"/>
  <c r="A41" i="12" s="1"/>
  <c r="A42" i="12" s="1"/>
  <c r="A43" i="12" s="1"/>
  <c r="A44" i="12" s="1"/>
  <c r="A45" i="12" s="1"/>
  <c r="A46" i="12" s="1"/>
  <c r="A47" i="12" s="1"/>
  <c r="A48" i="12" s="1"/>
  <c r="A49" i="12" s="1"/>
  <c r="A50" i="12" s="1"/>
  <c r="A51" i="12" s="1"/>
  <c r="A52" i="12" s="1"/>
  <c r="A53" i="12" s="1"/>
  <c r="A54" i="12" s="1"/>
  <c r="A55" i="12" s="1"/>
  <c r="D31" i="3"/>
  <c r="E38" i="7" l="1"/>
  <c r="D38" i="7"/>
  <c r="C38" i="7"/>
  <c r="D49" i="3"/>
  <c r="C49" i="3"/>
  <c r="B49" i="3"/>
  <c r="A9" i="24" l="1"/>
  <c r="G10" i="27" l="1"/>
  <c r="G10" i="28" s="1"/>
  <c r="G10" i="29" s="1"/>
  <c r="E10" i="26"/>
  <c r="E10" i="27" s="1"/>
  <c r="E10" i="28" s="1"/>
  <c r="E10" i="29" s="1"/>
  <c r="C10" i="27"/>
  <c r="C10" i="28" s="1"/>
  <c r="C10" i="29" s="1"/>
  <c r="A10" i="26"/>
  <c r="A10" i="27" s="1"/>
  <c r="A10" i="28" s="1"/>
  <c r="A10" i="29" s="1"/>
  <c r="A31" i="3" l="1"/>
  <c r="D47" i="7"/>
  <c r="D21" i="7"/>
  <c r="C116" i="1"/>
  <c r="B116" i="1"/>
  <c r="C114" i="1"/>
  <c r="B114" i="1"/>
  <c r="C113" i="1"/>
  <c r="B113" i="1"/>
  <c r="C112" i="1"/>
  <c r="B112" i="1"/>
  <c r="C111" i="1"/>
  <c r="C117" i="1" s="1"/>
  <c r="B111" i="1"/>
  <c r="A23" i="8" l="1"/>
  <c r="A42" i="7"/>
  <c r="A39" i="7"/>
  <c r="A20" i="8"/>
  <c r="D70" i="7"/>
  <c r="A75" i="3" l="1"/>
  <c r="B33" i="1"/>
  <c r="B40" i="1" s="1"/>
  <c r="A123" i="19"/>
  <c r="A22" i="26" l="1"/>
  <c r="H24" i="26"/>
  <c r="D48" i="8"/>
  <c r="B7" i="13"/>
  <c r="B126" i="19"/>
  <c r="A73" i="3"/>
  <c r="A71" i="3"/>
  <c r="A66" i="3"/>
  <c r="A55" i="3"/>
  <c r="A1" i="3"/>
  <c r="C1" i="2"/>
  <c r="D17" i="23"/>
  <c r="E17" i="23" s="1"/>
  <c r="A1" i="23"/>
  <c r="A54" i="23"/>
  <c r="D70" i="16"/>
  <c r="A110" i="1" l="1"/>
  <c r="A109" i="1"/>
  <c r="A108" i="1"/>
  <c r="A107" i="1"/>
  <c r="H9" i="23"/>
  <c r="A69" i="16"/>
  <c r="A18" i="23" l="1"/>
  <c r="B49" i="1"/>
  <c r="B59" i="1" s="1"/>
  <c r="A16" i="4" l="1"/>
  <c r="A17" i="4"/>
  <c r="A7" i="24"/>
  <c r="B27" i="1"/>
  <c r="B34" i="1"/>
  <c r="B45" i="1" l="1"/>
  <c r="B58" i="1"/>
  <c r="D77" i="7"/>
  <c r="A70" i="7" l="1"/>
  <c r="A69" i="7"/>
  <c r="B6" i="13"/>
  <c r="D2" i="2"/>
  <c r="C76" i="1"/>
  <c r="B76" i="1" s="1"/>
  <c r="A31" i="4" l="1"/>
  <c r="A30" i="2"/>
  <c r="H77" i="19"/>
  <c r="A77" i="19" s="1"/>
  <c r="H21" i="19"/>
  <c r="A72" i="19"/>
  <c r="H68" i="19"/>
  <c r="A68" i="19" s="1"/>
  <c r="A55" i="19"/>
  <c r="A5" i="23"/>
  <c r="A12" i="19"/>
  <c r="A33" i="19"/>
  <c r="B32" i="19" s="1"/>
  <c r="A31" i="19" s="1"/>
  <c r="A87" i="1"/>
  <c r="A10" i="3"/>
  <c r="A17" i="2"/>
  <c r="A18" i="2"/>
  <c r="A9" i="19"/>
  <c r="A19" i="19"/>
  <c r="A46" i="19"/>
  <c r="A70" i="19"/>
  <c r="A95" i="19"/>
  <c r="C21" i="19"/>
  <c r="A51" i="19"/>
  <c r="A62" i="19"/>
  <c r="A73" i="19"/>
  <c r="C39" i="19"/>
  <c r="A39" i="19" s="1"/>
  <c r="A65" i="19"/>
  <c r="C74" i="19"/>
  <c r="A74" i="19" s="1"/>
  <c r="H17" i="19"/>
  <c r="A17" i="19" s="1"/>
  <c r="I21" i="19"/>
  <c r="A42" i="19"/>
  <c r="A59" i="19"/>
  <c r="A91" i="19"/>
  <c r="A20" i="19"/>
  <c r="C54" i="19"/>
  <c r="A54" i="19" s="1"/>
  <c r="A60" i="19"/>
  <c r="A67" i="19"/>
  <c r="A20" i="23"/>
  <c r="A22" i="19"/>
  <c r="A1" i="1"/>
  <c r="A79" i="1"/>
  <c r="A85" i="1"/>
  <c r="A2" i="1"/>
  <c r="A81" i="1"/>
  <c r="A86" i="1"/>
  <c r="A75" i="1"/>
  <c r="A89" i="1"/>
  <c r="A78" i="1"/>
  <c r="A84" i="1"/>
  <c r="A4" i="2" l="1"/>
  <c r="A40" i="19"/>
  <c r="A21" i="19"/>
  <c r="A61" i="19"/>
  <c r="A11" i="19"/>
  <c r="B122" i="1"/>
  <c r="B117" i="1"/>
  <c r="A17" i="8" s="1"/>
  <c r="B118" i="1"/>
  <c r="H7" i="23" l="1"/>
  <c r="A2" i="23" s="1"/>
  <c r="B120" i="1" l="1"/>
  <c r="B119" i="1"/>
  <c r="A47" i="8"/>
  <c r="A80" i="7"/>
  <c r="A79" i="7"/>
  <c r="A120" i="19" l="1"/>
  <c r="A65" i="16" s="1"/>
  <c r="A30" i="4"/>
  <c r="B122" i="19"/>
  <c r="D67" i="16" s="1"/>
  <c r="A15" i="4"/>
  <c r="A14" i="4"/>
  <c r="A13" i="4"/>
  <c r="C8" i="15"/>
  <c r="J12" i="15"/>
  <c r="A10" i="4" l="1"/>
  <c r="A9" i="4" s="1"/>
  <c r="D71" i="16"/>
  <c r="B123" i="19"/>
  <c r="D68" i="16" s="1"/>
  <c r="B119" i="19"/>
  <c r="D64" i="16" s="1"/>
  <c r="B117" i="19"/>
  <c r="D63" i="16" s="1"/>
  <c r="A68" i="16" l="1"/>
  <c r="A122" i="19"/>
  <c r="A67" i="16" s="1"/>
  <c r="A121" i="19"/>
  <c r="A66" i="16" s="1"/>
  <c r="A119" i="19"/>
  <c r="A64" i="16" s="1"/>
  <c r="E25" i="8" l="1"/>
  <c r="B24" i="9"/>
  <c r="B2" i="9"/>
  <c r="A22" i="29"/>
  <c r="A22" i="28"/>
  <c r="H5" i="29"/>
  <c r="H5" i="28"/>
  <c r="H5" i="27"/>
  <c r="A22" i="27"/>
  <c r="H22" i="26"/>
  <c r="D2" i="1"/>
  <c r="H5" i="26" s="1"/>
  <c r="A24" i="13"/>
  <c r="A22" i="13"/>
  <c r="A34" i="2"/>
  <c r="A29" i="4"/>
  <c r="A28" i="4"/>
  <c r="A7" i="4"/>
  <c r="A11" i="24"/>
  <c r="A14" i="26"/>
  <c r="A14" i="27" s="1"/>
  <c r="A14" i="28" s="1"/>
  <c r="A14" i="29" s="1"/>
  <c r="A41" i="7"/>
  <c r="A13" i="26" s="1"/>
  <c r="A13" i="27" s="1"/>
  <c r="A13" i="28" s="1"/>
  <c r="A13" i="29" s="1"/>
  <c r="A12" i="26"/>
  <c r="A12" i="27" s="1"/>
  <c r="A12" i="28" s="1"/>
  <c r="A12" i="29" s="1"/>
  <c r="A25" i="7"/>
  <c r="A23" i="7"/>
  <c r="A14" i="7"/>
  <c r="A13" i="7"/>
  <c r="A2" i="7"/>
  <c r="A53" i="3"/>
  <c r="A52" i="3"/>
  <c r="A51" i="3"/>
  <c r="A35" i="3"/>
  <c r="A33" i="3"/>
  <c r="A8" i="3"/>
  <c r="A5" i="3"/>
  <c r="A4" i="3"/>
  <c r="A11" i="8"/>
  <c r="A10" i="8"/>
  <c r="A12" i="2"/>
  <c r="A7" i="2"/>
  <c r="B164" i="1"/>
  <c r="I125" i="1"/>
  <c r="A25" i="2"/>
  <c r="C122" i="1"/>
  <c r="C120" i="1"/>
  <c r="C119" i="1"/>
  <c r="C118" i="1"/>
  <c r="D79" i="7" s="1"/>
  <c r="B9" i="1"/>
  <c r="B11" i="1" s="1"/>
  <c r="B13" i="1" s="1"/>
  <c r="B8" i="1"/>
  <c r="B137" i="1"/>
  <c r="B133" i="1"/>
  <c r="B130" i="1"/>
  <c r="B127" i="1"/>
  <c r="A24" i="7"/>
  <c r="A16" i="7" l="1"/>
  <c r="A24" i="2"/>
  <c r="A28" i="2"/>
  <c r="A26" i="2" s="1"/>
  <c r="A27" i="2"/>
  <c r="F125" i="1"/>
  <c r="C137" i="1"/>
  <c r="B138" i="1"/>
  <c r="A6" i="2"/>
  <c r="E48" i="7"/>
  <c r="A66" i="7"/>
  <c r="A15" i="7"/>
  <c r="A34" i="3"/>
  <c r="A27" i="3"/>
  <c r="A32" i="3"/>
  <c r="A17" i="7"/>
  <c r="A50" i="3"/>
  <c r="A22" i="7"/>
  <c r="B9" i="13"/>
  <c r="A23" i="2"/>
  <c r="A22" i="2" s="1"/>
  <c r="A16" i="8"/>
  <c r="A11" i="26"/>
  <c r="A11" i="27" s="1"/>
  <c r="A11" i="28" s="1"/>
  <c r="A11" i="29" s="1"/>
  <c r="A28" i="3"/>
  <c r="F126" i="1"/>
  <c r="B10" i="1"/>
  <c r="A8" i="8" s="1"/>
  <c r="A18" i="7" l="1"/>
  <c r="A19" i="7" s="1"/>
  <c r="A29" i="3"/>
  <c r="A26" i="23" s="1"/>
  <c r="A56" i="3"/>
  <c r="B12" i="1"/>
  <c r="A21" i="4" l="1"/>
  <c r="A10" i="2"/>
  <c r="A9" i="2"/>
  <c r="A19" i="4"/>
  <c r="A126" i="19" l="1"/>
  <c r="A71" i="16" s="1"/>
  <c r="B66" i="1" l="1"/>
  <c r="A1" i="19" s="1"/>
  <c r="H26" i="29"/>
  <c r="H26" i="28"/>
  <c r="H26" i="27"/>
  <c r="H22" i="29"/>
  <c r="H22" i="28"/>
  <c r="H22" i="27"/>
  <c r="H26" i="26"/>
  <c r="D74" i="7" l="1"/>
  <c r="A74" i="7"/>
  <c r="A131" i="19"/>
  <c r="B102" i="1"/>
  <c r="R124" i="1" l="1"/>
  <c r="R125" i="1" s="1"/>
  <c r="N126" i="1" s="1"/>
  <c r="A25" i="13"/>
  <c r="A26" i="13" s="1"/>
  <c r="A28" i="13" s="1"/>
  <c r="Q124" i="1"/>
  <c r="Q125" i="1" s="1"/>
  <c r="N125" i="1" s="1"/>
  <c r="A20" i="13" l="1"/>
  <c r="C81" i="7" s="1"/>
  <c r="B24" i="4"/>
  <c r="B67" i="1" l="1"/>
  <c r="C78" i="1" s="1"/>
  <c r="C79" i="1" s="1"/>
  <c r="C80" i="1" s="1"/>
  <c r="B79" i="1" s="1"/>
  <c r="B80" i="1" s="1"/>
  <c r="B145" i="1" l="1"/>
  <c r="B143" i="1"/>
  <c r="C18" i="1" l="1"/>
  <c r="B20" i="1" l="1"/>
  <c r="C20" i="1"/>
  <c r="C115" i="1" l="1"/>
  <c r="C121" i="1" s="1"/>
  <c r="B115" i="1"/>
  <c r="B121" i="1" s="1"/>
  <c r="B121" i="19"/>
  <c r="D65" i="16" s="1"/>
  <c r="A8" i="2"/>
  <c r="B33" i="23"/>
  <c r="C33" i="23"/>
  <c r="D33" i="23"/>
  <c r="E33" i="23"/>
  <c r="A33" i="23"/>
  <c r="B27" i="23"/>
  <c r="C27" i="23"/>
  <c r="D27" i="23"/>
  <c r="E27" i="23"/>
  <c r="A27" i="23"/>
  <c r="J4" i="21" l="1"/>
  <c r="I4" i="21"/>
  <c r="G4" i="21"/>
  <c r="H4" i="21" s="1"/>
  <c r="K4" i="21" l="1"/>
  <c r="J3" i="21"/>
  <c r="I3" i="21"/>
  <c r="G3" i="21"/>
  <c r="H3" i="21" s="1"/>
  <c r="K3" i="21" l="1"/>
  <c r="G5" i="21"/>
  <c r="H5" i="21" s="1"/>
  <c r="I5" i="21"/>
  <c r="J5" i="21"/>
  <c r="G6" i="21"/>
  <c r="H6" i="21" s="1"/>
  <c r="I6" i="21"/>
  <c r="J6" i="21"/>
  <c r="G7" i="21"/>
  <c r="H7" i="21" s="1"/>
  <c r="I7" i="21"/>
  <c r="J7" i="21"/>
  <c r="G8" i="21"/>
  <c r="H8" i="21" s="1"/>
  <c r="I8" i="21"/>
  <c r="J8" i="21"/>
  <c r="G9" i="21"/>
  <c r="H9" i="21" s="1"/>
  <c r="I9" i="21"/>
  <c r="J9" i="21"/>
  <c r="G10" i="21"/>
  <c r="H10" i="21" s="1"/>
  <c r="I10" i="21"/>
  <c r="J10" i="21"/>
  <c r="G11" i="21"/>
  <c r="H11" i="21" s="1"/>
  <c r="I11" i="21"/>
  <c r="J11" i="21"/>
  <c r="G12" i="21"/>
  <c r="H12" i="21" s="1"/>
  <c r="I12" i="21"/>
  <c r="J12" i="21"/>
  <c r="G13" i="21"/>
  <c r="H13" i="21" s="1"/>
  <c r="I13" i="21"/>
  <c r="J13" i="21"/>
  <c r="G14" i="21"/>
  <c r="H14" i="21" s="1"/>
  <c r="I14" i="21"/>
  <c r="J14" i="21"/>
  <c r="G15" i="21"/>
  <c r="H15" i="21" s="1"/>
  <c r="I15" i="21"/>
  <c r="J15" i="21"/>
  <c r="G16" i="21"/>
  <c r="H16" i="21" s="1"/>
  <c r="I16" i="21"/>
  <c r="J16" i="21"/>
  <c r="G17" i="21"/>
  <c r="H17" i="21" s="1"/>
  <c r="I17" i="21"/>
  <c r="J17" i="21"/>
  <c r="G18" i="21"/>
  <c r="H18" i="21" s="1"/>
  <c r="I18" i="21"/>
  <c r="J18" i="21"/>
  <c r="G19" i="21"/>
  <c r="H19" i="21" s="1"/>
  <c r="I19" i="21"/>
  <c r="J19" i="21"/>
  <c r="G20" i="21"/>
  <c r="H20" i="21" s="1"/>
  <c r="I20" i="21"/>
  <c r="J20" i="21"/>
  <c r="G21" i="21"/>
  <c r="H21" i="21" s="1"/>
  <c r="I21" i="21"/>
  <c r="J21" i="21"/>
  <c r="J2" i="21"/>
  <c r="I2" i="21"/>
  <c r="G2" i="21"/>
  <c r="H2" i="21" s="1"/>
  <c r="K14" i="21" l="1"/>
  <c r="K6" i="21"/>
  <c r="K15" i="21"/>
  <c r="K7" i="21"/>
  <c r="K17" i="21"/>
  <c r="K13" i="21"/>
  <c r="K20" i="21"/>
  <c r="K19" i="21"/>
  <c r="K18" i="21"/>
  <c r="K12" i="21"/>
  <c r="K11" i="21"/>
  <c r="K10" i="21"/>
  <c r="K5" i="21"/>
  <c r="K2" i="21"/>
  <c r="K16" i="21"/>
  <c r="K9" i="21"/>
  <c r="K8" i="21"/>
  <c r="K21" i="21"/>
  <c r="A48" i="23"/>
  <c r="F27" i="4" l="1"/>
  <c r="A21" i="3" s="1"/>
  <c r="D25" i="21" l="1"/>
  <c r="C25" i="21"/>
  <c r="A25" i="21"/>
  <c r="B25" i="21" s="1"/>
  <c r="M22" i="21"/>
  <c r="E67" i="7" l="1"/>
  <c r="O2" i="21"/>
  <c r="P2" i="21" s="1"/>
  <c r="P5" i="21"/>
  <c r="P13" i="21"/>
  <c r="P17" i="21"/>
  <c r="P21" i="21"/>
  <c r="O4" i="21"/>
  <c r="P4" i="21" s="1"/>
  <c r="P15" i="21"/>
  <c r="P16" i="21"/>
  <c r="P20" i="21"/>
  <c r="P7" i="21"/>
  <c r="P8" i="21"/>
  <c r="P9" i="21"/>
  <c r="P10" i="21"/>
  <c r="P18" i="21"/>
  <c r="P6" i="21"/>
  <c r="P14" i="21"/>
  <c r="O3" i="21"/>
  <c r="P3" i="21" s="1"/>
  <c r="P11" i="21"/>
  <c r="P12" i="21"/>
  <c r="P19" i="21"/>
  <c r="B51" i="7"/>
  <c r="B34" i="23" s="1"/>
  <c r="A51" i="7"/>
  <c r="A34" i="23" s="1"/>
  <c r="W2" i="21" l="1"/>
  <c r="A64" i="7" s="1"/>
  <c r="C136" i="1"/>
  <c r="D67" i="7" l="1"/>
  <c r="E45" i="23"/>
  <c r="E34" i="23"/>
  <c r="E51" i="7"/>
  <c r="A38" i="20"/>
  <c r="A37" i="20"/>
  <c r="B19" i="20"/>
  <c r="C19" i="20"/>
  <c r="D19" i="20"/>
  <c r="E19" i="20"/>
  <c r="A19" i="20"/>
  <c r="E37" i="7" l="1"/>
  <c r="E36" i="7"/>
  <c r="E35" i="7"/>
  <c r="E34" i="7"/>
  <c r="E33" i="7"/>
  <c r="E32" i="7"/>
  <c r="E31" i="7"/>
  <c r="E30" i="7"/>
  <c r="L5" i="15"/>
  <c r="I8" i="15" l="1"/>
  <c r="E20" i="20"/>
  <c r="B26" i="4"/>
  <c r="B27" i="4" s="1"/>
  <c r="A20" i="3" l="1"/>
  <c r="A11" i="2"/>
  <c r="A33" i="20"/>
  <c r="A47" i="23"/>
  <c r="C19" i="1"/>
  <c r="B21" i="1" l="1"/>
  <c r="A6" i="3" s="1"/>
  <c r="C21" i="1"/>
  <c r="B8" i="15"/>
  <c r="C5" i="22"/>
  <c r="A33" i="22" s="1"/>
  <c r="R50" i="15" l="1"/>
  <c r="R48" i="15"/>
  <c r="R51" i="15"/>
  <c r="R52" i="15"/>
  <c r="R53" i="15"/>
  <c r="R54" i="15"/>
  <c r="R55" i="15"/>
  <c r="R44" i="15"/>
  <c r="R49" i="15"/>
  <c r="R45" i="15"/>
  <c r="R46" i="15"/>
  <c r="R47" i="15"/>
  <c r="R42" i="15"/>
  <c r="R43" i="15"/>
  <c r="R41" i="15"/>
  <c r="B9" i="16"/>
  <c r="R34" i="15"/>
  <c r="O34" i="15" s="1"/>
  <c r="P34" i="15" s="1"/>
  <c r="Q34" i="15" s="1"/>
  <c r="B34" i="15" s="1"/>
  <c r="R33" i="15"/>
  <c r="O33" i="15" s="1"/>
  <c r="P33" i="15" s="1"/>
  <c r="Q33" i="15" s="1"/>
  <c r="B33" i="15" s="1"/>
  <c r="R32" i="15"/>
  <c r="R40" i="15"/>
  <c r="R39" i="15"/>
  <c r="O39" i="15" s="1"/>
  <c r="P39" i="15" s="1"/>
  <c r="Q39" i="15" s="1"/>
  <c r="B39" i="15" s="1"/>
  <c r="R38" i="15"/>
  <c r="O38" i="15" s="1"/>
  <c r="P38" i="15" s="1"/>
  <c r="Q38" i="15" s="1"/>
  <c r="B38" i="15" s="1"/>
  <c r="R36" i="15"/>
  <c r="O36" i="15" s="1"/>
  <c r="P36" i="15" s="1"/>
  <c r="Q36" i="15" s="1"/>
  <c r="B36" i="15" s="1"/>
  <c r="R37" i="15"/>
  <c r="O37" i="15" s="1"/>
  <c r="P37" i="15" s="1"/>
  <c r="Q37" i="15" s="1"/>
  <c r="B37" i="15" s="1"/>
  <c r="R35" i="15"/>
  <c r="R28" i="15"/>
  <c r="O28" i="15" s="1"/>
  <c r="P28" i="15" s="1"/>
  <c r="Q28" i="15" s="1"/>
  <c r="B28" i="15" s="1"/>
  <c r="B29" i="16" s="1"/>
  <c r="R29" i="15"/>
  <c r="O29" i="15" s="1"/>
  <c r="P29" i="15" s="1"/>
  <c r="Q29" i="15" s="1"/>
  <c r="B29" i="15" s="1"/>
  <c r="B30" i="16" s="1"/>
  <c r="R27" i="15"/>
  <c r="O27" i="15" s="1"/>
  <c r="P27" i="15" s="1"/>
  <c r="Q27" i="15" s="1"/>
  <c r="B27" i="15" s="1"/>
  <c r="B28" i="16" s="1"/>
  <c r="R30" i="15"/>
  <c r="O30" i="15" s="1"/>
  <c r="P30" i="15" s="1"/>
  <c r="Q30" i="15" s="1"/>
  <c r="B30" i="15" s="1"/>
  <c r="B31" i="16" s="1"/>
  <c r="R31" i="15"/>
  <c r="R26" i="15"/>
  <c r="O26" i="15" s="1"/>
  <c r="P26" i="15" s="1"/>
  <c r="Q26" i="15" s="1"/>
  <c r="B26" i="15" s="1"/>
  <c r="B27" i="16" s="1"/>
  <c r="R20" i="15"/>
  <c r="R21" i="15"/>
  <c r="R23" i="15"/>
  <c r="R22" i="15"/>
  <c r="R10" i="15"/>
  <c r="R9" i="15"/>
  <c r="G8" i="15"/>
  <c r="R12" i="15"/>
  <c r="R19" i="15"/>
  <c r="H8" i="15"/>
  <c r="R15" i="15"/>
  <c r="O8" i="15"/>
  <c r="P8" i="15" s="1"/>
  <c r="Q8" i="15" s="1"/>
  <c r="R16" i="15"/>
  <c r="R17" i="15"/>
  <c r="R18" i="15"/>
  <c r="R11" i="15"/>
  <c r="R13" i="15"/>
  <c r="R14" i="15"/>
  <c r="B8" i="12"/>
  <c r="R24" i="15"/>
  <c r="R25" i="15"/>
  <c r="O45" i="15" l="1"/>
  <c r="P45" i="15" s="1"/>
  <c r="Q45" i="15" s="1"/>
  <c r="B45" i="15" s="1"/>
  <c r="B45" i="12" s="1"/>
  <c r="O49" i="15"/>
  <c r="P49" i="15" s="1"/>
  <c r="Q49" i="15" s="1"/>
  <c r="B49" i="15" s="1"/>
  <c r="B49" i="12" s="1"/>
  <c r="O46" i="15"/>
  <c r="P46" i="15" s="1"/>
  <c r="Q46" i="15" s="1"/>
  <c r="B46" i="15" s="1"/>
  <c r="B46" i="12" s="1"/>
  <c r="O44" i="15"/>
  <c r="P44" i="15" s="1"/>
  <c r="Q44" i="15" s="1"/>
  <c r="B44" i="15" s="1"/>
  <c r="B44" i="12" s="1"/>
  <c r="B55" i="15"/>
  <c r="B55" i="12" s="1"/>
  <c r="O55" i="15"/>
  <c r="P55" i="15" s="1"/>
  <c r="Q55" i="15" s="1"/>
  <c r="O54" i="15"/>
  <c r="P54" i="15" s="1"/>
  <c r="Q54" i="15" s="1"/>
  <c r="B54" i="15" s="1"/>
  <c r="B54" i="12" s="1"/>
  <c r="O47" i="15"/>
  <c r="P47" i="15" s="1"/>
  <c r="Q47" i="15" s="1"/>
  <c r="B47" i="15" s="1"/>
  <c r="B47" i="12" s="1"/>
  <c r="O53" i="15"/>
  <c r="P53" i="15" s="1"/>
  <c r="Q53" i="15" s="1"/>
  <c r="B53" i="15" s="1"/>
  <c r="B53" i="12" s="1"/>
  <c r="O52" i="15"/>
  <c r="P52" i="15" s="1"/>
  <c r="Q52" i="15" s="1"/>
  <c r="B52" i="15" s="1"/>
  <c r="B52" i="12" s="1"/>
  <c r="O51" i="15"/>
  <c r="P51" i="15" s="1"/>
  <c r="Q51" i="15" s="1"/>
  <c r="B51" i="15" s="1"/>
  <c r="B51" i="12" s="1"/>
  <c r="O48" i="15"/>
  <c r="P48" i="15" s="1"/>
  <c r="Q48" i="15" s="1"/>
  <c r="B48" i="15" s="1"/>
  <c r="B48" i="12" s="1"/>
  <c r="O50" i="15"/>
  <c r="P50" i="15" s="1"/>
  <c r="Q50" i="15" s="1"/>
  <c r="B50" i="15" s="1"/>
  <c r="B50" i="12" s="1"/>
  <c r="O41" i="15"/>
  <c r="P41" i="15" s="1"/>
  <c r="Q41" i="15" s="1"/>
  <c r="B41" i="15" s="1"/>
  <c r="O43" i="15"/>
  <c r="P43" i="15" s="1"/>
  <c r="Q43" i="15" s="1"/>
  <c r="B43" i="15" s="1"/>
  <c r="O42" i="15"/>
  <c r="P42" i="15" s="1"/>
  <c r="Q42" i="15" s="1"/>
  <c r="B42" i="15" s="1"/>
  <c r="O35" i="15"/>
  <c r="P35" i="15" s="1"/>
  <c r="Q35" i="15" s="1"/>
  <c r="B35" i="15" s="1"/>
  <c r="H37" i="15"/>
  <c r="B37" i="12"/>
  <c r="G37" i="15"/>
  <c r="B38" i="16"/>
  <c r="B36" i="12"/>
  <c r="H36" i="12" s="1"/>
  <c r="H36" i="15"/>
  <c r="B37" i="16"/>
  <c r="B38" i="12"/>
  <c r="G38" i="15"/>
  <c r="H38" i="15"/>
  <c r="B39" i="16"/>
  <c r="B39" i="12"/>
  <c r="B40" i="16"/>
  <c r="H39" i="15"/>
  <c r="G39" i="15"/>
  <c r="O40" i="15"/>
  <c r="P40" i="15" s="1"/>
  <c r="Q40" i="15" s="1"/>
  <c r="B40" i="15" s="1"/>
  <c r="O32" i="15"/>
  <c r="P32" i="15" s="1"/>
  <c r="Q32" i="15" s="1"/>
  <c r="B32" i="15" s="1"/>
  <c r="B33" i="12"/>
  <c r="H33" i="12" s="1"/>
  <c r="B34" i="16"/>
  <c r="H33" i="15"/>
  <c r="G34" i="15"/>
  <c r="B34" i="12"/>
  <c r="B35" i="16"/>
  <c r="H34" i="15"/>
  <c r="B26" i="12"/>
  <c r="O31" i="15"/>
  <c r="P31" i="15" s="1"/>
  <c r="Q31" i="15" s="1"/>
  <c r="B31" i="15" s="1"/>
  <c r="B30" i="12"/>
  <c r="B27" i="12"/>
  <c r="B29" i="12"/>
  <c r="B28" i="12"/>
  <c r="O18" i="15"/>
  <c r="P18" i="15" s="1"/>
  <c r="Q18" i="15" s="1"/>
  <c r="B18" i="15" s="1"/>
  <c r="B19" i="16" s="1"/>
  <c r="O24" i="15"/>
  <c r="P24" i="15" s="1"/>
  <c r="Q24" i="15" s="1"/>
  <c r="B24" i="15" s="1"/>
  <c r="B25" i="16" s="1"/>
  <c r="O15" i="15"/>
  <c r="P15" i="15" s="1"/>
  <c r="Q15" i="15" s="1"/>
  <c r="B15" i="15" s="1"/>
  <c r="B16" i="16" s="1"/>
  <c r="O13" i="15"/>
  <c r="P13" i="15" s="1"/>
  <c r="Q13" i="15" s="1"/>
  <c r="B13" i="15" s="1"/>
  <c r="O17" i="15"/>
  <c r="P17" i="15" s="1"/>
  <c r="Q17" i="15" s="1"/>
  <c r="B17" i="15" s="1"/>
  <c r="B18" i="16" s="1"/>
  <c r="O16" i="15"/>
  <c r="P16" i="15" s="1"/>
  <c r="Q16" i="15" s="1"/>
  <c r="B16" i="15" s="1"/>
  <c r="B17" i="16" s="1"/>
  <c r="O22" i="15"/>
  <c r="P22" i="15" s="1"/>
  <c r="Q22" i="15" s="1"/>
  <c r="B22" i="15" s="1"/>
  <c r="B23" i="16" s="1"/>
  <c r="O23" i="15"/>
  <c r="P23" i="15" s="1"/>
  <c r="Q23" i="15" s="1"/>
  <c r="B23" i="15" s="1"/>
  <c r="B24" i="16" s="1"/>
  <c r="O21" i="15"/>
  <c r="P21" i="15" s="1"/>
  <c r="Q21" i="15" s="1"/>
  <c r="B21" i="15" s="1"/>
  <c r="B22" i="16" s="1"/>
  <c r="O20" i="15"/>
  <c r="P20" i="15" s="1"/>
  <c r="Q20" i="15" s="1"/>
  <c r="B20" i="15" s="1"/>
  <c r="B21" i="16" s="1"/>
  <c r="L8" i="15"/>
  <c r="O11" i="15"/>
  <c r="P11" i="15" s="1"/>
  <c r="Q11" i="15" s="1"/>
  <c r="O10" i="15"/>
  <c r="P10" i="15" s="1"/>
  <c r="Q10" i="15" s="1"/>
  <c r="O9" i="15"/>
  <c r="P9" i="15" s="1"/>
  <c r="Q9" i="15" s="1"/>
  <c r="O19" i="15"/>
  <c r="P19" i="15" s="1"/>
  <c r="Q19" i="15" s="1"/>
  <c r="B19" i="15" s="1"/>
  <c r="O14" i="15"/>
  <c r="P14" i="15" s="1"/>
  <c r="Q14" i="15" s="1"/>
  <c r="B14" i="15" s="1"/>
  <c r="B15" i="16" s="1"/>
  <c r="O12" i="15"/>
  <c r="P12" i="15" s="1"/>
  <c r="Q12" i="15" s="1"/>
  <c r="O25" i="15"/>
  <c r="P25" i="15" s="1"/>
  <c r="Q25" i="15" s="1"/>
  <c r="B25" i="15" s="1"/>
  <c r="B26" i="16" s="1"/>
  <c r="B49" i="16" l="1"/>
  <c r="H48" i="15"/>
  <c r="G48" i="15"/>
  <c r="H54" i="15"/>
  <c r="B55" i="16"/>
  <c r="G54" i="15"/>
  <c r="H53" i="15"/>
  <c r="B54" i="16"/>
  <c r="G53" i="15"/>
  <c r="B48" i="16"/>
  <c r="H47" i="15"/>
  <c r="G47" i="15"/>
  <c r="B45" i="16"/>
  <c r="H44" i="15"/>
  <c r="G44" i="15"/>
  <c r="B47" i="16"/>
  <c r="H46" i="15"/>
  <c r="G46" i="15"/>
  <c r="B52" i="16"/>
  <c r="G51" i="15"/>
  <c r="H51" i="15"/>
  <c r="B50" i="16"/>
  <c r="H49" i="15"/>
  <c r="G49" i="15"/>
  <c r="B53" i="16"/>
  <c r="G52" i="15"/>
  <c r="H52" i="15"/>
  <c r="B51" i="16"/>
  <c r="H50" i="15"/>
  <c r="G50" i="15"/>
  <c r="B46" i="16"/>
  <c r="H45" i="15"/>
  <c r="G45" i="15"/>
  <c r="H55" i="15"/>
  <c r="B56" i="16"/>
  <c r="G55" i="15"/>
  <c r="H42" i="15"/>
  <c r="B42" i="12"/>
  <c r="B43" i="16"/>
  <c r="G42" i="15"/>
  <c r="B42" i="16"/>
  <c r="B41" i="12"/>
  <c r="H41" i="12" s="1"/>
  <c r="H41" i="15"/>
  <c r="B44" i="16"/>
  <c r="G43" i="15"/>
  <c r="B43" i="12"/>
  <c r="H43" i="15"/>
  <c r="B33" i="16"/>
  <c r="B32" i="12"/>
  <c r="H32" i="15"/>
  <c r="G33" i="15"/>
  <c r="B35" i="12"/>
  <c r="G35" i="15"/>
  <c r="H35" i="15"/>
  <c r="B36" i="16"/>
  <c r="G36" i="15"/>
  <c r="G38" i="12"/>
  <c r="H38" i="12"/>
  <c r="B41" i="16"/>
  <c r="H40" i="15"/>
  <c r="B40" i="12"/>
  <c r="G40" i="15"/>
  <c r="G41" i="15"/>
  <c r="H34" i="12"/>
  <c r="G34" i="12"/>
  <c r="H37" i="12"/>
  <c r="G37" i="12"/>
  <c r="H39" i="12"/>
  <c r="G39" i="12"/>
  <c r="B32" i="16"/>
  <c r="G32" i="15"/>
  <c r="B19" i="12"/>
  <c r="B20" i="16"/>
  <c r="B13" i="12"/>
  <c r="B14" i="16"/>
  <c r="B23" i="12"/>
  <c r="B21" i="12"/>
  <c r="B22" i="12"/>
  <c r="B20" i="12"/>
  <c r="B24" i="12"/>
  <c r="E8" i="15"/>
  <c r="B31" i="12"/>
  <c r="H31" i="15"/>
  <c r="B25" i="12"/>
  <c r="H25" i="15"/>
  <c r="B16" i="12"/>
  <c r="H16" i="15"/>
  <c r="G16" i="15"/>
  <c r="B17" i="12"/>
  <c r="G17" i="15"/>
  <c r="H17" i="15"/>
  <c r="B15" i="12"/>
  <c r="H15" i="15"/>
  <c r="B18" i="12"/>
  <c r="H18" i="15"/>
  <c r="G18" i="15"/>
  <c r="H13" i="15"/>
  <c r="H20" i="15"/>
  <c r="H21" i="15"/>
  <c r="G21" i="15"/>
  <c r="G23" i="15"/>
  <c r="H23" i="15"/>
  <c r="H22" i="15"/>
  <c r="G22" i="15"/>
  <c r="G14" i="15"/>
  <c r="H14" i="15"/>
  <c r="B14" i="12"/>
  <c r="G15" i="15"/>
  <c r="B9" i="15"/>
  <c r="H19" i="15"/>
  <c r="G20" i="15"/>
  <c r="G19" i="15"/>
  <c r="B10" i="15"/>
  <c r="B11" i="16" s="1"/>
  <c r="B12" i="15"/>
  <c r="B13" i="16" s="1"/>
  <c r="B11" i="15"/>
  <c r="B12" i="16" s="1"/>
  <c r="D17" i="1"/>
  <c r="G32" i="12" l="1"/>
  <c r="H43" i="12"/>
  <c r="G43" i="12"/>
  <c r="H42" i="12"/>
  <c r="G42" i="12"/>
  <c r="G36" i="12"/>
  <c r="H35" i="12"/>
  <c r="G35" i="12"/>
  <c r="H40" i="12"/>
  <c r="G40" i="12"/>
  <c r="G41" i="12"/>
  <c r="G33" i="12"/>
  <c r="H32" i="12"/>
  <c r="G9" i="15"/>
  <c r="B10" i="16"/>
  <c r="G10" i="15"/>
  <c r="H10" i="15"/>
  <c r="B10" i="12"/>
  <c r="H9" i="15"/>
  <c r="G13" i="15"/>
  <c r="G12" i="15"/>
  <c r="H12" i="15"/>
  <c r="B12" i="12"/>
  <c r="H11" i="15"/>
  <c r="G11" i="15"/>
  <c r="B11" i="12"/>
  <c r="B9" i="12"/>
  <c r="I67" i="1"/>
  <c r="G67" i="1"/>
  <c r="A129" i="19" l="1"/>
  <c r="A73" i="16" s="1"/>
  <c r="A117" i="19"/>
  <c r="A63" i="16" s="1"/>
  <c r="F67" i="1" l="1"/>
  <c r="E67" i="1"/>
  <c r="A20" i="2" s="1"/>
  <c r="C67" i="1"/>
  <c r="C65" i="1"/>
  <c r="C66" i="1" l="1"/>
  <c r="I66" i="1"/>
  <c r="G66" i="1"/>
  <c r="D67" i="1"/>
  <c r="B144" i="1" s="1"/>
  <c r="H67" i="1"/>
  <c r="B69" i="1" s="1"/>
  <c r="A4" i="24" s="1"/>
  <c r="E66" i="1"/>
  <c r="F66" i="1"/>
  <c r="A30" i="19" l="1"/>
  <c r="A26" i="19"/>
  <c r="A29" i="19"/>
  <c r="A28" i="19" s="1"/>
  <c r="A27" i="19"/>
  <c r="B68" i="1"/>
  <c r="D66" i="1"/>
  <c r="B72" i="1" s="1"/>
  <c r="H66" i="1"/>
  <c r="B73" i="1" s="1"/>
  <c r="E3" i="23" l="1"/>
  <c r="B74" i="1"/>
  <c r="B70" i="1"/>
  <c r="A3" i="19" s="1"/>
  <c r="E3" i="22"/>
  <c r="B71" i="1"/>
  <c r="F3" i="16" l="1"/>
  <c r="A7" i="29"/>
  <c r="A2" i="29"/>
  <c r="A7" i="28"/>
  <c r="A2" i="28"/>
  <c r="A7" i="27"/>
  <c r="A2" i="27"/>
  <c r="B19" i="9"/>
  <c r="A2" i="26"/>
  <c r="A12" i="7"/>
  <c r="A7" i="26"/>
  <c r="A9" i="7"/>
  <c r="A11" i="7"/>
  <c r="A8" i="7"/>
  <c r="A45" i="7"/>
  <c r="A46" i="7"/>
  <c r="B165" i="1"/>
  <c r="A4" i="8" s="1"/>
  <c r="B142" i="1"/>
  <c r="E4" i="7" s="1"/>
  <c r="A39" i="20"/>
  <c r="B40" i="9"/>
  <c r="A19" i="2"/>
  <c r="A25" i="23" s="1"/>
  <c r="D72" i="15"/>
  <c r="A70" i="15"/>
  <c r="A68" i="15"/>
  <c r="D64" i="15"/>
  <c r="D60" i="15"/>
  <c r="A60" i="15"/>
  <c r="A7" i="7" l="1"/>
  <c r="A10" i="7"/>
  <c r="A6" i="7" s="1"/>
  <c r="A44" i="7"/>
  <c r="A15" i="3"/>
  <c r="H27" i="15"/>
  <c r="G27" i="15"/>
  <c r="G28" i="15"/>
  <c r="H28" i="15"/>
  <c r="G30" i="15"/>
  <c r="G31" i="15"/>
  <c r="H30" i="15"/>
  <c r="G29" i="15"/>
  <c r="H29" i="15"/>
  <c r="G26" i="15"/>
  <c r="H26" i="15"/>
  <c r="H24" i="15"/>
  <c r="G24" i="15"/>
  <c r="G25" i="15"/>
  <c r="F2" i="15" l="1"/>
  <c r="B62" i="1" l="1"/>
  <c r="D67" i="15" l="1"/>
  <c r="B19" i="13" l="1"/>
  <c r="B10" i="13"/>
  <c r="D68" i="15" l="1"/>
  <c r="D66" i="15" l="1"/>
  <c r="A61" i="7" l="1"/>
  <c r="A44" i="23" s="1"/>
  <c r="B61" i="7"/>
  <c r="B44" i="23" s="1"/>
  <c r="C61" i="7"/>
  <c r="C44" i="23" s="1"/>
  <c r="D61" i="7"/>
  <c r="D44" i="23" s="1"/>
  <c r="A62" i="7"/>
  <c r="A45" i="23" s="1"/>
  <c r="B35" i="23"/>
  <c r="C35" i="23"/>
  <c r="D35" i="23"/>
  <c r="B53" i="7"/>
  <c r="B36" i="23" s="1"/>
  <c r="C53" i="7"/>
  <c r="C36" i="23" s="1"/>
  <c r="D53" i="7"/>
  <c r="D36" i="23" s="1"/>
  <c r="B54" i="7"/>
  <c r="B37" i="23" s="1"/>
  <c r="C54" i="7"/>
  <c r="C37" i="23" s="1"/>
  <c r="D54" i="7"/>
  <c r="D37" i="23" s="1"/>
  <c r="B55" i="7"/>
  <c r="B38" i="23" s="1"/>
  <c r="C55" i="7"/>
  <c r="C38" i="23" s="1"/>
  <c r="D55" i="7"/>
  <c r="D38" i="23" s="1"/>
  <c r="B56" i="7"/>
  <c r="B39" i="23" s="1"/>
  <c r="C56" i="7"/>
  <c r="C39" i="23" s="1"/>
  <c r="D56" i="7"/>
  <c r="D39" i="23" s="1"/>
  <c r="B57" i="7"/>
  <c r="B40" i="23" s="1"/>
  <c r="C57" i="7"/>
  <c r="C40" i="23" s="1"/>
  <c r="D57" i="7"/>
  <c r="D40" i="23" s="1"/>
  <c r="B58" i="7"/>
  <c r="B41" i="23" s="1"/>
  <c r="C58" i="7"/>
  <c r="C41" i="23" s="1"/>
  <c r="D58" i="7"/>
  <c r="D41" i="23" s="1"/>
  <c r="B59" i="7"/>
  <c r="B42" i="23" s="1"/>
  <c r="C59" i="7"/>
  <c r="C42" i="23" s="1"/>
  <c r="D59" i="7"/>
  <c r="D42" i="23" s="1"/>
  <c r="B60" i="7"/>
  <c r="B43" i="23" s="1"/>
  <c r="C60" i="7"/>
  <c r="C43" i="23" s="1"/>
  <c r="D60" i="7"/>
  <c r="D43" i="23" s="1"/>
  <c r="C51" i="7"/>
  <c r="C34" i="23" s="1"/>
  <c r="D51" i="7"/>
  <c r="D34" i="23" s="1"/>
  <c r="A35" i="23"/>
  <c r="A53" i="7"/>
  <c r="A36" i="23" s="1"/>
  <c r="A54" i="7"/>
  <c r="A37" i="23" s="1"/>
  <c r="A55" i="7"/>
  <c r="A38" i="23" s="1"/>
  <c r="A56" i="7"/>
  <c r="A39" i="23" s="1"/>
  <c r="A57" i="7"/>
  <c r="A40" i="23" s="1"/>
  <c r="A58" i="7"/>
  <c r="A41" i="23" s="1"/>
  <c r="A59" i="7"/>
  <c r="A42" i="23" s="1"/>
  <c r="A60" i="7"/>
  <c r="A43" i="23" s="1"/>
  <c r="A49" i="23"/>
  <c r="A39" i="8"/>
  <c r="D62" i="7"/>
  <c r="D45" i="23" s="1"/>
  <c r="C62" i="7"/>
  <c r="C45" i="23" s="1"/>
  <c r="B62" i="7"/>
  <c r="B45" i="23" s="1"/>
  <c r="A48" i="3" l="1"/>
  <c r="A30" i="20"/>
  <c r="B47" i="3"/>
  <c r="B29" i="20"/>
  <c r="B48" i="3"/>
  <c r="B30" i="20"/>
  <c r="D47" i="3"/>
  <c r="D29" i="20"/>
  <c r="D48" i="3"/>
  <c r="D30" i="20"/>
  <c r="A47" i="3"/>
  <c r="A29" i="20"/>
  <c r="C47" i="3"/>
  <c r="C29" i="20"/>
  <c r="C48" i="3"/>
  <c r="C30" i="20"/>
  <c r="A49" i="3"/>
  <c r="A31" i="20"/>
  <c r="A45" i="3"/>
  <c r="A27" i="20"/>
  <c r="D46" i="3"/>
  <c r="D28" i="20"/>
  <c r="C45" i="3"/>
  <c r="C27" i="20"/>
  <c r="C46" i="3"/>
  <c r="C28" i="20"/>
  <c r="B45" i="3"/>
  <c r="B27" i="20"/>
  <c r="D45" i="3"/>
  <c r="D27" i="20"/>
  <c r="A46" i="3"/>
  <c r="A28" i="20"/>
  <c r="B46" i="3"/>
  <c r="B28" i="20"/>
  <c r="A41" i="3"/>
  <c r="A23" i="20"/>
  <c r="D41" i="3"/>
  <c r="D23" i="20"/>
  <c r="D31" i="20"/>
  <c r="A44" i="3"/>
  <c r="A26" i="20"/>
  <c r="A40" i="3"/>
  <c r="A22" i="20"/>
  <c r="C20" i="20"/>
  <c r="B44" i="3"/>
  <c r="B26" i="20"/>
  <c r="D42" i="3"/>
  <c r="D24" i="20"/>
  <c r="C41" i="3"/>
  <c r="C23" i="20"/>
  <c r="B22" i="20"/>
  <c r="A43" i="3"/>
  <c r="A25" i="20"/>
  <c r="A39" i="3"/>
  <c r="A21" i="20"/>
  <c r="D43" i="3"/>
  <c r="D25" i="20"/>
  <c r="C42" i="3"/>
  <c r="C24" i="20"/>
  <c r="B41" i="3"/>
  <c r="B23" i="20"/>
  <c r="D39" i="3"/>
  <c r="D21" i="20"/>
  <c r="C31" i="20"/>
  <c r="D20" i="20"/>
  <c r="C44" i="3"/>
  <c r="C26" i="20"/>
  <c r="B43" i="3"/>
  <c r="B25" i="20"/>
  <c r="C22" i="20"/>
  <c r="B39" i="3"/>
  <c r="B21" i="20"/>
  <c r="A38" i="3"/>
  <c r="A20" i="20"/>
  <c r="B31" i="20"/>
  <c r="A42" i="3"/>
  <c r="A24" i="20"/>
  <c r="B38" i="3"/>
  <c r="B20" i="20"/>
  <c r="D44" i="3"/>
  <c r="D26" i="20"/>
  <c r="C43" i="3"/>
  <c r="C25" i="20"/>
  <c r="B42" i="3"/>
  <c r="B24" i="20"/>
  <c r="D22" i="20"/>
  <c r="C39" i="3"/>
  <c r="C21" i="20"/>
  <c r="A40" i="8"/>
  <c r="A34" i="20"/>
  <c r="A41" i="8"/>
  <c r="A35" i="20"/>
  <c r="D33" i="8"/>
  <c r="C28" i="8"/>
  <c r="D26" i="8"/>
  <c r="D35" i="8"/>
  <c r="C31" i="8"/>
  <c r="D32" i="8"/>
  <c r="B31" i="8"/>
  <c r="D27" i="8"/>
  <c r="D36" i="8"/>
  <c r="C35" i="8"/>
  <c r="C32" i="8"/>
  <c r="D29" i="8"/>
  <c r="C27" i="8"/>
  <c r="C36" i="8"/>
  <c r="B35" i="8"/>
  <c r="D31" i="8"/>
  <c r="D28" i="8"/>
  <c r="B27" i="8"/>
  <c r="B36" i="8"/>
  <c r="C37" i="8"/>
  <c r="D30" i="8"/>
  <c r="D34" i="8"/>
  <c r="D37" i="8"/>
  <c r="C33" i="8"/>
  <c r="C30" i="8"/>
  <c r="C29" i="8"/>
  <c r="C26" i="8"/>
  <c r="C34" i="8"/>
  <c r="B33" i="8"/>
  <c r="B32" i="8"/>
  <c r="B30" i="8"/>
  <c r="B29" i="8"/>
  <c r="B28" i="8"/>
  <c r="B26" i="8"/>
  <c r="B34" i="8"/>
  <c r="B37" i="8"/>
  <c r="A33" i="8"/>
  <c r="A32" i="8"/>
  <c r="A31" i="8"/>
  <c r="A30" i="8"/>
  <c r="A29" i="8"/>
  <c r="A28" i="8"/>
  <c r="A27" i="8"/>
  <c r="A26" i="8"/>
  <c r="A36" i="8"/>
  <c r="A35" i="8"/>
  <c r="A34" i="8"/>
  <c r="A37" i="8"/>
  <c r="C142" i="1"/>
  <c r="N123" i="1" l="1"/>
  <c r="E38" i="3"/>
  <c r="E62" i="7"/>
  <c r="E31" i="20" s="1"/>
  <c r="A46" i="23"/>
  <c r="E26" i="8" l="1"/>
  <c r="A38" i="8"/>
  <c r="A32" i="20"/>
  <c r="E37" i="8"/>
  <c r="E49" i="3"/>
  <c r="D72" i="12"/>
  <c r="A70" i="12"/>
  <c r="A68" i="12"/>
  <c r="D64" i="12"/>
  <c r="D60" i="12"/>
  <c r="A60" i="12"/>
  <c r="C8" i="12"/>
  <c r="C9" i="16" s="1"/>
  <c r="A25" i="19" l="1"/>
  <c r="A24" i="19" l="1"/>
  <c r="B12" i="9"/>
  <c r="A12" i="8"/>
  <c r="E18" i="8"/>
  <c r="E11" i="20" s="1"/>
  <c r="D18" i="8"/>
  <c r="D11" i="20" s="1"/>
  <c r="C18" i="8"/>
  <c r="C11" i="20" s="1"/>
  <c r="B18" i="8"/>
  <c r="B11" i="20" s="1"/>
  <c r="A18" i="8"/>
  <c r="A11" i="20" s="1"/>
  <c r="D78" i="7"/>
  <c r="D48" i="7"/>
  <c r="D28" i="23" s="1"/>
  <c r="C48" i="7"/>
  <c r="C28" i="23" s="1"/>
  <c r="B28" i="23"/>
  <c r="A28" i="23"/>
  <c r="A32" i="23" l="1"/>
  <c r="A30" i="23"/>
  <c r="D19" i="8"/>
  <c r="D12" i="20" s="1"/>
  <c r="C19" i="8"/>
  <c r="C12" i="20" s="1"/>
  <c r="B19" i="8"/>
  <c r="B12" i="20" s="1"/>
  <c r="A16" i="20"/>
  <c r="A19" i="8"/>
  <c r="A12" i="20" s="1"/>
  <c r="A14" i="20"/>
  <c r="D35" i="4"/>
  <c r="D27" i="4"/>
  <c r="C27" i="4"/>
  <c r="A14" i="3"/>
  <c r="A60" i="3" s="1"/>
  <c r="A11" i="4"/>
  <c r="A8" i="4"/>
  <c r="A6" i="4"/>
  <c r="A5" i="4"/>
  <c r="A4" i="4"/>
  <c r="A39" i="2"/>
  <c r="A17" i="3"/>
  <c r="A63" i="3" s="1"/>
  <c r="A12" i="3"/>
  <c r="A63" i="15" l="1"/>
  <c r="A67" i="15"/>
  <c r="A72" i="15"/>
  <c r="D74" i="15"/>
  <c r="A62" i="15"/>
  <c r="A66" i="15"/>
  <c r="A65" i="15"/>
  <c r="A64" i="15"/>
  <c r="D63" i="15"/>
  <c r="D70" i="15"/>
  <c r="D62" i="15"/>
  <c r="A72" i="12"/>
  <c r="A66" i="12"/>
  <c r="A63" i="12"/>
  <c r="A67" i="12"/>
  <c r="A64" i="12"/>
  <c r="A13" i="3"/>
  <c r="A59" i="3" s="1"/>
  <c r="A65" i="12"/>
  <c r="D68" i="12"/>
  <c r="D66" i="12"/>
  <c r="D67" i="12"/>
  <c r="D63" i="12"/>
  <c r="D70" i="12"/>
  <c r="D62" i="12"/>
  <c r="A62" i="12"/>
  <c r="A58" i="3"/>
  <c r="A61" i="3"/>
  <c r="A13" i="8"/>
  <c r="A16" i="3"/>
  <c r="A62" i="3" s="1"/>
  <c r="A14" i="8"/>
  <c r="E31" i="3"/>
  <c r="A15" i="8" l="1"/>
  <c r="A15" i="27"/>
  <c r="A15" i="26"/>
  <c r="A15" i="29"/>
  <c r="A15" i="28"/>
  <c r="A31" i="23"/>
  <c r="A29" i="23"/>
  <c r="E28" i="23"/>
  <c r="A15" i="20"/>
  <c r="A13" i="20"/>
  <c r="E19" i="8"/>
  <c r="E12" i="20" s="1"/>
  <c r="A18" i="3"/>
  <c r="A16" i="23" s="1"/>
  <c r="F2" i="12"/>
  <c r="A64" i="3" l="1"/>
  <c r="G8" i="12"/>
  <c r="H8" i="12"/>
  <c r="H10" i="12" l="1"/>
  <c r="H12" i="12"/>
  <c r="H13" i="12"/>
  <c r="H15" i="12"/>
  <c r="H16" i="12"/>
  <c r="H9" i="12"/>
  <c r="H18" i="12"/>
  <c r="H11" i="12"/>
  <c r="H17" i="12"/>
  <c r="H14" i="12"/>
  <c r="G13" i="12"/>
  <c r="E8" i="12"/>
  <c r="E9" i="16" s="1"/>
  <c r="G17" i="12"/>
  <c r="G11" i="12"/>
  <c r="G9" i="12"/>
  <c r="G15" i="12"/>
  <c r="H19" i="12"/>
  <c r="G12" i="12"/>
  <c r="G18" i="12"/>
  <c r="G10" i="12"/>
  <c r="G16" i="12"/>
  <c r="G14" i="12"/>
  <c r="G19" i="12" l="1"/>
  <c r="H20" i="12" l="1"/>
  <c r="G20" i="12"/>
  <c r="H21" i="12" l="1"/>
  <c r="G21" i="12"/>
  <c r="H22" i="12" l="1"/>
  <c r="G22" i="12"/>
  <c r="H23" i="12" l="1"/>
  <c r="G23" i="12"/>
  <c r="H24" i="12" l="1"/>
  <c r="G24" i="12"/>
  <c r="H25" i="12" l="1"/>
  <c r="G25" i="12"/>
  <c r="H26" i="12" l="1"/>
  <c r="G26" i="12"/>
  <c r="H27" i="12" l="1"/>
  <c r="G27" i="12"/>
  <c r="H28" i="12" l="1"/>
  <c r="G28" i="12"/>
  <c r="H29" i="12" l="1"/>
  <c r="G29" i="12"/>
  <c r="H31" i="12" l="1"/>
  <c r="G31" i="12"/>
  <c r="H30" i="12"/>
  <c r="G30" i="12"/>
  <c r="I9" i="15" l="1"/>
  <c r="D8" i="15"/>
  <c r="C9" i="15" l="1"/>
  <c r="M8" i="15"/>
  <c r="F8" i="15" s="1"/>
  <c r="L9" i="15"/>
  <c r="E9" i="15" s="1"/>
  <c r="D9" i="15"/>
  <c r="C10" i="15" s="1"/>
  <c r="I10" i="15"/>
  <c r="I11" i="15" s="1"/>
  <c r="I12" i="15" s="1"/>
  <c r="J13" i="15" l="1"/>
  <c r="K13" i="15" s="1"/>
  <c r="I13" i="15" s="1"/>
  <c r="I14" i="15" s="1"/>
  <c r="I15" i="15" s="1"/>
  <c r="I16" i="15" s="1"/>
  <c r="I17" i="15" s="1"/>
  <c r="I18" i="15" s="1"/>
  <c r="L10" i="15"/>
  <c r="E10" i="15" s="1"/>
  <c r="D10" i="15"/>
  <c r="C11" i="15" s="1"/>
  <c r="M9" i="15"/>
  <c r="F9" i="15" s="1"/>
  <c r="J15" i="15" l="1"/>
  <c r="K15" i="15" s="1"/>
  <c r="J19" i="15"/>
  <c r="K19" i="15" s="1"/>
  <c r="I19" i="15" s="1"/>
  <c r="J18" i="15"/>
  <c r="K18" i="15" s="1"/>
  <c r="J16" i="15"/>
  <c r="K16" i="15" s="1"/>
  <c r="J17" i="15"/>
  <c r="K17" i="15" s="1"/>
  <c r="J14" i="15"/>
  <c r="K14" i="15" s="1"/>
  <c r="L11" i="15"/>
  <c r="E11" i="15" s="1"/>
  <c r="D11" i="15"/>
  <c r="C12" i="15" s="1"/>
  <c r="M10" i="15"/>
  <c r="F10" i="15" s="1"/>
  <c r="J20" i="15" l="1"/>
  <c r="K20" i="15" s="1"/>
  <c r="I20" i="15" s="1"/>
  <c r="L12" i="15"/>
  <c r="E12" i="15" s="1"/>
  <c r="D12" i="15"/>
  <c r="M11" i="15"/>
  <c r="F11" i="15" s="1"/>
  <c r="I21" i="15" l="1"/>
  <c r="I22" i="15" s="1"/>
  <c r="J22" i="15"/>
  <c r="K22" i="15" s="1"/>
  <c r="J21" i="15"/>
  <c r="K21" i="15" s="1"/>
  <c r="J23" i="15"/>
  <c r="K23" i="15" s="1"/>
  <c r="I23" i="15" s="1"/>
  <c r="J24" i="15" s="1"/>
  <c r="K24" i="15" s="1"/>
  <c r="I24" i="15" s="1"/>
  <c r="M12" i="15"/>
  <c r="F12" i="15" s="1"/>
  <c r="C13" i="15"/>
  <c r="J25" i="15" l="1"/>
  <c r="K25" i="15" s="1"/>
  <c r="I25" i="15" s="1"/>
  <c r="J26" i="15" s="1"/>
  <c r="K26" i="15" s="1"/>
  <c r="D13" i="15"/>
  <c r="C14" i="15" s="1"/>
  <c r="L13" i="15"/>
  <c r="E13" i="15" s="1"/>
  <c r="I26" i="15" l="1"/>
  <c r="I27" i="15" s="1"/>
  <c r="I28" i="15" s="1"/>
  <c r="I29" i="15" s="1"/>
  <c r="I30" i="15" s="1"/>
  <c r="M13" i="15"/>
  <c r="F13" i="15" s="1"/>
  <c r="L14" i="15"/>
  <c r="E14" i="15" s="1"/>
  <c r="D14" i="15"/>
  <c r="C15" i="15" s="1"/>
  <c r="J28" i="15" l="1"/>
  <c r="K28" i="15" s="1"/>
  <c r="J27" i="15"/>
  <c r="K27" i="15" s="1"/>
  <c r="J30" i="15"/>
  <c r="K30" i="15" s="1"/>
  <c r="J29" i="15"/>
  <c r="K29" i="15" s="1"/>
  <c r="J31" i="15"/>
  <c r="K31" i="15" s="1"/>
  <c r="I31" i="15" s="1"/>
  <c r="I32" i="15" s="1"/>
  <c r="M14" i="15"/>
  <c r="F14" i="15" s="1"/>
  <c r="L15" i="15"/>
  <c r="E15" i="15" s="1"/>
  <c r="D15" i="15"/>
  <c r="C16" i="15" s="1"/>
  <c r="J32" i="15" l="1"/>
  <c r="K32" i="15" s="1"/>
  <c r="I33" i="15"/>
  <c r="J33" i="15"/>
  <c r="K33" i="15" s="1"/>
  <c r="L16" i="15"/>
  <c r="E16" i="15" s="1"/>
  <c r="D16" i="15"/>
  <c r="C17" i="15" s="1"/>
  <c r="M15" i="15"/>
  <c r="F15" i="15" s="1"/>
  <c r="I34" i="15" l="1"/>
  <c r="J34" i="15"/>
  <c r="K34" i="15" s="1"/>
  <c r="L17" i="15"/>
  <c r="E17" i="15" s="1"/>
  <c r="D17" i="15"/>
  <c r="C18" i="15" s="1"/>
  <c r="M16" i="15"/>
  <c r="F16" i="15" s="1"/>
  <c r="I35" i="15" l="1"/>
  <c r="J35" i="15"/>
  <c r="K35" i="15" s="1"/>
  <c r="L18" i="15"/>
  <c r="E18" i="15" s="1"/>
  <c r="D18" i="15"/>
  <c r="M17" i="15"/>
  <c r="F17" i="15" s="1"/>
  <c r="I36" i="15" l="1"/>
  <c r="J36" i="15"/>
  <c r="K36" i="15" s="1"/>
  <c r="M18" i="15"/>
  <c r="F18" i="15" s="1"/>
  <c r="C19" i="15"/>
  <c r="J37" i="15" l="1"/>
  <c r="K37" i="15" s="1"/>
  <c r="I37" i="15" s="1"/>
  <c r="D19" i="15"/>
  <c r="C20" i="15" s="1"/>
  <c r="L19" i="15"/>
  <c r="E19" i="15" s="1"/>
  <c r="I38" i="15" l="1"/>
  <c r="J38" i="15"/>
  <c r="K38" i="15" s="1"/>
  <c r="L20" i="15"/>
  <c r="E20" i="15" s="1"/>
  <c r="M19" i="15"/>
  <c r="F19" i="15" s="1"/>
  <c r="I39" i="15" l="1"/>
  <c r="J40" i="15" s="1"/>
  <c r="K40" i="15" s="1"/>
  <c r="I40" i="15" s="1"/>
  <c r="J39" i="15"/>
  <c r="K39" i="15" s="1"/>
  <c r="D20" i="15"/>
  <c r="M20" i="15" s="1"/>
  <c r="F20" i="15" s="1"/>
  <c r="I41" i="15" l="1"/>
  <c r="I42" i="15" s="1"/>
  <c r="J43" i="15" s="1"/>
  <c r="K43" i="15" s="1"/>
  <c r="I43" i="15" s="1"/>
  <c r="J41" i="15"/>
  <c r="K41" i="15" s="1"/>
  <c r="C21" i="15"/>
  <c r="L21" i="15" s="1"/>
  <c r="E21" i="15" s="1"/>
  <c r="I44" i="15" l="1"/>
  <c r="J44" i="15"/>
  <c r="K44" i="15" s="1"/>
  <c r="J42" i="15"/>
  <c r="K42" i="15" s="1"/>
  <c r="D21" i="15"/>
  <c r="M21" i="15" s="1"/>
  <c r="F21" i="15" s="1"/>
  <c r="I45" i="15" l="1"/>
  <c r="J45" i="15"/>
  <c r="K45" i="15" s="1"/>
  <c r="C22" i="15"/>
  <c r="L22" i="15" s="1"/>
  <c r="E22" i="15" s="1"/>
  <c r="I46" i="15" l="1"/>
  <c r="J46" i="15"/>
  <c r="K46" i="15" s="1"/>
  <c r="D22" i="15"/>
  <c r="C23" i="15" s="1"/>
  <c r="L23" i="15" s="1"/>
  <c r="E23" i="15" s="1"/>
  <c r="I47" i="15" l="1"/>
  <c r="J47" i="15"/>
  <c r="K47" i="15" s="1"/>
  <c r="M22" i="15"/>
  <c r="F22" i="15" s="1"/>
  <c r="D23" i="15"/>
  <c r="C24" i="15" s="1"/>
  <c r="I48" i="15" l="1"/>
  <c r="J48" i="15"/>
  <c r="K48" i="15" s="1"/>
  <c r="M23" i="15"/>
  <c r="F23" i="15" s="1"/>
  <c r="L24" i="15"/>
  <c r="E24" i="15" s="1"/>
  <c r="I49" i="15" l="1"/>
  <c r="J49" i="15"/>
  <c r="K49" i="15" s="1"/>
  <c r="D24" i="15"/>
  <c r="I50" i="15" l="1"/>
  <c r="J50" i="15"/>
  <c r="K50" i="15" s="1"/>
  <c r="C25" i="15"/>
  <c r="M24" i="15"/>
  <c r="F24" i="15" s="1"/>
  <c r="I51" i="15" l="1"/>
  <c r="J51" i="15"/>
  <c r="K51" i="15" s="1"/>
  <c r="L25" i="15"/>
  <c r="E25" i="15" s="1"/>
  <c r="I52" i="15" l="1"/>
  <c r="J52" i="15"/>
  <c r="K52" i="15" s="1"/>
  <c r="D25" i="15"/>
  <c r="I53" i="15" l="1"/>
  <c r="J53" i="15"/>
  <c r="K53" i="15" s="1"/>
  <c r="C26" i="15"/>
  <c r="M25" i="15"/>
  <c r="F25" i="15" s="1"/>
  <c r="I54" i="15" l="1"/>
  <c r="J55" i="15" s="1"/>
  <c r="K55" i="15" s="1"/>
  <c r="I55" i="15" s="1"/>
  <c r="J54" i="15"/>
  <c r="K54" i="15" s="1"/>
  <c r="L26" i="15"/>
  <c r="D26" i="15" s="1"/>
  <c r="E26" i="15" l="1"/>
  <c r="M26" i="15" s="1"/>
  <c r="F26" i="15" s="1"/>
  <c r="C27" i="15"/>
  <c r="L27" i="15" l="1"/>
  <c r="D27" i="15" s="1"/>
  <c r="C28" i="15" s="1"/>
  <c r="E27" i="15" l="1"/>
  <c r="M27" i="15" s="1"/>
  <c r="F27" i="15" s="1"/>
  <c r="L28" i="15"/>
  <c r="D28" i="15" s="1"/>
  <c r="C29" i="15" s="1"/>
  <c r="E28" i="15" l="1"/>
  <c r="M28" i="15" s="1"/>
  <c r="F28" i="15" s="1"/>
  <c r="L29" i="15"/>
  <c r="D29" i="15" s="1"/>
  <c r="C30" i="15" s="1"/>
  <c r="E29" i="15" l="1"/>
  <c r="M29" i="15" s="1"/>
  <c r="F29" i="15" s="1"/>
  <c r="L30" i="15"/>
  <c r="D30" i="15" s="1"/>
  <c r="C31" i="15" s="1"/>
  <c r="E30" i="15" l="1"/>
  <c r="M30" i="15" s="1"/>
  <c r="F30" i="15" s="1"/>
  <c r="L31" i="15"/>
  <c r="D31" i="15" s="1"/>
  <c r="C32" i="15" l="1"/>
  <c r="E31" i="15"/>
  <c r="L32" i="15" l="1"/>
  <c r="E32" i="15" s="1"/>
  <c r="M31" i="15"/>
  <c r="F31" i="15" s="1"/>
  <c r="D32" i="15" l="1"/>
  <c r="M32" i="15" s="1"/>
  <c r="F32" i="15" s="1"/>
  <c r="C33" i="15" l="1"/>
  <c r="L33" i="15" s="1"/>
  <c r="E33" i="15" s="1"/>
  <c r="D33" i="15" l="1"/>
  <c r="M33" i="15" s="1"/>
  <c r="F33" i="15" s="1"/>
  <c r="C34" i="15" l="1"/>
  <c r="L34" i="15" l="1"/>
  <c r="E34" i="15" s="1"/>
  <c r="D34" i="15" l="1"/>
  <c r="M34" i="15" l="1"/>
  <c r="F34" i="15" s="1"/>
  <c r="C35" i="15"/>
  <c r="L35" i="15" l="1"/>
  <c r="E35" i="15" s="1"/>
  <c r="D35" i="15" l="1"/>
  <c r="C36" i="15" s="1"/>
  <c r="M35" i="15"/>
  <c r="F35" i="15" s="1"/>
  <c r="L36" i="15" l="1"/>
  <c r="E36" i="15" s="1"/>
  <c r="D36" i="15" l="1"/>
  <c r="M36" i="15" l="1"/>
  <c r="F36" i="15" s="1"/>
  <c r="C37" i="15"/>
  <c r="L37" i="15" l="1"/>
  <c r="E37" i="15" s="1"/>
  <c r="D37" i="15" l="1"/>
  <c r="M37" i="15" l="1"/>
  <c r="F37" i="15" s="1"/>
  <c r="C38" i="15"/>
  <c r="L38" i="15" l="1"/>
  <c r="E38" i="15" s="1"/>
  <c r="D38" i="15" l="1"/>
  <c r="M38" i="15" l="1"/>
  <c r="F38" i="15" s="1"/>
  <c r="C39" i="15"/>
  <c r="L39" i="15" l="1"/>
  <c r="E39" i="15" s="1"/>
  <c r="D39" i="15" l="1"/>
  <c r="M39" i="15" l="1"/>
  <c r="F39" i="15" s="1"/>
  <c r="C40" i="15"/>
  <c r="L40" i="15" l="1"/>
  <c r="E40" i="15" s="1"/>
  <c r="D40" i="15" l="1"/>
  <c r="M40" i="15" l="1"/>
  <c r="F40" i="15" s="1"/>
  <c r="C41" i="15"/>
  <c r="L41" i="15" l="1"/>
  <c r="D41" i="15" s="1"/>
  <c r="E41" i="15" l="1"/>
  <c r="M41" i="15" s="1"/>
  <c r="F41" i="15" s="1"/>
  <c r="C42" i="15"/>
  <c r="L42" i="15" l="1"/>
  <c r="E42" i="15" s="1"/>
  <c r="D42" i="15" l="1"/>
  <c r="C43" i="15" l="1"/>
  <c r="M42" i="15"/>
  <c r="F42" i="15" s="1"/>
  <c r="L43" i="15" l="1"/>
  <c r="D43" i="15" s="1"/>
  <c r="C44" i="15" s="1"/>
  <c r="C45" i="16" l="1"/>
  <c r="L44" i="15"/>
  <c r="E44" i="15" s="1"/>
  <c r="E45" i="16" s="1"/>
  <c r="E43" i="15"/>
  <c r="D44" i="15" l="1"/>
  <c r="M43" i="15"/>
  <c r="F43" i="15" s="1"/>
  <c r="M44" i="15" l="1"/>
  <c r="F44" i="15" s="1"/>
  <c r="D45" i="16"/>
  <c r="C45" i="15"/>
  <c r="C46" i="16"/>
  <c r="L45" i="15"/>
  <c r="E45" i="15" s="1"/>
  <c r="E46" i="16" s="1"/>
  <c r="D45" i="15" l="1"/>
  <c r="C46" i="15" l="1"/>
  <c r="D46" i="16"/>
  <c r="C47" i="16"/>
  <c r="M45" i="15"/>
  <c r="F45" i="15" s="1"/>
  <c r="F46" i="16" s="1"/>
  <c r="L46" i="15"/>
  <c r="E46" i="15" s="1"/>
  <c r="E47" i="16" s="1"/>
  <c r="D46" i="15" l="1"/>
  <c r="D47" i="16" s="1"/>
  <c r="C47" i="15" l="1"/>
  <c r="M46" i="15"/>
  <c r="F46" i="15" s="1"/>
  <c r="F47" i="16" s="1"/>
  <c r="C48" i="16" l="1"/>
  <c r="L47" i="15"/>
  <c r="E47" i="15" s="1"/>
  <c r="E48" i="16" s="1"/>
  <c r="D47" i="15" l="1"/>
  <c r="D48" i="16" s="1"/>
  <c r="M47" i="15" l="1"/>
  <c r="F47" i="15" s="1"/>
  <c r="F48" i="16" s="1"/>
  <c r="C48" i="15"/>
  <c r="C49" i="16" l="1"/>
  <c r="L48" i="15"/>
  <c r="E48" i="15" s="1"/>
  <c r="E49" i="16" s="1"/>
  <c r="D48" i="15" l="1"/>
  <c r="D49" i="16" s="1"/>
  <c r="M48" i="15" l="1"/>
  <c r="F48" i="15" s="1"/>
  <c r="F49" i="16" s="1"/>
  <c r="C49" i="15"/>
  <c r="C50" i="16" l="1"/>
  <c r="L49" i="15"/>
  <c r="E49" i="15" s="1"/>
  <c r="E50" i="16" s="1"/>
  <c r="D49" i="15" l="1"/>
  <c r="D50" i="16" s="1"/>
  <c r="M49" i="15" l="1"/>
  <c r="F49" i="15" s="1"/>
  <c r="C50" i="15"/>
  <c r="L50" i="15" l="1"/>
  <c r="E50" i="15" s="1"/>
  <c r="E51" i="16" s="1"/>
  <c r="C51" i="16"/>
  <c r="F50" i="16"/>
  <c r="D50" i="15" l="1"/>
  <c r="D51" i="16" s="1"/>
  <c r="M50" i="15" l="1"/>
  <c r="F50" i="15" s="1"/>
  <c r="C51" i="15"/>
  <c r="F51" i="16" l="1"/>
  <c r="C52" i="16"/>
  <c r="L51" i="15"/>
  <c r="E51" i="15" s="1"/>
  <c r="E52" i="16" s="1"/>
  <c r="D51" i="15" l="1"/>
  <c r="D52" i="16" s="1"/>
  <c r="M51" i="15" l="1"/>
  <c r="F51" i="15" s="1"/>
  <c r="C52" i="15"/>
  <c r="C53" i="16" l="1"/>
  <c r="L52" i="15"/>
  <c r="E52" i="15" s="1"/>
  <c r="E53" i="16" s="1"/>
  <c r="F52" i="16"/>
  <c r="D52" i="15" l="1"/>
  <c r="D53" i="16" s="1"/>
  <c r="M52" i="15" l="1"/>
  <c r="F52" i="15" s="1"/>
  <c r="C53" i="15"/>
  <c r="C54" i="16" l="1"/>
  <c r="L53" i="15"/>
  <c r="E53" i="15" s="1"/>
  <c r="E54" i="16" s="1"/>
  <c r="F53" i="16"/>
  <c r="D53" i="15" l="1"/>
  <c r="D54" i="16" s="1"/>
  <c r="M53" i="15" l="1"/>
  <c r="F53" i="15" s="1"/>
  <c r="C54" i="15"/>
  <c r="C55" i="16" l="1"/>
  <c r="L54" i="15"/>
  <c r="E54" i="15" s="1"/>
  <c r="E55" i="16" s="1"/>
  <c r="F54" i="16"/>
  <c r="D54" i="15" l="1"/>
  <c r="D55" i="16" s="1"/>
  <c r="M54" i="15" l="1"/>
  <c r="F54" i="15" s="1"/>
  <c r="F55" i="16" s="1"/>
  <c r="C55" i="15"/>
  <c r="C56" i="16" l="1"/>
  <c r="L55" i="15"/>
  <c r="E55" i="15" s="1"/>
  <c r="E56" i="16" s="1"/>
  <c r="E56" i="15" l="1"/>
  <c r="D55" i="15"/>
  <c r="D56" i="16" l="1"/>
  <c r="D56" i="15"/>
  <c r="M55" i="15"/>
  <c r="F55" i="15" s="1"/>
  <c r="F56" i="16" l="1"/>
  <c r="F56" i="15"/>
  <c r="F45" i="16" l="1"/>
  <c r="A15" i="13" l="1"/>
  <c r="A13" i="13" s="1"/>
  <c r="A13" i="2"/>
  <c r="A11" i="3" s="1"/>
  <c r="A57" i="3" s="1"/>
  <c r="A9" i="20"/>
  <c r="A8" i="19"/>
  <c r="A14" i="13"/>
  <c r="A7" i="23"/>
  <c r="A21" i="23"/>
  <c r="A9" i="8" l="1"/>
  <c r="B90" i="1" l="1"/>
  <c r="A24" i="3" s="1"/>
  <c r="A23" i="3" l="1"/>
  <c r="A22" i="3" s="1"/>
  <c r="F8" i="12"/>
  <c r="F9" i="16" s="1"/>
  <c r="D8" i="12" l="1"/>
  <c r="D9" i="16" s="1"/>
  <c r="F9" i="12"/>
  <c r="F10" i="16" s="1"/>
  <c r="F10" i="12" l="1"/>
  <c r="F11" i="16" s="1"/>
  <c r="C9" i="12"/>
  <c r="C10" i="16" s="1"/>
  <c r="F11" i="12" l="1"/>
  <c r="F12" i="16" s="1"/>
  <c r="E9" i="12"/>
  <c r="E10" i="16" s="1"/>
  <c r="D9" i="12" l="1"/>
  <c r="D10" i="16" s="1"/>
  <c r="F12" i="12"/>
  <c r="F13" i="16" s="1"/>
  <c r="C10" i="12" l="1"/>
  <c r="C11" i="16" s="1"/>
  <c r="E10" i="12" l="1"/>
  <c r="E11" i="16" s="1"/>
  <c r="D10" i="12" l="1"/>
  <c r="D11" i="16" s="1"/>
  <c r="C11" i="12" l="1"/>
  <c r="C12" i="16" s="1"/>
  <c r="E11" i="12" l="1"/>
  <c r="E12" i="16" s="1"/>
  <c r="D11" i="12" l="1"/>
  <c r="D12" i="16" s="1"/>
  <c r="C12" i="12" l="1"/>
  <c r="C13" i="16" s="1"/>
  <c r="E12" i="12" l="1"/>
  <c r="E13" i="16" s="1"/>
  <c r="D12" i="12" l="1"/>
  <c r="D13" i="16" s="1"/>
  <c r="C13" i="12" l="1"/>
  <c r="C14" i="16" s="1"/>
  <c r="E13" i="12" l="1"/>
  <c r="E14" i="16" s="1"/>
  <c r="F13" i="12" l="1"/>
  <c r="D13" i="12" l="1"/>
  <c r="F14" i="16"/>
  <c r="F14" i="12"/>
  <c r="F15" i="16" l="1"/>
  <c r="C14" i="12"/>
  <c r="D14" i="16"/>
  <c r="F15" i="12"/>
  <c r="E14" i="12" l="1"/>
  <c r="C15" i="16"/>
  <c r="F16" i="16"/>
  <c r="F16" i="12"/>
  <c r="F17" i="16" l="1"/>
  <c r="E15" i="16"/>
  <c r="D14" i="12"/>
  <c r="F17" i="12"/>
  <c r="F18" i="16" l="1"/>
  <c r="C15" i="12"/>
  <c r="D15" i="16"/>
  <c r="F18" i="12"/>
  <c r="F19" i="12" l="1"/>
  <c r="F20" i="16" s="1"/>
  <c r="F19" i="16"/>
  <c r="E15" i="12"/>
  <c r="C16" i="16"/>
  <c r="E16" i="16" l="1"/>
  <c r="D15" i="12"/>
  <c r="C16" i="12" l="1"/>
  <c r="D16" i="16"/>
  <c r="E16" i="12" l="1"/>
  <c r="C17" i="16"/>
  <c r="E17" i="16" l="1"/>
  <c r="D16" i="12"/>
  <c r="C17" i="12" l="1"/>
  <c r="D17" i="16"/>
  <c r="E17" i="12" l="1"/>
  <c r="C18" i="16"/>
  <c r="E18" i="16" l="1"/>
  <c r="D17" i="12"/>
  <c r="C18" i="12" l="1"/>
  <c r="D18" i="16"/>
  <c r="C19" i="16" l="1"/>
  <c r="E18" i="12"/>
  <c r="E19" i="16" l="1"/>
  <c r="D18" i="12"/>
  <c r="C19" i="12" l="1"/>
  <c r="D19" i="16"/>
  <c r="C20" i="16" l="1"/>
  <c r="E19" i="12"/>
  <c r="E20" i="16" l="1"/>
  <c r="D19" i="12"/>
  <c r="D20" i="16" l="1"/>
  <c r="C20" i="12"/>
  <c r="C21" i="16" l="1"/>
  <c r="E20" i="12"/>
  <c r="E21" i="16" s="1"/>
  <c r="F20" i="12" l="1"/>
  <c r="F21" i="16" l="1"/>
  <c r="D20" i="12"/>
  <c r="F21" i="12"/>
  <c r="C21" i="12" l="1"/>
  <c r="D21" i="16"/>
  <c r="F22" i="16"/>
  <c r="F22" i="12"/>
  <c r="F23" i="16" l="1"/>
  <c r="C22" i="16"/>
  <c r="E21" i="12"/>
  <c r="F23" i="12"/>
  <c r="F24" i="16" l="1"/>
  <c r="E22" i="16"/>
  <c r="D21" i="12"/>
  <c r="C22" i="12" l="1"/>
  <c r="D22" i="16"/>
  <c r="F24" i="12"/>
  <c r="F25" i="16" l="1"/>
  <c r="C23" i="16"/>
  <c r="E22" i="12"/>
  <c r="E23" i="16" l="1"/>
  <c r="D22" i="12"/>
  <c r="C23" i="12" l="1"/>
  <c r="D23" i="16"/>
  <c r="F25" i="12"/>
  <c r="F26" i="16" l="1"/>
  <c r="E23" i="12"/>
  <c r="C24" i="16"/>
  <c r="E24" i="16" l="1"/>
  <c r="D23" i="12"/>
  <c r="C24" i="12" l="1"/>
  <c r="D24" i="16"/>
  <c r="F26" i="12"/>
  <c r="F27" i="16" l="1"/>
  <c r="E24" i="12"/>
  <c r="C25" i="16"/>
  <c r="E25" i="16" l="1"/>
  <c r="D24" i="12"/>
  <c r="D25" i="16" l="1"/>
  <c r="C25" i="12"/>
  <c r="F27" i="12"/>
  <c r="F28" i="16" l="1"/>
  <c r="C26" i="16"/>
  <c r="E25" i="12"/>
  <c r="E26" i="16" l="1"/>
  <c r="D25" i="12"/>
  <c r="D26" i="16" l="1"/>
  <c r="C26" i="12"/>
  <c r="F28" i="12"/>
  <c r="F29" i="16" l="1"/>
  <c r="C27" i="16"/>
  <c r="E26" i="12"/>
  <c r="E27" i="16" l="1"/>
  <c r="D26" i="12"/>
  <c r="D27" i="16" l="1"/>
  <c r="C27" i="12"/>
  <c r="F29" i="12"/>
  <c r="F30" i="16" l="1"/>
  <c r="E27" i="12"/>
  <c r="C28" i="16"/>
  <c r="E28" i="16" l="1"/>
  <c r="D27" i="12"/>
  <c r="D28" i="16" l="1"/>
  <c r="C28" i="12"/>
  <c r="F30" i="12"/>
  <c r="C29" i="16" l="1"/>
  <c r="E28" i="12"/>
  <c r="F31" i="16"/>
  <c r="E29" i="16" l="1"/>
  <c r="D28" i="12"/>
  <c r="D29" i="16" l="1"/>
  <c r="C29" i="12"/>
  <c r="F31" i="12"/>
  <c r="F32" i="16" l="1"/>
  <c r="E29" i="12"/>
  <c r="C30" i="16"/>
  <c r="E30" i="16" l="1"/>
  <c r="D29" i="12"/>
  <c r="D30" i="16" l="1"/>
  <c r="C30" i="12"/>
  <c r="F32" i="12"/>
  <c r="F33" i="16" l="1"/>
  <c r="E30" i="12"/>
  <c r="C31" i="16"/>
  <c r="E31" i="16" l="1"/>
  <c r="D30" i="12"/>
  <c r="D31" i="16" l="1"/>
  <c r="C31" i="12"/>
  <c r="F33" i="12"/>
  <c r="F34" i="16" l="1"/>
  <c r="C32" i="16"/>
  <c r="E31" i="12"/>
  <c r="E32" i="16" l="1"/>
  <c r="D31" i="12"/>
  <c r="D32" i="16" l="1"/>
  <c r="C32" i="12"/>
  <c r="F34" i="12"/>
  <c r="F35" i="16" l="1"/>
  <c r="E32" i="12"/>
  <c r="C33" i="16"/>
  <c r="E33" i="16" l="1"/>
  <c r="D32" i="12"/>
  <c r="D33" i="16" l="1"/>
  <c r="C33" i="12"/>
  <c r="F35" i="12"/>
  <c r="F36" i="16" l="1"/>
  <c r="C34" i="16"/>
  <c r="E33" i="12"/>
  <c r="E34" i="16" l="1"/>
  <c r="D33" i="12"/>
  <c r="D34" i="16" l="1"/>
  <c r="C34" i="12"/>
  <c r="F36" i="12"/>
  <c r="F37" i="16" l="1"/>
  <c r="C35" i="16"/>
  <c r="E34" i="12"/>
  <c r="E35" i="16" l="1"/>
  <c r="D34" i="12"/>
  <c r="D35" i="16" l="1"/>
  <c r="C35" i="12"/>
  <c r="C36" i="16" l="1"/>
  <c r="E35" i="12"/>
  <c r="E36" i="16" l="1"/>
  <c r="D35" i="12"/>
  <c r="D36" i="16" l="1"/>
  <c r="C36" i="12"/>
  <c r="C37" i="16" l="1"/>
  <c r="E36" i="12"/>
  <c r="E37" i="16" l="1"/>
  <c r="D36" i="12"/>
  <c r="D37" i="16" l="1"/>
  <c r="C37" i="12"/>
  <c r="E37" i="12" l="1"/>
  <c r="E38" i="16" s="1"/>
  <c r="C38" i="16"/>
  <c r="D37" i="12"/>
  <c r="C38" i="12"/>
  <c r="C39" i="16" l="1"/>
  <c r="D38" i="12"/>
  <c r="C39" i="12" s="1"/>
  <c r="E38" i="12"/>
  <c r="E39" i="16" s="1"/>
  <c r="D38" i="16"/>
  <c r="F37" i="12"/>
  <c r="F38" i="16" s="1"/>
  <c r="C40" i="16" l="1"/>
  <c r="E39" i="12"/>
  <c r="E40" i="16" s="1"/>
  <c r="D39" i="12"/>
  <c r="C40" i="12" s="1"/>
  <c r="D39" i="16"/>
  <c r="F38" i="12"/>
  <c r="F39" i="16" s="1"/>
  <c r="E40" i="12" l="1"/>
  <c r="D40" i="12"/>
  <c r="C41" i="16"/>
  <c r="D40" i="16"/>
  <c r="F39" i="12"/>
  <c r="F40" i="16" s="1"/>
  <c r="C41" i="12" l="1"/>
  <c r="F40" i="12"/>
  <c r="D41" i="16"/>
  <c r="E41" i="16"/>
  <c r="F41" i="16" l="1"/>
  <c r="C42" i="16"/>
  <c r="E41" i="12"/>
  <c r="D41" i="12"/>
  <c r="C42" i="12" l="1"/>
  <c r="F41" i="12"/>
  <c r="D42" i="16"/>
  <c r="E42" i="16"/>
  <c r="F42" i="16" l="1"/>
  <c r="C43" i="16"/>
  <c r="D42" i="12"/>
  <c r="E42" i="12"/>
  <c r="C43" i="12" l="1"/>
  <c r="F42" i="12"/>
  <c r="D43" i="16"/>
  <c r="E43" i="16"/>
  <c r="F43" i="16" l="1"/>
  <c r="E43" i="12"/>
  <c r="C44" i="16"/>
  <c r="D43" i="12"/>
  <c r="E44" i="16" l="1"/>
  <c r="E56" i="12"/>
  <c r="E57" i="16" s="1"/>
  <c r="F43" i="12"/>
  <c r="D44" i="16"/>
  <c r="D56" i="12"/>
  <c r="D57" i="16" s="1"/>
  <c r="F44" i="16" l="1"/>
  <c r="F57" i="16" s="1"/>
  <c r="F56" i="12"/>
</calcChain>
</file>

<file path=xl/sharedStrings.xml><?xml version="1.0" encoding="utf-8"?>
<sst xmlns="http://schemas.openxmlformats.org/spreadsheetml/2006/main" count="630" uniqueCount="443">
  <si>
    <t>служебная</t>
  </si>
  <si>
    <t>другое</t>
  </si>
  <si>
    <t>Г.В. Тян</t>
  </si>
  <si>
    <t>-</t>
  </si>
  <si>
    <r>
      <t>P</t>
    </r>
    <r>
      <rPr>
        <b/>
        <u/>
        <sz val="9"/>
        <rFont val="Arial"/>
        <family val="2"/>
        <charset val="204"/>
      </rPr>
      <t>________________</t>
    </r>
  </si>
  <si>
    <t>Наименование</t>
  </si>
  <si>
    <t>Согласованная залоговая стоимость, сум</t>
  </si>
  <si>
    <t>ИТОГО</t>
  </si>
  <si>
    <t>Дата погашения</t>
  </si>
  <si>
    <t xml:space="preserve"> Остаток основного долга </t>
  </si>
  <si>
    <t>Сумма погашения, сум</t>
  </si>
  <si>
    <t xml:space="preserve"> основного долга</t>
  </si>
  <si>
    <t>процентов*</t>
  </si>
  <si>
    <t>всего*</t>
  </si>
  <si>
    <t>№</t>
  </si>
  <si>
    <t>Приложение №1</t>
  </si>
  <si>
    <t>График погашения</t>
  </si>
  <si>
    <t>*В случае осуществления погашения платежей по кредиту в даты, отличные от указанных в графике погашения, сумма платежа меняется на сумму процентов, которые начисляются на сумму остатка долга по микрозайму в соответствии с п.п. 2.2. настоящего договора.</t>
  </si>
  <si>
    <t>Полезная площадь</t>
  </si>
  <si>
    <t>Жилая площадь</t>
  </si>
  <si>
    <t>Общая площадь</t>
  </si>
  <si>
    <t>№ кадастра</t>
  </si>
  <si>
    <t>990000__</t>
  </si>
  <si>
    <t>июля</t>
  </si>
  <si>
    <t xml:space="preserve"> </t>
  </si>
  <si>
    <t>июль</t>
  </si>
  <si>
    <t>Пн</t>
  </si>
  <si>
    <t>Вт</t>
  </si>
  <si>
    <t>Ср</t>
  </si>
  <si>
    <t>Чт</t>
  </si>
  <si>
    <t>Пт</t>
  </si>
  <si>
    <t>Сб</t>
  </si>
  <si>
    <t>Вс</t>
  </si>
  <si>
    <t xml:space="preserve">В НОТАРИАЛЬНУЮ </t>
  </si>
  <si>
    <t>С уважением,</t>
  </si>
  <si>
    <t>Исполнительный директора</t>
  </si>
  <si>
    <t>ООО «Clever Mikrokredit Tashkiloti»</t>
  </si>
  <si>
    <t>ФИО</t>
  </si>
  <si>
    <t>дата</t>
  </si>
  <si>
    <t>№ договора</t>
  </si>
  <si>
    <t>сог. Сумма (пропис.)</t>
  </si>
  <si>
    <t>Сог. Сумма</t>
  </si>
  <si>
    <t>YUNUSOVA ZALOXAT MIRSULTANOVNA</t>
  </si>
  <si>
    <t>TULYAGANOV XODJIAKBAR IRGASHEVICH</t>
  </si>
  <si>
    <t xml:space="preserve">Начальник отдела кредитования </t>
  </si>
  <si>
    <t>Исх №15/06-001</t>
  </si>
  <si>
    <t>от 15.06.2021 г.</t>
  </si>
  <si>
    <t>КОНТОРУ Г.САМАРКАНД</t>
  </si>
  <si>
    <t>Микрофинансовой организацией и Заемщиком</t>
  </si>
  <si>
    <t>Qarz oluvchi bo’yicha ma’lumotlar</t>
  </si>
  <si>
    <t>Ariza beruvchining FISh (kim? – Ibragimov Rustam Sadikovich)</t>
  </si>
  <si>
    <t>agar o’zgarishlar bo’lgan bo’lsa oldingi FISh (Sadikov Rustam Sadikovich yoki yo’q)</t>
  </si>
  <si>
    <t>Ariza beruvchining FISh (kim? – Ibragimov R.S.)</t>
  </si>
  <si>
    <t>FISh (ariza kimdan? – Ibragimov Rustam Sadikovichdan)</t>
  </si>
  <si>
    <t>FISh (kimdan? – Ibragimov R.S.dan)</t>
  </si>
  <si>
    <t>FISh (kimga? – Ibragimov Rustam Sadikovichga)</t>
  </si>
  <si>
    <t>FISh (kimga? – Ibragimov R.S.ga)</t>
  </si>
  <si>
    <t>FISh (kim bilan? – Ibragimov Rustam Sadikovich bilan)</t>
  </si>
  <si>
    <t>FISh (kim bilan? – Ibragimov R.S. bilan)</t>
  </si>
  <si>
    <t>Fuqaroligi (O’zbekiston Respublikasi)</t>
  </si>
  <si>
    <t>Tug’ilgan sanasi (01.10.2011 yil)</t>
  </si>
  <si>
    <t>Pasport seriyasi (СА №1234567)</t>
  </si>
  <si>
    <t>O’zbekiston Respublikasi</t>
  </si>
  <si>
    <t>yoq</t>
  </si>
  <si>
    <t xml:space="preserve">Kim va qachon berilgan
(Toshkent shahri Chilonzor IIB tomonidan 2011 yil __.____)
</t>
  </si>
  <si>
    <t xml:space="preserve">Pasportni amal qilish muddati
(01.10.2011 yilgacha / yoki muddatsiz)
</t>
  </si>
  <si>
    <t xml:space="preserve">doimiy ro’yhatdan o’tgan joyi
(Toshkent sh., Mirobod tumani, Nukus ko’chasi, 1 uy, 1 honadon)
</t>
  </si>
  <si>
    <t>doimiy ro’yhatdan o’tgan joyi haqiqatdagi turar joyi bilan mos keladi/mos kelmaydi</t>
  </si>
  <si>
    <t xml:space="preserve">Ro’yhatdan o’tish joyida yashash asosi
</t>
  </si>
  <si>
    <t>Telefon raqami kod bilan ((99871) 277 77 77)</t>
  </si>
  <si>
    <t>Mo’ljal</t>
  </si>
  <si>
    <t>Haqiqatdagi yashash joyi (Toshkent sh., Mirobod tumani, Nukus ko’chasi, 1 uy, 1 honadon)</t>
  </si>
  <si>
    <t>Haqiqatdagi yashash joyida turish asosi</t>
  </si>
  <si>
    <t>Mijozning jinsi</t>
  </si>
  <si>
    <t>Tug’ilgan joyi (Toshkent)</t>
  </si>
  <si>
    <t>Oilaviy ahvoli</t>
  </si>
  <si>
    <t>Oila a'zolari soni (jami):</t>
  </si>
  <si>
    <t>Ma’lumoti</t>
  </si>
  <si>
    <t>Mutaxassisligi</t>
  </si>
  <si>
    <t>Ish telefoni raqami kod bilan ((99890) 3270000)</t>
  </si>
  <si>
    <t>Mobil telefon raqami kod bilan ((99890) 3270000)</t>
  </si>
  <si>
    <t>Asosiy ish joyi</t>
  </si>
  <si>
    <t>Lavozimi</t>
  </si>
  <si>
    <t>Tashkilotning haqiqiy manzili (Toshkent sh., Mirobod tumani, Nukus ko’chasi, 1 uy, 1 honadon)</t>
  </si>
  <si>
    <t>Ish staji, sanasidan (01.10.2011 yildan)</t>
  </si>
  <si>
    <t>Umumiy mehnat staji (3 yil/ 5 yil)</t>
  </si>
  <si>
    <t>Ish joyi telefon raqami</t>
  </si>
  <si>
    <t>Mijozning STIRi</t>
  </si>
  <si>
    <t>Mijozning unikal kodi</t>
  </si>
  <si>
    <t>Mulk huquqi</t>
  </si>
  <si>
    <t>ijara</t>
  </si>
  <si>
    <t>mos keladi</t>
  </si>
  <si>
    <t>mos kelmaydi</t>
  </si>
  <si>
    <t>QARZ OLUVCHINING ISH JOYI, LAVOZIMI VA O'RTACHA OYLIK DAROMADI</t>
  </si>
  <si>
    <t>Ish joyi</t>
  </si>
  <si>
    <t>O’rtacha oylik daromadi</t>
  </si>
  <si>
    <t>Mijozning boshqa daromadlari</t>
  </si>
  <si>
    <t>Ishning davomiyligi</t>
  </si>
  <si>
    <t>Ish joyidan ma’lumotnomaning raqami va sanasi</t>
  </si>
  <si>
    <t>Kredit bo’yicha parametrlar</t>
  </si>
  <si>
    <t>Kredit turi</t>
  </si>
  <si>
    <t>Kredit shartnomasi raqami</t>
  </si>
  <si>
    <t>Kredit shartnomasi sanasi (14.10.2011)</t>
  </si>
  <si>
    <t>Kredit shartnomasi sanasi (14.10.2011 y.)</t>
  </si>
  <si>
    <t>Tugash sanasi QO’L BILAN KIRITILADI</t>
  </si>
  <si>
    <t>mart</t>
  </si>
  <si>
    <t>aprel</t>
  </si>
  <si>
    <t>may</t>
  </si>
  <si>
    <t>iyun</t>
  </si>
  <si>
    <t>iyul</t>
  </si>
  <si>
    <t>avgust</t>
  </si>
  <si>
    <t>sentabr</t>
  </si>
  <si>
    <t>oktabr</t>
  </si>
  <si>
    <t>noyabr</t>
  </si>
  <si>
    <t>dekabr</t>
  </si>
  <si>
    <t>yanvar</t>
  </si>
  <si>
    <t>fevral</t>
  </si>
  <si>
    <t>Kredit shartnomasi raqami va sanasi</t>
  </si>
  <si>
    <t>QO’L BILAN KIRITILADI</t>
  </si>
  <si>
    <t xml:space="preserve">Grafik turi </t>
  </si>
  <si>
    <t>Mikroqarzni to'lash sanasi (14.10.2011 y.) QO’L BILAN KIRITILADI</t>
  </si>
  <si>
    <t>Oylik to'lov</t>
  </si>
  <si>
    <t>GAROV BO’YICHA MA’LUMOTLAR</t>
  </si>
  <si>
    <t>Uzbek tilida</t>
  </si>
  <si>
    <t>annuitet</t>
  </si>
  <si>
    <t>differensial</t>
  </si>
  <si>
    <t>on besh million</t>
  </si>
  <si>
    <t>Birlamchi</t>
  </si>
  <si>
    <t>navbatdagi garov</t>
  </si>
  <si>
    <t>Ha</t>
  </si>
  <si>
    <t>yo’q</t>
  </si>
  <si>
    <t>Garovga beruvchining o’zi</t>
  </si>
  <si>
    <t>Bosh ishonchnoma bo’yicha boshqa shaxs</t>
  </si>
  <si>
    <t>Garovga beruvchi mulkdormi?</t>
  </si>
  <si>
    <t>Agar garovga beruvchi qarz oluvchi bo'lmasa, garovga kim qo'yganligini ko'rsating</t>
  </si>
  <si>
    <t>Bosh ishonchnoma bo’yicha bo’lsa FIShni ko’rsating</t>
  </si>
  <si>
    <t xml:space="preserve">Bosh ishonchnoma bo’yicha bo’lsa FIShni ko’rsating qisqacha </t>
  </si>
  <si>
    <t>ISHONCHNOMA BO’YICHA MA’LUMOTLAR</t>
  </si>
  <si>
    <t>Notarius manzili (Toshkent shahri, Olmazor tumani)</t>
  </si>
  <si>
    <t>Kim tomonidan berilgan (Notariusning FISh – Eshkabilov X.B.)</t>
  </si>
  <si>
    <t xml:space="preserve">Ishonchnoma reestr raqami </t>
  </si>
  <si>
    <t>Ishonchnoma berilgan sana</t>
  </si>
  <si>
    <t>Avtotransport</t>
  </si>
  <si>
    <t>Ko’chmas mulk</t>
  </si>
  <si>
    <t>1</t>
  </si>
  <si>
    <t>erkak</t>
  </si>
  <si>
    <t>Mikromoliya tashkiloti va Qarz oluvchi</t>
  </si>
  <si>
    <t>reestr raqami</t>
  </si>
  <si>
    <t>uy</t>
  </si>
  <si>
    <t>xonadon</t>
  </si>
  <si>
    <t>Kelishish dalolatnomasi raqami</t>
  </si>
  <si>
    <t>Sana</t>
  </si>
  <si>
    <t>Yo’q bo’lsa FIShni ko’rsating</t>
  </si>
  <si>
    <t>Tug’ilgan sanasi (01.10.2011 y.)</t>
  </si>
  <si>
    <t>Garovga beruvchining FISh</t>
  </si>
  <si>
    <t>Avtoni Mijozga ro’yhatga o’tish joyi</t>
  </si>
  <si>
    <t>Mijozni nomidagi Avtomototransport vositasi ro’yhatdan o’tkazilzanligi to’g’risida guvohnoma (ААС №______  __.__.___ y.)</t>
  </si>
  <si>
    <t>Avtomototransport vositasi ro’yhatdan o’tkazilzanligi to’g’risida guvohnomada ko’rsatilganidek nomlanishi</t>
  </si>
  <si>
    <t>Avtomototransport vositasi davlat raqami – Mijozning nomiga</t>
  </si>
  <si>
    <t>Kuzov turi va raqami</t>
  </si>
  <si>
    <t>Kuzov turi</t>
  </si>
  <si>
    <t>Kuzov raqami</t>
  </si>
  <si>
    <t>Dvigatel raqami va shassi raqami</t>
  </si>
  <si>
    <t>Dvigatel</t>
  </si>
  <si>
    <t>shassi</t>
  </si>
  <si>
    <t>Ishlab chiqarilgan yili va rangi</t>
  </si>
  <si>
    <t>rangi</t>
  </si>
  <si>
    <t>Ishlab chiqarilgan yili</t>
  </si>
  <si>
    <t>Kelishilgan garov qiymati</t>
  </si>
  <si>
    <t xml:space="preserve">Tashkilot nomlanishi </t>
  </si>
  <si>
    <t>hujjat asosida</t>
  </si>
  <si>
    <t xml:space="preserve">Manzil </t>
  </si>
  <si>
    <t>h/r</t>
  </si>
  <si>
    <t>Bank MFOsi</t>
  </si>
  <si>
    <t>Bankning nomlanishi</t>
  </si>
  <si>
    <t>STIR</t>
  </si>
  <si>
    <t>Kreditlash bo’limi boshlig’i</t>
  </si>
  <si>
    <t>Lisenziya raqami</t>
  </si>
  <si>
    <t>Berilgan sanasi</t>
  </si>
  <si>
    <t>Bitimga buyruq raqami</t>
  </si>
  <si>
    <t>Buyruq sanasi</t>
  </si>
  <si>
    <r>
      <rPr>
        <b/>
        <sz val="11"/>
        <color theme="1"/>
        <rFont val="Calibri"/>
        <family val="2"/>
        <charset val="204"/>
        <scheme val="minor"/>
      </rPr>
      <t>B</t>
    </r>
    <r>
      <rPr>
        <sz val="11"/>
        <color theme="1"/>
        <rFont val="Calibri"/>
        <family val="2"/>
        <scheme val="minor"/>
      </rPr>
      <t>irinchi</t>
    </r>
  </si>
  <si>
    <t>Ikkinchi</t>
  </si>
  <si>
    <t>Uchinchi</t>
  </si>
  <si>
    <t>Beshinchi</t>
  </si>
  <si>
    <t>Yettinchi</t>
  </si>
  <si>
    <t>Sakkizinchi</t>
  </si>
  <si>
    <t>Tuqqizinchi</t>
  </si>
  <si>
    <t>Yigirmanchi</t>
  </si>
  <si>
    <t>Yigirma birinchi</t>
  </si>
  <si>
    <t>Yigizma ikkinchi</t>
  </si>
  <si>
    <t>Yigirma uchinchi</t>
  </si>
  <si>
    <t>Yigirma beshinchi</t>
  </si>
  <si>
    <t>KUN TARTIBI:</t>
  </si>
  <si>
    <t>Toshkent shahri</t>
  </si>
  <si>
    <t>MIJOZ HAQIDA MA'LUMOTLAR</t>
  </si>
  <si>
    <t>Mijozning moliyaviy holati</t>
  </si>
  <si>
    <t>Nomi</t>
  </si>
  <si>
    <t>Kelishilgan garov qiymati, so'm</t>
  </si>
  <si>
    <t xml:space="preserve">Toshkent shahri </t>
  </si>
  <si>
    <t>Umumiy maydoni</t>
  </si>
  <si>
    <t>Yashash xona</t>
  </si>
  <si>
    <t>JAMI</t>
  </si>
  <si>
    <t>Shu bilan birga, garov predmetining kelishilgan garov qiymati deganda ushbu mulk garov sifatida taqdim etilgan/qabul qilingan qiymati tushuniladi.</t>
  </si>
  <si>
    <t>1-tomondan:</t>
  </si>
  <si>
    <t>2-tomondan:</t>
  </si>
  <si>
    <t>O'zbekiston Respublikasi fuqarosi</t>
  </si>
  <si>
    <t>MAJBURIYATNOMA</t>
  </si>
  <si>
    <t xml:space="preserve">     Ushbu majburiyatlarimni bajarmagan taqdirimda O'zbekiston Respublikasi jinoyat kodeksining 233-moddasi talablari asosida javobgarlik tog'risida ogohlantrildim. </t>
  </si>
  <si>
    <t>Imzo_____________</t>
  </si>
  <si>
    <t>MIJOZNING ANKETASI</t>
  </si>
  <si>
    <t>1. MIJOZ HAQIDA MA'LUMOTLAR:</t>
  </si>
  <si>
    <t>2. Mijoz bilan ulanich uchun aloqa ma'lumotlari:</t>
  </si>
  <si>
    <t>3. MIJOZNING ISH JOYI HAQIDA MA'LUMOT:</t>
  </si>
  <si>
    <t>4. MIJOZNING OYLIK DAROMADLARI VA XARAJATLARI
HAQIDA MA'LUMOT</t>
  </si>
  <si>
    <t>Daromad manbalari</t>
  </si>
  <si>
    <t>Mijoz</t>
  </si>
  <si>
    <t>Turmush o'rtog'i</t>
  </si>
  <si>
    <t>Boshqa oila a'zolari</t>
  </si>
  <si>
    <t>Xarajatlar</t>
  </si>
  <si>
    <t>Мiqdori</t>
  </si>
  <si>
    <t>ish haqi (asosiy ish)</t>
  </si>
  <si>
    <t>ish haqi (o‘rindoshlik)</t>
  </si>
  <si>
    <t>boshqa daromadlar</t>
  </si>
  <si>
    <t>uy-joy va kommunal xizmatlar uchun to'lov</t>
  </si>
  <si>
    <t>oilaviy xarajatlar</t>
  </si>
  <si>
    <t>boshqa xarajatlar</t>
  </si>
  <si>
    <t>Men, _________________________________________________________________ (to'liq ismi sharifi), ushbu anketadagi barcha ma'lumotlar anketa to'ldirilgan sanada to'g'ri ekanligini tasdiqlayman va ushbu anketaning 1- va 2-bandlarini tan olaman va ularga rozilik bildiraman. 
Mazkur anketaning 4-bo'limida ko'rsatilgan daromadlarim haqidagi ma'lumotlarni qabul qilishingizni va moliyaviy tahlilda foydalanishingizni so’rayman.</t>
  </si>
  <si>
    <t xml:space="preserve">Mijozning to'liq ismi sharifi </t>
  </si>
  <si>
    <t>Imzo</t>
  </si>
  <si>
    <t>ANKETA</t>
  </si>
  <si>
    <t>Mijozning to'liq ismi sharifi</t>
  </si>
  <si>
    <t>Yaqin qarindoshlaringiz orasida ommaviy mansabdor shaxslar bormi?</t>
  </si>
  <si>
    <t>Do'stlaringiz yoki yaqinlaringizdan birontasi ommaviy mansabdor shaxsmi?</t>
  </si>
  <si>
    <t>Yuqoridagi savollardan biriga «Ha» deb javob bergan bo'lsangiz, javobingizni qisqacha tushuntirib bering:</t>
  </si>
  <si>
    <t>Yo'q</t>
  </si>
  <si>
    <t>Siz bank amaliyotlarini amalga oshirishda uchinchi shaxsning manfaatlarini ifodalaysizmi?</t>
  </si>
  <si>
    <t>Agar oldingi savolga «HA» deb javob bergan bo'lsangiz, bank operatsiyalarini bajarich uchun ishonchnomangiz bormi?</t>
  </si>
  <si>
    <t>Agar oldingi savolga «YO'Q» deb javob bergan bo'lsangiz, javobingizni qisqacha tushuntirib bering:</t>
  </si>
  <si>
    <t>Ommaviy mansabdor shaxslar — doimiy, vaqtincha yoki maxsus vakolatli organ tomonidan tayinlangan yoki saylangan, tashkiliy-maʼmuriy funktsiyalarni bajaruvchi hamda xorijiy davlatning qonun chiqaruvchi, ijro etuvchi, maʼmuriy yoki sud organida yoxud xalqaro tashkilotda yuridik ahamiyatga molik harakatlarni amalga oshirishga vakolatli shaxslar, shuningdek xorijiy davlatlar korxonalarining yuqori martabali rahbarlari, taniqli siyosatchilar va xorijiy davlatlar siyosiy partiyalarining taniqli a'zolari.</t>
  </si>
  <si>
    <t>Anketadagi barcha ma'lumotlar to'g'ri, agar o'zgarishlar bo'lsa, men bu haqida xabardor qilish majburiyatini o'z zimmamga olaman.</t>
  </si>
  <si>
    <t>□ O‘zbekiston Respublikasi Markaziy banki huzuridagi kredit axborotining davlat reestri;</t>
  </si>
  <si>
    <t>□ Kredit-axborot tahliliy markazi «O‘zbekiston Respublikasi kredit byurosi» MChJ;</t>
  </si>
  <si>
    <t>□ Garov reestri taqdim etilgan garov mulki haqida.</t>
  </si>
  <si>
    <t>Ariza berilgan kuniga barcha ma'lumotlar ishonchligini tasdiqlab, ushbu arizani imzolayman</t>
  </si>
  <si>
    <t>oktyabr</t>
  </si>
  <si>
    <t>sentyabr</t>
  </si>
  <si>
    <t xml:space="preserve">ottiz yetti million besh yuz ming </t>
  </si>
  <si>
    <t>ha</t>
  </si>
  <si>
    <t>Protokol raqami</t>
  </si>
  <si>
    <t>Savol raqami</t>
  </si>
  <si>
    <t>Savol raqami qol bilan</t>
  </si>
  <si>
    <t>QAROR QILADI:</t>
  </si>
  <si>
    <t>Qaror bir ovozdan qabul qilindi.</t>
  </si>
  <si>
    <t>Yashash maydoni</t>
  </si>
  <si>
    <t>1. SHARTNOMA PREDMETI</t>
  </si>
  <si>
    <t>Yer uchastkasining foydalanish maydoni, m²</t>
  </si>
  <si>
    <t>Yashash maydoni, m²</t>
  </si>
  <si>
    <t>Umumiy maydoni, m²</t>
  </si>
  <si>
    <t>3.3. Asosiy qarzni, foizlar yoki ushbu shartnoma bo‘yicha belgilangan muddatdan kechiktirilganligi bo‘yicha penyalarni qaytarish muddati kechiktirilishi yuzaga kelganda va/yoki ushbu shartnoma bo‘yicha boshqa majburiyatlar buzilishi holatlarida Mikromoliya tashkiloti O‘zbekiston Respublikasining amaldagi qonunchiligiga muvofiq qarzni undirish uchun qaytarib olinmaydigan va muqarrar tartibda unidirishni garov ob'ektiga qaratish huquqiga ega bo‘ladi.</t>
  </si>
  <si>
    <t>To'lov jadvali</t>
  </si>
  <si>
    <t>To'lov muddati</t>
  </si>
  <si>
    <t xml:space="preserve"> Asosiy qarz qoldig'i  </t>
  </si>
  <si>
    <t>To'lov miqdori, so'm</t>
  </si>
  <si>
    <t xml:space="preserve"> asosiy qarz</t>
  </si>
  <si>
    <t>foizlar</t>
  </si>
  <si>
    <t>jami*</t>
  </si>
  <si>
    <t>«Mikromoliya tashkiloti »</t>
  </si>
  <si>
    <t>Sana:</t>
  </si>
  <si>
    <t>dan</t>
  </si>
  <si>
    <t>Garov sifatida quyida ko’rsatilgan mulk qabul qilinadi:</t>
  </si>
  <si>
    <t xml:space="preserve">Garovga qo‘yilgan mol-mulkni ko‘zdan kechirish natijasida ushbu mulk qoniqarli holatda ekanligi ma’lum bo‘ldi va bu haqida mazkur dalolatnoma tuzildi </t>
  </si>
  <si>
    <t>Monitoring bo'limi boshlig'i</t>
  </si>
  <si>
    <t>Jismoniy shaxs, qarzdor</t>
  </si>
  <si>
    <t>Yordamchi maydoni</t>
  </si>
  <si>
    <t>«Qarz oluvchi»</t>
  </si>
  <si>
    <t>«Mikromoliya tashkiloti»</t>
  </si>
  <si>
    <t>11.7. Ushbu Shartnoma o’zbek tilida 2 (ikki) nusxada tuzildi va ikkala nusxa xam teng yuridik kuchga ega.</t>
  </si>
  <si>
    <t>11.6. Qarz oluvchi Mikromoliya tashkilotining oldindan yozma roziligini olmasdan turib o‘z majburiyatlari yoki huquqlarini uchinchi shaxslarga o‘tkaza olmaydi.</t>
  </si>
  <si>
    <t>11.5. Ushbu shartnomada ko‘zda tutilmagan holatlarda Tomonlar O‘zbekiston Respublikasining amaldagi qonunchiligiga amal qiladilar.</t>
  </si>
  <si>
    <t>11.4. Ushbu bitimni amalga oshirish bilan, Qarz oluvchi kelishuvning muhimligi va uni tuzishning yuridik oqibatlarini to‘liq tushunib yetishi, shu sababli Shartnomani tuzish yanglishishlar, aldov, zo‘ravonlik, tahdidlar, yomon niyatli bitim yoki murakkab holatlar (tutqinlik) ta'sirida emasligini tasdiqlaydi.</t>
  </si>
  <si>
    <t>11.3. Ushbu shartnomani bajarish uchun zarur bo‘lgan ismi (nomlanishi), ro‘yxatdan o‘tgan joyi, haqiqiy yashash joyi, manzili (joylashgan yeri), bank rekvizitlari va boshqa ma'lumotlar o‘zgargan holatlarda, Tomonlarning har biri bunday o‘zgarishlar amalga oshgan kundan boshlab 5 (besh) kalendar kun ichida boshqa Tomonni bunday o‘zgarishlar haqida yozma ravishda xabardor qilishi shart.</t>
  </si>
  <si>
    <t xml:space="preserve">11.2. Ushbu shartnomani bajarish, o‘zgartirish va bekor qilish bilan bog‘liq barcha yozishma va xabarnomalar Tomonlarning ushbu shartnomaning yakuniy qismida ko‘rsatilgan pochta manzillariga yuboriladi. </t>
  </si>
  <si>
    <t>11.1. Ushbu shartnoma kuchga kirganidan keyin, o‘zaro munosabatlarga aloqador barcha yozishmalar yoki kelishuvlar, o‘z kuchini yo‘qotadi.</t>
  </si>
  <si>
    <t>11. BOSHQA SHARTLAR</t>
  </si>
  <si>
    <t>10.3. Qarz oluvchi, shuningdek, Mikromoliya tashkiloti shartnoma doirasida olingan ma'lumotlarni kredit byurosi va garov reestri, skoring kompaniyasi, uyali aloqa operatori, sug‘urta kompaniyasi, reklama ishlab chiqaruvchilari va tarqatuvchilari, shuningdek Mikromoliya tashkilotining boshqa hamkorlariga taqdim etishga roziligini bildiradi.</t>
  </si>
  <si>
    <t>10.2. Rozilik, shu jumladan shahsiy ma'lumotlar bilan quyidagi harakatlarni amalga oshirishga beriladi: yig‘ish, tizimlashtirish, to‘plash, saqlash, aniqlashtirish (yangilash, o‘zgartirish), foydalanish; O‘zbekiston Respublikasi qonun hujjatlarida nazarda tutilgan hollar va darajada tarqatish, shu jumladan davlat organlari va boshqa tashkilotlarga taqdim etish, shaxsiy ma'lumotlarning egasizlantirish, blokirovka va yo‘q qilish.</t>
  </si>
  <si>
    <t>10.1. Ushbu shartnomani tuzish bilan, Qarz oluvchi Mikromoliya tashkilotiga uning shaxsiy ma'lumotlari, shu jumladan, familiyasi, ismi, otasining ismi, pasport ma'lumotlari (shu jumladan, pasport raqami, berilgan vaqti va sanasi, ro‘yxatdan o‘tgan manzili va boshqalar); aloqaga chiqish uchun ma'lumotlar (shu jumladan, telefon raqami, e-mail, pochta manzili va boshqalar); STIR, ushbu shartnoma maqsadiga tegishli bo‘lgan boshqa ma'lumotlarni har qanday maqsadda ishlov berishga rozilik beradi.</t>
  </si>
  <si>
    <t>10. SHAXSIY MA'LUMOTLARNI QAYTA ISHLASH</t>
  </si>
  <si>
    <t>9.3. Ushbu Shartnomaga kiritiladigan barcha o‘zgartirish va qo‘shimchalar, ushbu Shartnomada kelishilgan holatlardan tashqari, ikkala Tomon tarafidan qo‘shimcha bitimni yozma shaklda imzolagan holda amalga oshiriladi.</t>
  </si>
  <si>
    <t>9.1. Ushbu Shartnoma Tomonlar tarafidan imzolangandan keyin kuchga kiradi.</t>
  </si>
  <si>
    <t>9. SHARTNOMA SHARTLARI VA AMAL QILISH MUDDATI</t>
  </si>
  <si>
    <t>8. NIZOLARNI HAL QILISH TARTIBI</t>
  </si>
  <si>
    <t>7.4. Fors-major holati boshlanganligini vaj qilib ko‘rsatish huquqidan mahrum etilgan Tomon amaldagi qonun hujjatlariga muvofiq javobgar bo‘ladi.</t>
  </si>
  <si>
    <t>7.3. Fors-major holati boshlanganligi to‘g‘risida xabar qilmaslik yoki o‘z vaqtida xabar bermaslik fors-major holati boshlanganda Shartnoma bo‘yicha o‘z majburiyatlarini bajarish imkoniyatiga vaj qilib keltirish huquqiga ega emas.</t>
  </si>
  <si>
    <t>7.1. Agar Tomonlar ular zimmasidagi majburiyatlarni tegishli darajada bajarishi yengib bo‘lmas kuch (fors-major) oqibatida mumkin bo‘lmay qolgan bo‘lsa, ya'ni aniq vaqt davri davomida aniq sharoitlarda favqulodda va oldini olib bo‘lmaydigan holatlar ekanligini isbotlay olmasalar, Shartnoma bo‘yicha o‘z majburiyatlarini bajarmagan yoki tegishli darajada bajarmagan Tomon uning shartlarini bajarishda javobgar hisoblanadi. Ushbu Shartnoma Tomonlari yengilmas kuch holatlariga quyidagilarni kiritadi: tabiiy ofat (zilzila, suv toshqini, chaqmoq chaqishi, vulqon otilishi, sel kelishi, ko‘chki, sunami va hokazo), Shartnoma bo‘yicha majburiyatlar bajarilish joyida temperatura – harorat, shamol kuchi va yog‘ingarchilik darajasining inson hayotiy faoliyati normasidan ortiq bo‘lishi; hokimiyat va boshqaruv organlari moratoriysi; qonuniy belgilangan tartibda tashkil etilgan ish tashlashlar va majburiyatlarning tegishli darajada bajarilishi uchun Shartnoma Tomonlari tarafidan yengib bo‘lmas kuch sifatida belgilangan boshqa holatlar.</t>
  </si>
  <si>
    <t>7. FORS-MAJOR</t>
  </si>
  <si>
    <t>6.4. Tomonlar O‘zbekiston Respublikasi Fuqarolik kodeksining 325-moddasiga muvofiq aybdor tomondan yetkazilgan zararni neustoykadan tashqari to‘la hajmda undirish huquqiga egadirlar.</t>
  </si>
  <si>
    <t>6.3. Tomonlarning ushbu Shartnomada nazarda tutilmagan javobgarligi O‘zbekiston Respublikasining amaldagi qonunchiligiga muvofiq belgilanadi.</t>
  </si>
  <si>
    <t>6.2. Jarima sanksiyalarni to‘lash Tomonlarni ushbu Shartnomada ko‘zda tutilgan zimmalaridagi majburiyatlarini bajarishdan ozod qilmaydi.</t>
  </si>
  <si>
    <t>6. TOMONLARNING JAVOBGARLIGI</t>
  </si>
  <si>
    <t>5.2. Qarz oluvchining majburiyatlari:</t>
  </si>
  <si>
    <t>5.1. Qarz oluvchi quyidagi huquqlarga ega:</t>
  </si>
  <si>
    <t>5. QARZ OLUVCHINING HUQUQ VA MAJBURIYATLARI</t>
  </si>
  <si>
    <t>4.1.9. Istalgan vaqtda Qarz oluvchining avvaldan roziligini olmasdan turib ushbu Shartnoma bo‘yicha uchinchi tomonga da'vo qilish huquqini berish yoki uning foydasiga voz kechish.</t>
  </si>
  <si>
    <t>4.1.6. Qonun hujjatlariga muvofiq, Qarz oluvchi tomonidan ushbu Shartnoma bo‘yicha asosiy qarz, foizlar, penya va boshqa pul majburiyatlarini o‘z vaqtida to‘lamaslik holatlarida Qarz oluvchining bank hisobvaraqlaridagi pul mablag‘larini akseptsiz tartibda yechib olish to‘g‘risida to‘lov talabnomasini berish va bunga Qarz oluvchi qaytarib olinmaydigan va so‘zsiz rozilik bildiradi.</t>
  </si>
  <si>
    <t>4.1.5. Garovga qo‘yuvchi tomonidan garovga qo‘yilgan mol-mulk buzilgan yoki belgilangan maqsadda foydalanish uchun yaroqsiz holga kelganda, bu esa Mikromoliya tashkilotining ushbu Shartnoma bo‘yicha moliyaviy talablarini qondirishga qodir bo‘lgan bozor qiymatiga ma'lum darajada ta'sir ko‘rsatganda, yoki uchinchi shaxsning (kafil) moliyaviy holatining yomonlashuvi sababli ushbu Shartnomadan kelib chiqqan majburiyatlar bo‘yicha javob berish qobiliyatiga ega bo‘lmay qolgan holatlarda Qarz oluvchidan ta'minotning qo‘shimcha turini taqdim etish yoki almashtirishni talab qilish.</t>
  </si>
  <si>
    <t>4.1.4. Qarz oluvchi tomonidan yoki ushbu Shartnoma bo‘yicha uchinchi shaxs tomonidan ta'minot sifatida garovga qo‘yilgan mol-mulkning tegishli holatdaligi va ulardan foydalanish bo‘yicha tekshiruvlar o‘tkazish.</t>
  </si>
  <si>
    <t>4.1.3. Ushbu shartnomaning amal qilish jarayonida Qarz oluvchining moliyaviy holatini tekshirish va Qarz oluvchi tomonidan o‘z zimmasiga olgan majburiyatlarning bajarilishini nazorat qilish.</t>
  </si>
  <si>
    <t>4.1. Mikromoliya tashkiloti quyidagi huquqlarga ega:</t>
  </si>
  <si>
    <t>4. MIKROMOLIYA TASHKILOTINING HUQUQ VA MAJBURIYATLARI</t>
  </si>
  <si>
    <t>3.4. O‘zbekiston Respublikasi "Garov to‘g‘risida" gi Qonunining 27-moddasiga muvofiq Garov predmeti sug‘urtalanmaydi. Lekin Mikromoliya tashkiloti Qarz oluvchidan Mikromoliya tashkiloti foydasiga Garov obʼektini ushbu Shartnomaning to‘liq amal qilish muddatiga har turli xavflardan sug‘urta qilishni talab qilish huquqiga ega. Bunda, sug‘urta xavflari ro‘yxati, shuningdek, sug‘urta kompaniyasi Mikromoliya tashkilotining xohishiga ko‘ra belgilanadi. Sug‘urta hodisasi yuz berganda Foyda oluvchi Mikromoliya tashkiloti bo‘lishi kerak.</t>
  </si>
  <si>
    <t>a) ta'minotisiz qarzdorlik yuzaga kelganda;</t>
  </si>
  <si>
    <t>с) Qarz oluvchini qonun hujjatlarida belgilangan tartibda to‘lov qobiliyatiga ega emas, muomalaga layoqatli emas yoki muomalaga layoqati cheklangan deb e'lon qilish;</t>
  </si>
  <si>
    <t>d) Mikromoliya tashkilotiga ushbu Shartnomaning 3.1.-bandida ko‘zda tutilgan hisobotlar, axborotlar va boshqa ma'lumotlarni o‘z vaqtida taqdim etmaslik, shuningdek, moliya-xo‘jalik faoliyat va daromad to‘g‘risidagi hisobotning ishonchsizligi holatlari aniqlanganda;</t>
  </si>
  <si>
    <t>e) Qarz oluvchi tomonidan ushbu shartnoma shartlariga amal qilmaslik;</t>
  </si>
  <si>
    <t>4.1.8. Ushbu shartnoma doirasida o‘z majburiyatlarini bajarish uchun uchinchi shaxslarga barcha zarur ma'lumotlarni yetkazish.</t>
  </si>
  <si>
    <t>5.1.5. Shartnoma bo‘yicha Mikromoliya tashkilotining majburiyatlarini bajarmaslik yoki tegishli darajada bajarmaslik natijasida yuzaga kelgan zararlarni qoplashni talab qilish.</t>
  </si>
  <si>
    <t>5.2.2. Ushbu shartnomada nazarda tutilgan hollarda garov ta'minotini almashtirish yoki qo‘shimcha ta'minot turini taqdim etish bo‘yicha Mikromoliya tashkiloti talablarini bajarish.</t>
  </si>
  <si>
    <t>5.2.5. Qarz oluvchining moliyaviy ahvoli yomonlashuvi va ushbu shartnoma bo‘yicha Qarz oluvchining Mikromoliya tashkiloti oldidagi majburiyatlarining bajarilmasligi va/yoki tegishli darajada bajarilmaslik xavfi yuzaga kelishiga olib keluvchi hech qanday majburiyat va choralarni o‘z zimmasiga olmaslik;</t>
  </si>
  <si>
    <t>Qarzni undirish va garovdagi mol-mulkiga qaratish ham sud tartibida, ham suddan tashqari tartibda, shu jumladan notariusning ijro yozuvini olish yo‘li bilan amalga oshirilishi mumkin.</t>
  </si>
  <si>
    <t>12. TOMONLARNING YURIDIK MANZILLARI VA REKVIZITLARI:</t>
  </si>
  <si>
    <t xml:space="preserve">                  Anketa kredit menejeri tomonidan mijozning javoblarini kiritish orqali to'ldiriladi, kerak bo'lganda, Mijoz tomonidan tanlangan javob variantlarini belgilash orqali amalga oshiriladi</t>
  </si>
  <si>
    <t xml:space="preserve">     </t>
  </si>
  <si>
    <t>xizmat</t>
  </si>
  <si>
    <t>boshqa</t>
  </si>
  <si>
    <t>2.4.1 Qarz oluvchining xisob raqamlaridan shartnomaning 4.1.2 bandida ko‘rsatilgan tartibda yechib olingan pul mablag‘lari yechib olinganidan so‘ng mijoz tomonidan kredit qarzdorligini so‘ndirish uchun bank kassalari orqali to‘langan pul mablag‘lari yoki mijoz tomonidan kredit qarzdorligini so‘ndirish uchun bank kassalari orqali to‘langandan so‘ng qarz oluvchining xisob raqamlaridan shartnomaning 4.1.2 bandida ko‘rsatilgan tartibda yechib olingan pul mablag‘larining bir oylik kredit to‘lovini so‘ndirishga yo‘naltirilgan miqdoridan ortiqcha qismi qarz oluvchining to‘lov amalga oshirilgan kundan boshlab 3 bank ish kuni ichida yo‘llagan arizasiga asosan qarz oluvchiga qaytarilishi mumkun.
2.5. Foizlar To‘lov jadvaliga muvofiq asosiy qarzni qaytarish uchun belgilangan sanada to‘lanadi.
2.5.1 Qarz oluvchi tomonidan shartnomaning 2.4 bandida ko‘rsatilgan muddatda ortiqcha to‘langan pul mablag‘larini qaytarish to‘g‘risida ariza berilmagan taqdirda to‘langan ortiqcha pul mablag‘lari mijozning asosiy qarzdorligini so‘ndirishga yo‘naltiriladi.</t>
  </si>
  <si>
    <t>(imzo)</t>
  </si>
  <si>
    <t>ayol</t>
  </si>
  <si>
    <t xml:space="preserve">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t>
  </si>
  <si>
    <t>ni va undan foydalanganlik uchun foizlarni qaytarish bo‘yicha muddati o‘tgan qarzdorlik hosil bo‘lganda Qarz oluvchi tomonidan ko‘rsatilgan qarzdorlikni to‘lash hisobiga to‘lanadigan summalar quyidagi tartibda hisobga olinadi:</t>
  </si>
  <si>
    <t>"&amp;'Общие данные'!B59&amp;"</t>
  </si>
  <si>
    <t xml:space="preserve"> berishni rad etish va / yoki ushbu shartnomani bir tomonlama bekor qilish huquqiga egadir. Bunda ushbu shartnoma Qarz oluvchi tomonidan talabnoma olingan vaqtda yoki talabnoma pochta  xizmati orqali yuborilgandan keyin uchinchi kuni bekor qilingan hisoblanadi.</t>
  </si>
  <si>
    <t xml:space="preserve">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t>
  </si>
  <si>
    <t xml:space="preserve"> holatlarda, bu haqda Qarz oluvchini yozma ravishda xabardor qilib, Shartnoma bir tomonlama bekor qilish. Yozma xabarni jo‘natish sanasi uni taqdim etish yoki pochta orqali jo‘natish sanasi hisoblanadi.</t>
  </si>
  <si>
    <t>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t>
  </si>
  <si>
    <t>- Qarz oluvchining moliyaviy holatining yomonlashuvi;
- Garov ob'ekti va/yoki uning bir qismining yo‘q qilinishi, qiymatining pasayishi, qisman yoki to‘liq yo‘qotilishi;
- qarz qaytarilmaslik xavfini ko‘paytiruvchi boshqa omillarning paydo bo‘lishi;</t>
  </si>
  <si>
    <t xml:space="preserve"> qarzdorlikni majburiy va/yoki muddatidan oldin qaytarish bo‘yicha qabul qilingan choralar bilan bog‘liq bo‘lgan barcha xarajatlari va zararlarni qoplash, shuningdek ushbu shartnoma doirasida unidruvni taqdim etilgan garov ta'minotiga qaratish.</t>
  </si>
  <si>
    <t xml:space="preserve">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t>
  </si>
  <si>
    <t>7.2. Fors-major holati ta'sirida qolgan Tomon, bunday holatlar yuzaga kelgan kundan boshlab 7 (etti) kalendar kundan kechiktirmasdan boshqa Tomonni xabardor qilishi shart.</t>
  </si>
  <si>
    <t>Yakka tartibdagi tadbirkor</t>
  </si>
  <si>
    <r>
      <t xml:space="preserve">Qancha yurgan </t>
    </r>
    <r>
      <rPr>
        <b/>
        <sz val="16"/>
        <color rgb="FFFF0000"/>
        <rFont val="Arial"/>
        <family val="2"/>
        <charset val="204"/>
      </rPr>
      <t>ANIQ KIRITING</t>
    </r>
  </si>
  <si>
    <t>. sanasidan</t>
  </si>
  <si>
    <t>Imtiyozli davr</t>
  </si>
  <si>
    <t>HA BO'LSA TEGMANG</t>
  </si>
  <si>
    <t>FAQAT YO'Q BO'LSA KO'RSATING</t>
  </si>
  <si>
    <t>O'Z O'ZINI BAND QILGAN FUQARO</t>
  </si>
  <si>
    <t>O'Z O'ZINI BAND QILGAN BO'LSA, MA'LUMOTNOMA KIRITING</t>
  </si>
  <si>
    <t>AGAR O'Z O'ZINI BAND QILGAN FUQARO BO'LSA FAOLIYAT TURINI KIRITING</t>
  </si>
  <si>
    <t>MMT BO’YICHA MA’LUMOTLAR</t>
  </si>
  <si>
    <t>Siz ommaviy mansabdor shaxsmisiz?</t>
  </si>
  <si>
    <t>3.2. Qonun hujjatlariga muvofiq rasmiylashtirilgan, “Garov predmeti” hisoblangan notarial tasdiqlangan garov shartnomasi, shu jumladan “Garov predmeti”ga taʼqiq quyilganligi tasdiqlovchi xujjat Qarz oluvchi tomonidan ushbu shartnoma tuzilgandan so‘ng 10 bank kuni mobaynida</t>
  </si>
  <si>
    <t>8.1. Ushbu Shartnomadan kelib chiqadigan tomonlar o‘rtasidagi barcha nizolar va undan kelib chiqadigan majburiyatlar, shu jumladan shartnoma bajarilmasligi oqibatida yuzaga kelgan bajarilishi, o‘zgartirilishi, bekor qilinishi, tugatilishi Mikromoliya tashkilot joylashgan yerdagi taalluqli sudda yoki «CONSILIO» Mas'uliyati cheklangan jamiyat qoshidagi Hakamlik sudida, O‘zbekiston Respublikasining amaldagi qonun hujjatlari va uning reglamentiga muvofiq Hakamlik sudi raisi tomonidan tayinlangan, yakka tartibdagi hakamlik sudyasi tomonidan, sud ishlarini sud majlisi bayonnomasi tuzmasdan ko‘rib chiqilishi kerak bo‘ladi. U yoki bu sudga murojaat qilish huquqi da'vogarda qoladi.</t>
  </si>
  <si>
    <t>O'ninchi</t>
  </si>
  <si>
    <t>O'n birinchi</t>
  </si>
  <si>
    <t>O'n ikkinchi</t>
  </si>
  <si>
    <t>O'n uchinchi</t>
  </si>
  <si>
    <t>O'n beshinchi</t>
  </si>
  <si>
    <t>O'n oltinchi</t>
  </si>
  <si>
    <t>O'n yettinchi</t>
  </si>
  <si>
    <t>O'n sakkizinchi</t>
  </si>
  <si>
    <t>O'n tuqqizinchi</t>
  </si>
  <si>
    <t>Yigirma to'rtinchi</t>
  </si>
  <si>
    <t>To'rtinchi</t>
  </si>
  <si>
    <t>O'ltinchi</t>
  </si>
  <si>
    <t>O'n to'rtinchi</t>
  </si>
  <si>
    <t>F.I.SH.</t>
  </si>
  <si>
    <t>F.I.SH. (QISQA)</t>
  </si>
  <si>
    <t>Pozitsiyasi</t>
  </si>
  <si>
    <t>- jarima sanksiyalarni to‘lash;
- to‘lov muddati o‘tgan foizlarni to‘lash;
- to‘lov muddati o‘tgan asosiy qarzni to‘lash;
- muddatli qarz bo‘yicha hisoblangan foizlarni to‘lash;
- muddatli asosiy qarzni to‘lash;
- Mikromoliya tashkilotning boshqa zararlarini qoplash.</t>
  </si>
  <si>
    <t>GRAFIKTA BO'SH JOY BO'LSA SKRIT' QILIB TASHLANG!!!</t>
  </si>
  <si>
    <t>Monitoring bo’limi boshlig’i</t>
  </si>
  <si>
    <t xml:space="preserve"> masala yuzasidan berilgan ma’lumotlarni muhokama qilib, Kredit qo‘mitasi a’zolariga taqdim etilgan zarur hujjatlarni o‘rganib, majlisda ishtirok etgan Kredit qo‘mitasi a’zolarining taklif va mulohazalarini inobatga olgan holda </t>
  </si>
  <si>
    <t>Kredit bo'yicha menejer</t>
  </si>
  <si>
    <t>(MA'LUMOTNOMA №</t>
  </si>
  <si>
    <t>Ruzmatov S. R.</t>
  </si>
  <si>
    <t>Obidov A. Sh.</t>
  </si>
  <si>
    <t>Obidov Abdullo Shokir o'g'li</t>
  </si>
  <si>
    <t>«PULLOL BUSINESS MIKROMOLIYA TASHKILOTI»  MChJ</t>
  </si>
  <si>
    <t>Toshkent shahri, Yakkasaroy tumani, Rakat ko'chasi, 10-uy, 18 xonadon</t>
  </si>
  <si>
    <t>№01088</t>
  </si>
  <si>
    <t>Abduraximova T.N.</t>
  </si>
  <si>
    <t>(71) 555 10 02 17</t>
  </si>
  <si>
    <t>27-13/968</t>
  </si>
  <si>
    <t>14.08.2023y</t>
  </si>
  <si>
    <t>Bosh buxgalter FISh</t>
  </si>
  <si>
    <t>№ 20208000405643889001</t>
  </si>
  <si>
    <t>310430149</t>
  </si>
  <si>
    <t>ATB “Kapitalbank” Markaziy amaliyotlar bo'limi</t>
  </si>
  <si>
    <t>Umumiy maydon</t>
  </si>
  <si>
    <t>Umumiy foydali maydoni</t>
  </si>
  <si>
    <t>Ko'chmas mulkning umumiy maydoni</t>
  </si>
  <si>
    <t>Ko'chmas mulkning yashash maydoni</t>
  </si>
  <si>
    <t>6. Boshqa shartlar – ko'chmas mulk vositasi shaklida garov ta'minlangandan keyin mikroqarz berish.</t>
  </si>
  <si>
    <t>43.96</t>
  </si>
  <si>
    <t>18.82</t>
  </si>
  <si>
    <t>Eshbekov S.O.</t>
  </si>
  <si>
    <t>Direktor</t>
  </si>
  <si>
    <t>Direktori</t>
  </si>
  <si>
    <t>3</t>
  </si>
  <si>
    <t xml:space="preserve">                                    97 706 96 65</t>
  </si>
  <si>
    <t>yashash maydoni</t>
  </si>
  <si>
    <t>Mikroqarz</t>
  </si>
  <si>
    <t>Akramov R.N.</t>
  </si>
  <si>
    <t>55</t>
  </si>
  <si>
    <t>Mikrokredit</t>
  </si>
  <si>
    <t>qurilish osti maydoni</t>
  </si>
  <si>
    <t>Qurilish osti maydoni</t>
  </si>
  <si>
    <t>umumiy maydoni</t>
  </si>
  <si>
    <t>Qurilish osti maydoni, m²</t>
  </si>
  <si>
    <t>Ko'p qavatli uydagi xonadon</t>
  </si>
  <si>
    <t>o'lti</t>
  </si>
  <si>
    <t>o'n ikki</t>
  </si>
  <si>
    <t>o'n olti</t>
  </si>
  <si>
    <t>o'n sakkiz</t>
  </si>
  <si>
    <t>yigirma to'rt</t>
  </si>
  <si>
    <t>yigirma sakkiz</t>
  </si>
  <si>
    <t xml:space="preserve">o'ttiz </t>
  </si>
  <si>
    <t>o'ttiz olti</t>
  </si>
  <si>
    <t>qirq sakkiz</t>
  </si>
  <si>
    <t>16.07.1982 yil</t>
  </si>
  <si>
    <t>AD 9088376</t>
  </si>
  <si>
    <t>IIV 26296</t>
  </si>
  <si>
    <t>FARG'ONA SHAHRI</t>
  </si>
  <si>
    <t>QODIROVA NAFISA YO‘LDOSHEVNA</t>
  </si>
  <si>
    <t>QODIROVA N.Y.</t>
  </si>
  <si>
    <t>TOSHKENT SHAHAR BEKTEMIR TUMANI ROXAT KO'CHASI 12 UY 32 XONADON</t>
  </si>
  <si>
    <t>TOSHKENT SHAHAR YANGIXAYOT TUMANI 2 STROITELNAYA TERRITORIYA 17 UY 74 XONADON</t>
  </si>
  <si>
    <t>90 120 24 08 ERI</t>
  </si>
  <si>
    <t>90 809 80 43 MIJOZ</t>
  </si>
  <si>
    <t>2 BEKAT</t>
  </si>
  <si>
    <t>90 979 80 43 O'G'LI</t>
  </si>
  <si>
    <t>Mijoz quyidagi majburiyatlarga ega: TOSHKENT SH. "SQB" ATB BOSH OFISI  90 145 186.00 so'm, Ayni paytda muddati o'tgan qarzdorligi mavjud emas. O‘rtacha oylik to‘lov 851 903.19 so‘mni tashkil qiladi.</t>
  </si>
  <si>
    <t>05.06.2024 y. №10:02:02:01:02:6267:0001:032</t>
  </si>
  <si>
    <t>1726264/R-A4953178</t>
  </si>
  <si>
    <t>№ 56</t>
  </si>
  <si>
    <t>Omanlikov O.O.</t>
  </si>
  <si>
    <t>155</t>
  </si>
  <si>
    <t>bir yuz ellik besh</t>
  </si>
  <si>
    <t>02.02.2026</t>
  </si>
  <si>
    <t>Ustav</t>
  </si>
  <si>
    <t>Yakka tartibdagi turarjoy</t>
  </si>
  <si>
    <t>besh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</si>
</sst>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00\ _₽_-;\-* #,##0.00\ _₽_-;_-* &quot;-&quot;??\ _₽_-;_-@_-"/>
    <numFmt numFmtId="165" formatCode="[$-F800]dddd\,\ mmmm\ dd\,\ yyyy"/>
    <numFmt numFmtId="166" formatCode="_-* #,##0.0000\ _₽_-;\-* #,##0.0000\ _₽_-;_-* &quot;-&quot;??\ _₽_-;_-@_-"/>
    <numFmt numFmtId="167" formatCode="_-* #,##0.000\ _₽_-;\-* #,##0.000\ _₽_-;_-* &quot;-&quot;??\ _₽_-;_-@_-"/>
    <numFmt numFmtId="168" formatCode="ddd"/>
  </numFmts>
  <fonts count="57">
    <font>
      <sz val="11"/>
      <color theme="1"/>
      <name val="Calibri"/>
      <family val="2"/>
      <scheme val="minor"/>
    </font>
    <font>
      <sz val="11"/>
      <color theme="1"/>
      <name val="Calibri"/>
      <family val="2"/>
      <charset val="204"/>
      <scheme val="minor"/>
    </font>
    <font>
      <sz val="11"/>
      <color theme="1"/>
      <name val="Calibri"/>
      <family val="2"/>
      <charset val="204"/>
      <scheme val="minor"/>
    </font>
    <font>
      <sz val="11"/>
      <color theme="1"/>
      <name val="Calibri"/>
      <family val="2"/>
      <scheme val="minor"/>
    </font>
    <font>
      <sz val="11"/>
      <color theme="1"/>
      <name val="Arial"/>
      <family val="2"/>
      <charset val="204"/>
    </font>
    <font>
      <b/>
      <sz val="11"/>
      <color theme="1"/>
      <name val="Arial"/>
      <family val="2"/>
      <charset val="204"/>
    </font>
    <font>
      <sz val="11"/>
      <color theme="0"/>
      <name val="Arial"/>
      <family val="2"/>
      <charset val="204"/>
    </font>
    <font>
      <sz val="12"/>
      <color theme="1"/>
      <name val="Times New Roman"/>
      <family val="1"/>
      <charset val="204"/>
    </font>
    <font>
      <b/>
      <sz val="12"/>
      <color theme="1"/>
      <name val="Times New Roman"/>
      <family val="1"/>
      <charset val="204"/>
    </font>
    <font>
      <b/>
      <sz val="14"/>
      <color theme="1"/>
      <name val="Arial"/>
      <family val="2"/>
      <charset val="204"/>
    </font>
    <font>
      <b/>
      <u/>
      <sz val="9"/>
      <name val="Wingdings 2"/>
      <family val="1"/>
      <charset val="2"/>
    </font>
    <font>
      <b/>
      <u/>
      <sz val="9"/>
      <name val="Arial"/>
      <family val="2"/>
      <charset val="204"/>
    </font>
    <font>
      <b/>
      <sz val="9"/>
      <name val="Arial"/>
      <family val="2"/>
      <charset val="204"/>
    </font>
    <font>
      <sz val="11"/>
      <color theme="1"/>
      <name val="Times New Roman"/>
      <family val="1"/>
      <charset val="204"/>
    </font>
    <font>
      <b/>
      <sz val="11"/>
      <color theme="1"/>
      <name val="Times New Roman"/>
      <family val="1"/>
      <charset val="204"/>
    </font>
    <font>
      <b/>
      <sz val="10"/>
      <color theme="1"/>
      <name val="Times New Roman"/>
      <family val="1"/>
      <charset val="204"/>
    </font>
    <font>
      <sz val="10"/>
      <color theme="1"/>
      <name val="Times New Roman"/>
      <family val="1"/>
      <charset val="204"/>
    </font>
    <font>
      <b/>
      <u/>
      <sz val="12"/>
      <color theme="1"/>
      <name val="Times New Roman"/>
      <family val="1"/>
      <charset val="204"/>
    </font>
    <font>
      <i/>
      <sz val="11"/>
      <color theme="1"/>
      <name val="Times New Roman"/>
      <family val="1"/>
      <charset val="204"/>
    </font>
    <font>
      <b/>
      <u/>
      <sz val="11"/>
      <color theme="1"/>
      <name val="Times New Roman"/>
      <family val="1"/>
      <charset val="204"/>
    </font>
    <font>
      <b/>
      <sz val="48"/>
      <color theme="1"/>
      <name val="Times New Roman"/>
      <family val="1"/>
      <charset val="204"/>
    </font>
    <font>
      <b/>
      <u/>
      <sz val="18"/>
      <color theme="1"/>
      <name val="Times New Roman"/>
      <family val="1"/>
      <charset val="204"/>
    </font>
    <font>
      <b/>
      <sz val="16"/>
      <color theme="1"/>
      <name val="Times New Roman"/>
      <family val="1"/>
      <charset val="204"/>
    </font>
    <font>
      <b/>
      <u/>
      <sz val="20"/>
      <color theme="1"/>
      <name val="Times New Roman"/>
      <family val="1"/>
      <charset val="204"/>
    </font>
    <font>
      <sz val="11"/>
      <color theme="0"/>
      <name val="Times New Roman"/>
      <family val="1"/>
      <charset val="204"/>
    </font>
    <font>
      <sz val="11"/>
      <name val="Arial"/>
      <family val="2"/>
      <charset val="204"/>
    </font>
    <font>
      <sz val="11"/>
      <name val="Times New Roman"/>
      <family val="1"/>
      <charset val="204"/>
    </font>
    <font>
      <sz val="12"/>
      <name val="Times New Roman"/>
      <family val="1"/>
      <charset val="204"/>
    </font>
    <font>
      <sz val="11"/>
      <color rgb="FFFF0000"/>
      <name val="Arial"/>
      <family val="2"/>
      <charset val="204"/>
    </font>
    <font>
      <b/>
      <i/>
      <sz val="11"/>
      <color theme="1"/>
      <name val="Times New Roman"/>
      <family val="1"/>
      <charset val="204"/>
    </font>
    <font>
      <b/>
      <sz val="18"/>
      <color theme="1"/>
      <name val="Calibri"/>
      <family val="2"/>
      <charset val="204"/>
      <scheme val="minor"/>
    </font>
    <font>
      <sz val="12"/>
      <color rgb="FF585858"/>
      <name val="SegoeUI"/>
    </font>
    <font>
      <b/>
      <i/>
      <sz val="12"/>
      <color theme="1"/>
      <name val="Times New Roman"/>
      <family val="1"/>
      <charset val="204"/>
    </font>
    <font>
      <b/>
      <sz val="36"/>
      <color theme="1"/>
      <name val="Times New Roman"/>
      <family val="1"/>
      <charset val="204"/>
    </font>
    <font>
      <sz val="12"/>
      <name val="Arial"/>
      <family val="2"/>
      <charset val="204"/>
    </font>
    <font>
      <b/>
      <sz val="11"/>
      <name val="Times New Roman"/>
      <family val="1"/>
      <charset val="204"/>
    </font>
    <font>
      <b/>
      <u/>
      <sz val="11"/>
      <name val="Times New Roman"/>
      <family val="1"/>
      <charset val="204"/>
    </font>
    <font>
      <i/>
      <sz val="11"/>
      <name val="Times New Roman"/>
      <family val="1"/>
      <charset val="204"/>
    </font>
    <font>
      <b/>
      <sz val="11"/>
      <name val="Arial"/>
      <family val="2"/>
      <charset val="204"/>
    </font>
    <font>
      <sz val="11"/>
      <color rgb="FF000000"/>
      <name val="Times New Roman"/>
      <family val="1"/>
      <charset val="204"/>
    </font>
    <font>
      <b/>
      <sz val="11"/>
      <color rgb="FF000000"/>
      <name val="Times New Roman"/>
      <family val="1"/>
      <charset val="204"/>
    </font>
    <font>
      <b/>
      <sz val="11"/>
      <color theme="1"/>
      <name val="Calibri"/>
      <family val="2"/>
      <charset val="204"/>
      <scheme val="minor"/>
    </font>
    <font>
      <b/>
      <sz val="11"/>
      <color theme="0"/>
      <name val="Arial"/>
      <family val="2"/>
      <charset val="204"/>
    </font>
    <font>
      <b/>
      <sz val="9"/>
      <color theme="1"/>
      <name val="Times New Roman"/>
      <family val="1"/>
      <charset val="204"/>
    </font>
    <font>
      <b/>
      <sz val="11"/>
      <color rgb="FFFF0000"/>
      <name val="Arial"/>
      <family val="2"/>
      <charset val="204"/>
    </font>
    <font>
      <sz val="11"/>
      <color rgb="FF000000"/>
      <name val="Calibri"/>
      <family val="2"/>
      <charset val="204"/>
      <scheme val="minor"/>
    </font>
    <font>
      <sz val="11"/>
      <color theme="0"/>
      <name val="Calibri"/>
      <family val="2"/>
      <scheme val="minor"/>
    </font>
    <font>
      <b/>
      <i/>
      <sz val="11"/>
      <name val="Times New Roman"/>
      <family val="1"/>
      <charset val="204"/>
    </font>
    <font>
      <sz val="12"/>
      <color theme="0"/>
      <name val="Times New Roman"/>
      <family val="1"/>
      <charset val="204"/>
    </font>
    <font>
      <sz val="10"/>
      <color theme="0"/>
      <name val="Times New Roman"/>
      <family val="1"/>
      <charset val="204"/>
    </font>
    <font>
      <b/>
      <sz val="16"/>
      <color rgb="FFFF0000"/>
      <name val="Arial"/>
      <family val="2"/>
      <charset val="204"/>
    </font>
    <font>
      <b/>
      <sz val="24"/>
      <color rgb="FFFF0000"/>
      <name val="Arial"/>
      <family val="2"/>
      <charset val="204"/>
    </font>
    <font>
      <sz val="22"/>
      <color rgb="FFFF0000"/>
      <name val="Arial"/>
      <family val="2"/>
      <charset val="204"/>
    </font>
    <font>
      <b/>
      <sz val="18"/>
      <color rgb="FFFF0000"/>
      <name val="Arial"/>
      <family val="2"/>
      <charset val="204"/>
    </font>
    <font>
      <sz val="18"/>
      <color rgb="FFFF0000"/>
      <name val="Arial"/>
      <family val="2"/>
      <charset val="204"/>
    </font>
    <font>
      <sz val="48"/>
      <color rgb="FFFF0000"/>
      <name val="Times New Roman"/>
      <family val="1"/>
      <charset val="204"/>
    </font>
    <font>
      <sz val="11"/>
      <name val="Calibri"/>
      <family val="2"/>
      <charset val="204"/>
    </font>
  </fonts>
  <fills count="12">
    <fill>
      <patternFill patternType="none"/>
    </fill>
    <fill>
      <patternFill patternType="gray125"/>
    </fill>
    <fill>
      <patternFill patternType="solid">
        <fgColor theme="0" tint="-0.249977111117893"/>
        <bgColor indexed="64"/>
      </patternFill>
    </fill>
    <fill>
      <patternFill patternType="solid">
        <fgColor rgb="FFFFC000"/>
        <bgColor indexed="64"/>
      </patternFill>
    </fill>
    <fill>
      <patternFill patternType="solid">
        <fgColor rgb="FFFFFF00"/>
        <bgColor indexed="64"/>
      </patternFill>
    </fill>
    <fill>
      <patternFill patternType="solid">
        <fgColor theme="0"/>
        <bgColor indexed="64"/>
      </patternFill>
    </fill>
    <fill>
      <patternFill patternType="solid">
        <fgColor theme="0" tint="-0.34998626667073579"/>
        <bgColor indexed="64"/>
      </patternFill>
    </fill>
    <fill>
      <patternFill patternType="solid">
        <fgColor theme="0" tint="-0.499984740745262"/>
        <bgColor indexed="64"/>
      </patternFill>
    </fill>
    <fill>
      <patternFill patternType="solid">
        <fgColor theme="0" tint="-0.14999847407452621"/>
        <bgColor indexed="64"/>
      </patternFill>
    </fill>
    <fill>
      <patternFill patternType="solid">
        <fgColor rgb="FFFF0000"/>
        <bgColor indexed="64"/>
      </patternFill>
    </fill>
    <fill>
      <patternFill patternType="solid">
        <fgColor theme="9"/>
        <bgColor indexed="64"/>
      </patternFill>
    </fill>
    <fill>
      <patternFill patternType="solid">
        <fgColor theme="1"/>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medium">
        <color indexed="64"/>
      </left>
      <right style="medium">
        <color indexed="64"/>
      </right>
      <top style="medium">
        <color indexed="64"/>
      </top>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right style="thin">
        <color indexed="64"/>
      </right>
      <top/>
      <bottom style="thin">
        <color indexed="64"/>
      </bottom>
      <diagonal/>
    </border>
    <border>
      <left style="thin">
        <color indexed="64"/>
      </left>
      <right style="thin">
        <color theme="0"/>
      </right>
      <top style="thin">
        <color indexed="64"/>
      </top>
      <bottom style="thin">
        <color indexed="64"/>
      </bottom>
      <diagonal/>
    </border>
  </borders>
  <cellStyleXfs count="139">
    <xf numFmtId="0" fontId="0"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0" fontId="56" fillId="0" borderId="0">
      <alignment vertical="center"/>
    </xf>
    <xf numFmtId="0" fontId="56" fillId="0" borderId="0">
      <alignment vertical="center"/>
    </xf>
    <xf numFmtId="43" fontId="3" fillId="0" borderId="0" applyFon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cellStyleXfs>
  <cellXfs count="376">
    <xf numFmtId="0" fontId="0" fillId="0" borderId="0" xfId="0"/>
    <xf numFmtId="0" fontId="4" fillId="0" borderId="1" xfId="0" applyFont="1" applyBorder="1" applyAlignment="1">
      <alignment vertical="center" wrapText="1"/>
    </xf>
    <xf numFmtId="49" fontId="4" fillId="0" borderId="1" xfId="0" applyNumberFormat="1" applyFont="1" applyBorder="1" applyAlignment="1">
      <alignment vertical="center" wrapText="1"/>
    </xf>
    <xf numFmtId="0" fontId="5" fillId="2" borderId="1" xfId="0" applyFont="1" applyFill="1" applyBorder="1" applyAlignment="1">
      <alignment vertical="center" wrapText="1"/>
    </xf>
    <xf numFmtId="0" fontId="4" fillId="0" borderId="0" xfId="0" applyFont="1"/>
    <xf numFmtId="0" fontId="6" fillId="0" borderId="0" xfId="0" applyFont="1"/>
    <xf numFmtId="0" fontId="5" fillId="0" borderId="0" xfId="0" applyFont="1" applyAlignment="1">
      <alignment vertical="center" wrapText="1"/>
    </xf>
    <xf numFmtId="0" fontId="4" fillId="0" borderId="0" xfId="0" applyFont="1" applyAlignment="1">
      <alignment vertical="center" wrapText="1"/>
    </xf>
    <xf numFmtId="165" fontId="4" fillId="0" borderId="1" xfId="0" applyNumberFormat="1" applyFont="1" applyBorder="1" applyAlignment="1">
      <alignment vertical="center" wrapText="1"/>
    </xf>
    <xf numFmtId="43" fontId="4" fillId="0" borderId="1" xfId="1" applyFont="1" applyBorder="1" applyAlignment="1">
      <alignment vertical="center" wrapText="1"/>
    </xf>
    <xf numFmtId="0" fontId="7" fillId="0" borderId="0" xfId="0" applyFont="1"/>
    <xf numFmtId="0" fontId="7" fillId="0" borderId="0" xfId="0" applyFont="1" applyAlignment="1">
      <alignment horizontal="right"/>
    </xf>
    <xf numFmtId="0" fontId="9" fillId="2" borderId="1" xfId="0" applyFont="1" applyFill="1" applyBorder="1" applyAlignment="1">
      <alignment horizontal="left" vertical="center" wrapText="1"/>
    </xf>
    <xf numFmtId="0" fontId="9" fillId="2" borderId="1" xfId="0" applyFont="1" applyFill="1" applyBorder="1" applyAlignment="1">
      <alignment horizontal="center" vertical="center" wrapText="1"/>
    </xf>
    <xf numFmtId="0" fontId="12" fillId="0" borderId="0" xfId="0" applyFont="1" applyAlignment="1" applyProtection="1">
      <alignment horizontal="center" vertical="top"/>
      <protection hidden="1"/>
    </xf>
    <xf numFmtId="0" fontId="10" fillId="0" borderId="0" xfId="0" applyFont="1" applyAlignment="1" applyProtection="1">
      <alignment horizontal="center" vertical="center"/>
      <protection hidden="1"/>
    </xf>
    <xf numFmtId="0" fontId="12" fillId="0" borderId="0" xfId="0" applyFont="1" applyAlignment="1" applyProtection="1">
      <alignment horizontal="center" vertical="center"/>
      <protection hidden="1"/>
    </xf>
    <xf numFmtId="0" fontId="8" fillId="0" borderId="0" xfId="0" applyFont="1"/>
    <xf numFmtId="0" fontId="8" fillId="0" borderId="0" xfId="0" applyFont="1" applyAlignment="1">
      <alignment horizontal="right"/>
    </xf>
    <xf numFmtId="0" fontId="13" fillId="0" borderId="0" xfId="0" applyFont="1"/>
    <xf numFmtId="0" fontId="13" fillId="0" borderId="0" xfId="0" applyFont="1" applyAlignment="1">
      <alignment horizontal="center" vertical="center" wrapText="1"/>
    </xf>
    <xf numFmtId="0" fontId="13" fillId="0" borderId="1" xfId="0" applyFont="1" applyBorder="1" applyAlignment="1">
      <alignment horizontal="center" vertical="center" wrapText="1"/>
    </xf>
    <xf numFmtId="0" fontId="13" fillId="0" borderId="1" xfId="0" applyFont="1" applyBorder="1"/>
    <xf numFmtId="0" fontId="13" fillId="0" borderId="0" xfId="0" applyFont="1" applyAlignment="1">
      <alignment horizontal="justify" vertical="top" wrapText="1"/>
    </xf>
    <xf numFmtId="0" fontId="13" fillId="0" borderId="0" xfId="0" applyFont="1" applyAlignment="1">
      <alignment wrapText="1"/>
    </xf>
    <xf numFmtId="164" fontId="4" fillId="0" borderId="1" xfId="0" applyNumberFormat="1" applyFont="1" applyBorder="1" applyAlignment="1">
      <alignment vertical="center" wrapText="1"/>
    </xf>
    <xf numFmtId="0" fontId="13" fillId="0" borderId="0" xfId="0" applyFont="1" applyAlignment="1">
      <alignment vertical="top" wrapText="1"/>
    </xf>
    <xf numFmtId="0" fontId="13" fillId="0" borderId="0" xfId="0" applyFont="1" applyAlignment="1">
      <alignment vertical="center" wrapText="1"/>
    </xf>
    <xf numFmtId="0" fontId="16" fillId="0" borderId="0" xfId="0" applyFont="1"/>
    <xf numFmtId="0" fontId="15" fillId="0" borderId="1" xfId="0" applyFont="1" applyBorder="1" applyAlignment="1">
      <alignment horizontal="center" vertical="center" wrapText="1"/>
    </xf>
    <xf numFmtId="0" fontId="15" fillId="0" borderId="0" xfId="0" applyFont="1" applyAlignment="1">
      <alignment horizontal="center" vertical="center" wrapText="1"/>
    </xf>
    <xf numFmtId="0" fontId="16" fillId="0" borderId="1" xfId="0" applyFont="1" applyBorder="1" applyAlignment="1">
      <alignment horizontal="center" vertical="top" wrapText="1"/>
    </xf>
    <xf numFmtId="43" fontId="16" fillId="0" borderId="1" xfId="1" applyFont="1" applyBorder="1" applyAlignment="1">
      <alignment horizontal="center" vertical="top" wrapText="1"/>
    </xf>
    <xf numFmtId="0" fontId="15" fillId="0" borderId="1" xfId="0" applyFont="1" applyBorder="1" applyAlignment="1">
      <alignment horizontal="center" vertical="top" wrapText="1"/>
    </xf>
    <xf numFmtId="43" fontId="15" fillId="0" borderId="1" xfId="0" applyNumberFormat="1" applyFont="1" applyBorder="1" applyAlignment="1">
      <alignment horizontal="center" vertical="top" wrapText="1"/>
    </xf>
    <xf numFmtId="0" fontId="15" fillId="0" borderId="0" xfId="0" applyFont="1"/>
    <xf numFmtId="0" fontId="7" fillId="0" borderId="0" xfId="0" applyFont="1" applyAlignment="1">
      <alignment horizontal="left"/>
    </xf>
    <xf numFmtId="14" fontId="13" fillId="0" borderId="1" xfId="0" applyNumberFormat="1" applyFont="1" applyBorder="1"/>
    <xf numFmtId="43" fontId="13" fillId="0" borderId="1" xfId="1" applyFont="1" applyBorder="1"/>
    <xf numFmtId="14" fontId="13" fillId="0" borderId="0" xfId="0" applyNumberFormat="1" applyFont="1"/>
    <xf numFmtId="43" fontId="13" fillId="0" borderId="0" xfId="1" applyFont="1" applyBorder="1"/>
    <xf numFmtId="0" fontId="14" fillId="0" borderId="0" xfId="0" applyFont="1"/>
    <xf numFmtId="0" fontId="14" fillId="0" borderId="0" xfId="0" applyFont="1" applyAlignment="1">
      <alignment horizontal="right"/>
    </xf>
    <xf numFmtId="0" fontId="14" fillId="0" borderId="1" xfId="0" applyFont="1" applyBorder="1" applyAlignment="1">
      <alignment horizontal="center" vertical="center" wrapText="1"/>
    </xf>
    <xf numFmtId="0" fontId="14" fillId="0" borderId="0" xfId="0" applyFont="1" applyAlignment="1">
      <alignment horizontal="center"/>
    </xf>
    <xf numFmtId="0" fontId="21" fillId="0" borderId="0" xfId="0" applyFont="1" applyAlignment="1">
      <alignment horizontal="center" wrapText="1"/>
    </xf>
    <xf numFmtId="0" fontId="13" fillId="0" borderId="0" xfId="0" applyFont="1" applyAlignment="1">
      <alignment horizontal="center" wrapText="1"/>
    </xf>
    <xf numFmtId="0" fontId="20" fillId="0" borderId="0" xfId="0" applyFont="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1" xfId="0" applyFont="1" applyBorder="1"/>
    <xf numFmtId="14" fontId="14" fillId="0" borderId="1" xfId="0" applyNumberFormat="1" applyFont="1" applyBorder="1"/>
    <xf numFmtId="43" fontId="14" fillId="0" borderId="1" xfId="1" applyFont="1" applyBorder="1"/>
    <xf numFmtId="0" fontId="4" fillId="4" borderId="1" xfId="0" applyFont="1" applyFill="1" applyBorder="1" applyAlignment="1">
      <alignment vertical="center" wrapText="1"/>
    </xf>
    <xf numFmtId="16" fontId="4" fillId="0" borderId="0" xfId="0" applyNumberFormat="1" applyFont="1"/>
    <xf numFmtId="0" fontId="4" fillId="0" borderId="1" xfId="0" applyFont="1" applyBorder="1"/>
    <xf numFmtId="0" fontId="4" fillId="0" borderId="1" xfId="0" applyFont="1" applyBorder="1" applyAlignment="1">
      <alignment horizontal="left" vertical="center"/>
    </xf>
    <xf numFmtId="0" fontId="13" fillId="0" borderId="1" xfId="0" applyFont="1" applyBorder="1" applyAlignment="1">
      <alignment horizontal="justify" vertical="top" wrapText="1"/>
    </xf>
    <xf numFmtId="0" fontId="14" fillId="0" borderId="1" xfId="0" applyFont="1" applyBorder="1" applyAlignment="1">
      <alignment horizontal="justify" vertical="top" wrapText="1"/>
    </xf>
    <xf numFmtId="0" fontId="5" fillId="0" borderId="0" xfId="0" applyFont="1" applyAlignment="1">
      <alignment vertical="center"/>
    </xf>
    <xf numFmtId="0" fontId="14" fillId="0" borderId="0" xfId="0" applyFont="1" applyAlignment="1">
      <alignment horizontal="center" vertical="center" wrapText="1"/>
    </xf>
    <xf numFmtId="43" fontId="13" fillId="0" borderId="1" xfId="1" applyFont="1" applyBorder="1" applyAlignment="1">
      <alignment horizontal="justify" vertical="top" wrapText="1"/>
    </xf>
    <xf numFmtId="43" fontId="14" fillId="0" borderId="1" xfId="1" applyFont="1" applyBorder="1" applyAlignment="1">
      <alignment horizontal="justify" vertical="top" wrapText="1"/>
    </xf>
    <xf numFmtId="43" fontId="14" fillId="0" borderId="1" xfId="1" applyFont="1" applyBorder="1" applyAlignment="1">
      <alignment horizontal="center" vertical="top" wrapText="1"/>
    </xf>
    <xf numFmtId="43" fontId="26" fillId="0" borderId="1" xfId="1" applyFont="1" applyBorder="1"/>
    <xf numFmtId="43" fontId="4" fillId="4" borderId="1" xfId="1" applyFont="1" applyFill="1" applyBorder="1" applyAlignment="1">
      <alignment vertical="center" wrapText="1"/>
    </xf>
    <xf numFmtId="0" fontId="13" fillId="0" borderId="0" xfId="0" applyFont="1" applyAlignment="1">
      <alignment horizontal="left" vertical="top" wrapText="1"/>
    </xf>
    <xf numFmtId="0" fontId="13" fillId="0" borderId="8" xfId="0" applyFont="1" applyBorder="1" applyAlignment="1">
      <alignment wrapText="1"/>
    </xf>
    <xf numFmtId="0" fontId="13" fillId="0" borderId="9" xfId="0" applyFont="1" applyBorder="1" applyAlignment="1">
      <alignment wrapText="1"/>
    </xf>
    <xf numFmtId="49" fontId="7" fillId="0" borderId="0" xfId="0" applyNumberFormat="1" applyFont="1" applyAlignment="1">
      <alignment horizontal="right"/>
    </xf>
    <xf numFmtId="49" fontId="4" fillId="4" borderId="1" xfId="0" applyNumberFormat="1" applyFont="1" applyFill="1" applyBorder="1" applyAlignment="1">
      <alignment vertical="center" wrapText="1"/>
    </xf>
    <xf numFmtId="165" fontId="25" fillId="2" borderId="1" xfId="0" applyNumberFormat="1" applyFont="1" applyFill="1" applyBorder="1" applyAlignment="1">
      <alignment vertical="center" wrapText="1"/>
    </xf>
    <xf numFmtId="0" fontId="6" fillId="5" borderId="0" xfId="0" applyFont="1" applyFill="1"/>
    <xf numFmtId="0" fontId="28" fillId="0" borderId="0" xfId="0" applyFont="1"/>
    <xf numFmtId="165" fontId="4" fillId="2" borderId="1" xfId="0" applyNumberFormat="1" applyFont="1" applyFill="1" applyBorder="1" applyAlignment="1">
      <alignment vertical="center" wrapText="1"/>
    </xf>
    <xf numFmtId="0" fontId="4" fillId="2" borderId="1" xfId="0" applyFont="1" applyFill="1" applyBorder="1" applyAlignment="1">
      <alignment vertical="center" wrapText="1"/>
    </xf>
    <xf numFmtId="0" fontId="0" fillId="0" borderId="0" xfId="0" applyAlignment="1">
      <alignment wrapText="1"/>
    </xf>
    <xf numFmtId="0" fontId="0" fillId="6" borderId="1" xfId="0" applyFill="1" applyBorder="1"/>
    <xf numFmtId="0" fontId="30" fillId="4" borderId="1" xfId="0" applyFont="1" applyFill="1" applyBorder="1"/>
    <xf numFmtId="0" fontId="31" fillId="0" borderId="0" xfId="0" applyFont="1"/>
    <xf numFmtId="0" fontId="8" fillId="0" borderId="0" xfId="0" applyFont="1" applyAlignment="1">
      <alignment horizontal="center" vertical="center" wrapText="1"/>
    </xf>
    <xf numFmtId="0" fontId="8" fillId="0" borderId="0" xfId="0" applyFont="1" applyAlignment="1">
      <alignment horizontal="center"/>
    </xf>
    <xf numFmtId="0" fontId="7" fillId="0" borderId="0" xfId="0" applyFont="1" applyAlignment="1">
      <alignment horizontal="center" vertical="center"/>
    </xf>
    <xf numFmtId="0" fontId="8" fillId="0" borderId="0" xfId="0" applyFont="1" applyAlignment="1">
      <alignment horizontal="center" vertical="center"/>
    </xf>
    <xf numFmtId="43" fontId="4" fillId="4" borderId="3" xfId="1" applyFont="1" applyFill="1" applyBorder="1" applyAlignment="1">
      <alignment vertical="center" wrapText="1"/>
    </xf>
    <xf numFmtId="0" fontId="34" fillId="5" borderId="16" xfId="0" applyFont="1" applyFill="1" applyBorder="1"/>
    <xf numFmtId="0" fontId="5" fillId="2" borderId="1" xfId="0" applyFont="1" applyFill="1" applyBorder="1" applyAlignment="1">
      <alignment horizontal="right" vertical="center" wrapText="1"/>
    </xf>
    <xf numFmtId="164" fontId="4" fillId="0" borderId="0" xfId="0" applyNumberFormat="1" applyFont="1" applyAlignment="1">
      <alignment vertical="center" wrapText="1"/>
    </xf>
    <xf numFmtId="0" fontId="7" fillId="0" borderId="0" xfId="0" applyFont="1" applyAlignment="1">
      <alignment horizontal="center" vertical="center" wrapText="1"/>
    </xf>
    <xf numFmtId="0" fontId="7" fillId="0" borderId="0" xfId="0" applyFont="1" applyAlignment="1">
      <alignment vertical="top" wrapText="1"/>
    </xf>
    <xf numFmtId="0" fontId="7" fillId="0" borderId="0" xfId="0" applyFont="1" applyAlignment="1">
      <alignment horizontal="center" wrapText="1"/>
    </xf>
    <xf numFmtId="0" fontId="8" fillId="0" borderId="0" xfId="0" applyFont="1" applyAlignment="1">
      <alignment horizontal="center" wrapText="1"/>
    </xf>
    <xf numFmtId="0" fontId="17" fillId="0" borderId="0" xfId="0" applyFont="1" applyAlignment="1">
      <alignment horizontal="center"/>
    </xf>
    <xf numFmtId="0" fontId="7" fillId="0" borderId="0" xfId="0" applyFont="1" applyAlignment="1">
      <alignment vertical="top"/>
    </xf>
    <xf numFmtId="0" fontId="4" fillId="6" borderId="1" xfId="0" applyFont="1" applyFill="1" applyBorder="1" applyAlignment="1">
      <alignment vertical="center" wrapText="1"/>
    </xf>
    <xf numFmtId="14" fontId="4" fillId="4" borderId="0" xfId="0" applyNumberFormat="1" applyFont="1" applyFill="1"/>
    <xf numFmtId="0" fontId="4" fillId="6" borderId="0" xfId="0" applyFont="1" applyFill="1"/>
    <xf numFmtId="0" fontId="4" fillId="2" borderId="1" xfId="0" applyFont="1" applyFill="1" applyBorder="1"/>
    <xf numFmtId="0" fontId="4" fillId="2" borderId="1" xfId="0" applyFont="1" applyFill="1" applyBorder="1" applyAlignment="1">
      <alignment wrapText="1"/>
    </xf>
    <xf numFmtId="165" fontId="4" fillId="2" borderId="1" xfId="0" applyNumberFormat="1" applyFont="1" applyFill="1" applyBorder="1" applyAlignment="1">
      <alignment horizontal="left" vertical="center" wrapText="1"/>
    </xf>
    <xf numFmtId="14" fontId="4" fillId="6" borderId="1" xfId="0" applyNumberFormat="1" applyFont="1" applyFill="1" applyBorder="1" applyAlignment="1">
      <alignment vertical="center" wrapText="1"/>
    </xf>
    <xf numFmtId="165" fontId="4" fillId="6" borderId="1" xfId="0" applyNumberFormat="1" applyFont="1" applyFill="1" applyBorder="1" applyAlignment="1">
      <alignment vertical="center" wrapText="1"/>
    </xf>
    <xf numFmtId="0" fontId="4" fillId="7" borderId="1" xfId="0" applyFont="1" applyFill="1" applyBorder="1" applyAlignment="1">
      <alignment vertical="center" wrapText="1"/>
    </xf>
    <xf numFmtId="9" fontId="4" fillId="7" borderId="1" xfId="0" applyNumberFormat="1" applyFont="1" applyFill="1" applyBorder="1" applyAlignment="1">
      <alignment vertical="center" wrapText="1"/>
    </xf>
    <xf numFmtId="49" fontId="4" fillId="7" borderId="1" xfId="1" applyNumberFormat="1" applyFont="1" applyFill="1" applyBorder="1" applyAlignment="1">
      <alignment vertical="center" wrapText="1"/>
    </xf>
    <xf numFmtId="40" fontId="4" fillId="7" borderId="1" xfId="1" applyNumberFormat="1" applyFont="1" applyFill="1" applyBorder="1" applyAlignment="1">
      <alignment vertical="center" wrapText="1"/>
    </xf>
    <xf numFmtId="0" fontId="4" fillId="6" borderId="1" xfId="0" applyFont="1" applyFill="1" applyBorder="1" applyAlignment="1">
      <alignment horizontal="left" vertical="center" wrapText="1"/>
    </xf>
    <xf numFmtId="0" fontId="5" fillId="2" borderId="1" xfId="0" applyFont="1" applyFill="1" applyBorder="1" applyAlignment="1">
      <alignment horizontal="center" vertical="center" wrapText="1"/>
    </xf>
    <xf numFmtId="49" fontId="4" fillId="4" borderId="1" xfId="0" applyNumberFormat="1" applyFont="1" applyFill="1" applyBorder="1" applyAlignment="1">
      <alignment horizontal="left" vertical="center" wrapText="1"/>
    </xf>
    <xf numFmtId="0" fontId="35" fillId="0" borderId="0" xfId="0" applyFont="1"/>
    <xf numFmtId="0" fontId="26" fillId="0" borderId="0" xfId="0" applyFont="1"/>
    <xf numFmtId="0" fontId="35" fillId="0" borderId="0" xfId="0" applyFont="1" applyAlignment="1">
      <alignment horizontal="right"/>
    </xf>
    <xf numFmtId="164" fontId="26" fillId="0" borderId="0" xfId="0" applyNumberFormat="1" applyFont="1"/>
    <xf numFmtId="166" fontId="26" fillId="0" borderId="0" xfId="0" applyNumberFormat="1" applyFont="1"/>
    <xf numFmtId="0" fontId="26" fillId="0" borderId="1" xfId="0" applyFont="1" applyBorder="1" applyAlignment="1">
      <alignment horizontal="center" vertical="center" wrapText="1"/>
    </xf>
    <xf numFmtId="0" fontId="26" fillId="0" borderId="0" xfId="0" applyFont="1" applyAlignment="1">
      <alignment horizontal="center" vertical="center" wrapText="1"/>
    </xf>
    <xf numFmtId="0" fontId="26" fillId="0" borderId="1" xfId="0" applyFont="1" applyBorder="1"/>
    <xf numFmtId="14" fontId="26" fillId="0" borderId="1" xfId="0" applyNumberFormat="1" applyFont="1" applyBorder="1"/>
    <xf numFmtId="167" fontId="26" fillId="0" borderId="0" xfId="0" applyNumberFormat="1" applyFont="1"/>
    <xf numFmtId="14" fontId="26" fillId="0" borderId="0" xfId="0" applyNumberFormat="1" applyFont="1"/>
    <xf numFmtId="43" fontId="26" fillId="0" borderId="0" xfId="1" applyFont="1" applyBorder="1"/>
    <xf numFmtId="14" fontId="25" fillId="5" borderId="0" xfId="0" applyNumberFormat="1" applyFont="1" applyFill="1"/>
    <xf numFmtId="0" fontId="25" fillId="5" borderId="0" xfId="0" applyFont="1" applyFill="1"/>
    <xf numFmtId="0" fontId="25" fillId="0" borderId="0" xfId="0" applyFont="1"/>
    <xf numFmtId="168" fontId="38" fillId="5" borderId="0" xfId="0" applyNumberFormat="1" applyFont="1" applyFill="1"/>
    <xf numFmtId="0" fontId="25" fillId="4" borderId="0" xfId="0" applyFont="1" applyFill="1"/>
    <xf numFmtId="1" fontId="25" fillId="5" borderId="0" xfId="0" applyNumberFormat="1" applyFont="1" applyFill="1"/>
    <xf numFmtId="49" fontId="26" fillId="0" borderId="0" xfId="0" applyNumberFormat="1" applyFont="1" applyAlignment="1">
      <alignment horizontal="right"/>
    </xf>
    <xf numFmtId="0" fontId="39" fillId="0" borderId="0" xfId="0" applyFont="1" applyAlignment="1">
      <alignment vertical="center"/>
    </xf>
    <xf numFmtId="0" fontId="40" fillId="0" borderId="0" xfId="0" applyFont="1" applyAlignment="1">
      <alignment horizontal="right" vertical="center"/>
    </xf>
    <xf numFmtId="0" fontId="40" fillId="0" borderId="0" xfId="0" applyFont="1" applyAlignment="1">
      <alignment horizontal="right" vertical="center" wrapText="1"/>
    </xf>
    <xf numFmtId="2" fontId="14" fillId="0" borderId="1" xfId="0" applyNumberFormat="1" applyFont="1" applyBorder="1" applyAlignment="1">
      <alignment horizontal="justify" vertical="top" wrapText="1"/>
    </xf>
    <xf numFmtId="43" fontId="13" fillId="0" borderId="1" xfId="1" applyFont="1" applyBorder="1" applyAlignment="1">
      <alignment horizontal="center" vertical="top" wrapText="1"/>
    </xf>
    <xf numFmtId="43" fontId="13" fillId="0" borderId="1" xfId="1" applyFont="1" applyBorder="1" applyAlignment="1">
      <alignment vertical="top" wrapText="1"/>
    </xf>
    <xf numFmtId="0" fontId="41" fillId="7" borderId="1" xfId="0" applyFont="1" applyFill="1" applyBorder="1"/>
    <xf numFmtId="0" fontId="41" fillId="0" borderId="0" xfId="0" applyFont="1"/>
    <xf numFmtId="0" fontId="0" fillId="4" borderId="1" xfId="0" applyFill="1" applyBorder="1"/>
    <xf numFmtId="14" fontId="0" fillId="4" borderId="1" xfId="0" applyNumberFormat="1" applyFill="1" applyBorder="1"/>
    <xf numFmtId="43" fontId="0" fillId="4" borderId="1" xfId="1" applyFont="1" applyFill="1" applyBorder="1"/>
    <xf numFmtId="0" fontId="25" fillId="4" borderId="1" xfId="0" applyFont="1" applyFill="1" applyBorder="1"/>
    <xf numFmtId="0" fontId="41" fillId="7" borderId="1" xfId="0" applyFont="1" applyFill="1" applyBorder="1" applyAlignment="1">
      <alignment horizontal="center" vertical="center" wrapText="1"/>
    </xf>
    <xf numFmtId="0" fontId="0" fillId="0" borderId="0" xfId="0" applyAlignment="1">
      <alignment horizontal="center" vertical="center" wrapText="1"/>
    </xf>
    <xf numFmtId="164" fontId="0" fillId="0" borderId="0" xfId="0" applyNumberFormat="1"/>
    <xf numFmtId="0" fontId="27" fillId="0" borderId="0" xfId="0" applyFont="1" applyAlignment="1">
      <alignment horizontal="right"/>
    </xf>
    <xf numFmtId="0" fontId="27" fillId="0" borderId="0" xfId="0" applyFont="1" applyAlignment="1">
      <alignment horizontal="justify"/>
    </xf>
    <xf numFmtId="0" fontId="27" fillId="0" borderId="0" xfId="0" applyFont="1" applyAlignment="1">
      <alignment horizontal="justify" vertical="center"/>
    </xf>
    <xf numFmtId="0" fontId="27" fillId="0" borderId="1" xfId="0" applyFont="1" applyBorder="1" applyAlignment="1">
      <alignment horizontal="justify"/>
    </xf>
    <xf numFmtId="0" fontId="27" fillId="0" borderId="0" xfId="0" applyFont="1" applyAlignment="1">
      <alignment horizontal="justify" vertical="center" wrapText="1"/>
    </xf>
    <xf numFmtId="0" fontId="27" fillId="0" borderId="0" xfId="0" applyFont="1" applyAlignment="1">
      <alignment horizontal="left"/>
    </xf>
    <xf numFmtId="0" fontId="27" fillId="0" borderId="11" xfId="0" applyFont="1" applyBorder="1" applyAlignment="1">
      <alignment horizontal="center"/>
    </xf>
    <xf numFmtId="0" fontId="27" fillId="0" borderId="0" xfId="0" applyFont="1" applyAlignment="1">
      <alignment horizontal="center"/>
    </xf>
    <xf numFmtId="0" fontId="4" fillId="3" borderId="1" xfId="0" applyFont="1" applyFill="1" applyBorder="1" applyAlignment="1">
      <alignment horizontal="center" vertical="center" wrapText="1"/>
    </xf>
    <xf numFmtId="0" fontId="13" fillId="0" borderId="0" xfId="0" applyFont="1" applyAlignment="1">
      <alignment vertical="top"/>
    </xf>
    <xf numFmtId="14" fontId="4" fillId="0" borderId="1" xfId="0" applyNumberFormat="1" applyFont="1" applyBorder="1"/>
    <xf numFmtId="0" fontId="29" fillId="0" borderId="0" xfId="0" applyFont="1" applyAlignment="1">
      <alignment horizontal="justify" vertical="top" wrapText="1"/>
    </xf>
    <xf numFmtId="0" fontId="14" fillId="0" borderId="0" xfId="0" applyFont="1" applyAlignment="1">
      <alignment horizontal="left" vertical="center" wrapText="1"/>
    </xf>
    <xf numFmtId="0" fontId="14" fillId="0" borderId="0" xfId="0" applyFont="1" applyAlignment="1">
      <alignment horizontal="right" vertical="center" wrapText="1"/>
    </xf>
    <xf numFmtId="0" fontId="0" fillId="0" borderId="0" xfId="0" applyAlignment="1">
      <alignment horizontal="left" vertical="center"/>
    </xf>
    <xf numFmtId="0" fontId="13" fillId="0" borderId="0" xfId="0" applyFont="1" applyAlignment="1">
      <alignment horizontal="left" vertical="center" wrapText="1"/>
    </xf>
    <xf numFmtId="14" fontId="4" fillId="4" borderId="1" xfId="0" applyNumberFormat="1" applyFont="1" applyFill="1" applyBorder="1" applyAlignment="1">
      <alignment vertical="center" wrapText="1"/>
    </xf>
    <xf numFmtId="0" fontId="13" fillId="0" borderId="0" xfId="0" applyFont="1" applyAlignment="1">
      <alignment horizontal="right"/>
    </xf>
    <xf numFmtId="0" fontId="5" fillId="6" borderId="1" xfId="0" applyFont="1" applyFill="1" applyBorder="1" applyAlignment="1">
      <alignment horizontal="left" vertical="center" wrapText="1"/>
    </xf>
    <xf numFmtId="0" fontId="5" fillId="6" borderId="1" xfId="0" applyFont="1" applyFill="1" applyBorder="1" applyAlignment="1">
      <alignment vertical="center" wrapText="1"/>
    </xf>
    <xf numFmtId="11" fontId="4" fillId="4" borderId="1" xfId="0" applyNumberFormat="1" applyFont="1" applyFill="1" applyBorder="1" applyAlignment="1">
      <alignment vertical="center" wrapText="1"/>
    </xf>
    <xf numFmtId="0" fontId="9" fillId="4" borderId="1" xfId="0" applyFont="1" applyFill="1" applyBorder="1" applyAlignment="1">
      <alignment horizontal="center" vertical="center" wrapText="1"/>
    </xf>
    <xf numFmtId="0" fontId="16" fillId="0" borderId="0" xfId="0" applyFont="1" applyAlignment="1">
      <alignment wrapText="1"/>
    </xf>
    <xf numFmtId="165" fontId="16" fillId="0" borderId="0" xfId="0" applyNumberFormat="1" applyFont="1"/>
    <xf numFmtId="0" fontId="15" fillId="0" borderId="0" xfId="0" applyFont="1" applyAlignment="1">
      <alignment vertical="center" wrapText="1"/>
    </xf>
    <xf numFmtId="0" fontId="15" fillId="0" borderId="0" xfId="0" applyFont="1" applyAlignment="1">
      <alignment horizontal="left"/>
    </xf>
    <xf numFmtId="0" fontId="8" fillId="0" borderId="0" xfId="0" applyFont="1" applyAlignment="1">
      <alignment horizontal="left"/>
    </xf>
    <xf numFmtId="14" fontId="9" fillId="4" borderId="1" xfId="0" applyNumberFormat="1" applyFont="1" applyFill="1" applyBorder="1" applyAlignment="1">
      <alignment horizontal="center" vertical="center" wrapText="1"/>
    </xf>
    <xf numFmtId="164" fontId="4" fillId="4" borderId="3" xfId="0" applyNumberFormat="1" applyFont="1" applyFill="1" applyBorder="1" applyAlignment="1">
      <alignment horizontal="left" vertical="top" wrapText="1"/>
    </xf>
    <xf numFmtId="0" fontId="4" fillId="4" borderId="3" xfId="0" applyFont="1" applyFill="1" applyBorder="1" applyAlignment="1">
      <alignment vertical="center" wrapText="1"/>
    </xf>
    <xf numFmtId="49" fontId="9" fillId="4" borderId="1" xfId="0" applyNumberFormat="1" applyFont="1" applyFill="1" applyBorder="1" applyAlignment="1">
      <alignment horizontal="center" vertical="center" wrapText="1"/>
    </xf>
    <xf numFmtId="164" fontId="4" fillId="4" borderId="1" xfId="0" applyNumberFormat="1" applyFont="1" applyFill="1" applyBorder="1" applyAlignment="1">
      <alignment vertical="center" wrapText="1"/>
    </xf>
    <xf numFmtId="0" fontId="16" fillId="0" borderId="0" xfId="0" applyFont="1" applyAlignment="1">
      <alignment horizontal="center" vertical="top" wrapText="1"/>
    </xf>
    <xf numFmtId="0" fontId="4" fillId="5" borderId="0" xfId="0" applyFont="1" applyFill="1"/>
    <xf numFmtId="0" fontId="44" fillId="2" borderId="1" xfId="0" applyFont="1" applyFill="1" applyBorder="1" applyAlignment="1">
      <alignment vertical="center" wrapText="1"/>
    </xf>
    <xf numFmtId="0" fontId="4" fillId="9" borderId="1" xfId="0" applyFont="1" applyFill="1" applyBorder="1" applyAlignment="1">
      <alignment vertical="center" wrapText="1"/>
    </xf>
    <xf numFmtId="0" fontId="4" fillId="3" borderId="1" xfId="0" applyFont="1" applyFill="1" applyBorder="1" applyAlignment="1">
      <alignment horizontal="center" vertical="center"/>
    </xf>
    <xf numFmtId="0" fontId="4" fillId="10" borderId="0" xfId="0" applyFont="1" applyFill="1"/>
    <xf numFmtId="0" fontId="42" fillId="0" borderId="0" xfId="0" applyFont="1" applyAlignment="1">
      <alignment vertical="center"/>
    </xf>
    <xf numFmtId="0" fontId="2" fillId="0" borderId="0" xfId="0" applyFont="1"/>
    <xf numFmtId="0" fontId="45" fillId="0" borderId="0" xfId="0" applyFont="1" applyAlignment="1">
      <alignment vertical="center"/>
    </xf>
    <xf numFmtId="0" fontId="46" fillId="0" borderId="0" xfId="0" applyFont="1" applyAlignment="1">
      <alignment wrapText="1"/>
    </xf>
    <xf numFmtId="0" fontId="7" fillId="0" borderId="0" xfId="0" applyFont="1" applyAlignment="1">
      <alignment wrapText="1"/>
    </xf>
    <xf numFmtId="0" fontId="14" fillId="0" borderId="0" xfId="0" applyFont="1" applyAlignment="1">
      <alignment horizontal="right" wrapText="1"/>
    </xf>
    <xf numFmtId="0" fontId="48" fillId="0" borderId="0" xfId="0" applyFont="1"/>
    <xf numFmtId="49" fontId="4" fillId="0" borderId="0" xfId="0" applyNumberFormat="1" applyFont="1"/>
    <xf numFmtId="0" fontId="49" fillId="0" borderId="0" xfId="0" applyFont="1"/>
    <xf numFmtId="0" fontId="8" fillId="0" borderId="0" xfId="0" applyFont="1" applyAlignment="1">
      <alignment horizontal="left" wrapText="1"/>
    </xf>
    <xf numFmtId="0" fontId="8" fillId="0" borderId="0" xfId="0" applyFont="1" applyAlignment="1">
      <alignment horizontal="left" vertical="center" wrapText="1"/>
    </xf>
    <xf numFmtId="0" fontId="7" fillId="0" borderId="0" xfId="0" applyFont="1" applyAlignment="1">
      <alignment horizontal="left" vertical="top" wrapText="1"/>
    </xf>
    <xf numFmtId="0" fontId="32" fillId="0" borderId="0" xfId="0" applyFont="1" applyAlignment="1">
      <alignment horizontal="left"/>
    </xf>
    <xf numFmtId="0" fontId="8" fillId="0" borderId="0" xfId="0" applyFont="1" applyAlignment="1">
      <alignment horizontal="left" vertical="top" wrapText="1"/>
    </xf>
    <xf numFmtId="49" fontId="7" fillId="0" borderId="0" xfId="0" applyNumberFormat="1" applyFont="1" applyAlignment="1">
      <alignment horizontal="left" vertical="top" wrapText="1"/>
    </xf>
    <xf numFmtId="0" fontId="25" fillId="0" borderId="19" xfId="0" applyFont="1" applyBorder="1"/>
    <xf numFmtId="0" fontId="25" fillId="0" borderId="20" xfId="0" applyFont="1" applyBorder="1"/>
    <xf numFmtId="0" fontId="25" fillId="0" borderId="4" xfId="0" applyFont="1" applyBorder="1"/>
    <xf numFmtId="0" fontId="47" fillId="0" borderId="0" xfId="0" applyFont="1" applyAlignment="1">
      <alignment vertical="top" wrapText="1"/>
    </xf>
    <xf numFmtId="0" fontId="47" fillId="0" borderId="4" xfId="0" applyFont="1" applyBorder="1" applyAlignment="1">
      <alignment vertical="top" wrapText="1"/>
    </xf>
    <xf numFmtId="0" fontId="47" fillId="0" borderId="18" xfId="0" applyFont="1" applyBorder="1" applyAlignment="1">
      <alignment vertical="top" wrapText="1"/>
    </xf>
    <xf numFmtId="0" fontId="29" fillId="0" borderId="18" xfId="0" applyFont="1" applyBorder="1" applyAlignment="1">
      <alignment horizontal="justify" vertical="top" wrapText="1"/>
    </xf>
    <xf numFmtId="0" fontId="13" fillId="0" borderId="0" xfId="0" applyFont="1" applyAlignment="1">
      <alignment horizontal="left"/>
    </xf>
    <xf numFmtId="0" fontId="8" fillId="0" borderId="0" xfId="0" applyFont="1" applyAlignment="1">
      <alignment horizontal="right" wrapText="1"/>
    </xf>
    <xf numFmtId="14" fontId="4" fillId="3" borderId="1" xfId="0" applyNumberFormat="1" applyFont="1" applyFill="1" applyBorder="1" applyAlignment="1">
      <alignment horizontal="center" vertical="center" wrapText="1"/>
    </xf>
    <xf numFmtId="0" fontId="51" fillId="2" borderId="1" xfId="0" applyFont="1" applyFill="1" applyBorder="1" applyAlignment="1">
      <alignment horizontal="left" vertical="center" wrapText="1"/>
    </xf>
    <xf numFmtId="0" fontId="51" fillId="2" borderId="1" xfId="0" applyFont="1" applyFill="1" applyBorder="1" applyAlignment="1">
      <alignment vertical="center" wrapText="1"/>
    </xf>
    <xf numFmtId="0" fontId="7" fillId="0" borderId="0" xfId="0" applyFont="1" applyAlignment="1">
      <alignment horizontal="center"/>
    </xf>
    <xf numFmtId="0" fontId="28" fillId="4" borderId="1" xfId="0" applyFont="1" applyFill="1" applyBorder="1" applyAlignment="1">
      <alignment vertical="center" wrapText="1"/>
    </xf>
    <xf numFmtId="0" fontId="52" fillId="4" borderId="1" xfId="0" applyFont="1" applyFill="1" applyBorder="1" applyAlignment="1">
      <alignment vertical="center" wrapText="1"/>
    </xf>
    <xf numFmtId="0" fontId="54" fillId="4" borderId="1" xfId="0" applyFont="1" applyFill="1" applyBorder="1" applyAlignment="1">
      <alignment vertical="center" wrapText="1"/>
    </xf>
    <xf numFmtId="0" fontId="53" fillId="2" borderId="1" xfId="0" applyFont="1" applyFill="1" applyBorder="1" applyAlignment="1">
      <alignment vertical="center" wrapText="1"/>
    </xf>
    <xf numFmtId="0" fontId="8" fillId="0" borderId="0" xfId="0" applyFont="1" applyAlignment="1">
      <alignment wrapText="1"/>
    </xf>
    <xf numFmtId="0" fontId="51" fillId="11" borderId="2" xfId="0" applyFont="1" applyFill="1" applyBorder="1" applyAlignment="1">
      <alignment horizontal="left" vertical="center" wrapText="1"/>
    </xf>
    <xf numFmtId="0" fontId="51" fillId="11" borderId="24" xfId="0" applyFont="1" applyFill="1" applyBorder="1" applyAlignment="1">
      <alignment horizontal="left" vertical="center" wrapText="1"/>
    </xf>
    <xf numFmtId="43" fontId="54" fillId="4" borderId="1" xfId="1" applyFont="1" applyFill="1" applyBorder="1" applyAlignment="1">
      <alignment vertical="center" wrapText="1"/>
    </xf>
    <xf numFmtId="0" fontId="7" fillId="5" borderId="0" xfId="0" applyFont="1" applyFill="1" applyAlignment="1">
      <alignment horizontal="center" wrapText="1"/>
    </xf>
    <xf numFmtId="49" fontId="28" fillId="4" borderId="1" xfId="0" applyNumberFormat="1" applyFont="1" applyFill="1" applyBorder="1" applyAlignment="1">
      <alignment vertical="center" wrapText="1"/>
    </xf>
    <xf numFmtId="43" fontId="14" fillId="0" borderId="1" xfId="0" applyNumberFormat="1" applyFont="1" applyBorder="1" applyAlignment="1">
      <alignment horizontal="justify" vertical="top" wrapText="1"/>
    </xf>
    <xf numFmtId="49" fontId="13" fillId="0" borderId="1" xfId="1" applyNumberFormat="1" applyFont="1" applyBorder="1" applyAlignment="1">
      <alignment horizontal="center" vertical="top" wrapText="1"/>
    </xf>
    <xf numFmtId="49" fontId="13" fillId="0" borderId="1" xfId="1" applyNumberFormat="1" applyFont="1" applyBorder="1" applyAlignment="1">
      <alignment horizontal="justify" vertical="top" wrapText="1"/>
    </xf>
    <xf numFmtId="0" fontId="4" fillId="0" borderId="1" xfId="0" applyFont="1" applyBorder="1" applyAlignment="1">
      <alignment horizontal="center" vertical="center" wrapText="1"/>
    </xf>
    <xf numFmtId="0" fontId="4" fillId="5" borderId="1" xfId="0" applyFont="1" applyFill="1" applyBorder="1" applyAlignment="1">
      <alignment horizontal="center" vertical="center" wrapText="1"/>
    </xf>
    <xf numFmtId="0" fontId="4" fillId="6" borderId="1" xfId="0" applyFont="1" applyFill="1" applyBorder="1" applyAlignment="1">
      <alignment horizontal="center" vertical="center"/>
    </xf>
    <xf numFmtId="0" fontId="4" fillId="6" borderId="1" xfId="0" applyFont="1" applyFill="1" applyBorder="1" applyAlignment="1">
      <alignment horizontal="center" vertical="center" wrapText="1"/>
    </xf>
    <xf numFmtId="0" fontId="4" fillId="0" borderId="1" xfId="0" applyFont="1" applyBorder="1" applyAlignment="1">
      <alignment horizontal="left"/>
    </xf>
    <xf numFmtId="0" fontId="35" fillId="4" borderId="1" xfId="0" applyFont="1" applyFill="1" applyBorder="1"/>
    <xf numFmtId="14" fontId="35" fillId="4" borderId="1" xfId="0" applyNumberFormat="1" applyFont="1" applyFill="1" applyBorder="1"/>
    <xf numFmtId="43" fontId="35" fillId="4" borderId="1" xfId="1" applyFont="1" applyFill="1" applyBorder="1"/>
    <xf numFmtId="0" fontId="26" fillId="4" borderId="0" xfId="0" applyFont="1" applyFill="1"/>
    <xf numFmtId="0" fontId="13" fillId="4" borderId="0" xfId="0" applyFont="1" applyFill="1"/>
    <xf numFmtId="14" fontId="14" fillId="0" borderId="0" xfId="0" applyNumberFormat="1" applyFont="1"/>
    <xf numFmtId="43" fontId="14" fillId="0" borderId="0" xfId="1" applyFont="1" applyBorder="1"/>
    <xf numFmtId="0" fontId="25" fillId="9" borderId="0" xfId="0" applyFont="1" applyFill="1"/>
    <xf numFmtId="0" fontId="4" fillId="9" borderId="3" xfId="0" applyFont="1" applyFill="1" applyBorder="1" applyAlignment="1">
      <alignment vertical="center" wrapText="1"/>
    </xf>
    <xf numFmtId="0" fontId="5" fillId="9" borderId="1" xfId="0" applyFont="1" applyFill="1" applyBorder="1" applyAlignment="1">
      <alignment vertical="center" wrapText="1"/>
    </xf>
    <xf numFmtId="0" fontId="4" fillId="9" borderId="0" xfId="0" applyFont="1" applyFill="1"/>
    <xf numFmtId="0" fontId="4" fillId="4" borderId="1" xfId="0" applyFont="1" applyFill="1" applyBorder="1" applyAlignment="1">
      <alignment horizontal="left" vertical="center" wrapText="1"/>
    </xf>
    <xf numFmtId="0" fontId="4" fillId="4" borderId="13" xfId="0" applyFont="1" applyFill="1" applyBorder="1" applyAlignment="1">
      <alignment vertical="center"/>
    </xf>
    <xf numFmtId="0" fontId="13" fillId="0" borderId="0" xfId="0" applyFont="1" applyAlignment="1">
      <alignment horizontal="justify" vertical="top" wrapText="1"/>
    </xf>
    <xf numFmtId="0" fontId="47" fillId="0" borderId="0" xfId="0" applyFont="1" applyAlignment="1">
      <alignment horizontal="justify" vertical="top" wrapText="1"/>
    </xf>
    <xf numFmtId="0" fontId="14" fillId="0" borderId="0" xfId="0" applyFont="1" applyAlignment="1">
      <alignment horizontal="left"/>
    </xf>
    <xf numFmtId="0" fontId="14" fillId="0" borderId="0" xfId="0" applyFont="1" applyAlignment="1">
      <alignment horizontal="left" wrapText="1"/>
    </xf>
    <xf numFmtId="0" fontId="14" fillId="0" borderId="13" xfId="0" applyFont="1" applyBorder="1" applyAlignment="1">
      <alignment horizontal="center" vertical="center" wrapText="1"/>
    </xf>
    <xf numFmtId="0" fontId="14" fillId="0" borderId="14" xfId="0" applyFont="1" applyBorder="1" applyAlignment="1">
      <alignment horizontal="center" vertical="center" wrapText="1"/>
    </xf>
    <xf numFmtId="0" fontId="14" fillId="0" borderId="15" xfId="0" applyFont="1" applyBorder="1" applyAlignment="1">
      <alignment horizontal="center" vertical="center" wrapText="1"/>
    </xf>
    <xf numFmtId="0" fontId="13" fillId="0" borderId="17" xfId="0" applyFont="1" applyBorder="1" applyAlignment="1">
      <alignment horizontal="left" vertical="center" wrapText="1"/>
    </xf>
    <xf numFmtId="0" fontId="13" fillId="0" borderId="0" xfId="0" applyFont="1" applyAlignment="1">
      <alignment horizontal="left" vertical="center" wrapText="1"/>
    </xf>
    <xf numFmtId="0" fontId="14" fillId="0" borderId="0" xfId="0" applyFont="1" applyAlignment="1">
      <alignment horizontal="center" vertical="center" wrapText="1"/>
    </xf>
    <xf numFmtId="0" fontId="13" fillId="0" borderId="0" xfId="0" applyFont="1" applyAlignment="1">
      <alignment horizontal="left" vertical="top" wrapText="1"/>
    </xf>
    <xf numFmtId="0" fontId="35" fillId="0" borderId="0" xfId="0" applyFont="1" applyAlignment="1">
      <alignment horizontal="center" vertical="center" wrapText="1"/>
    </xf>
    <xf numFmtId="0" fontId="26" fillId="0" borderId="0" xfId="0" applyFont="1" applyAlignment="1">
      <alignment horizontal="center"/>
    </xf>
    <xf numFmtId="0" fontId="26" fillId="0" borderId="0" xfId="0" applyFont="1" applyAlignment="1">
      <alignment horizontal="center" vertical="top" wrapText="1"/>
    </xf>
    <xf numFmtId="0" fontId="26" fillId="0" borderId="0" xfId="0" applyFont="1" applyAlignment="1">
      <alignment horizontal="left" wrapText="1"/>
    </xf>
    <xf numFmtId="0" fontId="37" fillId="0" borderId="0" xfId="0" applyFont="1" applyAlignment="1">
      <alignment horizontal="center" vertical="top" wrapText="1"/>
    </xf>
    <xf numFmtId="0" fontId="26" fillId="0" borderId="0" xfId="0" applyFont="1" applyAlignment="1">
      <alignment horizontal="center" wrapText="1"/>
    </xf>
    <xf numFmtId="0" fontId="35" fillId="0" borderId="0" xfId="0" applyFont="1" applyAlignment="1">
      <alignment horizontal="center" vertical="top" wrapText="1"/>
    </xf>
    <xf numFmtId="0" fontId="26" fillId="0" borderId="0" xfId="0" applyFont="1" applyAlignment="1">
      <alignment horizontal="justify" vertical="top" wrapText="1"/>
    </xf>
    <xf numFmtId="0" fontId="36" fillId="0" borderId="0" xfId="0" applyFont="1" applyAlignment="1">
      <alignment horizontal="center" vertical="center" wrapText="1"/>
    </xf>
    <xf numFmtId="0" fontId="35" fillId="0" borderId="0" xfId="0" applyFont="1" applyAlignment="1">
      <alignment horizontal="center" wrapText="1"/>
    </xf>
    <xf numFmtId="0" fontId="35" fillId="0" borderId="0" xfId="0" applyFont="1" applyAlignment="1">
      <alignment horizontal="right"/>
    </xf>
    <xf numFmtId="0" fontId="35" fillId="0" borderId="0" xfId="0" applyFont="1" applyAlignment="1">
      <alignment horizontal="center"/>
    </xf>
    <xf numFmtId="0" fontId="26" fillId="0" borderId="1" xfId="0" applyFont="1" applyBorder="1" applyAlignment="1">
      <alignment horizontal="center" vertical="center"/>
    </xf>
    <xf numFmtId="0" fontId="26" fillId="0" borderId="1" xfId="0" applyFont="1" applyBorder="1" applyAlignment="1">
      <alignment horizontal="center" vertical="center" wrapText="1"/>
    </xf>
    <xf numFmtId="0" fontId="26" fillId="0" borderId="1" xfId="0" applyFont="1" applyBorder="1" applyAlignment="1">
      <alignment horizontal="center"/>
    </xf>
    <xf numFmtId="0" fontId="5" fillId="2" borderId="1" xfId="0" applyFont="1" applyFill="1" applyBorder="1" applyAlignment="1">
      <alignment horizontal="center" vertical="center" wrapText="1"/>
    </xf>
    <xf numFmtId="0" fontId="5" fillId="2" borderId="3"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13" fillId="0" borderId="0" xfId="0" applyFont="1" applyAlignment="1">
      <alignment horizontal="center"/>
    </xf>
    <xf numFmtId="0" fontId="13" fillId="0" borderId="0" xfId="0" applyFont="1" applyAlignment="1">
      <alignment horizontal="center" vertical="top" wrapText="1"/>
    </xf>
    <xf numFmtId="0" fontId="13" fillId="0" borderId="0" xfId="0" applyFont="1" applyAlignment="1">
      <alignment horizontal="left" wrapText="1"/>
    </xf>
    <xf numFmtId="0" fontId="18" fillId="0" borderId="0" xfId="0" applyFont="1" applyAlignment="1">
      <alignment horizontal="center" vertical="top" wrapText="1"/>
    </xf>
    <xf numFmtId="0" fontId="13" fillId="0" borderId="0" xfId="0" applyFont="1" applyAlignment="1">
      <alignment horizontal="center" wrapText="1"/>
    </xf>
    <xf numFmtId="0" fontId="14" fillId="0" borderId="0" xfId="0" applyFont="1" applyAlignment="1">
      <alignment horizontal="center" vertical="top" wrapText="1"/>
    </xf>
    <xf numFmtId="0" fontId="19" fillId="0" borderId="0" xfId="0" applyFont="1" applyAlignment="1">
      <alignment horizontal="center" vertical="center" wrapText="1"/>
    </xf>
    <xf numFmtId="0" fontId="14" fillId="0" borderId="0" xfId="0" applyFont="1" applyAlignment="1">
      <alignment horizontal="center" wrapText="1"/>
    </xf>
    <xf numFmtId="0" fontId="14" fillId="0" borderId="0" xfId="0" applyFont="1" applyAlignment="1">
      <alignment horizontal="right"/>
    </xf>
    <xf numFmtId="0" fontId="14" fillId="0" borderId="0" xfId="0" applyFont="1" applyAlignment="1">
      <alignment horizontal="center"/>
    </xf>
    <xf numFmtId="0" fontId="13" fillId="0" borderId="1" xfId="0" applyFont="1" applyBorder="1" applyAlignment="1">
      <alignment horizontal="center" vertical="center"/>
    </xf>
    <xf numFmtId="0" fontId="13" fillId="0" borderId="1" xfId="0" applyFont="1" applyBorder="1" applyAlignment="1">
      <alignment horizontal="center" vertical="center" wrapText="1"/>
    </xf>
    <xf numFmtId="0" fontId="13" fillId="0" borderId="1" xfId="0" applyFont="1" applyBorder="1" applyAlignment="1">
      <alignment horizontal="center"/>
    </xf>
    <xf numFmtId="0" fontId="16" fillId="0" borderId="0" xfId="0" applyFont="1" applyAlignment="1">
      <alignment horizontal="justify" vertical="top" wrapText="1"/>
    </xf>
    <xf numFmtId="0" fontId="15" fillId="0" borderId="0" xfId="0" applyFont="1" applyAlignment="1">
      <alignment horizontal="center" vertical="top" wrapText="1"/>
    </xf>
    <xf numFmtId="0" fontId="16" fillId="0" borderId="0" xfId="0" applyFont="1" applyAlignment="1">
      <alignment horizontal="left" vertical="top" wrapText="1"/>
    </xf>
    <xf numFmtId="0" fontId="16" fillId="0" borderId="0" xfId="0" applyFont="1" applyAlignment="1">
      <alignment horizontal="center" vertical="top" wrapText="1"/>
    </xf>
    <xf numFmtId="0" fontId="16" fillId="0" borderId="4" xfId="0" applyFont="1" applyBorder="1" applyAlignment="1">
      <alignment horizontal="center" vertical="top" wrapText="1"/>
    </xf>
    <xf numFmtId="49" fontId="16" fillId="0" borderId="0" xfId="0" applyNumberFormat="1" applyFont="1" applyAlignment="1">
      <alignment horizontal="center" vertical="center" wrapText="1"/>
    </xf>
    <xf numFmtId="0" fontId="27" fillId="0" borderId="0" xfId="0" applyFont="1" applyAlignment="1">
      <alignment horizontal="justify" vertical="center" wrapText="1"/>
    </xf>
    <xf numFmtId="0" fontId="27" fillId="0" borderId="1" xfId="0" applyFont="1" applyBorder="1" applyAlignment="1">
      <alignment horizontal="justify" vertical="center" wrapText="1"/>
    </xf>
    <xf numFmtId="0" fontId="27" fillId="0" borderId="17" xfId="0" applyFont="1" applyBorder="1" applyAlignment="1">
      <alignment horizontal="justify" vertical="center" wrapText="1"/>
    </xf>
    <xf numFmtId="0" fontId="27" fillId="0" borderId="11" xfId="0" applyFont="1" applyBorder="1" applyAlignment="1">
      <alignment horizontal="justify"/>
    </xf>
    <xf numFmtId="0" fontId="27" fillId="0" borderId="0" xfId="0" applyFont="1" applyAlignment="1">
      <alignment horizontal="center"/>
    </xf>
    <xf numFmtId="0" fontId="27" fillId="0" borderId="3" xfId="0" applyFont="1" applyBorder="1" applyAlignment="1">
      <alignment horizontal="justify" vertical="center" wrapText="1"/>
    </xf>
    <xf numFmtId="0" fontId="27" fillId="0" borderId="18" xfId="0" applyFont="1" applyBorder="1" applyAlignment="1">
      <alignment horizontal="justify" vertical="center" wrapText="1"/>
    </xf>
    <xf numFmtId="0" fontId="27" fillId="0" borderId="2" xfId="0" applyFont="1" applyBorder="1" applyAlignment="1">
      <alignment horizontal="justify" vertical="center" wrapText="1"/>
    </xf>
    <xf numFmtId="0" fontId="27" fillId="0" borderId="3" xfId="0" applyFont="1" applyBorder="1" applyAlignment="1">
      <alignment horizontal="justify" vertical="center"/>
    </xf>
    <xf numFmtId="0" fontId="27" fillId="0" borderId="2" xfId="0" applyFont="1" applyBorder="1" applyAlignment="1">
      <alignment horizontal="justify" vertical="center"/>
    </xf>
    <xf numFmtId="0" fontId="27" fillId="0" borderId="21" xfId="0" applyFont="1" applyBorder="1" applyAlignment="1">
      <alignment horizontal="justify" vertical="center"/>
    </xf>
    <xf numFmtId="0" fontId="27" fillId="0" borderId="17" xfId="0" applyFont="1" applyBorder="1" applyAlignment="1">
      <alignment horizontal="justify" vertical="center"/>
    </xf>
    <xf numFmtId="0" fontId="27" fillId="0" borderId="22" xfId="0" applyFont="1" applyBorder="1" applyAlignment="1">
      <alignment horizontal="justify" vertical="center"/>
    </xf>
    <xf numFmtId="0" fontId="27" fillId="0" borderId="20" xfId="0" applyFont="1" applyBorder="1" applyAlignment="1">
      <alignment horizontal="justify" vertical="center"/>
    </xf>
    <xf numFmtId="0" fontId="27" fillId="0" borderId="4" xfId="0" applyFont="1" applyBorder="1" applyAlignment="1">
      <alignment horizontal="justify" vertical="center"/>
    </xf>
    <xf numFmtId="0" fontId="27" fillId="0" borderId="23" xfId="0" applyFont="1" applyBorder="1" applyAlignment="1">
      <alignment horizontal="justify" vertical="center"/>
    </xf>
    <xf numFmtId="0" fontId="8" fillId="0" borderId="0" xfId="0" applyFont="1" applyAlignment="1">
      <alignment horizontal="center"/>
    </xf>
    <xf numFmtId="0" fontId="8" fillId="0" borderId="0" xfId="0" applyFont="1" applyAlignment="1">
      <alignment horizontal="right" vertical="top" wrapText="1"/>
    </xf>
    <xf numFmtId="0" fontId="7" fillId="0" borderId="0" xfId="0" applyFont="1" applyAlignment="1">
      <alignment horizontal="justify" wrapText="1"/>
    </xf>
    <xf numFmtId="0" fontId="7" fillId="0" borderId="0" xfId="0" applyFont="1" applyAlignment="1">
      <alignment horizontal="justify" vertical="top" wrapText="1"/>
    </xf>
    <xf numFmtId="0" fontId="7" fillId="4" borderId="0" xfId="0" applyFont="1" applyFill="1" applyAlignment="1">
      <alignment horizontal="justify" vertical="top" wrapText="1"/>
    </xf>
    <xf numFmtId="2" fontId="7" fillId="0" borderId="0" xfId="0" applyNumberFormat="1" applyFont="1" applyAlignment="1">
      <alignment horizontal="justify" wrapText="1"/>
    </xf>
    <xf numFmtId="0" fontId="8" fillId="0" borderId="0" xfId="0" applyFont="1" applyAlignment="1">
      <alignment horizontal="left" vertical="center" wrapText="1"/>
    </xf>
    <xf numFmtId="0" fontId="13" fillId="0" borderId="0" xfId="0" applyFont="1" applyAlignment="1">
      <alignment horizontal="center" vertical="center"/>
    </xf>
    <xf numFmtId="49" fontId="13" fillId="0" borderId="0" xfId="0" applyNumberFormat="1" applyFont="1" applyAlignment="1">
      <alignment horizontal="justify" vertical="top" wrapText="1"/>
    </xf>
    <xf numFmtId="2" fontId="13" fillId="0" borderId="0" xfId="0" applyNumberFormat="1" applyFont="1" applyAlignment="1">
      <alignment horizontal="justify" vertical="top" wrapText="1"/>
    </xf>
    <xf numFmtId="0" fontId="8" fillId="0" borderId="0" xfId="0" applyFont="1" applyAlignment="1">
      <alignment horizontal="center" vertical="center"/>
    </xf>
    <xf numFmtId="0" fontId="7" fillId="0" borderId="0" xfId="0" applyFont="1" applyAlignment="1">
      <alignment horizontal="left" vertical="top" wrapText="1"/>
    </xf>
    <xf numFmtId="0" fontId="27" fillId="0" borderId="0" xfId="0" applyFont="1" applyAlignment="1">
      <alignment horizontal="left" vertical="top" wrapText="1"/>
    </xf>
    <xf numFmtId="0" fontId="7" fillId="4" borderId="0" xfId="0" applyFont="1" applyFill="1" applyAlignment="1">
      <alignment horizontal="left" vertical="top" wrapText="1"/>
    </xf>
    <xf numFmtId="49" fontId="7" fillId="0" borderId="0" xfId="0" applyNumberFormat="1" applyFont="1" applyAlignment="1">
      <alignment horizontal="left" vertical="top" wrapText="1"/>
    </xf>
    <xf numFmtId="0" fontId="8" fillId="0" borderId="0" xfId="0" applyFont="1" applyAlignment="1">
      <alignment horizontal="center" vertical="center" wrapText="1"/>
    </xf>
    <xf numFmtId="0" fontId="7" fillId="0" borderId="0" xfId="0" applyFont="1" applyAlignment="1">
      <alignment horizontal="left" wrapText="1"/>
    </xf>
    <xf numFmtId="0" fontId="7" fillId="0" borderId="0" xfId="0" applyFont="1" applyAlignment="1">
      <alignment vertical="top" wrapText="1"/>
    </xf>
    <xf numFmtId="0" fontId="27" fillId="5" borderId="0" xfId="0" applyFont="1" applyFill="1" applyAlignment="1">
      <alignment horizontal="left" vertical="top" wrapText="1"/>
    </xf>
    <xf numFmtId="0" fontId="32" fillId="0" borderId="0" xfId="0" applyFont="1" applyAlignment="1">
      <alignment horizontal="center" vertical="top" wrapText="1"/>
    </xf>
    <xf numFmtId="0" fontId="8" fillId="0" borderId="0" xfId="0" applyFont="1" applyAlignment="1">
      <alignment horizontal="center" vertical="top" wrapText="1"/>
    </xf>
    <xf numFmtId="0" fontId="32" fillId="0" borderId="0" xfId="0" applyFont="1" applyAlignment="1">
      <alignment horizontal="left"/>
    </xf>
    <xf numFmtId="0" fontId="8" fillId="0" borderId="0" xfId="0" applyFont="1" applyAlignment="1">
      <alignment horizontal="center" wrapText="1"/>
    </xf>
    <xf numFmtId="0" fontId="55" fillId="0" borderId="0" xfId="0" applyFont="1" applyAlignment="1">
      <alignment horizontal="center" wrapText="1"/>
    </xf>
    <xf numFmtId="0" fontId="14" fillId="0" borderId="0" xfId="0" applyFont="1" applyAlignment="1">
      <alignment horizontal="left" vertical="top" wrapText="1"/>
    </xf>
    <xf numFmtId="0" fontId="7" fillId="0" borderId="0" xfId="0" applyFont="1" applyAlignment="1">
      <alignment horizontal="left" vertical="center" wrapText="1"/>
    </xf>
    <xf numFmtId="0" fontId="14" fillId="0" borderId="3" xfId="0" applyFont="1" applyBorder="1" applyAlignment="1">
      <alignment horizontal="center" vertical="center" wrapText="1"/>
    </xf>
    <xf numFmtId="0" fontId="14" fillId="0" borderId="2" xfId="0" applyFont="1" applyBorder="1" applyAlignment="1">
      <alignment horizontal="center" vertical="center" wrapText="1"/>
    </xf>
    <xf numFmtId="0" fontId="24" fillId="0" borderId="0" xfId="0" applyFont="1" applyAlignment="1">
      <alignment horizontal="right" vertical="top" wrapText="1"/>
    </xf>
    <xf numFmtId="0" fontId="13" fillId="0" borderId="3" xfId="0" applyFont="1" applyBorder="1" applyAlignment="1">
      <alignment horizontal="center" vertical="top" wrapText="1"/>
    </xf>
    <xf numFmtId="0" fontId="13" fillId="0" borderId="2" xfId="0" applyFont="1" applyBorder="1" applyAlignment="1">
      <alignment horizontal="center" vertical="top" wrapText="1"/>
    </xf>
    <xf numFmtId="0" fontId="13" fillId="0" borderId="17" xfId="0" applyFont="1" applyBorder="1" applyAlignment="1">
      <alignment horizontal="justify" vertical="top" wrapText="1"/>
    </xf>
    <xf numFmtId="0" fontId="26" fillId="0" borderId="3" xfId="0" applyFont="1" applyBorder="1" applyAlignment="1">
      <alignment horizontal="center" vertical="top" wrapText="1"/>
    </xf>
    <xf numFmtId="0" fontId="26" fillId="0" borderId="2" xfId="0" applyFont="1" applyBorder="1" applyAlignment="1">
      <alignment horizontal="center" vertical="top" wrapText="1"/>
    </xf>
    <xf numFmtId="0" fontId="14" fillId="0" borderId="3" xfId="0" applyFont="1" applyBorder="1" applyAlignment="1">
      <alignment horizontal="center" vertical="top" wrapText="1"/>
    </xf>
    <xf numFmtId="0" fontId="14" fillId="0" borderId="2" xfId="0" applyFont="1" applyBorder="1" applyAlignment="1">
      <alignment horizontal="center" vertical="top" wrapText="1"/>
    </xf>
    <xf numFmtId="0" fontId="13" fillId="0" borderId="13" xfId="0" applyFont="1" applyBorder="1" applyAlignment="1">
      <alignment horizontal="center" vertical="center" wrapText="1"/>
    </xf>
    <xf numFmtId="0" fontId="13" fillId="0" borderId="14" xfId="0" applyFont="1" applyBorder="1" applyAlignment="1">
      <alignment horizontal="center" vertical="center" wrapText="1"/>
    </xf>
    <xf numFmtId="0" fontId="13" fillId="0" borderId="15" xfId="0" applyFont="1" applyBorder="1" applyAlignment="1">
      <alignment horizontal="center" vertical="center" wrapText="1"/>
    </xf>
    <xf numFmtId="0" fontId="14" fillId="0" borderId="0" xfId="0" applyFont="1" applyAlignment="1">
      <alignment horizontal="right" vertical="top" wrapText="1"/>
    </xf>
    <xf numFmtId="0" fontId="14" fillId="0" borderId="10" xfId="0" applyFont="1" applyBorder="1" applyAlignment="1">
      <alignment horizontal="center" wrapText="1"/>
    </xf>
    <xf numFmtId="0" fontId="14" fillId="0" borderId="11" xfId="0" applyFont="1" applyBorder="1" applyAlignment="1">
      <alignment horizontal="center" wrapText="1"/>
    </xf>
    <xf numFmtId="0" fontId="14" fillId="0" borderId="12" xfId="0" applyFont="1" applyBorder="1" applyAlignment="1">
      <alignment horizontal="center" wrapText="1"/>
    </xf>
    <xf numFmtId="0" fontId="13" fillId="0" borderId="8" xfId="0" applyFont="1" applyBorder="1" applyAlignment="1">
      <alignment horizontal="center" wrapText="1"/>
    </xf>
    <xf numFmtId="0" fontId="13" fillId="0" borderId="9" xfId="0" applyFont="1" applyBorder="1" applyAlignment="1">
      <alignment horizontal="center" wrapText="1"/>
    </xf>
    <xf numFmtId="0" fontId="14" fillId="0" borderId="8" xfId="0" applyFont="1" applyBorder="1" applyAlignment="1">
      <alignment horizontal="left" wrapText="1"/>
    </xf>
    <xf numFmtId="0" fontId="14" fillId="0" borderId="9" xfId="0" applyFont="1" applyBorder="1" applyAlignment="1">
      <alignment horizontal="left" wrapText="1"/>
    </xf>
    <xf numFmtId="0" fontId="22" fillId="0" borderId="8" xfId="0" applyFont="1" applyBorder="1" applyAlignment="1">
      <alignment horizontal="center" wrapText="1"/>
    </xf>
    <xf numFmtId="0" fontId="22" fillId="0" borderId="0" xfId="0" applyFont="1" applyAlignment="1">
      <alignment horizontal="center" wrapText="1"/>
    </xf>
    <xf numFmtId="0" fontId="22" fillId="0" borderId="9" xfId="0" applyFont="1" applyBorder="1" applyAlignment="1">
      <alignment horizontal="center" wrapText="1"/>
    </xf>
    <xf numFmtId="0" fontId="23" fillId="0" borderId="5" xfId="0" applyFont="1" applyBorder="1" applyAlignment="1">
      <alignment horizontal="center" wrapText="1"/>
    </xf>
    <xf numFmtId="0" fontId="23" fillId="0" borderId="6" xfId="0" applyFont="1" applyBorder="1" applyAlignment="1">
      <alignment horizontal="center" wrapText="1"/>
    </xf>
    <xf numFmtId="0" fontId="23" fillId="0" borderId="7" xfId="0" applyFont="1" applyBorder="1" applyAlignment="1">
      <alignment horizontal="center" wrapText="1"/>
    </xf>
    <xf numFmtId="0" fontId="33" fillId="0" borderId="8" xfId="0" applyFont="1" applyBorder="1" applyAlignment="1">
      <alignment horizontal="center" wrapText="1"/>
    </xf>
    <xf numFmtId="0" fontId="33" fillId="0" borderId="0" xfId="0" applyFont="1" applyAlignment="1">
      <alignment horizontal="center" wrapText="1"/>
    </xf>
    <xf numFmtId="0" fontId="33" fillId="0" borderId="9" xfId="0" applyFont="1" applyBorder="1" applyAlignment="1">
      <alignment horizontal="center" wrapText="1"/>
    </xf>
    <xf numFmtId="0" fontId="40" fillId="0" borderId="0" xfId="0" applyFont="1" applyAlignment="1">
      <alignment vertical="center" wrapText="1"/>
    </xf>
    <xf numFmtId="0" fontId="39" fillId="0" borderId="0" xfId="0" applyFont="1" applyAlignment="1">
      <alignment horizontal="justify" vertical="center" wrapText="1"/>
    </xf>
    <xf numFmtId="0" fontId="13" fillId="0" borderId="0" xfId="0" applyFont="1" applyAlignment="1">
      <alignment vertical="top" wrapText="1"/>
    </xf>
    <xf numFmtId="0" fontId="40" fillId="0" borderId="0" xfId="0" applyFont="1" applyAlignment="1">
      <alignment horizontal="justify" vertical="center" wrapText="1"/>
    </xf>
    <xf numFmtId="0" fontId="39" fillId="0" borderId="0" xfId="0" applyFont="1" applyAlignment="1">
      <alignment horizontal="justify" vertical="top" wrapText="1"/>
    </xf>
    <xf numFmtId="0" fontId="13" fillId="0" borderId="0" xfId="0" applyFont="1" applyAlignment="1">
      <alignment horizontal="left"/>
    </xf>
    <xf numFmtId="0" fontId="16" fillId="0" borderId="0" xfId="0" applyFont="1" applyAlignment="1">
      <alignment horizontal="left"/>
    </xf>
    <xf numFmtId="0" fontId="16" fillId="0" borderId="0" xfId="0" applyFont="1" applyAlignment="1">
      <alignment horizontal="justify" vertical="top" wrapText="1" readingOrder="1"/>
    </xf>
    <xf numFmtId="0" fontId="15" fillId="0" borderId="0" xfId="0" applyFont="1" applyAlignment="1">
      <alignment horizontal="center" wrapText="1"/>
    </xf>
    <xf numFmtId="0" fontId="43" fillId="0" borderId="0" xfId="0" applyFont="1" applyAlignment="1">
      <alignment horizontal="left" vertical="center" wrapText="1" readingOrder="1"/>
    </xf>
    <xf numFmtId="0" fontId="16" fillId="0" borderId="0" xfId="0" applyFont="1" applyAlignment="1">
      <alignment horizontal="left" wrapText="1"/>
    </xf>
    <xf numFmtId="0" fontId="15" fillId="0" borderId="4" xfId="0" applyFont="1" applyBorder="1" applyAlignment="1">
      <alignment horizontal="left" vertical="top"/>
    </xf>
    <xf numFmtId="0" fontId="15" fillId="8" borderId="3" xfId="0" applyFont="1" applyFill="1" applyBorder="1" applyAlignment="1">
      <alignment horizontal="center" vertical="center" wrapText="1"/>
    </xf>
    <xf numFmtId="0" fontId="15" fillId="8" borderId="2" xfId="0" applyFont="1" applyFill="1" applyBorder="1" applyAlignment="1">
      <alignment horizontal="center" vertical="center" wrapText="1"/>
    </xf>
    <xf numFmtId="0" fontId="15" fillId="8" borderId="1" xfId="0" applyFont="1" applyFill="1" applyBorder="1" applyAlignment="1">
      <alignment horizontal="center" vertical="center" wrapText="1"/>
    </xf>
    <xf numFmtId="0" fontId="16" fillId="0" borderId="1" xfId="0" applyFont="1" applyBorder="1" applyAlignment="1">
      <alignment horizontal="center" vertical="center" wrapText="1"/>
    </xf>
  </cellXfs>
  <cellStyles count="139">
    <cellStyle name="Обычный" xfId="0" builtinId="0"/>
    <cellStyle name="Обычный 10" xfId="72" xr:uid="{00000000-0005-0000-0000-000001000000}"/>
    <cellStyle name="Обычный 11" xfId="73" xr:uid="{00000000-0005-0000-0000-000002000000}"/>
    <cellStyle name="Обычный 2" xfId="63" xr:uid="{00000000-0005-0000-0000-000003000000}"/>
    <cellStyle name="Обычный 3" xfId="64" xr:uid="{00000000-0005-0000-0000-000004000000}"/>
    <cellStyle name="Обычный 4" xfId="66" xr:uid="{00000000-0005-0000-0000-000005000000}"/>
    <cellStyle name="Обычный 5" xfId="67" xr:uid="{00000000-0005-0000-0000-000006000000}"/>
    <cellStyle name="Обычный 6" xfId="68" xr:uid="{00000000-0005-0000-0000-000007000000}"/>
    <cellStyle name="Обычный 7" xfId="69" xr:uid="{00000000-0005-0000-0000-000008000000}"/>
    <cellStyle name="Обычный 8" xfId="70" xr:uid="{00000000-0005-0000-0000-000009000000}"/>
    <cellStyle name="Обычный 9" xfId="71" xr:uid="{00000000-0005-0000-0000-00000A000000}"/>
    <cellStyle name="Финансовый" xfId="1" builtinId="3"/>
    <cellStyle name="Финансовый 10" xfId="125" xr:uid="{00000000-0005-0000-0000-00000C000000}"/>
    <cellStyle name="Финансовый 11" xfId="61" xr:uid="{00000000-0005-0000-0000-00000D000000}"/>
    <cellStyle name="Финансовый 12" xfId="49" xr:uid="{00000000-0005-0000-0000-00000E000000}"/>
    <cellStyle name="Финансовый 13" xfId="127" xr:uid="{00000000-0005-0000-0000-00000F000000}"/>
    <cellStyle name="Финансовый 14" xfId="25" xr:uid="{00000000-0005-0000-0000-000010000000}"/>
    <cellStyle name="Финансовый 15" xfId="13" xr:uid="{00000000-0005-0000-0000-000011000000}"/>
    <cellStyle name="Финансовый 2" xfId="2" xr:uid="{00000000-0005-0000-0000-000012000000}"/>
    <cellStyle name="Финансовый 2 10" xfId="62" xr:uid="{00000000-0005-0000-0000-000013000000}"/>
    <cellStyle name="Финансовый 2 11" xfId="50" xr:uid="{00000000-0005-0000-0000-000014000000}"/>
    <cellStyle name="Финансовый 2 12" xfId="128" xr:uid="{00000000-0005-0000-0000-000015000000}"/>
    <cellStyle name="Финансовый 2 13" xfId="26" xr:uid="{00000000-0005-0000-0000-000016000000}"/>
    <cellStyle name="Финансовый 2 14" xfId="14" xr:uid="{00000000-0005-0000-0000-000017000000}"/>
    <cellStyle name="Финансовый 2 2" xfId="4" xr:uid="{00000000-0005-0000-0000-000018000000}"/>
    <cellStyle name="Финансовый 2 2 10" xfId="28" xr:uid="{00000000-0005-0000-0000-000019000000}"/>
    <cellStyle name="Финансовый 2 2 11" xfId="16" xr:uid="{00000000-0005-0000-0000-00001A000000}"/>
    <cellStyle name="Финансовый 2 2 2" xfId="10" xr:uid="{00000000-0005-0000-0000-00001B000000}"/>
    <cellStyle name="Финансовый 2 2 2 2" xfId="46" xr:uid="{00000000-0005-0000-0000-00001C000000}"/>
    <cellStyle name="Финансовый 2 2 2 2 2" xfId="104" xr:uid="{00000000-0005-0000-0000-00001D000000}"/>
    <cellStyle name="Финансовый 2 2 2 3" xfId="116" xr:uid="{00000000-0005-0000-0000-00001E000000}"/>
    <cellStyle name="Финансовый 2 2 2 4" xfId="80" xr:uid="{00000000-0005-0000-0000-00001F000000}"/>
    <cellStyle name="Финансовый 2 2 2 5" xfId="58" xr:uid="{00000000-0005-0000-0000-000020000000}"/>
    <cellStyle name="Финансовый 2 2 2 6" xfId="136" xr:uid="{00000000-0005-0000-0000-000021000000}"/>
    <cellStyle name="Финансовый 2 2 2 7" xfId="34" xr:uid="{00000000-0005-0000-0000-000022000000}"/>
    <cellStyle name="Финансовый 2 2 2 8" xfId="22" xr:uid="{00000000-0005-0000-0000-000023000000}"/>
    <cellStyle name="Финансовый 2 2 3" xfId="40" xr:uid="{00000000-0005-0000-0000-000024000000}"/>
    <cellStyle name="Финансовый 2 2 3 2" xfId="122" xr:uid="{00000000-0005-0000-0000-000025000000}"/>
    <cellStyle name="Финансовый 2 2 3 3" xfId="86" xr:uid="{00000000-0005-0000-0000-000026000000}"/>
    <cellStyle name="Финансовый 2 2 4" xfId="92" xr:uid="{00000000-0005-0000-0000-000027000000}"/>
    <cellStyle name="Финансовый 2 2 5" xfId="98" xr:uid="{00000000-0005-0000-0000-000028000000}"/>
    <cellStyle name="Финансовый 2 2 6" xfId="110" xr:uid="{00000000-0005-0000-0000-000029000000}"/>
    <cellStyle name="Финансовый 2 2 7" xfId="65" xr:uid="{00000000-0005-0000-0000-00002A000000}"/>
    <cellStyle name="Финансовый 2 2 8" xfId="52" xr:uid="{00000000-0005-0000-0000-00002B000000}"/>
    <cellStyle name="Финансовый 2 2 9" xfId="130" xr:uid="{00000000-0005-0000-0000-00002C000000}"/>
    <cellStyle name="Финансовый 2 3" xfId="6" xr:uid="{00000000-0005-0000-0000-00002D000000}"/>
    <cellStyle name="Финансовый 2 3 10" xfId="30" xr:uid="{00000000-0005-0000-0000-00002E000000}"/>
    <cellStyle name="Финансовый 2 3 11" xfId="18" xr:uid="{00000000-0005-0000-0000-00002F000000}"/>
    <cellStyle name="Финансовый 2 3 2" xfId="12" xr:uid="{00000000-0005-0000-0000-000030000000}"/>
    <cellStyle name="Финансовый 2 3 2 2" xfId="48" xr:uid="{00000000-0005-0000-0000-000031000000}"/>
    <cellStyle name="Финансовый 2 3 2 2 2" xfId="106" xr:uid="{00000000-0005-0000-0000-000032000000}"/>
    <cellStyle name="Финансовый 2 3 2 3" xfId="118" xr:uid="{00000000-0005-0000-0000-000033000000}"/>
    <cellStyle name="Финансовый 2 3 2 4" xfId="82" xr:uid="{00000000-0005-0000-0000-000034000000}"/>
    <cellStyle name="Финансовый 2 3 2 5" xfId="60" xr:uid="{00000000-0005-0000-0000-000035000000}"/>
    <cellStyle name="Финансовый 2 3 2 6" xfId="138" xr:uid="{00000000-0005-0000-0000-000036000000}"/>
    <cellStyle name="Финансовый 2 3 2 7" xfId="36" xr:uid="{00000000-0005-0000-0000-000037000000}"/>
    <cellStyle name="Финансовый 2 3 2 8" xfId="24" xr:uid="{00000000-0005-0000-0000-000038000000}"/>
    <cellStyle name="Финансовый 2 3 3" xfId="42" xr:uid="{00000000-0005-0000-0000-000039000000}"/>
    <cellStyle name="Финансовый 2 3 3 2" xfId="124" xr:uid="{00000000-0005-0000-0000-00003A000000}"/>
    <cellStyle name="Финансовый 2 3 3 3" xfId="88" xr:uid="{00000000-0005-0000-0000-00003B000000}"/>
    <cellStyle name="Финансовый 2 3 4" xfId="94" xr:uid="{00000000-0005-0000-0000-00003C000000}"/>
    <cellStyle name="Финансовый 2 3 5" xfId="100" xr:uid="{00000000-0005-0000-0000-00003D000000}"/>
    <cellStyle name="Финансовый 2 3 6" xfId="112" xr:uid="{00000000-0005-0000-0000-00003E000000}"/>
    <cellStyle name="Финансовый 2 3 7" xfId="76" xr:uid="{00000000-0005-0000-0000-00003F000000}"/>
    <cellStyle name="Финансовый 2 3 8" xfId="54" xr:uid="{00000000-0005-0000-0000-000040000000}"/>
    <cellStyle name="Финансовый 2 3 9" xfId="132" xr:uid="{00000000-0005-0000-0000-000041000000}"/>
    <cellStyle name="Финансовый 2 4" xfId="8" xr:uid="{00000000-0005-0000-0000-000042000000}"/>
    <cellStyle name="Финансовый 2 4 2" xfId="44" xr:uid="{00000000-0005-0000-0000-000043000000}"/>
    <cellStyle name="Финансовый 2 4 2 2" xfId="102" xr:uid="{00000000-0005-0000-0000-000044000000}"/>
    <cellStyle name="Финансовый 2 4 3" xfId="114" xr:uid="{00000000-0005-0000-0000-000045000000}"/>
    <cellStyle name="Финансовый 2 4 4" xfId="78" xr:uid="{00000000-0005-0000-0000-000046000000}"/>
    <cellStyle name="Финансовый 2 4 5" xfId="56" xr:uid="{00000000-0005-0000-0000-000047000000}"/>
    <cellStyle name="Финансовый 2 4 6" xfId="134" xr:uid="{00000000-0005-0000-0000-000048000000}"/>
    <cellStyle name="Финансовый 2 4 7" xfId="32" xr:uid="{00000000-0005-0000-0000-000049000000}"/>
    <cellStyle name="Финансовый 2 4 8" xfId="20" xr:uid="{00000000-0005-0000-0000-00004A000000}"/>
    <cellStyle name="Финансовый 2 5" xfId="38" xr:uid="{00000000-0005-0000-0000-00004B000000}"/>
    <cellStyle name="Финансовый 2 5 2" xfId="120" xr:uid="{00000000-0005-0000-0000-00004C000000}"/>
    <cellStyle name="Финансовый 2 5 3" xfId="84" xr:uid="{00000000-0005-0000-0000-00004D000000}"/>
    <cellStyle name="Финансовый 2 6" xfId="90" xr:uid="{00000000-0005-0000-0000-00004E000000}"/>
    <cellStyle name="Финансовый 2 7" xfId="96" xr:uid="{00000000-0005-0000-0000-00004F000000}"/>
    <cellStyle name="Финансовый 2 8" xfId="108" xr:uid="{00000000-0005-0000-0000-000050000000}"/>
    <cellStyle name="Финансовый 2 9" xfId="126" xr:uid="{00000000-0005-0000-0000-000051000000}"/>
    <cellStyle name="Финансовый 3" xfId="3" xr:uid="{00000000-0005-0000-0000-000052000000}"/>
    <cellStyle name="Финансовый 3 10" xfId="27" xr:uid="{00000000-0005-0000-0000-000053000000}"/>
    <cellStyle name="Финансовый 3 11" xfId="15" xr:uid="{00000000-0005-0000-0000-000054000000}"/>
    <cellStyle name="Финансовый 3 2" xfId="9" xr:uid="{00000000-0005-0000-0000-000055000000}"/>
    <cellStyle name="Финансовый 3 2 2" xfId="45" xr:uid="{00000000-0005-0000-0000-000056000000}"/>
    <cellStyle name="Финансовый 3 2 2 2" xfId="103" xr:uid="{00000000-0005-0000-0000-000057000000}"/>
    <cellStyle name="Финансовый 3 2 3" xfId="115" xr:uid="{00000000-0005-0000-0000-000058000000}"/>
    <cellStyle name="Финансовый 3 2 4" xfId="79" xr:uid="{00000000-0005-0000-0000-000059000000}"/>
    <cellStyle name="Финансовый 3 2 5" xfId="57" xr:uid="{00000000-0005-0000-0000-00005A000000}"/>
    <cellStyle name="Финансовый 3 2 6" xfId="135" xr:uid="{00000000-0005-0000-0000-00005B000000}"/>
    <cellStyle name="Финансовый 3 2 7" xfId="33" xr:uid="{00000000-0005-0000-0000-00005C000000}"/>
    <cellStyle name="Финансовый 3 2 8" xfId="21" xr:uid="{00000000-0005-0000-0000-00005D000000}"/>
    <cellStyle name="Финансовый 3 3" xfId="39" xr:uid="{00000000-0005-0000-0000-00005E000000}"/>
    <cellStyle name="Финансовый 3 3 2" xfId="121" xr:uid="{00000000-0005-0000-0000-00005F000000}"/>
    <cellStyle name="Финансовый 3 3 3" xfId="85" xr:uid="{00000000-0005-0000-0000-000060000000}"/>
    <cellStyle name="Финансовый 3 4" xfId="91" xr:uid="{00000000-0005-0000-0000-000061000000}"/>
    <cellStyle name="Финансовый 3 5" xfId="97" xr:uid="{00000000-0005-0000-0000-000062000000}"/>
    <cellStyle name="Финансовый 3 6" xfId="109" xr:uid="{00000000-0005-0000-0000-000063000000}"/>
    <cellStyle name="Финансовый 3 7" xfId="74" xr:uid="{00000000-0005-0000-0000-000064000000}"/>
    <cellStyle name="Финансовый 3 8" xfId="51" xr:uid="{00000000-0005-0000-0000-000065000000}"/>
    <cellStyle name="Финансовый 3 9" xfId="129" xr:uid="{00000000-0005-0000-0000-000066000000}"/>
    <cellStyle name="Финансовый 4" xfId="5" xr:uid="{00000000-0005-0000-0000-000067000000}"/>
    <cellStyle name="Финансовый 4 10" xfId="29" xr:uid="{00000000-0005-0000-0000-000068000000}"/>
    <cellStyle name="Финансовый 4 11" xfId="17" xr:uid="{00000000-0005-0000-0000-000069000000}"/>
    <cellStyle name="Финансовый 4 2" xfId="11" xr:uid="{00000000-0005-0000-0000-00006A000000}"/>
    <cellStyle name="Финансовый 4 2 2" xfId="47" xr:uid="{00000000-0005-0000-0000-00006B000000}"/>
    <cellStyle name="Финансовый 4 2 2 2" xfId="105" xr:uid="{00000000-0005-0000-0000-00006C000000}"/>
    <cellStyle name="Финансовый 4 2 3" xfId="117" xr:uid="{00000000-0005-0000-0000-00006D000000}"/>
    <cellStyle name="Финансовый 4 2 4" xfId="81" xr:uid="{00000000-0005-0000-0000-00006E000000}"/>
    <cellStyle name="Финансовый 4 2 5" xfId="59" xr:uid="{00000000-0005-0000-0000-00006F000000}"/>
    <cellStyle name="Финансовый 4 2 6" xfId="137" xr:uid="{00000000-0005-0000-0000-000070000000}"/>
    <cellStyle name="Финансовый 4 2 7" xfId="35" xr:uid="{00000000-0005-0000-0000-000071000000}"/>
    <cellStyle name="Финансовый 4 2 8" xfId="23" xr:uid="{00000000-0005-0000-0000-000072000000}"/>
    <cellStyle name="Финансовый 4 3" xfId="41" xr:uid="{00000000-0005-0000-0000-000073000000}"/>
    <cellStyle name="Финансовый 4 3 2" xfId="123" xr:uid="{00000000-0005-0000-0000-000074000000}"/>
    <cellStyle name="Финансовый 4 3 3" xfId="87" xr:uid="{00000000-0005-0000-0000-000075000000}"/>
    <cellStyle name="Финансовый 4 4" xfId="93" xr:uid="{00000000-0005-0000-0000-000076000000}"/>
    <cellStyle name="Финансовый 4 5" xfId="99" xr:uid="{00000000-0005-0000-0000-000077000000}"/>
    <cellStyle name="Финансовый 4 6" xfId="111" xr:uid="{00000000-0005-0000-0000-000078000000}"/>
    <cellStyle name="Финансовый 4 7" xfId="75" xr:uid="{00000000-0005-0000-0000-000079000000}"/>
    <cellStyle name="Финансовый 4 8" xfId="53" xr:uid="{00000000-0005-0000-0000-00007A000000}"/>
    <cellStyle name="Финансовый 4 9" xfId="131" xr:uid="{00000000-0005-0000-0000-00007B000000}"/>
    <cellStyle name="Финансовый 5" xfId="7" xr:uid="{00000000-0005-0000-0000-00007C000000}"/>
    <cellStyle name="Финансовый 5 2" xfId="43" xr:uid="{00000000-0005-0000-0000-00007D000000}"/>
    <cellStyle name="Финансовый 5 2 2" xfId="101" xr:uid="{00000000-0005-0000-0000-00007E000000}"/>
    <cellStyle name="Финансовый 5 3" xfId="113" xr:uid="{00000000-0005-0000-0000-00007F000000}"/>
    <cellStyle name="Финансовый 5 4" xfId="77" xr:uid="{00000000-0005-0000-0000-000080000000}"/>
    <cellStyle name="Финансовый 5 5" xfId="55" xr:uid="{00000000-0005-0000-0000-000081000000}"/>
    <cellStyle name="Финансовый 5 6" xfId="133" xr:uid="{00000000-0005-0000-0000-000082000000}"/>
    <cellStyle name="Финансовый 5 7" xfId="31" xr:uid="{00000000-0005-0000-0000-000083000000}"/>
    <cellStyle name="Финансовый 5 8" xfId="19" xr:uid="{00000000-0005-0000-0000-000084000000}"/>
    <cellStyle name="Финансовый 6" xfId="37" xr:uid="{00000000-0005-0000-0000-000085000000}"/>
    <cellStyle name="Финансовый 6 2" xfId="119" xr:uid="{00000000-0005-0000-0000-000086000000}"/>
    <cellStyle name="Финансовый 6 3" xfId="83" xr:uid="{00000000-0005-0000-0000-000087000000}"/>
    <cellStyle name="Финансовый 7" xfId="89" xr:uid="{00000000-0005-0000-0000-000088000000}"/>
    <cellStyle name="Финансовый 8" xfId="95" xr:uid="{00000000-0005-0000-0000-000089000000}"/>
    <cellStyle name="Финансовый 9" xfId="107" xr:uid="{00000000-0005-0000-0000-00008A000000}"/>
  </cellStyles>
  <dxfs count="9">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D:\&#1056;&#1072;&#1073;&#1086;&#1095;&#1080;&#1081;%20&#1089;&#1090;&#1086;&#1083;\123123\22_12_2022_KALBAYEV_AYBEK_MAKSETOVICH_1974_&#1089;&#1087;&#1072;&#1088;&#1082;_30_2_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Протокол  (2)"/>
      <sheetName val="График дифференц"/>
      <sheetName val="Данные для послед. Залога"/>
      <sheetName val="Общие данные"/>
      <sheetName val="Анкета Клиента"/>
      <sheetName val="Анкета 2"/>
      <sheetName val="Кредитная заявка"/>
      <sheetName val="Мажбуриятнома "/>
      <sheetName val="Заключение КК"/>
      <sheetName val="договор (рус-узб)"/>
      <sheetName val="График"/>
      <sheetName val="заявление залогодателя"/>
      <sheetName val="Акт согласования"/>
      <sheetName val="Договор займа"/>
      <sheetName val="График 6"/>
      <sheetName val="График 12"/>
      <sheetName val="График 18"/>
      <sheetName val="Лист2"/>
      <sheetName val="Лист1"/>
      <sheetName val="Приказ на сделку"/>
      <sheetName val="обложка"/>
      <sheetName val="Письмо"/>
      <sheetName val=" Акт мониторинга 1"/>
      <sheetName val=" Акт мониторинга 2"/>
      <sheetName val=" Акт мониторинга 3"/>
      <sheetName val=" Акт мониторинга 4"/>
      <sheetName val="Лист4"/>
      <sheetName val="График аннуитет."/>
    </sheetNames>
    <sheetDataSet>
      <sheetData sheetId="0"/>
      <sheetData sheetId="1"/>
      <sheetData sheetId="2"/>
      <sheetData sheetId="3">
        <row r="23">
          <cell r="C23" t="str">
            <v>mos keladi</v>
          </cell>
          <cell r="D23" t="str">
            <v>mos kelmaydi</v>
          </cell>
        </row>
        <row r="24">
          <cell r="C24" t="str">
            <v>Mulk huquqi</v>
          </cell>
          <cell r="D24" t="str">
            <v>ijara</v>
          </cell>
          <cell r="E24" t="str">
            <v>служебная</v>
          </cell>
          <cell r="F24" t="str">
            <v>другое</v>
          </cell>
          <cell r="G24" t="str">
            <v>-</v>
          </cell>
          <cell r="V24" t="str">
            <v>xizmat</v>
          </cell>
          <cell r="W24" t="str">
            <v>boshqa</v>
          </cell>
        </row>
      </sheetData>
      <sheetData sheetId="4"/>
      <sheetData sheetId="5"/>
      <sheetData sheetId="6"/>
      <sheetData sheetId="7"/>
      <sheetData sheetId="8"/>
      <sheetData sheetId="9"/>
      <sheetData sheetId="10"/>
      <sheetData sheetId="11"/>
      <sheetData sheetId="12"/>
      <sheetData sheetId="13">
        <row r="91">
          <cell r="B91" t="str">
            <v>«Qarz oluvchi»</v>
          </cell>
        </row>
      </sheetData>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Лист1">
    <tabColor rgb="FF00B050"/>
  </sheetPr>
  <dimension ref="A1:AH56"/>
  <sheetViews>
    <sheetView view="pageBreakPreview" topLeftCell="A25" zoomScaleNormal="100" zoomScaleSheetLayoutView="100" workbookViewId="0">
      <selection activeCell="A56" sqref="A56:B56"/>
    </sheetView>
  </sheetViews>
  <sheetFormatPr defaultRowHeight="15"/>
  <cols>
    <col min="1" max="1" width="22.85546875" style="76" customWidth="1"/>
    <col min="2" max="2" width="24.28515625" style="76" customWidth="1"/>
    <col min="3" max="3" width="21.28515625" style="76" customWidth="1"/>
    <col min="4" max="4" width="18" style="76" customWidth="1"/>
    <col min="5" max="5" width="25.140625" style="76" customWidth="1"/>
    <col min="6" max="6" width="9.140625" customWidth="1"/>
    <col min="7" max="7" width="24.42578125" customWidth="1"/>
    <col min="8" max="8" width="17.140625" customWidth="1"/>
    <col min="9" max="34" width="9.140625" hidden="1" customWidth="1"/>
    <col min="35" max="35" width="8.7109375" customWidth="1"/>
  </cols>
  <sheetData>
    <row r="1" spans="1:33" ht="63.75" customHeight="1">
      <c r="A1" s="249" t="str">
        <f>""&amp;umumiy_malumot!B147&amp;"
mikromoliya tashkiloti
Kredit qo‘mitasining yig‘ilishi"</f>
        <v>«PULLOL BUSINESS MIKROMOLIYA TASHKILOTI»  MChJ
mikromoliya tashkiloti
Kredit qo‘mitasining yig‘ilishi</v>
      </c>
      <c r="B1" s="249"/>
      <c r="C1" s="249"/>
      <c r="D1" s="249"/>
      <c r="E1" s="249"/>
    </row>
    <row r="2" spans="1:33" ht="29.25" customHeight="1">
      <c r="A2" s="249" t="str">
        <f>""&amp;H7&amp;" protokolidan ko'chirma"</f>
        <v>№ 56 protokolidan ko'chirma</v>
      </c>
      <c r="B2" s="249"/>
      <c r="C2" s="249"/>
      <c r="D2" s="249"/>
      <c r="E2" s="249"/>
    </row>
    <row r="3" spans="1:33" ht="29.25" customHeight="1">
      <c r="A3" s="155" t="s">
        <v>194</v>
      </c>
      <c r="B3" s="60"/>
      <c r="C3" s="60"/>
      <c r="D3" s="60"/>
      <c r="E3" s="156" t="str">
        <f>umumiy_malumot!B68</f>
        <v>2 fevral 2026 y.</v>
      </c>
    </row>
    <row r="4" spans="1:33" ht="29.25" customHeight="1">
      <c r="A4" s="60"/>
      <c r="B4" s="249" t="s">
        <v>193</v>
      </c>
      <c r="C4" s="249"/>
      <c r="D4" s="249"/>
      <c r="E4" s="60"/>
    </row>
    <row r="5" spans="1:33" ht="36" customHeight="1">
      <c r="A5" s="248" t="str">
        <f>"         "&amp;H8&amp;"."&amp;umumiy_malumot!B5&amp;" ga "&amp;umumiy_malumot!B65&amp;" berish masalasini ko‘rib chiqish to‘g‘risida."</f>
        <v xml:space="preserve">         1.QODIROVA NAFISA YO‘LDOSHEVNA ga Mikroqarz berish masalasini ko‘rib chiqish to‘g‘risida.</v>
      </c>
      <c r="B5" s="248"/>
      <c r="C5" s="248"/>
      <c r="D5" s="248"/>
      <c r="E5" s="248"/>
    </row>
    <row r="7" spans="1:33" ht="21" customHeight="1">
      <c r="A7" s="240" t="str">
        <f>"      "&amp;H9&amp;" masala yuzasidan: «PULLOL BUSINESS MIKROMOLIYA TASHKILOTI»  MChJ kredit bo‘yicha menejeri  "&amp;umumiy_malumot!B5&amp;"ga "&amp;FIXED(umumiy_malumot!B75)&amp;" ("&amp;umumiy_malumot!B76&amp;") so‘m miqdorida, muddati "&amp;umumiy_malumot!B81&amp;" ("&amp;umumiy_malumot!B82&amp;") oyga va yillik 55 (Ellik besh) foiz miqdorida "&amp;umumiy_malumot!B65&amp;" berich bo‘yicha "&amp;umumiy_malumot!B5&amp;"ning kredit arizasi va "&amp;umumiy_malumot!B147&amp;"ning xulosasi bilan ishtirokchilarni tanishtirdi."</f>
        <v xml:space="preserve">      Birinchi masala yuzasidan: «PULLOL BUSINESS MIKROMOLIYA TASHKILOTI»  MChJ kredit bo‘yicha menejeri  QODIROVA NAFISA YO‘LDOSHEVNAga 50 000 000,00 (Ellik million so'm) so‘m miqdorida, muddati 30 (o'ttiz) oyga va yillik 55 (Ellik besh) foiz miqdorida Mikroqarz berich bo‘yicha QODIROVA NAFISA YO‘LDOSHEVNAning kredit arizasi va «PULLOL BUSINESS MIKROMOLIYA TASHKILOTI»  MChJning xulosasi bilan ishtirokchilarni tanishtirdi.</v>
      </c>
      <c r="B7" s="240"/>
      <c r="C7" s="240"/>
      <c r="D7" s="240"/>
      <c r="E7" s="240"/>
      <c r="G7" s="77" t="s">
        <v>249</v>
      </c>
      <c r="H7" s="78" t="str">
        <f>umumiy_malumot!B1</f>
        <v>№ 56</v>
      </c>
    </row>
    <row r="8" spans="1:33" ht="23.25">
      <c r="A8" s="240"/>
      <c r="B8" s="240"/>
      <c r="C8" s="240"/>
      <c r="D8" s="240"/>
      <c r="E8" s="240"/>
      <c r="G8" s="77" t="s">
        <v>250</v>
      </c>
      <c r="H8" s="78">
        <v>1</v>
      </c>
      <c r="I8">
        <v>1</v>
      </c>
      <c r="J8">
        <v>2</v>
      </c>
      <c r="K8">
        <v>3</v>
      </c>
      <c r="L8">
        <v>4</v>
      </c>
      <c r="M8">
        <v>5</v>
      </c>
      <c r="N8">
        <v>6</v>
      </c>
      <c r="O8">
        <v>7</v>
      </c>
      <c r="P8">
        <v>8</v>
      </c>
      <c r="Q8">
        <v>9</v>
      </c>
      <c r="R8">
        <v>10</v>
      </c>
      <c r="S8">
        <v>11</v>
      </c>
      <c r="T8">
        <v>12</v>
      </c>
      <c r="U8">
        <v>13</v>
      </c>
      <c r="V8">
        <v>14</v>
      </c>
      <c r="W8">
        <v>15</v>
      </c>
      <c r="X8">
        <v>16</v>
      </c>
      <c r="Y8">
        <v>17</v>
      </c>
      <c r="Z8">
        <v>18</v>
      </c>
      <c r="AA8">
        <v>19</v>
      </c>
      <c r="AB8">
        <v>20</v>
      </c>
      <c r="AC8">
        <v>21</v>
      </c>
      <c r="AD8">
        <v>22</v>
      </c>
      <c r="AE8">
        <v>23</v>
      </c>
      <c r="AF8">
        <v>24</v>
      </c>
      <c r="AG8">
        <v>25</v>
      </c>
    </row>
    <row r="9" spans="1:33" ht="34.5" customHeight="1">
      <c r="A9" s="240"/>
      <c r="B9" s="240"/>
      <c r="C9" s="240"/>
      <c r="D9" s="240"/>
      <c r="E9" s="240"/>
      <c r="G9" s="77" t="s">
        <v>251</v>
      </c>
      <c r="H9" s="78" t="str">
        <f>IF(H8=I8,I9,IF(H8=J8,J9,IF(H8=K8,K9,IF(H8=L8,L9,IF(H8=M8,M9,IF(H8=N8,N9,IF(H8=O8,O9,IF(H8=P8,P9,IF(H8=Q8,Q9,IF(H8=R8,R9,IF(H8=S8,S9,IF(H8=T8,T9,IF(H8=U8,U9,IF(H8=V8,V9,IF(H8=W8,W9,IF(H8=X8,X9,IF(H8=Y8,Y9,IF(H8=Z8,Z9,IF(H8=AA8,AA9,IF(H8=AB8,AB9,IF(H8=AC8,AC9,IF(H8=AD8,AD9,IF(H8=AE8,AE9,IF(H8=AF8,AF9,IF(H8=AG8,AG9)))))))))))))))))))))))))</f>
        <v>Birinchi</v>
      </c>
      <c r="I9" s="182" t="s">
        <v>181</v>
      </c>
      <c r="J9" s="183" t="s">
        <v>182</v>
      </c>
      <c r="K9" s="183" t="s">
        <v>183</v>
      </c>
      <c r="L9" s="183" t="s">
        <v>363</v>
      </c>
      <c r="M9" s="183" t="s">
        <v>184</v>
      </c>
      <c r="N9" s="183" t="s">
        <v>364</v>
      </c>
      <c r="O9" s="183" t="s">
        <v>185</v>
      </c>
      <c r="P9" s="183" t="s">
        <v>186</v>
      </c>
      <c r="Q9" s="183" t="s">
        <v>187</v>
      </c>
      <c r="R9" s="183" t="s">
        <v>353</v>
      </c>
      <c r="S9" s="183" t="s">
        <v>354</v>
      </c>
      <c r="T9" s="183" t="s">
        <v>355</v>
      </c>
      <c r="U9" s="183" t="s">
        <v>356</v>
      </c>
      <c r="V9" s="183" t="s">
        <v>365</v>
      </c>
      <c r="W9" s="183" t="s">
        <v>357</v>
      </c>
      <c r="X9" s="183" t="s">
        <v>358</v>
      </c>
      <c r="Y9" s="183" t="s">
        <v>359</v>
      </c>
      <c r="Z9" s="183" t="s">
        <v>360</v>
      </c>
      <c r="AA9" s="183" t="s">
        <v>361</v>
      </c>
      <c r="AB9" s="183" t="s">
        <v>188</v>
      </c>
      <c r="AC9" s="183" t="s">
        <v>189</v>
      </c>
      <c r="AD9" s="183" t="s">
        <v>190</v>
      </c>
      <c r="AE9" s="183" t="s">
        <v>191</v>
      </c>
      <c r="AF9" s="183" t="s">
        <v>362</v>
      </c>
      <c r="AG9" s="183" t="s">
        <v>192</v>
      </c>
    </row>
    <row r="10" spans="1:33" ht="10.5" hidden="1" customHeight="1">
      <c r="A10" s="240"/>
      <c r="B10" s="240"/>
      <c r="C10" s="240"/>
      <c r="D10" s="240"/>
      <c r="E10" s="240"/>
    </row>
    <row r="11" spans="1:33" ht="9" hidden="1" customHeight="1">
      <c r="A11" s="240"/>
      <c r="B11" s="240"/>
      <c r="C11" s="240"/>
      <c r="D11" s="240"/>
      <c r="E11" s="240"/>
    </row>
    <row r="12" spans="1:33" ht="3" customHeight="1">
      <c r="A12" s="240"/>
      <c r="B12" s="240"/>
      <c r="C12" s="240"/>
      <c r="D12" s="240"/>
      <c r="E12" s="240"/>
    </row>
    <row r="13" spans="1:33" ht="7.5" customHeight="1"/>
    <row r="14" spans="1:33" ht="15.75" customHeight="1">
      <c r="A14" s="250" t="str">
        <f>""&amp;umumiy_malumot!B65&amp;" ta’minoti:"</f>
        <v>Mikroqarz ta’minoti:</v>
      </c>
      <c r="B14" s="250"/>
      <c r="C14" s="250"/>
      <c r="D14" s="250"/>
      <c r="E14" s="250"/>
    </row>
    <row r="15" spans="1:33" ht="7.5" customHeight="1"/>
    <row r="16" spans="1:33" ht="48.75" customHeight="1">
      <c r="A16" s="240" t="str">
        <f>xulosa!A18:E18</f>
        <v xml:space="preserve"> Egalik huquqi QODIROVA NAFISA YO‘LDOSHEVNAga tegishli bo'lgan qurilish osti maydoni - , umumiy maydoni - 49,55  va yashash maydoni  - 28,99 Ko'p qavatli uydagi xonadon, TOSHKENT SHAHAR BEKTEMIR TUMANI ROXAT KO'CHASI 12 UY 32 XONADON </v>
      </c>
      <c r="B16" s="240"/>
      <c r="C16" s="240"/>
      <c r="D16" s="240"/>
      <c r="E16" s="240"/>
    </row>
    <row r="17" spans="1:5" ht="17.25" customHeight="1">
      <c r="C17" s="184" t="s">
        <v>372</v>
      </c>
      <c r="D17" s="184" t="str">
        <f>""&amp;umumiy_malumot!B147&amp;" kredit qo‘mitasi"</f>
        <v>«PULLOL BUSINESS MIKROMOLIYA TASHKILOTI»  MChJ kredit qo‘mitasi</v>
      </c>
      <c r="E17" s="184" t="str">
        <f>CONCATENATE(C17,D17)</f>
        <v xml:space="preserve">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row>
    <row r="18" spans="1:5" ht="54" customHeight="1">
      <c r="A18" s="240" t="str">
        <f>CONCATENATE(H9,E17)</f>
        <v>Birinchi masala yuzasidan berilgan ma’lumotlarni muhokama qilib, Kredit qo‘mitasi a’zolariga taqdim etilgan zarur hujjatlarni o‘rganib, majlisda ishtirok etgan Kredit qo‘mitasi a’zolarining taklif va mulohazalarini inobatga olgan holda «PULLOL BUSINESS MIKROMOLIYA TASHKILOTI»  MChJ kredit qo‘mitasi</v>
      </c>
      <c r="B18" s="240"/>
      <c r="C18" s="240"/>
      <c r="D18" s="240"/>
      <c r="E18" s="240"/>
    </row>
    <row r="19" spans="1:5" ht="24" customHeight="1">
      <c r="A19" s="251" t="s">
        <v>252</v>
      </c>
      <c r="B19" s="251"/>
      <c r="C19" s="251"/>
      <c r="D19" s="251"/>
      <c r="E19" s="251"/>
    </row>
    <row r="20" spans="1:5" ht="32.25" customHeight="1">
      <c r="A20" s="240" t="str">
        <f>"       "&amp;umumiy_malumot!B5&amp;"ga quyidagi shartlarda "&amp;umumiy_malumot!B65&amp;" berish masalasi ma’qullansin:"</f>
        <v xml:space="preserve">       QODIROVA NAFISA YO‘LDOSHEVNAga quyidagi shartlarda Mikroqarz berish masalasi ma’qullansin:</v>
      </c>
      <c r="B20" s="240"/>
      <c r="C20" s="240"/>
      <c r="D20" s="240"/>
      <c r="E20" s="240"/>
    </row>
    <row r="21" spans="1:5" s="157" customFormat="1" ht="18.75" customHeight="1">
      <c r="A21" s="248" t="str">
        <f>"1. "&amp;umumiy_malumot!B65&amp;" summasi: "&amp;FIXED(umumiy_malumot!B75)&amp;" ("&amp;umumiy_malumot!B76&amp;") so'm."</f>
        <v>1. Mikroqarz summasi: 50 000 000,00 (Ellik million so'm) so'm.</v>
      </c>
      <c r="B21" s="248"/>
      <c r="C21" s="248"/>
      <c r="D21" s="248"/>
      <c r="E21" s="248"/>
    </row>
    <row r="22" spans="1:5" s="157" customFormat="1" ht="18.75" customHeight="1">
      <c r="A22" s="248" t="str">
        <f>"2. "&amp;umumiy_malumot!B65&amp;" muddati: "&amp;umumiy_malumot!B81&amp;" ("&amp;umumiy_malumot!B82&amp;") oy "</f>
        <v xml:space="preserve">2. Mikroqarz muddati: 30 (o'ttiz) oy </v>
      </c>
      <c r="B22" s="248"/>
      <c r="C22" s="248"/>
      <c r="D22" s="248"/>
      <c r="E22" s="248"/>
    </row>
    <row r="23" spans="1:5" s="157" customFormat="1" ht="18.75" customHeight="1">
      <c r="A23" s="248" t="str">
        <f>"3. "&amp;umumiy_malumot!B65&amp;"dan foydalanganlik uchun foiz stavkasi:yillik "&amp;umumiy_malumot!B85&amp;"% ("&amp;umumiy_malumot!B86&amp;") foiz."</f>
        <v>3. Mikroqarzdan foydalanganlik uchun foiz stavkasi:yillik 55% (Ellik besh  ) foiz.</v>
      </c>
      <c r="B23" s="248"/>
      <c r="C23" s="248"/>
      <c r="D23" s="248"/>
      <c r="E23" s="248"/>
    </row>
    <row r="24" spans="1:5" s="157" customFormat="1" ht="18.75" customHeight="1">
      <c r="A24" s="248" t="str">
        <f>"4. "&amp;umumiy_malumot!B65&amp;" bo‘yicha asosiy qarz va foizlarni to‘lash:"</f>
        <v>4. Mikroqarz bo‘yicha asosiy qarz va foizlarni to‘lash:</v>
      </c>
      <c r="B24" s="248"/>
      <c r="C24" s="248"/>
      <c r="D24" s="248"/>
      <c r="E24" s="248"/>
    </row>
    <row r="25" spans="1:5" s="157" customFormat="1" ht="18.75" customHeight="1">
      <c r="A25" s="248" t="str">
        <f>kredit_ariza!A19:D19</f>
        <v xml:space="preserve"> - Mikroqarz shartnomasi bo'yicha har oy annuitet to'lovlari amalga oshiriladi</v>
      </c>
      <c r="B25" s="248"/>
      <c r="C25" s="248"/>
      <c r="D25" s="248"/>
      <c r="E25" s="248"/>
    </row>
    <row r="26" spans="1:5" ht="48" customHeight="1">
      <c r="A26" s="240" t="str">
        <f>"5. "&amp;umumiy_malumot!B65&amp;" bo‘yicha garov  "&amp;xulosa!A29:E29&amp;""</f>
        <v>5. Mikroqarz bo‘yicha garov   -   QODIROVA NAFISA YO‘LDOSHEVNA ga mulk huquqi asosida tegishli ko'chmas mulk shaklida Ko'p qavatli uydagi xonadon, manzili: TOSHKENT SHAHAR BEKTEMIR TUMANI ROXAT KO'CHASI 12 UY 32 XONADON, quyidagi tafsilotlarga muvofiq:</v>
      </c>
      <c r="B26" s="240"/>
      <c r="C26" s="240"/>
      <c r="D26" s="240"/>
      <c r="E26" s="240"/>
    </row>
    <row r="27" spans="1:5" ht="40.5" customHeight="1">
      <c r="A27" s="21" t="str">
        <f>dalolatnoma!A47</f>
        <v>Nomi</v>
      </c>
      <c r="B27" s="21" t="str">
        <f>dalolatnoma!B47</f>
        <v>Qurilish osti maydoni</v>
      </c>
      <c r="C27" s="21" t="str">
        <f>dalolatnoma!C47</f>
        <v>Umumiy maydoni</v>
      </c>
      <c r="D27" s="21" t="str">
        <f>dalolatnoma!D47</f>
        <v>Yashash maydoni</v>
      </c>
      <c r="E27" s="21" t="str">
        <f>dalolatnoma!E47</f>
        <v>Kelishilgan garov qiymati, so'm</v>
      </c>
    </row>
    <row r="28" spans="1:5" ht="75.75" customHeight="1">
      <c r="A28" s="21" t="str">
        <f>dalolatnoma!A48</f>
        <v>Ko'p qavatli uydagi xonadon</v>
      </c>
      <c r="B28" s="21">
        <f>dalolatnoma!B48</f>
        <v>0</v>
      </c>
      <c r="C28" s="21">
        <f>dalolatnoma!C48</f>
        <v>49.55</v>
      </c>
      <c r="D28" s="21">
        <f>dalolatnoma!D48</f>
        <v>28.99</v>
      </c>
      <c r="E28" s="21" t="str">
        <f>dalolatnoma!E48</f>
        <v>70 000 000,00 
(yetmish million so'm)</v>
      </c>
    </row>
    <row r="29" spans="1:5" ht="20.25" hidden="1" customHeight="1">
      <c r="A29" s="240" t="str">
        <f>dalolatnoma!A22:E22</f>
        <v>-* avtotransport egasi: QODIROVA NAFISA YO‘LDOSHEVNA</v>
      </c>
      <c r="B29" s="240"/>
      <c r="C29" s="240"/>
      <c r="D29" s="240"/>
      <c r="E29" s="240"/>
    </row>
    <row r="30" spans="1:5" ht="20.25" hidden="1" customHeight="1">
      <c r="A30" s="240" t="str">
        <f>dalolatnoma!A23:E23</f>
        <v xml:space="preserve">-* texnik pasport: </v>
      </c>
      <c r="B30" s="240"/>
      <c r="C30" s="240"/>
      <c r="D30" s="240"/>
      <c r="E30" s="240"/>
    </row>
    <row r="31" spans="1:5" ht="34.5" hidden="1" customHeight="1">
      <c r="A31" s="240" t="str">
        <f>dalolatnoma!A24:E24</f>
        <v>-* roʻyxatdan oʻtgan manzili/garaj manzili: TOSHKENT SHAHAR YANGIXAYOT TUMANI 2 STROITELNAYA TERRITORIYA 17 UY 74 XONADON</v>
      </c>
      <c r="B31" s="240"/>
      <c r="C31" s="240"/>
      <c r="D31" s="240"/>
      <c r="E31" s="240"/>
    </row>
    <row r="32" spans="1:5" ht="20.25" hidden="1" customHeight="1">
      <c r="A32" s="240" t="str">
        <f>dalolatnoma!A25:E25</f>
        <v xml:space="preserve">-* davlat raqami: </v>
      </c>
      <c r="B32" s="240"/>
      <c r="C32" s="240"/>
      <c r="D32" s="240"/>
      <c r="E32" s="240"/>
    </row>
    <row r="33" spans="1:5" ht="51" hidden="1" customHeight="1">
      <c r="A33" s="43" t="str">
        <f>dalolatnoma!A50</f>
        <v>Наименование</v>
      </c>
      <c r="B33" s="43" t="str">
        <f>dalolatnoma!B50</f>
        <v>Полезная площадь</v>
      </c>
      <c r="C33" s="43" t="str">
        <f>dalolatnoma!C50</f>
        <v>Жилая площадь</v>
      </c>
      <c r="D33" s="43" t="str">
        <f>dalolatnoma!D50</f>
        <v>Общая площадь</v>
      </c>
      <c r="E33" s="43" t="str">
        <f>dalolatnoma!E50</f>
        <v>Согласованная залоговая стоимость, сум</v>
      </c>
    </row>
    <row r="34" spans="1:5" hidden="1">
      <c r="A34" s="43" t="str">
        <f>dalolatnoma!A51</f>
        <v>Yashash xona</v>
      </c>
      <c r="B34" s="43" t="str">
        <f>dalolatnoma!B51</f>
        <v>3</v>
      </c>
      <c r="C34" s="43" t="str">
        <f>dalolatnoma!C51</f>
        <v>18.82</v>
      </c>
      <c r="D34" s="43">
        <f>dalolatnoma!D51</f>
        <v>0</v>
      </c>
      <c r="E34" s="244" t="str">
        <f>""&amp;FIXED(umumiy_malumot!C136,2)&amp;" ("&amp;umumiy_malumot!B137&amp;")"</f>
        <v>70 000 000,00 (yetmish million so'm)</v>
      </c>
    </row>
    <row r="35" spans="1:5" hidden="1">
      <c r="A35" s="43">
        <f>dalolatnoma!A52</f>
        <v>0</v>
      </c>
      <c r="B35" s="43">
        <f>dalolatnoma!B52</f>
        <v>0</v>
      </c>
      <c r="C35" s="43">
        <f>dalolatnoma!C52</f>
        <v>0</v>
      </c>
      <c r="D35" s="43">
        <f>dalolatnoma!D52</f>
        <v>0</v>
      </c>
      <c r="E35" s="245"/>
    </row>
    <row r="36" spans="1:5" hidden="1">
      <c r="A36" s="43" t="str">
        <f>dalolatnoma!A53</f>
        <v>Umumiy maydon</v>
      </c>
      <c r="B36" s="43" t="str">
        <f>dalolatnoma!B53</f>
        <v>43.96</v>
      </c>
      <c r="C36" s="43" t="str">
        <f>dalolatnoma!C53</f>
        <v>18.82</v>
      </c>
      <c r="D36" s="43" t="str">
        <f>dalolatnoma!D53</f>
        <v>43.96</v>
      </c>
      <c r="E36" s="245"/>
    </row>
    <row r="37" spans="1:5" hidden="1">
      <c r="A37" s="43">
        <f>dalolatnoma!A54</f>
        <v>0</v>
      </c>
      <c r="B37" s="43">
        <f>dalolatnoma!B54</f>
        <v>0</v>
      </c>
      <c r="C37" s="43">
        <f>dalolatnoma!C54</f>
        <v>0</v>
      </c>
      <c r="D37" s="43">
        <f>dalolatnoma!D54</f>
        <v>0</v>
      </c>
      <c r="E37" s="245"/>
    </row>
    <row r="38" spans="1:5" hidden="1">
      <c r="A38" s="43">
        <f>dalolatnoma!A55</f>
        <v>0</v>
      </c>
      <c r="B38" s="43">
        <f>dalolatnoma!B55</f>
        <v>0</v>
      </c>
      <c r="C38" s="43">
        <f>dalolatnoma!C55</f>
        <v>0</v>
      </c>
      <c r="D38" s="43">
        <f>dalolatnoma!D55</f>
        <v>0</v>
      </c>
      <c r="E38" s="245"/>
    </row>
    <row r="39" spans="1:5" hidden="1">
      <c r="A39" s="43">
        <f>dalolatnoma!A56</f>
        <v>0</v>
      </c>
      <c r="B39" s="43">
        <f>dalolatnoma!B56</f>
        <v>0</v>
      </c>
      <c r="C39" s="43">
        <f>dalolatnoma!C56</f>
        <v>0</v>
      </c>
      <c r="D39" s="43">
        <f>dalolatnoma!D56</f>
        <v>0</v>
      </c>
      <c r="E39" s="245"/>
    </row>
    <row r="40" spans="1:5" hidden="1">
      <c r="A40" s="43">
        <f>dalolatnoma!A57</f>
        <v>0</v>
      </c>
      <c r="B40" s="43">
        <f>dalolatnoma!B57</f>
        <v>0</v>
      </c>
      <c r="C40" s="43">
        <f>dalolatnoma!C57</f>
        <v>0</v>
      </c>
      <c r="D40" s="43">
        <f>dalolatnoma!D57</f>
        <v>0</v>
      </c>
      <c r="E40" s="245"/>
    </row>
    <row r="41" spans="1:5" hidden="1">
      <c r="A41" s="43">
        <f>dalolatnoma!A58</f>
        <v>0</v>
      </c>
      <c r="B41" s="43">
        <f>dalolatnoma!B58</f>
        <v>0</v>
      </c>
      <c r="C41" s="43">
        <f>dalolatnoma!C58</f>
        <v>0</v>
      </c>
      <c r="D41" s="43">
        <f>dalolatnoma!D58</f>
        <v>0</v>
      </c>
      <c r="E41" s="245"/>
    </row>
    <row r="42" spans="1:5" hidden="1">
      <c r="A42" s="43">
        <f>dalolatnoma!A59</f>
        <v>0</v>
      </c>
      <c r="B42" s="43">
        <f>dalolatnoma!B59</f>
        <v>0</v>
      </c>
      <c r="C42" s="43">
        <f>dalolatnoma!C59</f>
        <v>0</v>
      </c>
      <c r="D42" s="43">
        <f>dalolatnoma!D59</f>
        <v>0</v>
      </c>
      <c r="E42" s="245"/>
    </row>
    <row r="43" spans="1:5" hidden="1">
      <c r="A43" s="43">
        <f>dalolatnoma!A60</f>
        <v>0</v>
      </c>
      <c r="B43" s="43">
        <f>dalolatnoma!B60</f>
        <v>0</v>
      </c>
      <c r="C43" s="43">
        <f>dalolatnoma!C60</f>
        <v>0</v>
      </c>
      <c r="D43" s="43">
        <f>dalolatnoma!D60</f>
        <v>0</v>
      </c>
      <c r="E43" s="245"/>
    </row>
    <row r="44" spans="1:5" hidden="1">
      <c r="A44" s="43">
        <f>dalolatnoma!A61</f>
        <v>0</v>
      </c>
      <c r="B44" s="43">
        <f>dalolatnoma!B61</f>
        <v>0</v>
      </c>
      <c r="C44" s="43">
        <f>dalolatnoma!C61</f>
        <v>0</v>
      </c>
      <c r="D44" s="43">
        <f>dalolatnoma!D61</f>
        <v>0</v>
      </c>
      <c r="E44" s="246"/>
    </row>
    <row r="45" spans="1:5" hidden="1">
      <c r="A45" s="43" t="str">
        <f>dalolatnoma!A62</f>
        <v>JAMI</v>
      </c>
      <c r="B45" s="43" t="str">
        <f>dalolatnoma!B62</f>
        <v>43.96</v>
      </c>
      <c r="C45" s="43" t="str">
        <f>dalolatnoma!C62</f>
        <v>18.82</v>
      </c>
      <c r="D45" s="43" t="str">
        <f>dalolatnoma!D62</f>
        <v>43.96</v>
      </c>
      <c r="E45" s="43" t="str">
        <f>FIXED(umumiy_malumot!C136,2)</f>
        <v>70 000 000,00</v>
      </c>
    </row>
    <row r="46" spans="1:5" ht="21.75" customHeight="1">
      <c r="A46" s="247" t="str">
        <f>dalolatnoma!A39:E39</f>
        <v>-* ko'chmas mulk egasi: QODIROVA NAFISA YO‘LDOSHEVNA</v>
      </c>
      <c r="B46" s="247"/>
      <c r="C46" s="247"/>
      <c r="D46" s="247"/>
      <c r="E46" s="247"/>
    </row>
    <row r="47" spans="1:5" ht="21.75" customHeight="1">
      <c r="A47" s="247" t="str">
        <f>dalolatnoma!A40:E40</f>
        <v>-* reestr raqami: 1726264/R-A4953178</v>
      </c>
      <c r="B47" s="247"/>
      <c r="C47" s="247"/>
      <c r="D47" s="247"/>
      <c r="E47" s="247"/>
    </row>
    <row r="48" spans="1:5" ht="21.75" customHeight="1">
      <c r="A48" s="247" t="str">
        <f>dalolatnoma!A41:E41</f>
        <v>-* kadastr raqami: 05.06.2024 y. №10:02:02:01:02:6267:0001:032</v>
      </c>
      <c r="B48" s="247"/>
      <c r="C48" s="247"/>
      <c r="D48" s="247"/>
      <c r="E48" s="247"/>
    </row>
    <row r="49" spans="1:5" ht="29.25" customHeight="1">
      <c r="A49" s="247" t="str">
        <f>dalolatnoma!A42:E42</f>
        <v>-* manzil: TOSHKENT SHAHAR BEKTEMIR TUMANI ROXAT KO'CHASI 12 UY 32 XONADON</v>
      </c>
      <c r="B49" s="247"/>
      <c r="C49" s="247"/>
      <c r="D49" s="247"/>
      <c r="E49" s="247"/>
    </row>
    <row r="50" spans="1:5" ht="12" customHeight="1">
      <c r="A50" s="158"/>
      <c r="B50" s="158"/>
      <c r="C50" s="158"/>
      <c r="D50" s="158"/>
      <c r="E50" s="158"/>
    </row>
    <row r="51" spans="1:5" ht="33" customHeight="1">
      <c r="A51" s="240" t="s">
        <v>393</v>
      </c>
      <c r="B51" s="240"/>
      <c r="C51" s="240"/>
      <c r="D51" s="240"/>
      <c r="E51" s="240"/>
    </row>
    <row r="53" spans="1:5" ht="29.25" customHeight="1">
      <c r="A53" s="241" t="s">
        <v>253</v>
      </c>
      <c r="B53" s="241"/>
      <c r="C53" s="241"/>
      <c r="D53" s="241"/>
      <c r="E53" s="241"/>
    </row>
    <row r="54" spans="1:5" ht="29.25" customHeight="1">
      <c r="A54" s="242" t="str">
        <f>"1. "&amp;umumiy_malumot!B151&amp;""</f>
        <v>1. Obidov Abdullo Shokir o'g'li</v>
      </c>
      <c r="B54" s="242"/>
      <c r="C54" s="199"/>
      <c r="D54" s="200"/>
      <c r="E54" s="200"/>
    </row>
    <row r="55" spans="1:5" ht="29.25" customHeight="1">
      <c r="A55" s="243" t="str">
        <f>"2. "&amp;umumiy_malumot!B159&amp;""</f>
        <v>2. Akramov R.N.</v>
      </c>
      <c r="B55" s="243"/>
      <c r="C55" s="199"/>
      <c r="D55" s="201"/>
      <c r="E55" s="201"/>
    </row>
    <row r="56" spans="1:5" ht="29.25" customHeight="1">
      <c r="A56" s="242" t="str">
        <f>"3. "&amp;umumiy_malumot!B161&amp;""</f>
        <v>3. Eshbekov S.O.</v>
      </c>
      <c r="B56" s="242"/>
      <c r="C56" s="154"/>
      <c r="D56" s="202"/>
      <c r="E56" s="202"/>
    </row>
  </sheetData>
  <mergeCells count="30">
    <mergeCell ref="A56:B56"/>
    <mergeCell ref="A22:E22"/>
    <mergeCell ref="A1:E1"/>
    <mergeCell ref="A2:E2"/>
    <mergeCell ref="B4:D4"/>
    <mergeCell ref="A5:E5"/>
    <mergeCell ref="A7:E12"/>
    <mergeCell ref="A14:E14"/>
    <mergeCell ref="A16:E16"/>
    <mergeCell ref="A18:E18"/>
    <mergeCell ref="A19:E19"/>
    <mergeCell ref="A20:E20"/>
    <mergeCell ref="A21:E21"/>
    <mergeCell ref="A48:E48"/>
    <mergeCell ref="A23:E23"/>
    <mergeCell ref="A24:E24"/>
    <mergeCell ref="A25:E25"/>
    <mergeCell ref="A26:E26"/>
    <mergeCell ref="A29:E29"/>
    <mergeCell ref="A30:E30"/>
    <mergeCell ref="A31:E31"/>
    <mergeCell ref="A51:E51"/>
    <mergeCell ref="A53:E53"/>
    <mergeCell ref="A54:B54"/>
    <mergeCell ref="A55:B55"/>
    <mergeCell ref="A32:E32"/>
    <mergeCell ref="E34:E44"/>
    <mergeCell ref="A46:E46"/>
    <mergeCell ref="A47:E47"/>
    <mergeCell ref="A49:E49"/>
  </mergeCells>
  <pageMargins left="0.70866141732283472" right="0.70866141732283472" top="0.74803149606299213" bottom="0.74803149606299213" header="0.31496062992125984" footer="0.31496062992125984"/>
  <pageSetup paperSize="9" scale="72" orientation="portrait" r:id="rId1"/>
  <colBreaks count="1" manualBreakCount="1">
    <brk id="5" max="1048575" man="1"/>
  </col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Лист19">
    <tabColor theme="1"/>
  </sheetPr>
  <dimension ref="A1:V76"/>
  <sheetViews>
    <sheetView topLeftCell="A13" zoomScale="70" zoomScaleNormal="70" zoomScaleSheetLayoutView="70" workbookViewId="0">
      <selection activeCell="G55" sqref="G55"/>
    </sheetView>
  </sheetViews>
  <sheetFormatPr defaultColWidth="9.140625" defaultRowHeight="15" outlineLevelCol="1"/>
  <cols>
    <col min="1" max="1" width="9.140625" style="110"/>
    <col min="2" max="2" width="12.28515625" style="110" customWidth="1"/>
    <col min="3" max="3" width="16.5703125" style="110" customWidth="1"/>
    <col min="4" max="4" width="16.7109375" style="110" customWidth="1"/>
    <col min="5" max="5" width="16.5703125" style="110" customWidth="1"/>
    <col min="6" max="6" width="20.85546875" style="110" customWidth="1"/>
    <col min="7" max="7" width="10.140625" style="110" customWidth="1" outlineLevel="1"/>
    <col min="8" max="8" width="19.140625" style="110" customWidth="1"/>
    <col min="9" max="9" width="21.42578125" style="110" customWidth="1"/>
    <col min="10" max="10" width="20.85546875" style="110" customWidth="1"/>
    <col min="11" max="11" width="20.140625" style="110" customWidth="1"/>
    <col min="12" max="12" width="21.42578125" style="110" customWidth="1"/>
    <col min="13" max="13" width="25.42578125" style="110" customWidth="1"/>
    <col min="14" max="14" width="18.28515625" style="110" customWidth="1"/>
    <col min="15" max="17" width="9.140625" style="19"/>
    <col min="18" max="18" width="24.42578125" style="19" customWidth="1"/>
    <col min="19" max="16384" width="9.140625" style="19"/>
  </cols>
  <sheetData>
    <row r="1" spans="1:22">
      <c r="A1" s="109"/>
      <c r="B1" s="109"/>
      <c r="C1" s="109"/>
      <c r="D1" s="109"/>
      <c r="E1" s="261" t="s">
        <v>15</v>
      </c>
      <c r="F1" s="261"/>
    </row>
    <row r="2" spans="1:22">
      <c r="A2" s="109"/>
      <c r="B2" s="109"/>
      <c r="C2" s="109"/>
      <c r="D2" s="109"/>
      <c r="E2" s="109"/>
      <c r="F2" s="111" t="str">
        <f>"к договору микрозайма "&amp;umumiy_malumot!B74&amp;""</f>
        <v>к договору микрозайма 2 fevral 2026 y.dan № 56</v>
      </c>
    </row>
    <row r="3" spans="1:22" ht="19.5" customHeight="1">
      <c r="A3" s="109"/>
      <c r="B3" s="109"/>
      <c r="C3" s="109"/>
      <c r="D3" s="109"/>
      <c r="E3" s="109"/>
      <c r="F3" s="109"/>
      <c r="H3" s="112"/>
      <c r="I3" s="112"/>
      <c r="J3" s="113"/>
      <c r="K3" s="113"/>
    </row>
    <row r="4" spans="1:22" ht="19.5" customHeight="1">
      <c r="A4" s="262" t="s">
        <v>16</v>
      </c>
      <c r="B4" s="262"/>
      <c r="C4" s="262"/>
      <c r="D4" s="262"/>
      <c r="E4" s="262"/>
      <c r="F4" s="262"/>
      <c r="H4" s="112"/>
      <c r="I4" s="112"/>
      <c r="J4" s="112"/>
      <c r="K4" s="112"/>
    </row>
    <row r="5" spans="1:22" ht="19.5" customHeight="1">
      <c r="L5" s="110">
        <f>umumiy_malumot!B81</f>
        <v>30</v>
      </c>
    </row>
    <row r="6" spans="1:22">
      <c r="A6" s="263" t="s">
        <v>14</v>
      </c>
      <c r="B6" s="264" t="s">
        <v>8</v>
      </c>
      <c r="C6" s="264" t="s">
        <v>9</v>
      </c>
      <c r="D6" s="265" t="s">
        <v>10</v>
      </c>
      <c r="E6" s="265"/>
      <c r="F6" s="265"/>
    </row>
    <row r="7" spans="1:22" s="20" customFormat="1">
      <c r="A7" s="263"/>
      <c r="B7" s="264"/>
      <c r="C7" s="264"/>
      <c r="D7" s="114" t="s">
        <v>11</v>
      </c>
      <c r="E7" s="114" t="s">
        <v>12</v>
      </c>
      <c r="F7" s="114" t="s">
        <v>13</v>
      </c>
      <c r="G7" s="115"/>
      <c r="H7" s="115"/>
      <c r="I7" s="115"/>
      <c r="J7" s="115"/>
      <c r="K7" s="115"/>
      <c r="L7" s="115"/>
      <c r="M7" s="115"/>
      <c r="N7" s="115"/>
    </row>
    <row r="8" spans="1:22">
      <c r="A8" s="116">
        <v>1</v>
      </c>
      <c r="B8" s="117">
        <f>umumiy_malumot!B79</f>
        <v>46106</v>
      </c>
      <c r="C8" s="64">
        <f>umumiy_malumot!B75</f>
        <v>50000000</v>
      </c>
      <c r="D8" s="64">
        <f>IF(IF(C8=0,L8,IF(C8&gt;1,I8))="",0,(IF(C8=0,L8,IF(C8&gt;1,I8))))</f>
        <v>1666666.67</v>
      </c>
      <c r="E8" s="64">
        <f>IF(C8=0,N6,IF(C8&gt;1,L8))</f>
        <v>3842465.97</v>
      </c>
      <c r="F8" s="64">
        <f>IF(C8=0,O6,IF(C8&gt;1,M8))</f>
        <v>5509132.6400000006</v>
      </c>
      <c r="G8" s="127">
        <f>B8-umumiy_malumot!B67</f>
        <v>51</v>
      </c>
      <c r="H8" s="110">
        <f>DATE(YEAR(B8),12,31)-DATE(YEAR(B8),1,1)+1</f>
        <v>365</v>
      </c>
      <c r="I8" s="118">
        <f>IF(umumiy_malumot!B83=0,ROUND(C8/L5,2),"")</f>
        <v>1666666.67</v>
      </c>
      <c r="J8" s="118"/>
      <c r="K8" s="118"/>
      <c r="L8" s="112">
        <f>ROUND(C8*umumiy_malumot!$B$84/H8,2)*G8</f>
        <v>3842465.97</v>
      </c>
      <c r="M8" s="112">
        <f t="shared" ref="M8:M31" si="0">D8+E8</f>
        <v>5509132.6400000006</v>
      </c>
      <c r="N8" s="112"/>
      <c r="O8" s="124" t="str">
        <f>TEXT(B8,"ддд")</f>
        <v>Ср</v>
      </c>
      <c r="P8" s="126">
        <f>IF(O8=$U$8,2,IF(O8=$V$8,1,0))</f>
        <v>0</v>
      </c>
      <c r="Q8" s="126">
        <f>DAY(umumiy_malumot!$B$78)+P8</f>
        <v>25</v>
      </c>
      <c r="R8" s="121"/>
      <c r="S8" s="122" t="s">
        <v>29</v>
      </c>
      <c r="T8" s="122" t="s">
        <v>30</v>
      </c>
      <c r="U8" s="122" t="s">
        <v>31</v>
      </c>
      <c r="V8" s="123" t="s">
        <v>32</v>
      </c>
    </row>
    <row r="9" spans="1:22">
      <c r="A9" s="116">
        <v>2</v>
      </c>
      <c r="B9" s="117">
        <f>IF(A9&lt;=umumiy_malumot!$B$81,DATE(YEAR(R9),MONTH(R9),DAY(R9)+P9),0)</f>
        <v>46139</v>
      </c>
      <c r="C9" s="64">
        <f>C8-D8</f>
        <v>48333333.329999998</v>
      </c>
      <c r="D9" s="64">
        <f>IF(C9=0,L9,IF(C9&gt;1,I9))</f>
        <v>1666666.67</v>
      </c>
      <c r="E9" s="64">
        <f>IF(C9=0,N8,IF(C9&gt;1,L9))</f>
        <v>2403424.65</v>
      </c>
      <c r="F9" s="64">
        <f>IF(C9=0,N8,IF(C9&gt;1,M9))</f>
        <v>4070091.32</v>
      </c>
      <c r="G9" s="110">
        <f>B9-B8</f>
        <v>33</v>
      </c>
      <c r="H9" s="110">
        <f t="shared" ref="H9:H31" si="1">DATE(YEAR(B9),12,31)-DATE(YEAR(B9),1,1)+1</f>
        <v>365</v>
      </c>
      <c r="I9" s="118">
        <f>IF(I8="",ROUND(C8/(L5-1),2),I8)</f>
        <v>1666666.67</v>
      </c>
      <c r="J9" s="118"/>
      <c r="K9" s="118"/>
      <c r="L9" s="112">
        <f>ROUND(C9*umumiy_malumot!$B$84/H9,2)*G9</f>
        <v>2403424.65</v>
      </c>
      <c r="M9" s="112">
        <f t="shared" si="0"/>
        <v>4070091.32</v>
      </c>
      <c r="N9" s="112"/>
      <c r="O9" s="124" t="str">
        <f>TEXT(R9,"ддд")</f>
        <v>Сб</v>
      </c>
      <c r="P9" s="126">
        <f t="shared" ref="P9:P31" si="2">IF(O9=$U$8,2,IF(O9=$V$8,1,0))</f>
        <v>2</v>
      </c>
      <c r="Q9" s="126">
        <f>DAY(umumiy_malumot!$B$78)+P9</f>
        <v>27</v>
      </c>
      <c r="R9" s="121">
        <f>IF(A9&lt;=umumiy_malumot!$B$81,DATE(YEAR($B$8),MONTH($B$8)+A8,DAY(umumiy_malumot!$B$78)),0)</f>
        <v>46137</v>
      </c>
      <c r="S9" s="110"/>
      <c r="T9" s="110"/>
      <c r="U9" s="110"/>
      <c r="V9" s="110"/>
    </row>
    <row r="10" spans="1:22">
      <c r="A10" s="116">
        <v>3</v>
      </c>
      <c r="B10" s="117">
        <f>IF(A10&lt;=umumiy_malumot!$B$81,DATE(YEAR(R10),MONTH(R10),DAY(R10)+P10),0)</f>
        <v>46167</v>
      </c>
      <c r="C10" s="64">
        <f>C9-D9</f>
        <v>46666666.659999996</v>
      </c>
      <c r="D10" s="64">
        <f>IF(C10=0,L10,IF(C10&gt;1,I10))</f>
        <v>1666666.67</v>
      </c>
      <c r="E10" s="64">
        <f>IF(C10=0,N9,IF(C10&gt;1,L10))</f>
        <v>1968949.6400000001</v>
      </c>
      <c r="F10" s="64">
        <f>IF(C10=0,N9,IF(C10&gt;1,M10))</f>
        <v>3635616.31</v>
      </c>
      <c r="G10" s="110">
        <f t="shared" ref="G10:G31" si="3">B10-B9</f>
        <v>28</v>
      </c>
      <c r="H10" s="110">
        <f t="shared" si="1"/>
        <v>365</v>
      </c>
      <c r="I10" s="118">
        <f>I9</f>
        <v>1666666.67</v>
      </c>
      <c r="J10" s="118"/>
      <c r="K10" s="118"/>
      <c r="L10" s="112">
        <f>ROUND(C10*umumiy_malumot!$B$84/H10,2)*G10</f>
        <v>1968949.6400000001</v>
      </c>
      <c r="M10" s="112">
        <f t="shared" si="0"/>
        <v>3635616.31</v>
      </c>
      <c r="N10" s="112"/>
      <c r="O10" s="124" t="str">
        <f t="shared" ref="O10:O31" si="4">TEXT(R10,"ддд")</f>
        <v>Пн</v>
      </c>
      <c r="P10" s="126">
        <f t="shared" si="2"/>
        <v>0</v>
      </c>
      <c r="Q10" s="126">
        <f>DAY(umumiy_malumot!$B$78)+P10</f>
        <v>25</v>
      </c>
      <c r="R10" s="121">
        <f>IF(A10&lt;=umumiy_malumot!$B$81,DATE(YEAR($B$8),MONTH($B$8)+A9,DAY(umumiy_malumot!$B$78)),0)</f>
        <v>46167</v>
      </c>
      <c r="S10" s="110"/>
      <c r="T10" s="110"/>
      <c r="U10" s="110"/>
      <c r="V10" s="110"/>
    </row>
    <row r="11" spans="1:22">
      <c r="A11" s="116">
        <v>4</v>
      </c>
      <c r="B11" s="117">
        <f>IF(A11&lt;=umumiy_malumot!$B$81,DATE(YEAR(R11),MONTH(R11),DAY(R11)+P11),0)</f>
        <v>46198</v>
      </c>
      <c r="C11" s="64">
        <f>C10-D10</f>
        <v>44999999.989999995</v>
      </c>
      <c r="D11" s="64">
        <f>IF(C11=0,L11,IF(C11&gt;1,I11))</f>
        <v>1666666.67</v>
      </c>
      <c r="E11" s="64">
        <f>IF(C11=0,N10,IF(C11&gt;1,L11))</f>
        <v>2102054.8199999998</v>
      </c>
      <c r="F11" s="64">
        <f>IF(C11=0,N10,IF(C11&gt;1,M11))</f>
        <v>3768721.4899999998</v>
      </c>
      <c r="G11" s="110">
        <f t="shared" si="3"/>
        <v>31</v>
      </c>
      <c r="H11" s="110">
        <f t="shared" si="1"/>
        <v>365</v>
      </c>
      <c r="I11" s="118">
        <f>I10</f>
        <v>1666666.67</v>
      </c>
      <c r="J11" s="118"/>
      <c r="K11" s="118"/>
      <c r="L11" s="112">
        <f>ROUND(C11*umumiy_malumot!$B$84/H11,2)*G11</f>
        <v>2102054.8199999998</v>
      </c>
      <c r="M11" s="112">
        <f t="shared" si="0"/>
        <v>3768721.4899999998</v>
      </c>
      <c r="N11" s="112"/>
      <c r="O11" s="124" t="str">
        <f t="shared" si="4"/>
        <v>Чт</v>
      </c>
      <c r="P11" s="126">
        <f t="shared" si="2"/>
        <v>0</v>
      </c>
      <c r="Q11" s="126">
        <f>DAY(umumiy_malumot!$B$78)+P11</f>
        <v>25</v>
      </c>
      <c r="R11" s="121">
        <f>IF(A11&lt;=umumiy_malumot!$B$81,DATE(YEAR($B$8),MONTH($B$8)+A10,DAY(umumiy_malumot!$B$78)),0)</f>
        <v>46198</v>
      </c>
      <c r="S11" s="110"/>
      <c r="T11" s="110"/>
      <c r="U11" s="110"/>
      <c r="V11" s="110"/>
    </row>
    <row r="12" spans="1:22">
      <c r="A12" s="116">
        <v>5</v>
      </c>
      <c r="B12" s="117">
        <f>IF(A12&lt;=umumiy_malumot!$B$81,DATE(YEAR(R12),MONTH(R12),DAY(R12)+P12),0)</f>
        <v>46230</v>
      </c>
      <c r="C12" s="64">
        <f>C11-D11</f>
        <v>43333333.319999993</v>
      </c>
      <c r="D12" s="64">
        <f>IF(C12=0,L12,IF(C12&gt;1,I12))</f>
        <v>1666666.67</v>
      </c>
      <c r="E12" s="64">
        <f>IF(C12=0,N11,IF(C12&gt;1,L12))</f>
        <v>2089497.6000000001</v>
      </c>
      <c r="F12" s="64">
        <f>IF(C12=0,N11,IF(C12&gt;1,M12))</f>
        <v>3756164.27</v>
      </c>
      <c r="G12" s="110">
        <f t="shared" si="3"/>
        <v>32</v>
      </c>
      <c r="H12" s="110">
        <f t="shared" si="1"/>
        <v>365</v>
      </c>
      <c r="I12" s="118">
        <f>I11</f>
        <v>1666666.67</v>
      </c>
      <c r="J12" s="118">
        <f>umumiy_malumot!B75</f>
        <v>50000000</v>
      </c>
      <c r="K12" s="118"/>
      <c r="L12" s="112">
        <f>ROUND(C12*umumiy_malumot!$B$84/H12,2)*G12</f>
        <v>2089497.6000000001</v>
      </c>
      <c r="M12" s="112">
        <f t="shared" si="0"/>
        <v>3756164.27</v>
      </c>
      <c r="N12" s="112"/>
      <c r="O12" s="124" t="str">
        <f t="shared" si="4"/>
        <v>Сб</v>
      </c>
      <c r="P12" s="126">
        <f t="shared" si="2"/>
        <v>2</v>
      </c>
      <c r="Q12" s="126">
        <f>DAY(umumiy_malumot!$B$78)+P12</f>
        <v>27</v>
      </c>
      <c r="R12" s="121">
        <f>IF(A12&lt;=umumiy_malumot!$B$81,DATE(YEAR($B$8),MONTH($B$8)+A11,DAY(umumiy_malumot!$B$78)),0)</f>
        <v>46228</v>
      </c>
      <c r="S12" s="110"/>
      <c r="T12" s="110"/>
      <c r="U12" s="110"/>
      <c r="V12" s="110"/>
    </row>
    <row r="13" spans="1:22">
      <c r="A13" s="116">
        <v>6</v>
      </c>
      <c r="B13" s="117">
        <f>IF(A13&lt;=umumiy_malumot!$B$81,DATE(YEAR(R13),MONTH(R13),DAY(IF(A13=umumiy_malumot!$B$81,umumiy_malumot!$B$67,IF(A13&lt;umumiy_malumot!$B$81,(Q13),IF(A13&gt;umumiy_malumot!$B$81,$H$56,0))))))</f>
        <v>46259</v>
      </c>
      <c r="C13" s="64">
        <f t="shared" ref="C13:C30" si="5">C12-D12</f>
        <v>41666666.649999991</v>
      </c>
      <c r="D13" s="64">
        <f t="shared" ref="D13:D30" si="6">IF(C13=0,L13,IF(C13&gt;1,I13))</f>
        <v>1666666.67</v>
      </c>
      <c r="E13" s="64">
        <f t="shared" ref="E13:E30" si="7">IF(C13=0,N12,IF(C13&gt;1,L13))</f>
        <v>1820776.31</v>
      </c>
      <c r="F13" s="64">
        <f t="shared" ref="F13:F30" si="8">IF(C13=0,N12,IF(C13&gt;1,M13))</f>
        <v>3487442.98</v>
      </c>
      <c r="G13" s="110">
        <f t="shared" si="3"/>
        <v>29</v>
      </c>
      <c r="H13" s="110">
        <f t="shared" si="1"/>
        <v>365</v>
      </c>
      <c r="I13" s="118">
        <f>IF(L5=H1,K13,IF(L5&gt;H1,I12))</f>
        <v>1666666.67</v>
      </c>
      <c r="J13" s="118">
        <f>SUM($I$8:I12)</f>
        <v>8333333.3499999996</v>
      </c>
      <c r="K13" s="118">
        <f>$J$12-J13</f>
        <v>41666666.649999999</v>
      </c>
      <c r="L13" s="112">
        <f>ROUND(C13*umumiy_malumot!$B$84/H13,2)*G13</f>
        <v>1820776.31</v>
      </c>
      <c r="M13" s="112">
        <f t="shared" si="0"/>
        <v>3487442.98</v>
      </c>
      <c r="N13" s="112"/>
      <c r="O13" s="124" t="str">
        <f t="shared" si="4"/>
        <v>Вт</v>
      </c>
      <c r="P13" s="126">
        <f t="shared" si="2"/>
        <v>0</v>
      </c>
      <c r="Q13" s="126">
        <f>DAY(umumiy_malumot!$B$78)+P13</f>
        <v>25</v>
      </c>
      <c r="R13" s="121">
        <f>IF(A13&lt;=umumiy_malumot!$B$81,DATE(YEAR($B$8),MONTH($B$8)+A12,DAY(umumiy_malumot!$B$78)),0)</f>
        <v>46259</v>
      </c>
      <c r="S13" s="110"/>
      <c r="T13" s="110"/>
      <c r="U13" s="110"/>
      <c r="V13" s="110"/>
    </row>
    <row r="14" spans="1:22">
      <c r="A14" s="116">
        <v>7</v>
      </c>
      <c r="B14" s="117">
        <f>IF(A14&lt;=umumiy_malumot!$B$81,DATE(YEAR(R14),MONTH(R14),DAY(IF(A14=umumiy_malumot!$B$81,umumiy_malumot!$B$67,IF(A14&lt;umumiy_malumot!$B$81,(Q14),IF(A14&gt;umumiy_malumot!$B$81,$H$56,0))))))</f>
        <v>46290</v>
      </c>
      <c r="C14" s="64">
        <f t="shared" si="5"/>
        <v>39999999.979999989</v>
      </c>
      <c r="D14" s="64">
        <f t="shared" si="6"/>
        <v>1666666.67</v>
      </c>
      <c r="E14" s="64">
        <f t="shared" si="7"/>
        <v>1868493.07</v>
      </c>
      <c r="F14" s="64">
        <f t="shared" si="8"/>
        <v>3535159.74</v>
      </c>
      <c r="G14" s="110">
        <f t="shared" si="3"/>
        <v>31</v>
      </c>
      <c r="H14" s="110">
        <f t="shared" si="1"/>
        <v>365</v>
      </c>
      <c r="I14" s="118">
        <f>IF($L$5=A14,K14,IF($L$5&gt;A14,I13))</f>
        <v>1666666.67</v>
      </c>
      <c r="J14" s="118">
        <f>SUM($I$8:I13)</f>
        <v>10000000.02</v>
      </c>
      <c r="K14" s="118">
        <f t="shared" ref="K14:K31" si="9">$J$12-J14</f>
        <v>39999999.980000004</v>
      </c>
      <c r="L14" s="112">
        <f>ROUND(C14*umumiy_malumot!$B$84/H14,2)*G14</f>
        <v>1868493.07</v>
      </c>
      <c r="M14" s="112">
        <f t="shared" si="0"/>
        <v>3535159.74</v>
      </c>
      <c r="N14" s="112"/>
      <c r="O14" s="124" t="str">
        <f t="shared" si="4"/>
        <v>Пт</v>
      </c>
      <c r="P14" s="126">
        <f t="shared" si="2"/>
        <v>0</v>
      </c>
      <c r="Q14" s="126">
        <f>DAY(umumiy_malumot!$B$78)+P14</f>
        <v>25</v>
      </c>
      <c r="R14" s="121">
        <f>IF(A14&lt;=umumiy_malumot!$B$81,DATE(YEAR($B$8),MONTH($B$8)+A13,DAY(umumiy_malumot!$B$78)),0)</f>
        <v>46290</v>
      </c>
      <c r="S14" s="110"/>
      <c r="T14" s="110"/>
      <c r="U14" s="110"/>
      <c r="V14" s="110"/>
    </row>
    <row r="15" spans="1:22">
      <c r="A15" s="116">
        <v>8</v>
      </c>
      <c r="B15" s="117">
        <f>IF(A15&lt;=umumiy_malumot!$B$81,DATE(YEAR(R15),MONTH(R15),DAY(IF(A15=umumiy_malumot!$B$81,umumiy_malumot!$B$67,IF(A15&lt;umumiy_malumot!$B$81,(Q15),IF(A15&gt;umumiy_malumot!$B$81,$H$56,0))))))</f>
        <v>46321</v>
      </c>
      <c r="C15" s="64">
        <f t="shared" si="5"/>
        <v>38333333.309999987</v>
      </c>
      <c r="D15" s="64">
        <f t="shared" si="6"/>
        <v>1666666.67</v>
      </c>
      <c r="E15" s="64">
        <f t="shared" si="7"/>
        <v>1790639.3599999999</v>
      </c>
      <c r="F15" s="64">
        <f t="shared" si="8"/>
        <v>3457306.03</v>
      </c>
      <c r="G15" s="110">
        <f t="shared" si="3"/>
        <v>31</v>
      </c>
      <c r="H15" s="110">
        <f t="shared" si="1"/>
        <v>365</v>
      </c>
      <c r="I15" s="118">
        <f t="shared" ref="I15:I31" si="10">IF($L$5=A15,K15,IF($L$5&gt;A15,I14))</f>
        <v>1666666.67</v>
      </c>
      <c r="J15" s="118">
        <f>SUM($I$8:I14)</f>
        <v>11666666.689999999</v>
      </c>
      <c r="K15" s="118">
        <f t="shared" si="9"/>
        <v>38333333.310000002</v>
      </c>
      <c r="L15" s="112">
        <f>ROUND(C15*umumiy_malumot!$B$84/H15,2)*G15</f>
        <v>1790639.3599999999</v>
      </c>
      <c r="M15" s="112">
        <f t="shared" si="0"/>
        <v>3457306.03</v>
      </c>
      <c r="N15" s="112"/>
      <c r="O15" s="124" t="str">
        <f t="shared" si="4"/>
        <v>Вс</v>
      </c>
      <c r="P15" s="126">
        <f t="shared" si="2"/>
        <v>1</v>
      </c>
      <c r="Q15" s="126">
        <f>DAY(umumiy_malumot!$B$78)+P15</f>
        <v>26</v>
      </c>
      <c r="R15" s="121">
        <f>IF(A15&lt;=umumiy_malumot!$B$81,DATE(YEAR($B$8),MONTH($B$8)+A14,DAY(umumiy_malumot!$B$78)),0)</f>
        <v>46320</v>
      </c>
      <c r="S15" s="110"/>
      <c r="T15" s="110"/>
      <c r="U15" s="110"/>
      <c r="V15" s="110"/>
    </row>
    <row r="16" spans="1:22">
      <c r="A16" s="116">
        <v>9</v>
      </c>
      <c r="B16" s="117">
        <f>IF(A16&lt;=umumiy_malumot!$B$81,DATE(YEAR(R16),MONTH(R16),DAY(IF(A16=umumiy_malumot!$B$81,umumiy_malumot!$B$67,IF(A16&lt;umumiy_malumot!$B$81,(Q16),IF(A16&gt;umumiy_malumot!$B$81,$H$56,0))))))</f>
        <v>46351</v>
      </c>
      <c r="C16" s="64">
        <f t="shared" si="5"/>
        <v>36666666.639999986</v>
      </c>
      <c r="D16" s="64">
        <f t="shared" si="6"/>
        <v>1666666.67</v>
      </c>
      <c r="E16" s="64">
        <f t="shared" si="7"/>
        <v>1657534.2</v>
      </c>
      <c r="F16" s="64">
        <f t="shared" si="8"/>
        <v>3324200.87</v>
      </c>
      <c r="G16" s="110">
        <f t="shared" si="3"/>
        <v>30</v>
      </c>
      <c r="H16" s="110">
        <f t="shared" si="1"/>
        <v>365</v>
      </c>
      <c r="I16" s="118">
        <f t="shared" si="10"/>
        <v>1666666.67</v>
      </c>
      <c r="J16" s="118">
        <f>SUM($I$8:I15)</f>
        <v>13333333.359999999</v>
      </c>
      <c r="K16" s="118">
        <f t="shared" si="9"/>
        <v>36666666.640000001</v>
      </c>
      <c r="L16" s="112">
        <f>ROUND(C16*umumiy_malumot!$B$84/H16,2)*G16</f>
        <v>1657534.2</v>
      </c>
      <c r="M16" s="112">
        <f t="shared" si="0"/>
        <v>3324200.87</v>
      </c>
      <c r="N16" s="112"/>
      <c r="O16" s="124" t="str">
        <f t="shared" si="4"/>
        <v>Ср</v>
      </c>
      <c r="P16" s="126">
        <f t="shared" si="2"/>
        <v>0</v>
      </c>
      <c r="Q16" s="126">
        <f>DAY(umumiy_malumot!$B$78)+P16</f>
        <v>25</v>
      </c>
      <c r="R16" s="121">
        <f>IF(A16&lt;=umumiy_malumot!$B$81,DATE(YEAR($B$8),MONTH($B$8)+A15,DAY(umumiy_malumot!$B$78)),0)</f>
        <v>46351</v>
      </c>
      <c r="S16" s="110"/>
      <c r="T16" s="110"/>
      <c r="U16" s="110"/>
      <c r="V16" s="110"/>
    </row>
    <row r="17" spans="1:22">
      <c r="A17" s="116">
        <v>10</v>
      </c>
      <c r="B17" s="117">
        <f>IF(A17&lt;=umumiy_malumot!$B$81,DATE(YEAR(R17),MONTH(R17),DAY(IF(A17=umumiy_malumot!$B$81,umumiy_malumot!$B$67,IF(A17&lt;umumiy_malumot!$B$81,(Q17),IF(A17&gt;umumiy_malumot!$B$81,$H$56,0))))))</f>
        <v>46381</v>
      </c>
      <c r="C17" s="64">
        <f t="shared" si="5"/>
        <v>34999999.969999984</v>
      </c>
      <c r="D17" s="64">
        <f t="shared" si="6"/>
        <v>1666666.67</v>
      </c>
      <c r="E17" s="64">
        <f t="shared" si="7"/>
        <v>1582191.9000000001</v>
      </c>
      <c r="F17" s="64">
        <f t="shared" si="8"/>
        <v>3248858.5700000003</v>
      </c>
      <c r="G17" s="110">
        <f t="shared" si="3"/>
        <v>30</v>
      </c>
      <c r="H17" s="110">
        <f t="shared" si="1"/>
        <v>365</v>
      </c>
      <c r="I17" s="118">
        <f t="shared" si="10"/>
        <v>1666666.67</v>
      </c>
      <c r="J17" s="118">
        <f>SUM($I$8:I16)</f>
        <v>15000000.029999999</v>
      </c>
      <c r="K17" s="118">
        <f>$J$12-J17</f>
        <v>34999999.969999999</v>
      </c>
      <c r="L17" s="112">
        <f>ROUND(C17*umumiy_malumot!$B$84/H17,2)*G17</f>
        <v>1582191.9000000001</v>
      </c>
      <c r="M17" s="112">
        <f t="shared" si="0"/>
        <v>3248858.5700000003</v>
      </c>
      <c r="N17" s="112"/>
      <c r="O17" s="124" t="str">
        <f t="shared" si="4"/>
        <v>Пт</v>
      </c>
      <c r="P17" s="126">
        <f t="shared" si="2"/>
        <v>0</v>
      </c>
      <c r="Q17" s="126">
        <f>DAY(umumiy_malumot!$B$78)+P17</f>
        <v>25</v>
      </c>
      <c r="R17" s="121">
        <f>IF(A17&lt;=umumiy_malumot!$B$81,DATE(YEAR($B$8),MONTH($B$8)+A16,DAY(umumiy_malumot!$B$78)),0)</f>
        <v>46381</v>
      </c>
      <c r="S17" s="110"/>
      <c r="T17" s="110"/>
      <c r="U17" s="110"/>
      <c r="V17" s="110"/>
    </row>
    <row r="18" spans="1:22">
      <c r="A18" s="116">
        <v>11</v>
      </c>
      <c r="B18" s="117">
        <f>IF(A18&lt;=umumiy_malumot!$B$81,DATE(YEAR(R18),MONTH(R18),DAY(IF(A18=umumiy_malumot!$B$81,umumiy_malumot!$B$67,IF(A18&lt;umumiy_malumot!$B$81,(Q18),IF(A18&gt;umumiy_malumot!$B$81,$H$56,0))))))</f>
        <v>46412</v>
      </c>
      <c r="C18" s="64">
        <f t="shared" si="5"/>
        <v>33333333.299999982</v>
      </c>
      <c r="D18" s="64">
        <f t="shared" si="6"/>
        <v>1666666.67</v>
      </c>
      <c r="E18" s="64">
        <f t="shared" si="7"/>
        <v>1557077.6099999999</v>
      </c>
      <c r="F18" s="64">
        <f t="shared" si="8"/>
        <v>3223744.28</v>
      </c>
      <c r="G18" s="110">
        <f t="shared" si="3"/>
        <v>31</v>
      </c>
      <c r="H18" s="110">
        <f t="shared" si="1"/>
        <v>365</v>
      </c>
      <c r="I18" s="118">
        <f t="shared" si="10"/>
        <v>1666666.67</v>
      </c>
      <c r="J18" s="118">
        <f>SUM($I$8:I17)</f>
        <v>16666666.699999999</v>
      </c>
      <c r="K18" s="118">
        <f t="shared" si="9"/>
        <v>33333333.300000001</v>
      </c>
      <c r="L18" s="112">
        <f>ROUND(C18*umumiy_malumot!$B$84/H18,2)*G18</f>
        <v>1557077.6099999999</v>
      </c>
      <c r="M18" s="112">
        <f t="shared" si="0"/>
        <v>3223744.28</v>
      </c>
      <c r="N18" s="112"/>
      <c r="O18" s="124" t="str">
        <f t="shared" si="4"/>
        <v>Пн</v>
      </c>
      <c r="P18" s="126">
        <f t="shared" si="2"/>
        <v>0</v>
      </c>
      <c r="Q18" s="126">
        <f>DAY(umumiy_malumot!$B$78)+P18</f>
        <v>25</v>
      </c>
      <c r="R18" s="121">
        <f>IF(A18&lt;=umumiy_malumot!$B$81,DATE(YEAR($B$8),MONTH($B$8)+A17,DAY(umumiy_malumot!$B$78)),0)</f>
        <v>46412</v>
      </c>
      <c r="S18" s="110"/>
      <c r="T18" s="110"/>
      <c r="U18" s="110"/>
      <c r="V18" s="110"/>
    </row>
    <row r="19" spans="1:22">
      <c r="A19" s="116">
        <v>12</v>
      </c>
      <c r="B19" s="117">
        <f>IF(A19&lt;=umumiy_malumot!$B$81,DATE(YEAR(R19),MONTH(R19),DAY(IF(A19=umumiy_malumot!$B$81,umumiy_malumot!$B$67,IF(A19&lt;umumiy_malumot!$B$81,(Q19),IF(A19&gt;umumiy_malumot!$B$81,$H$56,0))))))</f>
        <v>46443</v>
      </c>
      <c r="C19" s="64">
        <f t="shared" si="5"/>
        <v>31666666.62999998</v>
      </c>
      <c r="D19" s="64">
        <f t="shared" si="6"/>
        <v>1666666.67</v>
      </c>
      <c r="E19" s="64">
        <f t="shared" si="7"/>
        <v>1479223.59</v>
      </c>
      <c r="F19" s="64">
        <f t="shared" si="8"/>
        <v>3145890.26</v>
      </c>
      <c r="G19" s="110">
        <f t="shared" si="3"/>
        <v>31</v>
      </c>
      <c r="H19" s="110">
        <f t="shared" si="1"/>
        <v>365</v>
      </c>
      <c r="I19" s="118">
        <f t="shared" si="10"/>
        <v>1666666.67</v>
      </c>
      <c r="J19" s="118">
        <f>SUM($I$8:I18)</f>
        <v>18333333.369999997</v>
      </c>
      <c r="K19" s="118">
        <f t="shared" si="9"/>
        <v>31666666.630000003</v>
      </c>
      <c r="L19" s="112">
        <f>ROUND(C19*umumiy_malumot!$B$84/H19,2)*G19</f>
        <v>1479223.59</v>
      </c>
      <c r="M19" s="112">
        <f t="shared" si="0"/>
        <v>3145890.26</v>
      </c>
      <c r="N19" s="112"/>
      <c r="O19" s="124" t="str">
        <f t="shared" si="4"/>
        <v>Чт</v>
      </c>
      <c r="P19" s="126">
        <f t="shared" si="2"/>
        <v>0</v>
      </c>
      <c r="Q19" s="126">
        <f>DAY(umumiy_malumot!$B$78)+P19</f>
        <v>25</v>
      </c>
      <c r="R19" s="121">
        <f>IF(A19&lt;=umumiy_malumot!$B$81,DATE(YEAR($B$8),MONTH($B$8)+A18,DAY(umumiy_malumot!$B$78)),0)</f>
        <v>46443</v>
      </c>
      <c r="S19" s="110"/>
      <c r="T19" s="110"/>
      <c r="U19" s="110"/>
      <c r="V19" s="110"/>
    </row>
    <row r="20" spans="1:22">
      <c r="A20" s="116">
        <v>13</v>
      </c>
      <c r="B20" s="117">
        <f>IF(A20&lt;=umumiy_malumot!$B$81,DATE(YEAR(R20),MONTH(R20),DAY(IF(A20=umumiy_malumot!$B$81,umumiy_malumot!$B$67,IF(A20&lt;umumiy_malumot!$B$81,(Q20),IF(A20&gt;umumiy_malumot!$B$81,$H$56,0))))))</f>
        <v>46471</v>
      </c>
      <c r="C20" s="64">
        <f t="shared" si="5"/>
        <v>29999999.959999979</v>
      </c>
      <c r="D20" s="64">
        <f t="shared" si="6"/>
        <v>1666666.67</v>
      </c>
      <c r="E20" s="64">
        <f t="shared" si="7"/>
        <v>1265753.4400000002</v>
      </c>
      <c r="F20" s="64">
        <f t="shared" si="8"/>
        <v>2932420.1100000003</v>
      </c>
      <c r="G20" s="110">
        <f t="shared" si="3"/>
        <v>28</v>
      </c>
      <c r="H20" s="110">
        <f t="shared" si="1"/>
        <v>365</v>
      </c>
      <c r="I20" s="118">
        <f t="shared" si="10"/>
        <v>1666666.67</v>
      </c>
      <c r="J20" s="118">
        <f>SUM($I$8:I19)</f>
        <v>20000000.039999999</v>
      </c>
      <c r="K20" s="118">
        <f>$J$12-J20</f>
        <v>29999999.960000001</v>
      </c>
      <c r="L20" s="112">
        <f>ROUND(C20*umumiy_malumot!$B$84/H20,2)*G20</f>
        <v>1265753.4400000002</v>
      </c>
      <c r="M20" s="112">
        <f t="shared" si="0"/>
        <v>2932420.1100000003</v>
      </c>
      <c r="N20" s="112"/>
      <c r="O20" s="124" t="str">
        <f t="shared" si="4"/>
        <v>Чт</v>
      </c>
      <c r="P20" s="126">
        <f t="shared" si="2"/>
        <v>0</v>
      </c>
      <c r="Q20" s="126">
        <f>DAY(umumiy_malumot!$B$78)+P20</f>
        <v>25</v>
      </c>
      <c r="R20" s="121">
        <f>IF(A20&lt;=umumiy_malumot!$B$81,DATE(YEAR($B$8),MONTH($B$8)+A19,DAY(umumiy_malumot!$B$78)),0)</f>
        <v>46471</v>
      </c>
      <c r="S20" s="110"/>
      <c r="T20" s="110"/>
      <c r="U20" s="110"/>
      <c r="V20" s="110"/>
    </row>
    <row r="21" spans="1:22">
      <c r="A21" s="116">
        <v>14</v>
      </c>
      <c r="B21" s="117">
        <f>IF(A21&lt;=umumiy_malumot!$B$81,DATE(YEAR(R21),MONTH(R21),DAY(IF(A21=umumiy_malumot!$B$81,umumiy_malumot!$B$67,IF(A21&lt;umumiy_malumot!$B$81,(Q21),IF(A21&gt;umumiy_malumot!$B$81,$H$56,0))))))</f>
        <v>46503</v>
      </c>
      <c r="C21" s="64">
        <f t="shared" si="5"/>
        <v>28333333.289999977</v>
      </c>
      <c r="D21" s="64">
        <f t="shared" si="6"/>
        <v>1666666.67</v>
      </c>
      <c r="E21" s="64">
        <f t="shared" si="7"/>
        <v>1366209.92</v>
      </c>
      <c r="F21" s="64">
        <f t="shared" si="8"/>
        <v>3032876.59</v>
      </c>
      <c r="G21" s="110">
        <f t="shared" si="3"/>
        <v>32</v>
      </c>
      <c r="H21" s="110">
        <f t="shared" si="1"/>
        <v>365</v>
      </c>
      <c r="I21" s="118">
        <f t="shared" si="10"/>
        <v>1666666.67</v>
      </c>
      <c r="J21" s="118">
        <f>SUM($I$8:I20)</f>
        <v>21666666.710000001</v>
      </c>
      <c r="K21" s="118">
        <f t="shared" si="9"/>
        <v>28333333.289999999</v>
      </c>
      <c r="L21" s="112">
        <f>ROUND(C21*umumiy_malumot!$B$84/H21,2)*G21</f>
        <v>1366209.92</v>
      </c>
      <c r="M21" s="112">
        <f t="shared" si="0"/>
        <v>3032876.59</v>
      </c>
      <c r="N21" s="112"/>
      <c r="O21" s="124" t="str">
        <f t="shared" si="4"/>
        <v>Вс</v>
      </c>
      <c r="P21" s="126">
        <f t="shared" si="2"/>
        <v>1</v>
      </c>
      <c r="Q21" s="126">
        <f>DAY(umumiy_malumot!$B$78)+P21</f>
        <v>26</v>
      </c>
      <c r="R21" s="121">
        <f>IF(A21&lt;=umumiy_malumot!$B$81,DATE(YEAR($B$8),MONTH($B$8)+A20,DAY(umumiy_malumot!$B$78)),0)</f>
        <v>46502</v>
      </c>
      <c r="S21" s="110"/>
      <c r="T21" s="110"/>
      <c r="U21" s="110"/>
      <c r="V21" s="110"/>
    </row>
    <row r="22" spans="1:22">
      <c r="A22" s="116">
        <v>15</v>
      </c>
      <c r="B22" s="117">
        <f>IF(A22&lt;=umumiy_malumot!$B$81,DATE(YEAR(R22),MONTH(R22),DAY(IF(A22=umumiy_malumot!$B$81,umumiy_malumot!$B$67,IF(A22&lt;umumiy_malumot!$B$81,(Q22),IF(A22&gt;umumiy_malumot!$B$81,$H$56,0))))))</f>
        <v>46532</v>
      </c>
      <c r="C22" s="64">
        <f t="shared" si="5"/>
        <v>26666666.619999975</v>
      </c>
      <c r="D22" s="64">
        <f t="shared" si="6"/>
        <v>1666666.67</v>
      </c>
      <c r="E22" s="64">
        <f t="shared" si="7"/>
        <v>1165296.8500000001</v>
      </c>
      <c r="F22" s="64">
        <f t="shared" si="8"/>
        <v>2831963.52</v>
      </c>
      <c r="G22" s="110">
        <f t="shared" si="3"/>
        <v>29</v>
      </c>
      <c r="H22" s="110">
        <f t="shared" si="1"/>
        <v>365</v>
      </c>
      <c r="I22" s="118">
        <f t="shared" si="10"/>
        <v>1666666.67</v>
      </c>
      <c r="J22" s="118">
        <f>SUM($I$8:I21)</f>
        <v>23333333.380000003</v>
      </c>
      <c r="K22" s="118">
        <f t="shared" si="9"/>
        <v>26666666.619999997</v>
      </c>
      <c r="L22" s="112">
        <f>ROUND(C22*umumiy_malumot!$B$84/H22,2)*G22</f>
        <v>1165296.8500000001</v>
      </c>
      <c r="M22" s="112">
        <f t="shared" si="0"/>
        <v>2831963.52</v>
      </c>
      <c r="N22" s="112"/>
      <c r="O22" s="124" t="str">
        <f t="shared" si="4"/>
        <v>Вт</v>
      </c>
      <c r="P22" s="126">
        <f t="shared" si="2"/>
        <v>0</v>
      </c>
      <c r="Q22" s="126">
        <f>DAY(umumiy_malumot!$B$78)+P22</f>
        <v>25</v>
      </c>
      <c r="R22" s="121">
        <f>IF(A22&lt;=umumiy_malumot!$B$81,DATE(YEAR($B$8),MONTH($B$8)+A21,DAY(umumiy_malumot!$B$78)),0)</f>
        <v>46532</v>
      </c>
      <c r="S22" s="110"/>
      <c r="T22" s="110"/>
      <c r="U22" s="110"/>
      <c r="V22" s="110"/>
    </row>
    <row r="23" spans="1:22">
      <c r="A23" s="116">
        <v>16</v>
      </c>
      <c r="B23" s="117">
        <f>IF(A23&lt;=umumiy_malumot!$B$81,DATE(YEAR(R23),MONTH(R23),DAY(IF(A23=umumiy_malumot!$B$81,umumiy_malumot!$B$67,IF(A23&lt;umumiy_malumot!$B$81,(Q23),IF(A23&gt;umumiy_malumot!$B$81,$H$56,0))))))</f>
        <v>46563</v>
      </c>
      <c r="C23" s="64">
        <f t="shared" si="5"/>
        <v>24999999.949999973</v>
      </c>
      <c r="D23" s="64">
        <f t="shared" si="6"/>
        <v>1666666.67</v>
      </c>
      <c r="E23" s="64">
        <f t="shared" si="7"/>
        <v>1167808.1300000001</v>
      </c>
      <c r="F23" s="64">
        <f t="shared" si="8"/>
        <v>2834474.8</v>
      </c>
      <c r="G23" s="110">
        <f t="shared" si="3"/>
        <v>31</v>
      </c>
      <c r="H23" s="110">
        <f t="shared" si="1"/>
        <v>365</v>
      </c>
      <c r="I23" s="118">
        <f t="shared" si="10"/>
        <v>1666666.67</v>
      </c>
      <c r="J23" s="118">
        <f>SUM($I$8:I22)</f>
        <v>25000000.050000004</v>
      </c>
      <c r="K23" s="118">
        <f t="shared" si="9"/>
        <v>24999999.949999996</v>
      </c>
      <c r="L23" s="112">
        <f>ROUND(C23*umumiy_malumot!$B$84/H23,2)*G23</f>
        <v>1167808.1300000001</v>
      </c>
      <c r="M23" s="112">
        <f t="shared" si="0"/>
        <v>2834474.8</v>
      </c>
      <c r="N23" s="112"/>
      <c r="O23" s="124" t="str">
        <f t="shared" si="4"/>
        <v>Пт</v>
      </c>
      <c r="P23" s="126">
        <f t="shared" si="2"/>
        <v>0</v>
      </c>
      <c r="Q23" s="126">
        <f>DAY(umumiy_malumot!$B$78)+P23</f>
        <v>25</v>
      </c>
      <c r="R23" s="121">
        <f>IF(A23&lt;=umumiy_malumot!$B$81,DATE(YEAR($B$8),MONTH($B$8)+A22,DAY(umumiy_malumot!$B$78)),0)</f>
        <v>46563</v>
      </c>
      <c r="S23" s="110"/>
      <c r="T23" s="110"/>
      <c r="U23" s="110"/>
      <c r="V23" s="110"/>
    </row>
    <row r="24" spans="1:22">
      <c r="A24" s="116">
        <v>17</v>
      </c>
      <c r="B24" s="117">
        <f>IF(A24&lt;=umumiy_malumot!$B$81,DATE(YEAR(R24),MONTH(R24),DAY(IF(A24=umumiy_malumot!$B$81,umumiy_malumot!$B$67,IF(A24&lt;umumiy_malumot!$B$81,(Q24),IF(A24&gt;umumiy_malumot!$B$81,$H$56,0))))))</f>
        <v>46594</v>
      </c>
      <c r="C24" s="64">
        <f t="shared" si="5"/>
        <v>23333333.279999971</v>
      </c>
      <c r="D24" s="64">
        <f t="shared" si="6"/>
        <v>1666666.67</v>
      </c>
      <c r="E24" s="64">
        <f t="shared" si="7"/>
        <v>1089954.42</v>
      </c>
      <c r="F24" s="64">
        <f t="shared" si="8"/>
        <v>2756621.09</v>
      </c>
      <c r="G24" s="110">
        <f t="shared" si="3"/>
        <v>31</v>
      </c>
      <c r="H24" s="110">
        <f t="shared" si="1"/>
        <v>365</v>
      </c>
      <c r="I24" s="118">
        <f t="shared" si="10"/>
        <v>1666666.67</v>
      </c>
      <c r="J24" s="118">
        <f>SUM($I$8:I23)</f>
        <v>26666666.720000006</v>
      </c>
      <c r="K24" s="118">
        <f t="shared" si="9"/>
        <v>23333333.279999994</v>
      </c>
      <c r="L24" s="112">
        <f>ROUND(C24*umumiy_malumot!$B$84/H24,2)*G24</f>
        <v>1089954.42</v>
      </c>
      <c r="M24" s="112">
        <f t="shared" si="0"/>
        <v>2756621.09</v>
      </c>
      <c r="N24" s="112"/>
      <c r="O24" s="124" t="str">
        <f t="shared" si="4"/>
        <v>Вс</v>
      </c>
      <c r="P24" s="126">
        <f t="shared" si="2"/>
        <v>1</v>
      </c>
      <c r="Q24" s="126">
        <f>DAY(umumiy_malumot!$B$78)+P24</f>
        <v>26</v>
      </c>
      <c r="R24" s="121">
        <f>IF(A24&lt;=umumiy_malumot!$B$81,DATE(YEAR($B$8),MONTH($B$8)+A23,DAY(umumiy_malumot!$B$78)),0)</f>
        <v>46593</v>
      </c>
      <c r="S24" s="110"/>
      <c r="T24" s="110"/>
      <c r="U24" s="110"/>
      <c r="V24" s="110"/>
    </row>
    <row r="25" spans="1:22">
      <c r="A25" s="116">
        <v>18</v>
      </c>
      <c r="B25" s="117">
        <f>IF(A25&lt;=umumiy_malumot!$B$81,DATE(YEAR(R25),MONTH(R25),DAY(IF(A25=umumiy_malumot!$B$81,umumiy_malumot!$B$67,IF(A25&lt;umumiy_malumot!$B$81,(Q25),IF(A25&gt;umumiy_malumot!$B$81,$H$56,0))))))</f>
        <v>46624</v>
      </c>
      <c r="C25" s="64">
        <f t="shared" si="5"/>
        <v>21666666.60999997</v>
      </c>
      <c r="D25" s="64">
        <f t="shared" si="6"/>
        <v>1666666.67</v>
      </c>
      <c r="E25" s="64">
        <f t="shared" si="7"/>
        <v>979452</v>
      </c>
      <c r="F25" s="64">
        <f t="shared" si="8"/>
        <v>2646118.67</v>
      </c>
      <c r="G25" s="110">
        <f t="shared" si="3"/>
        <v>30</v>
      </c>
      <c r="H25" s="110">
        <f t="shared" si="1"/>
        <v>365</v>
      </c>
      <c r="I25" s="118">
        <f t="shared" si="10"/>
        <v>1666666.67</v>
      </c>
      <c r="J25" s="118">
        <f>SUM($I$8:I24)</f>
        <v>28333333.390000008</v>
      </c>
      <c r="K25" s="118">
        <f t="shared" si="9"/>
        <v>21666666.609999992</v>
      </c>
      <c r="L25" s="112">
        <f>ROUND(C25*umumiy_malumot!$B$84/H25,2)*G25</f>
        <v>979452</v>
      </c>
      <c r="M25" s="112">
        <f t="shared" si="0"/>
        <v>2646118.67</v>
      </c>
      <c r="N25" s="112"/>
      <c r="O25" s="124" t="str">
        <f t="shared" si="4"/>
        <v>Ср</v>
      </c>
      <c r="P25" s="126">
        <f t="shared" si="2"/>
        <v>0</v>
      </c>
      <c r="Q25" s="126">
        <f>DAY(umumiy_malumot!$B$78)+P25</f>
        <v>25</v>
      </c>
      <c r="R25" s="121">
        <f>IF(A25&lt;=umumiy_malumot!$B$81,DATE(YEAR($B$8),MONTH($B$8)+A24,DAY(umumiy_malumot!$B$78)),0)</f>
        <v>46624</v>
      </c>
      <c r="S25" s="110"/>
      <c r="T25" s="110"/>
      <c r="U25" s="110"/>
      <c r="V25" s="110"/>
    </row>
    <row r="26" spans="1:22">
      <c r="A26" s="116">
        <v>19</v>
      </c>
      <c r="B26" s="117">
        <f>IF(A26&lt;=umumiy_malumot!$B$81,DATE(YEAR(R26),MONTH(R26),DAY(IF(A26=umumiy_malumot!$B$81,umumiy_malumot!$B$67,IF(A26&lt;umumiy_malumot!$B$81,(Q26),IF(A26&gt;umumiy_malumot!$B$81,$H$56,0))))))</f>
        <v>46657</v>
      </c>
      <c r="C26" s="64">
        <f t="shared" si="5"/>
        <v>19999999.939999968</v>
      </c>
      <c r="D26" s="64">
        <f t="shared" si="6"/>
        <v>1666666.67</v>
      </c>
      <c r="E26" s="64">
        <f t="shared" si="7"/>
        <v>994520.67</v>
      </c>
      <c r="F26" s="64">
        <f t="shared" si="8"/>
        <v>2661187.34</v>
      </c>
      <c r="G26" s="110">
        <f t="shared" si="3"/>
        <v>33</v>
      </c>
      <c r="H26" s="110">
        <f t="shared" si="1"/>
        <v>365</v>
      </c>
      <c r="I26" s="118">
        <f t="shared" si="10"/>
        <v>1666666.67</v>
      </c>
      <c r="J26" s="118">
        <f>SUM($I$8:I25)</f>
        <v>30000000.06000001</v>
      </c>
      <c r="K26" s="118">
        <f t="shared" si="9"/>
        <v>19999999.93999999</v>
      </c>
      <c r="L26" s="112">
        <f>ROUND(C26*umumiy_malumot!$B$84/H26,2)*G26</f>
        <v>994520.67</v>
      </c>
      <c r="M26" s="112">
        <f t="shared" si="0"/>
        <v>2661187.34</v>
      </c>
      <c r="N26" s="112"/>
      <c r="O26" s="124" t="str">
        <f t="shared" si="4"/>
        <v>Сб</v>
      </c>
      <c r="P26" s="126">
        <f t="shared" si="2"/>
        <v>2</v>
      </c>
      <c r="Q26" s="126">
        <f>DAY(umumiy_malumot!$B$78)+P26</f>
        <v>27</v>
      </c>
      <c r="R26" s="121">
        <f>IF(A26&lt;=umumiy_malumot!$B$81,DATE(YEAR($B$8),MONTH($B$8)+A25,DAY(umumiy_malumot!$B$78)),0)</f>
        <v>46655</v>
      </c>
      <c r="S26" s="110"/>
      <c r="T26" s="110"/>
      <c r="U26" s="110"/>
      <c r="V26" s="110"/>
    </row>
    <row r="27" spans="1:22">
      <c r="A27" s="116">
        <v>20</v>
      </c>
      <c r="B27" s="117">
        <f>IF(A27&lt;=umumiy_malumot!$B$81,DATE(YEAR(R27),MONTH(R27),DAY(IF(A27=umumiy_malumot!$B$81,umumiy_malumot!$B$67,IF(A27&lt;umumiy_malumot!$B$81,(Q27),IF(A27&gt;umumiy_malumot!$B$81,$H$56,0))))))</f>
        <v>46685</v>
      </c>
      <c r="C27" s="64">
        <f t="shared" si="5"/>
        <v>18333333.269999966</v>
      </c>
      <c r="D27" s="64">
        <f t="shared" si="6"/>
        <v>1666666.67</v>
      </c>
      <c r="E27" s="64">
        <f t="shared" si="7"/>
        <v>773515.96</v>
      </c>
      <c r="F27" s="64">
        <f t="shared" si="8"/>
        <v>2440182.63</v>
      </c>
      <c r="G27" s="110">
        <f t="shared" si="3"/>
        <v>28</v>
      </c>
      <c r="H27" s="110">
        <f t="shared" si="1"/>
        <v>365</v>
      </c>
      <c r="I27" s="118">
        <f t="shared" si="10"/>
        <v>1666666.67</v>
      </c>
      <c r="J27" s="118">
        <f>SUM($I$8:I26)</f>
        <v>31666666.730000012</v>
      </c>
      <c r="K27" s="118">
        <f t="shared" si="9"/>
        <v>18333333.269999988</v>
      </c>
      <c r="L27" s="112">
        <f>ROUND(C27*umumiy_malumot!$B$84/H27,2)*G27</f>
        <v>773515.96</v>
      </c>
      <c r="M27" s="112">
        <f t="shared" si="0"/>
        <v>2440182.63</v>
      </c>
      <c r="N27" s="112"/>
      <c r="O27" s="124" t="str">
        <f t="shared" si="4"/>
        <v>Пн</v>
      </c>
      <c r="P27" s="126">
        <f t="shared" si="2"/>
        <v>0</v>
      </c>
      <c r="Q27" s="126">
        <f>DAY(umumiy_malumot!$B$78)+P27</f>
        <v>25</v>
      </c>
      <c r="R27" s="121">
        <f>IF(A27&lt;=umumiy_malumot!$B$81,DATE(YEAR($B$8),MONTH($B$8)+A26,DAY(umumiy_malumot!$B$78)),0)</f>
        <v>46685</v>
      </c>
      <c r="S27" s="110"/>
      <c r="T27" s="110"/>
      <c r="U27" s="110"/>
      <c r="V27" s="110"/>
    </row>
    <row r="28" spans="1:22">
      <c r="A28" s="116">
        <v>21</v>
      </c>
      <c r="B28" s="117">
        <f>IF(A28&lt;=umumiy_malumot!$B$81,DATE(YEAR(R28),MONTH(R28),DAY(IF(A28=umumiy_malumot!$B$81,umumiy_malumot!$B$67,IF(A28&lt;umumiy_malumot!$B$81,(Q28),IF(A28&gt;umumiy_malumot!$B$81,$H$56,0))))))</f>
        <v>46716</v>
      </c>
      <c r="C28" s="64">
        <f t="shared" si="5"/>
        <v>16666666.599999966</v>
      </c>
      <c r="D28" s="64">
        <f t="shared" si="6"/>
        <v>1666666.67</v>
      </c>
      <c r="E28" s="64">
        <f t="shared" si="7"/>
        <v>778538.96</v>
      </c>
      <c r="F28" s="64">
        <f t="shared" si="8"/>
        <v>2445205.63</v>
      </c>
      <c r="G28" s="110">
        <f t="shared" si="3"/>
        <v>31</v>
      </c>
      <c r="H28" s="110">
        <f t="shared" si="1"/>
        <v>365</v>
      </c>
      <c r="I28" s="118">
        <f t="shared" si="10"/>
        <v>1666666.67</v>
      </c>
      <c r="J28" s="118">
        <f>SUM($I$8:I27)</f>
        <v>33333333.400000013</v>
      </c>
      <c r="K28" s="118">
        <f t="shared" si="9"/>
        <v>16666666.599999987</v>
      </c>
      <c r="L28" s="112">
        <f>ROUND(C28*umumiy_malumot!$B$84/H28,2)*G28</f>
        <v>778538.96</v>
      </c>
      <c r="M28" s="112">
        <f t="shared" si="0"/>
        <v>2445205.63</v>
      </c>
      <c r="N28" s="112"/>
      <c r="O28" s="124" t="str">
        <f t="shared" si="4"/>
        <v>Чт</v>
      </c>
      <c r="P28" s="126">
        <f t="shared" si="2"/>
        <v>0</v>
      </c>
      <c r="Q28" s="126">
        <f>DAY(umumiy_malumot!$B$78)+P28</f>
        <v>25</v>
      </c>
      <c r="R28" s="121">
        <f>IF(A28&lt;=umumiy_malumot!$B$81,DATE(YEAR($B$8),MONTH($B$8)+A27,DAY(umumiy_malumot!$B$78)),0)</f>
        <v>46716</v>
      </c>
      <c r="S28" s="110"/>
      <c r="T28" s="110"/>
      <c r="U28" s="110"/>
      <c r="V28" s="110"/>
    </row>
    <row r="29" spans="1:22">
      <c r="A29" s="116">
        <v>22</v>
      </c>
      <c r="B29" s="117">
        <f>IF(A29&lt;=umumiy_malumot!$B$81,DATE(YEAR(R29),MONTH(R29),DAY(IF(A29=umumiy_malumot!$B$81,umumiy_malumot!$B$67,IF(A29&lt;umumiy_malumot!$B$81,(Q29),IF(A29&gt;umumiy_malumot!$B$81,$H$56,0))))))</f>
        <v>46748</v>
      </c>
      <c r="C29" s="64">
        <f t="shared" si="5"/>
        <v>14999999.929999966</v>
      </c>
      <c r="D29" s="64">
        <f t="shared" si="6"/>
        <v>1666666.67</v>
      </c>
      <c r="E29" s="64">
        <f t="shared" si="7"/>
        <v>723287.68</v>
      </c>
      <c r="F29" s="64">
        <f t="shared" si="8"/>
        <v>2389954.35</v>
      </c>
      <c r="G29" s="110">
        <f t="shared" si="3"/>
        <v>32</v>
      </c>
      <c r="H29" s="110">
        <f t="shared" si="1"/>
        <v>365</v>
      </c>
      <c r="I29" s="118">
        <f t="shared" si="10"/>
        <v>1666666.67</v>
      </c>
      <c r="J29" s="118">
        <f>SUM($I$8:I28)</f>
        <v>35000000.070000015</v>
      </c>
      <c r="K29" s="118">
        <f t="shared" si="9"/>
        <v>14999999.929999985</v>
      </c>
      <c r="L29" s="112">
        <f>ROUND(C29*umumiy_malumot!$B$84/H29,2)*G29</f>
        <v>723287.68</v>
      </c>
      <c r="M29" s="112">
        <f t="shared" si="0"/>
        <v>2389954.35</v>
      </c>
      <c r="N29" s="112"/>
      <c r="O29" s="124" t="str">
        <f t="shared" si="4"/>
        <v>Сб</v>
      </c>
      <c r="P29" s="126">
        <f t="shared" si="2"/>
        <v>2</v>
      </c>
      <c r="Q29" s="126">
        <f>DAY(umumiy_malumot!$B$78)+P29</f>
        <v>27</v>
      </c>
      <c r="R29" s="121">
        <f>IF(A29&lt;=umumiy_malumot!$B$81,DATE(YEAR($B$8),MONTH($B$8)+A28,DAY(umumiy_malumot!$B$78)),0)</f>
        <v>46746</v>
      </c>
      <c r="S29" s="110"/>
      <c r="T29" s="110"/>
      <c r="U29" s="110"/>
      <c r="V29" s="110"/>
    </row>
    <row r="30" spans="1:22">
      <c r="A30" s="116">
        <v>23</v>
      </c>
      <c r="B30" s="117">
        <f>IF(A30&lt;=umumiy_malumot!$B$81,DATE(YEAR(R30),MONTH(R30),DAY(IF(A30=umumiy_malumot!$B$81,umumiy_malumot!$B$67,IF(A30&lt;umumiy_malumot!$B$81,(Q30),IF(A30&gt;umumiy_malumot!$B$81,$H$56,0))))))</f>
        <v>46777</v>
      </c>
      <c r="C30" s="64">
        <f t="shared" si="5"/>
        <v>13333333.259999966</v>
      </c>
      <c r="D30" s="64">
        <f t="shared" si="6"/>
        <v>1666666.67</v>
      </c>
      <c r="E30" s="64">
        <f t="shared" si="7"/>
        <v>581056.47</v>
      </c>
      <c r="F30" s="64">
        <f t="shared" si="8"/>
        <v>2247723.1399999997</v>
      </c>
      <c r="G30" s="110">
        <f t="shared" si="3"/>
        <v>29</v>
      </c>
      <c r="H30" s="110">
        <f t="shared" si="1"/>
        <v>366</v>
      </c>
      <c r="I30" s="118">
        <f t="shared" si="10"/>
        <v>1666666.67</v>
      </c>
      <c r="J30" s="118">
        <f>SUM($I$8:I29)</f>
        <v>36666666.740000017</v>
      </c>
      <c r="K30" s="118">
        <f t="shared" si="9"/>
        <v>13333333.259999983</v>
      </c>
      <c r="L30" s="112">
        <f>ROUND(C30*umumiy_malumot!$B$84/H30,2)*G30</f>
        <v>581056.47</v>
      </c>
      <c r="M30" s="112">
        <f t="shared" si="0"/>
        <v>2247723.1399999997</v>
      </c>
      <c r="N30" s="112"/>
      <c r="O30" s="124" t="str">
        <f t="shared" si="4"/>
        <v>Вт</v>
      </c>
      <c r="P30" s="126">
        <f t="shared" si="2"/>
        <v>0</v>
      </c>
      <c r="Q30" s="126">
        <f>DAY(umumiy_malumot!$B$78)+P30</f>
        <v>25</v>
      </c>
      <c r="R30" s="121">
        <f>IF(A30&lt;=umumiy_malumot!$B$81,DATE(YEAR($B$8),MONTH($B$8)+A29,DAY(umumiy_malumot!$B$78)),0)</f>
        <v>46777</v>
      </c>
      <c r="S30" s="110"/>
      <c r="T30" s="110"/>
      <c r="U30" s="110"/>
      <c r="V30" s="110"/>
    </row>
    <row r="31" spans="1:22">
      <c r="A31" s="116">
        <v>24</v>
      </c>
      <c r="B31" s="117">
        <f>IF(A31&lt;=umumiy_malumot!$B$81,DATE(YEAR(R31),MONTH(R31),DAY(IF(A31=umumiy_malumot!$B$81,umumiy_malumot!$B$67,IF(A31&lt;umumiy_malumot!$B$81,(Q31),IF(A31&gt;umumiy_malumot!$B$81,$H$56,0))))))</f>
        <v>46808</v>
      </c>
      <c r="C31" s="64">
        <f>C30-D30</f>
        <v>11666666.589999966</v>
      </c>
      <c r="D31" s="64">
        <f>IF(C31=0,L31,IF(C31&gt;1,I31))</f>
        <v>1666666.67</v>
      </c>
      <c r="E31" s="64">
        <f>IF(C31=0,N30,IF(C31&gt;1,L31))</f>
        <v>543488.28</v>
      </c>
      <c r="F31" s="64">
        <f>IF(C31=0,N30,IF(C31&gt;1,M31))</f>
        <v>2210154.9500000002</v>
      </c>
      <c r="G31" s="110">
        <f t="shared" si="3"/>
        <v>31</v>
      </c>
      <c r="H31" s="110">
        <f t="shared" si="1"/>
        <v>366</v>
      </c>
      <c r="I31" s="118">
        <f t="shared" si="10"/>
        <v>1666666.67</v>
      </c>
      <c r="J31" s="118">
        <f>SUM($I$8:I30)</f>
        <v>38333333.410000019</v>
      </c>
      <c r="K31" s="118">
        <f t="shared" si="9"/>
        <v>11666666.589999981</v>
      </c>
      <c r="L31" s="112">
        <f>ROUND(C31*umumiy_malumot!$B$84/H31,2)*G31</f>
        <v>543488.28</v>
      </c>
      <c r="M31" s="112">
        <f t="shared" si="0"/>
        <v>2210154.9500000002</v>
      </c>
      <c r="N31" s="112"/>
      <c r="O31" s="124" t="str">
        <f t="shared" si="4"/>
        <v>Пт</v>
      </c>
      <c r="P31" s="126">
        <f t="shared" si="2"/>
        <v>0</v>
      </c>
      <c r="Q31" s="126">
        <f>DAY(umumiy_malumot!$B$78)+P31</f>
        <v>25</v>
      </c>
      <c r="R31" s="121">
        <f>IF(A31&lt;=umumiy_malumot!$B$81,DATE(YEAR($B$8),MONTH($B$8)+A30,DAY(umumiy_malumot!$B$78)),0)</f>
        <v>46808</v>
      </c>
      <c r="S31" s="110"/>
      <c r="T31" s="110"/>
      <c r="U31" s="110"/>
      <c r="V31" s="110"/>
    </row>
    <row r="32" spans="1:22">
      <c r="A32" s="116">
        <f>1+A31</f>
        <v>25</v>
      </c>
      <c r="B32" s="117">
        <f>IF(A32&lt;=umumiy_malumot!$B$81,DATE(YEAR(R32),MONTH(R32),DAY(IF(A32=umumiy_malumot!$B$81,umumiy_malumot!$B$67,IF(A32&lt;umumiy_malumot!$B$81,(Q32),IF(A32&gt;umumiy_malumot!$B$81,$H$56,0))))))</f>
        <v>46839</v>
      </c>
      <c r="C32" s="64">
        <f t="shared" ref="C32:C55" si="11">C31-D31</f>
        <v>9999999.9199999664</v>
      </c>
      <c r="D32" s="64">
        <f t="shared" ref="D32:D55" si="12">IF(C32=0,L32,IF(C32&gt;1,I32))</f>
        <v>1666666.67</v>
      </c>
      <c r="E32" s="64">
        <f t="shared" ref="E32:E55" si="13">IF(C32=0,N31,IF(C32&gt;1,L32))</f>
        <v>465846.92</v>
      </c>
      <c r="F32" s="64">
        <f t="shared" ref="F32:F55" si="14">IF(C32=0,N31,IF(C32&gt;1,M32))</f>
        <v>2132513.59</v>
      </c>
      <c r="G32" s="110">
        <f t="shared" ref="G32:G55" si="15">B32-B31</f>
        <v>31</v>
      </c>
      <c r="H32" s="110">
        <f t="shared" ref="H32:H55" si="16">DATE(YEAR(B32),12,31)-DATE(YEAR(B32),1,1)+1</f>
        <v>366</v>
      </c>
      <c r="I32" s="118">
        <f t="shared" ref="I32:I55" si="17">IF($L$5=A32,K32,IF($L$5&gt;A32,I31))</f>
        <v>1666666.67</v>
      </c>
      <c r="J32" s="118">
        <f>SUM($I$8:I31)</f>
        <v>40000000.080000021</v>
      </c>
      <c r="K32" s="118">
        <f t="shared" ref="K32:K55" si="18">$J$12-J32</f>
        <v>9999999.9199999794</v>
      </c>
      <c r="L32" s="112">
        <f>ROUND(C32*umumiy_malumot!$B$84/H32,2)*G32</f>
        <v>465846.92</v>
      </c>
      <c r="M32" s="112">
        <f t="shared" ref="M32:M55" si="19">D32+E32</f>
        <v>2132513.59</v>
      </c>
      <c r="N32" s="112"/>
      <c r="O32" s="124" t="str">
        <f t="shared" ref="O32:O55" si="20">TEXT(R32,"ддд")</f>
        <v>Сб</v>
      </c>
      <c r="P32" s="126">
        <f t="shared" ref="P32:P55" si="21">IF(O32=$U$8,2,IF(O32=$V$8,1,0))</f>
        <v>2</v>
      </c>
      <c r="Q32" s="126">
        <f>DAY(umumiy_malumot!$B$78)+P32</f>
        <v>27</v>
      </c>
      <c r="R32" s="121">
        <f>IF(A32&lt;=umumiy_malumot!$B$81,DATE(YEAR($B$8),MONTH($B$8)+A31,DAY(umumiy_malumot!$B$78)),0)</f>
        <v>46837</v>
      </c>
      <c r="S32" s="110"/>
      <c r="T32" s="110"/>
      <c r="U32" s="110"/>
      <c r="V32" s="110"/>
    </row>
    <row r="33" spans="1:22">
      <c r="A33" s="116">
        <f t="shared" ref="A33:A55" si="22">1+A32</f>
        <v>26</v>
      </c>
      <c r="B33" s="117">
        <f>IF(A33&lt;=umumiy_malumot!$B$81,DATE(YEAR(R33),MONTH(R33),DAY(IF(A33=umumiy_malumot!$B$81,umumiy_malumot!$B$67,IF(A33&lt;umumiy_malumot!$B$81,(Q33),IF(A33&gt;umumiy_malumot!$B$81,$H$56,0))))))</f>
        <v>46868</v>
      </c>
      <c r="C33" s="64">
        <f t="shared" si="11"/>
        <v>8333333.2499999665</v>
      </c>
      <c r="D33" s="64">
        <f t="shared" si="12"/>
        <v>1666666.67</v>
      </c>
      <c r="E33" s="64">
        <f t="shared" si="13"/>
        <v>363160.33</v>
      </c>
      <c r="F33" s="64">
        <f t="shared" si="14"/>
        <v>2029827</v>
      </c>
      <c r="G33" s="110">
        <f t="shared" si="15"/>
        <v>29</v>
      </c>
      <c r="H33" s="110">
        <f t="shared" si="16"/>
        <v>366</v>
      </c>
      <c r="I33" s="118">
        <f t="shared" si="17"/>
        <v>1666666.67</v>
      </c>
      <c r="J33" s="118">
        <f>SUM($I$8:I32)</f>
        <v>41666666.750000022</v>
      </c>
      <c r="K33" s="118">
        <f t="shared" si="18"/>
        <v>8333333.2499999776</v>
      </c>
      <c r="L33" s="112">
        <f>ROUND(C33*umumiy_malumot!$B$84/H33,2)*G33</f>
        <v>363160.33</v>
      </c>
      <c r="M33" s="112">
        <f t="shared" si="19"/>
        <v>2029827</v>
      </c>
      <c r="N33" s="112"/>
      <c r="O33" s="124" t="str">
        <f t="shared" si="20"/>
        <v>Вт</v>
      </c>
      <c r="P33" s="126">
        <f t="shared" si="21"/>
        <v>0</v>
      </c>
      <c r="Q33" s="126">
        <f>DAY(umumiy_malumot!$B$78)+P33</f>
        <v>25</v>
      </c>
      <c r="R33" s="121">
        <f>IF(A33&lt;=umumiy_malumot!$B$81,DATE(YEAR($B$8),MONTH($B$8)+A32,DAY(umumiy_malumot!$B$78)),0)</f>
        <v>46868</v>
      </c>
      <c r="S33" s="110"/>
      <c r="T33" s="110"/>
      <c r="U33" s="110"/>
      <c r="V33" s="110"/>
    </row>
    <row r="34" spans="1:22">
      <c r="A34" s="116">
        <f t="shared" si="22"/>
        <v>27</v>
      </c>
      <c r="B34" s="117">
        <f>IF(A34&lt;=umumiy_malumot!$B$81,DATE(YEAR(R34),MONTH(R34),DAY(IF(A34=umumiy_malumot!$B$81,umumiy_malumot!$B$67,IF(A34&lt;umumiy_malumot!$B$81,(Q34),IF(A34&gt;umumiy_malumot!$B$81,$H$56,0))))))</f>
        <v>46898</v>
      </c>
      <c r="C34" s="64">
        <f t="shared" si="11"/>
        <v>6666666.5799999665</v>
      </c>
      <c r="D34" s="64">
        <f t="shared" si="12"/>
        <v>1666666.67</v>
      </c>
      <c r="E34" s="64">
        <f t="shared" si="13"/>
        <v>300546.3</v>
      </c>
      <c r="F34" s="64">
        <f t="shared" si="14"/>
        <v>1967212.97</v>
      </c>
      <c r="G34" s="110">
        <f t="shared" si="15"/>
        <v>30</v>
      </c>
      <c r="H34" s="110">
        <f t="shared" si="16"/>
        <v>366</v>
      </c>
      <c r="I34" s="118">
        <f t="shared" si="17"/>
        <v>1666666.67</v>
      </c>
      <c r="J34" s="118">
        <f>SUM($I$8:I33)</f>
        <v>43333333.420000024</v>
      </c>
      <c r="K34" s="118">
        <f t="shared" si="18"/>
        <v>6666666.5799999759</v>
      </c>
      <c r="L34" s="112">
        <f>ROUND(C34*umumiy_malumot!$B$84/H34,2)*G34</f>
        <v>300546.3</v>
      </c>
      <c r="M34" s="112">
        <f t="shared" si="19"/>
        <v>1967212.97</v>
      </c>
      <c r="N34" s="112"/>
      <c r="O34" s="124" t="str">
        <f t="shared" si="20"/>
        <v>Чт</v>
      </c>
      <c r="P34" s="126">
        <f t="shared" si="21"/>
        <v>0</v>
      </c>
      <c r="Q34" s="126">
        <f>DAY(umumiy_malumot!$B$78)+P34</f>
        <v>25</v>
      </c>
      <c r="R34" s="121">
        <f>IF(A34&lt;=umumiy_malumot!$B$81,DATE(YEAR($B$8),MONTH($B$8)+A33,DAY(umumiy_malumot!$B$78)),0)</f>
        <v>46898</v>
      </c>
      <c r="S34" s="110"/>
      <c r="T34" s="110"/>
      <c r="U34" s="110"/>
      <c r="V34" s="110"/>
    </row>
    <row r="35" spans="1:22">
      <c r="A35" s="116">
        <f t="shared" si="22"/>
        <v>28</v>
      </c>
      <c r="B35" s="117">
        <f>IF(A35&lt;=umumiy_malumot!$B$81,DATE(YEAR(R35),MONTH(R35),DAY(IF(A35=umumiy_malumot!$B$81,umumiy_malumot!$B$67,IF(A35&lt;umumiy_malumot!$B$81,(Q35),IF(A35&gt;umumiy_malumot!$B$81,$H$56,0))))))</f>
        <v>46930</v>
      </c>
      <c r="C35" s="64">
        <f t="shared" si="11"/>
        <v>4999999.9099999666</v>
      </c>
      <c r="D35" s="64">
        <f t="shared" si="12"/>
        <v>1666666.67</v>
      </c>
      <c r="E35" s="64">
        <f t="shared" si="13"/>
        <v>240437.12</v>
      </c>
      <c r="F35" s="64">
        <f t="shared" si="14"/>
        <v>1907103.79</v>
      </c>
      <c r="G35" s="110">
        <f t="shared" si="15"/>
        <v>32</v>
      </c>
      <c r="H35" s="110">
        <f t="shared" si="16"/>
        <v>366</v>
      </c>
      <c r="I35" s="118">
        <f t="shared" si="17"/>
        <v>1666666.67</v>
      </c>
      <c r="J35" s="118">
        <f>SUM($I$8:I34)</f>
        <v>45000000.090000026</v>
      </c>
      <c r="K35" s="118">
        <f t="shared" si="18"/>
        <v>4999999.9099999741</v>
      </c>
      <c r="L35" s="112">
        <f>ROUND(C35*umumiy_malumot!$B$84/H35,2)*G35</f>
        <v>240437.12</v>
      </c>
      <c r="M35" s="112">
        <f t="shared" si="19"/>
        <v>1907103.79</v>
      </c>
      <c r="N35" s="112"/>
      <c r="O35" s="124" t="str">
        <f t="shared" si="20"/>
        <v>Вс</v>
      </c>
      <c r="P35" s="126">
        <f t="shared" si="21"/>
        <v>1</v>
      </c>
      <c r="Q35" s="126">
        <f>DAY(umumiy_malumot!$B$78)+P35</f>
        <v>26</v>
      </c>
      <c r="R35" s="121">
        <f>IF(A35&lt;=umumiy_malumot!$B$81,DATE(YEAR($B$8),MONTH($B$8)+A34,DAY(umumiy_malumot!$B$78)),0)</f>
        <v>46929</v>
      </c>
      <c r="S35" s="110"/>
      <c r="T35" s="110"/>
      <c r="U35" s="110"/>
      <c r="V35" s="110"/>
    </row>
    <row r="36" spans="1:22">
      <c r="A36" s="116">
        <f t="shared" si="22"/>
        <v>29</v>
      </c>
      <c r="B36" s="117">
        <f>IF(A36&lt;=umumiy_malumot!$B$81,DATE(YEAR(R36),MONTH(R36),DAY(IF(A36=umumiy_malumot!$B$81,umumiy_malumot!$B$67,IF(A36&lt;umumiy_malumot!$B$81,(Q36),IF(A36&gt;umumiy_malumot!$B$81,$H$56,0))))))</f>
        <v>46959</v>
      </c>
      <c r="C36" s="64">
        <f t="shared" si="11"/>
        <v>3333333.2399999667</v>
      </c>
      <c r="D36" s="64">
        <f t="shared" si="12"/>
        <v>1666666.67</v>
      </c>
      <c r="E36" s="64">
        <f t="shared" si="13"/>
        <v>145264.19</v>
      </c>
      <c r="F36" s="64">
        <f t="shared" si="14"/>
        <v>1811930.8599999999</v>
      </c>
      <c r="G36" s="110">
        <f t="shared" si="15"/>
        <v>29</v>
      </c>
      <c r="H36" s="110">
        <f t="shared" si="16"/>
        <v>366</v>
      </c>
      <c r="I36" s="118">
        <f t="shared" si="17"/>
        <v>1666666.67</v>
      </c>
      <c r="J36" s="118">
        <f>SUM($I$8:I35)</f>
        <v>46666666.760000028</v>
      </c>
      <c r="K36" s="118">
        <f t="shared" si="18"/>
        <v>3333333.2399999723</v>
      </c>
      <c r="L36" s="112">
        <f>ROUND(C36*umumiy_malumot!$B$84/H36,2)*G36</f>
        <v>145264.19</v>
      </c>
      <c r="M36" s="112">
        <f t="shared" si="19"/>
        <v>1811930.8599999999</v>
      </c>
      <c r="N36" s="112"/>
      <c r="O36" s="124" t="str">
        <f t="shared" si="20"/>
        <v>Вт</v>
      </c>
      <c r="P36" s="126">
        <f t="shared" si="21"/>
        <v>0</v>
      </c>
      <c r="Q36" s="126">
        <f>DAY(umumiy_malumot!$B$78)+P36</f>
        <v>25</v>
      </c>
      <c r="R36" s="121">
        <f>IF(A36&lt;=umumiy_malumot!$B$81,DATE(YEAR($B$8),MONTH($B$8)+A35,DAY(umumiy_malumot!$B$78)),0)</f>
        <v>46959</v>
      </c>
      <c r="S36" s="110"/>
      <c r="T36" s="110"/>
      <c r="U36" s="110"/>
      <c r="V36" s="110"/>
    </row>
    <row r="37" spans="1:22">
      <c r="A37" s="116">
        <f t="shared" si="22"/>
        <v>30</v>
      </c>
      <c r="B37" s="117">
        <f>IF(A37&lt;=umumiy_malumot!$B$81,DATE(YEAR(R37),MONTH(R37),DAY(IF(A37=umumiy_malumot!$B$81,umumiy_malumot!$B$67,IF(A37&lt;umumiy_malumot!$B$81,(Q37),IF(A37&gt;umumiy_malumot!$B$81,$H$56,0))))))</f>
        <v>46967</v>
      </c>
      <c r="C37" s="64">
        <f t="shared" si="11"/>
        <v>1666666.5699999668</v>
      </c>
      <c r="D37" s="64">
        <f t="shared" si="12"/>
        <v>1666666.5699999705</v>
      </c>
      <c r="E37" s="64">
        <f t="shared" si="13"/>
        <v>20036.400000000001</v>
      </c>
      <c r="F37" s="64">
        <f t="shared" si="14"/>
        <v>1686702.9699999704</v>
      </c>
      <c r="G37" s="110">
        <f t="shared" si="15"/>
        <v>8</v>
      </c>
      <c r="H37" s="110">
        <f t="shared" si="16"/>
        <v>366</v>
      </c>
      <c r="I37" s="118">
        <f t="shared" si="17"/>
        <v>1666666.5699999705</v>
      </c>
      <c r="J37" s="118">
        <f>SUM($I$8:I36)</f>
        <v>48333333.43000003</v>
      </c>
      <c r="K37" s="118">
        <f t="shared" si="18"/>
        <v>1666666.5699999705</v>
      </c>
      <c r="L37" s="112">
        <f>ROUND(C37*umumiy_malumot!$B$84/H37,2)*G37</f>
        <v>20036.400000000001</v>
      </c>
      <c r="M37" s="112">
        <f t="shared" si="19"/>
        <v>1686702.9699999704</v>
      </c>
      <c r="N37" s="112"/>
      <c r="O37" s="124" t="str">
        <f t="shared" si="20"/>
        <v>Пт</v>
      </c>
      <c r="P37" s="126">
        <f t="shared" si="21"/>
        <v>0</v>
      </c>
      <c r="Q37" s="126">
        <f>DAY(umumiy_malumot!$B$78)+P37</f>
        <v>25</v>
      </c>
      <c r="R37" s="121">
        <f>IF(A37&lt;=umumiy_malumot!$B$81,DATE(YEAR($B$8),MONTH($B$8)+A36,DAY(umumiy_malumot!$B$78)),0)</f>
        <v>46990</v>
      </c>
      <c r="S37" s="110"/>
      <c r="T37" s="110"/>
      <c r="U37" s="110"/>
      <c r="V37" s="110"/>
    </row>
    <row r="38" spans="1:22">
      <c r="A38" s="116">
        <f t="shared" si="22"/>
        <v>31</v>
      </c>
      <c r="B38" s="117" t="b">
        <f>IF(A38&lt;=umumiy_malumot!$B$81,DATE(YEAR(R38),MONTH(R38),DAY(IF(A38=umumiy_malumot!$B$81,umumiy_malumot!$B$67,IF(A38&lt;umumiy_malumot!$B$81,(Q38),IF(A38&gt;umumiy_malumot!$B$81,$H$56,0))))))</f>
        <v>0</v>
      </c>
      <c r="C38" s="64">
        <f t="shared" si="11"/>
        <v>-3.7252902984619141E-9</v>
      </c>
      <c r="D38" s="64" t="b">
        <f t="shared" si="12"/>
        <v>0</v>
      </c>
      <c r="E38" s="64" t="b">
        <f t="shared" si="13"/>
        <v>0</v>
      </c>
      <c r="F38" s="64" t="b">
        <f t="shared" si="14"/>
        <v>0</v>
      </c>
      <c r="G38" s="110">
        <f t="shared" si="15"/>
        <v>-46967</v>
      </c>
      <c r="H38" s="110">
        <f t="shared" si="16"/>
        <v>366</v>
      </c>
      <c r="I38" s="118" t="b">
        <f t="shared" si="17"/>
        <v>0</v>
      </c>
      <c r="J38" s="118">
        <f>SUM($I$8:I37)</f>
        <v>50000000</v>
      </c>
      <c r="K38" s="118">
        <f t="shared" si="18"/>
        <v>0</v>
      </c>
      <c r="L38" s="112">
        <f>ROUND(C38*umumiy_malumot!$B$84/H38,2)*G38</f>
        <v>0</v>
      </c>
      <c r="M38" s="112">
        <f t="shared" si="19"/>
        <v>0</v>
      </c>
      <c r="N38" s="112"/>
      <c r="O38" s="124" t="str">
        <f t="shared" si="20"/>
        <v>Сб</v>
      </c>
      <c r="P38" s="126">
        <f t="shared" si="21"/>
        <v>2</v>
      </c>
      <c r="Q38" s="126">
        <f>DAY(umumiy_malumot!$B$78)+P38</f>
        <v>27</v>
      </c>
      <c r="R38" s="121">
        <f>IF(A38&lt;=umumiy_malumot!$B$81,DATE(YEAR($B$8),MONTH($B$8)+A37,DAY(umumiy_malumot!$B$78)),0)</f>
        <v>0</v>
      </c>
      <c r="S38" s="110"/>
      <c r="T38" s="110"/>
      <c r="U38" s="110"/>
      <c r="V38" s="110"/>
    </row>
    <row r="39" spans="1:22">
      <c r="A39" s="116">
        <f t="shared" si="22"/>
        <v>32</v>
      </c>
      <c r="B39" s="117" t="b">
        <f>IF(A39&lt;=umumiy_malumot!$B$81,DATE(YEAR(R39),MONTH(R39),DAY(IF(A39=umumiy_malumot!$B$81,umumiy_malumot!$B$67,IF(A39&lt;umumiy_malumot!$B$81,(Q39),IF(A39&gt;umumiy_malumot!$B$81,$H$56,0))))))</f>
        <v>0</v>
      </c>
      <c r="C39" s="64">
        <f t="shared" si="11"/>
        <v>-3.7252902984619141E-9</v>
      </c>
      <c r="D39" s="64" t="b">
        <f t="shared" si="12"/>
        <v>0</v>
      </c>
      <c r="E39" s="64" t="b">
        <f t="shared" si="13"/>
        <v>0</v>
      </c>
      <c r="F39" s="64" t="b">
        <f t="shared" si="14"/>
        <v>0</v>
      </c>
      <c r="G39" s="110">
        <f t="shared" si="15"/>
        <v>0</v>
      </c>
      <c r="H39" s="110">
        <f t="shared" si="16"/>
        <v>366</v>
      </c>
      <c r="I39" s="118" t="b">
        <f t="shared" si="17"/>
        <v>0</v>
      </c>
      <c r="J39" s="118">
        <f>SUM($I$8:I38)</f>
        <v>50000000</v>
      </c>
      <c r="K39" s="118">
        <f t="shared" si="18"/>
        <v>0</v>
      </c>
      <c r="L39" s="112">
        <f>ROUND(C39*umumiy_malumot!$B$84/H39,2)*G39</f>
        <v>0</v>
      </c>
      <c r="M39" s="112">
        <f t="shared" si="19"/>
        <v>0</v>
      </c>
      <c r="N39" s="112"/>
      <c r="O39" s="124" t="str">
        <f t="shared" si="20"/>
        <v>Сб</v>
      </c>
      <c r="P39" s="126">
        <f t="shared" si="21"/>
        <v>2</v>
      </c>
      <c r="Q39" s="126">
        <f>DAY(umumiy_malumot!$B$78)+P39</f>
        <v>27</v>
      </c>
      <c r="R39" s="121">
        <f>IF(A39&lt;=umumiy_malumot!$B$81,DATE(YEAR($B$8),MONTH($B$8)+A38,DAY(umumiy_malumot!$B$78)),0)</f>
        <v>0</v>
      </c>
      <c r="S39" s="110"/>
      <c r="T39" s="110"/>
      <c r="U39" s="110"/>
      <c r="V39" s="110"/>
    </row>
    <row r="40" spans="1:22">
      <c r="A40" s="116">
        <f t="shared" si="22"/>
        <v>33</v>
      </c>
      <c r="B40" s="117" t="b">
        <f>IF(A40&lt;=umumiy_malumot!$B$81,DATE(YEAR(R40),MONTH(R40),DAY(IF(A40=umumiy_malumot!$B$81,umumiy_malumot!$B$67,IF(A40&lt;umumiy_malumot!$B$81,(Q40),IF(A40&gt;umumiy_malumot!$B$81,$H$56,0))))))</f>
        <v>0</v>
      </c>
      <c r="C40" s="64">
        <f t="shared" si="11"/>
        <v>-3.7252902984619141E-9</v>
      </c>
      <c r="D40" s="64" t="b">
        <f t="shared" si="12"/>
        <v>0</v>
      </c>
      <c r="E40" s="64" t="b">
        <f t="shared" si="13"/>
        <v>0</v>
      </c>
      <c r="F40" s="64" t="b">
        <f t="shared" si="14"/>
        <v>0</v>
      </c>
      <c r="G40" s="110">
        <f t="shared" si="15"/>
        <v>0</v>
      </c>
      <c r="H40" s="110">
        <f t="shared" si="16"/>
        <v>366</v>
      </c>
      <c r="I40" s="118" t="b">
        <f t="shared" si="17"/>
        <v>0</v>
      </c>
      <c r="J40" s="118">
        <f>SUM($I$8:I39)</f>
        <v>50000000</v>
      </c>
      <c r="K40" s="118">
        <f t="shared" si="18"/>
        <v>0</v>
      </c>
      <c r="L40" s="112">
        <f>ROUND(C40*umumiy_malumot!$B$84/H40,2)*G40</f>
        <v>0</v>
      </c>
      <c r="M40" s="112">
        <f t="shared" si="19"/>
        <v>0</v>
      </c>
      <c r="N40" s="112"/>
      <c r="O40" s="124" t="str">
        <f t="shared" si="20"/>
        <v>Сб</v>
      </c>
      <c r="P40" s="126">
        <f t="shared" si="21"/>
        <v>2</v>
      </c>
      <c r="Q40" s="126">
        <f>DAY(umumiy_malumot!$B$78)+P40</f>
        <v>27</v>
      </c>
      <c r="R40" s="121">
        <f>IF(A40&lt;=umumiy_malumot!$B$81,DATE(YEAR($B$8),MONTH($B$8)+A39,DAY(umumiy_malumot!$B$78)),0)</f>
        <v>0</v>
      </c>
      <c r="S40" s="110"/>
      <c r="T40" s="110"/>
      <c r="U40" s="110"/>
      <c r="V40" s="110"/>
    </row>
    <row r="41" spans="1:22">
      <c r="A41" s="116">
        <f t="shared" si="22"/>
        <v>34</v>
      </c>
      <c r="B41" s="117" t="b">
        <f>IF(A41&lt;=umumiy_malumot!$B$81,DATE(YEAR(R41),MONTH(R41),DAY(IF(A41=umumiy_malumot!$B$81,umumiy_malumot!$B$67,IF(A41&lt;umumiy_malumot!$B$81,(Q41),IF(A41&gt;umumiy_malumot!$B$81,$H$56,0))))))</f>
        <v>0</v>
      </c>
      <c r="C41" s="64">
        <f t="shared" si="11"/>
        <v>-3.7252902984619141E-9</v>
      </c>
      <c r="D41" s="64" t="b">
        <f t="shared" si="12"/>
        <v>0</v>
      </c>
      <c r="E41" s="64" t="b">
        <f t="shared" si="13"/>
        <v>0</v>
      </c>
      <c r="F41" s="64" t="b">
        <f t="shared" si="14"/>
        <v>0</v>
      </c>
      <c r="G41" s="110">
        <f t="shared" si="15"/>
        <v>0</v>
      </c>
      <c r="H41" s="110">
        <f t="shared" si="16"/>
        <v>366</v>
      </c>
      <c r="I41" s="118" t="b">
        <f t="shared" si="17"/>
        <v>0</v>
      </c>
      <c r="J41" s="118">
        <f>SUM($I$8:I40)</f>
        <v>50000000</v>
      </c>
      <c r="K41" s="118">
        <f t="shared" si="18"/>
        <v>0</v>
      </c>
      <c r="L41" s="112">
        <f>ROUND(C41*umumiy_malumot!$B$84/H41,2)*G41</f>
        <v>0</v>
      </c>
      <c r="M41" s="112">
        <f t="shared" si="19"/>
        <v>0</v>
      </c>
      <c r="N41" s="112"/>
      <c r="O41" s="124" t="str">
        <f t="shared" si="20"/>
        <v>Сб</v>
      </c>
      <c r="P41" s="126">
        <f t="shared" si="21"/>
        <v>2</v>
      </c>
      <c r="Q41" s="126">
        <f>DAY(umumiy_malumot!$B$78)+P41</f>
        <v>27</v>
      </c>
      <c r="R41" s="121">
        <f>IF(A41&lt;=umumiy_malumot!$B$81,DATE(YEAR($B$8),MONTH($B$8)+A40,DAY(umumiy_malumot!$B$78)),0)</f>
        <v>0</v>
      </c>
      <c r="S41" s="110"/>
      <c r="T41" s="110"/>
      <c r="U41" s="110"/>
      <c r="V41" s="110"/>
    </row>
    <row r="42" spans="1:22">
      <c r="A42" s="116">
        <f t="shared" si="22"/>
        <v>35</v>
      </c>
      <c r="B42" s="117" t="b">
        <f>IF(A42&lt;=umumiy_malumot!$B$81,DATE(YEAR(R42),MONTH(R42),DAY(IF(A42=umumiy_malumot!$B$81,umumiy_malumot!$B$67,IF(A42&lt;umumiy_malumot!$B$81,(Q42),IF(A42&gt;umumiy_malumot!$B$81,$H$56,0))))))</f>
        <v>0</v>
      </c>
      <c r="C42" s="64">
        <f t="shared" si="11"/>
        <v>-3.7252902984619141E-9</v>
      </c>
      <c r="D42" s="64" t="b">
        <f t="shared" si="12"/>
        <v>0</v>
      </c>
      <c r="E42" s="64" t="b">
        <f t="shared" si="13"/>
        <v>0</v>
      </c>
      <c r="F42" s="64" t="b">
        <f t="shared" si="14"/>
        <v>0</v>
      </c>
      <c r="G42" s="110">
        <f t="shared" si="15"/>
        <v>0</v>
      </c>
      <c r="H42" s="110">
        <f t="shared" si="16"/>
        <v>366</v>
      </c>
      <c r="I42" s="118" t="b">
        <f t="shared" si="17"/>
        <v>0</v>
      </c>
      <c r="J42" s="118">
        <f>SUM($I$8:I41)</f>
        <v>50000000</v>
      </c>
      <c r="K42" s="118">
        <f t="shared" si="18"/>
        <v>0</v>
      </c>
      <c r="L42" s="112">
        <f>ROUND(C42*umumiy_malumot!$B$84/H42,2)*G42</f>
        <v>0</v>
      </c>
      <c r="M42" s="112">
        <f t="shared" si="19"/>
        <v>0</v>
      </c>
      <c r="N42" s="112"/>
      <c r="O42" s="124" t="str">
        <f t="shared" si="20"/>
        <v>Сб</v>
      </c>
      <c r="P42" s="126">
        <f t="shared" si="21"/>
        <v>2</v>
      </c>
      <c r="Q42" s="126">
        <f>DAY(umumiy_malumot!$B$78)+P42</f>
        <v>27</v>
      </c>
      <c r="R42" s="121">
        <f>IF(A42&lt;=umumiy_malumot!$B$81,DATE(YEAR($B$8),MONTH($B$8)+A41,DAY(umumiy_malumot!$B$78)),0)</f>
        <v>0</v>
      </c>
      <c r="S42" s="110"/>
      <c r="T42" s="110"/>
      <c r="U42" s="110"/>
      <c r="V42" s="110"/>
    </row>
    <row r="43" spans="1:22">
      <c r="A43" s="116">
        <f t="shared" si="22"/>
        <v>36</v>
      </c>
      <c r="B43" s="117" t="b">
        <f>IF(A43&lt;=umumiy_malumot!$B$81,DATE(YEAR(R43),MONTH(R43),DAY(IF(A43=umumiy_malumot!$B$81,umumiy_malumot!$B$67,IF(A43&lt;umumiy_malumot!$B$81,(Q43),IF(A43&gt;umumiy_malumot!$B$81,$H$56,0))))))</f>
        <v>0</v>
      </c>
      <c r="C43" s="64">
        <f t="shared" si="11"/>
        <v>-3.7252902984619141E-9</v>
      </c>
      <c r="D43" s="64" t="b">
        <f t="shared" si="12"/>
        <v>0</v>
      </c>
      <c r="E43" s="64" t="b">
        <f t="shared" si="13"/>
        <v>0</v>
      </c>
      <c r="F43" s="64" t="b">
        <f t="shared" si="14"/>
        <v>0</v>
      </c>
      <c r="G43" s="110">
        <f t="shared" si="15"/>
        <v>0</v>
      </c>
      <c r="H43" s="110">
        <f t="shared" si="16"/>
        <v>366</v>
      </c>
      <c r="I43" s="118" t="b">
        <f t="shared" si="17"/>
        <v>0</v>
      </c>
      <c r="J43" s="118">
        <f>SUM($I$8:I42)</f>
        <v>50000000</v>
      </c>
      <c r="K43" s="118">
        <f t="shared" si="18"/>
        <v>0</v>
      </c>
      <c r="L43" s="112">
        <f>ROUND(C43*umumiy_malumot!$B$84/H43,2)*G43</f>
        <v>0</v>
      </c>
      <c r="M43" s="112">
        <f t="shared" si="19"/>
        <v>0</v>
      </c>
      <c r="N43" s="112"/>
      <c r="O43" s="124" t="str">
        <f t="shared" si="20"/>
        <v>Сб</v>
      </c>
      <c r="P43" s="126">
        <f t="shared" si="21"/>
        <v>2</v>
      </c>
      <c r="Q43" s="126">
        <f>DAY(umumiy_malumot!$B$78)+P43</f>
        <v>27</v>
      </c>
      <c r="R43" s="121">
        <f>IF(A43&lt;=umumiy_malumot!$B$81,DATE(YEAR($B$8),MONTH($B$8)+A42,DAY(umumiy_malumot!$B$78)),0)</f>
        <v>0</v>
      </c>
      <c r="S43" s="110"/>
      <c r="T43" s="110"/>
      <c r="U43" s="110"/>
      <c r="V43" s="110"/>
    </row>
    <row r="44" spans="1:22">
      <c r="A44" s="116">
        <f t="shared" si="22"/>
        <v>37</v>
      </c>
      <c r="B44" s="117" t="b">
        <f>IF(A44&lt;=umumiy_malumot!$B$81,DATE(YEAR(R44),MONTH(R44),DAY(IF(A44=umumiy_malumot!$B$81,umumiy_malumot!$B$67,IF(A44&lt;umumiy_malumot!$B$81,(Q44),IF(A44&gt;umumiy_malumot!$B$81,$H$56,0))))))</f>
        <v>0</v>
      </c>
      <c r="C44" s="64">
        <f t="shared" si="11"/>
        <v>-3.7252902984619141E-9</v>
      </c>
      <c r="D44" s="64" t="b">
        <f t="shared" si="12"/>
        <v>0</v>
      </c>
      <c r="E44" s="64" t="b">
        <f t="shared" si="13"/>
        <v>0</v>
      </c>
      <c r="F44" s="64" t="b">
        <f t="shared" si="14"/>
        <v>0</v>
      </c>
      <c r="G44" s="110">
        <f t="shared" si="15"/>
        <v>0</v>
      </c>
      <c r="H44" s="110">
        <f t="shared" si="16"/>
        <v>366</v>
      </c>
      <c r="I44" s="118" t="b">
        <f t="shared" si="17"/>
        <v>0</v>
      </c>
      <c r="J44" s="118">
        <f>SUM($I$8:I43)</f>
        <v>50000000</v>
      </c>
      <c r="K44" s="118">
        <f t="shared" si="18"/>
        <v>0</v>
      </c>
      <c r="L44" s="112">
        <f>ROUND(C44*umumiy_malumot!$B$84/H44,2)*G44</f>
        <v>0</v>
      </c>
      <c r="M44" s="112">
        <f t="shared" si="19"/>
        <v>0</v>
      </c>
      <c r="N44" s="112"/>
      <c r="O44" s="124" t="str">
        <f t="shared" si="20"/>
        <v>Сб</v>
      </c>
      <c r="P44" s="126">
        <f t="shared" si="21"/>
        <v>2</v>
      </c>
      <c r="Q44" s="126">
        <f>DAY(umumiy_malumot!$B$78)+P44</f>
        <v>27</v>
      </c>
      <c r="R44" s="121">
        <f>IF(A44&lt;=umumiy_malumot!$B$81,DATE(YEAR($B$8),MONTH($B$8)+A43,DAY(umumiy_malumot!$B$78)),0)</f>
        <v>0</v>
      </c>
      <c r="S44" s="110"/>
      <c r="T44" s="110"/>
      <c r="U44" s="110"/>
      <c r="V44" s="110"/>
    </row>
    <row r="45" spans="1:22">
      <c r="A45" s="116">
        <f t="shared" si="22"/>
        <v>38</v>
      </c>
      <c r="B45" s="117" t="b">
        <f>IF(A45&lt;=umumiy_malumot!$B$81,DATE(YEAR(R45),MONTH(R45),DAY(IF(A45=umumiy_malumot!$B$81,umumiy_malumot!$B$67,IF(A45&lt;umumiy_malumot!$B$81,(Q45),IF(A45&gt;umumiy_malumot!$B$81,$H$56,0))))))</f>
        <v>0</v>
      </c>
      <c r="C45" s="64">
        <f t="shared" si="11"/>
        <v>-3.7252902984619141E-9</v>
      </c>
      <c r="D45" s="64" t="b">
        <f t="shared" si="12"/>
        <v>0</v>
      </c>
      <c r="E45" s="64" t="b">
        <f t="shared" si="13"/>
        <v>0</v>
      </c>
      <c r="F45" s="64" t="b">
        <f t="shared" si="14"/>
        <v>0</v>
      </c>
      <c r="G45" s="110">
        <f t="shared" si="15"/>
        <v>0</v>
      </c>
      <c r="H45" s="110">
        <f t="shared" si="16"/>
        <v>366</v>
      </c>
      <c r="I45" s="118" t="b">
        <f t="shared" si="17"/>
        <v>0</v>
      </c>
      <c r="J45" s="118">
        <f>SUM($I$8:I44)</f>
        <v>50000000</v>
      </c>
      <c r="K45" s="118">
        <f t="shared" si="18"/>
        <v>0</v>
      </c>
      <c r="L45" s="112">
        <f>ROUND(C45*umumiy_malumot!$B$84/H45,2)*G45</f>
        <v>0</v>
      </c>
      <c r="M45" s="112">
        <f t="shared" si="19"/>
        <v>0</v>
      </c>
      <c r="N45" s="112"/>
      <c r="O45" s="124" t="str">
        <f t="shared" si="20"/>
        <v>Сб</v>
      </c>
      <c r="P45" s="126">
        <f t="shared" si="21"/>
        <v>2</v>
      </c>
      <c r="Q45" s="126">
        <f>DAY(umumiy_malumot!$B$78)+P45</f>
        <v>27</v>
      </c>
      <c r="R45" s="121">
        <f>IF(A45&lt;=umumiy_malumot!$B$81,DATE(YEAR($B$8),MONTH($B$8)+A44,DAY(umumiy_malumot!$B$78)),0)</f>
        <v>0</v>
      </c>
      <c r="S45" s="110"/>
      <c r="T45" s="110"/>
      <c r="U45" s="110"/>
      <c r="V45" s="110"/>
    </row>
    <row r="46" spans="1:22">
      <c r="A46" s="116">
        <f t="shared" si="22"/>
        <v>39</v>
      </c>
      <c r="B46" s="117" t="b">
        <f>IF(A46&lt;=umumiy_malumot!$B$81,DATE(YEAR(R46),MONTH(R46),DAY(IF(A46=umumiy_malumot!$B$81,umumiy_malumot!$B$67,IF(A46&lt;umumiy_malumot!$B$81,(Q46),IF(A46&gt;umumiy_malumot!$B$81,$H$56,0))))))</f>
        <v>0</v>
      </c>
      <c r="C46" s="64">
        <f t="shared" si="11"/>
        <v>-3.7252902984619141E-9</v>
      </c>
      <c r="D46" s="64" t="b">
        <f t="shared" si="12"/>
        <v>0</v>
      </c>
      <c r="E46" s="64" t="b">
        <f t="shared" si="13"/>
        <v>0</v>
      </c>
      <c r="F46" s="64" t="b">
        <f t="shared" si="14"/>
        <v>0</v>
      </c>
      <c r="G46" s="110">
        <f t="shared" si="15"/>
        <v>0</v>
      </c>
      <c r="H46" s="110">
        <f t="shared" si="16"/>
        <v>366</v>
      </c>
      <c r="I46" s="118" t="b">
        <f t="shared" si="17"/>
        <v>0</v>
      </c>
      <c r="J46" s="118">
        <f>SUM($I$8:I45)</f>
        <v>50000000</v>
      </c>
      <c r="K46" s="118">
        <f t="shared" si="18"/>
        <v>0</v>
      </c>
      <c r="L46" s="112">
        <f>ROUND(C46*umumiy_malumot!$B$84/H46,2)*G46</f>
        <v>0</v>
      </c>
      <c r="M46" s="112">
        <f t="shared" si="19"/>
        <v>0</v>
      </c>
      <c r="N46" s="112"/>
      <c r="O46" s="124" t="str">
        <f t="shared" si="20"/>
        <v>Сб</v>
      </c>
      <c r="P46" s="126">
        <f t="shared" si="21"/>
        <v>2</v>
      </c>
      <c r="Q46" s="126">
        <f>DAY(umumiy_malumot!$B$78)+P46</f>
        <v>27</v>
      </c>
      <c r="R46" s="121">
        <f>IF(A46&lt;=umumiy_malumot!$B$81,DATE(YEAR($B$8),MONTH($B$8)+A45,DAY(umumiy_malumot!$B$78)),0)</f>
        <v>0</v>
      </c>
      <c r="S46" s="110"/>
      <c r="T46" s="110"/>
      <c r="U46" s="110"/>
      <c r="V46" s="110"/>
    </row>
    <row r="47" spans="1:22">
      <c r="A47" s="116">
        <f t="shared" si="22"/>
        <v>40</v>
      </c>
      <c r="B47" s="117" t="b">
        <f>IF(A47&lt;=umumiy_malumot!$B$81,DATE(YEAR(R47),MONTH(R47),DAY(IF(A47=umumiy_malumot!$B$81,umumiy_malumot!$B$67,IF(A47&lt;umumiy_malumot!$B$81,(Q47),IF(A47&gt;umumiy_malumot!$B$81,$H$56,0))))))</f>
        <v>0</v>
      </c>
      <c r="C47" s="64">
        <f t="shared" si="11"/>
        <v>-3.7252902984619141E-9</v>
      </c>
      <c r="D47" s="64" t="b">
        <f t="shared" si="12"/>
        <v>0</v>
      </c>
      <c r="E47" s="64" t="b">
        <f t="shared" si="13"/>
        <v>0</v>
      </c>
      <c r="F47" s="64" t="b">
        <f t="shared" si="14"/>
        <v>0</v>
      </c>
      <c r="G47" s="110">
        <f t="shared" si="15"/>
        <v>0</v>
      </c>
      <c r="H47" s="110">
        <f t="shared" si="16"/>
        <v>366</v>
      </c>
      <c r="I47" s="118" t="b">
        <f t="shared" si="17"/>
        <v>0</v>
      </c>
      <c r="J47" s="118">
        <f>SUM($I$8:I46)</f>
        <v>50000000</v>
      </c>
      <c r="K47" s="118">
        <f t="shared" si="18"/>
        <v>0</v>
      </c>
      <c r="L47" s="112">
        <f>ROUND(C47*umumiy_malumot!$B$84/H47,2)*G47</f>
        <v>0</v>
      </c>
      <c r="M47" s="112">
        <f t="shared" si="19"/>
        <v>0</v>
      </c>
      <c r="N47" s="112"/>
      <c r="O47" s="124" t="str">
        <f t="shared" si="20"/>
        <v>Сб</v>
      </c>
      <c r="P47" s="126">
        <f t="shared" si="21"/>
        <v>2</v>
      </c>
      <c r="Q47" s="126">
        <f>DAY(umumiy_malumot!$B$78)+P47</f>
        <v>27</v>
      </c>
      <c r="R47" s="121">
        <f>IF(A47&lt;=umumiy_malumot!$B$81,DATE(YEAR($B$8),MONTH($B$8)+A46,DAY(umumiy_malumot!$B$78)),0)</f>
        <v>0</v>
      </c>
      <c r="S47" s="110"/>
      <c r="T47" s="110"/>
      <c r="U47" s="110"/>
      <c r="V47" s="110"/>
    </row>
    <row r="48" spans="1:22">
      <c r="A48" s="116">
        <f t="shared" si="22"/>
        <v>41</v>
      </c>
      <c r="B48" s="117" t="b">
        <f>IF(A48&lt;=umumiy_malumot!$B$81,DATE(YEAR(R48),MONTH(R48),DAY(IF(A48=umumiy_malumot!$B$81,umumiy_malumot!$B$67,IF(A48&lt;umumiy_malumot!$B$81,(Q48),IF(A48&gt;umumiy_malumot!$B$81,$H$56,0))))))</f>
        <v>0</v>
      </c>
      <c r="C48" s="64">
        <f t="shared" si="11"/>
        <v>-3.7252902984619141E-9</v>
      </c>
      <c r="D48" s="64" t="b">
        <f t="shared" si="12"/>
        <v>0</v>
      </c>
      <c r="E48" s="64" t="b">
        <f t="shared" si="13"/>
        <v>0</v>
      </c>
      <c r="F48" s="64" t="b">
        <f t="shared" si="14"/>
        <v>0</v>
      </c>
      <c r="G48" s="110">
        <f t="shared" si="15"/>
        <v>0</v>
      </c>
      <c r="H48" s="110">
        <f t="shared" si="16"/>
        <v>366</v>
      </c>
      <c r="I48" s="118" t="b">
        <f t="shared" si="17"/>
        <v>0</v>
      </c>
      <c r="J48" s="118">
        <f>SUM($I$8:I47)</f>
        <v>50000000</v>
      </c>
      <c r="K48" s="118">
        <f t="shared" si="18"/>
        <v>0</v>
      </c>
      <c r="L48" s="112">
        <f>ROUND(C48*umumiy_malumot!$B$84/H48,2)*G48</f>
        <v>0</v>
      </c>
      <c r="M48" s="112">
        <f t="shared" si="19"/>
        <v>0</v>
      </c>
      <c r="N48" s="112"/>
      <c r="O48" s="124" t="str">
        <f t="shared" si="20"/>
        <v>Сб</v>
      </c>
      <c r="P48" s="126">
        <f t="shared" si="21"/>
        <v>2</v>
      </c>
      <c r="Q48" s="126">
        <f>DAY(umumiy_malumot!$B$78)+P48</f>
        <v>27</v>
      </c>
      <c r="R48" s="121">
        <f>IF(A48&lt;=umumiy_malumot!$B$81,DATE(YEAR($B$8),MONTH($B$8)+A47,DAY(umumiy_malumot!$B$78)),0)</f>
        <v>0</v>
      </c>
      <c r="S48" s="110"/>
      <c r="T48" s="110"/>
      <c r="U48" s="110"/>
      <c r="V48" s="110"/>
    </row>
    <row r="49" spans="1:22">
      <c r="A49" s="116">
        <f t="shared" si="22"/>
        <v>42</v>
      </c>
      <c r="B49" s="117" t="b">
        <f>IF(A49&lt;=umumiy_malumot!$B$81,DATE(YEAR(R49),MONTH(R49),DAY(IF(A49=umumiy_malumot!$B$81,umumiy_malumot!$B$67,IF(A49&lt;umumiy_malumot!$B$81,(Q49),IF(A49&gt;umumiy_malumot!$B$81,$H$56,0))))))</f>
        <v>0</v>
      </c>
      <c r="C49" s="64">
        <f t="shared" si="11"/>
        <v>-3.7252902984619141E-9</v>
      </c>
      <c r="D49" s="64" t="b">
        <f t="shared" si="12"/>
        <v>0</v>
      </c>
      <c r="E49" s="64" t="b">
        <f t="shared" si="13"/>
        <v>0</v>
      </c>
      <c r="F49" s="64" t="b">
        <f t="shared" si="14"/>
        <v>0</v>
      </c>
      <c r="G49" s="110">
        <f t="shared" si="15"/>
        <v>0</v>
      </c>
      <c r="H49" s="110">
        <f t="shared" si="16"/>
        <v>366</v>
      </c>
      <c r="I49" s="118" t="b">
        <f t="shared" si="17"/>
        <v>0</v>
      </c>
      <c r="J49" s="118">
        <f>SUM($I$8:I48)</f>
        <v>50000000</v>
      </c>
      <c r="K49" s="118">
        <f t="shared" si="18"/>
        <v>0</v>
      </c>
      <c r="L49" s="112">
        <f>ROUND(C49*umumiy_malumot!$B$84/H49,2)*G49</f>
        <v>0</v>
      </c>
      <c r="M49" s="112">
        <f t="shared" si="19"/>
        <v>0</v>
      </c>
      <c r="N49" s="112"/>
      <c r="O49" s="124" t="str">
        <f t="shared" si="20"/>
        <v>Сб</v>
      </c>
      <c r="P49" s="126">
        <f t="shared" si="21"/>
        <v>2</v>
      </c>
      <c r="Q49" s="126">
        <f>DAY(umumiy_malumot!$B$78)+P49</f>
        <v>27</v>
      </c>
      <c r="R49" s="121">
        <f>IF(A49&lt;=umumiy_malumot!$B$81,DATE(YEAR($B$8),MONTH($B$8)+A48,DAY(umumiy_malumot!$B$78)),0)</f>
        <v>0</v>
      </c>
      <c r="S49" s="110"/>
      <c r="T49" s="110"/>
      <c r="U49" s="110"/>
      <c r="V49" s="110"/>
    </row>
    <row r="50" spans="1:22">
      <c r="A50" s="116">
        <f t="shared" si="22"/>
        <v>43</v>
      </c>
      <c r="B50" s="117" t="b">
        <f>IF(A50&lt;=umumiy_malumot!$B$81,DATE(YEAR(R50),MONTH(R50),DAY(IF(A50=umumiy_malumot!$B$81,umumiy_malumot!$B$67,IF(A50&lt;umumiy_malumot!$B$81,(Q50),IF(A50&gt;umumiy_malumot!$B$81,$H$56,0))))))</f>
        <v>0</v>
      </c>
      <c r="C50" s="64">
        <f t="shared" si="11"/>
        <v>-3.7252902984619141E-9</v>
      </c>
      <c r="D50" s="64" t="b">
        <f t="shared" si="12"/>
        <v>0</v>
      </c>
      <c r="E50" s="64" t="b">
        <f t="shared" si="13"/>
        <v>0</v>
      </c>
      <c r="F50" s="64" t="b">
        <f t="shared" si="14"/>
        <v>0</v>
      </c>
      <c r="G50" s="110">
        <f t="shared" si="15"/>
        <v>0</v>
      </c>
      <c r="H50" s="110">
        <f t="shared" si="16"/>
        <v>366</v>
      </c>
      <c r="I50" s="118" t="b">
        <f t="shared" si="17"/>
        <v>0</v>
      </c>
      <c r="J50" s="118">
        <f>SUM($I$8:I49)</f>
        <v>50000000</v>
      </c>
      <c r="K50" s="118">
        <f t="shared" si="18"/>
        <v>0</v>
      </c>
      <c r="L50" s="112">
        <f>ROUND(C50*umumiy_malumot!$B$84/H50,2)*G50</f>
        <v>0</v>
      </c>
      <c r="M50" s="112">
        <f t="shared" si="19"/>
        <v>0</v>
      </c>
      <c r="N50" s="112"/>
      <c r="O50" s="124" t="str">
        <f t="shared" si="20"/>
        <v>Сб</v>
      </c>
      <c r="P50" s="126">
        <f t="shared" si="21"/>
        <v>2</v>
      </c>
      <c r="Q50" s="126">
        <f>DAY(umumiy_malumot!$B$78)+P50</f>
        <v>27</v>
      </c>
      <c r="R50" s="121">
        <f>IF(A50&lt;=umumiy_malumot!$B$81,DATE(YEAR($B$8),MONTH($B$8)+A49,DAY(umumiy_malumot!$B$78)),0)</f>
        <v>0</v>
      </c>
      <c r="S50" s="110"/>
      <c r="T50" s="110"/>
      <c r="U50" s="110"/>
      <c r="V50" s="110"/>
    </row>
    <row r="51" spans="1:22">
      <c r="A51" s="116">
        <f t="shared" si="22"/>
        <v>44</v>
      </c>
      <c r="B51" s="117" t="b">
        <f>IF(A51&lt;=umumiy_malumot!$B$81,DATE(YEAR(R51),MONTH(R51),DAY(IF(A51=umumiy_malumot!$B$81,umumiy_malumot!$B$67,IF(A51&lt;umumiy_malumot!$B$81,(Q51),IF(A51&gt;umumiy_malumot!$B$81,$H$56,0))))))</f>
        <v>0</v>
      </c>
      <c r="C51" s="64">
        <f t="shared" si="11"/>
        <v>-3.7252902984619141E-9</v>
      </c>
      <c r="D51" s="64" t="b">
        <f t="shared" si="12"/>
        <v>0</v>
      </c>
      <c r="E51" s="64" t="b">
        <f t="shared" si="13"/>
        <v>0</v>
      </c>
      <c r="F51" s="64" t="b">
        <f t="shared" si="14"/>
        <v>0</v>
      </c>
      <c r="G51" s="110">
        <f t="shared" si="15"/>
        <v>0</v>
      </c>
      <c r="H51" s="110">
        <f t="shared" si="16"/>
        <v>366</v>
      </c>
      <c r="I51" s="118" t="b">
        <f t="shared" si="17"/>
        <v>0</v>
      </c>
      <c r="J51" s="118">
        <f>SUM($I$8:I50)</f>
        <v>50000000</v>
      </c>
      <c r="K51" s="118">
        <f t="shared" si="18"/>
        <v>0</v>
      </c>
      <c r="L51" s="112">
        <f>ROUND(C51*umumiy_malumot!$B$84/H51,2)*G51</f>
        <v>0</v>
      </c>
      <c r="M51" s="112">
        <f t="shared" si="19"/>
        <v>0</v>
      </c>
      <c r="N51" s="112"/>
      <c r="O51" s="124" t="str">
        <f t="shared" si="20"/>
        <v>Сб</v>
      </c>
      <c r="P51" s="126">
        <f t="shared" si="21"/>
        <v>2</v>
      </c>
      <c r="Q51" s="126">
        <f>DAY(umumiy_malumot!$B$78)+P51</f>
        <v>27</v>
      </c>
      <c r="R51" s="121">
        <f>IF(A51&lt;=umumiy_malumot!$B$81,DATE(YEAR($B$8),MONTH($B$8)+A50,DAY(umumiy_malumot!$B$78)),0)</f>
        <v>0</v>
      </c>
      <c r="S51" s="110"/>
      <c r="T51" s="110"/>
      <c r="U51" s="110"/>
      <c r="V51" s="110"/>
    </row>
    <row r="52" spans="1:22">
      <c r="A52" s="116">
        <f t="shared" si="22"/>
        <v>45</v>
      </c>
      <c r="B52" s="117" t="b">
        <f>IF(A52&lt;=umumiy_malumot!$B$81,DATE(YEAR(R52),MONTH(R52),DAY(IF(A52=umumiy_malumot!$B$81,umumiy_malumot!$B$67,IF(A52&lt;umumiy_malumot!$B$81,(Q52),IF(A52&gt;umumiy_malumot!$B$81,$H$56,0))))))</f>
        <v>0</v>
      </c>
      <c r="C52" s="64">
        <f t="shared" si="11"/>
        <v>-3.7252902984619141E-9</v>
      </c>
      <c r="D52" s="64" t="b">
        <f t="shared" si="12"/>
        <v>0</v>
      </c>
      <c r="E52" s="64" t="b">
        <f t="shared" si="13"/>
        <v>0</v>
      </c>
      <c r="F52" s="64" t="b">
        <f t="shared" si="14"/>
        <v>0</v>
      </c>
      <c r="G52" s="110">
        <f t="shared" si="15"/>
        <v>0</v>
      </c>
      <c r="H52" s="110">
        <f t="shared" si="16"/>
        <v>366</v>
      </c>
      <c r="I52" s="118" t="b">
        <f t="shared" si="17"/>
        <v>0</v>
      </c>
      <c r="J52" s="118">
        <f>SUM($I$8:I51)</f>
        <v>50000000</v>
      </c>
      <c r="K52" s="118">
        <f t="shared" si="18"/>
        <v>0</v>
      </c>
      <c r="L52" s="112">
        <f>ROUND(C52*umumiy_malumot!$B$84/H52,2)*G52</f>
        <v>0</v>
      </c>
      <c r="M52" s="112">
        <f t="shared" si="19"/>
        <v>0</v>
      </c>
      <c r="N52" s="112"/>
      <c r="O52" s="124" t="str">
        <f t="shared" si="20"/>
        <v>Сб</v>
      </c>
      <c r="P52" s="126">
        <f t="shared" si="21"/>
        <v>2</v>
      </c>
      <c r="Q52" s="126">
        <f>DAY(umumiy_malumot!$B$78)+P52</f>
        <v>27</v>
      </c>
      <c r="R52" s="121">
        <f>IF(A52&lt;=umumiy_malumot!$B$81,DATE(YEAR($B$8),MONTH($B$8)+A51,DAY(umumiy_malumot!$B$78)),0)</f>
        <v>0</v>
      </c>
      <c r="S52" s="110"/>
      <c r="T52" s="110"/>
      <c r="U52" s="110"/>
      <c r="V52" s="110"/>
    </row>
    <row r="53" spans="1:22">
      <c r="A53" s="116">
        <f t="shared" si="22"/>
        <v>46</v>
      </c>
      <c r="B53" s="117" t="b">
        <f>IF(A53&lt;=umumiy_malumot!$B$81,DATE(YEAR(R53),MONTH(R53),DAY(IF(A53=umumiy_malumot!$B$81,umumiy_malumot!$B$67,IF(A53&lt;umumiy_malumot!$B$81,(Q53),IF(A53&gt;umumiy_malumot!$B$81,$H$56,0))))))</f>
        <v>0</v>
      </c>
      <c r="C53" s="64">
        <f t="shared" si="11"/>
        <v>-3.7252902984619141E-9</v>
      </c>
      <c r="D53" s="64" t="b">
        <f t="shared" si="12"/>
        <v>0</v>
      </c>
      <c r="E53" s="64" t="b">
        <f t="shared" si="13"/>
        <v>0</v>
      </c>
      <c r="F53" s="64" t="b">
        <f t="shared" si="14"/>
        <v>0</v>
      </c>
      <c r="G53" s="110">
        <f t="shared" si="15"/>
        <v>0</v>
      </c>
      <c r="H53" s="110">
        <f t="shared" si="16"/>
        <v>366</v>
      </c>
      <c r="I53" s="118" t="b">
        <f t="shared" si="17"/>
        <v>0</v>
      </c>
      <c r="J53" s="118">
        <f>SUM($I$8:I52)</f>
        <v>50000000</v>
      </c>
      <c r="K53" s="118">
        <f t="shared" si="18"/>
        <v>0</v>
      </c>
      <c r="L53" s="112">
        <f>ROUND(C53*umumiy_malumot!$B$84/H53,2)*G53</f>
        <v>0</v>
      </c>
      <c r="M53" s="112">
        <f t="shared" si="19"/>
        <v>0</v>
      </c>
      <c r="N53" s="112"/>
      <c r="O53" s="124" t="str">
        <f t="shared" si="20"/>
        <v>Сб</v>
      </c>
      <c r="P53" s="126">
        <f t="shared" si="21"/>
        <v>2</v>
      </c>
      <c r="Q53" s="126">
        <f>DAY(umumiy_malumot!$B$78)+P53</f>
        <v>27</v>
      </c>
      <c r="R53" s="121">
        <f>IF(A53&lt;=umumiy_malumot!$B$81,DATE(YEAR($B$8),MONTH($B$8)+A52,DAY(umumiy_malumot!$B$78)),0)</f>
        <v>0</v>
      </c>
      <c r="S53" s="110"/>
      <c r="T53" s="110"/>
      <c r="U53" s="110"/>
      <c r="V53" s="110"/>
    </row>
    <row r="54" spans="1:22">
      <c r="A54" s="116">
        <f t="shared" si="22"/>
        <v>47</v>
      </c>
      <c r="B54" s="117" t="b">
        <f>IF(A54&lt;=umumiy_malumot!$B$81,DATE(YEAR(R54),MONTH(R54),DAY(IF(A54=umumiy_malumot!$B$81,umumiy_malumot!$B$67,IF(A54&lt;umumiy_malumot!$B$81,(Q54),IF(A54&gt;umumiy_malumot!$B$81,$H$56,0))))))</f>
        <v>0</v>
      </c>
      <c r="C54" s="64">
        <f t="shared" si="11"/>
        <v>-3.7252902984619141E-9</v>
      </c>
      <c r="D54" s="64" t="b">
        <f t="shared" si="12"/>
        <v>0</v>
      </c>
      <c r="E54" s="64" t="b">
        <f t="shared" si="13"/>
        <v>0</v>
      </c>
      <c r="F54" s="64" t="b">
        <f t="shared" si="14"/>
        <v>0</v>
      </c>
      <c r="G54" s="110">
        <f t="shared" si="15"/>
        <v>0</v>
      </c>
      <c r="H54" s="110">
        <f t="shared" si="16"/>
        <v>366</v>
      </c>
      <c r="I54" s="118" t="b">
        <f t="shared" si="17"/>
        <v>0</v>
      </c>
      <c r="J54" s="118">
        <f>SUM($I$8:I53)</f>
        <v>50000000</v>
      </c>
      <c r="K54" s="118">
        <f t="shared" si="18"/>
        <v>0</v>
      </c>
      <c r="L54" s="112">
        <f>ROUND(C54*umumiy_malumot!$B$84/H54,2)*G54</f>
        <v>0</v>
      </c>
      <c r="M54" s="112">
        <f t="shared" si="19"/>
        <v>0</v>
      </c>
      <c r="N54" s="112"/>
      <c r="O54" s="124" t="str">
        <f t="shared" si="20"/>
        <v>Сб</v>
      </c>
      <c r="P54" s="126">
        <f t="shared" si="21"/>
        <v>2</v>
      </c>
      <c r="Q54" s="126">
        <f>DAY(umumiy_malumot!$B$78)+P54</f>
        <v>27</v>
      </c>
      <c r="R54" s="121">
        <f>IF(A54&lt;=umumiy_malumot!$B$81,DATE(YEAR($B$8),MONTH($B$8)+A53,DAY(umumiy_malumot!$B$78)),0)</f>
        <v>0</v>
      </c>
      <c r="S54" s="110"/>
      <c r="T54" s="110"/>
      <c r="U54" s="110"/>
      <c r="V54" s="110"/>
    </row>
    <row r="55" spans="1:22">
      <c r="A55" s="116">
        <f t="shared" si="22"/>
        <v>48</v>
      </c>
      <c r="B55" s="117" t="b">
        <f>IF(A55&lt;=umumiy_malumot!$B$81,DATE(YEAR(R55),MONTH(R55),DAY(IF(A55=umumiy_malumot!$B$81,umumiy_malumot!$B$67,IF(A55&lt;umumiy_malumot!$B$81,(Q55),IF(A55&gt;umumiy_malumot!$B$81,$H$56,0))))))</f>
        <v>0</v>
      </c>
      <c r="C55" s="64">
        <f t="shared" si="11"/>
        <v>-3.7252902984619141E-9</v>
      </c>
      <c r="D55" s="64" t="b">
        <f t="shared" si="12"/>
        <v>0</v>
      </c>
      <c r="E55" s="64" t="b">
        <f t="shared" si="13"/>
        <v>0</v>
      </c>
      <c r="F55" s="64" t="b">
        <f t="shared" si="14"/>
        <v>0</v>
      </c>
      <c r="G55" s="110">
        <f t="shared" si="15"/>
        <v>0</v>
      </c>
      <c r="H55" s="110">
        <f t="shared" si="16"/>
        <v>366</v>
      </c>
      <c r="I55" s="118" t="b">
        <f t="shared" si="17"/>
        <v>0</v>
      </c>
      <c r="J55" s="118">
        <f>SUM($I$8:I54)</f>
        <v>50000000</v>
      </c>
      <c r="K55" s="118">
        <f t="shared" si="18"/>
        <v>0</v>
      </c>
      <c r="L55" s="112">
        <f>ROUND(C55*umumiy_malumot!$B$84/H55,2)*G55</f>
        <v>0</v>
      </c>
      <c r="M55" s="112">
        <f t="shared" si="19"/>
        <v>0</v>
      </c>
      <c r="N55" s="112"/>
      <c r="O55" s="124" t="str">
        <f t="shared" si="20"/>
        <v>Сб</v>
      </c>
      <c r="P55" s="126">
        <f t="shared" si="21"/>
        <v>2</v>
      </c>
      <c r="Q55" s="126">
        <f>DAY(umumiy_malumot!$B$78)+P55</f>
        <v>27</v>
      </c>
      <c r="R55" s="121">
        <f>IF(A55&lt;=umumiy_malumot!$B$81,DATE(YEAR($B$8),MONTH($B$8)+A54,DAY(umumiy_malumot!$B$78)),0)</f>
        <v>0</v>
      </c>
      <c r="S55" s="110"/>
      <c r="T55" s="110"/>
      <c r="U55" s="110"/>
      <c r="V55" s="110"/>
    </row>
    <row r="56" spans="1:22" s="231" customFormat="1">
      <c r="A56" s="227"/>
      <c r="B56" s="228" t="s">
        <v>7</v>
      </c>
      <c r="C56" s="229"/>
      <c r="D56" s="229">
        <f>SUM(D8:D55)</f>
        <v>50000000</v>
      </c>
      <c r="E56" s="229">
        <f>SUM(E8:E55)</f>
        <v>37126502.75999999</v>
      </c>
      <c r="F56" s="229">
        <f>SUM(F8:F55)</f>
        <v>87126502.759999976</v>
      </c>
      <c r="G56" s="230"/>
      <c r="H56" s="230"/>
      <c r="I56" s="230"/>
      <c r="J56" s="230"/>
      <c r="K56" s="230"/>
      <c r="L56" s="230"/>
      <c r="M56" s="230"/>
      <c r="N56" s="230"/>
    </row>
    <row r="57" spans="1:22" ht="9" customHeight="1">
      <c r="B57" s="119"/>
      <c r="C57" s="120"/>
      <c r="D57" s="120"/>
      <c r="E57" s="120"/>
      <c r="F57" s="120"/>
    </row>
    <row r="58" spans="1:22" ht="47.25" customHeight="1">
      <c r="A58" s="258" t="s">
        <v>17</v>
      </c>
      <c r="B58" s="258"/>
      <c r="C58" s="258"/>
      <c r="D58" s="258"/>
      <c r="E58" s="258"/>
      <c r="F58" s="258"/>
    </row>
    <row r="59" spans="1:22" ht="7.5" customHeight="1"/>
    <row r="60" spans="1:22">
      <c r="A60" s="259" t="e">
        <f>#REF!</f>
        <v>#REF!</v>
      </c>
      <c r="B60" s="259"/>
      <c r="C60" s="259"/>
      <c r="D60" s="259" t="e">
        <f>#REF!</f>
        <v>#REF!</v>
      </c>
      <c r="E60" s="259"/>
      <c r="F60" s="259"/>
    </row>
    <row r="61" spans="1:22" ht="11.25" customHeight="1">
      <c r="A61" s="260"/>
      <c r="B61" s="260"/>
      <c r="C61" s="260"/>
      <c r="D61" s="260"/>
      <c r="E61" s="260"/>
      <c r="F61" s="260"/>
    </row>
    <row r="62" spans="1:22" ht="30" customHeight="1">
      <c r="A62" s="257" t="e">
        <f>#REF!</f>
        <v>#REF!</v>
      </c>
      <c r="B62" s="257"/>
      <c r="C62" s="257"/>
      <c r="D62" s="257" t="e">
        <f>#REF!</f>
        <v>#REF!</v>
      </c>
      <c r="E62" s="257"/>
      <c r="F62" s="257"/>
    </row>
    <row r="63" spans="1:22" ht="32.25" customHeight="1">
      <c r="A63" s="253" t="e">
        <f>#REF!</f>
        <v>#REF!</v>
      </c>
      <c r="B63" s="253"/>
      <c r="C63" s="253"/>
      <c r="D63" s="253" t="e">
        <f>#REF!</f>
        <v>#REF!</v>
      </c>
      <c r="E63" s="253"/>
      <c r="F63" s="253"/>
    </row>
    <row r="64" spans="1:22">
      <c r="A64" s="253" t="e">
        <f>#REF!</f>
        <v>#REF!</v>
      </c>
      <c r="B64" s="253"/>
      <c r="C64" s="253"/>
      <c r="D64" s="253" t="str">
        <f>"паспорт серии "&amp;umumiy_malumot!B16&amp;", "&amp;umumiy_malumot!B20&amp;""</f>
        <v>паспорт серии AD 9088376, IIV 26296 tomonidan 21.10.2024 yilda berilgan</v>
      </c>
      <c r="E64" s="253"/>
      <c r="F64" s="253"/>
    </row>
    <row r="65" spans="1:6" ht="32.25" customHeight="1">
      <c r="A65" s="253" t="e">
        <f>#REF!</f>
        <v>#REF!</v>
      </c>
      <c r="B65" s="253"/>
      <c r="C65" s="253"/>
      <c r="D65" s="253"/>
      <c r="E65" s="253"/>
      <c r="F65" s="253"/>
    </row>
    <row r="66" spans="1:6">
      <c r="A66" s="253" t="e">
        <f>#REF!</f>
        <v>#REF!</v>
      </c>
      <c r="B66" s="253"/>
      <c r="C66" s="253"/>
      <c r="D66" s="253" t="e">
        <f>#REF!</f>
        <v>#REF!</v>
      </c>
      <c r="E66" s="253"/>
      <c r="F66" s="253"/>
    </row>
    <row r="67" spans="1:6">
      <c r="A67" s="253" t="e">
        <f>#REF!</f>
        <v>#REF!</v>
      </c>
      <c r="B67" s="253"/>
      <c r="C67" s="253"/>
      <c r="D67" s="253" t="e">
        <f>#REF!</f>
        <v>#REF!</v>
      </c>
      <c r="E67" s="253"/>
      <c r="F67" s="253"/>
    </row>
    <row r="68" spans="1:6">
      <c r="A68" s="253" t="e">
        <f>#REF!</f>
        <v>#REF!</v>
      </c>
      <c r="B68" s="253"/>
      <c r="C68" s="253"/>
      <c r="D68" s="253" t="e">
        <f>#REF!</f>
        <v>#REF!</v>
      </c>
      <c r="E68" s="253"/>
      <c r="F68" s="253"/>
    </row>
    <row r="69" spans="1:6" ht="8.25" customHeight="1">
      <c r="A69" s="253"/>
      <c r="B69" s="253"/>
      <c r="C69" s="253"/>
      <c r="D69" s="253"/>
      <c r="E69" s="253"/>
      <c r="F69" s="253"/>
    </row>
    <row r="70" spans="1:6">
      <c r="A70" s="257" t="e">
        <f>#REF!</f>
        <v>#REF!</v>
      </c>
      <c r="B70" s="257"/>
      <c r="C70" s="257"/>
      <c r="D70" s="257" t="e">
        <f>#REF!</f>
        <v>#REF!</v>
      </c>
      <c r="E70" s="257"/>
      <c r="F70" s="257"/>
    </row>
    <row r="71" spans="1:6" ht="7.5" customHeight="1">
      <c r="A71" s="257"/>
      <c r="B71" s="257"/>
      <c r="C71" s="257"/>
      <c r="D71" s="257"/>
      <c r="E71" s="257"/>
      <c r="F71" s="257"/>
    </row>
    <row r="72" spans="1:6">
      <c r="A72" s="257" t="e">
        <f>#REF!</f>
        <v>#REF!</v>
      </c>
      <c r="B72" s="257"/>
      <c r="C72" s="257"/>
      <c r="D72" s="257" t="e">
        <f>#REF!</f>
        <v>#REF!</v>
      </c>
      <c r="E72" s="257"/>
      <c r="F72" s="257"/>
    </row>
    <row r="73" spans="1:6" ht="8.25" customHeight="1">
      <c r="A73" s="253"/>
      <c r="B73" s="253"/>
      <c r="C73" s="253"/>
      <c r="D73" s="253"/>
      <c r="E73" s="253"/>
      <c r="F73" s="253"/>
    </row>
    <row r="74" spans="1:6" ht="30" customHeight="1">
      <c r="A74" s="254"/>
      <c r="B74" s="254"/>
      <c r="C74" s="254"/>
      <c r="D74" s="255" t="e">
        <f>#REF!</f>
        <v>#REF!</v>
      </c>
      <c r="E74" s="255"/>
      <c r="F74" s="255"/>
    </row>
    <row r="75" spans="1:6">
      <c r="A75" s="256"/>
      <c r="B75" s="256"/>
      <c r="C75" s="256"/>
      <c r="D75" s="256"/>
      <c r="E75" s="256"/>
      <c r="F75" s="256"/>
    </row>
    <row r="76" spans="1:6">
      <c r="A76" s="252"/>
      <c r="B76" s="252"/>
      <c r="C76" s="252"/>
      <c r="D76" s="252"/>
      <c r="E76" s="252"/>
      <c r="F76" s="252"/>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8" priority="4" operator="lessThan">
      <formula>22105</formula>
    </cfRule>
  </conditionalFormatting>
  <conditionalFormatting sqref="C8:C55">
    <cfRule type="cellIs" dxfId="7" priority="3" operator="lessThan">
      <formula>1</formula>
    </cfRule>
  </conditionalFormatting>
  <conditionalFormatting sqref="C8:F55">
    <cfRule type="cellIs" dxfId="6" priority="1" operator="lessThan">
      <formula>0.1</formula>
    </cfRule>
  </conditionalFormatting>
  <pageMargins left="0.70866141732283472" right="0.70866141732283472" top="0.74803149606299213" bottom="0.74803149606299213" header="0.31496062992125984" footer="0.31496062992125984"/>
  <pageSetup paperSize="9" scale="94"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20">
    <tabColor rgb="FFFF0000"/>
  </sheetPr>
  <dimension ref="A1:W30"/>
  <sheetViews>
    <sheetView zoomScale="85" zoomScaleNormal="85" zoomScaleSheetLayoutView="85" workbookViewId="0">
      <pane ySplit="1" topLeftCell="A2" activePane="bottomLeft" state="frozen"/>
      <selection pane="bottomLeft"/>
    </sheetView>
  </sheetViews>
  <sheetFormatPr defaultRowHeight="15"/>
  <cols>
    <col min="1" max="1" width="16.7109375" style="135" customWidth="1"/>
    <col min="2" max="2" width="13.28515625" hidden="1" customWidth="1"/>
    <col min="3" max="3" width="8.42578125" hidden="1" customWidth="1"/>
    <col min="4" max="4" width="18.140625" customWidth="1"/>
    <col min="5" max="5" width="45.42578125" customWidth="1"/>
    <col min="6" max="6" width="15.42578125" customWidth="1"/>
    <col min="7" max="10" width="15.42578125" hidden="1" customWidth="1"/>
    <col min="11" max="11" width="18.140625" hidden="1" customWidth="1"/>
    <col min="12" max="12" width="10.5703125" customWidth="1"/>
    <col min="13" max="13" width="22.7109375" customWidth="1"/>
    <col min="14" max="14" width="28.140625" customWidth="1"/>
    <col min="15" max="15" width="125.42578125" customWidth="1"/>
    <col min="16" max="22" width="9.140625" customWidth="1"/>
    <col min="23" max="23" width="117.7109375" customWidth="1"/>
    <col min="24" max="24" width="9.140625" customWidth="1"/>
    <col min="25" max="25" width="2.5703125" customWidth="1"/>
    <col min="26" max="38" width="9.140625" customWidth="1"/>
  </cols>
  <sheetData>
    <row r="1" spans="1:23" s="141" customFormat="1" ht="36.75" customHeight="1">
      <c r="A1" s="140" t="s">
        <v>14</v>
      </c>
      <c r="B1" s="141" t="s">
        <v>3</v>
      </c>
      <c r="D1" s="140"/>
      <c r="E1" s="140" t="s">
        <v>37</v>
      </c>
      <c r="F1" s="140" t="s">
        <v>38</v>
      </c>
      <c r="G1" s="140"/>
      <c r="H1" s="140"/>
      <c r="I1" s="140"/>
      <c r="J1" s="140"/>
      <c r="K1" s="140"/>
      <c r="L1" s="140" t="s">
        <v>39</v>
      </c>
      <c r="M1" s="140" t="s">
        <v>41</v>
      </c>
      <c r="N1" s="140" t="s">
        <v>40</v>
      </c>
    </row>
    <row r="2" spans="1:23" ht="15" customHeight="1">
      <c r="A2" s="134">
        <v>1</v>
      </c>
      <c r="B2" t="s">
        <v>248</v>
      </c>
      <c r="C2" t="s">
        <v>63</v>
      </c>
      <c r="D2" s="136" t="s">
        <v>248</v>
      </c>
      <c r="E2" s="136" t="s">
        <v>43</v>
      </c>
      <c r="F2" s="137">
        <v>44207</v>
      </c>
      <c r="G2" s="125">
        <f>MONTH(F2)</f>
        <v>1</v>
      </c>
      <c r="H2" s="137" t="str">
        <f>IF(G2=$A$26,$A$28,IF(G2=$B$26,$B$28,IF(G2=$C$26,$C$28,IF(G2=$D$26,$D$28,IF(G2=$E$26,$E$28,IF(G2=$F$26,$F$28,IF(G2=$K$26,$K$28,IF(G2=$L$26,$L$28,IF(G2=$M$26,$M$28,IF(G2=$N$26,$N$28,IF(G2=$O$26,$O$28,IF(G2=$P$26,$P$28,0))))))))))))</f>
        <v>yanvar</v>
      </c>
      <c r="I2" s="125">
        <f>DAY(F2)</f>
        <v>11</v>
      </c>
      <c r="J2" s="139">
        <f>YEAR(F2)</f>
        <v>2021</v>
      </c>
      <c r="K2" s="137" t="str">
        <f>""&amp;I2&amp;" "&amp;H2&amp;" "&amp;J2&amp;" г."</f>
        <v>11 yanvar 2021 г.</v>
      </c>
      <c r="L2" s="136">
        <v>5</v>
      </c>
      <c r="M2" s="138">
        <v>15000000</v>
      </c>
      <c r="N2" s="136" t="s">
        <v>126</v>
      </c>
      <c r="O2" t="str">
        <f>"- №"&amp;L2&amp;" от "&amp;K2&amp;", заключенного с ООО «Clever Mikrokredit Tashkiloti» и "&amp;E2&amp;", по согласованной залоговой стоимость - "&amp;FIXED(M2)&amp;" ("&amp;N2&amp;") сум."</f>
        <v>- №5 от 11 yanvar 2021 г., заключенного с ООО «Clever Mikrokredit Tashkiloti» и TULYAGANOV XODJIAKBAR IRGASHEVICH, по согласованной залоговой стоимость - 15 000 000,00 (on besh million) сум.</v>
      </c>
      <c r="P2" t="str">
        <f>IF(D2=$B$2,O2,IF(D2=$C$2,$B$1))</f>
        <v>- №5 от 11 yanvar 2021 г., заключенного с ООО «Clever Mikrokredit Tashkiloti» и TULYAGANOV XODJIAKBAR IRGASHEVICH, по согласованной залоговой стоимость - 15 000 000,00 (on besh million) сум.</v>
      </c>
      <c r="W2" s="76" t="str">
        <f>""&amp;P2&amp;"
"&amp;P3&amp;"
"&amp;P4&amp;"
"&amp;P5&amp;"
"&amp;P6&amp;"
"&amp;P7&amp;"
"&amp;P8&amp;"
"&amp;P9&amp;"
"&amp;P10&amp;"
"&amp;P11&amp;"
"&amp;P12&amp;"
"&amp;P13&amp;"
"&amp;P14&amp;"
"&amp;P15&amp;"
"&amp;P16&amp;"
"&amp;P17&amp;"
"&amp;P18&amp;"
"&amp;P19&amp;"
"&amp;P20&amp;"
"&amp;P21&amp;""</f>
        <v>-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row>
    <row r="3" spans="1:23" ht="15" customHeight="1">
      <c r="A3" s="134">
        <v>2</v>
      </c>
      <c r="D3" s="136" t="s">
        <v>248</v>
      </c>
      <c r="E3" s="136" t="s">
        <v>42</v>
      </c>
      <c r="F3" s="137">
        <v>43775</v>
      </c>
      <c r="G3" s="125">
        <f>MONTH(F3)</f>
        <v>11</v>
      </c>
      <c r="H3" s="137" t="str">
        <f>IF(G3=$A$26,$A$28,IF(G3=$B$26,$B$28,IF(G3=$C$26,$C$28,IF(G3=$D$26,$D$28,IF(G3=$E$26,$E$28,IF(G3=$F$26,$F$28,IF(G3=$K$26,$K$28,IF(G3=$L$26,$L$28,IF(G3=$M$26,$M$28,IF(G3=$N$26,$N$28,IF(G3=$O$26,$O$28,IF(G3=$P$26,$P$28,0))))))))))))</f>
        <v>noyabr</v>
      </c>
      <c r="I3" s="125">
        <f>DAY(F3)</f>
        <v>6</v>
      </c>
      <c r="J3" s="139">
        <f>YEAR(F3)</f>
        <v>2019</v>
      </c>
      <c r="K3" s="137" t="str">
        <f>""&amp;I3&amp;" "&amp;H3&amp;" "&amp;J3&amp;" г."</f>
        <v>6 noyabr 2019 г.</v>
      </c>
      <c r="L3" s="136">
        <v>386</v>
      </c>
      <c r="M3" s="138">
        <v>15000000</v>
      </c>
      <c r="N3" s="136" t="s">
        <v>126</v>
      </c>
      <c r="O3" t="str">
        <f>"- №"&amp;L3&amp;" от "&amp;K3&amp;", заключенного с ООО «Clever Mikrokredit Tashkiloti» и "&amp;E3&amp;", по согласованной залоговой стоимость - "&amp;FIXED(M3)&amp;" ("&amp;N3&amp;") сум."</f>
        <v>- №386 от 6 noyabr 2019 г., заключенного с ООО «Clever Mikrokredit Tashkiloti» и YUNUSOVA ZALOXAT MIRSULTANOVNA, по согласованной залоговой стоимость - 15 000 000,00 (on besh million) сум.</v>
      </c>
      <c r="P3" t="str">
        <f t="shared" ref="P3:P21" si="0">IF(D3=$B$2,O3,IF(D3=$C$2,$B$1))</f>
        <v>- №386 от 6 noyabr 2019 г., заключенного с ООО «Clever Mikrokredit Tashkiloti» и YUNUSOVA ZALOXAT MIRSULTANOVNA, по согласованной залоговой стоимость - 15 000 000,00 (on besh million) сум.</v>
      </c>
    </row>
    <row r="4" spans="1:23" ht="15" customHeight="1">
      <c r="A4" s="134">
        <v>3</v>
      </c>
      <c r="D4" s="136" t="s">
        <v>248</v>
      </c>
      <c r="E4" s="136" t="s">
        <v>42</v>
      </c>
      <c r="F4" s="137">
        <v>44217</v>
      </c>
      <c r="G4" s="125">
        <f>MONTH(F4)</f>
        <v>1</v>
      </c>
      <c r="H4" s="137" t="str">
        <f>IF(G4=$A$26,$A$28,IF(G4=$B$26,$B$28,IF(G4=$C$26,$C$28,IF(G4=$D$26,$D$28,IF(G4=$E$26,$E$28,IF(G4=$F$26,$F$28,IF(G4=$K$26,$K$28,IF(G4=$L$26,$L$28,IF(G4=$M$26,$M$28,IF(G4=$N$26,$N$28,IF(G4=$O$26,$O$28,IF(G4=$P$26,$P$28,0))))))))))))</f>
        <v>yanvar</v>
      </c>
      <c r="I4" s="125">
        <f>DAY(F4)</f>
        <v>21</v>
      </c>
      <c r="J4" s="139">
        <f>YEAR(F4)</f>
        <v>2021</v>
      </c>
      <c r="K4" s="137" t="str">
        <f>""&amp;I4&amp;" "&amp;H4&amp;" "&amp;J4&amp;" г."</f>
        <v>21 yanvar 2021 г.</v>
      </c>
      <c r="L4" s="136">
        <v>33</v>
      </c>
      <c r="M4" s="138">
        <v>15000000</v>
      </c>
      <c r="N4" s="136" t="s">
        <v>126</v>
      </c>
      <c r="O4" t="str">
        <f>"- №"&amp;L4&amp;" от "&amp;K4&amp;", заключенного с ООО «Clever Mikrokredit Tashkiloti» и "&amp;E4&amp;", по согласованной залоговой стоимость - "&amp;FIXED(M4)&amp;" ("&amp;N4&amp;") сум."</f>
        <v>- №33 от 21 yanvar 2021 г., заключенного с ООО «Clever Mikrokredit Tashkiloti» и YUNUSOVA ZALOXAT MIRSULTANOVNA, по согласованной залоговой стоимость - 15 000 000,00 (on besh million) сум.</v>
      </c>
      <c r="P4" t="str">
        <f t="shared" si="0"/>
        <v>- №33 от 21 yanvar 2021 г., заключенного с ООО «Clever Mikrokredit Tashkiloti» и YUNUSOVA ZALOXAT MIRSULTANOVNA, по согласованной залоговой стоимость - 15 000 000,00 (on besh million) сум.</v>
      </c>
    </row>
    <row r="5" spans="1:23" ht="15" customHeight="1">
      <c r="A5" s="134">
        <v>4</v>
      </c>
      <c r="D5" s="136" t="s">
        <v>248</v>
      </c>
      <c r="E5" s="136"/>
      <c r="F5" s="137"/>
      <c r="G5" s="125">
        <f t="shared" ref="G5:G21" si="1">MONTH(F5)</f>
        <v>1</v>
      </c>
      <c r="H5" s="137" t="str">
        <f t="shared" ref="H5:H21" si="2">IF(G5=$A$26,$A$28,IF(G5=$B$26,$B$28,IF(G5=$C$26,$C$28,IF(G5=$D$26,$D$28,IF(G5=$E$26,$E$28,IF(G5=$F$26,$F$28,IF(G5=$K$26,$K$28,IF(G5=$L$26,$L$28,IF(G5=$M$26,$M$28,IF(G5=$N$26,$N$28,IF(G5=$O$26,$O$28,IF(G5=$P$26,$P$28,0))))))))))))</f>
        <v>yanvar</v>
      </c>
      <c r="I5" s="125">
        <f t="shared" ref="I5:I21" si="3">DAY(F5)</f>
        <v>0</v>
      </c>
      <c r="J5" s="139">
        <f t="shared" ref="J5:J21" si="4">YEAR(F5)</f>
        <v>1900</v>
      </c>
      <c r="K5" s="137" t="str">
        <f t="shared" ref="K5:K21" si="5">""&amp;I5&amp;" "&amp;H5&amp;" "&amp;J5&amp;" г."</f>
        <v>0 yanvar 1900 г.</v>
      </c>
      <c r="L5" s="136"/>
      <c r="M5" s="138"/>
      <c r="N5" s="136"/>
      <c r="P5">
        <f t="shared" si="0"/>
        <v>0</v>
      </c>
    </row>
    <row r="6" spans="1:23" ht="15" customHeight="1">
      <c r="A6" s="134">
        <v>5</v>
      </c>
      <c r="D6" s="136" t="s">
        <v>248</v>
      </c>
      <c r="E6" s="136"/>
      <c r="F6" s="137"/>
      <c r="G6" s="125">
        <f t="shared" si="1"/>
        <v>1</v>
      </c>
      <c r="H6" s="137" t="str">
        <f t="shared" si="2"/>
        <v>yanvar</v>
      </c>
      <c r="I6" s="125">
        <f t="shared" si="3"/>
        <v>0</v>
      </c>
      <c r="J6" s="139">
        <f t="shared" si="4"/>
        <v>1900</v>
      </c>
      <c r="K6" s="137" t="str">
        <f t="shared" si="5"/>
        <v>0 yanvar 1900 г.</v>
      </c>
      <c r="L6" s="136"/>
      <c r="M6" s="138"/>
      <c r="N6" s="136"/>
      <c r="P6">
        <f t="shared" si="0"/>
        <v>0</v>
      </c>
    </row>
    <row r="7" spans="1:23" ht="15" customHeight="1">
      <c r="A7" s="134">
        <v>6</v>
      </c>
      <c r="D7" s="136" t="s">
        <v>248</v>
      </c>
      <c r="E7" s="136"/>
      <c r="F7" s="137"/>
      <c r="G7" s="125">
        <f t="shared" si="1"/>
        <v>1</v>
      </c>
      <c r="H7" s="137" t="str">
        <f t="shared" si="2"/>
        <v>yanvar</v>
      </c>
      <c r="I7" s="125">
        <f t="shared" si="3"/>
        <v>0</v>
      </c>
      <c r="J7" s="139">
        <f t="shared" si="4"/>
        <v>1900</v>
      </c>
      <c r="K7" s="137" t="str">
        <f t="shared" si="5"/>
        <v>0 yanvar 1900 г.</v>
      </c>
      <c r="L7" s="136"/>
      <c r="M7" s="138"/>
      <c r="N7" s="136"/>
      <c r="P7">
        <f t="shared" si="0"/>
        <v>0</v>
      </c>
    </row>
    <row r="8" spans="1:23" ht="15" customHeight="1">
      <c r="A8" s="134">
        <v>7</v>
      </c>
      <c r="D8" s="136" t="s">
        <v>248</v>
      </c>
      <c r="E8" s="136"/>
      <c r="F8" s="137"/>
      <c r="G8" s="125">
        <f t="shared" si="1"/>
        <v>1</v>
      </c>
      <c r="H8" s="137" t="str">
        <f t="shared" si="2"/>
        <v>yanvar</v>
      </c>
      <c r="I8" s="125">
        <f t="shared" si="3"/>
        <v>0</v>
      </c>
      <c r="J8" s="139">
        <f t="shared" si="4"/>
        <v>1900</v>
      </c>
      <c r="K8" s="137" t="str">
        <f t="shared" si="5"/>
        <v>0 yanvar 1900 г.</v>
      </c>
      <c r="L8" s="136"/>
      <c r="M8" s="138"/>
      <c r="N8" s="136"/>
      <c r="P8">
        <f t="shared" si="0"/>
        <v>0</v>
      </c>
    </row>
    <row r="9" spans="1:23" ht="15" customHeight="1">
      <c r="A9" s="134">
        <v>8</v>
      </c>
      <c r="D9" s="136" t="s">
        <v>248</v>
      </c>
      <c r="E9" s="136"/>
      <c r="F9" s="137"/>
      <c r="G9" s="125">
        <f t="shared" si="1"/>
        <v>1</v>
      </c>
      <c r="H9" s="137" t="str">
        <f t="shared" si="2"/>
        <v>yanvar</v>
      </c>
      <c r="I9" s="125">
        <f t="shared" si="3"/>
        <v>0</v>
      </c>
      <c r="J9" s="139">
        <f t="shared" si="4"/>
        <v>1900</v>
      </c>
      <c r="K9" s="137" t="str">
        <f t="shared" si="5"/>
        <v>0 yanvar 1900 г.</v>
      </c>
      <c r="L9" s="136"/>
      <c r="M9" s="138"/>
      <c r="N9" s="136"/>
      <c r="P9">
        <f t="shared" si="0"/>
        <v>0</v>
      </c>
    </row>
    <row r="10" spans="1:23" ht="15" customHeight="1">
      <c r="A10" s="134">
        <v>9</v>
      </c>
      <c r="D10" s="136" t="s">
        <v>248</v>
      </c>
      <c r="E10" s="136"/>
      <c r="F10" s="137"/>
      <c r="G10" s="125">
        <f t="shared" si="1"/>
        <v>1</v>
      </c>
      <c r="H10" s="137" t="str">
        <f t="shared" si="2"/>
        <v>yanvar</v>
      </c>
      <c r="I10" s="125">
        <f t="shared" si="3"/>
        <v>0</v>
      </c>
      <c r="J10" s="139">
        <f t="shared" si="4"/>
        <v>1900</v>
      </c>
      <c r="K10" s="137" t="str">
        <f t="shared" si="5"/>
        <v>0 yanvar 1900 г.</v>
      </c>
      <c r="L10" s="136"/>
      <c r="M10" s="138"/>
      <c r="N10" s="136"/>
      <c r="P10">
        <f t="shared" si="0"/>
        <v>0</v>
      </c>
    </row>
    <row r="11" spans="1:23" ht="15" customHeight="1">
      <c r="A11" s="134">
        <v>10</v>
      </c>
      <c r="D11" s="136" t="s">
        <v>248</v>
      </c>
      <c r="E11" s="136"/>
      <c r="F11" s="137"/>
      <c r="G11" s="125">
        <f t="shared" si="1"/>
        <v>1</v>
      </c>
      <c r="H11" s="137" t="str">
        <f t="shared" si="2"/>
        <v>yanvar</v>
      </c>
      <c r="I11" s="125">
        <f t="shared" si="3"/>
        <v>0</v>
      </c>
      <c r="J11" s="139">
        <f t="shared" si="4"/>
        <v>1900</v>
      </c>
      <c r="K11" s="137" t="str">
        <f t="shared" si="5"/>
        <v>0 yanvar 1900 г.</v>
      </c>
      <c r="L11" s="136"/>
      <c r="M11" s="138"/>
      <c r="N11" s="136"/>
      <c r="P11">
        <f t="shared" si="0"/>
        <v>0</v>
      </c>
    </row>
    <row r="12" spans="1:23" ht="15" customHeight="1">
      <c r="A12" s="134">
        <v>11</v>
      </c>
      <c r="D12" s="136" t="s">
        <v>248</v>
      </c>
      <c r="E12" s="136"/>
      <c r="F12" s="137"/>
      <c r="G12" s="125">
        <f t="shared" si="1"/>
        <v>1</v>
      </c>
      <c r="H12" s="137" t="str">
        <f t="shared" si="2"/>
        <v>yanvar</v>
      </c>
      <c r="I12" s="125">
        <f t="shared" si="3"/>
        <v>0</v>
      </c>
      <c r="J12" s="139">
        <f t="shared" si="4"/>
        <v>1900</v>
      </c>
      <c r="K12" s="137" t="str">
        <f t="shared" si="5"/>
        <v>0 yanvar 1900 г.</v>
      </c>
      <c r="L12" s="136"/>
      <c r="M12" s="138"/>
      <c r="N12" s="136"/>
      <c r="P12">
        <f t="shared" si="0"/>
        <v>0</v>
      </c>
    </row>
    <row r="13" spans="1:23" ht="15" customHeight="1">
      <c r="A13" s="134">
        <v>12</v>
      </c>
      <c r="D13" s="136" t="s">
        <v>248</v>
      </c>
      <c r="E13" s="136"/>
      <c r="F13" s="137"/>
      <c r="G13" s="125">
        <f t="shared" si="1"/>
        <v>1</v>
      </c>
      <c r="H13" s="137" t="str">
        <f t="shared" si="2"/>
        <v>yanvar</v>
      </c>
      <c r="I13" s="125">
        <f t="shared" si="3"/>
        <v>0</v>
      </c>
      <c r="J13" s="139">
        <f t="shared" si="4"/>
        <v>1900</v>
      </c>
      <c r="K13" s="137" t="str">
        <f t="shared" si="5"/>
        <v>0 yanvar 1900 г.</v>
      </c>
      <c r="L13" s="136"/>
      <c r="M13" s="138"/>
      <c r="N13" s="136"/>
      <c r="P13">
        <f t="shared" si="0"/>
        <v>0</v>
      </c>
    </row>
    <row r="14" spans="1:23" ht="15" customHeight="1">
      <c r="A14" s="134">
        <v>13</v>
      </c>
      <c r="D14" s="136" t="s">
        <v>248</v>
      </c>
      <c r="E14" s="136"/>
      <c r="F14" s="137"/>
      <c r="G14" s="125">
        <f t="shared" si="1"/>
        <v>1</v>
      </c>
      <c r="H14" s="137" t="str">
        <f t="shared" si="2"/>
        <v>yanvar</v>
      </c>
      <c r="I14" s="125">
        <f t="shared" si="3"/>
        <v>0</v>
      </c>
      <c r="J14" s="139">
        <f t="shared" si="4"/>
        <v>1900</v>
      </c>
      <c r="K14" s="137" t="str">
        <f t="shared" si="5"/>
        <v>0 yanvar 1900 г.</v>
      </c>
      <c r="L14" s="136"/>
      <c r="M14" s="138"/>
      <c r="N14" s="136"/>
      <c r="P14">
        <f t="shared" si="0"/>
        <v>0</v>
      </c>
    </row>
    <row r="15" spans="1:23" ht="15" customHeight="1">
      <c r="A15" s="134">
        <v>14</v>
      </c>
      <c r="D15" s="136" t="s">
        <v>248</v>
      </c>
      <c r="E15" s="136"/>
      <c r="F15" s="137"/>
      <c r="G15" s="125">
        <f t="shared" si="1"/>
        <v>1</v>
      </c>
      <c r="H15" s="137" t="str">
        <f t="shared" si="2"/>
        <v>yanvar</v>
      </c>
      <c r="I15" s="125">
        <f t="shared" si="3"/>
        <v>0</v>
      </c>
      <c r="J15" s="139">
        <f t="shared" si="4"/>
        <v>1900</v>
      </c>
      <c r="K15" s="137" t="str">
        <f t="shared" si="5"/>
        <v>0 yanvar 1900 г.</v>
      </c>
      <c r="L15" s="136"/>
      <c r="M15" s="138"/>
      <c r="N15" s="136"/>
      <c r="P15">
        <f t="shared" si="0"/>
        <v>0</v>
      </c>
    </row>
    <row r="16" spans="1:23" ht="15" customHeight="1">
      <c r="A16" s="134">
        <v>15</v>
      </c>
      <c r="D16" s="136" t="s">
        <v>248</v>
      </c>
      <c r="E16" s="136"/>
      <c r="F16" s="137"/>
      <c r="G16" s="125">
        <f t="shared" si="1"/>
        <v>1</v>
      </c>
      <c r="H16" s="137" t="str">
        <f t="shared" si="2"/>
        <v>yanvar</v>
      </c>
      <c r="I16" s="125">
        <f t="shared" si="3"/>
        <v>0</v>
      </c>
      <c r="J16" s="139">
        <f t="shared" si="4"/>
        <v>1900</v>
      </c>
      <c r="K16" s="137" t="str">
        <f t="shared" si="5"/>
        <v>0 yanvar 1900 г.</v>
      </c>
      <c r="L16" s="136"/>
      <c r="M16" s="138"/>
      <c r="N16" s="136"/>
      <c r="P16">
        <f t="shared" si="0"/>
        <v>0</v>
      </c>
    </row>
    <row r="17" spans="1:17" ht="15" customHeight="1">
      <c r="A17" s="134">
        <v>16</v>
      </c>
      <c r="D17" s="136" t="s">
        <v>248</v>
      </c>
      <c r="E17" s="136"/>
      <c r="F17" s="137"/>
      <c r="G17" s="125">
        <f t="shared" si="1"/>
        <v>1</v>
      </c>
      <c r="H17" s="137" t="str">
        <f t="shared" si="2"/>
        <v>yanvar</v>
      </c>
      <c r="I17" s="125">
        <f t="shared" si="3"/>
        <v>0</v>
      </c>
      <c r="J17" s="139">
        <f t="shared" si="4"/>
        <v>1900</v>
      </c>
      <c r="K17" s="137" t="str">
        <f t="shared" si="5"/>
        <v>0 yanvar 1900 г.</v>
      </c>
      <c r="L17" s="136"/>
      <c r="M17" s="138"/>
      <c r="N17" s="136"/>
      <c r="P17">
        <f t="shared" si="0"/>
        <v>0</v>
      </c>
    </row>
    <row r="18" spans="1:17" ht="15" customHeight="1">
      <c r="A18" s="134">
        <v>17</v>
      </c>
      <c r="D18" s="136" t="s">
        <v>248</v>
      </c>
      <c r="E18" s="136"/>
      <c r="F18" s="137"/>
      <c r="G18" s="125">
        <f t="shared" si="1"/>
        <v>1</v>
      </c>
      <c r="H18" s="137" t="str">
        <f t="shared" si="2"/>
        <v>yanvar</v>
      </c>
      <c r="I18" s="125">
        <f t="shared" si="3"/>
        <v>0</v>
      </c>
      <c r="J18" s="139">
        <f t="shared" si="4"/>
        <v>1900</v>
      </c>
      <c r="K18" s="137" t="str">
        <f t="shared" si="5"/>
        <v>0 yanvar 1900 г.</v>
      </c>
      <c r="L18" s="136"/>
      <c r="M18" s="138"/>
      <c r="N18" s="136"/>
      <c r="P18">
        <f t="shared" si="0"/>
        <v>0</v>
      </c>
    </row>
    <row r="19" spans="1:17" ht="15" customHeight="1">
      <c r="A19" s="134">
        <v>18</v>
      </c>
      <c r="D19" s="136" t="s">
        <v>248</v>
      </c>
      <c r="E19" s="136"/>
      <c r="F19" s="137"/>
      <c r="G19" s="125">
        <f t="shared" si="1"/>
        <v>1</v>
      </c>
      <c r="H19" s="137" t="str">
        <f t="shared" si="2"/>
        <v>yanvar</v>
      </c>
      <c r="I19" s="125">
        <f t="shared" si="3"/>
        <v>0</v>
      </c>
      <c r="J19" s="139">
        <f t="shared" si="4"/>
        <v>1900</v>
      </c>
      <c r="K19" s="137" t="str">
        <f t="shared" si="5"/>
        <v>0 yanvar 1900 г.</v>
      </c>
      <c r="L19" s="136"/>
      <c r="M19" s="138"/>
      <c r="N19" s="136"/>
      <c r="P19">
        <f t="shared" si="0"/>
        <v>0</v>
      </c>
    </row>
    <row r="20" spans="1:17" ht="15" customHeight="1">
      <c r="A20" s="134">
        <v>19</v>
      </c>
      <c r="D20" s="136" t="s">
        <v>248</v>
      </c>
      <c r="E20" s="136"/>
      <c r="F20" s="137"/>
      <c r="G20" s="125">
        <f t="shared" si="1"/>
        <v>1</v>
      </c>
      <c r="H20" s="137" t="str">
        <f t="shared" si="2"/>
        <v>yanvar</v>
      </c>
      <c r="I20" s="125">
        <f t="shared" si="3"/>
        <v>0</v>
      </c>
      <c r="J20" s="139">
        <f t="shared" si="4"/>
        <v>1900</v>
      </c>
      <c r="K20" s="137" t="str">
        <f t="shared" si="5"/>
        <v>0 yanvar 1900 г.</v>
      </c>
      <c r="L20" s="136"/>
      <c r="M20" s="138"/>
      <c r="N20" s="136"/>
      <c r="P20">
        <f t="shared" si="0"/>
        <v>0</v>
      </c>
    </row>
    <row r="21" spans="1:17" ht="15" customHeight="1">
      <c r="A21" s="134">
        <v>20</v>
      </c>
      <c r="D21" s="136" t="s">
        <v>248</v>
      </c>
      <c r="E21" s="136"/>
      <c r="F21" s="137"/>
      <c r="G21" s="125">
        <f t="shared" si="1"/>
        <v>1</v>
      </c>
      <c r="H21" s="137" t="str">
        <f t="shared" si="2"/>
        <v>yanvar</v>
      </c>
      <c r="I21" s="125">
        <f t="shared" si="3"/>
        <v>0</v>
      </c>
      <c r="J21" s="139">
        <f t="shared" si="4"/>
        <v>1900</v>
      </c>
      <c r="K21" s="137" t="str">
        <f t="shared" si="5"/>
        <v>0 yanvar 1900 г.</v>
      </c>
      <c r="L21" s="136"/>
      <c r="M21" s="138"/>
      <c r="N21" s="136"/>
      <c r="P21">
        <f t="shared" si="0"/>
        <v>0</v>
      </c>
    </row>
    <row r="22" spans="1:17">
      <c r="M22" s="142">
        <f>SUM(M2:M21)+umumiy_malumot!B136</f>
        <v>115000000</v>
      </c>
      <c r="Q22" t="s">
        <v>247</v>
      </c>
    </row>
    <row r="23" spans="1:17">
      <c r="A23" s="121"/>
      <c r="B23" s="122"/>
      <c r="C23" s="122"/>
      <c r="D23" s="122"/>
      <c r="E23" s="122"/>
      <c r="F23" s="122"/>
      <c r="G23" s="122"/>
      <c r="H23" s="122"/>
      <c r="I23" s="122"/>
      <c r="J23" s="122"/>
      <c r="K23" s="122"/>
      <c r="L23" s="122"/>
      <c r="M23" s="122"/>
      <c r="N23" s="122"/>
      <c r="O23" s="122"/>
    </row>
    <row r="24" spans="1:17">
      <c r="A24" s="122"/>
      <c r="B24" s="122"/>
      <c r="C24" s="122"/>
      <c r="D24" s="122"/>
      <c r="E24" s="122"/>
      <c r="F24" s="122"/>
      <c r="G24" s="122"/>
      <c r="H24" s="122"/>
      <c r="I24" s="122"/>
      <c r="J24" s="122"/>
      <c r="K24" s="122"/>
      <c r="L24" s="122"/>
      <c r="M24" s="122"/>
      <c r="N24" s="122"/>
      <c r="O24" s="122"/>
    </row>
    <row r="25" spans="1:17">
      <c r="A25" s="122">
        <f>MONTH(F2)</f>
        <v>1</v>
      </c>
      <c r="B25" s="122" t="str">
        <f>IF(A25=A26,A28,IF(A25=B26,B28,IF(A25=C26,C28,IF(A25=D26,D28,IF(A25=E26,E28,IF(A25=F26,F28,IF(A25=K26,K28,IF(A25=L26,L28,IF(A25=M26,M28,IF(A25=N26,N28,IF(A25=O26,O28,IF(A25=#REF!,#REF!,))))))))))))</f>
        <v>yanvar</v>
      </c>
      <c r="C25" s="122">
        <f>DAY(F2)</f>
        <v>11</v>
      </c>
      <c r="D25" s="122">
        <f>YEAR(F2)</f>
        <v>2021</v>
      </c>
      <c r="E25" s="122"/>
      <c r="F25" s="122"/>
      <c r="G25" s="122"/>
      <c r="H25" s="122"/>
      <c r="I25" s="122"/>
      <c r="J25" s="122"/>
      <c r="K25" s="122"/>
      <c r="L25" s="122"/>
      <c r="M25" s="122"/>
      <c r="N25" s="122"/>
      <c r="O25" s="122"/>
    </row>
    <row r="26" spans="1:17">
      <c r="A26" s="122">
        <v>1</v>
      </c>
      <c r="B26" s="122">
        <v>2</v>
      </c>
      <c r="C26" s="122">
        <v>3</v>
      </c>
      <c r="D26" s="122">
        <v>4</v>
      </c>
      <c r="E26" s="122">
        <v>5</v>
      </c>
      <c r="F26" s="122">
        <v>6</v>
      </c>
      <c r="G26" s="122"/>
      <c r="H26" s="122"/>
      <c r="I26" s="122"/>
      <c r="J26" s="122"/>
      <c r="K26" s="122">
        <v>7</v>
      </c>
      <c r="L26" s="122">
        <v>8</v>
      </c>
      <c r="M26" s="122">
        <v>9</v>
      </c>
      <c r="N26" s="122">
        <v>10</v>
      </c>
      <c r="O26" s="122">
        <v>11</v>
      </c>
      <c r="P26" s="122">
        <v>12</v>
      </c>
    </row>
    <row r="27" spans="1:17">
      <c r="A27" s="122"/>
      <c r="B27" s="122"/>
      <c r="C27" s="122"/>
      <c r="D27" s="122"/>
      <c r="E27" s="122"/>
      <c r="F27" s="122"/>
      <c r="G27" s="122"/>
      <c r="H27" s="122"/>
      <c r="I27" s="122"/>
      <c r="J27" s="122"/>
      <c r="K27" s="122"/>
      <c r="L27" s="122"/>
      <c r="M27" s="122"/>
      <c r="N27" s="122"/>
      <c r="O27" s="122"/>
    </row>
    <row r="28" spans="1:17">
      <c r="A28" s="122" t="s">
        <v>115</v>
      </c>
      <c r="B28" s="122" t="s">
        <v>116</v>
      </c>
      <c r="C28" s="122" t="s">
        <v>105</v>
      </c>
      <c r="D28" s="122" t="s">
        <v>106</v>
      </c>
      <c r="E28" s="122" t="s">
        <v>107</v>
      </c>
      <c r="F28" s="122" t="s">
        <v>108</v>
      </c>
      <c r="G28" s="122"/>
      <c r="H28" s="122"/>
      <c r="I28" s="122"/>
      <c r="J28" s="122"/>
      <c r="K28" s="122" t="s">
        <v>23</v>
      </c>
      <c r="L28" s="122" t="s">
        <v>110</v>
      </c>
      <c r="M28" s="122" t="s">
        <v>246</v>
      </c>
      <c r="N28" s="122" t="s">
        <v>245</v>
      </c>
      <c r="O28" s="122" t="s">
        <v>113</v>
      </c>
      <c r="P28" s="122" t="s">
        <v>114</v>
      </c>
    </row>
    <row r="29" spans="1:17">
      <c r="A29" s="122" t="s">
        <v>115</v>
      </c>
      <c r="B29" s="122" t="s">
        <v>116</v>
      </c>
      <c r="C29" s="122" t="s">
        <v>105</v>
      </c>
      <c r="D29" s="122" t="s">
        <v>106</v>
      </c>
      <c r="E29" s="122" t="s">
        <v>107</v>
      </c>
      <c r="F29" s="122" t="s">
        <v>108</v>
      </c>
      <c r="G29" s="122"/>
      <c r="H29" s="122"/>
      <c r="I29" s="122"/>
      <c r="J29" s="122"/>
      <c r="K29" s="122" t="s">
        <v>25</v>
      </c>
      <c r="L29" s="122" t="s">
        <v>110</v>
      </c>
      <c r="M29" s="122" t="s">
        <v>246</v>
      </c>
      <c r="N29" s="122" t="s">
        <v>245</v>
      </c>
      <c r="O29" s="122" t="s">
        <v>113</v>
      </c>
      <c r="P29" s="122" t="s">
        <v>114</v>
      </c>
    </row>
    <row r="30" spans="1:17">
      <c r="A30" s="122"/>
      <c r="B30" s="122"/>
      <c r="C30" s="122"/>
      <c r="D30" s="122"/>
      <c r="E30" s="122"/>
      <c r="F30" s="122"/>
      <c r="G30" s="122"/>
      <c r="H30" s="122"/>
      <c r="I30" s="122"/>
      <c r="J30" s="122"/>
      <c r="K30" s="122"/>
      <c r="L30" s="123"/>
      <c r="M30" s="123"/>
      <c r="N30" s="123"/>
      <c r="O30" s="123"/>
    </row>
  </sheetData>
  <dataValidations count="1">
    <dataValidation type="list" allowBlank="1" showInputMessage="1" showErrorMessage="1" sqref="D2:D21" xr:uid="{00000000-0002-0000-0200-000000000000}">
      <formula1>$B$2:$C$2</formula1>
    </dataValidation>
  </dataValidations>
  <pageMargins left="0.7" right="0.7" top="0.75" bottom="0.75" header="0.3" footer="0.3"/>
  <pageSetup paperSize="9" scale="6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2">
    <tabColor rgb="FF00B050"/>
  </sheetPr>
  <dimension ref="A1:BK165"/>
  <sheetViews>
    <sheetView topLeftCell="A120" zoomScaleNormal="100" workbookViewId="0">
      <selection activeCell="C130" sqref="C130"/>
    </sheetView>
  </sheetViews>
  <sheetFormatPr defaultColWidth="9.140625" defaultRowHeight="15"/>
  <cols>
    <col min="1" max="1" width="68" style="6" customWidth="1"/>
    <col min="2" max="2" width="61.85546875" style="7" customWidth="1"/>
    <col min="3" max="3" width="63.85546875" style="4" customWidth="1"/>
    <col min="4" max="4" width="29.7109375" style="4" customWidth="1"/>
    <col min="5" max="7" width="9.140625" style="4" customWidth="1"/>
    <col min="8" max="8" width="62.5703125" style="4" customWidth="1"/>
    <col min="9" max="9" width="22" style="4" customWidth="1"/>
    <col min="10" max="13" width="9.140625" style="4" customWidth="1"/>
    <col min="14" max="14" width="70.7109375" style="4" customWidth="1"/>
    <col min="15" max="16" width="9.140625" style="4" customWidth="1"/>
    <col min="17" max="17" width="59.7109375" style="4" customWidth="1"/>
    <col min="18" max="18" width="49.85546875" style="4" customWidth="1"/>
    <col min="19" max="16384" width="9.140625" style="4"/>
  </cols>
  <sheetData>
    <row r="1" spans="1:4">
      <c r="A1" s="3" t="str">
        <f>CONCATENATE(B65," olish uchun ariza")</f>
        <v>Mikroqarz olish uchun ariza</v>
      </c>
      <c r="B1" s="53" t="s">
        <v>435</v>
      </c>
    </row>
    <row r="2" spans="1:4">
      <c r="A2" s="3" t="str">
        <f>CONCATENATE(B65," olish uchun ariza sanasi QO’L BILAN KIRITILADI")</f>
        <v>Mikroqarz olish uchun ariza sanasi QO’L BILAN KIRITILADI</v>
      </c>
      <c r="B2" s="70" t="s">
        <v>439</v>
      </c>
      <c r="D2" s="188">
        <f>180+B2</f>
        <v>46235</v>
      </c>
    </row>
    <row r="3" spans="1:4">
      <c r="A3" s="3"/>
      <c r="B3" s="1"/>
    </row>
    <row r="4" spans="1:4">
      <c r="A4" s="266" t="s">
        <v>49</v>
      </c>
      <c r="B4" s="266"/>
    </row>
    <row r="5" spans="1:4" ht="15.75" customHeight="1">
      <c r="A5" s="3" t="s">
        <v>50</v>
      </c>
      <c r="B5" s="53" t="s">
        <v>424</v>
      </c>
    </row>
    <row r="6" spans="1:4" ht="30">
      <c r="A6" s="3" t="s">
        <v>51</v>
      </c>
      <c r="B6" s="53" t="s">
        <v>130</v>
      </c>
      <c r="C6" s="4" t="s">
        <v>248</v>
      </c>
      <c r="D6" s="4" t="s">
        <v>130</v>
      </c>
    </row>
    <row r="7" spans="1:4">
      <c r="A7" s="3" t="s">
        <v>52</v>
      </c>
      <c r="B7" s="53" t="s">
        <v>425</v>
      </c>
    </row>
    <row r="8" spans="1:4" hidden="1">
      <c r="A8" s="3" t="s">
        <v>53</v>
      </c>
      <c r="B8" s="94" t="str">
        <f>B5</f>
        <v>QODIROVA NAFISA YO‘LDOSHEVNA</v>
      </c>
    </row>
    <row r="9" spans="1:4" hidden="1">
      <c r="A9" s="3" t="s">
        <v>54</v>
      </c>
      <c r="B9" s="94" t="str">
        <f>B7</f>
        <v>QODIROVA N.Y.</v>
      </c>
    </row>
    <row r="10" spans="1:4" hidden="1">
      <c r="A10" s="3" t="s">
        <v>55</v>
      </c>
      <c r="B10" s="94" t="str">
        <f>B8</f>
        <v>QODIROVA NAFISA YO‘LDOSHEVNA</v>
      </c>
    </row>
    <row r="11" spans="1:4" hidden="1">
      <c r="A11" s="3" t="s">
        <v>56</v>
      </c>
      <c r="B11" s="94" t="str">
        <f>B9</f>
        <v>QODIROVA N.Y.</v>
      </c>
    </row>
    <row r="12" spans="1:4" hidden="1">
      <c r="A12" s="3" t="s">
        <v>57</v>
      </c>
      <c r="B12" s="94" t="str">
        <f>B10</f>
        <v>QODIROVA NAFISA YO‘LDOSHEVNA</v>
      </c>
    </row>
    <row r="13" spans="1:4" hidden="1">
      <c r="A13" s="3" t="s">
        <v>58</v>
      </c>
      <c r="B13" s="94" t="str">
        <f>B11</f>
        <v>QODIROVA N.Y.</v>
      </c>
    </row>
    <row r="14" spans="1:4" hidden="1">
      <c r="A14" s="3" t="s">
        <v>59</v>
      </c>
      <c r="B14" s="94" t="s">
        <v>62</v>
      </c>
    </row>
    <row r="15" spans="1:4">
      <c r="A15" s="3" t="s">
        <v>60</v>
      </c>
      <c r="B15" s="159" t="s">
        <v>420</v>
      </c>
    </row>
    <row r="16" spans="1:4">
      <c r="A16" s="3" t="s">
        <v>61</v>
      </c>
      <c r="B16" s="53" t="s">
        <v>421</v>
      </c>
    </row>
    <row r="17" spans="1:10">
      <c r="A17" s="3"/>
      <c r="B17" s="53" t="s">
        <v>422</v>
      </c>
      <c r="C17" s="95"/>
      <c r="D17" s="5" t="str">
        <f>TEXT(C17,"ДД.ММ.ГГГГ")</f>
        <v>00.01.1900</v>
      </c>
    </row>
    <row r="18" spans="1:10">
      <c r="A18" s="3"/>
      <c r="B18" s="159">
        <v>45586</v>
      </c>
      <c r="C18" s="97" t="str">
        <f>TEXT(B18,"ДД.ММ.ГГГГ")</f>
        <v>21.10.2024</v>
      </c>
      <c r="D18" s="5"/>
    </row>
    <row r="19" spans="1:10">
      <c r="A19" s="3"/>
      <c r="B19" s="159">
        <f>DATE(YEAR(B18)+10,MONTH(B18),DAY(B18)-1)</f>
        <v>49237</v>
      </c>
      <c r="C19" s="97" t="str">
        <f>TEXT(B19,"ДД.ММ.ГГГГ")</f>
        <v>20.10.2034</v>
      </c>
      <c r="D19" s="5"/>
    </row>
    <row r="20" spans="1:10" ht="45">
      <c r="A20" s="3" t="s">
        <v>64</v>
      </c>
      <c r="B20" s="75" t="str">
        <f>""&amp;B17&amp;" tomonidan "&amp;C18&amp;" yilda berilgan"</f>
        <v>IIV 26296 tomonidan 21.10.2024 yilda berilgan</v>
      </c>
      <c r="C20" s="98" t="str">
        <f>""&amp;B17&amp;" tomonidan "&amp;C18&amp;" yilda berilgan"</f>
        <v>IIV 26296 tomonidan 21.10.2024 yilda berilgan</v>
      </c>
    </row>
    <row r="21" spans="1:10" ht="45">
      <c r="A21" s="3" t="s">
        <v>65</v>
      </c>
      <c r="B21" s="75" t="str">
        <f>""&amp;C19&amp;" y."</f>
        <v>20.10.2034 y.</v>
      </c>
      <c r="C21" s="97" t="str">
        <f>""&amp;C19&amp;" yilgacha"</f>
        <v>20.10.2034 yilgacha</v>
      </c>
    </row>
    <row r="22" spans="1:10" ht="43.5" customHeight="1">
      <c r="A22" s="3" t="s">
        <v>66</v>
      </c>
      <c r="B22" s="53" t="s">
        <v>427</v>
      </c>
    </row>
    <row r="23" spans="1:10" ht="30">
      <c r="A23" s="3" t="s">
        <v>67</v>
      </c>
      <c r="B23" s="53" t="s">
        <v>92</v>
      </c>
      <c r="C23" s="5" t="s">
        <v>91</v>
      </c>
      <c r="D23" s="5" t="s">
        <v>92</v>
      </c>
    </row>
    <row r="24" spans="1:10" ht="30" hidden="1">
      <c r="A24" s="3" t="s">
        <v>68</v>
      </c>
      <c r="B24" s="94" t="s">
        <v>89</v>
      </c>
      <c r="C24" s="5" t="s">
        <v>89</v>
      </c>
      <c r="D24" s="5" t="s">
        <v>90</v>
      </c>
      <c r="E24" s="5" t="s">
        <v>0</v>
      </c>
      <c r="F24" s="5" t="s">
        <v>1</v>
      </c>
      <c r="G24" s="4" t="s">
        <v>3</v>
      </c>
    </row>
    <row r="25" spans="1:10">
      <c r="A25" s="3" t="s">
        <v>69</v>
      </c>
      <c r="B25" s="53" t="s">
        <v>429</v>
      </c>
    </row>
    <row r="26" spans="1:10" ht="29.25" customHeight="1">
      <c r="A26" s="3" t="s">
        <v>70</v>
      </c>
      <c r="B26" s="53" t="s">
        <v>430</v>
      </c>
      <c r="C26" s="4" t="s">
        <v>24</v>
      </c>
    </row>
    <row r="27" spans="1:10" ht="44.25" hidden="1" customHeight="1">
      <c r="A27" s="3"/>
      <c r="B27" s="178" t="str">
        <f>IF(B23="mos keladi",B22,B28)</f>
        <v>TOSHKENT SHAHAR BEKTEMIR TUMANI ROXAT KO'CHASI 12 UY 32 XONADON</v>
      </c>
    </row>
    <row r="28" spans="1:10" ht="30">
      <c r="A28" s="3" t="s">
        <v>71</v>
      </c>
      <c r="B28" s="53" t="s">
        <v>426</v>
      </c>
    </row>
    <row r="29" spans="1:10">
      <c r="A29" s="3" t="s">
        <v>72</v>
      </c>
      <c r="B29" s="53" t="s">
        <v>89</v>
      </c>
      <c r="C29" s="123" t="s">
        <v>89</v>
      </c>
      <c r="D29" s="123" t="s">
        <v>90</v>
      </c>
      <c r="E29" s="123" t="s">
        <v>324</v>
      </c>
      <c r="F29" s="123" t="s">
        <v>325</v>
      </c>
      <c r="G29" s="123" t="s">
        <v>3</v>
      </c>
      <c r="H29" s="123"/>
      <c r="I29" s="123"/>
      <c r="J29" s="123"/>
    </row>
    <row r="30" spans="1:10" ht="27">
      <c r="A30" s="3" t="s">
        <v>73</v>
      </c>
      <c r="B30" s="210" t="s">
        <v>328</v>
      </c>
      <c r="C30" s="5" t="s">
        <v>145</v>
      </c>
      <c r="D30" s="5" t="s">
        <v>328</v>
      </c>
    </row>
    <row r="31" spans="1:10">
      <c r="A31" s="3" t="s">
        <v>74</v>
      </c>
      <c r="B31" s="53" t="s">
        <v>423</v>
      </c>
    </row>
    <row r="32" spans="1:10">
      <c r="A32" s="3" t="s">
        <v>59</v>
      </c>
      <c r="B32" s="53" t="s">
        <v>62</v>
      </c>
    </row>
    <row r="33" spans="1:4">
      <c r="A33" s="3" t="s">
        <v>69</v>
      </c>
      <c r="B33" s="53" t="str">
        <f>B25</f>
        <v>90 809 80 43 MIJOZ</v>
      </c>
    </row>
    <row r="34" spans="1:4" hidden="1">
      <c r="A34" s="3"/>
      <c r="B34" s="53">
        <f>IF(B23="mos keladi",B26,B35)</f>
        <v>0</v>
      </c>
    </row>
    <row r="35" spans="1:4">
      <c r="A35" s="3" t="s">
        <v>70</v>
      </c>
      <c r="B35" s="53"/>
    </row>
    <row r="36" spans="1:4">
      <c r="A36" s="3" t="s">
        <v>75</v>
      </c>
      <c r="B36" s="53"/>
    </row>
    <row r="37" spans="1:4">
      <c r="A37" s="3" t="s">
        <v>76</v>
      </c>
      <c r="B37" s="53"/>
    </row>
    <row r="38" spans="1:4">
      <c r="A38" s="3" t="s">
        <v>77</v>
      </c>
      <c r="B38" s="53"/>
    </row>
    <row r="39" spans="1:4">
      <c r="A39" s="3" t="s">
        <v>78</v>
      </c>
      <c r="B39" s="53"/>
    </row>
    <row r="40" spans="1:4" ht="24.75" customHeight="1">
      <c r="A40" s="3" t="s">
        <v>79</v>
      </c>
      <c r="B40" s="53" t="str">
        <f>B33</f>
        <v>90 809 80 43 MIJOZ</v>
      </c>
    </row>
    <row r="41" spans="1:4" ht="24.75" customHeight="1">
      <c r="A41" s="3" t="s">
        <v>80</v>
      </c>
      <c r="B41" s="53" t="s">
        <v>428</v>
      </c>
    </row>
    <row r="42" spans="1:4" ht="24.75" customHeight="1">
      <c r="A42" s="3" t="s">
        <v>79</v>
      </c>
      <c r="B42" s="53" t="s">
        <v>431</v>
      </c>
    </row>
    <row r="43" spans="1:4">
      <c r="A43" s="3" t="s">
        <v>80</v>
      </c>
      <c r="B43" s="53"/>
    </row>
    <row r="44" spans="1:4" ht="23.25">
      <c r="A44" s="212" t="s">
        <v>81</v>
      </c>
      <c r="B44" s="211" t="s">
        <v>340</v>
      </c>
      <c r="C44" s="4" t="s">
        <v>340</v>
      </c>
      <c r="D44" s="4" t="s">
        <v>346</v>
      </c>
    </row>
    <row r="45" spans="1:4" hidden="1">
      <c r="A45" s="3"/>
      <c r="B45" s="209" t="str">
        <f>IF(B44=D44,CONCATENATE("MA'LUMOTNOMA ",B47,B46),C44)</f>
        <v>Yakka tartibdagi tadbirkor</v>
      </c>
    </row>
    <row r="46" spans="1:4" ht="46.5">
      <c r="A46" s="212" t="s">
        <v>347</v>
      </c>
      <c r="B46" s="218"/>
    </row>
    <row r="47" spans="1:4" ht="23.25" hidden="1">
      <c r="A47" s="212"/>
      <c r="B47" s="218"/>
      <c r="C47" s="4" t="s">
        <v>374</v>
      </c>
    </row>
    <row r="48" spans="1:4" ht="69.75">
      <c r="A48" s="212" t="s">
        <v>348</v>
      </c>
      <c r="B48" s="209"/>
    </row>
    <row r="49" spans="1:22" hidden="1">
      <c r="A49" s="3" t="s">
        <v>82</v>
      </c>
      <c r="B49" s="53" t="str">
        <f>IF(B44=C44,C44,B48)</f>
        <v>Yakka tartibdagi tadbirkor</v>
      </c>
    </row>
    <row r="50" spans="1:22" ht="30">
      <c r="A50" s="3" t="s">
        <v>83</v>
      </c>
      <c r="B50" s="53"/>
    </row>
    <row r="51" spans="1:22">
      <c r="A51" s="3" t="s">
        <v>70</v>
      </c>
      <c r="B51" s="53"/>
    </row>
    <row r="52" spans="1:22">
      <c r="A52" s="3" t="s">
        <v>84</v>
      </c>
      <c r="B52" s="53"/>
    </row>
    <row r="53" spans="1:22">
      <c r="A53" s="3" t="s">
        <v>85</v>
      </c>
      <c r="B53" s="53"/>
    </row>
    <row r="54" spans="1:22">
      <c r="A54" s="3" t="s">
        <v>86</v>
      </c>
      <c r="B54" s="53"/>
    </row>
    <row r="55" spans="1:22">
      <c r="A55" s="3" t="s">
        <v>87</v>
      </c>
      <c r="B55" s="2"/>
    </row>
    <row r="56" spans="1:22">
      <c r="A56" s="3" t="s">
        <v>88</v>
      </c>
      <c r="B56" s="2" t="s">
        <v>22</v>
      </c>
    </row>
    <row r="57" spans="1:22" ht="30" customHeight="1">
      <c r="A57" s="267" t="s">
        <v>93</v>
      </c>
      <c r="B57" s="268"/>
    </row>
    <row r="58" spans="1:22" ht="20.25" hidden="1" customHeight="1">
      <c r="A58" s="3" t="s">
        <v>94</v>
      </c>
      <c r="B58" s="53" t="str">
        <f>IF(B44=C44,C44,CONCATENATE(B44," ",B47))</f>
        <v>Yakka tartibdagi tadbirkor</v>
      </c>
    </row>
    <row r="59" spans="1:22" ht="31.5" hidden="1" customHeight="1">
      <c r="A59" s="3" t="s">
        <v>82</v>
      </c>
      <c r="B59" s="53" t="str">
        <f>B49</f>
        <v>Yakka tartibdagi tadbirkor</v>
      </c>
    </row>
    <row r="60" spans="1:22" ht="23.25">
      <c r="A60" s="212" t="s">
        <v>95</v>
      </c>
      <c r="B60" s="216">
        <v>10000000</v>
      </c>
    </row>
    <row r="61" spans="1:22">
      <c r="A61" s="3" t="s">
        <v>96</v>
      </c>
      <c r="B61" s="9">
        <v>4000000</v>
      </c>
      <c r="C61" s="123"/>
      <c r="D61" s="123"/>
      <c r="E61" s="123"/>
      <c r="F61" s="123"/>
      <c r="G61" s="123"/>
      <c r="H61" s="123"/>
      <c r="I61" s="123"/>
      <c r="J61" s="123"/>
      <c r="K61" s="123"/>
      <c r="L61" s="123"/>
      <c r="M61" s="123"/>
      <c r="N61" s="123"/>
      <c r="O61" s="123"/>
    </row>
    <row r="62" spans="1:22" hidden="1">
      <c r="A62" s="3" t="s">
        <v>97</v>
      </c>
      <c r="B62" s="53">
        <f>B53</f>
        <v>0</v>
      </c>
      <c r="C62" s="123"/>
      <c r="D62" s="123"/>
      <c r="E62" s="123"/>
      <c r="F62" s="123"/>
      <c r="G62" s="123"/>
      <c r="H62" s="123"/>
      <c r="I62" s="123"/>
      <c r="J62" s="123"/>
      <c r="K62" s="123"/>
      <c r="L62" s="123"/>
      <c r="M62" s="123"/>
      <c r="N62" s="123"/>
      <c r="O62" s="123"/>
    </row>
    <row r="63" spans="1:22">
      <c r="A63" s="3" t="s">
        <v>98</v>
      </c>
      <c r="B63" s="53"/>
      <c r="C63" s="5"/>
      <c r="D63" s="5"/>
      <c r="E63" s="5"/>
      <c r="F63" s="5"/>
      <c r="G63" s="5"/>
      <c r="H63" s="5"/>
      <c r="I63" s="5"/>
      <c r="J63" s="5"/>
      <c r="K63" s="5"/>
      <c r="L63" s="5"/>
      <c r="M63" s="5"/>
      <c r="N63" s="5"/>
      <c r="O63" s="5"/>
    </row>
    <row r="64" spans="1:22">
      <c r="A64" s="266" t="s">
        <v>99</v>
      </c>
      <c r="B64" s="266"/>
      <c r="C64" s="234" t="s">
        <v>405</v>
      </c>
      <c r="D64" s="234" t="s">
        <v>402</v>
      </c>
      <c r="E64" s="123"/>
      <c r="F64" s="123"/>
      <c r="G64" s="123"/>
      <c r="H64" s="123"/>
      <c r="I64" s="123"/>
      <c r="J64" s="123"/>
      <c r="K64" s="123"/>
      <c r="L64" s="123"/>
      <c r="M64" s="123"/>
      <c r="N64" s="123"/>
      <c r="O64" s="123"/>
      <c r="P64" s="123"/>
      <c r="Q64" s="123"/>
      <c r="R64" s="123"/>
      <c r="S64" s="123"/>
      <c r="T64" s="123"/>
      <c r="U64" s="123"/>
      <c r="V64" s="123"/>
    </row>
    <row r="65" spans="1:22">
      <c r="A65" s="3" t="s">
        <v>100</v>
      </c>
      <c r="B65" s="1" t="str">
        <f>IF(B75&gt;100000001,"Mikrokredit",IF(B75&lt;100000001,"Mikroqarz",0))</f>
        <v>Mikroqarz</v>
      </c>
      <c r="C65" s="121">
        <f>DATE(YEAR(B67),MONTH(B67)+B81,DAY(B67))</f>
        <v>46967</v>
      </c>
      <c r="D65" s="122"/>
      <c r="E65" s="122"/>
      <c r="F65" s="122"/>
      <c r="G65" s="122"/>
      <c r="H65" s="122"/>
      <c r="I65" s="122"/>
      <c r="J65" s="122"/>
      <c r="K65" s="122"/>
      <c r="L65" s="122"/>
      <c r="M65" s="122"/>
      <c r="N65" s="122"/>
      <c r="O65" s="123"/>
      <c r="P65" s="123"/>
      <c r="Q65" s="123"/>
      <c r="R65" s="123"/>
      <c r="S65" s="123"/>
      <c r="T65" s="123"/>
      <c r="U65" s="123"/>
      <c r="V65" s="123"/>
    </row>
    <row r="66" spans="1:22">
      <c r="A66" s="3" t="s">
        <v>101</v>
      </c>
      <c r="B66" s="53" t="str">
        <f>B1</f>
        <v>№ 56</v>
      </c>
      <c r="C66" s="122">
        <f>MONTH(C65)</f>
        <v>8</v>
      </c>
      <c r="D66" s="122" t="str">
        <f>IF(C66=C68,C70,IF(C66=D68,D70,IF(C66=E68,E70,IF(C66=F68,F70,IF(C66=G68,G70,IF(C66=H68,H70,IF(C66=I68,I70,IF(C66=J68,J70,IF(C66=K68,K70,IF(C66=L68,L70,IF(C66=M68,M70,IF(C66=N68,N70,))))))))))))</f>
        <v>avgust</v>
      </c>
      <c r="E66" s="122">
        <f>DAY(C65)</f>
        <v>2</v>
      </c>
      <c r="F66" s="122">
        <f>YEAR(C65)</f>
        <v>2028</v>
      </c>
      <c r="G66" s="122">
        <f>MONTH(C65)</f>
        <v>8</v>
      </c>
      <c r="H66" s="122" t="str">
        <f>IF(C66=C68,C71,IF(C66=D68,D71,IF(C66=E68,E71,IF(C66=F68,F71,IF(C66=G68,G71,IF(C66=H68,H71,IF(C66=I68,I71,IF(C66=J68,J71,IF(C66=K68,K71,IF(C66=L68,L71,IF(C66=M68,M71,IF(C66=N68,N71,))))))))))))</f>
        <v>avgust</v>
      </c>
      <c r="I66" s="122">
        <f>YEAR(C65)</f>
        <v>2028</v>
      </c>
      <c r="J66" s="122"/>
      <c r="K66" s="122"/>
      <c r="L66" s="122"/>
      <c r="M66" s="122"/>
      <c r="N66" s="122"/>
      <c r="O66" s="123"/>
      <c r="P66" s="123"/>
      <c r="Q66" s="123"/>
      <c r="R66" s="123"/>
      <c r="S66" s="123"/>
      <c r="T66" s="123"/>
      <c r="U66" s="123"/>
      <c r="V66" s="123"/>
    </row>
    <row r="67" spans="1:22">
      <c r="A67" s="3" t="s">
        <v>102</v>
      </c>
      <c r="B67" s="108" t="str">
        <f>B2</f>
        <v>02.02.2026</v>
      </c>
      <c r="C67" s="122">
        <f>MONTH(B67)</f>
        <v>2</v>
      </c>
      <c r="D67" s="122" t="str">
        <f>IF(C67=C68,C70,IF(C67=D68,D70,IF(C67=E68,E70,IF(C67=F68,F70,IF(C67=G68,G70,IF(C67=H68,H70,IF(C67=I68,I70,IF(C67=J68,J70,IF(C67=K68,K70,IF(C67=L68,L70,IF(C67=M68,M70,IF(C67=N68,N70,))))))))))))</f>
        <v>fevral</v>
      </c>
      <c r="E67" s="122">
        <f>DAY(B67)</f>
        <v>2</v>
      </c>
      <c r="F67" s="122">
        <f>YEAR(B67)</f>
        <v>2026</v>
      </c>
      <c r="G67" s="122">
        <f>MONTH(B67)</f>
        <v>2</v>
      </c>
      <c r="H67" s="122" t="str">
        <f>IF(C67=C68,C71,IF(C67=D68,D71,IF(C67=E68,E71,IF(C67=F68,F71,IF(C67=G68,G71,IF(C67=H68,H71,IF(C67=I68,I71,IF(C67=J68,J71,IF(C67=K68,K71,IF(C67=L68,L71,IF(C67=M68,M71,IF(C67=N68,N71,))))))))))))</f>
        <v>fevral</v>
      </c>
      <c r="I67" s="122">
        <f>YEAR(B67)</f>
        <v>2026</v>
      </c>
      <c r="J67" s="122"/>
      <c r="K67" s="122"/>
      <c r="L67" s="122"/>
      <c r="M67" s="122"/>
      <c r="N67" s="122"/>
      <c r="O67" s="123"/>
      <c r="P67" s="123"/>
      <c r="Q67" s="123"/>
      <c r="R67" s="123"/>
      <c r="S67" s="123"/>
      <c r="T67" s="123"/>
      <c r="U67" s="123"/>
      <c r="V67" s="123"/>
    </row>
    <row r="68" spans="1:22">
      <c r="A68" s="3" t="s">
        <v>103</v>
      </c>
      <c r="B68" s="99" t="str">
        <f>""&amp;E67&amp;" "&amp;D67&amp;" "&amp;F67&amp;" y."</f>
        <v>2 fevral 2026 y.</v>
      </c>
      <c r="C68" s="122">
        <v>1</v>
      </c>
      <c r="D68" s="122">
        <v>2</v>
      </c>
      <c r="E68" s="122">
        <v>3</v>
      </c>
      <c r="F68" s="122">
        <v>4</v>
      </c>
      <c r="G68" s="122">
        <v>5</v>
      </c>
      <c r="H68" s="122">
        <v>6</v>
      </c>
      <c r="I68" s="122">
        <v>7</v>
      </c>
      <c r="J68" s="122">
        <v>8</v>
      </c>
      <c r="K68" s="122">
        <v>9</v>
      </c>
      <c r="L68" s="122">
        <v>10</v>
      </c>
      <c r="M68" s="122">
        <v>11</v>
      </c>
      <c r="N68" s="122">
        <v>12</v>
      </c>
      <c r="O68" s="123"/>
      <c r="P68" s="123"/>
      <c r="Q68" s="123"/>
      <c r="R68" s="123"/>
      <c r="S68" s="123"/>
      <c r="T68" s="123"/>
      <c r="U68" s="123"/>
      <c r="V68" s="123"/>
    </row>
    <row r="69" spans="1:22">
      <c r="A69" s="3"/>
      <c r="B69" s="99" t="str">
        <f>""&amp;E67&amp;" "&amp;H67&amp;" "&amp;F67&amp;" y."</f>
        <v>2 fevral 2026 y.</v>
      </c>
      <c r="C69" s="122"/>
      <c r="D69" s="122"/>
      <c r="E69" s="122"/>
      <c r="F69" s="122"/>
      <c r="G69" s="122"/>
      <c r="H69" s="122"/>
      <c r="I69" s="122"/>
      <c r="J69" s="122"/>
      <c r="K69" s="122"/>
      <c r="L69" s="122"/>
      <c r="M69" s="122"/>
      <c r="N69" s="122"/>
      <c r="O69" s="123"/>
      <c r="P69" s="123"/>
      <c r="Q69" s="123"/>
      <c r="R69" s="123"/>
      <c r="S69" s="123"/>
      <c r="T69" s="123"/>
      <c r="U69" s="123"/>
      <c r="V69" s="123"/>
    </row>
    <row r="70" spans="1:22">
      <c r="A70" s="3"/>
      <c r="B70" s="74" t="str">
        <f>B68</f>
        <v>2 fevral 2026 y.</v>
      </c>
      <c r="C70" s="176" t="s">
        <v>115</v>
      </c>
      <c r="D70" s="176" t="s">
        <v>116</v>
      </c>
      <c r="E70" s="176" t="s">
        <v>105</v>
      </c>
      <c r="F70" s="176" t="s">
        <v>106</v>
      </c>
      <c r="G70" s="176" t="s">
        <v>107</v>
      </c>
      <c r="H70" s="176" t="s">
        <v>108</v>
      </c>
      <c r="I70" s="176" t="s">
        <v>109</v>
      </c>
      <c r="J70" s="176" t="s">
        <v>110</v>
      </c>
      <c r="K70" s="176" t="s">
        <v>111</v>
      </c>
      <c r="L70" s="176" t="s">
        <v>112</v>
      </c>
      <c r="M70" s="176" t="s">
        <v>113</v>
      </c>
      <c r="N70" s="176" t="s">
        <v>114</v>
      </c>
      <c r="O70" s="123"/>
      <c r="P70" s="123"/>
      <c r="Q70" s="123"/>
      <c r="R70" s="123"/>
      <c r="S70" s="123"/>
      <c r="T70" s="123"/>
      <c r="U70" s="123"/>
      <c r="V70" s="123"/>
    </row>
    <row r="71" spans="1:22">
      <c r="A71" s="3"/>
      <c r="B71" s="74" t="str">
        <f>B69</f>
        <v>2 fevral 2026 y.</v>
      </c>
      <c r="C71" s="176" t="s">
        <v>115</v>
      </c>
      <c r="D71" s="176" t="s">
        <v>116</v>
      </c>
      <c r="E71" s="176" t="s">
        <v>105</v>
      </c>
      <c r="F71" s="176" t="s">
        <v>106</v>
      </c>
      <c r="G71" s="176" t="s">
        <v>107</v>
      </c>
      <c r="H71" s="176" t="s">
        <v>108</v>
      </c>
      <c r="I71" s="176" t="s">
        <v>109</v>
      </c>
      <c r="J71" s="176" t="s">
        <v>110</v>
      </c>
      <c r="K71" s="176" t="s">
        <v>111</v>
      </c>
      <c r="L71" s="176" t="s">
        <v>112</v>
      </c>
      <c r="M71" s="176" t="s">
        <v>113</v>
      </c>
      <c r="N71" s="176" t="s">
        <v>114</v>
      </c>
      <c r="O71" s="123"/>
      <c r="P71" s="123"/>
      <c r="Q71" s="123"/>
      <c r="R71" s="123"/>
      <c r="S71" s="123"/>
      <c r="T71" s="123"/>
      <c r="U71" s="123"/>
      <c r="V71" s="123"/>
    </row>
    <row r="72" spans="1:22">
      <c r="A72" s="3" t="s">
        <v>104</v>
      </c>
      <c r="B72" s="71" t="str">
        <f>""&amp;E66&amp;" "&amp;D66&amp;" "&amp;F66&amp;" y."</f>
        <v>2 avgust 2028 y.</v>
      </c>
      <c r="C72" s="122"/>
      <c r="D72" s="122"/>
      <c r="E72" s="122"/>
      <c r="F72" s="122"/>
      <c r="G72" s="122"/>
      <c r="H72" s="122"/>
      <c r="I72" s="122"/>
      <c r="J72" s="123"/>
      <c r="K72" s="123"/>
      <c r="L72" s="123"/>
      <c r="M72" s="123"/>
      <c r="N72" s="123"/>
      <c r="O72" s="123"/>
      <c r="P72" s="123"/>
      <c r="Q72" s="123"/>
      <c r="R72" s="123"/>
      <c r="S72" s="123"/>
      <c r="T72" s="123"/>
      <c r="U72" s="123"/>
      <c r="V72" s="123"/>
    </row>
    <row r="73" spans="1:22">
      <c r="A73" s="3"/>
      <c r="B73" s="71" t="str">
        <f>""&amp;E66&amp;" "&amp;H66&amp;" "&amp;F66&amp;" y."</f>
        <v>2 avgust 2028 y.</v>
      </c>
      <c r="C73" s="122"/>
      <c r="D73" s="122"/>
      <c r="E73" s="122"/>
      <c r="F73" s="122"/>
      <c r="G73" s="122"/>
      <c r="H73" s="122"/>
      <c r="I73" s="122"/>
      <c r="J73" s="123"/>
      <c r="K73" s="123"/>
      <c r="L73" s="123"/>
      <c r="M73" s="123"/>
      <c r="N73" s="123"/>
      <c r="O73" s="123"/>
      <c r="P73" s="123"/>
      <c r="Q73" s="123"/>
      <c r="R73" s="123"/>
      <c r="S73" s="123"/>
      <c r="T73" s="123"/>
      <c r="U73" s="123"/>
      <c r="V73" s="123"/>
    </row>
    <row r="74" spans="1:22" ht="15.75" thickBot="1">
      <c r="A74" s="3" t="s">
        <v>117</v>
      </c>
      <c r="B74" s="1" t="str">
        <f>""&amp;B68&amp;"dan "&amp;B66&amp;""</f>
        <v>2 fevral 2026 y.dan № 56</v>
      </c>
      <c r="D74" s="72"/>
      <c r="E74" s="72"/>
      <c r="F74" s="72"/>
      <c r="G74" s="72"/>
      <c r="H74" s="72"/>
      <c r="I74" s="72"/>
      <c r="J74" s="5"/>
      <c r="K74" s="5"/>
      <c r="L74" s="5"/>
      <c r="M74" s="5"/>
      <c r="N74" s="5"/>
      <c r="O74" s="5"/>
      <c r="P74" s="73"/>
      <c r="Q74" s="73"/>
      <c r="R74" s="73"/>
      <c r="S74" s="73"/>
      <c r="T74" s="73"/>
      <c r="U74" s="73"/>
      <c r="V74" s="73"/>
    </row>
    <row r="75" spans="1:22">
      <c r="A75" s="3" t="str">
        <f>CONCATENATE(B65," miqdori (summasi)")</f>
        <v>Mikroqarz miqdori (summasi)</v>
      </c>
      <c r="B75" s="84">
        <v>50000000</v>
      </c>
      <c r="C75" s="85" t="s">
        <v>123</v>
      </c>
      <c r="D75" s="72"/>
      <c r="E75" s="72"/>
      <c r="F75" s="72"/>
      <c r="G75" s="72"/>
      <c r="H75" s="72"/>
      <c r="I75" s="72"/>
      <c r="J75" s="5"/>
      <c r="K75" s="5"/>
      <c r="L75" s="5"/>
      <c r="M75" s="5"/>
      <c r="N75" s="5"/>
      <c r="O75" s="5"/>
      <c r="P75" s="73"/>
      <c r="Q75" s="73"/>
      <c r="R75" s="73"/>
      <c r="S75" s="73"/>
      <c r="T75" s="73"/>
      <c r="U75" s="73"/>
      <c r="V75" s="73"/>
    </row>
    <row r="76" spans="1:22">
      <c r="A76" s="177" t="s">
        <v>118</v>
      </c>
      <c r="B76" s="65" t="str">
        <f>C76</f>
        <v>Ellik million so'm</v>
      </c>
      <c r="C76" s="171"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ming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75,0))&gt;6,ROMAN(MID(ROUNDDOWN(B75,0),1,LEN(ROUNDDOWN(B75,0))-6)+0)&amp;" million "&amp;ROMAN(MID(ROUNDDOWN(B75,0),LEN(ROUNDDOWN(B75,0))-5,3)+0)&amp;" "&amp;ROMAN(MID(ROUNDDOWN(B75,0),LEN(ROUNDDOWN(B75,0))-2,3)+0)&amp;" so'm",IF(LEN(ROUNDDOWN(B75,0))&gt;3,ROMAN(MID(ROUNDDOWN(B75,0),1,LEN(ROUNDDOWN(B75,0))-3)+0)&amp;" ming "&amp;ROMAN(MID(ROUNDDOWN(B75,0),LEN(ROUNDDOWN(B75,0))-2,3)+0)&amp;" so'm",ROMAN(ROUNDDOWN(B75,0))&amp;" so'm")),"DCCC","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 so'm","bir so'm"),"ikki so'm","ikki so'm"),"uch so'm","uch so'm"),"to'rt so'm","to'rt so'm")),"ming million","million"),"ming million","million"),"ming million","million"),2,200)&amp;""</f>
        <v>Ellik million so'm</v>
      </c>
      <c r="D76" s="72"/>
      <c r="E76" s="72"/>
      <c r="F76" s="72"/>
      <c r="G76" s="72"/>
      <c r="H76" s="72"/>
      <c r="I76" s="72"/>
      <c r="J76" s="5"/>
      <c r="K76" s="5"/>
      <c r="L76" s="5"/>
      <c r="M76" s="5"/>
      <c r="N76" s="5"/>
      <c r="O76" s="5"/>
      <c r="P76" s="73"/>
      <c r="Q76" s="73"/>
      <c r="R76" s="73"/>
      <c r="S76" s="73"/>
      <c r="T76" s="73"/>
      <c r="U76" s="73"/>
      <c r="V76" s="73"/>
    </row>
    <row r="77" spans="1:22">
      <c r="A77" s="3" t="s">
        <v>119</v>
      </c>
      <c r="B77" s="53" t="s">
        <v>124</v>
      </c>
      <c r="C77" s="122" t="s">
        <v>125</v>
      </c>
      <c r="D77" s="122" t="s">
        <v>124</v>
      </c>
      <c r="E77" s="122"/>
      <c r="F77" s="122"/>
      <c r="G77" s="122"/>
      <c r="H77" s="122"/>
      <c r="I77" s="122"/>
      <c r="J77" s="123"/>
      <c r="K77" s="123"/>
      <c r="L77" s="123"/>
      <c r="M77" s="123"/>
      <c r="N77" s="123"/>
      <c r="O77" s="123"/>
      <c r="P77" s="123"/>
      <c r="Q77" s="123"/>
      <c r="R77" s="123"/>
      <c r="S77" s="73"/>
      <c r="T77" s="73"/>
      <c r="U77" s="73"/>
      <c r="V77" s="73"/>
    </row>
    <row r="78" spans="1:22">
      <c r="A78" s="3" t="str">
        <f>CONCATENATE(B65,"ni to'lash sanasi (14.10.2011)")</f>
        <v>Mikroqarzni to'lash sanasi (14.10.2011)</v>
      </c>
      <c r="B78" s="53">
        <v>25</v>
      </c>
      <c r="C78" s="121">
        <f>DATE(YEAR(B67),MONTH(B67)+1,DAY(B78))</f>
        <v>46106</v>
      </c>
      <c r="D78" s="122" t="s">
        <v>26</v>
      </c>
      <c r="E78" s="122" t="s">
        <v>27</v>
      </c>
      <c r="F78" s="122" t="s">
        <v>28</v>
      </c>
      <c r="G78" s="122" t="s">
        <v>29</v>
      </c>
      <c r="H78" s="122" t="s">
        <v>30</v>
      </c>
      <c r="I78" s="122" t="s">
        <v>31</v>
      </c>
      <c r="J78" s="123" t="s">
        <v>32</v>
      </c>
      <c r="K78" s="123"/>
      <c r="L78" s="123"/>
      <c r="M78" s="123"/>
      <c r="N78" s="123"/>
      <c r="O78" s="123"/>
      <c r="P78" s="123"/>
      <c r="Q78" s="123"/>
      <c r="R78" s="123"/>
      <c r="S78" s="73"/>
      <c r="T78" s="73"/>
      <c r="U78" s="73"/>
      <c r="V78" s="73"/>
    </row>
    <row r="79" spans="1:22">
      <c r="A79" s="3" t="str">
        <f>CONCATENATE(B65,"ni to'lash sanasi (14.10.2011 y.) QO’L BILAN KIRITILADI")</f>
        <v>Mikroqarzni to'lash sanasi (14.10.2011 y.) QO’L BILAN KIRITILADI</v>
      </c>
      <c r="B79" s="100">
        <f>DATE(YEAR(B67),MONTH(B67)+1,DAY(B78+C80))</f>
        <v>46106</v>
      </c>
      <c r="C79" s="124" t="str">
        <f>TEXT(C78,"ддд")</f>
        <v>Ср</v>
      </c>
      <c r="D79" s="122" t="s">
        <v>26</v>
      </c>
      <c r="E79" s="122" t="s">
        <v>27</v>
      </c>
      <c r="F79" s="122" t="s">
        <v>28</v>
      </c>
      <c r="G79" s="122" t="s">
        <v>29</v>
      </c>
      <c r="H79" s="122" t="s">
        <v>30</v>
      </c>
      <c r="I79" s="122" t="s">
        <v>31</v>
      </c>
      <c r="J79" s="123" t="s">
        <v>32</v>
      </c>
      <c r="K79" s="123"/>
      <c r="L79" s="123"/>
      <c r="M79" s="123"/>
      <c r="N79" s="123"/>
      <c r="O79" s="123"/>
      <c r="P79" s="123"/>
      <c r="Q79" s="123"/>
      <c r="R79" s="123"/>
      <c r="S79" s="73"/>
      <c r="T79" s="73"/>
      <c r="U79" s="73"/>
      <c r="V79" s="73"/>
    </row>
    <row r="80" spans="1:22">
      <c r="A80" s="3" t="s">
        <v>120</v>
      </c>
      <c r="B80" s="101">
        <f>B79</f>
        <v>46106</v>
      </c>
      <c r="C80" s="125">
        <f>IF(C79=I79,2,IF(C79=J79,1,0))</f>
        <v>0</v>
      </c>
      <c r="D80" s="125"/>
      <c r="E80" s="123"/>
      <c r="F80" s="123"/>
      <c r="G80" s="123"/>
      <c r="H80" s="123"/>
      <c r="I80" s="123"/>
      <c r="J80" s="123"/>
      <c r="K80" s="123"/>
      <c r="L80" s="123"/>
      <c r="M80" s="123"/>
      <c r="N80" s="123"/>
      <c r="O80" s="123"/>
      <c r="P80" s="123"/>
      <c r="Q80" s="123"/>
      <c r="R80" s="123"/>
      <c r="S80" s="73"/>
      <c r="T80" s="73"/>
      <c r="U80" s="73"/>
      <c r="V80" s="73"/>
    </row>
    <row r="81" spans="1:63">
      <c r="A81" s="3" t="str">
        <f>CONCATENATE(B65," muddati")</f>
        <v>Mikroqarz muddati</v>
      </c>
      <c r="B81" s="53">
        <v>30</v>
      </c>
      <c r="C81" s="234">
        <v>6</v>
      </c>
      <c r="D81" s="234">
        <v>12</v>
      </c>
      <c r="E81" s="234">
        <v>16</v>
      </c>
      <c r="F81" s="234">
        <v>18</v>
      </c>
      <c r="G81" s="234">
        <v>24</v>
      </c>
      <c r="H81" s="234">
        <v>28</v>
      </c>
      <c r="I81" s="234">
        <v>30</v>
      </c>
      <c r="J81" s="234">
        <v>36</v>
      </c>
      <c r="K81" s="123"/>
      <c r="L81" s="123"/>
      <c r="M81" s="123">
        <v>48</v>
      </c>
      <c r="N81" s="123"/>
      <c r="O81" s="123"/>
      <c r="P81" s="123"/>
      <c r="Q81" s="123"/>
      <c r="R81" s="123"/>
      <c r="S81" s="73"/>
      <c r="T81" s="73"/>
      <c r="U81" s="73"/>
      <c r="V81" s="73"/>
    </row>
    <row r="82" spans="1:63" s="237" customFormat="1">
      <c r="A82" s="236" t="str">
        <f>CONCATENATE(B65," muddati TEGILMASIN")</f>
        <v>Mikroqarz muddati TEGILMASIN</v>
      </c>
      <c r="B82" s="235" t="str">
        <f>IF(B81=C81,"olti",IF(B81=D81,"o'n ikki",IF(B81=E81,"o'n sakkiz",IF(B81=F81,"o'n sakkiz",IF(B81=G81,"yigirma to'rt",IF(B81=H81,"yigirma sakkiz",IF(B81=I81,"o'ttiz",IF(B81=J81,"o'ttiz olti",IF(B81=M81,"qirq sakkiz",0)))))))))</f>
        <v>o'ttiz</v>
      </c>
      <c r="C82" s="234" t="s">
        <v>411</v>
      </c>
      <c r="D82" s="234" t="s">
        <v>412</v>
      </c>
      <c r="E82" s="234" t="s">
        <v>413</v>
      </c>
      <c r="F82" s="234" t="s">
        <v>414</v>
      </c>
      <c r="G82" s="234" t="s">
        <v>415</v>
      </c>
      <c r="H82" s="234" t="s">
        <v>416</v>
      </c>
      <c r="I82" s="234" t="s">
        <v>417</v>
      </c>
      <c r="J82" s="234" t="s">
        <v>418</v>
      </c>
      <c r="K82" s="234"/>
      <c r="L82" s="234"/>
      <c r="M82" s="234" t="s">
        <v>419</v>
      </c>
      <c r="N82" s="234"/>
      <c r="O82" s="234"/>
      <c r="P82" s="234"/>
      <c r="Q82" s="234"/>
      <c r="R82" s="234"/>
    </row>
    <row r="83" spans="1:63" ht="30">
      <c r="A83" s="207" t="s">
        <v>343</v>
      </c>
      <c r="B83" s="172">
        <v>0</v>
      </c>
      <c r="C83" s="123"/>
      <c r="D83" s="123"/>
      <c r="E83" s="123"/>
      <c r="F83" s="123"/>
      <c r="G83" s="123"/>
      <c r="H83" s="123"/>
      <c r="I83" s="123"/>
      <c r="J83" s="123"/>
      <c r="K83" s="123"/>
      <c r="L83" s="123"/>
      <c r="M83" s="123"/>
      <c r="N83" s="123"/>
      <c r="O83" s="123"/>
      <c r="P83" s="123"/>
      <c r="Q83" s="123"/>
      <c r="R83" s="123"/>
      <c r="BJ83" s="5">
        <v>1</v>
      </c>
      <c r="BK83" s="5">
        <v>0</v>
      </c>
    </row>
    <row r="84" spans="1:63">
      <c r="A84" s="3" t="str">
        <f>CONCATENATE(B65," stavkasi")</f>
        <v>Mikroqarz stavkasi</v>
      </c>
      <c r="B84" s="103">
        <v>0.55000000000000004</v>
      </c>
      <c r="C84" s="123"/>
      <c r="D84" s="123"/>
      <c r="E84" s="123"/>
      <c r="F84" s="123"/>
      <c r="G84" s="123"/>
      <c r="H84" s="123"/>
      <c r="I84" s="123"/>
      <c r="J84" s="123"/>
      <c r="K84" s="123"/>
      <c r="L84" s="123"/>
      <c r="M84" s="123"/>
      <c r="N84" s="123"/>
      <c r="O84" s="123"/>
      <c r="P84" s="123"/>
      <c r="Q84" s="123"/>
      <c r="R84" s="123"/>
    </row>
    <row r="85" spans="1:63">
      <c r="A85" s="3" t="str">
        <f>CONCATENATE(B65," stavkasi")</f>
        <v>Mikroqarz stavkasi</v>
      </c>
      <c r="B85" s="104" t="s">
        <v>404</v>
      </c>
      <c r="C85" s="123"/>
      <c r="D85" s="123"/>
      <c r="E85" s="123"/>
      <c r="F85" s="123"/>
      <c r="G85" s="123"/>
      <c r="H85" s="123"/>
      <c r="I85" s="123"/>
      <c r="J85" s="123"/>
      <c r="K85" s="123"/>
      <c r="L85" s="123"/>
      <c r="M85" s="123"/>
      <c r="N85" s="123"/>
      <c r="O85" s="123"/>
      <c r="P85" s="123"/>
      <c r="Q85" s="123"/>
      <c r="R85" s="123"/>
    </row>
    <row r="86" spans="1:63">
      <c r="A86" s="3" t="str">
        <f>CONCATENATE(B65," stavkasi (so’z bilan)")</f>
        <v>Mikroqarz stavkasi (so’z bilan)</v>
      </c>
      <c r="B86" s="102"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C86" s="123" t="str">
        <f>UPPER(LEFT(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ming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qiriq"),"LXXX"," sakson"),"LXX"," yetmish"),"LX"," oltmish"),"L"," ellik"),"XXX"," o'ttiz"),"XX"," yigirma"),"XIX"," o'n tiqqiz"),"XVIII","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1))&amp;MID(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ROUNDDOWN(B85,0))&gt;6,ROMAN(MID(ROUNDDOWN(B85,0),1,LEN(ROUNDDOWN(B85,0))-6)+0)&amp;" million "&amp;ROMAN(MID(ROUNDDOWN(B85,0),LEN(ROUNDDOWN(B85,0))-5,3)+0)&amp;" "&amp;ROMAN(MID(ROUNDDOWN(B85,0),LEN(ROUNDDOWN(B85,0))-2,3)+0)&amp;"",IF(LEN(ROUNDDOWN(B85,0))&gt;3,ROMAN(MID(ROUNDDOWN(B85,0),1,LEN(ROUNDDOWN(B85,0))-3)+0)&amp;" ming "&amp;ROMAN(MID(ROUNDDOWN(B85,0),LEN(ROUNDDOWN(B85,0))-2,3)+0)&amp;"",ROMAN(ROUNDDOWN(B85,0))&amp;"")),"DCCC","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million"),"bir","bir"),"ikki","ikki"),"uch","uch"),"to'rt","to'rt")),"ming million","million"),"ming million","million"),"ming million","million"),2,200)&amp;" "&amp;SUBSTITUTE(SUBSTITUTE(SUBSTITUTE(SUBSTITUTE(SUBSTITUTE(SUBSTITUTE(SUBSTITUTE(SUBSTITUTE(RIGHT(TEXT(B85," "),2)&amp;"","1","1"),"2","2"),"3","3"),"4","4"),"11","11"),"12","12"),"13","13"),"14","14")</f>
        <v xml:space="preserve">Ellik besh  </v>
      </c>
      <c r="D86" s="123"/>
      <c r="E86" s="123"/>
      <c r="F86" s="123"/>
      <c r="G86" s="123"/>
      <c r="H86" s="123"/>
      <c r="I86" s="123"/>
      <c r="J86" s="123"/>
      <c r="K86" s="123"/>
      <c r="L86" s="123"/>
      <c r="M86" s="123"/>
      <c r="N86" s="123"/>
      <c r="O86" s="123"/>
      <c r="P86" s="123"/>
      <c r="Q86" s="123"/>
      <c r="R86" s="123"/>
    </row>
    <row r="87" spans="1:63">
      <c r="A87" s="3" t="str">
        <f>CONCATENATE("Muddati o'tgan ",B65," bo’yicha stavka")</f>
        <v>Muddati o'tgan Mikroqarz bo’yicha stavka</v>
      </c>
      <c r="B87" s="103">
        <v>1.55</v>
      </c>
      <c r="C87" s="123"/>
      <c r="D87" s="123"/>
      <c r="E87" s="123"/>
      <c r="F87" s="123"/>
      <c r="G87" s="123"/>
      <c r="H87" s="123"/>
      <c r="I87" s="123"/>
      <c r="J87" s="123"/>
      <c r="K87" s="123"/>
      <c r="L87" s="123"/>
      <c r="M87" s="123"/>
      <c r="N87" s="123"/>
      <c r="O87" s="123"/>
      <c r="P87" s="123"/>
      <c r="Q87" s="123"/>
      <c r="R87" s="123"/>
    </row>
    <row r="88" spans="1:63">
      <c r="A88" s="177" t="s">
        <v>118</v>
      </c>
      <c r="B88" s="104" t="s">
        <v>437</v>
      </c>
      <c r="C88" s="123"/>
      <c r="D88" s="123"/>
      <c r="E88" s="123"/>
      <c r="F88" s="123"/>
      <c r="G88" s="123"/>
      <c r="H88" s="123"/>
      <c r="I88" s="123"/>
      <c r="J88" s="123"/>
      <c r="K88" s="123"/>
      <c r="L88" s="123"/>
      <c r="M88" s="123"/>
      <c r="N88" s="123"/>
      <c r="O88" s="123"/>
      <c r="P88" s="123"/>
      <c r="Q88" s="123"/>
      <c r="R88" s="123"/>
    </row>
    <row r="89" spans="1:63">
      <c r="A89" s="3" t="str">
        <f>CONCATENATE("Muddati o'tgan ",B65," bo’yicha stavka")</f>
        <v>Muddati o'tgan Mikroqarz bo’yicha stavka</v>
      </c>
      <c r="B89" s="102" t="s">
        <v>438</v>
      </c>
      <c r="C89" s="123" t="s">
        <v>438</v>
      </c>
      <c r="D89" s="234" t="s">
        <v>442</v>
      </c>
      <c r="E89" s="123"/>
      <c r="F89" s="123"/>
      <c r="G89" s="123"/>
      <c r="H89" s="123"/>
      <c r="I89" s="123"/>
      <c r="J89" s="123"/>
      <c r="K89" s="123"/>
      <c r="L89" s="123"/>
      <c r="M89" s="123"/>
      <c r="N89" s="123"/>
      <c r="O89" s="123"/>
      <c r="P89" s="123"/>
      <c r="Q89" s="123"/>
      <c r="R89" s="123"/>
    </row>
    <row r="90" spans="1:63">
      <c r="A90" s="3" t="s">
        <v>121</v>
      </c>
      <c r="B90" s="105">
        <f>IF(B77=C77,LARGE(grafik!F9:F26,1),ROUND(PMT(B84/12,B81,-B75,0),-3))</f>
        <v>3100000</v>
      </c>
      <c r="C90" s="123"/>
      <c r="D90" s="123"/>
      <c r="E90" s="123"/>
      <c r="F90" s="123"/>
      <c r="G90" s="123"/>
      <c r="H90" s="123"/>
      <c r="I90" s="123"/>
      <c r="J90" s="123"/>
      <c r="K90" s="123"/>
      <c r="L90" s="123"/>
      <c r="M90" s="123"/>
      <c r="N90" s="123"/>
      <c r="O90" s="123"/>
      <c r="P90" s="123"/>
      <c r="Q90" s="123"/>
      <c r="R90" s="123"/>
    </row>
    <row r="91" spans="1:63">
      <c r="A91" s="266" t="s">
        <v>122</v>
      </c>
      <c r="B91" s="266"/>
      <c r="C91" s="123"/>
      <c r="D91" s="123"/>
      <c r="E91" s="123"/>
      <c r="F91" s="123"/>
      <c r="G91" s="123"/>
      <c r="H91" s="123"/>
      <c r="I91" s="123"/>
      <c r="J91" s="123"/>
      <c r="K91" s="123"/>
      <c r="L91" s="123"/>
      <c r="M91" s="123"/>
      <c r="N91" s="123"/>
      <c r="O91" s="123"/>
      <c r="P91" s="123"/>
      <c r="Q91" s="123"/>
      <c r="R91" s="123"/>
    </row>
    <row r="92" spans="1:63" ht="18" hidden="1">
      <c r="A92" s="107"/>
      <c r="B92" s="164" t="s">
        <v>127</v>
      </c>
      <c r="C92" s="196" t="s">
        <v>127</v>
      </c>
      <c r="D92" s="123" t="s">
        <v>128</v>
      </c>
      <c r="E92" s="123"/>
      <c r="F92" s="123"/>
      <c r="G92" s="123"/>
      <c r="H92" s="123"/>
      <c r="I92" s="123"/>
      <c r="J92" s="123"/>
      <c r="K92" s="123"/>
      <c r="L92" s="123"/>
      <c r="M92" s="123"/>
      <c r="N92" s="123"/>
      <c r="O92" s="123"/>
      <c r="P92" s="123"/>
      <c r="Q92" s="123"/>
      <c r="R92" s="123"/>
    </row>
    <row r="93" spans="1:63" ht="18">
      <c r="A93" s="12" t="s">
        <v>133</v>
      </c>
      <c r="B93" s="164" t="s">
        <v>129</v>
      </c>
      <c r="C93" s="197" t="s">
        <v>129</v>
      </c>
      <c r="D93" s="198" t="s">
        <v>130</v>
      </c>
      <c r="E93" s="123"/>
      <c r="F93" s="123"/>
      <c r="G93" s="123"/>
      <c r="H93" s="123"/>
      <c r="I93" s="123"/>
      <c r="J93" s="123"/>
      <c r="K93" s="123"/>
      <c r="L93" s="123"/>
      <c r="M93" s="123"/>
      <c r="N93" s="123"/>
      <c r="O93" s="123"/>
      <c r="P93" s="123"/>
      <c r="Q93" s="123"/>
      <c r="R93" s="123"/>
    </row>
    <row r="94" spans="1:63" ht="36">
      <c r="A94" s="12" t="s">
        <v>134</v>
      </c>
      <c r="B94" s="164" t="s">
        <v>131</v>
      </c>
      <c r="C94" s="5" t="s">
        <v>131</v>
      </c>
      <c r="D94" s="5" t="s">
        <v>132</v>
      </c>
      <c r="E94" s="123"/>
      <c r="F94" s="123"/>
      <c r="G94" s="123"/>
      <c r="H94" s="123"/>
      <c r="I94" s="123"/>
    </row>
    <row r="95" spans="1:63" ht="36">
      <c r="A95" s="12" t="s">
        <v>135</v>
      </c>
      <c r="B95" s="164"/>
      <c r="C95" s="5"/>
      <c r="D95" s="5"/>
    </row>
    <row r="96" spans="1:63" ht="36">
      <c r="A96" s="12" t="s">
        <v>136</v>
      </c>
      <c r="B96" s="164"/>
      <c r="C96" s="5"/>
      <c r="D96" s="5"/>
    </row>
    <row r="97" spans="1:4">
      <c r="A97" s="266" t="s">
        <v>137</v>
      </c>
      <c r="B97" s="266"/>
      <c r="C97" s="5"/>
      <c r="D97" s="5"/>
    </row>
    <row r="98" spans="1:4" ht="36">
      <c r="A98" s="12" t="s">
        <v>138</v>
      </c>
      <c r="B98" s="164"/>
      <c r="C98" s="5"/>
      <c r="D98" s="5"/>
    </row>
    <row r="99" spans="1:4" ht="36">
      <c r="A99" s="12" t="s">
        <v>139</v>
      </c>
      <c r="B99" s="164"/>
      <c r="C99" s="5"/>
      <c r="D99" s="5"/>
    </row>
    <row r="100" spans="1:4" ht="18">
      <c r="A100" s="12" t="s">
        <v>140</v>
      </c>
      <c r="B100" s="173"/>
      <c r="C100" s="5"/>
      <c r="D100" s="5"/>
    </row>
    <row r="101" spans="1:4" ht="18">
      <c r="A101" s="12" t="s">
        <v>141</v>
      </c>
      <c r="B101" s="170"/>
      <c r="C101" s="5"/>
      <c r="D101" s="5"/>
    </row>
    <row r="102" spans="1:4" ht="18" hidden="1">
      <c r="A102" s="12"/>
      <c r="B102" s="164" t="str">
        <f>TEXT(B101,"ДД.ММ.ГГГГ")</f>
        <v>00.01.1900</v>
      </c>
      <c r="C102" s="5"/>
      <c r="D102" s="5"/>
    </row>
    <row r="103" spans="1:4" ht="18">
      <c r="A103" s="12"/>
      <c r="B103" s="13" t="s">
        <v>143</v>
      </c>
      <c r="C103" s="5" t="s">
        <v>142</v>
      </c>
      <c r="D103" s="5" t="s">
        <v>143</v>
      </c>
    </row>
    <row r="104" spans="1:4" ht="60">
      <c r="A104" s="215" t="s">
        <v>345</v>
      </c>
      <c r="B104" s="214" t="s">
        <v>344</v>
      </c>
      <c r="C104" s="13" t="s">
        <v>143</v>
      </c>
      <c r="D104" s="5"/>
    </row>
    <row r="105" spans="1:4" ht="30">
      <c r="A105" s="206" t="s">
        <v>366</v>
      </c>
      <c r="B105" s="13"/>
      <c r="C105" s="13"/>
      <c r="D105" s="5"/>
    </row>
    <row r="106" spans="1:4" ht="30">
      <c r="A106" s="206" t="s">
        <v>367</v>
      </c>
      <c r="B106" s="13"/>
      <c r="C106" s="13"/>
      <c r="D106" s="5"/>
    </row>
    <row r="107" spans="1:4" ht="60">
      <c r="A107" s="206" t="str">
        <f>A113</f>
        <v>Tug’ilgan sanasi (01.10.2011 y.)</v>
      </c>
      <c r="B107" s="13"/>
      <c r="C107" s="13"/>
      <c r="D107" s="5"/>
    </row>
    <row r="108" spans="1:4" ht="60">
      <c r="A108" s="206" t="str">
        <f>A114</f>
        <v>Pasport seriyasi (СА №1234567)</v>
      </c>
      <c r="B108" s="13"/>
      <c r="C108" s="13"/>
      <c r="D108" s="5"/>
    </row>
    <row r="109" spans="1:4" ht="150">
      <c r="A109" s="206" t="str">
        <f>A115</f>
        <v xml:space="preserve">Kim va qachon berilgan
(Toshkent shahri Chilonzor IIB tomonidan 2011 yil __.____)
</v>
      </c>
      <c r="B109" s="13"/>
      <c r="C109" s="13"/>
      <c r="D109" s="5"/>
    </row>
    <row r="110" spans="1:4" ht="150">
      <c r="A110" s="206" t="str">
        <f>A116</f>
        <v xml:space="preserve">doimiy ro’yhatdan o’tgan joyi
(Toshkent sh., Mirobod tumani, Nukus ko’chasi, 1 uy, 1 honadon)
</v>
      </c>
      <c r="B110" s="13"/>
      <c r="C110" s="13"/>
      <c r="D110" s="5"/>
    </row>
    <row r="111" spans="1:4" hidden="1">
      <c r="A111" s="161" t="s">
        <v>152</v>
      </c>
      <c r="B111" s="151" t="str">
        <f>IF(B93="HA",B5,B105)</f>
        <v>QODIROVA NAFISA YO‘LDOSHEVNA</v>
      </c>
      <c r="C111" s="179" t="str">
        <f>IF(B93="ha",B5,C105)</f>
        <v>QODIROVA NAFISA YO‘LDOSHEVNA</v>
      </c>
      <c r="D111" s="5"/>
    </row>
    <row r="112" spans="1:4" hidden="1">
      <c r="A112" s="161"/>
      <c r="B112" s="151" t="str">
        <f>IF(B93="HA",B7,B106)</f>
        <v>QODIROVA N.Y.</v>
      </c>
      <c r="C112" s="179" t="str">
        <f>IF(B93="HA",B7,C106)</f>
        <v>QODIROVA N.Y.</v>
      </c>
      <c r="D112" s="5"/>
    </row>
    <row r="113" spans="1:18" hidden="1">
      <c r="A113" s="162" t="s">
        <v>153</v>
      </c>
      <c r="B113" s="205" t="str">
        <f>IF(B93="HA",B15,B107)</f>
        <v>16.07.1982 yil</v>
      </c>
      <c r="C113" s="179" t="str">
        <f>IF(B93="HA",B15,C107)</f>
        <v>16.07.1982 yil</v>
      </c>
      <c r="D113" s="5"/>
    </row>
    <row r="114" spans="1:18" hidden="1">
      <c r="A114" s="162" t="s">
        <v>61</v>
      </c>
      <c r="B114" s="205" t="str">
        <f>IF(B93="HA",B16,B108)</f>
        <v>AD 9088376</v>
      </c>
      <c r="C114" s="179" t="str">
        <f>IF(B93="HA",B16,C108)</f>
        <v>AD 9088376</v>
      </c>
      <c r="D114" s="5"/>
    </row>
    <row r="115" spans="1:18" ht="30" hidden="1" customHeight="1">
      <c r="A115" s="162" t="s">
        <v>64</v>
      </c>
      <c r="B115" s="151" t="str">
        <f>IF(B93="HA",B20,B109)</f>
        <v>IIV 26296 tomonidan 21.10.2024 yilda berilgan</v>
      </c>
      <c r="C115" s="151" t="str">
        <f>IF(B93="HA",B20,C109)</f>
        <v>IIV 26296 tomonidan 21.10.2024 yilda berilgan</v>
      </c>
      <c r="D115" s="79">
        <v>493193762</v>
      </c>
    </row>
    <row r="116" spans="1:18" ht="53.25" hidden="1" customHeight="1">
      <c r="A116" s="162" t="s">
        <v>66</v>
      </c>
      <c r="B116" s="151" t="str">
        <f>IF(B93="HA",B22,B110)</f>
        <v>TOSHKENT SHAHAR YANGIXAYOT TUMANI 2 STROITELNAYA TERRITORIYA 17 UY 74 XONADON</v>
      </c>
      <c r="C116" s="151" t="str">
        <f>IF(B93="HA",B22,C110)</f>
        <v>TOSHKENT SHAHAR YANGIXAYOT TUMANI 2 STROITELNAYA TERRITORIYA 17 UY 74 XONADON</v>
      </c>
      <c r="D116" s="5"/>
    </row>
    <row r="117" spans="1:18">
      <c r="A117" s="162" t="s">
        <v>154</v>
      </c>
      <c r="B117" s="222" t="str">
        <f>IF(B93="ha",B5,B111)</f>
        <v>QODIROVA NAFISA YO‘LDOSHEVNA</v>
      </c>
      <c r="C117" s="224" t="str">
        <f>IF(B93="ha",B5,C111)</f>
        <v>QODIROVA NAFISA YO‘LDOSHEVNA</v>
      </c>
    </row>
    <row r="118" spans="1:18">
      <c r="A118" s="162"/>
      <c r="B118" s="222" t="str">
        <f>IF(B93="ha",B7,B112)</f>
        <v>QODIROVA N.Y.</v>
      </c>
      <c r="C118" s="224" t="str">
        <f>IF(B93="да",B7,C112)</f>
        <v>QODIROVA N.Y.</v>
      </c>
    </row>
    <row r="119" spans="1:18">
      <c r="A119" s="3" t="s">
        <v>153</v>
      </c>
      <c r="B119" s="222" t="str">
        <f>IF(B93="ha",B15,B113)</f>
        <v>16.07.1982 yil</v>
      </c>
      <c r="C119" s="224" t="str">
        <f>IF(B93="да",B15,C113)</f>
        <v>16.07.1982 yil</v>
      </c>
    </row>
    <row r="120" spans="1:18">
      <c r="A120" s="3" t="s">
        <v>61</v>
      </c>
      <c r="B120" s="222" t="str">
        <f>IF(B93="ha",B16,B114)</f>
        <v>AD 9088376</v>
      </c>
      <c r="C120" s="224" t="str">
        <f>IF(B93="да",B16,C114)</f>
        <v>AD 9088376</v>
      </c>
    </row>
    <row r="121" spans="1:18" ht="45">
      <c r="A121" s="3" t="s">
        <v>64</v>
      </c>
      <c r="B121" s="222" t="str">
        <f>IF(B93="ha",B20,B115)</f>
        <v>IIV 26296 tomonidan 21.10.2024 yilda berilgan</v>
      </c>
      <c r="C121" s="224" t="str">
        <f>IF(B93="да",B20,C115)</f>
        <v>IIV 26296 tomonidan 21.10.2024 yilda berilgan</v>
      </c>
    </row>
    <row r="122" spans="1:18" ht="45">
      <c r="A122" s="3" t="s">
        <v>66</v>
      </c>
      <c r="B122" s="223" t="str">
        <f>B22</f>
        <v>TOSHKENT SHAHAR YANGIXAYOT TUMANI 2 STROITELNAYA TERRITORIYA 17 UY 74 XONADON</v>
      </c>
      <c r="C122" s="225" t="str">
        <f>IF(B93="да",B28,C116)</f>
        <v>TOSHKENT SHAHAR YANGIXAYOT TUMANI 2 STROITELNAYA TERRITORIYA 17 UY 74 XONADON</v>
      </c>
    </row>
    <row r="123" spans="1:18" ht="28.5" customHeight="1">
      <c r="A123" s="3" t="s">
        <v>155</v>
      </c>
      <c r="B123" s="53"/>
      <c r="C123" s="222" t="str">
        <f>B28</f>
        <v>TOSHKENT SHAHAR BEKTEMIR TUMANI ROXAT KO'CHASI 12 UY 32 XONADON</v>
      </c>
      <c r="N123" s="4" t="str">
        <f>IF(B103=C103,B117,IF(B103=D103,C117,0))</f>
        <v>QODIROVA NAFISA YO‘LDOSHEVNA</v>
      </c>
    </row>
    <row r="124" spans="1:18" ht="45">
      <c r="A124" s="3" t="s">
        <v>156</v>
      </c>
      <c r="B124" s="53"/>
      <c r="C124" s="56" t="s">
        <v>434</v>
      </c>
      <c r="D124" s="59" t="s">
        <v>147</v>
      </c>
      <c r="Q124" s="4" t="str">
        <f>""&amp;B95&amp;" (по генеральному доверенестью №"&amp;B100&amp;" от "&amp;B102&amp;")"</f>
        <v xml:space="preserve"> (по генеральному доверенестью № от 00.01.1900)</v>
      </c>
      <c r="R124" s="4" t="str">
        <f>""&amp;B95&amp;" ("&amp;B102&amp;"y. sanasidagi reestr raqami №"&amp;B100&amp;" bo'lgan Ishonchnomaga asosan)"</f>
        <v xml:space="preserve"> (00.01.1900y. sanasidagi reestr raqami № bo'lgan Ishonchnomaga asosan)</v>
      </c>
    </row>
    <row r="125" spans="1:18" ht="21.75" customHeight="1">
      <c r="A125" s="3" t="s">
        <v>157</v>
      </c>
      <c r="B125" s="53"/>
      <c r="C125" s="238" t="s">
        <v>410</v>
      </c>
      <c r="D125" s="239" t="s">
        <v>441</v>
      </c>
      <c r="E125" s="96" t="str">
        <f>IF($C$129=$D$129,I125,IF($C$129=$E$129,H125,0))</f>
        <v xml:space="preserve">Ko'p qavatli uydagi xonadon - </v>
      </c>
      <c r="F125" s="180" t="str">
        <f>IF($C$129=$D$129,I125,IF($C$129=$E$129,H125,0))</f>
        <v xml:space="preserve">Ko'p qavatli uydagi xonadon - </v>
      </c>
      <c r="G125" s="96"/>
      <c r="H125" s="96" t="str">
        <f>""&amp;D126&amp;" - "</f>
        <v xml:space="preserve">Ko'p qavatli uydagi xonadon - </v>
      </c>
      <c r="I125" s="96" t="str">
        <f>""&amp;D126&amp;" - xonali yakka tartibdagi uy-joy"</f>
        <v>Ko'p qavatli uydagi xonadon - xonali yakka tartibdagi uy-joy</v>
      </c>
      <c r="J125" s="96"/>
      <c r="K125" s="96"/>
      <c r="L125" s="96"/>
      <c r="M125" s="96"/>
      <c r="N125" s="4" t="str">
        <f>IF(B93=C93,Q126,IF(B93=D93,Q125,0))</f>
        <v>Микрофинансовой организацией и Заемщиком</v>
      </c>
      <c r="Q125" s="4" t="str">
        <f>"Микрофинансовой организацией, Заемщиком и "&amp;IF(B94=D94,Q124,IF(B94=C94,B111,0))&amp;""</f>
        <v>Микрофинансовой организацией, Заемщиком и QODIROVA NAFISA YO‘LDOSHEVNA</v>
      </c>
      <c r="R125" s="4" t="str">
        <f>"Mikromoliya tashkiloti, Qarz oluvchi va "&amp;IF(B94=D94,R124,IF(B94=C94,B111))&amp;""</f>
        <v>Mikromoliya tashkiloti, Qarz oluvchi va QODIROVA NAFISA YO‘LDOSHEVNA</v>
      </c>
    </row>
    <row r="126" spans="1:18">
      <c r="A126" s="3" t="s">
        <v>158</v>
      </c>
      <c r="B126" s="163"/>
      <c r="C126" s="106" t="str">
        <f>C125</f>
        <v>Ko'p qavatli uydagi xonadon</v>
      </c>
      <c r="D126" s="106" t="str">
        <f>C125</f>
        <v>Ko'p qavatli uydagi xonadon</v>
      </c>
      <c r="E126" s="96" t="str">
        <f>IF($C$129=$D$129,I126,IF($C$129=$E$129,H126,0))</f>
        <v xml:space="preserve"> qurilish osti maydoni - , umumiy maydoni - 49,55, yashash maydoni - 28,99</v>
      </c>
      <c r="F126" s="180" t="str">
        <f>IF($C$129=$D$129,I126,IF($C$129=$E$129,H126,0))</f>
        <v xml:space="preserve"> qurilish osti maydoni - , umumiy maydoni - 49,55, yashash maydoni - 28,99</v>
      </c>
      <c r="G126" s="96"/>
      <c r="H126" s="96" t="str">
        <f>" qurilish osti maydoni - "&amp;C133&amp;", umumiy maydoni - "&amp;C130&amp;", yashash maydoni - "&amp;C131&amp;""</f>
        <v xml:space="preserve"> qurilish osti maydoni - , umumiy maydoni - 49,55, yashash maydoni - 28,99</v>
      </c>
      <c r="I126" s="96" t="str">
        <f>"yer uchastkasi maydoni - "&amp;C133&amp;", umumiy maydoni - "&amp;C130&amp;", foydalanish maydoni - "&amp;C133&amp;""</f>
        <v xml:space="preserve">yer uchastkasi maydoni - , umumiy maydoni - 49,55, foydalanish maydoni - </v>
      </c>
      <c r="J126" s="96"/>
      <c r="K126" s="96"/>
      <c r="L126" s="96"/>
      <c r="M126" s="96"/>
      <c r="N126" s="4" t="str">
        <f>IF(B93=C93,R126,IF(B93=D93,R125,0))</f>
        <v>Mikromoliya tashkiloti va Qarz oluvchi</v>
      </c>
      <c r="Q126" s="4" t="s">
        <v>48</v>
      </c>
      <c r="R126" s="4" t="s">
        <v>146</v>
      </c>
    </row>
    <row r="127" spans="1:18" ht="27" customHeight="1">
      <c r="A127" s="3" t="s">
        <v>159</v>
      </c>
      <c r="B127" s="94" t="str">
        <f>"kuzov turi - "&amp;B128&amp;", kuzov raqami "&amp;B129&amp;""</f>
        <v xml:space="preserve">kuzov turi - , kuzov raqami </v>
      </c>
      <c r="C127" s="56" t="s">
        <v>433</v>
      </c>
      <c r="D127" s="59" t="s">
        <v>21</v>
      </c>
    </row>
    <row r="128" spans="1:18">
      <c r="A128" s="86" t="s">
        <v>160</v>
      </c>
      <c r="B128" s="53"/>
      <c r="C128" s="153"/>
      <c r="D128" s="59"/>
    </row>
    <row r="129" spans="1:5">
      <c r="A129" s="86" t="s">
        <v>161</v>
      </c>
      <c r="B129" s="53"/>
      <c r="C129" s="55" t="s">
        <v>149</v>
      </c>
      <c r="D129" s="181" t="s">
        <v>148</v>
      </c>
      <c r="E129" s="5" t="s">
        <v>149</v>
      </c>
    </row>
    <row r="130" spans="1:5" ht="27" customHeight="1">
      <c r="A130" s="3" t="s">
        <v>162</v>
      </c>
      <c r="B130" s="94" t="str">
        <f>"dvigatel raqami "&amp;B131&amp;", shassi raqami - "&amp;B132&amp;""</f>
        <v xml:space="preserve">dvigatel raqami , shassi raqami - </v>
      </c>
      <c r="C130" s="226">
        <v>49.55</v>
      </c>
      <c r="D130" s="4" t="s">
        <v>408</v>
      </c>
    </row>
    <row r="131" spans="1:5">
      <c r="A131" s="86" t="s">
        <v>163</v>
      </c>
      <c r="B131" s="108"/>
      <c r="C131" s="226">
        <v>28.99</v>
      </c>
      <c r="D131" s="4" t="s">
        <v>401</v>
      </c>
    </row>
    <row r="132" spans="1:5">
      <c r="A132" s="86" t="s">
        <v>164</v>
      </c>
      <c r="B132" s="53"/>
      <c r="C132" s="55"/>
    </row>
    <row r="133" spans="1:5" ht="25.5" customHeight="1">
      <c r="A133" s="3" t="s">
        <v>165</v>
      </c>
      <c r="B133" s="94" t="str">
        <f>"rangi -  "&amp;B134&amp;", ishlab chiqarilgan yili - "&amp;B135&amp;""</f>
        <v xml:space="preserve">rangi -  , ishlab chiqarilgan yili - </v>
      </c>
      <c r="C133" s="226"/>
      <c r="D133" s="4" t="s">
        <v>406</v>
      </c>
    </row>
    <row r="134" spans="1:5">
      <c r="A134" s="86" t="s">
        <v>166</v>
      </c>
      <c r="B134" s="53"/>
      <c r="C134" s="55"/>
    </row>
    <row r="135" spans="1:5">
      <c r="A135" s="86" t="s">
        <v>167</v>
      </c>
      <c r="B135" s="70"/>
      <c r="C135" s="55"/>
    </row>
    <row r="136" spans="1:5" hidden="1">
      <c r="A136" s="3" t="s">
        <v>168</v>
      </c>
      <c r="B136" s="25">
        <f>B75*1.4</f>
        <v>70000000</v>
      </c>
      <c r="C136" s="25">
        <f>B136</f>
        <v>70000000</v>
      </c>
    </row>
    <row r="137" spans="1:5" ht="27.75" hidden="1" customHeight="1">
      <c r="A137" s="212"/>
      <c r="B137" s="65" t="str">
        <f>""&amp;SUBSTITUTE(SUBSTITUTE(SUBSTITUTE(TRIM(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SUBSTITUTE(IF(LEN(INT(B136))&gt;6,ROMAN(MID(INT(B136),1,LEN(INT(B136))-6)+0)&amp;" million "&amp;ROMAN(MID(INT(B136),LEN(INT(B136))-5,3)+0)&amp;" ming "&amp;ROMAN(MID(INT(B136),LEN(INT(B136))-2,3)+0),IF(LEN(INT(B136))&gt;3,ROMAN(MID(INT(B136),1,LEN(INT(B136))-3)+0)&amp;" ming "&amp;ROMAN(MID(INT(B136),LEN(INT(B136))-2,3)+0),ROMAN(INT(B136)))),"DCCC"," sakkiz yuz"),"DCC"," yetti yuz"),"DC"," olti yuz"),"CD"," to'rt yuz"),"XC"," to'qson"),"CCC"," uch yuz"),"CC"," ikki yuz"),"D"," besh yuz"),"CM"," to'qqiz yuz"),"C"," yuz"),"XL"," qirq"),"LXXX"," sakson"),"LXX"," yetmish"),"LX"," oltmish"),"L"," ellik"),"XXX"," o'ttiz"),"XX"," yigirma"),"XIX"," o'n toqqiz"),"XVIII"," o'n sakkiz"),"XVII"," o'n yetti"),"XVI"," o'n olti"),"XV"," o'n besh"),"XIV"," o'n to'rt"),"XIII"," o'n uch"),"XII"," o'n ikki"),"XI"," o'n bir"),"IX"," to'qqiz"),"X"," o'n"),"VIII"," sakkiz"),"VII"," yetti"),"VI"," olti"),"IV"," to'rt"),"V"," besh"),"III"," uch"),"II"," ikki"),"I"," bir"),"bir ming","bir ming"),"ikki ming","ikki ming"),"uch ming","uch ming"),"to'rt ming","to'rt ming"),"bir million","bir million"),"ikki million","ikki million"),"uch million","uch million"),"to'rt million","to'rt million")),"million ming","million"),"million ming","million"),"million ming","million")&amp;" so'm"</f>
        <v>yetmish million so'm</v>
      </c>
      <c r="C137" s="174" t="str">
        <f>B137</f>
        <v>yetmish million so'm</v>
      </c>
    </row>
    <row r="138" spans="1:5" ht="27.75" hidden="1" customHeight="1">
      <c r="A138" s="3"/>
      <c r="B138" s="174" t="str">
        <f>B137</f>
        <v>yetmish million so'm</v>
      </c>
      <c r="C138" s="87"/>
    </row>
    <row r="139" spans="1:5" ht="20.25">
      <c r="A139" s="3" t="s">
        <v>341</v>
      </c>
      <c r="B139" s="65"/>
    </row>
    <row r="140" spans="1:5">
      <c r="A140" s="3" t="s">
        <v>368</v>
      </c>
      <c r="B140" s="53"/>
    </row>
    <row r="141" spans="1:5">
      <c r="A141" s="3" t="s">
        <v>150</v>
      </c>
      <c r="B141" s="2" t="s">
        <v>144</v>
      </c>
      <c r="C141" s="4">
        <v>1</v>
      </c>
    </row>
    <row r="142" spans="1:5" hidden="1">
      <c r="A142" s="3" t="s">
        <v>151</v>
      </c>
      <c r="B142" s="8" t="str">
        <f>B70</f>
        <v>2 fevral 2026 y.</v>
      </c>
      <c r="C142" s="54" t="str">
        <f>B70</f>
        <v>2 fevral 2026 y.</v>
      </c>
    </row>
    <row r="143" spans="1:5" hidden="1">
      <c r="A143" s="3"/>
      <c r="B143" s="1">
        <f>YEAR(B67)</f>
        <v>2026</v>
      </c>
      <c r="C143" s="54"/>
    </row>
    <row r="144" spans="1:5" hidden="1">
      <c r="A144" s="3"/>
      <c r="B144" s="178" t="str">
        <f>D67</f>
        <v>fevral</v>
      </c>
      <c r="C144" s="54"/>
    </row>
    <row r="145" spans="1:3" hidden="1">
      <c r="A145" s="3"/>
      <c r="B145" s="1">
        <f>DAY(B67)</f>
        <v>2</v>
      </c>
      <c r="C145" s="54"/>
    </row>
    <row r="146" spans="1:3">
      <c r="A146" s="266" t="s">
        <v>349</v>
      </c>
      <c r="B146" s="266"/>
    </row>
    <row r="147" spans="1:3">
      <c r="A147" s="3" t="s">
        <v>169</v>
      </c>
      <c r="B147" s="1" t="s">
        <v>378</v>
      </c>
    </row>
    <row r="148" spans="1:3">
      <c r="A148" s="3"/>
      <c r="B148" s="1" t="s">
        <v>378</v>
      </c>
    </row>
    <row r="149" spans="1:3">
      <c r="A149" s="3"/>
      <c r="B149" s="1" t="s">
        <v>378</v>
      </c>
    </row>
    <row r="150" spans="1:3">
      <c r="A150" s="3" t="s">
        <v>397</v>
      </c>
      <c r="B150" s="1" t="s">
        <v>376</v>
      </c>
    </row>
    <row r="151" spans="1:3">
      <c r="A151" s="3"/>
      <c r="B151" s="1" t="s">
        <v>377</v>
      </c>
    </row>
    <row r="152" spans="1:3">
      <c r="A152" s="3" t="s">
        <v>170</v>
      </c>
      <c r="B152" s="1" t="s">
        <v>440</v>
      </c>
    </row>
    <row r="153" spans="1:3" ht="28.5">
      <c r="A153" s="3" t="s">
        <v>171</v>
      </c>
      <c r="B153" s="1" t="s">
        <v>379</v>
      </c>
    </row>
    <row r="154" spans="1:3">
      <c r="A154" s="3" t="s">
        <v>172</v>
      </c>
      <c r="B154" s="1" t="s">
        <v>386</v>
      </c>
    </row>
    <row r="155" spans="1:3">
      <c r="A155" s="3" t="s">
        <v>173</v>
      </c>
      <c r="B155" s="1" t="s">
        <v>380</v>
      </c>
    </row>
    <row r="156" spans="1:3">
      <c r="A156" s="3" t="s">
        <v>174</v>
      </c>
      <c r="B156" s="1" t="s">
        <v>388</v>
      </c>
    </row>
    <row r="157" spans="1:3">
      <c r="A157" s="3" t="s">
        <v>175</v>
      </c>
      <c r="B157" s="2" t="s">
        <v>387</v>
      </c>
    </row>
    <row r="158" spans="1:3">
      <c r="A158" s="3" t="s">
        <v>385</v>
      </c>
      <c r="B158" s="1" t="s">
        <v>381</v>
      </c>
    </row>
    <row r="159" spans="1:3">
      <c r="A159" s="3" t="s">
        <v>176</v>
      </c>
      <c r="B159" s="1" t="s">
        <v>403</v>
      </c>
    </row>
    <row r="160" spans="1:3">
      <c r="A160" s="3" t="s">
        <v>371</v>
      </c>
      <c r="B160" s="1" t="s">
        <v>436</v>
      </c>
    </row>
    <row r="161" spans="1:2">
      <c r="A161" s="3" t="s">
        <v>373</v>
      </c>
      <c r="B161" s="1" t="s">
        <v>396</v>
      </c>
    </row>
    <row r="162" spans="1:2">
      <c r="A162" s="3" t="s">
        <v>177</v>
      </c>
      <c r="B162" s="2" t="s">
        <v>383</v>
      </c>
    </row>
    <row r="163" spans="1:2">
      <c r="A163" s="3" t="s">
        <v>178</v>
      </c>
      <c r="B163" s="2" t="s">
        <v>384</v>
      </c>
    </row>
    <row r="164" spans="1:2">
      <c r="A164" s="3" t="s">
        <v>179</v>
      </c>
      <c r="B164" s="1" t="str">
        <f>B1</f>
        <v>№ 56</v>
      </c>
    </row>
    <row r="165" spans="1:2">
      <c r="A165" s="3" t="s">
        <v>180</v>
      </c>
      <c r="B165" s="8" t="str">
        <f>B70</f>
        <v>2 fevral 2026 y.</v>
      </c>
    </row>
  </sheetData>
  <mergeCells count="6">
    <mergeCell ref="A146:B146"/>
    <mergeCell ref="A97:B97"/>
    <mergeCell ref="A4:B4"/>
    <mergeCell ref="A57:B57"/>
    <mergeCell ref="A64:B64"/>
    <mergeCell ref="A91:B91"/>
  </mergeCells>
  <dataValidations count="13">
    <dataValidation type="list" allowBlank="1" showInputMessage="1" showErrorMessage="1" sqref="B30" xr:uid="{00000000-0002-0000-0300-000000000000}">
      <formula1>$C$30:$D$30</formula1>
    </dataValidation>
    <dataValidation type="list" allowBlank="1" showInputMessage="1" showErrorMessage="1" sqref="B93" xr:uid="{00000000-0002-0000-0300-000001000000}">
      <formula1>$C$93:$D$93</formula1>
    </dataValidation>
    <dataValidation type="list" allowBlank="1" showInputMessage="1" showErrorMessage="1" sqref="B103" xr:uid="{00000000-0002-0000-0300-000002000000}">
      <formula1>$C$103:$D$103</formula1>
    </dataValidation>
    <dataValidation type="list" allowBlank="1" showInputMessage="1" showErrorMessage="1" sqref="B77" xr:uid="{00000000-0002-0000-0300-000003000000}">
      <formula1>$C$77:$D$77</formula1>
    </dataValidation>
    <dataValidation type="list" allowBlank="1" showInputMessage="1" showErrorMessage="1" sqref="C129" xr:uid="{00000000-0002-0000-0300-000004000000}">
      <formula1>$D$129:$E$129</formula1>
    </dataValidation>
    <dataValidation type="list" allowBlank="1" showInputMessage="1" showErrorMessage="1" sqref="B92" xr:uid="{00000000-0002-0000-0300-000005000000}">
      <formula1>$C$92:$D$92</formula1>
    </dataValidation>
    <dataValidation type="list" allowBlank="1" showInputMessage="1" showErrorMessage="1" sqref="B94" xr:uid="{00000000-0002-0000-0300-000006000000}">
      <formula1>$C$94:$D$94</formula1>
    </dataValidation>
    <dataValidation type="list" allowBlank="1" showInputMessage="1" showErrorMessage="1" sqref="B23" xr:uid="{00000000-0002-0000-0300-000007000000}">
      <formula1>$C$23:$D$23</formula1>
    </dataValidation>
    <dataValidation type="list" allowBlank="1" showInputMessage="1" showErrorMessage="1" sqref="B29" xr:uid="{00000000-0002-0000-0300-000008000000}">
      <formula1>$C$29:$F$29</formula1>
    </dataValidation>
    <dataValidation type="list" allowBlank="1" showInputMessage="1" showErrorMessage="1" sqref="B24" xr:uid="{00000000-0002-0000-0300-000009000000}">
      <formula1>$C$24:$D$24</formula1>
    </dataValidation>
    <dataValidation type="list" allowBlank="1" showInputMessage="1" showErrorMessage="1" sqref="B83" xr:uid="{00000000-0002-0000-0300-00000A000000}">
      <formula1>$BJ$83:$BK$83</formula1>
    </dataValidation>
    <dataValidation type="list" allowBlank="1" showInputMessage="1" showErrorMessage="1" sqref="B6" xr:uid="{00000000-0002-0000-0300-00000B000000}">
      <formula1>$C$6:$D$6</formula1>
    </dataValidation>
    <dataValidation type="list" allowBlank="1" showInputMessage="1" showErrorMessage="1" sqref="B44" xr:uid="{00000000-0002-0000-0300-00000C000000}">
      <formula1>$C$44:$D$44</formula1>
    </dataValidation>
  </dataValidations>
  <pageMargins left="0.7" right="0.7" top="0.75" bottom="0.75" header="0.3" footer="0.3"/>
  <pageSetup paperSize="9" orientation="portrait" horizontalDpi="300" verticalDpi="3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Лист18">
    <tabColor theme="1"/>
  </sheetPr>
  <dimension ref="A1:H76"/>
  <sheetViews>
    <sheetView view="pageBreakPreview" topLeftCell="A24" zoomScaleSheetLayoutView="100" workbookViewId="0">
      <selection activeCell="G56" sqref="G56"/>
    </sheetView>
  </sheetViews>
  <sheetFormatPr defaultColWidth="9.140625" defaultRowHeight="15" outlineLevelCol="1"/>
  <cols>
    <col min="1" max="1" width="9.140625" style="19"/>
    <col min="2" max="2" width="10.140625" style="19" bestFit="1" customWidth="1"/>
    <col min="3" max="3" width="16.5703125" style="19" customWidth="1"/>
    <col min="4" max="5" width="15.7109375" style="19" bestFit="1" customWidth="1"/>
    <col min="6" max="6" width="20.85546875" style="19" customWidth="1"/>
    <col min="7" max="7" width="10.140625" style="19" customWidth="1" outlineLevel="1"/>
    <col min="8" max="16384" width="9.140625" style="19"/>
  </cols>
  <sheetData>
    <row r="1" spans="1:8">
      <c r="A1" s="41"/>
      <c r="B1" s="41"/>
      <c r="C1" s="41"/>
      <c r="D1" s="41"/>
      <c r="E1" s="277" t="s">
        <v>15</v>
      </c>
      <c r="F1" s="277"/>
    </row>
    <row r="2" spans="1:8">
      <c r="A2" s="41"/>
      <c r="B2" s="41"/>
      <c r="C2" s="41"/>
      <c r="D2" s="41"/>
      <c r="E2" s="41"/>
      <c r="F2" s="42" t="str">
        <f>"к договору микрозайма "&amp;umumiy_malumot!B74&amp;""</f>
        <v>к договору микрозайма 2 fevral 2026 y.dan № 56</v>
      </c>
    </row>
    <row r="3" spans="1:8" ht="6.75" customHeight="1">
      <c r="A3" s="41"/>
      <c r="B3" s="41"/>
      <c r="C3" s="41"/>
      <c r="D3" s="41"/>
      <c r="E3" s="41"/>
      <c r="F3" s="41"/>
    </row>
    <row r="4" spans="1:8">
      <c r="A4" s="278" t="s">
        <v>16</v>
      </c>
      <c r="B4" s="278"/>
      <c r="C4" s="278"/>
      <c r="D4" s="278"/>
      <c r="E4" s="278"/>
      <c r="F4" s="278"/>
    </row>
    <row r="5" spans="1:8" ht="7.5" customHeight="1"/>
    <row r="6" spans="1:8">
      <c r="A6" s="279" t="s">
        <v>14</v>
      </c>
      <c r="B6" s="280" t="s">
        <v>8</v>
      </c>
      <c r="C6" s="280" t="s">
        <v>9</v>
      </c>
      <c r="D6" s="281" t="s">
        <v>10</v>
      </c>
      <c r="E6" s="281"/>
      <c r="F6" s="281"/>
    </row>
    <row r="7" spans="1:8" s="20" customFormat="1" ht="30">
      <c r="A7" s="279"/>
      <c r="B7" s="280"/>
      <c r="C7" s="280"/>
      <c r="D7" s="21" t="s">
        <v>11</v>
      </c>
      <c r="E7" s="21" t="s">
        <v>12</v>
      </c>
      <c r="F7" s="21" t="s">
        <v>13</v>
      </c>
    </row>
    <row r="8" spans="1:8">
      <c r="A8" s="22">
        <v>1</v>
      </c>
      <c r="B8" s="37">
        <f>'График дифференц'!B8</f>
        <v>46106</v>
      </c>
      <c r="C8" s="38">
        <f>umumiy_malumot!B75</f>
        <v>50000000</v>
      </c>
      <c r="D8" s="38">
        <f>IF(A8&lt;umumiy_malumot!$B$81,'График аннуитет.'!F8-'График аннуитет.'!E8,'График аннуитет.'!C8)</f>
        <v>-742465.9700000002</v>
      </c>
      <c r="E8" s="38">
        <f>ROUND(C8*umumiy_malumot!$B$84/H8,2)*'График аннуитет.'!G8</f>
        <v>3842465.97</v>
      </c>
      <c r="F8" s="38">
        <f>umumiy_malumot!B90</f>
        <v>3100000</v>
      </c>
      <c r="G8" s="19">
        <f>B8-umumiy_malumot!B67</f>
        <v>51</v>
      </c>
      <c r="H8" s="19">
        <f>DATE(YEAR(B8),12,31)-DATE(YEAR(B8),1,1)+1</f>
        <v>365</v>
      </c>
    </row>
    <row r="9" spans="1:8">
      <c r="A9" s="22">
        <v>2</v>
      </c>
      <c r="B9" s="37">
        <f>'График дифференц'!B9</f>
        <v>46139</v>
      </c>
      <c r="C9" s="38">
        <f>C8-D8</f>
        <v>50742465.969999999</v>
      </c>
      <c r="D9" s="38">
        <f>IF(A9&lt;umumiy_malumot!$B$81,'График аннуитет.'!F9-'График аннуитет.'!E9,'График аннуитет.'!C9)</f>
        <v>576778.75</v>
      </c>
      <c r="E9" s="38">
        <f>ROUND(C9*umumiy_malumot!$B$84/H9,2)*'График аннуитет.'!G9</f>
        <v>2523221.25</v>
      </c>
      <c r="F9" s="38">
        <f>IF(A9&lt;umumiy_malumot!$B$81,'График аннуитет.'!F8,'График аннуитет.'!D9+'График аннуитет.'!E9)</f>
        <v>3100000</v>
      </c>
      <c r="G9" s="19">
        <f>B9-B8</f>
        <v>33</v>
      </c>
      <c r="H9" s="19">
        <f t="shared" ref="H9:H31" si="0">DATE(YEAR(B9),12,31)-DATE(YEAR(B9),1,1)+1</f>
        <v>365</v>
      </c>
    </row>
    <row r="10" spans="1:8">
      <c r="A10" s="22">
        <v>3</v>
      </c>
      <c r="B10" s="37">
        <f>'График дифференц'!B10</f>
        <v>46167</v>
      </c>
      <c r="C10" s="38">
        <f t="shared" ref="C10:C43" si="1">C9-D9</f>
        <v>50165687.219999999</v>
      </c>
      <c r="D10" s="38">
        <f>IF(A10&lt;umumiy_malumot!$B$81,'График аннуитет.'!F10-'График аннуитет.'!E10,'График аннуитет.'!C10)</f>
        <v>983420.35999999987</v>
      </c>
      <c r="E10" s="38">
        <f>ROUND(C10*umumiy_malumot!$B$84/H10,2)*'График аннуитет.'!G10</f>
        <v>2116579.64</v>
      </c>
      <c r="F10" s="38">
        <f>IF(A10&lt;umumiy_malumot!$B$81,'График аннуитет.'!F9,'График аннуитет.'!D10+'График аннуитет.'!E10)</f>
        <v>3100000</v>
      </c>
      <c r="G10" s="19">
        <f t="shared" ref="G10:G24" si="2">B10-B9</f>
        <v>28</v>
      </c>
      <c r="H10" s="19">
        <f t="shared" si="0"/>
        <v>365</v>
      </c>
    </row>
    <row r="11" spans="1:8">
      <c r="A11" s="22">
        <v>4</v>
      </c>
      <c r="B11" s="37">
        <f>'График дифференц'!B11</f>
        <v>46198</v>
      </c>
      <c r="C11" s="38">
        <f t="shared" si="1"/>
        <v>49182266.859999999</v>
      </c>
      <c r="D11" s="38">
        <f>IF(A11&lt;umumiy_malumot!$B$81,'График аннуитет.'!F11-'График аннуитет.'!E11,'График аннуитет.'!C11)</f>
        <v>802581.62999999989</v>
      </c>
      <c r="E11" s="38">
        <f>ROUND(C11*umumiy_malumot!$B$84/H11,2)*'График аннуитет.'!G11</f>
        <v>2297418.37</v>
      </c>
      <c r="F11" s="38">
        <f>IF(A11&lt;umumiy_malumot!$B$81,'График аннуитет.'!F10,'График аннуитет.'!D11+'График аннуитет.'!E11)</f>
        <v>3100000</v>
      </c>
      <c r="G11" s="19">
        <f t="shared" si="2"/>
        <v>31</v>
      </c>
      <c r="H11" s="19">
        <f t="shared" si="0"/>
        <v>365</v>
      </c>
    </row>
    <row r="12" spans="1:8">
      <c r="A12" s="22">
        <v>5</v>
      </c>
      <c r="B12" s="37">
        <f>'График дифференц'!B12</f>
        <v>46230</v>
      </c>
      <c r="C12" s="38">
        <f t="shared" si="1"/>
        <v>48379685.229999997</v>
      </c>
      <c r="D12" s="38">
        <f>IF(A12&lt;umumiy_malumot!$B$81,'График аннуитет.'!F12-'График аннуитет.'!E12,'График аннуитет.'!C12)</f>
        <v>767171.20000000019</v>
      </c>
      <c r="E12" s="38">
        <f>ROUND(C12*umumiy_malumot!$B$84/H12,2)*'График аннуитет.'!G12</f>
        <v>2332828.7999999998</v>
      </c>
      <c r="F12" s="38">
        <f>IF(A12&lt;umumiy_malumot!$B$81,'График аннуитет.'!F11,'График аннуитет.'!D12+'График аннуитет.'!E12)</f>
        <v>3100000</v>
      </c>
      <c r="G12" s="19">
        <f t="shared" si="2"/>
        <v>32</v>
      </c>
      <c r="H12" s="19">
        <f t="shared" si="0"/>
        <v>365</v>
      </c>
    </row>
    <row r="13" spans="1:8">
      <c r="A13" s="22">
        <v>6</v>
      </c>
      <c r="B13" s="37">
        <f>'График дифференц'!B13</f>
        <v>46259</v>
      </c>
      <c r="C13" s="38">
        <f t="shared" si="1"/>
        <v>47612514.029999994</v>
      </c>
      <c r="D13" s="38">
        <f>IF(A13&lt;umumiy_malumot!$B$81,'График аннуитет.'!F13-'График аннуитет.'!E13,'График аннуитет.'!C13)</f>
        <v>1019398.48</v>
      </c>
      <c r="E13" s="38">
        <f>ROUND(C13*umumiy_malumot!$B$84/H13,2)*'График аннуитет.'!G13</f>
        <v>2080601.52</v>
      </c>
      <c r="F13" s="38">
        <f>IF(A13&lt;umumiy_malumot!$B$81,'График аннуитет.'!F12,'График аннуитет.'!D13+'График аннуитет.'!E13)</f>
        <v>3100000</v>
      </c>
      <c r="G13" s="19">
        <f t="shared" si="2"/>
        <v>29</v>
      </c>
      <c r="H13" s="19">
        <f t="shared" si="0"/>
        <v>365</v>
      </c>
    </row>
    <row r="14" spans="1:8">
      <c r="A14" s="22">
        <v>7</v>
      </c>
      <c r="B14" s="37">
        <f>'График дифференц'!B14</f>
        <v>46290</v>
      </c>
      <c r="C14" s="38">
        <f t="shared" si="1"/>
        <v>46593115.549999997</v>
      </c>
      <c r="D14" s="38">
        <f>IF(A14&lt;umumiy_malumot!$B$81,'График аннуитет.'!F14-'График аннуитет.'!E14,'График аннуитет.'!C14)</f>
        <v>923527.19999999972</v>
      </c>
      <c r="E14" s="38">
        <f>ROUND(C14*umumiy_malumot!$B$84/H14,2)*'График аннуитет.'!G14</f>
        <v>2176472.8000000003</v>
      </c>
      <c r="F14" s="38">
        <f>IF(A14&lt;umumiy_malumot!$B$81,'График аннуитет.'!F13,'График аннуитет.'!D14+'График аннуитет.'!E14)</f>
        <v>3100000</v>
      </c>
      <c r="G14" s="19">
        <f t="shared" si="2"/>
        <v>31</v>
      </c>
      <c r="H14" s="19">
        <f t="shared" si="0"/>
        <v>365</v>
      </c>
    </row>
    <row r="15" spans="1:8">
      <c r="A15" s="22">
        <v>8</v>
      </c>
      <c r="B15" s="37">
        <f>'График дифференц'!B15</f>
        <v>46321</v>
      </c>
      <c r="C15" s="38">
        <f t="shared" si="1"/>
        <v>45669588.349999994</v>
      </c>
      <c r="D15" s="38">
        <f>IF(A15&lt;umumiy_malumot!$B$81,'График аннуитет.'!F15-'График аннуитет.'!E15,'График аннуитет.'!C15)</f>
        <v>966667.10999999987</v>
      </c>
      <c r="E15" s="38">
        <f>ROUND(C15*umumiy_malumot!$B$84/H15,2)*'График аннуитет.'!G15</f>
        <v>2133332.89</v>
      </c>
      <c r="F15" s="38">
        <f>IF(A15&lt;umumiy_malumot!$B$81,'График аннуитет.'!F14,'График аннуитет.'!D15+'График аннуитет.'!E15)</f>
        <v>3100000</v>
      </c>
      <c r="G15" s="19">
        <f t="shared" si="2"/>
        <v>31</v>
      </c>
      <c r="H15" s="19">
        <f t="shared" si="0"/>
        <v>365</v>
      </c>
    </row>
    <row r="16" spans="1:8">
      <c r="A16" s="22">
        <v>9</v>
      </c>
      <c r="B16" s="37">
        <f>'График дифференц'!B16</f>
        <v>46351</v>
      </c>
      <c r="C16" s="38">
        <f t="shared" si="1"/>
        <v>44702921.239999995</v>
      </c>
      <c r="D16" s="38">
        <f>IF(A16&lt;umumiy_malumot!$B$81,'График аннуитет.'!F16-'График аннуитет.'!E16,'График аннуитет.'!C16)</f>
        <v>1079182.8999999999</v>
      </c>
      <c r="E16" s="38">
        <f>ROUND(C16*umumiy_malumot!$B$84/H16,2)*'График аннуитет.'!G16</f>
        <v>2020817.1</v>
      </c>
      <c r="F16" s="38">
        <f>IF(A16&lt;umumiy_malumot!$B$81,'График аннуитет.'!F15,'График аннуитет.'!D16+'График аннуитет.'!E16)</f>
        <v>3100000</v>
      </c>
      <c r="G16" s="19">
        <f t="shared" si="2"/>
        <v>30</v>
      </c>
      <c r="H16" s="19">
        <f t="shared" si="0"/>
        <v>365</v>
      </c>
    </row>
    <row r="17" spans="1:8">
      <c r="A17" s="22">
        <v>10</v>
      </c>
      <c r="B17" s="37">
        <f>'График дифференц'!B17</f>
        <v>46381</v>
      </c>
      <c r="C17" s="38">
        <f t="shared" si="1"/>
        <v>43623738.339999996</v>
      </c>
      <c r="D17" s="38">
        <f>IF(A17&lt;umumiy_malumot!$B$81,'График аннуитет.'!F17-'График аннуитет.'!E17,'График аннуитет.'!C17)</f>
        <v>1127968.0000000002</v>
      </c>
      <c r="E17" s="38">
        <f>ROUND(C17*umumiy_malumot!$B$84/H17,2)*'График аннуитет.'!G17</f>
        <v>1972031.9999999998</v>
      </c>
      <c r="F17" s="38">
        <f>IF(A17&lt;umumiy_malumot!$B$81,'График аннуитет.'!F16,'График аннуитет.'!D17+'График аннуитет.'!E17)</f>
        <v>3100000</v>
      </c>
      <c r="G17" s="19">
        <f t="shared" si="2"/>
        <v>30</v>
      </c>
      <c r="H17" s="19">
        <f t="shared" si="0"/>
        <v>365</v>
      </c>
    </row>
    <row r="18" spans="1:8">
      <c r="A18" s="22">
        <v>11</v>
      </c>
      <c r="B18" s="37">
        <f>'График дифференц'!B18</f>
        <v>46412</v>
      </c>
      <c r="C18" s="38">
        <f t="shared" si="1"/>
        <v>42495770.339999996</v>
      </c>
      <c r="D18" s="38">
        <f>IF(A18&lt;umumiy_malumot!$B$81,'График аннуитет.'!F18-'График аннуитет.'!E18,'График аннуитет.'!C18)</f>
        <v>1114923.68</v>
      </c>
      <c r="E18" s="38">
        <f>ROUND(C18*umumiy_malumot!$B$84/H18,2)*'График аннуитет.'!G18</f>
        <v>1985076.32</v>
      </c>
      <c r="F18" s="38">
        <f>IF(A18&lt;umumiy_malumot!$B$81,'График аннуитет.'!F17,'График аннуитет.'!D18+'График аннуитет.'!E18)</f>
        <v>3100000</v>
      </c>
      <c r="G18" s="19">
        <f t="shared" si="2"/>
        <v>31</v>
      </c>
      <c r="H18" s="19">
        <f t="shared" si="0"/>
        <v>365</v>
      </c>
    </row>
    <row r="19" spans="1:8">
      <c r="A19" s="22">
        <v>12</v>
      </c>
      <c r="B19" s="37">
        <f>'График дифференц'!B19</f>
        <v>46443</v>
      </c>
      <c r="C19" s="38">
        <f t="shared" si="1"/>
        <v>41380846.659999996</v>
      </c>
      <c r="D19" s="38">
        <f>IF(A19&lt;umumiy_malumot!$B$81,'График аннуитет.'!F19-'График аннуитет.'!E19,'График аннуитет.'!C19)</f>
        <v>1167004.3</v>
      </c>
      <c r="E19" s="38">
        <f>ROUND(C19*umumiy_malumot!$B$84/H19,2)*'График аннуитет.'!G19</f>
        <v>1932995.7</v>
      </c>
      <c r="F19" s="38">
        <f>IF(A19&lt;umumiy_malumot!$B$81,'График аннуитет.'!F18,'График аннуитет.'!D19+'График аннуитет.'!E19)</f>
        <v>3100000</v>
      </c>
      <c r="G19" s="19">
        <f>B19-B18</f>
        <v>31</v>
      </c>
      <c r="H19" s="19">
        <f t="shared" si="0"/>
        <v>365</v>
      </c>
    </row>
    <row r="20" spans="1:8">
      <c r="A20" s="22">
        <v>13</v>
      </c>
      <c r="B20" s="37">
        <f>'График дифференц'!B20</f>
        <v>46471</v>
      </c>
      <c r="C20" s="38">
        <f t="shared" si="1"/>
        <v>40213842.359999999</v>
      </c>
      <c r="D20" s="38">
        <f>IF(A20&lt;umumiy_malumot!$B$81,'График аннуитет.'!F20-'График аннуитет.'!E20,'График аннуитет.'!C20)</f>
        <v>1403306.4000000001</v>
      </c>
      <c r="E20" s="38">
        <f>ROUND(C20*umumiy_malumot!$B$84/H20,2)*'График аннуитет.'!G20</f>
        <v>1696693.5999999999</v>
      </c>
      <c r="F20" s="38">
        <f>IF(A20&lt;umumiy_malumot!$B$81,'График аннуитет.'!F19,'График аннуитет.'!D20+'График аннуитет.'!E20)</f>
        <v>3100000</v>
      </c>
      <c r="G20" s="19">
        <f t="shared" si="2"/>
        <v>28</v>
      </c>
      <c r="H20" s="19">
        <f t="shared" si="0"/>
        <v>365</v>
      </c>
    </row>
    <row r="21" spans="1:8">
      <c r="A21" s="22">
        <v>14</v>
      </c>
      <c r="B21" s="37">
        <f>'График дифференц'!B21</f>
        <v>46503</v>
      </c>
      <c r="C21" s="38">
        <f t="shared" si="1"/>
        <v>38810535.960000001</v>
      </c>
      <c r="D21" s="38">
        <f>IF(A21&lt;umumiy_malumot!$B$81,'График аннуитет.'!F21-'График аннуитет.'!E21,'График аннуитет.'!C21)</f>
        <v>1228587.8400000001</v>
      </c>
      <c r="E21" s="38">
        <f>ROUND(C21*umumiy_malumot!$B$84/H21,2)*'График аннуитет.'!G21</f>
        <v>1871412.16</v>
      </c>
      <c r="F21" s="38">
        <f>IF(A21&lt;umumiy_malumot!$B$81,'График аннуитет.'!F20,'График аннуитет.'!D21+'График аннуитет.'!E21)</f>
        <v>3100000</v>
      </c>
      <c r="G21" s="19">
        <f t="shared" si="2"/>
        <v>32</v>
      </c>
      <c r="H21" s="19">
        <f t="shared" si="0"/>
        <v>365</v>
      </c>
    </row>
    <row r="22" spans="1:8">
      <c r="A22" s="22">
        <v>15</v>
      </c>
      <c r="B22" s="37">
        <f>'График дифференц'!B22</f>
        <v>46532</v>
      </c>
      <c r="C22" s="38">
        <f t="shared" si="1"/>
        <v>37581948.119999997</v>
      </c>
      <c r="D22" s="38">
        <f>IF(A22&lt;umumiy_malumot!$B$81,'График аннуитет.'!F22-'График аннуитет.'!E22,'График аннуитет.'!C22)</f>
        <v>1457720.43</v>
      </c>
      <c r="E22" s="38">
        <f>ROUND(C22*umumiy_malumot!$B$84/H22,2)*'График аннуитет.'!G22</f>
        <v>1642279.57</v>
      </c>
      <c r="F22" s="38">
        <f>IF(A22&lt;umumiy_malumot!$B$81,'График аннуитет.'!F21,'График аннуитет.'!D22+'График аннуитет.'!E22)</f>
        <v>3100000</v>
      </c>
      <c r="G22" s="19">
        <f t="shared" si="2"/>
        <v>29</v>
      </c>
      <c r="H22" s="19">
        <f t="shared" si="0"/>
        <v>365</v>
      </c>
    </row>
    <row r="23" spans="1:8">
      <c r="A23" s="22">
        <v>16</v>
      </c>
      <c r="B23" s="37">
        <f>'График дифференц'!B23</f>
        <v>46563</v>
      </c>
      <c r="C23" s="38">
        <f t="shared" si="1"/>
        <v>36124227.689999998</v>
      </c>
      <c r="D23" s="38">
        <f>IF(A23&lt;umumiy_malumot!$B$81,'График аннуитет.'!F23-'График аннуитет.'!E23,'График аннуитет.'!C23)</f>
        <v>1412553.1300000001</v>
      </c>
      <c r="E23" s="38">
        <f>ROUND(C23*umumiy_malumot!$B$84/H23,2)*'График аннуитет.'!G23</f>
        <v>1687446.8699999999</v>
      </c>
      <c r="F23" s="38">
        <f>IF(A23&lt;umumiy_malumot!$B$81,'График аннуитет.'!F22,'График аннуитет.'!D23+'График аннуитет.'!E23)</f>
        <v>3100000</v>
      </c>
      <c r="G23" s="19">
        <f t="shared" si="2"/>
        <v>31</v>
      </c>
      <c r="H23" s="19">
        <f t="shared" si="0"/>
        <v>365</v>
      </c>
    </row>
    <row r="24" spans="1:8">
      <c r="A24" s="22">
        <v>17</v>
      </c>
      <c r="B24" s="37">
        <f>'График дифференц'!B24</f>
        <v>46594</v>
      </c>
      <c r="C24" s="38">
        <f t="shared" si="1"/>
        <v>34711674.559999995</v>
      </c>
      <c r="D24" s="38">
        <f>IF(A24&lt;umumiy_malumot!$B$81,'График аннуитет.'!F24-'График аннуитет.'!E24,'График аннуитет.'!C24)</f>
        <v>1478536.94</v>
      </c>
      <c r="E24" s="38">
        <f>ROUND(C24*umumiy_malumot!$B$84/H24,2)*'График аннуитет.'!G24</f>
        <v>1621463.06</v>
      </c>
      <c r="F24" s="38">
        <f>IF(A24&lt;umumiy_malumot!$B$81,'График аннуитет.'!F23,'График аннуитет.'!D24+'График аннуитет.'!E24)</f>
        <v>3100000</v>
      </c>
      <c r="G24" s="19">
        <f t="shared" si="2"/>
        <v>31</v>
      </c>
      <c r="H24" s="19">
        <f t="shared" si="0"/>
        <v>365</v>
      </c>
    </row>
    <row r="25" spans="1:8">
      <c r="A25" s="22">
        <v>18</v>
      </c>
      <c r="B25" s="37">
        <f>'График дифференц'!B25</f>
        <v>46624</v>
      </c>
      <c r="C25" s="38">
        <f t="shared" si="1"/>
        <v>33233137.619999994</v>
      </c>
      <c r="D25" s="38">
        <f>IF(A25&lt;umumiy_malumot!$B$81,'График аннуитет.'!F25-'График аннуитет.'!E25,'График аннуитет.'!C25)</f>
        <v>1597680.0999999999</v>
      </c>
      <c r="E25" s="38">
        <f>ROUND(C25*umumiy_malumot!$B$84/H25,2)*'График аннуитет.'!G25</f>
        <v>1502319.9000000001</v>
      </c>
      <c r="F25" s="38">
        <f>IF(A25&lt;umumiy_malumot!$B$81,'График аннуитет.'!F24,'График аннуитет.'!D25+'График аннуитет.'!E25)</f>
        <v>3100000</v>
      </c>
      <c r="G25" s="19">
        <f>B25-B24</f>
        <v>30</v>
      </c>
      <c r="H25" s="19">
        <f t="shared" si="0"/>
        <v>365</v>
      </c>
    </row>
    <row r="26" spans="1:8">
      <c r="A26" s="22">
        <v>19</v>
      </c>
      <c r="B26" s="37">
        <f>'График дифференц'!B26</f>
        <v>46657</v>
      </c>
      <c r="C26" s="38">
        <f t="shared" si="1"/>
        <v>31635457.519999992</v>
      </c>
      <c r="D26" s="38">
        <f>IF(A26&lt;umumiy_malumot!$B$81,'График аннуитет.'!F26-'График аннуитет.'!E26,'График аннуитет.'!C26)</f>
        <v>1526894.2899999998</v>
      </c>
      <c r="E26" s="38">
        <f>ROUND(C26*umumiy_malumot!$B$84/H26,2)*'График аннуитет.'!G26</f>
        <v>1573105.7100000002</v>
      </c>
      <c r="F26" s="38">
        <f>IF(A26&lt;umumiy_malumot!$B$81,'График аннуитет.'!F25,'График аннуитет.'!D26+'График аннуитет.'!E26)</f>
        <v>3100000</v>
      </c>
      <c r="G26" s="19">
        <f t="shared" ref="G26:G31" si="3">B26-B25</f>
        <v>33</v>
      </c>
      <c r="H26" s="19">
        <f t="shared" si="0"/>
        <v>365</v>
      </c>
    </row>
    <row r="27" spans="1:8">
      <c r="A27" s="22">
        <v>20</v>
      </c>
      <c r="B27" s="37">
        <f>'График дифференц'!B27</f>
        <v>46685</v>
      </c>
      <c r="C27" s="38">
        <f t="shared" si="1"/>
        <v>30108563.229999993</v>
      </c>
      <c r="D27" s="38">
        <f>IF(A27&lt;umumiy_malumot!$B$81,'График аннуитет.'!F27-'График аннуитет.'!E27,'График аннуитет.'!C27)</f>
        <v>1829666.04</v>
      </c>
      <c r="E27" s="38">
        <f>ROUND(C27*umumiy_malumot!$B$84/H27,2)*'График аннуитет.'!G27</f>
        <v>1270333.96</v>
      </c>
      <c r="F27" s="38">
        <f>IF(A27&lt;umumiy_malumot!$B$81,'График аннуитет.'!F26,'График аннуитет.'!D27+'График аннуитет.'!E27)</f>
        <v>3100000</v>
      </c>
      <c r="G27" s="19">
        <f t="shared" si="3"/>
        <v>28</v>
      </c>
      <c r="H27" s="19">
        <f t="shared" si="0"/>
        <v>365</v>
      </c>
    </row>
    <row r="28" spans="1:8">
      <c r="A28" s="22">
        <v>21</v>
      </c>
      <c r="B28" s="37">
        <f>'График дифференц'!B28</f>
        <v>46716</v>
      </c>
      <c r="C28" s="38">
        <f t="shared" si="1"/>
        <v>28278897.189999994</v>
      </c>
      <c r="D28" s="38">
        <f>IF(A28&lt;umumiy_malumot!$B$81,'График аннуитет.'!F28-'График аннуитет.'!E28,'График аннуитет.'!C28)</f>
        <v>1779026.76</v>
      </c>
      <c r="E28" s="38">
        <f>ROUND(C28*umumiy_malumot!$B$84/H28,2)*'График аннуитет.'!G28</f>
        <v>1320973.24</v>
      </c>
      <c r="F28" s="38">
        <f>IF(A28&lt;umumiy_malumot!$B$81,'График аннуитет.'!F27,'График аннуитет.'!D28+'График аннуитет.'!E28)</f>
        <v>3100000</v>
      </c>
      <c r="G28" s="19">
        <f t="shared" si="3"/>
        <v>31</v>
      </c>
      <c r="H28" s="19">
        <f t="shared" si="0"/>
        <v>365</v>
      </c>
    </row>
    <row r="29" spans="1:8">
      <c r="A29" s="22">
        <v>22</v>
      </c>
      <c r="B29" s="37">
        <f>'График дифференц'!B29</f>
        <v>46748</v>
      </c>
      <c r="C29" s="38">
        <f t="shared" si="1"/>
        <v>26499870.429999992</v>
      </c>
      <c r="D29" s="38">
        <f>IF(A29&lt;umumiy_malumot!$B$81,'График аннуитет.'!F29-'График аннуитет.'!E29,'График аннуитет.'!C29)</f>
        <v>1822198.08</v>
      </c>
      <c r="E29" s="38">
        <f>ROUND(C29*umumiy_malumot!$B$84/H29,2)*'График аннуитет.'!G29</f>
        <v>1277801.92</v>
      </c>
      <c r="F29" s="38">
        <f>IF(A29&lt;umumiy_malumot!$B$81,'График аннуитет.'!F28,'График аннуитет.'!D29+'График аннуитет.'!E29)</f>
        <v>3100000</v>
      </c>
      <c r="G29" s="19">
        <f t="shared" si="3"/>
        <v>32</v>
      </c>
      <c r="H29" s="19">
        <f t="shared" si="0"/>
        <v>365</v>
      </c>
    </row>
    <row r="30" spans="1:8">
      <c r="A30" s="22">
        <v>23</v>
      </c>
      <c r="B30" s="37">
        <f>'График дифференц'!B30</f>
        <v>46777</v>
      </c>
      <c r="C30" s="38">
        <f t="shared" si="1"/>
        <v>24677672.349999994</v>
      </c>
      <c r="D30" s="38">
        <f>IF(A30&lt;umumiy_malumot!$B$81,'График аннуитет.'!F30-'График аннуитет.'!E30,'График аннуитет.'!C30)</f>
        <v>2024566.03</v>
      </c>
      <c r="E30" s="38">
        <f>ROUND(C30*umumiy_malumot!$B$84/H30,2)*'График аннуитет.'!G30</f>
        <v>1075433.97</v>
      </c>
      <c r="F30" s="38">
        <f>IF(A30&lt;umumiy_malumot!$B$81,'График аннуитет.'!F29,'График аннуитет.'!D30+'График аннуитет.'!E30)</f>
        <v>3100000</v>
      </c>
      <c r="G30" s="19">
        <f t="shared" si="3"/>
        <v>29</v>
      </c>
      <c r="H30" s="19">
        <f t="shared" si="0"/>
        <v>366</v>
      </c>
    </row>
    <row r="31" spans="1:8">
      <c r="A31" s="22">
        <v>24</v>
      </c>
      <c r="B31" s="37">
        <f>'График дифференц'!B31</f>
        <v>46808</v>
      </c>
      <c r="C31" s="38">
        <f t="shared" si="1"/>
        <v>22653106.319999993</v>
      </c>
      <c r="D31" s="38">
        <f>IF(A31&lt;umumiy_malumot!$B$81,'График аннуитет.'!F31-'График аннуитет.'!E31,'График аннуитет.'!C31)</f>
        <v>2044711.95</v>
      </c>
      <c r="E31" s="38">
        <f>ROUND(C31*umumiy_malumot!$B$84/H31,2)*'График аннуитет.'!G31</f>
        <v>1055288.05</v>
      </c>
      <c r="F31" s="38">
        <f>IF(A31&lt;umumiy_malumot!$B$81,'График аннуитет.'!F30,'График аннуитет.'!D31+'График аннуитет.'!E31)</f>
        <v>3100000</v>
      </c>
      <c r="G31" s="19">
        <f t="shared" si="3"/>
        <v>31</v>
      </c>
      <c r="H31" s="19">
        <f t="shared" si="0"/>
        <v>366</v>
      </c>
    </row>
    <row r="32" spans="1:8">
      <c r="A32" s="22">
        <f>1+A31</f>
        <v>25</v>
      </c>
      <c r="B32" s="37">
        <f>'График дифференц'!B32</f>
        <v>46839</v>
      </c>
      <c r="C32" s="38">
        <f t="shared" si="1"/>
        <v>20608394.369999994</v>
      </c>
      <c r="D32" s="38">
        <f>IF(A32&lt;umumiy_malumot!$B$81,'График аннуитет.'!F32-'График аннуитет.'!E32,'График аннуитет.'!C32)</f>
        <v>2139964.1</v>
      </c>
      <c r="E32" s="38">
        <f>ROUND(C32*umumiy_malumot!$B$84/H32,2)*'График аннуитет.'!G32</f>
        <v>960035.9</v>
      </c>
      <c r="F32" s="38">
        <f>IF(A32&lt;umumiy_malumot!$B$81,'График аннуитет.'!F31,'График аннуитет.'!D32+'График аннуитет.'!E32)</f>
        <v>3100000</v>
      </c>
      <c r="G32" s="19">
        <f t="shared" ref="G32:G43" si="4">B32-B31</f>
        <v>31</v>
      </c>
      <c r="H32" s="19">
        <f t="shared" ref="H32:H43" si="5">DATE(YEAR(B32),12,31)-DATE(YEAR(B32),1,1)+1</f>
        <v>366</v>
      </c>
    </row>
    <row r="33" spans="1:8">
      <c r="A33" s="22">
        <f t="shared" ref="A33:A55" si="6">1+A32</f>
        <v>26</v>
      </c>
      <c r="B33" s="37">
        <f>'График дифференц'!B33</f>
        <v>46868</v>
      </c>
      <c r="C33" s="38">
        <f t="shared" si="1"/>
        <v>18468430.269999992</v>
      </c>
      <c r="D33" s="38">
        <f>IF(A33&lt;umumiy_malumot!$B$81,'График аннуитет.'!F33-'График аннуитет.'!E33,'График аннуитет.'!C33)</f>
        <v>2295159.81</v>
      </c>
      <c r="E33" s="38">
        <f>ROUND(C33*umumiy_malumot!$B$84/H33,2)*'График аннуитет.'!G33</f>
        <v>804840.19000000006</v>
      </c>
      <c r="F33" s="38">
        <f>IF(A33&lt;umumiy_malumot!$B$81,'График аннуитет.'!F32,'График аннуитет.'!D33+'График аннуитет.'!E33)</f>
        <v>3100000</v>
      </c>
      <c r="G33" s="19">
        <f t="shared" si="4"/>
        <v>29</v>
      </c>
      <c r="H33" s="19">
        <f t="shared" si="5"/>
        <v>366</v>
      </c>
    </row>
    <row r="34" spans="1:8">
      <c r="A34" s="22">
        <f t="shared" si="6"/>
        <v>27</v>
      </c>
      <c r="B34" s="37">
        <f>'График дифференц'!B34</f>
        <v>46898</v>
      </c>
      <c r="C34" s="38">
        <f t="shared" si="1"/>
        <v>16173270.459999992</v>
      </c>
      <c r="D34" s="38">
        <f>IF(A34&lt;umumiy_malumot!$B$81,'График аннуитет.'!F34-'График аннуитет.'!E34,'График аннуитет.'!C34)</f>
        <v>2370877.2999999998</v>
      </c>
      <c r="E34" s="38">
        <f>ROUND(C34*umumiy_malumot!$B$84/H34,2)*'График аннуитет.'!G34</f>
        <v>729122.7</v>
      </c>
      <c r="F34" s="38">
        <f>IF(A34&lt;umumiy_malumot!$B$81,'График аннуитет.'!F33,'График аннуитет.'!D34+'График аннуитет.'!E34)</f>
        <v>3100000</v>
      </c>
      <c r="G34" s="19">
        <f t="shared" si="4"/>
        <v>30</v>
      </c>
      <c r="H34" s="19">
        <f t="shared" si="5"/>
        <v>366</v>
      </c>
    </row>
    <row r="35" spans="1:8">
      <c r="A35" s="22">
        <f t="shared" si="6"/>
        <v>28</v>
      </c>
      <c r="B35" s="37">
        <f>'График дифференц'!B35</f>
        <v>46930</v>
      </c>
      <c r="C35" s="38">
        <f t="shared" si="1"/>
        <v>13802393.159999993</v>
      </c>
      <c r="D35" s="38">
        <f>IF(A35&lt;umumiy_malumot!$B$81,'График аннуитет.'!F35-'График аннуитет.'!E35,'График аннуитет.'!C35)</f>
        <v>2436278.4</v>
      </c>
      <c r="E35" s="38">
        <f>ROUND(C35*umumiy_malumot!$B$84/H35,2)*'График аннуитет.'!G35</f>
        <v>663721.6</v>
      </c>
      <c r="F35" s="38">
        <f>IF(A35&lt;umumiy_malumot!$B$81,'График аннуитет.'!F34,'График аннуитет.'!D35+'График аннуитет.'!E35)</f>
        <v>3100000</v>
      </c>
      <c r="G35" s="19">
        <f t="shared" si="4"/>
        <v>32</v>
      </c>
      <c r="H35" s="19">
        <f t="shared" si="5"/>
        <v>366</v>
      </c>
    </row>
    <row r="36" spans="1:8">
      <c r="A36" s="22">
        <f t="shared" si="6"/>
        <v>29</v>
      </c>
      <c r="B36" s="37">
        <f>'График дифференц'!B36</f>
        <v>46959</v>
      </c>
      <c r="C36" s="38">
        <f t="shared" si="1"/>
        <v>11366114.759999992</v>
      </c>
      <c r="D36" s="38">
        <f>IF(A36&lt;umumiy_malumot!$B$81,'График аннуитет.'!F36-'График аннуитет.'!E36,'График аннуитет.'!C36)</f>
        <v>2604673.33</v>
      </c>
      <c r="E36" s="38">
        <f>ROUND(C36*umumiy_malumot!$B$84/H36,2)*'График аннуитет.'!G36</f>
        <v>495326.67</v>
      </c>
      <c r="F36" s="38">
        <f>IF(A36&lt;umumiy_malumot!$B$81,'График аннуитет.'!F35,'График аннуитет.'!D36+'График аннуитет.'!E36)</f>
        <v>3100000</v>
      </c>
      <c r="G36" s="19">
        <f t="shared" si="4"/>
        <v>29</v>
      </c>
      <c r="H36" s="19">
        <f t="shared" si="5"/>
        <v>366</v>
      </c>
    </row>
    <row r="37" spans="1:8">
      <c r="A37" s="22">
        <f t="shared" si="6"/>
        <v>30</v>
      </c>
      <c r="B37" s="37">
        <f>'График дифференц'!B37</f>
        <v>46967</v>
      </c>
      <c r="C37" s="38">
        <f t="shared" si="1"/>
        <v>8761441.4299999923</v>
      </c>
      <c r="D37" s="38">
        <f>IF(A37&lt;umumiy_malumot!$B$81,'График аннуитет.'!F37-'График аннуитет.'!E37,'График аннуитет.'!C37)</f>
        <v>8761441.4299999923</v>
      </c>
      <c r="E37" s="38">
        <f>ROUND(C37*umumiy_malumot!$B$84/H37,2)*'График аннуитет.'!G37</f>
        <v>105328.8</v>
      </c>
      <c r="F37" s="38">
        <f>IF(A37&lt;umumiy_malumot!$B$81,'График аннуитет.'!F36,'График аннуитет.'!D37+'График аннуитет.'!E37)</f>
        <v>8866770.229999993</v>
      </c>
      <c r="G37" s="19">
        <f t="shared" si="4"/>
        <v>8</v>
      </c>
      <c r="H37" s="19">
        <f t="shared" si="5"/>
        <v>366</v>
      </c>
    </row>
    <row r="38" spans="1:8">
      <c r="A38" s="22">
        <f t="shared" si="6"/>
        <v>31</v>
      </c>
      <c r="B38" s="37" t="b">
        <f>'График дифференц'!B38</f>
        <v>0</v>
      </c>
      <c r="C38" s="38">
        <f t="shared" si="1"/>
        <v>0</v>
      </c>
      <c r="D38" s="38">
        <f>IF(A38&lt;umumiy_malumot!$B$81,'График аннуитет.'!F38-'График аннуитет.'!E38,'График аннуитет.'!C38)</f>
        <v>0</v>
      </c>
      <c r="E38" s="38">
        <f>ROUND(C38*umumiy_malumot!$B$84/H38,2)*'График аннуитет.'!G38</f>
        <v>0</v>
      </c>
      <c r="F38" s="38">
        <f>IF(A38&lt;umumiy_malumot!$B$81,'График аннуитет.'!F37,'График аннуитет.'!D38+'График аннуитет.'!E38)</f>
        <v>0</v>
      </c>
      <c r="G38" s="19">
        <f t="shared" si="4"/>
        <v>-46967</v>
      </c>
      <c r="H38" s="19">
        <f t="shared" si="5"/>
        <v>366</v>
      </c>
    </row>
    <row r="39" spans="1:8">
      <c r="A39" s="22">
        <f t="shared" si="6"/>
        <v>32</v>
      </c>
      <c r="B39" s="37" t="b">
        <f>'График дифференц'!B39</f>
        <v>0</v>
      </c>
      <c r="C39" s="38">
        <f t="shared" si="1"/>
        <v>0</v>
      </c>
      <c r="D39" s="38">
        <f>IF(A39&lt;umumiy_malumot!$B$81,'График аннуитет.'!F39-'График аннуитет.'!E39,'График аннуитет.'!C39)</f>
        <v>0</v>
      </c>
      <c r="E39" s="38">
        <f>ROUND(C39*umumiy_malumot!$B$84/H39,2)*'График аннуитет.'!G39</f>
        <v>0</v>
      </c>
      <c r="F39" s="38">
        <f>IF(A39&lt;umumiy_malumot!$B$81,'График аннуитет.'!F38,'График аннуитет.'!D39+'График аннуитет.'!E39)</f>
        <v>0</v>
      </c>
      <c r="G39" s="19">
        <f t="shared" si="4"/>
        <v>0</v>
      </c>
      <c r="H39" s="19">
        <f t="shared" si="5"/>
        <v>366</v>
      </c>
    </row>
    <row r="40" spans="1:8">
      <c r="A40" s="22">
        <f t="shared" si="6"/>
        <v>33</v>
      </c>
      <c r="B40" s="37" t="b">
        <f>'График дифференц'!B40</f>
        <v>0</v>
      </c>
      <c r="C40" s="38">
        <f t="shared" si="1"/>
        <v>0</v>
      </c>
      <c r="D40" s="38">
        <f>IF(A40&lt;umumiy_malumot!$B$81,'График аннуитет.'!F40-'График аннуитет.'!E40,'График аннуитет.'!C40)</f>
        <v>0</v>
      </c>
      <c r="E40" s="38">
        <f>ROUND(C40*umumiy_malumot!$B$84/H40,2)*'График аннуитет.'!G40</f>
        <v>0</v>
      </c>
      <c r="F40" s="38">
        <f>IF(A40&lt;umumiy_malumot!$B$81,'График аннуитет.'!F39,'График аннуитет.'!D40+'График аннуитет.'!E40)</f>
        <v>0</v>
      </c>
      <c r="G40" s="19">
        <f t="shared" si="4"/>
        <v>0</v>
      </c>
      <c r="H40" s="19">
        <f t="shared" si="5"/>
        <v>366</v>
      </c>
    </row>
    <row r="41" spans="1:8">
      <c r="A41" s="22">
        <f t="shared" si="6"/>
        <v>34</v>
      </c>
      <c r="B41" s="37" t="b">
        <f>'График дифференц'!B41</f>
        <v>0</v>
      </c>
      <c r="C41" s="38">
        <f t="shared" si="1"/>
        <v>0</v>
      </c>
      <c r="D41" s="38">
        <f>IF(A41&lt;umumiy_malumot!$B$81,'График аннуитет.'!F41-'График аннуитет.'!E41,'График аннуитет.'!C41)</f>
        <v>0</v>
      </c>
      <c r="E41" s="38">
        <f>ROUND(C41*umumiy_malumot!$B$84/H41,2)*'График аннуитет.'!G41</f>
        <v>0</v>
      </c>
      <c r="F41" s="38">
        <f>IF(A41&lt;umumiy_malumot!$B$81,'График аннуитет.'!F40,'График аннуитет.'!D41+'График аннуитет.'!E41)</f>
        <v>0</v>
      </c>
      <c r="G41" s="19">
        <f t="shared" si="4"/>
        <v>0</v>
      </c>
      <c r="H41" s="19">
        <f t="shared" si="5"/>
        <v>366</v>
      </c>
    </row>
    <row r="42" spans="1:8">
      <c r="A42" s="22">
        <f t="shared" si="6"/>
        <v>35</v>
      </c>
      <c r="B42" s="37" t="b">
        <f>'График дифференц'!B42</f>
        <v>0</v>
      </c>
      <c r="C42" s="38">
        <f t="shared" si="1"/>
        <v>0</v>
      </c>
      <c r="D42" s="38">
        <f>IF(A42&lt;umumiy_malumot!$B$81,'График аннуитет.'!F42-'График аннуитет.'!E42,'График аннуитет.'!C42)</f>
        <v>0</v>
      </c>
      <c r="E42" s="38">
        <f>ROUND(C42*umumiy_malumot!$B$84/H42,2)*'График аннуитет.'!G42</f>
        <v>0</v>
      </c>
      <c r="F42" s="38">
        <f>IF(A42&lt;umumiy_malumot!$B$81,'График аннуитет.'!F41,'График аннуитет.'!D42+'График аннуитет.'!E42)</f>
        <v>0</v>
      </c>
      <c r="G42" s="19">
        <f t="shared" si="4"/>
        <v>0</v>
      </c>
      <c r="H42" s="19">
        <f t="shared" si="5"/>
        <v>366</v>
      </c>
    </row>
    <row r="43" spans="1:8">
      <c r="A43" s="22">
        <f t="shared" si="6"/>
        <v>36</v>
      </c>
      <c r="B43" s="37" t="b">
        <f>'График дифференц'!B43</f>
        <v>0</v>
      </c>
      <c r="C43" s="38">
        <f t="shared" si="1"/>
        <v>0</v>
      </c>
      <c r="D43" s="38">
        <f>IF(A43&lt;umumiy_malumot!$B$81,'График аннуитет.'!F43-'График аннуитет.'!E43,'График аннуитет.'!C43)</f>
        <v>0</v>
      </c>
      <c r="E43" s="38">
        <f>ROUND(C43*umumiy_malumot!$B$84/H43,2)*'График аннуитет.'!G43</f>
        <v>0</v>
      </c>
      <c r="F43" s="38">
        <f>IF(A43&lt;umumiy_malumot!$B$81,'График аннуитет.'!F42,'График аннуитет.'!D43+'График аннуитет.'!E43)</f>
        <v>0</v>
      </c>
      <c r="G43" s="19">
        <f t="shared" si="4"/>
        <v>0</v>
      </c>
      <c r="H43" s="19">
        <f t="shared" si="5"/>
        <v>366</v>
      </c>
    </row>
    <row r="44" spans="1:8">
      <c r="A44" s="22">
        <f t="shared" si="6"/>
        <v>37</v>
      </c>
      <c r="B44" s="37" t="b">
        <f>'График дифференц'!B44</f>
        <v>0</v>
      </c>
      <c r="C44" s="52"/>
      <c r="F44" s="52"/>
    </row>
    <row r="45" spans="1:8">
      <c r="A45" s="22">
        <f t="shared" si="6"/>
        <v>38</v>
      </c>
      <c r="B45" s="37" t="b">
        <f>'График дифференц'!B45</f>
        <v>0</v>
      </c>
      <c r="C45" s="52"/>
      <c r="D45" s="52"/>
      <c r="E45" s="52"/>
      <c r="F45" s="52"/>
    </row>
    <row r="46" spans="1:8">
      <c r="A46" s="22">
        <f t="shared" si="6"/>
        <v>39</v>
      </c>
      <c r="B46" s="37" t="b">
        <f>'График дифференц'!B46</f>
        <v>0</v>
      </c>
      <c r="C46" s="52"/>
      <c r="D46" s="52"/>
      <c r="E46" s="52"/>
      <c r="F46" s="52"/>
    </row>
    <row r="47" spans="1:8">
      <c r="A47" s="22">
        <f t="shared" si="6"/>
        <v>40</v>
      </c>
      <c r="B47" s="37" t="b">
        <f>'График дифференц'!B47</f>
        <v>0</v>
      </c>
      <c r="C47" s="52"/>
      <c r="D47" s="52"/>
      <c r="E47" s="52"/>
      <c r="F47" s="52"/>
    </row>
    <row r="48" spans="1:8">
      <c r="A48" s="22">
        <f t="shared" si="6"/>
        <v>41</v>
      </c>
      <c r="B48" s="37" t="b">
        <f>'График дифференц'!B48</f>
        <v>0</v>
      </c>
      <c r="C48" s="52"/>
      <c r="D48" s="52"/>
      <c r="E48" s="52"/>
      <c r="F48" s="52"/>
    </row>
    <row r="49" spans="1:6">
      <c r="A49" s="22">
        <f t="shared" si="6"/>
        <v>42</v>
      </c>
      <c r="B49" s="37" t="b">
        <f>'График дифференц'!B49</f>
        <v>0</v>
      </c>
      <c r="C49" s="52"/>
      <c r="D49" s="52"/>
      <c r="E49" s="52"/>
      <c r="F49" s="52"/>
    </row>
    <row r="50" spans="1:6">
      <c r="A50" s="22">
        <f t="shared" si="6"/>
        <v>43</v>
      </c>
      <c r="B50" s="37" t="b">
        <f>'График дифференц'!B50</f>
        <v>0</v>
      </c>
      <c r="C50" s="52"/>
      <c r="D50" s="52"/>
      <c r="E50" s="52"/>
      <c r="F50" s="52"/>
    </row>
    <row r="51" spans="1:6">
      <c r="A51" s="22">
        <f t="shared" si="6"/>
        <v>44</v>
      </c>
      <c r="B51" s="37" t="b">
        <f>'График дифференц'!B51</f>
        <v>0</v>
      </c>
      <c r="C51" s="52"/>
      <c r="D51" s="52"/>
      <c r="E51" s="52"/>
      <c r="F51" s="52"/>
    </row>
    <row r="52" spans="1:6">
      <c r="A52" s="22">
        <f t="shared" si="6"/>
        <v>45</v>
      </c>
      <c r="B52" s="37" t="b">
        <f>'График дифференц'!B52</f>
        <v>0</v>
      </c>
      <c r="C52" s="52"/>
      <c r="D52" s="52"/>
      <c r="E52" s="52"/>
      <c r="F52" s="52"/>
    </row>
    <row r="53" spans="1:6">
      <c r="A53" s="22">
        <f t="shared" si="6"/>
        <v>46</v>
      </c>
      <c r="B53" s="37" t="b">
        <f>'График дифференц'!B53</f>
        <v>0</v>
      </c>
      <c r="C53" s="52"/>
      <c r="D53" s="52"/>
      <c r="E53" s="52"/>
      <c r="F53" s="52"/>
    </row>
    <row r="54" spans="1:6">
      <c r="A54" s="22">
        <f t="shared" si="6"/>
        <v>47</v>
      </c>
      <c r="B54" s="37" t="b">
        <f>'График дифференц'!B54</f>
        <v>0</v>
      </c>
      <c r="C54" s="52"/>
      <c r="D54" s="52"/>
      <c r="E54" s="52"/>
      <c r="F54" s="52"/>
    </row>
    <row r="55" spans="1:6">
      <c r="A55" s="22">
        <f t="shared" si="6"/>
        <v>48</v>
      </c>
      <c r="B55" s="37" t="b">
        <f>'График дифференц'!B55</f>
        <v>0</v>
      </c>
      <c r="C55" s="52"/>
      <c r="D55" s="52"/>
      <c r="E55" s="52"/>
      <c r="F55" s="52"/>
    </row>
    <row r="56" spans="1:6">
      <c r="A56" s="41"/>
      <c r="B56" s="232" t="s">
        <v>7</v>
      </c>
      <c r="C56" s="233"/>
      <c r="D56" s="52">
        <f>SUM(D8:D55)</f>
        <v>49999999.999999985</v>
      </c>
      <c r="E56" s="52">
        <f>SUM(E8:E55)</f>
        <v>48766770.230000004</v>
      </c>
      <c r="F56" s="233">
        <f>SUM(F8:F55)</f>
        <v>98766770.229999989</v>
      </c>
    </row>
    <row r="57" spans="1:6" ht="9" customHeight="1">
      <c r="B57" s="39"/>
      <c r="C57" s="40"/>
      <c r="D57" s="40"/>
      <c r="E57" s="40"/>
      <c r="F57" s="40"/>
    </row>
    <row r="58" spans="1:6" ht="47.25" customHeight="1">
      <c r="A58" s="240" t="s">
        <v>17</v>
      </c>
      <c r="B58" s="240"/>
      <c r="C58" s="240"/>
      <c r="D58" s="240"/>
      <c r="E58" s="240"/>
      <c r="F58" s="240"/>
    </row>
    <row r="59" spans="1:6" ht="7.5" customHeight="1"/>
    <row r="60" spans="1:6">
      <c r="A60" s="275" t="e">
        <f>#REF!</f>
        <v>#REF!</v>
      </c>
      <c r="B60" s="275"/>
      <c r="C60" s="275"/>
      <c r="D60" s="275" t="e">
        <f>#REF!</f>
        <v>#REF!</v>
      </c>
      <c r="E60" s="275"/>
      <c r="F60" s="275"/>
    </row>
    <row r="61" spans="1:6" ht="11.25" customHeight="1">
      <c r="A61" s="276"/>
      <c r="B61" s="276"/>
      <c r="C61" s="276"/>
      <c r="D61" s="276"/>
      <c r="E61" s="276"/>
      <c r="F61" s="276"/>
    </row>
    <row r="62" spans="1:6" ht="30" customHeight="1">
      <c r="A62" s="274" t="e">
        <f>#REF!</f>
        <v>#REF!</v>
      </c>
      <c r="B62" s="274"/>
      <c r="C62" s="274"/>
      <c r="D62" s="274" t="e">
        <f>#REF!</f>
        <v>#REF!</v>
      </c>
      <c r="E62" s="274"/>
      <c r="F62" s="274"/>
    </row>
    <row r="63" spans="1:6" ht="32.25" customHeight="1">
      <c r="A63" s="270" t="e">
        <f>#REF!</f>
        <v>#REF!</v>
      </c>
      <c r="B63" s="270"/>
      <c r="C63" s="270"/>
      <c r="D63" s="270" t="e">
        <f>#REF!</f>
        <v>#REF!</v>
      </c>
      <c r="E63" s="270"/>
      <c r="F63" s="270"/>
    </row>
    <row r="64" spans="1:6">
      <c r="A64" s="270" t="e">
        <f>#REF!</f>
        <v>#REF!</v>
      </c>
      <c r="B64" s="270"/>
      <c r="C64" s="270"/>
      <c r="D64" s="270" t="str">
        <f>"паспорт серии "&amp;umumiy_malumot!B16&amp;", "&amp;umumiy_malumot!B20&amp;""</f>
        <v>паспорт серии AD 9088376, IIV 26296 tomonidan 21.10.2024 yilda berilgan</v>
      </c>
      <c r="E64" s="270"/>
      <c r="F64" s="270"/>
    </row>
    <row r="65" spans="1:6" ht="32.25" customHeight="1">
      <c r="A65" s="270" t="e">
        <f>#REF!</f>
        <v>#REF!</v>
      </c>
      <c r="B65" s="270"/>
      <c r="C65" s="270"/>
      <c r="D65" s="270"/>
      <c r="E65" s="270"/>
      <c r="F65" s="270"/>
    </row>
    <row r="66" spans="1:6">
      <c r="A66" s="270" t="e">
        <f>#REF!</f>
        <v>#REF!</v>
      </c>
      <c r="B66" s="270"/>
      <c r="C66" s="270"/>
      <c r="D66" s="270" t="e">
        <f>#REF!</f>
        <v>#REF!</v>
      </c>
      <c r="E66" s="270"/>
      <c r="F66" s="270"/>
    </row>
    <row r="67" spans="1:6">
      <c r="A67" s="270" t="e">
        <f>#REF!</f>
        <v>#REF!</v>
      </c>
      <c r="B67" s="270"/>
      <c r="C67" s="270"/>
      <c r="D67" s="270" t="e">
        <f>#REF!</f>
        <v>#REF!</v>
      </c>
      <c r="E67" s="270"/>
      <c r="F67" s="270"/>
    </row>
    <row r="68" spans="1:6">
      <c r="A68" s="270" t="e">
        <f>#REF!</f>
        <v>#REF!</v>
      </c>
      <c r="B68" s="270"/>
      <c r="C68" s="270"/>
      <c r="D68" s="270" t="e">
        <f>#REF!</f>
        <v>#REF!</v>
      </c>
      <c r="E68" s="270"/>
      <c r="F68" s="270"/>
    </row>
    <row r="69" spans="1:6" ht="8.25" customHeight="1">
      <c r="A69" s="270"/>
      <c r="B69" s="270"/>
      <c r="C69" s="270"/>
      <c r="D69" s="270"/>
      <c r="E69" s="270"/>
      <c r="F69" s="270"/>
    </row>
    <row r="70" spans="1:6">
      <c r="A70" s="274" t="e">
        <f>#REF!</f>
        <v>#REF!</v>
      </c>
      <c r="B70" s="274"/>
      <c r="C70" s="274"/>
      <c r="D70" s="274" t="e">
        <f>#REF!</f>
        <v>#REF!</v>
      </c>
      <c r="E70" s="274"/>
      <c r="F70" s="274"/>
    </row>
    <row r="71" spans="1:6" ht="7.5" customHeight="1">
      <c r="A71" s="274"/>
      <c r="B71" s="274"/>
      <c r="C71" s="274"/>
      <c r="D71" s="274"/>
      <c r="E71" s="274"/>
      <c r="F71" s="274"/>
    </row>
    <row r="72" spans="1:6">
      <c r="A72" s="274" t="e">
        <f>#REF!</f>
        <v>#REF!</v>
      </c>
      <c r="B72" s="274"/>
      <c r="C72" s="274"/>
      <c r="D72" s="274" t="e">
        <f>#REF!</f>
        <v>#REF!</v>
      </c>
      <c r="E72" s="274"/>
      <c r="F72" s="274"/>
    </row>
    <row r="73" spans="1:6" ht="8.25" customHeight="1">
      <c r="A73" s="270"/>
      <c r="B73" s="270"/>
      <c r="C73" s="270"/>
      <c r="D73" s="270"/>
      <c r="E73" s="270"/>
      <c r="F73" s="270"/>
    </row>
    <row r="74" spans="1:6" ht="30" customHeight="1">
      <c r="A74" s="271"/>
      <c r="B74" s="271"/>
      <c r="C74" s="271"/>
      <c r="D74" s="272"/>
      <c r="E74" s="272"/>
      <c r="F74" s="272"/>
    </row>
    <row r="75" spans="1:6">
      <c r="A75" s="273"/>
      <c r="B75" s="273"/>
      <c r="C75" s="273"/>
      <c r="D75" s="273"/>
      <c r="E75" s="273"/>
      <c r="F75" s="273"/>
    </row>
    <row r="76" spans="1:6">
      <c r="A76" s="269"/>
      <c r="B76" s="269"/>
      <c r="C76" s="269"/>
      <c r="D76" s="269"/>
      <c r="E76" s="269"/>
      <c r="F76" s="269"/>
    </row>
  </sheetData>
  <mergeCells count="40">
    <mergeCell ref="E1:F1"/>
    <mergeCell ref="A4:F4"/>
    <mergeCell ref="A6:A7"/>
    <mergeCell ref="B6:B7"/>
    <mergeCell ref="C6:C7"/>
    <mergeCell ref="D6:F6"/>
    <mergeCell ref="A66:C66"/>
    <mergeCell ref="D66:F66"/>
    <mergeCell ref="A58:F58"/>
    <mergeCell ref="A60:C60"/>
    <mergeCell ref="D60:F60"/>
    <mergeCell ref="A61:C61"/>
    <mergeCell ref="D61:F61"/>
    <mergeCell ref="A62:C62"/>
    <mergeCell ref="D62:F62"/>
    <mergeCell ref="A63:C63"/>
    <mergeCell ref="D63:F63"/>
    <mergeCell ref="A64:C64"/>
    <mergeCell ref="D64:F65"/>
    <mergeCell ref="A65:C65"/>
    <mergeCell ref="A67:C67"/>
    <mergeCell ref="D67:F67"/>
    <mergeCell ref="A68:C68"/>
    <mergeCell ref="D68:F68"/>
    <mergeCell ref="A69:C69"/>
    <mergeCell ref="D69:F69"/>
    <mergeCell ref="A70:C70"/>
    <mergeCell ref="D70:F70"/>
    <mergeCell ref="A71:C71"/>
    <mergeCell ref="D71:F71"/>
    <mergeCell ref="A72:C72"/>
    <mergeCell ref="D72:F72"/>
    <mergeCell ref="A76:C76"/>
    <mergeCell ref="D76:F76"/>
    <mergeCell ref="A73:C73"/>
    <mergeCell ref="D73:F73"/>
    <mergeCell ref="A74:C74"/>
    <mergeCell ref="D74:F74"/>
    <mergeCell ref="A75:C75"/>
    <mergeCell ref="D75:F75"/>
  </mergeCells>
  <conditionalFormatting sqref="B8:B55">
    <cfRule type="cellIs" dxfId="5" priority="5" operator="lessThan">
      <formula>22105</formula>
    </cfRule>
  </conditionalFormatting>
  <conditionalFormatting sqref="C8:C43">
    <cfRule type="cellIs" dxfId="4" priority="3" operator="lessThan">
      <formula>1</formula>
    </cfRule>
  </conditionalFormatting>
  <conditionalFormatting sqref="C8:F43">
    <cfRule type="cellIs" dxfId="3" priority="1" operator="lessThan">
      <formula>0.1</formula>
    </cfRule>
  </conditionalFormatting>
  <pageMargins left="0.7" right="0.7" top="0.75" bottom="0.75" header="0.3" footer="0.3"/>
  <pageSetup paperSize="9" scale="92" orientation="portrait"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Лист5">
    <tabColor rgb="FF00B050"/>
  </sheetPr>
  <dimension ref="A1:F43"/>
  <sheetViews>
    <sheetView view="pageBreakPreview" zoomScaleSheetLayoutView="100" workbookViewId="0">
      <selection activeCell="A9" sqref="A9:F9"/>
    </sheetView>
  </sheetViews>
  <sheetFormatPr defaultColWidth="9.140625" defaultRowHeight="12.75"/>
  <cols>
    <col min="1" max="6" width="14.28515625" style="28" customWidth="1"/>
    <col min="7" max="16384" width="9.140625" style="28"/>
  </cols>
  <sheetData>
    <row r="1" spans="1:6">
      <c r="A1" s="283" t="s">
        <v>210</v>
      </c>
      <c r="B1" s="283"/>
      <c r="C1" s="283"/>
      <c r="D1" s="283"/>
      <c r="E1" s="283"/>
      <c r="F1" s="283"/>
    </row>
    <row r="2" spans="1:6" ht="35.25" customHeight="1">
      <c r="A2" s="284" t="s">
        <v>322</v>
      </c>
      <c r="B2" s="284"/>
      <c r="C2" s="284"/>
      <c r="D2" s="284"/>
      <c r="E2" s="284"/>
      <c r="F2" s="284"/>
    </row>
    <row r="3" spans="1:6">
      <c r="A3" s="283" t="s">
        <v>211</v>
      </c>
      <c r="B3" s="283"/>
      <c r="C3" s="283"/>
      <c r="D3" s="283"/>
      <c r="E3" s="283"/>
      <c r="F3" s="283"/>
    </row>
    <row r="4" spans="1:6">
      <c r="A4" s="282" t="str">
        <f>xulosa!A4:E4</f>
        <v>Mijozning to'liq ismi sharifi: QODIROVA NAFISA YO‘LDOSHEVNA</v>
      </c>
      <c r="B4" s="282"/>
      <c r="C4" s="282"/>
      <c r="D4" s="282"/>
      <c r="E4" s="282"/>
      <c r="F4" s="282"/>
    </row>
    <row r="5" spans="1:6">
      <c r="A5" s="282" t="str">
        <f>xulosa!A5:E5</f>
        <v>Tug'ilgan sanasi: 16.07.1982 yil</v>
      </c>
      <c r="B5" s="282"/>
      <c r="C5" s="282"/>
      <c r="D5" s="282"/>
      <c r="E5" s="282"/>
      <c r="F5" s="282"/>
    </row>
    <row r="6" spans="1:6" ht="32.25" customHeight="1">
      <c r="A6" s="282" t="str">
        <f>xulosa!A6:E6</f>
        <v>Pasport seriyasi AD 9088376 IIV 26296 tomonidan 21.10.2024 yilda berilgan, amal qilish muddati - 20.10.2034 y.</v>
      </c>
      <c r="B6" s="282"/>
      <c r="C6" s="282"/>
      <c r="D6" s="282"/>
      <c r="E6" s="282"/>
      <c r="F6" s="282"/>
    </row>
    <row r="7" spans="1:6">
      <c r="A7" s="282" t="str">
        <f>"Fuqaroligi: "&amp;umumiy_malumot!B32&amp;""</f>
        <v>Fuqaroligi: O’zbekiston Respublikasi</v>
      </c>
      <c r="B7" s="282"/>
      <c r="C7" s="282"/>
      <c r="D7" s="282"/>
      <c r="E7" s="282"/>
      <c r="F7" s="282"/>
    </row>
    <row r="8" spans="1:6" ht="45" customHeight="1">
      <c r="A8" s="282" t="str">
        <f>xulosa!A7:E7</f>
        <v>Ro‘yxatdan o‘tgan manzili: TOSHKENT SHAHAR YANGIXAYOT TUMANI 2 STROITELNAYA TERRITORIYA 17 UY 74 XONADON, yashash manzili: TOSHKENT SHAHAR BEKTEMIR TUMANI ROXAT KO'CHASI 12 UY 32 XONADON, mo'ljal: 2 BEKAT</v>
      </c>
      <c r="B8" s="282"/>
      <c r="C8" s="282"/>
      <c r="D8" s="282"/>
      <c r="E8" s="282"/>
      <c r="F8" s="282"/>
    </row>
    <row r="9" spans="1:6" ht="19.5" customHeight="1">
      <c r="A9" s="282" t="str">
        <f>IF(umumiy_malumot!B23="mos keladi"," ",mijoz_anketasi!A10:F10)</f>
        <v>Haqiqatdan yashash joy manzili: TOSHKENT SHAHAR BEKTEMIR TUMANI ROXAT KO'CHASI 12 UY 32 XONADON</v>
      </c>
      <c r="B9" s="282"/>
      <c r="C9" s="282"/>
      <c r="D9" s="282"/>
      <c r="E9" s="282"/>
      <c r="F9" s="282"/>
    </row>
    <row r="10" spans="1:6" ht="31.5" hidden="1" customHeight="1">
      <c r="A10" s="282" t="str">
        <f>"Haqiqatdan yashash joy manzili: "&amp;umumiy_malumot!B28&amp;""</f>
        <v>Haqiqatdan yashash joy manzili: TOSHKENT SHAHAR BEKTEMIR TUMANI ROXAT KO'CHASI 12 UY 32 XONADON</v>
      </c>
      <c r="B10" s="282"/>
      <c r="C10" s="282"/>
      <c r="D10" s="282"/>
      <c r="E10" s="282"/>
      <c r="F10" s="282"/>
    </row>
    <row r="11" spans="1:6" ht="16.5" hidden="1" customHeight="1">
      <c r="A11" s="282" t="str">
        <f>xulosa!A8:E8</f>
        <v>Ish joyi:  lavozimi Yakka tartibdagi tadbirkorda Yakka tartibdagi tadbirkor</v>
      </c>
      <c r="B11" s="282"/>
      <c r="C11" s="282"/>
      <c r="D11" s="282"/>
      <c r="E11" s="282"/>
      <c r="F11" s="282"/>
    </row>
    <row r="12" spans="1:6">
      <c r="A12" s="283" t="s">
        <v>212</v>
      </c>
      <c r="B12" s="283"/>
      <c r="C12" s="283"/>
      <c r="D12" s="283"/>
      <c r="E12" s="283"/>
      <c r="F12" s="283"/>
    </row>
    <row r="13" spans="1:6">
      <c r="A13" s="282" t="str">
        <f>"Uy telefoni raqami: "&amp;umumiy_malumot!B40&amp;""</f>
        <v>Uy telefoni raqami: 90 809 80 43 MIJOZ</v>
      </c>
      <c r="B13" s="282"/>
      <c r="C13" s="282"/>
      <c r="D13" s="282"/>
      <c r="E13" s="282"/>
      <c r="F13" s="282"/>
    </row>
    <row r="14" spans="1:6">
      <c r="A14" s="282" t="str">
        <f>"Uyali telefon raqami: "&amp;umumiy_malumot!B41&amp;""</f>
        <v>Uyali telefon raqami: 90 120 24 08 ERI</v>
      </c>
      <c r="B14" s="282"/>
      <c r="C14" s="282"/>
      <c r="D14" s="282"/>
      <c r="E14" s="282"/>
      <c r="F14" s="282"/>
    </row>
    <row r="15" spans="1:6">
      <c r="A15" s="282" t="str">
        <f>"Uyali telefon raqami: "&amp;umumiy_malumot!B42&amp;""</f>
        <v>Uyali telefon raqami: 90 979 80 43 O'G'LI</v>
      </c>
      <c r="B15" s="282"/>
      <c r="C15" s="282"/>
      <c r="D15" s="282"/>
      <c r="E15" s="282"/>
      <c r="F15" s="282"/>
    </row>
    <row r="16" spans="1:6" hidden="1">
      <c r="A16" s="282" t="str">
        <f>"Uyali telefon raqami: "&amp;umumiy_malumot!B42&amp;""</f>
        <v>Uyali telefon raqami: 90 979 80 43 O'G'LI</v>
      </c>
      <c r="B16" s="282"/>
      <c r="C16" s="282"/>
      <c r="D16" s="282"/>
      <c r="E16" s="282"/>
      <c r="F16" s="282"/>
    </row>
    <row r="17" spans="1:6">
      <c r="A17" s="282" t="str">
        <f>"Ish telefoni raqami: "&amp;umumiy_malumot!B43&amp;""</f>
        <v xml:space="preserve">Ish telefoni raqami: </v>
      </c>
      <c r="B17" s="282"/>
      <c r="C17" s="282"/>
      <c r="D17" s="282"/>
      <c r="E17" s="282"/>
      <c r="F17" s="282"/>
    </row>
    <row r="18" spans="1:6">
      <c r="A18" s="283" t="s">
        <v>213</v>
      </c>
      <c r="B18" s="283"/>
      <c r="C18" s="283"/>
      <c r="D18" s="283"/>
      <c r="E18" s="283"/>
      <c r="F18" s="283"/>
    </row>
    <row r="19" spans="1:6">
      <c r="A19" s="282" t="str">
        <f>"Muassasa nomlanishi:"&amp;umumiy_malumot!B58&amp;""</f>
        <v>Muassasa nomlanishi:Yakka tartibdagi tadbirkor</v>
      </c>
      <c r="B19" s="282"/>
      <c r="C19" s="282"/>
      <c r="D19" s="282"/>
      <c r="E19" s="282"/>
      <c r="F19" s="282"/>
    </row>
    <row r="20" spans="1:6" ht="17.25" customHeight="1">
      <c r="A20" s="282" t="str">
        <f>"Ro‘yxatdan o‘tish manzili:"&amp;umumiy_malumot!B46&amp;""</f>
        <v>Ro‘yxatdan o‘tish manzili:</v>
      </c>
      <c r="B20" s="282"/>
      <c r="C20" s="282"/>
      <c r="D20" s="282"/>
      <c r="E20" s="282"/>
      <c r="F20" s="282"/>
    </row>
    <row r="21" spans="1:6" ht="27" customHeight="1">
      <c r="A21" s="282" t="str">
        <f>"Lavozimi: "&amp;umumiy_malumot!B59&amp;""</f>
        <v>Lavozimi: Yakka tartibdagi tadbirkor</v>
      </c>
      <c r="B21" s="282"/>
      <c r="C21" s="282"/>
      <c r="D21" s="282"/>
      <c r="E21" s="282"/>
      <c r="F21" s="282"/>
    </row>
    <row r="22" spans="1:6">
      <c r="A22" s="283" t="s">
        <v>214</v>
      </c>
      <c r="B22" s="285"/>
      <c r="C22" s="285"/>
      <c r="D22" s="285"/>
      <c r="E22" s="285"/>
      <c r="F22" s="285"/>
    </row>
    <row r="23" spans="1:6" s="30" customFormat="1" ht="25.5">
      <c r="A23" s="29" t="s">
        <v>215</v>
      </c>
      <c r="B23" s="29" t="s">
        <v>216</v>
      </c>
      <c r="C23" s="29" t="s">
        <v>217</v>
      </c>
      <c r="D23" s="29" t="s">
        <v>218</v>
      </c>
      <c r="E23" s="29" t="s">
        <v>219</v>
      </c>
      <c r="F23" s="29" t="s">
        <v>220</v>
      </c>
    </row>
    <row r="24" spans="1:6" ht="51">
      <c r="A24" s="31" t="s">
        <v>221</v>
      </c>
      <c r="B24" s="32">
        <f>umumiy_malumot!B60</f>
        <v>10000000</v>
      </c>
      <c r="C24" s="32">
        <v>0</v>
      </c>
      <c r="D24" s="32">
        <v>0</v>
      </c>
      <c r="E24" s="31" t="s">
        <v>224</v>
      </c>
      <c r="F24" s="32">
        <v>700000</v>
      </c>
    </row>
    <row r="25" spans="1:6" ht="25.5">
      <c r="A25" s="31" t="s">
        <v>222</v>
      </c>
      <c r="B25" s="32">
        <v>0</v>
      </c>
      <c r="C25" s="32">
        <v>0</v>
      </c>
      <c r="D25" s="32">
        <v>0</v>
      </c>
      <c r="E25" s="31" t="s">
        <v>225</v>
      </c>
      <c r="F25" s="32">
        <v>500000</v>
      </c>
    </row>
    <row r="26" spans="1:6" ht="28.5" customHeight="1">
      <c r="A26" s="31" t="s">
        <v>223</v>
      </c>
      <c r="B26" s="32">
        <f>umumiy_malumot!B61</f>
        <v>4000000</v>
      </c>
      <c r="C26" s="32">
        <v>0</v>
      </c>
      <c r="D26" s="32">
        <v>0</v>
      </c>
      <c r="E26" s="31" t="s">
        <v>226</v>
      </c>
      <c r="F26" s="32">
        <v>600000</v>
      </c>
    </row>
    <row r="27" spans="1:6" s="35" customFormat="1">
      <c r="A27" s="33" t="s">
        <v>202</v>
      </c>
      <c r="B27" s="34">
        <f>B24+B25+B26</f>
        <v>14000000</v>
      </c>
      <c r="C27" s="34">
        <f>SUM(C24:C26)</f>
        <v>0</v>
      </c>
      <c r="D27" s="34">
        <f>SUM(D24:D26)</f>
        <v>0</v>
      </c>
      <c r="E27" s="33"/>
      <c r="F27" s="34">
        <f>SUM(F24:F26)</f>
        <v>1800000</v>
      </c>
    </row>
    <row r="28" spans="1:6" ht="31.5" customHeight="1">
      <c r="A28" s="282" t="str">
        <f>"Men, "&amp;umumiy_malumot!B5&amp;", ushbu anketada ko‘rsatilgan barcha ma'lumotlar anketa to'ldirilgan sanada  to'g'ri va aniq ekanligini tasdiqlayman."</f>
        <v>Men, QODIROVA NAFISA YO‘LDOSHEVNA, ushbu anketada ko‘rsatilgan barcha ma'lumotlar anketa to'ldirilgan sanada  to'g'ri va aniq ekanligini tasdiqlayman.</v>
      </c>
      <c r="B28" s="282"/>
      <c r="C28" s="282"/>
      <c r="D28" s="282"/>
      <c r="E28" s="282"/>
      <c r="F28" s="282"/>
    </row>
    <row r="29" spans="1:6">
      <c r="A29" s="282" t="str">
        <f>"Men,  "&amp;umumiy_malumot!B5&amp;", quyidagilarni tan olaman va roziman::"</f>
        <v>Men,  QODIROVA NAFISA YO‘LDOSHEVNA, quyidagilarni tan olaman va roziman::</v>
      </c>
      <c r="B29" s="282"/>
      <c r="C29" s="282"/>
      <c r="D29" s="282"/>
      <c r="E29" s="282"/>
      <c r="F29" s="282"/>
    </row>
    <row r="30" spans="1:6" ht="45.75" customHeight="1">
      <c r="A30" s="282" t="str">
        <f>"1.  Ushbu anketada ko‘rsatilgan har qanday ma’lumot  "&amp;umumiy_malumot!B147&amp;", uning xodimlari va huquqiy vorislari tomonidan istalgan manbaa va ma’lumotlardan foydalangan holda istalgan vaqtda tekshirilishi va qayta tekshirilishi mumkin."</f>
        <v>1.  Ushbu anketada ko‘rsatilgan har qanday ma’lumot  «PULLOL BUSINESS MIKROMOLIYA TASHKILOTI»  MChJ, uning xodimlari va huquqiy vorislari tomonidan istalgan manbaa va ma’lumotlardan foydalangan holda istalgan vaqtda tekshirilishi va qayta tekshirilishi mumkin.</v>
      </c>
      <c r="B30" s="282"/>
      <c r="C30" s="282"/>
      <c r="D30" s="282"/>
      <c r="E30" s="282"/>
      <c r="F30" s="282"/>
    </row>
    <row r="31" spans="1:6" ht="35.25" customHeight="1">
      <c r="A31" s="282" t="str">
        <f>"2. Mazkur anketaning "&amp;umumiy_malumot!B147&amp;" tomonidan qabul qilinishi menga "&amp;umumiy_malumot!B65&amp;" berish majburiyatini yuklamaydi."</f>
        <v>2. Mazkur anketaning «PULLOL BUSINESS MIKROMOLIYA TASHKILOTI»  MChJ tomonidan qabul qilinishi menga Mikroqarz berish majburiyatini yuklamaydi.</v>
      </c>
      <c r="B31" s="282"/>
      <c r="C31" s="282"/>
      <c r="D31" s="282"/>
      <c r="E31" s="282"/>
      <c r="F31" s="282"/>
    </row>
    <row r="32" spans="1:6" ht="71.25" customHeight="1">
      <c r="A32" s="282" t="s">
        <v>227</v>
      </c>
      <c r="B32" s="282"/>
      <c r="C32" s="282"/>
      <c r="D32" s="282"/>
      <c r="E32" s="282"/>
      <c r="F32" s="282"/>
    </row>
    <row r="33" spans="1:6">
      <c r="A33" s="282"/>
      <c r="B33" s="282"/>
      <c r="C33" s="282"/>
      <c r="D33" s="282"/>
      <c r="E33" s="282"/>
      <c r="F33" s="282"/>
    </row>
    <row r="34" spans="1:6" ht="12.75" customHeight="1">
      <c r="A34" s="285" t="s">
        <v>228</v>
      </c>
      <c r="B34" s="285"/>
      <c r="C34" s="285"/>
      <c r="D34" s="175" t="s">
        <v>151</v>
      </c>
      <c r="E34" s="285" t="s">
        <v>229</v>
      </c>
      <c r="F34" s="285"/>
    </row>
    <row r="35" spans="1:6" ht="25.5" customHeight="1">
      <c r="A35" s="286"/>
      <c r="B35" s="286"/>
      <c r="C35" s="286"/>
      <c r="D35" s="287" t="str">
        <f>umumiy_malumot!B2</f>
        <v>02.02.2026</v>
      </c>
      <c r="E35" s="286"/>
      <c r="F35" s="286"/>
    </row>
    <row r="36" spans="1:6" ht="25.5" customHeight="1">
      <c r="A36" s="286"/>
      <c r="B36" s="286"/>
      <c r="C36" s="286"/>
      <c r="D36" s="287"/>
      <c r="E36" s="286"/>
      <c r="F36" s="286"/>
    </row>
    <row r="37" spans="1:6">
      <c r="A37" s="282"/>
      <c r="B37" s="282"/>
      <c r="C37" s="282"/>
      <c r="D37" s="282"/>
      <c r="E37" s="282"/>
      <c r="F37" s="282"/>
    </row>
    <row r="38" spans="1:6">
      <c r="A38" s="282"/>
      <c r="B38" s="282"/>
      <c r="C38" s="282"/>
      <c r="D38" s="282"/>
      <c r="E38" s="282"/>
      <c r="F38" s="282"/>
    </row>
    <row r="39" spans="1:6">
      <c r="A39" s="282"/>
      <c r="B39" s="282"/>
      <c r="C39" s="282"/>
      <c r="D39" s="282"/>
      <c r="E39" s="282"/>
      <c r="F39" s="282"/>
    </row>
    <row r="40" spans="1:6">
      <c r="A40" s="282"/>
      <c r="B40" s="282"/>
      <c r="C40" s="282"/>
      <c r="D40" s="282"/>
      <c r="E40" s="282"/>
      <c r="F40" s="282"/>
    </row>
    <row r="41" spans="1:6">
      <c r="A41" s="282"/>
      <c r="B41" s="282"/>
      <c r="C41" s="282"/>
      <c r="D41" s="282"/>
      <c r="E41" s="282"/>
      <c r="F41" s="282"/>
    </row>
    <row r="42" spans="1:6">
      <c r="A42" s="282"/>
      <c r="B42" s="282"/>
      <c r="C42" s="282"/>
      <c r="D42" s="282"/>
      <c r="E42" s="282"/>
      <c r="F42" s="282"/>
    </row>
    <row r="43" spans="1:6">
      <c r="A43" s="282"/>
      <c r="B43" s="282"/>
      <c r="C43" s="282"/>
      <c r="D43" s="282"/>
      <c r="E43" s="282"/>
      <c r="F43" s="282"/>
    </row>
  </sheetData>
  <mergeCells count="41">
    <mergeCell ref="A41:F41"/>
    <mergeCell ref="A42:F42"/>
    <mergeCell ref="A43:F43"/>
    <mergeCell ref="A34:C34"/>
    <mergeCell ref="E34:F34"/>
    <mergeCell ref="A35:C35"/>
    <mergeCell ref="D35:D36"/>
    <mergeCell ref="E35:F36"/>
    <mergeCell ref="A36:C36"/>
    <mergeCell ref="A37:F37"/>
    <mergeCell ref="A38:F38"/>
    <mergeCell ref="A39:F39"/>
    <mergeCell ref="A40:F40"/>
    <mergeCell ref="A29:F29"/>
    <mergeCell ref="A30:F30"/>
    <mergeCell ref="A31:F31"/>
    <mergeCell ref="A32:F32"/>
    <mergeCell ref="A33:F33"/>
    <mergeCell ref="A21:F21"/>
    <mergeCell ref="A7:F7"/>
    <mergeCell ref="A28:F28"/>
    <mergeCell ref="A16:F16"/>
    <mergeCell ref="A17:F17"/>
    <mergeCell ref="A22:F22"/>
    <mergeCell ref="A9:F9"/>
    <mergeCell ref="A10:F10"/>
    <mergeCell ref="A18:F18"/>
    <mergeCell ref="A19:F19"/>
    <mergeCell ref="A20:F20"/>
    <mergeCell ref="A8:F8"/>
    <mergeCell ref="A11:F11"/>
    <mergeCell ref="A12:F12"/>
    <mergeCell ref="A13:F13"/>
    <mergeCell ref="A14:F14"/>
    <mergeCell ref="A15:F15"/>
    <mergeCell ref="A1:F1"/>
    <mergeCell ref="A2:F2"/>
    <mergeCell ref="A3:F3"/>
    <mergeCell ref="A4:F4"/>
    <mergeCell ref="A5:F5"/>
    <mergeCell ref="A6:F6"/>
  </mergeCells>
  <pageMargins left="0.70866141732283472" right="0.70866141732283472" top="0.74803149606299213" bottom="0.74803149606299213" header="0.31496062992125984" footer="0.31496062992125984"/>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Лист21">
    <tabColor rgb="FF00B050"/>
  </sheetPr>
  <dimension ref="A2:H33"/>
  <sheetViews>
    <sheetView view="pageBreakPreview" zoomScaleNormal="100" zoomScaleSheetLayoutView="100" workbookViewId="0">
      <selection activeCell="D29" sqref="D29"/>
    </sheetView>
  </sheetViews>
  <sheetFormatPr defaultColWidth="9.140625" defaultRowHeight="15.75"/>
  <cols>
    <col min="1" max="2" width="17.42578125" style="144" customWidth="1"/>
    <col min="3" max="3" width="29.85546875" style="144" customWidth="1"/>
    <col min="4" max="4" width="18.140625" style="144" customWidth="1"/>
    <col min="5" max="5" width="6.5703125" style="144" customWidth="1"/>
    <col min="6" max="16384" width="9.140625" style="144"/>
  </cols>
  <sheetData>
    <row r="2" spans="1:5">
      <c r="A2" s="292" t="s">
        <v>230</v>
      </c>
      <c r="B2" s="292"/>
      <c r="C2" s="292"/>
      <c r="D2" s="292"/>
      <c r="E2" s="292"/>
    </row>
    <row r="3" spans="1:5">
      <c r="E3" s="143" t="str">
        <f>umumiy_malumot!B68</f>
        <v>2 fevral 2026 y.</v>
      </c>
    </row>
    <row r="5" spans="1:5" s="145" customFormat="1" ht="27" customHeight="1">
      <c r="A5" s="296" t="s">
        <v>231</v>
      </c>
      <c r="B5" s="297"/>
      <c r="C5" s="293" t="str">
        <f>umumiy_malumot!B8</f>
        <v>QODIROVA NAFISA YO‘LDOSHEVNA</v>
      </c>
      <c r="D5" s="294"/>
      <c r="E5" s="295"/>
    </row>
    <row r="7" spans="1:5" ht="15.75" customHeight="1">
      <c r="A7" s="298" t="s">
        <v>350</v>
      </c>
      <c r="B7" s="299"/>
      <c r="C7" s="300"/>
      <c r="D7" s="146" t="s">
        <v>129</v>
      </c>
      <c r="E7" s="146"/>
    </row>
    <row r="8" spans="1:5">
      <c r="A8" s="301"/>
      <c r="B8" s="302"/>
      <c r="C8" s="303"/>
      <c r="D8" s="146" t="s">
        <v>235</v>
      </c>
      <c r="E8" s="146"/>
    </row>
    <row r="9" spans="1:5" ht="15.75" customHeight="1">
      <c r="A9" s="289" t="s">
        <v>232</v>
      </c>
      <c r="B9" s="289"/>
      <c r="C9" s="289"/>
      <c r="D9" s="146" t="s">
        <v>129</v>
      </c>
      <c r="E9" s="146"/>
    </row>
    <row r="10" spans="1:5">
      <c r="A10" s="289"/>
      <c r="B10" s="289"/>
      <c r="C10" s="289"/>
      <c r="D10" s="146" t="s">
        <v>235</v>
      </c>
      <c r="E10" s="146"/>
    </row>
    <row r="11" spans="1:5" ht="15.75" customHeight="1">
      <c r="A11" s="289" t="s">
        <v>233</v>
      </c>
      <c r="B11" s="289"/>
      <c r="C11" s="289"/>
      <c r="D11" s="146" t="s">
        <v>129</v>
      </c>
      <c r="E11" s="146"/>
    </row>
    <row r="12" spans="1:5">
      <c r="A12" s="289"/>
      <c r="B12" s="289"/>
      <c r="C12" s="289"/>
      <c r="D12" s="146" t="s">
        <v>235</v>
      </c>
      <c r="E12" s="146"/>
    </row>
    <row r="13" spans="1:5" ht="34.5" customHeight="1">
      <c r="A13" s="290" t="s">
        <v>234</v>
      </c>
      <c r="B13" s="290"/>
      <c r="C13" s="290"/>
      <c r="D13" s="290"/>
      <c r="E13" s="290"/>
    </row>
    <row r="14" spans="1:5" ht="16.5" thickBot="1">
      <c r="A14" s="291"/>
      <c r="B14" s="291"/>
      <c r="C14" s="291"/>
      <c r="D14" s="291"/>
      <c r="E14" s="291"/>
    </row>
    <row r="15" spans="1:5" ht="16.5" thickBot="1">
      <c r="A15" s="291"/>
      <c r="B15" s="291"/>
      <c r="C15" s="291"/>
      <c r="D15" s="291"/>
      <c r="E15" s="291"/>
    </row>
    <row r="16" spans="1:5" ht="16.5" thickBot="1">
      <c r="A16" s="291"/>
      <c r="B16" s="291"/>
      <c r="C16" s="291"/>
      <c r="D16" s="291"/>
      <c r="E16" s="291"/>
    </row>
    <row r="18" spans="1:8" ht="18.75" customHeight="1">
      <c r="A18" s="289" t="s">
        <v>236</v>
      </c>
      <c r="B18" s="289"/>
      <c r="C18" s="289"/>
      <c r="D18" s="146" t="s">
        <v>129</v>
      </c>
      <c r="E18" s="146"/>
    </row>
    <row r="19" spans="1:8" ht="18.75" customHeight="1">
      <c r="A19" s="289"/>
      <c r="B19" s="289"/>
      <c r="C19" s="289"/>
      <c r="D19" s="146" t="s">
        <v>235</v>
      </c>
      <c r="E19" s="146"/>
    </row>
    <row r="20" spans="1:8" ht="29.25" customHeight="1">
      <c r="A20" s="289" t="s">
        <v>237</v>
      </c>
      <c r="B20" s="289"/>
      <c r="C20" s="289"/>
      <c r="D20" s="146" t="s">
        <v>129</v>
      </c>
      <c r="E20" s="146"/>
    </row>
    <row r="21" spans="1:8" ht="29.25" customHeight="1">
      <c r="A21" s="289"/>
      <c r="B21" s="289"/>
      <c r="C21" s="289"/>
      <c r="D21" s="146" t="s">
        <v>235</v>
      </c>
      <c r="E21" s="146"/>
    </row>
    <row r="23" spans="1:8" ht="15.75" customHeight="1">
      <c r="A23" s="290" t="s">
        <v>238</v>
      </c>
      <c r="B23" s="290"/>
      <c r="C23" s="290"/>
      <c r="D23" s="290"/>
      <c r="E23" s="290"/>
    </row>
    <row r="24" spans="1:8" ht="16.5" thickBot="1">
      <c r="A24" s="291"/>
      <c r="B24" s="291"/>
      <c r="C24" s="291"/>
      <c r="D24" s="291"/>
      <c r="E24" s="291"/>
    </row>
    <row r="25" spans="1:8" ht="16.5" thickBot="1">
      <c r="A25" s="291"/>
      <c r="B25" s="291"/>
      <c r="C25" s="291"/>
      <c r="D25" s="291"/>
      <c r="E25" s="291"/>
    </row>
    <row r="26" spans="1:8" ht="16.5" thickBot="1">
      <c r="A26" s="291"/>
      <c r="B26" s="291"/>
      <c r="C26" s="291"/>
      <c r="D26" s="291"/>
      <c r="E26" s="291"/>
    </row>
    <row r="28" spans="1:8" ht="78.75" customHeight="1">
      <c r="A28" s="288" t="s">
        <v>239</v>
      </c>
      <c r="B28" s="288"/>
      <c r="C28" s="288"/>
      <c r="D28" s="288"/>
      <c r="E28" s="288"/>
    </row>
    <row r="30" spans="1:8" ht="33" customHeight="1">
      <c r="A30" s="288" t="s">
        <v>240</v>
      </c>
      <c r="B30" s="288"/>
      <c r="C30" s="288"/>
      <c r="D30" s="288"/>
      <c r="E30" s="288"/>
      <c r="F30" s="147"/>
      <c r="G30" s="147"/>
      <c r="H30" s="147"/>
    </row>
    <row r="33" spans="1:5" ht="16.5" thickBot="1">
      <c r="A33" s="148" t="str">
        <f>C5</f>
        <v>QODIROVA NAFISA YO‘LDOSHEVNA</v>
      </c>
      <c r="D33" s="149"/>
      <c r="E33" s="150"/>
    </row>
  </sheetData>
  <mergeCells count="18">
    <mergeCell ref="A2:E2"/>
    <mergeCell ref="C5:E5"/>
    <mergeCell ref="A5:B5"/>
    <mergeCell ref="A7:C8"/>
    <mergeCell ref="A9:C10"/>
    <mergeCell ref="A11:C12"/>
    <mergeCell ref="A13:E13"/>
    <mergeCell ref="A16:E16"/>
    <mergeCell ref="A15:E15"/>
    <mergeCell ref="A14:E14"/>
    <mergeCell ref="A28:E28"/>
    <mergeCell ref="A30:E30"/>
    <mergeCell ref="A18:C19"/>
    <mergeCell ref="A20:C21"/>
    <mergeCell ref="A23:E23"/>
    <mergeCell ref="A24:E24"/>
    <mergeCell ref="A25:E25"/>
    <mergeCell ref="A26:E26"/>
  </mergeCells>
  <printOptions horizontalCentered="1"/>
  <pageMargins left="0.70866141732283472" right="0.70866141732283472" top="0.74803149606299213" bottom="0.74803149606299213" header="0.31496062992125984" footer="0.31496062992125984"/>
  <pageSetup paperSize="9" scale="97"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Лист6">
    <tabColor rgb="FF00B050"/>
  </sheetPr>
  <dimension ref="A1:E77"/>
  <sheetViews>
    <sheetView view="pageBreakPreview" zoomScaleSheetLayoutView="100" workbookViewId="0">
      <selection activeCell="A11" sqref="A11:D11"/>
    </sheetView>
  </sheetViews>
  <sheetFormatPr defaultColWidth="9.140625" defaultRowHeight="15.75"/>
  <cols>
    <col min="1" max="1" width="20.140625" style="10" customWidth="1"/>
    <col min="2" max="2" width="18.7109375" style="10" customWidth="1"/>
    <col min="3" max="3" width="19.7109375" style="10" customWidth="1"/>
    <col min="4" max="4" width="28.7109375" style="10" customWidth="1"/>
    <col min="5" max="16384" width="9.140625" style="10"/>
  </cols>
  <sheetData>
    <row r="1" spans="1:4" ht="47.25" customHeight="1">
      <c r="C1" s="305" t="str">
        <f>""&amp;umumiy_malumot!B147&amp;"ning
"&amp;umumiy_malumot!A150&amp;"i"</f>
        <v>«PULLOL BUSINESS MIKROMOLIYA TASHKILOTI»  MChJning
Direktori</v>
      </c>
      <c r="D1" s="305"/>
    </row>
    <row r="2" spans="1:4">
      <c r="C2" s="17"/>
      <c r="D2" s="18" t="str">
        <f>""&amp;umumiy_malumot!B150&amp;"ga"</f>
        <v>Obidov A. Sh.ga</v>
      </c>
    </row>
    <row r="4" spans="1:4">
      <c r="A4" s="304" t="str">
        <f>""&amp;umumiy_malumot!C64&amp;" olish uchun Ariza"</f>
        <v>Mikrokredit olish uchun Ariza</v>
      </c>
      <c r="B4" s="304"/>
      <c r="C4" s="304"/>
      <c r="D4" s="304"/>
    </row>
    <row r="5" spans="1:4">
      <c r="A5" s="304"/>
      <c r="B5" s="304"/>
      <c r="C5" s="304"/>
      <c r="D5" s="304"/>
    </row>
    <row r="6" spans="1:4" ht="51" customHeight="1">
      <c r="A6" s="306" t="str">
        <f>""&amp;umumiy_malumot!B28&amp;".-da yashovchi O‘zbekiston Respublikasi fuqarosi "&amp;umumiy_malumot!B8&amp;"dan. "</f>
        <v xml:space="preserve">TOSHKENT SHAHAR BEKTEMIR TUMANI ROXAT KO'CHASI 12 UY 32 XONADON.-da yashovchi O‘zbekiston Respublikasi fuqarosi QODIROVA NAFISA YO‘LDOSHEVNAdan. </v>
      </c>
      <c r="B6" s="306"/>
      <c r="C6" s="306"/>
      <c r="D6" s="306"/>
    </row>
    <row r="7" spans="1:4" ht="15.75" customHeight="1">
      <c r="A7" s="306" t="str">
        <f>"Tug'ilgan kuni: "&amp;umumiy_malumot!B15&amp;""</f>
        <v>Tug'ilgan kuni: 16.07.1982 yil</v>
      </c>
      <c r="B7" s="306"/>
      <c r="C7" s="306"/>
      <c r="D7" s="306"/>
    </row>
    <row r="8" spans="1:4" ht="33" customHeight="1">
      <c r="A8" s="306" t="str">
        <f>"Pasport seriyasi: "&amp;umumiy_malumot!B16&amp;" "&amp;umumiy_malumot!B20&amp;""</f>
        <v>Pasport seriyasi: AD 9088376 IIV 26296 tomonidan 21.10.2024 yilda berilgan</v>
      </c>
      <c r="B8" s="306"/>
      <c r="C8" s="306"/>
      <c r="D8" s="306"/>
    </row>
    <row r="9" spans="1:4" ht="16.5" customHeight="1">
      <c r="A9" s="306" t="str">
        <f>"Asosiy ish joyi : "&amp;umumiy_malumot!B58&amp;""</f>
        <v>Asosiy ish joyi : Yakka tartibdagi tadbirkor</v>
      </c>
      <c r="B9" s="306"/>
      <c r="C9" s="306"/>
      <c r="D9" s="306"/>
    </row>
    <row r="10" spans="1:4" ht="33.75" customHeight="1">
      <c r="A10" s="306" t="str">
        <f>"Lavozimi: "&amp;umumiy_malumot!B59&amp;""</f>
        <v>Lavozimi: Yakka tartibdagi tadbirkor</v>
      </c>
      <c r="B10" s="306"/>
      <c r="C10" s="306"/>
      <c r="D10" s="306"/>
    </row>
    <row r="11" spans="1:4">
      <c r="A11" s="306" t="str">
        <f>"O’rtacha oylik daromadi: "&amp;FIXED(mijoz_anketasi!B27,2)&amp;" so'm."</f>
        <v>O’rtacha oylik daromadi: 14 000 000,00 so'm.</v>
      </c>
      <c r="B11" s="306"/>
      <c r="C11" s="306"/>
      <c r="D11" s="306"/>
    </row>
    <row r="12" spans="1:4">
      <c r="A12" s="306" t="str">
        <f>"Menga quyidagi shartlarda "&amp;umumiy_malumot!B65&amp;" berishingizni so’rayman:"</f>
        <v>Menga quyidagi shartlarda Mikroqarz berishingizni so’rayman:</v>
      </c>
      <c r="B12" s="306"/>
      <c r="C12" s="306"/>
      <c r="D12" s="306"/>
    </row>
    <row r="13" spans="1:4">
      <c r="A13" s="306" t="str">
        <f>""&amp;umumiy_malumot!B65&amp;" summasi: "&amp;FIXED(umumiy_malumot!B75,2)&amp;" ("&amp;umumiy_malumot!B76&amp;") so'm."</f>
        <v>Mikroqarz summasi: 50 000 000,00 (Ellik million so'm) so'm.</v>
      </c>
      <c r="B13" s="306"/>
      <c r="C13" s="306"/>
      <c r="D13" s="306"/>
    </row>
    <row r="14" spans="1:4">
      <c r="A14" s="306" t="str">
        <f>""&amp;umumiy_malumot!B65&amp;" muddati: "&amp;umumiy_malumot!B81&amp;" ("&amp;umumiy_malumot!B82&amp;") oy."</f>
        <v>Mikroqarz muddati: 30 (o'ttiz) oy.</v>
      </c>
      <c r="B14" s="306"/>
      <c r="C14" s="306"/>
      <c r="D14" s="306"/>
    </row>
    <row r="15" spans="1:4" ht="17.25" customHeight="1">
      <c r="A15" s="306" t="str">
        <f>""&amp;umumiy_malumot!B65&amp;"dan foydalanganlik uchun foiz stavkasi: yillik  "&amp;umumiy_malumot!B85&amp;"% ("&amp;umumiy_malumot!B86&amp;") foiz"</f>
        <v>Mikroqarzdan foydalanganlik uchun foiz stavkasi: yillik  55% (Ellik besh  ) foiz</v>
      </c>
      <c r="B15" s="306"/>
      <c r="C15" s="306"/>
      <c r="D15" s="306"/>
    </row>
    <row r="16" spans="1:4">
      <c r="A16" s="309" t="str">
        <f>""&amp;umumiy_malumot!B65&amp;" bo'yicha asosiy qarz va foizlarni to'lash:"</f>
        <v>Mikroqarz bo'yicha asosiy qarz va foizlarni to'lash:</v>
      </c>
      <c r="B16" s="309"/>
      <c r="C16" s="309"/>
      <c r="D16" s="309"/>
    </row>
    <row r="17" spans="1:5" ht="20.25" hidden="1" customHeight="1">
      <c r="A17" s="307" t="str">
        <f>" - "&amp;umumiy_malumot!B65&amp;" shartnomasi bo'yicha har oy differensial to'lovlari amalga oshiriladi"</f>
        <v xml:space="preserve"> - Mikroqarz shartnomasi bo'yicha har oy differensial to'lovlari amalga oshiriladi</v>
      </c>
      <c r="B17" s="307"/>
      <c r="C17" s="307"/>
      <c r="D17" s="307"/>
    </row>
    <row r="18" spans="1:5" ht="15.75" hidden="1" customHeight="1">
      <c r="A18" s="307" t="str">
        <f>" - "&amp;umumiy_malumot!B65&amp;" shartnomasi bo'yicha har oy annuitet to'lovlari amalga oshiriladi"</f>
        <v xml:space="preserve"> - Mikroqarz shartnomasi bo'yicha har oy annuitet to'lovlari amalga oshiriladi</v>
      </c>
      <c r="B18" s="307"/>
      <c r="C18" s="307"/>
      <c r="D18" s="307"/>
    </row>
    <row r="19" spans="1:5" ht="33.75" customHeight="1">
      <c r="A19" s="307" t="str">
        <f>IF(umumiy_malumot!B77=umumiy_malumot!C77,kredit_ariza!A17:D17,IF(umumiy_malumot!B77=umumiy_malumot!D77,kredit_ariza!A18:D18))</f>
        <v xml:space="preserve"> - Mikroqarz shartnomasi bo'yicha har oy annuitet to'lovlari amalga oshiriladi</v>
      </c>
      <c r="B19" s="307"/>
      <c r="C19" s="307"/>
      <c r="D19" s="307"/>
    </row>
    <row r="20" spans="1:5" ht="33.75" hidden="1" customHeight="1">
      <c r="A20" s="306" t="str">
        <f>IF(DAY(umumiy_malumot!E67)&lt;15,"   ","  Oxirgi yakuniy to'lov "&amp;umumiy_malumot!B65&amp;" shartnomasi tuzilgan kundan boshlab oxirgi oyning oxirgi kunida amalga oshiriladi")</f>
        <v xml:space="preserve">   </v>
      </c>
      <c r="B20" s="306"/>
      <c r="C20" s="306"/>
      <c r="D20" s="306"/>
    </row>
    <row r="21" spans="1:5">
      <c r="A21" s="306" t="str">
        <f>""&amp;umumiy_malumot!B65&amp;" ta’minoti::"</f>
        <v>Mikroqarz ta’minoti::</v>
      </c>
      <c r="B21" s="306"/>
      <c r="C21" s="306"/>
      <c r="D21" s="306"/>
    </row>
    <row r="22" spans="1:5" ht="61.5" customHeight="1">
      <c r="A22" s="307" t="str">
        <f>IF(umumiy_malumot!B103="Avtotransport",A26,A23)</f>
        <v xml:space="preserve"> Egalik huquqi QODIROVA NAFISA YO‘LDOSHEVNAga tegishli bo'lgan qurilish osti maydoni - , umumiy maydoni - 49,55  va yashash maydoni  - 28,99 Ko'p qavatli uydagi xonadon, TOSHKENT SHAHAR BEKTEMIR TUMANI ROXAT KO'CHASI 12 UY 32 XONADON </v>
      </c>
      <c r="B22" s="307"/>
      <c r="C22" s="307"/>
      <c r="D22" s="307"/>
    </row>
    <row r="23" spans="1:5" ht="79.5" hidden="1" customHeight="1">
      <c r="A23" s="307" t="str">
        <f>IF(umumiy_malumot!B92=umumiy_malumot!C92,A25,IF(umumiy_malumot!B92=umumiy_malumot!D92,A24,0))</f>
        <v xml:space="preserve"> Egalik huquqi QODIROVA NAFISA YO‘LDOSHEVNAga tegishli bo'lgan qurilish osti maydoni - , umumiy maydoni - 49,55  va yashash maydoni  - 28,99 Ko'p qavatli uydagi xonadon, TOSHKENT SHAHAR BEKTEMIR TUMANI ROXAT KO'CHASI 12 UY 32 XONADON </v>
      </c>
      <c r="B23" s="307"/>
      <c r="C23" s="307"/>
      <c r="D23" s="307"/>
    </row>
    <row r="24" spans="1:5" ht="96.75" hidden="1" customHeight="1">
      <c r="A24" s="307" t="str">
        <f>" - Navbatdagi garov (ipoteka) Egalik huquqi asosida  "&amp;umumiy_malumot!C117&amp;"ga "&amp;umumiy_malumot!C126&amp;", umumiy maydoni - "&amp;umumiy_malumot!C130&amp;" va qurilish osti maydoni - "&amp;umumiy_malumot!C133&amp;", manzili: "&amp;umumiy_malumot!C123&amp;"."</f>
        <v xml:space="preserve"> - Navbatdagi garov (ipoteka) Egalik huquqi asosida  QODIROVA NAFISA YO‘LDOSHEVNAga Ko'p qavatli uydagi xonadon, umumiy maydoni - 49,55 va qurilish osti maydoni - , manzili: TOSHKENT SHAHAR BEKTEMIR TUMANI ROXAT KO'CHASI 12 UY 32 XONADON.</v>
      </c>
      <c r="B24" s="307"/>
      <c r="C24" s="307"/>
      <c r="D24" s="307"/>
      <c r="E24" s="185"/>
    </row>
    <row r="25" spans="1:5" ht="92.25" hidden="1" customHeight="1">
      <c r="A25" s="308" t="str">
        <f>" Egalik huquqi "&amp;umumiy_malumot!C117&amp;"ga tegishli bo'lgan "&amp;umumiy_malumot!D133&amp;" - "&amp;umumiy_malumot!C133&amp;", "&amp;umumiy_malumot!D130&amp;" - "&amp;umumiy_malumot!C130&amp;"  va "&amp;umumiy_malumot!D131&amp;"  - "&amp;umumiy_malumot!C131&amp;" "&amp;umumiy_malumot!C126&amp;", "&amp;umumiy_malumot!C123&amp;" "</f>
        <v xml:space="preserve"> Egalik huquqi QODIROVA NAFISA YO‘LDOSHEVNAga tegishli bo'lgan qurilish osti maydoni - , umumiy maydoni - 49,55  va yashash maydoni  - 28,99 Ko'p qavatli uydagi xonadon, TOSHKENT SHAHAR BEKTEMIR TUMANI ROXAT KO'CHASI 12 UY 32 XONADON </v>
      </c>
      <c r="B25" s="308"/>
      <c r="C25" s="308"/>
      <c r="D25" s="308"/>
    </row>
    <row r="26" spans="1:5" ht="78" hidden="1" customHeight="1">
      <c r="A26" s="307" t="str">
        <f>IF(umumiy_malumot!B92=umumiy_malumot!C92,kredit_ariza!A28:D28,IF(umumiy_malumot!B92=umumiy_malumot!D92,kredit_ariza!A27:D27,0))</f>
        <v xml:space="preserve">  Egalik huquqi QODIROVA NAFISA YO‘LDOSHEVNAga tegishli bo'lgan garovga olingan avtomobil markasi   , rangi -  , ishlab chiqarilgan yili - , davlat raqam belgisi , kuzov turi - , kuzov raqami , dvigatel raqami , shassi raqami - </v>
      </c>
      <c r="B26" s="307"/>
      <c r="C26" s="307"/>
      <c r="D26" s="307"/>
    </row>
    <row r="27" spans="1:5" ht="93" hidden="1" customHeight="1">
      <c r="A27" s="307" t="str">
        <f>" Egalik huquqi "&amp;umumiy_malumot!B117&amp;"ga tegishli bo'lgan "&amp;umumiy_malumot!B125&amp;", "&amp;umumiy_malumot!B133&amp;", davlat raqam belgisi "&amp;umumiy_malumot!B126&amp;", "&amp;umumiy_malumot!B127&amp;", "&amp;umumiy_malumot!B130&amp;" avtotransport vositasi "</f>
        <v xml:space="preserve"> Egalik huquqi QODIROVA NAFISA YO‘LDOSHEVNAga tegishli bo'lgan , rangi -  , ishlab chiqarilgan yili - , davlat raqam belgisi , kuzov turi - , kuzov raqami , dvigatel raqami , shassi raqami -  avtotransport vositasi </v>
      </c>
      <c r="B27" s="307"/>
      <c r="C27" s="307"/>
      <c r="D27" s="307"/>
    </row>
    <row r="28" spans="1:5" ht="93.75" hidden="1" customHeight="1">
      <c r="A28" s="307" t="str">
        <f>"  Egalik huquqi "&amp;umumiy_malumot!B117&amp;"ga tegishli bo'lgan garovga olingan avtomobil markasi   "&amp;umumiy_malumot!B125&amp;", "&amp;umumiy_malumot!B133&amp;", davlat raqam belgisi "&amp;umumiy_malumot!B126&amp;", "&amp;umumiy_malumot!B127&amp;", "&amp;umumiy_malumot!B130&amp;""</f>
        <v xml:space="preserve">  Egalik huquqi QODIROVA NAFISA YO‘LDOSHEVNAga tegishli bo'lgan garovga olingan avtomobil markasi   , rangi -  , ishlab chiqarilgan yili - , davlat raqam belgisi , kuzov turi - , kuzov raqami , dvigatel raqami , shassi raqami - </v>
      </c>
      <c r="B28" s="307"/>
      <c r="C28" s="307"/>
      <c r="D28" s="307"/>
    </row>
    <row r="29" spans="1:5" ht="10.5" customHeight="1">
      <c r="A29" s="306"/>
      <c r="B29" s="306"/>
      <c r="C29" s="306"/>
      <c r="D29" s="306"/>
    </row>
    <row r="30" spans="1:5" ht="53.25" customHeight="1">
      <c r="A30" s="307" t="str">
        <f>"Mazkur ariza bilan "&amp;umumiy_malumot!B147&amp;"ga men va soʻralayotgan "&amp;umumiy_malumot!B65&amp;" boʻyicha barcha zarur maʼlumotlarni quyida ko’rsatilgan tashkilotlarga taqdim etish va olishga roziligimni bildirib, ushbu amaliyotlarni o’tkazish uchun huquq beraman:"</f>
        <v>Mazkur ariza bilan «PULLOL BUSINESS MIKROMOLIYA TASHKILOTI»  MChJga men va soʻralayotgan Mikroqarz boʻyicha barcha zarur maʼlumotlarni quyida ko’rsatilgan tashkilotlarga taqdim etish va olishga roziligimni bildirib, ushbu amaliyotlarni o’tkazish uchun huquq beraman:</v>
      </c>
      <c r="B30" s="307"/>
      <c r="C30" s="307"/>
      <c r="D30" s="307"/>
    </row>
    <row r="31" spans="1:5" ht="15.75" customHeight="1">
      <c r="A31" s="307" t="s">
        <v>241</v>
      </c>
      <c r="B31" s="307"/>
      <c r="C31" s="307"/>
      <c r="D31" s="307"/>
    </row>
    <row r="32" spans="1:5">
      <c r="A32" s="307" t="s">
        <v>242</v>
      </c>
      <c r="B32" s="307"/>
      <c r="C32" s="307"/>
      <c r="D32" s="307"/>
    </row>
    <row r="33" spans="1:4">
      <c r="A33" s="307" t="s">
        <v>243</v>
      </c>
      <c r="B33" s="307"/>
      <c r="C33" s="307"/>
      <c r="D33" s="307"/>
    </row>
    <row r="34" spans="1:4">
      <c r="A34" s="306" t="str">
        <f>"Ariza berilgan sana: "&amp;TEXT(umumiy_malumot!B2,"ДД.ММ.ГГГГ")&amp;"y."</f>
        <v>Ariza berilgan sana: 02.02.2026y.</v>
      </c>
      <c r="B34" s="306"/>
      <c r="C34" s="306"/>
      <c r="D34" s="306"/>
    </row>
    <row r="35" spans="1:4">
      <c r="A35" s="306"/>
      <c r="B35" s="306"/>
      <c r="C35" s="306"/>
      <c r="D35" s="306"/>
    </row>
    <row r="36" spans="1:4">
      <c r="A36" s="306" t="s">
        <v>244</v>
      </c>
      <c r="B36" s="306"/>
      <c r="C36" s="306"/>
      <c r="D36" s="306"/>
    </row>
    <row r="37" spans="1:4">
      <c r="A37" s="306"/>
      <c r="B37" s="306"/>
      <c r="C37" s="306"/>
      <c r="D37" s="306"/>
    </row>
    <row r="38" spans="1:4">
      <c r="A38" s="306"/>
      <c r="B38" s="306"/>
      <c r="C38" s="306"/>
      <c r="D38" s="306"/>
    </row>
    <row r="39" spans="1:4" ht="15.75" customHeight="1">
      <c r="A39" s="310" t="str">
        <f>umumiy_malumot!B5</f>
        <v>QODIROVA NAFISA YO‘LDOSHEVNA</v>
      </c>
      <c r="B39" s="310"/>
      <c r="C39" s="310"/>
      <c r="D39" s="15" t="s">
        <v>4</v>
      </c>
    </row>
    <row r="40" spans="1:4">
      <c r="A40" s="14"/>
      <c r="B40" s="14"/>
      <c r="D40" s="16" t="s">
        <v>327</v>
      </c>
    </row>
    <row r="41" spans="1:4">
      <c r="A41" s="306"/>
      <c r="B41" s="306"/>
      <c r="C41" s="306"/>
      <c r="D41" s="306"/>
    </row>
    <row r="42" spans="1:4">
      <c r="A42" s="306"/>
      <c r="B42" s="306"/>
      <c r="C42" s="306"/>
      <c r="D42" s="306"/>
    </row>
    <row r="43" spans="1:4">
      <c r="A43" s="306"/>
      <c r="B43" s="306"/>
      <c r="C43" s="306"/>
      <c r="D43" s="306"/>
    </row>
    <row r="44" spans="1:4">
      <c r="A44" s="306"/>
      <c r="B44" s="306"/>
      <c r="C44" s="306"/>
      <c r="D44" s="306"/>
    </row>
    <row r="45" spans="1:4">
      <c r="A45" s="306"/>
      <c r="B45" s="306"/>
      <c r="C45" s="306"/>
      <c r="D45" s="306"/>
    </row>
    <row r="46" spans="1:4">
      <c r="A46" s="306"/>
      <c r="B46" s="306"/>
      <c r="C46" s="306"/>
      <c r="D46" s="306"/>
    </row>
    <row r="47" spans="1:4">
      <c r="A47" s="306"/>
      <c r="B47" s="306"/>
      <c r="C47" s="306"/>
      <c r="D47" s="306"/>
    </row>
    <row r="48" spans="1:4">
      <c r="A48" s="306"/>
      <c r="B48" s="306"/>
      <c r="C48" s="306"/>
      <c r="D48" s="306"/>
    </row>
    <row r="49" spans="1:4">
      <c r="A49" s="306"/>
      <c r="B49" s="306"/>
      <c r="C49" s="306"/>
      <c r="D49" s="306"/>
    </row>
    <row r="50" spans="1:4">
      <c r="A50" s="306"/>
      <c r="B50" s="306"/>
      <c r="C50" s="306"/>
      <c r="D50" s="306"/>
    </row>
    <row r="51" spans="1:4">
      <c r="A51" s="306"/>
      <c r="B51" s="306"/>
      <c r="C51" s="306"/>
      <c r="D51" s="306"/>
    </row>
    <row r="52" spans="1:4">
      <c r="A52" s="306"/>
      <c r="B52" s="306"/>
      <c r="C52" s="306"/>
      <c r="D52" s="306"/>
    </row>
    <row r="53" spans="1:4">
      <c r="A53" s="306"/>
      <c r="B53" s="306"/>
      <c r="C53" s="306"/>
      <c r="D53" s="306"/>
    </row>
    <row r="54" spans="1:4">
      <c r="A54" s="306"/>
      <c r="B54" s="306"/>
      <c r="C54" s="306"/>
      <c r="D54" s="306"/>
    </row>
    <row r="55" spans="1:4">
      <c r="A55" s="306"/>
      <c r="B55" s="306"/>
      <c r="C55" s="306"/>
      <c r="D55" s="306"/>
    </row>
    <row r="56" spans="1:4">
      <c r="A56" s="306"/>
      <c r="B56" s="306"/>
      <c r="C56" s="306"/>
      <c r="D56" s="306"/>
    </row>
    <row r="57" spans="1:4">
      <c r="A57" s="306"/>
      <c r="B57" s="306"/>
      <c r="C57" s="306"/>
      <c r="D57" s="306"/>
    </row>
    <row r="58" spans="1:4">
      <c r="A58" s="306"/>
      <c r="B58" s="306"/>
      <c r="C58" s="306"/>
      <c r="D58" s="306"/>
    </row>
    <row r="59" spans="1:4">
      <c r="A59" s="306"/>
      <c r="B59" s="306"/>
      <c r="C59" s="306"/>
      <c r="D59" s="306"/>
    </row>
    <row r="60" spans="1:4">
      <c r="A60" s="306"/>
      <c r="B60" s="306"/>
      <c r="C60" s="306"/>
      <c r="D60" s="306"/>
    </row>
    <row r="61" spans="1:4">
      <c r="A61" s="306"/>
      <c r="B61" s="306"/>
      <c r="C61" s="306"/>
      <c r="D61" s="306"/>
    </row>
    <row r="62" spans="1:4">
      <c r="A62" s="306"/>
      <c r="B62" s="306"/>
      <c r="C62" s="306"/>
      <c r="D62" s="306"/>
    </row>
    <row r="63" spans="1:4">
      <c r="A63" s="306"/>
      <c r="B63" s="306"/>
      <c r="C63" s="306"/>
      <c r="D63" s="306"/>
    </row>
    <row r="64" spans="1:4">
      <c r="A64" s="306"/>
      <c r="B64" s="306"/>
      <c r="C64" s="306"/>
      <c r="D64" s="306"/>
    </row>
    <row r="65" spans="1:4">
      <c r="A65" s="306"/>
      <c r="B65" s="306"/>
      <c r="C65" s="306"/>
      <c r="D65" s="306"/>
    </row>
    <row r="66" spans="1:4">
      <c r="A66" s="306"/>
      <c r="B66" s="306"/>
      <c r="C66" s="306"/>
      <c r="D66" s="306"/>
    </row>
    <row r="67" spans="1:4">
      <c r="A67" s="306"/>
      <c r="B67" s="306"/>
      <c r="C67" s="306"/>
      <c r="D67" s="306"/>
    </row>
    <row r="68" spans="1:4">
      <c r="A68" s="306"/>
      <c r="B68" s="306"/>
      <c r="C68" s="306"/>
      <c r="D68" s="306"/>
    </row>
    <row r="69" spans="1:4">
      <c r="A69" s="306"/>
      <c r="B69" s="306"/>
      <c r="C69" s="306"/>
      <c r="D69" s="306"/>
    </row>
    <row r="70" spans="1:4">
      <c r="A70" s="306"/>
      <c r="B70" s="306"/>
      <c r="C70" s="306"/>
      <c r="D70" s="306"/>
    </row>
    <row r="71" spans="1:4">
      <c r="A71" s="306"/>
      <c r="B71" s="306"/>
      <c r="C71" s="306"/>
      <c r="D71" s="306"/>
    </row>
    <row r="72" spans="1:4">
      <c r="A72" s="306"/>
      <c r="B72" s="306"/>
      <c r="C72" s="306"/>
      <c r="D72" s="306"/>
    </row>
    <row r="73" spans="1:4">
      <c r="A73" s="306"/>
      <c r="B73" s="306"/>
      <c r="C73" s="306"/>
      <c r="D73" s="306"/>
    </row>
    <row r="74" spans="1:4">
      <c r="A74" s="306"/>
      <c r="B74" s="306"/>
      <c r="C74" s="306"/>
      <c r="D74" s="306"/>
    </row>
    <row r="75" spans="1:4">
      <c r="A75" s="306"/>
      <c r="B75" s="306"/>
      <c r="C75" s="306"/>
      <c r="D75" s="306"/>
    </row>
    <row r="76" spans="1:4">
      <c r="A76" s="306"/>
      <c r="B76" s="306"/>
      <c r="C76" s="306"/>
      <c r="D76" s="306"/>
    </row>
    <row r="77" spans="1:4">
      <c r="A77" s="306"/>
      <c r="B77" s="306"/>
      <c r="C77" s="306"/>
      <c r="D77" s="306"/>
    </row>
  </sheetData>
  <mergeCells count="74">
    <mergeCell ref="A75:D75"/>
    <mergeCell ref="A76:D76"/>
    <mergeCell ref="A77:D77"/>
    <mergeCell ref="A39:C39"/>
    <mergeCell ref="A70:D70"/>
    <mergeCell ref="A71:D71"/>
    <mergeCell ref="A72:D72"/>
    <mergeCell ref="A73:D73"/>
    <mergeCell ref="A74:D74"/>
    <mergeCell ref="A65:D65"/>
    <mergeCell ref="A66:D66"/>
    <mergeCell ref="A67:D67"/>
    <mergeCell ref="A68:D68"/>
    <mergeCell ref="A69:D69"/>
    <mergeCell ref="A60:D60"/>
    <mergeCell ref="A61:D61"/>
    <mergeCell ref="A62:D62"/>
    <mergeCell ref="A63:D63"/>
    <mergeCell ref="A64:D64"/>
    <mergeCell ref="A55:D55"/>
    <mergeCell ref="A56:D56"/>
    <mergeCell ref="A57:D57"/>
    <mergeCell ref="A58:D58"/>
    <mergeCell ref="A59:D59"/>
    <mergeCell ref="A50:D50"/>
    <mergeCell ref="A51:D51"/>
    <mergeCell ref="A52:D52"/>
    <mergeCell ref="A53:D53"/>
    <mergeCell ref="A54:D54"/>
    <mergeCell ref="A45:D45"/>
    <mergeCell ref="A46:D46"/>
    <mergeCell ref="A47:D47"/>
    <mergeCell ref="A48:D48"/>
    <mergeCell ref="A49:D49"/>
    <mergeCell ref="A34:D34"/>
    <mergeCell ref="A41:D41"/>
    <mergeCell ref="A42:D42"/>
    <mergeCell ref="A43:D43"/>
    <mergeCell ref="A44:D44"/>
    <mergeCell ref="A35:D35"/>
    <mergeCell ref="A36:D36"/>
    <mergeCell ref="A37:D37"/>
    <mergeCell ref="A38:D38"/>
    <mergeCell ref="A30:D30"/>
    <mergeCell ref="A31:D31"/>
    <mergeCell ref="A32:D32"/>
    <mergeCell ref="A33:D33"/>
    <mergeCell ref="A28:D28"/>
    <mergeCell ref="A29:D29"/>
    <mergeCell ref="A13:D13"/>
    <mergeCell ref="A14:D14"/>
    <mergeCell ref="A15:D15"/>
    <mergeCell ref="A16:D16"/>
    <mergeCell ref="A17:D17"/>
    <mergeCell ref="A18:D18"/>
    <mergeCell ref="A19:D19"/>
    <mergeCell ref="A26:D26"/>
    <mergeCell ref="A27:D27"/>
    <mergeCell ref="A24:D24"/>
    <mergeCell ref="A23:D23"/>
    <mergeCell ref="A20:D20"/>
    <mergeCell ref="A21:D21"/>
    <mergeCell ref="A22:D22"/>
    <mergeCell ref="A25:D25"/>
    <mergeCell ref="A8:D8"/>
    <mergeCell ref="A9:D9"/>
    <mergeCell ref="A10:D10"/>
    <mergeCell ref="A11:D11"/>
    <mergeCell ref="A12:D12"/>
    <mergeCell ref="A4:D4"/>
    <mergeCell ref="A5:D5"/>
    <mergeCell ref="C1:D1"/>
    <mergeCell ref="A6:D6"/>
    <mergeCell ref="A7:D7"/>
  </mergeCells>
  <pageMargins left="0.70866141732283472" right="0.31496062992125984" top="0.74803149606299213" bottom="0.74803149606299213" header="0.31496062992125984" footer="0.31496062992125984"/>
  <pageSetup paperSize="9" scale="95"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Лист22">
    <tabColor rgb="FF00B050"/>
  </sheetPr>
  <dimension ref="A3:B11"/>
  <sheetViews>
    <sheetView view="pageBreakPreview" topLeftCell="A2" zoomScale="85" zoomScaleNormal="100" zoomScaleSheetLayoutView="85" workbookViewId="0">
      <selection activeCell="I36" sqref="I36"/>
    </sheetView>
  </sheetViews>
  <sheetFormatPr defaultRowHeight="15"/>
  <cols>
    <col min="1" max="1" width="54.42578125" style="19" customWidth="1"/>
    <col min="2" max="2" width="32.28515625" style="19" customWidth="1"/>
  </cols>
  <sheetData>
    <row r="3" spans="1:2" ht="35.25" customHeight="1">
      <c r="A3" s="311" t="s">
        <v>207</v>
      </c>
      <c r="B3" s="311"/>
    </row>
    <row r="4" spans="1:2" ht="92.25" customHeight="1">
      <c r="A4" s="240" t="str">
        <f>"     Men, fuqaro "&amp;umumiy_malumot!B5&amp;" "&amp;umumiy_malumot!B149&amp;" bilan "&amp;umumiy_malumot!B69&amp;" sanasidagi "&amp;umumiy_malumot!B66&amp;"-sonli shartnomaning garov ta'minoti sifatida taqdim etilayotgan "&amp;umumiy_malumot!C125&amp;" ko'chmas mulkni qonunga xilof ravishda o‘zlashtirmaslikka, yashirmaslikka, nobud qilmaslikka yoki unga shikast yetkazmaslik majburiyatini olaman."</f>
        <v xml:space="preserve">     Men, fuqaro QODIROVA NAFISA YO‘LDOSHEVNA «PULLOL BUSINESS MIKROMOLIYA TASHKILOTI»  MChJ bilan 2 fevral 2026 y. sanasidagi № 56-sonli shartnomaning garov ta'minoti sifatida taqdim etilayotgan Ko'p qavatli uydagi xonadon ko'chmas mulkni qonunga xilof ravishda o‘zlashtirmaslikka, yashirmaslikka, nobud qilmaslikka yoki unga shikast yetkazmaslik majburiyatini olaman.</v>
      </c>
      <c r="B4" s="240"/>
    </row>
    <row r="5" spans="1:2" ht="56.25" customHeight="1">
      <c r="A5" s="312" t="s">
        <v>208</v>
      </c>
      <c r="B5" s="312"/>
    </row>
    <row r="6" spans="1:2" ht="42.75" customHeight="1"/>
    <row r="7" spans="1:2">
      <c r="A7" s="19" t="str">
        <f>umumiy_malumot!B5</f>
        <v>QODIROVA NAFISA YO‘LDOSHEVNA</v>
      </c>
      <c r="B7" s="160" t="s">
        <v>209</v>
      </c>
    </row>
    <row r="8" spans="1:2" ht="26.25" customHeight="1"/>
    <row r="9" spans="1:2" hidden="1">
      <c r="A9" s="19">
        <f>umumiy_malumot!C105</f>
        <v>0</v>
      </c>
      <c r="B9" s="160" t="s">
        <v>209</v>
      </c>
    </row>
    <row r="10" spans="1:2" ht="26.25" customHeight="1"/>
    <row r="11" spans="1:2">
      <c r="A11" s="19" t="str">
        <f>"sana:   "&amp;TEXT(umumiy_malumot!B2,"ДД.ММ.ГГГГ")&amp;" y."</f>
        <v>sana:   02.02.2026 y.</v>
      </c>
    </row>
  </sheetData>
  <mergeCells count="3">
    <mergeCell ref="A3:B3"/>
    <mergeCell ref="A4:B4"/>
    <mergeCell ref="A5:B5"/>
  </mergeCells>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Лист7">
    <tabColor rgb="FF00B050"/>
  </sheetPr>
  <dimension ref="A1:E77"/>
  <sheetViews>
    <sheetView view="pageBreakPreview" topLeftCell="A4" zoomScaleSheetLayoutView="100" workbookViewId="0">
      <selection activeCell="A69" sqref="A69:C69"/>
    </sheetView>
  </sheetViews>
  <sheetFormatPr defaultColWidth="9.140625" defaultRowHeight="15" outlineLevelRow="1"/>
  <cols>
    <col min="1" max="1" width="23.7109375" style="19" customWidth="1"/>
    <col min="2" max="5" width="17" style="19" customWidth="1"/>
    <col min="6" max="16384" width="9.140625" style="19"/>
  </cols>
  <sheetData>
    <row r="1" spans="1:5" ht="36" customHeight="1">
      <c r="A1" s="274" t="str">
        <f>""&amp;umumiy_malumot!B147&amp;"
mikromoliya tashkilotining Xulosasi"</f>
        <v>«PULLOL BUSINESS MIKROMOLIYA TASHKILOTI»  MChJ
mikromoliya tashkilotining Xulosasi</v>
      </c>
      <c r="B1" s="274"/>
      <c r="C1" s="274"/>
      <c r="D1" s="274"/>
      <c r="E1" s="274"/>
    </row>
    <row r="2" spans="1:5">
      <c r="A2" s="240"/>
      <c r="B2" s="240"/>
      <c r="C2" s="240"/>
      <c r="D2" s="240"/>
      <c r="E2" s="240"/>
    </row>
    <row r="3" spans="1:5">
      <c r="A3" s="274" t="s">
        <v>195</v>
      </c>
      <c r="B3" s="274"/>
      <c r="C3" s="274"/>
      <c r="D3" s="274"/>
      <c r="E3" s="274"/>
    </row>
    <row r="4" spans="1:5">
      <c r="A4" s="240" t="str">
        <f>"Mijozning to'liq ismi sharifi: "&amp;umumiy_malumot!B5&amp;""</f>
        <v>Mijozning to'liq ismi sharifi: QODIROVA NAFISA YO‘LDOSHEVNA</v>
      </c>
      <c r="B4" s="240"/>
      <c r="C4" s="240"/>
      <c r="D4" s="240"/>
      <c r="E4" s="240"/>
    </row>
    <row r="5" spans="1:5">
      <c r="A5" s="240" t="str">
        <f>"Tug'ilgan sanasi: "&amp;umumiy_malumot!B15&amp;""</f>
        <v>Tug'ilgan sanasi: 16.07.1982 yil</v>
      </c>
      <c r="B5" s="240"/>
      <c r="C5" s="240"/>
      <c r="D5" s="240"/>
      <c r="E5" s="240"/>
    </row>
    <row r="6" spans="1:5" ht="31.5" customHeight="1">
      <c r="A6" s="240" t="str">
        <f>"Pasport seriyasi "&amp;umumiy_malumot!B16&amp;" "&amp;umumiy_malumot!B20&amp;", amal qilish muddati - "&amp;umumiy_malumot!B21&amp;""</f>
        <v>Pasport seriyasi AD 9088376 IIV 26296 tomonidan 21.10.2024 yilda berilgan, amal qilish muddati - 20.10.2034 y.</v>
      </c>
      <c r="B6" s="240"/>
      <c r="C6" s="240"/>
      <c r="D6" s="240"/>
      <c r="E6" s="240"/>
    </row>
    <row r="7" spans="1:5" ht="57.75" customHeight="1">
      <c r="A7" s="240" t="str">
        <f>"Ro‘yxatdan o‘tgan manzili: "&amp;umumiy_malumot!B22&amp;", yashash manzili: "&amp;umumiy_malumot!B28&amp;", mo'ljal: "&amp;umumiy_malumot!B26&amp;""</f>
        <v>Ro‘yxatdan o‘tgan manzili: TOSHKENT SHAHAR YANGIXAYOT TUMANI 2 STROITELNAYA TERRITORIYA 17 UY 74 XONADON, yashash manzili: TOSHKENT SHAHAR BEKTEMIR TUMANI ROXAT KO'CHASI 12 UY 32 XONADON, mo'ljal: 2 BEKAT</v>
      </c>
      <c r="B7" s="240"/>
      <c r="C7" s="240"/>
      <c r="D7" s="240"/>
      <c r="E7" s="240"/>
    </row>
    <row r="8" spans="1:5" ht="24.75" customHeight="1">
      <c r="A8" s="240" t="str">
        <f>"Ish joyi: "&amp;umumiy_malumot!B52&amp;" lavozimi "&amp;umumiy_malumot!B49&amp;"da "&amp;umumiy_malumot!B44&amp;""</f>
        <v>Ish joyi:  lavozimi Yakka tartibdagi tadbirkorda Yakka tartibdagi tadbirkor</v>
      </c>
      <c r="B8" s="240"/>
      <c r="C8" s="240"/>
      <c r="D8" s="240"/>
      <c r="E8" s="240"/>
    </row>
    <row r="9" spans="1:5">
      <c r="A9" s="240"/>
      <c r="B9" s="240"/>
      <c r="C9" s="240"/>
      <c r="D9" s="240"/>
      <c r="E9" s="240"/>
    </row>
    <row r="10" spans="1:5">
      <c r="A10" s="274" t="str">
        <f>"Mijoz tomonidan so’ralgan "&amp;umumiy_malumot!B65&amp;" shartlari:"</f>
        <v>Mijoz tomonidan so’ralgan Mikroqarz shartlari:</v>
      </c>
      <c r="B10" s="274"/>
      <c r="C10" s="274"/>
      <c r="D10" s="274"/>
      <c r="E10" s="274"/>
    </row>
    <row r="11" spans="1:5">
      <c r="A11" s="240" t="str">
        <f>kredit_ariza!A13</f>
        <v>Mikroqarz summasi: 50 000 000,00 (Ellik million so'm) so'm.</v>
      </c>
      <c r="B11" s="240"/>
      <c r="C11" s="240"/>
      <c r="D11" s="240"/>
      <c r="E11" s="240"/>
    </row>
    <row r="12" spans="1:5">
      <c r="A12" s="240" t="str">
        <f>kredit_ariza!A14:D14</f>
        <v>Mikroqarz muddati: 30 (o'ttiz) oy.</v>
      </c>
      <c r="B12" s="240"/>
      <c r="C12" s="240"/>
      <c r="D12" s="240"/>
      <c r="E12" s="240"/>
    </row>
    <row r="13" spans="1:5">
      <c r="A13" s="240" t="str">
        <f>kredit_ariza!A15:D15</f>
        <v>Mikroqarzdan foydalanganlik uchun foiz stavkasi: yillik  55% (Ellik besh  ) foiz</v>
      </c>
      <c r="B13" s="240"/>
      <c r="C13" s="240"/>
      <c r="D13" s="240"/>
      <c r="E13" s="240"/>
    </row>
    <row r="14" spans="1:5">
      <c r="A14" s="313" t="str">
        <f>kredit_ariza!A16:D16</f>
        <v>Mikroqarz bo'yicha asosiy qarz va foizlarni to'lash:</v>
      </c>
      <c r="B14" s="313"/>
      <c r="C14" s="313"/>
      <c r="D14" s="313"/>
      <c r="E14" s="313"/>
    </row>
    <row r="15" spans="1:5" ht="18.75" customHeight="1">
      <c r="A15" s="240" t="str">
        <f>kredit_ariza!A19:D19</f>
        <v xml:space="preserve"> - Mikroqarz shartnomasi bo'yicha har oy annuitet to'lovlari amalga oshiriladi</v>
      </c>
      <c r="B15" s="240"/>
      <c r="C15" s="240"/>
      <c r="D15" s="240"/>
      <c r="E15" s="240"/>
    </row>
    <row r="16" spans="1:5" ht="14.25" customHeight="1">
      <c r="A16" s="250" t="str">
        <f>kredit_ariza!A20:D20</f>
        <v xml:space="preserve">   </v>
      </c>
      <c r="B16" s="250"/>
      <c r="C16" s="250"/>
      <c r="D16" s="250"/>
      <c r="E16" s="250"/>
    </row>
    <row r="17" spans="1:5">
      <c r="A17" s="240" t="str">
        <f>kredit_ariza!A21:D21</f>
        <v>Mikroqarz ta’minoti::</v>
      </c>
      <c r="B17" s="240"/>
      <c r="C17" s="240"/>
      <c r="D17" s="240"/>
      <c r="E17" s="240"/>
    </row>
    <row r="18" spans="1:5" ht="48" customHeight="1">
      <c r="A18" s="240" t="str">
        <f>kredit_ariza!A22:D22</f>
        <v xml:space="preserve"> Egalik huquqi QODIROVA NAFISA YO‘LDOSHEVNAga tegishli bo'lgan qurilish osti maydoni - , umumiy maydoni - 49,55  va yashash maydoni  - 28,99 Ko'p qavatli uydagi xonadon, TOSHKENT SHAHAR BEKTEMIR TUMANI ROXAT KO'CHASI 12 UY 32 XONADON </v>
      </c>
      <c r="B18" s="240"/>
      <c r="C18" s="240"/>
      <c r="D18" s="240"/>
      <c r="E18" s="240"/>
    </row>
    <row r="19" spans="1:5">
      <c r="A19" s="274" t="s">
        <v>196</v>
      </c>
      <c r="B19" s="274"/>
      <c r="C19" s="274"/>
      <c r="D19" s="274"/>
      <c r="E19" s="274"/>
    </row>
    <row r="20" spans="1:5" ht="35.25" customHeight="1">
      <c r="A20" s="240" t="str">
        <f>"Anketaga muvofiq "&amp;umumiy_malumot!B9&amp;"ning o‘rtacha oylik daromadi  "&amp;FIXED(mijoz_anketasi!B27)&amp;" so‘mni tashkil etdi."</f>
        <v>Anketaga muvofiq QODIROVA N.Y.ning o‘rtacha oylik daromadi  14 000 000,00 so‘mni tashkil etdi.</v>
      </c>
      <c r="B20" s="240"/>
      <c r="C20" s="240"/>
      <c r="D20" s="240"/>
      <c r="E20" s="240"/>
    </row>
    <row r="21" spans="1:5" ht="21" customHeight="1">
      <c r="A21" s="240" t="str">
        <f>"Mijozning o'rtacha oylik xarajatlari "&amp;FIXED(mijoz_anketasi!F27)&amp;" so'mni tashkil etdi"</f>
        <v>Mijozning o'rtacha oylik xarajatlari 1 800 000,00 so'mni tashkil etdi</v>
      </c>
      <c r="B21" s="240"/>
      <c r="C21" s="240"/>
      <c r="D21" s="240"/>
      <c r="E21" s="240"/>
    </row>
    <row r="22" spans="1:5">
      <c r="A22" s="240" t="str">
        <f>IF(umumiy_malumot!B77=umumiy_malumot!C77,xulosa!A23:E23,xulosa!A24:E24)</f>
        <v>Mikrokredit bo‘yicha oylik annuitet to‘lovi miqdori 3 100 000,00 so‘mni tashkil etadi.</v>
      </c>
      <c r="B22" s="240"/>
      <c r="C22" s="240"/>
      <c r="D22" s="240"/>
      <c r="E22" s="240"/>
    </row>
    <row r="23" spans="1:5" ht="21" hidden="1" customHeight="1">
      <c r="A23" s="240" t="str">
        <f>""&amp;umumiy_malumot!C64&amp;" shartnomasi bo'yicha birinchi oy uchun to'lov "&amp;FIXED(umumiy_malumot!B90)&amp;" so'mni tashkil etadi."</f>
        <v>Mikrokredit shartnomasi bo'yicha birinchi oy uchun to'lov 3 100 000,00 so'mni tashkil etadi.</v>
      </c>
      <c r="B23" s="240"/>
      <c r="C23" s="240"/>
      <c r="D23" s="240"/>
      <c r="E23" s="240"/>
    </row>
    <row r="24" spans="1:5" ht="29.25" hidden="1" customHeight="1">
      <c r="A24" s="240" t="str">
        <f>""&amp;umumiy_malumot!C64&amp;" bo‘yicha oylik "&amp;umumiy_malumot!B77&amp;" to‘lovi miqdori "&amp;FIXED(umumiy_malumot!B90)&amp;" so‘mni tashkil etadi."</f>
        <v>Mikrokredit bo‘yicha oylik annuitet to‘lovi miqdori 3 100 000,00 so‘mni tashkil etadi.</v>
      </c>
      <c r="B24" s="240"/>
      <c r="C24" s="240"/>
      <c r="D24" s="240"/>
      <c r="E24" s="240"/>
    </row>
    <row r="25" spans="1:5" ht="35.25" customHeight="1">
      <c r="A25" s="250" t="s">
        <v>432</v>
      </c>
      <c r="B25" s="250"/>
      <c r="C25" s="250"/>
      <c r="D25" s="250"/>
      <c r="E25" s="250"/>
    </row>
    <row r="26" spans="1:5">
      <c r="A26" s="274" t="str">
        <f>""&amp;umumiy_malumot!B65&amp;" bo’yicha ta’minot:"</f>
        <v>Mikroqarz bo’yicha ta’minot:</v>
      </c>
      <c r="B26" s="274"/>
      <c r="C26" s="274"/>
      <c r="D26" s="274"/>
      <c r="E26" s="274"/>
    </row>
    <row r="27" spans="1:5" ht="15" hidden="1" customHeight="1">
      <c r="A27" s="240" t="str">
        <f>" - "&amp;umumiy_malumot!B117&amp;" ga mulk huquqi asosida tegishli avtotransport vositasi "&amp;umumiy_malumot!B125&amp;" , quyidagi tafsilotlarga muvofiq:"</f>
        <v xml:space="preserve"> - QODIROVA NAFISA YO‘LDOSHEVNA ga mulk huquqi asosida tegishli avtotransport vositasi  , quyidagi tafsilotlarga muvofiq:</v>
      </c>
      <c r="B27" s="240"/>
      <c r="C27" s="240"/>
      <c r="D27" s="240"/>
      <c r="E27" s="240"/>
    </row>
    <row r="28" spans="1:5" ht="55.5" customHeight="1">
      <c r="A28" s="240" t="str">
        <f>" -   "&amp;umumiy_malumot!C117&amp;" ga mulk huquqi asosida tegishli ko'chmas mulk shaklida "&amp;umumiy_malumot!C126&amp;", manzili: "&amp;umumiy_malumot!C123&amp;", quyidagi tafsilotlarga muvofiq:"</f>
        <v xml:space="preserve"> -   QODIROVA NAFISA YO‘LDOSHEVNA ga mulk huquqi asosida tegishli ko'chmas mulk shaklida Ko'p qavatli uydagi xonadon, manzili: TOSHKENT SHAHAR BEKTEMIR TUMANI ROXAT KO'CHASI 12 UY 32 XONADON, quyidagi tafsilotlarga muvofiq:</v>
      </c>
      <c r="B28" s="240"/>
      <c r="C28" s="240"/>
      <c r="D28" s="240"/>
      <c r="E28" s="240"/>
    </row>
    <row r="29" spans="1:5" ht="50.25" hidden="1" customHeight="1">
      <c r="A29" s="240" t="str">
        <f>IF(umumiy_malumot!B103="Avtotransport",xulosa!A27:E27,xulosa!A28:E28)</f>
        <v xml:space="preserve"> -   QODIROVA NAFISA YO‘LDOSHEVNA ga mulk huquqi asosida tegishli ko'chmas mulk shaklida Ko'p qavatli uydagi xonadon, manzili: TOSHKENT SHAHAR BEKTEMIR TUMANI ROXAT KO'CHASI 12 UY 32 XONADON, quyidagi tafsilotlarga muvofiq:</v>
      </c>
      <c r="B29" s="240"/>
      <c r="C29" s="240"/>
      <c r="D29" s="240"/>
      <c r="E29" s="240"/>
    </row>
    <row r="30" spans="1:5" s="20" customFormat="1" ht="58.9" customHeight="1" outlineLevel="1">
      <c r="A30" s="43" t="s">
        <v>197</v>
      </c>
      <c r="B30" s="43" t="s">
        <v>409</v>
      </c>
      <c r="C30" s="43" t="s">
        <v>257</v>
      </c>
      <c r="D30" s="43" t="s">
        <v>258</v>
      </c>
      <c r="E30" s="43" t="s">
        <v>198</v>
      </c>
    </row>
    <row r="31" spans="1:5" s="24" customFormat="1" ht="92.25" customHeight="1" outlineLevel="1">
      <c r="A31" s="21" t="str">
        <f>umumiy_malumot!C125</f>
        <v>Ko'p qavatli uydagi xonadon</v>
      </c>
      <c r="B31" s="21">
        <f>umumiy_malumot!C133</f>
        <v>0</v>
      </c>
      <c r="C31" s="21">
        <f>umumiy_malumot!C131</f>
        <v>28.99</v>
      </c>
      <c r="D31" s="21">
        <f>umumiy_malumot!C130</f>
        <v>49.55</v>
      </c>
      <c r="E31" s="21" t="str">
        <f>""&amp;FIXED(umumiy_malumot!B136)&amp;" ("&amp;umumiy_malumot!B137&amp;")"</f>
        <v>70 000 000,00 (yetmish million so'm)</v>
      </c>
    </row>
    <row r="32" spans="1:5" hidden="1" outlineLevel="1">
      <c r="A32" s="240" t="str">
        <f>"-* avtotransport vositasining mulkdori: "&amp;umumiy_malumot!B117&amp;""</f>
        <v>-* avtotransport vositasining mulkdori: QODIROVA NAFISA YO‘LDOSHEVNA</v>
      </c>
      <c r="B32" s="240"/>
      <c r="C32" s="240"/>
      <c r="D32" s="240"/>
      <c r="E32" s="240"/>
    </row>
    <row r="33" spans="1:5" hidden="1" outlineLevel="1">
      <c r="A33" s="240" t="str">
        <f>"-* texpasport raqami:: "&amp;umumiy_malumot!B124&amp;""</f>
        <v xml:space="preserve">-* texpasport raqami:: </v>
      </c>
      <c r="B33" s="240"/>
      <c r="C33" s="240"/>
      <c r="D33" s="240"/>
      <c r="E33" s="240"/>
    </row>
    <row r="34" spans="1:5" ht="33" hidden="1" customHeight="1" outlineLevel="1">
      <c r="A34" s="240" t="str">
        <f>"-* roʻyxatdan oʻtgan manzili/garaj manzili: "&amp;umumiy_malumot!B122&amp;""</f>
        <v>-* roʻyxatdan oʻtgan manzili/garaj manzili: TOSHKENT SHAHAR YANGIXAYOT TUMANI 2 STROITELNAYA TERRITORIYA 17 UY 74 XONADON</v>
      </c>
      <c r="B34" s="240"/>
      <c r="C34" s="240"/>
      <c r="D34" s="240"/>
      <c r="E34" s="240"/>
    </row>
    <row r="35" spans="1:5" hidden="1" outlineLevel="1">
      <c r="A35" s="240" t="str">
        <f>"-* davlat raqami: "&amp;umumiy_malumot!B126&amp;""</f>
        <v xml:space="preserve">-* davlat raqami: </v>
      </c>
      <c r="B35" s="240"/>
      <c r="C35" s="240"/>
      <c r="D35" s="240"/>
      <c r="E35" s="240"/>
    </row>
    <row r="36" spans="1:5" ht="9.75" hidden="1" customHeight="1">
      <c r="A36" s="23"/>
      <c r="B36" s="23"/>
      <c r="C36" s="23"/>
      <c r="D36" s="23"/>
      <c r="E36" s="23"/>
    </row>
    <row r="37" spans="1:5" ht="57" hidden="1" outlineLevel="1">
      <c r="A37" s="43" t="s">
        <v>197</v>
      </c>
      <c r="B37" s="43" t="s">
        <v>256</v>
      </c>
      <c r="C37" s="43" t="s">
        <v>257</v>
      </c>
      <c r="D37" s="43" t="s">
        <v>258</v>
      </c>
      <c r="E37" s="43" t="s">
        <v>198</v>
      </c>
    </row>
    <row r="38" spans="1:5" ht="21.75" hidden="1" customHeight="1" outlineLevel="1">
      <c r="A38" s="57" t="str">
        <f>dalolatnoma!A51</f>
        <v>Yashash xona</v>
      </c>
      <c r="B38" s="221" t="str">
        <f>dalolatnoma!B51</f>
        <v>3</v>
      </c>
      <c r="C38" s="61" t="s">
        <v>395</v>
      </c>
      <c r="D38" s="61" t="s">
        <v>394</v>
      </c>
      <c r="E38" s="280" t="str">
        <f>""&amp;FIXED(umumiy_malumot!C136,2)&amp;" ("&amp;umumiy_malumot!C137&amp;")"</f>
        <v>70 000 000,00 (yetmish million so'm)</v>
      </c>
    </row>
    <row r="39" spans="1:5" ht="21.75" hidden="1" customHeight="1" outlineLevel="1">
      <c r="A39" s="57">
        <f>dalolatnoma!A52</f>
        <v>0</v>
      </c>
      <c r="B39" s="61">
        <f>dalolatnoma!B52</f>
        <v>0</v>
      </c>
      <c r="C39" s="61">
        <f>dalolatnoma!C52</f>
        <v>0</v>
      </c>
      <c r="D39" s="61">
        <f>dalolatnoma!D52</f>
        <v>0</v>
      </c>
      <c r="E39" s="280"/>
    </row>
    <row r="40" spans="1:5" ht="34.5" hidden="1" customHeight="1" outlineLevel="1">
      <c r="A40" s="57" t="str">
        <f>dalolatnoma!A53</f>
        <v>Umumiy maydon</v>
      </c>
      <c r="B40" s="61" t="s">
        <v>394</v>
      </c>
      <c r="C40" s="61" t="s">
        <v>395</v>
      </c>
      <c r="D40" s="61" t="s">
        <v>394</v>
      </c>
      <c r="E40" s="280"/>
    </row>
    <row r="41" spans="1:5" ht="21.75" hidden="1" customHeight="1" outlineLevel="1">
      <c r="A41" s="57">
        <f>dalolatnoma!A54</f>
        <v>0</v>
      </c>
      <c r="B41" s="61">
        <f>dalolatnoma!B54</f>
        <v>0</v>
      </c>
      <c r="C41" s="61">
        <f>dalolatnoma!C54</f>
        <v>0</v>
      </c>
      <c r="D41" s="61">
        <f>dalolatnoma!D54</f>
        <v>0</v>
      </c>
      <c r="E41" s="280"/>
    </row>
    <row r="42" spans="1:5" ht="21.75" hidden="1" customHeight="1" outlineLevel="1">
      <c r="A42" s="57">
        <f>dalolatnoma!A55</f>
        <v>0</v>
      </c>
      <c r="B42" s="61">
        <f>dalolatnoma!B55</f>
        <v>0</v>
      </c>
      <c r="C42" s="61">
        <f>dalolatnoma!C55</f>
        <v>0</v>
      </c>
      <c r="D42" s="61">
        <f>dalolatnoma!D55</f>
        <v>0</v>
      </c>
      <c r="E42" s="280"/>
    </row>
    <row r="43" spans="1:5" ht="21.75" hidden="1" customHeight="1" outlineLevel="1">
      <c r="A43" s="57">
        <f>dalolatnoma!A56</f>
        <v>0</v>
      </c>
      <c r="B43" s="61">
        <f>dalolatnoma!B56</f>
        <v>0</v>
      </c>
      <c r="C43" s="61">
        <f>dalolatnoma!C56</f>
        <v>0</v>
      </c>
      <c r="D43" s="61">
        <f>dalolatnoma!D56</f>
        <v>0</v>
      </c>
      <c r="E43" s="280"/>
    </row>
    <row r="44" spans="1:5" ht="21.75" hidden="1" customHeight="1" outlineLevel="1">
      <c r="A44" s="57">
        <f>dalolatnoma!A57</f>
        <v>0</v>
      </c>
      <c r="B44" s="61">
        <f>dalolatnoma!B57</f>
        <v>0</v>
      </c>
      <c r="C44" s="61">
        <f>dalolatnoma!C57</f>
        <v>0</v>
      </c>
      <c r="D44" s="61">
        <f>dalolatnoma!D57</f>
        <v>0</v>
      </c>
      <c r="E44" s="280"/>
    </row>
    <row r="45" spans="1:5" ht="21.75" hidden="1" customHeight="1" outlineLevel="1">
      <c r="A45" s="57">
        <f>dalolatnoma!A58</f>
        <v>0</v>
      </c>
      <c r="B45" s="61">
        <f>dalolatnoma!B58</f>
        <v>0</v>
      </c>
      <c r="C45" s="61">
        <f>dalolatnoma!C58</f>
        <v>0</v>
      </c>
      <c r="D45" s="61">
        <f>dalolatnoma!D58</f>
        <v>0</v>
      </c>
      <c r="E45" s="280"/>
    </row>
    <row r="46" spans="1:5" ht="21.75" hidden="1" customHeight="1" outlineLevel="1">
      <c r="A46" s="57">
        <f>dalolatnoma!A59</f>
        <v>0</v>
      </c>
      <c r="B46" s="61">
        <f>dalolatnoma!B59</f>
        <v>0</v>
      </c>
      <c r="C46" s="61">
        <f>dalolatnoma!C59</f>
        <v>0</v>
      </c>
      <c r="D46" s="61">
        <f>dalolatnoma!D59</f>
        <v>0</v>
      </c>
      <c r="E46" s="280"/>
    </row>
    <row r="47" spans="1:5" ht="21.75" hidden="1" customHeight="1" outlineLevel="1">
      <c r="A47" s="57">
        <f>dalolatnoma!A60</f>
        <v>0</v>
      </c>
      <c r="B47" s="61">
        <f>dalolatnoma!B60</f>
        <v>0</v>
      </c>
      <c r="C47" s="61">
        <f>dalolatnoma!C60</f>
        <v>0</v>
      </c>
      <c r="D47" s="61">
        <f>dalolatnoma!D60</f>
        <v>0</v>
      </c>
      <c r="E47" s="280"/>
    </row>
    <row r="48" spans="1:5" hidden="1" outlineLevel="1">
      <c r="A48" s="57">
        <f>dalolatnoma!A61</f>
        <v>0</v>
      </c>
      <c r="B48" s="61">
        <f>dalolatnoma!B61</f>
        <v>0</v>
      </c>
      <c r="C48" s="61">
        <f>dalolatnoma!C61</f>
        <v>0</v>
      </c>
      <c r="D48" s="61">
        <f>dalolatnoma!D61</f>
        <v>0</v>
      </c>
      <c r="E48" s="280"/>
    </row>
    <row r="49" spans="1:5" s="41" customFormat="1" ht="14.25" hidden="1" outlineLevel="1">
      <c r="A49" s="58" t="str">
        <f>dalolatnoma!A62</f>
        <v>JAMI</v>
      </c>
      <c r="B49" s="62" t="str">
        <f>B40</f>
        <v>43.96</v>
      </c>
      <c r="C49" s="62" t="str">
        <f>C38</f>
        <v>18.82</v>
      </c>
      <c r="D49" s="62" t="str">
        <f>D40</f>
        <v>43.96</v>
      </c>
      <c r="E49" s="63" t="str">
        <f>dalolatnoma!E62</f>
        <v>70 000 000,00</v>
      </c>
    </row>
    <row r="50" spans="1:5" s="41" customFormat="1" outlineLevel="1">
      <c r="A50" s="240" t="str">
        <f>"-* ko'chmas mulk egasi: "&amp;umumiy_malumot!C117&amp;""</f>
        <v>-* ko'chmas mulk egasi: QODIROVA NAFISA YO‘LDOSHEVNA</v>
      </c>
      <c r="B50" s="240"/>
      <c r="C50" s="240"/>
      <c r="D50" s="240"/>
      <c r="E50" s="240"/>
    </row>
    <row r="51" spans="1:5" s="41" customFormat="1" outlineLevel="1">
      <c r="A51" s="240" t="str">
        <f>"-* reestr raqami: "&amp;umumiy_malumot!C124&amp;""</f>
        <v>-* reestr raqami: 1726264/R-A4953178</v>
      </c>
      <c r="B51" s="240"/>
      <c r="C51" s="240"/>
      <c r="D51" s="240"/>
      <c r="E51" s="240"/>
    </row>
    <row r="52" spans="1:5" s="41" customFormat="1" outlineLevel="1">
      <c r="A52" s="240" t="str">
        <f>"-* kadastr raqami: "&amp;umumiy_malumot!C127&amp;""</f>
        <v>-* kadastr raqami: 05.06.2024 y. №10:02:02:01:02:6267:0001:032</v>
      </c>
      <c r="B52" s="240"/>
      <c r="C52" s="240"/>
      <c r="D52" s="240"/>
      <c r="E52" s="240"/>
    </row>
    <row r="53" spans="1:5" s="41" customFormat="1" ht="30.75" customHeight="1" outlineLevel="1">
      <c r="A53" s="240" t="str">
        <f>"-* manzili: "&amp;umumiy_malumot!C123&amp;""</f>
        <v>-* manzili: TOSHKENT SHAHAR BEKTEMIR TUMANI ROXAT KO'CHASI 12 UY 32 XONADON</v>
      </c>
      <c r="B53" s="240"/>
      <c r="C53" s="240"/>
      <c r="D53" s="240"/>
      <c r="E53" s="240"/>
    </row>
    <row r="54" spans="1:5" ht="3.75" customHeight="1">
      <c r="A54" s="240"/>
      <c r="B54" s="240"/>
      <c r="C54" s="240"/>
      <c r="D54" s="240"/>
      <c r="E54" s="240"/>
    </row>
    <row r="55" spans="1:5" ht="39" customHeight="1">
      <c r="A55" s="274" t="str">
        <f>""&amp;umumiy_malumot!B147&amp;"
mikromoliya tashkilotining Xulosasi"</f>
        <v>«PULLOL BUSINESS MIKROMOLIYA TASHKILOTI»  MChJ
mikromoliya tashkilotining Xulosasi</v>
      </c>
      <c r="B55" s="274"/>
      <c r="C55" s="274"/>
      <c r="D55" s="274"/>
      <c r="E55" s="274"/>
    </row>
    <row r="56" spans="1:5" ht="48" customHeight="1">
      <c r="A56" s="240" t="str">
        <f>""&amp;umumiy_malumot!B147&amp;" kredit qo‘mitasining xulosasiga quyidagi shartlarda "&amp;umumiy_malumot!B10&amp;"ga "&amp;umumiy_malumot!B65&amp;" berish masalasi kiritiladi:"</f>
        <v>«PULLOL BUSINESS MIKROMOLIYA TASHKILOTI»  MChJ kredit qo‘mitasining xulosasiga quyidagi shartlarda QODIROVA NAFISA YO‘LDOSHEVNAga Mikroqarz berish masalasi kiritiladi:</v>
      </c>
      <c r="B56" s="240"/>
      <c r="C56" s="240"/>
      <c r="D56" s="240"/>
      <c r="E56" s="240"/>
    </row>
    <row r="57" spans="1:5">
      <c r="A57" s="240" t="str">
        <f>A11</f>
        <v>Mikroqarz summasi: 50 000 000,00 (Ellik million so'm) so'm.</v>
      </c>
      <c r="B57" s="240"/>
      <c r="C57" s="240"/>
      <c r="D57" s="240"/>
      <c r="E57" s="240"/>
    </row>
    <row r="58" spans="1:5">
      <c r="A58" s="240" t="str">
        <f t="shared" ref="A58:A64" si="0">A12</f>
        <v>Mikroqarz muddati: 30 (o'ttiz) oy.</v>
      </c>
      <c r="B58" s="240"/>
      <c r="C58" s="240"/>
      <c r="D58" s="240"/>
      <c r="E58" s="240"/>
    </row>
    <row r="59" spans="1:5">
      <c r="A59" s="240" t="str">
        <f t="shared" si="0"/>
        <v>Mikroqarzdan foydalanganlik uchun foiz stavkasi: yillik  55% (Ellik besh  ) foiz</v>
      </c>
      <c r="B59" s="240"/>
      <c r="C59" s="240"/>
      <c r="D59" s="240"/>
      <c r="E59" s="240"/>
    </row>
    <row r="60" spans="1:5">
      <c r="A60" s="240" t="str">
        <f t="shared" si="0"/>
        <v>Mikroqarz bo'yicha asosiy qarz va foizlarni to'lash:</v>
      </c>
      <c r="B60" s="240"/>
      <c r="C60" s="240"/>
      <c r="D60" s="240"/>
      <c r="E60" s="240"/>
    </row>
    <row r="61" spans="1:5" ht="20.25" customHeight="1">
      <c r="A61" s="240" t="str">
        <f t="shared" si="0"/>
        <v xml:space="preserve"> - Mikroqarz shartnomasi bo'yicha har oy annuitet to'lovlari amalga oshiriladi</v>
      </c>
      <c r="B61" s="240"/>
      <c r="C61" s="240"/>
      <c r="D61" s="240"/>
      <c r="E61" s="240"/>
    </row>
    <row r="62" spans="1:5" ht="31.5" hidden="1" customHeight="1">
      <c r="A62" s="240" t="str">
        <f t="shared" si="0"/>
        <v xml:space="preserve">   </v>
      </c>
      <c r="B62" s="240"/>
      <c r="C62" s="240"/>
      <c r="D62" s="240"/>
      <c r="E62" s="240"/>
    </row>
    <row r="63" spans="1:5">
      <c r="A63" s="240" t="str">
        <f t="shared" si="0"/>
        <v>Mikroqarz ta’minoti::</v>
      </c>
      <c r="B63" s="240"/>
      <c r="C63" s="240"/>
      <c r="D63" s="240"/>
      <c r="E63" s="240"/>
    </row>
    <row r="64" spans="1:5" ht="56.25" customHeight="1">
      <c r="A64" s="240" t="str">
        <f t="shared" si="0"/>
        <v xml:space="preserve"> Egalik huquqi QODIROVA NAFISA YO‘LDOSHEVNAga tegishli bo'lgan qurilish osti maydoni - , umumiy maydoni - 49,55  va yashash maydoni  - 28,99 Ko'p qavatli uydagi xonadon, TOSHKENT SHAHAR BEKTEMIR TUMANI ROXAT KO'CHASI 12 UY 32 XONADON </v>
      </c>
      <c r="B64" s="240"/>
      <c r="C64" s="240"/>
      <c r="D64" s="240"/>
      <c r="E64" s="240"/>
    </row>
    <row r="65" spans="1:5">
      <c r="A65" s="240"/>
      <c r="B65" s="240"/>
      <c r="C65" s="240"/>
      <c r="D65" s="240"/>
      <c r="E65" s="240"/>
    </row>
    <row r="66" spans="1:5" ht="36.75" customHeight="1">
      <c r="A66" s="240" t="str">
        <f>""&amp;umumiy_malumot!B147&amp;" mikromoliya tashkilotining xulosasi  "&amp;TEXT(umumiy_malumot!B2,"ДД.ММ.ГГГГ")&amp;" y. tayyorlangan"</f>
        <v>«PULLOL BUSINESS MIKROMOLIYA TASHKILOTI»  MChJ mikromoliya tashkilotining xulosasi  02.02.2026 y. tayyorlangan</v>
      </c>
      <c r="B66" s="240"/>
      <c r="C66" s="240"/>
      <c r="D66" s="240"/>
      <c r="E66" s="240"/>
    </row>
    <row r="67" spans="1:5">
      <c r="A67" s="240"/>
      <c r="B67" s="240"/>
      <c r="C67" s="240"/>
      <c r="D67" s="240"/>
      <c r="E67" s="240"/>
    </row>
    <row r="68" spans="1:5" ht="15.75" customHeight="1">
      <c r="A68" s="250"/>
      <c r="B68" s="250"/>
      <c r="C68" s="250"/>
      <c r="D68" s="26"/>
      <c r="E68" s="27"/>
    </row>
    <row r="69" spans="1:5" ht="35.25" customHeight="1">
      <c r="A69" s="250" t="str">
        <f>umumiy_malumot!A161</f>
        <v>Kredit bo'yicha menejer</v>
      </c>
      <c r="B69" s="250"/>
      <c r="C69" s="250"/>
      <c r="D69" s="27"/>
      <c r="E69" s="27" t="str">
        <f>umumiy_malumot!B161</f>
        <v>Eshbekov S.O.</v>
      </c>
    </row>
    <row r="70" spans="1:5">
      <c r="A70" s="240"/>
      <c r="B70" s="240"/>
      <c r="C70" s="240"/>
      <c r="D70" s="240"/>
      <c r="E70" s="240"/>
    </row>
    <row r="71" spans="1:5" ht="47.25" customHeight="1">
      <c r="A71" s="240" t="str">
        <f>""&amp;umumiy_malumot!B147&amp;" mikromoliya tashkilotining Kredit qo‘mitasi a’zolari "&amp;umumiy_malumot!B147&amp;" mikromoliya tashkilotining xulosasi va Mijoz tomonidan taqdim etilgan ma’lumotlar bilan tanishdilar:"</f>
        <v>«PULLOL BUSINESS MIKROMOLIYA TASHKILOTI»  MChJ mikromoliya tashkilotining Kredit qo‘mitasi a’zolari «PULLOL BUSINESS MIKROMOLIYA TASHKILOTI»  MChJ mikromoliya tashkilotining xulosasi va Mijoz tomonidan taqdim etilgan ma’lumotlar bilan tanishdilar:</v>
      </c>
      <c r="B71" s="240"/>
      <c r="C71" s="240"/>
      <c r="D71" s="240"/>
      <c r="E71" s="240"/>
    </row>
    <row r="72" spans="1:5">
      <c r="A72" s="23"/>
      <c r="B72" s="23"/>
      <c r="C72" s="23"/>
      <c r="D72" s="23"/>
      <c r="E72" s="23"/>
    </row>
    <row r="73" spans="1:5">
      <c r="A73" s="250" t="str">
        <f>umumiy_malumot!B150</f>
        <v>Obidov A. Sh.</v>
      </c>
      <c r="B73" s="250"/>
      <c r="C73" s="23"/>
      <c r="D73" s="23"/>
      <c r="E73" s="23"/>
    </row>
    <row r="74" spans="1:5" hidden="1">
      <c r="A74" s="23"/>
      <c r="B74" s="23"/>
      <c r="C74" s="23"/>
      <c r="D74" s="23"/>
      <c r="E74" s="23"/>
    </row>
    <row r="75" spans="1:5" hidden="1">
      <c r="A75" s="250" t="str">
        <f>umumiy_malumot!B160</f>
        <v>Omanlikov O.O.</v>
      </c>
      <c r="B75" s="250"/>
      <c r="C75" s="26"/>
      <c r="D75" s="26"/>
      <c r="E75" s="26"/>
    </row>
    <row r="76" spans="1:5">
      <c r="A76" s="66"/>
      <c r="B76" s="66"/>
      <c r="C76" s="26"/>
      <c r="D76" s="26"/>
      <c r="E76" s="26"/>
    </row>
    <row r="77" spans="1:5" ht="21" customHeight="1">
      <c r="A77" s="240" t="str">
        <f>umumiy_malumot!B159</f>
        <v>Akramov R.N.</v>
      </c>
      <c r="B77" s="240"/>
      <c r="C77" s="240"/>
      <c r="D77" s="240"/>
      <c r="E77" s="240"/>
    </row>
  </sheetData>
  <mergeCells count="59">
    <mergeCell ref="A71:E71"/>
    <mergeCell ref="A77:E77"/>
    <mergeCell ref="A56:E56"/>
    <mergeCell ref="A57:E57"/>
    <mergeCell ref="A58:E58"/>
    <mergeCell ref="A59:E59"/>
    <mergeCell ref="A60:E60"/>
    <mergeCell ref="A61:E61"/>
    <mergeCell ref="A62:E62"/>
    <mergeCell ref="A63:E63"/>
    <mergeCell ref="A64:E64"/>
    <mergeCell ref="A65:E65"/>
    <mergeCell ref="A73:B73"/>
    <mergeCell ref="A75:B75"/>
    <mergeCell ref="A66:E66"/>
    <mergeCell ref="A67:E67"/>
    <mergeCell ref="A70:E70"/>
    <mergeCell ref="A33:E33"/>
    <mergeCell ref="A34:E34"/>
    <mergeCell ref="A35:E35"/>
    <mergeCell ref="A54:E54"/>
    <mergeCell ref="A55:E55"/>
    <mergeCell ref="E38:E48"/>
    <mergeCell ref="A50:E50"/>
    <mergeCell ref="A51:E51"/>
    <mergeCell ref="A52:E52"/>
    <mergeCell ref="A53:E53"/>
    <mergeCell ref="A68:C68"/>
    <mergeCell ref="A69:C69"/>
    <mergeCell ref="A32:E32"/>
    <mergeCell ref="A14:E14"/>
    <mergeCell ref="A15:E15"/>
    <mergeCell ref="A16:E16"/>
    <mergeCell ref="A17:E17"/>
    <mergeCell ref="A18:E18"/>
    <mergeCell ref="A27:E27"/>
    <mergeCell ref="A19:E19"/>
    <mergeCell ref="A20:E20"/>
    <mergeCell ref="A24:E24"/>
    <mergeCell ref="A25:E25"/>
    <mergeCell ref="A28:E28"/>
    <mergeCell ref="A29:E29"/>
    <mergeCell ref="A7:E7"/>
    <mergeCell ref="A8:E8"/>
    <mergeCell ref="A9:E9"/>
    <mergeCell ref="A26:E26"/>
    <mergeCell ref="A10:E10"/>
    <mergeCell ref="A11:E11"/>
    <mergeCell ref="A12:E12"/>
    <mergeCell ref="A13:E13"/>
    <mergeCell ref="A23:E23"/>
    <mergeCell ref="A22:E22"/>
    <mergeCell ref="A21:E21"/>
    <mergeCell ref="A6:E6"/>
    <mergeCell ref="A1:E1"/>
    <mergeCell ref="A2:E2"/>
    <mergeCell ref="A3:E3"/>
    <mergeCell ref="A4:E4"/>
    <mergeCell ref="A5:E5"/>
  </mergeCells>
  <conditionalFormatting sqref="A38:D49">
    <cfRule type="cellIs" dxfId="2" priority="1" operator="lessThan">
      <formula>0.1</formula>
    </cfRule>
    <cfRule type="cellIs" priority="2" operator="lessThan">
      <formula>0.1</formula>
    </cfRule>
  </conditionalFormatting>
  <pageMargins left="0.70866141732283472" right="0.70866141732283472" top="0.74803149606299213" bottom="0.74803149606299213" header="0.31496062992125984" footer="0.31496062992125984"/>
  <pageSetup paperSize="9" scale="95"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Лист3">
    <tabColor rgb="FF00B050"/>
  </sheetPr>
  <dimension ref="A1:K131"/>
  <sheetViews>
    <sheetView view="pageBreakPreview" topLeftCell="A19" zoomScaleNormal="55" zoomScaleSheetLayoutView="100" workbookViewId="0">
      <selection activeCell="A31" sqref="A31:B31"/>
    </sheetView>
  </sheetViews>
  <sheetFormatPr defaultColWidth="9.140625" defaultRowHeight="15.75"/>
  <cols>
    <col min="1" max="1" width="50.42578125" style="10" customWidth="1"/>
    <col min="2" max="2" width="57.42578125" style="10" customWidth="1"/>
    <col min="3" max="3" width="93.28515625" style="10" customWidth="1"/>
    <col min="4" max="7" width="9.140625" style="10" customWidth="1"/>
    <col min="8" max="8" width="111.5703125" style="10" customWidth="1"/>
    <col min="9" max="16" width="9.140625" style="10" customWidth="1"/>
    <col min="17" max="16384" width="9.140625" style="10"/>
  </cols>
  <sheetData>
    <row r="1" spans="1:3">
      <c r="A1" s="314" t="str">
        <f>""&amp;umumiy_malumot!B65&amp;" shartnoma "&amp;umumiy_malumot!B66&amp;""</f>
        <v>Mikroqarz shartnoma № 56</v>
      </c>
      <c r="B1" s="314"/>
    </row>
    <row r="3" spans="1:3">
      <c r="A3" s="314" t="str">
        <f>"Toshkent shahri                                                                               "&amp;umumiy_malumot!B70&amp;""</f>
        <v>Toshkent shahri                                                                               2 fevral 2026 y.</v>
      </c>
      <c r="B3" s="314"/>
    </row>
    <row r="4" spans="1:3">
      <c r="A4" s="82"/>
    </row>
    <row r="5" spans="1:3" ht="114.75" customHeight="1">
      <c r="A5" s="315" t="str">
        <f>""&amp;umumiy_malumot!B147&amp;", bundan buyon «Mikromoliya tashkiloti» deb nomlanuvchi, Ustav va 14.08.2023 yildagi 27-13/968-sonli Litsenziya asosida faoliyat yurituvchi "&amp;umumiy_malumot!A150&amp;" "&amp;umumiy_malumot!B150&amp;"  bir tomondan va o‘z manfaati yo‘lida hamda o‘z nomidan harakat qiluvchi O‘zbekiston Respublikasi fuqarosi "&amp;umumiy_malumot!B5&amp;"  (pasport raqami "&amp;umumiy_malumot!B16&amp;", "&amp;umumiy_malumot!C20&amp;" ), bundan buyon «Qarz oluvchi» deb nomlanuvchi, boshqa tomondan, birgalikda “Tomonlar” yoki alohida “Tomon” deb nomlanuvchilar, Qarz oluvchi tomonidan "&amp;TEXT(umumiy_malumot!B2,"ДД.ММ.ГГГГ")&amp;" yil,"&amp;umumiy_malumot!B65&amp;" olish uchun ariza berilganligini hisobga olib, ushbu "&amp;umumiy_malumot!B65&amp;" shartnomasini (bundan keyin – «Shartnoma») quyidagilar haqida tuzdilar:"</f>
        <v>«PULLOL BUSINESS MIKROMOLIYA TASHKILOTI»  MChJ, bundan buyon «Mikromoliya tashkiloti» deb nomlanuvchi, Ustav va 14.08.2023 yildagi 27-13/968-sonli Litsenziya asosida faoliyat yurituvchi Direktor Obidov A. Sh.  bir tomondan va o‘z manfaati yo‘lida hamda o‘z nomidan harakat qiluvchi O‘zbekiston Respublikasi fuqarosi QODIROVA NAFISA YO‘LDOSHEVNA  (pasport raqami AD 9088376, IIV 26296 tomonidan 21.10.2024 yilda berilgan ), bundan buyon «Qarz oluvchi» deb nomlanuvchi, boshqa tomondan, birgalikda “Tomonlar” yoki alohida “Tomon” deb nomlanuvchilar, Qarz oluvchi tomonidan 02.02.2026 yil,Mikroqarz olish uchun ariza berilganligini hisobga olib, ushbu Mikroqarz shartnomasini (bundan keyin – «Shartnoma») quyidagilar haqida tuzdilar:</v>
      </c>
      <c r="B5" s="315"/>
    </row>
    <row r="7" spans="1:3">
      <c r="A7" s="314" t="s">
        <v>255</v>
      </c>
      <c r="B7" s="314"/>
    </row>
    <row r="8" spans="1:3" ht="39.75" customHeight="1">
      <c r="A8" s="315" t="str">
        <f>"1.1. Mikromoliya tashkiloti Qarz oluvchiga umumiy miqdori "&amp;FIXED(umumiy_malumot!B75,2)&amp;" ("&amp;umumiy_malumot!B76&amp;") bo‘lgan "&amp;umumiy_malumot!B65&amp;"ni "&amp;umumiy_malumot!B71&amp;" dan "&amp;umumiy_malumot!B73&amp;" gacha bo'lgan muddatga naqd pul va/yoki o'tkazmasi shaklida ajratadi."</f>
        <v>1.1. Mikromoliya tashkiloti Qarz oluvchiga umumiy miqdori 50 000 000,00 (Ellik million so'm) bo‘lgan Mikroqarzni 2 fevral 2026 y. dan 2 avgust 2028 y. gacha bo'lgan muddatga naqd pul va/yoki o'tkazmasi shaklida ajratadi.</v>
      </c>
      <c r="B8" s="315"/>
    </row>
    <row r="9" spans="1:3" ht="36" customHeight="1">
      <c r="A9" s="315" t="str">
        <f>"1.2. Qarz oluvchi to‘lovlilik, muddatlilik va ta’minlanganlik tamoyillariga amal qilgan holda "&amp;umumiy_malumot!B65&amp;"dan foydalanish majburiyatini o‘z zimmasiga oladi."</f>
        <v>1.2. Qarz oluvchi to‘lovlilik, muddatlilik va ta’minlanganlik tamoyillariga amal qilgan holda Mikroqarzdan foydalanish majburiyatini o‘z zimmasiga oladi.</v>
      </c>
      <c r="B9" s="315"/>
    </row>
    <row r="10" spans="1:3">
      <c r="A10" s="36"/>
    </row>
    <row r="11" spans="1:3">
      <c r="A11" s="319" t="str">
        <f>"2. "&amp;umumiy_malumot!D64&amp;" BERISH VA QAYTARISH TARTIBI"</f>
        <v>2. Mikroqarz BERISH VA QAYTARISH TARTIBI</v>
      </c>
      <c r="B11" s="319"/>
      <c r="C11" s="80"/>
    </row>
    <row r="12" spans="1:3" ht="36" customHeight="1">
      <c r="A12" s="315" t="str">
        <f>"2.1. Ushbu Shartnomaning 1.1.-bandida ko‘rsatilgan summa miqdoridagi "&amp;umumiy_malumot!B65&amp;" Mikromoliya tashkiloti kassasidan naqd pul shaklida va/yoki plastik kartaga o‘tkazish yuli bilan beriladi."</f>
        <v>2.1. Ushbu Shartnomaning 1.1.-bandida ko‘rsatilgan summa miqdoridagi Mikroqarz Mikromoliya tashkiloti kassasidan naqd pul shaklida va/yoki plastik kartaga o‘tkazish yuli bilan beriladi.</v>
      </c>
      <c r="B12" s="315"/>
    </row>
    <row r="13" spans="1:3" ht="35.25" customHeight="1">
      <c r="A13" s="315" t="str">
        <f>"2.2. "&amp;umumiy_malumot!B65&amp;" berish ushbu Shartnoma tuzilgan va Qarz oluvchi tomonidan ushbu shartnomaning 3-bo‘limiga muvofiq garov ta'minoti ta'minlangandan so‘ng 10 kalendar kundan kechiktirmay amalga oshiriladi."</f>
        <v>2.2. Mikroqarz berish ushbu Shartnoma tuzilgan va Qarz oluvchi tomonidan ushbu shartnomaning 3-bo‘limiga muvofiq garov ta'minoti ta'minlangandan so‘ng 10 kalendar kundan kechiktirmay amalga oshiriladi.</v>
      </c>
      <c r="B13" s="315"/>
    </row>
    <row r="14" spans="1:3" ht="35.25" customHeight="1">
      <c r="A14" s="315" t="str">
        <f>"2.3. "&amp;umumiy_malumot!B65&amp;" Qarz oluvchi tomonidan ushbu Shartnomaning ajralmas qismi hisoblanadigan 1-ilovasida ko‘rsatilgan to‘lov jadvalida (bundan keyin - To‘lov jadvali) belgilangan miqdor, tartib va muddatlarda qaytariladi."</f>
        <v>2.3. Mikroqarz Qarz oluvchi tomonidan ushbu Shartnomaning ajralmas qismi hisoblanadigan 1-ilovasida ko‘rsatilgan to‘lov jadvalida (bundan keyin - To‘lov jadvali) belgilangan miqdor, tartib va muddatlarda qaytariladi.</v>
      </c>
      <c r="B14" s="315"/>
    </row>
    <row r="15" spans="1:3" ht="66" customHeight="1">
      <c r="A15" s="315" t="str">
        <f>"2.4. Mikromoliya tashkiloti, "&amp;umumiy_malumot!B65&amp;" berilgan vaqtdan boshlab, "&amp;umumiy_malumot!B65&amp;" miqdorining qoldiq summasiga "&amp;umumiy_malumot!B85&amp;"% ("&amp;umumiy_malumot!C86&amp;") foiz yillik va yiliga 365/366 kunlik hisobidan foizlar hisoblaydi. To'lov jadvaliga muvofiq asosiy qarz bo'yicha navbatdagi to'lov buzilgan hollarda, "&amp;"foiz stavkasi oshiriladi va  Mikromoliya tashkiloti "&amp;umumiy_malumot!B65&amp;"ning muddati o'tgan asosiy qarz summasiga yillik "&amp;umumiy_malumot!B88&amp;"% ("&amp;umumiy_malumot!B89&amp;") foiz miqdorida foizlar hisoblaydi."</f>
        <v>2.4. Mikromoliya tashkiloti, Mikroqarz berilgan vaqtdan boshlab, Mikroqarz miqdorining qoldiq summasiga 55% (Ellik besh  ) foiz yillik va yiliga 365/366 kunlik hisobidan foizlar hisoblaydi. To'lov jadvaliga muvofiq asosiy qarz bo'yicha navbatdagi to'lov buzilgan hollarda, foiz stavkasi oshiriladi va  Mikromoliya tashkiloti Mikroqarzning muddati o'tgan asosiy qarz summasiga yillik 155% (bir yuz ellik besh) foiz miqdorida foizlar hisoblaydi.</v>
      </c>
      <c r="B15" s="315"/>
    </row>
    <row r="16" spans="1:3" ht="163.5" customHeight="1">
      <c r="A16" s="315" t="s">
        <v>326</v>
      </c>
      <c r="B16" s="315"/>
    </row>
    <row r="17" spans="1:11" ht="161.25" customHeight="1">
      <c r="A17" s="315" t="str">
        <f>CONCATENATE(C17,H17,I17)</f>
        <v>2.6 Qarz oluvchi tomonidan to‘lov jadvalida ko‘rsatilgan muddatdan oldin xamda to‘lov jadvalida ko‘rsatilgan oylik kredit qarzdorligini so‘ndirish miqdoridan ko‘p miqdorda to‘lovni amalga oshirib, to‘langan pul mablag‘larini asosiy kredit qarzdorligini so‘ndirishga yo‘naltirilishini so‘ralganda qarz oluvchining kredit qarzdorligini so‘ndirish uchun to‘lagan pul mablag‘laridan kredit qarzdorligi to‘langan oy uchun to‘lov jadvali bo‘yicha so‘ndirilishi lozim bo‘lgan foiz qarzdorligi summasi, to‘lov jadvalida foiz qarzdorligi so‘ndirilishi ko‘rsatilgan muddatga qadar tashkilotning xisob raqamida saqlanib to‘lov jadvalida ko‘rsatilgan sanada oylik foiz qarzdorligini so‘ndirishga yo‘naltiriladi.
2.6.1. Qarz oluvchi tomonidan olingan Mikroqarzni va undan foydalanganlik uchun foizlarni qaytarish bo‘yicha muddati o‘tgan qarzdorlik hosil bo‘lganda Qarz oluvchi tomonidan ko‘rsatilgan qarzdorlikni to‘lash hisobiga to‘lanadigan summalar quyidagi tartibda hisobga olinadi:</v>
      </c>
      <c r="B17" s="315"/>
      <c r="C17" s="185" t="s">
        <v>329</v>
      </c>
      <c r="H17" s="10" t="str">
        <f>umumiy_malumot!B65</f>
        <v>Mikroqarz</v>
      </c>
      <c r="I17" s="10" t="s">
        <v>330</v>
      </c>
    </row>
    <row r="18" spans="1:11" ht="100.5" customHeight="1">
      <c r="A18" s="318" t="s">
        <v>369</v>
      </c>
      <c r="B18" s="318"/>
    </row>
    <row r="19" spans="1:11" ht="36" customHeight="1">
      <c r="A19" s="315" t="str">
        <f>"2.7. Qarz oluvchi Mikromoliya tashkilotining "&amp;umumiy_malumot!B65&amp;" bo‘yicha asosiy summasi, hisoblangan foizlarni, penya va boshqa moliyaviy talablarini ham naqd pul shaklida, ham naqdsiz shaklda qaytarib beradi."</f>
        <v>2.7. Qarz oluvchi Mikromoliya tashkilotining Mikroqarz bo‘yicha asosiy summasi, hisoblangan foizlarni, penya va boshqa moliyaviy talablarini ham naqd pul shaklida, ham naqdsiz shaklda qaytarib beradi.</v>
      </c>
      <c r="B19" s="315"/>
    </row>
    <row r="20" spans="1:11" ht="39" customHeight="1">
      <c r="A20" s="315" t="str">
        <f>"2.8. Qarz oluvchi "&amp;umumiy_malumot!B65&amp;" miqdorini muddatidan oldin qaytarish, shuningdek, bu haqida Mikromoliya tashkilotini albatta ogohlantirgan holda ulardan aniq foydalangan muddat uchun hisoblangan foizlarni to‘lash huquqiga ega."</f>
        <v>2.8. Qarz oluvchi Mikroqarz miqdorini muddatidan oldin qaytarish, shuningdek, bu haqida Mikromoliya tashkilotini albatta ogohlantirgan holda ulardan aniq foydalangan muddat uchun hisoblangan foizlarni to‘lash huquqiga ega.</v>
      </c>
      <c r="B20" s="315"/>
    </row>
    <row r="21" spans="1:11" ht="102.75" customHeight="1">
      <c r="A21" s="320" t="str">
        <f>CONCATENATE(C21,H21,I21)</f>
        <v>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olingan Markaziy bank Boshqaruvining 28.09.2019 y. 24/5-son qarori bilan tasdiqlangan), qarz yuki ko‘rsatkichi har bir qarz oluvchiga qarz beruvchi tomonidan Mikroqarz ajratishda uning summasi va qarz oluvchining amaldagi kredit (Mikroqarz) shartnomalari bo‘yicha asosiy qarz qoldig‘i yig‘indisi bazaviy hisoblash miqdorining 50 baravaridan oshganda hisoblanadi.</v>
      </c>
      <c r="B21" s="320"/>
      <c r="C21" s="10" t="str">
        <f>"2.9. Qarz oluvchi jismoniy shaxslarning kreditlar ("&amp;umumiy_malumot!B65&amp;"lar) bo‘yicha qarz yukini hisoblash tartibi, qarz yukining ruxsat etilgan miqdori, shuningdek qarz yuki o‘sishini cheklash to‘g‘risidagi Nizomga muvofiq (O’zbekiston Respublikasi Adliya vazirligi tomonidan 19.12.2019 y. 3205-son bilan ro‘yxatga "</f>
        <v xml:space="preserve">2.9. Qarz oluvchi jismoniy shaxslarning kreditlar (Mikroqarzlar) bo‘yicha qarz yukini hisoblash tartibi, qarz yukining ruxsat etilgan miqdori, shuningdek qarz yuki o‘sishini cheklash to‘g‘risidagi Nizomga muvofiq (O’zbekiston Respublikasi Adliya vazirligi tomonidan 19.12.2019 y. 3205-son bilan ro‘yxatga </v>
      </c>
      <c r="H21" s="10" t="str">
        <f>"olingan Markaziy bank Boshqaruvining 28.09.2019 y. 24/5-son qarori bilan tasdiqlangan), qarz yuki ko‘rsatkichi har bir qarz oluvchiga qarz beruvchi tomonidan "&amp;umumiy_malumot!B65&amp;" ajratishda uning summasi va "</f>
        <v xml:space="preserve">olingan Markaziy bank Boshqaruvining 28.09.2019 y. 24/5-son qarori bilan tasdiqlangan), qarz yuki ko‘rsatkichi har bir qarz oluvchiga qarz beruvchi tomonidan Mikroqarz ajratishda uning summasi va </v>
      </c>
      <c r="I21" s="10" t="str">
        <f>"qarz oluvchining amaldagi kredit ("&amp;umumiy_malumot!B65&amp;") shartnomalari bo‘yicha asosiy qarz qoldig‘i yig‘indisi bazaviy hisoblash miqdorining 50 baravaridan oshganda hisoblanadi."</f>
        <v>qarz oluvchining amaldagi kredit (Mikroqarz) shartnomalari bo‘yicha asosiy qarz qoldig‘i yig‘indisi bazaviy hisoblash miqdorining 50 baravaridan oshganda hisoblanadi.</v>
      </c>
    </row>
    <row r="22" spans="1:11">
      <c r="A22" s="319" t="str">
        <f>"3. "&amp;umumiy_malumot!D64&amp;" TA'MINOTI BO‘YICHA "</f>
        <v xml:space="preserve">3. Mikroqarz TA'MINOTI BO‘YICHA </v>
      </c>
      <c r="B22" s="319"/>
    </row>
    <row r="23" spans="1:11" ht="19.5" customHeight="1">
      <c r="A23" s="315" t="str">
        <f>"3.1. Ushbu Shartnoma bo‘yicha taqdim etilgan "&amp;umumiy_malumot!B65&amp;" quyidagi garov bilan ta'minlanadi:"</f>
        <v>3.1. Ushbu Shartnoma bo‘yicha taqdim etilgan Mikroqarz quyidagi garov bilan ta'minlanadi:</v>
      </c>
      <c r="B23" s="315"/>
    </row>
    <row r="24" spans="1:11" ht="117" customHeight="1">
      <c r="A24" s="316" t="str">
        <f>IF(umumiy_malumot!B103=umumiy_malumot!C103,shartnoma!A28,IF(umumiy_malumot!B103=umumiy_malumot!D103,shartnoma!A25,0))</f>
        <v>3.1.1. Mikromoliya tashkiloti va Qarz oluvchi tomonidan 2026 yil 2 fevralda imzolangan 1-sonli Garov predmeti qiymatini tasdiqlash dalolatnomasiga muvofiq TOSHKENT SHAHAR BEKTEMIR TUMANI ROXAT KO'CHASI 12 UY 32 XONADON manzilida joylashgan,  qurilish osti maydoni - , umumiy maydoni - 49,55, yashash maydoni - 28,99 bo'lgan, Ko'p qavatli uydagi xonadon -  ko'rinishidagi ko'chmas mulk (bundan keyin “Garov predmeti”), egalik huquqiga ko'ra  QODIROVA NAFISA YO‘LDOSHEVNAga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4" s="316"/>
    </row>
    <row r="25" spans="1:11" ht="129" hidden="1" customHeight="1">
      <c r="A25" s="315" t="str">
        <f>IF(umumiy_malumot!B92=umumiy_malumot!C92,shartnoma!A27,IF(umumiy_malumot!B92=umumiy_malumot!D92,shartnoma!A26,0))</f>
        <v>3.1.1. Mikromoliya tashkiloti va Qarz oluvchi tomonidan 2026 yil 2 fevralda imzolangan 1-sonli Garov predmeti qiymatini tasdiqlash dalolatnomasiga muvofiq TOSHKENT SHAHAR BEKTEMIR TUMANI ROXAT KO'CHASI 12 UY 32 XONADON manzilida joylashgan,  qurilish osti maydoni - , umumiy maydoni - 49,55, yashash maydoni - 28,99 bo'lgan, Ko'p qavatli uydagi xonadon -  ko'rinishidagi ko'chmas mulk (bundan keyin “Garov predmeti”), egalik huquqiga ko'ra  QODIROVA NAFISA YO‘LDOSHEVNAga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5" s="315"/>
    </row>
    <row r="26" spans="1:11" ht="129.75" hidden="1" customHeight="1">
      <c r="A26" s="316" t="str">
        <f>"3.1.1. "&amp;umumiy_malumot!N126&amp;" tomonidan "&amp;umumiy_malumot!B143&amp;" yil "&amp;umumiy_malumot!B145&amp;" "&amp;umumiy_malumot!B144&amp;"da imzolangan 1-sonli navbatdagi garov predmeti qiymatini tasdiqlash dalolatnomasiga muvofiq "&amp;umumiy_malumot!C123&amp;" manzilida joylashgan, "&amp;umumiy_malumot!E126&amp;" bo'lgan, "&amp;umumiy_malumot!E125&amp;" ko'rinishidagi ko'chmas mulk (bundan keyin “navbatdagi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va Qarz oluvchi tomonidan 2026 yil 2 fevralda imzolangan 1-sonli navbatdagi garov predmeti qiymatini tasdiqlash dalolatnomasiga muvofiq TOSHKENT SHAHAR BEKTEMIR TUMANI ROXAT KO'CHASI 12 UY 32 XONADON manzilida joylashgan,  qurilish osti maydoni - , umumiy maydoni - 49,55, yashash maydoni - 28,99 bo'lgan, Ko'p qavatli uydagi xonadon -  ko'rinishidagi ko'chmas mulk (bundan keyin “navbatdagi garov predmeti”), egalik huquqiga ko'ra  QODIROVA NAFISA YO‘LDOSHEVNAga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6" s="316"/>
    </row>
    <row r="27" spans="1:11" ht="131.25" hidden="1" customHeight="1">
      <c r="A27" s="317" t="str">
        <f>"3.1.1. "&amp;umumiy_malumot!N126&amp;" tomonidan "&amp;umumiy_malumot!B143&amp;" yil "&amp;umumiy_malumot!B145&amp;" "&amp;umumiy_malumot!B144&amp;"da imzolangan 1-sonli Garov predmeti qiymatini tasdiqlash dalolatnomasiga muvofiq "&amp;umumiy_malumot!C123&amp;" manzilida joylashgan, "&amp;umumiy_malumot!E126&amp;" bo'lgan, "&amp;umumiy_malumot!E125&amp;" ko'rinishidagi ko'chmas mulk (bundan keyin “Garov predmeti”), egalik huquqiga ko'ra  "&amp;umumiy_malumot!C117&amp;"ga tegishli va kelishilgan garov qiymati "&amp;umumiy_malumot!B143&amp;" yil "&amp;umumiy_malumot!B145&amp;" "&amp;umumiy_malumot!B144&amp;"da imzolangan 1-sonli Garov predmeti qiymatini tasdiqlash dalolatnomasiga muvofiq "&amp;FIXED(umumiy_malumot!B136,2)&amp;" ("&amp;umumiy_malumot!B138&amp;") so'mni tashkil qiladi. Garovning aniq shartlari tegishli tarzda notarial tasdiqlangan garov shartnomasi bilan belgilangan."</f>
        <v>3.1.1. Mikromoliya tashkiloti va Qarz oluvchi tomonidan 2026 yil 2 fevralda imzolangan 1-sonli Garov predmeti qiymatini tasdiqlash dalolatnomasiga muvofiq TOSHKENT SHAHAR BEKTEMIR TUMANI ROXAT KO'CHASI 12 UY 32 XONADON manzilida joylashgan,  qurilish osti maydoni - , umumiy maydoni - 49,55, yashash maydoni - 28,99 bo'lgan, Ko'p qavatli uydagi xonadon -  ko'rinishidagi ko'chmas mulk (bundan keyin “Garov predmeti”), egalik huquqiga ko'ra  QODIROVA NAFISA YO‘LDOSHEVNAga tegishli va kelishilgan garov qiymati 2026 yil 2 fevralda imzolangan 1-sonli Garov predmeti qiymatini tasdiqlash dalolatnomasiga muvofiq 70 000 000,00 (yetmish million so'm) so'mni tashkil qiladi. Garovning aniq shartlari tegishli tarzda notarial tasdiqlangan garov shartnomasi bilan belgilangan.</v>
      </c>
      <c r="B27" s="317"/>
    </row>
    <row r="28" spans="1:11" ht="114" hidden="1" customHeight="1">
      <c r="A28" s="316" t="str">
        <f>IF(umumiy_malumot!B92=umumiy_malumot!C92,A29,IF(umumiy_malumot!B92=umumiy_malumot!D92,A30,0))</f>
        <v>3.1.1. Mikromoliya tashkiloti va Qarz oluvchi tomonidan 2026 yil 2 fevralda imzolangan 1-sonli garov predmeti qiymatini tasdiqlash dalolatnomasiga muvofiq  rangli, ishlab chiqarilgan yili –  yil,  dvigatel raqami , shassi - ,  kuzov turi - , kuzov raqami №, davlat raqam belgisi  bo'lgan  rusumli avtomashinasi (bundan keyin “Garov predmeti”), egalik huquqiga ega  QODIROVA NAFISA YO‘LDOSHEVNAga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8" s="316"/>
      <c r="K28" s="10" t="s">
        <v>323</v>
      </c>
    </row>
    <row r="29" spans="1:11" ht="114.75" hidden="1" customHeight="1">
      <c r="A29" s="316" t="str">
        <f>"3.1.1. "&amp;umumiy_malumot!N126&amp;" tomonidan "&amp;umumiy_malumot!B143&amp;" yil "&amp;umumiy_malumot!B145&amp;" "&amp;umumiy_malumot!B144&amp;"da imzolangan 1-sonli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va Qarz oluvchi tomonidan 2026 yil 2 fevralda imzolangan 1-sonli garov predmeti qiymatini tasdiqlash dalolatnomasiga muvofiq  rangli, ishlab chiqarilgan yili –  yil,  dvigatel raqami , shassi - ,  kuzov turi - , kuzov raqami №, davlat raqam belgisi  bo'lgan  rusumli avtomashinasi (bundan keyin “Garov predmeti”), egalik huquqiga ega  QODIROVA NAFISA YO‘LDOSHEVNAga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29" s="316"/>
    </row>
    <row r="30" spans="1:11" ht="1.5" customHeight="1">
      <c r="A30" s="322" t="str">
        <f>"3.1.1. "&amp;umumiy_malumot!N126&amp;" tomonidan "&amp;umumiy_malumot!B143&amp;" yil "&amp;umumiy_malumot!B145&amp;" "&amp;umumiy_malumot!B144&amp;"da imzolangan 1-sonli navbatdagi garov predmeti qiymatini tasdiqlash dalolatnomasiga muvofiq "&amp;umumiy_malumot!B134&amp;" rangli, ishlab chiqarilgan yili – "&amp;umumiy_malumot!B135&amp;" yil,  dvigatel raqami "&amp;umumiy_malumot!B131&amp;", shassi - "&amp;umumiy_malumot!B132&amp;",  kuzov turi - "&amp;umumiy_malumot!B128&amp;", kuzov raqami №"&amp;umumiy_malumot!B129&amp;", davlat raqam belgisi "&amp;umumiy_malumot!B126&amp;" bo'lgan "&amp;umumiy_malumot!B125&amp;" rusumli avtomashinasi (bundan keyin “navbatdagi garov predmeti”), egalik huquqiga ega  "&amp;umumiy_malumot!B117&amp;"ga tegishli va kelishilgan garov qiymati "&amp;umumiy_malumot!B143&amp;" yil "&amp;umumiy_malumot!B145&amp;" "&amp;umumiy_malumot!B144&amp;"da imzolangan 1-sonli Garov predmeti qiymatini tasdiqlash dalolatnomasiga muvifiq "&amp;FIXED(umumiy_malumot!B136,2)&amp;" ("&amp;umumiy_malumot!B138&amp;") so'mni tashkil qiladi. Garov garovining aniq shartlari tegishli notarial rasmiylashtirilgan garov shartnomasi bilan belgilanadi."</f>
        <v>3.1.1. Mikromoliya tashkiloti va Qarz oluvchi tomonidan 2026 yil 2 fevralda imzolangan 1-sonli navbatdagi garov predmeti qiymatini tasdiqlash dalolatnomasiga muvofiq  rangli, ishlab chiqarilgan yili –  yil,  dvigatel raqami , shassi - ,  kuzov turi - , kuzov raqami №, davlat raqam belgisi  bo'lgan  rusumli avtomashinasi (bundan keyin “navbatdagi garov predmeti”), egalik huquqiga ega  QODIROVA NAFISA YO‘LDOSHEVNAga tegishli va kelishilgan garov qiymati 2026 yil 2 fevralda imzolangan 1-sonli Garov predmeti qiymatini tasdiqlash dalolatnomasiga muvifiq 70 000 000,00 (yetmish million so'm) so'mni tashkil qiladi. Garov garovining aniq shartlari tegishli notarial rasmiylashtirilgan garov shartnomasi bilan belgilanadi.</v>
      </c>
      <c r="B30" s="322"/>
    </row>
    <row r="31" spans="1:11" ht="117" customHeight="1">
      <c r="A31" s="321" t="str">
        <f>CONCATENATE(A32,B32)</f>
        <v>3.2. Qonun hujjatlariga muvofiq rasmiylashtirilgan, “Garov predmeti” hisoblangan notarial tasdiqlangan garov shartnomasi, shu jumladan “Garov predmeti”ga taʼqiq quyilganligi tasdiqlovchi xujjat Qarz oluvchi tomonidan ushbu shartnoma tuzilgandan so‘ng 10 bank kuni mobaynida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c r="B31" s="321"/>
    </row>
    <row r="32" spans="1:11" ht="94.5" hidden="1">
      <c r="A32" s="192" t="s">
        <v>351</v>
      </c>
      <c r="B32" s="36" t="str">
        <f>CONCATENATE(A33,B33)</f>
        <v xml:space="preserve"> Mikromoliya tashkilotiga taqdim etilishi lozim. Garov shartnomasi belgilangan muddatda taqdim etilmagan hollarda, Mikromoliya tashkiloti Qarz oluvchining manziliga yozma bildirishnoma yuborish orqali Mikroqarz berishni rad etish va / yoki ushbu shartnomani bir tomonlama bekor qilish huquqiga egadir. Bunda ushbu shartnoma Qarz oluvchi tomonidan talabnoma olingan vaqtda yoki talabnoma pochta  xizmati orqali yuborilgandan keyin uchinchi kuni bekor qilingan hisoblanadi.</v>
      </c>
    </row>
    <row r="33" spans="1:8" ht="78.75" hidden="1">
      <c r="A33" s="192" t="str">
        <f>" Mikromoliya tashkilotiga taqdim etilishi lozim. Garov shartnomasi belgilangan muddatda taqdim etilmagan hollarda, Mikromoliya tashkiloti Qarz oluvchining manziliga yozma bildirishnoma yuborish orqali "&amp;umumiy_malumot!B65&amp;""</f>
        <v xml:space="preserve"> Mikromoliya tashkilotiga taqdim etilishi lozim. Garov shartnomasi belgilangan muddatda taqdim etilmagan hollarda, Mikromoliya tashkiloti Qarz oluvchining manziliga yozma bildirishnoma yuborish orqali Mikroqarz</v>
      </c>
      <c r="B33" s="36" t="s">
        <v>332</v>
      </c>
    </row>
    <row r="34" spans="1:8" ht="85.5" customHeight="1">
      <c r="A34" s="321" t="s">
        <v>259</v>
      </c>
      <c r="B34" s="321"/>
    </row>
    <row r="35" spans="1:8" ht="84" customHeight="1">
      <c r="A35" s="321" t="s">
        <v>311</v>
      </c>
      <c r="B35" s="321"/>
    </row>
    <row r="37" spans="1:8">
      <c r="A37" s="324" t="s">
        <v>310</v>
      </c>
      <c r="B37" s="324"/>
      <c r="C37" s="93"/>
    </row>
    <row r="38" spans="1:8">
      <c r="A38" s="323" t="s">
        <v>309</v>
      </c>
      <c r="B38" s="323"/>
    </row>
    <row r="39" spans="1:8" ht="101.25" customHeight="1">
      <c r="A39" s="321" t="str">
        <f>CONCATENATE(C39,H39)</f>
        <v>4.1.1. Ushbu Shartnomada ko‘rsatilgan asoslar bo‘yicha Qarz oluvchiga Shartnomada ko‘zda tutilgan Mikroqarz summasini berilishini to‘liq yoki qisman rad etish.
4.1.2 “Mikromoliya Tashkiloti” qarz oluvchining nomidagi barcha plastik kartalaridan, xozirgi kunda mavjud va bundan so‘ng ochiladigan barcha xisob raqamlaridan (talab qilib olguncha, depozit jamg‘arib boriladigan plastik va boshqa istalgan xisob raqamlaridan) kredit to‘lovini kredit qaytarish jadvaliga asosan oyning kredit qarzdorligi qaytarilishi ko‘rsatilgan kuni akseptsiz tarzda yechib olish xuquqiga ega.</v>
      </c>
      <c r="B39" s="321"/>
      <c r="C39" s="10" t="str">
        <f>"4.1.1. Ushbu Shartnomada ko‘rsatilgan asoslar bo‘yicha Qarz oluvchiga Shartnomada ko‘zda tutilgan "&amp;umumiy_malumot!B65&amp;""</f>
        <v>4.1.1. Ushbu Shartnomada ko‘rsatilgan asoslar bo‘yicha Qarz oluvchiga Shartnomada ko‘zda tutilgan Mikroqarz</v>
      </c>
      <c r="H39" s="185" t="s">
        <v>333</v>
      </c>
    </row>
    <row r="40" spans="1:8" ht="39" customHeight="1">
      <c r="A40" s="321" t="str">
        <f>"4.1.2.1. "&amp;umumiy_malumot!C64&amp;" bo‘yicha qolgan barcha qarzdorlik, foiz to‘lovlarining muddatidan oldin qaytarilishini talab qilish, shuningdek, quyidagi holatlardan biri yuzaga kelganda undirishni garov ta'minotiga qaratish:"</f>
        <v>4.1.2.1. Mikrokredit bo‘yicha qolgan barcha qarzdorlik, foiz to‘lovlarining muddatidan oldin qaytarilishini talab qilish, shuningdek, quyidagi holatlardan biri yuzaga kelganda undirishni garov ta'minotiga qaratish:</v>
      </c>
      <c r="B40" s="321"/>
    </row>
    <row r="41" spans="1:8">
      <c r="A41" s="321" t="s">
        <v>312</v>
      </c>
      <c r="B41" s="321"/>
    </row>
    <row r="42" spans="1:8" ht="20.25" customHeight="1">
      <c r="A42" s="321" t="str">
        <f>"b) "&amp;umumiy_malumot!B65&amp;" summasiga hisoblanadigan asosiy qarz bo‘yicha muddati o‘tgan qarzdorlik va/yoki foizlarning yuzaga kelishi;"</f>
        <v>b) Mikroqarz summasiga hisoblanadigan asosiy qarz bo‘yicha muddati o‘tgan qarzdorlik va/yoki foizlarning yuzaga kelishi;</v>
      </c>
      <c r="B42" s="321"/>
    </row>
    <row r="43" spans="1:8" ht="37.5" customHeight="1">
      <c r="A43" s="321" t="s">
        <v>313</v>
      </c>
      <c r="B43" s="321"/>
    </row>
    <row r="44" spans="1:8" ht="52.5" customHeight="1">
      <c r="A44" s="321" t="s">
        <v>314</v>
      </c>
      <c r="B44" s="321"/>
    </row>
    <row r="45" spans="1:8" ht="19.5" customHeight="1">
      <c r="A45" s="321" t="s">
        <v>315</v>
      </c>
      <c r="B45" s="321"/>
    </row>
    <row r="46" spans="1:8" ht="51.75" customHeight="1">
      <c r="A46" s="321" t="str">
        <f>"f) Qarz oluvchi "&amp;umumiy_malumot!B65&amp;" summasini olish uchun Mikromoliya tashkilotiga "&amp;umumiy_malumot!B65&amp;" taqdim etilishi to‘g‘risida ijobiy qaror qabul qilinishi uchun muhim hisoblangan masalalar bo‘yicha yolg‘on yoki to‘liq bo‘lmagan ma'lumotlarni taqdim etganligi aniqlanganda."</f>
        <v>f) Qarz oluvchi Mikroqarz summasini olish uchun Mikromoliya tashkilotiga Mikroqarz taqdim etilishi to‘g‘risida ijobiy qaror qabul qilinishi uchun muhim hisoblangan masalalar bo‘yicha yolg‘on yoki to‘liq bo‘lmagan ma'lumotlarni taqdim etganligi aniqlanganda.</v>
      </c>
      <c r="B46" s="321"/>
    </row>
    <row r="47" spans="1:8" ht="33.75" customHeight="1">
      <c r="A47" s="321" t="s">
        <v>308</v>
      </c>
      <c r="B47" s="321"/>
    </row>
    <row r="48" spans="1:8" ht="36.75" customHeight="1">
      <c r="A48" s="321" t="s">
        <v>307</v>
      </c>
      <c r="B48" s="321"/>
      <c r="C48" s="192"/>
    </row>
    <row r="49" spans="1:8" ht="100.5" customHeight="1">
      <c r="A49" s="315" t="s">
        <v>306</v>
      </c>
      <c r="B49" s="315"/>
      <c r="C49" s="192"/>
    </row>
    <row r="50" spans="1:8" ht="70.5" customHeight="1">
      <c r="A50" s="315" t="s">
        <v>305</v>
      </c>
      <c r="B50" s="315"/>
      <c r="C50" s="192"/>
    </row>
    <row r="51" spans="1:8" ht="39.75" customHeight="1">
      <c r="A51" s="315" t="str">
        <f>"4.1.7. Qarz oluvchini oldindan ogohlantirmasdan "&amp;umumiy_malumot!B65&amp;"ni qaytarish uchun haqiqatdan ham garov ta'minoti mavjudligini tekshirishni amalga oshirish."</f>
        <v>4.1.7. Qarz oluvchini oldindan ogohlantirmasdan Mikroqarzni qaytarish uchun haqiqatdan ham garov ta'minoti mavjudligini tekshirishni amalga oshirish.</v>
      </c>
      <c r="B51" s="315"/>
      <c r="C51" s="192"/>
    </row>
    <row r="52" spans="1:8" ht="33" customHeight="1">
      <c r="A52" s="315" t="s">
        <v>316</v>
      </c>
      <c r="B52" s="315"/>
      <c r="C52" s="192"/>
    </row>
    <row r="53" spans="1:8" ht="39.75" customHeight="1">
      <c r="A53" s="315" t="s">
        <v>304</v>
      </c>
      <c r="B53" s="315"/>
      <c r="C53" s="192"/>
    </row>
    <row r="54" spans="1:8" ht="50.25" customHeight="1">
      <c r="A54" s="315" t="str">
        <f>CONCATENATE(C54,H54)</f>
        <v>4.1.10. Qarz oluvchi taqdim etilgan Mikroqarzdan Shartnoma tuzilgan kundan boshlab 1 (bir) oy davomida foydalanmagan holatlarda, bu haqda Qarz oluvchini yozma ravishda xabardor qilib, Shartnoma bir tomonlama bekor qilish. Yozma xabarni jo‘natish sanasi uni taqdim etish yoki pochta orqali jo‘natish sanasi hisoblanadi.</v>
      </c>
      <c r="B54" s="315"/>
      <c r="C54" s="192" t="str">
        <f>"4.1.10. Qarz oluvchi taqdim etilgan "&amp;umumiy_malumot!B65&amp;"dan Shartnoma tuzilgan kundan boshlab 1 (bir) oy davomida foydalanmagan"</f>
        <v>4.1.10. Qarz oluvchi taqdim etilgan Mikroqarzdan Shartnoma tuzilgan kundan boshlab 1 (bir) oy davomida foydalanmagan</v>
      </c>
      <c r="H54" s="10" t="s">
        <v>334</v>
      </c>
    </row>
    <row r="55" spans="1:8" ht="19.5" customHeight="1">
      <c r="A55" s="315" t="str">
        <f>"4.1.11. Oldingi "&amp;umumiy_malumot!B65&amp;" to‘liq to‘lanmagunga qadar yangi "&amp;umumiy_malumot!B65&amp;" berishni rad etish."</f>
        <v>4.1.11. Oldingi Mikroqarz to‘liq to‘lanmagunga qadar yangi Mikroqarz berishni rad etish.</v>
      </c>
      <c r="B55" s="315"/>
      <c r="C55" s="192"/>
    </row>
    <row r="57" spans="1:8">
      <c r="A57" s="319" t="s">
        <v>303</v>
      </c>
      <c r="B57" s="319"/>
      <c r="C57" s="191"/>
    </row>
    <row r="58" spans="1:8">
      <c r="A58" s="325" t="s">
        <v>302</v>
      </c>
      <c r="B58" s="325"/>
      <c r="C58" s="193"/>
    </row>
    <row r="59" spans="1:8" ht="36" customHeight="1">
      <c r="A59" s="315" t="str">
        <f>"5.1.1. Ushbu shartnomada nazarda tutilgan shartlar bo‘yicha "&amp;umumiy_malumot!B65&amp;" olish, shuningdek, Mikromoliya tashkiloti tomonidan ko‘rsatiladigan pullik xizmatlardan foydalanish."</f>
        <v>5.1.1. Ushbu shartnomada nazarda tutilgan shartlar bo‘yicha Mikroqarz olish, shuningdek, Mikromoliya tashkiloti tomonidan ko‘rsatiladigan pullik xizmatlardan foydalanish.</v>
      </c>
      <c r="B59" s="315"/>
      <c r="C59" s="192"/>
    </row>
    <row r="60" spans="1:8" ht="36.75" customHeight="1">
      <c r="A60" s="315" t="str">
        <f>"5.1.2. Shartnoma tuzilgan kundan boshlab 2 (ikki) hafta mobaynida Mikromoliya tashkilotiga bu haqda yozma xabarnoma yo‘llash orqali "&amp;umumiy_malumot!B65&amp;"ning foydalanilmagan summasidan voz kechish."</f>
        <v>5.1.2. Shartnoma tuzilgan kundan boshlab 2 (ikki) hafta mobaynida Mikromoliya tashkilotiga bu haqda yozma xabarnoma yo‘llash orqali Mikroqarzning foydalanilmagan summasidan voz kechish.</v>
      </c>
      <c r="B60" s="315"/>
      <c r="C60" s="192"/>
    </row>
    <row r="61" spans="1:8" ht="17.25" customHeight="1">
      <c r="A61" s="315" t="str">
        <f>"5.1.3. "&amp;umumiy_malumot!C64&amp;" xizmatlari ko‘rsatish qoidalari bilan tanishish."</f>
        <v>5.1.3. Mikrokredit xizmatlari ko‘rsatish qoidalari bilan tanishish.</v>
      </c>
      <c r="B61" s="315"/>
      <c r="C61" s="192"/>
    </row>
    <row r="62" spans="1:8" ht="36" customHeight="1">
      <c r="A62" s="315" t="str">
        <f>"5.1.4. O‘z huquq va majburiyatlari, shu jumladan "&amp;umumiy_malumot!B65&amp;" xizmatlari ko‘rsatish bilan bog‘liq barcha xarajatlar haqida aniq va to‘liq ma'lumot olish."</f>
        <v>5.1.4. O‘z huquq va majburiyatlari, shu jumladan Mikroqarz xizmatlari ko‘rsatish bilan bog‘liq barcha xarajatlar haqida aniq va to‘liq ma'lumot olish.</v>
      </c>
      <c r="B62" s="315"/>
      <c r="C62" s="192"/>
    </row>
    <row r="63" spans="1:8" ht="33.75" customHeight="1">
      <c r="A63" s="315" t="s">
        <v>317</v>
      </c>
      <c r="B63" s="315"/>
      <c r="C63" s="192"/>
    </row>
    <row r="64" spans="1:8">
      <c r="A64" s="325" t="s">
        <v>301</v>
      </c>
      <c r="B64" s="325"/>
      <c r="C64" s="193"/>
    </row>
    <row r="65" spans="1:8" ht="37.5" customHeight="1">
      <c r="A65" s="315" t="str">
        <f>"5.2.1. Mikromoliya tashkilotining birinchi talabi bilan zarur hujjatlar, shuningdek "&amp;umumiy_malumot!B65&amp;"dan foydalanishning butun davri davomida uning moliyaviy holati va to‘lash qobiliyatiga tegishli bo‘lgan ma'lumotlarni taqdim etish."</f>
        <v>5.2.1. Mikromoliya tashkilotining birinchi talabi bilan zarur hujjatlar, shuningdek Mikroqarzdan foydalanishning butun davri davomida uning moliyaviy holati va to‘lash qobiliyatiga tegishli bo‘lgan ma'lumotlarni taqdim etish.</v>
      </c>
      <c r="B65" s="315"/>
      <c r="C65" s="192"/>
    </row>
    <row r="66" spans="1:8" ht="39.75" customHeight="1">
      <c r="A66" s="315" t="s">
        <v>318</v>
      </c>
      <c r="B66" s="315"/>
      <c r="C66" s="192"/>
    </row>
    <row r="67" spans="1:8" ht="27" customHeight="1">
      <c r="A67" s="315" t="str">
        <f>"5.2.3. To‘lov jadvaliga muvofiq "&amp;umumiy_malumot!B65&amp;", shuningdek hisoblangan foizlar to‘lovlarini amalga oshirish."</f>
        <v>5.2.3. To‘lov jadvaliga muvofiq Mikroqarz, shuningdek hisoblangan foizlar to‘lovlarini amalga oshirish.</v>
      </c>
      <c r="B67" s="315"/>
      <c r="C67" s="192"/>
    </row>
    <row r="68" spans="1:8" ht="84" customHeight="1">
      <c r="A68" s="315" t="str">
        <f>CONCATENATE(C68,H68)</f>
        <v>5.2.4. Mikromoliya tashkiloti vakillariga o‘zlarining moliyaviy holati, yashash joyini tekshirishga, Mikromoliya tashkiloti foydasiga garovga qo‘yilgan mol-mulk saqlanishini tekshirishga ruxsat berish, shuningdek Qarz oluvchi ob'ektlaridan istalganiga tashrif buyurish va har qanday bino, inshoot, mol-mulk, asbob-uskunalar, tovarlar va xizmatlar, shuningdek ularning Mikroqarz mablag‘lari hisobiga moliyalashtirilgan hujjatlarni ko‘zdan kechirish va Mikromoliya tashkiloti tomonidan ushbu huquqni amalga oshirishga to‘sqinlik qilmaslik majburiyatini oladi.</v>
      </c>
      <c r="B68" s="315"/>
      <c r="C68" s="192" t="s">
        <v>335</v>
      </c>
      <c r="H68" s="10" t="str">
        <f>" "&amp;umumiy_malumot!B65&amp;" mablag‘lari hisobiga moliyalashtirilgan hujjatlarni ko‘zdan kechirish va Mikromoliya tashkiloti tomonidan ushbu huquqni amalga oshirishga to‘sqinlik qilmaslik majburiyatini oladi."</f>
        <v xml:space="preserve"> Mikroqarz mablag‘lari hisobiga moliyalashtirilgan hujjatlarni ko‘zdan kechirish va Mikromoliya tashkiloti tomonidan ushbu huquqni amalga oshirishga to‘sqinlik qilmaslik majburiyatini oladi.</v>
      </c>
    </row>
    <row r="69" spans="1:8" ht="49.5" customHeight="1">
      <c r="A69" s="315" t="s">
        <v>319</v>
      </c>
      <c r="B69" s="315"/>
      <c r="C69" s="192"/>
    </row>
    <row r="70" spans="1:8" ht="36" customHeight="1">
      <c r="A70" s="315" t="str">
        <f>"5.2.6. Quyidagi holatlarda Mikromoliya tashkilotning birinchi talabi bilan "&amp;umumiy_malumot!B65&amp;" qaytarilishi bo‘yicha qo‘shimcha garov ta'minotini taqdim etish: "</f>
        <v xml:space="preserve">5.2.6. Quyidagi holatlarda Mikromoliya tashkilotning birinchi talabi bilan Mikroqarz qaytarilishi bo‘yicha qo‘shimcha garov ta'minotini taqdim etish: </v>
      </c>
      <c r="B70" s="315"/>
      <c r="C70" s="192"/>
    </row>
    <row r="71" spans="1:8" ht="51.75" customHeight="1">
      <c r="A71" s="318" t="s">
        <v>336</v>
      </c>
      <c r="B71" s="318"/>
      <c r="C71" s="195"/>
    </row>
    <row r="72" spans="1:8" ht="71.25" customHeight="1">
      <c r="A72" s="315" t="str">
        <f>"5.2.7. Sud qarori asosida Qarz oluvchi – jismoniy shaxsning muomalaga layoqatsizligi yoki muomalaga layoqati cheklangan yoxud to‘lash qobiliyatiga ega emasligi (bankrotligi) tan olinganda, uning vasiysi yoki homiysi "&amp;umumiy_malumot!B65&amp;"ning asosiy summa bo‘yicha qarzdorlikni "&amp;umumiy_malumot!B65&amp;"dan aniq foydalanish muddati uchun foizlar bilan kechiktirmasdan to‘liq to‘lashi shart."</f>
        <v>5.2.7. Sud qarori asosida Qarz oluvchi – jismoniy shaxsning muomalaga layoqatsizligi yoki muomalaga layoqati cheklangan yoxud to‘lash qobiliyatiga ega emasligi (bankrotligi) tan olinganda, uning vasiysi yoki homiysi Mikroqarzning asosiy summa bo‘yicha qarzdorlikni Mikroqarzdan aniq foydalanish muddati uchun foizlar bilan kechiktirmasdan to‘liq to‘lashi shart.</v>
      </c>
      <c r="B72" s="315"/>
      <c r="C72" s="192"/>
    </row>
    <row r="73" spans="1:8" ht="33.75" customHeight="1">
      <c r="A73" s="315" t="str">
        <f>"5.2.8. Mikromoliya tashkilotining "&amp;umumiy_malumot!B65&amp;" umumiy summasi va hisoblangan foizlarni muddatidan oldin qaytarish to‘g‘risidagi talabini kechiktirmasdan bajarish."</f>
        <v>5.2.8. Mikromoliya tashkilotining Mikroqarz umumiy summasi va hisoblangan foizlarni muddatidan oldin qaytarish to‘g‘risidagi talabini kechiktirmasdan bajarish.</v>
      </c>
      <c r="B73" s="315"/>
      <c r="C73" s="192"/>
      <c r="H73" s="10" t="s">
        <v>331</v>
      </c>
    </row>
    <row r="74" spans="1:8" ht="68.25" customHeight="1">
      <c r="A74" s="315" t="str">
        <f>CONCATENATE(C74,H74)</f>
        <v>5.2.9. Mikromoliya tashkilotining talabi bo‘yicha Mikromoliya tashkiloti ko‘rgan, shu jumladan Mikroqarz bo‘yicha (asosiy qarz, foizlar va boshqalar) qarzdorlikni majburiy va/yoki muddatidan oldin qaytarish bo‘yicha qabul qilingan choralar bilan bog‘liq bo‘lgan barcha xarajatlari va zararlarni qoplash, shuningdek ushbu shartnoma doirasida unidruvni taqdim etilgan garov ta'minotiga qaratish.</v>
      </c>
      <c r="B74" s="315"/>
      <c r="C74" s="192" t="str">
        <f>"5.2.9. Mikromoliya tashkilotining talabi bo‘yicha Mikromoliya tashkiloti ko‘rgan, shu jumladan "&amp;umumiy_malumot!B65&amp;" bo‘yicha (asosiy qarz, foizlar va boshqalar)"</f>
        <v>5.2.9. Mikromoliya tashkilotining talabi bo‘yicha Mikromoliya tashkiloti ko‘rgan, shu jumladan Mikroqarz bo‘yicha (asosiy qarz, foizlar va boshqalar)</v>
      </c>
      <c r="H74" s="10" t="s">
        <v>337</v>
      </c>
    </row>
    <row r="75" spans="1:8">
      <c r="A75" s="89"/>
    </row>
    <row r="76" spans="1:8">
      <c r="A76" s="324" t="s">
        <v>300</v>
      </c>
      <c r="B76" s="324"/>
      <c r="C76" s="194"/>
    </row>
    <row r="77" spans="1:8" ht="98.25" customHeight="1">
      <c r="A77" s="315" t="str">
        <f>CONCATENATE(C77,H77)</f>
        <v>6.1. Mikromoliya tashkiloti tomonidan Qarz oluvchiga pul mablag‘larini ajratib berish bo‘yicha o‘z zimmasiga olgan majburiyatlarning Shartnomaning 1.1.-bandida keltirilgan summa va muddatlarda bajarilmaslik yoki tegishli tarzda bajarilmaslik holatlarida Mikromoliya tashkiloti muddatidan o‘tgan har bir kalendar kun uchun kechiktirilgan to‘lov summasining 0,1% miqdorida, biroq ushbu Shartnomaning 1.1.-bandida ko‘rsatilgan Mikroqarz miqdori umumiy summasining 50% dan ko‘p bo‘lmagan miqdorda penya ko‘rinishidagi neustoyka to‘lash majburiyatini o‘z zimmasiga oladi.</v>
      </c>
      <c r="B77" s="315"/>
      <c r="C77" s="192" t="s">
        <v>338</v>
      </c>
      <c r="H77" s="10" t="str">
        <f>""&amp;umumiy_malumot!B65&amp;" miqdori umumiy summasining 50% dan ko‘p bo‘lmagan miqdorda penya ko‘rinishidagi neustoyka to‘lash majburiyatini o‘z zimmasiga oladi."</f>
        <v>Mikroqarz miqdori umumiy summasining 50% dan ko‘p bo‘lmagan miqdorda penya ko‘rinishidagi neustoyka to‘lash majburiyatini o‘z zimmasiga oladi.</v>
      </c>
    </row>
    <row r="78" spans="1:8" ht="37.5" customHeight="1">
      <c r="A78" s="315" t="s">
        <v>299</v>
      </c>
      <c r="B78" s="315"/>
      <c r="C78" s="192"/>
    </row>
    <row r="79" spans="1:8" ht="35.25" customHeight="1">
      <c r="A79" s="315" t="s">
        <v>298</v>
      </c>
      <c r="B79" s="315"/>
      <c r="C79" s="192"/>
    </row>
    <row r="80" spans="1:8" ht="33" customHeight="1">
      <c r="A80" s="315" t="s">
        <v>297</v>
      </c>
      <c r="B80" s="315"/>
      <c r="C80" s="192"/>
    </row>
    <row r="82" spans="1:3">
      <c r="A82" s="304" t="s">
        <v>296</v>
      </c>
      <c r="B82" s="304"/>
      <c r="C82" s="81"/>
    </row>
    <row r="83" spans="1:3" ht="162.75" customHeight="1">
      <c r="A83" s="315" t="s">
        <v>295</v>
      </c>
      <c r="B83" s="315"/>
      <c r="C83" s="192"/>
    </row>
    <row r="84" spans="1:3" ht="33.75" customHeight="1">
      <c r="A84" s="315" t="s">
        <v>339</v>
      </c>
      <c r="B84" s="315"/>
      <c r="C84" s="192"/>
    </row>
    <row r="85" spans="1:3" ht="51.75" customHeight="1">
      <c r="A85" s="315" t="s">
        <v>294</v>
      </c>
      <c r="B85" s="315"/>
      <c r="C85" s="192"/>
    </row>
    <row r="86" spans="1:3" ht="36" customHeight="1">
      <c r="A86" s="315" t="s">
        <v>293</v>
      </c>
      <c r="B86" s="315"/>
      <c r="C86" s="192"/>
    </row>
    <row r="88" spans="1:3">
      <c r="A88" s="304" t="s">
        <v>292</v>
      </c>
      <c r="B88" s="304"/>
      <c r="C88" s="81"/>
    </row>
    <row r="89" spans="1:3" ht="114.75" customHeight="1">
      <c r="A89" s="315" t="s">
        <v>352</v>
      </c>
      <c r="B89" s="315"/>
      <c r="C89" s="192"/>
    </row>
    <row r="90" spans="1:3" ht="36" customHeight="1">
      <c r="A90" s="315" t="s">
        <v>320</v>
      </c>
      <c r="B90" s="315"/>
      <c r="C90" s="192"/>
    </row>
    <row r="91" spans="1:3" ht="64.5" customHeight="1">
      <c r="A91" s="315" t="str">
        <f>"8.2. Mikromoliya tashkiloti sud organlariga murojaat qilganidan keyin Qarz oluvchi tomonidan "&amp;umumiy_malumot!B65&amp;" bo‘yicha muddati o‘tgan qarzdorlikning to‘lanishi Mikromoliya tashkilotning "&amp;umumiy_malumot!B65&amp;" bo‘yicha qarzdorlikni muddatidan avval undirish, shu jumladan undiruvni garovdagi mol-mulkka qaratish yo‘li bilan undirish huquqidan mahrum qilmaydi."</f>
        <v>8.2. Mikromoliya tashkiloti sud organlariga murojaat qilganidan keyin Qarz oluvchi tomonidan Mikroqarz bo‘yicha muddati o‘tgan qarzdorlikning to‘lanishi Mikromoliya tashkilotning Mikroqarz bo‘yicha qarzdorlikni muddatidan avval undirish, shu jumladan undiruvni garovdagi mol-mulkka qaratish yo‘li bilan undirish huquqidan mahrum qilmaydi.</v>
      </c>
      <c r="B91" s="315"/>
      <c r="C91" s="192"/>
    </row>
    <row r="93" spans="1:3">
      <c r="A93" s="326" t="s">
        <v>291</v>
      </c>
      <c r="B93" s="326"/>
      <c r="C93" s="91"/>
    </row>
    <row r="94" spans="1:3" ht="20.25" customHeight="1">
      <c r="A94" s="315" t="s">
        <v>290</v>
      </c>
      <c r="B94" s="315"/>
      <c r="C94" s="192"/>
    </row>
    <row r="95" spans="1:3" ht="33.75" customHeight="1">
      <c r="A95" s="315" t="str">
        <f>"9.2. Shartnomaning amal qilish muddati Qarz oluvchi "&amp;umumiy_malumot!B65&amp;"ni to‘liq qaytargan, hisoblangan foizlar, penya va boshqa pul majburiyatlarini to‘lagan kunda yakunlanadi."</f>
        <v>9.2. Shartnomaning amal qilish muddati Qarz oluvchi Mikroqarzni to‘liq qaytargan, hisoblangan foizlar, penya va boshqa pul majburiyatlarini to‘lagan kunda yakunlanadi.</v>
      </c>
      <c r="B95" s="315"/>
      <c r="C95" s="192"/>
    </row>
    <row r="96" spans="1:3" ht="51" customHeight="1">
      <c r="A96" s="315" t="s">
        <v>289</v>
      </c>
      <c r="B96" s="315"/>
      <c r="C96" s="192"/>
    </row>
    <row r="98" spans="1:3">
      <c r="A98" s="319" t="s">
        <v>288</v>
      </c>
      <c r="B98" s="319"/>
      <c r="C98" s="80"/>
    </row>
    <row r="99" spans="1:3" ht="82.5" customHeight="1">
      <c r="A99" s="315" t="s">
        <v>287</v>
      </c>
      <c r="B99" s="315"/>
      <c r="C99" s="192"/>
    </row>
    <row r="100" spans="1:3" ht="66" customHeight="1">
      <c r="A100" s="315" t="s">
        <v>286</v>
      </c>
      <c r="B100" s="315"/>
      <c r="C100" s="192"/>
    </row>
    <row r="101" spans="1:3" ht="48" customHeight="1">
      <c r="A101" s="315" t="s">
        <v>285</v>
      </c>
      <c r="B101" s="315"/>
      <c r="C101" s="192"/>
    </row>
    <row r="103" spans="1:3">
      <c r="A103" s="304" t="s">
        <v>284</v>
      </c>
      <c r="B103" s="304"/>
      <c r="C103" s="169"/>
    </row>
    <row r="104" spans="1:3" ht="37.5" customHeight="1">
      <c r="A104" s="315" t="s">
        <v>283</v>
      </c>
      <c r="B104" s="315"/>
      <c r="C104" s="192"/>
    </row>
    <row r="105" spans="1:3" ht="34.5" customHeight="1">
      <c r="A105" s="315" t="s">
        <v>282</v>
      </c>
      <c r="B105" s="315"/>
      <c r="C105" s="192"/>
    </row>
    <row r="106" spans="1:3" ht="66.75" customHeight="1">
      <c r="A106" s="315" t="s">
        <v>281</v>
      </c>
      <c r="B106" s="315"/>
      <c r="C106" s="192"/>
    </row>
    <row r="107" spans="1:3" ht="51" customHeight="1">
      <c r="A107" s="315" t="s">
        <v>280</v>
      </c>
      <c r="B107" s="315"/>
      <c r="C107" s="192"/>
    </row>
    <row r="108" spans="1:3" ht="37.5" customHeight="1">
      <c r="A108" s="315" t="s">
        <v>279</v>
      </c>
      <c r="B108" s="315"/>
      <c r="C108" s="192"/>
    </row>
    <row r="109" spans="1:3" ht="38.25" customHeight="1">
      <c r="A109" s="315" t="s">
        <v>278</v>
      </c>
      <c r="B109" s="315"/>
      <c r="C109" s="192"/>
    </row>
    <row r="110" spans="1:3" ht="21" customHeight="1">
      <c r="A110" s="315" t="s">
        <v>277</v>
      </c>
      <c r="B110" s="315"/>
      <c r="C110" s="192"/>
    </row>
    <row r="111" spans="1:3" ht="32.25" customHeight="1">
      <c r="A111" s="315"/>
      <c r="B111" s="315"/>
      <c r="C111" s="192"/>
    </row>
    <row r="113" spans="1:3">
      <c r="A113" s="326" t="s">
        <v>321</v>
      </c>
      <c r="B113" s="326"/>
      <c r="C113" s="91"/>
    </row>
    <row r="115" spans="1:3">
      <c r="A115" s="92" t="s">
        <v>276</v>
      </c>
      <c r="B115" s="92" t="s">
        <v>275</v>
      </c>
    </row>
    <row r="117" spans="1:3" ht="31.5">
      <c r="A117" s="91" t="str">
        <f>umumiy_malumot!B148</f>
        <v>«PULLOL BUSINESS MIKROMOLIYA TASHKILOTI»  MChJ</v>
      </c>
      <c r="B117" s="83" t="str">
        <f>umumiy_malumot!B5</f>
        <v>QODIROVA NAFISA YO‘LDOSHEVNA</v>
      </c>
    </row>
    <row r="119" spans="1:3" ht="50.25" customHeight="1">
      <c r="A119" s="88" t="str">
        <f>"Manzil: "&amp;umumiy_malumot!B153&amp;""</f>
        <v>Manzil: Toshkent shahri, Yakkasaroy tumani, Rakat ko'chasi, 10-uy, 18 xonadon</v>
      </c>
      <c r="B119" s="88" t="str">
        <f>"Manzil: "&amp;umumiy_malumot!B28&amp;""</f>
        <v>Manzil: TOSHKENT SHAHAR BEKTEMIR TUMANI ROXAT KO'CHASI 12 UY 32 XONADON</v>
      </c>
    </row>
    <row r="120" spans="1:3">
      <c r="A120" s="90" t="str">
        <f>"h/r: "&amp;umumiy_malumot!B154&amp;""</f>
        <v>h/r: № 20208000405643889001</v>
      </c>
    </row>
    <row r="121" spans="1:3" ht="59.25" customHeight="1">
      <c r="A121" s="88" t="str">
        <f>"MFO: "&amp;umumiy_malumot!B155&amp;" в "&amp;umumiy_malumot!B156&amp;""</f>
        <v>MFO: №01088 в ATB “Kapitalbank” Markaziy amaliyotlar bo'limi</v>
      </c>
      <c r="B121" s="88" t="str">
        <f>"pasport seriyasi: "&amp;umumiy_malumot!B16&amp;", "&amp;umumiy_malumot!B20&amp;""</f>
        <v>pasport seriyasi: AD 9088376, IIV 26296 tomonidan 21.10.2024 yilda berilgan</v>
      </c>
    </row>
    <row r="122" spans="1:3">
      <c r="A122" s="88" t="str">
        <f>"STIR: "&amp;umumiy_malumot!B157&amp;""</f>
        <v>STIR: 310430149</v>
      </c>
      <c r="B122" s="82" t="str">
        <f>"Tel: "&amp;umumiy_malumot!B40&amp;""</f>
        <v>Tel: 90 809 80 43 MIJOZ</v>
      </c>
    </row>
    <row r="123" spans="1:3">
      <c r="A123" s="217" t="str">
        <f>"Tel: (90) 122 94 49"</f>
        <v>Tel: (90) 122 94 49</v>
      </c>
      <c r="B123" s="82" t="str">
        <f>umumiy_malumot!B41</f>
        <v>90 120 24 08 ERI</v>
      </c>
    </row>
    <row r="124" spans="1:3">
      <c r="A124" s="217" t="s">
        <v>382</v>
      </c>
      <c r="B124" s="82" t="str">
        <f>umumiy_malumot!B42</f>
        <v>90 979 80 43 O'G'LI</v>
      </c>
    </row>
    <row r="125" spans="1:3">
      <c r="A125" s="10" t="s">
        <v>400</v>
      </c>
    </row>
    <row r="126" spans="1:3">
      <c r="A126" s="190" t="str">
        <f>umumiy_malumot!A150</f>
        <v>Direktor</v>
      </c>
      <c r="B126" s="81" t="str">
        <f>""&amp;umumiy_malumot!B7&amp;"     __________________"</f>
        <v>QODIROVA N.Y.     __________________</v>
      </c>
    </row>
    <row r="128" spans="1:3">
      <c r="B128" s="208"/>
    </row>
    <row r="129" spans="1:2">
      <c r="A129" s="169" t="str">
        <f>""&amp;umumiy_malumot!B150&amp;" ________________ "</f>
        <v xml:space="preserve">Obidov A. Sh. ________________ </v>
      </c>
      <c r="B129" s="10" t="str">
        <f>""&amp;umumiy_malumot!B65&amp;" shartnoma bir nusxasini oldim ________ "</f>
        <v xml:space="preserve">Mikroqarz shartnoma bir nusxasini oldim ________ </v>
      </c>
    </row>
    <row r="131" spans="1:2" hidden="1">
      <c r="A131" s="10" t="str">
        <f>"менеджер :   "&amp;umumiy_malumot!B161&amp;"______________"</f>
        <v>менеджер :   Eshbekov S.O.______________</v>
      </c>
    </row>
  </sheetData>
  <mergeCells count="98">
    <mergeCell ref="A113:B113"/>
    <mergeCell ref="A107:B107"/>
    <mergeCell ref="A108:B108"/>
    <mergeCell ref="A109:B109"/>
    <mergeCell ref="A110:B110"/>
    <mergeCell ref="A111:B111"/>
    <mergeCell ref="A101:B101"/>
    <mergeCell ref="A103:B103"/>
    <mergeCell ref="A104:B104"/>
    <mergeCell ref="A105:B105"/>
    <mergeCell ref="A106:B106"/>
    <mergeCell ref="A95:B95"/>
    <mergeCell ref="A96:B96"/>
    <mergeCell ref="A98:B98"/>
    <mergeCell ref="A99:B99"/>
    <mergeCell ref="A100:B100"/>
    <mergeCell ref="A90:B90"/>
    <mergeCell ref="A91:B91"/>
    <mergeCell ref="A93:B93"/>
    <mergeCell ref="A94:B94"/>
    <mergeCell ref="A84:B84"/>
    <mergeCell ref="A85:B85"/>
    <mergeCell ref="A86:B86"/>
    <mergeCell ref="A88:B88"/>
    <mergeCell ref="A89:B89"/>
    <mergeCell ref="A78:B78"/>
    <mergeCell ref="A79:B79"/>
    <mergeCell ref="A80:B80"/>
    <mergeCell ref="A82:B82"/>
    <mergeCell ref="A83:B83"/>
    <mergeCell ref="A73:B73"/>
    <mergeCell ref="A74:B74"/>
    <mergeCell ref="A76:B76"/>
    <mergeCell ref="A77:B77"/>
    <mergeCell ref="A68:B68"/>
    <mergeCell ref="A69:B69"/>
    <mergeCell ref="A70:B70"/>
    <mergeCell ref="A71:B71"/>
    <mergeCell ref="A72:B72"/>
    <mergeCell ref="A63:B63"/>
    <mergeCell ref="A64:B64"/>
    <mergeCell ref="A65:B65"/>
    <mergeCell ref="A66:B66"/>
    <mergeCell ref="A67:B67"/>
    <mergeCell ref="A58:B58"/>
    <mergeCell ref="A59:B59"/>
    <mergeCell ref="A60:B60"/>
    <mergeCell ref="A61:B61"/>
    <mergeCell ref="A62:B62"/>
    <mergeCell ref="A52:B52"/>
    <mergeCell ref="A53:B53"/>
    <mergeCell ref="A54:B54"/>
    <mergeCell ref="A55:B55"/>
    <mergeCell ref="A57:B57"/>
    <mergeCell ref="A11:B11"/>
    <mergeCell ref="A48:B48"/>
    <mergeCell ref="A49:B49"/>
    <mergeCell ref="A50:B50"/>
    <mergeCell ref="A51:B51"/>
    <mergeCell ref="A47:B47"/>
    <mergeCell ref="A46:B46"/>
    <mergeCell ref="A45:B45"/>
    <mergeCell ref="A44:B44"/>
    <mergeCell ref="A43:B43"/>
    <mergeCell ref="A42:B42"/>
    <mergeCell ref="A41:B41"/>
    <mergeCell ref="A40:B40"/>
    <mergeCell ref="A39:B39"/>
    <mergeCell ref="A38:B38"/>
    <mergeCell ref="A37:B37"/>
    <mergeCell ref="A35:B35"/>
    <mergeCell ref="A34:B34"/>
    <mergeCell ref="A31:B31"/>
    <mergeCell ref="A24:B24"/>
    <mergeCell ref="A28:B28"/>
    <mergeCell ref="A29:B29"/>
    <mergeCell ref="A30:B30"/>
    <mergeCell ref="A23:B23"/>
    <mergeCell ref="A22:B22"/>
    <mergeCell ref="A21:B21"/>
    <mergeCell ref="A20:B20"/>
    <mergeCell ref="A19:B19"/>
    <mergeCell ref="A3:B3"/>
    <mergeCell ref="A1:B1"/>
    <mergeCell ref="A25:B25"/>
    <mergeCell ref="A26:B26"/>
    <mergeCell ref="A27:B27"/>
    <mergeCell ref="A13:B13"/>
    <mergeCell ref="A12:B12"/>
    <mergeCell ref="A9:B9"/>
    <mergeCell ref="A8:B8"/>
    <mergeCell ref="A5:B5"/>
    <mergeCell ref="A7:B7"/>
    <mergeCell ref="A18:B18"/>
    <mergeCell ref="A17:B17"/>
    <mergeCell ref="A16:B16"/>
    <mergeCell ref="A15:B15"/>
    <mergeCell ref="A14:B14"/>
  </mergeCells>
  <printOptions horizontalCentered="1"/>
  <pageMargins left="0.70866141732283472" right="0.70866141732283472" top="0.39370078740157483" bottom="0.39370078740157483" header="0.31496062992125984" footer="0.31496062992125984"/>
  <pageSetup paperSize="9" scale="80" orientation="portrait" r:id="rId1"/>
  <rowBreaks count="3" manualBreakCount="3">
    <brk id="20" max="1" man="1"/>
    <brk id="72" max="1" man="1"/>
    <brk id="95" max="1" man="1"/>
  </row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Лист12">
    <tabColor rgb="FF00B050"/>
  </sheetPr>
  <dimension ref="A1:P77"/>
  <sheetViews>
    <sheetView view="pageBreakPreview" zoomScaleNormal="100" zoomScaleSheetLayoutView="100" workbookViewId="0">
      <selection activeCell="E8" sqref="E8"/>
    </sheetView>
  </sheetViews>
  <sheetFormatPr defaultColWidth="9.140625" defaultRowHeight="15" outlineLevelCol="1"/>
  <cols>
    <col min="1" max="1" width="9.140625" style="19"/>
    <col min="2" max="2" width="12.28515625" style="19" customWidth="1"/>
    <col min="3" max="3" width="17.7109375" style="19" customWidth="1"/>
    <col min="4" max="4" width="20.28515625" style="19" customWidth="1"/>
    <col min="5" max="5" width="16.7109375" style="19" customWidth="1"/>
    <col min="6" max="6" width="19" style="19" customWidth="1"/>
    <col min="7" max="7" width="10.140625" style="19" customWidth="1" outlineLevel="1"/>
    <col min="8" max="8" width="19.7109375" style="19" customWidth="1"/>
    <col min="9" max="10" width="9.140625" style="19" customWidth="1"/>
    <col min="11" max="16384" width="9.140625" style="19"/>
  </cols>
  <sheetData>
    <row r="1" spans="1:16" ht="3" customHeight="1"/>
    <row r="2" spans="1:16" ht="18.75" hidden="1" customHeight="1">
      <c r="A2" s="41"/>
      <c r="B2" s="41"/>
      <c r="C2" s="41"/>
      <c r="D2" s="41"/>
      <c r="E2" s="277"/>
      <c r="F2" s="277"/>
      <c r="G2" s="24"/>
    </row>
    <row r="3" spans="1:16" ht="75.75" customHeight="1">
      <c r="A3" s="41"/>
      <c r="B3" s="41"/>
      <c r="C3" s="41"/>
      <c r="D3" s="41"/>
      <c r="E3" s="41"/>
      <c r="F3" s="186" t="str">
        <f>""&amp;umumiy_malumot!B74&amp;" "&amp;umumiy_malumot!B65&amp;" shartnomasiga 
1 sonli ilova"</f>
        <v>2 fevral 2026 y.dan № 56 Mikroqarz shartnomasiga 
1 sonli ilova</v>
      </c>
      <c r="G3" s="24"/>
    </row>
    <row r="4" spans="1:16" ht="6.75" customHeight="1">
      <c r="A4" s="41"/>
      <c r="B4" s="41"/>
      <c r="C4" s="41"/>
      <c r="D4" s="41"/>
      <c r="E4" s="41"/>
      <c r="F4" s="41"/>
    </row>
    <row r="5" spans="1:16">
      <c r="A5" s="278" t="s">
        <v>260</v>
      </c>
      <c r="B5" s="278"/>
      <c r="C5" s="278"/>
      <c r="D5" s="278"/>
      <c r="E5" s="278"/>
      <c r="F5" s="278"/>
    </row>
    <row r="6" spans="1:16" ht="7.5" customHeight="1"/>
    <row r="7" spans="1:16" ht="15" customHeight="1">
      <c r="A7" s="279" t="s">
        <v>14</v>
      </c>
      <c r="B7" s="280" t="s">
        <v>261</v>
      </c>
      <c r="C7" s="280" t="s">
        <v>262</v>
      </c>
      <c r="D7" s="281" t="s">
        <v>263</v>
      </c>
      <c r="E7" s="281"/>
      <c r="F7" s="281"/>
    </row>
    <row r="8" spans="1:16" s="20" customFormat="1">
      <c r="A8" s="279"/>
      <c r="B8" s="280"/>
      <c r="C8" s="280"/>
      <c r="D8" s="21" t="s">
        <v>264</v>
      </c>
      <c r="E8" s="21" t="s">
        <v>265</v>
      </c>
      <c r="F8" s="21" t="s">
        <v>266</v>
      </c>
    </row>
    <row r="9" spans="1:16" ht="13.5" customHeight="1">
      <c r="A9" s="22">
        <v>1</v>
      </c>
      <c r="B9" s="37">
        <f>'График дифференц'!B8</f>
        <v>46106</v>
      </c>
      <c r="C9" s="38">
        <f>IF(umumiy_malumot!$B$77=umumiy_malumot!$C$77,'График дифференц'!C8,IF(umumiy_malumot!$B$77=umumiy_malumot!$D$77,'График аннуитет.'!C8))</f>
        <v>50000000</v>
      </c>
      <c r="D9" s="38">
        <f>IF(umumiy_malumot!$B$77=umumiy_malumot!$C$77,'График дифференц'!D8,IF(umumiy_malumot!$B$77=umumiy_malumot!$D$77,'График аннуитет.'!D8))</f>
        <v>-742465.9700000002</v>
      </c>
      <c r="E9" s="38">
        <f>IF(umumiy_malumot!$B$77=umumiy_malumot!$C$77,'График дифференц'!E8,IF(umumiy_malumot!$B$77=umumiy_malumot!$D$77,'График аннуитет.'!E8))</f>
        <v>3842465.97</v>
      </c>
      <c r="F9" s="38">
        <f>IF(umumiy_malumot!$B$77=umumiy_malumot!$C$77,'График дифференц'!F8,IF(umumiy_malumot!$B$77=umumiy_malumot!$D$77,'График аннуитет.'!F8))</f>
        <v>3100000</v>
      </c>
    </row>
    <row r="10" spans="1:16" ht="13.5" customHeight="1">
      <c r="A10" s="22">
        <v>2</v>
      </c>
      <c r="B10" s="37">
        <f>'График дифференц'!B9</f>
        <v>46139</v>
      </c>
      <c r="C10" s="38">
        <f>IF(umumiy_malumot!$B$77=umumiy_malumot!$C$77,'График дифференц'!C9,IF(umumiy_malumot!$B$77=umumiy_malumot!$D$77,'График аннуитет.'!C9))</f>
        <v>50742465.969999999</v>
      </c>
      <c r="D10" s="38">
        <f>IF(umumiy_malumot!$B$77=umumiy_malumot!$C$77,'График дифференц'!D9,IF(umumiy_malumot!$B$77=umumiy_malumot!$D$77,'График аннуитет.'!D9))</f>
        <v>576778.75</v>
      </c>
      <c r="E10" s="38">
        <f>IF(umumiy_malumot!$B$77=umumiy_malumot!$C$77,'График дифференц'!E9,IF(umumiy_malumot!$B$77=umumiy_malumot!$D$77,'График аннуитет.'!E9))</f>
        <v>2523221.25</v>
      </c>
      <c r="F10" s="38">
        <f>IF(umumiy_malumot!$B$77=umumiy_malumot!$C$77,'График дифференц'!F9,IF(umumiy_malumot!$B$77=umumiy_malumot!$D$77,'График аннуитет.'!F9))</f>
        <v>3100000</v>
      </c>
    </row>
    <row r="11" spans="1:16" ht="13.5" customHeight="1">
      <c r="A11" s="22">
        <v>3</v>
      </c>
      <c r="B11" s="37">
        <f>'График дифференц'!B10</f>
        <v>46167</v>
      </c>
      <c r="C11" s="38">
        <f>IF(umumiy_malumot!$B$77=umumiy_malumot!$C$77,'График дифференц'!C10,IF(umumiy_malumot!$B$77=umumiy_malumot!$D$77,'График аннуитет.'!C10))</f>
        <v>50165687.219999999</v>
      </c>
      <c r="D11" s="38">
        <f>IF(umumiy_malumot!$B$77=umumiy_malumot!$C$77,'График дифференц'!D10,IF(umumiy_malumot!$B$77=umumiy_malumot!$D$77,'График аннуитет.'!D10))</f>
        <v>983420.35999999987</v>
      </c>
      <c r="E11" s="38">
        <f>IF(umumiy_malumot!$B$77=umumiy_malumot!$C$77,'График дифференц'!E10,IF(umumiy_malumot!$B$77=umumiy_malumot!$D$77,'График аннуитет.'!E10))</f>
        <v>2116579.64</v>
      </c>
      <c r="F11" s="38">
        <f>IF(umumiy_malumot!$B$77=umumiy_malumot!$C$77,'График дифференц'!F10,IF(umumiy_malumot!$B$77=umumiy_malumot!$D$77,'График аннуитет.'!F10))</f>
        <v>3100000</v>
      </c>
    </row>
    <row r="12" spans="1:16" ht="13.5" customHeight="1">
      <c r="A12" s="22">
        <v>4</v>
      </c>
      <c r="B12" s="37">
        <f>'График дифференц'!B11</f>
        <v>46198</v>
      </c>
      <c r="C12" s="38">
        <f>IF(umumiy_malumot!$B$77=umumiy_malumot!$C$77,'График дифференц'!C11,IF(umumiy_malumot!$B$77=umumiy_malumot!$D$77,'График аннуитет.'!C11))</f>
        <v>49182266.859999999</v>
      </c>
      <c r="D12" s="38">
        <f>IF(umumiy_malumot!$B$77=umumiy_malumot!$C$77,'График дифференц'!D11,IF(umumiy_malumot!$B$77=umumiy_malumot!$D$77,'График аннуитет.'!D11))</f>
        <v>802581.62999999989</v>
      </c>
      <c r="E12" s="38">
        <f>IF(umumiy_malumot!$B$77=umumiy_malumot!$C$77,'График дифференц'!E11,IF(umumiy_malumot!$B$77=umumiy_malumot!$D$77,'График аннуитет.'!E11))</f>
        <v>2297418.37</v>
      </c>
      <c r="F12" s="38">
        <f>IF(umumiy_malumot!$B$77=umumiy_malumot!$C$77,'График дифференц'!F11,IF(umumiy_malumot!$B$77=umumiy_malumot!$D$77,'График аннуитет.'!F11))</f>
        <v>3100000</v>
      </c>
      <c r="H12" s="327" t="s">
        <v>370</v>
      </c>
      <c r="I12" s="327"/>
      <c r="J12" s="327"/>
      <c r="K12" s="327"/>
      <c r="L12" s="327"/>
      <c r="M12" s="327"/>
      <c r="N12" s="327"/>
      <c r="O12" s="327"/>
      <c r="P12" s="327"/>
    </row>
    <row r="13" spans="1:16" ht="13.5" customHeight="1">
      <c r="A13" s="22">
        <v>5</v>
      </c>
      <c r="B13" s="37">
        <f>'График дифференц'!B12</f>
        <v>46230</v>
      </c>
      <c r="C13" s="38">
        <f>IF(umumiy_malumot!$B$77=umumiy_malumot!$C$77,'График дифференц'!C12,IF(umumiy_malumot!$B$77=umumiy_malumot!$D$77,'График аннуитет.'!C12))</f>
        <v>48379685.229999997</v>
      </c>
      <c r="D13" s="38">
        <f>IF(umumiy_malumot!$B$77=umumiy_malumot!$C$77,'График дифференц'!D12,IF(umumiy_malumot!$B$77=umumiy_malumot!$D$77,'График аннуитет.'!D12))</f>
        <v>767171.20000000019</v>
      </c>
      <c r="E13" s="38">
        <f>IF(umumiy_malumot!$B$77=umumiy_malumot!$C$77,'График дифференц'!E12,IF(umumiy_malumot!$B$77=umumiy_malumot!$D$77,'График аннуитет.'!E12))</f>
        <v>2332828.7999999998</v>
      </c>
      <c r="F13" s="38">
        <f>IF(umumiy_malumot!$B$77=umumiy_malumot!$C$77,'График дифференц'!F12,IF(umumiy_malumot!$B$77=umumiy_malumot!$D$77,'График аннуитет.'!F12))</f>
        <v>3100000</v>
      </c>
      <c r="H13" s="327"/>
      <c r="I13" s="327"/>
      <c r="J13" s="327"/>
      <c r="K13" s="327"/>
      <c r="L13" s="327"/>
      <c r="M13" s="327"/>
      <c r="N13" s="327"/>
      <c r="O13" s="327"/>
      <c r="P13" s="327"/>
    </row>
    <row r="14" spans="1:16" ht="13.5" customHeight="1">
      <c r="A14" s="22">
        <v>6</v>
      </c>
      <c r="B14" s="37">
        <f>'График дифференц'!B13</f>
        <v>46259</v>
      </c>
      <c r="C14" s="38">
        <f>IF(umumiy_malumot!$B$77=umumiy_malumot!$C$77,'График дифференц'!C13,IF(umumiy_malumot!$B$77=umumiy_malumot!$D$77,'График аннуитет.'!C13))</f>
        <v>47612514.029999994</v>
      </c>
      <c r="D14" s="38">
        <f>IF(umumiy_malumot!$B$77=umumiy_malumot!$C$77,'График дифференц'!D13,IF(umumiy_malumot!$B$77=umumiy_malumot!$D$77,'График аннуитет.'!D13))</f>
        <v>1019398.48</v>
      </c>
      <c r="E14" s="38">
        <f>IF(umumiy_malumot!$B$77=umumiy_malumot!$C$77,'График дифференц'!E13,IF(umumiy_malumot!$B$77=umumiy_malumot!$D$77,'График аннуитет.'!E13))</f>
        <v>2080601.52</v>
      </c>
      <c r="F14" s="38">
        <f>IF(umumiy_malumot!$B$77=umumiy_malumot!$C$77,'График дифференц'!F13,IF(umumiy_malumot!$B$77=umumiy_malumot!$D$77,'График аннуитет.'!F13))</f>
        <v>3100000</v>
      </c>
      <c r="H14" s="327"/>
      <c r="I14" s="327"/>
      <c r="J14" s="327"/>
      <c r="K14" s="327"/>
      <c r="L14" s="327"/>
      <c r="M14" s="327"/>
      <c r="N14" s="327"/>
      <c r="O14" s="327"/>
      <c r="P14" s="327"/>
    </row>
    <row r="15" spans="1:16" ht="13.5" customHeight="1">
      <c r="A15" s="22">
        <v>7</v>
      </c>
      <c r="B15" s="37">
        <f>'График дифференц'!B14</f>
        <v>46290</v>
      </c>
      <c r="C15" s="38">
        <f>IF(umumiy_malumot!$B$77=umumiy_malumot!$C$77,'График дифференц'!C14,IF(umumiy_malumot!$B$77=umumiy_malumot!$D$77,'График аннуитет.'!C14))</f>
        <v>46593115.549999997</v>
      </c>
      <c r="D15" s="38">
        <f>IF(umumiy_malumot!$B$77=umumiy_malumot!$C$77,'График дифференц'!D14,IF(umumiy_malumot!$B$77=umumiy_malumot!$D$77,'График аннуитет.'!D14))</f>
        <v>923527.19999999972</v>
      </c>
      <c r="E15" s="38">
        <f>IF(umumiy_malumot!$B$77=umumiy_malumot!$C$77,'График дифференц'!E14,IF(umumiy_malumot!$B$77=umumiy_malumot!$D$77,'График аннуитет.'!E14))</f>
        <v>2176472.8000000003</v>
      </c>
      <c r="F15" s="38">
        <f>IF(umumiy_malumot!$B$77=umumiy_malumot!$C$77,'График дифференц'!F14,IF(umumiy_malumot!$B$77=umumiy_malumot!$D$77,'График аннуитет.'!F14))</f>
        <v>3100000</v>
      </c>
      <c r="H15" s="327"/>
      <c r="I15" s="327"/>
      <c r="J15" s="327"/>
      <c r="K15" s="327"/>
      <c r="L15" s="327"/>
      <c r="M15" s="327"/>
      <c r="N15" s="327"/>
      <c r="O15" s="327"/>
      <c r="P15" s="327"/>
    </row>
    <row r="16" spans="1:16" ht="13.5" customHeight="1">
      <c r="A16" s="22">
        <v>8</v>
      </c>
      <c r="B16" s="37">
        <f>'График дифференц'!B15</f>
        <v>46321</v>
      </c>
      <c r="C16" s="38">
        <f>IF(umumiy_malumot!$B$77=umumiy_malumot!$C$77,'График дифференц'!C15,IF(umumiy_malumot!$B$77=umumiy_malumot!$D$77,'График аннуитет.'!C15))</f>
        <v>45669588.349999994</v>
      </c>
      <c r="D16" s="38">
        <f>IF(umumiy_malumot!$B$77=umumiy_malumot!$C$77,'График дифференц'!D15,IF(umumiy_malumot!$B$77=umumiy_malumot!$D$77,'График аннуитет.'!D15))</f>
        <v>966667.10999999987</v>
      </c>
      <c r="E16" s="38">
        <f>IF(umumiy_malumot!$B$77=umumiy_malumot!$C$77,'График дифференц'!E15,IF(umumiy_malumot!$B$77=umumiy_malumot!$D$77,'График аннуитет.'!E15))</f>
        <v>2133332.89</v>
      </c>
      <c r="F16" s="38">
        <f>IF(umumiy_malumot!$B$77=umumiy_malumot!$C$77,'График дифференц'!F15,IF(umumiy_malumot!$B$77=umumiy_malumot!$D$77,'График аннуитет.'!F15))</f>
        <v>3100000</v>
      </c>
      <c r="H16" s="327"/>
      <c r="I16" s="327"/>
      <c r="J16" s="327"/>
      <c r="K16" s="327"/>
      <c r="L16" s="327"/>
      <c r="M16" s="327"/>
      <c r="N16" s="327"/>
      <c r="O16" s="327"/>
      <c r="P16" s="327"/>
    </row>
    <row r="17" spans="1:16" ht="13.5" customHeight="1">
      <c r="A17" s="22">
        <v>9</v>
      </c>
      <c r="B17" s="37">
        <f>'График дифференц'!B16</f>
        <v>46351</v>
      </c>
      <c r="C17" s="38">
        <f>IF(umumiy_malumot!$B$77=umumiy_malumot!$C$77,'График дифференц'!C16,IF(umumiy_malumot!$B$77=umumiy_malumot!$D$77,'График аннуитет.'!C16))</f>
        <v>44702921.239999995</v>
      </c>
      <c r="D17" s="38">
        <f>IF(umumiy_malumot!$B$77=umumiy_malumot!$C$77,'График дифференц'!D16,IF(umumiy_malumot!$B$77=umumiy_malumot!$D$77,'График аннуитет.'!D16))</f>
        <v>1079182.8999999999</v>
      </c>
      <c r="E17" s="38">
        <f>IF(umumiy_malumot!$B$77=umumiy_malumot!$C$77,'График дифференц'!E16,IF(umumiy_malumot!$B$77=umumiy_malumot!$D$77,'График аннуитет.'!E16))</f>
        <v>2020817.1</v>
      </c>
      <c r="F17" s="38">
        <f>IF(umumiy_malumot!$B$77=umumiy_malumot!$C$77,'График дифференц'!F16,IF(umumiy_malumot!$B$77=umumiy_malumot!$D$77,'График аннуитет.'!F16))</f>
        <v>3100000</v>
      </c>
      <c r="H17" s="327"/>
      <c r="I17" s="327"/>
      <c r="J17" s="327"/>
      <c r="K17" s="327"/>
      <c r="L17" s="327"/>
      <c r="M17" s="327"/>
      <c r="N17" s="327"/>
      <c r="O17" s="327"/>
      <c r="P17" s="327"/>
    </row>
    <row r="18" spans="1:16" ht="13.5" customHeight="1">
      <c r="A18" s="22">
        <v>10</v>
      </c>
      <c r="B18" s="37">
        <f>'График дифференц'!B17</f>
        <v>46381</v>
      </c>
      <c r="C18" s="38">
        <f>IF(umumiy_malumot!$B$77=umumiy_malumot!$C$77,'График дифференц'!C17,IF(umumiy_malumot!$B$77=umumiy_malumot!$D$77,'График аннуитет.'!C17))</f>
        <v>43623738.339999996</v>
      </c>
      <c r="D18" s="38">
        <f>IF(umumiy_malumot!$B$77=umumiy_malumot!$C$77,'График дифференц'!D17,IF(umumiy_malumot!$B$77=umumiy_malumot!$D$77,'График аннуитет.'!D17))</f>
        <v>1127968.0000000002</v>
      </c>
      <c r="E18" s="38">
        <f>IF(umumiy_malumot!$B$77=umumiy_malumot!$C$77,'График дифференц'!E17,IF(umumiy_malumot!$B$77=umumiy_malumot!$D$77,'График аннуитет.'!E17))</f>
        <v>1972031.9999999998</v>
      </c>
      <c r="F18" s="38">
        <f>IF(umumiy_malumot!$B$77=umumiy_malumot!$C$77,'График дифференц'!F17,IF(umumiy_malumot!$B$77=umumiy_malumot!$D$77,'График аннуитет.'!F17))</f>
        <v>3100000</v>
      </c>
      <c r="H18" s="327"/>
      <c r="I18" s="327"/>
      <c r="J18" s="327"/>
      <c r="K18" s="327"/>
      <c r="L18" s="327"/>
      <c r="M18" s="327"/>
      <c r="N18" s="327"/>
      <c r="O18" s="327"/>
      <c r="P18" s="327"/>
    </row>
    <row r="19" spans="1:16" ht="13.5" customHeight="1">
      <c r="A19" s="22">
        <v>11</v>
      </c>
      <c r="B19" s="37">
        <f>'График дифференц'!B18</f>
        <v>46412</v>
      </c>
      <c r="C19" s="38">
        <f>IF(umumiy_malumot!$B$77=umumiy_malumot!$C$77,'График дифференц'!C18,IF(umumiy_malumot!$B$77=umumiy_malumot!$D$77,'График аннуитет.'!C18))</f>
        <v>42495770.339999996</v>
      </c>
      <c r="D19" s="38">
        <f>IF(umumiy_malumot!$B$77=umumiy_malumot!$C$77,'График дифференц'!D18,IF(umumiy_malumot!$B$77=umumiy_malumot!$D$77,'График аннуитет.'!D18))</f>
        <v>1114923.68</v>
      </c>
      <c r="E19" s="38">
        <f>IF(umumiy_malumot!$B$77=umumiy_malumot!$C$77,'График дифференц'!E18,IF(umumiy_malumot!$B$77=umumiy_malumot!$D$77,'График аннуитет.'!E18))</f>
        <v>1985076.32</v>
      </c>
      <c r="F19" s="38">
        <f>IF(umumiy_malumot!$B$77=umumiy_malumot!$C$77,'График дифференц'!F18,IF(umumiy_malumot!$B$77=umumiy_malumot!$D$77,'График аннуитет.'!F18))</f>
        <v>3100000</v>
      </c>
      <c r="H19" s="327"/>
      <c r="I19" s="327"/>
      <c r="J19" s="327"/>
      <c r="K19" s="327"/>
      <c r="L19" s="327"/>
      <c r="M19" s="327"/>
      <c r="N19" s="327"/>
      <c r="O19" s="327"/>
      <c r="P19" s="327"/>
    </row>
    <row r="20" spans="1:16">
      <c r="A20" s="22">
        <v>12</v>
      </c>
      <c r="B20" s="37">
        <f>'График дифференц'!B19</f>
        <v>46443</v>
      </c>
      <c r="C20" s="38">
        <f>IF(umumiy_malumot!$B$77=umumiy_malumot!$C$77,'График дифференц'!C19,IF(umumiy_malumot!$B$77=umumiy_malumot!$D$77,'График аннуитет.'!C19))</f>
        <v>41380846.659999996</v>
      </c>
      <c r="D20" s="38">
        <f>IF(umumiy_malumot!$B$77=umumiy_malumot!$C$77,'График дифференц'!D19,IF(umumiy_malumot!$B$77=umumiy_malumot!$D$77,'График аннуитет.'!D19))</f>
        <v>1167004.3</v>
      </c>
      <c r="E20" s="38">
        <f>IF(umumiy_malumot!$B$77=umumiy_malumot!$C$77,'График дифференц'!E19,IF(umumiy_malumot!$B$77=umumiy_malumot!$D$77,'График аннуитет.'!E19))</f>
        <v>1932995.7</v>
      </c>
      <c r="F20" s="38">
        <f>IF(umumiy_malumot!$B$77=umumiy_malumot!$C$77,'График дифференц'!F19,IF(umumiy_malumot!$B$77=umumiy_malumot!$D$77,'График аннуитет.'!F19))</f>
        <v>3100000</v>
      </c>
      <c r="H20" s="327"/>
      <c r="I20" s="327"/>
      <c r="J20" s="327"/>
      <c r="K20" s="327"/>
      <c r="L20" s="327"/>
      <c r="M20" s="327"/>
      <c r="N20" s="327"/>
      <c r="O20" s="327"/>
      <c r="P20" s="327"/>
    </row>
    <row r="21" spans="1:16">
      <c r="A21" s="22">
        <v>13</v>
      </c>
      <c r="B21" s="37">
        <f>'График дифференц'!B20</f>
        <v>46471</v>
      </c>
      <c r="C21" s="38">
        <f>IF(umumiy_malumot!$B$77=umumiy_malumot!$C$77,'График дифференц'!C20,IF(umumiy_malumot!$B$77=umumiy_malumot!$D$77,'График аннуитет.'!C20))</f>
        <v>40213842.359999999</v>
      </c>
      <c r="D21" s="38">
        <f>IF(umumiy_malumot!$B$77=umumiy_malumot!$C$77,'График дифференц'!D20,IF(umumiy_malumot!$B$77=umumiy_malumot!$D$77,'График аннуитет.'!D20))</f>
        <v>1403306.4000000001</v>
      </c>
      <c r="E21" s="38">
        <f>IF(umumiy_malumot!$B$77=umumiy_malumot!$C$77,'График дифференц'!E20,IF(umumiy_malumot!$B$77=umumiy_malumot!$D$77,'График аннуитет.'!E20))</f>
        <v>1696693.5999999999</v>
      </c>
      <c r="F21" s="38">
        <f>IF(umumiy_malumot!$B$77=umumiy_malumot!$C$77,'График дифференц'!F20,IF(umumiy_malumot!$B$77=umumiy_malumot!$D$77,'График аннуитет.'!F20))</f>
        <v>3100000</v>
      </c>
      <c r="H21" s="327"/>
      <c r="I21" s="327"/>
      <c r="J21" s="327"/>
      <c r="K21" s="327"/>
      <c r="L21" s="327"/>
      <c r="M21" s="327"/>
      <c r="N21" s="327"/>
      <c r="O21" s="327"/>
      <c r="P21" s="327"/>
    </row>
    <row r="22" spans="1:16">
      <c r="A22" s="22">
        <v>14</v>
      </c>
      <c r="B22" s="37">
        <f>'График дифференц'!B21</f>
        <v>46503</v>
      </c>
      <c r="C22" s="38">
        <f>IF(umumiy_malumot!$B$77=umumiy_malumot!$C$77,'График дифференц'!C21,IF(umumiy_malumot!$B$77=umumiy_malumot!$D$77,'График аннуитет.'!C21))</f>
        <v>38810535.960000001</v>
      </c>
      <c r="D22" s="38">
        <f>IF(umumiy_malumot!$B$77=umumiy_malumot!$C$77,'График дифференц'!D21,IF(umumiy_malumot!$B$77=umumiy_malumot!$D$77,'График аннуитет.'!D21))</f>
        <v>1228587.8400000001</v>
      </c>
      <c r="E22" s="38">
        <f>IF(umumiy_malumot!$B$77=umumiy_malumot!$C$77,'График дифференц'!E21,IF(umumiy_malumot!$B$77=umumiy_malumot!$D$77,'График аннуитет.'!E21))</f>
        <v>1871412.16</v>
      </c>
      <c r="F22" s="38">
        <f>IF(umumiy_malumot!$B$77=umumiy_malumot!$C$77,'График дифференц'!F21,IF(umumiy_malumot!$B$77=umumiy_malumot!$D$77,'График аннуитет.'!F21))</f>
        <v>3100000</v>
      </c>
      <c r="H22" s="327"/>
      <c r="I22" s="327"/>
      <c r="J22" s="327"/>
      <c r="K22" s="327"/>
      <c r="L22" s="327"/>
      <c r="M22" s="327"/>
      <c r="N22" s="327"/>
      <c r="O22" s="327"/>
      <c r="P22" s="327"/>
    </row>
    <row r="23" spans="1:16">
      <c r="A23" s="22">
        <v>15</v>
      </c>
      <c r="B23" s="37">
        <f>'График дифференц'!B22</f>
        <v>46532</v>
      </c>
      <c r="C23" s="38">
        <f>IF(umumiy_malumot!$B$77=umumiy_malumot!$C$77,'График дифференц'!C22,IF(umumiy_malumot!$B$77=umumiy_malumot!$D$77,'График аннуитет.'!C22))</f>
        <v>37581948.119999997</v>
      </c>
      <c r="D23" s="38">
        <f>IF(umumiy_malumot!$B$77=umumiy_malumot!$C$77,'График дифференц'!D22,IF(umumiy_malumot!$B$77=umumiy_malumot!$D$77,'График аннуитет.'!D22))</f>
        <v>1457720.43</v>
      </c>
      <c r="E23" s="38">
        <f>IF(umumiy_malumot!$B$77=umumiy_malumot!$C$77,'График дифференц'!E22,IF(umumiy_malumot!$B$77=umumiy_malumot!$D$77,'График аннуитет.'!E22))</f>
        <v>1642279.57</v>
      </c>
      <c r="F23" s="38">
        <f>IF(umumiy_malumot!$B$77=umumiy_malumot!$C$77,'График дифференц'!F22,IF(umumiy_malumot!$B$77=umumiy_malumot!$D$77,'График аннуитет.'!F22))</f>
        <v>3100000</v>
      </c>
      <c r="H23" s="327"/>
      <c r="I23" s="327"/>
      <c r="J23" s="327"/>
      <c r="K23" s="327"/>
      <c r="L23" s="327"/>
      <c r="M23" s="327"/>
      <c r="N23" s="327"/>
      <c r="O23" s="327"/>
      <c r="P23" s="327"/>
    </row>
    <row r="24" spans="1:16">
      <c r="A24" s="22">
        <v>16</v>
      </c>
      <c r="B24" s="37">
        <f>'График дифференц'!B23</f>
        <v>46563</v>
      </c>
      <c r="C24" s="38">
        <f>IF(umumiy_malumot!$B$77=umumiy_malumot!$C$77,'График дифференц'!C23,IF(umumiy_malumot!$B$77=umumiy_malumot!$D$77,'График аннуитет.'!C23))</f>
        <v>36124227.689999998</v>
      </c>
      <c r="D24" s="38">
        <f>IF(umumiy_malumot!$B$77=umumiy_malumot!$C$77,'График дифференц'!D23,IF(umumiy_malumot!$B$77=umumiy_malumot!$D$77,'График аннуитет.'!D23))</f>
        <v>1412553.1300000001</v>
      </c>
      <c r="E24" s="38">
        <f>IF(umumiy_malumot!$B$77=umumiy_malumot!$C$77,'График дифференц'!E23,IF(umumiy_malumot!$B$77=umumiy_malumot!$D$77,'График аннуитет.'!E23))</f>
        <v>1687446.8699999999</v>
      </c>
      <c r="F24" s="38">
        <f>IF(umumiy_malumot!$B$77=umumiy_malumot!$C$77,'График дифференц'!F23,IF(umumiy_malumot!$B$77=umumiy_malumot!$D$77,'График аннуитет.'!F23))</f>
        <v>3100000</v>
      </c>
      <c r="H24" s="327"/>
      <c r="I24" s="327"/>
      <c r="J24" s="327"/>
      <c r="K24" s="327"/>
      <c r="L24" s="327"/>
      <c r="M24" s="327"/>
      <c r="N24" s="327"/>
      <c r="O24" s="327"/>
      <c r="P24" s="327"/>
    </row>
    <row r="25" spans="1:16">
      <c r="A25" s="22">
        <v>17</v>
      </c>
      <c r="B25" s="37">
        <f>'График дифференц'!B24</f>
        <v>46594</v>
      </c>
      <c r="C25" s="38">
        <f>IF(umumiy_malumot!$B$77=umumiy_malumot!$C$77,'График дифференц'!C24,IF(umumiy_malumot!$B$77=umumiy_malumot!$D$77,'График аннуитет.'!C24))</f>
        <v>34711674.559999995</v>
      </c>
      <c r="D25" s="38">
        <f>IF(umumiy_malumot!$B$77=umumiy_malumot!$C$77,'График дифференц'!D24,IF(umumiy_malumot!$B$77=umumiy_malumot!$D$77,'График аннуитет.'!D24))</f>
        <v>1478536.94</v>
      </c>
      <c r="E25" s="38">
        <f>IF(umumiy_malumot!$B$77=umumiy_malumot!$C$77,'График дифференц'!E24,IF(umumiy_malumot!$B$77=umumiy_malumot!$D$77,'График аннуитет.'!E24))</f>
        <v>1621463.06</v>
      </c>
      <c r="F25" s="38">
        <f>IF(umumiy_malumot!$B$77=umumiy_malumot!$C$77,'График дифференц'!F24,IF(umumiy_malumot!$B$77=umumiy_malumot!$D$77,'График аннуитет.'!F24))</f>
        <v>3100000</v>
      </c>
    </row>
    <row r="26" spans="1:16">
      <c r="A26" s="22">
        <v>18</v>
      </c>
      <c r="B26" s="37">
        <f>'График дифференц'!B25</f>
        <v>46624</v>
      </c>
      <c r="C26" s="38">
        <f>IF(umumiy_malumot!$B$77=umumiy_malumot!$C$77,'График дифференц'!C25,IF(umumiy_malumot!$B$77=umumiy_malumot!$D$77,'График аннуитет.'!C25))</f>
        <v>33233137.619999994</v>
      </c>
      <c r="D26" s="38">
        <f>IF(umumiy_malumot!$B$77=umumiy_malumot!$C$77,'График дифференц'!D25,IF(umumiy_malumot!$B$77=umumiy_malumot!$D$77,'График аннуитет.'!D25))</f>
        <v>1597680.0999999999</v>
      </c>
      <c r="E26" s="38">
        <f>IF(umumiy_malumot!$B$77=umumiy_malumot!$C$77,'График дифференц'!E25,IF(umumiy_malumot!$B$77=umumiy_malumot!$D$77,'График аннуитет.'!E25))</f>
        <v>1502319.9000000001</v>
      </c>
      <c r="F26" s="38">
        <f>IF(umumiy_malumot!$B$77=umumiy_malumot!$C$77,'График дифференц'!F25,IF(umumiy_malumot!$B$77=umumiy_malumot!$D$77,'График аннуитет.'!F25))</f>
        <v>3100000</v>
      </c>
    </row>
    <row r="27" spans="1:16">
      <c r="A27" s="22">
        <v>19</v>
      </c>
      <c r="B27" s="37">
        <f>'График дифференц'!B26</f>
        <v>46657</v>
      </c>
      <c r="C27" s="38">
        <f>IF(umumiy_malumot!$B$77=umumiy_malumot!$C$77,'График дифференц'!C26,IF(umumiy_malumot!$B$77=umumiy_malumot!$D$77,'График аннуитет.'!C26))</f>
        <v>31635457.519999992</v>
      </c>
      <c r="D27" s="38">
        <f>IF(umumiy_malumot!$B$77=umumiy_malumot!$C$77,'График дифференц'!D26,IF(umumiy_malumot!$B$77=umumiy_malumot!$D$77,'График аннуитет.'!D26))</f>
        <v>1526894.2899999998</v>
      </c>
      <c r="E27" s="38">
        <f>IF(umumiy_malumot!$B$77=umumiy_malumot!$C$77,'График дифференц'!E26,IF(umumiy_malumot!$B$77=umumiy_malumot!$D$77,'График аннуитет.'!E26))</f>
        <v>1573105.7100000002</v>
      </c>
      <c r="F27" s="38">
        <f>IF(umumiy_malumot!$B$77=umumiy_malumot!$C$77,'График дифференц'!F26,IF(umumiy_malumot!$B$77=umumiy_malumot!$D$77,'График аннуитет.'!F26))</f>
        <v>3100000</v>
      </c>
    </row>
    <row r="28" spans="1:16">
      <c r="A28" s="22">
        <v>20</v>
      </c>
      <c r="B28" s="37">
        <f>'График дифференц'!B27</f>
        <v>46685</v>
      </c>
      <c r="C28" s="38">
        <f>IF(umumiy_malumot!$B$77=umumiy_malumot!$C$77,'График дифференц'!C27,IF(umumiy_malumot!$B$77=umumiy_malumot!$D$77,'График аннуитет.'!C27))</f>
        <v>30108563.229999993</v>
      </c>
      <c r="D28" s="38">
        <f>IF(umumiy_malumot!$B$77=umumiy_malumot!$C$77,'График дифференц'!D27,IF(umumiy_malumot!$B$77=umumiy_malumot!$D$77,'График аннуитет.'!D27))</f>
        <v>1829666.04</v>
      </c>
      <c r="E28" s="38">
        <f>IF(umumiy_malumot!$B$77=umumiy_malumot!$C$77,'График дифференц'!E27,IF(umumiy_malumot!$B$77=umumiy_malumot!$D$77,'График аннуитет.'!E27))</f>
        <v>1270333.96</v>
      </c>
      <c r="F28" s="38">
        <f>IF(umumiy_malumot!$B$77=umumiy_malumot!$C$77,'График дифференц'!F27,IF(umumiy_malumot!$B$77=umumiy_malumot!$D$77,'График аннуитет.'!F27))</f>
        <v>3100000</v>
      </c>
    </row>
    <row r="29" spans="1:16">
      <c r="A29" s="22">
        <v>21</v>
      </c>
      <c r="B29" s="37">
        <f>'График дифференц'!B28</f>
        <v>46716</v>
      </c>
      <c r="C29" s="38">
        <f>IF(umumiy_malumot!$B$77=umumiy_malumot!$C$77,'График дифференц'!C28,IF(umumiy_malumot!$B$77=umumiy_malumot!$D$77,'График аннуитет.'!C28))</f>
        <v>28278897.189999994</v>
      </c>
      <c r="D29" s="38">
        <f>IF(umumiy_malumot!$B$77=umumiy_malumot!$C$77,'График дифференц'!D28,IF(umumiy_malumot!$B$77=umumiy_malumot!$D$77,'График аннуитет.'!D28))</f>
        <v>1779026.76</v>
      </c>
      <c r="E29" s="38">
        <f>IF(umumiy_malumot!$B$77=umumiy_malumot!$C$77,'График дифференц'!E28,IF(umumiy_malumot!$B$77=umumiy_malumot!$D$77,'График аннуитет.'!E28))</f>
        <v>1320973.24</v>
      </c>
      <c r="F29" s="38">
        <f>IF(umumiy_malumot!$B$77=umumiy_malumot!$C$77,'График дифференц'!F28,IF(umumiy_malumot!$B$77=umumiy_malumot!$D$77,'График аннуитет.'!F28))</f>
        <v>3100000</v>
      </c>
    </row>
    <row r="30" spans="1:16">
      <c r="A30" s="22">
        <v>22</v>
      </c>
      <c r="B30" s="37">
        <f>'График дифференц'!B29</f>
        <v>46748</v>
      </c>
      <c r="C30" s="38">
        <f>IF(umumiy_malumot!$B$77=umumiy_malumot!$C$77,'График дифференц'!C29,IF(umumiy_malumot!$B$77=umumiy_malumot!$D$77,'График аннуитет.'!C29))</f>
        <v>26499870.429999992</v>
      </c>
      <c r="D30" s="38">
        <f>IF(umumiy_malumot!$B$77=umumiy_malumot!$C$77,'График дифференц'!D29,IF(umumiy_malumot!$B$77=umumiy_malumot!$D$77,'График аннуитет.'!D29))</f>
        <v>1822198.08</v>
      </c>
      <c r="E30" s="38">
        <f>IF(umumiy_malumot!$B$77=umumiy_malumot!$C$77,'График дифференц'!E29,IF(umumiy_malumot!$B$77=umumiy_malumot!$D$77,'График аннуитет.'!E29))</f>
        <v>1277801.92</v>
      </c>
      <c r="F30" s="38">
        <f>IF(umumiy_malumot!$B$77=umumiy_malumot!$C$77,'График дифференц'!F29,IF(umumiy_malumot!$B$77=umumiy_malumot!$D$77,'График аннуитет.'!F29))</f>
        <v>3100000</v>
      </c>
    </row>
    <row r="31" spans="1:16">
      <c r="A31" s="22">
        <v>23</v>
      </c>
      <c r="B31" s="37">
        <f>'График дифференц'!B30</f>
        <v>46777</v>
      </c>
      <c r="C31" s="38">
        <f>IF(umumiy_malumot!$B$77=umumiy_malumot!$C$77,'График дифференц'!C30,IF(umumiy_malumot!$B$77=umumiy_malumot!$D$77,'График аннуитет.'!C30))</f>
        <v>24677672.349999994</v>
      </c>
      <c r="D31" s="38">
        <f>IF(umumiy_malumot!$B$77=umumiy_malumot!$C$77,'График дифференц'!D30,IF(umumiy_malumot!$B$77=umumiy_malumot!$D$77,'График аннуитет.'!D30))</f>
        <v>2024566.03</v>
      </c>
      <c r="E31" s="38">
        <f>IF(umumiy_malumot!$B$77=umumiy_malumot!$C$77,'График дифференц'!E30,IF(umumiy_malumot!$B$77=umumiy_malumot!$D$77,'График аннуитет.'!E30))</f>
        <v>1075433.97</v>
      </c>
      <c r="F31" s="38">
        <f>IF(umumiy_malumot!$B$77=umumiy_malumot!$C$77,'График дифференц'!F30,IF(umumiy_malumot!$B$77=umumiy_malumot!$D$77,'График аннуитет.'!F30))</f>
        <v>3100000</v>
      </c>
    </row>
    <row r="32" spans="1:16">
      <c r="A32" s="22">
        <v>24</v>
      </c>
      <c r="B32" s="37">
        <f>'График дифференц'!B31</f>
        <v>46808</v>
      </c>
      <c r="C32" s="38">
        <f>IF(umumiy_malumot!$B$77=umumiy_malumot!$C$77,'График дифференц'!C31,IF(umumiy_malumot!$B$77=umumiy_malumot!$D$77,'График аннуитет.'!C31))</f>
        <v>22653106.319999993</v>
      </c>
      <c r="D32" s="38">
        <f>IF(umumiy_malumot!$B$77=umumiy_malumot!$C$77,'График дифференц'!D31,IF(umumiy_malumot!$B$77=umumiy_malumot!$D$77,'График аннуитет.'!D31))</f>
        <v>2044711.95</v>
      </c>
      <c r="E32" s="38">
        <f>IF(umumiy_malumot!$B$77=umumiy_malumot!$C$77,'График дифференц'!E31,IF(umumiy_malumot!$B$77=umumiy_malumot!$D$77,'График аннуитет.'!E31))</f>
        <v>1055288.05</v>
      </c>
      <c r="F32" s="38">
        <f>IF(umumiy_malumot!$B$77=umumiy_malumot!$C$77,'График дифференц'!F31,IF(umumiy_malumot!$B$77=umumiy_malumot!$D$77,'График аннуитет.'!F31))</f>
        <v>3100000</v>
      </c>
    </row>
    <row r="33" spans="1:6">
      <c r="A33" s="22">
        <f>1+A32</f>
        <v>25</v>
      </c>
      <c r="B33" s="37">
        <f>'График дифференц'!B32</f>
        <v>46839</v>
      </c>
      <c r="C33" s="38">
        <f>IF(umumiy_malumot!$B$77=umumiy_malumot!$C$77,'График дифференц'!C32,IF(umumiy_malumot!$B$77=umumiy_malumot!$D$77,'График аннуитет.'!C32))</f>
        <v>20608394.369999994</v>
      </c>
      <c r="D33" s="38">
        <f>IF(umumiy_malumot!$B$77=umumiy_malumot!$C$77,'График дифференц'!D32,IF(umumiy_malumot!$B$77=umumiy_malumot!$D$77,'График аннуитет.'!D32))</f>
        <v>2139964.1</v>
      </c>
      <c r="E33" s="38">
        <f>IF(umumiy_malumot!$B$77=umumiy_malumot!$C$77,'График дифференц'!E32,IF(umumiy_malumot!$B$77=umumiy_malumot!$D$77,'График аннуитет.'!E32))</f>
        <v>960035.9</v>
      </c>
      <c r="F33" s="38">
        <f>IF(umumiy_malumot!$B$77=umumiy_malumot!$C$77,'График дифференц'!F32,IF(umumiy_malumot!$B$77=umumiy_malumot!$D$77,'График аннуитет.'!F32))</f>
        <v>3100000</v>
      </c>
    </row>
    <row r="34" spans="1:6">
      <c r="A34" s="22">
        <f t="shared" ref="A34:A56" si="0">1+A33</f>
        <v>26</v>
      </c>
      <c r="B34" s="37">
        <f>'График дифференц'!B33</f>
        <v>46868</v>
      </c>
      <c r="C34" s="38">
        <f>IF(umumiy_malumot!$B$77=umumiy_malumot!$C$77,'График дифференц'!C33,IF(umumiy_malumot!$B$77=umumiy_malumot!$D$77,'График аннуитет.'!C33))</f>
        <v>18468430.269999992</v>
      </c>
      <c r="D34" s="38">
        <f>IF(umumiy_malumot!$B$77=umumiy_malumot!$C$77,'График дифференц'!D33,IF(umumiy_malumot!$B$77=umumiy_malumot!$D$77,'График аннуитет.'!D33))</f>
        <v>2295159.81</v>
      </c>
      <c r="E34" s="38">
        <f>IF(umumiy_malumot!$B$77=umumiy_malumot!$C$77,'График дифференц'!E33,IF(umumiy_malumot!$B$77=umumiy_malumot!$D$77,'График аннуитет.'!E33))</f>
        <v>804840.19000000006</v>
      </c>
      <c r="F34" s="38">
        <f>IF(umumiy_malumot!$B$77=umumiy_malumot!$C$77,'График дифференц'!F33,IF(umumiy_malumot!$B$77=umumiy_malumot!$D$77,'График аннуитет.'!F33))</f>
        <v>3100000</v>
      </c>
    </row>
    <row r="35" spans="1:6">
      <c r="A35" s="22">
        <f t="shared" si="0"/>
        <v>27</v>
      </c>
      <c r="B35" s="37">
        <f>'График дифференц'!B34</f>
        <v>46898</v>
      </c>
      <c r="C35" s="38">
        <f>IF(umumiy_malumot!$B$77=umumiy_malumot!$C$77,'График дифференц'!C34,IF(umumiy_malumot!$B$77=umumiy_malumot!$D$77,'График аннуитет.'!C34))</f>
        <v>16173270.459999992</v>
      </c>
      <c r="D35" s="38">
        <f>IF(umumiy_malumot!$B$77=umumiy_malumot!$C$77,'График дифференц'!D34,IF(umumiy_malumot!$B$77=umumiy_malumot!$D$77,'График аннуитет.'!D34))</f>
        <v>2370877.2999999998</v>
      </c>
      <c r="E35" s="38">
        <f>IF(umumiy_malumot!$B$77=umumiy_malumot!$C$77,'График дифференц'!E34,IF(umumiy_malumot!$B$77=umumiy_malumot!$D$77,'График аннуитет.'!E34))</f>
        <v>729122.7</v>
      </c>
      <c r="F35" s="38">
        <f>IF(umumiy_malumot!$B$77=umumiy_malumot!$C$77,'График дифференц'!F34,IF(umumiy_malumot!$B$77=umumiy_malumot!$D$77,'График аннуитет.'!F34))</f>
        <v>3100000</v>
      </c>
    </row>
    <row r="36" spans="1:6">
      <c r="A36" s="22">
        <f t="shared" si="0"/>
        <v>28</v>
      </c>
      <c r="B36" s="37">
        <f>'График дифференц'!B35</f>
        <v>46930</v>
      </c>
      <c r="C36" s="38">
        <f>IF(umumiy_malumot!$B$77=umumiy_malumot!$C$77,'График дифференц'!C35,IF(umumiy_malumot!$B$77=umumiy_malumot!$D$77,'График аннуитет.'!C35))</f>
        <v>13802393.159999993</v>
      </c>
      <c r="D36" s="38">
        <f>IF(umumiy_malumot!$B$77=umumiy_malumot!$C$77,'График дифференц'!D35,IF(umumiy_malumot!$B$77=umumiy_malumot!$D$77,'График аннуитет.'!D35))</f>
        <v>2436278.4</v>
      </c>
      <c r="E36" s="38">
        <f>IF(umumiy_malumot!$B$77=umumiy_malumot!$C$77,'График дифференц'!E35,IF(umumiy_malumot!$B$77=umumiy_malumot!$D$77,'График аннуитет.'!E35))</f>
        <v>663721.6</v>
      </c>
      <c r="F36" s="38">
        <f>IF(umumiy_malumot!$B$77=umumiy_malumot!$C$77,'График дифференц'!F35,IF(umumiy_malumot!$B$77=umumiy_malumot!$D$77,'График аннуитет.'!F35))</f>
        <v>3100000</v>
      </c>
    </row>
    <row r="37" spans="1:6">
      <c r="A37" s="22">
        <f t="shared" si="0"/>
        <v>29</v>
      </c>
      <c r="B37" s="37">
        <f>'График дифференц'!B36</f>
        <v>46959</v>
      </c>
      <c r="C37" s="38">
        <f>IF(umumiy_malumot!$B$77=umumiy_malumot!$C$77,'График дифференц'!C36,IF(umumiy_malumot!$B$77=umumiy_malumot!$D$77,'График аннуитет.'!C36))</f>
        <v>11366114.759999992</v>
      </c>
      <c r="D37" s="38">
        <f>IF(umumiy_malumot!$B$77=umumiy_malumot!$C$77,'График дифференц'!D36,IF(umumiy_malumot!$B$77=umumiy_malumot!$D$77,'График аннуитет.'!D36))</f>
        <v>2604673.33</v>
      </c>
      <c r="E37" s="38">
        <f>IF(umumiy_malumot!$B$77=umumiy_malumot!$C$77,'График дифференц'!E36,IF(umumiy_malumot!$B$77=umumiy_malumot!$D$77,'График аннуитет.'!E36))</f>
        <v>495326.67</v>
      </c>
      <c r="F37" s="38">
        <f>IF(umumiy_malumot!$B$77=umumiy_malumot!$C$77,'График дифференц'!F36,IF(umumiy_malumot!$B$77=umumiy_malumot!$D$77,'График аннуитет.'!F36))</f>
        <v>3100000</v>
      </c>
    </row>
    <row r="38" spans="1:6">
      <c r="A38" s="22">
        <f t="shared" si="0"/>
        <v>30</v>
      </c>
      <c r="B38" s="37">
        <f>'График дифференц'!B37</f>
        <v>46967</v>
      </c>
      <c r="C38" s="38">
        <f>IF(umumiy_malumot!$B$77=umumiy_malumot!$C$77,'График дифференц'!C37,IF(umumiy_malumot!$B$77=umumiy_malumot!$D$77,'График аннуитет.'!C37))</f>
        <v>8761441.4299999923</v>
      </c>
      <c r="D38" s="38">
        <f>IF(umumiy_malumot!$B$77=umumiy_malumot!$C$77,'График дифференц'!D37,IF(umumiy_malumot!$B$77=umumiy_malumot!$D$77,'График аннуитет.'!D37))</f>
        <v>8761441.4299999923</v>
      </c>
      <c r="E38" s="38">
        <f>IF(umumiy_malumot!$B$77=umumiy_malumot!$C$77,'График дифференц'!E37,IF(umumiy_malumot!$B$77=umumiy_malumot!$D$77,'График аннуитет.'!E37))</f>
        <v>105328.8</v>
      </c>
      <c r="F38" s="38">
        <f>IF(umumiy_malumot!$B$77=umumiy_malumot!$C$77,'График дифференц'!F37,IF(umumiy_malumot!$B$77=umumiy_malumot!$D$77,'График аннуитет.'!F37))</f>
        <v>8866770.229999993</v>
      </c>
    </row>
    <row r="39" spans="1:6" hidden="1">
      <c r="A39" s="22">
        <f t="shared" si="0"/>
        <v>31</v>
      </c>
      <c r="B39" s="37" t="b">
        <f>'График дифференц'!B38</f>
        <v>0</v>
      </c>
      <c r="C39" s="38">
        <f>IF(umumiy_malumot!$B$77=umumiy_malumot!$C$77,'График дифференц'!C38,IF(umumiy_malumot!$B$77=umumiy_malumot!$D$77,'График аннуитет.'!C38))</f>
        <v>0</v>
      </c>
      <c r="D39" s="38">
        <f>IF(umumiy_malumot!$B$77=umumiy_malumot!$C$77,'График дифференц'!D38,IF(umumiy_malumot!$B$77=umumiy_malumot!$D$77,'График аннуитет.'!D38))</f>
        <v>0</v>
      </c>
      <c r="E39" s="38">
        <f>IF(umumiy_malumot!$B$77=umumiy_malumot!$C$77,'График дифференц'!E38,IF(umumiy_malumot!$B$77=umumiy_malumot!$D$77,'График аннуитет.'!E38))</f>
        <v>0</v>
      </c>
      <c r="F39" s="38">
        <f>IF(umumiy_malumot!$B$77=umumiy_malumot!$C$77,'График дифференц'!F38,IF(umumiy_malumot!$B$77=umumiy_malumot!$D$77,'График аннуитет.'!F38))</f>
        <v>0</v>
      </c>
    </row>
    <row r="40" spans="1:6" hidden="1">
      <c r="A40" s="22">
        <f t="shared" si="0"/>
        <v>32</v>
      </c>
      <c r="B40" s="37" t="b">
        <f>'График дифференц'!B39</f>
        <v>0</v>
      </c>
      <c r="C40" s="38">
        <f>IF(umumiy_malumot!$B$77=umumiy_malumot!$C$77,'График дифференц'!C39,IF(umumiy_malumot!$B$77=umumiy_malumot!$D$77,'График аннуитет.'!C39))</f>
        <v>0</v>
      </c>
      <c r="D40" s="38">
        <f>IF(umumiy_malumot!$B$77=umumiy_malumot!$C$77,'График дифференц'!D39,IF(umumiy_malumot!$B$77=umumiy_malumot!$D$77,'График аннуитет.'!D39))</f>
        <v>0</v>
      </c>
      <c r="E40" s="38">
        <f>IF(umumiy_malumot!$B$77=umumiy_malumot!$C$77,'График дифференц'!E39,IF(umumiy_malumot!$B$77=umumiy_malumot!$D$77,'График аннуитет.'!E39))</f>
        <v>0</v>
      </c>
      <c r="F40" s="38">
        <f>IF(umumiy_malumot!$B$77=umumiy_malumot!$C$77,'График дифференц'!F39,IF(umumiy_malumot!$B$77=umumiy_malumot!$D$77,'График аннуитет.'!F39))</f>
        <v>0</v>
      </c>
    </row>
    <row r="41" spans="1:6" hidden="1">
      <c r="A41" s="22">
        <f t="shared" si="0"/>
        <v>33</v>
      </c>
      <c r="B41" s="37" t="b">
        <f>'График дифференц'!B40</f>
        <v>0</v>
      </c>
      <c r="C41" s="38">
        <f>IF(umumiy_malumot!$B$77=umumiy_malumot!$C$77,'График дифференц'!C40,IF(umumiy_malumot!$B$77=umumiy_malumot!$D$77,'График аннуитет.'!C40))</f>
        <v>0</v>
      </c>
      <c r="D41" s="38">
        <f>IF(umumiy_malumot!$B$77=umumiy_malumot!$C$77,'График дифференц'!D40,IF(umumiy_malumot!$B$77=umumiy_malumot!$D$77,'График аннуитет.'!D40))</f>
        <v>0</v>
      </c>
      <c r="E41" s="38">
        <f>IF(umumiy_malumot!$B$77=umumiy_malumot!$C$77,'График дифференц'!E40,IF(umumiy_malumot!$B$77=umumiy_malumot!$D$77,'График аннуитет.'!E40))</f>
        <v>0</v>
      </c>
      <c r="F41" s="38">
        <f>IF(umumiy_malumot!$B$77=umumiy_malumot!$C$77,'График дифференц'!F40,IF(umumiy_malumot!$B$77=umumiy_malumot!$D$77,'График аннуитет.'!F40))</f>
        <v>0</v>
      </c>
    </row>
    <row r="42" spans="1:6" hidden="1">
      <c r="A42" s="22">
        <f t="shared" si="0"/>
        <v>34</v>
      </c>
      <c r="B42" s="37" t="b">
        <f>'График дифференц'!B41</f>
        <v>0</v>
      </c>
      <c r="C42" s="38">
        <f>IF(umumiy_malumot!$B$77=umumiy_malumot!$C$77,'График дифференц'!C41,IF(umumiy_malumot!$B$77=umumiy_malumot!$D$77,'График аннуитет.'!C41))</f>
        <v>0</v>
      </c>
      <c r="D42" s="38">
        <f>IF(umumiy_malumot!$B$77=umumiy_malumot!$C$77,'График дифференц'!D41,IF(umumiy_malumot!$B$77=umumiy_malumot!$D$77,'График аннуитет.'!D41))</f>
        <v>0</v>
      </c>
      <c r="E42" s="38">
        <f>IF(umumiy_malumot!$B$77=umumiy_malumot!$C$77,'График дифференц'!E41,IF(umumiy_malumot!$B$77=umumiy_malumot!$D$77,'График аннуитет.'!E41))</f>
        <v>0</v>
      </c>
      <c r="F42" s="38">
        <f>IF(umumiy_malumot!$B$77=umumiy_malumot!$C$77,'График дифференц'!F41,IF(umumiy_malumot!$B$77=umumiy_malumot!$D$77,'График аннуитет.'!F41))</f>
        <v>0</v>
      </c>
    </row>
    <row r="43" spans="1:6" hidden="1">
      <c r="A43" s="22">
        <f t="shared" si="0"/>
        <v>35</v>
      </c>
      <c r="B43" s="37" t="b">
        <f>'График дифференц'!B42</f>
        <v>0</v>
      </c>
      <c r="C43" s="38">
        <f>IF(umumiy_malumot!$B$77=umumiy_malumot!$C$77,'График дифференц'!C42,IF(umumiy_malumot!$B$77=umumiy_malumot!$D$77,'График аннуитет.'!C42))</f>
        <v>0</v>
      </c>
      <c r="D43" s="38">
        <f>IF(umumiy_malumot!$B$77=umumiy_malumot!$C$77,'График дифференц'!D42,IF(umumiy_malumot!$B$77=umumiy_malumot!$D$77,'График аннуитет.'!D42))</f>
        <v>0</v>
      </c>
      <c r="E43" s="38">
        <f>IF(umumiy_malumot!$B$77=umumiy_malumot!$C$77,'График дифференц'!E42,IF(umumiy_malumot!$B$77=umumiy_malumot!$D$77,'График аннуитет.'!E42))</f>
        <v>0</v>
      </c>
      <c r="F43" s="38">
        <f>IF(umumiy_malumot!$B$77=umumiy_malumot!$C$77,'График дифференц'!F42,IF(umumiy_malumot!$B$77=umumiy_malumot!$D$77,'График аннуитет.'!F42))</f>
        <v>0</v>
      </c>
    </row>
    <row r="44" spans="1:6" hidden="1">
      <c r="A44" s="22">
        <f t="shared" si="0"/>
        <v>36</v>
      </c>
      <c r="B44" s="37" t="b">
        <f>'График дифференц'!B43</f>
        <v>0</v>
      </c>
      <c r="C44" s="38">
        <f>IF(umumiy_malumot!$B$77=umumiy_malumot!$C$77,'График дифференц'!C43,IF(umumiy_malumot!$B$77=umumiy_malumot!$D$77,'График аннуитет.'!C43))</f>
        <v>0</v>
      </c>
      <c r="D44" s="38">
        <f>IF(umumiy_malumot!$B$77=umumiy_malumot!$C$77,'График дифференц'!D43,IF(umumiy_malumot!$B$77=umumiy_malumot!$D$77,'График аннуитет.'!D43))</f>
        <v>0</v>
      </c>
      <c r="E44" s="38">
        <f>IF(umumiy_malumot!$B$77=umumiy_malumot!$C$77,'График дифференц'!E43,IF(umumiy_malumot!$B$77=umumiy_malumot!$D$77,'График аннуитет.'!E43))</f>
        <v>0</v>
      </c>
      <c r="F44" s="38">
        <f>IF(umumiy_malumot!$B$77=umumiy_malumot!$C$77,'График дифференц'!F43,IF(umumiy_malumot!$B$77=umumiy_malumot!$D$77,'График аннуитет.'!F43))</f>
        <v>0</v>
      </c>
    </row>
    <row r="45" spans="1:6" hidden="1">
      <c r="A45" s="22">
        <f t="shared" si="0"/>
        <v>37</v>
      </c>
      <c r="B45" s="37" t="b">
        <f>'График дифференц'!B44</f>
        <v>0</v>
      </c>
      <c r="C45" s="38">
        <f>IF(umumiy_malumot!$B$77=umumiy_malumot!$C$77,'График дифференц'!C44,IF(umumiy_malumot!$B$77=umumiy_malumot!$D$77,'График аннуитет.'!C44))</f>
        <v>0</v>
      </c>
      <c r="D45" s="38">
        <f>IF(umumiy_malumot!$B$77=umumiy_malumot!$C$77,'График дифференц'!D44,IF(umumiy_malumot!$B$77=umumiy_malumot!$D$77,'График аннуитет.'!D44))</f>
        <v>0</v>
      </c>
      <c r="E45" s="38">
        <f>IF(umumiy_malumot!$B$77=umumiy_malumot!$C$77,'График дифференц'!E44,IF(umumiy_malumot!$B$77=umumiy_malumot!$D$77,'График аннуитет.'!E44))</f>
        <v>0</v>
      </c>
      <c r="F45" s="38">
        <f>IF(umumiy_malumot!$B$77=umumiy_malumot!$C$77,'График дифференц'!F44,IF(umumiy_malumot!$B$77=umumiy_malumot!$D$77,'График аннуитет.'!F44))</f>
        <v>0</v>
      </c>
    </row>
    <row r="46" spans="1:6" hidden="1">
      <c r="A46" s="22">
        <f t="shared" si="0"/>
        <v>38</v>
      </c>
      <c r="B46" s="37" t="b">
        <f>'График дифференц'!B45</f>
        <v>0</v>
      </c>
      <c r="C46" s="38">
        <f>IF(umumiy_malumot!$B$77=umumiy_malumot!$C$77,'График дифференц'!C45,IF(umumiy_malumot!$B$77=umumiy_malumot!$D$77,'График аннуитет.'!C57))</f>
        <v>0</v>
      </c>
      <c r="D46" s="38">
        <f>IF(umumiy_malumot!$B$77=umumiy_malumot!$C$77,'График дифференц'!D45,IF(umumiy_malumot!$B$77=umumiy_malumot!$D$77,'График аннуитет.'!D45))</f>
        <v>0</v>
      </c>
      <c r="E46" s="38">
        <f>IF(umumiy_malumot!$B$77=umumiy_malumot!$C$77,'График дифференц'!E45,IF(umumiy_malumot!$B$77=umumiy_malumot!$D$77,'График аннуитет.'!E45))</f>
        <v>0</v>
      </c>
      <c r="F46" s="38">
        <f>IF(umumiy_malumot!$B$77=umumiy_malumot!$C$77,'График дифференц'!F45,IF(umumiy_malumot!$B$77=umumiy_malumot!$D$77,'График аннуитет.'!F57))</f>
        <v>0</v>
      </c>
    </row>
    <row r="47" spans="1:6" hidden="1">
      <c r="A47" s="22">
        <f t="shared" si="0"/>
        <v>39</v>
      </c>
      <c r="B47" s="37" t="b">
        <f>'График дифференц'!B46</f>
        <v>0</v>
      </c>
      <c r="C47" s="38">
        <f>IF(umumiy_malumot!$B$77=umumiy_malumot!$C$77,'График дифференц'!C46,IF(umumiy_malumot!$B$77=umumiy_malumot!$D$77,'График аннуитет.'!C58))</f>
        <v>0</v>
      </c>
      <c r="D47" s="38">
        <f>IF(umumiy_malumot!$B$77=umumiy_malumot!$C$77,'График дифференц'!D46,IF(umumiy_malumot!$B$77=umumiy_malumot!$D$77,'График аннуитет.'!D46))</f>
        <v>0</v>
      </c>
      <c r="E47" s="38">
        <f>IF(umumiy_malumot!$B$77=umumiy_malumot!$C$77,'График дифференц'!E46,IF(umumiy_malumot!$B$77=umumiy_malumot!$D$77,'График аннуитет.'!E46))</f>
        <v>0</v>
      </c>
      <c r="F47" s="38">
        <f>IF(umumiy_malumot!$B$77=umumiy_malumot!$C$77,'График дифференц'!F46,IF(umumiy_malumot!$B$77=umumiy_malumot!$D$77,'График аннуитет.'!F58))</f>
        <v>0</v>
      </c>
    </row>
    <row r="48" spans="1:6" hidden="1">
      <c r="A48" s="22">
        <f t="shared" si="0"/>
        <v>40</v>
      </c>
      <c r="B48" s="37" t="b">
        <f>'График дифференц'!B47</f>
        <v>0</v>
      </c>
      <c r="C48" s="38">
        <f>IF(umumiy_malumot!$B$77=umumiy_malumot!$C$77,'График дифференц'!C47,IF(umumiy_malumot!$B$77=umumiy_malumot!$D$77,'График аннуитет.'!C59))</f>
        <v>0</v>
      </c>
      <c r="D48" s="38">
        <f>IF(umumiy_malumot!$B$77=umumiy_malumot!$C$77,'График дифференц'!D47,IF(umumiy_malumot!$B$77=umumiy_malumot!$D$77,'График аннуитет.'!D47))</f>
        <v>0</v>
      </c>
      <c r="E48" s="38">
        <f>IF(umumiy_malumot!$B$77=umumiy_malumot!$C$77,'График дифференц'!E47,IF(umumiy_malumot!$B$77=umumiy_malumot!$D$77,'График аннуитет.'!E47))</f>
        <v>0</v>
      </c>
      <c r="F48" s="38">
        <f>IF(umumiy_malumot!$B$77=umumiy_malumot!$C$77,'График дифференц'!F47,IF(umumiy_malumot!$B$77=umumiy_malumot!$D$77,'График аннуитет.'!F59))</f>
        <v>0</v>
      </c>
    </row>
    <row r="49" spans="1:6" hidden="1">
      <c r="A49" s="22">
        <f t="shared" si="0"/>
        <v>41</v>
      </c>
      <c r="B49" s="37" t="b">
        <f>'График дифференц'!B48</f>
        <v>0</v>
      </c>
      <c r="C49" s="38">
        <f>IF(umumiy_malumot!$B$77=umumiy_malumot!$C$77,'График дифференц'!C48,IF(umumiy_malumot!$B$77=umumiy_malumot!$D$77,'График аннуитет.'!C60))</f>
        <v>0</v>
      </c>
      <c r="D49" s="38">
        <f>IF(umumiy_malumot!$B$77=umumiy_malumot!$C$77,'График дифференц'!D48,IF(umumiy_malumot!$B$77=umumiy_malumot!$D$77,'График аннуитет.'!D48))</f>
        <v>0</v>
      </c>
      <c r="E49" s="38">
        <f>IF(umumiy_malumot!$B$77=umumiy_malumot!$C$77,'График дифференц'!E48,IF(umumiy_malumot!$B$77=umumiy_malumot!$D$77,'График аннуитет.'!E48))</f>
        <v>0</v>
      </c>
      <c r="F49" s="38">
        <f>IF(umumiy_malumot!$B$77=umumiy_malumot!$C$77,'График дифференц'!F48,IF(umumiy_malumot!$B$77=umumiy_malumot!$D$77,'График аннуитет.'!F60))</f>
        <v>0</v>
      </c>
    </row>
    <row r="50" spans="1:6" hidden="1">
      <c r="A50" s="22">
        <f t="shared" si="0"/>
        <v>42</v>
      </c>
      <c r="B50" s="37" t="b">
        <f>'График дифференц'!B49</f>
        <v>0</v>
      </c>
      <c r="C50" s="38">
        <f>IF(umumiy_malumot!$B$77=umumiy_malumot!$C$77,'График дифференц'!C49,IF(umumiy_malumot!$B$77=umumiy_malumot!$D$77,'График аннуитет.'!C61))</f>
        <v>0</v>
      </c>
      <c r="D50" s="38">
        <f>IF(umumiy_malumot!$B$77=umumiy_malumot!$C$77,'График дифференц'!D49,IF(umumiy_malumot!$B$77=umumiy_malumot!$D$77,'График аннуитет.'!D49))</f>
        <v>0</v>
      </c>
      <c r="E50" s="38">
        <f>IF(umumiy_malumot!$B$77=umumiy_malumot!$C$77,'График дифференц'!E49,IF(umumiy_malumot!$B$77=umumiy_malumot!$D$77,'График аннуитет.'!E49))</f>
        <v>0</v>
      </c>
      <c r="F50" s="38">
        <f>IF(umumiy_malumot!$B$77=umumiy_malumot!$C$77,'График дифференц'!F49,IF(umumiy_malumot!$B$77=umumiy_malumot!$D$77,'График аннуитет.'!F61))</f>
        <v>0</v>
      </c>
    </row>
    <row r="51" spans="1:6" hidden="1">
      <c r="A51" s="22">
        <f t="shared" si="0"/>
        <v>43</v>
      </c>
      <c r="B51" s="37" t="b">
        <f>'График дифференц'!B50</f>
        <v>0</v>
      </c>
      <c r="C51" s="38">
        <f>IF(umumiy_malumot!$B$77=umumiy_malumot!$C$77,'График дифференц'!C50,IF(umumiy_malumot!$B$77=umumiy_malumot!$D$77,'График аннуитет.'!C62))</f>
        <v>0</v>
      </c>
      <c r="D51" s="38">
        <f>IF(umumiy_malumot!$B$77=umumiy_malumot!$C$77,'График дифференц'!D50,IF(umumiy_malumot!$B$77=umumiy_malumot!$D$77,'График аннуитет.'!D50))</f>
        <v>0</v>
      </c>
      <c r="E51" s="38">
        <f>IF(umumiy_malumot!$B$77=umumiy_malumot!$C$77,'График дифференц'!E50,IF(umumiy_malumot!$B$77=umumiy_malumot!$D$77,'График аннуитет.'!E50))</f>
        <v>0</v>
      </c>
      <c r="F51" s="38">
        <f>IF(umumiy_malumot!$B$77=umumiy_malumot!$C$77,'График дифференц'!F50,IF(umumiy_malumot!$B$77=umumiy_malumot!$D$77,'График аннуитет.'!F62))</f>
        <v>0</v>
      </c>
    </row>
    <row r="52" spans="1:6" hidden="1">
      <c r="A52" s="22">
        <f t="shared" si="0"/>
        <v>44</v>
      </c>
      <c r="B52" s="37" t="b">
        <f>'График дифференц'!B51</f>
        <v>0</v>
      </c>
      <c r="C52" s="38">
        <f>IF(umumiy_malumot!$B$77=umumiy_malumot!$C$77,'График дифференц'!C51,IF(umumiy_malumot!$B$77=umumiy_malumot!$D$77,'График аннуитет.'!C63))</f>
        <v>0</v>
      </c>
      <c r="D52" s="38">
        <f>IF(umumiy_malumot!$B$77=umumiy_malumot!$C$77,'График дифференц'!D51,IF(umumiy_malumot!$B$77=umumiy_malumot!$D$77,'График аннуитет.'!D51))</f>
        <v>0</v>
      </c>
      <c r="E52" s="38">
        <f>IF(umumiy_malumot!$B$77=umumiy_malumot!$C$77,'График дифференц'!E51,IF(umumiy_malumot!$B$77=umumiy_malumot!$D$77,'График аннуитет.'!E51))</f>
        <v>0</v>
      </c>
      <c r="F52" s="38">
        <f>IF(umumiy_malumot!$B$77=umumiy_malumot!$C$77,'График дифференц'!F51,IF(umumiy_malumot!$B$77=umumiy_malumot!$D$77,'График аннуитет.'!F63))</f>
        <v>0</v>
      </c>
    </row>
    <row r="53" spans="1:6" hidden="1">
      <c r="A53" s="22">
        <f t="shared" si="0"/>
        <v>45</v>
      </c>
      <c r="B53" s="37" t="b">
        <f>'График дифференц'!B52</f>
        <v>0</v>
      </c>
      <c r="C53" s="38">
        <f>IF(umumiy_malumot!$B$77=umumiy_malumot!$C$77,'График дифференц'!C52,IF(umumiy_malumot!$B$77=umumiy_malumot!$D$77,'График аннуитет.'!C64))</f>
        <v>0</v>
      </c>
      <c r="D53" s="38">
        <f>IF(umumiy_malumot!$B$77=umumiy_malumot!$C$77,'График дифференц'!D52,IF(umumiy_malumot!$B$77=umumiy_malumot!$D$77,'График аннуитет.'!D52))</f>
        <v>0</v>
      </c>
      <c r="E53" s="38">
        <f>IF(umumiy_malumot!$B$77=umumiy_malumot!$C$77,'График дифференц'!E52,IF(umumiy_malumot!$B$77=umumiy_malumot!$D$77,'График аннуитет.'!E52))</f>
        <v>0</v>
      </c>
      <c r="F53" s="38">
        <f>IF(umumiy_malumot!$B$77=umumiy_malumot!$C$77,'График дифференц'!F52,IF(umumiy_malumot!$B$77=umumiy_malumot!$D$77,'График аннуитет.'!F64))</f>
        <v>0</v>
      </c>
    </row>
    <row r="54" spans="1:6" hidden="1">
      <c r="A54" s="22">
        <f t="shared" si="0"/>
        <v>46</v>
      </c>
      <c r="B54" s="37" t="b">
        <f>'График дифференц'!B53</f>
        <v>0</v>
      </c>
      <c r="C54" s="38">
        <f>IF(umumiy_malumot!$B$77=umumiy_malumot!$C$77,'График дифференц'!C53,IF(umumiy_malumot!$B$77=umumiy_malumot!$D$77,'График аннуитет.'!C65))</f>
        <v>0</v>
      </c>
      <c r="D54" s="38">
        <f>IF(umumiy_malumot!$B$77=umumiy_malumot!$C$77,'График дифференц'!D53,IF(umumiy_malumot!$B$77=umumiy_malumot!$D$77,'График аннуитет.'!D53))</f>
        <v>0</v>
      </c>
      <c r="E54" s="38">
        <f>IF(umumiy_malumot!$B$77=umumiy_malumot!$C$77,'График дифференц'!E53,IF(umumiy_malumot!$B$77=umumiy_malumot!$D$77,'График аннуитет.'!E53))</f>
        <v>0</v>
      </c>
      <c r="F54" s="38">
        <f>IF(umumiy_malumot!$B$77=umumiy_malumot!$C$77,'График дифференц'!F53,IF(umumiy_malumot!$B$77=umumiy_malumot!$D$77,'График аннуитет.'!F65))</f>
        <v>0</v>
      </c>
    </row>
    <row r="55" spans="1:6" hidden="1">
      <c r="A55" s="22">
        <f t="shared" si="0"/>
        <v>47</v>
      </c>
      <c r="B55" s="37" t="b">
        <f>'График дифференц'!B54</f>
        <v>0</v>
      </c>
      <c r="C55" s="38">
        <f>IF(umumiy_malumot!$B$77=umumiy_malumot!$C$77,'График дифференц'!C54,IF(umumiy_malumot!$B$77=umumiy_malumot!$D$77,'График аннуитет.'!C66))</f>
        <v>0</v>
      </c>
      <c r="D55" s="38">
        <f>IF(umumiy_malumot!$B$77=umumiy_malumot!$C$77,'График дифференц'!D54,IF(umumiy_malumot!$B$77=umumiy_malumot!$D$77,'График аннуитет.'!D54))</f>
        <v>0</v>
      </c>
      <c r="E55" s="38">
        <f>IF(umumiy_malumot!$B$77=umumiy_malumot!$C$77,'График дифференц'!E54,IF(umumiy_malumot!$B$77=umumiy_malumot!$D$77,'График аннуитет.'!E54))</f>
        <v>0</v>
      </c>
      <c r="F55" s="38">
        <f>IF(umumiy_malumot!$B$77=umumiy_malumot!$C$77,'График дифференц'!F54,IF(umumiy_malumot!$B$77=umumiy_malumot!$D$77,'График аннуитет.'!F66))</f>
        <v>0</v>
      </c>
    </row>
    <row r="56" spans="1:6" hidden="1">
      <c r="A56" s="22">
        <f t="shared" si="0"/>
        <v>48</v>
      </c>
      <c r="B56" s="37" t="b">
        <f>'График дифференц'!B55</f>
        <v>0</v>
      </c>
      <c r="C56" s="38">
        <f>IF(umumiy_malumot!$B$77=umumiy_malumot!$C$77,'График дифференц'!C55,IF(umumiy_malumot!$B$77=umumiy_malumot!$D$77,'График аннуитет.'!C67))</f>
        <v>0</v>
      </c>
      <c r="D56" s="38">
        <f>IF(umumiy_malumot!$B$77=umumiy_malumot!$C$77,'График дифференц'!D55,IF(umumiy_malumot!$B$77=umumiy_malumot!$D$77,'График аннуитет.'!D55))</f>
        <v>0</v>
      </c>
      <c r="E56" s="38">
        <f>IF(umumiy_malumot!$B$77=umumiy_malumot!$C$77,'График дифференц'!E55,IF(umumiy_malumot!$B$77=umumiy_malumot!$D$77,'График аннуитет.'!E55))</f>
        <v>0</v>
      </c>
      <c r="F56" s="38">
        <f>IF(umumiy_malumot!$B$77=umumiy_malumot!$C$77,'График дифференц'!F55,IF(umumiy_malumot!$B$77=umumiy_malumot!$D$77,'График аннуитет.'!F67))</f>
        <v>0</v>
      </c>
    </row>
    <row r="57" spans="1:6" ht="15" customHeight="1">
      <c r="A57" s="50"/>
      <c r="B57" s="51" t="s">
        <v>202</v>
      </c>
      <c r="C57" s="52"/>
      <c r="D57" s="38">
        <f>IF(umumiy_malumot!$B$77=umumiy_malumot!$C$77,'График дифференц'!D56,IF(umumiy_malumot!$B$77=umumiy_malumot!$D$77,'График аннуитет.'!D56))</f>
        <v>49999999.999999985</v>
      </c>
      <c r="E57" s="38">
        <f>IF(umumiy_malumot!$B$77=umumiy_malumot!$C$77,'График дифференц'!E56,IF(umumiy_malumot!$B$77=umumiy_malumot!$D$77,'График аннуитет.'!E56))</f>
        <v>48766770.230000004</v>
      </c>
      <c r="F57" s="52">
        <f>SUM(F9:F56)</f>
        <v>98766770.229999989</v>
      </c>
    </row>
    <row r="58" spans="1:6" ht="21" customHeight="1">
      <c r="B58" s="39"/>
      <c r="C58" s="40"/>
      <c r="D58" s="40"/>
      <c r="E58" s="40"/>
      <c r="F58" s="40"/>
    </row>
    <row r="59" spans="1:6" ht="47.25" customHeight="1">
      <c r="A59" s="240" t="str">
        <f>"*"&amp;umumiy_malumot!C64&amp;" bo‘yicha to‘lovlar to‘lov jadvalida ko‘rsatilmagan sanalarda to‘langan taqdirda, to‘lov summasi mikroqarz shartnomasining 2.4.-bandiga muvofiq "&amp;umumiy_malumot!B65&amp;" qoldig‘iga hisoblangan foizlar summasiga o‘zgartiriladi."</f>
        <v>*Mikrokredit bo‘yicha to‘lovlar to‘lov jadvalida ko‘rsatilmagan sanalarda to‘langan taqdirda, to‘lov summasi mikroqarz shartnomasining 2.4.-bandiga muvofiq Mikroqarz qoldig‘iga hisoblangan foizlar summasiga o‘zgartiriladi.</v>
      </c>
      <c r="B59" s="240"/>
      <c r="C59" s="240"/>
      <c r="D59" s="240"/>
      <c r="E59" s="240"/>
      <c r="F59" s="240"/>
    </row>
    <row r="60" spans="1:6" ht="7.5" customHeight="1"/>
    <row r="61" spans="1:6" ht="15" customHeight="1">
      <c r="A61" s="275" t="s">
        <v>267</v>
      </c>
      <c r="B61" s="275"/>
      <c r="C61" s="275"/>
      <c r="D61" s="275" t="s">
        <v>275</v>
      </c>
      <c r="E61" s="275"/>
      <c r="F61" s="275"/>
    </row>
    <row r="62" spans="1:6" ht="11.25" customHeight="1">
      <c r="A62" s="276"/>
      <c r="B62" s="276"/>
      <c r="C62" s="276"/>
      <c r="D62" s="276"/>
      <c r="E62" s="276"/>
      <c r="F62" s="276"/>
    </row>
    <row r="63" spans="1:6" ht="30" customHeight="1">
      <c r="A63" s="274" t="str">
        <f>shartnoma!A117</f>
        <v>«PULLOL BUSINESS MIKROMOLIYA TASHKILOTI»  MChJ</v>
      </c>
      <c r="B63" s="274"/>
      <c r="C63" s="274"/>
      <c r="D63" s="274" t="str">
        <f>shartnoma!B117</f>
        <v>QODIROVA NAFISA YO‘LDOSHEVNA</v>
      </c>
      <c r="E63" s="274"/>
      <c r="F63" s="274"/>
    </row>
    <row r="64" spans="1:6" ht="53.25" customHeight="1">
      <c r="A64" s="270" t="str">
        <f>shartnoma!A119</f>
        <v>Manzil: Toshkent shahri, Yakkasaroy tumani, Rakat ko'chasi, 10-uy, 18 xonadon</v>
      </c>
      <c r="B64" s="270"/>
      <c r="C64" s="270"/>
      <c r="D64" s="270" t="str">
        <f>shartnoma!B119</f>
        <v>Manzil: TOSHKENT SHAHAR BEKTEMIR TUMANI ROXAT KO'CHASI 12 UY 32 XONADON</v>
      </c>
      <c r="E64" s="270"/>
      <c r="F64" s="270"/>
    </row>
    <row r="65" spans="1:6" ht="15" customHeight="1">
      <c r="A65" s="270" t="str">
        <f>shartnoma!A120</f>
        <v>h/r: № 20208000405643889001</v>
      </c>
      <c r="B65" s="270"/>
      <c r="C65" s="270"/>
      <c r="D65" s="270" t="str">
        <f>shartnoma!B121</f>
        <v>pasport seriyasi: AD 9088376, IIV 26296 tomonidan 21.10.2024 yilda berilgan</v>
      </c>
      <c r="E65" s="270"/>
      <c r="F65" s="270"/>
    </row>
    <row r="66" spans="1:6" ht="32.25" customHeight="1">
      <c r="A66" s="270" t="str">
        <f>shartnoma!A121</f>
        <v>MFO: №01088 в ATB “Kapitalbank” Markaziy amaliyotlar bo'limi</v>
      </c>
      <c r="B66" s="270"/>
      <c r="C66" s="270"/>
      <c r="D66" s="270"/>
      <c r="E66" s="270"/>
      <c r="F66" s="270"/>
    </row>
    <row r="67" spans="1:6" ht="15" customHeight="1">
      <c r="A67" s="270" t="str">
        <f>shartnoma!A122</f>
        <v>STIR: 310430149</v>
      </c>
      <c r="B67" s="270"/>
      <c r="C67" s="270"/>
      <c r="D67" s="270" t="str">
        <f>shartnoma!B122</f>
        <v>Tel: 90 809 80 43 MIJOZ</v>
      </c>
      <c r="E67" s="270"/>
      <c r="F67" s="270"/>
    </row>
    <row r="68" spans="1:6" ht="15" customHeight="1">
      <c r="A68" s="270" t="str">
        <f>shartnoma!A123</f>
        <v>Tel: (90) 122 94 49</v>
      </c>
      <c r="B68" s="270"/>
      <c r="C68" s="270"/>
      <c r="D68" s="270" t="str">
        <f>shartnoma!B123</f>
        <v>90 120 24 08 ERI</v>
      </c>
      <c r="E68" s="270"/>
      <c r="F68" s="270"/>
    </row>
    <row r="69" spans="1:6" ht="15" customHeight="1">
      <c r="A69" s="270" t="str">
        <f>shartnoma!A124</f>
        <v>(71) 555 10 02 17</v>
      </c>
      <c r="B69" s="270"/>
      <c r="C69" s="270"/>
      <c r="D69" s="270" t="str">
        <f>shartnoma!B124</f>
        <v>90 979 80 43 O'G'LI</v>
      </c>
      <c r="E69" s="270"/>
      <c r="F69" s="270"/>
    </row>
    <row r="70" spans="1:6" ht="23.25" customHeight="1">
      <c r="A70" s="270"/>
      <c r="B70" s="270"/>
      <c r="C70" s="270"/>
      <c r="D70" s="270" t="str">
        <f>IF(shartnoma!B125=0,"",shartnoma!B125)</f>
        <v/>
      </c>
      <c r="E70" s="270"/>
      <c r="F70" s="270"/>
    </row>
    <row r="71" spans="1:6" ht="29.25" customHeight="1">
      <c r="A71" s="328" t="str">
        <f>shartnoma!A126</f>
        <v>Direktor</v>
      </c>
      <c r="B71" s="328"/>
      <c r="C71" s="328"/>
      <c r="D71" s="274" t="str">
        <f>shartnoma!B126</f>
        <v>QODIROVA N.Y.     __________________</v>
      </c>
      <c r="E71" s="274"/>
      <c r="F71" s="274"/>
    </row>
    <row r="72" spans="1:6" ht="15" customHeight="1">
      <c r="A72" s="270"/>
      <c r="B72" s="270"/>
      <c r="C72" s="270"/>
      <c r="D72" s="274"/>
      <c r="E72" s="274"/>
      <c r="F72" s="274"/>
    </row>
    <row r="73" spans="1:6">
      <c r="A73" s="328" t="str">
        <f>shartnoma!A129</f>
        <v xml:space="preserve">Obidov A. Sh. ________________ </v>
      </c>
      <c r="B73" s="328"/>
      <c r="C73" s="328"/>
      <c r="D73" s="274"/>
      <c r="E73" s="274"/>
      <c r="F73" s="274"/>
    </row>
    <row r="74" spans="1:6" ht="8.25" customHeight="1">
      <c r="A74" s="270"/>
      <c r="B74" s="270"/>
      <c r="C74" s="270"/>
      <c r="D74" s="270"/>
      <c r="E74" s="270"/>
      <c r="F74" s="270"/>
    </row>
    <row r="75" spans="1:6" ht="30" customHeight="1">
      <c r="A75" s="271"/>
      <c r="B75" s="271"/>
      <c r="C75" s="271"/>
      <c r="D75" s="272"/>
      <c r="E75" s="272"/>
      <c r="F75" s="272"/>
    </row>
    <row r="76" spans="1:6">
      <c r="A76" s="273"/>
      <c r="B76" s="273"/>
      <c r="C76" s="273"/>
      <c r="D76" s="273"/>
      <c r="E76" s="273"/>
      <c r="F76" s="273"/>
    </row>
    <row r="77" spans="1:6">
      <c r="A77" s="269"/>
      <c r="B77" s="269"/>
      <c r="C77" s="269"/>
      <c r="D77" s="269"/>
      <c r="E77" s="269"/>
      <c r="F77" s="269"/>
    </row>
  </sheetData>
  <mergeCells count="41">
    <mergeCell ref="E2:F2"/>
    <mergeCell ref="A5:F5"/>
    <mergeCell ref="A7:A8"/>
    <mergeCell ref="B7:B8"/>
    <mergeCell ref="C7:C8"/>
    <mergeCell ref="D7:F7"/>
    <mergeCell ref="A67:C67"/>
    <mergeCell ref="D67:F67"/>
    <mergeCell ref="A59:F59"/>
    <mergeCell ref="A61:C61"/>
    <mergeCell ref="D61:F61"/>
    <mergeCell ref="A62:C62"/>
    <mergeCell ref="D62:F62"/>
    <mergeCell ref="A63:C63"/>
    <mergeCell ref="D63:F63"/>
    <mergeCell ref="A64:C64"/>
    <mergeCell ref="D64:F64"/>
    <mergeCell ref="A65:C65"/>
    <mergeCell ref="D65:F66"/>
    <mergeCell ref="A66:C66"/>
    <mergeCell ref="D68:F68"/>
    <mergeCell ref="A69:C69"/>
    <mergeCell ref="D69:F69"/>
    <mergeCell ref="A70:C70"/>
    <mergeCell ref="D70:F70"/>
    <mergeCell ref="H12:P24"/>
    <mergeCell ref="A77:C77"/>
    <mergeCell ref="D77:F77"/>
    <mergeCell ref="A74:C74"/>
    <mergeCell ref="D74:F74"/>
    <mergeCell ref="A75:C75"/>
    <mergeCell ref="D75:F75"/>
    <mergeCell ref="A76:C76"/>
    <mergeCell ref="D76:F76"/>
    <mergeCell ref="A71:C71"/>
    <mergeCell ref="D71:F71"/>
    <mergeCell ref="A72:C72"/>
    <mergeCell ref="D72:F72"/>
    <mergeCell ref="A73:C73"/>
    <mergeCell ref="D73:F73"/>
    <mergeCell ref="A68:C68"/>
  </mergeCells>
  <conditionalFormatting sqref="B9:B56">
    <cfRule type="cellIs" dxfId="1" priority="6" operator="lessThan">
      <formula>22105</formula>
    </cfRule>
  </conditionalFormatting>
  <conditionalFormatting sqref="C9:F44 C45:C56 F45:F56 D45:E57">
    <cfRule type="cellIs" dxfId="0" priority="1" operator="lessThan">
      <formula>0.1</formula>
    </cfRule>
  </conditionalFormatting>
  <pageMargins left="1.1023622047244095" right="0.70866141732283472" top="0.19685039370078741" bottom="0.15748031496062992" header="0.31496062992125984" footer="0.31496062992125984"/>
  <pageSetup paperSize="9" scale="85"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Лист8">
    <tabColor rgb="FF00B050"/>
  </sheetPr>
  <dimension ref="A5:B29"/>
  <sheetViews>
    <sheetView view="pageBreakPreview" topLeftCell="A5" zoomScale="115" zoomScaleNormal="100" zoomScaleSheetLayoutView="115" workbookViewId="0">
      <selection activeCell="B17" sqref="B17"/>
    </sheetView>
  </sheetViews>
  <sheetFormatPr defaultColWidth="0" defaultRowHeight="15.75" zeroHeight="1"/>
  <cols>
    <col min="1" max="1" width="33" style="10" customWidth="1"/>
    <col min="2" max="2" width="53.42578125" style="10" customWidth="1"/>
    <col min="3" max="16384" width="9.140625" style="10" hidden="1"/>
  </cols>
  <sheetData>
    <row r="5" spans="1:2"/>
    <row r="6" spans="1:2">
      <c r="B6" s="18" t="str">
        <f>umumiy_malumot!B148</f>
        <v>«PULLOL BUSINESS MIKROMOLIYA TASHKILOTI»  MChJ</v>
      </c>
    </row>
    <row r="7" spans="1:2">
      <c r="A7" s="213"/>
      <c r="B7" s="204" t="str">
        <f>""&amp;umumiy_malumot!A150&amp;"i "&amp;umumiy_malumot!B150&amp;"ga"</f>
        <v>Direktori Obidov A. Sh.ga</v>
      </c>
    </row>
    <row r="8" spans="1:2">
      <c r="A8" s="187"/>
      <c r="B8" s="204" t="str">
        <f>""&amp;umumiy_malumot!C105&amp;"dan"</f>
        <v>dan</v>
      </c>
    </row>
    <row r="9" spans="1:2" ht="15.75" hidden="1" customHeight="1">
      <c r="B9" s="11" t="str">
        <f>umumiy_malumot!B111</f>
        <v>QODIROVA NAFISA YO‘LDOSHEVNA</v>
      </c>
    </row>
    <row r="10" spans="1:2" ht="15.75" hidden="1" customHeight="1">
      <c r="B10" s="11" t="str">
        <f>umumiy_malumot!C111</f>
        <v>QODIROVA NAFISA YO‘LDOSHEVNA</v>
      </c>
    </row>
    <row r="11" spans="1:2" ht="15.75" hidden="1" customHeight="1">
      <c r="B11" s="187" t="s">
        <v>269</v>
      </c>
    </row>
    <row r="12" spans="1:2"/>
    <row r="13" spans="1:2" ht="115.5" customHeight="1">
      <c r="A13" s="307" t="str">
        <f>IF(umumiy_malumot!B103="Avtotransport",A14,A15)</f>
        <v>QODIROVA NAFISA YO‘LDOSHEVNA tomonidan so’ralayotgan 30 (o'ttiz) oy muddatga, 50 000 000 (Ellik million so'm) miqdoridagi Mikroqarzning ta’minoti sifatida menga mulk huquqi asosida tegishli bo’lgan  Ko'p qavatli uydagi xonadon, umumiy maydoni 49,55 va yashash maydoni   TOSHKENT SHAHAR BEKTEMIR TUMANI ROXAT KO'CHASI 12 UY 32 XONADON manzilda joylashgan ko'chmas mulkni qabul qilishingizni so’rayman:</v>
      </c>
      <c r="B13" s="307"/>
    </row>
    <row r="14" spans="1:2" ht="124.5" hidden="1" customHeight="1">
      <c r="A14" s="307"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"&amp;umumiy_malumot!B125&amp;", "&amp;umumiy_malumot!B127&amp;", "&amp;umumiy_malumot!B130&amp;", "&amp;umumiy_malumot!B133&amp;", avtotransport vositasini qabul qilishingizni so’rayman:"</f>
        <v>QODIROVA NAFISA YO‘LDOSHEVNA tomonidan so’ralayotgan 30 (o'ttiz) oy muddatga, 50 000 000 (Ellik million so'm) miqdoridagi Mikroqarzning ta’minoti sifatida menga mulk huquqi asosida tegishli bo’lgan  , kuzov turi - , kuzov raqami , dvigatel raqami , shassi raqami - , rangi -  , ishlab chiqarilgan yili - , avtotransport vositasini qabul qilishingizni so’rayman:</v>
      </c>
      <c r="B14" s="307"/>
    </row>
    <row r="15" spans="1:2" ht="116.25" hidden="1" customHeight="1">
      <c r="A15" s="307" t="str">
        <f>""&amp;umumiy_malumot!B12&amp;" tomonidan so’ralayotgan "&amp;umumiy_malumot!B81&amp;" ("&amp;umumiy_malumot!B82&amp;") oy muddatga, "&amp;FIXED(umumiy_malumot!B75,0)&amp;" ("&amp;umumiy_malumot!B76&amp;") miqdoridagi "&amp;umumiy_malumot!B65&amp;"ning ta’minoti sifatida menga mulk huquqi asosida tegishli bo’lgan  "&amp;umumiy_malumot!C126&amp;", umumiy maydoni "&amp;umumiy_malumot!C130&amp;" va yashash maydoni "&amp;umumiy_malumot!C133&amp;"  "&amp;umumiy_malumot!C123&amp;" manzilda joylashgan ko'chmas mulkni qabul qilishingizni so’rayman:"</f>
        <v>QODIROVA NAFISA YO‘LDOSHEVNA tomonidan so’ralayotgan 30 (o'ttiz) oy muddatga, 50 000 000 (Ellik million so'm) miqdoridagi Mikroqarzning ta’minoti sifatida menga mulk huquqi asosida tegishli bo’lgan  Ko'p qavatli uydagi xonadon, umumiy maydoni 49,55 va yashash maydoni   TOSHKENT SHAHAR BEKTEMIR TUMANI ROXAT KO'CHASI 12 UY 32 XONADON manzilda joylashgan ko'chmas mulkni qabul qilishingizni so’rayman:</v>
      </c>
      <c r="B15" s="307"/>
    </row>
    <row r="16" spans="1:2"/>
    <row r="17" spans="1:2"/>
    <row r="18" spans="1:2">
      <c r="B18" s="11" t="s">
        <v>268</v>
      </c>
    </row>
    <row r="19" spans="1:2" ht="18.75" customHeight="1">
      <c r="A19" s="10">
        <f>umumiy_malumot!C106</f>
        <v>0</v>
      </c>
      <c r="B19" s="69" t="str">
        <f>umumiy_malumot!B2</f>
        <v>02.02.2026</v>
      </c>
    </row>
    <row r="20" spans="1:2" ht="57" hidden="1" customHeight="1">
      <c r="A20" s="329" t="str">
        <f>IF(umumiy_malumot!B93="yo’q",CONCATENATE(A24," ",A28,A22),"")</f>
        <v/>
      </c>
      <c r="B20" s="329"/>
    </row>
    <row r="21" spans="1:2" hidden="1">
      <c r="A21" s="10" t="s">
        <v>24</v>
      </c>
    </row>
    <row r="22" spans="1:2" hidden="1">
      <c r="A22" s="10" t="str">
        <f>" xususiy faoliyat ko'rsatuvchi notarius tomonidan "&amp;umumiy_malumot!B98&amp;" "&amp;umumiy_malumot!B99&amp;" berilgan ishonchnomaga asosan "</f>
        <v xml:space="preserve"> xususiy faoliyat ko'rsatuvchi notarius tomonidan   berilgan ishonchnomaga asosan </v>
      </c>
    </row>
    <row r="24" spans="1:2" hidden="1">
      <c r="A24" s="10" t="str">
        <f>"№"&amp;umumiy_malumot!B100&amp; ""</f>
        <v>№</v>
      </c>
    </row>
    <row r="25" spans="1:2" hidden="1">
      <c r="A25" s="10" t="str">
        <f>umumiy_malumot!B102</f>
        <v>00.01.1900</v>
      </c>
    </row>
    <row r="26" spans="1:2" hidden="1">
      <c r="A26" s="10" t="str">
        <f>TEXT(A25,"ДД.ММ.ГГГГ")</f>
        <v>00.01.1900</v>
      </c>
    </row>
    <row r="27" spans="1:2" hidden="1">
      <c r="A27" s="10" t="s">
        <v>342</v>
      </c>
    </row>
    <row r="28" spans="1:2" hidden="1">
      <c r="A28" s="10" t="str">
        <f>CONCATENATE(A26,A27)</f>
        <v>00.01.1900. sanasidan</v>
      </c>
    </row>
    <row r="29" spans="1:2"/>
  </sheetData>
  <mergeCells count="4">
    <mergeCell ref="A13:B13"/>
    <mergeCell ref="A14:B14"/>
    <mergeCell ref="A15:B15"/>
    <mergeCell ref="A20:B20"/>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Лист13">
    <tabColor rgb="FF00B050"/>
  </sheetPr>
  <dimension ref="A1:E82"/>
  <sheetViews>
    <sheetView view="pageBreakPreview" topLeftCell="A19" zoomScaleNormal="100" zoomScaleSheetLayoutView="100" workbookViewId="0">
      <selection activeCell="A21" sqref="A21"/>
    </sheetView>
  </sheetViews>
  <sheetFormatPr defaultColWidth="9.140625" defaultRowHeight="15" outlineLevelRow="1"/>
  <cols>
    <col min="1" max="1" width="28.42578125" style="19" customWidth="1"/>
    <col min="2" max="2" width="22.85546875" style="19" customWidth="1"/>
    <col min="3" max="3" width="22.42578125" style="19" customWidth="1"/>
    <col min="4" max="4" width="21.42578125" style="19" customWidth="1"/>
    <col min="5" max="5" width="21.5703125" style="19" customWidth="1"/>
    <col min="6" max="16384" width="9.140625" style="19"/>
  </cols>
  <sheetData>
    <row r="1" spans="1:5" ht="106.5" customHeight="1"/>
    <row r="2" spans="1:5">
      <c r="A2" s="278" t="str">
        <f>"GAROV PREDMETI QIYMATINI KELISHISH 
№"&amp;umumiy_malumot!B141&amp;" SONLI DALOLATNOMASI
 "</f>
        <v xml:space="preserve">GAROV PREDMETI QIYMATINI KELISHISH 
№1 SONLI DALOLATNOMASI
 </v>
      </c>
      <c r="B2" s="278"/>
      <c r="C2" s="278"/>
      <c r="D2" s="278"/>
      <c r="E2" s="278"/>
    </row>
    <row r="3" spans="1:5">
      <c r="A3" s="44"/>
      <c r="B3" s="44"/>
      <c r="C3" s="44"/>
      <c r="D3" s="44"/>
      <c r="E3" s="44"/>
    </row>
    <row r="4" spans="1:5">
      <c r="A4" s="41" t="s">
        <v>199</v>
      </c>
      <c r="B4" s="41"/>
      <c r="C4" s="41"/>
      <c r="D4" s="41"/>
      <c r="E4" s="41" t="str">
        <f>umumiy_malumot!B142</f>
        <v>2 fevral 2026 y.</v>
      </c>
    </row>
    <row r="5" spans="1:5" ht="9" customHeight="1">
      <c r="A5" s="240"/>
      <c r="B5" s="240"/>
      <c r="C5" s="240"/>
      <c r="D5" s="240"/>
      <c r="E5" s="240"/>
    </row>
    <row r="6" spans="1:5" ht="63" customHeight="1">
      <c r="A6" s="240" t="str">
        <f>IF(umumiy_malumot!B103="ko'chmas mulk",dalolatnoma!A10:E10,dalolatnoma!A10:E10)</f>
        <v>«PULLOL BUSINESS MIKROMOLIYA TASHKILOTI»  MChJning (1-tomon) vakili bo‘lgan  Direktor Obidov A. Sh., O‘zbekiston Respublikasi fuqarosi va garovga beruvchi QODIROVA NAFISA YO‘LDOSHEVNA (2-tomon) o’rtalarida, 2 fevral 2026 y.dan № 56-sonli Mikrokredit shartnomasiga muvofiq 1-tomon 2-tomonga berilgan Mikroqarz bo‘yicha ta’minot sifatida taqdim etilgan, 2-tomonga mulk huquqi asosida tegishli bo‘lgan mulkning garov qiymatini kelishish muzokaralari o’tkazildi.</v>
      </c>
      <c r="B6" s="240"/>
      <c r="C6" s="240"/>
      <c r="D6" s="240"/>
      <c r="E6" s="240"/>
    </row>
    <row r="7" spans="1:5" ht="88.5" hidden="1" customHeight="1">
      <c r="A7" s="240" t="str">
        <f>IF(umumiy_malumot!B93="ha",dalolatnoma!A9:E9,dalolatnoma!A8:E8)</f>
        <v xml:space="preserve">«PULLOL BUSINESS MIKROMOLIYA TASHKILOTI»  MChJning (1-tomon) vakili bo‘lgan  Direktor Obidov A. Sh., va O‘zbekiston Respublikasi fuqarosi  QODIROVA NAFISA YO‘LDOSHEVNA (2-tomon) va garov egasi QODIROVA NAFISA YO‘LDOSHEVNA (3-tomon) 2 fevral 2026 y.dan № 56 Mikrokredit shartnomasiga muvofiq 1-tomon 2-tomonga berilgan Mikroqarz bo‘yicha ta’minot sifatida taqdim etilgan, 2-tomonga mulk huquqi asosida tegishli bo‘lgan mulkning garov qiymatini kelishish muzokaralari o’tkazildi. </v>
      </c>
      <c r="B7" s="240"/>
      <c r="C7" s="240"/>
      <c r="D7" s="240"/>
      <c r="E7" s="240"/>
    </row>
    <row r="8" spans="1:5" ht="88.5" hidden="1" customHeight="1">
      <c r="A8" s="240"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 Sh., va O‘zbekiston Respublikasi fuqarosi  QODIROVA NAFISA YO‘LDOSHEVNA (2-tomon) va garov egasi QODIROVA NAFISA YO‘LDOSHEVNA (3-tomon) 2 fevral 2026 y.dan № 56 Mikrokredit shartnomasiga muvofiq 1-tomon 2-tomonga berilgan Mikroqarz bo‘yicha ta’minot sifatida taqdim etilgan, 2-tomonga mulk huquqi asosida tegishli bo‘lgan mulkning garov qiymatini kelishish muzokaralari o’tkazildi. </v>
      </c>
      <c r="B8" s="240"/>
      <c r="C8" s="240"/>
      <c r="D8" s="240"/>
      <c r="E8" s="240"/>
    </row>
    <row r="9" spans="1:5" ht="88.5" hidden="1" customHeight="1">
      <c r="A9" s="240" t="str">
        <f>""&amp;umumiy_malumot!B147&amp;"ning (1-tomon) vakili bo‘lgan  "&amp;umumiy_malumot!A150&amp;" "&amp;umumiy_malumot!B150&amp;", va O‘zbekiston Respublikasi fuqarosi  "&amp;umumiy_malumot!B5&amp;" (2-tomon) va garov egasi "&amp;umumiy_malumot!C117&amp;" (3-tomon) "&amp;umumiy_malumot!B74&amp;" "&amp;umumiy_malumot!C64&amp;" shartnomasiga muvofiq 1-tomon 2-tomonga berilgan "&amp;umumiy_malumot!B65&amp;" bo‘yicha ta’minot sifatida taqdim etilgan, 2-tomonga mulk huquqi asosida tegishli bo‘lgan mulkning garov qiymatini kelishish muzokaralari o’tkazildi. "</f>
        <v xml:space="preserve">«PULLOL BUSINESS MIKROMOLIYA TASHKILOTI»  MChJning (1-tomon) vakili bo‘lgan  Direktor Obidov A. Sh., va O‘zbekiston Respublikasi fuqarosi  QODIROVA NAFISA YO‘LDOSHEVNA (2-tomon) va garov egasi QODIROVA NAFISA YO‘LDOSHEVNA (3-tomon) 2 fevral 2026 y.dan № 56 Mikrokredit shartnomasiga muvofiq 1-tomon 2-tomonga berilgan Mikroqarz bo‘yicha ta’minot sifatida taqdim etilgan, 2-tomonga mulk huquqi asosida tegishli bo‘lgan mulkning garov qiymatini kelishish muzokaralari o’tkazildi. </v>
      </c>
      <c r="B9" s="240"/>
      <c r="C9" s="240"/>
      <c r="D9" s="240"/>
      <c r="E9" s="240"/>
    </row>
    <row r="10" spans="1:5" ht="88.5" hidden="1" customHeight="1">
      <c r="A10" s="240" t="str">
        <f>IF(umumiy_malumot!B93="ha",dalolatnoma!A12:E12,dalolatnoma!A11:E11)</f>
        <v>«PULLOL BUSINESS MIKROMOLIYA TASHKILOTI»  MChJning (1-tomon) vakili bo‘lgan  Direktor Obidov A. Sh., O‘zbekiston Respublikasi fuqarosi va garovga beruvchi QODIROVA NAFISA YO‘LDOSHEVNA (2-tomon) o’rtalarida, 2 fevral 2026 y.dan № 56-sonli Mikrokredit shartnomasiga muvofiq 1-tomon 2-tomonga berilgan Mikroqarz bo‘yicha ta’minot sifatida taqdim etilgan, 2-tomonga mulk huquqi asosida tegishli bo‘lgan mulkning garov qiymatini kelishish muzokaralari o’tkazildi.</v>
      </c>
      <c r="B10" s="240"/>
      <c r="C10" s="240"/>
      <c r="D10" s="240"/>
      <c r="E10" s="240"/>
    </row>
    <row r="11" spans="1:5" ht="88.5" hidden="1" customHeight="1">
      <c r="A11" s="240" t="str">
        <f>""&amp;umumiy_malumot!B147&amp;"ning (1-tomon) vakili bo‘lgan  "&amp;umumiy_malumot!A150&amp;" "&amp;umumiy_malumot!B150&amp;", O‘zbekiston Respublikasi fuqarosi "&amp;umumiy_malumot!B5&amp;" (2-tomon) va garovga beruvchi O‘zbekiston Respublikasi fuqarosi "&amp;umumiy_malumot!B117&amp;" (3-tomon) o’rtalarida, "&amp;umumiy_malumot!B74&amp;"-sonli "&amp;umumiy_malumot!C64&amp;" shartnomasiga muvofiq 1-tomon 2-tomonga berilgan "&amp;umumiy_malumot!B65&amp;" bo‘yicha ta’minot sifatida taqdim etilgan, 3-tomonga mulk huquqi asosida tegishli bo‘lgan mulkning garov qiymatini kelishish muzokaralari o’tkazildi."</f>
        <v>«PULLOL BUSINESS MIKROMOLIYA TASHKILOTI»  MChJning (1-tomon) vakili bo‘lgan  Direktor Obidov A. Sh., O‘zbekiston Respublikasi fuqarosi QODIROVA NAFISA YO‘LDOSHEVNA (2-tomon) va garovga beruvchi O‘zbekiston Respublikasi fuqarosi QODIROVA NAFISA YO‘LDOSHEVNA (3-tomon) o’rtalarida, 2 fevral 2026 y.dan № 56-sonli Mikrokredit shartnomasiga muvofiq 1-tomon 2-tomonga berilgan Mikroqarz bo‘yicha ta’minot sifatida taqdim etilgan, 3-tomonga mulk huquqi asosida tegishli bo‘lgan mulkning garov qiymatini kelishish muzokaralari o’tkazildi.</v>
      </c>
      <c r="B11" s="240"/>
      <c r="C11" s="240"/>
      <c r="D11" s="240"/>
      <c r="E11" s="240"/>
    </row>
    <row r="12" spans="1:5" ht="88.5" hidden="1" customHeight="1">
      <c r="A12" s="240" t="str">
        <f>""&amp;umumiy_malumot!B147&amp;"ning (1-tomon) vakili bo‘lgan  "&amp;umumiy_malumot!A150&amp;" "&amp;umumiy_malumot!B150&amp;", O‘zbekiston Respublikasi fuqarosi va garovga beruvchi "&amp;umumiy_malumot!B5&amp;" (2-tomon) o’rtalarida, "&amp;umumiy_malumot!B74&amp;"-sonli "&amp;umumiy_malumot!C64&amp;" shartnomasiga muvofiq 1-tomon 2-tomonga berilgan "&amp;umumiy_malumot!B65&amp;" bo‘yicha ta’minot sifatida taqdim etilgan, 2-tomonga mulk huquqi asosida tegishli bo‘lgan mulkning garov qiymatini kelishish muzokaralari o’tkazildi."</f>
        <v>«PULLOL BUSINESS MIKROMOLIYA TASHKILOTI»  MChJning (1-tomon) vakili bo‘lgan  Direktor Obidov A. Sh., O‘zbekiston Respublikasi fuqarosi va garovga beruvchi QODIROVA NAFISA YO‘LDOSHEVNA (2-tomon) o’rtalarida, 2 fevral 2026 y.dan № 56-sonli Mikrokredit shartnomasiga muvofiq 1-tomon 2-tomonga berilgan Mikroqarz bo‘yicha ta’minot sifatida taqdim etilgan, 2-tomonga mulk huquqi asosida tegishli bo‘lgan mulkning garov qiymatini kelishish muzokaralari o’tkazildi.</v>
      </c>
      <c r="B12" s="240"/>
      <c r="C12" s="240"/>
      <c r="D12" s="240"/>
      <c r="E12" s="240"/>
    </row>
    <row r="13" spans="1:5" ht="88.5" hidden="1" customHeight="1">
      <c r="A13" s="240" t="str">
        <f>"Garov predmeti sifatida "&amp;umumiy_malumot!B125&amp;", 3-tomonga egalik huquqi tegishli bo'lgan, quyidagi tafsilotlarga ega avtotransport vositasi taqdim etiladi:"</f>
        <v>Garov predmeti sifatida , 3-tomonga egalik huquqi tegishli bo'lgan, quyidagi tafsilotlarga ega avtotransport vositasi taqdim etiladi:</v>
      </c>
      <c r="B13" s="240"/>
      <c r="C13" s="240"/>
      <c r="D13" s="240"/>
      <c r="E13" s="240"/>
    </row>
    <row r="14" spans="1:5" ht="88.5" hidden="1" customHeight="1">
      <c r="A14" s="240" t="str">
        <f>"Garov predmeti sifatida "&amp;umumiy_malumot!B125&amp;", 2-tomonga egalik huquqi tegishli bo'lgan, quyidagi tafsilotlarga ega avtotransport vositasi taqdim etiladi:"</f>
        <v>Garov predmeti sifatida , 2-tomonga egalik huquqi tegishli bo'lgan, quyidagi tafsilotlarga ega avtotransport vositasi taqdim etiladi:</v>
      </c>
      <c r="B14" s="240"/>
      <c r="C14" s="240"/>
      <c r="D14" s="240"/>
      <c r="E14" s="240"/>
    </row>
    <row r="15" spans="1:5" ht="88.5" hidden="1" customHeight="1">
      <c r="A15" s="240" t="str">
        <f>IF(umumiy_malumot!B93="ha",dalolatnoma!A14:E14,dalolatnoma!A13:E13)</f>
        <v>Garov predmeti sifatida , 2-tomonga egalik huquqi tegishli bo'lgan, quyidagi tafsilotlarga ega avtotransport vositasi taqdim etiladi:</v>
      </c>
      <c r="B15" s="240"/>
      <c r="C15" s="240"/>
      <c r="D15" s="240"/>
      <c r="E15" s="240"/>
    </row>
    <row r="16" spans="1:5" ht="88.5" hidden="1" customHeight="1">
      <c r="A16" s="240" t="str">
        <f>"Garov predmeti sifatida "&amp;umumiy_malumot!C126&amp;", 2-tomonga egalik huquqi tegishli bo'lgan, quyidagi tafsilotlarga ega ko'chmas mulk taqdim etiladi:"</f>
        <v>Garov predmeti sifatida Ko'p qavatli uydagi xonadon, 2-tomonga egalik huquqi tegishli bo'lgan, quyidagi tafsilotlarga ega ko'chmas mulk taqdim etiladi:</v>
      </c>
      <c r="B16" s="240"/>
      <c r="C16" s="240"/>
      <c r="D16" s="240"/>
      <c r="E16" s="240"/>
    </row>
    <row r="17" spans="1:5" ht="13.5" hidden="1" customHeight="1">
      <c r="A17" s="240" t="str">
        <f>"Garov predmeti sifatida "&amp;umumiy_malumot!C126&amp;", 3-tomonga egalik huquqi tegishli bo'lgan, quyidagi tafsilotlarga ega ko'chmas mulk taqdim etiladi:"</f>
        <v>Garov predmeti sifatida Ko'p qavatli uydagi xonadon, 3-tomonga egalik huquqi tegishli bo'lgan, quyidagi tafsilotlarga ega ko'chmas mulk taqdim etiladi:</v>
      </c>
      <c r="B17" s="240"/>
      <c r="C17" s="240"/>
      <c r="D17" s="240"/>
      <c r="E17" s="240"/>
    </row>
    <row r="18" spans="1:5" ht="11.25" hidden="1" customHeight="1">
      <c r="A18" s="240" t="str">
        <f>IF(umumiy_malumot!B93="ha",dalolatnoma!A16:E16,dalolatnoma!A17:E17)</f>
        <v>Garov predmeti sifatida Ko'p qavatli uydagi xonadon, 2-tomonga egalik huquqi tegishli bo'lgan, quyidagi tafsilotlarga ega ko'chmas mulk taqdim etiladi:</v>
      </c>
      <c r="B18" s="240"/>
      <c r="C18" s="240"/>
      <c r="D18" s="240"/>
      <c r="E18" s="240"/>
    </row>
    <row r="19" spans="1:5" ht="39.75" customHeight="1">
      <c r="A19" s="240" t="str">
        <f>IF(umumiy_malumot!B103="Avtotransport",dalolatnoma!A15:E15,dalolatnoma!A18:E18)</f>
        <v>Garov predmeti sifatida Ko'p qavatli uydagi xonadon, 2-tomonga egalik huquqi tegishli bo'lgan, quyidagi tafsilotlarga ega ko'chmas mulk taqdim etiladi:</v>
      </c>
      <c r="B19" s="240"/>
      <c r="C19" s="240"/>
      <c r="D19" s="240"/>
      <c r="E19" s="240"/>
    </row>
    <row r="20" spans="1:5" ht="48" customHeight="1" outlineLevel="1">
      <c r="A20" s="43" t="s">
        <v>197</v>
      </c>
      <c r="B20" s="330" t="s">
        <v>407</v>
      </c>
      <c r="C20" s="331"/>
      <c r="D20" s="43" t="s">
        <v>200</v>
      </c>
      <c r="E20" s="43" t="s">
        <v>254</v>
      </c>
    </row>
    <row r="21" spans="1:5" ht="65.25" customHeight="1" outlineLevel="1">
      <c r="A21" s="21" t="str">
        <f>umumiy_malumot!C125</f>
        <v>Ko'p qavatli uydagi xonadon</v>
      </c>
      <c r="B21" s="280">
        <f>umumiy_malumot!C133</f>
        <v>0</v>
      </c>
      <c r="C21" s="280"/>
      <c r="D21" s="21">
        <f>umumiy_malumot!C130</f>
        <v>49.55</v>
      </c>
      <c r="E21" s="21">
        <f>umumiy_malumot!C131</f>
        <v>28.99</v>
      </c>
    </row>
    <row r="22" spans="1:5" ht="17.25" hidden="1" customHeight="1" outlineLevel="1">
      <c r="A22" s="240" t="str">
        <f>"-* avtotransport egasi: "&amp;umumiy_malumot!B117&amp;""</f>
        <v>-* avtotransport egasi: QODIROVA NAFISA YO‘LDOSHEVNA</v>
      </c>
      <c r="B22" s="240"/>
      <c r="C22" s="240"/>
      <c r="D22" s="240"/>
      <c r="E22" s="240"/>
    </row>
    <row r="23" spans="1:5" hidden="1" outlineLevel="1">
      <c r="A23" s="240" t="str">
        <f>"-* texnik pasport: "&amp;umumiy_malumot!B124&amp;""</f>
        <v xml:space="preserve">-* texnik pasport: </v>
      </c>
      <c r="B23" s="240"/>
      <c r="C23" s="240"/>
      <c r="D23" s="240"/>
      <c r="E23" s="240"/>
    </row>
    <row r="24" spans="1:5" ht="17.25" hidden="1" customHeight="1" outlineLevel="1">
      <c r="A24" s="240" t="str">
        <f>"-* roʻyxatdan oʻtgan manzili/garaj manzili: "&amp;umumiy_malumot!B122&amp;""</f>
        <v>-* roʻyxatdan oʻtgan manzili/garaj manzili: TOSHKENT SHAHAR YANGIXAYOT TUMANI 2 STROITELNAYA TERRITORIYA 17 UY 74 XONADON</v>
      </c>
      <c r="B24" s="240"/>
      <c r="C24" s="240"/>
      <c r="D24" s="240"/>
      <c r="E24" s="240"/>
    </row>
    <row r="25" spans="1:5" ht="19.5" hidden="1" customHeight="1" outlineLevel="1">
      <c r="A25" s="240" t="str">
        <f>"-* davlat raqami: "&amp;umumiy_malumot!B126&amp;""</f>
        <v xml:space="preserve">-* davlat raqami: </v>
      </c>
      <c r="B25" s="240"/>
      <c r="C25" s="240"/>
      <c r="D25" s="240"/>
      <c r="E25" s="240"/>
    </row>
    <row r="26" spans="1:5" ht="5.25" hidden="1" customHeight="1">
      <c r="A26" s="23"/>
      <c r="B26" s="23"/>
      <c r="C26" s="23"/>
      <c r="D26" s="23"/>
      <c r="E26" s="23"/>
    </row>
    <row r="27" spans="1:5" s="41" customFormat="1" ht="37.5" hidden="1" customHeight="1" outlineLevel="1">
      <c r="A27" s="330" t="s">
        <v>197</v>
      </c>
      <c r="B27" s="331"/>
      <c r="C27" s="43" t="s">
        <v>390</v>
      </c>
      <c r="D27" s="43" t="s">
        <v>254</v>
      </c>
      <c r="E27" s="43" t="s">
        <v>200</v>
      </c>
    </row>
    <row r="28" spans="1:5" ht="17.25" hidden="1" customHeight="1" outlineLevel="1">
      <c r="A28" s="336" t="s">
        <v>201</v>
      </c>
      <c r="B28" s="337"/>
      <c r="C28" s="220" t="s">
        <v>399</v>
      </c>
      <c r="D28" s="133" t="s">
        <v>395</v>
      </c>
      <c r="E28" s="61"/>
    </row>
    <row r="29" spans="1:5" ht="19.5" hidden="1" customHeight="1" outlineLevel="1">
      <c r="A29" s="333" t="s">
        <v>389</v>
      </c>
      <c r="B29" s="334"/>
      <c r="C29" s="133" t="s">
        <v>394</v>
      </c>
      <c r="D29" s="133" t="s">
        <v>395</v>
      </c>
      <c r="E29" s="61" t="s">
        <v>394</v>
      </c>
    </row>
    <row r="30" spans="1:5" ht="15" hidden="1" customHeight="1" outlineLevel="1">
      <c r="A30" s="333"/>
      <c r="B30" s="334"/>
      <c r="C30" s="133"/>
      <c r="D30" s="133">
        <v>0</v>
      </c>
      <c r="E30" s="61">
        <f t="shared" ref="E30:E37" si="0">C30+D30</f>
        <v>0</v>
      </c>
    </row>
    <row r="31" spans="1:5" ht="15" hidden="1" customHeight="1" outlineLevel="1">
      <c r="A31" s="333"/>
      <c r="B31" s="334"/>
      <c r="C31" s="133"/>
      <c r="D31" s="133">
        <v>0</v>
      </c>
      <c r="E31" s="61">
        <f t="shared" si="0"/>
        <v>0</v>
      </c>
    </row>
    <row r="32" spans="1:5" ht="15" hidden="1" customHeight="1" outlineLevel="1">
      <c r="A32" s="333"/>
      <c r="B32" s="334"/>
      <c r="C32" s="133"/>
      <c r="D32" s="133">
        <v>0</v>
      </c>
      <c r="E32" s="61">
        <f t="shared" si="0"/>
        <v>0</v>
      </c>
    </row>
    <row r="33" spans="1:5" hidden="1" outlineLevel="1">
      <c r="A33" s="333"/>
      <c r="B33" s="334"/>
      <c r="C33" s="133"/>
      <c r="D33" s="133">
        <v>0</v>
      </c>
      <c r="E33" s="61">
        <f t="shared" si="0"/>
        <v>0</v>
      </c>
    </row>
    <row r="34" spans="1:5" hidden="1" outlineLevel="1">
      <c r="A34" s="333"/>
      <c r="B34" s="334"/>
      <c r="C34" s="133"/>
      <c r="D34" s="133"/>
      <c r="E34" s="61">
        <f t="shared" si="0"/>
        <v>0</v>
      </c>
    </row>
    <row r="35" spans="1:5" hidden="1" outlineLevel="1">
      <c r="A35" s="333"/>
      <c r="B35" s="334"/>
      <c r="C35" s="133"/>
      <c r="D35" s="133">
        <v>0</v>
      </c>
      <c r="E35" s="61">
        <f t="shared" si="0"/>
        <v>0</v>
      </c>
    </row>
    <row r="36" spans="1:5" hidden="1" outlineLevel="1">
      <c r="A36" s="333"/>
      <c r="B36" s="334"/>
      <c r="C36" s="133"/>
      <c r="D36" s="133"/>
      <c r="E36" s="61">
        <f t="shared" si="0"/>
        <v>0</v>
      </c>
    </row>
    <row r="37" spans="1:5" hidden="1" outlineLevel="1">
      <c r="A37" s="333"/>
      <c r="B37" s="334"/>
      <c r="C37" s="61"/>
      <c r="D37" s="61"/>
      <c r="E37" s="61">
        <f t="shared" si="0"/>
        <v>0</v>
      </c>
    </row>
    <row r="38" spans="1:5" s="41" customFormat="1" ht="14.25" hidden="1" outlineLevel="1">
      <c r="A38" s="338" t="s">
        <v>202</v>
      </c>
      <c r="B38" s="339"/>
      <c r="C38" s="219" t="str">
        <f>C29</f>
        <v>43.96</v>
      </c>
      <c r="D38" s="219" t="str">
        <f>D28</f>
        <v>18.82</v>
      </c>
      <c r="E38" s="131" t="str">
        <f>E29</f>
        <v>43.96</v>
      </c>
    </row>
    <row r="39" spans="1:5" s="41" customFormat="1" ht="15" customHeight="1" outlineLevel="1">
      <c r="A39" s="335" t="str">
        <f>"-* ko'chmas mulk egasi: "&amp;umumiy_malumot!C117&amp;""</f>
        <v>-* ko'chmas mulk egasi: QODIROVA NAFISA YO‘LDOSHEVNA</v>
      </c>
      <c r="B39" s="335"/>
      <c r="C39" s="335"/>
      <c r="D39" s="335"/>
      <c r="E39" s="335"/>
    </row>
    <row r="40" spans="1:5" s="41" customFormat="1" ht="15" customHeight="1" outlineLevel="1">
      <c r="A40" s="240" t="str">
        <f>"-* reestr raqami: "&amp;umumiy_malumot!C124&amp;""</f>
        <v>-* reestr raqami: 1726264/R-A4953178</v>
      </c>
      <c r="B40" s="240"/>
      <c r="C40" s="240"/>
      <c r="D40" s="240"/>
      <c r="E40" s="240"/>
    </row>
    <row r="41" spans="1:5" s="41" customFormat="1" ht="15" customHeight="1" outlineLevel="1">
      <c r="A41" s="240" t="str">
        <f>"-* kadastr raqami: "&amp;umumiy_malumot!C127&amp;""</f>
        <v>-* kadastr raqami: 05.06.2024 y. №10:02:02:01:02:6267:0001:032</v>
      </c>
      <c r="B41" s="240"/>
      <c r="C41" s="240"/>
      <c r="D41" s="240"/>
      <c r="E41" s="240"/>
    </row>
    <row r="42" spans="1:5" s="41" customFormat="1" ht="15" customHeight="1" outlineLevel="1">
      <c r="A42" s="240" t="str">
        <f>"-* manzil: "&amp;umumiy_malumot!C123&amp;""</f>
        <v>-* manzil: TOSHKENT SHAHAR BEKTEMIR TUMANI ROXAT KO'CHASI 12 UY 32 XONADON</v>
      </c>
      <c r="B42" s="240"/>
      <c r="C42" s="240"/>
      <c r="D42" s="240"/>
      <c r="E42" s="240"/>
    </row>
    <row r="43" spans="1:5" s="41" customFormat="1" ht="9" customHeight="1">
      <c r="A43" s="240"/>
      <c r="B43" s="240"/>
      <c r="C43" s="240"/>
      <c r="D43" s="240"/>
      <c r="E43" s="240"/>
    </row>
    <row r="44" spans="1:5" ht="65.25" customHeight="1">
      <c r="A44" s="240" t="str">
        <f>IF(umumiy_malumot!B93="ha",dalolatnoma!A46:E46,dalolatnoma!A45:E45)</f>
        <v>Tomonlar o’rtasida o’tkazilgan muzokaralar natijalariga ko‘ra, 2-tomon ta’minot sifatida quyidagi tafsilotlarga ega bo’lgan garov predmetini taqdim etadi, 1-tomon esa ushbu garov predmetini  2 fevral 2026 y.dan № 56 Mikrokredit shartnomasi bo‘yicha berilgan Mikroqarz bo‘yicha  70 000 000,00 (yetmish million so'm) so’m bo‘lgan kelishilgan garov qiymatida qabul qiladi::</v>
      </c>
      <c r="B44" s="240"/>
      <c r="C44" s="240"/>
      <c r="D44" s="240"/>
      <c r="E44" s="240"/>
    </row>
    <row r="45" spans="1:5" ht="66" hidden="1" customHeight="1">
      <c r="A45" s="240" t="str">
        <f>"Tomonlar o’rtasida o’tkazilgan muzokaralar natijalariga ko‘ra, 2-tomon ta’minot sifatida quyidagi tafsilotlarga ega bo’lgan garov predmetini taqdim etadi, 1-tomon esa ushbu garov predmetini  "&amp;umumiy_malumot!B74&amp;" "&amp;umumiy_malumot!B65&amp;"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2 fevral 2026 y.dan № 56 Mikroqarz shartnomasi bo‘yicha berilgan Mikroqarz bo‘yicha  70 000 000,00 (yetmish million so'm) so’m bo‘lgan kelishilgan garov qiymatida qabul qiladi::</v>
      </c>
      <c r="B45" s="240"/>
      <c r="C45" s="240"/>
      <c r="D45" s="240"/>
      <c r="E45" s="240"/>
    </row>
    <row r="46" spans="1:5" ht="58.5" hidden="1" customHeight="1">
      <c r="A46" s="240" t="str">
        <f>"Tomonlar o’rtasida o’tkazilgan muzokaralar natijalariga ko‘ra, 2-tomon ta’minot sifatida quyidagi tafsilotlarga ega bo’lgan garov predmetini taqdim etadi, 1-tomon esa ushbu garov predmetini  "&amp;umumiy_malumot!B74&amp;" "&amp;umumiy_malumot!C64&amp;" shartnomasi bo‘yicha berilgan "&amp;umumiy_malumot!B65&amp;" bo‘yicha  "&amp;FIXED(umumiy_malumot!B136,2)&amp;" ("&amp;umumiy_malumot!B137&amp;") so’m bo‘lgan kelishilgan garov qiymatida qabul qiladi::"</f>
        <v>Tomonlar o’rtasida o’tkazilgan muzokaralar natijalariga ko‘ra, 2-tomon ta’minot sifatida quyidagi tafsilotlarga ega bo’lgan garov predmetini taqdim etadi, 1-tomon esa ushbu garov predmetini  2 fevral 2026 y.dan № 56 Mikrokredit shartnomasi bo‘yicha berilgan Mikroqarz bo‘yicha  70 000 000,00 (yetmish million so'm) so’m bo‘lgan kelishilgan garov qiymatida qabul qiladi::</v>
      </c>
      <c r="B46" s="240"/>
      <c r="C46" s="240"/>
      <c r="D46" s="240"/>
      <c r="E46" s="240"/>
    </row>
    <row r="47" spans="1:5" ht="51.75" customHeight="1" outlineLevel="1">
      <c r="A47" s="43" t="s">
        <v>197</v>
      </c>
      <c r="B47" s="43" t="str">
        <f>B20</f>
        <v>Qurilish osti maydoni</v>
      </c>
      <c r="C47" s="43" t="s">
        <v>200</v>
      </c>
      <c r="D47" s="43" t="str">
        <f>E20</f>
        <v>Yashash maydoni</v>
      </c>
      <c r="E47" s="43" t="s">
        <v>198</v>
      </c>
    </row>
    <row r="48" spans="1:5" ht="76.5" customHeight="1" outlineLevel="1">
      <c r="A48" s="21" t="str">
        <f>A21</f>
        <v>Ko'p qavatli uydagi xonadon</v>
      </c>
      <c r="B48" s="21">
        <f>B21</f>
        <v>0</v>
      </c>
      <c r="C48" s="21">
        <f>D21</f>
        <v>49.55</v>
      </c>
      <c r="D48" s="21">
        <f>E21</f>
        <v>28.99</v>
      </c>
      <c r="E48" s="21" t="str">
        <f>""&amp;FIXED(umumiy_malumot!B136,2)&amp;" 
("&amp;umumiy_malumot!B137&amp;")"</f>
        <v>70 000 000,00 
(yetmish million so'm)</v>
      </c>
    </row>
    <row r="49" spans="1:5" ht="16.5" customHeight="1">
      <c r="A49" s="20"/>
      <c r="B49" s="20"/>
      <c r="C49" s="20"/>
      <c r="D49" s="20"/>
      <c r="E49" s="20"/>
    </row>
    <row r="50" spans="1:5" ht="56.25" hidden="1" customHeight="1" outlineLevel="1">
      <c r="A50" s="43" t="s">
        <v>5</v>
      </c>
      <c r="B50" s="43" t="s">
        <v>18</v>
      </c>
      <c r="C50" s="43" t="s">
        <v>19</v>
      </c>
      <c r="D50" s="43" t="s">
        <v>20</v>
      </c>
      <c r="E50" s="43" t="s">
        <v>6</v>
      </c>
    </row>
    <row r="51" spans="1:5" ht="15.75" hidden="1" customHeight="1" outlineLevel="1">
      <c r="A51" s="21" t="str">
        <f>A28</f>
        <v>Yashash xona</v>
      </c>
      <c r="B51" s="132" t="str">
        <f>C28</f>
        <v>3</v>
      </c>
      <c r="C51" s="132" t="str">
        <f>D28</f>
        <v>18.82</v>
      </c>
      <c r="D51" s="132">
        <f>E28</f>
        <v>0</v>
      </c>
      <c r="E51" s="340" t="str">
        <f>""&amp;FIXED(umumiy_malumot!C136,2)&amp;" ("&amp;umumiy_malumot!B137&amp;")"</f>
        <v>70 000 000,00 (yetmish million so'm)</v>
      </c>
    </row>
    <row r="52" spans="1:5" ht="15.75" hidden="1" customHeight="1" outlineLevel="1">
      <c r="A52" s="21"/>
      <c r="B52" s="132"/>
      <c r="C52" s="132"/>
      <c r="D52" s="132"/>
      <c r="E52" s="341"/>
    </row>
    <row r="53" spans="1:5" ht="15.75" hidden="1" customHeight="1" outlineLevel="1">
      <c r="A53" s="21" t="str">
        <f t="shared" ref="A53:A62" si="1">A29</f>
        <v>Umumiy maydon</v>
      </c>
      <c r="B53" s="132" t="str">
        <f t="shared" ref="B53:D62" si="2">C29</f>
        <v>43.96</v>
      </c>
      <c r="C53" s="132" t="str">
        <f t="shared" si="2"/>
        <v>18.82</v>
      </c>
      <c r="D53" s="132" t="str">
        <f t="shared" si="2"/>
        <v>43.96</v>
      </c>
      <c r="E53" s="341"/>
    </row>
    <row r="54" spans="1:5" ht="15.75" hidden="1" customHeight="1" outlineLevel="1">
      <c r="A54" s="21">
        <f t="shared" si="1"/>
        <v>0</v>
      </c>
      <c r="B54" s="132">
        <f t="shared" si="2"/>
        <v>0</v>
      </c>
      <c r="C54" s="132">
        <f t="shared" si="2"/>
        <v>0</v>
      </c>
      <c r="D54" s="132">
        <f t="shared" si="2"/>
        <v>0</v>
      </c>
      <c r="E54" s="341"/>
    </row>
    <row r="55" spans="1:5" ht="15.75" hidden="1" customHeight="1" outlineLevel="1">
      <c r="A55" s="21">
        <f t="shared" si="1"/>
        <v>0</v>
      </c>
      <c r="B55" s="132">
        <f t="shared" si="2"/>
        <v>0</v>
      </c>
      <c r="C55" s="132">
        <f t="shared" si="2"/>
        <v>0</v>
      </c>
      <c r="D55" s="132">
        <f t="shared" si="2"/>
        <v>0</v>
      </c>
      <c r="E55" s="341"/>
    </row>
    <row r="56" spans="1:5" ht="15.75" hidden="1" customHeight="1" outlineLevel="1">
      <c r="A56" s="21">
        <f t="shared" si="1"/>
        <v>0</v>
      </c>
      <c r="B56" s="132">
        <f t="shared" si="2"/>
        <v>0</v>
      </c>
      <c r="C56" s="132">
        <f t="shared" si="2"/>
        <v>0</v>
      </c>
      <c r="D56" s="132">
        <f t="shared" si="2"/>
        <v>0</v>
      </c>
      <c r="E56" s="341"/>
    </row>
    <row r="57" spans="1:5" ht="15.75" hidden="1" customHeight="1" outlineLevel="1">
      <c r="A57" s="21">
        <f t="shared" si="1"/>
        <v>0</v>
      </c>
      <c r="B57" s="132">
        <f t="shared" si="2"/>
        <v>0</v>
      </c>
      <c r="C57" s="132">
        <f t="shared" si="2"/>
        <v>0</v>
      </c>
      <c r="D57" s="132">
        <f t="shared" si="2"/>
        <v>0</v>
      </c>
      <c r="E57" s="341"/>
    </row>
    <row r="58" spans="1:5" ht="15.75" hidden="1" customHeight="1" outlineLevel="1">
      <c r="A58" s="21">
        <f t="shared" si="1"/>
        <v>0</v>
      </c>
      <c r="B58" s="132">
        <f t="shared" si="2"/>
        <v>0</v>
      </c>
      <c r="C58" s="132">
        <f t="shared" si="2"/>
        <v>0</v>
      </c>
      <c r="D58" s="132">
        <f t="shared" si="2"/>
        <v>0</v>
      </c>
      <c r="E58" s="341"/>
    </row>
    <row r="59" spans="1:5" ht="15.75" hidden="1" customHeight="1" outlineLevel="1">
      <c r="A59" s="21">
        <f t="shared" si="1"/>
        <v>0</v>
      </c>
      <c r="B59" s="132">
        <f t="shared" si="2"/>
        <v>0</v>
      </c>
      <c r="C59" s="132">
        <f t="shared" si="2"/>
        <v>0</v>
      </c>
      <c r="D59" s="132">
        <f t="shared" si="2"/>
        <v>0</v>
      </c>
      <c r="E59" s="341"/>
    </row>
    <row r="60" spans="1:5" ht="15.75" hidden="1" customHeight="1" outlineLevel="1">
      <c r="A60" s="21">
        <f t="shared" si="1"/>
        <v>0</v>
      </c>
      <c r="B60" s="132">
        <f t="shared" si="2"/>
        <v>0</v>
      </c>
      <c r="C60" s="132">
        <f t="shared" si="2"/>
        <v>0</v>
      </c>
      <c r="D60" s="132">
        <f t="shared" si="2"/>
        <v>0</v>
      </c>
      <c r="E60" s="341"/>
    </row>
    <row r="61" spans="1:5" ht="15.75" hidden="1" customHeight="1" outlineLevel="1">
      <c r="A61" s="21">
        <f t="shared" si="1"/>
        <v>0</v>
      </c>
      <c r="B61" s="21">
        <f t="shared" si="2"/>
        <v>0</v>
      </c>
      <c r="C61" s="21">
        <f t="shared" si="2"/>
        <v>0</v>
      </c>
      <c r="D61" s="21">
        <f t="shared" si="2"/>
        <v>0</v>
      </c>
      <c r="E61" s="342"/>
    </row>
    <row r="62" spans="1:5" s="41" customFormat="1" ht="15.75" hidden="1" customHeight="1" outlineLevel="1">
      <c r="A62" s="43" t="str">
        <f t="shared" si="1"/>
        <v>JAMI</v>
      </c>
      <c r="B62" s="43" t="str">
        <f t="shared" si="2"/>
        <v>43.96</v>
      </c>
      <c r="C62" s="43" t="str">
        <f t="shared" si="2"/>
        <v>18.82</v>
      </c>
      <c r="D62" s="43" t="str">
        <f t="shared" si="2"/>
        <v>43.96</v>
      </c>
      <c r="E62" s="43" t="str">
        <f>FIXED(umumiy_malumot!C136,2)</f>
        <v>70 000 000,00</v>
      </c>
    </row>
    <row r="63" spans="1:5" ht="12.75" customHeight="1" collapsed="1">
      <c r="A63" s="20"/>
      <c r="B63" s="20"/>
      <c r="C63" s="20"/>
      <c r="D63" s="20"/>
      <c r="E63" s="20"/>
    </row>
    <row r="64" spans="1:5" ht="93.75" hidden="1" customHeight="1">
      <c r="A64" s="240" t="str">
        <f>"“Birinchi talabga ko‘ra, yuqoridagi avtomobil Mikrokredit shartnomasi bo‘yicha garovga qo‘yilgan edi::
"&amp;'Данные для послед. Залога'!W2&amp;""</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64" s="240"/>
      <c r="C64" s="240"/>
      <c r="D64" s="240"/>
      <c r="E64" s="240"/>
    </row>
    <row r="65" spans="1:5" ht="42" customHeight="1">
      <c r="A65" s="240" t="s">
        <v>203</v>
      </c>
      <c r="B65" s="240"/>
      <c r="C65" s="240"/>
      <c r="D65" s="240"/>
      <c r="E65" s="240"/>
    </row>
    <row r="66" spans="1:5" ht="35.25" customHeight="1">
      <c r="A66" s="240" t="str">
        <f>"Shunday qilib, garov predmetining kelishilgan garov qiymati  "&amp;FIXED(umumiy_malumot!B136)&amp;" ("&amp;umumiy_malumot!B137&amp;") so‘mni tashkil etadi."</f>
        <v>Shunday qilib, garov predmetining kelishilgan garov qiymati  70 000 000,00 (yetmish million so'm) so‘mni tashkil etadi.</v>
      </c>
      <c r="B66" s="240"/>
      <c r="C66" s="240"/>
      <c r="D66" s="240"/>
      <c r="E66" s="240"/>
    </row>
    <row r="67" spans="1:5" ht="35.25" hidden="1" customHeight="1">
      <c r="A67" s="23"/>
      <c r="B67" s="23"/>
      <c r="C67" s="23"/>
      <c r="D67" s="23">
        <f>IF(umumiy_malumot!B92=umumiy_malumot!C92,umumiy_malumot!C136,IF(umumiy_malumot!B92=umumiy_malumot!D92,'Данные для послед. Залога'!M22,0))</f>
        <v>70000000</v>
      </c>
      <c r="E67" s="23" t="str">
        <f>IF(umumiy_malumot!B92=umumiy_malumot!C92,umumiy_malumot!B137,IF(umumiy_malumot!B92=umumiy_malumot!D92,'Данные для послед. Залога'!Q22,0))</f>
        <v>yetmish million so'm</v>
      </c>
    </row>
    <row r="68" spans="1:5">
      <c r="A68" s="328" t="s">
        <v>204</v>
      </c>
      <c r="B68" s="328"/>
      <c r="C68" s="328"/>
      <c r="D68" s="26"/>
      <c r="E68" s="26"/>
    </row>
    <row r="69" spans="1:5">
      <c r="A69" s="250" t="str">
        <f>umumiy_malumot!B148</f>
        <v>«PULLOL BUSINESS MIKROMOLIYA TASHKILOTI»  MChJ</v>
      </c>
      <c r="B69" s="250"/>
      <c r="C69" s="250"/>
      <c r="D69" s="203"/>
      <c r="E69" s="203"/>
    </row>
    <row r="70" spans="1:5" ht="15" customHeight="1">
      <c r="A70" s="250" t="str">
        <f>""&amp;umumiy_malumot!A150&amp;"i"</f>
        <v>Direktori</v>
      </c>
      <c r="B70" s="250"/>
      <c r="C70" s="250"/>
      <c r="D70" s="328" t="str">
        <f>"_______________   "&amp;umumiy_malumot!B150&amp;""</f>
        <v>_______________   Obidov A. Sh.</v>
      </c>
      <c r="E70" s="328"/>
    </row>
    <row r="71" spans="1:5">
      <c r="A71" s="66"/>
      <c r="B71" s="66"/>
      <c r="C71" s="66"/>
      <c r="D71" s="66"/>
      <c r="E71" s="66"/>
    </row>
    <row r="72" spans="1:5">
      <c r="A72" s="328"/>
      <c r="B72" s="328"/>
      <c r="C72" s="328"/>
      <c r="D72" s="66"/>
      <c r="E72" s="66"/>
    </row>
    <row r="73" spans="1:5" hidden="1">
      <c r="A73" s="250" t="s">
        <v>44</v>
      </c>
      <c r="B73" s="250"/>
      <c r="C73" s="250"/>
      <c r="D73" s="66"/>
      <c r="E73" s="66"/>
    </row>
    <row r="74" spans="1:5" hidden="1">
      <c r="A74" s="250" t="str">
        <f>umumiy_malumot!B148</f>
        <v>«PULLOL BUSINESS MIKROMOLIYA TASHKILOTI»  MChJ</v>
      </c>
      <c r="B74" s="250"/>
      <c r="C74" s="250"/>
      <c r="D74" s="250" t="str">
        <f>"_______________   "&amp;umumiy_malumot!B159&amp;""</f>
        <v>_______________   Akramov R.N.</v>
      </c>
      <c r="E74" s="250"/>
    </row>
    <row r="75" spans="1:5" ht="12.75" customHeight="1">
      <c r="A75" s="250"/>
      <c r="B75" s="250"/>
      <c r="C75" s="250"/>
      <c r="D75" s="250"/>
      <c r="E75" s="250"/>
    </row>
    <row r="76" spans="1:5">
      <c r="A76" s="328" t="s">
        <v>205</v>
      </c>
      <c r="B76" s="328"/>
      <c r="C76" s="328"/>
      <c r="D76" s="250"/>
      <c r="E76" s="250"/>
    </row>
    <row r="77" spans="1:5" ht="31.5" customHeight="1">
      <c r="A77" s="250" t="s">
        <v>206</v>
      </c>
      <c r="B77" s="250"/>
      <c r="C77" s="250"/>
      <c r="D77" s="328" t="str">
        <f>"_______________  "&amp;umumiy_malumot!B7&amp;""</f>
        <v>_______________  QODIROVA N.Y.</v>
      </c>
      <c r="E77" s="328"/>
    </row>
    <row r="78" spans="1:5" ht="12.75" customHeight="1">
      <c r="A78" s="250"/>
      <c r="B78" s="250"/>
      <c r="C78" s="250"/>
      <c r="D78" s="332" t="str">
        <f>IF(umumiy_malumot!B93="да","",umumiy_malumot!B118)</f>
        <v>QODIROVA N.Y.</v>
      </c>
      <c r="E78" s="332"/>
    </row>
    <row r="79" spans="1:5" ht="17.25" customHeight="1">
      <c r="A79" s="328" t="str">
        <f>+IF(umumiy_malumot!B93="ha"," ","3-tomondan:")</f>
        <v xml:space="preserve"> </v>
      </c>
      <c r="B79" s="328"/>
      <c r="C79" s="328"/>
      <c r="D79" s="332" t="str">
        <f>IF(umumiy_malumot!B93="ha","",umumiy_malumot!C118)</f>
        <v/>
      </c>
      <c r="E79" s="332"/>
    </row>
    <row r="80" spans="1:5" ht="29.25" customHeight="1">
      <c r="A80" s="250" t="str">
        <f>+IF(umumiy_malumot!B93="ha"," ","O'zbekiston Respublikasi fuqarosi")</f>
        <v xml:space="preserve"> </v>
      </c>
      <c r="B80" s="250"/>
      <c r="C80" s="250"/>
      <c r="D80" s="328" t="str">
        <f>IF(umumiy_malumot!B93="yo’q","_______________  "&amp;umumiy_malumot!C106&amp;"","")</f>
        <v/>
      </c>
      <c r="E80" s="328"/>
    </row>
    <row r="81" spans="1:5" ht="70.5" hidden="1" customHeight="1">
      <c r="A81" s="66"/>
      <c r="B81" s="66"/>
      <c r="C81" s="250" t="str">
        <f>+IF(umumiy_malumot!B93="ha"," ",garov_ariza!A20)</f>
        <v xml:space="preserve"> </v>
      </c>
      <c r="D81" s="250"/>
      <c r="E81" s="250"/>
    </row>
    <row r="82" spans="1:5" ht="6.75" customHeight="1">
      <c r="D82" s="271"/>
      <c r="E82" s="271"/>
    </row>
  </sheetData>
  <mergeCells count="68">
    <mergeCell ref="A72:C72"/>
    <mergeCell ref="A73:C73"/>
    <mergeCell ref="A74:C74"/>
    <mergeCell ref="D74:E74"/>
    <mergeCell ref="A29:B29"/>
    <mergeCell ref="A45:E45"/>
    <mergeCell ref="A68:C68"/>
    <mergeCell ref="A69:C69"/>
    <mergeCell ref="A70:C70"/>
    <mergeCell ref="D70:E70"/>
    <mergeCell ref="A64:E64"/>
    <mergeCell ref="A65:E65"/>
    <mergeCell ref="E51:E61"/>
    <mergeCell ref="A46:E46"/>
    <mergeCell ref="A66:E66"/>
    <mergeCell ref="A28:B28"/>
    <mergeCell ref="A27:B27"/>
    <mergeCell ref="A44:E44"/>
    <mergeCell ref="A40:E40"/>
    <mergeCell ref="A41:E41"/>
    <mergeCell ref="A42:E42"/>
    <mergeCell ref="A43:E43"/>
    <mergeCell ref="A33:B33"/>
    <mergeCell ref="A37:B37"/>
    <mergeCell ref="A38:B38"/>
    <mergeCell ref="A34:B34"/>
    <mergeCell ref="A35:B35"/>
    <mergeCell ref="A36:B36"/>
    <mergeCell ref="D82:E82"/>
    <mergeCell ref="A2:E2"/>
    <mergeCell ref="A11:E11"/>
    <mergeCell ref="A12:E12"/>
    <mergeCell ref="A13:E13"/>
    <mergeCell ref="A10:E10"/>
    <mergeCell ref="A5:E5"/>
    <mergeCell ref="A6:E6"/>
    <mergeCell ref="A7:E7"/>
    <mergeCell ref="A8:E8"/>
    <mergeCell ref="A9:E9"/>
    <mergeCell ref="A30:B30"/>
    <mergeCell ref="A31:B31"/>
    <mergeCell ref="A32:B32"/>
    <mergeCell ref="C81:E81"/>
    <mergeCell ref="A39:E39"/>
    <mergeCell ref="A75:C75"/>
    <mergeCell ref="D75:E75"/>
    <mergeCell ref="A76:C76"/>
    <mergeCell ref="D76:E76"/>
    <mergeCell ref="A77:C77"/>
    <mergeCell ref="D77:E77"/>
    <mergeCell ref="A78:C78"/>
    <mergeCell ref="D78:E78"/>
    <mergeCell ref="A79:C79"/>
    <mergeCell ref="D79:E79"/>
    <mergeCell ref="A80:C80"/>
    <mergeCell ref="D80:E80"/>
    <mergeCell ref="A14:E14"/>
    <mergeCell ref="A15:E15"/>
    <mergeCell ref="A16:E16"/>
    <mergeCell ref="A17:E17"/>
    <mergeCell ref="A18:E18"/>
    <mergeCell ref="A19:E19"/>
    <mergeCell ref="A24:E24"/>
    <mergeCell ref="A25:E25"/>
    <mergeCell ref="B20:C20"/>
    <mergeCell ref="B21:C21"/>
    <mergeCell ref="A22:E22"/>
    <mergeCell ref="A23:E23"/>
  </mergeCells>
  <printOptions horizontalCentered="1"/>
  <pageMargins left="0.70866141732283472" right="0.70866141732283472" top="0.74803149606299213" bottom="0.74803149606299213" header="0.31496062992125984" footer="0.31496062992125984"/>
  <pageSetup paperSize="9" scale="72"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Лист14">
    <tabColor rgb="FF00B050"/>
  </sheetPr>
  <dimension ref="A3:E54"/>
  <sheetViews>
    <sheetView view="pageBreakPreview" topLeftCell="A4" zoomScaleSheetLayoutView="100" workbookViewId="0">
      <selection activeCell="A12" sqref="A12:E12"/>
    </sheetView>
  </sheetViews>
  <sheetFormatPr defaultColWidth="9.140625" defaultRowHeight="15" outlineLevelRow="1"/>
  <cols>
    <col min="1" max="1" width="23.85546875" style="19" customWidth="1"/>
    <col min="2" max="2" width="23.28515625" style="19" customWidth="1"/>
    <col min="3" max="3" width="17" style="19" customWidth="1"/>
    <col min="4" max="4" width="17.5703125" style="19" customWidth="1"/>
    <col min="5" max="5" width="19.7109375" style="19" customWidth="1"/>
    <col min="6" max="16384" width="9.140625" style="19"/>
  </cols>
  <sheetData>
    <row r="3" spans="1:5" ht="16.5" customHeight="1"/>
    <row r="4" spans="1:5" ht="17.25" customHeight="1">
      <c r="A4" s="274" t="str">
        <f>""&amp;umumiy_malumot!B147&amp;" Direktorining
"&amp;umumiy_malumot!B165&amp;"dagi "&amp;umumiy_malumot!B164&amp;"-sonli buyrug‘i"</f>
        <v>«PULLOL BUSINESS MIKROMOLIYA TASHKILOTI»  MChJ Direktorining
2 fevral 2026 y.dagi № 56-sonli buyrug‘i</v>
      </c>
      <c r="B4" s="274"/>
      <c r="C4" s="274"/>
      <c r="D4" s="274"/>
      <c r="E4" s="274"/>
    </row>
    <row r="5" spans="1:5">
      <c r="A5" s="274"/>
      <c r="B5" s="274"/>
      <c r="C5" s="274"/>
      <c r="D5" s="274"/>
      <c r="E5" s="274"/>
    </row>
    <row r="6" spans="1:5">
      <c r="A6" s="274"/>
      <c r="B6" s="274"/>
      <c r="C6" s="274"/>
      <c r="D6" s="274"/>
      <c r="E6" s="274"/>
    </row>
    <row r="7" spans="1:5">
      <c r="A7" s="240"/>
      <c r="B7" s="240"/>
      <c r="C7" s="240"/>
      <c r="D7" s="240"/>
      <c r="E7" s="240"/>
    </row>
    <row r="8" spans="1:5" ht="53.25" customHeight="1">
      <c r="A8" s="240" t="str">
        <f>"Men, "&amp;umumiy_malumot!B151&amp;", "&amp;umumiy_malumot!B147&amp;" direktori, jismoniy shaxs "&amp;umumiy_malumot!B10&amp;"ga quyidagi shartlarda "&amp;umumiy_malumot!B65&amp;" berishni buyuraman:"</f>
        <v>Men, Obidov Abdullo Shokir o'g'li, «PULLOL BUSINESS MIKROMOLIYA TASHKILOTI»  MChJ direktori, jismoniy shaxs QODIROVA NAFISA YO‘LDOSHEVNAga quyidagi shartlarda Mikroqarz berishni buyuraman:</v>
      </c>
      <c r="B8" s="240"/>
      <c r="C8" s="240"/>
      <c r="D8" s="240"/>
      <c r="E8" s="240"/>
    </row>
    <row r="9" spans="1:5" ht="26.25" customHeight="1">
      <c r="A9" s="240" t="str">
        <f>kredit_ariza!A13:D13</f>
        <v>Mikroqarz summasi: 50 000 000,00 (Ellik million so'm) so'm.</v>
      </c>
      <c r="B9" s="240"/>
      <c r="C9" s="240"/>
      <c r="D9" s="240"/>
      <c r="E9" s="240"/>
    </row>
    <row r="10" spans="1:5" ht="21" customHeight="1">
      <c r="A10" s="240" t="str">
        <f>kredit_ariza!A14:D14</f>
        <v>Mikroqarz muddati: 30 (o'ttiz) oy.</v>
      </c>
      <c r="B10" s="240"/>
      <c r="C10" s="240"/>
      <c r="D10" s="240"/>
      <c r="E10" s="240"/>
    </row>
    <row r="11" spans="1:5" ht="27" customHeight="1">
      <c r="A11" s="240" t="str">
        <f>kredit_ariza!A15:D15</f>
        <v>Mikroqarzdan foydalanganlik uchun foiz stavkasi: yillik  55% (Ellik besh  ) foiz</v>
      </c>
      <c r="B11" s="240"/>
      <c r="C11" s="240"/>
      <c r="D11" s="240"/>
      <c r="E11" s="240"/>
    </row>
    <row r="12" spans="1:5" ht="26.25" customHeight="1">
      <c r="A12" s="240" t="str">
        <f>kredit_ariza!A16:D16</f>
        <v>Mikroqarz bo'yicha asosiy qarz va foizlarni to'lash:</v>
      </c>
      <c r="B12" s="240"/>
      <c r="C12" s="240"/>
      <c r="D12" s="240"/>
      <c r="E12" s="240"/>
    </row>
    <row r="13" spans="1:5" ht="21.75" customHeight="1">
      <c r="A13" s="240" t="str">
        <f>kredit_ariza!A17:D17</f>
        <v xml:space="preserve"> - Mikroqarz shartnomasi bo'yicha har oy differensial to'lovlari amalga oshiriladi</v>
      </c>
      <c r="B13" s="240"/>
      <c r="C13" s="240"/>
      <c r="D13" s="240"/>
      <c r="E13" s="240"/>
    </row>
    <row r="14" spans="1:5" hidden="1">
      <c r="A14" s="240" t="str">
        <f>kredit_ariza!A20:D20</f>
        <v xml:space="preserve">   </v>
      </c>
      <c r="B14" s="240"/>
      <c r="C14" s="240"/>
      <c r="D14" s="240"/>
      <c r="E14" s="240"/>
    </row>
    <row r="15" spans="1:5" ht="45.75" hidden="1" customHeight="1">
      <c r="A15" s="240" t="str">
        <f>IF(umumiy_malumot!B103="Avtotransport",buyruq!A14:E14,buyruq!A13:E13)</f>
        <v xml:space="preserve"> - Mikroqarz shartnomasi bo'yicha har oy differensial to'lovlari amalga oshiriladi</v>
      </c>
      <c r="B15" s="240"/>
      <c r="C15" s="240"/>
      <c r="D15" s="240"/>
      <c r="E15" s="240"/>
    </row>
    <row r="16" spans="1:5" ht="50.25" hidden="1" customHeight="1">
      <c r="A16" s="240" t="str">
        <f>""&amp;umumiy_malumot!C117&amp;"ga tegishli "&amp;umumiy_malumot!C126&amp;" ko'rinishidagi ko'chmas mulkni quyidagi ma'lumotlarga muvofiq  garovga qabul qilinsin:"</f>
        <v>QODIROVA NAFISA YO‘LDOSHEVNAga tegishli Ko'p qavatli uydagi xonadon ko'rinishidagi ko'chmas mulkni quyidagi ma'lumotlarga muvofiq  garovga qabul qilinsin:</v>
      </c>
      <c r="B16" s="240"/>
      <c r="C16" s="240"/>
      <c r="D16" s="240"/>
      <c r="E16" s="240"/>
    </row>
    <row r="17" spans="1:5" ht="47.25" customHeight="1">
      <c r="A17" s="240" t="str">
        <f>""&amp;umumiy_malumot!B117&amp;"ga tegishli "&amp;umumiy_malumot!B125&amp;"  ko'chmas mulk  quyidagi ma'lumotlarga muvofiq garovga qabul qilinsin:"</f>
        <v>QODIROVA NAFISA YO‘LDOSHEVNAga tegishli   ko'chmas mulk  quyidagi ma'lumotlarga muvofiq garovga qabul qilinsin:</v>
      </c>
      <c r="B17" s="240"/>
      <c r="C17" s="240"/>
      <c r="D17" s="240"/>
      <c r="E17" s="240"/>
    </row>
    <row r="18" spans="1:5" s="41" customFormat="1" ht="60" customHeight="1" outlineLevel="1">
      <c r="A18" s="43" t="str">
        <f>dalolatnoma!A47</f>
        <v>Nomi</v>
      </c>
      <c r="B18" s="43" t="str">
        <f>dalolatnoma!B47</f>
        <v>Qurilish osti maydoni</v>
      </c>
      <c r="C18" s="43" t="str">
        <f>dalolatnoma!C47</f>
        <v>Umumiy maydoni</v>
      </c>
      <c r="D18" s="43" t="str">
        <f>dalolatnoma!D47</f>
        <v>Yashash maydoni</v>
      </c>
      <c r="E18" s="43" t="str">
        <f>dalolatnoma!E47</f>
        <v>Kelishilgan garov qiymati, so'm</v>
      </c>
    </row>
    <row r="19" spans="1:5" ht="84.75" customHeight="1" outlineLevel="1">
      <c r="A19" s="21" t="str">
        <f>dalolatnoma!A48</f>
        <v>Ko'p qavatli uydagi xonadon</v>
      </c>
      <c r="B19" s="21">
        <f>dalolatnoma!B48</f>
        <v>0</v>
      </c>
      <c r="C19" s="21">
        <f>dalolatnoma!C48</f>
        <v>49.55</v>
      </c>
      <c r="D19" s="21">
        <f>dalolatnoma!D48</f>
        <v>28.99</v>
      </c>
      <c r="E19" s="21" t="str">
        <f>dalolatnoma!E48</f>
        <v>70 000 000,00 
(yetmish million so'm)</v>
      </c>
    </row>
    <row r="20" spans="1:5" ht="20.25" customHeight="1" outlineLevel="1">
      <c r="A20" s="240" t="str">
        <f>"-* ko'chmas mulk egasi: "&amp;umumiy_malumot!C117&amp;""</f>
        <v>-* ko'chmas mulk egasi: QODIROVA NAFISA YO‘LDOSHEVNA</v>
      </c>
      <c r="B20" s="240"/>
      <c r="C20" s="240"/>
      <c r="D20" s="240"/>
      <c r="E20" s="240"/>
    </row>
    <row r="21" spans="1:5" ht="20.25" customHeight="1" outlineLevel="1">
      <c r="A21" s="240" t="str">
        <f>"-* reestr raqami: "&amp;umumiy_malumot!C124&amp;""</f>
        <v>-* reestr raqami: 1726264/R-A4953178</v>
      </c>
      <c r="B21" s="240"/>
      <c r="C21" s="240"/>
      <c r="D21" s="240"/>
      <c r="E21" s="240"/>
    </row>
    <row r="22" spans="1:5" ht="36" customHeight="1" outlineLevel="1">
      <c r="A22" s="240" t="str">
        <f>"-* kadastr raqami: "&amp;umumiy_malumot!C127&amp;""</f>
        <v>-* kadastr raqami: 05.06.2024 y. №10:02:02:01:02:6267:0001:032</v>
      </c>
      <c r="B22" s="240"/>
      <c r="C22" s="240"/>
      <c r="D22" s="240"/>
      <c r="E22" s="240"/>
    </row>
    <row r="23" spans="1:5" ht="30.75" customHeight="1" outlineLevel="1">
      <c r="A23" s="240" t="str">
        <f>"-* manzil: "&amp;umumiy_malumot!C123&amp;""</f>
        <v>-* manzil: TOSHKENT SHAHAR BEKTEMIR TUMANI ROXAT KO'CHASI 12 UY 32 XONADON</v>
      </c>
      <c r="B23" s="240"/>
      <c r="C23" s="240"/>
      <c r="D23" s="240"/>
      <c r="E23" s="240"/>
    </row>
    <row r="24" spans="1:5">
      <c r="A24" s="240"/>
      <c r="B24" s="240"/>
      <c r="C24" s="240"/>
      <c r="D24" s="240"/>
      <c r="E24" s="240"/>
    </row>
    <row r="25" spans="1:5" s="41" customFormat="1" ht="41.25" hidden="1" customHeight="1" outlineLevel="1">
      <c r="A25" s="43" t="s">
        <v>197</v>
      </c>
      <c r="B25" s="43" t="s">
        <v>254</v>
      </c>
      <c r="C25" s="43" t="s">
        <v>274</v>
      </c>
      <c r="D25" s="43" t="s">
        <v>200</v>
      </c>
      <c r="E25" s="43" t="str">
        <f>dalolatnoma!E47</f>
        <v>Kelishilgan garov qiymati, so'm</v>
      </c>
    </row>
    <row r="26" spans="1:5" hidden="1" outlineLevel="1">
      <c r="A26" s="21" t="str">
        <f>dalolatnoma!A51</f>
        <v>Yashash xona</v>
      </c>
      <c r="B26" s="132" t="str">
        <f>dalolatnoma!B51</f>
        <v>3</v>
      </c>
      <c r="C26" s="132" t="str">
        <f>dalolatnoma!C51</f>
        <v>18.82</v>
      </c>
      <c r="D26" s="132">
        <f>dalolatnoma!D51</f>
        <v>0</v>
      </c>
      <c r="E26" s="280" t="str">
        <f>dalolatnoma!E51</f>
        <v>70 000 000,00 (yetmish million so'm)</v>
      </c>
    </row>
    <row r="27" spans="1:5" hidden="1" outlineLevel="1">
      <c r="A27" s="21">
        <f>dalolatnoma!A52</f>
        <v>0</v>
      </c>
      <c r="B27" s="132">
        <f>dalolatnoma!B52</f>
        <v>0</v>
      </c>
      <c r="C27" s="132">
        <f>dalolatnoma!C52</f>
        <v>0</v>
      </c>
      <c r="D27" s="132">
        <f>dalolatnoma!D52</f>
        <v>0</v>
      </c>
      <c r="E27" s="280"/>
    </row>
    <row r="28" spans="1:5" hidden="1" outlineLevel="1">
      <c r="A28" s="21" t="str">
        <f>dalolatnoma!A53</f>
        <v>Umumiy maydon</v>
      </c>
      <c r="B28" s="132" t="str">
        <f>dalolatnoma!B53</f>
        <v>43.96</v>
      </c>
      <c r="C28" s="132" t="str">
        <f>dalolatnoma!C53</f>
        <v>18.82</v>
      </c>
      <c r="D28" s="132" t="str">
        <f>dalolatnoma!D53</f>
        <v>43.96</v>
      </c>
      <c r="E28" s="280"/>
    </row>
    <row r="29" spans="1:5" hidden="1" outlineLevel="1">
      <c r="A29" s="21">
        <f>dalolatnoma!A54</f>
        <v>0</v>
      </c>
      <c r="B29" s="132">
        <f>dalolatnoma!B54</f>
        <v>0</v>
      </c>
      <c r="C29" s="132">
        <f>dalolatnoma!C54</f>
        <v>0</v>
      </c>
      <c r="D29" s="132">
        <f>dalolatnoma!D54</f>
        <v>0</v>
      </c>
      <c r="E29" s="280"/>
    </row>
    <row r="30" spans="1:5" hidden="1" outlineLevel="1">
      <c r="A30" s="21">
        <f>dalolatnoma!A55</f>
        <v>0</v>
      </c>
      <c r="B30" s="132">
        <f>dalolatnoma!B55</f>
        <v>0</v>
      </c>
      <c r="C30" s="132">
        <f>dalolatnoma!C55</f>
        <v>0</v>
      </c>
      <c r="D30" s="132">
        <f>dalolatnoma!D55</f>
        <v>0</v>
      </c>
      <c r="E30" s="280"/>
    </row>
    <row r="31" spans="1:5" hidden="1" outlineLevel="1">
      <c r="A31" s="21">
        <f>dalolatnoma!A56</f>
        <v>0</v>
      </c>
      <c r="B31" s="132">
        <f>dalolatnoma!B56</f>
        <v>0</v>
      </c>
      <c r="C31" s="132">
        <f>dalolatnoma!C56</f>
        <v>0</v>
      </c>
      <c r="D31" s="132">
        <f>dalolatnoma!D56</f>
        <v>0</v>
      </c>
      <c r="E31" s="280"/>
    </row>
    <row r="32" spans="1:5" hidden="1" outlineLevel="1">
      <c r="A32" s="21">
        <f>dalolatnoma!A57</f>
        <v>0</v>
      </c>
      <c r="B32" s="132">
        <f>dalolatnoma!B57</f>
        <v>0</v>
      </c>
      <c r="C32" s="132">
        <f>dalolatnoma!C57</f>
        <v>0</v>
      </c>
      <c r="D32" s="132">
        <f>dalolatnoma!D57</f>
        <v>0</v>
      </c>
      <c r="E32" s="280"/>
    </row>
    <row r="33" spans="1:5" hidden="1" outlineLevel="1">
      <c r="A33" s="21">
        <f>dalolatnoma!A58</f>
        <v>0</v>
      </c>
      <c r="B33" s="132">
        <f>dalolatnoma!B58</f>
        <v>0</v>
      </c>
      <c r="C33" s="132">
        <f>dalolatnoma!C58</f>
        <v>0</v>
      </c>
      <c r="D33" s="132">
        <f>dalolatnoma!D58</f>
        <v>0</v>
      </c>
      <c r="E33" s="280"/>
    </row>
    <row r="34" spans="1:5" hidden="1" outlineLevel="1">
      <c r="A34" s="21">
        <f>dalolatnoma!A59</f>
        <v>0</v>
      </c>
      <c r="B34" s="132">
        <f>dalolatnoma!B59</f>
        <v>0</v>
      </c>
      <c r="C34" s="132">
        <f>dalolatnoma!C59</f>
        <v>0</v>
      </c>
      <c r="D34" s="132">
        <f>dalolatnoma!D59</f>
        <v>0</v>
      </c>
      <c r="E34" s="280"/>
    </row>
    <row r="35" spans="1:5" hidden="1" outlineLevel="1">
      <c r="A35" s="21">
        <f>dalolatnoma!A60</f>
        <v>0</v>
      </c>
      <c r="B35" s="132">
        <f>dalolatnoma!B60</f>
        <v>0</v>
      </c>
      <c r="C35" s="132">
        <f>dalolatnoma!C60</f>
        <v>0</v>
      </c>
      <c r="D35" s="132">
        <f>dalolatnoma!D60</f>
        <v>0</v>
      </c>
      <c r="E35" s="280"/>
    </row>
    <row r="36" spans="1:5" hidden="1" outlineLevel="1">
      <c r="A36" s="21">
        <f>dalolatnoma!A61</f>
        <v>0</v>
      </c>
      <c r="B36" s="21">
        <f>dalolatnoma!B61</f>
        <v>0</v>
      </c>
      <c r="C36" s="21">
        <f>dalolatnoma!C61</f>
        <v>0</v>
      </c>
      <c r="D36" s="21">
        <f>dalolatnoma!D61</f>
        <v>0</v>
      </c>
      <c r="E36" s="280"/>
    </row>
    <row r="37" spans="1:5" s="41" customFormat="1" ht="14.25" hidden="1" outlineLevel="1">
      <c r="A37" s="43" t="str">
        <f>dalolatnoma!A62</f>
        <v>JAMI</v>
      </c>
      <c r="B37" s="43" t="str">
        <f>dalolatnoma!B62</f>
        <v>43.96</v>
      </c>
      <c r="C37" s="43" t="str">
        <f>dalolatnoma!C62</f>
        <v>18.82</v>
      </c>
      <c r="D37" s="43" t="str">
        <f>dalolatnoma!D62</f>
        <v>43.96</v>
      </c>
      <c r="E37" s="43" t="str">
        <f>dalolatnoma!E62</f>
        <v>70 000 000,00</v>
      </c>
    </row>
    <row r="38" spans="1:5" s="41" customFormat="1" ht="15" hidden="1" customHeight="1" outlineLevel="1">
      <c r="A38" s="240" t="str">
        <f>dalolatnoma!A39:E39</f>
        <v>-* ko'chmas mulk egasi: QODIROVA NAFISA YO‘LDOSHEVNA</v>
      </c>
      <c r="B38" s="240"/>
      <c r="C38" s="240"/>
      <c r="D38" s="240"/>
      <c r="E38" s="240"/>
    </row>
    <row r="39" spans="1:5" s="41" customFormat="1" hidden="1" outlineLevel="1">
      <c r="A39" s="240" t="str">
        <f>dalolatnoma!A40:E40</f>
        <v>-* reestr raqami: 1726264/R-A4953178</v>
      </c>
      <c r="B39" s="240"/>
      <c r="C39" s="240"/>
      <c r="D39" s="240"/>
      <c r="E39" s="240"/>
    </row>
    <row r="40" spans="1:5" s="41" customFormat="1" hidden="1" outlineLevel="1">
      <c r="A40" s="240" t="str">
        <f>dalolatnoma!A41:E41</f>
        <v>-* kadastr raqami: 05.06.2024 y. №10:02:02:01:02:6267:0001:032</v>
      </c>
      <c r="B40" s="240"/>
      <c r="C40" s="240"/>
      <c r="D40" s="240"/>
      <c r="E40" s="240"/>
    </row>
    <row r="41" spans="1:5" s="41" customFormat="1" hidden="1" outlineLevel="1">
      <c r="A41" s="240" t="str">
        <f>dalolatnoma!A42:E42</f>
        <v>-* manzil: TOSHKENT SHAHAR BEKTEMIR TUMANI ROXAT KO'CHASI 12 UY 32 XONADON</v>
      </c>
      <c r="B41" s="240"/>
      <c r="C41" s="240"/>
      <c r="D41" s="240"/>
      <c r="E41" s="240"/>
    </row>
    <row r="42" spans="1:5" s="41" customFormat="1" collapsed="1">
      <c r="A42" s="240"/>
      <c r="B42" s="240"/>
      <c r="C42" s="240"/>
      <c r="D42" s="240"/>
      <c r="E42" s="240"/>
    </row>
    <row r="43" spans="1:5" s="41" customFormat="1">
      <c r="A43" s="240"/>
      <c r="B43" s="240"/>
      <c r="C43" s="240"/>
      <c r="D43" s="240"/>
      <c r="E43" s="240"/>
    </row>
    <row r="44" spans="1:5" s="41" customFormat="1" hidden="1">
      <c r="A44" s="240"/>
      <c r="B44" s="240"/>
      <c r="C44" s="240"/>
      <c r="D44" s="240"/>
      <c r="E44" s="240"/>
    </row>
    <row r="45" spans="1:5" s="41" customFormat="1" ht="14.25" hidden="1">
      <c r="A45" s="60"/>
      <c r="B45" s="60"/>
      <c r="C45" s="60"/>
      <c r="D45" s="60"/>
      <c r="E45" s="60"/>
    </row>
    <row r="46" spans="1:5" hidden="1">
      <c r="A46" s="240"/>
      <c r="B46" s="240"/>
      <c r="C46" s="240"/>
      <c r="D46" s="240"/>
      <c r="E46" s="240"/>
    </row>
    <row r="47" spans="1:5" ht="15" customHeight="1">
      <c r="A47" s="328" t="str">
        <f>umumiy_malumot!B148</f>
        <v>«PULLOL BUSINESS MIKROMOLIYA TASHKILOTI»  MChJ</v>
      </c>
      <c r="B47" s="328"/>
      <c r="C47" s="328"/>
      <c r="D47" s="343"/>
      <c r="E47" s="343"/>
    </row>
    <row r="48" spans="1:5" ht="15" customHeight="1">
      <c r="A48" s="328" t="s">
        <v>398</v>
      </c>
      <c r="B48" s="328"/>
      <c r="C48" s="328"/>
      <c r="D48" s="343" t="str">
        <f>umumiy_malumot!B150</f>
        <v>Obidov A. Sh.</v>
      </c>
      <c r="E48" s="343"/>
    </row>
    <row r="49" spans="1:5">
      <c r="A49" s="240"/>
      <c r="B49" s="240"/>
      <c r="C49" s="240"/>
      <c r="D49" s="240"/>
      <c r="E49" s="240"/>
    </row>
    <row r="50" spans="1:5">
      <c r="A50" s="240"/>
      <c r="B50" s="240"/>
      <c r="C50" s="240"/>
      <c r="D50" s="240"/>
      <c r="E50" s="240"/>
    </row>
    <row r="51" spans="1:5">
      <c r="A51" s="240"/>
      <c r="B51" s="240"/>
      <c r="C51" s="240"/>
      <c r="D51" s="240"/>
      <c r="E51" s="240"/>
    </row>
    <row r="52" spans="1:5">
      <c r="A52" s="240"/>
      <c r="B52" s="240"/>
      <c r="C52" s="240"/>
      <c r="D52" s="240"/>
      <c r="E52" s="240"/>
    </row>
    <row r="53" spans="1:5">
      <c r="A53" s="240"/>
      <c r="B53" s="240"/>
      <c r="C53" s="240"/>
      <c r="D53" s="240"/>
      <c r="E53" s="240"/>
    </row>
    <row r="54" spans="1:5">
      <c r="A54" s="240"/>
      <c r="B54" s="240"/>
      <c r="C54" s="240"/>
      <c r="D54" s="240"/>
      <c r="E54" s="240"/>
    </row>
  </sheetData>
  <mergeCells count="36">
    <mergeCell ref="A54:E54"/>
    <mergeCell ref="A22:E22"/>
    <mergeCell ref="A23:E23"/>
    <mergeCell ref="A24:E24"/>
    <mergeCell ref="A46:E46"/>
    <mergeCell ref="A47:C47"/>
    <mergeCell ref="D47:E47"/>
    <mergeCell ref="A48:C48"/>
    <mergeCell ref="D48:E48"/>
    <mergeCell ref="A49:E49"/>
    <mergeCell ref="A50:E50"/>
    <mergeCell ref="A51:E51"/>
    <mergeCell ref="A53:E53"/>
    <mergeCell ref="E26:E36"/>
    <mergeCell ref="A43:E43"/>
    <mergeCell ref="A4:E6"/>
    <mergeCell ref="A44:E44"/>
    <mergeCell ref="A38:E38"/>
    <mergeCell ref="A39:E39"/>
    <mergeCell ref="A40:E40"/>
    <mergeCell ref="A41:E41"/>
    <mergeCell ref="A42:E42"/>
    <mergeCell ref="A21:E21"/>
    <mergeCell ref="A14:E14"/>
    <mergeCell ref="A17:E17"/>
    <mergeCell ref="A7:E7"/>
    <mergeCell ref="A8:E8"/>
    <mergeCell ref="A13:E13"/>
    <mergeCell ref="A9:E9"/>
    <mergeCell ref="A10:E10"/>
    <mergeCell ref="A11:E11"/>
    <mergeCell ref="A12:E12"/>
    <mergeCell ref="A52:E52"/>
    <mergeCell ref="A20:E20"/>
    <mergeCell ref="A15:E15"/>
    <mergeCell ref="A16:E16"/>
  </mergeCells>
  <pageMargins left="0.70866141732283472" right="0.70866141732283472" top="0.74803149606299213" bottom="0.74803149606299213" header="0.31496062992125984" footer="0.31496062992125984"/>
  <pageSetup paperSize="9" scale="83"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Лист17">
    <tabColor rgb="FF00B050"/>
  </sheetPr>
  <dimension ref="B1:G42"/>
  <sheetViews>
    <sheetView view="pageBreakPreview" zoomScaleSheetLayoutView="100" workbookViewId="0">
      <selection activeCell="B12" sqref="B12:F12"/>
    </sheetView>
  </sheetViews>
  <sheetFormatPr defaultColWidth="9.140625" defaultRowHeight="15"/>
  <cols>
    <col min="1" max="1" width="3.42578125" style="19" customWidth="1"/>
    <col min="2" max="3" width="17.85546875" style="24" customWidth="1"/>
    <col min="4" max="4" width="15" style="24" customWidth="1"/>
    <col min="5" max="5" width="17.85546875" style="24" customWidth="1"/>
    <col min="6" max="6" width="9" style="24" customWidth="1"/>
    <col min="7" max="7" width="4.7109375" style="24" customWidth="1"/>
    <col min="8" max="16384" width="9.140625" style="19"/>
  </cols>
  <sheetData>
    <row r="1" spans="2:7" ht="15.75" thickBot="1"/>
    <row r="2" spans="2:7" ht="62.25" customHeight="1">
      <c r="B2" s="354" t="str">
        <f>umumiy_malumot!B148</f>
        <v>«PULLOL BUSINESS MIKROMOLIYA TASHKILOTI»  MChJ</v>
      </c>
      <c r="C2" s="355"/>
      <c r="D2" s="355"/>
      <c r="E2" s="355"/>
      <c r="F2" s="356"/>
      <c r="G2" s="45"/>
    </row>
    <row r="3" spans="2:7">
      <c r="B3" s="347"/>
      <c r="C3" s="273"/>
      <c r="D3" s="273"/>
      <c r="E3" s="273"/>
      <c r="F3" s="348"/>
      <c r="G3" s="46"/>
    </row>
    <row r="4" spans="2:7" ht="8.25" customHeight="1">
      <c r="B4" s="67"/>
      <c r="F4" s="68"/>
      <c r="G4" s="46"/>
    </row>
    <row r="5" spans="2:7" ht="12" customHeight="1">
      <c r="B5" s="48"/>
      <c r="C5" s="46"/>
      <c r="D5" s="46"/>
      <c r="E5" s="46"/>
      <c r="F5" s="49"/>
      <c r="G5" s="46"/>
    </row>
    <row r="6" spans="2:7" ht="6.75" customHeight="1">
      <c r="B6" s="48"/>
      <c r="C6" s="46"/>
      <c r="D6" s="46"/>
      <c r="E6" s="46"/>
      <c r="F6" s="49"/>
      <c r="G6" s="46"/>
    </row>
    <row r="7" spans="2:7" ht="6.75" customHeight="1">
      <c r="B7" s="48"/>
      <c r="C7" s="46"/>
      <c r="D7" s="46"/>
      <c r="E7" s="46"/>
      <c r="F7" s="49"/>
      <c r="G7" s="46"/>
    </row>
    <row r="8" spans="2:7">
      <c r="B8" s="48"/>
      <c r="C8" s="46"/>
      <c r="D8" s="46"/>
      <c r="E8" s="46"/>
      <c r="F8" s="49"/>
      <c r="G8" s="46"/>
    </row>
    <row r="9" spans="2:7">
      <c r="B9" s="48"/>
      <c r="C9" s="46"/>
      <c r="D9" s="46"/>
      <c r="E9" s="46"/>
      <c r="F9" s="49"/>
      <c r="G9" s="46"/>
    </row>
    <row r="10" spans="2:7">
      <c r="B10" s="347" t="s">
        <v>24</v>
      </c>
      <c r="C10" s="273"/>
      <c r="D10" s="273"/>
      <c r="E10" s="273"/>
      <c r="F10" s="348"/>
      <c r="G10" s="46"/>
    </row>
    <row r="11" spans="2:7">
      <c r="B11" s="347" t="s">
        <v>24</v>
      </c>
      <c r="C11" s="273"/>
      <c r="D11" s="273"/>
      <c r="E11" s="273"/>
      <c r="F11" s="348"/>
      <c r="G11" s="46"/>
    </row>
    <row r="12" spans="2:7" ht="135" customHeight="1">
      <c r="B12" s="357" t="str">
        <f>umumiy_malumot!B5</f>
        <v>QODIROVA NAFISA YO‘LDOSHEVNA</v>
      </c>
      <c r="C12" s="358"/>
      <c r="D12" s="358"/>
      <c r="E12" s="358"/>
      <c r="F12" s="359"/>
      <c r="G12" s="47"/>
    </row>
    <row r="13" spans="2:7">
      <c r="B13" s="347"/>
      <c r="C13" s="273"/>
      <c r="D13" s="273"/>
      <c r="E13" s="273"/>
      <c r="F13" s="348"/>
      <c r="G13" s="46"/>
    </row>
    <row r="14" spans="2:7">
      <c r="B14" s="48"/>
      <c r="C14" s="46"/>
      <c r="D14" s="46"/>
      <c r="E14" s="46"/>
      <c r="F14" s="49"/>
      <c r="G14" s="46"/>
    </row>
    <row r="15" spans="2:7">
      <c r="B15" s="48"/>
      <c r="C15" s="46"/>
      <c r="D15" s="46"/>
      <c r="E15" s="46"/>
      <c r="F15" s="49"/>
      <c r="G15" s="46"/>
    </row>
    <row r="16" spans="2:7">
      <c r="B16" s="48"/>
      <c r="C16" s="46"/>
      <c r="D16" s="46"/>
      <c r="E16" s="46"/>
      <c r="F16" s="49"/>
      <c r="G16" s="46"/>
    </row>
    <row r="17" spans="2:7">
      <c r="B17" s="48"/>
      <c r="C17" s="46"/>
      <c r="D17" s="46"/>
      <c r="E17" s="46"/>
      <c r="F17" s="49"/>
      <c r="G17" s="46"/>
    </row>
    <row r="18" spans="2:7">
      <c r="B18" s="347"/>
      <c r="C18" s="273"/>
      <c r="D18" s="273"/>
      <c r="E18" s="273"/>
      <c r="F18" s="348"/>
      <c r="G18" s="46"/>
    </row>
    <row r="19" spans="2:7" ht="20.25">
      <c r="B19" s="351" t="str">
        <f>""&amp;umumiy_malumot!B65&amp;" shartnoma "&amp;umumiy_malumot!B74&amp;""</f>
        <v>Mikroqarz shartnoma 2 fevral 2026 y.dan № 56</v>
      </c>
      <c r="C19" s="352"/>
      <c r="D19" s="352"/>
      <c r="E19" s="352"/>
      <c r="F19" s="353"/>
      <c r="G19" s="46"/>
    </row>
    <row r="20" spans="2:7">
      <c r="B20" s="347"/>
      <c r="C20" s="273"/>
      <c r="D20" s="273"/>
      <c r="E20" s="273"/>
      <c r="F20" s="348"/>
      <c r="G20" s="46"/>
    </row>
    <row r="21" spans="2:7">
      <c r="B21" s="347"/>
      <c r="C21" s="273"/>
      <c r="D21" s="273"/>
      <c r="E21" s="273"/>
      <c r="F21" s="348"/>
      <c r="G21" s="46"/>
    </row>
    <row r="22" spans="2:7">
      <c r="B22" s="347"/>
      <c r="C22" s="273"/>
      <c r="D22" s="273"/>
      <c r="E22" s="273"/>
      <c r="F22" s="348"/>
      <c r="G22" s="46"/>
    </row>
    <row r="23" spans="2:7">
      <c r="B23" s="347"/>
      <c r="C23" s="273"/>
      <c r="D23" s="273"/>
      <c r="E23" s="273"/>
      <c r="F23" s="348"/>
      <c r="G23" s="46"/>
    </row>
    <row r="24" spans="2:7">
      <c r="B24" s="349" t="str">
        <f>" Foiz stavkasi: "&amp;umumiy_malumot!B85&amp;"%"</f>
        <v xml:space="preserve"> Foiz stavkasi: 55%</v>
      </c>
      <c r="C24" s="243"/>
      <c r="D24" s="243"/>
      <c r="E24" s="243"/>
      <c r="F24" s="350"/>
      <c r="G24" s="46"/>
    </row>
    <row r="25" spans="2:7" ht="15" customHeight="1">
      <c r="B25" s="349" t="str">
        <f>" "&amp;umumiy_malumot!B65&amp;" muddati: "&amp;umumiy_malumot!B81&amp;" oy"</f>
        <v xml:space="preserve"> Mikroqarz muddati: 30 oy</v>
      </c>
      <c r="C25" s="243"/>
      <c r="D25" s="243"/>
      <c r="E25" s="243"/>
      <c r="F25" s="350"/>
      <c r="G25" s="46"/>
    </row>
    <row r="26" spans="2:7">
      <c r="B26" s="349" t="str">
        <f>" "&amp;umumiy_malumot!B65&amp;" miqdori: "&amp;FIXED(umumiy_malumot!B75,2)&amp;" so'm"</f>
        <v xml:space="preserve"> Mikroqarz miqdori: 50 000 000,00 so'm</v>
      </c>
      <c r="C26" s="243"/>
      <c r="D26" s="243"/>
      <c r="E26" s="243"/>
      <c r="F26" s="350"/>
      <c r="G26" s="46"/>
    </row>
    <row r="27" spans="2:7">
      <c r="B27" s="347"/>
      <c r="C27" s="273"/>
      <c r="D27" s="273"/>
      <c r="E27" s="273"/>
      <c r="F27" s="348"/>
      <c r="G27" s="46"/>
    </row>
    <row r="28" spans="2:7" hidden="1">
      <c r="G28" s="46"/>
    </row>
    <row r="29" spans="2:7">
      <c r="B29" s="347"/>
      <c r="C29" s="273"/>
      <c r="D29" s="273"/>
      <c r="E29" s="273"/>
      <c r="F29" s="348"/>
      <c r="G29" s="46"/>
    </row>
    <row r="30" spans="2:7" ht="12.75" customHeight="1">
      <c r="B30" s="48"/>
      <c r="C30" s="46"/>
      <c r="D30" s="46"/>
      <c r="E30" s="46"/>
      <c r="F30" s="49"/>
      <c r="G30" s="46"/>
    </row>
    <row r="31" spans="2:7">
      <c r="B31" s="48"/>
      <c r="C31" s="46"/>
      <c r="D31" s="46"/>
      <c r="E31" s="46"/>
      <c r="F31" s="49"/>
      <c r="G31" s="46"/>
    </row>
    <row r="32" spans="2:7" ht="2.25" customHeight="1">
      <c r="B32" s="48"/>
      <c r="C32" s="46"/>
      <c r="D32" s="46"/>
      <c r="E32" s="46"/>
      <c r="F32" s="49"/>
      <c r="G32" s="46"/>
    </row>
    <row r="33" spans="2:7">
      <c r="B33" s="48"/>
      <c r="C33" s="46"/>
      <c r="D33" s="46"/>
      <c r="E33" s="46"/>
      <c r="F33" s="49"/>
      <c r="G33" s="46"/>
    </row>
    <row r="34" spans="2:7">
      <c r="B34" s="48"/>
      <c r="C34" s="46"/>
      <c r="D34" s="46"/>
      <c r="E34" s="46"/>
      <c r="F34" s="49"/>
      <c r="G34" s="46"/>
    </row>
    <row r="35" spans="2:7">
      <c r="B35" s="48"/>
      <c r="C35" s="46"/>
      <c r="D35" s="46"/>
      <c r="E35" s="46"/>
      <c r="F35" s="49"/>
      <c r="G35" s="46"/>
    </row>
    <row r="36" spans="2:7">
      <c r="B36" s="48"/>
      <c r="C36" s="46"/>
      <c r="D36" s="46"/>
      <c r="E36" s="46"/>
      <c r="F36" s="49"/>
      <c r="G36" s="46"/>
    </row>
    <row r="37" spans="2:7">
      <c r="B37" s="48"/>
      <c r="C37" s="46"/>
      <c r="D37" s="46"/>
      <c r="E37" s="46"/>
      <c r="F37" s="49"/>
      <c r="G37" s="46"/>
    </row>
    <row r="38" spans="2:7">
      <c r="B38" s="48"/>
      <c r="C38" s="46"/>
      <c r="D38" s="46"/>
      <c r="E38" s="46"/>
      <c r="F38" s="49"/>
      <c r="G38" s="46"/>
    </row>
    <row r="39" spans="2:7">
      <c r="B39" s="48"/>
      <c r="C39" s="46"/>
      <c r="D39" s="46"/>
      <c r="E39" s="46"/>
      <c r="F39" s="49"/>
      <c r="G39" s="46"/>
    </row>
    <row r="40" spans="2:7" ht="15.75" thickBot="1">
      <c r="B40" s="344" t="str">
        <f>"Toshkent sh., "&amp;umumiy_malumot!B70&amp;""</f>
        <v>Toshkent sh., 2 fevral 2026 y.</v>
      </c>
      <c r="C40" s="345"/>
      <c r="D40" s="345"/>
      <c r="E40" s="345"/>
      <c r="F40" s="346"/>
      <c r="G40" s="46"/>
    </row>
    <row r="41" spans="2:7">
      <c r="B41" s="273"/>
      <c r="C41" s="273"/>
      <c r="D41" s="273"/>
      <c r="E41" s="273"/>
      <c r="F41" s="273"/>
      <c r="G41" s="46"/>
    </row>
    <row r="42" spans="2:7">
      <c r="B42" s="273"/>
      <c r="C42" s="273"/>
      <c r="D42" s="273"/>
      <c r="E42" s="273"/>
      <c r="F42" s="273"/>
      <c r="G42" s="46"/>
    </row>
  </sheetData>
  <mergeCells count="20">
    <mergeCell ref="B18:F18"/>
    <mergeCell ref="B19:F19"/>
    <mergeCell ref="B20:F20"/>
    <mergeCell ref="B2:F2"/>
    <mergeCell ref="B3:F3"/>
    <mergeCell ref="B10:F10"/>
    <mergeCell ref="B11:F11"/>
    <mergeCell ref="B12:F12"/>
    <mergeCell ref="B13:F13"/>
    <mergeCell ref="B40:F40"/>
    <mergeCell ref="B41:F41"/>
    <mergeCell ref="B42:F42"/>
    <mergeCell ref="B21:F21"/>
    <mergeCell ref="B22:F22"/>
    <mergeCell ref="B23:F23"/>
    <mergeCell ref="B27:F27"/>
    <mergeCell ref="B29:F29"/>
    <mergeCell ref="B24:F24"/>
    <mergeCell ref="B25:F25"/>
    <mergeCell ref="B26:F26"/>
  </mergeCells>
  <pageMargins left="0.70866141732283472" right="0.70866141732283472" top="0.74803149606299213" bottom="0.74803149606299213" header="0.31496062992125984" footer="0.31496062992125984"/>
  <pageSetup paperSize="9" scale="101"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Лист24"/>
  <dimension ref="A2:E44"/>
  <sheetViews>
    <sheetView view="pageBreakPreview" zoomScaleNormal="100" zoomScaleSheetLayoutView="100" workbookViewId="0">
      <selection activeCell="E8" sqref="E8"/>
    </sheetView>
  </sheetViews>
  <sheetFormatPr defaultColWidth="9.140625" defaultRowHeight="15"/>
  <cols>
    <col min="1" max="1" width="33.85546875" style="19" customWidth="1"/>
    <col min="2" max="2" width="21.28515625" style="19" customWidth="1"/>
    <col min="3" max="3" width="19.140625" style="19" customWidth="1"/>
    <col min="4" max="5" width="21.28515625" style="19" customWidth="1"/>
    <col min="6" max="16384" width="9.140625" style="19"/>
  </cols>
  <sheetData>
    <row r="2" spans="1:5">
      <c r="A2" s="128" t="s">
        <v>45</v>
      </c>
    </row>
    <row r="3" spans="1:5">
      <c r="A3" s="128" t="s">
        <v>46</v>
      </c>
    </row>
    <row r="6" spans="1:5" ht="20.25" customHeight="1">
      <c r="E6" s="129" t="s">
        <v>33</v>
      </c>
    </row>
    <row r="7" spans="1:5">
      <c r="E7" s="129" t="s">
        <v>47</v>
      </c>
    </row>
    <row r="9" spans="1:5" ht="107.25" customHeight="1">
      <c r="A9" s="361" t="str">
        <f>"          Между ООО «Clever Mikrokredit Tashkiloti» и "&amp;umumiy_malumot!B5&amp;"  (паспорт: "&amp;umumiy_malumot!B16&amp;" "&amp;umumiy_malumot!B20&amp;") заключен договор микрозайма "&amp;umumiy_malumot!B74&amp;", на сумму "&amp;FIXED(umumiy_malumot!B75)&amp;" ("&amp;umumiy_malumot!B76&amp;") сум, сроком на "&amp;umumiy_malumot!B81&amp;" ("&amp;umumiy_malumot!B82&amp;") месяцев. В качестве своевременного исполнения обязательств по договору Микрозайма "&amp;umumiy_malumot!B74&amp;" планирует предоставить нижеследующее "&amp;IF(umumiy_malumot!B103=umumiy_malumot!C103,"автотранспортного средство марки "&amp;umumiy_malumot!B125&amp;" принадлежащее на правах собственности "&amp;umumiy_malumot!B117&amp;"","недвижимого имущества в виде "&amp;umumiy_malumot!C126&amp;", общей площадью - "&amp;umumiy_malumot!C130&amp;" и жилой площадью - "&amp;umumiy_malumot!C133&amp;", расположенного по адресу: "&amp;umumiy_malumot!C123&amp;", принадлежащее на правах собственности "&amp;umumiy_malumot!C117&amp;".")</f>
        <v xml:space="preserve">          Между ООО «Clever Mikrokredit Tashkiloti» и QODIROVA NAFISA YO‘LDOSHEVNA  (паспорт: AD 9088376 IIV 26296 tomonidan 21.10.2024 yilda berilgan) заключен договор микрозайма 2 fevral 2026 y.dan № 56, на сумму 50 000 000,00 (Ellik million so'm) сум, сроком на 30 (o'ttiz) месяцев. В качестве своевременного исполнения обязательств по договору Микрозайма 2 fevral 2026 y.dan № 56 планирует предоставить нижеследующее недвижимого имущества в виде Ko'p qavatli uydagi xonadon, общей площадью - 49,55 и жилой площадью - , расположенного по адресу: TOSHKENT SHAHAR BEKTEMIR TUMANI ROXAT KO'CHASI 12 UY 32 XONADON, принадлежащее на правах собственности QODIROVA NAFISA YO‘LDOSHEVNA.</v>
      </c>
      <c r="B9" s="361"/>
      <c r="C9" s="361"/>
      <c r="D9" s="361"/>
      <c r="E9" s="361"/>
    </row>
    <row r="11" spans="1:5" ht="28.5">
      <c r="A11" s="43" t="str">
        <f>buyruq!A18</f>
        <v>Nomi</v>
      </c>
      <c r="B11" s="43" t="str">
        <f>buyruq!B18</f>
        <v>Qurilish osti maydoni</v>
      </c>
      <c r="C11" s="43" t="str">
        <f>buyruq!C18</f>
        <v>Umumiy maydoni</v>
      </c>
      <c r="D11" s="43" t="str">
        <f>buyruq!D18</f>
        <v>Yashash maydoni</v>
      </c>
      <c r="E11" s="43" t="str">
        <f>buyruq!E18</f>
        <v>Kelishilgan garov qiymati, so'm</v>
      </c>
    </row>
    <row r="12" spans="1:5" ht="73.5" customHeight="1">
      <c r="A12" s="43" t="str">
        <f>buyruq!A19</f>
        <v>Ko'p qavatli uydagi xonadon</v>
      </c>
      <c r="B12" s="43">
        <f>buyruq!B19</f>
        <v>0</v>
      </c>
      <c r="C12" s="43">
        <f>buyruq!C19</f>
        <v>49.55</v>
      </c>
      <c r="D12" s="43">
        <f>buyruq!D19</f>
        <v>28.99</v>
      </c>
      <c r="E12" s="43" t="str">
        <f>buyruq!E19</f>
        <v>70 000 000,00 
(yetmish million so'm)</v>
      </c>
    </row>
    <row r="13" spans="1:5">
      <c r="A13" s="365" t="str">
        <f>buyruq!A20:E20</f>
        <v>-* ko'chmas mulk egasi: QODIROVA NAFISA YO‘LDOSHEVNA</v>
      </c>
      <c r="B13" s="365"/>
      <c r="C13" s="365"/>
      <c r="D13" s="365"/>
      <c r="E13" s="365"/>
    </row>
    <row r="14" spans="1:5">
      <c r="A14" s="365" t="str">
        <f>buyruq!A21:E21</f>
        <v>-* reestr raqami: 1726264/R-A4953178</v>
      </c>
      <c r="B14" s="365"/>
      <c r="C14" s="365"/>
      <c r="D14" s="365"/>
      <c r="E14" s="365"/>
    </row>
    <row r="15" spans="1:5">
      <c r="A15" s="365" t="str">
        <f>buyruq!A22:E22</f>
        <v>-* kadastr raqami: 05.06.2024 y. №10:02:02:01:02:6267:0001:032</v>
      </c>
      <c r="B15" s="365"/>
      <c r="C15" s="365"/>
      <c r="D15" s="365"/>
      <c r="E15" s="365"/>
    </row>
    <row r="16" spans="1:5">
      <c r="A16" s="365" t="str">
        <f>buyruq!A23:E23</f>
        <v>-* manzil: TOSHKENT SHAHAR BEKTEMIR TUMANI ROXAT KO'CHASI 12 UY 32 XONADON</v>
      </c>
      <c r="B16" s="365"/>
      <c r="C16" s="365"/>
      <c r="D16" s="365"/>
      <c r="E16" s="365"/>
    </row>
    <row r="17" spans="1:5" ht="3" customHeight="1"/>
    <row r="19" spans="1:5" ht="59.25" hidden="1" customHeight="1">
      <c r="A19" s="43" t="str">
        <f>dalolatnoma!A50</f>
        <v>Наименование</v>
      </c>
      <c r="B19" s="43" t="str">
        <f>dalolatnoma!B50</f>
        <v>Полезная площадь</v>
      </c>
      <c r="C19" s="43" t="str">
        <f>dalolatnoma!C50</f>
        <v>Жилая площадь</v>
      </c>
      <c r="D19" s="43" t="str">
        <f>dalolatnoma!D50</f>
        <v>Общая площадь</v>
      </c>
      <c r="E19" s="43" t="str">
        <f>dalolatnoma!E50</f>
        <v>Согласованная залоговая стоимость, сум</v>
      </c>
    </row>
    <row r="20" spans="1:5" ht="17.25" hidden="1" customHeight="1">
      <c r="A20" s="21" t="str">
        <f>dalolatnoma!A51</f>
        <v>Yashash xona</v>
      </c>
      <c r="B20" s="21" t="str">
        <f>dalolatnoma!B51</f>
        <v>3</v>
      </c>
      <c r="C20" s="21" t="str">
        <f>dalolatnoma!C51</f>
        <v>18.82</v>
      </c>
      <c r="D20" s="21">
        <f>dalolatnoma!D51</f>
        <v>0</v>
      </c>
      <c r="E20" s="340" t="str">
        <f>""&amp;FIXED(umumiy_malumot!C136,2)&amp;" ("&amp;umumiy_malumot!C137&amp;")"</f>
        <v>70 000 000,00 (yetmish million so'm)</v>
      </c>
    </row>
    <row r="21" spans="1:5" ht="17.25" hidden="1" customHeight="1">
      <c r="A21" s="21">
        <f>dalolatnoma!A52</f>
        <v>0</v>
      </c>
      <c r="B21" s="21">
        <f>dalolatnoma!B52</f>
        <v>0</v>
      </c>
      <c r="C21" s="21">
        <f>dalolatnoma!C52</f>
        <v>0</v>
      </c>
      <c r="D21" s="21">
        <f>dalolatnoma!D52</f>
        <v>0</v>
      </c>
      <c r="E21" s="341"/>
    </row>
    <row r="22" spans="1:5" ht="17.25" hidden="1" customHeight="1">
      <c r="A22" s="21" t="str">
        <f>dalolatnoma!A53</f>
        <v>Umumiy maydon</v>
      </c>
      <c r="B22" s="21" t="str">
        <f>dalolatnoma!B53</f>
        <v>43.96</v>
      </c>
      <c r="C22" s="21" t="str">
        <f>dalolatnoma!C53</f>
        <v>18.82</v>
      </c>
      <c r="D22" s="21" t="str">
        <f>dalolatnoma!D53</f>
        <v>43.96</v>
      </c>
      <c r="E22" s="341"/>
    </row>
    <row r="23" spans="1:5" ht="17.25" hidden="1" customHeight="1">
      <c r="A23" s="21">
        <f>dalolatnoma!A54</f>
        <v>0</v>
      </c>
      <c r="B23" s="21">
        <f>dalolatnoma!B54</f>
        <v>0</v>
      </c>
      <c r="C23" s="21">
        <f>dalolatnoma!C54</f>
        <v>0</v>
      </c>
      <c r="D23" s="21">
        <f>dalolatnoma!D54</f>
        <v>0</v>
      </c>
      <c r="E23" s="341"/>
    </row>
    <row r="24" spans="1:5" ht="17.25" hidden="1" customHeight="1">
      <c r="A24" s="21">
        <f>dalolatnoma!A55</f>
        <v>0</v>
      </c>
      <c r="B24" s="21">
        <f>dalolatnoma!B55</f>
        <v>0</v>
      </c>
      <c r="C24" s="21">
        <f>dalolatnoma!C55</f>
        <v>0</v>
      </c>
      <c r="D24" s="21">
        <f>dalolatnoma!D55</f>
        <v>0</v>
      </c>
      <c r="E24" s="341"/>
    </row>
    <row r="25" spans="1:5" ht="15.75" hidden="1" customHeight="1">
      <c r="A25" s="21">
        <f>dalolatnoma!A56</f>
        <v>0</v>
      </c>
      <c r="B25" s="21">
        <f>dalolatnoma!B56</f>
        <v>0</v>
      </c>
      <c r="C25" s="21">
        <f>dalolatnoma!C56</f>
        <v>0</v>
      </c>
      <c r="D25" s="21">
        <f>dalolatnoma!D56</f>
        <v>0</v>
      </c>
      <c r="E25" s="341"/>
    </row>
    <row r="26" spans="1:5" ht="17.25" hidden="1" customHeight="1">
      <c r="A26" s="21">
        <f>dalolatnoma!A57</f>
        <v>0</v>
      </c>
      <c r="B26" s="21">
        <f>dalolatnoma!B57</f>
        <v>0</v>
      </c>
      <c r="C26" s="21">
        <f>dalolatnoma!C57</f>
        <v>0</v>
      </c>
      <c r="D26" s="21">
        <f>dalolatnoma!D57</f>
        <v>0</v>
      </c>
      <c r="E26" s="341"/>
    </row>
    <row r="27" spans="1:5" ht="17.25" hidden="1" customHeight="1">
      <c r="A27" s="21">
        <f>dalolatnoma!A58</f>
        <v>0</v>
      </c>
      <c r="B27" s="21">
        <f>dalolatnoma!B58</f>
        <v>0</v>
      </c>
      <c r="C27" s="21">
        <f>dalolatnoma!C58</f>
        <v>0</v>
      </c>
      <c r="D27" s="21">
        <f>dalolatnoma!D58</f>
        <v>0</v>
      </c>
      <c r="E27" s="341"/>
    </row>
    <row r="28" spans="1:5" ht="17.25" hidden="1" customHeight="1">
      <c r="A28" s="21">
        <f>dalolatnoma!A59</f>
        <v>0</v>
      </c>
      <c r="B28" s="21">
        <f>dalolatnoma!B59</f>
        <v>0</v>
      </c>
      <c r="C28" s="21">
        <f>dalolatnoma!C59</f>
        <v>0</v>
      </c>
      <c r="D28" s="21">
        <f>dalolatnoma!D59</f>
        <v>0</v>
      </c>
      <c r="E28" s="341"/>
    </row>
    <row r="29" spans="1:5" ht="17.25" hidden="1" customHeight="1">
      <c r="A29" s="21">
        <f>dalolatnoma!A60</f>
        <v>0</v>
      </c>
      <c r="B29" s="21">
        <f>dalolatnoma!B60</f>
        <v>0</v>
      </c>
      <c r="C29" s="21">
        <f>dalolatnoma!C60</f>
        <v>0</v>
      </c>
      <c r="D29" s="21">
        <f>dalolatnoma!D60</f>
        <v>0</v>
      </c>
      <c r="E29" s="341"/>
    </row>
    <row r="30" spans="1:5" ht="17.25" hidden="1" customHeight="1">
      <c r="A30" s="21">
        <f>dalolatnoma!A61</f>
        <v>0</v>
      </c>
      <c r="B30" s="21">
        <f>dalolatnoma!B61</f>
        <v>0</v>
      </c>
      <c r="C30" s="21">
        <f>dalolatnoma!C61</f>
        <v>0</v>
      </c>
      <c r="D30" s="21">
        <f>dalolatnoma!D61</f>
        <v>0</v>
      </c>
      <c r="E30" s="342"/>
    </row>
    <row r="31" spans="1:5" ht="17.25" hidden="1" customHeight="1">
      <c r="A31" s="21" t="str">
        <f>dalolatnoma!A62</f>
        <v>JAMI</v>
      </c>
      <c r="B31" s="21" t="str">
        <f>dalolatnoma!B62</f>
        <v>43.96</v>
      </c>
      <c r="C31" s="21" t="str">
        <f>dalolatnoma!C62</f>
        <v>18.82</v>
      </c>
      <c r="D31" s="21" t="str">
        <f>dalolatnoma!D62</f>
        <v>43.96</v>
      </c>
      <c r="E31" s="21" t="str">
        <f>dalolatnoma!E62</f>
        <v>70 000 000,00</v>
      </c>
    </row>
    <row r="32" spans="1:5" ht="18.75" hidden="1" customHeight="1">
      <c r="A32" s="361" t="str">
        <f>dalolatnoma!A39:E39</f>
        <v>-* ko'chmas mulk egasi: QODIROVA NAFISA YO‘LDOSHEVNA</v>
      </c>
      <c r="B32" s="361"/>
      <c r="C32" s="361"/>
      <c r="D32" s="361"/>
      <c r="E32" s="361"/>
    </row>
    <row r="33" spans="1:5" ht="24.75" hidden="1" customHeight="1">
      <c r="A33" s="361" t="str">
        <f>dalolatnoma!A40:E40</f>
        <v>-* reestr raqami: 1726264/R-A4953178</v>
      </c>
      <c r="B33" s="361"/>
      <c r="C33" s="361"/>
      <c r="D33" s="361"/>
      <c r="E33" s="361"/>
    </row>
    <row r="34" spans="1:5" ht="30.75" hidden="1" customHeight="1">
      <c r="A34" s="361" t="str">
        <f>dalolatnoma!A41:E41</f>
        <v>-* kadastr raqami: 05.06.2024 y. №10:02:02:01:02:6267:0001:032</v>
      </c>
      <c r="B34" s="361"/>
      <c r="C34" s="361"/>
      <c r="D34" s="361"/>
      <c r="E34" s="361"/>
    </row>
    <row r="35" spans="1:5" ht="15" hidden="1" customHeight="1">
      <c r="A35" s="361" t="str">
        <f>dalolatnoma!A42:E42</f>
        <v>-* manzil: TOSHKENT SHAHAR BEKTEMIR TUMANI ROXAT KO'CHASI 12 UY 32 XONADON</v>
      </c>
      <c r="B35" s="361"/>
      <c r="C35" s="361"/>
      <c r="D35" s="361"/>
      <c r="E35" s="361"/>
    </row>
    <row r="36" spans="1:5">
      <c r="A36" s="26"/>
      <c r="B36" s="26"/>
      <c r="C36" s="26"/>
      <c r="D36" s="26"/>
      <c r="E36" s="26"/>
    </row>
    <row r="37" spans="1:5" s="152" customFormat="1" ht="51" customHeight="1">
      <c r="A37" s="364" t="str">
        <f>dalolatnoma!A64:E64</f>
        <v>“Birinchi talabga ko‘ra, yuqoridagi avtomobil Mikrokredit shartnomasi bo‘yicha garovga qo‘yilgan edi::
- №5 от 11 yanvar 2021 г., заключенного с ООО «Clever Mikrokredit Tashkiloti» и TULYAGANOV XODJIAKBAR IRGASHEVICH, по согласованной залоговой стоимость - 15 000 000,00 (on besh million) сум.
- №386 от 6 noyabr 2019 г., заключенного с ООО «Clever Mikrokredit Tashkiloti» и YUNUSOVA ZALOXAT MIRSULTANOVNA, по согласованной залоговой стоимость - 15 000 000,00 (on besh million) сум.
- №33 от 21 yanvar 2021 г., заключенного с ООО «Clever Mikrokredit Tashkiloti» и YUNUSOVA ZALOXAT MIRSULTANOVNA, по согласованной залоговой стоимость - 15 000 000,00 (on besh million) сум.
0
0
0
0
0
0
0
0
0
0
0
0
0
0
0
0
0</v>
      </c>
      <c r="B37" s="364"/>
      <c r="C37" s="364"/>
      <c r="D37" s="364"/>
      <c r="E37" s="364"/>
    </row>
    <row r="38" spans="1:5" ht="40.5" customHeight="1">
      <c r="A38" s="361" t="str">
        <f>dalolatnoma!A65:E65</f>
        <v>Shu bilan birga, garov predmetining kelishilgan garov qiymati deganda ushbu mulk garov sifatida taqdim etilgan/qabul qilingan qiymati tushuniladi.</v>
      </c>
      <c r="B38" s="361"/>
      <c r="C38" s="361"/>
      <c r="D38" s="361"/>
      <c r="E38" s="361"/>
    </row>
    <row r="39" spans="1:5" ht="39" customHeight="1">
      <c r="A39" s="361" t="str">
        <f>"Учитывая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"&amp;umumiy_malumot!B74&amp;", при сохранении запрета."</f>
        <v>Учитывая вышеизложенное, ООО «Clever Mikrokredit Tashkiloti» даёт свое согласие на предоставление вышеуказанного имущества в виде последующего залога по договору микрозайма 2 fevral 2026 y.dan № 56, при сохранении запрета.</v>
      </c>
      <c r="B39" s="361"/>
      <c r="C39" s="361"/>
      <c r="D39" s="361"/>
      <c r="E39" s="361"/>
    </row>
    <row r="40" spans="1:5">
      <c r="A40" s="362"/>
      <c r="B40" s="362"/>
      <c r="C40" s="362"/>
      <c r="D40" s="362"/>
      <c r="E40" s="362"/>
    </row>
    <row r="41" spans="1:5">
      <c r="A41" s="363" t="s">
        <v>34</v>
      </c>
      <c r="B41" s="363"/>
      <c r="C41" s="363"/>
      <c r="D41" s="363"/>
      <c r="E41" s="363"/>
    </row>
    <row r="42" spans="1:5">
      <c r="A42" s="362"/>
      <c r="B42" s="362"/>
      <c r="C42" s="362"/>
      <c r="D42" s="362"/>
      <c r="E42" s="362"/>
    </row>
    <row r="43" spans="1:5">
      <c r="A43" s="363" t="s">
        <v>35</v>
      </c>
      <c r="B43" s="363"/>
      <c r="C43" s="363"/>
      <c r="D43" s="363"/>
      <c r="E43" s="363"/>
    </row>
    <row r="44" spans="1:5" ht="28.5" customHeight="1">
      <c r="A44" s="360" t="s">
        <v>36</v>
      </c>
      <c r="B44" s="360"/>
      <c r="C44" s="360"/>
      <c r="D44" s="360"/>
      <c r="E44" s="130" t="s">
        <v>2</v>
      </c>
    </row>
  </sheetData>
  <mergeCells count="18">
    <mergeCell ref="A37:E37"/>
    <mergeCell ref="E20:E30"/>
    <mergeCell ref="A9:E9"/>
    <mergeCell ref="A32:E32"/>
    <mergeCell ref="A33:E33"/>
    <mergeCell ref="A34:E34"/>
    <mergeCell ref="A35:E35"/>
    <mergeCell ref="A16:E16"/>
    <mergeCell ref="A15:E15"/>
    <mergeCell ref="A14:E14"/>
    <mergeCell ref="A13:E13"/>
    <mergeCell ref="A44:D44"/>
    <mergeCell ref="A38:E38"/>
    <mergeCell ref="A39:E39"/>
    <mergeCell ref="A40:E40"/>
    <mergeCell ref="A41:E41"/>
    <mergeCell ref="A42:E42"/>
    <mergeCell ref="A43:E43"/>
  </mergeCells>
  <printOptions horizontalCentered="1"/>
  <pageMargins left="0.70866141732283472" right="0.70866141732283472" top="0.74803149606299213" bottom="0.74803149606299213" header="0.31496062992125984" footer="0.31496062992125984"/>
  <pageSetup paperSize="9" scale="71" orientation="portrait" horizontalDpi="300" verticalDpi="300"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Лист25">
    <tabColor rgb="FF00B050"/>
  </sheetPr>
  <dimension ref="A1:I30"/>
  <sheetViews>
    <sheetView view="pageBreakPreview" zoomScaleNormal="100" zoomScaleSheetLayoutView="100" workbookViewId="0">
      <selection activeCell="X29" sqref="X29"/>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9" width="9.140625" style="28" hidden="1" customWidth="1"/>
    <col min="10" max="10" width="9.140625" style="28" customWidth="1"/>
    <col min="11" max="11" width="0.5703125" style="28" customWidth="1"/>
    <col min="12" max="16384" width="9.140625" style="28"/>
  </cols>
  <sheetData>
    <row r="1" spans="1:9">
      <c r="A1" s="35"/>
      <c r="B1" s="35"/>
      <c r="C1" s="35"/>
      <c r="D1" s="35"/>
      <c r="E1" s="35"/>
      <c r="F1" s="35"/>
      <c r="G1" s="35"/>
      <c r="H1" s="35"/>
      <c r="I1" s="35"/>
    </row>
    <row r="2" spans="1:9">
      <c r="A2" s="368" t="str">
        <f>""&amp;" "&amp;umumiy_malumot!B74&amp;"-sonli "&amp;" "&amp;umumiy_malumot!B65&amp;" shartnomasi bo‘yicha
 garovga qo‘yilgan mol-mulkni tekshirish bo’yicha "&amp;umumiy_malumot!B5&amp;" bilan tuzilgan dalolatnomasi"</f>
        <v xml:space="preserve"> 2 fevral 2026 y.dan № 56-sonli  Mikroqarz shartnomasi bo‘yicha
 garovga qo‘yilgan mol-mulkni tekshirish bo’yicha QODIROVA NAFISA YO‘LDOSHEVNA bilan tuzilgan dalolatnomasi</v>
      </c>
      <c r="B2" s="368"/>
      <c r="C2" s="368"/>
      <c r="D2" s="368"/>
      <c r="E2" s="368"/>
      <c r="F2" s="368"/>
      <c r="G2" s="368"/>
      <c r="H2" s="368"/>
      <c r="I2" s="35"/>
    </row>
    <row r="3" spans="1:9">
      <c r="A3" s="368"/>
      <c r="B3" s="368"/>
      <c r="C3" s="368"/>
      <c r="D3" s="368"/>
      <c r="E3" s="368"/>
      <c r="F3" s="368"/>
      <c r="G3" s="368"/>
      <c r="H3" s="368"/>
      <c r="I3" s="35"/>
    </row>
    <row r="5" spans="1:9">
      <c r="A5" s="28" t="s">
        <v>194</v>
      </c>
      <c r="F5" s="189"/>
      <c r="H5" s="166" t="str">
        <f>TEXT(umumiy_malumot!D2,"ДД.ММ.ГГГГ")</f>
        <v>01.08.2026</v>
      </c>
    </row>
    <row r="7" spans="1:9" ht="45" customHeight="1">
      <c r="A7" s="367" t="str">
        <f>"      Men, “PULLOL BUSINESS MIKROMOLIYA TASHKILOTI” "&amp;umumiy_malumot!A150&amp;"i "&amp;umumiy_malumot!B150&amp;", jismoniy shaxs "&amp;" "&amp;umumiy_malumot!B5&amp;" "&amp;" "&amp;umumiy_malumot!B74&amp;"-sonli "&amp;umumiy_malumot!B65&amp;" shartnomasi bo‘yicha garovga qo‘yilgan mol-mulkni ko‘zdan kechirdim"</f>
        <v xml:space="preserve">      Men, “PULLOL BUSINESS MIKROMOLIYA TASHKILOTI” Direktori Obidov A. Sh., jismoniy shaxs  QODIROVA NAFISA YO‘LDOSHEVNA  2 fevral 2026 y.dan № 56-sonli Mikroqarz shartnomasi bo‘yicha garovga qo‘yilgan mol-mulkni ko‘zdan kechirdim</v>
      </c>
      <c r="B7" s="367"/>
      <c r="C7" s="367"/>
      <c r="D7" s="367"/>
      <c r="E7" s="367"/>
      <c r="F7" s="367"/>
      <c r="G7" s="367"/>
      <c r="H7" s="367"/>
    </row>
    <row r="8" spans="1:9" ht="19.5" customHeight="1">
      <c r="A8" s="371" t="s">
        <v>270</v>
      </c>
      <c r="B8" s="371"/>
      <c r="C8" s="371"/>
      <c r="D8" s="371"/>
      <c r="E8" s="371"/>
      <c r="F8" s="371"/>
      <c r="G8" s="371"/>
      <c r="H8" s="371"/>
    </row>
    <row r="9" spans="1:9" s="167" customFormat="1" ht="32.25" customHeight="1">
      <c r="A9" s="372" t="s">
        <v>197</v>
      </c>
      <c r="B9" s="373"/>
      <c r="C9" s="372" t="s">
        <v>407</v>
      </c>
      <c r="D9" s="373"/>
      <c r="E9" s="374" t="s">
        <v>391</v>
      </c>
      <c r="F9" s="374"/>
      <c r="G9" s="374" t="s">
        <v>392</v>
      </c>
      <c r="H9" s="374"/>
    </row>
    <row r="10" spans="1:9" s="165" customFormat="1" ht="58.5" customHeight="1">
      <c r="A10" s="375" t="str">
        <f>umumiy_malumot!C125</f>
        <v>Ko'p qavatli uydagi xonadon</v>
      </c>
      <c r="B10" s="375"/>
      <c r="C10" s="375">
        <f>umumiy_malumot!C133</f>
        <v>0</v>
      </c>
      <c r="D10" s="375"/>
      <c r="E10" s="375">
        <f>umumiy_malumot!C130</f>
        <v>49.55</v>
      </c>
      <c r="F10" s="375"/>
      <c r="G10" s="375">
        <f>umumiy_malumot!C131</f>
        <v>28.99</v>
      </c>
      <c r="H10" s="375"/>
    </row>
    <row r="11" spans="1:9" ht="19.5" customHeight="1">
      <c r="A11" s="366" t="str">
        <f>dalolatnoma!A39:E39</f>
        <v>-* ko'chmas mulk egasi: QODIROVA NAFISA YO‘LDOSHEVNA</v>
      </c>
      <c r="B11" s="366"/>
      <c r="C11" s="366"/>
      <c r="D11" s="366"/>
      <c r="E11" s="366"/>
      <c r="F11" s="366"/>
      <c r="G11" s="366"/>
      <c r="H11" s="366"/>
    </row>
    <row r="12" spans="1:9" ht="19.5" customHeight="1">
      <c r="A12" s="366" t="str">
        <f>dalolatnoma!A40:E40</f>
        <v>-* reestr raqami: 1726264/R-A4953178</v>
      </c>
      <c r="B12" s="366"/>
      <c r="C12" s="366"/>
      <c r="D12" s="366"/>
      <c r="E12" s="366"/>
      <c r="F12" s="366"/>
      <c r="G12" s="366"/>
      <c r="H12" s="366"/>
    </row>
    <row r="13" spans="1:9" ht="19.5" customHeight="1">
      <c r="A13" s="366" t="str">
        <f>dalolatnoma!A41:E41</f>
        <v>-* kadastr raqami: 05.06.2024 y. №10:02:02:01:02:6267:0001:032</v>
      </c>
      <c r="B13" s="366"/>
      <c r="C13" s="366"/>
      <c r="D13" s="366"/>
      <c r="E13" s="366"/>
      <c r="F13" s="366"/>
      <c r="G13" s="366"/>
      <c r="H13" s="366"/>
    </row>
    <row r="14" spans="1:9" ht="19.5" customHeight="1">
      <c r="A14" s="366" t="str">
        <f>dalolatnoma!A42:E42</f>
        <v>-* manzil: TOSHKENT SHAHAR BEKTEMIR TUMANI ROXAT KO'CHASI 12 UY 32 XONADON</v>
      </c>
      <c r="B14" s="366"/>
      <c r="C14" s="366"/>
      <c r="D14" s="366"/>
      <c r="E14" s="366"/>
      <c r="F14" s="366"/>
      <c r="G14" s="366"/>
      <c r="H14" s="366"/>
    </row>
    <row r="15" spans="1:9" ht="33.75" customHeight="1">
      <c r="A15" s="369" t="str">
        <f>+"Shu bilan birga, yuqoridagi mulkning kelishilgan garov qiymati "&amp;dalolatnoma!E48</f>
        <v>Shu bilan birga, yuqoridagi mulkning kelishilgan garov qiymati 70 000 000,00 
(yetmish million so'm)</v>
      </c>
      <c r="B15" s="369"/>
      <c r="C15" s="369"/>
      <c r="D15" s="369"/>
      <c r="E15" s="369"/>
      <c r="F15" s="369"/>
      <c r="G15" s="369"/>
      <c r="H15" s="369"/>
    </row>
    <row r="17" spans="1:8" ht="27" customHeight="1">
      <c r="A17" s="370" t="s">
        <v>271</v>
      </c>
      <c r="B17" s="370"/>
      <c r="C17" s="370"/>
      <c r="D17" s="370"/>
      <c r="E17" s="370"/>
      <c r="F17" s="370"/>
      <c r="G17" s="370"/>
      <c r="H17" s="370"/>
    </row>
    <row r="21" spans="1:8" s="35" customFormat="1"/>
    <row r="22" spans="1:8" s="35" customFormat="1">
      <c r="A22" s="35" t="str">
        <f>umumiy_malumot!A150</f>
        <v>Direktor</v>
      </c>
      <c r="H22" s="168" t="str">
        <f>umumiy_malumot!B150</f>
        <v>Obidov A. Sh.</v>
      </c>
    </row>
    <row r="23" spans="1:8" s="35" customFormat="1" ht="32.25" customHeight="1">
      <c r="H23" s="168"/>
    </row>
    <row r="24" spans="1:8" s="35" customFormat="1" ht="16.5" hidden="1" customHeight="1">
      <c r="A24" s="35" t="s">
        <v>272</v>
      </c>
      <c r="H24" s="35" t="str">
        <f>umumiy_malumot!B160</f>
        <v>Omanlikov O.O.</v>
      </c>
    </row>
    <row r="25" spans="1:8" s="35" customFormat="1" ht="60" customHeight="1"/>
    <row r="26" spans="1:8" s="35" customFormat="1">
      <c r="A26" s="35" t="s">
        <v>273</v>
      </c>
      <c r="H26" s="168" t="str">
        <f>umumiy_malumot!B7</f>
        <v>QODIROVA N.Y.</v>
      </c>
    </row>
    <row r="27" spans="1:8" s="35" customFormat="1"/>
    <row r="28" spans="1:8" s="35" customFormat="1"/>
    <row r="29" spans="1:8" s="35" customFormat="1"/>
    <row r="30" spans="1:8" s="35" customFormat="1"/>
  </sheetData>
  <mergeCells count="17">
    <mergeCell ref="A13:H13"/>
    <mergeCell ref="A14:H14"/>
    <mergeCell ref="A7:H7"/>
    <mergeCell ref="A2:H3"/>
    <mergeCell ref="A15:H15"/>
    <mergeCell ref="A17:H17"/>
    <mergeCell ref="A8:H8"/>
    <mergeCell ref="A9:B9"/>
    <mergeCell ref="C9:D9"/>
    <mergeCell ref="E9:F9"/>
    <mergeCell ref="G9:H9"/>
    <mergeCell ref="A10:B10"/>
    <mergeCell ref="C10:D10"/>
    <mergeCell ref="E10:F10"/>
    <mergeCell ref="G10:H10"/>
    <mergeCell ref="A11:H11"/>
    <mergeCell ref="A12:H12"/>
  </mergeCells>
  <printOptions horizontalCentered="1"/>
  <pageMargins left="0.70866141732283472" right="0.70866141732283472" top="0.74803149606299213" bottom="0.74803149606299213" header="0.31496062992125984" footer="0.31496062992125984"/>
  <pageSetup paperSize="9" scale="75"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Лист26">
    <tabColor rgb="FF00B050"/>
  </sheetPr>
  <dimension ref="A1:I29"/>
  <sheetViews>
    <sheetView view="pageBreakPreview" zoomScale="115" zoomScaleNormal="100" zoomScaleSheetLayoutView="115" workbookViewId="0">
      <selection activeCell="P5" sqref="P5"/>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21.28515625" style="28" customWidth="1"/>
    <col min="9" max="16384" width="9.140625" style="28"/>
  </cols>
  <sheetData>
    <row r="1" spans="1:9">
      <c r="A1" s="35"/>
      <c r="B1" s="35"/>
      <c r="C1" s="35"/>
      <c r="D1" s="35"/>
      <c r="E1" s="35"/>
      <c r="F1" s="35"/>
      <c r="G1" s="35"/>
      <c r="H1" s="35"/>
      <c r="I1" s="35"/>
    </row>
    <row r="2" spans="1:9">
      <c r="A2" s="368" t="str">
        <f>""&amp;" "&amp;umumiy_malumot!B74&amp;"-sonli "&amp;" "&amp;umumiy_malumot!B65&amp;" shartnomasi bo‘yicha
 garovga qo‘yilgan mol-mulkni tekshirish bo’yicha "&amp;umumiy_malumot!B5&amp;" bilan tuzilgan dalolatnomasi"</f>
        <v xml:space="preserve"> 2 fevral 2026 y.dan № 56-sonli  Mikroqarz shartnomasi bo‘yicha
 garovga qo‘yilgan mol-mulkni tekshirish bo’yicha QODIROVA NAFISA YO‘LDOSHEVNA bilan tuzilgan dalolatnomasi</v>
      </c>
      <c r="B2" s="368"/>
      <c r="C2" s="368"/>
      <c r="D2" s="368"/>
      <c r="E2" s="368"/>
      <c r="F2" s="368"/>
      <c r="G2" s="368"/>
      <c r="H2" s="368"/>
      <c r="I2" s="35"/>
    </row>
    <row r="3" spans="1:9">
      <c r="A3" s="368"/>
      <c r="B3" s="368"/>
      <c r="C3" s="368"/>
      <c r="D3" s="368"/>
      <c r="E3" s="368"/>
      <c r="F3" s="368"/>
      <c r="G3" s="368"/>
      <c r="H3" s="368"/>
      <c r="I3" s="35"/>
    </row>
    <row r="5" spans="1:9">
      <c r="A5" s="28" t="s">
        <v>194</v>
      </c>
      <c r="H5" s="166" t="str">
        <f>TEXT(+umumiy_malumot!B2+360,"ДД.ММ.ГГГГ")</f>
        <v>28.01.2027</v>
      </c>
    </row>
    <row r="7" spans="1:9" ht="45" customHeight="1">
      <c r="A7" s="367" t="str">
        <f>"      Men, "&amp;umumiy_malumot!B147&amp;"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 Sh., jismoniy shaxs  QODIROVA NAFISA YO‘LDOSHEVNA  2 fevral 2026 y.dan № 56-sonli Mikroqarz shartnomasi bo‘yicha garovga qo‘yilgan mol-mulkni ko‘zdan kechirdim</v>
      </c>
      <c r="B7" s="367"/>
      <c r="C7" s="367"/>
      <c r="D7" s="367"/>
      <c r="E7" s="367"/>
      <c r="F7" s="367"/>
      <c r="G7" s="367"/>
      <c r="H7" s="367"/>
    </row>
    <row r="8" spans="1:9" ht="19.5" customHeight="1">
      <c r="A8" s="371" t="s">
        <v>270</v>
      </c>
      <c r="B8" s="371"/>
      <c r="C8" s="371"/>
      <c r="D8" s="371"/>
      <c r="E8" s="371"/>
      <c r="F8" s="371"/>
      <c r="G8" s="371"/>
      <c r="H8" s="371"/>
    </row>
    <row r="9" spans="1:9" s="167" customFormat="1" ht="32.25" customHeight="1">
      <c r="A9" s="372" t="s">
        <v>197</v>
      </c>
      <c r="B9" s="373"/>
      <c r="C9" s="372" t="s">
        <v>407</v>
      </c>
      <c r="D9" s="373"/>
      <c r="E9" s="374" t="s">
        <v>391</v>
      </c>
      <c r="F9" s="374"/>
      <c r="G9" s="374" t="s">
        <v>392</v>
      </c>
      <c r="H9" s="374"/>
    </row>
    <row r="10" spans="1:9" s="165" customFormat="1" ht="58.5" customHeight="1">
      <c r="A10" s="375" t="str">
        <f>monitoring_1!A10:B10</f>
        <v>Ko'p qavatli uydagi xonadon</v>
      </c>
      <c r="B10" s="375"/>
      <c r="C10" s="375">
        <f>monitoring_1!C10:D10</f>
        <v>0</v>
      </c>
      <c r="D10" s="375"/>
      <c r="E10" s="375">
        <f>monitoring_1!E10:F10</f>
        <v>49.55</v>
      </c>
      <c r="F10" s="375"/>
      <c r="G10" s="375">
        <f>monitoring_1!G10:H10</f>
        <v>28.99</v>
      </c>
      <c r="H10" s="375"/>
    </row>
    <row r="11" spans="1:9" ht="19.5" customHeight="1">
      <c r="A11" s="366" t="str">
        <f>monitoring_1!A11:H11</f>
        <v>-* ko'chmas mulk egasi: QODIROVA NAFISA YO‘LDOSHEVNA</v>
      </c>
      <c r="B11" s="366"/>
      <c r="C11" s="366"/>
      <c r="D11" s="366"/>
      <c r="E11" s="366"/>
      <c r="F11" s="366"/>
      <c r="G11" s="366"/>
      <c r="H11" s="366"/>
    </row>
    <row r="12" spans="1:9" ht="19.5" customHeight="1">
      <c r="A12" s="366" t="str">
        <f>monitoring_1!A12:H12</f>
        <v>-* reestr raqami: 1726264/R-A4953178</v>
      </c>
      <c r="B12" s="366"/>
      <c r="C12" s="366"/>
      <c r="D12" s="366"/>
      <c r="E12" s="366"/>
      <c r="F12" s="366"/>
      <c r="G12" s="366"/>
      <c r="H12" s="366"/>
    </row>
    <row r="13" spans="1:9" ht="35.25" customHeight="1">
      <c r="A13" s="370" t="str">
        <f>monitoring_1!A13:H13</f>
        <v>-* kadastr raqami: 05.06.2024 y. №10:02:02:01:02:6267:0001:032</v>
      </c>
      <c r="B13" s="370"/>
      <c r="C13" s="370"/>
      <c r="D13" s="370"/>
      <c r="E13" s="370"/>
      <c r="F13" s="370"/>
      <c r="G13" s="370"/>
      <c r="H13" s="370"/>
    </row>
    <row r="14" spans="1:9" ht="19.5" customHeight="1">
      <c r="A14" s="366" t="str">
        <f>monitoring_1!A14:H14</f>
        <v>-* manzil: TOSHKENT SHAHAR BEKTEMIR TUMANI ROXAT KO'CHASI 12 UY 32 XONADON</v>
      </c>
      <c r="B14" s="366"/>
      <c r="C14" s="366"/>
      <c r="D14" s="366"/>
      <c r="E14" s="366"/>
      <c r="F14" s="366"/>
      <c r="G14" s="366"/>
      <c r="H14" s="366"/>
    </row>
    <row r="15" spans="1:9" ht="33.75" customHeight="1">
      <c r="A15" s="369" t="str">
        <f>+"Shu bilan birga, yuqoridagi mulkning kelishilgan garov qiymati "&amp;dalolatnoma!E48</f>
        <v>Shu bilan birga, yuqoridagi mulkning kelishilgan garov qiymati 70 000 000,00 
(yetmish million so'm)</v>
      </c>
      <c r="B15" s="369"/>
      <c r="C15" s="369"/>
      <c r="D15" s="369"/>
      <c r="E15" s="369"/>
      <c r="F15" s="369"/>
      <c r="G15" s="369"/>
      <c r="H15" s="369"/>
    </row>
    <row r="17" spans="1:8" ht="35.25" customHeight="1">
      <c r="A17" s="370" t="s">
        <v>271</v>
      </c>
      <c r="B17" s="370"/>
      <c r="C17" s="370"/>
      <c r="D17" s="370"/>
      <c r="E17" s="370"/>
      <c r="F17" s="370"/>
      <c r="G17" s="370"/>
      <c r="H17" s="370"/>
    </row>
    <row r="21" spans="1:8" s="35" customFormat="1"/>
    <row r="22" spans="1:8" s="35" customFormat="1">
      <c r="A22" s="35" t="str">
        <f>umumiy_malumot!A150</f>
        <v>Direktor</v>
      </c>
      <c r="H22" s="168" t="str">
        <f>umumiy_malumot!B150</f>
        <v>Obidov A. Sh.</v>
      </c>
    </row>
    <row r="23" spans="1:8" s="35" customFormat="1" ht="32.25" customHeight="1">
      <c r="H23" s="168"/>
    </row>
    <row r="24" spans="1:8" s="35" customFormat="1" ht="16.5" hidden="1" customHeight="1">
      <c r="A24" s="35" t="s">
        <v>272</v>
      </c>
      <c r="H24" s="35" t="s">
        <v>375</v>
      </c>
    </row>
    <row r="25" spans="1:8" s="35" customFormat="1" ht="60" customHeight="1"/>
    <row r="26" spans="1:8" s="35" customFormat="1">
      <c r="A26" s="35" t="s">
        <v>273</v>
      </c>
      <c r="H26" s="168" t="str">
        <f>umumiy_malumot!B7</f>
        <v>QODIROVA N.Y.</v>
      </c>
    </row>
    <row r="27" spans="1:8" s="35" customFormat="1"/>
    <row r="28" spans="1:8" s="35" customFormat="1"/>
    <row r="29" spans="1:8" s="35"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77"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Лист27">
    <tabColor rgb="FF00B050"/>
  </sheetPr>
  <dimension ref="A1:I29"/>
  <sheetViews>
    <sheetView view="pageBreakPreview" zoomScaleNormal="100" zoomScaleSheetLayoutView="100" workbookViewId="0">
      <selection activeCell="G10" sqref="G10:H10"/>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c r="A1" s="35"/>
      <c r="B1" s="35"/>
      <c r="C1" s="35"/>
      <c r="D1" s="35"/>
      <c r="E1" s="35"/>
      <c r="F1" s="35"/>
      <c r="G1" s="35"/>
      <c r="H1" s="35"/>
      <c r="I1" s="35"/>
    </row>
    <row r="2" spans="1:9">
      <c r="A2" s="368" t="str">
        <f>""&amp;" "&amp;umumiy_malumot!B74&amp;"-sonli "&amp;" "&amp;umumiy_malumot!B65&amp;" shartnomasi bo‘yicha
 garovga qo‘yilgan mol-mulkni tekshirish bo’yicha "&amp;umumiy_malumot!B5&amp;" bilan tuzilgan dalolatnomasi"</f>
        <v xml:space="preserve"> 2 fevral 2026 y.dan № 56-sonli  Mikroqarz shartnomasi bo‘yicha
 garovga qo‘yilgan mol-mulkni tekshirish bo’yicha QODIROVA NAFISA YO‘LDOSHEVNA bilan tuzilgan dalolatnomasi</v>
      </c>
      <c r="B2" s="368"/>
      <c r="C2" s="368"/>
      <c r="D2" s="368"/>
      <c r="E2" s="368"/>
      <c r="F2" s="368"/>
      <c r="G2" s="368"/>
      <c r="H2" s="368"/>
      <c r="I2" s="35"/>
    </row>
    <row r="3" spans="1:9">
      <c r="A3" s="368"/>
      <c r="B3" s="368"/>
      <c r="C3" s="368"/>
      <c r="D3" s="368"/>
      <c r="E3" s="368"/>
      <c r="F3" s="368"/>
      <c r="G3" s="368"/>
      <c r="H3" s="368"/>
      <c r="I3" s="35"/>
    </row>
    <row r="5" spans="1:9">
      <c r="A5" s="28" t="s">
        <v>194</v>
      </c>
      <c r="H5" s="166" t="str">
        <f>TEXT(+umumiy_malumot!B2+540,"ДД.ММ.ГГГГ")</f>
        <v>27.07.2027</v>
      </c>
    </row>
    <row r="7" spans="1:9" ht="45" customHeight="1">
      <c r="A7" s="367" t="str">
        <f>"      Men, "&amp;umumiy_malumot!B147&amp;"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 Sh., jismoniy shaxs  QODIROVA NAFISA YO‘LDOSHEVNA  2 fevral 2026 y.dan № 56-sonli Mikroqarz shartnomasi bo‘yicha garovga qo‘yilgan mol-mulkni ko‘zdan kechirdim</v>
      </c>
      <c r="B7" s="367"/>
      <c r="C7" s="367"/>
      <c r="D7" s="367"/>
      <c r="E7" s="367"/>
      <c r="F7" s="367"/>
      <c r="G7" s="367"/>
      <c r="H7" s="367"/>
    </row>
    <row r="8" spans="1:9" ht="19.5" customHeight="1">
      <c r="A8" s="371" t="s">
        <v>270</v>
      </c>
      <c r="B8" s="371"/>
      <c r="C8" s="371"/>
      <c r="D8" s="371"/>
      <c r="E8" s="371"/>
      <c r="F8" s="371"/>
      <c r="G8" s="371"/>
      <c r="H8" s="371"/>
    </row>
    <row r="9" spans="1:9" s="167" customFormat="1" ht="32.25" customHeight="1">
      <c r="A9" s="372" t="s">
        <v>197</v>
      </c>
      <c r="B9" s="373"/>
      <c r="C9" s="372" t="s">
        <v>407</v>
      </c>
      <c r="D9" s="373"/>
      <c r="E9" s="374" t="s">
        <v>391</v>
      </c>
      <c r="F9" s="374"/>
      <c r="G9" s="374" t="s">
        <v>392</v>
      </c>
      <c r="H9" s="374"/>
    </row>
    <row r="10" spans="1:9" s="165" customFormat="1" ht="58.5" customHeight="1">
      <c r="A10" s="375" t="str">
        <f>monitoring_2!A10:B10</f>
        <v>Ko'p qavatli uydagi xonadon</v>
      </c>
      <c r="B10" s="375"/>
      <c r="C10" s="375">
        <f>monitoring_2!C10:D10</f>
        <v>0</v>
      </c>
      <c r="D10" s="375"/>
      <c r="E10" s="375">
        <f>monitoring_2!E10:F10</f>
        <v>49.55</v>
      </c>
      <c r="F10" s="375"/>
      <c r="G10" s="375">
        <f>monitoring_2!G10:H10</f>
        <v>28.99</v>
      </c>
      <c r="H10" s="375"/>
    </row>
    <row r="11" spans="1:9" ht="19.5" customHeight="1">
      <c r="A11" s="366" t="str">
        <f>monitoring_2!A11:H11</f>
        <v>-* ko'chmas mulk egasi: QODIROVA NAFISA YO‘LDOSHEVNA</v>
      </c>
      <c r="B11" s="366"/>
      <c r="C11" s="366"/>
      <c r="D11" s="366"/>
      <c r="E11" s="366"/>
      <c r="F11" s="366"/>
      <c r="G11" s="366"/>
      <c r="H11" s="366"/>
    </row>
    <row r="12" spans="1:9" ht="19.5" customHeight="1">
      <c r="A12" s="366" t="str">
        <f>monitoring_2!A12:H12</f>
        <v>-* reestr raqami: 1726264/R-A4953178</v>
      </c>
      <c r="B12" s="366"/>
      <c r="C12" s="366"/>
      <c r="D12" s="366"/>
      <c r="E12" s="366"/>
      <c r="F12" s="366"/>
      <c r="G12" s="366"/>
      <c r="H12" s="366"/>
    </row>
    <row r="13" spans="1:9" ht="30.75" customHeight="1">
      <c r="A13" s="370" t="str">
        <f>monitoring_2!A13:H13</f>
        <v>-* kadastr raqami: 05.06.2024 y. №10:02:02:01:02:6267:0001:032</v>
      </c>
      <c r="B13" s="370"/>
      <c r="C13" s="370"/>
      <c r="D13" s="370"/>
      <c r="E13" s="370"/>
      <c r="F13" s="370"/>
      <c r="G13" s="370"/>
      <c r="H13" s="370"/>
    </row>
    <row r="14" spans="1:9" ht="19.5" customHeight="1">
      <c r="A14" s="366" t="str">
        <f>monitoring_2!A14:H14</f>
        <v>-* manzil: TOSHKENT SHAHAR BEKTEMIR TUMANI ROXAT KO'CHASI 12 UY 32 XONADON</v>
      </c>
      <c r="B14" s="366"/>
      <c r="C14" s="366"/>
      <c r="D14" s="366"/>
      <c r="E14" s="366"/>
      <c r="F14" s="366"/>
      <c r="G14" s="366"/>
      <c r="H14" s="366"/>
    </row>
    <row r="15" spans="1:9" ht="33.75" customHeight="1">
      <c r="A15" s="369" t="str">
        <f>+"Shu bilan birga, yuqoridagi mulkning kelishilgan garov qiymati "&amp;dalolatnoma!E48</f>
        <v>Shu bilan birga, yuqoridagi mulkning kelishilgan garov qiymati 70 000 000,00 
(yetmish million so'm)</v>
      </c>
      <c r="B15" s="369"/>
      <c r="C15" s="369"/>
      <c r="D15" s="369"/>
      <c r="E15" s="369"/>
      <c r="F15" s="369"/>
      <c r="G15" s="369"/>
      <c r="H15" s="369"/>
    </row>
    <row r="17" spans="1:8" s="165" customFormat="1" ht="32.25" customHeight="1">
      <c r="A17" s="370" t="s">
        <v>271</v>
      </c>
      <c r="B17" s="370"/>
      <c r="C17" s="370"/>
      <c r="D17" s="370"/>
      <c r="E17" s="370"/>
      <c r="F17" s="370"/>
      <c r="G17" s="370"/>
      <c r="H17" s="370"/>
    </row>
    <row r="21" spans="1:8" s="35" customFormat="1"/>
    <row r="22" spans="1:8" s="35" customFormat="1">
      <c r="A22" s="35" t="str">
        <f>umumiy_malumot!A150</f>
        <v>Direktor</v>
      </c>
      <c r="H22" s="168" t="str">
        <f>umumiy_malumot!B150</f>
        <v>Obidov A. Sh.</v>
      </c>
    </row>
    <row r="23" spans="1:8" s="35" customFormat="1" ht="32.25" customHeight="1">
      <c r="H23" s="168"/>
    </row>
    <row r="24" spans="1:8" s="35" customFormat="1" ht="16.5" hidden="1" customHeight="1">
      <c r="A24" s="35" t="s">
        <v>272</v>
      </c>
      <c r="H24" s="35" t="s">
        <v>375</v>
      </c>
    </row>
    <row r="25" spans="1:8" s="35" customFormat="1" ht="60" customHeight="1"/>
    <row r="26" spans="1:8" s="35" customFormat="1">
      <c r="A26" s="35" t="s">
        <v>273</v>
      </c>
      <c r="H26" s="168" t="str">
        <f>umumiy_malumot!B7</f>
        <v>QODIROVA N.Y.</v>
      </c>
    </row>
    <row r="27" spans="1:8" s="35" customFormat="1"/>
    <row r="28" spans="1:8" s="35" customFormat="1"/>
    <row r="29" spans="1:8" s="35"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Лист28">
    <tabColor rgb="FF00B050"/>
  </sheetPr>
  <dimension ref="A1:I29"/>
  <sheetViews>
    <sheetView tabSelected="1" view="pageBreakPreview" zoomScaleNormal="100" zoomScaleSheetLayoutView="100" workbookViewId="0">
      <selection activeCell="A8" sqref="A8:H8"/>
    </sheetView>
  </sheetViews>
  <sheetFormatPr defaultColWidth="9.140625" defaultRowHeight="12.75"/>
  <cols>
    <col min="1" max="2" width="11" style="28" customWidth="1"/>
    <col min="3" max="4" width="14.42578125" style="28" customWidth="1"/>
    <col min="5" max="6" width="13.5703125" style="28" customWidth="1"/>
    <col min="7" max="7" width="9.140625" style="28"/>
    <col min="8" max="8" width="19" style="28" bestFit="1" customWidth="1"/>
    <col min="9" max="16384" width="9.140625" style="28"/>
  </cols>
  <sheetData>
    <row r="1" spans="1:9">
      <c r="A1" s="35"/>
      <c r="B1" s="35"/>
      <c r="C1" s="35"/>
      <c r="D1" s="35"/>
      <c r="E1" s="35"/>
      <c r="F1" s="35"/>
      <c r="G1" s="35"/>
      <c r="H1" s="35"/>
      <c r="I1" s="35"/>
    </row>
    <row r="2" spans="1:9">
      <c r="A2" s="368" t="str">
        <f>""&amp;" "&amp;umumiy_malumot!B74&amp;"-sonli "&amp;" "&amp;umumiy_malumot!B65&amp;" shartnomasi bo‘yicha
 garovga qo‘yilgan mol-mulkni tekshirish bo’yicha "&amp;umumiy_malumot!B5&amp;" bilan tuzilgan dalolatnomasi"</f>
        <v xml:space="preserve"> 2 fevral 2026 y.dan № 56-sonli  Mikroqarz shartnomasi bo‘yicha
 garovga qo‘yilgan mol-mulkni tekshirish bo’yicha QODIROVA NAFISA YO‘LDOSHEVNA bilan tuzilgan dalolatnomasi</v>
      </c>
      <c r="B2" s="368"/>
      <c r="C2" s="368"/>
      <c r="D2" s="368"/>
      <c r="E2" s="368"/>
      <c r="F2" s="368"/>
      <c r="G2" s="368"/>
      <c r="H2" s="368"/>
      <c r="I2" s="35"/>
    </row>
    <row r="3" spans="1:9">
      <c r="A3" s="368"/>
      <c r="B3" s="368"/>
      <c r="C3" s="368"/>
      <c r="D3" s="368"/>
      <c r="E3" s="368"/>
      <c r="F3" s="368"/>
      <c r="G3" s="368"/>
      <c r="H3" s="368"/>
      <c r="I3" s="35"/>
    </row>
    <row r="5" spans="1:9">
      <c r="A5" s="28" t="s">
        <v>194</v>
      </c>
      <c r="H5" s="166" t="str">
        <f>TEXT(+umumiy_malumot!B2+720,"ДД.ММ.ГГГГ")</f>
        <v>23.01.2028</v>
      </c>
    </row>
    <row r="7" spans="1:9" ht="45" customHeight="1">
      <c r="A7" s="367" t="str">
        <f>"      Men, "&amp;umumiy_malumot!B147&amp;" "&amp;umumiy_malumot!A150&amp;"i "&amp;umumiy_malumot!B150&amp;", jismoniy shaxs "&amp;" "&amp;umumiy_malumot!B5&amp;" "&amp;" "&amp;umumiy_malumot!B74&amp;"-sonli "&amp;umumiy_malumot!B65&amp;" shartnomasi bo‘yicha garovga qo‘yilgan mol-mulkni ko‘zdan kechirdim"</f>
        <v xml:space="preserve">      Men, «PULLOL BUSINESS MIKROMOLIYA TASHKILOTI»  MChJ Direktori Obidov A. Sh., jismoniy shaxs  QODIROVA NAFISA YO‘LDOSHEVNA  2 fevral 2026 y.dan № 56-sonli Mikroqarz shartnomasi bo‘yicha garovga qo‘yilgan mol-mulkni ko‘zdan kechirdim</v>
      </c>
      <c r="B7" s="367"/>
      <c r="C7" s="367"/>
      <c r="D7" s="367"/>
      <c r="E7" s="367"/>
      <c r="F7" s="367"/>
      <c r="G7" s="367"/>
      <c r="H7" s="367"/>
    </row>
    <row r="8" spans="1:9" ht="19.5" customHeight="1">
      <c r="A8" s="371" t="s">
        <v>270</v>
      </c>
      <c r="B8" s="371"/>
      <c r="C8" s="371"/>
      <c r="D8" s="371"/>
      <c r="E8" s="371"/>
      <c r="F8" s="371"/>
      <c r="G8" s="371"/>
      <c r="H8" s="371"/>
    </row>
    <row r="9" spans="1:9" s="167" customFormat="1" ht="32.25" customHeight="1">
      <c r="A9" s="372" t="s">
        <v>197</v>
      </c>
      <c r="B9" s="373"/>
      <c r="C9" s="372" t="s">
        <v>407</v>
      </c>
      <c r="D9" s="373"/>
      <c r="E9" s="374" t="s">
        <v>391</v>
      </c>
      <c r="F9" s="374"/>
      <c r="G9" s="374" t="s">
        <v>392</v>
      </c>
      <c r="H9" s="374"/>
    </row>
    <row r="10" spans="1:9" s="165" customFormat="1" ht="58.5" customHeight="1">
      <c r="A10" s="375" t="str">
        <f>monitoring_3!A10:B10</f>
        <v>Ko'p qavatli uydagi xonadon</v>
      </c>
      <c r="B10" s="375"/>
      <c r="C10" s="375">
        <f>monitoring_3!C10:D10</f>
        <v>0</v>
      </c>
      <c r="D10" s="375"/>
      <c r="E10" s="375">
        <f>monitoring_3!E10:F10</f>
        <v>49.55</v>
      </c>
      <c r="F10" s="375"/>
      <c r="G10" s="375">
        <f>monitoring_3!G10:H10</f>
        <v>28.99</v>
      </c>
      <c r="H10" s="375"/>
    </row>
    <row r="11" spans="1:9" ht="19.5" customHeight="1">
      <c r="A11" s="366" t="str">
        <f>monitoring_3!A11:H11</f>
        <v>-* ko'chmas mulk egasi: QODIROVA NAFISA YO‘LDOSHEVNA</v>
      </c>
      <c r="B11" s="366"/>
      <c r="C11" s="366"/>
      <c r="D11" s="366"/>
      <c r="E11" s="366"/>
      <c r="F11" s="366"/>
      <c r="G11" s="366"/>
      <c r="H11" s="366"/>
    </row>
    <row r="12" spans="1:9" ht="19.5" customHeight="1">
      <c r="A12" s="366" t="str">
        <f>monitoring_3!A12:H12</f>
        <v>-* reestr raqami: 1726264/R-A4953178</v>
      </c>
      <c r="B12" s="366"/>
      <c r="C12" s="366"/>
      <c r="D12" s="366"/>
      <c r="E12" s="366"/>
      <c r="F12" s="366"/>
      <c r="G12" s="366"/>
      <c r="H12" s="366"/>
    </row>
    <row r="13" spans="1:9" ht="25.5" customHeight="1">
      <c r="A13" s="366" t="str">
        <f>monitoring_3!A13:H13</f>
        <v>-* kadastr raqami: 05.06.2024 y. №10:02:02:01:02:6267:0001:032</v>
      </c>
      <c r="B13" s="366"/>
      <c r="C13" s="366"/>
      <c r="D13" s="366"/>
      <c r="E13" s="366"/>
      <c r="F13" s="366"/>
      <c r="G13" s="366"/>
      <c r="H13" s="366"/>
    </row>
    <row r="14" spans="1:9" ht="19.5" customHeight="1">
      <c r="A14" s="366" t="str">
        <f>monitoring_3!A14:H14</f>
        <v>-* manzil: TOSHKENT SHAHAR BEKTEMIR TUMANI ROXAT KO'CHASI 12 UY 32 XONADON</v>
      </c>
      <c r="B14" s="366"/>
      <c r="C14" s="366"/>
      <c r="D14" s="366"/>
      <c r="E14" s="366"/>
      <c r="F14" s="366"/>
      <c r="G14" s="366"/>
      <c r="H14" s="366"/>
    </row>
    <row r="15" spans="1:9" ht="33.75" customHeight="1">
      <c r="A15" s="369" t="str">
        <f>+"Shu bilan birga, yuqoridagi mulkning kelishilgan garov qiymati "&amp;dalolatnoma!E48</f>
        <v>Shu bilan birga, yuqoridagi mulkning kelishilgan garov qiymati 70 000 000,00 
(yetmish million so'm)</v>
      </c>
      <c r="B15" s="369"/>
      <c r="C15" s="369"/>
      <c r="D15" s="369"/>
      <c r="E15" s="369"/>
      <c r="F15" s="369"/>
      <c r="G15" s="369"/>
      <c r="H15" s="369"/>
    </row>
    <row r="17" spans="1:8" ht="28.5" customHeight="1">
      <c r="A17" s="370" t="s">
        <v>271</v>
      </c>
      <c r="B17" s="370"/>
      <c r="C17" s="370"/>
      <c r="D17" s="370"/>
      <c r="E17" s="370"/>
      <c r="F17" s="370"/>
      <c r="G17" s="370"/>
      <c r="H17" s="370"/>
    </row>
    <row r="21" spans="1:8" s="35" customFormat="1"/>
    <row r="22" spans="1:8" s="35" customFormat="1">
      <c r="A22" s="35" t="str">
        <f>umumiy_malumot!A150</f>
        <v>Direktor</v>
      </c>
      <c r="H22" s="168" t="str">
        <f>umumiy_malumot!B150</f>
        <v>Obidov A. Sh.</v>
      </c>
    </row>
    <row r="23" spans="1:8" s="35" customFormat="1" ht="32.25" customHeight="1">
      <c r="H23" s="168"/>
    </row>
    <row r="24" spans="1:8" s="35" customFormat="1" ht="16.5" hidden="1" customHeight="1">
      <c r="A24" s="35" t="s">
        <v>272</v>
      </c>
      <c r="H24" s="35" t="s">
        <v>375</v>
      </c>
    </row>
    <row r="25" spans="1:8" s="35" customFormat="1" ht="60" customHeight="1"/>
    <row r="26" spans="1:8" s="35" customFormat="1">
      <c r="A26" s="35" t="s">
        <v>273</v>
      </c>
      <c r="H26" s="168" t="str">
        <f>umumiy_malumot!B7</f>
        <v>QODIROVA N.Y.</v>
      </c>
    </row>
    <row r="27" spans="1:8" s="35" customFormat="1"/>
    <row r="28" spans="1:8" s="35" customFormat="1"/>
    <row r="29" spans="1:8" s="35" customFormat="1"/>
  </sheetData>
  <mergeCells count="17">
    <mergeCell ref="A17:H17"/>
    <mergeCell ref="A10:B10"/>
    <mergeCell ref="C10:D10"/>
    <mergeCell ref="E10:F10"/>
    <mergeCell ref="G10:H10"/>
    <mergeCell ref="A11:H11"/>
    <mergeCell ref="A12:H12"/>
    <mergeCell ref="G9:H9"/>
    <mergeCell ref="A2:H3"/>
    <mergeCell ref="A13:H13"/>
    <mergeCell ref="A14:H14"/>
    <mergeCell ref="A15:H15"/>
    <mergeCell ref="A7:H7"/>
    <mergeCell ref="A8:H8"/>
    <mergeCell ref="A9:B9"/>
    <mergeCell ref="C9:D9"/>
    <mergeCell ref="E9:F9"/>
  </mergeCells>
  <printOptions horizontalCentered="1"/>
  <pageMargins left="0.70866141732283472" right="0.70866141732283472" top="0.74803149606299213" bottom="0.74803149606299213" header="0.31496062992125984" footer="0.31496062992125984"/>
  <pageSetup paperSize="9" scale="82"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Листы</vt:lpstr>
      </vt:variant>
      <vt:variant>
        <vt:i4>21</vt:i4>
      </vt:variant>
      <vt:variant>
        <vt:lpstr>Именованные диапазоны</vt:lpstr>
      </vt:variant>
      <vt:variant>
        <vt:i4>13</vt:i4>
      </vt:variant>
    </vt:vector>
  </HeadingPairs>
  <TitlesOfParts>
    <vt:vector size="34" baseType="lpstr">
      <vt:lpstr>protokol</vt:lpstr>
      <vt:lpstr>График дифференц</vt:lpstr>
      <vt:lpstr>Данные для послед. Залога</vt:lpstr>
      <vt:lpstr>umumiy_malumot</vt:lpstr>
      <vt:lpstr>График аннуитет.</vt:lpstr>
      <vt:lpstr>mijoz_anketasi</vt:lpstr>
      <vt:lpstr>anketa</vt:lpstr>
      <vt:lpstr>kredit_ariza</vt:lpstr>
      <vt:lpstr>majburiyatnoma</vt:lpstr>
      <vt:lpstr>xulosa</vt:lpstr>
      <vt:lpstr>shartnoma</vt:lpstr>
      <vt:lpstr>grafik</vt:lpstr>
      <vt:lpstr>garov_ariza</vt:lpstr>
      <vt:lpstr>dalolatnoma</vt:lpstr>
      <vt:lpstr>buyruq</vt:lpstr>
      <vt:lpstr>muqova</vt:lpstr>
      <vt:lpstr>Письмо</vt:lpstr>
      <vt:lpstr>monitoring_1</vt:lpstr>
      <vt:lpstr>monitoring_2</vt:lpstr>
      <vt:lpstr>monitoring_3</vt:lpstr>
      <vt:lpstr>monitoring_4</vt:lpstr>
      <vt:lpstr>buyruq!Область_печати</vt:lpstr>
      <vt:lpstr>dalolatnoma!Область_печати</vt:lpstr>
      <vt:lpstr>garov_ariza!Область_печати</vt:lpstr>
      <vt:lpstr>grafik!Область_печати</vt:lpstr>
      <vt:lpstr>kredit_ariza!Область_печати</vt:lpstr>
      <vt:lpstr>mijoz_anketasi!Область_печати</vt:lpstr>
      <vt:lpstr>monitoring_2!Область_печати</vt:lpstr>
      <vt:lpstr>monitoring_3!Область_печати</vt:lpstr>
      <vt:lpstr>monitoring_4!Область_печати</vt:lpstr>
      <vt:lpstr>muqova!Область_печати</vt:lpstr>
      <vt:lpstr>protokol!Область_печати</vt:lpstr>
      <vt:lpstr>shartnoma!Область_печати</vt:lpstr>
      <vt:lpstr>'График аннуитет.'!Область_печати</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test</dc:creator>
  <cp:lastModifiedBy>Taylakov Ulug'bek Norbekovich</cp:lastModifiedBy>
  <cp:lastPrinted>2026-01-30T07:55:03Z</cp:lastPrinted>
  <dcterms:created xsi:type="dcterms:W3CDTF">2015-06-05T18:19:34Z</dcterms:created>
  <dcterms:modified xsi:type="dcterms:W3CDTF">2026-02-17T13:05:22Z</dcterms:modified>
</cp:coreProperties>
</file>