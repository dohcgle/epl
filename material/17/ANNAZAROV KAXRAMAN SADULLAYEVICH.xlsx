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ЭтаКнига"/>
  <bookViews>
    <workbookView xWindow="-120" yWindow="-120" windowWidth="29040" windowHeight="15840" tabRatio="915" activeTab="3"/>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8">' Акт мониторинга 2'!$A$1:$H$26</definedName>
    <definedName name="_xlnm.Print_Area" localSheetId="19">' Акт мониторинга 3'!$A$1:$H$26</definedName>
    <definedName name="_xlnm.Print_Area" localSheetId="20">' Акт мониторинга 4'!$A$1:$H$26</definedName>
    <definedName name="_xlnm.Print_Area" localSheetId="13">'Акт согласования'!$A$1:$F$79</definedName>
    <definedName name="_xlnm.Print_Area" localSheetId="5">'Анкета Клиента'!$A$1:$F$36</definedName>
    <definedName name="_xlnm.Print_Area" localSheetId="11">График!$A$1:$F$74</definedName>
    <definedName name="_xlnm.Print_Area" localSheetId="4">'График аннуитет.'!$A$1:$F$75</definedName>
    <definedName name="_xlnm.Print_Area" localSheetId="10">договор!$A$1:$B$129</definedName>
    <definedName name="_xlnm.Print_Area" localSheetId="9">'Заключение КК'!$A$1:$F$79</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14">'Приказ на сделку'!$A$1:$F$51</definedName>
    <definedName name="_xlnm.Print_Area" localSheetId="0">'Протокол  (2)'!$A$1:$F$57</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 i="1" l="1"/>
  <c r="B124" i="19" l="1"/>
  <c r="D69" i="16" s="1"/>
  <c r="E77" i="7"/>
  <c r="E80" i="7" l="1"/>
  <c r="A20" i="4"/>
  <c r="D2" i="2" l="1"/>
  <c r="C1" i="2"/>
  <c r="E70" i="7"/>
  <c r="B7" i="13"/>
  <c r="A69" i="3"/>
  <c r="B33" i="1" l="1"/>
  <c r="H126" i="1" l="1"/>
  <c r="B86" i="1"/>
  <c r="C86" i="1" l="1"/>
  <c r="A13" i="7" l="1"/>
  <c r="A70" i="7"/>
  <c r="A129" i="19"/>
  <c r="A126" i="19"/>
  <c r="A71" i="16" s="1"/>
  <c r="A56" i="23"/>
  <c r="A79" i="3"/>
  <c r="A77" i="3"/>
  <c r="F69" i="3"/>
  <c r="C123" i="1" l="1"/>
  <c r="D47" i="7"/>
  <c r="E47" i="7"/>
  <c r="B31" i="3"/>
  <c r="C47" i="7"/>
  <c r="B47" i="7"/>
  <c r="B27" i="23" s="1"/>
  <c r="B21" i="7"/>
  <c r="B48" i="7" s="1"/>
  <c r="D21" i="7"/>
  <c r="C48" i="7" s="1"/>
  <c r="A123" i="19"/>
  <c r="B19" i="8" l="1"/>
  <c r="B28" i="23"/>
  <c r="B18" i="8"/>
  <c r="B65" i="1"/>
  <c r="A15" i="19" s="1"/>
  <c r="B129" i="19" l="1"/>
  <c r="A16" i="2"/>
  <c r="C126" i="1"/>
  <c r="C10" i="26" l="1"/>
  <c r="C31" i="3"/>
  <c r="H125" i="1" l="1"/>
  <c r="I126" i="1"/>
  <c r="D31" i="3"/>
  <c r="A59" i="16" l="1"/>
  <c r="A23" i="19" l="1"/>
  <c r="B26" i="9"/>
  <c r="B25" i="9"/>
  <c r="A26" i="3"/>
  <c r="A14" i="19"/>
  <c r="A13" i="19"/>
  <c r="A14" i="2"/>
  <c r="A21" i="2"/>
  <c r="A14" i="23"/>
  <c r="A22" i="23"/>
  <c r="A24" i="23"/>
  <c r="A55" i="23"/>
  <c r="B136" i="1"/>
  <c r="G10" i="26" l="1"/>
  <c r="F21" i="7"/>
  <c r="A22" i="8" l="1"/>
  <c r="A21" i="8"/>
  <c r="A40" i="7"/>
  <c r="B8" i="13"/>
  <c r="A19" i="13"/>
  <c r="B19" i="1" l="1"/>
  <c r="A33" i="16" l="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E31" i="3"/>
  <c r="F38" i="7" l="1"/>
  <c r="E38" i="7"/>
  <c r="D38" i="7"/>
  <c r="E49" i="3"/>
  <c r="D49" i="3"/>
  <c r="C49" i="3"/>
  <c r="A9" i="24" l="1"/>
  <c r="G10" i="27" l="1"/>
  <c r="G10" i="28" s="1"/>
  <c r="G10" i="29" s="1"/>
  <c r="E10" i="26"/>
  <c r="E10" i="27" s="1"/>
  <c r="E10" i="28" s="1"/>
  <c r="E10" i="29" s="1"/>
  <c r="C10" i="27"/>
  <c r="C10" i="28" s="1"/>
  <c r="C10" i="29" s="1"/>
  <c r="A10" i="26"/>
  <c r="A10" i="27" s="1"/>
  <c r="A10" i="28" s="1"/>
  <c r="A10" i="29" s="1"/>
  <c r="A31" i="3" l="1"/>
  <c r="E21" i="7"/>
  <c r="A21" i="7"/>
  <c r="C116" i="1"/>
  <c r="B116" i="1"/>
  <c r="C114" i="1"/>
  <c r="B114" i="1"/>
  <c r="C113" i="1"/>
  <c r="B113" i="1"/>
  <c r="C112" i="1"/>
  <c r="B112" i="1"/>
  <c r="C111" i="1"/>
  <c r="C117" i="1" s="1"/>
  <c r="B111" i="1"/>
  <c r="A24" i="2" l="1"/>
  <c r="A25" i="2"/>
  <c r="A23" i="8"/>
  <c r="A42" i="7"/>
  <c r="A39" i="7"/>
  <c r="A20" i="8"/>
  <c r="A75" i="3" l="1"/>
  <c r="B40" i="1"/>
  <c r="A22" i="26" l="1"/>
  <c r="H24" i="26"/>
  <c r="E48" i="8"/>
  <c r="B126" i="19"/>
  <c r="A73" i="3"/>
  <c r="A71" i="3"/>
  <c r="A66" i="3"/>
  <c r="A55" i="3"/>
  <c r="A1" i="3"/>
  <c r="E17" i="23"/>
  <c r="F17" i="23" s="1"/>
  <c r="A1" i="23"/>
  <c r="A54" i="23"/>
  <c r="D70" i="16"/>
  <c r="A110" i="1" l="1"/>
  <c r="A109" i="1"/>
  <c r="A108" i="1"/>
  <c r="A107" i="1"/>
  <c r="I9" i="23"/>
  <c r="A69" i="16"/>
  <c r="A18" i="23" l="1"/>
  <c r="B49" i="1"/>
  <c r="B59" i="1" s="1"/>
  <c r="A16" i="4" l="1"/>
  <c r="A17" i="4"/>
  <c r="A7" i="24"/>
  <c r="B27" i="1"/>
  <c r="B34" i="1"/>
  <c r="B45" i="1" l="1"/>
  <c r="B58" i="1"/>
  <c r="A69" i="7" l="1"/>
  <c r="B6" i="13"/>
  <c r="C76" i="1"/>
  <c r="B76" i="1" s="1"/>
  <c r="A7" i="23" s="1"/>
  <c r="A31" i="4" l="1"/>
  <c r="A30" i="2"/>
  <c r="H77" i="19"/>
  <c r="A77" i="19" s="1"/>
  <c r="H21" i="19"/>
  <c r="A72" i="19"/>
  <c r="H68" i="19"/>
  <c r="A68" i="19" s="1"/>
  <c r="A55" i="19"/>
  <c r="A5" i="23"/>
  <c r="A12" i="19"/>
  <c r="A33" i="19"/>
  <c r="B32" i="19" s="1"/>
  <c r="A31" i="19" s="1"/>
  <c r="A87" i="1"/>
  <c r="A10" i="3"/>
  <c r="A17" i="2"/>
  <c r="A18" i="2"/>
  <c r="A9" i="19"/>
  <c r="A19" i="19"/>
  <c r="A46" i="19"/>
  <c r="A70" i="19"/>
  <c r="A95" i="19"/>
  <c r="C21" i="19"/>
  <c r="A51" i="19"/>
  <c r="A62" i="19"/>
  <c r="A73" i="19"/>
  <c r="C39" i="19"/>
  <c r="A39" i="19" s="1"/>
  <c r="A65" i="19"/>
  <c r="C74" i="19"/>
  <c r="A74" i="19" s="1"/>
  <c r="H17" i="19"/>
  <c r="A17" i="19" s="1"/>
  <c r="I21" i="19"/>
  <c r="A42" i="19"/>
  <c r="A59" i="19"/>
  <c r="A91" i="19"/>
  <c r="A20" i="19"/>
  <c r="C54" i="19"/>
  <c r="A54" i="19" s="1"/>
  <c r="A60" i="19"/>
  <c r="A67" i="19"/>
  <c r="A20" i="23"/>
  <c r="A22" i="19"/>
  <c r="A1" i="1"/>
  <c r="A79" i="1"/>
  <c r="A85" i="1"/>
  <c r="A2" i="1"/>
  <c r="A81" i="1"/>
  <c r="A86" i="1"/>
  <c r="A75" i="1"/>
  <c r="A82" i="1"/>
  <c r="A89" i="1"/>
  <c r="A78" i="1"/>
  <c r="A84" i="1"/>
  <c r="A4" i="2" l="1"/>
  <c r="A40" i="19"/>
  <c r="A21" i="19"/>
  <c r="A61" i="19"/>
  <c r="A11" i="19"/>
  <c r="B122" i="1"/>
  <c r="B117" i="1"/>
  <c r="A17" i="8" s="1"/>
  <c r="B118" i="1"/>
  <c r="I7" i="23" l="1"/>
  <c r="A2" i="23" s="1"/>
  <c r="B120" i="1" l="1"/>
  <c r="B119" i="1"/>
  <c r="A47" i="8"/>
  <c r="A80" i="7"/>
  <c r="A79" i="7"/>
  <c r="A120" i="19" l="1"/>
  <c r="A65" i="16" s="1"/>
  <c r="A30" i="4"/>
  <c r="B122" i="19"/>
  <c r="D67" i="16" s="1"/>
  <c r="A15" i="4"/>
  <c r="A14" i="4"/>
  <c r="A13" i="4"/>
  <c r="A7" i="3"/>
  <c r="C8" i="15"/>
  <c r="J12" i="15"/>
  <c r="A10" i="4" l="1"/>
  <c r="A9" i="4" s="1"/>
  <c r="D71" i="16"/>
  <c r="B123" i="19"/>
  <c r="D68" i="16" s="1"/>
  <c r="B119" i="19"/>
  <c r="D64" i="16" s="1"/>
  <c r="B117" i="19"/>
  <c r="D63" i="16" s="1"/>
  <c r="A68" i="16" l="1"/>
  <c r="A122" i="19"/>
  <c r="A67" i="16" s="1"/>
  <c r="A121" i="19"/>
  <c r="A66" i="16" s="1"/>
  <c r="A119" i="19"/>
  <c r="A64" i="16" s="1"/>
  <c r="F25" i="8" l="1"/>
  <c r="B24" i="9"/>
  <c r="B2" i="9"/>
  <c r="A22" i="29"/>
  <c r="A22" i="28"/>
  <c r="H5" i="29"/>
  <c r="H5" i="28"/>
  <c r="H5" i="27"/>
  <c r="A22" i="27"/>
  <c r="H22" i="26"/>
  <c r="D2" i="1"/>
  <c r="H5" i="26" s="1"/>
  <c r="A24" i="13"/>
  <c r="A22" i="13"/>
  <c r="A34" i="2"/>
  <c r="A29" i="4"/>
  <c r="A28" i="4"/>
  <c r="A7" i="4"/>
  <c r="A11" i="24"/>
  <c r="A14" i="26"/>
  <c r="A14" i="27" s="1"/>
  <c r="A14" i="28" s="1"/>
  <c r="A14" i="29" s="1"/>
  <c r="A41" i="7"/>
  <c r="A13" i="26" s="1"/>
  <c r="A13" i="27" s="1"/>
  <c r="A13" i="28" s="1"/>
  <c r="A13" i="29" s="1"/>
  <c r="A12" i="26"/>
  <c r="A12" i="27" s="1"/>
  <c r="A12" i="28" s="1"/>
  <c r="A12" i="29" s="1"/>
  <c r="A25" i="7"/>
  <c r="A23" i="7"/>
  <c r="A14" i="7"/>
  <c r="A2" i="7"/>
  <c r="A53" i="3"/>
  <c r="A52" i="3"/>
  <c r="A51" i="3"/>
  <c r="A35" i="3"/>
  <c r="A33" i="3"/>
  <c r="A8" i="3"/>
  <c r="A5" i="3"/>
  <c r="A4" i="3"/>
  <c r="A10" i="8"/>
  <c r="A12" i="2"/>
  <c r="A7" i="2"/>
  <c r="B164" i="1"/>
  <c r="I125" i="1"/>
  <c r="E125" i="1" s="1"/>
  <c r="C122" i="1"/>
  <c r="C120" i="1"/>
  <c r="C119" i="1"/>
  <c r="C118" i="1"/>
  <c r="E79" i="7" s="1"/>
  <c r="B9" i="1"/>
  <c r="B11" i="1" s="1"/>
  <c r="B13" i="1" s="1"/>
  <c r="B8" i="1"/>
  <c r="B137" i="1"/>
  <c r="B133" i="1"/>
  <c r="B130" i="1"/>
  <c r="B127" i="1"/>
  <c r="A24" i="7"/>
  <c r="A16" i="7" l="1"/>
  <c r="A28" i="2"/>
  <c r="A26" i="2" s="1"/>
  <c r="A27" i="2"/>
  <c r="F125" i="1"/>
  <c r="C137" i="1"/>
  <c r="B138" i="1"/>
  <c r="A6" i="2"/>
  <c r="F48" i="7"/>
  <c r="A66" i="7"/>
  <c r="A15" i="7"/>
  <c r="A34" i="3"/>
  <c r="A27" i="3"/>
  <c r="A32" i="3"/>
  <c r="A17" i="7"/>
  <c r="A50" i="3"/>
  <c r="A22" i="7"/>
  <c r="B9" i="13"/>
  <c r="A23" i="2"/>
  <c r="A22" i="2" s="1"/>
  <c r="A16" i="8"/>
  <c r="A11" i="26"/>
  <c r="A11" i="27" s="1"/>
  <c r="A11" i="28" s="1"/>
  <c r="A11" i="29" s="1"/>
  <c r="A28" i="3"/>
  <c r="F126" i="1"/>
  <c r="E126" i="1"/>
  <c r="B10" i="1"/>
  <c r="A8" i="8" s="1"/>
  <c r="A18" i="7" l="1"/>
  <c r="A19" i="7" s="1"/>
  <c r="A29" i="3"/>
  <c r="A26" i="23" s="1"/>
  <c r="A56" i="3"/>
  <c r="B12" i="1"/>
  <c r="A21" i="4" l="1"/>
  <c r="A10" i="2"/>
  <c r="A9" i="2"/>
  <c r="A19" i="4"/>
  <c r="B66" i="1" l="1"/>
  <c r="A1" i="19" s="1"/>
  <c r="H26" i="29"/>
  <c r="H26" i="28"/>
  <c r="H26" i="27"/>
  <c r="H22" i="29"/>
  <c r="H22" i="28"/>
  <c r="H22" i="27"/>
  <c r="H26" i="26"/>
  <c r="E74" i="7" l="1"/>
  <c r="A74" i="7"/>
  <c r="A131" i="19"/>
  <c r="B102" i="1"/>
  <c r="R124" i="1" l="1"/>
  <c r="R125" i="1" s="1"/>
  <c r="N126" i="1" s="1"/>
  <c r="A25" i="13"/>
  <c r="A26" i="13" s="1"/>
  <c r="A28" i="13" s="1"/>
  <c r="Q124" i="1"/>
  <c r="Q125" i="1" s="1"/>
  <c r="N125" i="1" s="1"/>
  <c r="A20" i="13" l="1"/>
  <c r="D81" i="7" s="1"/>
  <c r="B24" i="4"/>
  <c r="B67" i="1" l="1"/>
  <c r="C78" i="1" s="1"/>
  <c r="C79" i="1" s="1"/>
  <c r="C80" i="1" s="1"/>
  <c r="B79" i="1" s="1"/>
  <c r="B80" i="1" s="1"/>
  <c r="B145" i="1" l="1"/>
  <c r="B143" i="1"/>
  <c r="C18" i="1" l="1"/>
  <c r="B20" i="1" l="1"/>
  <c r="C20" i="1"/>
  <c r="A5" i="19" s="1"/>
  <c r="C115" i="1" l="1"/>
  <c r="C121" i="1" s="1"/>
  <c r="B115" i="1"/>
  <c r="B121" i="1" s="1"/>
  <c r="B121" i="19"/>
  <c r="D65" i="16" s="1"/>
  <c r="A8" i="2"/>
  <c r="C33" i="23"/>
  <c r="D33" i="23"/>
  <c r="E33" i="23"/>
  <c r="F33" i="23"/>
  <c r="A33" i="23"/>
  <c r="C27" i="23"/>
  <c r="D27" i="23"/>
  <c r="E27" i="23"/>
  <c r="F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A48" i="23"/>
  <c r="F27" i="4" l="1"/>
  <c r="A21" i="3" s="1"/>
  <c r="D25" i="21" l="1"/>
  <c r="C25" i="21"/>
  <c r="A25" i="21"/>
  <c r="B25" i="21" s="1"/>
  <c r="M22" i="21"/>
  <c r="F67" i="7" l="1"/>
  <c r="O2" i="21"/>
  <c r="P2" i="21" s="1"/>
  <c r="P5" i="21"/>
  <c r="P13" i="21"/>
  <c r="P17" i="21"/>
  <c r="P21" i="21"/>
  <c r="O4" i="21"/>
  <c r="P4" i="21" s="1"/>
  <c r="P15" i="21"/>
  <c r="P16" i="21"/>
  <c r="P20" i="21"/>
  <c r="P7" i="21"/>
  <c r="P8" i="21"/>
  <c r="P9" i="21"/>
  <c r="P10" i="21"/>
  <c r="P18" i="21"/>
  <c r="P6" i="21"/>
  <c r="P14" i="21"/>
  <c r="O3" i="21"/>
  <c r="P3" i="21" s="1"/>
  <c r="P11" i="21"/>
  <c r="P12" i="21"/>
  <c r="P19" i="21"/>
  <c r="C51" i="7"/>
  <c r="C34" i="23" s="1"/>
  <c r="A51" i="7"/>
  <c r="A34" i="23" s="1"/>
  <c r="W2" i="21" l="1"/>
  <c r="A64" i="7" s="1"/>
  <c r="C136" i="1"/>
  <c r="E67" i="7" l="1"/>
  <c r="F45" i="23"/>
  <c r="F34" i="23"/>
  <c r="F51" i="7"/>
  <c r="A38" i="20"/>
  <c r="A37" i="20"/>
  <c r="B19" i="20"/>
  <c r="C19" i="20"/>
  <c r="D19" i="20"/>
  <c r="E19" i="20"/>
  <c r="A19" i="20"/>
  <c r="F37" i="7" l="1"/>
  <c r="F36" i="7"/>
  <c r="F35" i="7"/>
  <c r="F34" i="7"/>
  <c r="F33" i="7"/>
  <c r="F32" i="7"/>
  <c r="F31" i="7"/>
  <c r="F30" i="7"/>
  <c r="L5" i="15"/>
  <c r="I8" i="15" l="1"/>
  <c r="E20" i="20"/>
  <c r="B26" i="4"/>
  <c r="B27" i="4" s="1"/>
  <c r="A20" i="3" l="1"/>
  <c r="A11" i="2"/>
  <c r="A33" i="20"/>
  <c r="A47" i="23"/>
  <c r="C19" i="1"/>
  <c r="B21" i="1" l="1"/>
  <c r="A6" i="3" s="1"/>
  <c r="C21" i="1"/>
  <c r="B8" i="15"/>
  <c r="C5" i="22"/>
  <c r="A33" i="22" s="1"/>
  <c r="R50" i="15" l="1"/>
  <c r="R48" i="15"/>
  <c r="R51" i="15"/>
  <c r="R52" i="15"/>
  <c r="R53" i="15"/>
  <c r="R54" i="15"/>
  <c r="R55" i="15"/>
  <c r="R44" i="15"/>
  <c r="R49" i="15"/>
  <c r="R45" i="15"/>
  <c r="R46" i="15"/>
  <c r="R47" i="15"/>
  <c r="R42" i="15"/>
  <c r="R43" i="15"/>
  <c r="R41" i="15"/>
  <c r="B9" i="16"/>
  <c r="R34" i="15"/>
  <c r="O34" i="15" s="1"/>
  <c r="P34" i="15" s="1"/>
  <c r="Q34" i="15" s="1"/>
  <c r="B34" i="15" s="1"/>
  <c r="R33" i="15"/>
  <c r="O33" i="15" s="1"/>
  <c r="P33" i="15" s="1"/>
  <c r="Q33" i="15" s="1"/>
  <c r="B33" i="15" s="1"/>
  <c r="R32" i="15"/>
  <c r="R40" i="15"/>
  <c r="R39" i="15"/>
  <c r="O39" i="15" s="1"/>
  <c r="P39" i="15" s="1"/>
  <c r="Q39" i="15" s="1"/>
  <c r="B39" i="15" s="1"/>
  <c r="R38" i="15"/>
  <c r="O38" i="15" s="1"/>
  <c r="P38" i="15" s="1"/>
  <c r="Q38" i="15" s="1"/>
  <c r="B38" i="15" s="1"/>
  <c r="R36" i="15"/>
  <c r="O36" i="15" s="1"/>
  <c r="P36" i="15" s="1"/>
  <c r="Q36" i="15" s="1"/>
  <c r="B36" i="15" s="1"/>
  <c r="R37" i="15"/>
  <c r="O37" i="15" s="1"/>
  <c r="P37" i="15" s="1"/>
  <c r="Q37" i="15" s="1"/>
  <c r="B37" i="15" s="1"/>
  <c r="R35" i="15"/>
  <c r="R28" i="15"/>
  <c r="O28" i="15" s="1"/>
  <c r="P28" i="15" s="1"/>
  <c r="Q28" i="15" s="1"/>
  <c r="B28" i="15" s="1"/>
  <c r="B29" i="16" s="1"/>
  <c r="R29" i="15"/>
  <c r="O29" i="15" s="1"/>
  <c r="P29" i="15" s="1"/>
  <c r="Q29" i="15" s="1"/>
  <c r="B29" i="15" s="1"/>
  <c r="B30" i="16" s="1"/>
  <c r="R27" i="15"/>
  <c r="O27" i="15" s="1"/>
  <c r="P27" i="15" s="1"/>
  <c r="Q27" i="15" s="1"/>
  <c r="B27" i="15" s="1"/>
  <c r="B28" i="16" s="1"/>
  <c r="R30" i="15"/>
  <c r="O30" i="15" s="1"/>
  <c r="P30" i="15" s="1"/>
  <c r="Q30" i="15" s="1"/>
  <c r="B30" i="15" s="1"/>
  <c r="B31" i="16" s="1"/>
  <c r="R31" i="15"/>
  <c r="R26" i="15"/>
  <c r="O26" i="15" s="1"/>
  <c r="P26" i="15" s="1"/>
  <c r="Q26" i="15" s="1"/>
  <c r="B26" i="15" s="1"/>
  <c r="B27" i="16" s="1"/>
  <c r="R20" i="15"/>
  <c r="R21" i="15"/>
  <c r="R23" i="15"/>
  <c r="R22" i="15"/>
  <c r="R10" i="15"/>
  <c r="R9" i="15"/>
  <c r="G8" i="15"/>
  <c r="R12" i="15"/>
  <c r="R19" i="15"/>
  <c r="H8" i="15"/>
  <c r="R15" i="15"/>
  <c r="O8" i="15"/>
  <c r="P8" i="15" s="1"/>
  <c r="Q8" i="15" s="1"/>
  <c r="R16" i="15"/>
  <c r="R17" i="15"/>
  <c r="R18" i="15"/>
  <c r="R11" i="15"/>
  <c r="R13" i="15"/>
  <c r="R14" i="15"/>
  <c r="B8" i="12"/>
  <c r="R24" i="15"/>
  <c r="R25" i="15"/>
  <c r="O45" i="15" l="1"/>
  <c r="P45" i="15" s="1"/>
  <c r="Q45" i="15" s="1"/>
  <c r="B45" i="15" s="1"/>
  <c r="B45" i="12" s="1"/>
  <c r="O49" i="15"/>
  <c r="P49" i="15" s="1"/>
  <c r="Q49" i="15" s="1"/>
  <c r="B49" i="15" s="1"/>
  <c r="B49" i="12" s="1"/>
  <c r="O46" i="15"/>
  <c r="P46" i="15" s="1"/>
  <c r="Q46" i="15" s="1"/>
  <c r="B46" i="15" s="1"/>
  <c r="B46" i="12" s="1"/>
  <c r="O44" i="15"/>
  <c r="P44" i="15" s="1"/>
  <c r="Q44" i="15" s="1"/>
  <c r="B44" i="15" s="1"/>
  <c r="B44" i="12" s="1"/>
  <c r="B55" i="15"/>
  <c r="B55" i="12" s="1"/>
  <c r="O55" i="15"/>
  <c r="P55" i="15" s="1"/>
  <c r="Q55" i="15" s="1"/>
  <c r="O54" i="15"/>
  <c r="P54" i="15" s="1"/>
  <c r="Q54" i="15" s="1"/>
  <c r="B54" i="15" s="1"/>
  <c r="B54" i="12" s="1"/>
  <c r="O47" i="15"/>
  <c r="P47" i="15" s="1"/>
  <c r="Q47" i="15" s="1"/>
  <c r="B47" i="15" s="1"/>
  <c r="B47" i="12" s="1"/>
  <c r="O53" i="15"/>
  <c r="P53" i="15" s="1"/>
  <c r="Q53" i="15" s="1"/>
  <c r="B53" i="15" s="1"/>
  <c r="B53" i="12" s="1"/>
  <c r="O52" i="15"/>
  <c r="P52" i="15" s="1"/>
  <c r="Q52" i="15" s="1"/>
  <c r="B52" i="15" s="1"/>
  <c r="B52" i="12" s="1"/>
  <c r="O51" i="15"/>
  <c r="P51" i="15" s="1"/>
  <c r="Q51" i="15" s="1"/>
  <c r="B51" i="15" s="1"/>
  <c r="B51" i="12" s="1"/>
  <c r="O48" i="15"/>
  <c r="P48" i="15" s="1"/>
  <c r="Q48" i="15" s="1"/>
  <c r="B48" i="15" s="1"/>
  <c r="B48" i="12" s="1"/>
  <c r="O50" i="15"/>
  <c r="P50" i="15" s="1"/>
  <c r="Q50" i="15" s="1"/>
  <c r="B50" i="15" s="1"/>
  <c r="B50" i="12" s="1"/>
  <c r="O41" i="15"/>
  <c r="P41" i="15" s="1"/>
  <c r="Q41" i="15" s="1"/>
  <c r="B41" i="15" s="1"/>
  <c r="O43" i="15"/>
  <c r="P43" i="15" s="1"/>
  <c r="Q43" i="15" s="1"/>
  <c r="B43" i="15" s="1"/>
  <c r="O42" i="15"/>
  <c r="P42" i="15" s="1"/>
  <c r="Q42" i="15" s="1"/>
  <c r="B42" i="15" s="1"/>
  <c r="O35" i="15"/>
  <c r="P35" i="15" s="1"/>
  <c r="Q35" i="15" s="1"/>
  <c r="B35" i="15" s="1"/>
  <c r="H37" i="15"/>
  <c r="B37" i="12"/>
  <c r="G37" i="15"/>
  <c r="B38" i="16"/>
  <c r="B36" i="12"/>
  <c r="H36" i="12" s="1"/>
  <c r="H36" i="15"/>
  <c r="B37" i="16"/>
  <c r="B38" i="12"/>
  <c r="G38" i="15"/>
  <c r="H38" i="15"/>
  <c r="B39" i="16"/>
  <c r="B39" i="12"/>
  <c r="B40" i="16"/>
  <c r="H39" i="15"/>
  <c r="G39" i="15"/>
  <c r="O40" i="15"/>
  <c r="P40" i="15" s="1"/>
  <c r="Q40" i="15" s="1"/>
  <c r="B40" i="15" s="1"/>
  <c r="O32" i="15"/>
  <c r="P32" i="15" s="1"/>
  <c r="Q32" i="15" s="1"/>
  <c r="B32" i="15" s="1"/>
  <c r="B33" i="12"/>
  <c r="H33" i="12" s="1"/>
  <c r="B34" i="16"/>
  <c r="H33" i="15"/>
  <c r="G34" i="15"/>
  <c r="B34" i="12"/>
  <c r="B35" i="16"/>
  <c r="H34" i="15"/>
  <c r="B26" i="12"/>
  <c r="O31" i="15"/>
  <c r="P31" i="15" s="1"/>
  <c r="Q31" i="15" s="1"/>
  <c r="B31" i="15" s="1"/>
  <c r="B30" i="12"/>
  <c r="B27" i="12"/>
  <c r="B29" i="12"/>
  <c r="B28" i="12"/>
  <c r="O18" i="15"/>
  <c r="P18" i="15" s="1"/>
  <c r="Q18" i="15" s="1"/>
  <c r="B18" i="15" s="1"/>
  <c r="B19" i="16" s="1"/>
  <c r="O24" i="15"/>
  <c r="P24" i="15" s="1"/>
  <c r="Q24" i="15" s="1"/>
  <c r="B24" i="15" s="1"/>
  <c r="B25" i="16" s="1"/>
  <c r="O15" i="15"/>
  <c r="P15" i="15" s="1"/>
  <c r="Q15" i="15" s="1"/>
  <c r="B15" i="15" s="1"/>
  <c r="B16" i="16" s="1"/>
  <c r="O13" i="15"/>
  <c r="P13" i="15" s="1"/>
  <c r="Q13" i="15" s="1"/>
  <c r="B13" i="15" s="1"/>
  <c r="O17" i="15"/>
  <c r="P17" i="15" s="1"/>
  <c r="Q17" i="15" s="1"/>
  <c r="B17" i="15" s="1"/>
  <c r="B18" i="16" s="1"/>
  <c r="O16" i="15"/>
  <c r="P16" i="15" s="1"/>
  <c r="Q16" i="15" s="1"/>
  <c r="B16" i="15" s="1"/>
  <c r="B17" i="16" s="1"/>
  <c r="O22" i="15"/>
  <c r="P22" i="15" s="1"/>
  <c r="Q22" i="15" s="1"/>
  <c r="B22" i="15" s="1"/>
  <c r="B23" i="16" s="1"/>
  <c r="O23" i="15"/>
  <c r="P23" i="15" s="1"/>
  <c r="Q23" i="15" s="1"/>
  <c r="B23" i="15" s="1"/>
  <c r="B24" i="16" s="1"/>
  <c r="O21" i="15"/>
  <c r="P21" i="15" s="1"/>
  <c r="Q21" i="15" s="1"/>
  <c r="B21" i="15" s="1"/>
  <c r="B22" i="16" s="1"/>
  <c r="O20" i="15"/>
  <c r="P20" i="15" s="1"/>
  <c r="Q20" i="15" s="1"/>
  <c r="B20" i="15" s="1"/>
  <c r="B21" i="16" s="1"/>
  <c r="L8" i="15"/>
  <c r="O11" i="15"/>
  <c r="P11" i="15" s="1"/>
  <c r="Q11" i="15" s="1"/>
  <c r="O10" i="15"/>
  <c r="P10" i="15" s="1"/>
  <c r="Q10" i="15" s="1"/>
  <c r="O9" i="15"/>
  <c r="P9" i="15" s="1"/>
  <c r="Q9" i="15" s="1"/>
  <c r="O19" i="15"/>
  <c r="P19" i="15" s="1"/>
  <c r="Q19" i="15" s="1"/>
  <c r="B19" i="15" s="1"/>
  <c r="O14" i="15"/>
  <c r="P14" i="15" s="1"/>
  <c r="Q14" i="15" s="1"/>
  <c r="B14" i="15" s="1"/>
  <c r="B15" i="16" s="1"/>
  <c r="O12" i="15"/>
  <c r="P12" i="15" s="1"/>
  <c r="Q12" i="15" s="1"/>
  <c r="O25" i="15"/>
  <c r="P25" i="15" s="1"/>
  <c r="Q25" i="15" s="1"/>
  <c r="B25" i="15" s="1"/>
  <c r="B26" i="16" s="1"/>
  <c r="B49" i="16" l="1"/>
  <c r="H48" i="15"/>
  <c r="G48" i="15"/>
  <c r="H54" i="15"/>
  <c r="B55" i="16"/>
  <c r="G54" i="15"/>
  <c r="H53" i="15"/>
  <c r="B54" i="16"/>
  <c r="G53" i="15"/>
  <c r="B48" i="16"/>
  <c r="H47" i="15"/>
  <c r="G47" i="15"/>
  <c r="B45" i="16"/>
  <c r="H44" i="15"/>
  <c r="G44" i="15"/>
  <c r="B47" i="16"/>
  <c r="H46" i="15"/>
  <c r="G46" i="15"/>
  <c r="B52" i="16"/>
  <c r="G51" i="15"/>
  <c r="H51" i="15"/>
  <c r="B50" i="16"/>
  <c r="H49" i="15"/>
  <c r="G49" i="15"/>
  <c r="B53" i="16"/>
  <c r="G52" i="15"/>
  <c r="H52" i="15"/>
  <c r="B51" i="16"/>
  <c r="H50" i="15"/>
  <c r="G50" i="15"/>
  <c r="B46" i="16"/>
  <c r="H45" i="15"/>
  <c r="G45" i="15"/>
  <c r="H55" i="15"/>
  <c r="B56" i="16"/>
  <c r="G55" i="15"/>
  <c r="H42" i="15"/>
  <c r="B42" i="12"/>
  <c r="B43" i="16"/>
  <c r="G42" i="15"/>
  <c r="B42" i="16"/>
  <c r="B41" i="12"/>
  <c r="H41" i="12" s="1"/>
  <c r="H41" i="15"/>
  <c r="B44" i="16"/>
  <c r="G43" i="15"/>
  <c r="B43" i="12"/>
  <c r="H43" i="15"/>
  <c r="B33" i="16"/>
  <c r="B32" i="12"/>
  <c r="H32" i="15"/>
  <c r="G33" i="15"/>
  <c r="B35" i="12"/>
  <c r="G35" i="15"/>
  <c r="H35" i="15"/>
  <c r="B36" i="16"/>
  <c r="G36" i="15"/>
  <c r="G38" i="12"/>
  <c r="H38" i="12"/>
  <c r="B41" i="16"/>
  <c r="H40" i="15"/>
  <c r="B40" i="12"/>
  <c r="G40" i="15"/>
  <c r="G41" i="15"/>
  <c r="H34" i="12"/>
  <c r="G34" i="12"/>
  <c r="H37" i="12"/>
  <c r="G37" i="12"/>
  <c r="H39" i="12"/>
  <c r="G39" i="12"/>
  <c r="B32" i="16"/>
  <c r="G32" i="15"/>
  <c r="B19" i="12"/>
  <c r="B20" i="16"/>
  <c r="B13" i="12"/>
  <c r="B14" i="16"/>
  <c r="B23" i="12"/>
  <c r="B21" i="12"/>
  <c r="B22" i="12"/>
  <c r="B20" i="12"/>
  <c r="B24" i="12"/>
  <c r="E8" i="15"/>
  <c r="B31" i="12"/>
  <c r="H31" i="15"/>
  <c r="B25" i="12"/>
  <c r="H25" i="15"/>
  <c r="B16" i="12"/>
  <c r="H16" i="15"/>
  <c r="G16" i="15"/>
  <c r="B17" i="12"/>
  <c r="G17" i="15"/>
  <c r="H17" i="15"/>
  <c r="B15" i="12"/>
  <c r="H15" i="15"/>
  <c r="B18" i="12"/>
  <c r="H18" i="15"/>
  <c r="G18" i="15"/>
  <c r="H13" i="15"/>
  <c r="H20" i="15"/>
  <c r="H21" i="15"/>
  <c r="G21" i="15"/>
  <c r="G23" i="15"/>
  <c r="H23" i="15"/>
  <c r="H22" i="15"/>
  <c r="G22" i="15"/>
  <c r="G14" i="15"/>
  <c r="H14" i="15"/>
  <c r="B14" i="12"/>
  <c r="G15" i="15"/>
  <c r="B9" i="15"/>
  <c r="H19" i="15"/>
  <c r="G20" i="15"/>
  <c r="G19" i="15"/>
  <c r="B10" i="15"/>
  <c r="B11" i="16" s="1"/>
  <c r="B12" i="15"/>
  <c r="B13" i="16" s="1"/>
  <c r="B11" i="15"/>
  <c r="B12" i="16" s="1"/>
  <c r="D17" i="1"/>
  <c r="G32" i="12" l="1"/>
  <c r="H43" i="12"/>
  <c r="G43" i="12"/>
  <c r="H42" i="12"/>
  <c r="G42" i="12"/>
  <c r="G36" i="12"/>
  <c r="H35" i="12"/>
  <c r="G35" i="12"/>
  <c r="H40" i="12"/>
  <c r="G40" i="12"/>
  <c r="G41" i="12"/>
  <c r="G33" i="12"/>
  <c r="H32" i="12"/>
  <c r="G9" i="15"/>
  <c r="B10" i="16"/>
  <c r="G10" i="15"/>
  <c r="H10" i="15"/>
  <c r="B10" i="12"/>
  <c r="H9" i="15"/>
  <c r="G13" i="15"/>
  <c r="G12" i="15"/>
  <c r="H12" i="15"/>
  <c r="B12" i="12"/>
  <c r="H11" i="15"/>
  <c r="G11" i="15"/>
  <c r="B11" i="12"/>
  <c r="B9" i="12"/>
  <c r="I67" i="1"/>
  <c r="G67" i="1"/>
  <c r="A73" i="16" l="1"/>
  <c r="A117" i="19"/>
  <c r="A63" i="16" s="1"/>
  <c r="F67" i="1" l="1"/>
  <c r="E67" i="1"/>
  <c r="A20" i="2" s="1"/>
  <c r="C67" i="1"/>
  <c r="C65" i="1"/>
  <c r="C66" i="1" l="1"/>
  <c r="I66" i="1"/>
  <c r="G66" i="1"/>
  <c r="D67" i="1"/>
  <c r="B144" i="1" s="1"/>
  <c r="H67" i="1"/>
  <c r="B69" i="1" s="1"/>
  <c r="A4" i="24" s="1"/>
  <c r="E66" i="1"/>
  <c r="F66" i="1"/>
  <c r="A26" i="19" l="1"/>
  <c r="A27" i="19"/>
  <c r="A30" i="19"/>
  <c r="A29" i="19"/>
  <c r="A28" i="19" s="1"/>
  <c r="B68" i="1"/>
  <c r="D66" i="1"/>
  <c r="B72" i="1" s="1"/>
  <c r="H66" i="1"/>
  <c r="B73" i="1" s="1"/>
  <c r="F3" i="23" l="1"/>
  <c r="B74" i="1"/>
  <c r="B70" i="1"/>
  <c r="A3" i="19" s="1"/>
  <c r="E3" i="22"/>
  <c r="B71" i="1"/>
  <c r="A12" i="7" l="1"/>
  <c r="A11" i="7"/>
  <c r="A9" i="7"/>
  <c r="A8" i="7"/>
  <c r="F3" i="16"/>
  <c r="A7" i="29"/>
  <c r="A2" i="29"/>
  <c r="A7" i="28"/>
  <c r="A2" i="28"/>
  <c r="A7" i="27"/>
  <c r="A2" i="27"/>
  <c r="B19" i="9"/>
  <c r="A2" i="26"/>
  <c r="A7" i="26"/>
  <c r="A45" i="7"/>
  <c r="A46" i="7"/>
  <c r="B165" i="1"/>
  <c r="A4" i="8" s="1"/>
  <c r="B142" i="1"/>
  <c r="F4" i="7" s="1"/>
  <c r="A39" i="20"/>
  <c r="B40" i="9"/>
  <c r="A19" i="2"/>
  <c r="A25" i="23" s="1"/>
  <c r="D72" i="15"/>
  <c r="A70" i="15"/>
  <c r="A68" i="15"/>
  <c r="D64" i="15"/>
  <c r="D60" i="15"/>
  <c r="A60" i="15"/>
  <c r="A7" i="7" l="1"/>
  <c r="A10" i="7"/>
  <c r="A6" i="7" s="1"/>
  <c r="A44" i="7"/>
  <c r="A15" i="3"/>
  <c r="H27" i="15"/>
  <c r="G27" i="15"/>
  <c r="G28" i="15"/>
  <c r="H28" i="15"/>
  <c r="G30" i="15"/>
  <c r="G31" i="15"/>
  <c r="H30" i="15"/>
  <c r="G29" i="15"/>
  <c r="H29" i="15"/>
  <c r="G26" i="15"/>
  <c r="H26" i="15"/>
  <c r="H24" i="15"/>
  <c r="G24" i="15"/>
  <c r="G25" i="15"/>
  <c r="F2" i="15" l="1"/>
  <c r="B62" i="1" l="1"/>
  <c r="D67" i="15" l="1"/>
  <c r="B19" i="13" l="1"/>
  <c r="B10" i="13"/>
  <c r="D68" i="15" l="1"/>
  <c r="D66" i="15" l="1"/>
  <c r="A61" i="7" l="1"/>
  <c r="A44" i="23" s="1"/>
  <c r="C61" i="7"/>
  <c r="C44" i="23" s="1"/>
  <c r="D61" i="7"/>
  <c r="D44" i="23" s="1"/>
  <c r="E61" i="7"/>
  <c r="E44" i="23" s="1"/>
  <c r="A62" i="7"/>
  <c r="A45" i="23" s="1"/>
  <c r="C35" i="23"/>
  <c r="D35" i="23"/>
  <c r="E35" i="23"/>
  <c r="C53" i="7"/>
  <c r="C36" i="23" s="1"/>
  <c r="D53" i="7"/>
  <c r="D36" i="23" s="1"/>
  <c r="E53" i="7"/>
  <c r="E36" i="23" s="1"/>
  <c r="C54" i="7"/>
  <c r="C37" i="23" s="1"/>
  <c r="D54" i="7"/>
  <c r="D37" i="23" s="1"/>
  <c r="E54" i="7"/>
  <c r="E37" i="23" s="1"/>
  <c r="C55" i="7"/>
  <c r="C38" i="23" s="1"/>
  <c r="D55" i="7"/>
  <c r="D38" i="23" s="1"/>
  <c r="E55" i="7"/>
  <c r="E38" i="23" s="1"/>
  <c r="C56" i="7"/>
  <c r="C39" i="23" s="1"/>
  <c r="D56" i="7"/>
  <c r="D39" i="23" s="1"/>
  <c r="E56" i="7"/>
  <c r="E39" i="23" s="1"/>
  <c r="C57" i="7"/>
  <c r="C40" i="23" s="1"/>
  <c r="D57" i="7"/>
  <c r="D40" i="23" s="1"/>
  <c r="E57" i="7"/>
  <c r="E40" i="23" s="1"/>
  <c r="C58" i="7"/>
  <c r="C41" i="23" s="1"/>
  <c r="D58" i="7"/>
  <c r="D41" i="23" s="1"/>
  <c r="E58" i="7"/>
  <c r="E41" i="23" s="1"/>
  <c r="C59" i="7"/>
  <c r="C42" i="23" s="1"/>
  <c r="D59" i="7"/>
  <c r="D42" i="23" s="1"/>
  <c r="E59" i="7"/>
  <c r="E42" i="23" s="1"/>
  <c r="C60" i="7"/>
  <c r="C43" i="23" s="1"/>
  <c r="D60" i="7"/>
  <c r="D43" i="23" s="1"/>
  <c r="E60" i="7"/>
  <c r="E43" i="23" s="1"/>
  <c r="D51" i="7"/>
  <c r="D34" i="23" s="1"/>
  <c r="E51" i="7"/>
  <c r="E34" i="23" s="1"/>
  <c r="A35" i="23"/>
  <c r="A53" i="7"/>
  <c r="A36" i="23" s="1"/>
  <c r="A54" i="7"/>
  <c r="A37" i="23" s="1"/>
  <c r="A55" i="7"/>
  <c r="A38" i="23" s="1"/>
  <c r="A56" i="7"/>
  <c r="A39" i="23" s="1"/>
  <c r="A57" i="7"/>
  <c r="A40" i="23" s="1"/>
  <c r="A58" i="7"/>
  <c r="A41" i="23" s="1"/>
  <c r="A59" i="7"/>
  <c r="A42" i="23" s="1"/>
  <c r="A60" i="7"/>
  <c r="A43" i="23" s="1"/>
  <c r="A49" i="23"/>
  <c r="A39" i="8"/>
  <c r="E62" i="7"/>
  <c r="E45" i="23" s="1"/>
  <c r="D62" i="7"/>
  <c r="D45" i="23" s="1"/>
  <c r="C62" i="7"/>
  <c r="C45" i="23" s="1"/>
  <c r="A48" i="3" l="1"/>
  <c r="A30" i="20"/>
  <c r="C47" i="3"/>
  <c r="B29" i="20"/>
  <c r="C48" i="3"/>
  <c r="B30" i="20"/>
  <c r="E47" i="3"/>
  <c r="D29" i="20"/>
  <c r="E48" i="3"/>
  <c r="D30" i="20"/>
  <c r="A47" i="3"/>
  <c r="A29" i="20"/>
  <c r="D47" i="3"/>
  <c r="C29" i="20"/>
  <c r="D48" i="3"/>
  <c r="C30" i="20"/>
  <c r="A49" i="3"/>
  <c r="A31" i="20"/>
  <c r="A45" i="3"/>
  <c r="A27" i="20"/>
  <c r="E46" i="3"/>
  <c r="D28" i="20"/>
  <c r="D45" i="3"/>
  <c r="C27" i="20"/>
  <c r="D46" i="3"/>
  <c r="C28" i="20"/>
  <c r="C45" i="3"/>
  <c r="B27" i="20"/>
  <c r="E45" i="3"/>
  <c r="D27" i="20"/>
  <c r="A46" i="3"/>
  <c r="A28" i="20"/>
  <c r="C46" i="3"/>
  <c r="B28" i="20"/>
  <c r="A41" i="3"/>
  <c r="A23" i="20"/>
  <c r="E41" i="3"/>
  <c r="D23" i="20"/>
  <c r="D31" i="20"/>
  <c r="A44" i="3"/>
  <c r="A26" i="20"/>
  <c r="A40" i="3"/>
  <c r="A22" i="20"/>
  <c r="C20" i="20"/>
  <c r="C44" i="3"/>
  <c r="B26" i="20"/>
  <c r="E42" i="3"/>
  <c r="D24" i="20"/>
  <c r="D41" i="3"/>
  <c r="C23" i="20"/>
  <c r="B22" i="20"/>
  <c r="A43" i="3"/>
  <c r="A25" i="20"/>
  <c r="A39" i="3"/>
  <c r="A21" i="20"/>
  <c r="E43" i="3"/>
  <c r="D25" i="20"/>
  <c r="D42" i="3"/>
  <c r="C24" i="20"/>
  <c r="C41" i="3"/>
  <c r="B23" i="20"/>
  <c r="E39" i="3"/>
  <c r="D21" i="20"/>
  <c r="C31" i="20"/>
  <c r="D20" i="20"/>
  <c r="D44" i="3"/>
  <c r="C26" i="20"/>
  <c r="C43" i="3"/>
  <c r="B25" i="20"/>
  <c r="C22" i="20"/>
  <c r="C39" i="3"/>
  <c r="B21" i="20"/>
  <c r="A38" i="3"/>
  <c r="A20" i="20"/>
  <c r="B31" i="20"/>
  <c r="A42" i="3"/>
  <c r="A24" i="20"/>
  <c r="C38" i="3"/>
  <c r="B20" i="20"/>
  <c r="E44" i="3"/>
  <c r="D26" i="20"/>
  <c r="D43" i="3"/>
  <c r="C25" i="20"/>
  <c r="C42" i="3"/>
  <c r="B24" i="20"/>
  <c r="D22" i="20"/>
  <c r="D39" i="3"/>
  <c r="C21" i="20"/>
  <c r="A40" i="8"/>
  <c r="A34" i="20"/>
  <c r="A41" i="8"/>
  <c r="A35" i="20"/>
  <c r="E33" i="8"/>
  <c r="D28" i="8"/>
  <c r="E26" i="8"/>
  <c r="E35" i="8"/>
  <c r="D31" i="8"/>
  <c r="E32" i="8"/>
  <c r="C31" i="8"/>
  <c r="E27" i="8"/>
  <c r="E36" i="8"/>
  <c r="D35" i="8"/>
  <c r="D32" i="8"/>
  <c r="E29" i="8"/>
  <c r="D27" i="8"/>
  <c r="D36" i="8"/>
  <c r="C35" i="8"/>
  <c r="E31" i="8"/>
  <c r="E28" i="8"/>
  <c r="C27" i="8"/>
  <c r="C36" i="8"/>
  <c r="D37" i="8"/>
  <c r="E30" i="8"/>
  <c r="E34" i="8"/>
  <c r="E37" i="8"/>
  <c r="D33" i="8"/>
  <c r="D30" i="8"/>
  <c r="D29" i="8"/>
  <c r="D26" i="8"/>
  <c r="D34" i="8"/>
  <c r="C33" i="8"/>
  <c r="C32" i="8"/>
  <c r="C30" i="8"/>
  <c r="C29" i="8"/>
  <c r="C28" i="8"/>
  <c r="C26" i="8"/>
  <c r="C34" i="8"/>
  <c r="C37" i="8"/>
  <c r="A33" i="8"/>
  <c r="A32" i="8"/>
  <c r="A31" i="8"/>
  <c r="A30" i="8"/>
  <c r="A29" i="8"/>
  <c r="A28" i="8"/>
  <c r="A27" i="8"/>
  <c r="A26" i="8"/>
  <c r="A36" i="8"/>
  <c r="A35" i="8"/>
  <c r="A34" i="8"/>
  <c r="A37" i="8"/>
  <c r="C142" i="1"/>
  <c r="N123" i="1" l="1"/>
  <c r="F38" i="3"/>
  <c r="F62" i="7"/>
  <c r="E31" i="20" s="1"/>
  <c r="A46" i="23"/>
  <c r="F26" i="8" l="1"/>
  <c r="A38" i="8"/>
  <c r="A32" i="20"/>
  <c r="F37" i="8"/>
  <c r="F49" i="3"/>
  <c r="D72" i="12"/>
  <c r="A70" i="12"/>
  <c r="A68" i="12"/>
  <c r="D64" i="12"/>
  <c r="D60" i="12"/>
  <c r="A60" i="12"/>
  <c r="C8" i="12"/>
  <c r="C9" i="16" s="1"/>
  <c r="A25" i="19" l="1"/>
  <c r="A24" i="19" l="1"/>
  <c r="B12" i="9"/>
  <c r="A12" i="8"/>
  <c r="F18" i="8"/>
  <c r="E11" i="20" s="1"/>
  <c r="E18" i="8"/>
  <c r="D11" i="20" s="1"/>
  <c r="D18" i="8"/>
  <c r="C11" i="20" s="1"/>
  <c r="C18" i="8"/>
  <c r="B11" i="20" s="1"/>
  <c r="A18" i="8"/>
  <c r="A11" i="20" s="1"/>
  <c r="E78" i="7"/>
  <c r="E48" i="7"/>
  <c r="E28" i="23" s="1"/>
  <c r="D48" i="7"/>
  <c r="D28" i="23" s="1"/>
  <c r="C28" i="23"/>
  <c r="A48" i="7"/>
  <c r="A28" i="23" s="1"/>
  <c r="A32" i="23" l="1"/>
  <c r="A30" i="23"/>
  <c r="E19" i="8"/>
  <c r="D12" i="20" s="1"/>
  <c r="D19" i="8"/>
  <c r="C12" i="20" s="1"/>
  <c r="C19" i="8"/>
  <c r="B12" i="20" s="1"/>
  <c r="A16" i="20"/>
  <c r="A19" i="8"/>
  <c r="A12" i="20" s="1"/>
  <c r="A14" i="20"/>
  <c r="D35" i="4"/>
  <c r="D27" i="4"/>
  <c r="C27" i="4"/>
  <c r="A14" i="3"/>
  <c r="A60" i="3" s="1"/>
  <c r="A11" i="4"/>
  <c r="A8" i="4"/>
  <c r="A6" i="4"/>
  <c r="A5" i="4"/>
  <c r="A4" i="4"/>
  <c r="A39" i="2"/>
  <c r="A17" i="3"/>
  <c r="A63" i="3" s="1"/>
  <c r="A12" i="3"/>
  <c r="A63" i="15" l="1"/>
  <c r="A67" i="15"/>
  <c r="A72" i="15"/>
  <c r="D74" i="15"/>
  <c r="A62" i="15"/>
  <c r="A66" i="15"/>
  <c r="A65" i="15"/>
  <c r="A64" i="15"/>
  <c r="D63" i="15"/>
  <c r="D70" i="15"/>
  <c r="D62" i="15"/>
  <c r="A72" i="12"/>
  <c r="A66" i="12"/>
  <c r="A63" i="12"/>
  <c r="A67" i="12"/>
  <c r="A64" i="12"/>
  <c r="A65" i="12"/>
  <c r="D68" i="12"/>
  <c r="D66" i="12"/>
  <c r="D67" i="12"/>
  <c r="D63" i="12"/>
  <c r="D70" i="12"/>
  <c r="D62" i="12"/>
  <c r="A62" i="12"/>
  <c r="A58" i="3"/>
  <c r="A61" i="3"/>
  <c r="A13" i="8"/>
  <c r="A16" i="3"/>
  <c r="A62" i="3" s="1"/>
  <c r="A14" i="8"/>
  <c r="F31" i="3"/>
  <c r="A15" i="8" l="1"/>
  <c r="A15" i="27"/>
  <c r="A15" i="26"/>
  <c r="A15" i="29"/>
  <c r="A15" i="28"/>
  <c r="A31" i="23"/>
  <c r="A29" i="23"/>
  <c r="F28" i="23"/>
  <c r="A15" i="20"/>
  <c r="A13" i="20"/>
  <c r="F19" i="8"/>
  <c r="E12" i="20" s="1"/>
  <c r="A18" i="3"/>
  <c r="A16" i="23" s="1"/>
  <c r="F2" i="12"/>
  <c r="A64"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L9" i="15" s="1"/>
  <c r="E9" i="15" s="1"/>
  <c r="M8" i="15"/>
  <c r="F8" i="15" s="1"/>
  <c r="I10" i="15"/>
  <c r="I11" i="15" s="1"/>
  <c r="I12" i="15" s="1"/>
  <c r="D9" i="15" l="1"/>
  <c r="C10" i="15" s="1"/>
  <c r="L10" i="15" s="1"/>
  <c r="E10" i="15" s="1"/>
  <c r="J13" i="15"/>
  <c r="K13" i="15" s="1"/>
  <c r="I13" i="15" s="1"/>
  <c r="I14" i="15" s="1"/>
  <c r="I15" i="15" s="1"/>
  <c r="I16" i="15" s="1"/>
  <c r="I17" i="15" s="1"/>
  <c r="I18" i="15" s="1"/>
  <c r="M9" i="15" l="1"/>
  <c r="F9" i="15" s="1"/>
  <c r="D10" i="15"/>
  <c r="C11" i="15" s="1"/>
  <c r="L11" i="15" s="1"/>
  <c r="E11" i="15" s="1"/>
  <c r="J15" i="15"/>
  <c r="K15" i="15" s="1"/>
  <c r="J19" i="15"/>
  <c r="K19" i="15" s="1"/>
  <c r="I19" i="15" s="1"/>
  <c r="I20" i="15" s="1"/>
  <c r="I21" i="15" s="1"/>
  <c r="I22" i="15" s="1"/>
  <c r="J18" i="15"/>
  <c r="K18" i="15" s="1"/>
  <c r="J16" i="15"/>
  <c r="K16" i="15" s="1"/>
  <c r="J17" i="15"/>
  <c r="K17" i="15" s="1"/>
  <c r="J14" i="15"/>
  <c r="K14" i="15" s="1"/>
  <c r="D11" i="15" l="1"/>
  <c r="C12" i="15" s="1"/>
  <c r="L12" i="15" s="1"/>
  <c r="E12" i="15" s="1"/>
  <c r="M10" i="15"/>
  <c r="F10" i="15" s="1"/>
  <c r="J20" i="15"/>
  <c r="K20" i="15" s="1"/>
  <c r="J21" i="15"/>
  <c r="K21" i="15" s="1"/>
  <c r="J22" i="15"/>
  <c r="K22" i="15" s="1"/>
  <c r="J23" i="15"/>
  <c r="K23" i="15" s="1"/>
  <c r="I23" i="15" s="1"/>
  <c r="M11" i="15"/>
  <c r="F11" i="15" s="1"/>
  <c r="D12" i="15" l="1"/>
  <c r="M12" i="15" s="1"/>
  <c r="F12" i="15" s="1"/>
  <c r="J24" i="15"/>
  <c r="K24" i="15" s="1"/>
  <c r="I24" i="15" s="1"/>
  <c r="C13" i="15"/>
  <c r="J25" i="15" l="1"/>
  <c r="K25" i="15" s="1"/>
  <c r="I25" i="15" s="1"/>
  <c r="J26" i="15" s="1"/>
  <c r="K26" i="15" s="1"/>
  <c r="D13" i="15"/>
  <c r="C14" i="15" s="1"/>
  <c r="L13" i="15"/>
  <c r="E13" i="15" s="1"/>
  <c r="I26" i="15" l="1"/>
  <c r="I27" i="15" s="1"/>
  <c r="I28" i="15" s="1"/>
  <c r="I29" i="15" s="1"/>
  <c r="I30" i="15" s="1"/>
  <c r="M13" i="15"/>
  <c r="F13" i="15" s="1"/>
  <c r="L14" i="15"/>
  <c r="E14" i="15" s="1"/>
  <c r="D14" i="15"/>
  <c r="C15" i="15" s="1"/>
  <c r="J28" i="15" l="1"/>
  <c r="K28" i="15" s="1"/>
  <c r="J27" i="15"/>
  <c r="K27" i="15" s="1"/>
  <c r="J30" i="15"/>
  <c r="K30" i="15" s="1"/>
  <c r="J29" i="15"/>
  <c r="K29" i="15" s="1"/>
  <c r="J31" i="15"/>
  <c r="K31" i="15" s="1"/>
  <c r="I31" i="15" s="1"/>
  <c r="I32" i="15" s="1"/>
  <c r="M14" i="15"/>
  <c r="F14" i="15" s="1"/>
  <c r="L15" i="15"/>
  <c r="E15" i="15" s="1"/>
  <c r="D15" i="15"/>
  <c r="C16" i="15" s="1"/>
  <c r="J32" i="15" l="1"/>
  <c r="K32" i="15" s="1"/>
  <c r="I33" i="15"/>
  <c r="J33" i="15"/>
  <c r="K33" i="15" s="1"/>
  <c r="L16" i="15"/>
  <c r="E16" i="15" s="1"/>
  <c r="D16" i="15"/>
  <c r="C17" i="15" s="1"/>
  <c r="M15" i="15"/>
  <c r="F15" i="15" s="1"/>
  <c r="I34" i="15" l="1"/>
  <c r="J34" i="15"/>
  <c r="K34" i="15" s="1"/>
  <c r="L17" i="15"/>
  <c r="E17" i="15" s="1"/>
  <c r="D17" i="15"/>
  <c r="C18" i="15" s="1"/>
  <c r="M16" i="15"/>
  <c r="F16" i="15" s="1"/>
  <c r="I35" i="15" l="1"/>
  <c r="J35" i="15"/>
  <c r="K35" i="15" s="1"/>
  <c r="L18" i="15"/>
  <c r="E18" i="15" s="1"/>
  <c r="D18" i="15"/>
  <c r="M17" i="15"/>
  <c r="F17" i="15" s="1"/>
  <c r="I36" i="15" l="1"/>
  <c r="J36" i="15"/>
  <c r="K36" i="15" s="1"/>
  <c r="M18" i="15"/>
  <c r="F18" i="15" s="1"/>
  <c r="C19" i="15"/>
  <c r="J37" i="15" l="1"/>
  <c r="K37" i="15" s="1"/>
  <c r="I37" i="15" s="1"/>
  <c r="D19" i="15"/>
  <c r="C20" i="15" s="1"/>
  <c r="L19" i="15"/>
  <c r="E19" i="15" s="1"/>
  <c r="I38" i="15" l="1"/>
  <c r="J38" i="15"/>
  <c r="K38" i="15" s="1"/>
  <c r="L20" i="15"/>
  <c r="E20" i="15" s="1"/>
  <c r="M19" i="15"/>
  <c r="F19" i="15" s="1"/>
  <c r="I39" i="15" l="1"/>
  <c r="J40" i="15" s="1"/>
  <c r="K40" i="15" s="1"/>
  <c r="I40" i="15" s="1"/>
  <c r="J39" i="15"/>
  <c r="K39" i="15" s="1"/>
  <c r="D20" i="15"/>
  <c r="M20" i="15" s="1"/>
  <c r="F20" i="15" s="1"/>
  <c r="I41" i="15" l="1"/>
  <c r="I42" i="15" s="1"/>
  <c r="J43" i="15" s="1"/>
  <c r="K43" i="15" s="1"/>
  <c r="I43" i="15" s="1"/>
  <c r="J41" i="15"/>
  <c r="K41" i="15" s="1"/>
  <c r="C21" i="15"/>
  <c r="L21" i="15" s="1"/>
  <c r="E21" i="15" s="1"/>
  <c r="I44" i="15" l="1"/>
  <c r="J44" i="15"/>
  <c r="K44" i="15" s="1"/>
  <c r="J42" i="15"/>
  <c r="K42" i="15" s="1"/>
  <c r="D21" i="15"/>
  <c r="M21" i="15" s="1"/>
  <c r="F21" i="15" s="1"/>
  <c r="I45" i="15" l="1"/>
  <c r="J45" i="15"/>
  <c r="K45" i="15" s="1"/>
  <c r="C22" i="15"/>
  <c r="L22" i="15" s="1"/>
  <c r="E22" i="15" s="1"/>
  <c r="I46" i="15" l="1"/>
  <c r="J46" i="15"/>
  <c r="K46" i="15" s="1"/>
  <c r="D22" i="15"/>
  <c r="C23" i="15" s="1"/>
  <c r="L23" i="15" s="1"/>
  <c r="E23" i="15" s="1"/>
  <c r="I47" i="15" l="1"/>
  <c r="J47" i="15"/>
  <c r="K47" i="15" s="1"/>
  <c r="M22" i="15"/>
  <c r="F22" i="15" s="1"/>
  <c r="D23" i="15"/>
  <c r="C24" i="15" s="1"/>
  <c r="I48" i="15" l="1"/>
  <c r="J48" i="15"/>
  <c r="K48" i="15" s="1"/>
  <c r="M23" i="15"/>
  <c r="F23" i="15" s="1"/>
  <c r="L24" i="15"/>
  <c r="E24" i="15" s="1"/>
  <c r="I49" i="15" l="1"/>
  <c r="J49" i="15"/>
  <c r="K49" i="15" s="1"/>
  <c r="D24" i="15"/>
  <c r="I50" i="15" l="1"/>
  <c r="J50" i="15"/>
  <c r="K50" i="15" s="1"/>
  <c r="C25" i="15"/>
  <c r="M24" i="15"/>
  <c r="F24" i="15" s="1"/>
  <c r="I51" i="15" l="1"/>
  <c r="J51" i="15"/>
  <c r="K51" i="15" s="1"/>
  <c r="L25" i="15"/>
  <c r="E25" i="15" s="1"/>
  <c r="I52" i="15" l="1"/>
  <c r="J52" i="15"/>
  <c r="K52" i="15" s="1"/>
  <c r="D25" i="15"/>
  <c r="I53" i="15" l="1"/>
  <c r="J53" i="15"/>
  <c r="K53" i="15" s="1"/>
  <c r="C26" i="15"/>
  <c r="M25" i="15"/>
  <c r="F25" i="15" s="1"/>
  <c r="I54" i="15" l="1"/>
  <c r="J55" i="15" s="1"/>
  <c r="K55" i="15" s="1"/>
  <c r="I55" i="15" s="1"/>
  <c r="J54" i="15"/>
  <c r="K54" i="15" s="1"/>
  <c r="L26" i="15"/>
  <c r="D26" i="15" s="1"/>
  <c r="E26" i="15" l="1"/>
  <c r="M26" i="15" s="1"/>
  <c r="F26" i="15" s="1"/>
  <c r="C27" i="15"/>
  <c r="L27" i="15" l="1"/>
  <c r="D27" i="15" s="1"/>
  <c r="C28" i="15" s="1"/>
  <c r="E27" i="15" l="1"/>
  <c r="M27" i="15" s="1"/>
  <c r="F27" i="15" s="1"/>
  <c r="L28" i="15"/>
  <c r="D28" i="15" s="1"/>
  <c r="C29" i="15" s="1"/>
  <c r="E28" i="15" l="1"/>
  <c r="M28" i="15" s="1"/>
  <c r="F28" i="15" s="1"/>
  <c r="L29" i="15"/>
  <c r="D29" i="15" s="1"/>
  <c r="C30" i="15" s="1"/>
  <c r="E29" i="15" l="1"/>
  <c r="M29" i="15" s="1"/>
  <c r="F29" i="15" s="1"/>
  <c r="L30" i="15"/>
  <c r="D30" i="15" s="1"/>
  <c r="C31" i="15" s="1"/>
  <c r="E30" i="15" l="1"/>
  <c r="M30" i="15" s="1"/>
  <c r="F30" i="15" s="1"/>
  <c r="L31" i="15"/>
  <c r="D31" i="15" s="1"/>
  <c r="C32" i="15" l="1"/>
  <c r="E31" i="15"/>
  <c r="L32" i="15" l="1"/>
  <c r="E32" i="15" s="1"/>
  <c r="M31" i="15"/>
  <c r="F31" i="15" s="1"/>
  <c r="D32" i="15" l="1"/>
  <c r="M32" i="15" s="1"/>
  <c r="F32" i="15" s="1"/>
  <c r="C33" i="15" l="1"/>
  <c r="L33" i="15" s="1"/>
  <c r="E33" i="15" s="1"/>
  <c r="D33" i="15" l="1"/>
  <c r="M33" i="15" s="1"/>
  <c r="F33" i="15" s="1"/>
  <c r="C34" i="15" l="1"/>
  <c r="L34" i="15" l="1"/>
  <c r="E34" i="15" s="1"/>
  <c r="D34" i="15" l="1"/>
  <c r="M34" i="15" l="1"/>
  <c r="F34" i="15" s="1"/>
  <c r="C35" i="15"/>
  <c r="L35" i="15" l="1"/>
  <c r="E35" i="15" s="1"/>
  <c r="D35" i="15" l="1"/>
  <c r="C36" i="15" s="1"/>
  <c r="M35" i="15" l="1"/>
  <c r="F35" i="15" s="1"/>
  <c r="L36" i="15"/>
  <c r="E36" i="15" s="1"/>
  <c r="D36" i="15" l="1"/>
  <c r="M36" i="15" l="1"/>
  <c r="F36" i="15" s="1"/>
  <c r="C37" i="15"/>
  <c r="L37" i="15" l="1"/>
  <c r="E37" i="15" s="1"/>
  <c r="D37" i="15" l="1"/>
  <c r="M37" i="15" l="1"/>
  <c r="F37" i="15" s="1"/>
  <c r="C38" i="15"/>
  <c r="L38" i="15" l="1"/>
  <c r="E38" i="15" s="1"/>
  <c r="D38" i="15" l="1"/>
  <c r="M38" i="15" l="1"/>
  <c r="F38" i="15" s="1"/>
  <c r="C39" i="15"/>
  <c r="L39" i="15" l="1"/>
  <c r="E39" i="15" s="1"/>
  <c r="D39" i="15" l="1"/>
  <c r="M39" i="15" l="1"/>
  <c r="F39" i="15" s="1"/>
  <c r="C40" i="15"/>
  <c r="L40" i="15" l="1"/>
  <c r="E40" i="15" s="1"/>
  <c r="D40" i="15" l="1"/>
  <c r="M40" i="15" l="1"/>
  <c r="F40" i="15" s="1"/>
  <c r="C41" i="15"/>
  <c r="L41" i="15" l="1"/>
  <c r="D41" i="15" s="1"/>
  <c r="E41" i="15" l="1"/>
  <c r="M41" i="15" s="1"/>
  <c r="F41" i="15" s="1"/>
  <c r="C42" i="15"/>
  <c r="L42" i="15" l="1"/>
  <c r="E42" i="15" s="1"/>
  <c r="D42" i="15" l="1"/>
  <c r="C43" i="15" l="1"/>
  <c r="M42" i="15"/>
  <c r="F42" i="15" s="1"/>
  <c r="L43" i="15" l="1"/>
  <c r="D43" i="15" s="1"/>
  <c r="C44" i="15" s="1"/>
  <c r="C45" i="16" l="1"/>
  <c r="L44" i="15"/>
  <c r="E44" i="15" s="1"/>
  <c r="E45" i="16" s="1"/>
  <c r="E43" i="15"/>
  <c r="D44" i="15" l="1"/>
  <c r="M43" i="15"/>
  <c r="F43" i="15" s="1"/>
  <c r="M44" i="15" l="1"/>
  <c r="F44" i="15" s="1"/>
  <c r="D45" i="16"/>
  <c r="C45" i="15"/>
  <c r="L45" i="15" s="1"/>
  <c r="E45" i="15" s="1"/>
  <c r="E46" i="16" s="1"/>
  <c r="C46" i="16"/>
  <c r="D45" i="15" l="1"/>
  <c r="C46" i="15" l="1"/>
  <c r="C47" i="16" s="1"/>
  <c r="D46" i="16"/>
  <c r="M45" i="15"/>
  <c r="F45" i="15" s="1"/>
  <c r="F46" i="16" s="1"/>
  <c r="L46" i="15"/>
  <c r="E46" i="15" s="1"/>
  <c r="E47" i="16" s="1"/>
  <c r="D46" i="15" l="1"/>
  <c r="D47" i="16" s="1"/>
  <c r="C47" i="15" l="1"/>
  <c r="M46" i="15"/>
  <c r="F46" i="15" s="1"/>
  <c r="F47" i="16" s="1"/>
  <c r="C48" i="16" l="1"/>
  <c r="L47" i="15"/>
  <c r="E47" i="15" s="1"/>
  <c r="E48" i="16" s="1"/>
  <c r="D47" i="15" l="1"/>
  <c r="D48" i="16" s="1"/>
  <c r="M47" i="15" l="1"/>
  <c r="F47" i="15" s="1"/>
  <c r="F48" i="16" s="1"/>
  <c r="C48" i="15"/>
  <c r="C49" i="16" l="1"/>
  <c r="L48" i="15"/>
  <c r="E48" i="15" s="1"/>
  <c r="E49" i="16" s="1"/>
  <c r="D48" i="15" l="1"/>
  <c r="D49" i="16" s="1"/>
  <c r="M48" i="15" l="1"/>
  <c r="F48" i="15" s="1"/>
  <c r="F49" i="16" s="1"/>
  <c r="C49" i="15"/>
  <c r="C50" i="16" l="1"/>
  <c r="L49" i="15"/>
  <c r="E49" i="15" s="1"/>
  <c r="E50" i="16" s="1"/>
  <c r="D49" i="15" l="1"/>
  <c r="D50" i="16" s="1"/>
  <c r="M49" i="15" l="1"/>
  <c r="F49" i="15" s="1"/>
  <c r="C50" i="15"/>
  <c r="L50" i="15" l="1"/>
  <c r="E50" i="15" s="1"/>
  <c r="E51" i="16" s="1"/>
  <c r="C51" i="16"/>
  <c r="F50" i="16"/>
  <c r="D50" i="15" l="1"/>
  <c r="D51" i="16" s="1"/>
  <c r="M50" i="15" l="1"/>
  <c r="F50" i="15" s="1"/>
  <c r="C51" i="15"/>
  <c r="F51" i="16" l="1"/>
  <c r="C52" i="16"/>
  <c r="L51" i="15"/>
  <c r="E51" i="15" s="1"/>
  <c r="E52" i="16" s="1"/>
  <c r="D51" i="15" l="1"/>
  <c r="D52" i="16" s="1"/>
  <c r="M51" i="15" l="1"/>
  <c r="F51" i="15" s="1"/>
  <c r="C52" i="15"/>
  <c r="C53" i="16" l="1"/>
  <c r="L52" i="15"/>
  <c r="E52" i="15" s="1"/>
  <c r="E53" i="16" s="1"/>
  <c r="F52" i="16"/>
  <c r="D52" i="15" l="1"/>
  <c r="D53" i="16" s="1"/>
  <c r="M52" i="15" l="1"/>
  <c r="F52" i="15" s="1"/>
  <c r="C53" i="15"/>
  <c r="C54" i="16" l="1"/>
  <c r="L53" i="15"/>
  <c r="E53" i="15" s="1"/>
  <c r="E54" i="16" s="1"/>
  <c r="F53" i="16"/>
  <c r="D53" i="15" l="1"/>
  <c r="D54" i="16" s="1"/>
  <c r="M53" i="15" l="1"/>
  <c r="F53" i="15" s="1"/>
  <c r="C54" i="15"/>
  <c r="C55" i="16" l="1"/>
  <c r="L54" i="15"/>
  <c r="E54" i="15" s="1"/>
  <c r="E55" i="16" s="1"/>
  <c r="F54" i="16"/>
  <c r="D54" i="15" l="1"/>
  <c r="D55" i="16" s="1"/>
  <c r="M54" i="15" l="1"/>
  <c r="F54" i="15" s="1"/>
  <c r="F55" i="16" s="1"/>
  <c r="C55" i="15"/>
  <c r="C56" i="16" l="1"/>
  <c r="L55" i="15"/>
  <c r="E55" i="15" s="1"/>
  <c r="E56" i="16" s="1"/>
  <c r="E56" i="15" l="1"/>
  <c r="D55" i="15"/>
  <c r="D56" i="16" l="1"/>
  <c r="D56" i="15"/>
  <c r="M55" i="15"/>
  <c r="F55" i="15" s="1"/>
  <c r="F56" i="16" l="1"/>
  <c r="F56" i="15"/>
  <c r="F45" i="16" l="1"/>
  <c r="A15" i="13" l="1"/>
  <c r="A13" i="13" s="1"/>
  <c r="A13" i="2"/>
  <c r="A11" i="3" s="1"/>
  <c r="A57" i="3" s="1"/>
  <c r="A9" i="20"/>
  <c r="A8" i="19"/>
  <c r="A14" i="13"/>
  <c r="A21" i="23"/>
  <c r="A9" i="8" l="1"/>
  <c r="D14" i="16" l="1"/>
  <c r="E15" i="16" l="1"/>
  <c r="D15" i="16"/>
  <c r="C16" i="16" l="1"/>
  <c r="E16" i="16" l="1"/>
  <c r="D16" i="16" l="1"/>
  <c r="C17" i="16" l="1"/>
  <c r="E17" i="16" l="1"/>
  <c r="D17" i="16" l="1"/>
  <c r="C18" i="16" l="1"/>
  <c r="E18" i="16" l="1"/>
  <c r="D18" i="16" l="1"/>
  <c r="C19" i="16" l="1"/>
  <c r="E19" i="16" l="1"/>
  <c r="D19" i="16" l="1"/>
  <c r="C20" i="16" l="1"/>
  <c r="E20" i="16" l="1"/>
  <c r="D20" i="16" l="1"/>
  <c r="C21" i="16" l="1"/>
  <c r="E21" i="16" l="1"/>
  <c r="D21" i="16" l="1"/>
  <c r="C22" i="16" l="1"/>
  <c r="E22" i="16" l="1"/>
  <c r="D22" i="16" l="1"/>
  <c r="C23" i="16" l="1"/>
  <c r="E23" i="16" l="1"/>
  <c r="D23" i="16" l="1"/>
  <c r="C24" i="16" l="1"/>
  <c r="E24" i="16" l="1"/>
  <c r="D24" i="16" l="1"/>
  <c r="C25" i="16" l="1"/>
  <c r="E25" i="16" l="1"/>
  <c r="A15" i="2"/>
  <c r="A11" i="8" s="1"/>
  <c r="A23" i="23"/>
  <c r="D25" i="16" l="1"/>
  <c r="A13" i="3"/>
  <c r="A59" i="3" s="1"/>
  <c r="C26" i="16" l="1"/>
  <c r="E26" i="16" l="1"/>
  <c r="D26" i="16" l="1"/>
  <c r="C27" i="16" l="1"/>
  <c r="E27" i="16" l="1"/>
  <c r="D27" i="16" l="1"/>
  <c r="C28" i="16" l="1"/>
  <c r="E28" i="16" l="1"/>
  <c r="D28" i="16" l="1"/>
  <c r="C29" i="16" l="1"/>
  <c r="E29" i="16" l="1"/>
  <c r="D29" i="16" l="1"/>
  <c r="C30" i="16" l="1"/>
  <c r="E30" i="16" l="1"/>
  <c r="D30" i="16" l="1"/>
  <c r="C31" i="16" l="1"/>
  <c r="E31" i="16" l="1"/>
  <c r="D31" i="16" l="1"/>
  <c r="C32" i="16" l="1"/>
  <c r="E32" i="16" l="1"/>
  <c r="F32" i="16"/>
  <c r="D32" i="16" l="1"/>
  <c r="C33" i="16"/>
  <c r="F33" i="16"/>
  <c r="F34" i="16" l="1"/>
  <c r="E33" i="16"/>
  <c r="D33" i="16" l="1"/>
  <c r="F35" i="16"/>
  <c r="F36" i="16" l="1"/>
  <c r="C34" i="16"/>
  <c r="E34" i="16" l="1"/>
  <c r="F37" i="16"/>
  <c r="F38" i="16" l="1"/>
  <c r="D34" i="16"/>
  <c r="C35" i="16" l="1"/>
  <c r="F39" i="16"/>
  <c r="F40" i="16" l="1"/>
  <c r="E35" i="16"/>
  <c r="D35" i="16" l="1"/>
  <c r="F41" i="16"/>
  <c r="F42" i="16" l="1"/>
  <c r="C36" i="16"/>
  <c r="E36" i="16" l="1"/>
  <c r="F43" i="16"/>
  <c r="D36" i="16" l="1"/>
  <c r="C37" i="16" l="1"/>
  <c r="E37" i="16" l="1"/>
  <c r="D37" i="16" l="1"/>
  <c r="C38" i="16" l="1"/>
  <c r="E38" i="16" l="1"/>
  <c r="D38" i="16" l="1"/>
  <c r="C39" i="16" l="1"/>
  <c r="E39" i="16" l="1"/>
  <c r="D39" i="16" l="1"/>
  <c r="C40" i="16" l="1"/>
  <c r="E40" i="16" l="1"/>
  <c r="D40" i="16" l="1"/>
  <c r="C41" i="16" l="1"/>
  <c r="E41" i="16" l="1"/>
  <c r="D41" i="16" l="1"/>
  <c r="C42" i="16" l="1"/>
  <c r="E42" i="16" l="1"/>
  <c r="D42" i="16" l="1"/>
  <c r="C43" i="16" l="1"/>
  <c r="E43" i="16" l="1"/>
  <c r="D43" i="16" l="1"/>
  <c r="C44" i="16" l="1"/>
  <c r="E44" i="16" l="1"/>
  <c r="D44" i="16"/>
  <c r="F44" i="16" l="1"/>
  <c r="F9" i="16"/>
  <c r="F10" i="16"/>
  <c r="F11" i="16"/>
  <c r="F12" i="16"/>
  <c r="F13" i="16"/>
  <c r="F14" i="16"/>
  <c r="F15" i="16"/>
  <c r="F16" i="16"/>
  <c r="F17" i="16"/>
  <c r="F18" i="16"/>
  <c r="F19" i="16"/>
  <c r="F20" i="16"/>
  <c r="F21" i="16"/>
  <c r="F22" i="16"/>
  <c r="F23" i="16"/>
  <c r="F24" i="16"/>
  <c r="F25" i="16"/>
  <c r="F26" i="16"/>
  <c r="B90" i="1"/>
  <c r="F8" i="12" s="1"/>
  <c r="E57" i="16"/>
  <c r="E10" i="16"/>
  <c r="F31" i="16"/>
  <c r="F30" i="16"/>
  <c r="F29" i="16"/>
  <c r="F28" i="16"/>
  <c r="F27" i="16"/>
  <c r="C15" i="16"/>
  <c r="E14" i="16"/>
  <c r="C14" i="16"/>
  <c r="E13" i="16"/>
  <c r="C13" i="16"/>
  <c r="E12" i="16"/>
  <c r="C12" i="16"/>
  <c r="E11" i="16"/>
  <c r="C11" i="16"/>
  <c r="D13" i="16"/>
  <c r="D12" i="16"/>
  <c r="D11" i="16"/>
  <c r="C10" i="16"/>
  <c r="D57" i="16"/>
  <c r="D9" i="16"/>
  <c r="D10" i="16"/>
  <c r="F57" i="16" l="1"/>
  <c r="F9" i="12"/>
  <c r="D8" i="12"/>
  <c r="A23" i="3"/>
  <c r="A22" i="3" s="1"/>
  <c r="A24" i="3"/>
  <c r="C9" i="12" l="1"/>
  <c r="F10" i="12"/>
  <c r="F11" i="12" l="1"/>
  <c r="E9" i="12"/>
  <c r="F12" i="12" l="1"/>
  <c r="D9" i="12"/>
  <c r="F13" i="12" l="1"/>
  <c r="C10" i="12"/>
  <c r="E10" i="12" l="1"/>
  <c r="F14" i="12"/>
  <c r="F15" i="12" l="1"/>
  <c r="D10" i="12"/>
  <c r="C11" i="12" l="1"/>
  <c r="F16" i="12"/>
  <c r="F17" i="12" l="1"/>
  <c r="E11" i="12"/>
  <c r="D11" i="12" l="1"/>
  <c r="F18" i="12"/>
  <c r="F19" i="12" l="1"/>
  <c r="C12" i="12"/>
  <c r="E12" i="12" l="1"/>
  <c r="F20" i="12"/>
  <c r="F21" i="12" l="1"/>
  <c r="D12" i="12"/>
  <c r="C13" i="12" l="1"/>
  <c r="F22"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E23" i="12" l="1"/>
  <c r="D23" i="12" s="1"/>
  <c r="C24" i="12" s="1"/>
  <c r="F34" i="12"/>
  <c r="E24" i="12" l="1"/>
  <c r="D24" i="12" s="1"/>
  <c r="C25" i="12" s="1"/>
  <c r="F35" i="12"/>
  <c r="E25" i="12" l="1"/>
  <c r="D25" i="12" s="1"/>
  <c r="C26" i="12" s="1"/>
  <c r="F36" i="12"/>
  <c r="E26" i="12" l="1"/>
  <c r="D26" i="12" s="1"/>
  <c r="C27" i="12" s="1"/>
  <c r="F37" i="12"/>
  <c r="E27" i="12" l="1"/>
  <c r="D27" i="12" s="1"/>
  <c r="C28" i="12" s="1"/>
  <c r="F38" i="12"/>
  <c r="F39" i="12" l="1"/>
  <c r="E28" i="12"/>
  <c r="D28" i="12" s="1"/>
  <c r="C29" i="12" s="1"/>
  <c r="E29" i="12" l="1"/>
  <c r="D29" i="12" s="1"/>
  <c r="C30" i="12" s="1"/>
  <c r="F40" i="12"/>
  <c r="E30" i="12" l="1"/>
  <c r="D30" i="12" s="1"/>
  <c r="C31" i="12" s="1"/>
  <c r="F41" i="12"/>
  <c r="E31" i="12" l="1"/>
  <c r="D31" i="12" s="1"/>
  <c r="C32" i="12" s="1"/>
  <c r="F4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D43" i="12" l="1"/>
  <c r="E43" i="12"/>
  <c r="E56" i="12" s="1"/>
  <c r="F43" i="12" l="1"/>
  <c r="F56" i="12" s="1"/>
  <c r="D56" i="12"/>
</calcChain>
</file>

<file path=xl/sharedStrings.xml><?xml version="1.0" encoding="utf-8"?>
<sst xmlns="http://schemas.openxmlformats.org/spreadsheetml/2006/main" count="626" uniqueCount="444">
  <si>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</si>
  <si>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</si>
  <si>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</si>
  <si>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</si>
  <si>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</si>
  <si>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</si>
  <si>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</si>
  <si>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</si>
  <si>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</si>
  <si>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</si>
  <si>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</si>
  <si>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</si>
  <si>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</si>
  <si>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</si>
  <si>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</si>
  <si>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</si>
  <si>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</si>
  <si>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</si>
  <si>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</si>
  <si>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</si>
  <si>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</si>
  <si>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 кадастра</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</si>
  <si>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</si>
  <si>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</si>
  <si>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</si>
  <si>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</si>
  <si>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</si>
  <si>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</si>
  <si>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</si>
  <si>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</si>
  <si>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</si>
  <si>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</si>
  <si>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</si>
  <si>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</si>
  <si>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</si>
  <si>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</si>
  <si>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</si>
  <si>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</si>
  <si>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</si>
  <si>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</si>
  <si>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</si>
  <si>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</si>
  <si>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</si>
  <si>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</si>
  <si>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</si>
  <si>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</si>
  <si>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</si>
  <si>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</si>
  <si>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</si>
  <si>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</si>
  <si>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</si>
  <si>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</si>
  <si>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</si>
  <si>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</si>
  <si>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</si>
  <si>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</si>
  <si>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</si>
  <si>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</si>
  <si>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</si>
  <si>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</si>
  <si>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</si>
  <si>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</si>
  <si>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</si>
  <si>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</si>
  <si>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</si>
  <si>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</si>
  <si>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</si>
  <si>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</si>
  <si>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</si>
  <si>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</si>
  <si>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</si>
  <si>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</si>
  <si>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</si>
  <si>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</si>
  <si>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</si>
  <si>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</si>
  <si>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</si>
  <si>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</si>
  <si>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</si>
  <si>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</si>
  <si>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</si>
  <si>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</si>
  <si>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</si>
  <si>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</si>
  <si>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</si>
  <si>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</si>
  <si>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</si>
  <si>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</si>
  <si>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</si>
  <si>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</si>
  <si>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</si>
  <si>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</si>
  <si>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</si>
  <si>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</si>
  <si>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</si>
  <si>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</si>
  <si>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</si>
  <si>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</si>
  <si>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</si>
  <si>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</si>
  <si>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</si>
  <si>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</si>
  <si>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</si>
  <si>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</si>
  <si>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</si>
  <si>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</si>
  <si>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</si>
  <si>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</si>
  <si>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</si>
  <si>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</si>
  <si>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</si>
  <si>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</si>
  <si>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</si>
  <si>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</si>
  <si>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</si>
  <si>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</si>
  <si>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</si>
  <si>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</si>
  <si>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</si>
  <si>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</si>
  <si>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</si>
  <si>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</si>
  <si>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</si>
  <si>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</si>
  <si>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</si>
  <si>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</si>
  <si>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</si>
  <si>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</si>
  <si>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</si>
  <si>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</si>
  <si>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</si>
  <si>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</si>
  <si>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</si>
  <si>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</si>
  <si>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</si>
  <si>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</si>
  <si>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</si>
  <si>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</si>
  <si>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</si>
  <si>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</si>
  <si>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</si>
  <si>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</si>
  <si>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</si>
  <si>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</si>
  <si>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</si>
  <si>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Mikromoliya tashkiloti va Qarz oluvchi</t>
  </si>
  <si>
    <t>reestr raqami</t>
  </si>
  <si>
    <t>xonadon</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</si>
  <si>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</si>
  <si>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</si>
  <si>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</si>
  <si>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</si>
  <si>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</si>
  <si>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</si>
  <si>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</si>
  <si>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</si>
  <si>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</si>
  <si>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</si>
  <si>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</si>
  <si>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</si>
  <si>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</si>
  <si>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</si>
  <si>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</si>
  <si>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</si>
  <si>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</si>
  <si>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</si>
  <si>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</si>
  <si>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</si>
  <si>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</si>
  <si>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hujjat asosida</t>
  </si>
  <si>
    <t xml:space="preserve">Manzil </t>
  </si>
  <si>
    <t>h/r</t>
  </si>
  <si>
    <t>Bank MFOsi</t>
  </si>
  <si>
    <t>Bankning nomlanishi</t>
  </si>
  <si>
    <t>STIR</t>
  </si>
  <si>
    <t>Kreditlash bo’limi boshlig’i</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</si>
  <si>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</si>
  <si>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</si>
  <si>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</si>
  <si>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</si>
  <si>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</si>
  <si>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</si>
  <si>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</si>
  <si>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</si>
  <si>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</si>
  <si>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</si>
  <si>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</si>
  <si>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</si>
  <si>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</si>
  <si>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</si>
  <si>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</si>
  <si>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</si>
  <si>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</si>
  <si>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</si>
  <si>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</si>
  <si>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</si>
  <si>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</si>
  <si>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</si>
  <si>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</si>
  <si>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</si>
  <si>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Yashash xona</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</si>
  <si>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</si>
  <si>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</si>
  <si>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</si>
  <si>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</si>
  <si>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</si>
  <si>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</si>
  <si>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</si>
  <si>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</si>
  <si>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</si>
  <si>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</si>
  <si>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</si>
  <si>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</si>
  <si>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</si>
  <si>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</si>
  <si>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</si>
  <si>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</si>
  <si>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</si>
  <si>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</si>
  <si>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</si>
  <si>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</si>
  <si>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</si>
  <si>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</si>
  <si>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</si>
  <si>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</si>
  <si>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</si>
  <si>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</si>
  <si>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</si>
  <si>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</si>
  <si>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</si>
  <si>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</si>
  <si>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</si>
  <si>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</si>
  <si>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</si>
  <si>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</si>
  <si>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</si>
  <si>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</si>
  <si>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</si>
  <si>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</si>
  <si>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</si>
  <si>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</si>
  <si>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</si>
  <si>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</si>
  <si>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</si>
  <si>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</si>
  <si>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</si>
  <si>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</si>
  <si>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</si>
  <si>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</si>
  <si>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</si>
  <si>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</si>
  <si>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</si>
  <si>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</si>
  <si>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</si>
  <si>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</si>
  <si>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Yer uchastkasining foydalanish maydoni, m²</t>
  </si>
  <si>
    <t>Yashash maydoni, m²</t>
  </si>
  <si>
    <t>Umumiy maydoni, m²</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</si>
  <si>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</si>
  <si>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</si>
  <si>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</si>
  <si>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</si>
  <si>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</si>
  <si>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</si>
  <si>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</si>
  <si>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</si>
  <si>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</si>
  <si>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</si>
  <si>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</si>
  <si>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</si>
  <si>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</si>
  <si>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</si>
  <si>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</si>
  <si>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</si>
  <si>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</si>
  <si>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</si>
  <si>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</si>
  <si>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</si>
  <si>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</si>
  <si>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</si>
  <si>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</si>
  <si>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</si>
  <si>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</si>
  <si>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</si>
  <si>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</si>
  <si>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</si>
  <si>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</si>
  <si>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</si>
  <si>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</si>
  <si>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</si>
  <si>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</si>
  <si>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</si>
  <si>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</si>
  <si>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</si>
  <si>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</si>
  <si>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</si>
  <si>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</si>
  <si>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</si>
  <si>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</si>
  <si>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</si>
  <si>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</si>
  <si>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</si>
  <si>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</si>
  <si>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</si>
  <si>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</si>
  <si>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</si>
  <si>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</si>
  <si>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</si>
  <si>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</si>
  <si>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</si>
  <si>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</si>
  <si>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</si>
  <si>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</si>
  <si>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</si>
  <si>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</si>
  <si>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</si>
  <si>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</si>
  <si>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</si>
  <si>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</si>
  <si>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</si>
  <si>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</si>
  <si>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</si>
  <si>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</si>
  <si>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</si>
  <si>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</si>
  <si>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</si>
  <si>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</si>
  <si>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</si>
  <si>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</si>
  <si>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</si>
  <si>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</si>
  <si>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</si>
  <si>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</si>
  <si>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</si>
  <si>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</si>
  <si>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</si>
  <si>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</si>
  <si>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</si>
  <si>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</si>
  <si>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</si>
  <si>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</si>
  <si>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</si>
  <si>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</si>
  <si>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</si>
  <si>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</si>
  <si>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</si>
  <si>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</si>
  <si>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</si>
  <si>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</si>
  <si>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</si>
  <si>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</si>
  <si>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</si>
  <si>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</si>
  <si>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</si>
  <si>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</si>
  <si>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</si>
  <si>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</si>
  <si>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</si>
  <si>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</si>
  <si>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</si>
  <si>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</si>
  <si>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</si>
  <si>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</si>
  <si>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</si>
  <si>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</si>
  <si>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</si>
  <si>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</si>
  <si>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</si>
  <si>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</si>
  <si>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 xml:space="preserve"> masala yuzasidan berilgan ma’lumotlarni muhokama qilib, Kredit qo‘mitasi a’zolariga taqdim etilgan zarur hujjatlarni o‘rganib, majlisda ishtirok etgan Kredit qo‘mitasi a’zolarining taklif va mulohazalarini inobatga olgan holda </t>
  </si>
  <si>
    <t>Kredit bo'yicha menejer</t>
  </si>
  <si>
    <t>Ruzmatov S. R.</t>
  </si>
  <si>
    <t>Obidov A. Sh.</t>
  </si>
  <si>
    <t>Obidov Abdullo Shokir o'g'li</t>
  </si>
  <si>
    <t>«PULLOL BUSINESS MIKROMOLIYA TASHKILOTI»  MChJ</t>
  </si>
  <si>
    <t>Toshkent shahri, Yakkasaroy tumani, Rakat ko'chasi, 10-uy, 18 xonadon</t>
  </si>
  <si>
    <t>№01088</t>
  </si>
  <si>
    <t>Abduraximova T.N.</t>
  </si>
  <si>
    <t>(71) 555 10 02 17</t>
  </si>
  <si>
    <t>27-13/968</t>
  </si>
  <si>
    <t>14.08.2023y</t>
  </si>
  <si>
    <t>Bosh buxgalter FISh</t>
  </si>
  <si>
    <t>№ 20208000405643889001</t>
  </si>
  <si>
    <t>310430149</t>
  </si>
  <si>
    <t>ATB “Kapitalbank” Markaziy amaliyotlar bo'limi</t>
  </si>
  <si>
    <t>Umumiy maydon</t>
  </si>
  <si>
    <t>Umumiy foydali maydoni</t>
  </si>
  <si>
    <t>Ko'chmas mulkning umumiy maydoni</t>
  </si>
  <si>
    <t>Ko'chmas mulkning yashash maydoni</t>
  </si>
  <si>
    <t>6. Boshqa shartlar – ko'chmas mulk vositasi shaklida garov ta'minlangandan keyin mikroqarz berish.</t>
  </si>
  <si>
    <t>43.96</t>
  </si>
  <si>
    <t>18.82</t>
  </si>
  <si>
    <t>Eshbekov S.O.</t>
  </si>
  <si>
    <t>Direktor</t>
  </si>
  <si>
    <t>Direktori</t>
  </si>
  <si>
    <t>3</t>
  </si>
  <si>
    <t xml:space="preserve">                                    97 706 96 65</t>
  </si>
  <si>
    <t>yashash maydoni</t>
  </si>
  <si>
    <t>Mikroqarz</t>
  </si>
  <si>
    <t>Akramov R.N.</t>
  </si>
  <si>
    <t>55</t>
  </si>
  <si>
    <t>Mikrokredit</t>
  </si>
  <si>
    <t>qurilish osti maydoni</t>
  </si>
  <si>
    <t>Qurilish osti maydoni</t>
  </si>
  <si>
    <t>Qurilish osti maydoni, m²</t>
  </si>
  <si>
    <t>Yakka tartibdagi uy-joy</t>
  </si>
  <si>
    <t>umumiy yer maydoni, (m2)</t>
  </si>
  <si>
    <t>Umumiy yer maydoni, (m2)</t>
  </si>
  <si>
    <t>Umumiy yer maydoni, m²</t>
  </si>
  <si>
    <t>umumiy foydali maydoni</t>
  </si>
  <si>
    <t>Umumiy foydali maydoni, m²</t>
  </si>
  <si>
    <t>Qurilish osti maydoni, (m2)</t>
  </si>
  <si>
    <t>Umumiy foydali maydoni, (m2)</t>
  </si>
  <si>
    <t>Yashash maydoni, (m2)</t>
  </si>
  <si>
    <t>bir yuz ellik  besh</t>
  </si>
  <si>
    <t>bir yuz ellik besh</t>
  </si>
  <si>
    <t>155</t>
  </si>
  <si>
    <t>besh</t>
  </si>
  <si>
    <t>Djumanazarov B.A.</t>
  </si>
  <si>
    <t>Mijozning JSHIRi</t>
  </si>
  <si>
    <t>Mijoz quyidagi majburiyatlarga ega: "TOShKENT Sh., AT "XALQBАNKI"  BOSh AMALIYOTLAR BOSHQARMASI 2 430 827.00 so'm, Ayni paytda muddati o'tgan qarzdorligi mavjud emas. O‘rtacha oylik to‘lov 2 430 827.00  so‘mni tashkil qiladi.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</si>
  <si>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ega.____________</t>
  </si>
  <si>
    <t>To'rtko'l filiali boshlig’i</t>
  </si>
  <si>
    <t>Yigirma to'rt</t>
  </si>
  <si>
    <t>TO'RTKO'L SHAHRI</t>
  </si>
  <si>
    <t>Қорақалпоғистон Респ. Тўрткўл тумани</t>
  </si>
  <si>
    <t>ANNAZAROV KAXRAMAN SADULLAYEVICH</t>
  </si>
  <si>
    <t>30.01.1973 y</t>
  </si>
  <si>
    <t>AD 2849628</t>
  </si>
  <si>
    <t>IIV 35233</t>
  </si>
  <si>
    <t>VISHKI TARAF GRAF METANNI YONIDA</t>
  </si>
  <si>
    <t>01.04.2026 y. №23:08:40:01:04:0357</t>
  </si>
  <si>
    <t>№1735233/Y-26004624</t>
  </si>
  <si>
    <t>ANNAZAROV K.S.</t>
  </si>
  <si>
    <t>93 770 26 32 KLIENT</t>
  </si>
  <si>
    <t>93 369 60 50 AYOLI</t>
  </si>
  <si>
    <t>94 149 90 95 UYI</t>
  </si>
  <si>
    <t>Сантехника ишлари</t>
  </si>
  <si>
    <t>33001733420046</t>
  </si>
  <si>
    <t>QORAQALPOG'ISTON RESPUBLIKASI TO'RTKO'L TUMANI YOSHLIK MFY KALTAMINAR KO'CHASI 1B-UY</t>
  </si>
  <si>
    <t>MA'LUMOTNOMA №</t>
  </si>
  <si>
    <t>0013068264</t>
  </si>
  <si>
    <t>№310-TR</t>
  </si>
  <si>
    <t>03.04.2026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</si>
</sst>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 _₽_-;\-* #,##0.00\ _₽_-;_-* &quot;-&quot;??\ _₽_-;_-@_-"/>
    <numFmt numFmtId="164" formatCode="_-* #,##0.00_-;\-* #,##0.00_-;_-* &quot;-&quot;??_-;_-@_-"/>
    <numFmt numFmtId="165" formatCode="[$-F800]dddd\,\ mmmm\ dd\,\ yyyy"/>
    <numFmt numFmtId="166" formatCode="_-* #,##0.0000\ _₽_-;\-* #,##0.0000\ _₽_-;_-* &quot;-&quot;??\ _₽_-;_-@_-"/>
    <numFmt numFmtId="167" formatCode="_-* #,##0.000\ _₽_-;\-* #,##0.000\ _₽_-;_-* &quot;-&quot;??\ _₽_-;_-@_-"/>
    <numFmt numFmtId="168" formatCode="ddd"/>
  </numFmts>
  <fonts count="60">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sz val="12"/>
      <color rgb="FF585858"/>
      <name val="SegoeUI"/>
    </font>
    <font>
      <b/>
      <i/>
      <sz val="12"/>
      <color theme="1"/>
      <name val="Times New Roman"/>
      <family val="1"/>
      <charset val="204"/>
    </font>
    <font>
      <b/>
      <sz val="36"/>
      <color theme="1"/>
      <name val="Times New Roman"/>
      <family val="1"/>
      <charset val="204"/>
    </font>
    <font>
      <sz val="12"/>
      <name val="Arial"/>
      <family val="2"/>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11"/>
      <color theme="0"/>
      <name val="Arial"/>
      <family val="2"/>
      <charset val="204"/>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1"/>
      <color rgb="FF000000"/>
      <name val="Arial"/>
      <family val="2"/>
      <charset val="204"/>
    </font>
    <font>
      <sz val="8"/>
      <name val="Calibri"/>
      <family val="2"/>
      <scheme val="minor"/>
    </font>
    <font>
      <sz val="18"/>
      <name val="Arial"/>
      <family val="2"/>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39">
    <xf numFmtId="0" fontId="0"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56" fillId="0" borderId="0">
      <alignment vertical="center"/>
    </xf>
    <xf numFmtId="0" fontId="56" fillId="0" borderId="0">
      <alignment vertical="center"/>
    </xf>
    <xf numFmtId="164"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387">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5" fillId="2" borderId="1" xfId="0" applyFont="1" applyFill="1" applyBorder="1" applyAlignment="1">
      <alignment vertical="center" wrapText="1"/>
    </xf>
    <xf numFmtId="0" fontId="4" fillId="0" borderId="0" xfId="0" applyFont="1"/>
    <xf numFmtId="0" fontId="6" fillId="0" borderId="0" xfId="0" applyFont="1"/>
    <xf numFmtId="0" fontId="5" fillId="0" borderId="0" xfId="0" applyFont="1" applyAlignment="1">
      <alignment vertical="center" wrapText="1"/>
    </xf>
    <xf numFmtId="0" fontId="4" fillId="0" borderId="0" xfId="0" applyFont="1" applyAlignment="1">
      <alignment vertical="center" wrapText="1"/>
    </xf>
    <xf numFmtId="165" fontId="4" fillId="0" borderId="1" xfId="0" applyNumberFormat="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43" fontId="4"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164" fontId="16" fillId="0" borderId="1" xfId="1" applyFont="1" applyBorder="1" applyAlignment="1">
      <alignment horizontal="center" vertical="top" wrapText="1"/>
    </xf>
    <xf numFmtId="0" fontId="15" fillId="0" borderId="1" xfId="0" applyFont="1" applyBorder="1" applyAlignment="1">
      <alignment horizontal="center" vertical="top" wrapText="1"/>
    </xf>
    <xf numFmtId="164"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164" fontId="13" fillId="0" borderId="1" xfId="1" applyFont="1" applyBorder="1"/>
    <xf numFmtId="14" fontId="13" fillId="0" borderId="0" xfId="0" applyNumberFormat="1" applyFont="1"/>
    <xf numFmtId="164"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164" fontId="14" fillId="0" borderId="1" xfId="1" applyFont="1" applyBorder="1"/>
    <xf numFmtId="0" fontId="4" fillId="4" borderId="1" xfId="0" applyFont="1" applyFill="1" applyBorder="1" applyAlignment="1">
      <alignment vertical="center" wrapText="1"/>
    </xf>
    <xf numFmtId="16" fontId="4" fillId="0" borderId="0" xfId="0" applyNumberFormat="1" applyFont="1"/>
    <xf numFmtId="0" fontId="4" fillId="0" borderId="1" xfId="0" applyFont="1" applyBorder="1"/>
    <xf numFmtId="0" fontId="13" fillId="0" borderId="1" xfId="0" applyFont="1" applyBorder="1" applyAlignment="1">
      <alignment horizontal="justify" vertical="top" wrapText="1"/>
    </xf>
    <xf numFmtId="0" fontId="14" fillId="0" borderId="1" xfId="0" applyFont="1" applyBorder="1" applyAlignment="1">
      <alignment horizontal="justify" vertical="top" wrapText="1"/>
    </xf>
    <xf numFmtId="0" fontId="5" fillId="0" borderId="0" xfId="0" applyFont="1" applyAlignment="1">
      <alignment vertical="center"/>
    </xf>
    <xf numFmtId="0" fontId="14" fillId="0" borderId="0" xfId="0" applyFont="1" applyAlignment="1">
      <alignment horizontal="center" vertical="center" wrapText="1"/>
    </xf>
    <xf numFmtId="164" fontId="13" fillId="0" borderId="1" xfId="1" applyFont="1" applyBorder="1" applyAlignment="1">
      <alignment horizontal="justify" vertical="top" wrapText="1"/>
    </xf>
    <xf numFmtId="164" fontId="14" fillId="0" borderId="1" xfId="1" applyFont="1" applyBorder="1" applyAlignment="1">
      <alignment horizontal="justify" vertical="top" wrapText="1"/>
    </xf>
    <xf numFmtId="164" fontId="14" fillId="0" borderId="1" xfId="1" applyFont="1" applyBorder="1" applyAlignment="1">
      <alignment horizontal="center" vertical="top" wrapText="1"/>
    </xf>
    <xf numFmtId="164" fontId="26" fillId="0" borderId="1" xfId="1" applyFont="1" applyBorder="1"/>
    <xf numFmtId="164" fontId="4"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4"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0" fontId="6" fillId="5" borderId="0" xfId="0" applyFont="1" applyFill="1"/>
    <xf numFmtId="0" fontId="28" fillId="0" borderId="0" xfId="0" applyFont="1"/>
    <xf numFmtId="165"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31" fillId="0" borderId="0" xfId="0" applyFont="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164" fontId="4" fillId="4" borderId="3" xfId="1" applyFont="1" applyFill="1" applyBorder="1" applyAlignment="1">
      <alignment vertical="center" wrapText="1"/>
    </xf>
    <xf numFmtId="0" fontId="34" fillId="5" borderId="16" xfId="0" applyFont="1" applyFill="1" applyBorder="1"/>
    <xf numFmtId="0" fontId="5" fillId="2" borderId="1" xfId="0" applyFont="1" applyFill="1" applyBorder="1" applyAlignment="1">
      <alignment horizontal="right" vertical="center" wrapText="1"/>
    </xf>
    <xf numFmtId="43" fontId="4"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4" fillId="6" borderId="1" xfId="0" applyFont="1" applyFill="1" applyBorder="1" applyAlignment="1">
      <alignment vertical="center" wrapText="1"/>
    </xf>
    <xf numFmtId="14" fontId="4" fillId="4" borderId="0" xfId="0" applyNumberFormat="1" applyFont="1" applyFill="1"/>
    <xf numFmtId="0" fontId="4" fillId="6" borderId="13" xfId="0" applyFont="1" applyFill="1" applyBorder="1" applyAlignment="1">
      <alignment vertical="center"/>
    </xf>
    <xf numFmtId="0" fontId="4" fillId="6" borderId="0" xfId="0" applyFont="1" applyFill="1"/>
    <xf numFmtId="0" fontId="4" fillId="2" borderId="1" xfId="0" applyFont="1" applyFill="1" applyBorder="1"/>
    <xf numFmtId="0" fontId="4" fillId="2" borderId="1" xfId="0" applyFont="1" applyFill="1" applyBorder="1" applyAlignment="1">
      <alignment wrapText="1"/>
    </xf>
    <xf numFmtId="165" fontId="4" fillId="2" borderId="1" xfId="0" applyNumberFormat="1" applyFont="1" applyFill="1" applyBorder="1" applyAlignment="1">
      <alignment horizontal="left" vertical="center" wrapText="1"/>
    </xf>
    <xf numFmtId="14" fontId="4" fillId="6" borderId="1" xfId="0" applyNumberFormat="1" applyFont="1" applyFill="1" applyBorder="1" applyAlignment="1">
      <alignment vertical="center" wrapText="1"/>
    </xf>
    <xf numFmtId="165" fontId="4" fillId="6" borderId="1" xfId="0" applyNumberFormat="1" applyFont="1" applyFill="1" applyBorder="1" applyAlignment="1">
      <alignment vertical="center" wrapText="1"/>
    </xf>
    <xf numFmtId="0" fontId="4" fillId="7" borderId="1" xfId="0" applyFont="1" applyFill="1" applyBorder="1" applyAlignment="1">
      <alignment vertical="center" wrapText="1"/>
    </xf>
    <xf numFmtId="9" fontId="4" fillId="7" borderId="1" xfId="0" applyNumberFormat="1" applyFont="1" applyFill="1" applyBorder="1" applyAlignment="1">
      <alignment vertical="center" wrapText="1"/>
    </xf>
    <xf numFmtId="49" fontId="4" fillId="7" borderId="1" xfId="1" applyNumberFormat="1" applyFont="1" applyFill="1" applyBorder="1" applyAlignment="1">
      <alignment vertical="center" wrapText="1"/>
    </xf>
    <xf numFmtId="40" fontId="4" fillId="7" borderId="1" xfId="1" applyNumberFormat="1" applyFont="1" applyFill="1" applyBorder="1" applyAlignment="1">
      <alignment vertical="center" wrapText="1"/>
    </xf>
    <xf numFmtId="0" fontId="4" fillId="6"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49" fontId="4" fillId="4" borderId="1" xfId="0" applyNumberFormat="1" applyFont="1" applyFill="1" applyBorder="1" applyAlignment="1">
      <alignment horizontal="left" vertical="center" wrapText="1"/>
    </xf>
    <xf numFmtId="0" fontId="35" fillId="0" borderId="0" xfId="0" applyFont="1"/>
    <xf numFmtId="0" fontId="26" fillId="0" borderId="0" xfId="0" applyFont="1"/>
    <xf numFmtId="0" fontId="35" fillId="0" borderId="0" xfId="0" applyFont="1" applyAlignment="1">
      <alignment horizontal="right"/>
    </xf>
    <xf numFmtId="43"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14" fontId="26" fillId="0" borderId="0" xfId="0" applyNumberFormat="1" applyFont="1"/>
    <xf numFmtId="164"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8"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2" fontId="14" fillId="0" borderId="1" xfId="0" applyNumberFormat="1" applyFont="1" applyBorder="1" applyAlignment="1">
      <alignment horizontal="justify" vertical="top" wrapText="1"/>
    </xf>
    <xf numFmtId="164" fontId="13" fillId="0" borderId="1" xfId="1" applyFont="1" applyBorder="1" applyAlignment="1">
      <alignment horizontal="center" vertical="top" wrapText="1"/>
    </xf>
    <xf numFmtId="164" fontId="13" fillId="0" borderId="1" xfId="1" applyFont="1" applyBorder="1" applyAlignment="1">
      <alignment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164" fontId="0" fillId="4" borderId="1" xfId="1" applyFont="1" applyFill="1" applyBorder="1"/>
    <xf numFmtId="0" fontId="25"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43"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4" fillId="3" borderId="1" xfId="0" applyFont="1" applyFill="1" applyBorder="1" applyAlignment="1">
      <alignment horizontal="center" vertical="center" wrapText="1"/>
    </xf>
    <xf numFmtId="0" fontId="13" fillId="0" borderId="0" xfId="0" applyFont="1" applyAlignment="1">
      <alignment vertical="top"/>
    </xf>
    <xf numFmtId="14" fontId="4"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4" fillId="4" borderId="1" xfId="0" applyNumberFormat="1" applyFont="1" applyFill="1" applyBorder="1" applyAlignment="1">
      <alignment vertical="center" wrapText="1"/>
    </xf>
    <xf numFmtId="0" fontId="13" fillId="0" borderId="0" xfId="0" applyFont="1" applyAlignment="1">
      <alignment horizontal="right"/>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11" fontId="4"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43" fontId="4" fillId="4" borderId="3" xfId="0" applyNumberFormat="1" applyFont="1" applyFill="1" applyBorder="1" applyAlignment="1">
      <alignment horizontal="left" vertical="top" wrapText="1"/>
    </xf>
    <xf numFmtId="0" fontId="4"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43" fontId="4" fillId="4" borderId="1" xfId="0" applyNumberFormat="1" applyFont="1" applyFill="1" applyBorder="1" applyAlignment="1">
      <alignment vertical="center" wrapText="1"/>
    </xf>
    <xf numFmtId="0" fontId="16" fillId="0" borderId="0" xfId="0" applyFont="1" applyAlignment="1">
      <alignment horizontal="center" vertical="top" wrapText="1"/>
    </xf>
    <xf numFmtId="0" fontId="4" fillId="5" borderId="0" xfId="0" applyFont="1" applyFill="1"/>
    <xf numFmtId="0" fontId="44" fillId="2" borderId="1" xfId="0" applyFont="1" applyFill="1" applyBorder="1" applyAlignment="1">
      <alignment vertical="center" wrapText="1"/>
    </xf>
    <xf numFmtId="0" fontId="4" fillId="9" borderId="1" xfId="0" applyFont="1" applyFill="1" applyBorder="1" applyAlignment="1">
      <alignment vertical="center" wrapText="1"/>
    </xf>
    <xf numFmtId="0" fontId="4" fillId="3" borderId="1" xfId="0" applyFont="1" applyFill="1" applyBorder="1" applyAlignment="1">
      <alignment horizontal="center" vertical="center"/>
    </xf>
    <xf numFmtId="0" fontId="4" fillId="10" borderId="0" xfId="0" applyFont="1" applyFill="1"/>
    <xf numFmtId="0" fontId="42" fillId="0" borderId="0" xfId="0" applyFont="1" applyAlignment="1">
      <alignment vertical="center"/>
    </xf>
    <xf numFmtId="0" fontId="2" fillId="0" borderId="0" xfId="0" applyFont="1"/>
    <xf numFmtId="0" fontId="45" fillId="0" borderId="0" xfId="0" applyFont="1" applyAlignment="1">
      <alignment vertical="center"/>
    </xf>
    <xf numFmtId="0" fontId="46" fillId="0" borderId="0" xfId="0" applyFont="1" applyAlignment="1">
      <alignment wrapText="1"/>
    </xf>
    <xf numFmtId="0" fontId="7" fillId="0" borderId="0" xfId="0" applyFont="1" applyAlignment="1">
      <alignment wrapText="1"/>
    </xf>
    <xf numFmtId="0" fontId="14" fillId="0" borderId="0" xfId="0" applyFont="1" applyAlignment="1">
      <alignment horizontal="right" wrapText="1"/>
    </xf>
    <xf numFmtId="0" fontId="48" fillId="0" borderId="0" xfId="0" applyFont="1"/>
    <xf numFmtId="49" fontId="4" fillId="0" borderId="0" xfId="0" applyNumberFormat="1" applyFont="1"/>
    <xf numFmtId="0" fontId="49"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2"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25" fillId="0" borderId="19" xfId="0" applyFont="1" applyBorder="1"/>
    <xf numFmtId="0" fontId="25" fillId="0" borderId="20" xfId="0" applyFont="1" applyBorder="1"/>
    <xf numFmtId="0" fontId="25" fillId="0" borderId="4" xfId="0" applyFont="1" applyBorder="1"/>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29" fillId="0" borderId="18" xfId="0" applyFont="1" applyBorder="1" applyAlignment="1">
      <alignment horizontal="justify" vertical="top" wrapText="1"/>
    </xf>
    <xf numFmtId="0" fontId="13" fillId="0" borderId="0" xfId="0" applyFont="1" applyAlignment="1">
      <alignment horizontal="left"/>
    </xf>
    <xf numFmtId="0" fontId="8" fillId="0" borderId="0" xfId="0" applyFont="1" applyAlignment="1">
      <alignment horizontal="right" wrapText="1"/>
    </xf>
    <xf numFmtId="14" fontId="4"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8" fillId="0" borderId="0" xfId="0" applyFont="1" applyAlignment="1">
      <alignment wrapText="1"/>
    </xf>
    <xf numFmtId="0" fontId="51" fillId="11" borderId="2" xfId="0" applyFont="1" applyFill="1" applyBorder="1" applyAlignment="1">
      <alignment horizontal="left" vertical="center" wrapText="1"/>
    </xf>
    <xf numFmtId="0" fontId="51" fillId="11" borderId="24" xfId="0" applyFont="1" applyFill="1" applyBorder="1" applyAlignment="1">
      <alignment horizontal="left" vertical="center" wrapText="1"/>
    </xf>
    <xf numFmtId="0" fontId="7" fillId="5" borderId="0" xfId="0" applyFont="1" applyFill="1" applyAlignment="1">
      <alignment horizontal="center" wrapText="1"/>
    </xf>
    <xf numFmtId="49" fontId="28" fillId="4" borderId="1" xfId="0" applyNumberFormat="1" applyFont="1" applyFill="1" applyBorder="1" applyAlignment="1">
      <alignment vertical="center" wrapText="1"/>
    </xf>
    <xf numFmtId="164" fontId="14" fillId="0" borderId="1" xfId="0" applyNumberFormat="1" applyFont="1" applyBorder="1" applyAlignment="1">
      <alignment horizontal="justify" vertical="top" wrapText="1"/>
    </xf>
    <xf numFmtId="49" fontId="13" fillId="0" borderId="1" xfId="1" applyNumberFormat="1" applyFont="1" applyBorder="1" applyAlignment="1">
      <alignment horizontal="center" vertical="top" wrapText="1"/>
    </xf>
    <xf numFmtId="49" fontId="13" fillId="0" borderId="1" xfId="1" applyNumberFormat="1" applyFont="1" applyBorder="1" applyAlignment="1">
      <alignment horizontal="justify" vertical="top" wrapText="1"/>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35" fillId="4" borderId="1" xfId="0" applyFont="1" applyFill="1" applyBorder="1"/>
    <xf numFmtId="14" fontId="35" fillId="4" borderId="1" xfId="0" applyNumberFormat="1" applyFont="1" applyFill="1" applyBorder="1"/>
    <xf numFmtId="164" fontId="35" fillId="4" borderId="1" xfId="1" applyFont="1" applyFill="1" applyBorder="1"/>
    <xf numFmtId="0" fontId="26" fillId="4" borderId="0" xfId="0" applyFont="1" applyFill="1"/>
    <xf numFmtId="0" fontId="13" fillId="4" borderId="0" xfId="0" applyFont="1" applyFill="1"/>
    <xf numFmtId="14" fontId="14" fillId="0" borderId="0" xfId="0" applyNumberFormat="1" applyFont="1"/>
    <xf numFmtId="164" fontId="14" fillId="0" borderId="0" xfId="1" applyFont="1" applyBorder="1"/>
    <xf numFmtId="0" fontId="25" fillId="9" borderId="0" xfId="0" applyFont="1" applyFill="1"/>
    <xf numFmtId="0" fontId="14" fillId="0" borderId="3" xfId="0" applyFont="1" applyBorder="1" applyAlignment="1">
      <alignment vertical="center" wrapText="1"/>
    </xf>
    <xf numFmtId="0" fontId="5" fillId="9" borderId="1" xfId="0" applyFont="1" applyFill="1" applyBorder="1" applyAlignment="1">
      <alignment vertical="center" wrapText="1"/>
    </xf>
    <xf numFmtId="14" fontId="4" fillId="9" borderId="1" xfId="0" applyNumberFormat="1" applyFont="1" applyFill="1" applyBorder="1" applyAlignment="1">
      <alignment vertical="center" wrapText="1"/>
    </xf>
    <xf numFmtId="0" fontId="4" fillId="4" borderId="1" xfId="0" applyFont="1" applyFill="1" applyBorder="1" applyAlignment="1">
      <alignment horizontal="left"/>
    </xf>
    <xf numFmtId="0" fontId="44" fillId="9" borderId="1" xfId="0" applyFont="1" applyFill="1" applyBorder="1" applyAlignment="1">
      <alignment vertical="center" wrapText="1"/>
    </xf>
    <xf numFmtId="164" fontId="4" fillId="9" borderId="1" xfId="1" applyFont="1" applyFill="1" applyBorder="1" applyAlignment="1">
      <alignment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left" vertical="center"/>
    </xf>
    <xf numFmtId="0" fontId="57" fillId="4" borderId="0" xfId="0" applyFont="1" applyFill="1" applyAlignment="1">
      <alignment horizontal="left"/>
    </xf>
    <xf numFmtId="0" fontId="7" fillId="5" borderId="0" xfId="0" applyFont="1" applyFill="1"/>
    <xf numFmtId="0" fontId="4" fillId="9" borderId="1" xfId="0" applyFont="1" applyFill="1" applyBorder="1"/>
    <xf numFmtId="164" fontId="59" fillId="4" borderId="1" xfId="1" applyFont="1" applyFill="1" applyBorder="1" applyAlignment="1">
      <alignment vertical="center" wrapText="1"/>
    </xf>
    <xf numFmtId="164" fontId="25" fillId="4" borderId="1" xfId="1" applyFont="1" applyFill="1" applyBorder="1" applyAlignment="1">
      <alignment vertical="center" wrapText="1"/>
    </xf>
    <xf numFmtId="0" fontId="28" fillId="4" borderId="1" xfId="0" applyNumberFormat="1" applyFont="1" applyFill="1" applyBorder="1" applyAlignment="1">
      <alignment vertical="center" wrapText="1"/>
    </xf>
    <xf numFmtId="0" fontId="13" fillId="0" borderId="0" xfId="0" applyFont="1" applyAlignment="1">
      <alignment horizontal="justify" vertical="top" wrapText="1"/>
    </xf>
    <xf numFmtId="0" fontId="47"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3" fillId="0" borderId="17" xfId="0" applyFont="1" applyBorder="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left" vertical="top" wrapText="1"/>
    </xf>
    <xf numFmtId="0" fontId="35" fillId="0" borderId="0" xfId="0" applyFont="1" applyAlignment="1">
      <alignment horizontal="center" vertical="center"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7" fillId="0" borderId="0" xfId="0" applyFont="1" applyAlignment="1">
      <alignment horizontal="center" vertical="top" wrapText="1"/>
    </xf>
    <xf numFmtId="0" fontId="26" fillId="0" borderId="0" xfId="0" applyFont="1" applyAlignment="1">
      <alignment horizontal="center" wrapText="1"/>
    </xf>
    <xf numFmtId="0" fontId="35" fillId="0" borderId="0" xfId="0" applyFont="1" applyAlignment="1">
      <alignment horizontal="center" vertical="top" wrapText="1"/>
    </xf>
    <xf numFmtId="0" fontId="26"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7" fillId="4" borderId="0" xfId="0" applyFont="1" applyFill="1" applyAlignment="1">
      <alignment horizontal="justify" vertical="top" wrapText="1"/>
    </xf>
    <xf numFmtId="0" fontId="8" fillId="0" borderId="0" xfId="0" applyFont="1" applyAlignment="1">
      <alignment horizontal="left" vertical="center"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vertical="center"/>
    </xf>
    <xf numFmtId="0" fontId="7" fillId="5" borderId="0" xfId="0" applyFont="1" applyFill="1" applyAlignment="1">
      <alignment horizontal="left" vertical="top" wrapText="1"/>
    </xf>
    <xf numFmtId="0" fontId="27" fillId="5" borderId="0" xfId="0" applyFont="1" applyFill="1" applyAlignment="1">
      <alignment horizontal="left" vertical="top" wrapText="1"/>
    </xf>
    <xf numFmtId="0" fontId="7" fillId="0" borderId="0" xfId="0" applyFont="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7" fillId="5" borderId="0" xfId="0" applyFont="1" applyFill="1" applyAlignment="1">
      <alignment vertical="top" wrapText="1"/>
    </xf>
    <xf numFmtId="0" fontId="27" fillId="0" borderId="0" xfId="0" applyFont="1" applyAlignment="1">
      <alignment horizontal="left" vertical="top" wrapText="1"/>
    </xf>
    <xf numFmtId="0" fontId="32" fillId="0" borderId="0" xfId="0" applyFont="1" applyAlignment="1">
      <alignment horizontal="center" vertical="top" wrapText="1"/>
    </xf>
    <xf numFmtId="0" fontId="8" fillId="0" borderId="0" xfId="0" applyFont="1" applyAlignment="1">
      <alignment horizontal="center" vertical="top" wrapText="1"/>
    </xf>
    <xf numFmtId="0" fontId="32" fillId="0" borderId="0" xfId="0" applyFont="1" applyAlignment="1">
      <alignment horizontal="left"/>
    </xf>
    <xf numFmtId="0" fontId="8" fillId="0" borderId="0" xfId="0" applyFont="1" applyAlignment="1">
      <alignment horizontal="center" wrapText="1"/>
    </xf>
    <xf numFmtId="0" fontId="55" fillId="0" borderId="0" xfId="0" applyFont="1" applyAlignment="1">
      <alignment horizontal="center" wrapText="1"/>
    </xf>
    <xf numFmtId="0" fontId="14" fillId="0" borderId="0" xfId="0" applyFont="1" applyAlignment="1">
      <alignment horizontal="left" vertical="top" wrapText="1"/>
    </xf>
    <xf numFmtId="0" fontId="7" fillId="0" borderId="0" xfId="0" applyFont="1" applyAlignment="1">
      <alignment horizontal="left"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24" fillId="0" borderId="0" xfId="0" applyFont="1" applyAlignment="1">
      <alignment horizontal="right" vertical="top" wrapText="1"/>
    </xf>
    <xf numFmtId="0" fontId="13" fillId="0" borderId="3" xfId="0" applyFont="1" applyBorder="1" applyAlignment="1">
      <alignment horizontal="center" vertical="top" wrapText="1"/>
    </xf>
    <xf numFmtId="0" fontId="13" fillId="0" borderId="18" xfId="0" applyFont="1" applyBorder="1" applyAlignment="1">
      <alignment horizontal="center" vertical="top" wrapText="1"/>
    </xf>
    <xf numFmtId="0" fontId="13" fillId="0" borderId="2" xfId="0" applyFont="1" applyBorder="1" applyAlignment="1">
      <alignment horizontal="center" vertical="top" wrapText="1"/>
    </xf>
    <xf numFmtId="0" fontId="13" fillId="0" borderId="17" xfId="0" applyFont="1" applyBorder="1" applyAlignment="1">
      <alignment horizontal="justify" vertical="top" wrapText="1"/>
    </xf>
    <xf numFmtId="0" fontId="26" fillId="0" borderId="3" xfId="0" applyFont="1" applyBorder="1" applyAlignment="1">
      <alignment horizontal="center" vertical="top" wrapText="1"/>
    </xf>
    <xf numFmtId="0" fontId="26" fillId="0" borderId="18" xfId="0" applyFont="1" applyBorder="1" applyAlignment="1">
      <alignment horizontal="center" vertical="top" wrapText="1"/>
    </xf>
    <xf numFmtId="0" fontId="26" fillId="0" borderId="2" xfId="0" applyFont="1" applyBorder="1" applyAlignment="1">
      <alignment horizontal="center" vertical="top" wrapText="1"/>
    </xf>
    <xf numFmtId="0" fontId="14" fillId="0" borderId="18" xfId="0" applyFont="1" applyBorder="1" applyAlignment="1">
      <alignment horizontal="center" vertical="center" wrapText="1"/>
    </xf>
    <xf numFmtId="0" fontId="14" fillId="0" borderId="3" xfId="0" applyFont="1" applyBorder="1" applyAlignment="1">
      <alignment horizontal="center" vertical="top" wrapText="1"/>
    </xf>
    <xf numFmtId="0" fontId="14" fillId="0" borderId="18" xfId="0" applyFont="1" applyBorder="1" applyAlignment="1">
      <alignment horizontal="center" vertical="top" wrapText="1"/>
    </xf>
    <xf numFmtId="0" fontId="14" fillId="0" borderId="2" xfId="0" applyFont="1" applyBorder="1" applyAlignment="1">
      <alignment horizontal="center"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3" fillId="0" borderId="8" xfId="0" applyFont="1" applyBorder="1" applyAlignment="1">
      <alignment horizontal="center" wrapText="1"/>
    </xf>
    <xf numFmtId="0" fontId="33" fillId="0" borderId="0" xfId="0" applyFont="1" applyAlignment="1">
      <alignment horizontal="center" wrapText="1"/>
    </xf>
    <xf numFmtId="0" fontId="33"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3"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3" fillId="0" borderId="0" xfId="0" applyFont="1" applyAlignment="1">
      <alignment horizontal="left"/>
    </xf>
    <xf numFmtId="0" fontId="16" fillId="0" borderId="0" xfId="0" applyFont="1" applyAlignment="1">
      <alignment horizontal="left"/>
    </xf>
    <xf numFmtId="0" fontId="16" fillId="0" borderId="0" xfId="0" applyFont="1" applyAlignment="1">
      <alignment horizontal="justify" vertical="top" wrapText="1" readingOrder="1"/>
    </xf>
    <xf numFmtId="0" fontId="15" fillId="0" borderId="0" xfId="0" applyFont="1" applyAlignment="1">
      <alignment horizontal="center" wrapText="1"/>
    </xf>
    <xf numFmtId="0" fontId="43" fillId="0" borderId="0" xfId="0" applyFont="1" applyAlignment="1">
      <alignment horizontal="left" vertical="center" wrapText="1" readingOrder="1"/>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6" fillId="0" borderId="1" xfId="0" applyFont="1" applyBorder="1" applyAlignment="1">
      <alignment horizontal="center" vertical="center" wrapText="1"/>
    </xf>
  </cellXfs>
  <cellStyles count="139">
    <cellStyle name="Обычный" xfId="0" builtinId="0"/>
    <cellStyle name="Обычный 10" xfId="72"/>
    <cellStyle name="Обычный 11" xfId="73"/>
    <cellStyle name="Обычный 2" xfId="63"/>
    <cellStyle name="Обычный 3" xfId="64"/>
    <cellStyle name="Обычный 4" xfId="66"/>
    <cellStyle name="Обычный 5" xfId="67"/>
    <cellStyle name="Обычный 6" xfId="68"/>
    <cellStyle name="Обычный 7" xfId="69"/>
    <cellStyle name="Обычный 8" xfId="70"/>
    <cellStyle name="Обычный 9" xfId="71"/>
    <cellStyle name="Финансовый" xfId="1" builtinId="3"/>
    <cellStyle name="Финансовый 10" xfId="125"/>
    <cellStyle name="Финансовый 11" xfId="61"/>
    <cellStyle name="Финансовый 12" xfId="49"/>
    <cellStyle name="Финансовый 13" xfId="127"/>
    <cellStyle name="Финансовый 14" xfId="25"/>
    <cellStyle name="Финансовый 15" xfId="13"/>
    <cellStyle name="Финансовый 2" xfId="2"/>
    <cellStyle name="Финансовый 2 10" xfId="62"/>
    <cellStyle name="Финансовый 2 11" xfId="50"/>
    <cellStyle name="Финансовый 2 12" xfId="128"/>
    <cellStyle name="Финансовый 2 13" xfId="26"/>
    <cellStyle name="Финансовый 2 14" xfId="14"/>
    <cellStyle name="Финансовый 2 2" xfId="4"/>
    <cellStyle name="Финансовый 2 2 10" xfId="28"/>
    <cellStyle name="Финансовый 2 2 11" xfId="16"/>
    <cellStyle name="Финансовый 2 2 2" xfId="10"/>
    <cellStyle name="Финансовый 2 2 2 2" xfId="46"/>
    <cellStyle name="Финансовый 2 2 2 2 2" xfId="104"/>
    <cellStyle name="Финансовый 2 2 2 3" xfId="116"/>
    <cellStyle name="Финансовый 2 2 2 4" xfId="80"/>
    <cellStyle name="Финансовый 2 2 2 5" xfId="58"/>
    <cellStyle name="Финансовый 2 2 2 6" xfId="136"/>
    <cellStyle name="Финансовый 2 2 2 7" xfId="34"/>
    <cellStyle name="Финансовый 2 2 2 8" xfId="22"/>
    <cellStyle name="Финансовый 2 2 3" xfId="40"/>
    <cellStyle name="Финансовый 2 2 3 2" xfId="122"/>
    <cellStyle name="Финансовый 2 2 3 3" xfId="86"/>
    <cellStyle name="Финансовый 2 2 4" xfId="92"/>
    <cellStyle name="Финансовый 2 2 5" xfId="98"/>
    <cellStyle name="Финансовый 2 2 6" xfId="110"/>
    <cellStyle name="Финансовый 2 2 7" xfId="65"/>
    <cellStyle name="Финансовый 2 2 8" xfId="52"/>
    <cellStyle name="Финансовый 2 2 9" xfId="130"/>
    <cellStyle name="Финансовый 2 3" xfId="6"/>
    <cellStyle name="Финансовый 2 3 10" xfId="30"/>
    <cellStyle name="Финансовый 2 3 11" xfId="18"/>
    <cellStyle name="Финансовый 2 3 2" xfId="12"/>
    <cellStyle name="Финансовый 2 3 2 2" xfId="48"/>
    <cellStyle name="Финансовый 2 3 2 2 2" xfId="106"/>
    <cellStyle name="Финансовый 2 3 2 3" xfId="118"/>
    <cellStyle name="Финансовый 2 3 2 4" xfId="82"/>
    <cellStyle name="Финансовый 2 3 2 5" xfId="60"/>
    <cellStyle name="Финансовый 2 3 2 6" xfId="138"/>
    <cellStyle name="Финансовый 2 3 2 7" xfId="36"/>
    <cellStyle name="Финансовый 2 3 2 8" xfId="24"/>
    <cellStyle name="Финансовый 2 3 3" xfId="42"/>
    <cellStyle name="Финансовый 2 3 3 2" xfId="124"/>
    <cellStyle name="Финансовый 2 3 3 3" xfId="88"/>
    <cellStyle name="Финансовый 2 3 4" xfId="94"/>
    <cellStyle name="Финансовый 2 3 5" xfId="100"/>
    <cellStyle name="Финансовый 2 3 6" xfId="112"/>
    <cellStyle name="Финансовый 2 3 7" xfId="76"/>
    <cellStyle name="Финансовый 2 3 8" xfId="54"/>
    <cellStyle name="Финансовый 2 3 9" xfId="132"/>
    <cellStyle name="Финансовый 2 4" xfId="8"/>
    <cellStyle name="Финансовый 2 4 2" xfId="44"/>
    <cellStyle name="Финансовый 2 4 2 2" xfId="102"/>
    <cellStyle name="Финансовый 2 4 3" xfId="114"/>
    <cellStyle name="Финансовый 2 4 4" xfId="78"/>
    <cellStyle name="Финансовый 2 4 5" xfId="56"/>
    <cellStyle name="Финансовый 2 4 6" xfId="134"/>
    <cellStyle name="Финансовый 2 4 7" xfId="32"/>
    <cellStyle name="Финансовый 2 4 8" xfId="20"/>
    <cellStyle name="Финансовый 2 5" xfId="38"/>
    <cellStyle name="Финансовый 2 5 2" xfId="120"/>
    <cellStyle name="Финансовый 2 5 3" xfId="84"/>
    <cellStyle name="Финансовый 2 6" xfId="90"/>
    <cellStyle name="Финансовый 2 7" xfId="96"/>
    <cellStyle name="Финансовый 2 8" xfId="108"/>
    <cellStyle name="Финансовый 2 9" xfId="126"/>
    <cellStyle name="Финансовый 3" xfId="3"/>
    <cellStyle name="Финансовый 3 10" xfId="27"/>
    <cellStyle name="Финансовый 3 11" xfId="15"/>
    <cellStyle name="Финансовый 3 2" xfId="9"/>
    <cellStyle name="Финансовый 3 2 2" xfId="45"/>
    <cellStyle name="Финансовый 3 2 2 2" xfId="103"/>
    <cellStyle name="Финансовый 3 2 3" xfId="115"/>
    <cellStyle name="Финансовый 3 2 4" xfId="79"/>
    <cellStyle name="Финансовый 3 2 5" xfId="57"/>
    <cellStyle name="Финансовый 3 2 6" xfId="135"/>
    <cellStyle name="Финансовый 3 2 7" xfId="33"/>
    <cellStyle name="Финансовый 3 2 8" xfId="21"/>
    <cellStyle name="Финансовый 3 3" xfId="39"/>
    <cellStyle name="Финансовый 3 3 2" xfId="121"/>
    <cellStyle name="Финансовый 3 3 3" xfId="85"/>
    <cellStyle name="Финансовый 3 4" xfId="91"/>
    <cellStyle name="Финансовый 3 5" xfId="97"/>
    <cellStyle name="Финансовый 3 6" xfId="109"/>
    <cellStyle name="Финансовый 3 7" xfId="74"/>
    <cellStyle name="Финансовый 3 8" xfId="51"/>
    <cellStyle name="Финансовый 3 9" xfId="129"/>
    <cellStyle name="Финансовый 4" xfId="5"/>
    <cellStyle name="Финансовый 4 10" xfId="29"/>
    <cellStyle name="Финансовый 4 11" xfId="17"/>
    <cellStyle name="Финансовый 4 2" xfId="11"/>
    <cellStyle name="Финансовый 4 2 2" xfId="47"/>
    <cellStyle name="Финансовый 4 2 2 2" xfId="105"/>
    <cellStyle name="Финансовый 4 2 3" xfId="117"/>
    <cellStyle name="Финансовый 4 2 4" xfId="81"/>
    <cellStyle name="Финансовый 4 2 5" xfId="59"/>
    <cellStyle name="Финансовый 4 2 6" xfId="137"/>
    <cellStyle name="Финансовый 4 2 7" xfId="35"/>
    <cellStyle name="Финансовый 4 2 8" xfId="23"/>
    <cellStyle name="Финансовый 4 3" xfId="41"/>
    <cellStyle name="Финансовый 4 3 2" xfId="123"/>
    <cellStyle name="Финансовый 4 3 3" xfId="87"/>
    <cellStyle name="Финансовый 4 4" xfId="93"/>
    <cellStyle name="Финансовый 4 5" xfId="99"/>
    <cellStyle name="Финансовый 4 6" xfId="111"/>
    <cellStyle name="Финансовый 4 7" xfId="75"/>
    <cellStyle name="Финансовый 4 8" xfId="53"/>
    <cellStyle name="Финансовый 4 9" xfId="131"/>
    <cellStyle name="Финансовый 5" xfId="7"/>
    <cellStyle name="Финансовый 5 2" xfId="43"/>
    <cellStyle name="Финансовый 5 2 2" xfId="101"/>
    <cellStyle name="Финансовый 5 3" xfId="113"/>
    <cellStyle name="Финансовый 5 4" xfId="77"/>
    <cellStyle name="Финансовый 5 5" xfId="55"/>
    <cellStyle name="Финансовый 5 6" xfId="133"/>
    <cellStyle name="Финансовый 5 7" xfId="31"/>
    <cellStyle name="Финансовый 5 8" xfId="19"/>
    <cellStyle name="Финансовый 6" xfId="37"/>
    <cellStyle name="Финансовый 6 2" xfId="119"/>
    <cellStyle name="Финансовый 6 3" xfId="83"/>
    <cellStyle name="Финансовый 7" xfId="89"/>
    <cellStyle name="Финансовый 8" xfId="95"/>
    <cellStyle name="Финансовый 9" xfId="107"/>
  </cellStyles>
  <dxfs count="9">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tabColor rgb="FF00B050"/>
  </sheetPr>
  <dimension ref="A1:AI56"/>
  <sheetViews>
    <sheetView view="pageBreakPreview" zoomScaleNormal="100" zoomScaleSheetLayoutView="100" workbookViewId="0">
      <selection activeCell="A26" sqref="A26:F26"/>
    </sheetView>
  </sheetViews>
  <sheetFormatPr defaultRowHeight="15"/>
  <cols>
    <col min="1" max="2" width="22.85546875" style="74" customWidth="1"/>
    <col min="3" max="3" width="24.28515625" style="74" customWidth="1"/>
    <col min="4" max="4" width="21.28515625" style="74" customWidth="1"/>
    <col min="5" max="5" width="18" style="74" customWidth="1"/>
    <col min="6" max="6" width="25.140625" style="74" customWidth="1"/>
    <col min="7" max="7" width="9.140625" customWidth="1"/>
    <col min="8" max="8" width="24.42578125" customWidth="1"/>
    <col min="9" max="9" width="17.140625" customWidth="1"/>
    <col min="10" max="35" width="9.140625" hidden="1" customWidth="1"/>
    <col min="36" max="36" width="8.7109375" customWidth="1"/>
  </cols>
  <sheetData>
    <row r="1" spans="1:34" ht="63.75" customHeight="1">
      <c r="A1" s="255" t="str">
        <f>""&amp;'Общие данные'!B147&amp;"
mikromoliya tashkiloti
Kredit qo‘mitasining yig‘ilishi"</f>
        <v>«PULLOL BUSINESS MIKROMOLIYA TASHKILOTI»  MChJ
mikromoliya tashkiloti
Kredit qo‘mitasining yig‘ilishi</v>
      </c>
      <c r="B1" s="255"/>
      <c r="C1" s="255"/>
      <c r="D1" s="255"/>
      <c r="E1" s="255"/>
      <c r="F1" s="255"/>
    </row>
    <row r="2" spans="1:34" ht="29.25" customHeight="1">
      <c r="A2" s="255" t="str">
        <f>""&amp;I7&amp;" protokolidan ko'chirma"</f>
        <v>№310-TR protokolidan ko'chirma</v>
      </c>
      <c r="B2" s="255"/>
      <c r="C2" s="255"/>
      <c r="D2" s="255"/>
      <c r="E2" s="255"/>
      <c r="F2" s="255"/>
    </row>
    <row r="3" spans="1:34" ht="29.25" customHeight="1">
      <c r="A3" s="154" t="s">
        <v>193</v>
      </c>
      <c r="B3" s="154"/>
      <c r="C3" s="58"/>
      <c r="D3" s="58"/>
      <c r="E3" s="58"/>
      <c r="F3" s="155" t="str">
        <f>'Общие данные'!B68</f>
        <v>3 aprel 2026 y.</v>
      </c>
    </row>
    <row r="4" spans="1:34" ht="29.25" customHeight="1">
      <c r="A4" s="58"/>
      <c r="B4" s="58"/>
      <c r="C4" s="255" t="s">
        <v>192</v>
      </c>
      <c r="D4" s="255"/>
      <c r="E4" s="255"/>
      <c r="F4" s="58"/>
    </row>
    <row r="5" spans="1:34" ht="36" customHeight="1">
      <c r="A5" s="254" t="str">
        <f>"         "&amp;I8&amp;"."&amp;'Общие данные'!B5&amp;" ga "&amp;'Общие данные'!B65&amp;" berish masalasini ko‘rib chiqish to‘g‘risida."</f>
        <v xml:space="preserve">         1.ANNAZAROV KAXRAMAN SADULLAYEVICH ga Mikroqarz berish masalasini ko‘rib chiqish to‘g‘risida.</v>
      </c>
      <c r="B5" s="254"/>
      <c r="C5" s="254"/>
      <c r="D5" s="254"/>
      <c r="E5" s="254"/>
      <c r="F5" s="254"/>
    </row>
    <row r="7" spans="1:34" ht="21" customHeight="1">
      <c r="A7" s="246" t="str">
        <f>"      "&amp;I9&amp;" masala yuzasidan: «PULLOL BUSINESS MIKROMOLIYA TASHKILOTI»  MChJ kredit bo‘yicha menejeri,  "&amp;'Общие данные'!B5&amp;"ga "&amp;FIXED('Общие данные'!B75)&amp;" ("&amp;'Общие данные'!B76&amp;") so‘m miqdorida, muddati "&amp;'Общие данные'!B81&amp;" ("&amp;'Общие данные'!B82&amp;") oyga va yillik "&amp;'Общие данные'!B85&amp;" ("&amp;'Общие данные'!B86&amp;") foiz miqdorida "&amp;'Общие данные'!B65&amp;" berich bo‘yicha "&amp;'Общие данные'!B5&amp;"ning kredit arizasi va "&amp;'Общие данные'!B147&amp;"ning xulosasi bilan ishtirokchilarni tanishtirdi."</f>
        <v xml:space="preserve">      Birinchi masala yuzasidan: «PULLOL BUSINESS MIKROMOLIYA TASHKILOTI»  MChJ kredit bo‘yicha menejeri,  ANNAZAROV KAXRAMAN SADULLAYEVICHga 100 000 000,00 (Yuz million so'm) so‘m miqdorida, muddati 36 (Yigirma to'rt) oyga va yillik 55 (Ellik besh  ) foiz miqdorida Mikroqarz berich bo‘yicha ANNAZAROV KAXRAMAN SADULLAYEVICHning kredit arizasi va «PULLOL BUSINESS MIKROMOLIYA TASHKILOTI»  MChJning xulosasi bilan ishtirokchilarni tanishtirdi.</v>
      </c>
      <c r="B7" s="246"/>
      <c r="C7" s="246"/>
      <c r="D7" s="246"/>
      <c r="E7" s="246"/>
      <c r="F7" s="246"/>
      <c r="H7" s="75" t="s">
        <v>248</v>
      </c>
      <c r="I7" s="76" t="str">
        <f>'Общие данные'!B1</f>
        <v>№310-TR</v>
      </c>
    </row>
    <row r="8" spans="1:34" ht="23.25">
      <c r="A8" s="246"/>
      <c r="B8" s="246"/>
      <c r="C8" s="246"/>
      <c r="D8" s="246"/>
      <c r="E8" s="246"/>
      <c r="F8" s="246"/>
      <c r="H8" s="75" t="s">
        <v>249</v>
      </c>
      <c r="I8" s="76">
        <v>1</v>
      </c>
      <c r="J8">
        <v>1</v>
      </c>
      <c r="K8">
        <v>2</v>
      </c>
      <c r="L8">
        <v>3</v>
      </c>
      <c r="M8">
        <v>4</v>
      </c>
      <c r="N8">
        <v>5</v>
      </c>
      <c r="O8">
        <v>6</v>
      </c>
      <c r="P8">
        <v>7</v>
      </c>
      <c r="Q8">
        <v>8</v>
      </c>
      <c r="R8">
        <v>9</v>
      </c>
      <c r="S8">
        <v>10</v>
      </c>
      <c r="T8">
        <v>11</v>
      </c>
      <c r="U8">
        <v>12</v>
      </c>
      <c r="V8">
        <v>13</v>
      </c>
      <c r="W8">
        <v>14</v>
      </c>
      <c r="X8">
        <v>15</v>
      </c>
      <c r="Y8">
        <v>16</v>
      </c>
      <c r="Z8">
        <v>17</v>
      </c>
      <c r="AA8">
        <v>18</v>
      </c>
      <c r="AB8">
        <v>19</v>
      </c>
      <c r="AC8">
        <v>20</v>
      </c>
      <c r="AD8">
        <v>21</v>
      </c>
      <c r="AE8">
        <v>22</v>
      </c>
      <c r="AF8">
        <v>23</v>
      </c>
      <c r="AG8">
        <v>24</v>
      </c>
      <c r="AH8">
        <v>25</v>
      </c>
    </row>
    <row r="9" spans="1:34" ht="34.5" customHeight="1">
      <c r="A9" s="246"/>
      <c r="B9" s="246"/>
      <c r="C9" s="246"/>
      <c r="D9" s="246"/>
      <c r="E9" s="246"/>
      <c r="F9" s="246"/>
      <c r="H9" s="75" t="s">
        <v>250</v>
      </c>
      <c r="I9" s="76" t="str">
        <f>IF(I8=J8,J9,IF(I8=K8,K9,IF(I8=L8,L9,IF(I8=M8,M9,IF(I8=N8,N9,IF(I8=O8,O9,IF(I8=P8,P9,IF(I8=Q8,Q9,IF(I8=R8,R9,IF(I8=S8,S9,IF(I8=T8,T9,IF(I8=U8,U9,IF(I8=V8,V9,IF(I8=W8,W9,IF(I8=X8,X9,IF(I8=Y8,Y9,IF(I8=Z8,Z9,IF(I8=AA8,AA9,IF(I8=AB8,AB9,IF(I8=AC8,AC9,IF(I8=AD8,AD9,IF(I8=AE8,AE9,IF(I8=AF8,AF9,IF(I8=AG8,AG9,IF(I8=AH8,AH9)))))))))))))))))))))))))</f>
        <v>Birinchi</v>
      </c>
      <c r="J9" s="181" t="s">
        <v>180</v>
      </c>
      <c r="K9" s="182" t="s">
        <v>181</v>
      </c>
      <c r="L9" s="182" t="s">
        <v>182</v>
      </c>
      <c r="M9" s="182" t="s">
        <v>361</v>
      </c>
      <c r="N9" s="182" t="s">
        <v>183</v>
      </c>
      <c r="O9" s="182" t="s">
        <v>362</v>
      </c>
      <c r="P9" s="182" t="s">
        <v>184</v>
      </c>
      <c r="Q9" s="182" t="s">
        <v>185</v>
      </c>
      <c r="R9" s="182" t="s">
        <v>186</v>
      </c>
      <c r="S9" s="182" t="s">
        <v>351</v>
      </c>
      <c r="T9" s="182" t="s">
        <v>352</v>
      </c>
      <c r="U9" s="182" t="s">
        <v>353</v>
      </c>
      <c r="V9" s="182" t="s">
        <v>354</v>
      </c>
      <c r="W9" s="182" t="s">
        <v>363</v>
      </c>
      <c r="X9" s="182" t="s">
        <v>355</v>
      </c>
      <c r="Y9" s="182" t="s">
        <v>356</v>
      </c>
      <c r="Z9" s="182" t="s">
        <v>357</v>
      </c>
      <c r="AA9" s="182" t="s">
        <v>358</v>
      </c>
      <c r="AB9" s="182" t="s">
        <v>359</v>
      </c>
      <c r="AC9" s="182" t="s">
        <v>187</v>
      </c>
      <c r="AD9" s="182" t="s">
        <v>188</v>
      </c>
      <c r="AE9" s="182" t="s">
        <v>189</v>
      </c>
      <c r="AF9" s="182" t="s">
        <v>190</v>
      </c>
      <c r="AG9" s="182" t="s">
        <v>360</v>
      </c>
      <c r="AH9" s="182" t="s">
        <v>191</v>
      </c>
    </row>
    <row r="10" spans="1:34" ht="10.5" hidden="1" customHeight="1">
      <c r="A10" s="246"/>
      <c r="B10" s="246"/>
      <c r="C10" s="246"/>
      <c r="D10" s="246"/>
      <c r="E10" s="246"/>
      <c r="F10" s="246"/>
    </row>
    <row r="11" spans="1:34" ht="9" hidden="1" customHeight="1">
      <c r="A11" s="246"/>
      <c r="B11" s="246"/>
      <c r="C11" s="246"/>
      <c r="D11" s="246"/>
      <c r="E11" s="246"/>
      <c r="F11" s="246"/>
    </row>
    <row r="12" spans="1:34" ht="3" customHeight="1">
      <c r="A12" s="246"/>
      <c r="B12" s="246"/>
      <c r="C12" s="246"/>
      <c r="D12" s="246"/>
      <c r="E12" s="246"/>
      <c r="F12" s="246"/>
    </row>
    <row r="13" spans="1:34" ht="7.5" customHeight="1"/>
    <row r="14" spans="1:34" ht="15.75" customHeight="1">
      <c r="A14" s="256" t="str">
        <f>""&amp;'Общие данные'!B65&amp;" ta’minoti:"</f>
        <v>Mikroqarz ta’minoti:</v>
      </c>
      <c r="B14" s="256"/>
      <c r="C14" s="256"/>
      <c r="D14" s="256"/>
      <c r="E14" s="256"/>
      <c r="F14" s="256"/>
    </row>
    <row r="15" spans="1:34" ht="7.5" customHeight="1"/>
    <row r="16" spans="1:34" ht="48.75" customHeight="1">
      <c r="A16" s="246" t="str">
        <f>'Заключение КК'!A18:F18</f>
        <v xml:space="preserve"> Egalik huquqi ANNAZAROV KAXRAMAN SADULLAYEVICHga tegishli bo'lgan  umumiy yer maydoni, (m2) - 704, qurilish osti maydoni - 149,81, umumiy foydali maydoni - 213,72  va yashash maydoni  - 108,36 Yakka tartibdagi uy-joy, QORAQALPOG'ISTON RESPUBLIKASI TO'RTKO'L TUMANI YOSHLIK MFY KALTAMINAR KO'CHASI 1B-UY </v>
      </c>
      <c r="B16" s="246"/>
      <c r="C16" s="246"/>
      <c r="D16" s="246"/>
      <c r="E16" s="246"/>
      <c r="F16" s="246"/>
    </row>
    <row r="17" spans="1:6" ht="17.25" customHeight="1">
      <c r="D17" s="183" t="s">
        <v>369</v>
      </c>
      <c r="E17" s="183" t="str">
        <f>""&amp;'Общие данные'!B147&amp;" kredit qo‘mitasi"</f>
        <v>«PULLOL BUSINESS MIKROMOLIYA TASHKILOTI»  MChJ kredit qo‘mitasi</v>
      </c>
      <c r="F17" s="183" t="str">
        <f>CONCATENATE(D17,E17)</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8" spans="1:6" ht="54" customHeight="1">
      <c r="A18" s="246" t="str">
        <f>CONCATENATE(I9,F17)</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8" s="246"/>
      <c r="C18" s="246"/>
      <c r="D18" s="246"/>
      <c r="E18" s="246"/>
      <c r="F18" s="246"/>
    </row>
    <row r="19" spans="1:6" ht="24" customHeight="1">
      <c r="A19" s="257" t="s">
        <v>251</v>
      </c>
      <c r="B19" s="257"/>
      <c r="C19" s="257"/>
      <c r="D19" s="257"/>
      <c r="E19" s="257"/>
      <c r="F19" s="257"/>
    </row>
    <row r="20" spans="1:6" ht="32.25" customHeight="1">
      <c r="A20" s="246" t="str">
        <f>"       "&amp;'Общие данные'!B5&amp;"ga quyidagi shartlarda "&amp;'Общие данные'!B65&amp;" berish masalasi ma’qullansin:"</f>
        <v xml:space="preserve">       ANNAZAROV KAXRAMAN SADULLAYEVICHga quyidagi shartlarda Mikroqarz berish masalasi ma’qullansin:</v>
      </c>
      <c r="B20" s="246"/>
      <c r="C20" s="246"/>
      <c r="D20" s="246"/>
      <c r="E20" s="246"/>
      <c r="F20" s="246"/>
    </row>
    <row r="21" spans="1:6" s="156" customFormat="1" ht="18.75" customHeight="1">
      <c r="A21" s="254" t="str">
        <f>"1. "&amp;'Общие данные'!B65&amp;" summasi: "&amp;FIXED('Общие данные'!B75)&amp;" ("&amp;'Общие данные'!B76&amp;") so'm."</f>
        <v>1. Mikroqarz summasi: 100 000 000,00 (Yuz million so'm) so'm.</v>
      </c>
      <c r="B21" s="254"/>
      <c r="C21" s="254"/>
      <c r="D21" s="254"/>
      <c r="E21" s="254"/>
      <c r="F21" s="254"/>
    </row>
    <row r="22" spans="1:6" s="156" customFormat="1" ht="18.75" customHeight="1">
      <c r="A22" s="254" t="str">
        <f>"2. "&amp;'Общие данные'!B65&amp;" muddati: "&amp;'Общие данные'!B81&amp;" ("&amp;'Общие данные'!B82&amp;") oy "</f>
        <v xml:space="preserve">2. Mikroqarz muddati: 36 (Yigirma to'rt) oy </v>
      </c>
      <c r="B22" s="254"/>
      <c r="C22" s="254"/>
      <c r="D22" s="254"/>
      <c r="E22" s="254"/>
      <c r="F22" s="254"/>
    </row>
    <row r="23" spans="1:6" s="156" customFormat="1" ht="18.75" customHeight="1">
      <c r="A23" s="254" t="str">
        <f>"3. "&amp;'Общие данные'!B65&amp;"dan foydalanganlik uchun foiz stavkasi:yillik "&amp;'Общие данные'!B85&amp;"% ("&amp;'Общие данные'!B86&amp;") foiz."</f>
        <v>3. Mikroqarzdan foydalanganlik uchun foiz stavkasi:yillik 55% (Ellik besh  ) foiz.</v>
      </c>
      <c r="B23" s="254"/>
      <c r="C23" s="254"/>
      <c r="D23" s="254"/>
      <c r="E23" s="254"/>
      <c r="F23" s="254"/>
    </row>
    <row r="24" spans="1:6" s="156" customFormat="1" ht="18.75" customHeight="1">
      <c r="A24" s="254" t="str">
        <f>"4. "&amp;'Общие данные'!B65&amp;" bo‘yicha asosiy qarz va foizlarni to‘lash:"</f>
        <v>4. Mikroqarz bo‘yicha asosiy qarz va foizlarni to‘lash:</v>
      </c>
      <c r="B24" s="254"/>
      <c r="C24" s="254"/>
      <c r="D24" s="254"/>
      <c r="E24" s="254"/>
      <c r="F24" s="254"/>
    </row>
    <row r="25" spans="1:6" s="156" customFormat="1" ht="18.75" customHeight="1">
      <c r="A25" s="254" t="str">
        <f>'Кредитная заявка'!A19:D19</f>
        <v xml:space="preserve"> - Mikroqarz shartnomasi bo'yicha har oy differensial to'lovlari amalga oshiriladi</v>
      </c>
      <c r="B25" s="254"/>
      <c r="C25" s="254"/>
      <c r="D25" s="254"/>
      <c r="E25" s="254"/>
      <c r="F25" s="254"/>
    </row>
    <row r="26" spans="1:6" ht="48" customHeight="1">
      <c r="A26" s="246" t="str">
        <f>"5. "&amp;'Общие данные'!B65&amp;" bo‘yicha garov  "&amp;'Заключение КК'!A29:F29&amp;""</f>
        <v>5. Mikroqarz bo‘yicha garov   -   ANNAZAROV KAXRAMAN SADULLAYEVICH ga mulk huquqi asosida tegishli ko'chmas mulk shaklida Yakka tartibdagi uy-joy, manzili: QORAQALPOG'ISTON RESPUBLIKASI TO'RTKO'L TUMANI YOSHLIK MFY KALTAMINAR KO'CHASI 1B-UY, quyidagi tafsilotlarga muvofiq:</v>
      </c>
      <c r="B26" s="246"/>
      <c r="C26" s="246"/>
      <c r="D26" s="246"/>
      <c r="E26" s="246"/>
      <c r="F26" s="246"/>
    </row>
    <row r="27" spans="1:6" ht="40.5" customHeight="1">
      <c r="A27" s="20" t="str">
        <f>'Акт согласования'!A47</f>
        <v>Nomi</v>
      </c>
      <c r="B27" s="20" t="str">
        <f>'Акт согласования'!B47</f>
        <v>Umumiy yer maydoni, (m2)</v>
      </c>
      <c r="C27" s="20" t="str">
        <f>'Акт согласования'!C47</f>
        <v>Qurilish osti maydoni, (m2)</v>
      </c>
      <c r="D27" s="20" t="str">
        <f>'Акт согласования'!D47</f>
        <v>Umumiy foydali maydoni, (m2)</v>
      </c>
      <c r="E27" s="20" t="str">
        <f>'Акт согласования'!E47</f>
        <v>Yashash maydoni, (m2)</v>
      </c>
      <c r="F27" s="20" t="str">
        <f>'Акт согласования'!F47</f>
        <v>Kelishilgan garov qiymati, so'm</v>
      </c>
    </row>
    <row r="28" spans="1:6" ht="75.75" customHeight="1">
      <c r="A28" s="20" t="str">
        <f>'Акт согласования'!A48</f>
        <v>Yakka tartibdagi uy-joy</v>
      </c>
      <c r="B28" s="20">
        <f>'Акт согласования'!B48</f>
        <v>704</v>
      </c>
      <c r="C28" s="20">
        <f>'Акт согласования'!C48</f>
        <v>149.81</v>
      </c>
      <c r="D28" s="20">
        <f>'Акт согласования'!D48</f>
        <v>213.72</v>
      </c>
      <c r="E28" s="20">
        <f>'Акт согласования'!E48</f>
        <v>108.36</v>
      </c>
      <c r="F28" s="20" t="str">
        <f>'Акт согласования'!F48</f>
        <v>140 000 000,00 
(yuz qirq million so'm)</v>
      </c>
    </row>
    <row r="29" spans="1:6" ht="20.25" hidden="1" customHeight="1">
      <c r="A29" s="246" t="str">
        <f>'Акт согласования'!A22:F22</f>
        <v>-* avtotransport egasi: ANNAZAROV KAXRAMAN SADULLAYEVICH</v>
      </c>
      <c r="B29" s="246"/>
      <c r="C29" s="246"/>
      <c r="D29" s="246"/>
      <c r="E29" s="246"/>
      <c r="F29" s="246"/>
    </row>
    <row r="30" spans="1:6" ht="20.25" hidden="1" customHeight="1">
      <c r="A30" s="246" t="str">
        <f>'Акт согласования'!A23:F23</f>
        <v xml:space="preserve">-* texnik pasport: </v>
      </c>
      <c r="B30" s="246"/>
      <c r="C30" s="246"/>
      <c r="D30" s="246"/>
      <c r="E30" s="246"/>
      <c r="F30" s="246"/>
    </row>
    <row r="31" spans="1:6" ht="34.5" hidden="1" customHeight="1">
      <c r="A31" s="246" t="str">
        <f>'Акт согласования'!A24:F24</f>
        <v>-* roʻyxatdan oʻtgan manzili/garaj manzili: QORAQALPOG'ISTON RESPUBLIKASI TO'RTKO'L TUMANI YOSHLIK MFY KALTAMINAR KO'CHASI 1B-UY</v>
      </c>
      <c r="B31" s="246"/>
      <c r="C31" s="246"/>
      <c r="D31" s="246"/>
      <c r="E31" s="246"/>
      <c r="F31" s="246"/>
    </row>
    <row r="32" spans="1:6" ht="20.25" hidden="1" customHeight="1">
      <c r="A32" s="246" t="str">
        <f>'Акт согласования'!A25:F25</f>
        <v xml:space="preserve">-* davlat raqami: </v>
      </c>
      <c r="B32" s="246"/>
      <c r="C32" s="246"/>
      <c r="D32" s="246"/>
      <c r="E32" s="246"/>
      <c r="F32" s="246"/>
    </row>
    <row r="33" spans="1:6" ht="51" hidden="1" customHeight="1">
      <c r="A33" s="42" t="str">
        <f>'Акт согласования'!A50</f>
        <v>Наименование</v>
      </c>
      <c r="B33" s="42"/>
      <c r="C33" s="42" t="str">
        <f>'Акт согласования'!C50</f>
        <v>Полезная площадь</v>
      </c>
      <c r="D33" s="42" t="str">
        <f>'Акт согласования'!D50</f>
        <v>Жилая площадь</v>
      </c>
      <c r="E33" s="42" t="str">
        <f>'Акт согласования'!E50</f>
        <v>Общая площадь</v>
      </c>
      <c r="F33" s="42" t="str">
        <f>'Акт согласования'!F50</f>
        <v>Согласованная залоговая стоимость, сум</v>
      </c>
    </row>
    <row r="34" spans="1:6" hidden="1">
      <c r="A34" s="42" t="str">
        <f>'Акт согласования'!A51</f>
        <v>Yashash xona</v>
      </c>
      <c r="B34" s="42"/>
      <c r="C34" s="42" t="str">
        <f>'Акт согласования'!C51</f>
        <v>3</v>
      </c>
      <c r="D34" s="42" t="str">
        <f>'Акт согласования'!D51</f>
        <v>18.82</v>
      </c>
      <c r="E34" s="42">
        <f>'Акт согласования'!E51</f>
        <v>0</v>
      </c>
      <c r="F34" s="250" t="str">
        <f>""&amp;FIXED('Общие данные'!C136,2)&amp;" ("&amp;'Общие данные'!B137&amp;")"</f>
        <v>140 000 000,00 (yuz qirq million so'm)</v>
      </c>
    </row>
    <row r="35" spans="1:6" hidden="1">
      <c r="A35" s="42">
        <f>'Акт согласования'!A52</f>
        <v>0</v>
      </c>
      <c r="B35" s="42"/>
      <c r="C35" s="42">
        <f>'Акт согласования'!C52</f>
        <v>0</v>
      </c>
      <c r="D35" s="42">
        <f>'Акт согласования'!D52</f>
        <v>0</v>
      </c>
      <c r="E35" s="42">
        <f>'Акт согласования'!E52</f>
        <v>0</v>
      </c>
      <c r="F35" s="251"/>
    </row>
    <row r="36" spans="1:6" hidden="1">
      <c r="A36" s="42" t="str">
        <f>'Акт согласования'!A53</f>
        <v>Umumiy maydon</v>
      </c>
      <c r="B36" s="42"/>
      <c r="C36" s="42" t="str">
        <f>'Акт согласования'!C53</f>
        <v>43.96</v>
      </c>
      <c r="D36" s="42" t="str">
        <f>'Акт согласования'!D53</f>
        <v>18.82</v>
      </c>
      <c r="E36" s="42" t="str">
        <f>'Акт согласования'!E53</f>
        <v>43.96</v>
      </c>
      <c r="F36" s="251"/>
    </row>
    <row r="37" spans="1:6" hidden="1">
      <c r="A37" s="42">
        <f>'Акт согласования'!A54</f>
        <v>0</v>
      </c>
      <c r="B37" s="42"/>
      <c r="C37" s="42">
        <f>'Акт согласования'!C54</f>
        <v>0</v>
      </c>
      <c r="D37" s="42">
        <f>'Акт согласования'!D54</f>
        <v>0</v>
      </c>
      <c r="E37" s="42">
        <f>'Акт согласования'!E54</f>
        <v>0</v>
      </c>
      <c r="F37" s="251"/>
    </row>
    <row r="38" spans="1:6" hidden="1">
      <c r="A38" s="42">
        <f>'Акт согласования'!A55</f>
        <v>0</v>
      </c>
      <c r="B38" s="42"/>
      <c r="C38" s="42">
        <f>'Акт согласования'!C55</f>
        <v>0</v>
      </c>
      <c r="D38" s="42">
        <f>'Акт согласования'!D55</f>
        <v>0</v>
      </c>
      <c r="E38" s="42">
        <f>'Акт согласования'!E55</f>
        <v>0</v>
      </c>
      <c r="F38" s="251"/>
    </row>
    <row r="39" spans="1:6" hidden="1">
      <c r="A39" s="42">
        <f>'Акт согласования'!A56</f>
        <v>0</v>
      </c>
      <c r="B39" s="42"/>
      <c r="C39" s="42">
        <f>'Акт согласования'!C56</f>
        <v>0</v>
      </c>
      <c r="D39" s="42">
        <f>'Акт согласования'!D56</f>
        <v>0</v>
      </c>
      <c r="E39" s="42">
        <f>'Акт согласования'!E56</f>
        <v>0</v>
      </c>
      <c r="F39" s="251"/>
    </row>
    <row r="40" spans="1:6" hidden="1">
      <c r="A40" s="42">
        <f>'Акт согласования'!A57</f>
        <v>0</v>
      </c>
      <c r="B40" s="42"/>
      <c r="C40" s="42">
        <f>'Акт согласования'!C57</f>
        <v>0</v>
      </c>
      <c r="D40" s="42">
        <f>'Акт согласования'!D57</f>
        <v>0</v>
      </c>
      <c r="E40" s="42">
        <f>'Акт согласования'!E57</f>
        <v>0</v>
      </c>
      <c r="F40" s="251"/>
    </row>
    <row r="41" spans="1:6" hidden="1">
      <c r="A41" s="42">
        <f>'Акт согласования'!A58</f>
        <v>0</v>
      </c>
      <c r="B41" s="42"/>
      <c r="C41" s="42">
        <f>'Акт согласования'!C58</f>
        <v>0</v>
      </c>
      <c r="D41" s="42">
        <f>'Акт согласования'!D58</f>
        <v>0</v>
      </c>
      <c r="E41" s="42">
        <f>'Акт согласования'!E58</f>
        <v>0</v>
      </c>
      <c r="F41" s="251"/>
    </row>
    <row r="42" spans="1:6" hidden="1">
      <c r="A42" s="42">
        <f>'Акт согласования'!A59</f>
        <v>0</v>
      </c>
      <c r="B42" s="42"/>
      <c r="C42" s="42">
        <f>'Акт согласования'!C59</f>
        <v>0</v>
      </c>
      <c r="D42" s="42">
        <f>'Акт согласования'!D59</f>
        <v>0</v>
      </c>
      <c r="E42" s="42">
        <f>'Акт согласования'!E59</f>
        <v>0</v>
      </c>
      <c r="F42" s="251"/>
    </row>
    <row r="43" spans="1:6" hidden="1">
      <c r="A43" s="42">
        <f>'Акт согласования'!A60</f>
        <v>0</v>
      </c>
      <c r="B43" s="42"/>
      <c r="C43" s="42">
        <f>'Акт согласования'!C60</f>
        <v>0</v>
      </c>
      <c r="D43" s="42">
        <f>'Акт согласования'!D60</f>
        <v>0</v>
      </c>
      <c r="E43" s="42">
        <f>'Акт согласования'!E60</f>
        <v>0</v>
      </c>
      <c r="F43" s="251"/>
    </row>
    <row r="44" spans="1:6" hidden="1">
      <c r="A44" s="42">
        <f>'Акт согласования'!A61</f>
        <v>0</v>
      </c>
      <c r="B44" s="42"/>
      <c r="C44" s="42">
        <f>'Акт согласования'!C61</f>
        <v>0</v>
      </c>
      <c r="D44" s="42">
        <f>'Акт согласования'!D61</f>
        <v>0</v>
      </c>
      <c r="E44" s="42">
        <f>'Акт согласования'!E61</f>
        <v>0</v>
      </c>
      <c r="F44" s="252"/>
    </row>
    <row r="45" spans="1:6" hidden="1">
      <c r="A45" s="42" t="str">
        <f>'Акт согласования'!A62</f>
        <v>JAMI</v>
      </c>
      <c r="B45" s="42"/>
      <c r="C45" s="42" t="str">
        <f>'Акт согласования'!C62</f>
        <v>43.96</v>
      </c>
      <c r="D45" s="42" t="str">
        <f>'Акт согласования'!D62</f>
        <v>18.82</v>
      </c>
      <c r="E45" s="42" t="str">
        <f>'Акт согласования'!E62</f>
        <v>43.96</v>
      </c>
      <c r="F45" s="42" t="str">
        <f>FIXED('Общие данные'!C136,2)</f>
        <v>140 000 000,00</v>
      </c>
    </row>
    <row r="46" spans="1:6" ht="21.75" customHeight="1">
      <c r="A46" s="253" t="str">
        <f>'Акт согласования'!A39:F39</f>
        <v>-* ko'chmas mulk egasi: ANNAZAROV KAXRAMAN SADULLAYEVICH</v>
      </c>
      <c r="B46" s="253"/>
      <c r="C46" s="253"/>
      <c r="D46" s="253"/>
      <c r="E46" s="253"/>
      <c r="F46" s="253"/>
    </row>
    <row r="47" spans="1:6" ht="21.75" customHeight="1">
      <c r="A47" s="253" t="str">
        <f>'Акт согласования'!A40:F40</f>
        <v>-* reestr raqami: №1735233/Y-26004624</v>
      </c>
      <c r="B47" s="253"/>
      <c r="C47" s="253"/>
      <c r="D47" s="253"/>
      <c r="E47" s="253"/>
      <c r="F47" s="253"/>
    </row>
    <row r="48" spans="1:6" ht="21.75" customHeight="1">
      <c r="A48" s="253" t="str">
        <f>'Акт согласования'!A41:F41</f>
        <v>-* kadastr raqami: 01.04.2026 y. №23:08:40:01:04:0357</v>
      </c>
      <c r="B48" s="253"/>
      <c r="C48" s="253"/>
      <c r="D48" s="253"/>
      <c r="E48" s="253"/>
      <c r="F48" s="253"/>
    </row>
    <row r="49" spans="1:6" ht="29.25" customHeight="1">
      <c r="A49" s="253" t="str">
        <f>'Акт согласования'!A42:F42</f>
        <v>-* manzil: QORAQALPOG'ISTON RESPUBLIKASI TO'RTKO'L TUMANI YOSHLIK MFY KALTAMINAR KO'CHASI 1B-UY</v>
      </c>
      <c r="B49" s="253"/>
      <c r="C49" s="253"/>
      <c r="D49" s="253"/>
      <c r="E49" s="253"/>
      <c r="F49" s="253"/>
    </row>
    <row r="50" spans="1:6" ht="12" customHeight="1">
      <c r="A50" s="157"/>
      <c r="B50" s="157"/>
      <c r="C50" s="157"/>
      <c r="D50" s="157"/>
      <c r="E50" s="157"/>
      <c r="F50" s="157"/>
    </row>
    <row r="51" spans="1:6" ht="33" customHeight="1">
      <c r="A51" s="246" t="s">
        <v>389</v>
      </c>
      <c r="B51" s="246"/>
      <c r="C51" s="246"/>
      <c r="D51" s="246"/>
      <c r="E51" s="246"/>
      <c r="F51" s="246"/>
    </row>
    <row r="53" spans="1:6" ht="29.25" customHeight="1">
      <c r="A53" s="247" t="s">
        <v>252</v>
      </c>
      <c r="B53" s="247"/>
      <c r="C53" s="247"/>
      <c r="D53" s="247"/>
      <c r="E53" s="247"/>
      <c r="F53" s="247"/>
    </row>
    <row r="54" spans="1:6" ht="29.25" customHeight="1">
      <c r="A54" s="248" t="str">
        <f>"1. "&amp;'Общие данные'!B151&amp;""</f>
        <v>1. Obidov Abdullo Shokir o'g'li</v>
      </c>
      <c r="B54" s="248"/>
      <c r="C54" s="248"/>
      <c r="D54" s="198"/>
      <c r="E54" s="199"/>
      <c r="F54" s="199"/>
    </row>
    <row r="55" spans="1:6" ht="29.25" customHeight="1">
      <c r="A55" s="249" t="str">
        <f>"2. "&amp;'Общие данные'!B159&amp;""</f>
        <v>2. Akramov R.N.</v>
      </c>
      <c r="B55" s="249"/>
      <c r="C55" s="249"/>
      <c r="D55" s="198"/>
      <c r="E55" s="200"/>
      <c r="F55" s="200"/>
    </row>
    <row r="56" spans="1:6" ht="29.25" customHeight="1">
      <c r="A56" s="248" t="str">
        <f>"3. "&amp;'Общие данные'!B161&amp;""</f>
        <v>3. Eshbekov S.O.</v>
      </c>
      <c r="B56" s="248"/>
      <c r="C56" s="248"/>
      <c r="D56" s="153"/>
      <c r="E56" s="201"/>
      <c r="F56" s="201"/>
    </row>
  </sheetData>
  <mergeCells count="30">
    <mergeCell ref="A56:C56"/>
    <mergeCell ref="A22:F22"/>
    <mergeCell ref="A1:F1"/>
    <mergeCell ref="A2:F2"/>
    <mergeCell ref="C4:E4"/>
    <mergeCell ref="A5:F5"/>
    <mergeCell ref="A7:F12"/>
    <mergeCell ref="A14:F14"/>
    <mergeCell ref="A16:F16"/>
    <mergeCell ref="A18:F18"/>
    <mergeCell ref="A19:F19"/>
    <mergeCell ref="A20:F20"/>
    <mergeCell ref="A21:F21"/>
    <mergeCell ref="A48:F48"/>
    <mergeCell ref="A23:F23"/>
    <mergeCell ref="A24:F24"/>
    <mergeCell ref="A25:F25"/>
    <mergeCell ref="A26:F26"/>
    <mergeCell ref="A29:F29"/>
    <mergeCell ref="A30:F30"/>
    <mergeCell ref="A31:F31"/>
    <mergeCell ref="A51:F51"/>
    <mergeCell ref="A53:F53"/>
    <mergeCell ref="A54:C54"/>
    <mergeCell ref="A55:C55"/>
    <mergeCell ref="A32:F32"/>
    <mergeCell ref="F34:F44"/>
    <mergeCell ref="A46:F46"/>
    <mergeCell ref="A47:F47"/>
    <mergeCell ref="A49:F49"/>
  </mergeCells>
  <pageMargins left="0.70866141732283472" right="0.70866141732283472" top="0.74803149606299213" bottom="0.74803149606299213" header="0.31496062992125984" footer="0.31496062992125984"/>
  <pageSetup paperSize="9" scale="64" orientation="portrait"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9">
    <tabColor theme="1"/>
  </sheetPr>
  <dimension ref="A1:V76"/>
  <sheetViews>
    <sheetView topLeftCell="A13" zoomScale="70" zoomScaleNormal="70" zoomScaleSheetLayoutView="70" workbookViewId="0">
      <selection activeCell="G55" sqref="G55"/>
    </sheetView>
  </sheetViews>
  <sheetFormatPr defaultColWidth="9.140625" defaultRowHeight="15" outlineLevelCol="1"/>
  <cols>
    <col min="1" max="1" width="9.140625" style="109"/>
    <col min="2" max="2" width="12.28515625" style="109" customWidth="1"/>
    <col min="3" max="3" width="16.5703125" style="109" customWidth="1"/>
    <col min="4" max="4" width="16.7109375" style="109" customWidth="1"/>
    <col min="5" max="5" width="16.5703125" style="109" customWidth="1"/>
    <col min="6" max="6" width="20.85546875" style="109" customWidth="1"/>
    <col min="7" max="7" width="10.140625" style="109" customWidth="1" outlineLevel="1"/>
    <col min="8" max="8" width="19.140625" style="109" customWidth="1"/>
    <col min="9" max="9" width="21.42578125" style="109" customWidth="1"/>
    <col min="10" max="10" width="20.85546875" style="109" customWidth="1"/>
    <col min="11" max="11" width="20.140625" style="109" customWidth="1"/>
    <col min="12" max="12" width="21.42578125" style="109" customWidth="1"/>
    <col min="13" max="13" width="25.42578125" style="109" customWidth="1"/>
    <col min="14" max="14" width="18.28515625" style="109" customWidth="1"/>
    <col min="15" max="17" width="9.140625" style="18"/>
    <col min="18" max="18" width="24.42578125" style="18" customWidth="1"/>
    <col min="19" max="16384" width="9.140625" style="18"/>
  </cols>
  <sheetData>
    <row r="1" spans="1:22">
      <c r="A1" s="108"/>
      <c r="B1" s="108"/>
      <c r="C1" s="108"/>
      <c r="D1" s="108"/>
      <c r="E1" s="267" t="s">
        <v>15</v>
      </c>
      <c r="F1" s="267"/>
    </row>
    <row r="2" spans="1:22">
      <c r="A2" s="108"/>
      <c r="B2" s="108"/>
      <c r="C2" s="108"/>
      <c r="D2" s="108"/>
      <c r="E2" s="108"/>
      <c r="F2" s="110" t="str">
        <f>"к договору микрозайма "&amp;'Общие данные'!B74&amp;""</f>
        <v>к договору микрозайма 3 aprel 2026 y.dan №310-TR</v>
      </c>
    </row>
    <row r="3" spans="1:22" ht="19.5" customHeight="1">
      <c r="A3" s="108"/>
      <c r="B3" s="108"/>
      <c r="C3" s="108"/>
      <c r="D3" s="108"/>
      <c r="E3" s="108"/>
      <c r="F3" s="108"/>
      <c r="H3" s="111"/>
      <c r="I3" s="111"/>
      <c r="J3" s="112"/>
      <c r="K3" s="112"/>
    </row>
    <row r="4" spans="1:22" ht="19.5" customHeight="1">
      <c r="A4" s="268" t="s">
        <v>16</v>
      </c>
      <c r="B4" s="268"/>
      <c r="C4" s="268"/>
      <c r="D4" s="268"/>
      <c r="E4" s="268"/>
      <c r="F4" s="268"/>
      <c r="H4" s="111"/>
      <c r="I4" s="111"/>
      <c r="J4" s="111"/>
      <c r="K4" s="111"/>
    </row>
    <row r="5" spans="1:22" ht="19.5" customHeight="1">
      <c r="L5" s="109">
        <f>'Общие данные'!B81</f>
        <v>36</v>
      </c>
    </row>
    <row r="6" spans="1:22">
      <c r="A6" s="269" t="s">
        <v>14</v>
      </c>
      <c r="B6" s="270" t="s">
        <v>8</v>
      </c>
      <c r="C6" s="270" t="s">
        <v>9</v>
      </c>
      <c r="D6" s="271" t="s">
        <v>10</v>
      </c>
      <c r="E6" s="271"/>
      <c r="F6" s="271"/>
    </row>
    <row r="7" spans="1:22" s="19" customFormat="1">
      <c r="A7" s="269"/>
      <c r="B7" s="270"/>
      <c r="C7" s="270"/>
      <c r="D7" s="113" t="s">
        <v>11</v>
      </c>
      <c r="E7" s="113" t="s">
        <v>12</v>
      </c>
      <c r="F7" s="113" t="s">
        <v>13</v>
      </c>
      <c r="G7" s="114"/>
      <c r="H7" s="114"/>
      <c r="I7" s="114"/>
      <c r="J7" s="114"/>
      <c r="K7" s="114"/>
      <c r="L7" s="114"/>
      <c r="M7" s="114"/>
      <c r="N7" s="114"/>
    </row>
    <row r="8" spans="1:22">
      <c r="A8" s="115">
        <v>1</v>
      </c>
      <c r="B8" s="116">
        <f>'Общие данные'!B79</f>
        <v>46147</v>
      </c>
      <c r="C8" s="62">
        <f>'Общие данные'!B75</f>
        <v>100000000</v>
      </c>
      <c r="D8" s="62">
        <f>IF(IF(C8=0,L8,IF(C8&gt;1,I8))="",0,(IF(C8=0,L8,IF(C8&gt;1,I8))))</f>
        <v>2777777.78</v>
      </c>
      <c r="E8" s="62">
        <f>IF(C8=0,N6,IF(C8&gt;1,L8))</f>
        <v>4821917.76</v>
      </c>
      <c r="F8" s="62">
        <f>IF(C8=0,O6,IF(C8&gt;1,M8))</f>
        <v>7599695.5399999991</v>
      </c>
      <c r="G8" s="126">
        <f>B8-'Общие данные'!B67</f>
        <v>32</v>
      </c>
      <c r="H8" s="109">
        <f>DATE(YEAR(B8),12,31)-DATE(YEAR(B8),1,1)+1</f>
        <v>365</v>
      </c>
      <c r="I8" s="117">
        <f>IF('Общие данные'!B83=0,ROUND(C8/L5,2),"")</f>
        <v>2777777.78</v>
      </c>
      <c r="J8" s="117"/>
      <c r="K8" s="117"/>
      <c r="L8" s="111">
        <f>ROUND(C8*'Общие данные'!$B$84/H8,2)*G8</f>
        <v>4821917.76</v>
      </c>
      <c r="M8" s="111">
        <f t="shared" ref="M8:M31" si="0">D8+E8</f>
        <v>7599695.5399999991</v>
      </c>
      <c r="N8" s="111"/>
      <c r="O8" s="123" t="str">
        <f>TEXT(B8,"ддд")</f>
        <v>Вт</v>
      </c>
      <c r="P8" s="125">
        <f>IF(O8=$U$8,2,IF(O8=$V$8,1,0))</f>
        <v>0</v>
      </c>
      <c r="Q8" s="125">
        <f>DAY('Общие данные'!$B$78)+P8</f>
        <v>5</v>
      </c>
      <c r="R8" s="120"/>
      <c r="S8" s="121" t="s">
        <v>29</v>
      </c>
      <c r="T8" s="121" t="s">
        <v>30</v>
      </c>
      <c r="U8" s="121" t="s">
        <v>31</v>
      </c>
      <c r="V8" s="122" t="s">
        <v>32</v>
      </c>
    </row>
    <row r="9" spans="1:22">
      <c r="A9" s="115">
        <v>2</v>
      </c>
      <c r="B9" s="116">
        <f>IF(A9&lt;='Общие данные'!$B$81,DATE(YEAR(R9),MONTH(R9),DAY(R9)+P9),0)</f>
        <v>46178</v>
      </c>
      <c r="C9" s="62">
        <f>C8-D8</f>
        <v>97222222.219999999</v>
      </c>
      <c r="D9" s="62">
        <f>IF(C9=0,L9,IF(C9&gt;1,I9))</f>
        <v>2777777.78</v>
      </c>
      <c r="E9" s="62">
        <f>IF(C9=0,N8,IF(C9&gt;1,L9))</f>
        <v>4541476.4399999995</v>
      </c>
      <c r="F9" s="62">
        <f>IF(C9=0,N8,IF(C9&gt;1,M9))</f>
        <v>7319254.2199999988</v>
      </c>
      <c r="G9" s="109">
        <f>B9-B8</f>
        <v>31</v>
      </c>
      <c r="H9" s="109">
        <f t="shared" ref="H9:H31" si="1">DATE(YEAR(B9),12,31)-DATE(YEAR(B9),1,1)+1</f>
        <v>365</v>
      </c>
      <c r="I9" s="117">
        <f>IF(I8="",ROUND(C8/(L5-1),2),I8)</f>
        <v>2777777.78</v>
      </c>
      <c r="J9" s="117"/>
      <c r="K9" s="117"/>
      <c r="L9" s="111">
        <f>ROUND(C9*'Общие данные'!$B$84/H9,2)*G9</f>
        <v>4541476.4399999995</v>
      </c>
      <c r="M9" s="111">
        <f t="shared" si="0"/>
        <v>7319254.2199999988</v>
      </c>
      <c r="N9" s="111"/>
      <c r="O9" s="123" t="str">
        <f>TEXT(R9,"ддд")</f>
        <v>Пт</v>
      </c>
      <c r="P9" s="125">
        <f t="shared" ref="P9:P31" si="2">IF(O9=$U$8,2,IF(O9=$V$8,1,0))</f>
        <v>0</v>
      </c>
      <c r="Q9" s="125">
        <f>DAY('Общие данные'!$B$78)+P9</f>
        <v>5</v>
      </c>
      <c r="R9" s="120">
        <f>IF(A9&lt;='Общие данные'!$B$81,DATE(YEAR($B$8),MONTH($B$8)+A8,DAY('Общие данные'!$B$78)),0)</f>
        <v>46178</v>
      </c>
      <c r="S9" s="109"/>
      <c r="T9" s="109"/>
      <c r="U9" s="109"/>
      <c r="V9" s="109"/>
    </row>
    <row r="10" spans="1:22">
      <c r="A10" s="115">
        <v>3</v>
      </c>
      <c r="B10" s="116">
        <f>IF(A10&lt;='Общие данные'!$B$81,DATE(YEAR(R10),MONTH(R10),DAY(R10)+P10),0)</f>
        <v>46209</v>
      </c>
      <c r="C10" s="62">
        <f>C9-D9</f>
        <v>94444444.439999998</v>
      </c>
      <c r="D10" s="62">
        <f>IF(C10=0,L10,IF(C10&gt;1,I10))</f>
        <v>2777777.78</v>
      </c>
      <c r="E10" s="62">
        <f>IF(C10=0,N9,IF(C10&gt;1,L10))</f>
        <v>4411720.05</v>
      </c>
      <c r="F10" s="62">
        <f>IF(C10=0,N9,IF(C10&gt;1,M10))</f>
        <v>7189497.8300000001</v>
      </c>
      <c r="G10" s="109">
        <f t="shared" ref="G10:G31" si="3">B10-B9</f>
        <v>31</v>
      </c>
      <c r="H10" s="109">
        <f t="shared" si="1"/>
        <v>365</v>
      </c>
      <c r="I10" s="117">
        <f>I9</f>
        <v>2777777.78</v>
      </c>
      <c r="J10" s="117"/>
      <c r="K10" s="117"/>
      <c r="L10" s="111">
        <f>ROUND(C10*'Общие данные'!$B$84/H10,2)*G10</f>
        <v>4411720.05</v>
      </c>
      <c r="M10" s="111">
        <f t="shared" si="0"/>
        <v>7189497.8300000001</v>
      </c>
      <c r="N10" s="111"/>
      <c r="O10" s="123" t="str">
        <f t="shared" ref="O10:O31" si="4">TEXT(R10,"ддд")</f>
        <v>Вс</v>
      </c>
      <c r="P10" s="125">
        <f t="shared" si="2"/>
        <v>1</v>
      </c>
      <c r="Q10" s="125">
        <f>DAY('Общие данные'!$B$78)+P10</f>
        <v>6</v>
      </c>
      <c r="R10" s="120">
        <f>IF(A10&lt;='Общие данные'!$B$81,DATE(YEAR($B$8),MONTH($B$8)+A9,DAY('Общие данные'!$B$78)),0)</f>
        <v>46208</v>
      </c>
      <c r="S10" s="109"/>
      <c r="T10" s="109"/>
      <c r="U10" s="109"/>
      <c r="V10" s="109"/>
    </row>
    <row r="11" spans="1:22">
      <c r="A11" s="115">
        <v>4</v>
      </c>
      <c r="B11" s="116">
        <f>IF(A11&lt;='Общие данные'!$B$81,DATE(YEAR(R11),MONTH(R11),DAY(R11)+P11),0)</f>
        <v>46239</v>
      </c>
      <c r="C11" s="62">
        <f>C10-D10</f>
        <v>91666666.659999996</v>
      </c>
      <c r="D11" s="62">
        <f>IF(C11=0,L11,IF(C11&gt;1,I11))</f>
        <v>2777777.78</v>
      </c>
      <c r="E11" s="62">
        <f>IF(C11=0,N10,IF(C11&gt;1,L11))</f>
        <v>4143835.5</v>
      </c>
      <c r="F11" s="62">
        <f>IF(C11=0,N10,IF(C11&gt;1,M11))</f>
        <v>6921613.2799999993</v>
      </c>
      <c r="G11" s="109">
        <f t="shared" si="3"/>
        <v>30</v>
      </c>
      <c r="H11" s="109">
        <f t="shared" si="1"/>
        <v>365</v>
      </c>
      <c r="I11" s="117">
        <f>I10</f>
        <v>2777777.78</v>
      </c>
      <c r="J11" s="117"/>
      <c r="K11" s="117"/>
      <c r="L11" s="111">
        <f>ROUND(C11*'Общие данные'!$B$84/H11,2)*G11</f>
        <v>4143835.5</v>
      </c>
      <c r="M11" s="111">
        <f t="shared" si="0"/>
        <v>6921613.2799999993</v>
      </c>
      <c r="N11" s="111"/>
      <c r="O11" s="123" t="str">
        <f t="shared" si="4"/>
        <v>Ср</v>
      </c>
      <c r="P11" s="125">
        <f t="shared" si="2"/>
        <v>0</v>
      </c>
      <c r="Q11" s="125">
        <f>DAY('Общие данные'!$B$78)+P11</f>
        <v>5</v>
      </c>
      <c r="R11" s="120">
        <f>IF(A11&lt;='Общие данные'!$B$81,DATE(YEAR($B$8),MONTH($B$8)+A10,DAY('Общие данные'!$B$78)),0)</f>
        <v>46239</v>
      </c>
      <c r="S11" s="109"/>
      <c r="T11" s="109"/>
      <c r="U11" s="109"/>
      <c r="V11" s="109"/>
    </row>
    <row r="12" spans="1:22">
      <c r="A12" s="115">
        <v>5</v>
      </c>
      <c r="B12" s="116">
        <f>IF(A12&lt;='Общие данные'!$B$81,DATE(YEAR(R12),MONTH(R12),DAY(R12)+P12),0)</f>
        <v>46272</v>
      </c>
      <c r="C12" s="62">
        <f>C11-D11</f>
        <v>88888888.879999995</v>
      </c>
      <c r="D12" s="62">
        <f>IF(C12=0,L12,IF(C12&gt;1,I12))</f>
        <v>2777777.78</v>
      </c>
      <c r="E12" s="62">
        <f>IF(C12=0,N11,IF(C12&gt;1,L12))</f>
        <v>4420091.28</v>
      </c>
      <c r="F12" s="62">
        <f>IF(C12=0,N11,IF(C12&gt;1,M12))</f>
        <v>7197869.0600000005</v>
      </c>
      <c r="G12" s="109">
        <f t="shared" si="3"/>
        <v>33</v>
      </c>
      <c r="H12" s="109">
        <f t="shared" si="1"/>
        <v>365</v>
      </c>
      <c r="I12" s="117">
        <f>I11</f>
        <v>2777777.78</v>
      </c>
      <c r="J12" s="117">
        <f>'Общие данные'!B75</f>
        <v>100000000</v>
      </c>
      <c r="K12" s="117"/>
      <c r="L12" s="111">
        <f>ROUND(C12*'Общие данные'!$B$84/H12,2)*G12</f>
        <v>4420091.28</v>
      </c>
      <c r="M12" s="111">
        <f t="shared" si="0"/>
        <v>7197869.0600000005</v>
      </c>
      <c r="N12" s="111"/>
      <c r="O12" s="123" t="str">
        <f t="shared" si="4"/>
        <v>Сб</v>
      </c>
      <c r="P12" s="125">
        <f t="shared" si="2"/>
        <v>2</v>
      </c>
      <c r="Q12" s="125">
        <f>DAY('Общие данные'!$B$78)+P12</f>
        <v>7</v>
      </c>
      <c r="R12" s="120">
        <f>IF(A12&lt;='Общие данные'!$B$81,DATE(YEAR($B$8),MONTH($B$8)+A11,DAY('Общие данные'!$B$78)),0)</f>
        <v>46270</v>
      </c>
      <c r="S12" s="109"/>
      <c r="T12" s="109"/>
      <c r="U12" s="109"/>
      <c r="V12" s="109"/>
    </row>
    <row r="13" spans="1:22">
      <c r="A13" s="115">
        <v>6</v>
      </c>
      <c r="B13" s="116">
        <f>IF(A13&lt;='Общие данные'!$B$81,DATE(YEAR(R13),MONTH(R13),DAY(IF(A13='Общие данные'!$B$81,'Общие данные'!$B$67,IF(A13&lt;'Общие данные'!$B$81,(Q13),IF(A13&gt;'Общие данные'!$B$81,$H$56,0))))))</f>
        <v>46300</v>
      </c>
      <c r="C13" s="62">
        <f t="shared" ref="C13:C30" si="5">C12-D12</f>
        <v>86111111.099999994</v>
      </c>
      <c r="D13" s="62">
        <f t="shared" ref="D13:D30" si="6">IF(C13=0,L13,IF(C13&gt;1,I13))</f>
        <v>2777777.78</v>
      </c>
      <c r="E13" s="62">
        <f t="shared" ref="E13:E30" si="7">IF(C13=0,N12,IF(C13&gt;1,L13))</f>
        <v>3633181.16</v>
      </c>
      <c r="F13" s="62">
        <f t="shared" ref="F13:F30" si="8">IF(C13=0,N12,IF(C13&gt;1,M13))</f>
        <v>6410958.9399999995</v>
      </c>
      <c r="G13" s="109">
        <f t="shared" si="3"/>
        <v>28</v>
      </c>
      <c r="H13" s="109">
        <f t="shared" si="1"/>
        <v>365</v>
      </c>
      <c r="I13" s="117">
        <f>IF(L5=H1,K13,IF(L5&gt;H1,I12))</f>
        <v>2777777.78</v>
      </c>
      <c r="J13" s="117">
        <f>SUM($I$8:I12)</f>
        <v>13888888.899999999</v>
      </c>
      <c r="K13" s="117">
        <f>$J$12-J13</f>
        <v>86111111.099999994</v>
      </c>
      <c r="L13" s="111">
        <f>ROUND(C13*'Общие данные'!$B$84/H13,2)*G13</f>
        <v>3633181.16</v>
      </c>
      <c r="M13" s="111">
        <f t="shared" si="0"/>
        <v>6410958.9399999995</v>
      </c>
      <c r="N13" s="111"/>
      <c r="O13" s="123" t="str">
        <f t="shared" si="4"/>
        <v>Пн</v>
      </c>
      <c r="P13" s="125">
        <f t="shared" si="2"/>
        <v>0</v>
      </c>
      <c r="Q13" s="125">
        <f>DAY('Общие данные'!$B$78)+P13</f>
        <v>5</v>
      </c>
      <c r="R13" s="120">
        <f>IF(A13&lt;='Общие данные'!$B$81,DATE(YEAR($B$8),MONTH($B$8)+A12,DAY('Общие данные'!$B$78)),0)</f>
        <v>46300</v>
      </c>
      <c r="S13" s="109"/>
      <c r="T13" s="109"/>
      <c r="U13" s="109"/>
      <c r="V13" s="109"/>
    </row>
    <row r="14" spans="1:22">
      <c r="A14" s="115">
        <v>7</v>
      </c>
      <c r="B14" s="116">
        <f>IF(A14&lt;='Общие данные'!$B$81,DATE(YEAR(R14),MONTH(R14),DAY(IF(A14='Общие данные'!$B$81,'Общие данные'!$B$67,IF(A14&lt;'Общие данные'!$B$81,(Q14),IF(A14&gt;'Общие данные'!$B$81,$H$56,0))))))</f>
        <v>46331</v>
      </c>
      <c r="C14" s="62">
        <f t="shared" si="5"/>
        <v>83333333.319999993</v>
      </c>
      <c r="D14" s="62">
        <f t="shared" si="6"/>
        <v>2777777.78</v>
      </c>
      <c r="E14" s="62">
        <f t="shared" si="7"/>
        <v>3892694.18</v>
      </c>
      <c r="F14" s="62">
        <f t="shared" si="8"/>
        <v>6670471.96</v>
      </c>
      <c r="G14" s="109">
        <f t="shared" si="3"/>
        <v>31</v>
      </c>
      <c r="H14" s="109">
        <f t="shared" si="1"/>
        <v>365</v>
      </c>
      <c r="I14" s="117">
        <f>IF($L$5=A14,K14,IF($L$5&gt;A14,I13))</f>
        <v>2777777.78</v>
      </c>
      <c r="J14" s="117">
        <f>SUM($I$8:I13)</f>
        <v>16666666.679999998</v>
      </c>
      <c r="K14" s="117">
        <f t="shared" ref="K14:K31" si="9">$J$12-J14</f>
        <v>83333333.320000008</v>
      </c>
      <c r="L14" s="111">
        <f>ROUND(C14*'Общие данные'!$B$84/H14,2)*G14</f>
        <v>3892694.18</v>
      </c>
      <c r="M14" s="111">
        <f t="shared" si="0"/>
        <v>6670471.96</v>
      </c>
      <c r="N14" s="111"/>
      <c r="O14" s="123" t="str">
        <f t="shared" si="4"/>
        <v>Чт</v>
      </c>
      <c r="P14" s="125">
        <f t="shared" si="2"/>
        <v>0</v>
      </c>
      <c r="Q14" s="125">
        <f>DAY('Общие данные'!$B$78)+P14</f>
        <v>5</v>
      </c>
      <c r="R14" s="120">
        <f>IF(A14&lt;='Общие данные'!$B$81,DATE(YEAR($B$8),MONTH($B$8)+A13,DAY('Общие данные'!$B$78)),0)</f>
        <v>46331</v>
      </c>
      <c r="S14" s="109"/>
      <c r="T14" s="109"/>
      <c r="U14" s="109"/>
      <c r="V14" s="109"/>
    </row>
    <row r="15" spans="1:22">
      <c r="A15" s="115">
        <v>8</v>
      </c>
      <c r="B15" s="116">
        <f>IF(A15&lt;='Общие данные'!$B$81,DATE(YEAR(R15),MONTH(R15),DAY(IF(A15='Общие данные'!$B$81,'Общие данные'!$B$67,IF(A15&lt;'Общие данные'!$B$81,(Q15),IF(A15&gt;'Общие данные'!$B$81,$H$56,0))))))</f>
        <v>46363</v>
      </c>
      <c r="C15" s="62">
        <f t="shared" si="5"/>
        <v>80555555.539999992</v>
      </c>
      <c r="D15" s="62">
        <f t="shared" si="6"/>
        <v>2777777.78</v>
      </c>
      <c r="E15" s="62">
        <f t="shared" si="7"/>
        <v>3884322.56</v>
      </c>
      <c r="F15" s="62">
        <f t="shared" si="8"/>
        <v>6662100.3399999999</v>
      </c>
      <c r="G15" s="109">
        <f t="shared" si="3"/>
        <v>32</v>
      </c>
      <c r="H15" s="109">
        <f t="shared" si="1"/>
        <v>365</v>
      </c>
      <c r="I15" s="117">
        <f t="shared" ref="I15:I31" si="10">IF($L$5=A15,K15,IF($L$5&gt;A15,I14))</f>
        <v>2777777.78</v>
      </c>
      <c r="J15" s="117">
        <f>SUM($I$8:I14)</f>
        <v>19444444.459999997</v>
      </c>
      <c r="K15" s="117">
        <f t="shared" si="9"/>
        <v>80555555.540000007</v>
      </c>
      <c r="L15" s="111">
        <f>ROUND(C15*'Общие данные'!$B$84/H15,2)*G15</f>
        <v>3884322.56</v>
      </c>
      <c r="M15" s="111">
        <f t="shared" si="0"/>
        <v>6662100.3399999999</v>
      </c>
      <c r="N15" s="111"/>
      <c r="O15" s="123" t="str">
        <f t="shared" si="4"/>
        <v>Сб</v>
      </c>
      <c r="P15" s="125">
        <f t="shared" si="2"/>
        <v>2</v>
      </c>
      <c r="Q15" s="125">
        <f>DAY('Общие данные'!$B$78)+P15</f>
        <v>7</v>
      </c>
      <c r="R15" s="120">
        <f>IF(A15&lt;='Общие данные'!$B$81,DATE(YEAR($B$8),MONTH($B$8)+A14,DAY('Общие данные'!$B$78)),0)</f>
        <v>46361</v>
      </c>
      <c r="S15" s="109"/>
      <c r="T15" s="109"/>
      <c r="U15" s="109"/>
      <c r="V15" s="109"/>
    </row>
    <row r="16" spans="1:22">
      <c r="A16" s="115">
        <v>9</v>
      </c>
      <c r="B16" s="116">
        <f>IF(A16&lt;='Общие данные'!$B$81,DATE(YEAR(R16),MONTH(R16),DAY(IF(A16='Общие данные'!$B$81,'Общие данные'!$B$67,IF(A16&lt;'Общие данные'!$B$81,(Q16),IF(A16&gt;'Общие данные'!$B$81,$H$56,0))))))</f>
        <v>46392</v>
      </c>
      <c r="C16" s="62">
        <f t="shared" si="5"/>
        <v>77777777.75999999</v>
      </c>
      <c r="D16" s="62">
        <f t="shared" si="6"/>
        <v>2777777.78</v>
      </c>
      <c r="E16" s="62">
        <f t="shared" si="7"/>
        <v>3398782.31</v>
      </c>
      <c r="F16" s="62">
        <f t="shared" si="8"/>
        <v>6176560.0899999999</v>
      </c>
      <c r="G16" s="109">
        <f t="shared" si="3"/>
        <v>29</v>
      </c>
      <c r="H16" s="109">
        <f t="shared" si="1"/>
        <v>365</v>
      </c>
      <c r="I16" s="117">
        <f t="shared" si="10"/>
        <v>2777777.78</v>
      </c>
      <c r="J16" s="117">
        <f>SUM($I$8:I15)</f>
        <v>22222222.239999998</v>
      </c>
      <c r="K16" s="117">
        <f t="shared" si="9"/>
        <v>77777777.760000005</v>
      </c>
      <c r="L16" s="111">
        <f>ROUND(C16*'Общие данные'!$B$84/H16,2)*G16</f>
        <v>3398782.31</v>
      </c>
      <c r="M16" s="111">
        <f t="shared" si="0"/>
        <v>6176560.0899999999</v>
      </c>
      <c r="N16" s="111"/>
      <c r="O16" s="123" t="str">
        <f t="shared" si="4"/>
        <v>Вт</v>
      </c>
      <c r="P16" s="125">
        <f t="shared" si="2"/>
        <v>0</v>
      </c>
      <c r="Q16" s="125">
        <f>DAY('Общие данные'!$B$78)+P16</f>
        <v>5</v>
      </c>
      <c r="R16" s="120">
        <f>IF(A16&lt;='Общие данные'!$B$81,DATE(YEAR($B$8),MONTH($B$8)+A15,DAY('Общие данные'!$B$78)),0)</f>
        <v>46392</v>
      </c>
      <c r="S16" s="109"/>
      <c r="T16" s="109"/>
      <c r="U16" s="109"/>
      <c r="V16" s="109"/>
    </row>
    <row r="17" spans="1:22">
      <c r="A17" s="115">
        <v>10</v>
      </c>
      <c r="B17" s="116">
        <f>IF(A17&lt;='Общие данные'!$B$81,DATE(YEAR(R17),MONTH(R17),DAY(IF(A17='Общие данные'!$B$81,'Общие данные'!$B$67,IF(A17&lt;'Общие данные'!$B$81,(Q17),IF(A17&gt;'Общие данные'!$B$81,$H$56,0))))))</f>
        <v>46423</v>
      </c>
      <c r="C17" s="62">
        <f t="shared" si="5"/>
        <v>74999999.979999989</v>
      </c>
      <c r="D17" s="62">
        <f t="shared" si="6"/>
        <v>2777777.78</v>
      </c>
      <c r="E17" s="62">
        <f t="shared" si="7"/>
        <v>3503424.6999999997</v>
      </c>
      <c r="F17" s="62">
        <f t="shared" si="8"/>
        <v>6281202.4799999995</v>
      </c>
      <c r="G17" s="109">
        <f t="shared" si="3"/>
        <v>31</v>
      </c>
      <c r="H17" s="109">
        <f t="shared" si="1"/>
        <v>365</v>
      </c>
      <c r="I17" s="117">
        <f t="shared" si="10"/>
        <v>2777777.78</v>
      </c>
      <c r="J17" s="117">
        <f>SUM($I$8:I16)</f>
        <v>25000000.02</v>
      </c>
      <c r="K17" s="117">
        <f>$J$12-J17</f>
        <v>74999999.980000004</v>
      </c>
      <c r="L17" s="111">
        <f>ROUND(C17*'Общие данные'!$B$84/H17,2)*G17</f>
        <v>3503424.6999999997</v>
      </c>
      <c r="M17" s="111">
        <f t="shared" si="0"/>
        <v>6281202.4799999995</v>
      </c>
      <c r="N17" s="111"/>
      <c r="O17" s="123" t="str">
        <f t="shared" si="4"/>
        <v>Пт</v>
      </c>
      <c r="P17" s="125">
        <f t="shared" si="2"/>
        <v>0</v>
      </c>
      <c r="Q17" s="125">
        <f>DAY('Общие данные'!$B$78)+P17</f>
        <v>5</v>
      </c>
      <c r="R17" s="120">
        <f>IF(A17&lt;='Общие данные'!$B$81,DATE(YEAR($B$8),MONTH($B$8)+A16,DAY('Общие данные'!$B$78)),0)</f>
        <v>46423</v>
      </c>
      <c r="S17" s="109"/>
      <c r="T17" s="109"/>
      <c r="U17" s="109"/>
      <c r="V17" s="109"/>
    </row>
    <row r="18" spans="1:22">
      <c r="A18" s="115">
        <v>11</v>
      </c>
      <c r="B18" s="116">
        <f>IF(A18&lt;='Общие данные'!$B$81,DATE(YEAR(R18),MONTH(R18),DAY(IF(A18='Общие данные'!$B$81,'Общие данные'!$B$67,IF(A18&lt;'Общие данные'!$B$81,(Q18),IF(A18&gt;'Общие данные'!$B$81,$H$56,0))))))</f>
        <v>46451</v>
      </c>
      <c r="C18" s="62">
        <f t="shared" si="5"/>
        <v>72222222.199999988</v>
      </c>
      <c r="D18" s="62">
        <f t="shared" si="6"/>
        <v>2777777.78</v>
      </c>
      <c r="E18" s="62">
        <f t="shared" si="7"/>
        <v>3047184.28</v>
      </c>
      <c r="F18" s="62">
        <f t="shared" si="8"/>
        <v>5824962.0599999996</v>
      </c>
      <c r="G18" s="109">
        <f t="shared" si="3"/>
        <v>28</v>
      </c>
      <c r="H18" s="109">
        <f t="shared" si="1"/>
        <v>365</v>
      </c>
      <c r="I18" s="117">
        <f t="shared" si="10"/>
        <v>2777777.78</v>
      </c>
      <c r="J18" s="117">
        <f>SUM($I$8:I17)</f>
        <v>27777777.800000001</v>
      </c>
      <c r="K18" s="117">
        <f t="shared" si="9"/>
        <v>72222222.200000003</v>
      </c>
      <c r="L18" s="111">
        <f>ROUND(C18*'Общие данные'!$B$84/H18,2)*G18</f>
        <v>3047184.28</v>
      </c>
      <c r="M18" s="111">
        <f t="shared" si="0"/>
        <v>5824962.0599999996</v>
      </c>
      <c r="N18" s="111"/>
      <c r="O18" s="123" t="str">
        <f t="shared" si="4"/>
        <v>Пт</v>
      </c>
      <c r="P18" s="125">
        <f t="shared" si="2"/>
        <v>0</v>
      </c>
      <c r="Q18" s="125">
        <f>DAY('Общие данные'!$B$78)+P18</f>
        <v>5</v>
      </c>
      <c r="R18" s="120">
        <f>IF(A18&lt;='Общие данные'!$B$81,DATE(YEAR($B$8),MONTH($B$8)+A17,DAY('Общие данные'!$B$78)),0)</f>
        <v>46451</v>
      </c>
      <c r="S18" s="109"/>
      <c r="T18" s="109"/>
      <c r="U18" s="109"/>
      <c r="V18" s="109"/>
    </row>
    <row r="19" spans="1:22">
      <c r="A19" s="115">
        <v>12</v>
      </c>
      <c r="B19" s="116">
        <f>IF(A19&lt;='Общие данные'!$B$81,DATE(YEAR(R19),MONTH(R19),DAY(IF(A19='Общие данные'!$B$81,'Общие данные'!$B$67,IF(A19&lt;'Общие данные'!$B$81,(Q19),IF(A19&gt;'Общие данные'!$B$81,$H$56,0))))))</f>
        <v>46482</v>
      </c>
      <c r="C19" s="62">
        <f t="shared" si="5"/>
        <v>69444444.419999987</v>
      </c>
      <c r="D19" s="62">
        <f t="shared" si="6"/>
        <v>2777777.78</v>
      </c>
      <c r="E19" s="62">
        <f t="shared" si="7"/>
        <v>3243911.61</v>
      </c>
      <c r="F19" s="62">
        <f t="shared" si="8"/>
        <v>6021689.3899999997</v>
      </c>
      <c r="G19" s="109">
        <f t="shared" si="3"/>
        <v>31</v>
      </c>
      <c r="H19" s="109">
        <f t="shared" si="1"/>
        <v>365</v>
      </c>
      <c r="I19" s="117">
        <f t="shared" si="10"/>
        <v>2777777.78</v>
      </c>
      <c r="J19" s="117">
        <f>SUM($I$8:I18)</f>
        <v>30555555.580000002</v>
      </c>
      <c r="K19" s="117">
        <f t="shared" si="9"/>
        <v>69444444.420000002</v>
      </c>
      <c r="L19" s="111">
        <f>ROUND(C19*'Общие данные'!$B$84/H19,2)*G19</f>
        <v>3243911.61</v>
      </c>
      <c r="M19" s="111">
        <f t="shared" si="0"/>
        <v>6021689.3899999997</v>
      </c>
      <c r="N19" s="111"/>
      <c r="O19" s="123" t="str">
        <f t="shared" si="4"/>
        <v>Пн</v>
      </c>
      <c r="P19" s="125">
        <f t="shared" si="2"/>
        <v>0</v>
      </c>
      <c r="Q19" s="125">
        <f>DAY('Общие данные'!$B$78)+P19</f>
        <v>5</v>
      </c>
      <c r="R19" s="120">
        <f>IF(A19&lt;='Общие данные'!$B$81,DATE(YEAR($B$8),MONTH($B$8)+A18,DAY('Общие данные'!$B$78)),0)</f>
        <v>46482</v>
      </c>
      <c r="S19" s="109"/>
      <c r="T19" s="109"/>
      <c r="U19" s="109"/>
      <c r="V19" s="109"/>
    </row>
    <row r="20" spans="1:22">
      <c r="A20" s="115">
        <v>13</v>
      </c>
      <c r="B20" s="116">
        <f>IF(A20&lt;='Общие данные'!$B$81,DATE(YEAR(R20),MONTH(R20),DAY(IF(A20='Общие данные'!$B$81,'Общие данные'!$B$67,IF(A20&lt;'Общие данные'!$B$81,(Q20),IF(A20&gt;'Общие данные'!$B$81,$H$56,0))))))</f>
        <v>46512</v>
      </c>
      <c r="C20" s="62">
        <f t="shared" si="5"/>
        <v>66666666.639999986</v>
      </c>
      <c r="D20" s="62">
        <f t="shared" si="6"/>
        <v>2777777.78</v>
      </c>
      <c r="E20" s="62">
        <f t="shared" si="7"/>
        <v>3013698.5999999996</v>
      </c>
      <c r="F20" s="62">
        <f t="shared" si="8"/>
        <v>5791476.379999999</v>
      </c>
      <c r="G20" s="109">
        <f t="shared" si="3"/>
        <v>30</v>
      </c>
      <c r="H20" s="109">
        <f t="shared" si="1"/>
        <v>365</v>
      </c>
      <c r="I20" s="117">
        <f t="shared" si="10"/>
        <v>2777777.78</v>
      </c>
      <c r="J20" s="117">
        <f>SUM($I$8:I19)</f>
        <v>33333333.360000003</v>
      </c>
      <c r="K20" s="117">
        <f>$J$12-J20</f>
        <v>66666666.640000001</v>
      </c>
      <c r="L20" s="111">
        <f>ROUND(C20*'Общие данные'!$B$84/H20,2)*G20</f>
        <v>3013698.5999999996</v>
      </c>
      <c r="M20" s="111">
        <f t="shared" si="0"/>
        <v>5791476.379999999</v>
      </c>
      <c r="N20" s="111"/>
      <c r="O20" s="123" t="str">
        <f t="shared" si="4"/>
        <v>Ср</v>
      </c>
      <c r="P20" s="125">
        <f t="shared" si="2"/>
        <v>0</v>
      </c>
      <c r="Q20" s="125">
        <f>DAY('Общие данные'!$B$78)+P20</f>
        <v>5</v>
      </c>
      <c r="R20" s="120">
        <f>IF(A20&lt;='Общие данные'!$B$81,DATE(YEAR($B$8),MONTH($B$8)+A19,DAY('Общие данные'!$B$78)),0)</f>
        <v>46512</v>
      </c>
      <c r="S20" s="109"/>
      <c r="T20" s="109"/>
      <c r="U20" s="109"/>
      <c r="V20" s="109"/>
    </row>
    <row r="21" spans="1:22">
      <c r="A21" s="115">
        <v>14</v>
      </c>
      <c r="B21" s="116">
        <f>IF(A21&lt;='Общие данные'!$B$81,DATE(YEAR(R21),MONTH(R21),DAY(IF(A21='Общие данные'!$B$81,'Общие данные'!$B$67,IF(A21&lt;'Общие данные'!$B$81,(Q21),IF(A21&gt;'Общие данные'!$B$81,$H$56,0))))))</f>
        <v>46545</v>
      </c>
      <c r="C21" s="62">
        <f t="shared" si="5"/>
        <v>63888888.859999985</v>
      </c>
      <c r="D21" s="62">
        <f t="shared" si="6"/>
        <v>2777777.78</v>
      </c>
      <c r="E21" s="62">
        <f t="shared" si="7"/>
        <v>3176940.69</v>
      </c>
      <c r="F21" s="62">
        <f t="shared" si="8"/>
        <v>5954718.4699999997</v>
      </c>
      <c r="G21" s="109">
        <f t="shared" si="3"/>
        <v>33</v>
      </c>
      <c r="H21" s="109">
        <f t="shared" si="1"/>
        <v>365</v>
      </c>
      <c r="I21" s="117">
        <f t="shared" si="10"/>
        <v>2777777.78</v>
      </c>
      <c r="J21" s="117">
        <f>SUM($I$8:I20)</f>
        <v>36111111.140000001</v>
      </c>
      <c r="K21" s="117">
        <f t="shared" si="9"/>
        <v>63888888.859999999</v>
      </c>
      <c r="L21" s="111">
        <f>ROUND(C21*'Общие данные'!$B$84/H21,2)*G21</f>
        <v>3176940.69</v>
      </c>
      <c r="M21" s="111">
        <f t="shared" si="0"/>
        <v>5954718.4699999997</v>
      </c>
      <c r="N21" s="111"/>
      <c r="O21" s="123" t="str">
        <f t="shared" si="4"/>
        <v>Сб</v>
      </c>
      <c r="P21" s="125">
        <f t="shared" si="2"/>
        <v>2</v>
      </c>
      <c r="Q21" s="125">
        <f>DAY('Общие данные'!$B$78)+P21</f>
        <v>7</v>
      </c>
      <c r="R21" s="120">
        <f>IF(A21&lt;='Общие данные'!$B$81,DATE(YEAR($B$8),MONTH($B$8)+A20,DAY('Общие данные'!$B$78)),0)</f>
        <v>46543</v>
      </c>
      <c r="S21" s="109"/>
      <c r="T21" s="109"/>
      <c r="U21" s="109"/>
      <c r="V21" s="109"/>
    </row>
    <row r="22" spans="1:22">
      <c r="A22" s="115">
        <v>15</v>
      </c>
      <c r="B22" s="116">
        <f>IF(A22&lt;='Общие данные'!$B$81,DATE(YEAR(R22),MONTH(R22),DAY(IF(A22='Общие данные'!$B$81,'Общие данные'!$B$67,IF(A22&lt;'Общие данные'!$B$81,(Q22),IF(A22&gt;'Общие данные'!$B$81,$H$56,0))))))</f>
        <v>46573</v>
      </c>
      <c r="C22" s="62">
        <f t="shared" si="5"/>
        <v>61111111.079999983</v>
      </c>
      <c r="D22" s="62">
        <f t="shared" si="6"/>
        <v>2777777.78</v>
      </c>
      <c r="E22" s="62">
        <f t="shared" si="7"/>
        <v>2578386.7200000002</v>
      </c>
      <c r="F22" s="62">
        <f t="shared" si="8"/>
        <v>5356164.5</v>
      </c>
      <c r="G22" s="109">
        <f t="shared" si="3"/>
        <v>28</v>
      </c>
      <c r="H22" s="109">
        <f t="shared" si="1"/>
        <v>365</v>
      </c>
      <c r="I22" s="117">
        <f t="shared" si="10"/>
        <v>2777777.78</v>
      </c>
      <c r="J22" s="117">
        <f>SUM($I$8:I21)</f>
        <v>38888888.920000002</v>
      </c>
      <c r="K22" s="117">
        <f t="shared" si="9"/>
        <v>61111111.079999998</v>
      </c>
      <c r="L22" s="111">
        <f>ROUND(C22*'Общие данные'!$B$84/H22,2)*G22</f>
        <v>2578386.7200000002</v>
      </c>
      <c r="M22" s="111">
        <f t="shared" si="0"/>
        <v>5356164.5</v>
      </c>
      <c r="N22" s="111"/>
      <c r="O22" s="123" t="str">
        <f t="shared" si="4"/>
        <v>Пн</v>
      </c>
      <c r="P22" s="125">
        <f t="shared" si="2"/>
        <v>0</v>
      </c>
      <c r="Q22" s="125">
        <f>DAY('Общие данные'!$B$78)+P22</f>
        <v>5</v>
      </c>
      <c r="R22" s="120">
        <f>IF(A22&lt;='Общие данные'!$B$81,DATE(YEAR($B$8),MONTH($B$8)+A21,DAY('Общие данные'!$B$78)),0)</f>
        <v>46573</v>
      </c>
      <c r="S22" s="109"/>
      <c r="T22" s="109"/>
      <c r="U22" s="109"/>
      <c r="V22" s="109"/>
    </row>
    <row r="23" spans="1:22">
      <c r="A23" s="115">
        <v>16</v>
      </c>
      <c r="B23" s="116">
        <f>IF(A23&lt;='Общие данные'!$B$81,DATE(YEAR(R23),MONTH(R23),DAY(IF(A23='Общие данные'!$B$81,'Общие данные'!$B$67,IF(A23&lt;'Общие данные'!$B$81,(Q23),IF(A23&gt;'Общие данные'!$B$81,$H$56,0))))))</f>
        <v>46604</v>
      </c>
      <c r="C23" s="62">
        <f t="shared" si="5"/>
        <v>58333333.299999982</v>
      </c>
      <c r="D23" s="62">
        <f t="shared" si="6"/>
        <v>2777777.78</v>
      </c>
      <c r="E23" s="62">
        <f t="shared" si="7"/>
        <v>2724885.7399999998</v>
      </c>
      <c r="F23" s="62">
        <f t="shared" si="8"/>
        <v>5502663.5199999996</v>
      </c>
      <c r="G23" s="109">
        <f t="shared" si="3"/>
        <v>31</v>
      </c>
      <c r="H23" s="109">
        <f t="shared" si="1"/>
        <v>365</v>
      </c>
      <c r="I23" s="117">
        <f t="shared" si="10"/>
        <v>2777777.78</v>
      </c>
      <c r="J23" s="117">
        <f>SUM($I$8:I22)</f>
        <v>41666666.700000003</v>
      </c>
      <c r="K23" s="117">
        <f t="shared" si="9"/>
        <v>58333333.299999997</v>
      </c>
      <c r="L23" s="111">
        <f>ROUND(C23*'Общие данные'!$B$84/H23,2)*G23</f>
        <v>2724885.7399999998</v>
      </c>
      <c r="M23" s="111">
        <f t="shared" si="0"/>
        <v>5502663.5199999996</v>
      </c>
      <c r="N23" s="111"/>
      <c r="O23" s="123" t="str">
        <f t="shared" si="4"/>
        <v>Чт</v>
      </c>
      <c r="P23" s="125">
        <f t="shared" si="2"/>
        <v>0</v>
      </c>
      <c r="Q23" s="125">
        <f>DAY('Общие данные'!$B$78)+P23</f>
        <v>5</v>
      </c>
      <c r="R23" s="120">
        <f>IF(A23&lt;='Общие данные'!$B$81,DATE(YEAR($B$8),MONTH($B$8)+A22,DAY('Общие данные'!$B$78)),0)</f>
        <v>46604</v>
      </c>
      <c r="S23" s="109"/>
      <c r="T23" s="109"/>
      <c r="U23" s="109"/>
      <c r="V23" s="109"/>
    </row>
    <row r="24" spans="1:22">
      <c r="A24" s="115">
        <v>17</v>
      </c>
      <c r="B24" s="116">
        <f>IF(A24&lt;='Общие данные'!$B$81,DATE(YEAR(R24),MONTH(R24),DAY(IF(A24='Общие данные'!$B$81,'Общие данные'!$B$67,IF(A24&lt;'Общие данные'!$B$81,(Q24),IF(A24&gt;'Общие данные'!$B$81,$H$56,0))))))</f>
        <v>46636</v>
      </c>
      <c r="C24" s="62">
        <f t="shared" si="5"/>
        <v>55555555.519999981</v>
      </c>
      <c r="D24" s="62">
        <f t="shared" si="6"/>
        <v>2777777.78</v>
      </c>
      <c r="E24" s="62">
        <f t="shared" si="7"/>
        <v>2678843.2000000002</v>
      </c>
      <c r="F24" s="62">
        <f t="shared" si="8"/>
        <v>5456620.9800000004</v>
      </c>
      <c r="G24" s="109">
        <f t="shared" si="3"/>
        <v>32</v>
      </c>
      <c r="H24" s="109">
        <f t="shared" si="1"/>
        <v>365</v>
      </c>
      <c r="I24" s="117">
        <f t="shared" si="10"/>
        <v>2777777.78</v>
      </c>
      <c r="J24" s="117">
        <f>SUM($I$8:I23)</f>
        <v>44444444.480000004</v>
      </c>
      <c r="K24" s="117">
        <f t="shared" si="9"/>
        <v>55555555.519999996</v>
      </c>
      <c r="L24" s="111">
        <f>ROUND(C24*'Общие данные'!$B$84/H24,2)*G24</f>
        <v>2678843.2000000002</v>
      </c>
      <c r="M24" s="111">
        <f t="shared" si="0"/>
        <v>5456620.9800000004</v>
      </c>
      <c r="N24" s="111"/>
      <c r="O24" s="123" t="str">
        <f t="shared" si="4"/>
        <v>Вс</v>
      </c>
      <c r="P24" s="125">
        <f t="shared" si="2"/>
        <v>1</v>
      </c>
      <c r="Q24" s="125">
        <f>DAY('Общие данные'!$B$78)+P24</f>
        <v>6</v>
      </c>
      <c r="R24" s="120">
        <f>IF(A24&lt;='Общие данные'!$B$81,DATE(YEAR($B$8),MONTH($B$8)+A23,DAY('Общие данные'!$B$78)),0)</f>
        <v>46635</v>
      </c>
      <c r="S24" s="109"/>
      <c r="T24" s="109"/>
      <c r="U24" s="109"/>
      <c r="V24" s="109"/>
    </row>
    <row r="25" spans="1:22">
      <c r="A25" s="115">
        <v>18</v>
      </c>
      <c r="B25" s="116">
        <f>IF(A25&lt;='Общие данные'!$B$81,DATE(YEAR(R25),MONTH(R25),DAY(IF(A25='Общие данные'!$B$81,'Общие данные'!$B$67,IF(A25&lt;'Общие данные'!$B$81,(Q25),IF(A25&gt;'Общие данные'!$B$81,$H$56,0))))))</f>
        <v>46665</v>
      </c>
      <c r="C25" s="62">
        <f t="shared" si="5"/>
        <v>52777777.73999998</v>
      </c>
      <c r="D25" s="62">
        <f t="shared" si="6"/>
        <v>2777777.78</v>
      </c>
      <c r="E25" s="62">
        <f t="shared" si="7"/>
        <v>2306316.64</v>
      </c>
      <c r="F25" s="62">
        <f t="shared" si="8"/>
        <v>5084094.42</v>
      </c>
      <c r="G25" s="109">
        <f t="shared" si="3"/>
        <v>29</v>
      </c>
      <c r="H25" s="109">
        <f t="shared" si="1"/>
        <v>365</v>
      </c>
      <c r="I25" s="117">
        <f t="shared" si="10"/>
        <v>2777777.78</v>
      </c>
      <c r="J25" s="117">
        <f>SUM($I$8:I24)</f>
        <v>47222222.260000005</v>
      </c>
      <c r="K25" s="117">
        <f t="shared" si="9"/>
        <v>52777777.739999995</v>
      </c>
      <c r="L25" s="111">
        <f>ROUND(C25*'Общие данные'!$B$84/H25,2)*G25</f>
        <v>2306316.64</v>
      </c>
      <c r="M25" s="111">
        <f t="shared" si="0"/>
        <v>5084094.42</v>
      </c>
      <c r="N25" s="111"/>
      <c r="O25" s="123" t="str">
        <f t="shared" si="4"/>
        <v>Вт</v>
      </c>
      <c r="P25" s="125">
        <f t="shared" si="2"/>
        <v>0</v>
      </c>
      <c r="Q25" s="125">
        <f>DAY('Общие данные'!$B$78)+P25</f>
        <v>5</v>
      </c>
      <c r="R25" s="120">
        <f>IF(A25&lt;='Общие данные'!$B$81,DATE(YEAR($B$8),MONTH($B$8)+A24,DAY('Общие данные'!$B$78)),0)</f>
        <v>46665</v>
      </c>
      <c r="S25" s="109"/>
      <c r="T25" s="109"/>
      <c r="U25" s="109"/>
      <c r="V25" s="109"/>
    </row>
    <row r="26" spans="1:22">
      <c r="A26" s="115">
        <v>19</v>
      </c>
      <c r="B26" s="116">
        <f>IF(A26&lt;='Общие данные'!$B$81,DATE(YEAR(R26),MONTH(R26),DAY(IF(A26='Общие данные'!$B$81,'Общие данные'!$B$67,IF(A26&lt;'Общие данные'!$B$81,(Q26),IF(A26&gt;'Общие данные'!$B$81,$H$56,0))))))</f>
        <v>46696</v>
      </c>
      <c r="C26" s="62">
        <f t="shared" si="5"/>
        <v>49999999.959999979</v>
      </c>
      <c r="D26" s="62">
        <f t="shared" si="6"/>
        <v>2777777.78</v>
      </c>
      <c r="E26" s="62">
        <f t="shared" si="7"/>
        <v>2335616.5699999998</v>
      </c>
      <c r="F26" s="62">
        <f t="shared" si="8"/>
        <v>5113394.3499999996</v>
      </c>
      <c r="G26" s="109">
        <f t="shared" si="3"/>
        <v>31</v>
      </c>
      <c r="H26" s="109">
        <f t="shared" si="1"/>
        <v>365</v>
      </c>
      <c r="I26" s="117">
        <f t="shared" si="10"/>
        <v>2777777.78</v>
      </c>
      <c r="J26" s="117">
        <f>SUM($I$8:I25)</f>
        <v>50000000.040000007</v>
      </c>
      <c r="K26" s="117">
        <f t="shared" si="9"/>
        <v>49999999.959999993</v>
      </c>
      <c r="L26" s="111">
        <f>ROUND(C26*'Общие данные'!$B$84/H26,2)*G26</f>
        <v>2335616.5699999998</v>
      </c>
      <c r="M26" s="111">
        <f t="shared" si="0"/>
        <v>5113394.3499999996</v>
      </c>
      <c r="N26" s="111"/>
      <c r="O26" s="123" t="str">
        <f t="shared" si="4"/>
        <v>Пт</v>
      </c>
      <c r="P26" s="125">
        <f t="shared" si="2"/>
        <v>0</v>
      </c>
      <c r="Q26" s="125">
        <f>DAY('Общие данные'!$B$78)+P26</f>
        <v>5</v>
      </c>
      <c r="R26" s="120">
        <f>IF(A26&lt;='Общие данные'!$B$81,DATE(YEAR($B$8),MONTH($B$8)+A25,DAY('Общие данные'!$B$78)),0)</f>
        <v>46696</v>
      </c>
      <c r="S26" s="109"/>
      <c r="T26" s="109"/>
      <c r="U26" s="109"/>
      <c r="V26" s="109"/>
    </row>
    <row r="27" spans="1:22">
      <c r="A27" s="115">
        <v>20</v>
      </c>
      <c r="B27" s="116">
        <f>IF(A27&lt;='Общие данные'!$B$81,DATE(YEAR(R27),MONTH(R27),DAY(IF(A27='Общие данные'!$B$81,'Общие данные'!$B$67,IF(A27&lt;'Общие данные'!$B$81,(Q27),IF(A27&gt;'Общие данные'!$B$81,$H$56,0))))))</f>
        <v>46727</v>
      </c>
      <c r="C27" s="62">
        <f t="shared" si="5"/>
        <v>47222222.179999977</v>
      </c>
      <c r="D27" s="62">
        <f t="shared" si="6"/>
        <v>2777777.78</v>
      </c>
      <c r="E27" s="62">
        <f t="shared" si="7"/>
        <v>2205859.87</v>
      </c>
      <c r="F27" s="62">
        <f t="shared" si="8"/>
        <v>4983637.6500000004</v>
      </c>
      <c r="G27" s="109">
        <f t="shared" si="3"/>
        <v>31</v>
      </c>
      <c r="H27" s="109">
        <f t="shared" si="1"/>
        <v>365</v>
      </c>
      <c r="I27" s="117">
        <f t="shared" si="10"/>
        <v>2777777.78</v>
      </c>
      <c r="J27" s="117">
        <f>SUM($I$8:I26)</f>
        <v>52777777.820000008</v>
      </c>
      <c r="K27" s="117">
        <f t="shared" si="9"/>
        <v>47222222.179999992</v>
      </c>
      <c r="L27" s="111">
        <f>ROUND(C27*'Общие данные'!$B$84/H27,2)*G27</f>
        <v>2205859.87</v>
      </c>
      <c r="M27" s="111">
        <f t="shared" si="0"/>
        <v>4983637.6500000004</v>
      </c>
      <c r="N27" s="111"/>
      <c r="O27" s="123" t="str">
        <f t="shared" si="4"/>
        <v>Вс</v>
      </c>
      <c r="P27" s="125">
        <f t="shared" si="2"/>
        <v>1</v>
      </c>
      <c r="Q27" s="125">
        <f>DAY('Общие данные'!$B$78)+P27</f>
        <v>6</v>
      </c>
      <c r="R27" s="120">
        <f>IF(A27&lt;='Общие данные'!$B$81,DATE(YEAR($B$8),MONTH($B$8)+A26,DAY('Общие данные'!$B$78)),0)</f>
        <v>46726</v>
      </c>
      <c r="S27" s="109"/>
      <c r="T27" s="109"/>
      <c r="U27" s="109"/>
      <c r="V27" s="109"/>
    </row>
    <row r="28" spans="1:22">
      <c r="A28" s="115">
        <v>21</v>
      </c>
      <c r="B28" s="116">
        <f>IF(A28&lt;='Общие данные'!$B$81,DATE(YEAR(R28),MONTH(R28),DAY(IF(A28='Общие данные'!$B$81,'Общие данные'!$B$67,IF(A28&lt;'Общие данные'!$B$81,(Q28),IF(A28&gt;'Общие данные'!$B$81,$H$56,0))))))</f>
        <v>46757</v>
      </c>
      <c r="C28" s="62">
        <f t="shared" si="5"/>
        <v>44444444.399999976</v>
      </c>
      <c r="D28" s="62">
        <f t="shared" si="6"/>
        <v>2777777.78</v>
      </c>
      <c r="E28" s="62">
        <f t="shared" si="7"/>
        <v>2003643.0000000002</v>
      </c>
      <c r="F28" s="62">
        <f t="shared" si="8"/>
        <v>4781420.78</v>
      </c>
      <c r="G28" s="109">
        <f t="shared" si="3"/>
        <v>30</v>
      </c>
      <c r="H28" s="109">
        <f t="shared" si="1"/>
        <v>366</v>
      </c>
      <c r="I28" s="117">
        <f t="shared" si="10"/>
        <v>2777777.78</v>
      </c>
      <c r="J28" s="117">
        <f>SUM($I$8:I27)</f>
        <v>55555555.600000009</v>
      </c>
      <c r="K28" s="117">
        <f t="shared" si="9"/>
        <v>44444444.399999991</v>
      </c>
      <c r="L28" s="111">
        <f>ROUND(C28*'Общие данные'!$B$84/H28,2)*G28</f>
        <v>2003643.0000000002</v>
      </c>
      <c r="M28" s="111">
        <f t="shared" si="0"/>
        <v>4781420.78</v>
      </c>
      <c r="N28" s="111"/>
      <c r="O28" s="123" t="str">
        <f t="shared" si="4"/>
        <v>Ср</v>
      </c>
      <c r="P28" s="125">
        <f t="shared" si="2"/>
        <v>0</v>
      </c>
      <c r="Q28" s="125">
        <f>DAY('Общие данные'!$B$78)+P28</f>
        <v>5</v>
      </c>
      <c r="R28" s="120">
        <f>IF(A28&lt;='Общие данные'!$B$81,DATE(YEAR($B$8),MONTH($B$8)+A27,DAY('Общие данные'!$B$78)),0)</f>
        <v>46757</v>
      </c>
      <c r="S28" s="109"/>
      <c r="T28" s="109"/>
      <c r="U28" s="109"/>
      <c r="V28" s="109"/>
    </row>
    <row r="29" spans="1:22">
      <c r="A29" s="115">
        <v>22</v>
      </c>
      <c r="B29" s="116">
        <f>IF(A29&lt;='Общие данные'!$B$81,DATE(YEAR(R29),MONTH(R29),DAY(IF(A29='Общие данные'!$B$81,'Общие данные'!$B$67,IF(A29&lt;'Общие данные'!$B$81,(Q29),IF(A29&gt;'Общие данные'!$B$81,$H$56,0))))))</f>
        <v>46790</v>
      </c>
      <c r="C29" s="62">
        <f t="shared" si="5"/>
        <v>41666666.619999975</v>
      </c>
      <c r="D29" s="62">
        <f t="shared" si="6"/>
        <v>2777777.78</v>
      </c>
      <c r="E29" s="62">
        <f t="shared" si="7"/>
        <v>2066256.72</v>
      </c>
      <c r="F29" s="62">
        <f t="shared" si="8"/>
        <v>4844034.5</v>
      </c>
      <c r="G29" s="109">
        <f t="shared" si="3"/>
        <v>33</v>
      </c>
      <c r="H29" s="109">
        <f t="shared" si="1"/>
        <v>366</v>
      </c>
      <c r="I29" s="117">
        <f t="shared" si="10"/>
        <v>2777777.78</v>
      </c>
      <c r="J29" s="117">
        <f>SUM($I$8:I28)</f>
        <v>58333333.38000001</v>
      </c>
      <c r="K29" s="117">
        <f t="shared" si="9"/>
        <v>41666666.61999999</v>
      </c>
      <c r="L29" s="111">
        <f>ROUND(C29*'Общие данные'!$B$84/H29,2)*G29</f>
        <v>2066256.72</v>
      </c>
      <c r="M29" s="111">
        <f t="shared" si="0"/>
        <v>4844034.5</v>
      </c>
      <c r="N29" s="111"/>
      <c r="O29" s="123" t="str">
        <f t="shared" si="4"/>
        <v>Сб</v>
      </c>
      <c r="P29" s="125">
        <f t="shared" si="2"/>
        <v>2</v>
      </c>
      <c r="Q29" s="125">
        <f>DAY('Общие данные'!$B$78)+P29</f>
        <v>7</v>
      </c>
      <c r="R29" s="120">
        <f>IF(A29&lt;='Общие данные'!$B$81,DATE(YEAR($B$8),MONTH($B$8)+A28,DAY('Общие данные'!$B$78)),0)</f>
        <v>46788</v>
      </c>
      <c r="S29" s="109"/>
      <c r="T29" s="109"/>
      <c r="U29" s="109"/>
      <c r="V29" s="109"/>
    </row>
    <row r="30" spans="1:22">
      <c r="A30" s="115">
        <v>23</v>
      </c>
      <c r="B30" s="116">
        <f>IF(A30&lt;='Общие данные'!$B$81,DATE(YEAR(R30),MONTH(R30),DAY(IF(A30='Общие данные'!$B$81,'Общие данные'!$B$67,IF(A30&lt;'Общие данные'!$B$81,(Q30),IF(A30&gt;'Общие данные'!$B$81,$H$56,0))))))</f>
        <v>46818</v>
      </c>
      <c r="C30" s="62">
        <f t="shared" si="5"/>
        <v>38888888.839999974</v>
      </c>
      <c r="D30" s="62">
        <f t="shared" si="6"/>
        <v>2777777.78</v>
      </c>
      <c r="E30" s="62">
        <f t="shared" si="7"/>
        <v>1636308.52</v>
      </c>
      <c r="F30" s="62">
        <f t="shared" si="8"/>
        <v>4414086.3</v>
      </c>
      <c r="G30" s="109">
        <f t="shared" si="3"/>
        <v>28</v>
      </c>
      <c r="H30" s="109">
        <f t="shared" si="1"/>
        <v>366</v>
      </c>
      <c r="I30" s="117">
        <f t="shared" si="10"/>
        <v>2777777.78</v>
      </c>
      <c r="J30" s="117">
        <f>SUM($I$8:I29)</f>
        <v>61111111.160000011</v>
      </c>
      <c r="K30" s="117">
        <f t="shared" si="9"/>
        <v>38888888.839999989</v>
      </c>
      <c r="L30" s="111">
        <f>ROUND(C30*'Общие данные'!$B$84/H30,2)*G30</f>
        <v>1636308.52</v>
      </c>
      <c r="M30" s="111">
        <f t="shared" si="0"/>
        <v>4414086.3</v>
      </c>
      <c r="N30" s="111"/>
      <c r="O30" s="123" t="str">
        <f t="shared" si="4"/>
        <v>Вс</v>
      </c>
      <c r="P30" s="125">
        <f t="shared" si="2"/>
        <v>1</v>
      </c>
      <c r="Q30" s="125">
        <f>DAY('Общие данные'!$B$78)+P30</f>
        <v>6</v>
      </c>
      <c r="R30" s="120">
        <f>IF(A30&lt;='Общие данные'!$B$81,DATE(YEAR($B$8),MONTH($B$8)+A29,DAY('Общие данные'!$B$78)),0)</f>
        <v>46817</v>
      </c>
      <c r="S30" s="109"/>
      <c r="T30" s="109"/>
      <c r="U30" s="109"/>
      <c r="V30" s="109"/>
    </row>
    <row r="31" spans="1:22">
      <c r="A31" s="115">
        <v>24</v>
      </c>
      <c r="B31" s="116">
        <f>IF(A31&lt;='Общие данные'!$B$81,DATE(YEAR(R31),MONTH(R31),DAY(IF(A31='Общие данные'!$B$81,'Общие данные'!$B$67,IF(A31&lt;'Общие данные'!$B$81,(Q31),IF(A31&gt;'Общие данные'!$B$81,$H$56,0))))))</f>
        <v>46848</v>
      </c>
      <c r="C31" s="62">
        <f>C30-D30</f>
        <v>36111111.059999973</v>
      </c>
      <c r="D31" s="62">
        <f>IF(C31=0,L31,IF(C31&gt;1,I31))</f>
        <v>2777777.78</v>
      </c>
      <c r="E31" s="62">
        <f>IF(C31=0,N30,IF(C31&gt;1,L31))</f>
        <v>1627959.9000000001</v>
      </c>
      <c r="F31" s="62">
        <f>IF(C31=0,N30,IF(C31&gt;1,M31))</f>
        <v>4405737.68</v>
      </c>
      <c r="G31" s="109">
        <f t="shared" si="3"/>
        <v>30</v>
      </c>
      <c r="H31" s="109">
        <f t="shared" si="1"/>
        <v>366</v>
      </c>
      <c r="I31" s="117">
        <f t="shared" si="10"/>
        <v>2777777.78</v>
      </c>
      <c r="J31" s="117">
        <f>SUM($I$8:I30)</f>
        <v>63888888.940000013</v>
      </c>
      <c r="K31" s="117">
        <f t="shared" si="9"/>
        <v>36111111.059999987</v>
      </c>
      <c r="L31" s="111">
        <f>ROUND(C31*'Общие данные'!$B$84/H31,2)*G31</f>
        <v>1627959.9000000001</v>
      </c>
      <c r="M31" s="111">
        <f t="shared" si="0"/>
        <v>4405737.68</v>
      </c>
      <c r="N31" s="111"/>
      <c r="O31" s="123" t="str">
        <f t="shared" si="4"/>
        <v>Ср</v>
      </c>
      <c r="P31" s="125">
        <f t="shared" si="2"/>
        <v>0</v>
      </c>
      <c r="Q31" s="125">
        <f>DAY('Общие данные'!$B$78)+P31</f>
        <v>5</v>
      </c>
      <c r="R31" s="120">
        <f>IF(A31&lt;='Общие данные'!$B$81,DATE(YEAR($B$8),MONTH($B$8)+A30,DAY('Общие данные'!$B$78)),0)</f>
        <v>46848</v>
      </c>
      <c r="S31" s="109"/>
      <c r="T31" s="109"/>
      <c r="U31" s="109"/>
      <c r="V31" s="109"/>
    </row>
    <row r="32" spans="1:22">
      <c r="A32" s="115">
        <f>1+A31</f>
        <v>25</v>
      </c>
      <c r="B32" s="116">
        <f>IF(A32&lt;='Общие данные'!$B$81,DATE(YEAR(R32),MONTH(R32),DAY(IF(A32='Общие данные'!$B$81,'Общие данные'!$B$67,IF(A32&lt;'Общие данные'!$B$81,(Q32),IF(A32&gt;'Общие данные'!$B$81,$H$56,0))))))</f>
        <v>46878</v>
      </c>
      <c r="C32" s="62">
        <f t="shared" ref="C32:C55" si="11">C31-D31</f>
        <v>33333333.279999971</v>
      </c>
      <c r="D32" s="62">
        <f t="shared" ref="D32:D55" si="12">IF(C32=0,L32,IF(C32&gt;1,I32))</f>
        <v>2777777.78</v>
      </c>
      <c r="E32" s="62">
        <f t="shared" ref="E32:E55" si="13">IF(C32=0,N31,IF(C32&gt;1,L32))</f>
        <v>1502732.1</v>
      </c>
      <c r="F32" s="62">
        <f t="shared" ref="F32:F55" si="14">IF(C32=0,N31,IF(C32&gt;1,M32))</f>
        <v>4280509.88</v>
      </c>
      <c r="G32" s="109">
        <f t="shared" ref="G32:G55" si="15">B32-B31</f>
        <v>30</v>
      </c>
      <c r="H32" s="109">
        <f t="shared" ref="H32:H55" si="16">DATE(YEAR(B32),12,31)-DATE(YEAR(B32),1,1)+1</f>
        <v>366</v>
      </c>
      <c r="I32" s="117">
        <f t="shared" ref="I32:I55" si="17">IF($L$5=A32,K32,IF($L$5&gt;A32,I31))</f>
        <v>2777777.78</v>
      </c>
      <c r="J32" s="117">
        <f>SUM($I$8:I31)</f>
        <v>66666666.720000014</v>
      </c>
      <c r="K32" s="117">
        <f t="shared" ref="K32:K55" si="18">$J$12-J32</f>
        <v>33333333.279999986</v>
      </c>
      <c r="L32" s="111">
        <f>ROUND(C32*'Общие данные'!$B$84/H32,2)*G32</f>
        <v>1502732.1</v>
      </c>
      <c r="M32" s="111">
        <f t="shared" ref="M32:M55" si="19">D32+E32</f>
        <v>4280509.88</v>
      </c>
      <c r="N32" s="111"/>
      <c r="O32" s="123" t="str">
        <f t="shared" ref="O32:O55" si="20">TEXT(R32,"ддд")</f>
        <v>Пт</v>
      </c>
      <c r="P32" s="125">
        <f t="shared" ref="P32:P55" si="21">IF(O32=$U$8,2,IF(O32=$V$8,1,0))</f>
        <v>0</v>
      </c>
      <c r="Q32" s="125">
        <f>DAY('Общие данные'!$B$78)+P32</f>
        <v>5</v>
      </c>
      <c r="R32" s="120">
        <f>IF(A32&lt;='Общие данные'!$B$81,DATE(YEAR($B$8),MONTH($B$8)+A31,DAY('Общие данные'!$B$78)),0)</f>
        <v>46878</v>
      </c>
      <c r="S32" s="109"/>
      <c r="T32" s="109"/>
      <c r="U32" s="109"/>
      <c r="V32" s="109"/>
    </row>
    <row r="33" spans="1:22">
      <c r="A33" s="115">
        <f t="shared" ref="A33:A55" si="22">1+A32</f>
        <v>26</v>
      </c>
      <c r="B33" s="116">
        <f>IF(A33&lt;='Общие данные'!$B$81,DATE(YEAR(R33),MONTH(R33),DAY(IF(A33='Общие данные'!$B$81,'Общие данные'!$B$67,IF(A33&lt;'Общие данные'!$B$81,(Q33),IF(A33&gt;'Общие данные'!$B$81,$H$56,0))))))</f>
        <v>46909</v>
      </c>
      <c r="C33" s="62">
        <f t="shared" si="11"/>
        <v>30555555.49999997</v>
      </c>
      <c r="D33" s="62">
        <f t="shared" si="12"/>
        <v>2777777.78</v>
      </c>
      <c r="E33" s="62">
        <f t="shared" si="13"/>
        <v>1423421.42</v>
      </c>
      <c r="F33" s="62">
        <f t="shared" si="14"/>
        <v>4201199.1999999993</v>
      </c>
      <c r="G33" s="109">
        <f t="shared" si="15"/>
        <v>31</v>
      </c>
      <c r="H33" s="109">
        <f t="shared" si="16"/>
        <v>366</v>
      </c>
      <c r="I33" s="117">
        <f t="shared" si="17"/>
        <v>2777777.78</v>
      </c>
      <c r="J33" s="117">
        <f>SUM($I$8:I32)</f>
        <v>69444444.500000015</v>
      </c>
      <c r="K33" s="117">
        <f t="shared" si="18"/>
        <v>30555555.499999985</v>
      </c>
      <c r="L33" s="111">
        <f>ROUND(C33*'Общие данные'!$B$84/H33,2)*G33</f>
        <v>1423421.42</v>
      </c>
      <c r="M33" s="111">
        <f t="shared" si="19"/>
        <v>4201199.1999999993</v>
      </c>
      <c r="N33" s="111"/>
      <c r="O33" s="123" t="str">
        <f t="shared" si="20"/>
        <v>Пн</v>
      </c>
      <c r="P33" s="125">
        <f t="shared" si="21"/>
        <v>0</v>
      </c>
      <c r="Q33" s="125">
        <f>DAY('Общие данные'!$B$78)+P33</f>
        <v>5</v>
      </c>
      <c r="R33" s="120">
        <f>IF(A33&lt;='Общие данные'!$B$81,DATE(YEAR($B$8),MONTH($B$8)+A32,DAY('Общие данные'!$B$78)),0)</f>
        <v>46909</v>
      </c>
      <c r="S33" s="109"/>
      <c r="T33" s="109"/>
      <c r="U33" s="109"/>
      <c r="V33" s="109"/>
    </row>
    <row r="34" spans="1:22">
      <c r="A34" s="115">
        <f t="shared" si="22"/>
        <v>27</v>
      </c>
      <c r="B34" s="116">
        <f>IF(A34&lt;='Общие данные'!$B$81,DATE(YEAR(R34),MONTH(R34),DAY(IF(A34='Общие данные'!$B$81,'Общие данные'!$B$67,IF(A34&lt;'Общие данные'!$B$81,(Q34),IF(A34&gt;'Общие данные'!$B$81,$H$56,0))))))</f>
        <v>46939</v>
      </c>
      <c r="C34" s="62">
        <f t="shared" si="11"/>
        <v>27777777.719999969</v>
      </c>
      <c r="D34" s="62">
        <f t="shared" si="12"/>
        <v>2777777.78</v>
      </c>
      <c r="E34" s="62">
        <f t="shared" si="13"/>
        <v>1252276.7999999998</v>
      </c>
      <c r="F34" s="62">
        <f t="shared" si="14"/>
        <v>4030054.5799999996</v>
      </c>
      <c r="G34" s="109">
        <f t="shared" si="15"/>
        <v>30</v>
      </c>
      <c r="H34" s="109">
        <f t="shared" si="16"/>
        <v>366</v>
      </c>
      <c r="I34" s="117">
        <f t="shared" si="17"/>
        <v>2777777.78</v>
      </c>
      <c r="J34" s="117">
        <f>SUM($I$8:I33)</f>
        <v>72222222.280000016</v>
      </c>
      <c r="K34" s="117">
        <f t="shared" si="18"/>
        <v>27777777.719999984</v>
      </c>
      <c r="L34" s="111">
        <f>ROUND(C34*'Общие данные'!$B$84/H34,2)*G34</f>
        <v>1252276.7999999998</v>
      </c>
      <c r="M34" s="111">
        <f t="shared" si="19"/>
        <v>4030054.5799999996</v>
      </c>
      <c r="N34" s="111"/>
      <c r="O34" s="123" t="str">
        <f t="shared" si="20"/>
        <v>Ср</v>
      </c>
      <c r="P34" s="125">
        <f t="shared" si="21"/>
        <v>0</v>
      </c>
      <c r="Q34" s="125">
        <f>DAY('Общие данные'!$B$78)+P34</f>
        <v>5</v>
      </c>
      <c r="R34" s="120">
        <f>IF(A34&lt;='Общие данные'!$B$81,DATE(YEAR($B$8),MONTH($B$8)+A33,DAY('Общие данные'!$B$78)),0)</f>
        <v>46939</v>
      </c>
      <c r="S34" s="109"/>
      <c r="T34" s="109"/>
      <c r="U34" s="109"/>
      <c r="V34" s="109"/>
    </row>
    <row r="35" spans="1:22">
      <c r="A35" s="115">
        <f t="shared" si="22"/>
        <v>28</v>
      </c>
      <c r="B35" s="116">
        <f>IF(A35&lt;='Общие данные'!$B$81,DATE(YEAR(R35),MONTH(R35),DAY(IF(A35='Общие данные'!$B$81,'Общие данные'!$B$67,IF(A35&lt;'Общие данные'!$B$81,(Q35),IF(A35&gt;'Общие данные'!$B$81,$H$56,0))))))</f>
        <v>46972</v>
      </c>
      <c r="C35" s="62">
        <f t="shared" si="11"/>
        <v>24999999.939999968</v>
      </c>
      <c r="D35" s="62">
        <f t="shared" si="12"/>
        <v>2777777.78</v>
      </c>
      <c r="E35" s="62">
        <f t="shared" si="13"/>
        <v>1239754.23</v>
      </c>
      <c r="F35" s="62">
        <f t="shared" si="14"/>
        <v>4017532.01</v>
      </c>
      <c r="G35" s="109">
        <f t="shared" si="15"/>
        <v>33</v>
      </c>
      <c r="H35" s="109">
        <f t="shared" si="16"/>
        <v>366</v>
      </c>
      <c r="I35" s="117">
        <f t="shared" si="17"/>
        <v>2777777.78</v>
      </c>
      <c r="J35" s="117">
        <f>SUM($I$8:I34)</f>
        <v>75000000.060000017</v>
      </c>
      <c r="K35" s="117">
        <f t="shared" si="18"/>
        <v>24999999.939999983</v>
      </c>
      <c r="L35" s="111">
        <f>ROUND(C35*'Общие данные'!$B$84/H35,2)*G35</f>
        <v>1239754.23</v>
      </c>
      <c r="M35" s="111">
        <f t="shared" si="19"/>
        <v>4017532.01</v>
      </c>
      <c r="N35" s="111"/>
      <c r="O35" s="123" t="str">
        <f t="shared" si="20"/>
        <v>Сб</v>
      </c>
      <c r="P35" s="125">
        <f t="shared" si="21"/>
        <v>2</v>
      </c>
      <c r="Q35" s="125">
        <f>DAY('Общие данные'!$B$78)+P35</f>
        <v>7</v>
      </c>
      <c r="R35" s="120">
        <f>IF(A35&lt;='Общие данные'!$B$81,DATE(YEAR($B$8),MONTH($B$8)+A34,DAY('Общие данные'!$B$78)),0)</f>
        <v>46970</v>
      </c>
      <c r="S35" s="109"/>
      <c r="T35" s="109"/>
      <c r="U35" s="109"/>
      <c r="V35" s="109"/>
    </row>
    <row r="36" spans="1:22">
      <c r="A36" s="115">
        <f t="shared" si="22"/>
        <v>29</v>
      </c>
      <c r="B36" s="116">
        <f>IF(A36&lt;='Общие данные'!$B$81,DATE(YEAR(R36),MONTH(R36),DAY(IF(A36='Общие данные'!$B$81,'Общие данные'!$B$67,IF(A36&lt;'Общие данные'!$B$81,(Q36),IF(A36&gt;'Общие данные'!$B$81,$H$56,0))))))</f>
        <v>47001</v>
      </c>
      <c r="C36" s="62">
        <f t="shared" si="11"/>
        <v>22222222.159999967</v>
      </c>
      <c r="D36" s="62">
        <f t="shared" si="12"/>
        <v>2777777.78</v>
      </c>
      <c r="E36" s="62">
        <f t="shared" si="13"/>
        <v>968427.45000000007</v>
      </c>
      <c r="F36" s="62">
        <f t="shared" si="14"/>
        <v>3746205.23</v>
      </c>
      <c r="G36" s="109">
        <f t="shared" si="15"/>
        <v>29</v>
      </c>
      <c r="H36" s="109">
        <f t="shared" si="16"/>
        <v>366</v>
      </c>
      <c r="I36" s="117">
        <f t="shared" si="17"/>
        <v>2777777.78</v>
      </c>
      <c r="J36" s="117">
        <f>SUM($I$8:I35)</f>
        <v>77777777.840000018</v>
      </c>
      <c r="K36" s="117">
        <f t="shared" si="18"/>
        <v>22222222.159999982</v>
      </c>
      <c r="L36" s="111">
        <f>ROUND(C36*'Общие данные'!$B$84/H36,2)*G36</f>
        <v>968427.45000000007</v>
      </c>
      <c r="M36" s="111">
        <f t="shared" si="19"/>
        <v>3746205.23</v>
      </c>
      <c r="N36" s="111"/>
      <c r="O36" s="123" t="str">
        <f t="shared" si="20"/>
        <v>Вт</v>
      </c>
      <c r="P36" s="125">
        <f t="shared" si="21"/>
        <v>0</v>
      </c>
      <c r="Q36" s="125">
        <f>DAY('Общие данные'!$B$78)+P36</f>
        <v>5</v>
      </c>
      <c r="R36" s="120">
        <f>IF(A36&lt;='Общие данные'!$B$81,DATE(YEAR($B$8),MONTH($B$8)+A35,DAY('Общие данные'!$B$78)),0)</f>
        <v>47001</v>
      </c>
      <c r="S36" s="109"/>
      <c r="T36" s="109"/>
      <c r="U36" s="109"/>
      <c r="V36" s="109"/>
    </row>
    <row r="37" spans="1:22">
      <c r="A37" s="115">
        <f t="shared" si="22"/>
        <v>30</v>
      </c>
      <c r="B37" s="116">
        <f>IF(A37&lt;='Общие данные'!$B$81,DATE(YEAR(R37),MONTH(R37),DAY(IF(A37='Общие данные'!$B$81,'Общие данные'!$B$67,IF(A37&lt;'Общие данные'!$B$81,(Q37),IF(A37&gt;'Общие данные'!$B$81,$H$56,0))))))</f>
        <v>47031</v>
      </c>
      <c r="C37" s="62">
        <f t="shared" si="11"/>
        <v>19444444.379999965</v>
      </c>
      <c r="D37" s="62">
        <f t="shared" si="12"/>
        <v>2777777.78</v>
      </c>
      <c r="E37" s="62">
        <f t="shared" si="13"/>
        <v>876593.70000000007</v>
      </c>
      <c r="F37" s="62">
        <f t="shared" si="14"/>
        <v>3654371.48</v>
      </c>
      <c r="G37" s="109">
        <f t="shared" si="15"/>
        <v>30</v>
      </c>
      <c r="H37" s="109">
        <f t="shared" si="16"/>
        <v>366</v>
      </c>
      <c r="I37" s="117">
        <f t="shared" si="17"/>
        <v>2777777.78</v>
      </c>
      <c r="J37" s="117">
        <f>SUM($I$8:I36)</f>
        <v>80555555.62000002</v>
      </c>
      <c r="K37" s="117">
        <f t="shared" si="18"/>
        <v>19444444.37999998</v>
      </c>
      <c r="L37" s="111">
        <f>ROUND(C37*'Общие данные'!$B$84/H37,2)*G37</f>
        <v>876593.70000000007</v>
      </c>
      <c r="M37" s="111">
        <f t="shared" si="19"/>
        <v>3654371.48</v>
      </c>
      <c r="N37" s="111"/>
      <c r="O37" s="123" t="str">
        <f t="shared" si="20"/>
        <v>Чт</v>
      </c>
      <c r="P37" s="125">
        <f t="shared" si="21"/>
        <v>0</v>
      </c>
      <c r="Q37" s="125">
        <f>DAY('Общие данные'!$B$78)+P37</f>
        <v>5</v>
      </c>
      <c r="R37" s="120">
        <f>IF(A37&lt;='Общие данные'!$B$81,DATE(YEAR($B$8),MONTH($B$8)+A36,DAY('Общие данные'!$B$78)),0)</f>
        <v>47031</v>
      </c>
      <c r="S37" s="109"/>
      <c r="T37" s="109"/>
      <c r="U37" s="109"/>
      <c r="V37" s="109"/>
    </row>
    <row r="38" spans="1:22">
      <c r="A38" s="115">
        <f t="shared" si="22"/>
        <v>31</v>
      </c>
      <c r="B38" s="116">
        <f>IF(A38&lt;='Общие данные'!$B$81,DATE(YEAR(R38),MONTH(R38),DAY(IF(A38='Общие данные'!$B$81,'Общие данные'!$B$67,IF(A38&lt;'Общие данные'!$B$81,(Q38),IF(A38&gt;'Общие данные'!$B$81,$H$56,0))))))</f>
        <v>47063</v>
      </c>
      <c r="C38" s="62">
        <f t="shared" si="11"/>
        <v>16666666.599999966</v>
      </c>
      <c r="D38" s="62">
        <f t="shared" si="12"/>
        <v>2777777.78</v>
      </c>
      <c r="E38" s="62">
        <f t="shared" si="13"/>
        <v>801457.28</v>
      </c>
      <c r="F38" s="62">
        <f t="shared" si="14"/>
        <v>3579235.0599999996</v>
      </c>
      <c r="G38" s="109">
        <f t="shared" si="15"/>
        <v>32</v>
      </c>
      <c r="H38" s="109">
        <f t="shared" si="16"/>
        <v>366</v>
      </c>
      <c r="I38" s="117">
        <f t="shared" si="17"/>
        <v>2777777.78</v>
      </c>
      <c r="J38" s="117">
        <f>SUM($I$8:I37)</f>
        <v>83333333.400000021</v>
      </c>
      <c r="K38" s="117">
        <f t="shared" si="18"/>
        <v>16666666.599999979</v>
      </c>
      <c r="L38" s="111">
        <f>ROUND(C38*'Общие данные'!$B$84/H38,2)*G38</f>
        <v>801457.28</v>
      </c>
      <c r="M38" s="111">
        <f t="shared" si="19"/>
        <v>3579235.0599999996</v>
      </c>
      <c r="N38" s="111"/>
      <c r="O38" s="123" t="str">
        <f t="shared" si="20"/>
        <v>Вс</v>
      </c>
      <c r="P38" s="125">
        <f t="shared" si="21"/>
        <v>1</v>
      </c>
      <c r="Q38" s="125">
        <f>DAY('Общие данные'!$B$78)+P38</f>
        <v>6</v>
      </c>
      <c r="R38" s="120">
        <f>IF(A38&lt;='Общие данные'!$B$81,DATE(YEAR($B$8),MONTH($B$8)+A37,DAY('Общие данные'!$B$78)),0)</f>
        <v>47062</v>
      </c>
      <c r="S38" s="109"/>
      <c r="T38" s="109"/>
      <c r="U38" s="109"/>
      <c r="V38" s="109"/>
    </row>
    <row r="39" spans="1:22">
      <c r="A39" s="115">
        <f t="shared" si="22"/>
        <v>32</v>
      </c>
      <c r="B39" s="116">
        <f>IF(A39&lt;='Общие данные'!$B$81,DATE(YEAR(R39),MONTH(R39),DAY(IF(A39='Общие данные'!$B$81,'Общие данные'!$B$67,IF(A39&lt;'Общие данные'!$B$81,(Q39),IF(A39&gt;'Общие данные'!$B$81,$H$56,0))))))</f>
        <v>47092</v>
      </c>
      <c r="C39" s="62">
        <f t="shared" si="11"/>
        <v>13888888.819999967</v>
      </c>
      <c r="D39" s="62">
        <f t="shared" si="12"/>
        <v>2777777.78</v>
      </c>
      <c r="E39" s="62">
        <f t="shared" si="13"/>
        <v>605267.12</v>
      </c>
      <c r="F39" s="62">
        <f t="shared" si="14"/>
        <v>3383044.9</v>
      </c>
      <c r="G39" s="109">
        <f t="shared" si="15"/>
        <v>29</v>
      </c>
      <c r="H39" s="109">
        <f t="shared" si="16"/>
        <v>366</v>
      </c>
      <c r="I39" s="117">
        <f t="shared" si="17"/>
        <v>2777777.78</v>
      </c>
      <c r="J39" s="117">
        <f>SUM($I$8:I38)</f>
        <v>86111111.180000022</v>
      </c>
      <c r="K39" s="117">
        <f t="shared" si="18"/>
        <v>13888888.819999978</v>
      </c>
      <c r="L39" s="111">
        <f>ROUND(C39*'Общие данные'!$B$84/H39,2)*G39</f>
        <v>605267.12</v>
      </c>
      <c r="M39" s="111">
        <f t="shared" si="19"/>
        <v>3383044.9</v>
      </c>
      <c r="N39" s="111"/>
      <c r="O39" s="123" t="str">
        <f t="shared" si="20"/>
        <v>Вт</v>
      </c>
      <c r="P39" s="125">
        <f t="shared" si="21"/>
        <v>0</v>
      </c>
      <c r="Q39" s="125">
        <f>DAY('Общие данные'!$B$78)+P39</f>
        <v>5</v>
      </c>
      <c r="R39" s="120">
        <f>IF(A39&lt;='Общие данные'!$B$81,DATE(YEAR($B$8),MONTH($B$8)+A38,DAY('Общие данные'!$B$78)),0)</f>
        <v>47092</v>
      </c>
      <c r="S39" s="109"/>
      <c r="T39" s="109"/>
      <c r="U39" s="109"/>
      <c r="V39" s="109"/>
    </row>
    <row r="40" spans="1:22">
      <c r="A40" s="115">
        <f t="shared" si="22"/>
        <v>33</v>
      </c>
      <c r="B40" s="116">
        <f>IF(A40&lt;='Общие данные'!$B$81,DATE(YEAR(R40),MONTH(R40),DAY(IF(A40='Общие данные'!$B$81,'Общие данные'!$B$67,IF(A40&lt;'Общие данные'!$B$81,(Q40),IF(A40&gt;'Общие данные'!$B$81,$H$56,0))))))</f>
        <v>47123</v>
      </c>
      <c r="C40" s="62">
        <f t="shared" si="11"/>
        <v>11111111.039999967</v>
      </c>
      <c r="D40" s="62">
        <f t="shared" si="12"/>
        <v>2777777.78</v>
      </c>
      <c r="E40" s="62">
        <f t="shared" si="13"/>
        <v>519025.87</v>
      </c>
      <c r="F40" s="62">
        <f t="shared" si="14"/>
        <v>3296803.65</v>
      </c>
      <c r="G40" s="109">
        <f t="shared" si="15"/>
        <v>31</v>
      </c>
      <c r="H40" s="109">
        <f t="shared" si="16"/>
        <v>365</v>
      </c>
      <c r="I40" s="117">
        <f t="shared" si="17"/>
        <v>2777777.78</v>
      </c>
      <c r="J40" s="117">
        <f>SUM($I$8:I39)</f>
        <v>88888888.960000023</v>
      </c>
      <c r="K40" s="117">
        <f t="shared" si="18"/>
        <v>11111111.039999977</v>
      </c>
      <c r="L40" s="111">
        <f>ROUND(C40*'Общие данные'!$B$84/H40,2)*G40</f>
        <v>519025.87</v>
      </c>
      <c r="M40" s="111">
        <f t="shared" si="19"/>
        <v>3296803.65</v>
      </c>
      <c r="N40" s="111"/>
      <c r="O40" s="123" t="str">
        <f t="shared" si="20"/>
        <v>Пт</v>
      </c>
      <c r="P40" s="125">
        <f t="shared" si="21"/>
        <v>0</v>
      </c>
      <c r="Q40" s="125">
        <f>DAY('Общие данные'!$B$78)+P40</f>
        <v>5</v>
      </c>
      <c r="R40" s="120">
        <f>IF(A40&lt;='Общие данные'!$B$81,DATE(YEAR($B$8),MONTH($B$8)+A39,DAY('Общие данные'!$B$78)),0)</f>
        <v>47123</v>
      </c>
      <c r="S40" s="109"/>
      <c r="T40" s="109"/>
      <c r="U40" s="109"/>
      <c r="V40" s="109"/>
    </row>
    <row r="41" spans="1:22">
      <c r="A41" s="115">
        <f t="shared" si="22"/>
        <v>34</v>
      </c>
      <c r="B41" s="116">
        <f>IF(A41&lt;='Общие данные'!$B$81,DATE(YEAR(R41),MONTH(R41),DAY(IF(A41='Общие данные'!$B$81,'Общие данные'!$B$67,IF(A41&lt;'Общие данные'!$B$81,(Q41),IF(A41&gt;'Общие данные'!$B$81,$H$56,0))))))</f>
        <v>47154</v>
      </c>
      <c r="C41" s="62">
        <f t="shared" si="11"/>
        <v>8333333.2599999681</v>
      </c>
      <c r="D41" s="62">
        <f t="shared" si="12"/>
        <v>2777777.78</v>
      </c>
      <c r="E41" s="62">
        <f t="shared" si="13"/>
        <v>389269.48</v>
      </c>
      <c r="F41" s="62">
        <f t="shared" si="14"/>
        <v>3167047.26</v>
      </c>
      <c r="G41" s="109">
        <f t="shared" si="15"/>
        <v>31</v>
      </c>
      <c r="H41" s="109">
        <f t="shared" si="16"/>
        <v>365</v>
      </c>
      <c r="I41" s="117">
        <f t="shared" si="17"/>
        <v>2777777.78</v>
      </c>
      <c r="J41" s="117">
        <f>SUM($I$8:I40)</f>
        <v>91666666.740000024</v>
      </c>
      <c r="K41" s="117">
        <f t="shared" si="18"/>
        <v>8333333.2599999756</v>
      </c>
      <c r="L41" s="111">
        <f>ROUND(C41*'Общие данные'!$B$84/H41,2)*G41</f>
        <v>389269.48</v>
      </c>
      <c r="M41" s="111">
        <f t="shared" si="19"/>
        <v>3167047.26</v>
      </c>
      <c r="N41" s="111"/>
      <c r="O41" s="123" t="str">
        <f t="shared" si="20"/>
        <v>Пн</v>
      </c>
      <c r="P41" s="125">
        <f t="shared" si="21"/>
        <v>0</v>
      </c>
      <c r="Q41" s="125">
        <f>DAY('Общие данные'!$B$78)+P41</f>
        <v>5</v>
      </c>
      <c r="R41" s="120">
        <f>IF(A41&lt;='Общие данные'!$B$81,DATE(YEAR($B$8),MONTH($B$8)+A40,DAY('Общие данные'!$B$78)),0)</f>
        <v>47154</v>
      </c>
      <c r="S41" s="109"/>
      <c r="T41" s="109"/>
      <c r="U41" s="109"/>
      <c r="V41" s="109"/>
    </row>
    <row r="42" spans="1:22">
      <c r="A42" s="115">
        <f t="shared" si="22"/>
        <v>35</v>
      </c>
      <c r="B42" s="116">
        <f>IF(A42&lt;='Общие данные'!$B$81,DATE(YEAR(R42),MONTH(R42),DAY(IF(A42='Общие данные'!$B$81,'Общие данные'!$B$67,IF(A42&lt;'Общие данные'!$B$81,(Q42),IF(A42&gt;'Общие данные'!$B$81,$H$56,0))))))</f>
        <v>47182</v>
      </c>
      <c r="C42" s="62">
        <f t="shared" si="11"/>
        <v>5555555.4799999688</v>
      </c>
      <c r="D42" s="62">
        <f t="shared" si="12"/>
        <v>2777777.78</v>
      </c>
      <c r="E42" s="62">
        <f t="shared" si="13"/>
        <v>234398.63999999998</v>
      </c>
      <c r="F42" s="62">
        <f t="shared" si="14"/>
        <v>3012176.42</v>
      </c>
      <c r="G42" s="109">
        <f t="shared" si="15"/>
        <v>28</v>
      </c>
      <c r="H42" s="109">
        <f t="shared" si="16"/>
        <v>365</v>
      </c>
      <c r="I42" s="117">
        <f t="shared" si="17"/>
        <v>2777777.78</v>
      </c>
      <c r="J42" s="117">
        <f>SUM($I$8:I41)</f>
        <v>94444444.520000026</v>
      </c>
      <c r="K42" s="117">
        <f t="shared" si="18"/>
        <v>5555555.4799999744</v>
      </c>
      <c r="L42" s="111">
        <f>ROUND(C42*'Общие данные'!$B$84/H42,2)*G42</f>
        <v>234398.63999999998</v>
      </c>
      <c r="M42" s="111">
        <f t="shared" si="19"/>
        <v>3012176.42</v>
      </c>
      <c r="N42" s="111"/>
      <c r="O42" s="123" t="str">
        <f t="shared" si="20"/>
        <v>Пн</v>
      </c>
      <c r="P42" s="125">
        <f t="shared" si="21"/>
        <v>0</v>
      </c>
      <c r="Q42" s="125">
        <f>DAY('Общие данные'!$B$78)+P42</f>
        <v>5</v>
      </c>
      <c r="R42" s="120">
        <f>IF(A42&lt;='Общие данные'!$B$81,DATE(YEAR($B$8),MONTH($B$8)+A41,DAY('Общие данные'!$B$78)),0)</f>
        <v>47182</v>
      </c>
      <c r="S42" s="109"/>
      <c r="T42" s="109"/>
      <c r="U42" s="109"/>
      <c r="V42" s="109"/>
    </row>
    <row r="43" spans="1:22">
      <c r="A43" s="115">
        <f t="shared" si="22"/>
        <v>36</v>
      </c>
      <c r="B43" s="116">
        <f>IF(A43&lt;='Общие данные'!$B$81,DATE(YEAR(R43),MONTH(R43),DAY(IF(A43='Общие данные'!$B$81,'Общие данные'!$B$67,IF(A43&lt;'Общие данные'!$B$81,(Q43),IF(A43&gt;'Общие данные'!$B$81,$H$56,0))))))</f>
        <v>47211</v>
      </c>
      <c r="C43" s="62">
        <f t="shared" si="11"/>
        <v>2777777.699999969</v>
      </c>
      <c r="D43" s="62">
        <f t="shared" si="12"/>
        <v>2777777.6999999732</v>
      </c>
      <c r="E43" s="62">
        <f t="shared" si="13"/>
        <v>121385.01</v>
      </c>
      <c r="F43" s="62">
        <f t="shared" si="14"/>
        <v>2899162.709999973</v>
      </c>
      <c r="G43" s="109">
        <f t="shared" si="15"/>
        <v>29</v>
      </c>
      <c r="H43" s="109">
        <f t="shared" si="16"/>
        <v>365</v>
      </c>
      <c r="I43" s="117">
        <f t="shared" si="17"/>
        <v>2777777.6999999732</v>
      </c>
      <c r="J43" s="117">
        <f>SUM($I$8:I42)</f>
        <v>97222222.300000027</v>
      </c>
      <c r="K43" s="117">
        <f t="shared" si="18"/>
        <v>2777777.6999999732</v>
      </c>
      <c r="L43" s="111">
        <f>ROUND(C43*'Общие данные'!$B$84/H43,2)*G43</f>
        <v>121385.01</v>
      </c>
      <c r="M43" s="111">
        <f t="shared" si="19"/>
        <v>2899162.709999973</v>
      </c>
      <c r="N43" s="111"/>
      <c r="O43" s="123" t="str">
        <f t="shared" si="20"/>
        <v>Чт</v>
      </c>
      <c r="P43" s="125">
        <f t="shared" si="21"/>
        <v>0</v>
      </c>
      <c r="Q43" s="125">
        <f>DAY('Общие данные'!$B$78)+P43</f>
        <v>5</v>
      </c>
      <c r="R43" s="120">
        <f>IF(A43&lt;='Общие данные'!$B$81,DATE(YEAR($B$8),MONTH($B$8)+A42,DAY('Общие данные'!$B$78)),0)</f>
        <v>47213</v>
      </c>
      <c r="S43" s="109"/>
      <c r="T43" s="109"/>
      <c r="U43" s="109"/>
      <c r="V43" s="109"/>
    </row>
    <row r="44" spans="1:22">
      <c r="A44" s="115">
        <f t="shared" si="22"/>
        <v>37</v>
      </c>
      <c r="B44" s="116" t="b">
        <f>IF(A44&lt;='Общие данные'!$B$81,DATE(YEAR(R44),MONTH(R44),DAY(IF(A44='Общие данные'!$B$81,'Общие данные'!$B$67,IF(A44&lt;'Общие данные'!$B$81,(Q44),IF(A44&gt;'Общие данные'!$B$81,$H$56,0))))))</f>
        <v>0</v>
      </c>
      <c r="C44" s="62">
        <f t="shared" si="11"/>
        <v>-4.1909515857696533E-9</v>
      </c>
      <c r="D44" s="62" t="b">
        <f t="shared" si="12"/>
        <v>0</v>
      </c>
      <c r="E44" s="62" t="b">
        <f t="shared" si="13"/>
        <v>0</v>
      </c>
      <c r="F44" s="62" t="b">
        <f t="shared" si="14"/>
        <v>0</v>
      </c>
      <c r="G44" s="109">
        <f t="shared" si="15"/>
        <v>-47211</v>
      </c>
      <c r="H44" s="109">
        <f t="shared" si="16"/>
        <v>366</v>
      </c>
      <c r="I44" s="117" t="b">
        <f t="shared" si="17"/>
        <v>0</v>
      </c>
      <c r="J44" s="117">
        <f>SUM($I$8:I43)</f>
        <v>100000000</v>
      </c>
      <c r="K44" s="117">
        <f t="shared" si="18"/>
        <v>0</v>
      </c>
      <c r="L44" s="111">
        <f>ROUND(C44*'Общие данные'!$B$84/H44,2)*G44</f>
        <v>0</v>
      </c>
      <c r="M44" s="111">
        <f t="shared" si="19"/>
        <v>0</v>
      </c>
      <c r="N44" s="111"/>
      <c r="O44" s="123" t="str">
        <f t="shared" si="20"/>
        <v>Сб</v>
      </c>
      <c r="P44" s="125">
        <f t="shared" si="21"/>
        <v>2</v>
      </c>
      <c r="Q44" s="125">
        <f>DAY('Общие данные'!$B$78)+P44</f>
        <v>7</v>
      </c>
      <c r="R44" s="120">
        <f>IF(A44&lt;='Общие данные'!$B$81,DATE(YEAR($B$8),MONTH($B$8)+A43,DAY('Общие данные'!$B$78)),0)</f>
        <v>0</v>
      </c>
      <c r="S44" s="109"/>
      <c r="T44" s="109"/>
      <c r="U44" s="109"/>
      <c r="V44" s="109"/>
    </row>
    <row r="45" spans="1:22">
      <c r="A45" s="115">
        <f t="shared" si="22"/>
        <v>38</v>
      </c>
      <c r="B45" s="116" t="b">
        <f>IF(A45&lt;='Общие данные'!$B$81,DATE(YEAR(R45),MONTH(R45),DAY(IF(A45='Общие данные'!$B$81,'Общие данные'!$B$67,IF(A45&lt;'Общие данные'!$B$81,(Q45),IF(A45&gt;'Общие данные'!$B$81,$H$56,0))))))</f>
        <v>0</v>
      </c>
      <c r="C45" s="62">
        <f t="shared" si="11"/>
        <v>-4.1909515857696533E-9</v>
      </c>
      <c r="D45" s="62" t="b">
        <f t="shared" si="12"/>
        <v>0</v>
      </c>
      <c r="E45" s="62" t="b">
        <f t="shared" si="13"/>
        <v>0</v>
      </c>
      <c r="F45" s="62" t="b">
        <f t="shared" si="14"/>
        <v>0</v>
      </c>
      <c r="G45" s="109">
        <f t="shared" si="15"/>
        <v>0</v>
      </c>
      <c r="H45" s="109">
        <f t="shared" si="16"/>
        <v>366</v>
      </c>
      <c r="I45" s="117" t="b">
        <f t="shared" si="17"/>
        <v>0</v>
      </c>
      <c r="J45" s="117">
        <f>SUM($I$8:I44)</f>
        <v>100000000</v>
      </c>
      <c r="K45" s="117">
        <f t="shared" si="18"/>
        <v>0</v>
      </c>
      <c r="L45" s="111">
        <f>ROUND(C45*'Общие данные'!$B$84/H45,2)*G45</f>
        <v>0</v>
      </c>
      <c r="M45" s="111">
        <f t="shared" si="19"/>
        <v>0</v>
      </c>
      <c r="N45" s="111"/>
      <c r="O45" s="123" t="str">
        <f t="shared" si="20"/>
        <v>Сб</v>
      </c>
      <c r="P45" s="125">
        <f t="shared" si="21"/>
        <v>2</v>
      </c>
      <c r="Q45" s="125">
        <f>DAY('Общие данные'!$B$78)+P45</f>
        <v>7</v>
      </c>
      <c r="R45" s="120">
        <f>IF(A45&lt;='Общие данные'!$B$81,DATE(YEAR($B$8),MONTH($B$8)+A44,DAY('Общие данные'!$B$78)),0)</f>
        <v>0</v>
      </c>
      <c r="S45" s="109"/>
      <c r="T45" s="109"/>
      <c r="U45" s="109"/>
      <c r="V45" s="109"/>
    </row>
    <row r="46" spans="1:22">
      <c r="A46" s="115">
        <f t="shared" si="22"/>
        <v>39</v>
      </c>
      <c r="B46" s="116" t="b">
        <f>IF(A46&lt;='Общие данные'!$B$81,DATE(YEAR(R46),MONTH(R46),DAY(IF(A46='Общие данные'!$B$81,'Общие данные'!$B$67,IF(A46&lt;'Общие данные'!$B$81,(Q46),IF(A46&gt;'Общие данные'!$B$81,$H$56,0))))))</f>
        <v>0</v>
      </c>
      <c r="C46" s="62">
        <f t="shared" si="11"/>
        <v>-4.1909515857696533E-9</v>
      </c>
      <c r="D46" s="62" t="b">
        <f t="shared" si="12"/>
        <v>0</v>
      </c>
      <c r="E46" s="62" t="b">
        <f t="shared" si="13"/>
        <v>0</v>
      </c>
      <c r="F46" s="62" t="b">
        <f t="shared" si="14"/>
        <v>0</v>
      </c>
      <c r="G46" s="109">
        <f t="shared" si="15"/>
        <v>0</v>
      </c>
      <c r="H46" s="109">
        <f t="shared" si="16"/>
        <v>366</v>
      </c>
      <c r="I46" s="117" t="b">
        <f t="shared" si="17"/>
        <v>0</v>
      </c>
      <c r="J46" s="117">
        <f>SUM($I$8:I45)</f>
        <v>100000000</v>
      </c>
      <c r="K46" s="117">
        <f t="shared" si="18"/>
        <v>0</v>
      </c>
      <c r="L46" s="111">
        <f>ROUND(C46*'Общие данные'!$B$84/H46,2)*G46</f>
        <v>0</v>
      </c>
      <c r="M46" s="111">
        <f t="shared" si="19"/>
        <v>0</v>
      </c>
      <c r="N46" s="111"/>
      <c r="O46" s="123" t="str">
        <f t="shared" si="20"/>
        <v>Сб</v>
      </c>
      <c r="P46" s="125">
        <f t="shared" si="21"/>
        <v>2</v>
      </c>
      <c r="Q46" s="125">
        <f>DAY('Общие данные'!$B$78)+P46</f>
        <v>7</v>
      </c>
      <c r="R46" s="120">
        <f>IF(A46&lt;='Общие данные'!$B$81,DATE(YEAR($B$8),MONTH($B$8)+A45,DAY('Общие данные'!$B$78)),0)</f>
        <v>0</v>
      </c>
      <c r="S46" s="109"/>
      <c r="T46" s="109"/>
      <c r="U46" s="109"/>
      <c r="V46" s="109"/>
    </row>
    <row r="47" spans="1:22">
      <c r="A47" s="115">
        <f t="shared" si="22"/>
        <v>40</v>
      </c>
      <c r="B47" s="116" t="b">
        <f>IF(A47&lt;='Общие данные'!$B$81,DATE(YEAR(R47),MONTH(R47),DAY(IF(A47='Общие данные'!$B$81,'Общие данные'!$B$67,IF(A47&lt;'Общие данные'!$B$81,(Q47),IF(A47&gt;'Общие данные'!$B$81,$H$56,0))))))</f>
        <v>0</v>
      </c>
      <c r="C47" s="62">
        <f t="shared" si="11"/>
        <v>-4.1909515857696533E-9</v>
      </c>
      <c r="D47" s="62" t="b">
        <f t="shared" si="12"/>
        <v>0</v>
      </c>
      <c r="E47" s="62" t="b">
        <f t="shared" si="13"/>
        <v>0</v>
      </c>
      <c r="F47" s="62" t="b">
        <f t="shared" si="14"/>
        <v>0</v>
      </c>
      <c r="G47" s="109">
        <f t="shared" si="15"/>
        <v>0</v>
      </c>
      <c r="H47" s="109">
        <f t="shared" si="16"/>
        <v>366</v>
      </c>
      <c r="I47" s="117" t="b">
        <f t="shared" si="17"/>
        <v>0</v>
      </c>
      <c r="J47" s="117">
        <f>SUM($I$8:I46)</f>
        <v>100000000</v>
      </c>
      <c r="K47" s="117">
        <f t="shared" si="18"/>
        <v>0</v>
      </c>
      <c r="L47" s="111">
        <f>ROUND(C47*'Общие данные'!$B$84/H47,2)*G47</f>
        <v>0</v>
      </c>
      <c r="M47" s="111">
        <f t="shared" si="19"/>
        <v>0</v>
      </c>
      <c r="N47" s="111"/>
      <c r="O47" s="123" t="str">
        <f t="shared" si="20"/>
        <v>Сб</v>
      </c>
      <c r="P47" s="125">
        <f t="shared" si="21"/>
        <v>2</v>
      </c>
      <c r="Q47" s="125">
        <f>DAY('Общие данные'!$B$78)+P47</f>
        <v>7</v>
      </c>
      <c r="R47" s="120">
        <f>IF(A47&lt;='Общие данные'!$B$81,DATE(YEAR($B$8),MONTH($B$8)+A46,DAY('Общие данные'!$B$78)),0)</f>
        <v>0</v>
      </c>
      <c r="S47" s="109"/>
      <c r="T47" s="109"/>
      <c r="U47" s="109"/>
      <c r="V47" s="109"/>
    </row>
    <row r="48" spans="1:22">
      <c r="A48" s="115">
        <f t="shared" si="22"/>
        <v>41</v>
      </c>
      <c r="B48" s="116" t="b">
        <f>IF(A48&lt;='Общие данные'!$B$81,DATE(YEAR(R48),MONTH(R48),DAY(IF(A48='Общие данные'!$B$81,'Общие данные'!$B$67,IF(A48&lt;'Общие данные'!$B$81,(Q48),IF(A48&gt;'Общие данные'!$B$81,$H$56,0))))))</f>
        <v>0</v>
      </c>
      <c r="C48" s="62">
        <f t="shared" si="11"/>
        <v>-4.1909515857696533E-9</v>
      </c>
      <c r="D48" s="62" t="b">
        <f t="shared" si="12"/>
        <v>0</v>
      </c>
      <c r="E48" s="62" t="b">
        <f t="shared" si="13"/>
        <v>0</v>
      </c>
      <c r="F48" s="62" t="b">
        <f t="shared" si="14"/>
        <v>0</v>
      </c>
      <c r="G48" s="109">
        <f t="shared" si="15"/>
        <v>0</v>
      </c>
      <c r="H48" s="109">
        <f t="shared" si="16"/>
        <v>366</v>
      </c>
      <c r="I48" s="117" t="b">
        <f t="shared" si="17"/>
        <v>0</v>
      </c>
      <c r="J48" s="117">
        <f>SUM($I$8:I47)</f>
        <v>100000000</v>
      </c>
      <c r="K48" s="117">
        <f t="shared" si="18"/>
        <v>0</v>
      </c>
      <c r="L48" s="111">
        <f>ROUND(C48*'Общие данные'!$B$84/H48,2)*G48</f>
        <v>0</v>
      </c>
      <c r="M48" s="111">
        <f t="shared" si="19"/>
        <v>0</v>
      </c>
      <c r="N48" s="111"/>
      <c r="O48" s="123" t="str">
        <f t="shared" si="20"/>
        <v>Сб</v>
      </c>
      <c r="P48" s="125">
        <f t="shared" si="21"/>
        <v>2</v>
      </c>
      <c r="Q48" s="125">
        <f>DAY('Общие данные'!$B$78)+P48</f>
        <v>7</v>
      </c>
      <c r="R48" s="120">
        <f>IF(A48&lt;='Общие данные'!$B$81,DATE(YEAR($B$8),MONTH($B$8)+A47,DAY('Общие данные'!$B$78)),0)</f>
        <v>0</v>
      </c>
      <c r="S48" s="109"/>
      <c r="T48" s="109"/>
      <c r="U48" s="109"/>
      <c r="V48" s="109"/>
    </row>
    <row r="49" spans="1:22">
      <c r="A49" s="115">
        <f t="shared" si="22"/>
        <v>42</v>
      </c>
      <c r="B49" s="116" t="b">
        <f>IF(A49&lt;='Общие данные'!$B$81,DATE(YEAR(R49),MONTH(R49),DAY(IF(A49='Общие данные'!$B$81,'Общие данные'!$B$67,IF(A49&lt;'Общие данные'!$B$81,(Q49),IF(A49&gt;'Общие данные'!$B$81,$H$56,0))))))</f>
        <v>0</v>
      </c>
      <c r="C49" s="62">
        <f t="shared" si="11"/>
        <v>-4.1909515857696533E-9</v>
      </c>
      <c r="D49" s="62" t="b">
        <f t="shared" si="12"/>
        <v>0</v>
      </c>
      <c r="E49" s="62" t="b">
        <f t="shared" si="13"/>
        <v>0</v>
      </c>
      <c r="F49" s="62" t="b">
        <f t="shared" si="14"/>
        <v>0</v>
      </c>
      <c r="G49" s="109">
        <f t="shared" si="15"/>
        <v>0</v>
      </c>
      <c r="H49" s="109">
        <f t="shared" si="16"/>
        <v>366</v>
      </c>
      <c r="I49" s="117" t="b">
        <f t="shared" si="17"/>
        <v>0</v>
      </c>
      <c r="J49" s="117">
        <f>SUM($I$8:I48)</f>
        <v>100000000</v>
      </c>
      <c r="K49" s="117">
        <f t="shared" si="18"/>
        <v>0</v>
      </c>
      <c r="L49" s="111">
        <f>ROUND(C49*'Общие данные'!$B$84/H49,2)*G49</f>
        <v>0</v>
      </c>
      <c r="M49" s="111">
        <f t="shared" si="19"/>
        <v>0</v>
      </c>
      <c r="N49" s="111"/>
      <c r="O49" s="123" t="str">
        <f t="shared" si="20"/>
        <v>Сб</v>
      </c>
      <c r="P49" s="125">
        <f t="shared" si="21"/>
        <v>2</v>
      </c>
      <c r="Q49" s="125">
        <f>DAY('Общие данные'!$B$78)+P49</f>
        <v>7</v>
      </c>
      <c r="R49" s="120">
        <f>IF(A49&lt;='Общие данные'!$B$81,DATE(YEAR($B$8),MONTH($B$8)+A48,DAY('Общие данные'!$B$78)),0)</f>
        <v>0</v>
      </c>
      <c r="S49" s="109"/>
      <c r="T49" s="109"/>
      <c r="U49" s="109"/>
      <c r="V49" s="109"/>
    </row>
    <row r="50" spans="1:22">
      <c r="A50" s="115">
        <f t="shared" si="22"/>
        <v>43</v>
      </c>
      <c r="B50" s="116" t="b">
        <f>IF(A50&lt;='Общие данные'!$B$81,DATE(YEAR(R50),MONTH(R50),DAY(IF(A50='Общие данные'!$B$81,'Общие данные'!$B$67,IF(A50&lt;'Общие данные'!$B$81,(Q50),IF(A50&gt;'Общие данные'!$B$81,$H$56,0))))))</f>
        <v>0</v>
      </c>
      <c r="C50" s="62">
        <f t="shared" si="11"/>
        <v>-4.1909515857696533E-9</v>
      </c>
      <c r="D50" s="62" t="b">
        <f t="shared" si="12"/>
        <v>0</v>
      </c>
      <c r="E50" s="62" t="b">
        <f t="shared" si="13"/>
        <v>0</v>
      </c>
      <c r="F50" s="62" t="b">
        <f t="shared" si="14"/>
        <v>0</v>
      </c>
      <c r="G50" s="109">
        <f t="shared" si="15"/>
        <v>0</v>
      </c>
      <c r="H50" s="109">
        <f t="shared" si="16"/>
        <v>366</v>
      </c>
      <c r="I50" s="117" t="b">
        <f t="shared" si="17"/>
        <v>0</v>
      </c>
      <c r="J50" s="117">
        <f>SUM($I$8:I49)</f>
        <v>100000000</v>
      </c>
      <c r="K50" s="117">
        <f t="shared" si="18"/>
        <v>0</v>
      </c>
      <c r="L50" s="111">
        <f>ROUND(C50*'Общие данные'!$B$84/H50,2)*G50</f>
        <v>0</v>
      </c>
      <c r="M50" s="111">
        <f t="shared" si="19"/>
        <v>0</v>
      </c>
      <c r="N50" s="111"/>
      <c r="O50" s="123" t="str">
        <f t="shared" si="20"/>
        <v>Сб</v>
      </c>
      <c r="P50" s="125">
        <f t="shared" si="21"/>
        <v>2</v>
      </c>
      <c r="Q50" s="125">
        <f>DAY('Общие данные'!$B$78)+P50</f>
        <v>7</v>
      </c>
      <c r="R50" s="120">
        <f>IF(A50&lt;='Общие данные'!$B$81,DATE(YEAR($B$8),MONTH($B$8)+A49,DAY('Общие данные'!$B$78)),0)</f>
        <v>0</v>
      </c>
      <c r="S50" s="109"/>
      <c r="T50" s="109"/>
      <c r="U50" s="109"/>
      <c r="V50" s="109"/>
    </row>
    <row r="51" spans="1:22">
      <c r="A51" s="115">
        <f t="shared" si="22"/>
        <v>44</v>
      </c>
      <c r="B51" s="116" t="b">
        <f>IF(A51&lt;='Общие данные'!$B$81,DATE(YEAR(R51),MONTH(R51),DAY(IF(A51='Общие данные'!$B$81,'Общие данные'!$B$67,IF(A51&lt;'Общие данные'!$B$81,(Q51),IF(A51&gt;'Общие данные'!$B$81,$H$56,0))))))</f>
        <v>0</v>
      </c>
      <c r="C51" s="62">
        <f t="shared" si="11"/>
        <v>-4.1909515857696533E-9</v>
      </c>
      <c r="D51" s="62" t="b">
        <f t="shared" si="12"/>
        <v>0</v>
      </c>
      <c r="E51" s="62" t="b">
        <f t="shared" si="13"/>
        <v>0</v>
      </c>
      <c r="F51" s="62" t="b">
        <f t="shared" si="14"/>
        <v>0</v>
      </c>
      <c r="G51" s="109">
        <f t="shared" si="15"/>
        <v>0</v>
      </c>
      <c r="H51" s="109">
        <f t="shared" si="16"/>
        <v>366</v>
      </c>
      <c r="I51" s="117" t="b">
        <f t="shared" si="17"/>
        <v>0</v>
      </c>
      <c r="J51" s="117">
        <f>SUM($I$8:I50)</f>
        <v>100000000</v>
      </c>
      <c r="K51" s="117">
        <f t="shared" si="18"/>
        <v>0</v>
      </c>
      <c r="L51" s="111">
        <f>ROUND(C51*'Общие данные'!$B$84/H51,2)*G51</f>
        <v>0</v>
      </c>
      <c r="M51" s="111">
        <f t="shared" si="19"/>
        <v>0</v>
      </c>
      <c r="N51" s="111"/>
      <c r="O51" s="123" t="str">
        <f t="shared" si="20"/>
        <v>Сб</v>
      </c>
      <c r="P51" s="125">
        <f t="shared" si="21"/>
        <v>2</v>
      </c>
      <c r="Q51" s="125">
        <f>DAY('Общие данные'!$B$78)+P51</f>
        <v>7</v>
      </c>
      <c r="R51" s="120">
        <f>IF(A51&lt;='Общие данные'!$B$81,DATE(YEAR($B$8),MONTH($B$8)+A50,DAY('Общие данные'!$B$78)),0)</f>
        <v>0</v>
      </c>
      <c r="S51" s="109"/>
      <c r="T51" s="109"/>
      <c r="U51" s="109"/>
      <c r="V51" s="109"/>
    </row>
    <row r="52" spans="1:22">
      <c r="A52" s="115">
        <f t="shared" si="22"/>
        <v>45</v>
      </c>
      <c r="B52" s="116" t="b">
        <f>IF(A52&lt;='Общие данные'!$B$81,DATE(YEAR(R52),MONTH(R52),DAY(IF(A52='Общие данные'!$B$81,'Общие данные'!$B$67,IF(A52&lt;'Общие данные'!$B$81,(Q52),IF(A52&gt;'Общие данные'!$B$81,$H$56,0))))))</f>
        <v>0</v>
      </c>
      <c r="C52" s="62">
        <f t="shared" si="11"/>
        <v>-4.1909515857696533E-9</v>
      </c>
      <c r="D52" s="62" t="b">
        <f t="shared" si="12"/>
        <v>0</v>
      </c>
      <c r="E52" s="62" t="b">
        <f t="shared" si="13"/>
        <v>0</v>
      </c>
      <c r="F52" s="62" t="b">
        <f t="shared" si="14"/>
        <v>0</v>
      </c>
      <c r="G52" s="109">
        <f t="shared" si="15"/>
        <v>0</v>
      </c>
      <c r="H52" s="109">
        <f t="shared" si="16"/>
        <v>366</v>
      </c>
      <c r="I52" s="117" t="b">
        <f t="shared" si="17"/>
        <v>0</v>
      </c>
      <c r="J52" s="117">
        <f>SUM($I$8:I51)</f>
        <v>100000000</v>
      </c>
      <c r="K52" s="117">
        <f t="shared" si="18"/>
        <v>0</v>
      </c>
      <c r="L52" s="111">
        <f>ROUND(C52*'Общие данные'!$B$84/H52,2)*G52</f>
        <v>0</v>
      </c>
      <c r="M52" s="111">
        <f t="shared" si="19"/>
        <v>0</v>
      </c>
      <c r="N52" s="111"/>
      <c r="O52" s="123" t="str">
        <f t="shared" si="20"/>
        <v>Сб</v>
      </c>
      <c r="P52" s="125">
        <f t="shared" si="21"/>
        <v>2</v>
      </c>
      <c r="Q52" s="125">
        <f>DAY('Общие данные'!$B$78)+P52</f>
        <v>7</v>
      </c>
      <c r="R52" s="120">
        <f>IF(A52&lt;='Общие данные'!$B$81,DATE(YEAR($B$8),MONTH($B$8)+A51,DAY('Общие данные'!$B$78)),0)</f>
        <v>0</v>
      </c>
      <c r="S52" s="109"/>
      <c r="T52" s="109"/>
      <c r="U52" s="109"/>
      <c r="V52" s="109"/>
    </row>
    <row r="53" spans="1:22">
      <c r="A53" s="115">
        <f t="shared" si="22"/>
        <v>46</v>
      </c>
      <c r="B53" s="116" t="b">
        <f>IF(A53&lt;='Общие данные'!$B$81,DATE(YEAR(R53),MONTH(R53),DAY(IF(A53='Общие данные'!$B$81,'Общие данные'!$B$67,IF(A53&lt;'Общие данные'!$B$81,(Q53),IF(A53&gt;'Общие данные'!$B$81,$H$56,0))))))</f>
        <v>0</v>
      </c>
      <c r="C53" s="62">
        <f t="shared" si="11"/>
        <v>-4.1909515857696533E-9</v>
      </c>
      <c r="D53" s="62" t="b">
        <f t="shared" si="12"/>
        <v>0</v>
      </c>
      <c r="E53" s="62" t="b">
        <f t="shared" si="13"/>
        <v>0</v>
      </c>
      <c r="F53" s="62" t="b">
        <f t="shared" si="14"/>
        <v>0</v>
      </c>
      <c r="G53" s="109">
        <f t="shared" si="15"/>
        <v>0</v>
      </c>
      <c r="H53" s="109">
        <f t="shared" si="16"/>
        <v>366</v>
      </c>
      <c r="I53" s="117" t="b">
        <f t="shared" si="17"/>
        <v>0</v>
      </c>
      <c r="J53" s="117">
        <f>SUM($I$8:I52)</f>
        <v>100000000</v>
      </c>
      <c r="K53" s="117">
        <f t="shared" si="18"/>
        <v>0</v>
      </c>
      <c r="L53" s="111">
        <f>ROUND(C53*'Общие данные'!$B$84/H53,2)*G53</f>
        <v>0</v>
      </c>
      <c r="M53" s="111">
        <f t="shared" si="19"/>
        <v>0</v>
      </c>
      <c r="N53" s="111"/>
      <c r="O53" s="123" t="str">
        <f t="shared" si="20"/>
        <v>Сб</v>
      </c>
      <c r="P53" s="125">
        <f t="shared" si="21"/>
        <v>2</v>
      </c>
      <c r="Q53" s="125">
        <f>DAY('Общие данные'!$B$78)+P53</f>
        <v>7</v>
      </c>
      <c r="R53" s="120">
        <f>IF(A53&lt;='Общие данные'!$B$81,DATE(YEAR($B$8),MONTH($B$8)+A52,DAY('Общие данные'!$B$78)),0)</f>
        <v>0</v>
      </c>
      <c r="S53" s="109"/>
      <c r="T53" s="109"/>
      <c r="U53" s="109"/>
      <c r="V53" s="109"/>
    </row>
    <row r="54" spans="1:22">
      <c r="A54" s="115">
        <f t="shared" si="22"/>
        <v>47</v>
      </c>
      <c r="B54" s="116" t="b">
        <f>IF(A54&lt;='Общие данные'!$B$81,DATE(YEAR(R54),MONTH(R54),DAY(IF(A54='Общие данные'!$B$81,'Общие данные'!$B$67,IF(A54&lt;'Общие данные'!$B$81,(Q54),IF(A54&gt;'Общие данные'!$B$81,$H$56,0))))))</f>
        <v>0</v>
      </c>
      <c r="C54" s="62">
        <f t="shared" si="11"/>
        <v>-4.1909515857696533E-9</v>
      </c>
      <c r="D54" s="62" t="b">
        <f t="shared" si="12"/>
        <v>0</v>
      </c>
      <c r="E54" s="62" t="b">
        <f t="shared" si="13"/>
        <v>0</v>
      </c>
      <c r="F54" s="62" t="b">
        <f t="shared" si="14"/>
        <v>0</v>
      </c>
      <c r="G54" s="109">
        <f t="shared" si="15"/>
        <v>0</v>
      </c>
      <c r="H54" s="109">
        <f t="shared" si="16"/>
        <v>366</v>
      </c>
      <c r="I54" s="117" t="b">
        <f t="shared" si="17"/>
        <v>0</v>
      </c>
      <c r="J54" s="117">
        <f>SUM($I$8:I53)</f>
        <v>100000000</v>
      </c>
      <c r="K54" s="117">
        <f t="shared" si="18"/>
        <v>0</v>
      </c>
      <c r="L54" s="111">
        <f>ROUND(C54*'Общие данные'!$B$84/H54,2)*G54</f>
        <v>0</v>
      </c>
      <c r="M54" s="111">
        <f t="shared" si="19"/>
        <v>0</v>
      </c>
      <c r="N54" s="111"/>
      <c r="O54" s="123" t="str">
        <f t="shared" si="20"/>
        <v>Сб</v>
      </c>
      <c r="P54" s="125">
        <f t="shared" si="21"/>
        <v>2</v>
      </c>
      <c r="Q54" s="125">
        <f>DAY('Общие данные'!$B$78)+P54</f>
        <v>7</v>
      </c>
      <c r="R54" s="120">
        <f>IF(A54&lt;='Общие данные'!$B$81,DATE(YEAR($B$8),MONTH($B$8)+A53,DAY('Общие данные'!$B$78)),0)</f>
        <v>0</v>
      </c>
      <c r="S54" s="109"/>
      <c r="T54" s="109"/>
      <c r="U54" s="109"/>
      <c r="V54" s="109"/>
    </row>
    <row r="55" spans="1:22">
      <c r="A55" s="115">
        <f t="shared" si="22"/>
        <v>48</v>
      </c>
      <c r="B55" s="116" t="b">
        <f>IF(A55&lt;='Общие данные'!$B$81,DATE(YEAR(R55),MONTH(R55),DAY(IF(A55='Общие данные'!$B$81,'Общие данные'!$B$67,IF(A55&lt;'Общие данные'!$B$81,(Q55),IF(A55&gt;'Общие данные'!$B$81,$H$56,0))))))</f>
        <v>0</v>
      </c>
      <c r="C55" s="62">
        <f t="shared" si="11"/>
        <v>-4.1909515857696533E-9</v>
      </c>
      <c r="D55" s="62" t="b">
        <f t="shared" si="12"/>
        <v>0</v>
      </c>
      <c r="E55" s="62" t="b">
        <f t="shared" si="13"/>
        <v>0</v>
      </c>
      <c r="F55" s="62" t="b">
        <f t="shared" si="14"/>
        <v>0</v>
      </c>
      <c r="G55" s="109">
        <f t="shared" si="15"/>
        <v>0</v>
      </c>
      <c r="H55" s="109">
        <f t="shared" si="16"/>
        <v>366</v>
      </c>
      <c r="I55" s="117" t="b">
        <f t="shared" si="17"/>
        <v>0</v>
      </c>
      <c r="J55" s="117">
        <f>SUM($I$8:I54)</f>
        <v>100000000</v>
      </c>
      <c r="K55" s="117">
        <f t="shared" si="18"/>
        <v>0</v>
      </c>
      <c r="L55" s="111">
        <f>ROUND(C55*'Общие данные'!$B$84/H55,2)*G55</f>
        <v>0</v>
      </c>
      <c r="M55" s="111">
        <f t="shared" si="19"/>
        <v>0</v>
      </c>
      <c r="N55" s="111"/>
      <c r="O55" s="123" t="str">
        <f t="shared" si="20"/>
        <v>Сб</v>
      </c>
      <c r="P55" s="125">
        <f t="shared" si="21"/>
        <v>2</v>
      </c>
      <c r="Q55" s="125">
        <f>DAY('Общие данные'!$B$78)+P55</f>
        <v>7</v>
      </c>
      <c r="R55" s="120">
        <f>IF(A55&lt;='Общие данные'!$B$81,DATE(YEAR($B$8),MONTH($B$8)+A54,DAY('Общие данные'!$B$78)),0)</f>
        <v>0</v>
      </c>
      <c r="S55" s="109"/>
      <c r="T55" s="109"/>
      <c r="U55" s="109"/>
      <c r="V55" s="109"/>
    </row>
    <row r="56" spans="1:22" s="228" customFormat="1">
      <c r="A56" s="224"/>
      <c r="B56" s="225" t="s">
        <v>7</v>
      </c>
      <c r="C56" s="226"/>
      <c r="D56" s="226">
        <f>SUM(D8:D55)</f>
        <v>100000000</v>
      </c>
      <c r="E56" s="226">
        <f>SUM(E8:E55)</f>
        <v>85231267.100000039</v>
      </c>
      <c r="F56" s="226">
        <f>SUM(F8:F55)</f>
        <v>185231267.09999996</v>
      </c>
      <c r="G56" s="227"/>
      <c r="H56" s="227"/>
      <c r="I56" s="227"/>
      <c r="J56" s="227"/>
      <c r="K56" s="227"/>
      <c r="L56" s="227"/>
      <c r="M56" s="227"/>
      <c r="N56" s="227"/>
    </row>
    <row r="57" spans="1:22" ht="9" customHeight="1">
      <c r="B57" s="118"/>
      <c r="C57" s="119"/>
      <c r="D57" s="119"/>
      <c r="E57" s="119"/>
      <c r="F57" s="119"/>
    </row>
    <row r="58" spans="1:22" ht="47.25" customHeight="1">
      <c r="A58" s="264" t="s">
        <v>17</v>
      </c>
      <c r="B58" s="264"/>
      <c r="C58" s="264"/>
      <c r="D58" s="264"/>
      <c r="E58" s="264"/>
      <c r="F58" s="264"/>
    </row>
    <row r="59" spans="1:22" ht="7.5" customHeight="1"/>
    <row r="60" spans="1:22">
      <c r="A60" s="265" t="e">
        <f>#REF!</f>
        <v>#REF!</v>
      </c>
      <c r="B60" s="265"/>
      <c r="C60" s="265"/>
      <c r="D60" s="265" t="e">
        <f>#REF!</f>
        <v>#REF!</v>
      </c>
      <c r="E60" s="265"/>
      <c r="F60" s="265"/>
    </row>
    <row r="61" spans="1:22" ht="11.25" customHeight="1">
      <c r="A61" s="266"/>
      <c r="B61" s="266"/>
      <c r="C61" s="266"/>
      <c r="D61" s="266"/>
      <c r="E61" s="266"/>
      <c r="F61" s="266"/>
    </row>
    <row r="62" spans="1:22" ht="30" customHeight="1">
      <c r="A62" s="263" t="e">
        <f>#REF!</f>
        <v>#REF!</v>
      </c>
      <c r="B62" s="263"/>
      <c r="C62" s="263"/>
      <c r="D62" s="263" t="e">
        <f>#REF!</f>
        <v>#REF!</v>
      </c>
      <c r="E62" s="263"/>
      <c r="F62" s="263"/>
    </row>
    <row r="63" spans="1:22" ht="32.25" customHeight="1">
      <c r="A63" s="259" t="e">
        <f>#REF!</f>
        <v>#REF!</v>
      </c>
      <c r="B63" s="259"/>
      <c r="C63" s="259"/>
      <c r="D63" s="259" t="e">
        <f>#REF!</f>
        <v>#REF!</v>
      </c>
      <c r="E63" s="259"/>
      <c r="F63" s="259"/>
    </row>
    <row r="64" spans="1:22">
      <c r="A64" s="259" t="e">
        <f>#REF!</f>
        <v>#REF!</v>
      </c>
      <c r="B64" s="259"/>
      <c r="C64" s="259"/>
      <c r="D64" s="259" t="str">
        <f>"паспорт серии "&amp;'Общие данные'!B16&amp;", "&amp;'Общие данные'!B20&amp;""</f>
        <v>паспорт серии AD 2849628, IIV 35233 tomonidan 23.03.2023 yilda berilgan</v>
      </c>
      <c r="E64" s="259"/>
      <c r="F64" s="259"/>
    </row>
    <row r="65" spans="1:6" ht="32.25" customHeight="1">
      <c r="A65" s="259" t="e">
        <f>#REF!</f>
        <v>#REF!</v>
      </c>
      <c r="B65" s="259"/>
      <c r="C65" s="259"/>
      <c r="D65" s="259"/>
      <c r="E65" s="259"/>
      <c r="F65" s="259"/>
    </row>
    <row r="66" spans="1:6">
      <c r="A66" s="259" t="e">
        <f>#REF!</f>
        <v>#REF!</v>
      </c>
      <c r="B66" s="259"/>
      <c r="C66" s="259"/>
      <c r="D66" s="259" t="e">
        <f>#REF!</f>
        <v>#REF!</v>
      </c>
      <c r="E66" s="259"/>
      <c r="F66" s="259"/>
    </row>
    <row r="67" spans="1:6">
      <c r="A67" s="259" t="e">
        <f>#REF!</f>
        <v>#REF!</v>
      </c>
      <c r="B67" s="259"/>
      <c r="C67" s="259"/>
      <c r="D67" s="259" t="e">
        <f>#REF!</f>
        <v>#REF!</v>
      </c>
      <c r="E67" s="259"/>
      <c r="F67" s="259"/>
    </row>
    <row r="68" spans="1:6">
      <c r="A68" s="259" t="e">
        <f>#REF!</f>
        <v>#REF!</v>
      </c>
      <c r="B68" s="259"/>
      <c r="C68" s="259"/>
      <c r="D68" s="259" t="e">
        <f>#REF!</f>
        <v>#REF!</v>
      </c>
      <c r="E68" s="259"/>
      <c r="F68" s="259"/>
    </row>
    <row r="69" spans="1:6" ht="8.25" customHeight="1">
      <c r="A69" s="259"/>
      <c r="B69" s="259"/>
      <c r="C69" s="259"/>
      <c r="D69" s="259"/>
      <c r="E69" s="259"/>
      <c r="F69" s="259"/>
    </row>
    <row r="70" spans="1:6">
      <c r="A70" s="263" t="e">
        <f>#REF!</f>
        <v>#REF!</v>
      </c>
      <c r="B70" s="263"/>
      <c r="C70" s="263"/>
      <c r="D70" s="263" t="e">
        <f>#REF!</f>
        <v>#REF!</v>
      </c>
      <c r="E70" s="263"/>
      <c r="F70" s="263"/>
    </row>
    <row r="71" spans="1:6" ht="7.5" customHeight="1">
      <c r="A71" s="263"/>
      <c r="B71" s="263"/>
      <c r="C71" s="263"/>
      <c r="D71" s="263"/>
      <c r="E71" s="263"/>
      <c r="F71" s="263"/>
    </row>
    <row r="72" spans="1:6">
      <c r="A72" s="263" t="e">
        <f>#REF!</f>
        <v>#REF!</v>
      </c>
      <c r="B72" s="263"/>
      <c r="C72" s="263"/>
      <c r="D72" s="263" t="e">
        <f>#REF!</f>
        <v>#REF!</v>
      </c>
      <c r="E72" s="263"/>
      <c r="F72" s="263"/>
    </row>
    <row r="73" spans="1:6" ht="8.25" customHeight="1">
      <c r="A73" s="259"/>
      <c r="B73" s="259"/>
      <c r="C73" s="259"/>
      <c r="D73" s="259"/>
      <c r="E73" s="259"/>
      <c r="F73" s="259"/>
    </row>
    <row r="74" spans="1:6" ht="30" customHeight="1">
      <c r="A74" s="260"/>
      <c r="B74" s="260"/>
      <c r="C74" s="260"/>
      <c r="D74" s="261" t="e">
        <f>#REF!</f>
        <v>#REF!</v>
      </c>
      <c r="E74" s="261"/>
      <c r="F74" s="261"/>
    </row>
    <row r="75" spans="1:6">
      <c r="A75" s="262"/>
      <c r="B75" s="262"/>
      <c r="C75" s="262"/>
      <c r="D75" s="262"/>
      <c r="E75" s="262"/>
      <c r="F75" s="262"/>
    </row>
    <row r="76" spans="1:6">
      <c r="A76" s="258"/>
      <c r="B76" s="258"/>
      <c r="C76" s="258"/>
      <c r="D76" s="258"/>
      <c r="E76" s="258"/>
      <c r="F76" s="258"/>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8" priority="4" operator="lessThan">
      <formula>22105</formula>
    </cfRule>
  </conditionalFormatting>
  <conditionalFormatting sqref="C8:C55">
    <cfRule type="cellIs" dxfId="7" priority="3" operator="lessThan">
      <formula>1</formula>
    </cfRule>
  </conditionalFormatting>
  <conditionalFormatting sqref="C8:F55">
    <cfRule type="cellIs" dxfId="6"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34"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40" customFormat="1" ht="36.75" customHeight="1">
      <c r="A1" s="139" t="s">
        <v>14</v>
      </c>
      <c r="B1" s="140" t="s">
        <v>3</v>
      </c>
      <c r="D1" s="139"/>
      <c r="E1" s="139" t="s">
        <v>37</v>
      </c>
      <c r="F1" s="139" t="s">
        <v>38</v>
      </c>
      <c r="G1" s="139"/>
      <c r="H1" s="139"/>
      <c r="I1" s="139"/>
      <c r="J1" s="139"/>
      <c r="K1" s="139"/>
      <c r="L1" s="139" t="s">
        <v>39</v>
      </c>
      <c r="M1" s="139" t="s">
        <v>41</v>
      </c>
      <c r="N1" s="139" t="s">
        <v>40</v>
      </c>
    </row>
    <row r="2" spans="1:23" ht="15" customHeight="1">
      <c r="A2" s="133">
        <v>1</v>
      </c>
      <c r="B2" t="s">
        <v>247</v>
      </c>
      <c r="C2" t="s">
        <v>63</v>
      </c>
      <c r="D2" s="135" t="s">
        <v>247</v>
      </c>
      <c r="E2" s="135" t="s">
        <v>43</v>
      </c>
      <c r="F2" s="136">
        <v>44207</v>
      </c>
      <c r="G2" s="124">
        <f>MONTH(F2)</f>
        <v>1</v>
      </c>
      <c r="H2" s="136" t="str">
        <f>IF(G2=$A$26,$A$28,IF(G2=$B$26,$B$28,IF(G2=$C$26,$C$28,IF(G2=$D$26,$D$28,IF(G2=$E$26,$E$28,IF(G2=$F$26,$F$28,IF(G2=$K$26,$K$28,IF(G2=$L$26,$L$28,IF(G2=$M$26,$M$28,IF(G2=$N$26,$N$28,IF(G2=$O$26,$O$28,IF(G2=$P$26,$P$28,0))))))))))))</f>
        <v>yanvar</v>
      </c>
      <c r="I2" s="124">
        <f>DAY(F2)</f>
        <v>11</v>
      </c>
      <c r="J2" s="138">
        <f>YEAR(F2)</f>
        <v>2021</v>
      </c>
      <c r="K2" s="136" t="str">
        <f>""&amp;I2&amp;" "&amp;H2&amp;" "&amp;J2&amp;" г."</f>
        <v>11 yanvar 2021 г.</v>
      </c>
      <c r="L2" s="135">
        <v>5</v>
      </c>
      <c r="M2" s="137">
        <v>15000000</v>
      </c>
      <c r="N2" s="135" t="s">
        <v>125</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4"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33">
        <v>2</v>
      </c>
      <c r="D3" s="135" t="s">
        <v>247</v>
      </c>
      <c r="E3" s="135" t="s">
        <v>42</v>
      </c>
      <c r="F3" s="136">
        <v>43775</v>
      </c>
      <c r="G3" s="124">
        <f>MONTH(F3)</f>
        <v>11</v>
      </c>
      <c r="H3" s="136" t="str">
        <f>IF(G3=$A$26,$A$28,IF(G3=$B$26,$B$28,IF(G3=$C$26,$C$28,IF(G3=$D$26,$D$28,IF(G3=$E$26,$E$28,IF(G3=$F$26,$F$28,IF(G3=$K$26,$K$28,IF(G3=$L$26,$L$28,IF(G3=$M$26,$M$28,IF(G3=$N$26,$N$28,IF(G3=$O$26,$O$28,IF(G3=$P$26,$P$28,0))))))))))))</f>
        <v>noyabr</v>
      </c>
      <c r="I3" s="124">
        <f>DAY(F3)</f>
        <v>6</v>
      </c>
      <c r="J3" s="138">
        <f>YEAR(F3)</f>
        <v>2019</v>
      </c>
      <c r="K3" s="136" t="str">
        <f>""&amp;I3&amp;" "&amp;H3&amp;" "&amp;J3&amp;" г."</f>
        <v>6 noyabr 2019 г.</v>
      </c>
      <c r="L3" s="135">
        <v>386</v>
      </c>
      <c r="M3" s="137">
        <v>15000000</v>
      </c>
      <c r="N3" s="135" t="s">
        <v>125</v>
      </c>
      <c r="O3" t="str">
        <f>"-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0">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33">
        <v>3</v>
      </c>
      <c r="D4" s="135" t="s">
        <v>247</v>
      </c>
      <c r="E4" s="135" t="s">
        <v>42</v>
      </c>
      <c r="F4" s="136">
        <v>44217</v>
      </c>
      <c r="G4" s="124">
        <f>MONTH(F4)</f>
        <v>1</v>
      </c>
      <c r="H4" s="136" t="str">
        <f>IF(G4=$A$26,$A$28,IF(G4=$B$26,$B$28,IF(G4=$C$26,$C$28,IF(G4=$D$26,$D$28,IF(G4=$E$26,$E$28,IF(G4=$F$26,$F$28,IF(G4=$K$26,$K$28,IF(G4=$L$26,$L$28,IF(G4=$M$26,$M$28,IF(G4=$N$26,$N$28,IF(G4=$O$26,$O$28,IF(G4=$P$26,$P$28,0))))))))))))</f>
        <v>yanvar</v>
      </c>
      <c r="I4" s="124">
        <f>DAY(F4)</f>
        <v>21</v>
      </c>
      <c r="J4" s="138">
        <f>YEAR(F4)</f>
        <v>2021</v>
      </c>
      <c r="K4" s="136" t="str">
        <f>""&amp;I4&amp;" "&amp;H4&amp;" "&amp;J4&amp;" г."</f>
        <v>21 yanvar 2021 г.</v>
      </c>
      <c r="L4" s="135">
        <v>33</v>
      </c>
      <c r="M4" s="137">
        <v>15000000</v>
      </c>
      <c r="N4" s="135" t="s">
        <v>125</v>
      </c>
      <c r="O4" t="str">
        <f>"- №"&amp;L4&amp;" от "&amp;K4&amp;", заключенного с ООО «Clever Mikrokredit Tashkiloti» и "&amp;E4&amp;", по согласованной залоговой стоимость - "&amp;FIXED(M4)&amp;" ("&amp;N4&amp;") сум."</f>
        <v>- №33 от 21 yanvar 2021 г., заключенного с ООО «Clever Mikrokredit Tashkiloti» и YUNUSOVA ZALOXAT MIRSULTANOVNA, по согласованной залоговой стоимость - 15 000 000,00 (on besh million) сум.</v>
      </c>
      <c r="P4" t="str">
        <f t="shared" si="0"/>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33">
        <v>4</v>
      </c>
      <c r="D5" s="135" t="s">
        <v>247</v>
      </c>
      <c r="E5" s="135"/>
      <c r="F5" s="136"/>
      <c r="G5" s="124">
        <f t="shared" ref="G5:G21" si="1">MONTH(F5)</f>
        <v>1</v>
      </c>
      <c r="H5" s="136" t="str">
        <f t="shared" ref="H5:H21" si="2">IF(G5=$A$26,$A$28,IF(G5=$B$26,$B$28,IF(G5=$C$26,$C$28,IF(G5=$D$26,$D$28,IF(G5=$E$26,$E$28,IF(G5=$F$26,$F$28,IF(G5=$K$26,$K$28,IF(G5=$L$26,$L$28,IF(G5=$M$26,$M$28,IF(G5=$N$26,$N$28,IF(G5=$O$26,$O$28,IF(G5=$P$26,$P$28,0))))))))))))</f>
        <v>yanvar</v>
      </c>
      <c r="I5" s="124">
        <f t="shared" ref="I5:I21" si="3">DAY(F5)</f>
        <v>0</v>
      </c>
      <c r="J5" s="138">
        <f t="shared" ref="J5:J21" si="4">YEAR(F5)</f>
        <v>1900</v>
      </c>
      <c r="K5" s="136" t="str">
        <f t="shared" ref="K5:K21" si="5">""&amp;I5&amp;" "&amp;H5&amp;" "&amp;J5&amp;" г."</f>
        <v>0 yanvar 1900 г.</v>
      </c>
      <c r="L5" s="135"/>
      <c r="M5" s="137"/>
      <c r="N5" s="135"/>
      <c r="P5">
        <f t="shared" si="0"/>
        <v>0</v>
      </c>
    </row>
    <row r="6" spans="1:23" ht="15" customHeight="1">
      <c r="A6" s="133">
        <v>5</v>
      </c>
      <c r="D6" s="135" t="s">
        <v>247</v>
      </c>
      <c r="E6" s="135"/>
      <c r="F6" s="136"/>
      <c r="G6" s="124">
        <f t="shared" si="1"/>
        <v>1</v>
      </c>
      <c r="H6" s="136" t="str">
        <f t="shared" si="2"/>
        <v>yanvar</v>
      </c>
      <c r="I6" s="124">
        <f t="shared" si="3"/>
        <v>0</v>
      </c>
      <c r="J6" s="138">
        <f t="shared" si="4"/>
        <v>1900</v>
      </c>
      <c r="K6" s="136" t="str">
        <f t="shared" si="5"/>
        <v>0 yanvar 1900 г.</v>
      </c>
      <c r="L6" s="135"/>
      <c r="M6" s="137"/>
      <c r="N6" s="135"/>
      <c r="P6">
        <f t="shared" si="0"/>
        <v>0</v>
      </c>
    </row>
    <row r="7" spans="1:23" ht="15" customHeight="1">
      <c r="A7" s="133">
        <v>6</v>
      </c>
      <c r="D7" s="135" t="s">
        <v>247</v>
      </c>
      <c r="E7" s="135"/>
      <c r="F7" s="136"/>
      <c r="G7" s="124">
        <f t="shared" si="1"/>
        <v>1</v>
      </c>
      <c r="H7" s="136" t="str">
        <f t="shared" si="2"/>
        <v>yanvar</v>
      </c>
      <c r="I7" s="124">
        <f t="shared" si="3"/>
        <v>0</v>
      </c>
      <c r="J7" s="138">
        <f t="shared" si="4"/>
        <v>1900</v>
      </c>
      <c r="K7" s="136" t="str">
        <f t="shared" si="5"/>
        <v>0 yanvar 1900 г.</v>
      </c>
      <c r="L7" s="135"/>
      <c r="M7" s="137"/>
      <c r="N7" s="135"/>
      <c r="P7">
        <f t="shared" si="0"/>
        <v>0</v>
      </c>
    </row>
    <row r="8" spans="1:23" ht="15" customHeight="1">
      <c r="A8" s="133">
        <v>7</v>
      </c>
      <c r="D8" s="135" t="s">
        <v>247</v>
      </c>
      <c r="E8" s="135"/>
      <c r="F8" s="136"/>
      <c r="G8" s="124">
        <f t="shared" si="1"/>
        <v>1</v>
      </c>
      <c r="H8" s="136" t="str">
        <f t="shared" si="2"/>
        <v>yanvar</v>
      </c>
      <c r="I8" s="124">
        <f t="shared" si="3"/>
        <v>0</v>
      </c>
      <c r="J8" s="138">
        <f t="shared" si="4"/>
        <v>1900</v>
      </c>
      <c r="K8" s="136" t="str">
        <f t="shared" si="5"/>
        <v>0 yanvar 1900 г.</v>
      </c>
      <c r="L8" s="135"/>
      <c r="M8" s="137"/>
      <c r="N8" s="135"/>
      <c r="P8">
        <f t="shared" si="0"/>
        <v>0</v>
      </c>
    </row>
    <row r="9" spans="1:23" ht="15" customHeight="1">
      <c r="A9" s="133">
        <v>8</v>
      </c>
      <c r="D9" s="135" t="s">
        <v>247</v>
      </c>
      <c r="E9" s="135"/>
      <c r="F9" s="136"/>
      <c r="G9" s="124">
        <f t="shared" si="1"/>
        <v>1</v>
      </c>
      <c r="H9" s="136" t="str">
        <f t="shared" si="2"/>
        <v>yanvar</v>
      </c>
      <c r="I9" s="124">
        <f t="shared" si="3"/>
        <v>0</v>
      </c>
      <c r="J9" s="138">
        <f t="shared" si="4"/>
        <v>1900</v>
      </c>
      <c r="K9" s="136" t="str">
        <f t="shared" si="5"/>
        <v>0 yanvar 1900 г.</v>
      </c>
      <c r="L9" s="135"/>
      <c r="M9" s="137"/>
      <c r="N9" s="135"/>
      <c r="P9">
        <f t="shared" si="0"/>
        <v>0</v>
      </c>
    </row>
    <row r="10" spans="1:23" ht="15" customHeight="1">
      <c r="A10" s="133">
        <v>9</v>
      </c>
      <c r="D10" s="135" t="s">
        <v>247</v>
      </c>
      <c r="E10" s="135"/>
      <c r="F10" s="136"/>
      <c r="G10" s="124">
        <f t="shared" si="1"/>
        <v>1</v>
      </c>
      <c r="H10" s="136" t="str">
        <f t="shared" si="2"/>
        <v>yanvar</v>
      </c>
      <c r="I10" s="124">
        <f t="shared" si="3"/>
        <v>0</v>
      </c>
      <c r="J10" s="138">
        <f t="shared" si="4"/>
        <v>1900</v>
      </c>
      <c r="K10" s="136" t="str">
        <f t="shared" si="5"/>
        <v>0 yanvar 1900 г.</v>
      </c>
      <c r="L10" s="135"/>
      <c r="M10" s="137"/>
      <c r="N10" s="135"/>
      <c r="P10">
        <f t="shared" si="0"/>
        <v>0</v>
      </c>
    </row>
    <row r="11" spans="1:23" ht="15" customHeight="1">
      <c r="A11" s="133">
        <v>10</v>
      </c>
      <c r="D11" s="135" t="s">
        <v>247</v>
      </c>
      <c r="E11" s="135"/>
      <c r="F11" s="136"/>
      <c r="G11" s="124">
        <f t="shared" si="1"/>
        <v>1</v>
      </c>
      <c r="H11" s="136" t="str">
        <f t="shared" si="2"/>
        <v>yanvar</v>
      </c>
      <c r="I11" s="124">
        <f t="shared" si="3"/>
        <v>0</v>
      </c>
      <c r="J11" s="138">
        <f t="shared" si="4"/>
        <v>1900</v>
      </c>
      <c r="K11" s="136" t="str">
        <f t="shared" si="5"/>
        <v>0 yanvar 1900 г.</v>
      </c>
      <c r="L11" s="135"/>
      <c r="M11" s="137"/>
      <c r="N11" s="135"/>
      <c r="P11">
        <f t="shared" si="0"/>
        <v>0</v>
      </c>
    </row>
    <row r="12" spans="1:23" ht="15" customHeight="1">
      <c r="A12" s="133">
        <v>11</v>
      </c>
      <c r="D12" s="135" t="s">
        <v>247</v>
      </c>
      <c r="E12" s="135"/>
      <c r="F12" s="136"/>
      <c r="G12" s="124">
        <f t="shared" si="1"/>
        <v>1</v>
      </c>
      <c r="H12" s="136" t="str">
        <f t="shared" si="2"/>
        <v>yanvar</v>
      </c>
      <c r="I12" s="124">
        <f t="shared" si="3"/>
        <v>0</v>
      </c>
      <c r="J12" s="138">
        <f t="shared" si="4"/>
        <v>1900</v>
      </c>
      <c r="K12" s="136" t="str">
        <f t="shared" si="5"/>
        <v>0 yanvar 1900 г.</v>
      </c>
      <c r="L12" s="135"/>
      <c r="M12" s="137"/>
      <c r="N12" s="135"/>
      <c r="P12">
        <f t="shared" si="0"/>
        <v>0</v>
      </c>
    </row>
    <row r="13" spans="1:23" ht="15" customHeight="1">
      <c r="A13" s="133">
        <v>12</v>
      </c>
      <c r="D13" s="135" t="s">
        <v>247</v>
      </c>
      <c r="E13" s="135"/>
      <c r="F13" s="136"/>
      <c r="G13" s="124">
        <f t="shared" si="1"/>
        <v>1</v>
      </c>
      <c r="H13" s="136" t="str">
        <f t="shared" si="2"/>
        <v>yanvar</v>
      </c>
      <c r="I13" s="124">
        <f t="shared" si="3"/>
        <v>0</v>
      </c>
      <c r="J13" s="138">
        <f t="shared" si="4"/>
        <v>1900</v>
      </c>
      <c r="K13" s="136" t="str">
        <f t="shared" si="5"/>
        <v>0 yanvar 1900 г.</v>
      </c>
      <c r="L13" s="135"/>
      <c r="M13" s="137"/>
      <c r="N13" s="135"/>
      <c r="P13">
        <f t="shared" si="0"/>
        <v>0</v>
      </c>
    </row>
    <row r="14" spans="1:23" ht="15" customHeight="1">
      <c r="A14" s="133">
        <v>13</v>
      </c>
      <c r="D14" s="135" t="s">
        <v>247</v>
      </c>
      <c r="E14" s="135"/>
      <c r="F14" s="136"/>
      <c r="G14" s="124">
        <f t="shared" si="1"/>
        <v>1</v>
      </c>
      <c r="H14" s="136" t="str">
        <f t="shared" si="2"/>
        <v>yanvar</v>
      </c>
      <c r="I14" s="124">
        <f t="shared" si="3"/>
        <v>0</v>
      </c>
      <c r="J14" s="138">
        <f t="shared" si="4"/>
        <v>1900</v>
      </c>
      <c r="K14" s="136" t="str">
        <f t="shared" si="5"/>
        <v>0 yanvar 1900 г.</v>
      </c>
      <c r="L14" s="135"/>
      <c r="M14" s="137"/>
      <c r="N14" s="135"/>
      <c r="P14">
        <f t="shared" si="0"/>
        <v>0</v>
      </c>
    </row>
    <row r="15" spans="1:23" ht="15" customHeight="1">
      <c r="A15" s="133">
        <v>14</v>
      </c>
      <c r="D15" s="135" t="s">
        <v>247</v>
      </c>
      <c r="E15" s="135"/>
      <c r="F15" s="136"/>
      <c r="G15" s="124">
        <f t="shared" si="1"/>
        <v>1</v>
      </c>
      <c r="H15" s="136" t="str">
        <f t="shared" si="2"/>
        <v>yanvar</v>
      </c>
      <c r="I15" s="124">
        <f t="shared" si="3"/>
        <v>0</v>
      </c>
      <c r="J15" s="138">
        <f t="shared" si="4"/>
        <v>1900</v>
      </c>
      <c r="K15" s="136" t="str">
        <f t="shared" si="5"/>
        <v>0 yanvar 1900 г.</v>
      </c>
      <c r="L15" s="135"/>
      <c r="M15" s="137"/>
      <c r="N15" s="135"/>
      <c r="P15">
        <f t="shared" si="0"/>
        <v>0</v>
      </c>
    </row>
    <row r="16" spans="1:23" ht="15" customHeight="1">
      <c r="A16" s="133">
        <v>15</v>
      </c>
      <c r="D16" s="135" t="s">
        <v>247</v>
      </c>
      <c r="E16" s="135"/>
      <c r="F16" s="136"/>
      <c r="G16" s="124">
        <f t="shared" si="1"/>
        <v>1</v>
      </c>
      <c r="H16" s="136" t="str">
        <f t="shared" si="2"/>
        <v>yanvar</v>
      </c>
      <c r="I16" s="124">
        <f t="shared" si="3"/>
        <v>0</v>
      </c>
      <c r="J16" s="138">
        <f t="shared" si="4"/>
        <v>1900</v>
      </c>
      <c r="K16" s="136" t="str">
        <f t="shared" si="5"/>
        <v>0 yanvar 1900 г.</v>
      </c>
      <c r="L16" s="135"/>
      <c r="M16" s="137"/>
      <c r="N16" s="135"/>
      <c r="P16">
        <f t="shared" si="0"/>
        <v>0</v>
      </c>
    </row>
    <row r="17" spans="1:17" ht="15" customHeight="1">
      <c r="A17" s="133">
        <v>16</v>
      </c>
      <c r="D17" s="135" t="s">
        <v>247</v>
      </c>
      <c r="E17" s="135"/>
      <c r="F17" s="136"/>
      <c r="G17" s="124">
        <f t="shared" si="1"/>
        <v>1</v>
      </c>
      <c r="H17" s="136" t="str">
        <f t="shared" si="2"/>
        <v>yanvar</v>
      </c>
      <c r="I17" s="124">
        <f t="shared" si="3"/>
        <v>0</v>
      </c>
      <c r="J17" s="138">
        <f t="shared" si="4"/>
        <v>1900</v>
      </c>
      <c r="K17" s="136" t="str">
        <f t="shared" si="5"/>
        <v>0 yanvar 1900 г.</v>
      </c>
      <c r="L17" s="135"/>
      <c r="M17" s="137"/>
      <c r="N17" s="135"/>
      <c r="P17">
        <f t="shared" si="0"/>
        <v>0</v>
      </c>
    </row>
    <row r="18" spans="1:17" ht="15" customHeight="1">
      <c r="A18" s="133">
        <v>17</v>
      </c>
      <c r="D18" s="135" t="s">
        <v>247</v>
      </c>
      <c r="E18" s="135"/>
      <c r="F18" s="136"/>
      <c r="G18" s="124">
        <f t="shared" si="1"/>
        <v>1</v>
      </c>
      <c r="H18" s="136" t="str">
        <f t="shared" si="2"/>
        <v>yanvar</v>
      </c>
      <c r="I18" s="124">
        <f t="shared" si="3"/>
        <v>0</v>
      </c>
      <c r="J18" s="138">
        <f t="shared" si="4"/>
        <v>1900</v>
      </c>
      <c r="K18" s="136" t="str">
        <f t="shared" si="5"/>
        <v>0 yanvar 1900 г.</v>
      </c>
      <c r="L18" s="135"/>
      <c r="M18" s="137"/>
      <c r="N18" s="135"/>
      <c r="P18">
        <f t="shared" si="0"/>
        <v>0</v>
      </c>
    </row>
    <row r="19" spans="1:17" ht="15" customHeight="1">
      <c r="A19" s="133">
        <v>18</v>
      </c>
      <c r="D19" s="135" t="s">
        <v>247</v>
      </c>
      <c r="E19" s="135"/>
      <c r="F19" s="136"/>
      <c r="G19" s="124">
        <f t="shared" si="1"/>
        <v>1</v>
      </c>
      <c r="H19" s="136" t="str">
        <f t="shared" si="2"/>
        <v>yanvar</v>
      </c>
      <c r="I19" s="124">
        <f t="shared" si="3"/>
        <v>0</v>
      </c>
      <c r="J19" s="138">
        <f t="shared" si="4"/>
        <v>1900</v>
      </c>
      <c r="K19" s="136" t="str">
        <f t="shared" si="5"/>
        <v>0 yanvar 1900 г.</v>
      </c>
      <c r="L19" s="135"/>
      <c r="M19" s="137"/>
      <c r="N19" s="135"/>
      <c r="P19">
        <f t="shared" si="0"/>
        <v>0</v>
      </c>
    </row>
    <row r="20" spans="1:17" ht="15" customHeight="1">
      <c r="A20" s="133">
        <v>19</v>
      </c>
      <c r="D20" s="135" t="s">
        <v>247</v>
      </c>
      <c r="E20" s="135"/>
      <c r="F20" s="136"/>
      <c r="G20" s="124">
        <f t="shared" si="1"/>
        <v>1</v>
      </c>
      <c r="H20" s="136" t="str">
        <f t="shared" si="2"/>
        <v>yanvar</v>
      </c>
      <c r="I20" s="124">
        <f t="shared" si="3"/>
        <v>0</v>
      </c>
      <c r="J20" s="138">
        <f t="shared" si="4"/>
        <v>1900</v>
      </c>
      <c r="K20" s="136" t="str">
        <f t="shared" si="5"/>
        <v>0 yanvar 1900 г.</v>
      </c>
      <c r="L20" s="135"/>
      <c r="M20" s="137"/>
      <c r="N20" s="135"/>
      <c r="P20">
        <f t="shared" si="0"/>
        <v>0</v>
      </c>
    </row>
    <row r="21" spans="1:17" ht="15" customHeight="1">
      <c r="A21" s="133">
        <v>20</v>
      </c>
      <c r="D21" s="135" t="s">
        <v>247</v>
      </c>
      <c r="E21" s="135"/>
      <c r="F21" s="136"/>
      <c r="G21" s="124">
        <f t="shared" si="1"/>
        <v>1</v>
      </c>
      <c r="H21" s="136" t="str">
        <f t="shared" si="2"/>
        <v>yanvar</v>
      </c>
      <c r="I21" s="124">
        <f t="shared" si="3"/>
        <v>0</v>
      </c>
      <c r="J21" s="138">
        <f t="shared" si="4"/>
        <v>1900</v>
      </c>
      <c r="K21" s="136" t="str">
        <f t="shared" si="5"/>
        <v>0 yanvar 1900 г.</v>
      </c>
      <c r="L21" s="135"/>
      <c r="M21" s="137"/>
      <c r="N21" s="135"/>
      <c r="P21">
        <f t="shared" si="0"/>
        <v>0</v>
      </c>
    </row>
    <row r="22" spans="1:17">
      <c r="M22" s="141">
        <f>SUM(M2:M21)+'Общие данные'!B136</f>
        <v>185000000</v>
      </c>
      <c r="Q22" t="s">
        <v>246</v>
      </c>
    </row>
    <row r="23" spans="1:17">
      <c r="A23" s="120"/>
      <c r="B23" s="121"/>
      <c r="C23" s="121"/>
      <c r="D23" s="121"/>
      <c r="E23" s="121"/>
      <c r="F23" s="121"/>
      <c r="G23" s="121"/>
      <c r="H23" s="121"/>
      <c r="I23" s="121"/>
      <c r="J23" s="121"/>
      <c r="K23" s="121"/>
      <c r="L23" s="121"/>
      <c r="M23" s="121"/>
      <c r="N23" s="121"/>
      <c r="O23" s="121"/>
    </row>
    <row r="24" spans="1:17">
      <c r="A24" s="121"/>
      <c r="B24" s="121"/>
      <c r="C24" s="121"/>
      <c r="D24" s="121"/>
      <c r="E24" s="121"/>
      <c r="F24" s="121"/>
      <c r="G24" s="121"/>
      <c r="H24" s="121"/>
      <c r="I24" s="121"/>
      <c r="J24" s="121"/>
      <c r="K24" s="121"/>
      <c r="L24" s="121"/>
      <c r="M24" s="121"/>
      <c r="N24" s="121"/>
      <c r="O24" s="121"/>
    </row>
    <row r="25" spans="1:17">
      <c r="A25" s="121">
        <f>MONTH(F2)</f>
        <v>1</v>
      </c>
      <c r="B25" s="121" t="str">
        <f>IF(A25=A26,A28,IF(A25=B26,B28,IF(A25=C26,C28,IF(A25=D26,D28,IF(A25=E26,E28,IF(A25=F26,F28,IF(A25=K26,K28,IF(A25=L26,L28,IF(A25=M26,M28,IF(A25=N26,N28,IF(A25=O26,O28,IF(A25=#REF!,#REF!,))))))))))))</f>
        <v>yanvar</v>
      </c>
      <c r="C25" s="121">
        <f>DAY(F2)</f>
        <v>11</v>
      </c>
      <c r="D25" s="121">
        <f>YEAR(F2)</f>
        <v>2021</v>
      </c>
      <c r="E25" s="121"/>
      <c r="F25" s="121"/>
      <c r="G25" s="121"/>
      <c r="H25" s="121"/>
      <c r="I25" s="121"/>
      <c r="J25" s="121"/>
      <c r="K25" s="121"/>
      <c r="L25" s="121"/>
      <c r="M25" s="121"/>
      <c r="N25" s="121"/>
      <c r="O25" s="121"/>
    </row>
    <row r="26" spans="1:17">
      <c r="A26" s="121">
        <v>1</v>
      </c>
      <c r="B26" s="121">
        <v>2</v>
      </c>
      <c r="C26" s="121">
        <v>3</v>
      </c>
      <c r="D26" s="121">
        <v>4</v>
      </c>
      <c r="E26" s="121">
        <v>5</v>
      </c>
      <c r="F26" s="121">
        <v>6</v>
      </c>
      <c r="G26" s="121"/>
      <c r="H26" s="121"/>
      <c r="I26" s="121"/>
      <c r="J26" s="121"/>
      <c r="K26" s="121">
        <v>7</v>
      </c>
      <c r="L26" s="121">
        <v>8</v>
      </c>
      <c r="M26" s="121">
        <v>9</v>
      </c>
      <c r="N26" s="121">
        <v>10</v>
      </c>
      <c r="O26" s="121">
        <v>11</v>
      </c>
      <c r="P26" s="121">
        <v>12</v>
      </c>
    </row>
    <row r="27" spans="1:17">
      <c r="A27" s="121"/>
      <c r="B27" s="121"/>
      <c r="C27" s="121"/>
      <c r="D27" s="121"/>
      <c r="E27" s="121"/>
      <c r="F27" s="121"/>
      <c r="G27" s="121"/>
      <c r="H27" s="121"/>
      <c r="I27" s="121"/>
      <c r="J27" s="121"/>
      <c r="K27" s="121"/>
      <c r="L27" s="121"/>
      <c r="M27" s="121"/>
      <c r="N27" s="121"/>
      <c r="O27" s="121"/>
    </row>
    <row r="28" spans="1:17">
      <c r="A28" s="121" t="s">
        <v>114</v>
      </c>
      <c r="B28" s="121" t="s">
        <v>115</v>
      </c>
      <c r="C28" s="121" t="s">
        <v>104</v>
      </c>
      <c r="D28" s="121" t="s">
        <v>105</v>
      </c>
      <c r="E28" s="121" t="s">
        <v>106</v>
      </c>
      <c r="F28" s="121" t="s">
        <v>107</v>
      </c>
      <c r="G28" s="121"/>
      <c r="H28" s="121"/>
      <c r="I28" s="121"/>
      <c r="J28" s="121"/>
      <c r="K28" s="121" t="s">
        <v>23</v>
      </c>
      <c r="L28" s="121" t="s">
        <v>109</v>
      </c>
      <c r="M28" s="121" t="s">
        <v>245</v>
      </c>
      <c r="N28" s="121" t="s">
        <v>244</v>
      </c>
      <c r="O28" s="121" t="s">
        <v>112</v>
      </c>
      <c r="P28" s="121" t="s">
        <v>113</v>
      </c>
    </row>
    <row r="29" spans="1:17">
      <c r="A29" s="121" t="s">
        <v>114</v>
      </c>
      <c r="B29" s="121" t="s">
        <v>115</v>
      </c>
      <c r="C29" s="121" t="s">
        <v>104</v>
      </c>
      <c r="D29" s="121" t="s">
        <v>105</v>
      </c>
      <c r="E29" s="121" t="s">
        <v>106</v>
      </c>
      <c r="F29" s="121" t="s">
        <v>107</v>
      </c>
      <c r="G29" s="121"/>
      <c r="H29" s="121"/>
      <c r="I29" s="121"/>
      <c r="J29" s="121"/>
      <c r="K29" s="121" t="s">
        <v>25</v>
      </c>
      <c r="L29" s="121" t="s">
        <v>109</v>
      </c>
      <c r="M29" s="121" t="s">
        <v>245</v>
      </c>
      <c r="N29" s="121" t="s">
        <v>244</v>
      </c>
      <c r="O29" s="121" t="s">
        <v>112</v>
      </c>
      <c r="P29" s="121" t="s">
        <v>113</v>
      </c>
    </row>
    <row r="30" spans="1:17">
      <c r="A30" s="121"/>
      <c r="B30" s="121"/>
      <c r="C30" s="121"/>
      <c r="D30" s="121"/>
      <c r="E30" s="121"/>
      <c r="F30" s="121"/>
      <c r="G30" s="121"/>
      <c r="H30" s="121"/>
      <c r="I30" s="121"/>
      <c r="J30" s="121"/>
      <c r="K30" s="121"/>
      <c r="L30" s="122"/>
      <c r="M30" s="122"/>
      <c r="N30" s="122"/>
      <c r="O30" s="122"/>
    </row>
  </sheetData>
  <dataValidations count="1">
    <dataValidation type="list" allowBlank="1" showInputMessage="1" showErrorMessage="1" sqref="D2:D21">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tabColor rgb="FF00B050"/>
  </sheetPr>
  <dimension ref="A1:BK165"/>
  <sheetViews>
    <sheetView tabSelected="1" zoomScaleNormal="100" workbookViewId="0">
      <selection activeCell="B5" sqref="B5"/>
    </sheetView>
  </sheetViews>
  <sheetFormatPr defaultColWidth="9.140625" defaultRowHeight="15"/>
  <cols>
    <col min="1" max="1" width="68" style="6" customWidth="1"/>
    <col min="2" max="2" width="61.85546875" style="7" customWidth="1"/>
    <col min="3" max="3" width="63.85546875" style="4" customWidth="1"/>
    <col min="4" max="4" width="29.7109375" style="4" customWidth="1"/>
    <col min="5" max="7" width="9.140625" style="4" customWidth="1"/>
    <col min="8" max="8" width="62.5703125" style="4" customWidth="1"/>
    <col min="9" max="13" width="9.140625" style="4" customWidth="1"/>
    <col min="14" max="14" width="70.7109375" style="4" customWidth="1"/>
    <col min="15" max="16" width="9.140625" style="4" customWidth="1"/>
    <col min="17" max="17" width="59.7109375" style="4" customWidth="1"/>
    <col min="18" max="18" width="49.85546875" style="4" customWidth="1"/>
    <col min="19" max="16384" width="9.140625" style="4"/>
  </cols>
  <sheetData>
    <row r="1" spans="1:4">
      <c r="A1" s="3" t="str">
        <f>CONCATENATE(B65," olish uchun ariza")</f>
        <v>Mikroqarz olish uchun ariza</v>
      </c>
      <c r="B1" s="52" t="s">
        <v>442</v>
      </c>
    </row>
    <row r="2" spans="1:4">
      <c r="A2" s="3" t="str">
        <f>CONCATENATE(B65," olish uchun ariza sanasi QO’L BILAN KIRITILADI")</f>
        <v>Mikroqarz olish uchun ariza sanasi QO’L BILAN KIRITILADI</v>
      </c>
      <c r="B2" s="68" t="s">
        <v>443</v>
      </c>
      <c r="D2" s="187">
        <f>180+B2</f>
        <v>46295</v>
      </c>
    </row>
    <row r="3" spans="1:4">
      <c r="A3" s="3"/>
      <c r="B3" s="1"/>
    </row>
    <row r="4" spans="1:4">
      <c r="A4" s="272" t="s">
        <v>49</v>
      </c>
      <c r="B4" s="272"/>
    </row>
    <row r="5" spans="1:4" ht="15.75" customHeight="1">
      <c r="A5" s="3" t="s">
        <v>50</v>
      </c>
      <c r="B5" s="52" t="s">
        <v>426</v>
      </c>
    </row>
    <row r="6" spans="1:4" ht="30">
      <c r="A6" s="3" t="s">
        <v>51</v>
      </c>
      <c r="B6" s="52" t="s">
        <v>129</v>
      </c>
      <c r="C6" s="4" t="s">
        <v>247</v>
      </c>
      <c r="D6" s="4" t="s">
        <v>129</v>
      </c>
    </row>
    <row r="7" spans="1:4">
      <c r="A7" s="3" t="s">
        <v>52</v>
      </c>
      <c r="B7" s="52" t="s">
        <v>433</v>
      </c>
    </row>
    <row r="8" spans="1:4" hidden="1">
      <c r="A8" s="3" t="s">
        <v>53</v>
      </c>
      <c r="B8" s="92" t="str">
        <f>B5</f>
        <v>ANNAZAROV KAXRAMAN SADULLAYEVICH</v>
      </c>
    </row>
    <row r="9" spans="1:4" hidden="1">
      <c r="A9" s="3" t="s">
        <v>54</v>
      </c>
      <c r="B9" s="92" t="str">
        <f>B7</f>
        <v>ANNAZAROV K.S.</v>
      </c>
    </row>
    <row r="10" spans="1:4" hidden="1">
      <c r="A10" s="3" t="s">
        <v>55</v>
      </c>
      <c r="B10" s="92" t="str">
        <f>B8</f>
        <v>ANNAZAROV KAXRAMAN SADULLAYEVICH</v>
      </c>
    </row>
    <row r="11" spans="1:4" hidden="1">
      <c r="A11" s="3" t="s">
        <v>56</v>
      </c>
      <c r="B11" s="92" t="str">
        <f>B9</f>
        <v>ANNAZAROV K.S.</v>
      </c>
    </row>
    <row r="12" spans="1:4" hidden="1">
      <c r="A12" s="3" t="s">
        <v>57</v>
      </c>
      <c r="B12" s="92" t="str">
        <f>B10</f>
        <v>ANNAZAROV KAXRAMAN SADULLAYEVICH</v>
      </c>
    </row>
    <row r="13" spans="1:4" hidden="1">
      <c r="A13" s="3" t="s">
        <v>58</v>
      </c>
      <c r="B13" s="92" t="str">
        <f>B11</f>
        <v>ANNAZAROV K.S.</v>
      </c>
    </row>
    <row r="14" spans="1:4" hidden="1">
      <c r="A14" s="3" t="s">
        <v>59</v>
      </c>
      <c r="B14" s="92" t="s">
        <v>62</v>
      </c>
    </row>
    <row r="15" spans="1:4">
      <c r="A15" s="3" t="s">
        <v>60</v>
      </c>
      <c r="B15" s="158" t="s">
        <v>427</v>
      </c>
    </row>
    <row r="16" spans="1:4">
      <c r="A16" s="3" t="s">
        <v>61</v>
      </c>
      <c r="B16" s="52" t="s">
        <v>428</v>
      </c>
    </row>
    <row r="17" spans="1:10">
      <c r="A17" s="3"/>
      <c r="B17" s="52" t="s">
        <v>429</v>
      </c>
      <c r="C17" s="93"/>
      <c r="D17" s="5" t="str">
        <f>TEXT(C17,"ДД.ММ.ГГГГ")</f>
        <v>00.01.1900</v>
      </c>
    </row>
    <row r="18" spans="1:10">
      <c r="A18" s="3"/>
      <c r="B18" s="158">
        <v>45008</v>
      </c>
      <c r="C18" s="96" t="str">
        <f>TEXT(B18,"ДД.ММ.ГГГГ")</f>
        <v>23.03.2023</v>
      </c>
      <c r="D18" s="5"/>
    </row>
    <row r="19" spans="1:10">
      <c r="A19" s="233"/>
      <c r="B19" s="234">
        <f>DATE(YEAR(B18)+10,MONTH(B18),DAY(B18)-1)</f>
        <v>48660</v>
      </c>
      <c r="C19" s="96" t="str">
        <f>TEXT(B19,"ДД.ММ.ГГГГ")</f>
        <v>22.03.2033</v>
      </c>
      <c r="D19" s="5"/>
    </row>
    <row r="20" spans="1:10" ht="45">
      <c r="A20" s="3" t="s">
        <v>64</v>
      </c>
      <c r="B20" s="73" t="str">
        <f>""&amp;B17&amp;" tomonidan "&amp;C18&amp;" yilda berilgan"</f>
        <v>IIV 35233 tomonidan 23.03.2023 yilda berilgan</v>
      </c>
      <c r="C20" s="97" t="str">
        <f>""&amp;B17&amp;" tomonidan "&amp;C18&amp;" yilda berilgan"</f>
        <v>IIV 35233 tomonidan 23.03.2023 yilda berilgan</v>
      </c>
    </row>
    <row r="21" spans="1:10" ht="45">
      <c r="A21" s="3" t="s">
        <v>65</v>
      </c>
      <c r="B21" s="73" t="str">
        <f>""&amp;C19&amp;" y."</f>
        <v>22.03.2033 y.</v>
      </c>
      <c r="C21" s="96" t="str">
        <f>""&amp;C19&amp;" yilgacha"</f>
        <v>22.03.2033 yilgacha</v>
      </c>
    </row>
    <row r="22" spans="1:10" ht="43.5" customHeight="1">
      <c r="A22" s="3" t="s">
        <v>66</v>
      </c>
      <c r="B22" s="52" t="s">
        <v>439</v>
      </c>
    </row>
    <row r="23" spans="1:10" ht="30">
      <c r="A23" s="3" t="s">
        <v>67</v>
      </c>
      <c r="B23" s="52" t="s">
        <v>90</v>
      </c>
      <c r="C23" s="5" t="s">
        <v>90</v>
      </c>
      <c r="D23" s="5" t="s">
        <v>91</v>
      </c>
    </row>
    <row r="24" spans="1:10" ht="30" hidden="1">
      <c r="A24" s="3" t="s">
        <v>68</v>
      </c>
      <c r="B24" s="92" t="s">
        <v>88</v>
      </c>
      <c r="C24" s="5" t="s">
        <v>88</v>
      </c>
      <c r="D24" s="5" t="s">
        <v>89</v>
      </c>
      <c r="E24" s="5" t="s">
        <v>0</v>
      </c>
      <c r="F24" s="5" t="s">
        <v>1</v>
      </c>
      <c r="G24" s="4" t="s">
        <v>3</v>
      </c>
    </row>
    <row r="25" spans="1:10">
      <c r="A25" s="3" t="s">
        <v>69</v>
      </c>
      <c r="B25" s="52" t="s">
        <v>434</v>
      </c>
    </row>
    <row r="26" spans="1:10" ht="29.25" customHeight="1">
      <c r="A26" s="3" t="s">
        <v>70</v>
      </c>
      <c r="B26" s="52" t="s">
        <v>430</v>
      </c>
      <c r="C26" s="4" t="s">
        <v>24</v>
      </c>
    </row>
    <row r="27" spans="1:10" ht="44.25" hidden="1" customHeight="1">
      <c r="A27" s="3"/>
      <c r="B27" s="177" t="str">
        <f>IF(B23="mos keladi",B22,B28)</f>
        <v>QORAQALPOG'ISTON RESPUBLIKASI TO'RTKO'L TUMANI YOSHLIK MFY KALTAMINAR KO'CHASI 1B-UY</v>
      </c>
    </row>
    <row r="28" spans="1:10" ht="30">
      <c r="A28" s="3" t="s">
        <v>71</v>
      </c>
      <c r="B28" s="52" t="s">
        <v>439</v>
      </c>
    </row>
    <row r="29" spans="1:10">
      <c r="A29" s="3" t="s">
        <v>72</v>
      </c>
      <c r="B29" s="52" t="s">
        <v>88</v>
      </c>
      <c r="C29" s="122" t="s">
        <v>88</v>
      </c>
      <c r="D29" s="122" t="s">
        <v>89</v>
      </c>
      <c r="E29" s="122" t="s">
        <v>323</v>
      </c>
      <c r="F29" s="122" t="s">
        <v>324</v>
      </c>
      <c r="G29" s="122" t="s">
        <v>3</v>
      </c>
      <c r="H29" s="122"/>
      <c r="I29" s="122"/>
      <c r="J29" s="122"/>
    </row>
    <row r="30" spans="1:10" ht="27">
      <c r="A30" s="3" t="s">
        <v>73</v>
      </c>
      <c r="B30" s="209" t="s">
        <v>144</v>
      </c>
      <c r="C30" s="5" t="s">
        <v>144</v>
      </c>
      <c r="D30" s="5" t="s">
        <v>327</v>
      </c>
    </row>
    <row r="31" spans="1:10">
      <c r="A31" s="3" t="s">
        <v>74</v>
      </c>
      <c r="B31" s="52" t="s">
        <v>424</v>
      </c>
    </row>
    <row r="32" spans="1:10">
      <c r="A32" s="3" t="s">
        <v>59</v>
      </c>
      <c r="B32" s="52" t="s">
        <v>62</v>
      </c>
    </row>
    <row r="33" spans="1:4">
      <c r="A33" s="233" t="s">
        <v>69</v>
      </c>
      <c r="B33" s="177" t="str">
        <f>B25</f>
        <v>93 770 26 32 KLIENT</v>
      </c>
    </row>
    <row r="34" spans="1:4" hidden="1">
      <c r="A34" s="3"/>
      <c r="B34" s="52" t="str">
        <f>IF(B23="mos keladi",B26,B35)</f>
        <v>VISHKI TARAF GRAF METANNI YONIDA</v>
      </c>
    </row>
    <row r="35" spans="1:4">
      <c r="A35" s="3" t="s">
        <v>70</v>
      </c>
      <c r="B35" s="52"/>
    </row>
    <row r="36" spans="1:4">
      <c r="A36" s="3" t="s">
        <v>75</v>
      </c>
      <c r="B36" s="52"/>
    </row>
    <row r="37" spans="1:4">
      <c r="A37" s="3" t="s">
        <v>76</v>
      </c>
      <c r="B37" s="52"/>
    </row>
    <row r="38" spans="1:4">
      <c r="A38" s="3" t="s">
        <v>77</v>
      </c>
      <c r="B38" s="52"/>
    </row>
    <row r="39" spans="1:4">
      <c r="A39" s="3" t="s">
        <v>78</v>
      </c>
      <c r="B39" s="52"/>
    </row>
    <row r="40" spans="1:4" ht="24.75" customHeight="1">
      <c r="A40" s="233" t="s">
        <v>79</v>
      </c>
      <c r="B40" s="177" t="str">
        <f>B33</f>
        <v>93 770 26 32 KLIENT</v>
      </c>
    </row>
    <row r="41" spans="1:4" ht="24.75" customHeight="1">
      <c r="A41" s="3" t="s">
        <v>80</v>
      </c>
      <c r="B41" s="52" t="s">
        <v>435</v>
      </c>
    </row>
    <row r="42" spans="1:4" ht="24.75" customHeight="1">
      <c r="A42" s="3" t="s">
        <v>79</v>
      </c>
      <c r="B42" s="52" t="s">
        <v>436</v>
      </c>
    </row>
    <row r="43" spans="1:4">
      <c r="A43" s="3" t="s">
        <v>80</v>
      </c>
      <c r="B43" s="52"/>
    </row>
    <row r="44" spans="1:4" ht="23.25">
      <c r="A44" s="211" t="s">
        <v>81</v>
      </c>
      <c r="B44" s="210" t="s">
        <v>344</v>
      </c>
      <c r="C44" s="4" t="s">
        <v>338</v>
      </c>
      <c r="D44" s="4" t="s">
        <v>344</v>
      </c>
    </row>
    <row r="45" spans="1:4" ht="28.5" hidden="1">
      <c r="A45" s="3"/>
      <c r="B45" s="208" t="str">
        <f>IF(B44=D44,CONCATENATE("MA'LUMOTNOMA ",B47,B46),C44)</f>
        <v>MA'LUMOTNOMA MA'LUMOTNOMA № 00130682640013068264</v>
      </c>
    </row>
    <row r="46" spans="1:4" ht="46.5">
      <c r="A46" s="211" t="s">
        <v>345</v>
      </c>
      <c r="B46" s="216" t="s">
        <v>441</v>
      </c>
    </row>
    <row r="47" spans="1:4" ht="23.25" hidden="1">
      <c r="A47" s="211"/>
      <c r="B47" s="245" t="str">
        <f>CONCATENATE(C47," ",B46)</f>
        <v>MA'LUMOTNOMA № 0013068264</v>
      </c>
      <c r="C47" s="4" t="s">
        <v>440</v>
      </c>
    </row>
    <row r="48" spans="1:4" ht="69.75">
      <c r="A48" s="211" t="s">
        <v>346</v>
      </c>
      <c r="B48" s="208" t="s">
        <v>437</v>
      </c>
    </row>
    <row r="49" spans="1:22" hidden="1">
      <c r="A49" s="3" t="s">
        <v>82</v>
      </c>
      <c r="B49" s="52" t="str">
        <f>IF(B44=C44,C44,B48)</f>
        <v>Сантехника ишлари</v>
      </c>
    </row>
    <row r="50" spans="1:22" ht="30">
      <c r="A50" s="3" t="s">
        <v>83</v>
      </c>
      <c r="B50" s="52" t="s">
        <v>425</v>
      </c>
    </row>
    <row r="51" spans="1:22">
      <c r="A51" s="3" t="s">
        <v>70</v>
      </c>
      <c r="B51" s="52"/>
    </row>
    <row r="52" spans="1:22">
      <c r="A52" s="3" t="s">
        <v>84</v>
      </c>
      <c r="B52" s="52"/>
    </row>
    <row r="53" spans="1:22">
      <c r="A53" s="3" t="s">
        <v>85</v>
      </c>
      <c r="B53" s="52"/>
    </row>
    <row r="54" spans="1:22">
      <c r="A54" s="3" t="s">
        <v>86</v>
      </c>
      <c r="B54" s="52"/>
    </row>
    <row r="55" spans="1:22">
      <c r="A55" s="3" t="s">
        <v>419</v>
      </c>
      <c r="B55" s="2" t="s">
        <v>438</v>
      </c>
    </row>
    <row r="56" spans="1:22">
      <c r="A56" s="3" t="s">
        <v>87</v>
      </c>
      <c r="B56" s="2" t="s">
        <v>22</v>
      </c>
    </row>
    <row r="57" spans="1:22" ht="30" customHeight="1">
      <c r="A57" s="273" t="s">
        <v>92</v>
      </c>
      <c r="B57" s="274"/>
    </row>
    <row r="58" spans="1:22" ht="20.25" hidden="1" customHeight="1">
      <c r="A58" s="3" t="s">
        <v>93</v>
      </c>
      <c r="B58" s="52" t="str">
        <f>IF(B44=C44,C44,CONCATENATE(B44," ",B47))</f>
        <v>O'Z O'ZINI BAND QILGAN FUQARO MA'LUMOTNOMA № 0013068264</v>
      </c>
    </row>
    <row r="59" spans="1:22" ht="31.5" hidden="1" customHeight="1">
      <c r="A59" s="3" t="s">
        <v>82</v>
      </c>
      <c r="B59" s="52" t="str">
        <f>B49</f>
        <v>Сантехника ишлари</v>
      </c>
    </row>
    <row r="60" spans="1:22" ht="23.25">
      <c r="A60" s="211" t="s">
        <v>94</v>
      </c>
      <c r="B60" s="243">
        <v>15000000</v>
      </c>
    </row>
    <row r="61" spans="1:22">
      <c r="A61" s="3" t="s">
        <v>95</v>
      </c>
      <c r="B61" s="244">
        <v>6000000</v>
      </c>
      <c r="C61" s="122"/>
      <c r="D61" s="122"/>
      <c r="E61" s="122"/>
      <c r="F61" s="122"/>
      <c r="G61" s="122"/>
      <c r="H61" s="122"/>
      <c r="I61" s="122"/>
      <c r="J61" s="122"/>
      <c r="K61" s="122"/>
      <c r="L61" s="122"/>
      <c r="M61" s="122"/>
      <c r="N61" s="122"/>
      <c r="O61" s="122"/>
    </row>
    <row r="62" spans="1:22" hidden="1">
      <c r="A62" s="3" t="s">
        <v>96</v>
      </c>
      <c r="B62" s="52">
        <f>B53</f>
        <v>0</v>
      </c>
      <c r="C62" s="122"/>
      <c r="D62" s="122"/>
      <c r="E62" s="122"/>
      <c r="F62" s="122"/>
      <c r="G62" s="122"/>
      <c r="H62" s="122"/>
      <c r="I62" s="122"/>
      <c r="J62" s="122"/>
      <c r="K62" s="122"/>
      <c r="L62" s="122"/>
      <c r="M62" s="122"/>
      <c r="N62" s="122"/>
      <c r="O62" s="122"/>
    </row>
    <row r="63" spans="1:22">
      <c r="A63" s="3" t="s">
        <v>97</v>
      </c>
      <c r="B63" s="52"/>
      <c r="C63" s="5"/>
      <c r="D63" s="5"/>
      <c r="E63" s="5"/>
      <c r="F63" s="5"/>
      <c r="G63" s="5"/>
      <c r="H63" s="5"/>
      <c r="I63" s="5"/>
      <c r="J63" s="5"/>
      <c r="K63" s="5"/>
      <c r="L63" s="5"/>
      <c r="M63" s="5"/>
      <c r="N63" s="5"/>
      <c r="O63" s="5"/>
    </row>
    <row r="64" spans="1:22">
      <c r="A64" s="272" t="s">
        <v>98</v>
      </c>
      <c r="B64" s="272"/>
      <c r="C64" s="231" t="s">
        <v>401</v>
      </c>
      <c r="D64" s="231" t="s">
        <v>398</v>
      </c>
      <c r="E64" s="122"/>
      <c r="F64" s="122"/>
      <c r="G64" s="122"/>
      <c r="H64" s="122"/>
      <c r="I64" s="122"/>
      <c r="J64" s="122"/>
      <c r="K64" s="122"/>
      <c r="L64" s="122"/>
      <c r="M64" s="122"/>
      <c r="N64" s="122"/>
      <c r="O64" s="122"/>
      <c r="P64" s="122"/>
      <c r="Q64" s="122"/>
      <c r="R64" s="122"/>
      <c r="S64" s="122"/>
      <c r="T64" s="122"/>
      <c r="U64" s="122"/>
      <c r="V64" s="122"/>
    </row>
    <row r="65" spans="1:22">
      <c r="A65" s="3" t="s">
        <v>99</v>
      </c>
      <c r="B65" s="1" t="str">
        <f>IF(B75&gt;100000001,"Mikrokredit",IF(B75&lt;100000001,"Mikroqarz",0))</f>
        <v>Mikroqarz</v>
      </c>
      <c r="C65" s="120">
        <f>DATE(YEAR(B67),MONTH(B67)+B81,DAY(B67))</f>
        <v>47211</v>
      </c>
      <c r="D65" s="121"/>
      <c r="E65" s="121"/>
      <c r="F65" s="121"/>
      <c r="G65" s="121"/>
      <c r="H65" s="121"/>
      <c r="I65" s="121"/>
      <c r="J65" s="121"/>
      <c r="K65" s="121"/>
      <c r="L65" s="121"/>
      <c r="M65" s="121"/>
      <c r="N65" s="121"/>
      <c r="O65" s="122"/>
      <c r="P65" s="122"/>
      <c r="Q65" s="122"/>
      <c r="R65" s="122"/>
      <c r="S65" s="122"/>
      <c r="T65" s="122"/>
      <c r="U65" s="122"/>
      <c r="V65" s="122"/>
    </row>
    <row r="66" spans="1:22">
      <c r="A66" s="3" t="s">
        <v>100</v>
      </c>
      <c r="B66" s="52" t="str">
        <f>B1</f>
        <v>№310-TR</v>
      </c>
      <c r="C66" s="121">
        <f>MONTH(C65)</f>
        <v>4</v>
      </c>
      <c r="D66" s="121" t="str">
        <f>IF(C66=C68,C70,IF(C66=D68,D70,IF(C66=E68,E70,IF(C66=F68,F70,IF(C66=G68,G70,IF(C66=H68,H70,IF(C66=I68,I70,IF(C66=J68,J70,IF(C66=K68,K70,IF(C66=L68,L70,IF(C66=M68,M70,IF(C66=N68,N70,))))))))))))</f>
        <v>aprel</v>
      </c>
      <c r="E66" s="121">
        <f>DAY(C65)</f>
        <v>3</v>
      </c>
      <c r="F66" s="121">
        <f>YEAR(C65)</f>
        <v>2029</v>
      </c>
      <c r="G66" s="121">
        <f>MONTH(C65)</f>
        <v>4</v>
      </c>
      <c r="H66" s="121" t="str">
        <f>IF(C66=C68,C71,IF(C66=D68,D71,IF(C66=E68,E71,IF(C66=F68,F71,IF(C66=G68,G71,IF(C66=H68,H71,IF(C66=I68,I71,IF(C66=J68,J71,IF(C66=K68,K71,IF(C66=L68,L71,IF(C66=M68,M71,IF(C66=N68,N71,))))))))))))</f>
        <v>aprel</v>
      </c>
      <c r="I66" s="121">
        <f>YEAR(C65)</f>
        <v>2029</v>
      </c>
      <c r="J66" s="121"/>
      <c r="K66" s="121"/>
      <c r="L66" s="121"/>
      <c r="M66" s="121"/>
      <c r="N66" s="121"/>
      <c r="O66" s="122"/>
      <c r="P66" s="122"/>
      <c r="Q66" s="122"/>
      <c r="R66" s="122"/>
      <c r="S66" s="122"/>
      <c r="T66" s="122"/>
      <c r="U66" s="122"/>
      <c r="V66" s="122"/>
    </row>
    <row r="67" spans="1:22">
      <c r="A67" s="3" t="s">
        <v>101</v>
      </c>
      <c r="B67" s="107" t="str">
        <f>B2</f>
        <v>03.04.2026</v>
      </c>
      <c r="C67" s="121">
        <f>MONTH(B67)</f>
        <v>4</v>
      </c>
      <c r="D67" s="121" t="str">
        <f>IF(C67=C68,C70,IF(C67=D68,D70,IF(C67=E68,E70,IF(C67=F68,F70,IF(C67=G68,G70,IF(C67=H68,H70,IF(C67=I68,I70,IF(C67=J68,J70,IF(C67=K68,K70,IF(C67=L68,L70,IF(C67=M68,M70,IF(C67=N68,N70,))))))))))))</f>
        <v>aprel</v>
      </c>
      <c r="E67" s="121">
        <f>DAY(B67)</f>
        <v>3</v>
      </c>
      <c r="F67" s="121">
        <f>YEAR(B67)</f>
        <v>2026</v>
      </c>
      <c r="G67" s="121">
        <f>MONTH(B67)</f>
        <v>4</v>
      </c>
      <c r="H67" s="121" t="str">
        <f>IF(C67=C68,C71,IF(C67=D68,D71,IF(C67=E68,E71,IF(C67=F68,F71,IF(C67=G68,G71,IF(C67=H68,H71,IF(C67=I68,I71,IF(C67=J68,J71,IF(C67=K68,K71,IF(C67=L68,L71,IF(C67=M68,M71,IF(C67=N68,N71,))))))))))))</f>
        <v>aprel</v>
      </c>
      <c r="I67" s="121">
        <f>YEAR(B67)</f>
        <v>2026</v>
      </c>
      <c r="J67" s="121"/>
      <c r="K67" s="121"/>
      <c r="L67" s="121"/>
      <c r="M67" s="121"/>
      <c r="N67" s="121"/>
      <c r="O67" s="122"/>
      <c r="P67" s="122"/>
      <c r="Q67" s="122"/>
      <c r="R67" s="122"/>
      <c r="S67" s="122"/>
      <c r="T67" s="122"/>
      <c r="U67" s="122"/>
      <c r="V67" s="122"/>
    </row>
    <row r="68" spans="1:22">
      <c r="A68" s="3" t="s">
        <v>102</v>
      </c>
      <c r="B68" s="98" t="str">
        <f>""&amp;E67&amp;" "&amp;D67&amp;" "&amp;F67&amp;" y."</f>
        <v>3 aprel 2026 y.</v>
      </c>
      <c r="C68" s="121">
        <v>1</v>
      </c>
      <c r="D68" s="121">
        <v>2</v>
      </c>
      <c r="E68" s="121">
        <v>3</v>
      </c>
      <c r="F68" s="121">
        <v>4</v>
      </c>
      <c r="G68" s="121">
        <v>5</v>
      </c>
      <c r="H68" s="121">
        <v>6</v>
      </c>
      <c r="I68" s="121">
        <v>7</v>
      </c>
      <c r="J68" s="121">
        <v>8</v>
      </c>
      <c r="K68" s="121">
        <v>9</v>
      </c>
      <c r="L68" s="121">
        <v>10</v>
      </c>
      <c r="M68" s="121">
        <v>11</v>
      </c>
      <c r="N68" s="121">
        <v>12</v>
      </c>
      <c r="O68" s="122"/>
      <c r="P68" s="122"/>
      <c r="Q68" s="122"/>
      <c r="R68" s="122"/>
      <c r="S68" s="122"/>
      <c r="T68" s="122"/>
      <c r="U68" s="122"/>
      <c r="V68" s="122"/>
    </row>
    <row r="69" spans="1:22">
      <c r="A69" s="3"/>
      <c r="B69" s="98" t="str">
        <f>""&amp;E67&amp;" "&amp;H67&amp;" "&amp;F67&amp;" y."</f>
        <v>3 aprel 2026 y.</v>
      </c>
      <c r="C69" s="121"/>
      <c r="D69" s="121"/>
      <c r="E69" s="121"/>
      <c r="F69" s="121"/>
      <c r="G69" s="121"/>
      <c r="H69" s="121"/>
      <c r="I69" s="121"/>
      <c r="J69" s="121"/>
      <c r="K69" s="121"/>
      <c r="L69" s="121"/>
      <c r="M69" s="121"/>
      <c r="N69" s="121"/>
      <c r="O69" s="122"/>
      <c r="P69" s="122"/>
      <c r="Q69" s="122"/>
      <c r="R69" s="122"/>
      <c r="S69" s="122"/>
      <c r="T69" s="122"/>
      <c r="U69" s="122"/>
      <c r="V69" s="122"/>
    </row>
    <row r="70" spans="1:22">
      <c r="A70" s="3"/>
      <c r="B70" s="72" t="str">
        <f>B68</f>
        <v>3 aprel 2026 y.</v>
      </c>
      <c r="C70" s="175" t="s">
        <v>114</v>
      </c>
      <c r="D70" s="175" t="s">
        <v>115</v>
      </c>
      <c r="E70" s="175" t="s">
        <v>104</v>
      </c>
      <c r="F70" s="175" t="s">
        <v>105</v>
      </c>
      <c r="G70" s="175" t="s">
        <v>106</v>
      </c>
      <c r="H70" s="175" t="s">
        <v>107</v>
      </c>
      <c r="I70" s="175" t="s">
        <v>108</v>
      </c>
      <c r="J70" s="175" t="s">
        <v>109</v>
      </c>
      <c r="K70" s="175" t="s">
        <v>110</v>
      </c>
      <c r="L70" s="175" t="s">
        <v>111</v>
      </c>
      <c r="M70" s="175" t="s">
        <v>112</v>
      </c>
      <c r="N70" s="175" t="s">
        <v>113</v>
      </c>
      <c r="O70" s="122"/>
      <c r="P70" s="122"/>
      <c r="Q70" s="122"/>
      <c r="R70" s="122"/>
      <c r="S70" s="122"/>
      <c r="T70" s="122"/>
      <c r="U70" s="122"/>
      <c r="V70" s="122"/>
    </row>
    <row r="71" spans="1:22">
      <c r="A71" s="3"/>
      <c r="B71" s="72" t="str">
        <f>B69</f>
        <v>3 aprel 2026 y.</v>
      </c>
      <c r="C71" s="175" t="s">
        <v>114</v>
      </c>
      <c r="D71" s="175" t="s">
        <v>115</v>
      </c>
      <c r="E71" s="175" t="s">
        <v>104</v>
      </c>
      <c r="F71" s="175" t="s">
        <v>105</v>
      </c>
      <c r="G71" s="175" t="s">
        <v>106</v>
      </c>
      <c r="H71" s="175" t="s">
        <v>107</v>
      </c>
      <c r="I71" s="175" t="s">
        <v>108</v>
      </c>
      <c r="J71" s="175" t="s">
        <v>109</v>
      </c>
      <c r="K71" s="175" t="s">
        <v>110</v>
      </c>
      <c r="L71" s="175" t="s">
        <v>111</v>
      </c>
      <c r="M71" s="175" t="s">
        <v>112</v>
      </c>
      <c r="N71" s="175" t="s">
        <v>113</v>
      </c>
      <c r="O71" s="122"/>
      <c r="P71" s="122"/>
      <c r="Q71" s="122"/>
      <c r="R71" s="122"/>
      <c r="S71" s="122"/>
      <c r="T71" s="122"/>
      <c r="U71" s="122"/>
      <c r="V71" s="122"/>
    </row>
    <row r="72" spans="1:22">
      <c r="A72" s="3" t="s">
        <v>103</v>
      </c>
      <c r="B72" s="69" t="str">
        <f>""&amp;E66&amp;" "&amp;D66&amp;" "&amp;F66&amp;" y."</f>
        <v>3 aprel 2029 y.</v>
      </c>
      <c r="C72" s="121"/>
      <c r="D72" s="121"/>
      <c r="E72" s="121"/>
      <c r="F72" s="121"/>
      <c r="G72" s="121"/>
      <c r="H72" s="121"/>
      <c r="I72" s="121"/>
      <c r="J72" s="122"/>
      <c r="K72" s="122"/>
      <c r="L72" s="122"/>
      <c r="M72" s="122"/>
      <c r="N72" s="122"/>
      <c r="O72" s="122"/>
      <c r="P72" s="122"/>
      <c r="Q72" s="122"/>
      <c r="R72" s="122"/>
      <c r="S72" s="122"/>
      <c r="T72" s="122"/>
      <c r="U72" s="122"/>
      <c r="V72" s="122"/>
    </row>
    <row r="73" spans="1:22">
      <c r="A73" s="3"/>
      <c r="B73" s="69" t="str">
        <f>""&amp;E66&amp;" "&amp;H66&amp;" "&amp;F66&amp;" y."</f>
        <v>3 aprel 2029 y.</v>
      </c>
      <c r="C73" s="121"/>
      <c r="D73" s="121"/>
      <c r="E73" s="121"/>
      <c r="F73" s="121"/>
      <c r="G73" s="121"/>
      <c r="H73" s="121"/>
      <c r="I73" s="121"/>
      <c r="J73" s="122"/>
      <c r="K73" s="122"/>
      <c r="L73" s="122"/>
      <c r="M73" s="122"/>
      <c r="N73" s="122"/>
      <c r="O73" s="122"/>
      <c r="P73" s="122"/>
      <c r="Q73" s="122"/>
      <c r="R73" s="122"/>
      <c r="S73" s="122"/>
      <c r="T73" s="122"/>
      <c r="U73" s="122"/>
      <c r="V73" s="122"/>
    </row>
    <row r="74" spans="1:22" ht="15.75" thickBot="1">
      <c r="A74" s="3" t="s">
        <v>116</v>
      </c>
      <c r="B74" s="1" t="str">
        <f>""&amp;B68&amp;"dan "&amp;B66&amp;""</f>
        <v>3 aprel 2026 y.dan №310-TR</v>
      </c>
      <c r="D74" s="70"/>
      <c r="E74" s="70"/>
      <c r="F74" s="70"/>
      <c r="G74" s="70"/>
      <c r="H74" s="70"/>
      <c r="I74" s="70"/>
      <c r="J74" s="5"/>
      <c r="K74" s="5"/>
      <c r="L74" s="5"/>
      <c r="M74" s="5"/>
      <c r="N74" s="5"/>
      <c r="O74" s="5"/>
      <c r="P74" s="71"/>
      <c r="Q74" s="71"/>
      <c r="R74" s="71"/>
      <c r="S74" s="71"/>
      <c r="T74" s="71"/>
      <c r="U74" s="71"/>
      <c r="V74" s="71"/>
    </row>
    <row r="75" spans="1:22">
      <c r="A75" s="3" t="str">
        <f>CONCATENATE(B65," miqdori (summasi)")</f>
        <v>Mikroqarz miqdori (summasi)</v>
      </c>
      <c r="B75" s="82">
        <v>100000000</v>
      </c>
      <c r="C75" s="83" t="s">
        <v>122</v>
      </c>
      <c r="D75" s="70"/>
      <c r="E75" s="70"/>
      <c r="F75" s="70"/>
      <c r="G75" s="70"/>
      <c r="H75" s="70"/>
      <c r="I75" s="70"/>
      <c r="J75" s="5"/>
      <c r="K75" s="5"/>
      <c r="L75" s="5"/>
      <c r="M75" s="5"/>
      <c r="N75" s="5"/>
      <c r="O75" s="5"/>
      <c r="P75" s="71"/>
      <c r="Q75" s="71"/>
      <c r="R75" s="71"/>
      <c r="S75" s="71"/>
      <c r="T75" s="71"/>
      <c r="U75" s="71"/>
      <c r="V75" s="71"/>
    </row>
    <row r="76" spans="1:22">
      <c r="A76" s="236" t="s">
        <v>117</v>
      </c>
      <c r="B76" s="237" t="str">
        <f>C76</f>
        <v>Yuz million so'm</v>
      </c>
      <c r="C76" s="170"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million so'm</v>
      </c>
      <c r="D76" s="70"/>
      <c r="E76" s="70"/>
      <c r="F76" s="70"/>
      <c r="G76" s="70"/>
      <c r="H76" s="70"/>
      <c r="I76" s="70"/>
      <c r="J76" s="5"/>
      <c r="K76" s="5"/>
      <c r="L76" s="5"/>
      <c r="M76" s="5"/>
      <c r="N76" s="5"/>
      <c r="O76" s="5"/>
      <c r="P76" s="71"/>
      <c r="Q76" s="71"/>
      <c r="R76" s="71"/>
      <c r="S76" s="71"/>
      <c r="T76" s="71"/>
      <c r="U76" s="71"/>
      <c r="V76" s="71"/>
    </row>
    <row r="77" spans="1:22">
      <c r="A77" s="3" t="s">
        <v>118</v>
      </c>
      <c r="B77" s="52" t="s">
        <v>124</v>
      </c>
      <c r="C77" s="121" t="s">
        <v>124</v>
      </c>
      <c r="D77" s="121" t="s">
        <v>123</v>
      </c>
      <c r="E77" s="121"/>
      <c r="F77" s="121"/>
      <c r="G77" s="121"/>
      <c r="H77" s="121"/>
      <c r="I77" s="121"/>
      <c r="J77" s="122"/>
      <c r="K77" s="122"/>
      <c r="L77" s="122"/>
      <c r="M77" s="122"/>
      <c r="N77" s="122"/>
      <c r="O77" s="122"/>
      <c r="P77" s="122"/>
      <c r="Q77" s="122"/>
      <c r="R77" s="122"/>
      <c r="S77" s="71"/>
      <c r="T77" s="71"/>
      <c r="U77" s="71"/>
      <c r="V77" s="71"/>
    </row>
    <row r="78" spans="1:22">
      <c r="A78" s="3" t="str">
        <f>CONCATENATE(B65,"ni to'lash sanasi (14.10.2011)")</f>
        <v>Mikroqarzni to'lash sanasi (14.10.2011)</v>
      </c>
      <c r="B78" s="52">
        <v>5</v>
      </c>
      <c r="C78" s="120">
        <f>DATE(YEAR(B67),MONTH(B67)+1,DAY(B78))</f>
        <v>46147</v>
      </c>
      <c r="D78" s="121" t="s">
        <v>26</v>
      </c>
      <c r="E78" s="121" t="s">
        <v>27</v>
      </c>
      <c r="F78" s="121" t="s">
        <v>28</v>
      </c>
      <c r="G78" s="121" t="s">
        <v>29</v>
      </c>
      <c r="H78" s="121" t="s">
        <v>30</v>
      </c>
      <c r="I78" s="121" t="s">
        <v>31</v>
      </c>
      <c r="J78" s="122" t="s">
        <v>32</v>
      </c>
      <c r="K78" s="122"/>
      <c r="L78" s="122"/>
      <c r="M78" s="122"/>
      <c r="N78" s="122"/>
      <c r="O78" s="122"/>
      <c r="P78" s="122"/>
      <c r="Q78" s="122"/>
      <c r="R78" s="122"/>
      <c r="S78" s="71"/>
      <c r="T78" s="71"/>
      <c r="U78" s="71"/>
      <c r="V78" s="71"/>
    </row>
    <row r="79" spans="1:22">
      <c r="A79" s="3" t="str">
        <f>CONCATENATE(B65,"ni to'lash sanasi (14.10.2011 y.) QO’L BILAN KIRITILADI")</f>
        <v>Mikroqarzni to'lash sanasi (14.10.2011 y.) QO’L BILAN KIRITILADI</v>
      </c>
      <c r="B79" s="99">
        <f>DATE(YEAR(B67),MONTH(B67)+1,DAY(B78+C80))</f>
        <v>46147</v>
      </c>
      <c r="C79" s="123" t="str">
        <f>TEXT(C78,"ддд")</f>
        <v>Вт</v>
      </c>
      <c r="D79" s="121" t="s">
        <v>26</v>
      </c>
      <c r="E79" s="121" t="s">
        <v>27</v>
      </c>
      <c r="F79" s="121" t="s">
        <v>28</v>
      </c>
      <c r="G79" s="121" t="s">
        <v>29</v>
      </c>
      <c r="H79" s="121" t="s">
        <v>30</v>
      </c>
      <c r="I79" s="121" t="s">
        <v>31</v>
      </c>
      <c r="J79" s="122" t="s">
        <v>32</v>
      </c>
      <c r="K79" s="122"/>
      <c r="L79" s="122"/>
      <c r="M79" s="122"/>
      <c r="N79" s="122"/>
      <c r="O79" s="122"/>
      <c r="P79" s="122"/>
      <c r="Q79" s="122"/>
      <c r="R79" s="122"/>
      <c r="S79" s="71"/>
      <c r="T79" s="71"/>
      <c r="U79" s="71"/>
      <c r="V79" s="71"/>
    </row>
    <row r="80" spans="1:22">
      <c r="A80" s="3" t="s">
        <v>119</v>
      </c>
      <c r="B80" s="100">
        <f>B79</f>
        <v>46147</v>
      </c>
      <c r="C80" s="124">
        <f>IF(C79=I79,2,IF(C79=J79,1,0))</f>
        <v>0</v>
      </c>
      <c r="D80" s="124"/>
      <c r="E80" s="122"/>
      <c r="F80" s="122"/>
      <c r="G80" s="122"/>
      <c r="H80" s="122"/>
      <c r="I80" s="122"/>
      <c r="J80" s="122"/>
      <c r="K80" s="122"/>
      <c r="L80" s="122"/>
      <c r="M80" s="122"/>
      <c r="N80" s="122"/>
      <c r="O80" s="122"/>
      <c r="P80" s="122"/>
      <c r="Q80" s="122"/>
      <c r="R80" s="122"/>
      <c r="S80" s="71"/>
      <c r="T80" s="71"/>
      <c r="U80" s="71"/>
      <c r="V80" s="71"/>
    </row>
    <row r="81" spans="1:63">
      <c r="A81" s="3" t="str">
        <f>CONCATENATE(B65," muddati")</f>
        <v>Mikroqarz muddati</v>
      </c>
      <c r="B81" s="52">
        <v>36</v>
      </c>
      <c r="C81" s="124">
        <v>6</v>
      </c>
      <c r="D81" s="124">
        <v>12</v>
      </c>
      <c r="E81" s="122">
        <v>18</v>
      </c>
      <c r="F81" s="122">
        <v>24</v>
      </c>
      <c r="G81" s="122">
        <v>16</v>
      </c>
      <c r="H81" s="122"/>
      <c r="I81" s="122"/>
      <c r="J81" s="122"/>
      <c r="K81" s="122"/>
      <c r="L81" s="122"/>
      <c r="M81" s="122"/>
      <c r="N81" s="122"/>
      <c r="O81" s="122"/>
      <c r="P81" s="122"/>
      <c r="Q81" s="122"/>
      <c r="R81" s="122"/>
      <c r="S81" s="71"/>
      <c r="T81" s="71"/>
      <c r="U81" s="71"/>
      <c r="V81" s="71"/>
    </row>
    <row r="82" spans="1:63">
      <c r="A82" s="3" t="str">
        <f>CONCATENATE(B65," muddati QO’L BILAN KIRITILADI")</f>
        <v>Mikroqarz muddati QO’L BILAN KIRITILADI</v>
      </c>
      <c r="B82" s="171" t="s">
        <v>423</v>
      </c>
      <c r="C82" s="122"/>
      <c r="D82" s="122"/>
      <c r="E82" s="122"/>
      <c r="F82" s="122"/>
      <c r="G82" s="122"/>
      <c r="H82" s="122"/>
      <c r="I82" s="122"/>
      <c r="J82" s="122"/>
      <c r="K82" s="122"/>
      <c r="L82" s="122"/>
      <c r="M82" s="122"/>
      <c r="N82" s="122"/>
      <c r="O82" s="122"/>
      <c r="P82" s="122"/>
      <c r="Q82" s="122"/>
      <c r="R82" s="122"/>
    </row>
    <row r="83" spans="1:63" ht="30">
      <c r="A83" s="206" t="s">
        <v>341</v>
      </c>
      <c r="B83" s="171">
        <v>0</v>
      </c>
      <c r="C83" s="122"/>
      <c r="D83" s="122"/>
      <c r="E83" s="122"/>
      <c r="F83" s="122"/>
      <c r="G83" s="122"/>
      <c r="H83" s="122"/>
      <c r="I83" s="122"/>
      <c r="J83" s="122"/>
      <c r="K83" s="122"/>
      <c r="L83" s="122"/>
      <c r="M83" s="122"/>
      <c r="N83" s="122"/>
      <c r="O83" s="122"/>
      <c r="P83" s="122"/>
      <c r="Q83" s="122"/>
      <c r="R83" s="122"/>
      <c r="BJ83" s="5">
        <v>1</v>
      </c>
      <c r="BK83" s="5">
        <v>0</v>
      </c>
    </row>
    <row r="84" spans="1:63" hidden="1">
      <c r="A84" s="3" t="str">
        <f>CONCATENATE(B65," stavkasi")</f>
        <v>Mikroqarz stavkasi</v>
      </c>
      <c r="B84" s="102">
        <v>0.55000000000000004</v>
      </c>
      <c r="C84" s="122"/>
      <c r="D84" s="122"/>
      <c r="E84" s="122"/>
      <c r="F84" s="122"/>
      <c r="G84" s="122"/>
      <c r="H84" s="122"/>
      <c r="I84" s="122"/>
      <c r="J84" s="122"/>
      <c r="K84" s="122"/>
      <c r="L84" s="122"/>
      <c r="M84" s="122"/>
      <c r="N84" s="122"/>
      <c r="O84" s="122"/>
      <c r="P84" s="122"/>
      <c r="Q84" s="122"/>
      <c r="R84" s="122"/>
    </row>
    <row r="85" spans="1:63" hidden="1">
      <c r="A85" s="3" t="str">
        <f>CONCATENATE(B65," stavkasi")</f>
        <v>Mikroqarz stavkasi</v>
      </c>
      <c r="B85" s="103" t="s">
        <v>400</v>
      </c>
      <c r="C85" s="122"/>
      <c r="D85" s="122"/>
      <c r="E85" s="122"/>
      <c r="F85" s="122"/>
      <c r="G85" s="122"/>
      <c r="H85" s="122"/>
      <c r="I85" s="122"/>
      <c r="J85" s="122"/>
      <c r="K85" s="122"/>
      <c r="L85" s="122"/>
      <c r="M85" s="122"/>
      <c r="N85" s="122"/>
      <c r="O85" s="122"/>
      <c r="P85" s="122"/>
      <c r="Q85" s="122"/>
      <c r="R85" s="122"/>
    </row>
    <row r="86" spans="1:63" hidden="1">
      <c r="A86" s="3" t="str">
        <f>CONCATENATE(B65," stavkasi (so’z bilan)")</f>
        <v>Mikroqarz stavkasi (so’z bilan)</v>
      </c>
      <c r="B86" s="101"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C86" s="12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D86" s="122"/>
      <c r="E86" s="122"/>
      <c r="F86" s="122"/>
      <c r="G86" s="122"/>
      <c r="H86" s="122"/>
      <c r="I86" s="122"/>
      <c r="J86" s="122"/>
      <c r="K86" s="122"/>
      <c r="L86" s="122"/>
      <c r="M86" s="122"/>
      <c r="N86" s="122"/>
      <c r="O86" s="122"/>
      <c r="P86" s="122"/>
      <c r="Q86" s="122"/>
      <c r="R86" s="122"/>
    </row>
    <row r="87" spans="1:63" hidden="1">
      <c r="A87" s="3" t="str">
        <f>CONCATENATE("Muddati o'tgan ",B65," bo’yicha stavka")</f>
        <v>Muddati o'tgan Mikroqarz bo’yicha stavka</v>
      </c>
      <c r="B87" s="102">
        <v>1.55</v>
      </c>
      <c r="C87" s="122"/>
      <c r="D87" s="122"/>
      <c r="E87" s="122"/>
      <c r="F87" s="122"/>
      <c r="G87" s="122"/>
      <c r="H87" s="122"/>
      <c r="I87" s="122"/>
      <c r="J87" s="122"/>
      <c r="K87" s="122"/>
      <c r="L87" s="122"/>
      <c r="M87" s="122"/>
      <c r="N87" s="122"/>
      <c r="O87" s="122"/>
      <c r="P87" s="122"/>
      <c r="Q87" s="122"/>
      <c r="R87" s="122"/>
    </row>
    <row r="88" spans="1:63" hidden="1">
      <c r="A88" s="176" t="s">
        <v>117</v>
      </c>
      <c r="B88" s="103" t="s">
        <v>416</v>
      </c>
      <c r="C88" s="122"/>
      <c r="D88" s="122"/>
      <c r="E88" s="122"/>
      <c r="F88" s="122"/>
      <c r="G88" s="122"/>
      <c r="H88" s="122"/>
      <c r="I88" s="122"/>
      <c r="J88" s="122"/>
      <c r="K88" s="122"/>
      <c r="L88" s="122"/>
      <c r="M88" s="122"/>
      <c r="N88" s="122"/>
      <c r="O88" s="122"/>
      <c r="P88" s="122"/>
      <c r="Q88" s="122"/>
      <c r="R88" s="122"/>
    </row>
    <row r="89" spans="1:63" hidden="1">
      <c r="A89" s="3" t="str">
        <f>CONCATENATE("Muddati o'tgan ",B65," bo’yicha stavka")</f>
        <v>Muddati o'tgan Mikroqarz bo’yicha stavka</v>
      </c>
      <c r="B89" s="52" t="s">
        <v>414</v>
      </c>
      <c r="C89" s="124" t="s">
        <v>415</v>
      </c>
      <c r="D89" s="231" t="s">
        <v>417</v>
      </c>
      <c r="E89" s="122"/>
      <c r="F89" s="122"/>
      <c r="G89" s="122"/>
      <c r="H89" s="122"/>
      <c r="I89" s="122"/>
      <c r="J89" s="122"/>
      <c r="K89" s="122"/>
      <c r="L89" s="122"/>
      <c r="M89" s="122"/>
      <c r="N89" s="122"/>
      <c r="O89" s="122"/>
      <c r="P89" s="122"/>
      <c r="Q89" s="122"/>
      <c r="R89" s="122"/>
    </row>
    <row r="90" spans="1:63" hidden="1">
      <c r="A90" s="3" t="s">
        <v>120</v>
      </c>
      <c r="B90" s="104">
        <f>IF(B77=C77,LARGE(График!F9:F26,1),ROUND(PMT(B84/12,B81,-B75,0),-3))</f>
        <v>7599695.5399999991</v>
      </c>
      <c r="C90" s="122"/>
      <c r="D90" s="122"/>
      <c r="E90" s="122"/>
      <c r="F90" s="122"/>
      <c r="G90" s="122"/>
      <c r="H90" s="122"/>
      <c r="I90" s="122"/>
      <c r="J90" s="122"/>
      <c r="K90" s="122"/>
      <c r="L90" s="122"/>
      <c r="M90" s="122"/>
      <c r="N90" s="122"/>
      <c r="O90" s="122"/>
      <c r="P90" s="122"/>
      <c r="Q90" s="122"/>
      <c r="R90" s="122"/>
    </row>
    <row r="91" spans="1:63">
      <c r="A91" s="272" t="s">
        <v>121</v>
      </c>
      <c r="B91" s="272"/>
      <c r="C91" s="122"/>
      <c r="D91" s="122"/>
      <c r="E91" s="122"/>
      <c r="F91" s="122"/>
      <c r="G91" s="122"/>
      <c r="H91" s="122"/>
      <c r="I91" s="122"/>
      <c r="J91" s="122"/>
      <c r="K91" s="122"/>
      <c r="L91" s="122"/>
      <c r="M91" s="122"/>
      <c r="N91" s="122"/>
      <c r="O91" s="122"/>
      <c r="P91" s="122"/>
      <c r="Q91" s="122"/>
      <c r="R91" s="122"/>
    </row>
    <row r="92" spans="1:63" ht="18" hidden="1">
      <c r="A92" s="106"/>
      <c r="B92" s="163" t="s">
        <v>126</v>
      </c>
      <c r="C92" s="195" t="s">
        <v>126</v>
      </c>
      <c r="D92" s="122" t="s">
        <v>127</v>
      </c>
      <c r="E92" s="122"/>
      <c r="F92" s="122"/>
      <c r="G92" s="122"/>
      <c r="H92" s="122"/>
      <c r="I92" s="122"/>
      <c r="J92" s="122"/>
      <c r="K92" s="122"/>
      <c r="L92" s="122"/>
      <c r="M92" s="122"/>
      <c r="N92" s="122"/>
      <c r="O92" s="122"/>
      <c r="P92" s="122"/>
      <c r="Q92" s="122"/>
      <c r="R92" s="122"/>
    </row>
    <row r="93" spans="1:63" ht="18">
      <c r="A93" s="11" t="s">
        <v>132</v>
      </c>
      <c r="B93" s="163" t="s">
        <v>128</v>
      </c>
      <c r="C93" s="196" t="s">
        <v>128</v>
      </c>
      <c r="D93" s="197" t="s">
        <v>129</v>
      </c>
      <c r="E93" s="122"/>
      <c r="F93" s="122"/>
      <c r="G93" s="122"/>
      <c r="H93" s="122"/>
      <c r="I93" s="122"/>
      <c r="J93" s="122"/>
      <c r="K93" s="122"/>
      <c r="L93" s="122"/>
      <c r="M93" s="122"/>
      <c r="N93" s="122"/>
      <c r="O93" s="122"/>
      <c r="P93" s="122"/>
      <c r="Q93" s="122"/>
      <c r="R93" s="122"/>
    </row>
    <row r="94" spans="1:63" ht="36">
      <c r="A94" s="11" t="s">
        <v>133</v>
      </c>
      <c r="B94" s="163" t="s">
        <v>130</v>
      </c>
      <c r="C94" s="5" t="s">
        <v>130</v>
      </c>
      <c r="D94" s="5" t="s">
        <v>131</v>
      </c>
      <c r="E94" s="122"/>
      <c r="F94" s="122"/>
      <c r="G94" s="122"/>
      <c r="H94" s="122"/>
      <c r="I94" s="122"/>
    </row>
    <row r="95" spans="1:63" ht="36">
      <c r="A95" s="11" t="s">
        <v>134</v>
      </c>
      <c r="B95" s="163"/>
      <c r="C95" s="5"/>
      <c r="D95" s="5"/>
    </row>
    <row r="96" spans="1:63" ht="36">
      <c r="A96" s="11" t="s">
        <v>135</v>
      </c>
      <c r="B96" s="163"/>
      <c r="C96" s="5"/>
      <c r="D96" s="5"/>
    </row>
    <row r="97" spans="1:4">
      <c r="A97" s="272" t="s">
        <v>136</v>
      </c>
      <c r="B97" s="272"/>
      <c r="C97" s="5"/>
      <c r="D97" s="5"/>
    </row>
    <row r="98" spans="1:4" ht="36">
      <c r="A98" s="11" t="s">
        <v>137</v>
      </c>
      <c r="B98" s="163"/>
      <c r="C98" s="5"/>
      <c r="D98" s="5"/>
    </row>
    <row r="99" spans="1:4" ht="36">
      <c r="A99" s="11" t="s">
        <v>138</v>
      </c>
      <c r="B99" s="163"/>
      <c r="C99" s="5"/>
      <c r="D99" s="5"/>
    </row>
    <row r="100" spans="1:4" ht="18">
      <c r="A100" s="11" t="s">
        <v>139</v>
      </c>
      <c r="B100" s="172"/>
      <c r="C100" s="5"/>
      <c r="D100" s="5"/>
    </row>
    <row r="101" spans="1:4" ht="18">
      <c r="A101" s="11" t="s">
        <v>140</v>
      </c>
      <c r="B101" s="169"/>
      <c r="C101" s="5"/>
      <c r="D101" s="5"/>
    </row>
    <row r="102" spans="1:4" ht="18" hidden="1">
      <c r="A102" s="11"/>
      <c r="B102" s="163" t="str">
        <f>TEXT(B101,"ДД.ММ.ГГГГ")</f>
        <v>00.01.1900</v>
      </c>
      <c r="C102" s="5"/>
      <c r="D102" s="5"/>
    </row>
    <row r="103" spans="1:4" ht="18">
      <c r="A103" s="11"/>
      <c r="B103" s="12" t="s">
        <v>142</v>
      </c>
      <c r="C103" s="5" t="s">
        <v>141</v>
      </c>
      <c r="D103" s="5" t="s">
        <v>142</v>
      </c>
    </row>
    <row r="104" spans="1:4" ht="60">
      <c r="A104" s="214" t="s">
        <v>343</v>
      </c>
      <c r="B104" s="213" t="s">
        <v>342</v>
      </c>
      <c r="C104" s="12" t="s">
        <v>142</v>
      </c>
      <c r="D104" s="5"/>
    </row>
    <row r="105" spans="1:4" ht="30">
      <c r="A105" s="205" t="s">
        <v>364</v>
      </c>
      <c r="B105" s="12"/>
      <c r="C105" s="12"/>
      <c r="D105" s="5"/>
    </row>
    <row r="106" spans="1:4" ht="30">
      <c r="A106" s="205" t="s">
        <v>365</v>
      </c>
      <c r="B106" s="12"/>
      <c r="C106" s="12"/>
      <c r="D106" s="5"/>
    </row>
    <row r="107" spans="1:4" ht="60">
      <c r="A107" s="205" t="str">
        <f>A113</f>
        <v>Tug’ilgan sanasi (01.10.2011 y.)</v>
      </c>
      <c r="B107" s="12"/>
      <c r="C107" s="12"/>
      <c r="D107" s="5"/>
    </row>
    <row r="108" spans="1:4" ht="60">
      <c r="A108" s="205" t="str">
        <f>A114</f>
        <v>Pasport seriyasi (СА №1234567)</v>
      </c>
      <c r="B108" s="12"/>
      <c r="C108" s="12"/>
      <c r="D108" s="5"/>
    </row>
    <row r="109" spans="1:4" ht="150">
      <c r="A109" s="205" t="str">
        <f>A115</f>
        <v xml:space="preserve">Kim va qachon berilgan
(Toshkent shahri Chilonzor IIB tomonidan 2011 yil __.____)
</v>
      </c>
      <c r="B109" s="12"/>
      <c r="C109" s="12"/>
      <c r="D109" s="5"/>
    </row>
    <row r="110" spans="1:4" ht="150">
      <c r="A110" s="205" t="str">
        <f>A116</f>
        <v xml:space="preserve">doimiy ro’yhatdan o’tgan joyi
(Toshkent sh., Mirobod tumani, Nukus ko’chasi, 1 uy, 1 honadon)
</v>
      </c>
      <c r="B110" s="12"/>
      <c r="C110" s="12"/>
      <c r="D110" s="5"/>
    </row>
    <row r="111" spans="1:4" hidden="1">
      <c r="A111" s="160" t="s">
        <v>150</v>
      </c>
      <c r="B111" s="150" t="str">
        <f>IF(B93="HA",B5,B105)</f>
        <v>ANNAZAROV KAXRAMAN SADULLAYEVICH</v>
      </c>
      <c r="C111" s="178" t="str">
        <f>IF(B93="ha",B5,C105)</f>
        <v>ANNAZAROV KAXRAMAN SADULLAYEVICH</v>
      </c>
      <c r="D111" s="5"/>
    </row>
    <row r="112" spans="1:4" hidden="1">
      <c r="A112" s="160"/>
      <c r="B112" s="150" t="str">
        <f>IF(B93="HA",B7,B106)</f>
        <v>ANNAZAROV K.S.</v>
      </c>
      <c r="C112" s="178" t="str">
        <f>IF(B93="HA",B7,C106)</f>
        <v>ANNAZAROV K.S.</v>
      </c>
      <c r="D112" s="5"/>
    </row>
    <row r="113" spans="1:18" hidden="1">
      <c r="A113" s="161" t="s">
        <v>151</v>
      </c>
      <c r="B113" s="204" t="str">
        <f>IF(B93="HA",B15,B107)</f>
        <v>30.01.1973 y</v>
      </c>
      <c r="C113" s="178" t="str">
        <f>IF(B93="HA",B15,C107)</f>
        <v>30.01.1973 y</v>
      </c>
      <c r="D113" s="5"/>
    </row>
    <row r="114" spans="1:18" hidden="1">
      <c r="A114" s="161" t="s">
        <v>61</v>
      </c>
      <c r="B114" s="204" t="str">
        <f>IF(B93="HA",B16,B108)</f>
        <v>AD 2849628</v>
      </c>
      <c r="C114" s="178" t="str">
        <f>IF(B93="HA",B16,C108)</f>
        <v>AD 2849628</v>
      </c>
      <c r="D114" s="5"/>
    </row>
    <row r="115" spans="1:18" ht="30" hidden="1" customHeight="1">
      <c r="A115" s="161" t="s">
        <v>64</v>
      </c>
      <c r="B115" s="150" t="str">
        <f>IF(B93="HA",B20,B109)</f>
        <v>IIV 35233 tomonidan 23.03.2023 yilda berilgan</v>
      </c>
      <c r="C115" s="150" t="str">
        <f>IF(B93="HA",B20,C109)</f>
        <v>IIV 35233 tomonidan 23.03.2023 yilda berilgan</v>
      </c>
      <c r="D115" s="77">
        <v>493193762</v>
      </c>
    </row>
    <row r="116" spans="1:18" ht="53.25" hidden="1" customHeight="1">
      <c r="A116" s="161" t="s">
        <v>66</v>
      </c>
      <c r="B116" s="150" t="str">
        <f>IF(B93="HA",B22,B110)</f>
        <v>QORAQALPOG'ISTON RESPUBLIKASI TO'RTKO'L TUMANI YOSHLIK MFY KALTAMINAR KO'CHASI 1B-UY</v>
      </c>
      <c r="C116" s="150" t="str">
        <f>IF(B93="HA",B22,C110)</f>
        <v>QORAQALPOG'ISTON RESPUBLIKASI TO'RTKO'L TUMANI YOSHLIK MFY KALTAMINAR KO'CHASI 1B-UY</v>
      </c>
      <c r="D116" s="5"/>
    </row>
    <row r="117" spans="1:18">
      <c r="A117" s="161" t="s">
        <v>152</v>
      </c>
      <c r="B117" s="220" t="str">
        <f>IF(B93="ha",B5,B111)</f>
        <v>ANNAZAROV KAXRAMAN SADULLAYEVICH</v>
      </c>
      <c r="C117" s="222" t="str">
        <f>IF(B93="ha",B5,C111)</f>
        <v>ANNAZAROV KAXRAMAN SADULLAYEVICH</v>
      </c>
    </row>
    <row r="118" spans="1:18">
      <c r="A118" s="161"/>
      <c r="B118" s="220" t="str">
        <f>IF(B93="ha",B7,B112)</f>
        <v>ANNAZAROV K.S.</v>
      </c>
      <c r="C118" s="222" t="str">
        <f>IF(B93="да",B7,C112)</f>
        <v>ANNAZAROV K.S.</v>
      </c>
    </row>
    <row r="119" spans="1:18">
      <c r="A119" s="3" t="s">
        <v>151</v>
      </c>
      <c r="B119" s="220" t="str">
        <f>IF(B93="ha",B15,B113)</f>
        <v>30.01.1973 y</v>
      </c>
      <c r="C119" s="222" t="str">
        <f>IF(B93="да",B15,C113)</f>
        <v>30.01.1973 y</v>
      </c>
    </row>
    <row r="120" spans="1:18">
      <c r="A120" s="3" t="s">
        <v>61</v>
      </c>
      <c r="B120" s="220" t="str">
        <f>IF(B93="ha",B16,B114)</f>
        <v>AD 2849628</v>
      </c>
      <c r="C120" s="222" t="str">
        <f>IF(B93="да",B16,C114)</f>
        <v>AD 2849628</v>
      </c>
    </row>
    <row r="121" spans="1:18" ht="45">
      <c r="A121" s="3" t="s">
        <v>64</v>
      </c>
      <c r="B121" s="220" t="str">
        <f>IF(B93="ha",B20,B115)</f>
        <v>IIV 35233 tomonidan 23.03.2023 yilda berilgan</v>
      </c>
      <c r="C121" s="222" t="str">
        <f>IF(B93="да",B20,C115)</f>
        <v>IIV 35233 tomonidan 23.03.2023 yilda berilgan</v>
      </c>
    </row>
    <row r="122" spans="1:18" ht="45">
      <c r="A122" s="3" t="s">
        <v>66</v>
      </c>
      <c r="B122" s="221" t="str">
        <f>B22</f>
        <v>QORAQALPOG'ISTON RESPUBLIKASI TO'RTKO'L TUMANI YOSHLIK MFY KALTAMINAR KO'CHASI 1B-UY</v>
      </c>
      <c r="C122" s="223" t="str">
        <f>IF(B93="да",B28,C116)</f>
        <v>QORAQALPOG'ISTON RESPUBLIKASI TO'RTKO'L TUMANI YOSHLIK MFY KALTAMINAR KO'CHASI 1B-UY</v>
      </c>
    </row>
    <row r="123" spans="1:18" ht="28.5" customHeight="1">
      <c r="A123" s="3" t="s">
        <v>153</v>
      </c>
      <c r="B123" s="52"/>
      <c r="C123" s="220" t="str">
        <f>B22</f>
        <v>QORAQALPOG'ISTON RESPUBLIKASI TO'RTKO'L TUMANI YOSHLIK MFY KALTAMINAR KO'CHASI 1B-UY</v>
      </c>
      <c r="N123" s="4" t="str">
        <f>IF(B103=C103,B117,IF(B103=D103,C117,0))</f>
        <v>ANNAZAROV KAXRAMAN SADULLAYEVICH</v>
      </c>
    </row>
    <row r="124" spans="1:18" ht="45">
      <c r="A124" s="3" t="s">
        <v>154</v>
      </c>
      <c r="B124" s="52"/>
      <c r="C124" s="239" t="s">
        <v>432</v>
      </c>
      <c r="D124" s="57" t="s">
        <v>146</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21.75" customHeight="1">
      <c r="A125" s="3" t="s">
        <v>155</v>
      </c>
      <c r="B125" s="52"/>
      <c r="C125" s="238" t="s">
        <v>405</v>
      </c>
      <c r="D125" s="94"/>
      <c r="E125" s="95" t="str">
        <f>IF($C$129=$D$129,I125,IF($C$129=$E$129,H125,0))</f>
        <v xml:space="preserve">Yakka tartibdagi turarjoy - </v>
      </c>
      <c r="F125" s="179" t="str">
        <f>IF($C$129=$D$129,I125,IF($C$129=$E$129,H125,0))</f>
        <v xml:space="preserve">Yakka tartibdagi turarjoy - </v>
      </c>
      <c r="G125" s="95"/>
      <c r="H125" s="95" t="str">
        <f>"Yakka tartibdagi turarjoy"&amp;D126&amp;" - "</f>
        <v xml:space="preserve">Yakka tartibdagi turarjoy - </v>
      </c>
      <c r="I125" s="95" t="str">
        <f>""&amp;D126&amp;" - xonali yakka tartibdagi uy-joy"</f>
        <v xml:space="preserve"> - xonali yakka tartibdagi uy-joy</v>
      </c>
      <c r="J125" s="95"/>
      <c r="K125" s="95"/>
      <c r="L125" s="95"/>
      <c r="M125" s="95"/>
      <c r="N125" s="4" t="str">
        <f>IF(B93=C93,Q126,IF(B93=D93,Q125,0))</f>
        <v>Микрофинансовой организацией и Заемщиком</v>
      </c>
      <c r="Q125" s="4" t="str">
        <f>"Микрофинансовой организацией, Заемщиком и "&amp;IF(B94=D94,Q124,IF(B94=C94,B111,0))&amp;""</f>
        <v>Микрофинансовой организацией, Заемщиком и ANNAZAROV KAXRAMAN SADULLAYEVICH</v>
      </c>
      <c r="R125" s="4" t="str">
        <f>"Mikromoliya tashkiloti, Qarz oluvchi va "&amp;IF(B94=D94,R124,IF(B94=C94,B111))&amp;""</f>
        <v>Mikromoliya tashkiloti, Qarz oluvchi va ANNAZAROV KAXRAMAN SADULLAYEVICH</v>
      </c>
    </row>
    <row r="126" spans="1:18">
      <c r="A126" s="3" t="s">
        <v>156</v>
      </c>
      <c r="B126" s="162"/>
      <c r="C126" s="105" t="str">
        <f>C125</f>
        <v>Yakka tartibdagi uy-joy</v>
      </c>
      <c r="D126" s="105"/>
      <c r="E126" s="95" t="str">
        <f>IF($C$129=$D$129,I126,IF($C$129=$E$129,H126,0))</f>
        <v xml:space="preserve"> umumiy yer maydoni - 704, qurilish osti maydoni- 149,81, umumiy foydali maydoni - 213,72 yashash maydoni - 108,36</v>
      </c>
      <c r="F126" s="179" t="str">
        <f>IF($C$129=$D$129,I126,IF($C$129=$E$129,H126,0))</f>
        <v xml:space="preserve"> umumiy yer maydoni - 704, qurilish osti maydoni- 149,81, umumiy foydali maydoni - 213,72 yashash maydoni - 108,36</v>
      </c>
      <c r="G126" s="95"/>
      <c r="H126" s="95" t="str">
        <f>" umumiy yer maydoni - "&amp;C134&amp;", qurilish osti maydoni- "&amp;C133&amp;", umumiy foydali maydoni - "&amp;C130&amp;" yashash maydoni - "&amp;C131&amp;""</f>
        <v xml:space="preserve"> umumiy yer maydoni - 704, qurilish osti maydoni- 149,81, umumiy foydali maydoni - 213,72 yashash maydoni - 108,36</v>
      </c>
      <c r="I126" s="95" t="str">
        <f>"yer uchastkasi maydoni - "&amp;C133&amp;", umumiy maydoni - "&amp;C130&amp;", foydalanish maydoni - "&amp;C133&amp;""</f>
        <v>yer uchastkasi maydoni - 149,81, umumiy maydoni - 213,72, foydalanish maydoni - 149,81</v>
      </c>
      <c r="J126" s="95"/>
      <c r="K126" s="95"/>
      <c r="L126" s="95"/>
      <c r="M126" s="95"/>
      <c r="N126" s="4" t="str">
        <f>IF(B93=C93,R126,IF(B93=D93,R125,0))</f>
        <v>Mikromoliya tashkiloti va Qarz oluvchi</v>
      </c>
      <c r="Q126" s="4" t="s">
        <v>48</v>
      </c>
      <c r="R126" s="4" t="s">
        <v>145</v>
      </c>
    </row>
    <row r="127" spans="1:18" ht="27" customHeight="1">
      <c r="A127" s="3" t="s">
        <v>157</v>
      </c>
      <c r="B127" s="92" t="str">
        <f>"kuzov turi - "&amp;B128&amp;", kuzov raqami "&amp;B129&amp;""</f>
        <v xml:space="preserve">kuzov turi - , kuzov raqami </v>
      </c>
      <c r="C127" s="239" t="s">
        <v>431</v>
      </c>
      <c r="D127" s="57" t="s">
        <v>21</v>
      </c>
    </row>
    <row r="128" spans="1:18">
      <c r="A128" s="84" t="s">
        <v>158</v>
      </c>
      <c r="B128" s="52"/>
      <c r="C128" s="152"/>
      <c r="D128" s="57"/>
    </row>
    <row r="129" spans="1:5">
      <c r="A129" s="84" t="s">
        <v>159</v>
      </c>
      <c r="B129" s="52"/>
      <c r="C129" s="242" t="s">
        <v>147</v>
      </c>
      <c r="D129" s="180"/>
      <c r="E129" s="5" t="s">
        <v>147</v>
      </c>
    </row>
    <row r="130" spans="1:5" ht="27" customHeight="1">
      <c r="A130" s="3" t="s">
        <v>160</v>
      </c>
      <c r="B130" s="92" t="str">
        <f>"dvigatel raqami "&amp;B131&amp;", shassi raqami - "&amp;B132&amp;""</f>
        <v xml:space="preserve">dvigatel raqami , shassi raqami - </v>
      </c>
      <c r="C130" s="235">
        <v>213.72</v>
      </c>
      <c r="D130" s="4" t="s">
        <v>409</v>
      </c>
    </row>
    <row r="131" spans="1:5">
      <c r="A131" s="84" t="s">
        <v>161</v>
      </c>
      <c r="B131" s="107"/>
      <c r="C131" s="235">
        <v>108.36</v>
      </c>
      <c r="D131" s="4" t="s">
        <v>397</v>
      </c>
    </row>
    <row r="132" spans="1:5">
      <c r="A132" s="84" t="s">
        <v>162</v>
      </c>
      <c r="B132" s="52"/>
      <c r="C132" s="54"/>
    </row>
    <row r="133" spans="1:5" ht="25.5" customHeight="1">
      <c r="A133" s="3" t="s">
        <v>163</v>
      </c>
      <c r="B133" s="92" t="str">
        <f>"rangi -  "&amp;B134&amp;", ishlab chiqarilgan yili - "&amp;B135&amp;""</f>
        <v xml:space="preserve">rangi -  , ishlab chiqarilgan yili - </v>
      </c>
      <c r="C133" s="240">
        <v>149.81</v>
      </c>
      <c r="D133" s="4" t="s">
        <v>402</v>
      </c>
    </row>
    <row r="134" spans="1:5">
      <c r="A134" s="84" t="s">
        <v>164</v>
      </c>
      <c r="B134" s="52"/>
      <c r="C134" s="235">
        <v>704</v>
      </c>
      <c r="D134" s="4" t="s">
        <v>406</v>
      </c>
    </row>
    <row r="135" spans="1:5">
      <c r="A135" s="84" t="s">
        <v>165</v>
      </c>
      <c r="B135" s="68"/>
      <c r="C135" s="54"/>
    </row>
    <row r="136" spans="1:5" hidden="1">
      <c r="A136" s="3" t="s">
        <v>166</v>
      </c>
      <c r="B136" s="24">
        <f>B75*1.4</f>
        <v>140000000</v>
      </c>
      <c r="C136" s="24">
        <f>B136</f>
        <v>140000000</v>
      </c>
    </row>
    <row r="137" spans="1:5" ht="27.75" hidden="1" customHeight="1">
      <c r="A137" s="211"/>
      <c r="B137" s="63"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qirq million so'm</v>
      </c>
      <c r="C137" s="173" t="str">
        <f>B137</f>
        <v>yuz qirq million so'm</v>
      </c>
    </row>
    <row r="138" spans="1:5" ht="27.75" hidden="1" customHeight="1">
      <c r="A138" s="3"/>
      <c r="B138" s="173" t="str">
        <f>B137</f>
        <v>yuz qirq million so'm</v>
      </c>
      <c r="C138" s="85"/>
    </row>
    <row r="139" spans="1:5" ht="20.25">
      <c r="A139" s="3" t="s">
        <v>339</v>
      </c>
      <c r="B139" s="63"/>
    </row>
    <row r="140" spans="1:5">
      <c r="A140" s="3" t="s">
        <v>366</v>
      </c>
      <c r="B140" s="52"/>
    </row>
    <row r="141" spans="1:5">
      <c r="A141" s="3" t="s">
        <v>148</v>
      </c>
      <c r="B141" s="2" t="s">
        <v>143</v>
      </c>
      <c r="C141" s="4">
        <v>1</v>
      </c>
    </row>
    <row r="142" spans="1:5" hidden="1">
      <c r="A142" s="3" t="s">
        <v>149</v>
      </c>
      <c r="B142" s="8" t="str">
        <f>B70</f>
        <v>3 aprel 2026 y.</v>
      </c>
      <c r="C142" s="53" t="str">
        <f>B70</f>
        <v>3 aprel 2026 y.</v>
      </c>
    </row>
    <row r="143" spans="1:5" hidden="1">
      <c r="A143" s="3"/>
      <c r="B143" s="1">
        <f>YEAR(B67)</f>
        <v>2026</v>
      </c>
      <c r="C143" s="53"/>
    </row>
    <row r="144" spans="1:5" hidden="1">
      <c r="A144" s="3"/>
      <c r="B144" s="177" t="str">
        <f>D67</f>
        <v>aprel</v>
      </c>
      <c r="C144" s="53"/>
    </row>
    <row r="145" spans="1:3" hidden="1">
      <c r="A145" s="3"/>
      <c r="B145" s="1">
        <f>DAY(B67)</f>
        <v>3</v>
      </c>
      <c r="C145" s="53"/>
    </row>
    <row r="146" spans="1:3">
      <c r="A146" s="272" t="s">
        <v>347</v>
      </c>
      <c r="B146" s="272"/>
    </row>
    <row r="147" spans="1:3">
      <c r="A147" s="3" t="s">
        <v>167</v>
      </c>
      <c r="B147" s="1" t="s">
        <v>374</v>
      </c>
    </row>
    <row r="148" spans="1:3">
      <c r="A148" s="3"/>
      <c r="B148" s="1" t="s">
        <v>374</v>
      </c>
    </row>
    <row r="149" spans="1:3">
      <c r="A149" s="3"/>
      <c r="B149" s="1" t="s">
        <v>374</v>
      </c>
    </row>
    <row r="150" spans="1:3">
      <c r="A150" s="3" t="s">
        <v>393</v>
      </c>
      <c r="B150" s="1" t="s">
        <v>372</v>
      </c>
    </row>
    <row r="151" spans="1:3">
      <c r="A151" s="3"/>
      <c r="B151" s="1" t="s">
        <v>373</v>
      </c>
    </row>
    <row r="152" spans="1:3">
      <c r="A152" s="3" t="s">
        <v>169</v>
      </c>
      <c r="B152" s="1" t="s">
        <v>168</v>
      </c>
    </row>
    <row r="153" spans="1:3" ht="28.5">
      <c r="A153" s="3" t="s">
        <v>170</v>
      </c>
      <c r="B153" s="1" t="s">
        <v>375</v>
      </c>
    </row>
    <row r="154" spans="1:3">
      <c r="A154" s="3" t="s">
        <v>171</v>
      </c>
      <c r="B154" s="1" t="s">
        <v>382</v>
      </c>
    </row>
    <row r="155" spans="1:3">
      <c r="A155" s="3" t="s">
        <v>172</v>
      </c>
      <c r="B155" s="1" t="s">
        <v>376</v>
      </c>
    </row>
    <row r="156" spans="1:3">
      <c r="A156" s="3" t="s">
        <v>173</v>
      </c>
      <c r="B156" s="1" t="s">
        <v>384</v>
      </c>
    </row>
    <row r="157" spans="1:3">
      <c r="A157" s="3" t="s">
        <v>174</v>
      </c>
      <c r="B157" s="2" t="s">
        <v>383</v>
      </c>
    </row>
    <row r="158" spans="1:3">
      <c r="A158" s="3" t="s">
        <v>381</v>
      </c>
      <c r="B158" s="1" t="s">
        <v>377</v>
      </c>
    </row>
    <row r="159" spans="1:3">
      <c r="A159" s="3" t="s">
        <v>175</v>
      </c>
      <c r="B159" s="1" t="s">
        <v>399</v>
      </c>
    </row>
    <row r="160" spans="1:3">
      <c r="A160" s="3" t="s">
        <v>422</v>
      </c>
      <c r="B160" s="1" t="s">
        <v>418</v>
      </c>
    </row>
    <row r="161" spans="1:2">
      <c r="A161" s="3" t="s">
        <v>370</v>
      </c>
      <c r="B161" s="1" t="s">
        <v>392</v>
      </c>
    </row>
    <row r="162" spans="1:2">
      <c r="A162" s="3" t="s">
        <v>176</v>
      </c>
      <c r="B162" s="2" t="s">
        <v>379</v>
      </c>
    </row>
    <row r="163" spans="1:2">
      <c r="A163" s="3" t="s">
        <v>177</v>
      </c>
      <c r="B163" s="2" t="s">
        <v>380</v>
      </c>
    </row>
    <row r="164" spans="1:2">
      <c r="A164" s="3" t="s">
        <v>178</v>
      </c>
      <c r="B164" s="1" t="str">
        <f>B1</f>
        <v>№310-TR</v>
      </c>
    </row>
    <row r="165" spans="1:2">
      <c r="A165" s="3" t="s">
        <v>179</v>
      </c>
      <c r="B165" s="8" t="str">
        <f>B70</f>
        <v>3 aprel 2026 y.</v>
      </c>
    </row>
  </sheetData>
  <mergeCells count="6">
    <mergeCell ref="A146:B146"/>
    <mergeCell ref="A97:B97"/>
    <mergeCell ref="A4:B4"/>
    <mergeCell ref="A57:B57"/>
    <mergeCell ref="A64:B64"/>
    <mergeCell ref="A91:B91"/>
  </mergeCells>
  <dataValidations count="13">
    <dataValidation type="list" allowBlank="1" showInputMessage="1" showErrorMessage="1" sqref="B30">
      <formula1>$C$30:$D$30</formula1>
    </dataValidation>
    <dataValidation type="list" allowBlank="1" showInputMessage="1" showErrorMessage="1" sqref="B93">
      <formula1>$C$93:$D$93</formula1>
    </dataValidation>
    <dataValidation type="list" allowBlank="1" showInputMessage="1" showErrorMessage="1" sqref="B103">
      <formula1>$C$103:$D$103</formula1>
    </dataValidation>
    <dataValidation type="list" allowBlank="1" showInputMessage="1" showErrorMessage="1" sqref="B77">
      <formula1>$C$77:$D$77</formula1>
    </dataValidation>
    <dataValidation type="list" allowBlank="1" showInputMessage="1" showErrorMessage="1" sqref="C129">
      <formula1>$D$129:$E$129</formula1>
    </dataValidation>
    <dataValidation type="list" allowBlank="1" showInputMessage="1" showErrorMessage="1" sqref="B92">
      <formula1>$C$92:$D$92</formula1>
    </dataValidation>
    <dataValidation type="list" allowBlank="1" showInputMessage="1" showErrorMessage="1" sqref="B94">
      <formula1>$C$94:$D$94</formula1>
    </dataValidation>
    <dataValidation type="list" allowBlank="1" showInputMessage="1" showErrorMessage="1" sqref="B23">
      <formula1>$C$23:$D$23</formula1>
    </dataValidation>
    <dataValidation type="list" allowBlank="1" showInputMessage="1" showErrorMessage="1" sqref="B29">
      <formula1>$C$29:$F$29</formula1>
    </dataValidation>
    <dataValidation type="list" allowBlank="1" showInputMessage="1" showErrorMessage="1" sqref="B24">
      <formula1>$C$24:$D$24</formula1>
    </dataValidation>
    <dataValidation type="list" allowBlank="1" showInputMessage="1" showErrorMessage="1" sqref="B83">
      <formula1>$BJ$83:$BK$83</formula1>
    </dataValidation>
    <dataValidation type="list" allowBlank="1" showInputMessage="1" showErrorMessage="1" sqref="B6">
      <formula1>$C$6:$D$6</formula1>
    </dataValidation>
    <dataValidation type="list" allowBlank="1" showInputMessage="1" showErrorMessage="1" sqref="B44">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theme="1"/>
  </sheetPr>
  <dimension ref="A1:H76"/>
  <sheetViews>
    <sheetView view="pageBreakPreview" topLeftCell="A24" zoomScaleSheetLayoutView="100" workbookViewId="0">
      <selection activeCell="G56" sqref="G56"/>
    </sheetView>
  </sheetViews>
  <sheetFormatPr defaultColWidth="9.140625" defaultRowHeight="15" outlineLevelCol="1"/>
  <cols>
    <col min="1" max="1" width="9.140625" style="18"/>
    <col min="2" max="2" width="10.140625" style="18" bestFit="1" customWidth="1"/>
    <col min="3" max="3" width="16.5703125" style="18" customWidth="1"/>
    <col min="4" max="5" width="15.7109375" style="18" bestFit="1" customWidth="1"/>
    <col min="6" max="6" width="20.85546875" style="18" customWidth="1"/>
    <col min="7" max="7" width="10.140625" style="18" customWidth="1" outlineLevel="1"/>
    <col min="8" max="16384" width="9.140625" style="18"/>
  </cols>
  <sheetData>
    <row r="1" spans="1:8">
      <c r="A1" s="40"/>
      <c r="B1" s="40"/>
      <c r="C1" s="40"/>
      <c r="D1" s="40"/>
      <c r="E1" s="283" t="s">
        <v>15</v>
      </c>
      <c r="F1" s="283"/>
    </row>
    <row r="2" spans="1:8">
      <c r="A2" s="40"/>
      <c r="B2" s="40"/>
      <c r="C2" s="40"/>
      <c r="D2" s="40"/>
      <c r="E2" s="40"/>
      <c r="F2" s="41" t="str">
        <f>"к договору микрозайма "&amp;'Общие данные'!B74&amp;""</f>
        <v>к договору микрозайма 3 aprel 2026 y.dan №310-TR</v>
      </c>
    </row>
    <row r="3" spans="1:8" ht="6.75" customHeight="1">
      <c r="A3" s="40"/>
      <c r="B3" s="40"/>
      <c r="C3" s="40"/>
      <c r="D3" s="40"/>
      <c r="E3" s="40"/>
      <c r="F3" s="40"/>
    </row>
    <row r="4" spans="1:8">
      <c r="A4" s="284" t="s">
        <v>16</v>
      </c>
      <c r="B4" s="284"/>
      <c r="C4" s="284"/>
      <c r="D4" s="284"/>
      <c r="E4" s="284"/>
      <c r="F4" s="284"/>
    </row>
    <row r="5" spans="1:8" ht="7.5" customHeight="1"/>
    <row r="6" spans="1:8">
      <c r="A6" s="285" t="s">
        <v>14</v>
      </c>
      <c r="B6" s="286" t="s">
        <v>8</v>
      </c>
      <c r="C6" s="286" t="s">
        <v>9</v>
      </c>
      <c r="D6" s="287" t="s">
        <v>10</v>
      </c>
      <c r="E6" s="287"/>
      <c r="F6" s="287"/>
    </row>
    <row r="7" spans="1:8" s="19" customFormat="1" ht="30">
      <c r="A7" s="285"/>
      <c r="B7" s="286"/>
      <c r="C7" s="286"/>
      <c r="D7" s="20" t="s">
        <v>11</v>
      </c>
      <c r="E7" s="20" t="s">
        <v>12</v>
      </c>
      <c r="F7" s="20" t="s">
        <v>13</v>
      </c>
    </row>
    <row r="8" spans="1:8">
      <c r="A8" s="21">
        <v>1</v>
      </c>
      <c r="B8" s="36">
        <f>'График дифференц'!B8</f>
        <v>46147</v>
      </c>
      <c r="C8" s="37">
        <f>'Общие данные'!B75</f>
        <v>100000000</v>
      </c>
      <c r="D8" s="37">
        <f>IF(A8&lt;'Общие данные'!$B$81,'График аннуитет.'!F8-'График аннуитет.'!E8,'График аннуитет.'!C8)</f>
        <v>2777777.7799999993</v>
      </c>
      <c r="E8" s="37">
        <f>ROUND(C8*'Общие данные'!$B$84/H8,2)*'График аннуитет.'!G8</f>
        <v>4821917.76</v>
      </c>
      <c r="F8" s="37">
        <f>'Общие данные'!B90</f>
        <v>7599695.5399999991</v>
      </c>
      <c r="G8" s="18">
        <f>B8-'Общие данные'!B67</f>
        <v>32</v>
      </c>
      <c r="H8" s="18">
        <f>DATE(YEAR(B8),12,31)-DATE(YEAR(B8),1,1)+1</f>
        <v>365</v>
      </c>
    </row>
    <row r="9" spans="1:8">
      <c r="A9" s="21">
        <v>2</v>
      </c>
      <c r="B9" s="36">
        <f>'График дифференц'!B9</f>
        <v>46178</v>
      </c>
      <c r="C9" s="37">
        <f>C8-D8</f>
        <v>97222222.219999999</v>
      </c>
      <c r="D9" s="37">
        <f>IF(A9&lt;'Общие данные'!$B$81,'График аннуитет.'!F9-'График аннуитет.'!E9,'График аннуитет.'!C9)</f>
        <v>3058219.0999999996</v>
      </c>
      <c r="E9" s="37">
        <f>ROUND(C9*'Общие данные'!$B$84/H9,2)*'График аннуитет.'!G9</f>
        <v>4541476.4399999995</v>
      </c>
      <c r="F9" s="37">
        <f>IF(A9&lt;'Общие данные'!$B$81,'График аннуитет.'!F8,'График аннуитет.'!D9+'График аннуитет.'!E9)</f>
        <v>7599695.5399999991</v>
      </c>
      <c r="G9" s="18">
        <f>B9-B8</f>
        <v>31</v>
      </c>
      <c r="H9" s="18">
        <f t="shared" ref="H9:H31" si="0">DATE(YEAR(B9),12,31)-DATE(YEAR(B9),1,1)+1</f>
        <v>365</v>
      </c>
    </row>
    <row r="10" spans="1:8">
      <c r="A10" s="21">
        <v>3</v>
      </c>
      <c r="B10" s="36">
        <f>'График дифференц'!B10</f>
        <v>46209</v>
      </c>
      <c r="C10" s="37">
        <f t="shared" ref="C10:C43" si="1">C9-D9</f>
        <v>94164003.120000005</v>
      </c>
      <c r="D10" s="37">
        <f>IF(A10&lt;'Общие данные'!$B$81,'График аннуитет.'!F10-'График аннуитет.'!E10,'График аннуитет.'!C10)</f>
        <v>3201075.7799999993</v>
      </c>
      <c r="E10" s="37">
        <f>ROUND(C10*'Общие данные'!$B$84/H10,2)*'График аннуитет.'!G10</f>
        <v>4398619.76</v>
      </c>
      <c r="F10" s="37">
        <f>IF(A10&lt;'Общие данные'!$B$81,'График аннуитет.'!F9,'График аннуитет.'!D10+'График аннуитет.'!E10)</f>
        <v>7599695.5399999991</v>
      </c>
      <c r="G10" s="18">
        <f t="shared" ref="G10:G24" si="2">B10-B9</f>
        <v>31</v>
      </c>
      <c r="H10" s="18">
        <f t="shared" si="0"/>
        <v>365</v>
      </c>
    </row>
    <row r="11" spans="1:8">
      <c r="A11" s="21">
        <v>4</v>
      </c>
      <c r="B11" s="36">
        <f>'График дифференц'!B11</f>
        <v>46239</v>
      </c>
      <c r="C11" s="37">
        <f t="shared" si="1"/>
        <v>90962927.340000004</v>
      </c>
      <c r="D11" s="37">
        <f>IF(A11&lt;'Общие данные'!$B$81,'График аннуитет.'!F11-'График аннуитет.'!E11,'График аннуитет.'!C11)</f>
        <v>3487672.9399999985</v>
      </c>
      <c r="E11" s="37">
        <f>ROUND(C11*'Общие данные'!$B$84/H11,2)*'График аннуитет.'!G11</f>
        <v>4112022.6000000006</v>
      </c>
      <c r="F11" s="37">
        <f>IF(A11&lt;'Общие данные'!$B$81,'График аннуитет.'!F10,'График аннуитет.'!D11+'График аннуитет.'!E11)</f>
        <v>7599695.5399999991</v>
      </c>
      <c r="G11" s="18">
        <f t="shared" si="2"/>
        <v>30</v>
      </c>
      <c r="H11" s="18">
        <f t="shared" si="0"/>
        <v>365</v>
      </c>
    </row>
    <row r="12" spans="1:8">
      <c r="A12" s="21">
        <v>5</v>
      </c>
      <c r="B12" s="36">
        <f>'График дифференц'!B12</f>
        <v>46272</v>
      </c>
      <c r="C12" s="37">
        <f t="shared" si="1"/>
        <v>87475254.400000006</v>
      </c>
      <c r="D12" s="37">
        <f>IF(A12&lt;'Общие данные'!$B$81,'График аннуитет.'!F12-'График аннуитет.'!E12,'График аннуитет.'!C12)</f>
        <v>3249898.5499999989</v>
      </c>
      <c r="E12" s="37">
        <f>ROUND(C12*'Общие данные'!$B$84/H12,2)*'График аннуитет.'!G12</f>
        <v>4349796.99</v>
      </c>
      <c r="F12" s="37">
        <f>IF(A12&lt;'Общие данные'!$B$81,'График аннуитет.'!F11,'График аннуитет.'!D12+'График аннуитет.'!E12)</f>
        <v>7599695.5399999991</v>
      </c>
      <c r="G12" s="18">
        <f t="shared" si="2"/>
        <v>33</v>
      </c>
      <c r="H12" s="18">
        <f t="shared" si="0"/>
        <v>365</v>
      </c>
    </row>
    <row r="13" spans="1:8">
      <c r="A13" s="21">
        <v>6</v>
      </c>
      <c r="B13" s="36">
        <f>'График дифференц'!B13</f>
        <v>46300</v>
      </c>
      <c r="C13" s="37">
        <f t="shared" si="1"/>
        <v>84225355.850000009</v>
      </c>
      <c r="D13" s="37">
        <f>IF(A13&lt;'Общие данные'!$B$81,'График аннуитет.'!F13-'График аннуитет.'!E13,'График аннуитет.'!C13)</f>
        <v>4046077.7799999993</v>
      </c>
      <c r="E13" s="37">
        <f>ROUND(C13*'Общие данные'!$B$84/H13,2)*'График аннуитет.'!G13</f>
        <v>3553617.76</v>
      </c>
      <c r="F13" s="37">
        <f>IF(A13&lt;'Общие данные'!$B$81,'График аннуитет.'!F12,'График аннуитет.'!D13+'График аннуитет.'!E13)</f>
        <v>7599695.5399999991</v>
      </c>
      <c r="G13" s="18">
        <f t="shared" si="2"/>
        <v>28</v>
      </c>
      <c r="H13" s="18">
        <f t="shared" si="0"/>
        <v>365</v>
      </c>
    </row>
    <row r="14" spans="1:8">
      <c r="A14" s="21">
        <v>7</v>
      </c>
      <c r="B14" s="36">
        <f>'График дифференц'!B14</f>
        <v>46331</v>
      </c>
      <c r="C14" s="37">
        <f t="shared" si="1"/>
        <v>80179278.070000008</v>
      </c>
      <c r="D14" s="37">
        <f>IF(A14&lt;'Общие данные'!$B$81,'График аннуитет.'!F14-'График аннуитет.'!E14,'График аннуитет.'!C14)</f>
        <v>3854334.7499999991</v>
      </c>
      <c r="E14" s="37">
        <f>ROUND(C14*'Общие данные'!$B$84/H14,2)*'График аннуитет.'!G14</f>
        <v>3745360.79</v>
      </c>
      <c r="F14" s="37">
        <f>IF(A14&lt;'Общие данные'!$B$81,'График аннуитет.'!F13,'График аннуитет.'!D14+'График аннуитет.'!E14)</f>
        <v>7599695.5399999991</v>
      </c>
      <c r="G14" s="18">
        <f t="shared" si="2"/>
        <v>31</v>
      </c>
      <c r="H14" s="18">
        <f t="shared" si="0"/>
        <v>365</v>
      </c>
    </row>
    <row r="15" spans="1:8">
      <c r="A15" s="21">
        <v>8</v>
      </c>
      <c r="B15" s="36">
        <f>'График дифференц'!B15</f>
        <v>46363</v>
      </c>
      <c r="C15" s="37">
        <f t="shared" si="1"/>
        <v>76324943.320000008</v>
      </c>
      <c r="D15" s="37">
        <f>IF(A15&lt;'Общие данные'!$B$81,'График аннуитет.'!F15-'График аннуитет.'!E15,'График аннуитет.'!C15)</f>
        <v>3919369.459999999</v>
      </c>
      <c r="E15" s="37">
        <f>ROUND(C15*'Общие данные'!$B$84/H15,2)*'График аннуитет.'!G15</f>
        <v>3680326.08</v>
      </c>
      <c r="F15" s="37">
        <f>IF(A15&lt;'Общие данные'!$B$81,'График аннуитет.'!F14,'График аннуитет.'!D15+'График аннуитет.'!E15)</f>
        <v>7599695.5399999991</v>
      </c>
      <c r="G15" s="18">
        <f t="shared" si="2"/>
        <v>32</v>
      </c>
      <c r="H15" s="18">
        <f t="shared" si="0"/>
        <v>365</v>
      </c>
    </row>
    <row r="16" spans="1:8">
      <c r="A16" s="21">
        <v>9</v>
      </c>
      <c r="B16" s="36">
        <f>'График дифференц'!B16</f>
        <v>46392</v>
      </c>
      <c r="C16" s="37">
        <f t="shared" si="1"/>
        <v>72405573.860000014</v>
      </c>
      <c r="D16" s="37">
        <f>IF(A16&lt;'Общие данные'!$B$81,'График аннуитет.'!F16-'График аннуитет.'!E16,'График аннуитет.'!C16)</f>
        <v>4435671.129999999</v>
      </c>
      <c r="E16" s="37">
        <f>ROUND(C16*'Общие данные'!$B$84/H16,2)*'График аннуитет.'!G16</f>
        <v>3164024.4099999997</v>
      </c>
      <c r="F16" s="37">
        <f>IF(A16&lt;'Общие данные'!$B$81,'График аннуитет.'!F15,'График аннуитет.'!D16+'График аннуитет.'!E16)</f>
        <v>7599695.5399999991</v>
      </c>
      <c r="G16" s="18">
        <f t="shared" si="2"/>
        <v>29</v>
      </c>
      <c r="H16" s="18">
        <f t="shared" si="0"/>
        <v>365</v>
      </c>
    </row>
    <row r="17" spans="1:8">
      <c r="A17" s="21">
        <v>10</v>
      </c>
      <c r="B17" s="36">
        <f>'График дифференц'!B17</f>
        <v>46423</v>
      </c>
      <c r="C17" s="37">
        <f t="shared" si="1"/>
        <v>67969902.730000019</v>
      </c>
      <c r="D17" s="37">
        <f>IF(A17&lt;'Общие данные'!$B$81,'График аннуитет.'!F17-'График аннуитет.'!E17,'График аннуитет.'!C17)</f>
        <v>4424663.1399999987</v>
      </c>
      <c r="E17" s="37">
        <f>ROUND(C17*'Общие данные'!$B$84/H17,2)*'График аннуитет.'!G17</f>
        <v>3175032.4</v>
      </c>
      <c r="F17" s="37">
        <f>IF(A17&lt;'Общие данные'!$B$81,'График аннуитет.'!F16,'График аннуитет.'!D17+'График аннуитет.'!E17)</f>
        <v>7599695.5399999991</v>
      </c>
      <c r="G17" s="18">
        <f t="shared" si="2"/>
        <v>31</v>
      </c>
      <c r="H17" s="18">
        <f t="shared" si="0"/>
        <v>365</v>
      </c>
    </row>
    <row r="18" spans="1:8">
      <c r="A18" s="21">
        <v>11</v>
      </c>
      <c r="B18" s="36">
        <f>'График дифференц'!B18</f>
        <v>46451</v>
      </c>
      <c r="C18" s="37">
        <f t="shared" si="1"/>
        <v>63545239.590000018</v>
      </c>
      <c r="D18" s="37">
        <f>IF(A18&lt;'Общие данные'!$B$81,'График аннуитет.'!F18-'График аннуитет.'!E18,'График аннуитет.'!C18)</f>
        <v>4918608.7399999984</v>
      </c>
      <c r="E18" s="37">
        <f>ROUND(C18*'Общие данные'!$B$84/H18,2)*'График аннуитет.'!G18</f>
        <v>2681086.8000000003</v>
      </c>
      <c r="F18" s="37">
        <f>IF(A18&lt;'Общие данные'!$B$81,'График аннуитет.'!F17,'График аннуитет.'!D18+'График аннуитет.'!E18)</f>
        <v>7599695.5399999991</v>
      </c>
      <c r="G18" s="18">
        <f t="shared" si="2"/>
        <v>28</v>
      </c>
      <c r="H18" s="18">
        <f t="shared" si="0"/>
        <v>365</v>
      </c>
    </row>
    <row r="19" spans="1:8">
      <c r="A19" s="21">
        <v>12</v>
      </c>
      <c r="B19" s="36">
        <f>'График дифференц'!B19</f>
        <v>46482</v>
      </c>
      <c r="C19" s="37">
        <f t="shared" si="1"/>
        <v>58626630.850000024</v>
      </c>
      <c r="D19" s="37">
        <f>IF(A19&lt;'Общие данные'!$B$81,'График аннуитет.'!F19-'График аннуитет.'!E19,'График аннуитет.'!C19)</f>
        <v>4861109.0399999991</v>
      </c>
      <c r="E19" s="37">
        <f>ROUND(C19*'Общие данные'!$B$84/H19,2)*'График аннуитет.'!G19</f>
        <v>2738586.5</v>
      </c>
      <c r="F19" s="37">
        <f>IF(A19&lt;'Общие данные'!$B$81,'График аннуитет.'!F18,'График аннуитет.'!D19+'График аннуитет.'!E19)</f>
        <v>7599695.5399999991</v>
      </c>
      <c r="G19" s="18">
        <f>B19-B18</f>
        <v>31</v>
      </c>
      <c r="H19" s="18">
        <f t="shared" si="0"/>
        <v>365</v>
      </c>
    </row>
    <row r="20" spans="1:8">
      <c r="A20" s="21">
        <v>13</v>
      </c>
      <c r="B20" s="36">
        <f>'График дифференц'!B20</f>
        <v>46512</v>
      </c>
      <c r="C20" s="37">
        <f t="shared" si="1"/>
        <v>53765521.810000025</v>
      </c>
      <c r="D20" s="37">
        <f>IF(A20&lt;'Общие данные'!$B$81,'График аннуитет.'!F20-'График аннуитет.'!E20,'График аннуитет.'!C20)</f>
        <v>5169199.34</v>
      </c>
      <c r="E20" s="37">
        <f>ROUND(C20*'Общие данные'!$B$84/H20,2)*'График аннуитет.'!G20</f>
        <v>2430496.1999999997</v>
      </c>
      <c r="F20" s="37">
        <f>IF(A20&lt;'Общие данные'!$B$81,'График аннуитет.'!F19,'График аннуитет.'!D20+'График аннуитет.'!E20)</f>
        <v>7599695.5399999991</v>
      </c>
      <c r="G20" s="18">
        <f t="shared" si="2"/>
        <v>30</v>
      </c>
      <c r="H20" s="18">
        <f t="shared" si="0"/>
        <v>365</v>
      </c>
    </row>
    <row r="21" spans="1:8">
      <c r="A21" s="21">
        <v>14</v>
      </c>
      <c r="B21" s="36">
        <f>'График дифференц'!B21</f>
        <v>46545</v>
      </c>
      <c r="C21" s="37">
        <f t="shared" si="1"/>
        <v>48596322.470000029</v>
      </c>
      <c r="D21" s="37">
        <f>IF(A21&lt;'Общие данные'!$B$81,'График аннуитет.'!F21-'График аннуитет.'!E21,'График аннуитет.'!C21)</f>
        <v>5183193.3199999994</v>
      </c>
      <c r="E21" s="37">
        <f>ROUND(C21*'Общие данные'!$B$84/H21,2)*'График аннуитет.'!G21</f>
        <v>2416502.2199999997</v>
      </c>
      <c r="F21" s="37">
        <f>IF(A21&lt;'Общие данные'!$B$81,'График аннуитет.'!F20,'График аннуитет.'!D21+'График аннуитет.'!E21)</f>
        <v>7599695.5399999991</v>
      </c>
      <c r="G21" s="18">
        <f t="shared" si="2"/>
        <v>33</v>
      </c>
      <c r="H21" s="18">
        <f t="shared" si="0"/>
        <v>365</v>
      </c>
    </row>
    <row r="22" spans="1:8">
      <c r="A22" s="21">
        <v>15</v>
      </c>
      <c r="B22" s="36">
        <f>'График дифференц'!B22</f>
        <v>46573</v>
      </c>
      <c r="C22" s="37">
        <f t="shared" si="1"/>
        <v>43413129.150000028</v>
      </c>
      <c r="D22" s="37">
        <f>IF(A22&lt;'Общие данные'!$B$81,'График аннуитет.'!F22-'График аннуитет.'!E22,'График аннуитет.'!C22)</f>
        <v>5768018.419999999</v>
      </c>
      <c r="E22" s="37">
        <f>ROUND(C22*'Общие данные'!$B$84/H22,2)*'График аннуитет.'!G22</f>
        <v>1831677.12</v>
      </c>
      <c r="F22" s="37">
        <f>IF(A22&lt;'Общие данные'!$B$81,'График аннуитет.'!F21,'График аннуитет.'!D22+'График аннуитет.'!E22)</f>
        <v>7599695.5399999991</v>
      </c>
      <c r="G22" s="18">
        <f t="shared" si="2"/>
        <v>28</v>
      </c>
      <c r="H22" s="18">
        <f t="shared" si="0"/>
        <v>365</v>
      </c>
    </row>
    <row r="23" spans="1:8">
      <c r="A23" s="21">
        <v>16</v>
      </c>
      <c r="B23" s="36">
        <f>'График дифференц'!B23</f>
        <v>46604</v>
      </c>
      <c r="C23" s="37">
        <f t="shared" si="1"/>
        <v>37645110.730000027</v>
      </c>
      <c r="D23" s="37">
        <f>IF(A23&lt;'Общие данные'!$B$81,'График аннуитет.'!F23-'График аннуитет.'!E23,'График аннуитет.'!C23)</f>
        <v>5841204.7299999986</v>
      </c>
      <c r="E23" s="37">
        <f>ROUND(C23*'Общие данные'!$B$84/H23,2)*'График аннуитет.'!G23</f>
        <v>1758490.81</v>
      </c>
      <c r="F23" s="37">
        <f>IF(A23&lt;'Общие данные'!$B$81,'График аннуитет.'!F22,'График аннуитет.'!D23+'График аннуитет.'!E23)</f>
        <v>7599695.5399999991</v>
      </c>
      <c r="G23" s="18">
        <f t="shared" si="2"/>
        <v>31</v>
      </c>
      <c r="H23" s="18">
        <f t="shared" si="0"/>
        <v>365</v>
      </c>
    </row>
    <row r="24" spans="1:8">
      <c r="A24" s="21">
        <v>17</v>
      </c>
      <c r="B24" s="36">
        <f>'График дифференц'!B24</f>
        <v>46636</v>
      </c>
      <c r="C24" s="37">
        <f t="shared" si="1"/>
        <v>31803906.00000003</v>
      </c>
      <c r="D24" s="37">
        <f>IF(A24&lt;'Общие данные'!$B$81,'График аннуитет.'!F24-'График аннуитет.'!E24,'График аннуитет.'!C24)</f>
        <v>6066137.459999999</v>
      </c>
      <c r="E24" s="37">
        <f>ROUND(C24*'Общие данные'!$B$84/H24,2)*'График аннуитет.'!G24</f>
        <v>1533558.08</v>
      </c>
      <c r="F24" s="37">
        <f>IF(A24&lt;'Общие данные'!$B$81,'График аннуитет.'!F23,'График аннуитет.'!D24+'График аннуитет.'!E24)</f>
        <v>7599695.5399999991</v>
      </c>
      <c r="G24" s="18">
        <f t="shared" si="2"/>
        <v>32</v>
      </c>
      <c r="H24" s="18">
        <f t="shared" si="0"/>
        <v>365</v>
      </c>
    </row>
    <row r="25" spans="1:8">
      <c r="A25" s="21">
        <v>18</v>
      </c>
      <c r="B25" s="36">
        <f>'График дифференц'!B25</f>
        <v>46665</v>
      </c>
      <c r="C25" s="37">
        <f t="shared" si="1"/>
        <v>25737768.540000029</v>
      </c>
      <c r="D25" s="37">
        <f>IF(A25&lt;'Общие данные'!$B$81,'График аннуитет.'!F25-'График аннуитет.'!E25,'График аннуитет.'!C25)</f>
        <v>6474990.2799999993</v>
      </c>
      <c r="E25" s="37">
        <f>ROUND(C25*'Общие данные'!$B$84/H25,2)*'График аннуитет.'!G25</f>
        <v>1124705.26</v>
      </c>
      <c r="F25" s="37">
        <f>IF(A25&lt;'Общие данные'!$B$81,'График аннуитет.'!F24,'График аннуитет.'!D25+'График аннуитет.'!E25)</f>
        <v>7599695.5399999991</v>
      </c>
      <c r="G25" s="18">
        <f>B25-B24</f>
        <v>29</v>
      </c>
      <c r="H25" s="18">
        <f t="shared" si="0"/>
        <v>365</v>
      </c>
    </row>
    <row r="26" spans="1:8">
      <c r="A26" s="21">
        <v>19</v>
      </c>
      <c r="B26" s="36">
        <f>'График дифференц'!B26</f>
        <v>46696</v>
      </c>
      <c r="C26" s="37">
        <f t="shared" si="1"/>
        <v>19262778.260000028</v>
      </c>
      <c r="D26" s="37">
        <f>IF(A26&lt;'Общие данные'!$B$81,'График аннуитет.'!F26-'График аннуитет.'!E26,'График аннуитет.'!C26)</f>
        <v>6699886.4399999995</v>
      </c>
      <c r="E26" s="37">
        <f>ROUND(C26*'Общие данные'!$B$84/H26,2)*'График аннуитет.'!G26</f>
        <v>899809.1</v>
      </c>
      <c r="F26" s="37">
        <f>IF(A26&lt;'Общие данные'!$B$81,'График аннуитет.'!F25,'График аннуитет.'!D26+'График аннуитет.'!E26)</f>
        <v>7599695.5399999991</v>
      </c>
      <c r="G26" s="18">
        <f t="shared" ref="G26:G31" si="3">B26-B25</f>
        <v>31</v>
      </c>
      <c r="H26" s="18">
        <f t="shared" si="0"/>
        <v>365</v>
      </c>
    </row>
    <row r="27" spans="1:8">
      <c r="A27" s="21">
        <v>20</v>
      </c>
      <c r="B27" s="36">
        <f>'График дифференц'!B27</f>
        <v>46727</v>
      </c>
      <c r="C27" s="37">
        <f t="shared" si="1"/>
        <v>12562891.820000028</v>
      </c>
      <c r="D27" s="37">
        <f>IF(A27&lt;'Общие данные'!$B$81,'График аннуитет.'!F27-'График аннуитет.'!E27,'График аннуитет.'!C27)</f>
        <v>7012853.7599999988</v>
      </c>
      <c r="E27" s="37">
        <f>ROUND(C27*'Общие данные'!$B$84/H27,2)*'График аннуитет.'!G27</f>
        <v>586841.78</v>
      </c>
      <c r="F27" s="37">
        <f>IF(A27&lt;'Общие данные'!$B$81,'График аннуитет.'!F26,'График аннуитет.'!D27+'График аннуитет.'!E27)</f>
        <v>7599695.5399999991</v>
      </c>
      <c r="G27" s="18">
        <f t="shared" si="3"/>
        <v>31</v>
      </c>
      <c r="H27" s="18">
        <f t="shared" si="0"/>
        <v>365</v>
      </c>
    </row>
    <row r="28" spans="1:8">
      <c r="A28" s="21">
        <v>21</v>
      </c>
      <c r="B28" s="36">
        <f>'График дифференц'!B28</f>
        <v>46757</v>
      </c>
      <c r="C28" s="37">
        <f t="shared" si="1"/>
        <v>5550038.0600000294</v>
      </c>
      <c r="D28" s="37">
        <f>IF(A28&lt;'Общие данные'!$B$81,'График аннуитет.'!F28-'График аннуитет.'!E28,'График аннуитет.'!C28)</f>
        <v>7349488.9399999995</v>
      </c>
      <c r="E28" s="37">
        <f>ROUND(C28*'Общие данные'!$B$84/H28,2)*'График аннуитет.'!G28</f>
        <v>250206.59999999998</v>
      </c>
      <c r="F28" s="37">
        <f>IF(A28&lt;'Общие данные'!$B$81,'График аннуитет.'!F27,'График аннуитет.'!D28+'График аннуитет.'!E28)</f>
        <v>7599695.5399999991</v>
      </c>
      <c r="G28" s="18">
        <f t="shared" si="3"/>
        <v>30</v>
      </c>
      <c r="H28" s="18">
        <f t="shared" si="0"/>
        <v>366</v>
      </c>
    </row>
    <row r="29" spans="1:8">
      <c r="A29" s="21">
        <v>22</v>
      </c>
      <c r="B29" s="36">
        <f>'График дифференц'!B29</f>
        <v>46790</v>
      </c>
      <c r="C29" s="37">
        <f t="shared" si="1"/>
        <v>-1799450.8799999701</v>
      </c>
      <c r="D29" s="37">
        <f>IF(A29&lt;'Общие данные'!$B$81,'График аннуитет.'!F29-'График аннуитет.'!E29,'График аннуитет.'!C29)</f>
        <v>7688930.5099999988</v>
      </c>
      <c r="E29" s="37">
        <f>ROUND(C29*'Общие данные'!$B$84/H29,2)*'График аннуитет.'!G29</f>
        <v>-89234.97</v>
      </c>
      <c r="F29" s="37">
        <f>IF(A29&lt;'Общие данные'!$B$81,'График аннуитет.'!F28,'График аннуитет.'!D29+'График аннуитет.'!E29)</f>
        <v>7599695.5399999991</v>
      </c>
      <c r="G29" s="18">
        <f t="shared" si="3"/>
        <v>33</v>
      </c>
      <c r="H29" s="18">
        <f t="shared" si="0"/>
        <v>366</v>
      </c>
    </row>
    <row r="30" spans="1:8">
      <c r="A30" s="21">
        <v>23</v>
      </c>
      <c r="B30" s="36">
        <f>'График дифференц'!B30</f>
        <v>46818</v>
      </c>
      <c r="C30" s="37">
        <f t="shared" si="1"/>
        <v>-9488381.3899999689</v>
      </c>
      <c r="D30" s="37">
        <f>IF(A30&lt;'Общие данные'!$B$81,'График аннуитет.'!F30-'График аннуитет.'!E30,'График аннуитет.'!C30)</f>
        <v>7998933.5399999991</v>
      </c>
      <c r="E30" s="37">
        <f>ROUND(C30*'Общие данные'!$B$84/H30,2)*'График аннуитет.'!G30</f>
        <v>-399238</v>
      </c>
      <c r="F30" s="37">
        <f>IF(A30&lt;'Общие данные'!$B$81,'График аннуитет.'!F29,'График аннуитет.'!D30+'График аннуитет.'!E30)</f>
        <v>7599695.5399999991</v>
      </c>
      <c r="G30" s="18">
        <f t="shared" si="3"/>
        <v>28</v>
      </c>
      <c r="H30" s="18">
        <f t="shared" si="0"/>
        <v>366</v>
      </c>
    </row>
    <row r="31" spans="1:8">
      <c r="A31" s="21">
        <v>24</v>
      </c>
      <c r="B31" s="36">
        <f>'График дифференц'!B31</f>
        <v>46848</v>
      </c>
      <c r="C31" s="37">
        <f t="shared" si="1"/>
        <v>-17487314.92999997</v>
      </c>
      <c r="D31" s="37">
        <f>IF(A31&lt;'Общие данные'!$B$81,'График аннуитет.'!F31-'График аннуитет.'!E31,'График аннуитет.'!C31)</f>
        <v>8388058.0399999991</v>
      </c>
      <c r="E31" s="37">
        <f>ROUND(C31*'Общие данные'!$B$84/H31,2)*'График аннуитет.'!G31</f>
        <v>-788362.5</v>
      </c>
      <c r="F31" s="37">
        <f>IF(A31&lt;'Общие данные'!$B$81,'График аннуитет.'!F30,'График аннуитет.'!D31+'График аннуитет.'!E31)</f>
        <v>7599695.5399999991</v>
      </c>
      <c r="G31" s="18">
        <f t="shared" si="3"/>
        <v>30</v>
      </c>
      <c r="H31" s="18">
        <f t="shared" si="0"/>
        <v>366</v>
      </c>
    </row>
    <row r="32" spans="1:8">
      <c r="A32" s="21">
        <f>1+A31</f>
        <v>25</v>
      </c>
      <c r="B32" s="36">
        <f>'График дифференц'!B32</f>
        <v>46878</v>
      </c>
      <c r="C32" s="37">
        <f t="shared" si="1"/>
        <v>-25875372.969999969</v>
      </c>
      <c r="D32" s="37">
        <f>IF(A32&lt;'Общие данные'!$B$81,'График аннуитет.'!F32-'График аннуитет.'!E32,'График аннуитет.'!C32)</f>
        <v>8766208.3399999999</v>
      </c>
      <c r="E32" s="37">
        <f>ROUND(C32*'Общие данные'!$B$84/H32,2)*'График аннуитет.'!G32</f>
        <v>-1166512.8</v>
      </c>
      <c r="F32" s="37">
        <f>IF(A32&lt;'Общие данные'!$B$81,'График аннуитет.'!F31,'График аннуитет.'!D32+'График аннуитет.'!E32)</f>
        <v>7599695.5399999991</v>
      </c>
      <c r="G32" s="18">
        <f t="shared" ref="G32:G43" si="4">B32-B31</f>
        <v>30</v>
      </c>
      <c r="H32" s="18">
        <f t="shared" ref="H32:H43" si="5">DATE(YEAR(B32),12,31)-DATE(YEAR(B32),1,1)+1</f>
        <v>366</v>
      </c>
    </row>
    <row r="33" spans="1:8">
      <c r="A33" s="21">
        <f t="shared" ref="A33:A55" si="6">1+A32</f>
        <v>26</v>
      </c>
      <c r="B33" s="36">
        <f>'График дифференц'!B33</f>
        <v>46909</v>
      </c>
      <c r="C33" s="37">
        <f t="shared" si="1"/>
        <v>-34641581.309999973</v>
      </c>
      <c r="D33" s="37">
        <f>IF(A33&lt;'Общие данные'!$B$81,'График аннуитет.'!F33-'График аннуитет.'!E33,'График аннуитет.'!C33)</f>
        <v>9213463.1599999983</v>
      </c>
      <c r="E33" s="37">
        <f>ROUND(C33*'Общие данные'!$B$84/H33,2)*'График аннуитет.'!G33</f>
        <v>-1613767.6199999999</v>
      </c>
      <c r="F33" s="37">
        <f>IF(A33&lt;'Общие данные'!$B$81,'График аннуитет.'!F32,'График аннуитет.'!D33+'График аннуитет.'!E33)</f>
        <v>7599695.5399999991</v>
      </c>
      <c r="G33" s="18">
        <f t="shared" si="4"/>
        <v>31</v>
      </c>
      <c r="H33" s="18">
        <f t="shared" si="5"/>
        <v>366</v>
      </c>
    </row>
    <row r="34" spans="1:8">
      <c r="A34" s="21">
        <f t="shared" si="6"/>
        <v>27</v>
      </c>
      <c r="B34" s="36">
        <f>'График дифференц'!B34</f>
        <v>46939</v>
      </c>
      <c r="C34" s="37">
        <f t="shared" si="1"/>
        <v>-43855044.469999969</v>
      </c>
      <c r="D34" s="37">
        <f>IF(A34&lt;'Общие данные'!$B$81,'График аннуитет.'!F34-'График аннуитет.'!E34,'График аннуитет.'!C34)</f>
        <v>9576767.2399999984</v>
      </c>
      <c r="E34" s="37">
        <f>ROUND(C34*'Общие данные'!$B$84/H34,2)*'График аннуитет.'!G34</f>
        <v>-1977071.7</v>
      </c>
      <c r="F34" s="37">
        <f>IF(A34&lt;'Общие данные'!$B$81,'График аннуитет.'!F33,'График аннуитет.'!D34+'График аннуитет.'!E34)</f>
        <v>7599695.5399999991</v>
      </c>
      <c r="G34" s="18">
        <f t="shared" si="4"/>
        <v>30</v>
      </c>
      <c r="H34" s="18">
        <f t="shared" si="5"/>
        <v>366</v>
      </c>
    </row>
    <row r="35" spans="1:8">
      <c r="A35" s="21">
        <f t="shared" si="6"/>
        <v>28</v>
      </c>
      <c r="B35" s="36">
        <f>'График дифференц'!B35</f>
        <v>46972</v>
      </c>
      <c r="C35" s="37">
        <f t="shared" si="1"/>
        <v>-53431811.709999964</v>
      </c>
      <c r="D35" s="37">
        <f>IF(A35&lt;'Общие данные'!$B$81,'График аннуитет.'!F35-'График аннуитет.'!E35,'График аннуитет.'!C35)</f>
        <v>10249387.969999999</v>
      </c>
      <c r="E35" s="37">
        <f>ROUND(C35*'Общие данные'!$B$84/H35,2)*'График аннуитет.'!G35</f>
        <v>-2649692.4300000002</v>
      </c>
      <c r="F35" s="37">
        <f>IF(A35&lt;'Общие данные'!$B$81,'График аннуитет.'!F34,'График аннуитет.'!D35+'График аннуитет.'!E35)</f>
        <v>7599695.5399999991</v>
      </c>
      <c r="G35" s="18">
        <f t="shared" si="4"/>
        <v>33</v>
      </c>
      <c r="H35" s="18">
        <f t="shared" si="5"/>
        <v>366</v>
      </c>
    </row>
    <row r="36" spans="1:8">
      <c r="A36" s="21">
        <f t="shared" si="6"/>
        <v>29</v>
      </c>
      <c r="B36" s="36">
        <f>'График дифференц'!B36</f>
        <v>47001</v>
      </c>
      <c r="C36" s="37">
        <f t="shared" si="1"/>
        <v>-63681199.679999962</v>
      </c>
      <c r="D36" s="37">
        <f>IF(A36&lt;'Общие данные'!$B$81,'График аннуитет.'!F36-'График аннуитет.'!E36,'График аннуитет.'!C36)</f>
        <v>10374873.449999999</v>
      </c>
      <c r="E36" s="37">
        <f>ROUND(C36*'Общие данные'!$B$84/H36,2)*'График аннуитет.'!G36</f>
        <v>-2775177.9099999997</v>
      </c>
      <c r="F36" s="37">
        <f>IF(A36&lt;'Общие данные'!$B$81,'График аннуитет.'!F35,'График аннуитет.'!D36+'График аннуитет.'!E36)</f>
        <v>7599695.5399999991</v>
      </c>
      <c r="G36" s="18">
        <f t="shared" si="4"/>
        <v>29</v>
      </c>
      <c r="H36" s="18">
        <f t="shared" si="5"/>
        <v>366</v>
      </c>
    </row>
    <row r="37" spans="1:8">
      <c r="A37" s="21">
        <f t="shared" si="6"/>
        <v>30</v>
      </c>
      <c r="B37" s="36">
        <f>'График дифференц'!B37</f>
        <v>47031</v>
      </c>
      <c r="C37" s="37">
        <f t="shared" si="1"/>
        <v>-74056073.129999965</v>
      </c>
      <c r="D37" s="37">
        <f>IF(A37&lt;'Общие данные'!$B$81,'График аннуитет.'!F37-'График аннуитет.'!E37,'График аннуитет.'!C37)</f>
        <v>10938289.039999999</v>
      </c>
      <c r="E37" s="37">
        <f>ROUND(C37*'Общие данные'!$B$84/H37,2)*'График аннуитет.'!G37</f>
        <v>-3338593.5</v>
      </c>
      <c r="F37" s="37">
        <f>IF(A37&lt;'Общие данные'!$B$81,'График аннуитет.'!F36,'График аннуитет.'!D37+'График аннуитет.'!E37)</f>
        <v>7599695.5399999991</v>
      </c>
      <c r="G37" s="18">
        <f t="shared" si="4"/>
        <v>30</v>
      </c>
      <c r="H37" s="18">
        <f t="shared" si="5"/>
        <v>366</v>
      </c>
    </row>
    <row r="38" spans="1:8">
      <c r="A38" s="21">
        <f t="shared" si="6"/>
        <v>31</v>
      </c>
      <c r="B38" s="36">
        <f>'График дифференц'!B38</f>
        <v>47063</v>
      </c>
      <c r="C38" s="37">
        <f t="shared" si="1"/>
        <v>-84994362.169999957</v>
      </c>
      <c r="D38" s="37">
        <f>IF(A38&lt;'Общие данные'!$B$81,'График аннуитет.'!F38-'График аннуитет.'!E38,'График аннуитет.'!C38)</f>
        <v>11686856.18</v>
      </c>
      <c r="E38" s="37">
        <f>ROUND(C38*'Общие данные'!$B$84/H38,2)*'График аннуитет.'!G38</f>
        <v>-4087160.64</v>
      </c>
      <c r="F38" s="37">
        <f>IF(A38&lt;'Общие данные'!$B$81,'График аннуитет.'!F37,'График аннуитет.'!D38+'График аннуитет.'!E38)</f>
        <v>7599695.5399999991</v>
      </c>
      <c r="G38" s="18">
        <f t="shared" si="4"/>
        <v>32</v>
      </c>
      <c r="H38" s="18">
        <f t="shared" si="5"/>
        <v>366</v>
      </c>
    </row>
    <row r="39" spans="1:8">
      <c r="A39" s="21">
        <f t="shared" si="6"/>
        <v>32</v>
      </c>
      <c r="B39" s="36">
        <f>'График дифференц'!B39</f>
        <v>47092</v>
      </c>
      <c r="C39" s="37">
        <f t="shared" si="1"/>
        <v>-96681218.349999964</v>
      </c>
      <c r="D39" s="37">
        <f>IF(A39&lt;'Общие данные'!$B$81,'График аннуитет.'!F39-'График аннуитет.'!E39,'График аннуитет.'!C39)</f>
        <v>11812988.959999999</v>
      </c>
      <c r="E39" s="37">
        <f>ROUND(C39*'Общие данные'!$B$84/H39,2)*'График аннуитет.'!G39</f>
        <v>-4213293.42</v>
      </c>
      <c r="F39" s="37">
        <f>IF(A39&lt;'Общие данные'!$B$81,'График аннуитет.'!F38,'График аннуитет.'!D39+'График аннуитет.'!E39)</f>
        <v>7599695.5399999991</v>
      </c>
      <c r="G39" s="18">
        <f t="shared" si="4"/>
        <v>29</v>
      </c>
      <c r="H39" s="18">
        <f t="shared" si="5"/>
        <v>366</v>
      </c>
    </row>
    <row r="40" spans="1:8">
      <c r="A40" s="21">
        <f t="shared" si="6"/>
        <v>33</v>
      </c>
      <c r="B40" s="36">
        <f>'График дифференц'!B40</f>
        <v>47123</v>
      </c>
      <c r="C40" s="37">
        <f t="shared" si="1"/>
        <v>-108494207.30999996</v>
      </c>
      <c r="D40" s="37">
        <f>IF(A40&lt;'Общие данные'!$B$81,'График аннуитет.'!F40-'График аннуитет.'!E40,'График аннуитет.'!C40)</f>
        <v>12667712.559999999</v>
      </c>
      <c r="E40" s="37">
        <f>ROUND(C40*'Общие данные'!$B$84/H40,2)*'График аннуитет.'!G40</f>
        <v>-5068017.0200000005</v>
      </c>
      <c r="F40" s="37">
        <f>IF(A40&lt;'Общие данные'!$B$81,'График аннуитет.'!F39,'График аннуитет.'!D40+'График аннуитет.'!E40)</f>
        <v>7599695.5399999991</v>
      </c>
      <c r="G40" s="18">
        <f t="shared" si="4"/>
        <v>31</v>
      </c>
      <c r="H40" s="18">
        <f t="shared" si="5"/>
        <v>365</v>
      </c>
    </row>
    <row r="41" spans="1:8">
      <c r="A41" s="21">
        <f t="shared" si="6"/>
        <v>34</v>
      </c>
      <c r="B41" s="36">
        <f>'График дифференц'!B41</f>
        <v>47154</v>
      </c>
      <c r="C41" s="37">
        <f t="shared" si="1"/>
        <v>-121161919.86999996</v>
      </c>
      <c r="D41" s="37">
        <f>IF(A41&lt;'Общие данные'!$B$81,'График аннуитет.'!F41-'График аннуитет.'!E41,'График аннуитет.'!C41)</f>
        <v>13259451.1</v>
      </c>
      <c r="E41" s="37">
        <f>ROUND(C41*'Общие данные'!$B$84/H41,2)*'График аннуитет.'!G41</f>
        <v>-5659755.5600000005</v>
      </c>
      <c r="F41" s="37">
        <f>IF(A41&lt;'Общие данные'!$B$81,'График аннуитет.'!F40,'График аннуитет.'!D41+'График аннуитет.'!E41)</f>
        <v>7599695.5399999991</v>
      </c>
      <c r="G41" s="18">
        <f t="shared" si="4"/>
        <v>31</v>
      </c>
      <c r="H41" s="18">
        <f t="shared" si="5"/>
        <v>365</v>
      </c>
    </row>
    <row r="42" spans="1:8">
      <c r="A42" s="21">
        <f t="shared" si="6"/>
        <v>35</v>
      </c>
      <c r="B42" s="36">
        <f>'График дифференц'!B42</f>
        <v>47182</v>
      </c>
      <c r="C42" s="37">
        <f t="shared" si="1"/>
        <v>-134421370.96999997</v>
      </c>
      <c r="D42" s="37">
        <f>IF(A42&lt;'Общие данные'!$B$81,'График аннуитет.'!F42-'График аннуитет.'!E42,'График аннуитет.'!C42)</f>
        <v>13271172.539999999</v>
      </c>
      <c r="E42" s="37">
        <f>ROUND(C42*'Общие данные'!$B$84/H42,2)*'График аннуитет.'!G42</f>
        <v>-5671477</v>
      </c>
      <c r="F42" s="37">
        <f>IF(A42&lt;'Общие данные'!$B$81,'График аннуитет.'!F41,'График аннуитет.'!D42+'График аннуитет.'!E42)</f>
        <v>7599695.5399999991</v>
      </c>
      <c r="G42" s="18">
        <f t="shared" si="4"/>
        <v>28</v>
      </c>
      <c r="H42" s="18">
        <f t="shared" si="5"/>
        <v>365</v>
      </c>
    </row>
    <row r="43" spans="1:8">
      <c r="A43" s="21">
        <f t="shared" si="6"/>
        <v>36</v>
      </c>
      <c r="B43" s="36">
        <f>'График дифференц'!B43</f>
        <v>47211</v>
      </c>
      <c r="C43" s="37">
        <f t="shared" si="1"/>
        <v>-147692543.50999996</v>
      </c>
      <c r="D43" s="37">
        <f>IF(A43&lt;'Общие данные'!$B$81,'График аннуитет.'!F43-'График аннуитет.'!E43,'График аннуитет.'!C43)</f>
        <v>-147692543.50999996</v>
      </c>
      <c r="E43" s="37">
        <f>ROUND(C43*'Общие данные'!$B$84/H43,2)*'График аннуитет.'!G43</f>
        <v>-6453961.8899999997</v>
      </c>
      <c r="F43" s="37">
        <f>IF(A43&lt;'Общие данные'!$B$81,'График аннуитет.'!F42,'График аннуитет.'!D43+'График аннуитет.'!E43)</f>
        <v>-154146505.39999995</v>
      </c>
      <c r="G43" s="18">
        <f t="shared" si="4"/>
        <v>29</v>
      </c>
      <c r="H43" s="18">
        <f t="shared" si="5"/>
        <v>365</v>
      </c>
    </row>
    <row r="44" spans="1:8">
      <c r="A44" s="21">
        <f t="shared" si="6"/>
        <v>37</v>
      </c>
      <c r="B44" s="36" t="b">
        <f>'График дифференц'!B44</f>
        <v>0</v>
      </c>
      <c r="C44" s="51"/>
      <c r="F44" s="51"/>
    </row>
    <row r="45" spans="1:8">
      <c r="A45" s="21">
        <f t="shared" si="6"/>
        <v>38</v>
      </c>
      <c r="B45" s="36" t="b">
        <f>'График дифференц'!B45</f>
        <v>0</v>
      </c>
      <c r="C45" s="51"/>
      <c r="D45" s="51"/>
      <c r="E45" s="51"/>
      <c r="F45" s="51"/>
    </row>
    <row r="46" spans="1:8">
      <c r="A46" s="21">
        <f t="shared" si="6"/>
        <v>39</v>
      </c>
      <c r="B46" s="36" t="b">
        <f>'График дифференц'!B46</f>
        <v>0</v>
      </c>
      <c r="C46" s="51"/>
      <c r="D46" s="51"/>
      <c r="E46" s="51"/>
      <c r="F46" s="51"/>
    </row>
    <row r="47" spans="1:8">
      <c r="A47" s="21">
        <f t="shared" si="6"/>
        <v>40</v>
      </c>
      <c r="B47" s="36" t="b">
        <f>'График дифференц'!B47</f>
        <v>0</v>
      </c>
      <c r="C47" s="51"/>
      <c r="D47" s="51"/>
      <c r="E47" s="51"/>
      <c r="F47" s="51"/>
    </row>
    <row r="48" spans="1:8">
      <c r="A48" s="21">
        <f t="shared" si="6"/>
        <v>41</v>
      </c>
      <c r="B48" s="36" t="b">
        <f>'График дифференц'!B48</f>
        <v>0</v>
      </c>
      <c r="C48" s="51"/>
      <c r="D48" s="51"/>
      <c r="E48" s="51"/>
      <c r="F48" s="51"/>
    </row>
    <row r="49" spans="1:6">
      <c r="A49" s="21">
        <f t="shared" si="6"/>
        <v>42</v>
      </c>
      <c r="B49" s="36" t="b">
        <f>'График дифференц'!B49</f>
        <v>0</v>
      </c>
      <c r="C49" s="51"/>
      <c r="D49" s="51"/>
      <c r="E49" s="51"/>
      <c r="F49" s="51"/>
    </row>
    <row r="50" spans="1:6">
      <c r="A50" s="21">
        <f t="shared" si="6"/>
        <v>43</v>
      </c>
      <c r="B50" s="36" t="b">
        <f>'График дифференц'!B50</f>
        <v>0</v>
      </c>
      <c r="C50" s="51"/>
      <c r="D50" s="51"/>
      <c r="E50" s="51"/>
      <c r="F50" s="51"/>
    </row>
    <row r="51" spans="1:6">
      <c r="A51" s="21">
        <f t="shared" si="6"/>
        <v>44</v>
      </c>
      <c r="B51" s="36" t="b">
        <f>'График дифференц'!B51</f>
        <v>0</v>
      </c>
      <c r="C51" s="51"/>
      <c r="D51" s="51"/>
      <c r="E51" s="51"/>
      <c r="F51" s="51"/>
    </row>
    <row r="52" spans="1:6">
      <c r="A52" s="21">
        <f t="shared" si="6"/>
        <v>45</v>
      </c>
      <c r="B52" s="36" t="b">
        <f>'График дифференц'!B52</f>
        <v>0</v>
      </c>
      <c r="C52" s="51"/>
      <c r="D52" s="51"/>
      <c r="E52" s="51"/>
      <c r="F52" s="51"/>
    </row>
    <row r="53" spans="1:6">
      <c r="A53" s="21">
        <f t="shared" si="6"/>
        <v>46</v>
      </c>
      <c r="B53" s="36" t="b">
        <f>'График дифференц'!B53</f>
        <v>0</v>
      </c>
      <c r="C53" s="51"/>
      <c r="D53" s="51"/>
      <c r="E53" s="51"/>
      <c r="F53" s="51"/>
    </row>
    <row r="54" spans="1:6">
      <c r="A54" s="21">
        <f t="shared" si="6"/>
        <v>47</v>
      </c>
      <c r="B54" s="36" t="b">
        <f>'График дифференц'!B54</f>
        <v>0</v>
      </c>
      <c r="C54" s="51"/>
      <c r="D54" s="51"/>
      <c r="E54" s="51"/>
      <c r="F54" s="51"/>
    </row>
    <row r="55" spans="1:6">
      <c r="A55" s="21">
        <f t="shared" si="6"/>
        <v>48</v>
      </c>
      <c r="B55" s="36" t="b">
        <f>'График дифференц'!B55</f>
        <v>0</v>
      </c>
      <c r="C55" s="51"/>
      <c r="D55" s="51"/>
      <c r="E55" s="51"/>
      <c r="F55" s="51"/>
    </row>
    <row r="56" spans="1:6">
      <c r="A56" s="40"/>
      <c r="B56" s="229" t="s">
        <v>7</v>
      </c>
      <c r="C56" s="230"/>
      <c r="D56" s="51">
        <f>SUM(D8:D55)</f>
        <v>100000000</v>
      </c>
      <c r="E56" s="51">
        <f>SUM(E8:E55)</f>
        <v>11842838.499999993</v>
      </c>
      <c r="F56" s="230">
        <f>SUM(F8:F55)</f>
        <v>111842838.49999982</v>
      </c>
    </row>
    <row r="57" spans="1:6" ht="9" customHeight="1">
      <c r="B57" s="38"/>
      <c r="C57" s="39"/>
      <c r="D57" s="39"/>
      <c r="E57" s="39"/>
      <c r="F57" s="39"/>
    </row>
    <row r="58" spans="1:6" ht="47.25" customHeight="1">
      <c r="A58" s="246" t="s">
        <v>17</v>
      </c>
      <c r="B58" s="246"/>
      <c r="C58" s="246"/>
      <c r="D58" s="246"/>
      <c r="E58" s="246"/>
      <c r="F58" s="246"/>
    </row>
    <row r="59" spans="1:6" ht="7.5" customHeight="1"/>
    <row r="60" spans="1:6">
      <c r="A60" s="281" t="e">
        <f>#REF!</f>
        <v>#REF!</v>
      </c>
      <c r="B60" s="281"/>
      <c r="C60" s="281"/>
      <c r="D60" s="281" t="e">
        <f>#REF!</f>
        <v>#REF!</v>
      </c>
      <c r="E60" s="281"/>
      <c r="F60" s="281"/>
    </row>
    <row r="61" spans="1:6" ht="11.25" customHeight="1">
      <c r="A61" s="282"/>
      <c r="B61" s="282"/>
      <c r="C61" s="282"/>
      <c r="D61" s="282"/>
      <c r="E61" s="282"/>
      <c r="F61" s="282"/>
    </row>
    <row r="62" spans="1:6" ht="30" customHeight="1">
      <c r="A62" s="280" t="e">
        <f>#REF!</f>
        <v>#REF!</v>
      </c>
      <c r="B62" s="280"/>
      <c r="C62" s="280"/>
      <c r="D62" s="280" t="e">
        <f>#REF!</f>
        <v>#REF!</v>
      </c>
      <c r="E62" s="280"/>
      <c r="F62" s="280"/>
    </row>
    <row r="63" spans="1:6" ht="32.25" customHeight="1">
      <c r="A63" s="276" t="e">
        <f>#REF!</f>
        <v>#REF!</v>
      </c>
      <c r="B63" s="276"/>
      <c r="C63" s="276"/>
      <c r="D63" s="276" t="e">
        <f>#REF!</f>
        <v>#REF!</v>
      </c>
      <c r="E63" s="276"/>
      <c r="F63" s="276"/>
    </row>
    <row r="64" spans="1:6">
      <c r="A64" s="276" t="e">
        <f>#REF!</f>
        <v>#REF!</v>
      </c>
      <c r="B64" s="276"/>
      <c r="C64" s="276"/>
      <c r="D64" s="276" t="str">
        <f>"паспорт серии "&amp;'Общие данные'!B16&amp;", "&amp;'Общие данные'!B20&amp;""</f>
        <v>паспорт серии AD 2849628, IIV 35233 tomonidan 23.03.2023 yilda berilgan</v>
      </c>
      <c r="E64" s="276"/>
      <c r="F64" s="276"/>
    </row>
    <row r="65" spans="1:6" ht="32.25" customHeight="1">
      <c r="A65" s="276" t="e">
        <f>#REF!</f>
        <v>#REF!</v>
      </c>
      <c r="B65" s="276"/>
      <c r="C65" s="276"/>
      <c r="D65" s="276"/>
      <c r="E65" s="276"/>
      <c r="F65" s="276"/>
    </row>
    <row r="66" spans="1:6">
      <c r="A66" s="276" t="e">
        <f>#REF!</f>
        <v>#REF!</v>
      </c>
      <c r="B66" s="276"/>
      <c r="C66" s="276"/>
      <c r="D66" s="276" t="e">
        <f>#REF!</f>
        <v>#REF!</v>
      </c>
      <c r="E66" s="276"/>
      <c r="F66" s="276"/>
    </row>
    <row r="67" spans="1:6">
      <c r="A67" s="276" t="e">
        <f>#REF!</f>
        <v>#REF!</v>
      </c>
      <c r="B67" s="276"/>
      <c r="C67" s="276"/>
      <c r="D67" s="276" t="e">
        <f>#REF!</f>
        <v>#REF!</v>
      </c>
      <c r="E67" s="276"/>
      <c r="F67" s="276"/>
    </row>
    <row r="68" spans="1:6">
      <c r="A68" s="276" t="e">
        <f>#REF!</f>
        <v>#REF!</v>
      </c>
      <c r="B68" s="276"/>
      <c r="C68" s="276"/>
      <c r="D68" s="276" t="e">
        <f>#REF!</f>
        <v>#REF!</v>
      </c>
      <c r="E68" s="276"/>
      <c r="F68" s="276"/>
    </row>
    <row r="69" spans="1:6" ht="8.25" customHeight="1">
      <c r="A69" s="276"/>
      <c r="B69" s="276"/>
      <c r="C69" s="276"/>
      <c r="D69" s="276"/>
      <c r="E69" s="276"/>
      <c r="F69" s="276"/>
    </row>
    <row r="70" spans="1:6">
      <c r="A70" s="280" t="e">
        <f>#REF!</f>
        <v>#REF!</v>
      </c>
      <c r="B70" s="280"/>
      <c r="C70" s="280"/>
      <c r="D70" s="280" t="e">
        <f>#REF!</f>
        <v>#REF!</v>
      </c>
      <c r="E70" s="280"/>
      <c r="F70" s="280"/>
    </row>
    <row r="71" spans="1:6" ht="7.5" customHeight="1">
      <c r="A71" s="280"/>
      <c r="B71" s="280"/>
      <c r="C71" s="280"/>
      <c r="D71" s="280"/>
      <c r="E71" s="280"/>
      <c r="F71" s="280"/>
    </row>
    <row r="72" spans="1:6">
      <c r="A72" s="280" t="e">
        <f>#REF!</f>
        <v>#REF!</v>
      </c>
      <c r="B72" s="280"/>
      <c r="C72" s="280"/>
      <c r="D72" s="280" t="e">
        <f>#REF!</f>
        <v>#REF!</v>
      </c>
      <c r="E72" s="280"/>
      <c r="F72" s="280"/>
    </row>
    <row r="73" spans="1:6" ht="8.25" customHeight="1">
      <c r="A73" s="276"/>
      <c r="B73" s="276"/>
      <c r="C73" s="276"/>
      <c r="D73" s="276"/>
      <c r="E73" s="276"/>
      <c r="F73" s="276"/>
    </row>
    <row r="74" spans="1:6" ht="30" customHeight="1">
      <c r="A74" s="277"/>
      <c r="B74" s="277"/>
      <c r="C74" s="277"/>
      <c r="D74" s="278"/>
      <c r="E74" s="278"/>
      <c r="F74" s="278"/>
    </row>
    <row r="75" spans="1:6">
      <c r="A75" s="279"/>
      <c r="B75" s="279"/>
      <c r="C75" s="279"/>
      <c r="D75" s="279"/>
      <c r="E75" s="279"/>
      <c r="F75" s="279"/>
    </row>
    <row r="76" spans="1:6">
      <c r="A76" s="275"/>
      <c r="B76" s="275"/>
      <c r="C76" s="275"/>
      <c r="D76" s="275"/>
      <c r="E76" s="275"/>
      <c r="F76" s="275"/>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5" priority="5" operator="lessThan">
      <formula>22105</formula>
    </cfRule>
  </conditionalFormatting>
  <conditionalFormatting sqref="C8:C43">
    <cfRule type="cellIs" dxfId="4" priority="3" operator="lessThan">
      <formula>1</formula>
    </cfRule>
  </conditionalFormatting>
  <conditionalFormatting sqref="C8:F43">
    <cfRule type="cellIs" dxfId="3"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00B050"/>
  </sheetPr>
  <dimension ref="A1:F43"/>
  <sheetViews>
    <sheetView view="pageBreakPreview" zoomScaleSheetLayoutView="100" workbookViewId="0">
      <selection activeCell="A20" sqref="A20:F20"/>
    </sheetView>
  </sheetViews>
  <sheetFormatPr defaultColWidth="9.140625" defaultRowHeight="12.75"/>
  <cols>
    <col min="1" max="6" width="14.28515625" style="27" customWidth="1"/>
    <col min="7" max="16384" width="9.140625" style="27"/>
  </cols>
  <sheetData>
    <row r="1" spans="1:6">
      <c r="A1" s="289" t="s">
        <v>209</v>
      </c>
      <c r="B1" s="289"/>
      <c r="C1" s="289"/>
      <c r="D1" s="289"/>
      <c r="E1" s="289"/>
      <c r="F1" s="289"/>
    </row>
    <row r="2" spans="1:6" ht="35.25" customHeight="1">
      <c r="A2" s="290" t="s">
        <v>321</v>
      </c>
      <c r="B2" s="290"/>
      <c r="C2" s="290"/>
      <c r="D2" s="290"/>
      <c r="E2" s="290"/>
      <c r="F2" s="290"/>
    </row>
    <row r="3" spans="1:6">
      <c r="A3" s="289" t="s">
        <v>210</v>
      </c>
      <c r="B3" s="289"/>
      <c r="C3" s="289"/>
      <c r="D3" s="289"/>
      <c r="E3" s="289"/>
      <c r="F3" s="289"/>
    </row>
    <row r="4" spans="1:6">
      <c r="A4" s="288" t="str">
        <f>'Заключение КК'!A4:F4</f>
        <v>Mijozning to'liq ismi sharifi: ANNAZAROV KAXRAMAN SADULLAYEVICH</v>
      </c>
      <c r="B4" s="288"/>
      <c r="C4" s="288"/>
      <c r="D4" s="288"/>
      <c r="E4" s="288"/>
      <c r="F4" s="288"/>
    </row>
    <row r="5" spans="1:6">
      <c r="A5" s="288" t="str">
        <f>'Заключение КК'!A5:F5</f>
        <v>Tug'ilgan sanasi: 30.01.1973 y</v>
      </c>
      <c r="B5" s="288"/>
      <c r="C5" s="288"/>
      <c r="D5" s="288"/>
      <c r="E5" s="288"/>
      <c r="F5" s="288"/>
    </row>
    <row r="6" spans="1:6" ht="32.25" customHeight="1">
      <c r="A6" s="288" t="str">
        <f>'Заключение КК'!A6:F6</f>
        <v>Pasport seriyasi AD 2849628 IIV 35233 tomonidan 23.03.2023 yilda berilgan, amal qilish muddati - 22.03.2033 y.</v>
      </c>
      <c r="B6" s="288"/>
      <c r="C6" s="288"/>
      <c r="D6" s="288"/>
      <c r="E6" s="288"/>
      <c r="F6" s="288"/>
    </row>
    <row r="7" spans="1:6">
      <c r="A7" s="288" t="str">
        <f>"Fuqaroligi: "&amp;'Общие данные'!B32&amp;""</f>
        <v>Fuqaroligi: O’zbekiston Respublikasi</v>
      </c>
      <c r="B7" s="288"/>
      <c r="C7" s="288"/>
      <c r="D7" s="288"/>
      <c r="E7" s="288"/>
      <c r="F7" s="288"/>
    </row>
    <row r="8" spans="1:6" ht="26.25" customHeight="1">
      <c r="A8" s="288" t="str">
        <f>'Заключение КК'!A7:F7</f>
        <v>Ro‘yxatdan o‘tgan manzili: QORAQALPOG'ISTON RESPUBLIKASI TO'RTKO'L TUMANI YOSHLIK MFY KALTAMINAR KO'CHASI 1B-UY, mo'ljal: VISHKI TARAF GRAF METANNI YONIDA</v>
      </c>
      <c r="B8" s="288"/>
      <c r="C8" s="288"/>
      <c r="D8" s="288"/>
      <c r="E8" s="288"/>
      <c r="F8" s="288"/>
    </row>
    <row r="9" spans="1:6">
      <c r="A9" s="288" t="str">
        <f>IF('Общие данные'!B23="mos keladi"," ",'Анкета Клиента'!A10:F10)</f>
        <v xml:space="preserve"> </v>
      </c>
      <c r="B9" s="288"/>
      <c r="C9" s="288"/>
      <c r="D9" s="288"/>
      <c r="E9" s="288"/>
      <c r="F9" s="288"/>
    </row>
    <row r="10" spans="1:6" ht="31.5" hidden="1" customHeight="1">
      <c r="A10" s="288" t="str">
        <f>"Haqiqatdan yashash joy manzili: "&amp;'Общие данные'!B28&amp;""</f>
        <v>Haqiqatdan yashash joy manzili: QORAQALPOG'ISTON RESPUBLIKASI TO'RTKO'L TUMANI YOSHLIK MFY KALTAMINAR KO'CHASI 1B-UY</v>
      </c>
      <c r="B10" s="288"/>
      <c r="C10" s="288"/>
      <c r="D10" s="288"/>
      <c r="E10" s="288"/>
      <c r="F10" s="288"/>
    </row>
    <row r="11" spans="1:6" ht="16.5" hidden="1" customHeight="1">
      <c r="A11" s="288" t="str">
        <f>'Заключение КК'!A8:F8</f>
        <v>Ish joyi:  lavozimi Сантехника ишлариda O'Z O'ZINI BAND QILGAN FUQARO</v>
      </c>
      <c r="B11" s="288"/>
      <c r="C11" s="288"/>
      <c r="D11" s="288"/>
      <c r="E11" s="288"/>
      <c r="F11" s="288"/>
    </row>
    <row r="12" spans="1:6">
      <c r="A12" s="289" t="s">
        <v>211</v>
      </c>
      <c r="B12" s="289"/>
      <c r="C12" s="289"/>
      <c r="D12" s="289"/>
      <c r="E12" s="289"/>
      <c r="F12" s="289"/>
    </row>
    <row r="13" spans="1:6">
      <c r="A13" s="288" t="str">
        <f>"Uy telefoni raqami: "&amp;'Общие данные'!B40&amp;""</f>
        <v>Uy telefoni raqami: 93 770 26 32 KLIENT</v>
      </c>
      <c r="B13" s="288"/>
      <c r="C13" s="288"/>
      <c r="D13" s="288"/>
      <c r="E13" s="288"/>
      <c r="F13" s="288"/>
    </row>
    <row r="14" spans="1:6">
      <c r="A14" s="288" t="str">
        <f>"Uyali telefon raqami: "&amp;'Общие данные'!B41&amp;""</f>
        <v>Uyali telefon raqami: 93 369 60 50 AYOLI</v>
      </c>
      <c r="B14" s="288"/>
      <c r="C14" s="288"/>
      <c r="D14" s="288"/>
      <c r="E14" s="288"/>
      <c r="F14" s="288"/>
    </row>
    <row r="15" spans="1:6">
      <c r="A15" s="288" t="str">
        <f>"Uyali telefon raqami: "&amp;'Общие данные'!B42&amp;""</f>
        <v>Uyali telefon raqami: 94 149 90 95 UYI</v>
      </c>
      <c r="B15" s="288"/>
      <c r="C15" s="288"/>
      <c r="D15" s="288"/>
      <c r="E15" s="288"/>
      <c r="F15" s="288"/>
    </row>
    <row r="16" spans="1:6" hidden="1">
      <c r="A16" s="288" t="str">
        <f>"Uyali telefon raqami: "&amp;'Общие данные'!B42&amp;""</f>
        <v>Uyali telefon raqami: 94 149 90 95 UYI</v>
      </c>
      <c r="B16" s="288"/>
      <c r="C16" s="288"/>
      <c r="D16" s="288"/>
      <c r="E16" s="288"/>
      <c r="F16" s="288"/>
    </row>
    <row r="17" spans="1:6">
      <c r="A17" s="288" t="str">
        <f>"Ish telefoni raqami: "&amp;'Общие данные'!B43&amp;""</f>
        <v xml:space="preserve">Ish telefoni raqami: </v>
      </c>
      <c r="B17" s="288"/>
      <c r="C17" s="288"/>
      <c r="D17" s="288"/>
      <c r="E17" s="288"/>
      <c r="F17" s="288"/>
    </row>
    <row r="18" spans="1:6">
      <c r="A18" s="289" t="s">
        <v>212</v>
      </c>
      <c r="B18" s="289"/>
      <c r="C18" s="289"/>
      <c r="D18" s="289"/>
      <c r="E18" s="289"/>
      <c r="F18" s="289"/>
    </row>
    <row r="19" spans="1:6">
      <c r="A19" s="288" t="str">
        <f>"Muassasa nomlanishi:"&amp;'Общие данные'!B58&amp;""</f>
        <v>Muassasa nomlanishi:O'Z O'ZINI BAND QILGAN FUQARO MA'LUMOTNOMA № 0013068264</v>
      </c>
      <c r="B19" s="288"/>
      <c r="C19" s="288"/>
      <c r="D19" s="288"/>
      <c r="E19" s="288"/>
      <c r="F19" s="288"/>
    </row>
    <row r="20" spans="1:6">
      <c r="A20" s="288" t="str">
        <f>"Ro‘yxatdan o‘tish manzili:"&amp;'Общие данные'!B50&amp;""</f>
        <v>Ro‘yxatdan o‘tish manzili:Қорақалпоғистон Респ. Тўрткўл тумани</v>
      </c>
      <c r="B20" s="288"/>
      <c r="C20" s="288"/>
      <c r="D20" s="288"/>
      <c r="E20" s="288"/>
      <c r="F20" s="288"/>
    </row>
    <row r="21" spans="1:6">
      <c r="A21" s="288" t="str">
        <f>"Lavozimi: "&amp;'Общие данные'!B59&amp;""</f>
        <v>Lavozimi: Сантехника ишлари</v>
      </c>
      <c r="B21" s="288"/>
      <c r="C21" s="288"/>
      <c r="D21" s="288"/>
      <c r="E21" s="288"/>
      <c r="F21" s="288"/>
    </row>
    <row r="22" spans="1:6">
      <c r="A22" s="289" t="s">
        <v>213</v>
      </c>
      <c r="B22" s="291"/>
      <c r="C22" s="291"/>
      <c r="D22" s="291"/>
      <c r="E22" s="291"/>
      <c r="F22" s="291"/>
    </row>
    <row r="23" spans="1:6" s="29" customFormat="1" ht="25.5">
      <c r="A23" s="28" t="s">
        <v>214</v>
      </c>
      <c r="B23" s="28" t="s">
        <v>215</v>
      </c>
      <c r="C23" s="28" t="s">
        <v>216</v>
      </c>
      <c r="D23" s="28" t="s">
        <v>217</v>
      </c>
      <c r="E23" s="28" t="s">
        <v>218</v>
      </c>
      <c r="F23" s="28" t="s">
        <v>219</v>
      </c>
    </row>
    <row r="24" spans="1:6" ht="51">
      <c r="A24" s="30" t="s">
        <v>220</v>
      </c>
      <c r="B24" s="31">
        <f>'Общие данные'!B60</f>
        <v>15000000</v>
      </c>
      <c r="C24" s="31">
        <v>0</v>
      </c>
      <c r="D24" s="31">
        <v>0</v>
      </c>
      <c r="E24" s="30" t="s">
        <v>223</v>
      </c>
      <c r="F24" s="31">
        <v>700000</v>
      </c>
    </row>
    <row r="25" spans="1:6" ht="25.5">
      <c r="A25" s="30" t="s">
        <v>221</v>
      </c>
      <c r="B25" s="31">
        <v>0</v>
      </c>
      <c r="C25" s="31">
        <v>0</v>
      </c>
      <c r="D25" s="31">
        <v>0</v>
      </c>
      <c r="E25" s="30" t="s">
        <v>224</v>
      </c>
      <c r="F25" s="31">
        <v>500000</v>
      </c>
    </row>
    <row r="26" spans="1:6" ht="28.5" customHeight="1">
      <c r="A26" s="30" t="s">
        <v>222</v>
      </c>
      <c r="B26" s="31">
        <f>'Общие данные'!B61</f>
        <v>6000000</v>
      </c>
      <c r="C26" s="31">
        <v>0</v>
      </c>
      <c r="D26" s="31">
        <v>0</v>
      </c>
      <c r="E26" s="30" t="s">
        <v>225</v>
      </c>
      <c r="F26" s="31">
        <v>600000</v>
      </c>
    </row>
    <row r="27" spans="1:6" s="34" customFormat="1">
      <c r="A27" s="32" t="s">
        <v>201</v>
      </c>
      <c r="B27" s="33">
        <f>B24+B25+B26</f>
        <v>21000000</v>
      </c>
      <c r="C27" s="33">
        <f>SUM(C24:C26)</f>
        <v>0</v>
      </c>
      <c r="D27" s="33">
        <f>SUM(D24:D26)</f>
        <v>0</v>
      </c>
      <c r="E27" s="32"/>
      <c r="F27" s="33">
        <f>SUM(F24:F26)</f>
        <v>1800000</v>
      </c>
    </row>
    <row r="28" spans="1:6" ht="31.5" customHeight="1">
      <c r="A28" s="288" t="str">
        <f>"Men, "&amp;'Общие данные'!B5&amp;", ushbu anketada ko‘rsatilgan barcha ma'lumotlar anketa to'ldirilgan sanada  to'g'ri va aniq ekanligini tasdiqlayman."</f>
        <v>Men, ANNAZAROV KAXRAMAN SADULLAYEVICH, ushbu anketada ko‘rsatilgan barcha ma'lumotlar anketa to'ldirilgan sanada  to'g'ri va aniq ekanligini tasdiqlayman.</v>
      </c>
      <c r="B28" s="288"/>
      <c r="C28" s="288"/>
      <c r="D28" s="288"/>
      <c r="E28" s="288"/>
      <c r="F28" s="288"/>
    </row>
    <row r="29" spans="1:6">
      <c r="A29" s="288" t="str">
        <f>"Men,  "&amp;'Общие данные'!B5&amp;", quyidagilarni tan olaman va roziman::"</f>
        <v>Men,  ANNAZAROV KAXRAMAN SADULLAYEVICH, quyidagilarni tan olaman va roziman::</v>
      </c>
      <c r="B29" s="288"/>
      <c r="C29" s="288"/>
      <c r="D29" s="288"/>
      <c r="E29" s="288"/>
      <c r="F29" s="288"/>
    </row>
    <row r="30" spans="1:6" ht="45.75" customHeight="1">
      <c r="A30" s="28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88"/>
      <c r="C30" s="288"/>
      <c r="D30" s="288"/>
      <c r="E30" s="288"/>
      <c r="F30" s="288"/>
    </row>
    <row r="31" spans="1:6" ht="35.25" customHeight="1">
      <c r="A31" s="288" t="str">
        <f>"2. Mazkur anketaning "&amp;'Общие данные'!B147&amp;" tomonidan qabul qilinishi menga "&amp;'Общие данные'!B65&amp;" berish majburiyatini yuklamaydi."</f>
        <v>2. Mazkur anketaning «PULLOL BUSINESS MIKROMOLIYA TASHKILOTI»  MChJ tomonidan qabul qilinishi menga Mikroqarz berish majburiyatini yuklamaydi.</v>
      </c>
      <c r="B31" s="288"/>
      <c r="C31" s="288"/>
      <c r="D31" s="288"/>
      <c r="E31" s="288"/>
      <c r="F31" s="288"/>
    </row>
    <row r="32" spans="1:6" ht="71.25" customHeight="1">
      <c r="A32" s="288" t="s">
        <v>226</v>
      </c>
      <c r="B32" s="288"/>
      <c r="C32" s="288"/>
      <c r="D32" s="288"/>
      <c r="E32" s="288"/>
      <c r="F32" s="288"/>
    </row>
    <row r="33" spans="1:6">
      <c r="A33" s="288"/>
      <c r="B33" s="288"/>
      <c r="C33" s="288"/>
      <c r="D33" s="288"/>
      <c r="E33" s="288"/>
      <c r="F33" s="288"/>
    </row>
    <row r="34" spans="1:6" ht="12.75" customHeight="1">
      <c r="A34" s="291" t="s">
        <v>227</v>
      </c>
      <c r="B34" s="291"/>
      <c r="C34" s="291"/>
      <c r="D34" s="174" t="s">
        <v>149</v>
      </c>
      <c r="E34" s="291" t="s">
        <v>228</v>
      </c>
      <c r="F34" s="291"/>
    </row>
    <row r="35" spans="1:6" ht="25.5" customHeight="1">
      <c r="A35" s="292"/>
      <c r="B35" s="292"/>
      <c r="C35" s="292"/>
      <c r="D35" s="293" t="str">
        <f>'Общие данные'!B2</f>
        <v>03.04.2026</v>
      </c>
      <c r="E35" s="292"/>
      <c r="F35" s="292"/>
    </row>
    <row r="36" spans="1:6" ht="25.5" customHeight="1">
      <c r="A36" s="292"/>
      <c r="B36" s="292"/>
      <c r="C36" s="292"/>
      <c r="D36" s="293"/>
      <c r="E36" s="292"/>
      <c r="F36" s="292"/>
    </row>
    <row r="37" spans="1:6">
      <c r="A37" s="288"/>
      <c r="B37" s="288"/>
      <c r="C37" s="288"/>
      <c r="D37" s="288"/>
      <c r="E37" s="288"/>
      <c r="F37" s="288"/>
    </row>
    <row r="38" spans="1:6">
      <c r="A38" s="288"/>
      <c r="B38" s="288"/>
      <c r="C38" s="288"/>
      <c r="D38" s="288"/>
      <c r="E38" s="288"/>
      <c r="F38" s="288"/>
    </row>
    <row r="39" spans="1:6">
      <c r="A39" s="288"/>
      <c r="B39" s="288"/>
      <c r="C39" s="288"/>
      <c r="D39" s="288"/>
      <c r="E39" s="288"/>
      <c r="F39" s="288"/>
    </row>
    <row r="40" spans="1:6">
      <c r="A40" s="288"/>
      <c r="B40" s="288"/>
      <c r="C40" s="288"/>
      <c r="D40" s="288"/>
      <c r="E40" s="288"/>
      <c r="F40" s="288"/>
    </row>
    <row r="41" spans="1:6">
      <c r="A41" s="288"/>
      <c r="B41" s="288"/>
      <c r="C41" s="288"/>
      <c r="D41" s="288"/>
      <c r="E41" s="288"/>
      <c r="F41" s="288"/>
    </row>
    <row r="42" spans="1:6">
      <c r="A42" s="288"/>
      <c r="B42" s="288"/>
      <c r="C42" s="288"/>
      <c r="D42" s="288"/>
      <c r="E42" s="288"/>
      <c r="F42" s="288"/>
    </row>
    <row r="43" spans="1:6">
      <c r="A43" s="288"/>
      <c r="B43" s="288"/>
      <c r="C43" s="288"/>
      <c r="D43" s="288"/>
      <c r="E43" s="288"/>
      <c r="F43" s="288"/>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00B050"/>
  </sheetPr>
  <dimension ref="A2:H33"/>
  <sheetViews>
    <sheetView view="pageBreakPreview" zoomScaleNormal="100" zoomScaleSheetLayoutView="100" workbookViewId="0">
      <selection activeCell="D29" sqref="D29"/>
    </sheetView>
  </sheetViews>
  <sheetFormatPr defaultColWidth="9.140625" defaultRowHeight="15.75"/>
  <cols>
    <col min="1" max="2" width="17.42578125" style="143" customWidth="1"/>
    <col min="3" max="3" width="29.85546875" style="143" customWidth="1"/>
    <col min="4" max="4" width="18.140625" style="143" customWidth="1"/>
    <col min="5" max="5" width="6.5703125" style="143" customWidth="1"/>
    <col min="6" max="16384" width="9.140625" style="143"/>
  </cols>
  <sheetData>
    <row r="2" spans="1:5">
      <c r="A2" s="298" t="s">
        <v>229</v>
      </c>
      <c r="B2" s="298"/>
      <c r="C2" s="298"/>
      <c r="D2" s="298"/>
      <c r="E2" s="298"/>
    </row>
    <row r="3" spans="1:5">
      <c r="E3" s="142" t="str">
        <f>'Общие данные'!B68</f>
        <v>3 aprel 2026 y.</v>
      </c>
    </row>
    <row r="5" spans="1:5" s="144" customFormat="1" ht="27" customHeight="1">
      <c r="A5" s="302" t="s">
        <v>230</v>
      </c>
      <c r="B5" s="303"/>
      <c r="C5" s="299" t="str">
        <f>'Общие данные'!B8</f>
        <v>ANNAZAROV KAXRAMAN SADULLAYEVICH</v>
      </c>
      <c r="D5" s="300"/>
      <c r="E5" s="301"/>
    </row>
    <row r="7" spans="1:5" ht="15.75" customHeight="1">
      <c r="A7" s="304" t="s">
        <v>348</v>
      </c>
      <c r="B7" s="305"/>
      <c r="C7" s="306"/>
      <c r="D7" s="145" t="s">
        <v>128</v>
      </c>
      <c r="E7" s="145"/>
    </row>
    <row r="8" spans="1:5">
      <c r="A8" s="307"/>
      <c r="B8" s="308"/>
      <c r="C8" s="309"/>
      <c r="D8" s="145" t="s">
        <v>234</v>
      </c>
      <c r="E8" s="145"/>
    </row>
    <row r="9" spans="1:5" ht="15.75" customHeight="1">
      <c r="A9" s="295" t="s">
        <v>231</v>
      </c>
      <c r="B9" s="295"/>
      <c r="C9" s="295"/>
      <c r="D9" s="145" t="s">
        <v>128</v>
      </c>
      <c r="E9" s="145"/>
    </row>
    <row r="10" spans="1:5">
      <c r="A10" s="295"/>
      <c r="B10" s="295"/>
      <c r="C10" s="295"/>
      <c r="D10" s="145" t="s">
        <v>234</v>
      </c>
      <c r="E10" s="145"/>
    </row>
    <row r="11" spans="1:5" ht="15.75" customHeight="1">
      <c r="A11" s="295" t="s">
        <v>232</v>
      </c>
      <c r="B11" s="295"/>
      <c r="C11" s="295"/>
      <c r="D11" s="145" t="s">
        <v>128</v>
      </c>
      <c r="E11" s="145"/>
    </row>
    <row r="12" spans="1:5">
      <c r="A12" s="295"/>
      <c r="B12" s="295"/>
      <c r="C12" s="295"/>
      <c r="D12" s="145" t="s">
        <v>234</v>
      </c>
      <c r="E12" s="145"/>
    </row>
    <row r="13" spans="1:5" ht="34.5" customHeight="1">
      <c r="A13" s="296" t="s">
        <v>233</v>
      </c>
      <c r="B13" s="296"/>
      <c r="C13" s="296"/>
      <c r="D13" s="296"/>
      <c r="E13" s="296"/>
    </row>
    <row r="14" spans="1:5" ht="16.5" thickBot="1">
      <c r="A14" s="297"/>
      <c r="B14" s="297"/>
      <c r="C14" s="297"/>
      <c r="D14" s="297"/>
      <c r="E14" s="297"/>
    </row>
    <row r="15" spans="1:5" ht="16.5" thickBot="1">
      <c r="A15" s="297"/>
      <c r="B15" s="297"/>
      <c r="C15" s="297"/>
      <c r="D15" s="297"/>
      <c r="E15" s="297"/>
    </row>
    <row r="16" spans="1:5" ht="16.5" thickBot="1">
      <c r="A16" s="297"/>
      <c r="B16" s="297"/>
      <c r="C16" s="297"/>
      <c r="D16" s="297"/>
      <c r="E16" s="297"/>
    </row>
    <row r="18" spans="1:8" ht="18.75" customHeight="1">
      <c r="A18" s="295" t="s">
        <v>235</v>
      </c>
      <c r="B18" s="295"/>
      <c r="C18" s="295"/>
      <c r="D18" s="145" t="s">
        <v>128</v>
      </c>
      <c r="E18" s="145"/>
    </row>
    <row r="19" spans="1:8" ht="18.75" customHeight="1">
      <c r="A19" s="295"/>
      <c r="B19" s="295"/>
      <c r="C19" s="295"/>
      <c r="D19" s="145" t="s">
        <v>234</v>
      </c>
      <c r="E19" s="145"/>
    </row>
    <row r="20" spans="1:8" ht="29.25" customHeight="1">
      <c r="A20" s="295" t="s">
        <v>236</v>
      </c>
      <c r="B20" s="295"/>
      <c r="C20" s="295"/>
      <c r="D20" s="145" t="s">
        <v>128</v>
      </c>
      <c r="E20" s="145"/>
    </row>
    <row r="21" spans="1:8" ht="29.25" customHeight="1">
      <c r="A21" s="295"/>
      <c r="B21" s="295"/>
      <c r="C21" s="295"/>
      <c r="D21" s="145" t="s">
        <v>234</v>
      </c>
      <c r="E21" s="145"/>
    </row>
    <row r="23" spans="1:8" ht="15.75" customHeight="1">
      <c r="A23" s="296" t="s">
        <v>237</v>
      </c>
      <c r="B23" s="296"/>
      <c r="C23" s="296"/>
      <c r="D23" s="296"/>
      <c r="E23" s="296"/>
    </row>
    <row r="24" spans="1:8" ht="16.5" thickBot="1">
      <c r="A24" s="297"/>
      <c r="B24" s="297"/>
      <c r="C24" s="297"/>
      <c r="D24" s="297"/>
      <c r="E24" s="297"/>
    </row>
    <row r="25" spans="1:8" ht="16.5" thickBot="1">
      <c r="A25" s="297"/>
      <c r="B25" s="297"/>
      <c r="C25" s="297"/>
      <c r="D25" s="297"/>
      <c r="E25" s="297"/>
    </row>
    <row r="26" spans="1:8" ht="16.5" thickBot="1">
      <c r="A26" s="297"/>
      <c r="B26" s="297"/>
      <c r="C26" s="297"/>
      <c r="D26" s="297"/>
      <c r="E26" s="297"/>
    </row>
    <row r="28" spans="1:8" ht="78.75" customHeight="1">
      <c r="A28" s="294" t="s">
        <v>238</v>
      </c>
      <c r="B28" s="294"/>
      <c r="C28" s="294"/>
      <c r="D28" s="294"/>
      <c r="E28" s="294"/>
    </row>
    <row r="30" spans="1:8" ht="33" customHeight="1">
      <c r="A30" s="294" t="s">
        <v>239</v>
      </c>
      <c r="B30" s="294"/>
      <c r="C30" s="294"/>
      <c r="D30" s="294"/>
      <c r="E30" s="294"/>
      <c r="F30" s="146"/>
      <c r="G30" s="146"/>
      <c r="H30" s="146"/>
    </row>
    <row r="33" spans="1:5" ht="16.5" thickBot="1">
      <c r="A33" s="147" t="str">
        <f>C5</f>
        <v>ANNAZAROV KAXRAMAN SADULLAYEVICH</v>
      </c>
      <c r="D33" s="148"/>
      <c r="E33" s="149"/>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tabColor rgb="FF00B050"/>
  </sheetPr>
  <dimension ref="A1:E77"/>
  <sheetViews>
    <sheetView view="pageBreakPreview" zoomScaleSheetLayoutView="100" workbookViewId="0">
      <selection activeCell="A22" sqref="A22:D22"/>
    </sheetView>
  </sheetViews>
  <sheetFormatPr defaultColWidth="9.140625" defaultRowHeight="15.75"/>
  <cols>
    <col min="1" max="1" width="20.140625" style="9" customWidth="1"/>
    <col min="2" max="2" width="18.7109375" style="9" customWidth="1"/>
    <col min="3" max="3" width="19.7109375" style="9" customWidth="1"/>
    <col min="4" max="4" width="28.7109375" style="9" customWidth="1"/>
    <col min="5" max="16384" width="9.140625" style="9"/>
  </cols>
  <sheetData>
    <row r="1" spans="1:4" ht="47.25" customHeight="1">
      <c r="C1" s="311" t="str">
        <f>""&amp;'Общие данные'!B147&amp;"ning
"&amp;'Общие данные'!A160&amp;"i"</f>
        <v>«PULLOL BUSINESS MIKROMOLIYA TASHKILOTI»  MChJning
To'rtko'l filiali boshlig’ii</v>
      </c>
      <c r="D1" s="311"/>
    </row>
    <row r="2" spans="1:4">
      <c r="C2" s="16"/>
      <c r="D2" s="17" t="str">
        <f>""&amp;'Общие данные'!B160&amp;"ga"</f>
        <v>Djumanazarov B.A.ga</v>
      </c>
    </row>
    <row r="4" spans="1:4">
      <c r="A4" s="310" t="str">
        <f>""&amp;'Общие данные'!C64&amp;" olish uchun Ariza"</f>
        <v>Mikrokredit olish uchun Ariza</v>
      </c>
      <c r="B4" s="310"/>
      <c r="C4" s="310"/>
      <c r="D4" s="310"/>
    </row>
    <row r="5" spans="1:4">
      <c r="A5" s="310"/>
      <c r="B5" s="310"/>
      <c r="C5" s="310"/>
      <c r="D5" s="310"/>
    </row>
    <row r="6" spans="1:4" ht="51" customHeight="1">
      <c r="A6" s="312" t="str">
        <f>""&amp;'Общие данные'!B28&amp;".-da yashovchi O‘zbekiston Respublikasi fuqarosi "&amp;'Общие данные'!B8&amp;"dan. "</f>
        <v xml:space="preserve">QORAQALPOG'ISTON RESPUBLIKASI TO'RTKO'L TUMANI YOSHLIK MFY KALTAMINAR KO'CHASI 1B-UY.-da yashovchi O‘zbekiston Respublikasi fuqarosi ANNAZAROV KAXRAMAN SADULLAYEVICHdan. </v>
      </c>
      <c r="B6" s="312"/>
      <c r="C6" s="312"/>
      <c r="D6" s="312"/>
    </row>
    <row r="7" spans="1:4" ht="15.75" customHeight="1">
      <c r="A7" s="312" t="str">
        <f>"Tug'ilgan kuni: "&amp;'Общие данные'!B15&amp;""</f>
        <v>Tug'ilgan kuni: 30.01.1973 y</v>
      </c>
      <c r="B7" s="312"/>
      <c r="C7" s="312"/>
      <c r="D7" s="312"/>
    </row>
    <row r="8" spans="1:4" ht="33" customHeight="1">
      <c r="A8" s="312" t="str">
        <f>"Pasport seriyasi: "&amp;'Общие данные'!B16&amp;" "&amp;'Общие данные'!B20&amp;""</f>
        <v>Pasport seriyasi: AD 2849628 IIV 35233 tomonidan 23.03.2023 yilda berilgan</v>
      </c>
      <c r="B8" s="312"/>
      <c r="C8" s="312"/>
      <c r="D8" s="312"/>
    </row>
    <row r="9" spans="1:4" ht="16.5" customHeight="1">
      <c r="A9" s="312" t="str">
        <f>"Asosiy ish joyi : "&amp;'Общие данные'!B58&amp;""</f>
        <v>Asosiy ish joyi : O'Z O'ZINI BAND QILGAN FUQARO MA'LUMOTNOMA № 0013068264</v>
      </c>
      <c r="B9" s="312"/>
      <c r="C9" s="312"/>
      <c r="D9" s="312"/>
    </row>
    <row r="10" spans="1:4" ht="15.75" customHeight="1">
      <c r="A10" s="312" t="str">
        <f>"Lavozimi: "&amp;'Общие данные'!B59&amp;""</f>
        <v>Lavozimi: Сантехника ишлари</v>
      </c>
      <c r="B10" s="312"/>
      <c r="C10" s="312"/>
      <c r="D10" s="312"/>
    </row>
    <row r="11" spans="1:4">
      <c r="A11" s="312" t="str">
        <f>"O’rtacha oylik daromadi: "&amp;FIXED('Анкета Клиента'!B27,2)&amp;" so'm."</f>
        <v>O’rtacha oylik daromadi: 21 000 000,00 so'm.</v>
      </c>
      <c r="B11" s="312"/>
      <c r="C11" s="312"/>
      <c r="D11" s="312"/>
    </row>
    <row r="12" spans="1:4">
      <c r="A12" s="312" t="str">
        <f>"Menga quyidagi shartlarda "&amp;'Общие данные'!B65&amp;" berishingizni so’rayman:"</f>
        <v>Menga quyidagi shartlarda Mikroqarz berishingizni so’rayman:</v>
      </c>
      <c r="B12" s="312"/>
      <c r="C12" s="312"/>
      <c r="D12" s="312"/>
    </row>
    <row r="13" spans="1:4">
      <c r="A13" s="312" t="str">
        <f>""&amp;'Общие данные'!B65&amp;" summasi: "&amp;FIXED('Общие данные'!B75,2)&amp;" ("&amp;'Общие данные'!B76&amp;") so'm."</f>
        <v>Mikroqarz summasi: 100 000 000,00 (Yuz million so'm) so'm.</v>
      </c>
      <c r="B13" s="312"/>
      <c r="C13" s="312"/>
      <c r="D13" s="312"/>
    </row>
    <row r="14" spans="1:4">
      <c r="A14" s="312" t="str">
        <f>""&amp;'Общие данные'!B65&amp;" muddati: "&amp;'Общие данные'!B81&amp;" ("&amp;'Общие данные'!B82&amp;") oy."</f>
        <v>Mikroqarz muddati: 36 (Yigirma to'rt) oy.</v>
      </c>
      <c r="B14" s="312"/>
      <c r="C14" s="312"/>
      <c r="D14" s="312"/>
    </row>
    <row r="15" spans="1:4" ht="17.25" customHeight="1">
      <c r="A15" s="312" t="str">
        <f>""&amp;'Общие данные'!B65&amp;"dan foydalanganlik uchun foiz stavkasi: yillik  "&amp;'Общие данные'!B85&amp;"% ("&amp;'Общие данные'!B86&amp;") foiz"</f>
        <v>Mikroqarzdan foydalanganlik uchun foiz stavkasi: yillik  55% (Ellik besh  ) foiz</v>
      </c>
      <c r="B15" s="312"/>
      <c r="C15" s="312"/>
      <c r="D15" s="312"/>
    </row>
    <row r="16" spans="1:4">
      <c r="A16" s="312" t="str">
        <f>""&amp;'Общие данные'!B65&amp;" bo'yicha asosiy qarz va foizlarni to'lash:"</f>
        <v>Mikroqarz bo'yicha asosiy qarz va foizlarni to'lash:</v>
      </c>
      <c r="B16" s="312"/>
      <c r="C16" s="312"/>
      <c r="D16" s="312"/>
    </row>
    <row r="17" spans="1:5" ht="20.25" hidden="1" customHeight="1">
      <c r="A17" s="313" t="str">
        <f>" - "&amp;'Общие данные'!B65&amp;" shartnomasi bo'yicha har oy differensial to'lovlari amalga oshiriladi"</f>
        <v xml:space="preserve"> - Mikroqarz shartnomasi bo'yicha har oy differensial to'lovlari amalga oshiriladi</v>
      </c>
      <c r="B17" s="313"/>
      <c r="C17" s="313"/>
      <c r="D17" s="313"/>
    </row>
    <row r="18" spans="1:5" ht="15.75" hidden="1" customHeight="1">
      <c r="A18" s="313" t="str">
        <f>" - "&amp;'Общие данные'!B65&amp;" shartnomasi bo'yicha har oy annuitet to'lovlari amalga oshiriladi"</f>
        <v xml:space="preserve"> - Mikroqarz shartnomasi bo'yicha har oy annuitet to'lovlari amalga oshiriladi</v>
      </c>
      <c r="B18" s="313"/>
      <c r="C18" s="313"/>
      <c r="D18" s="313"/>
    </row>
    <row r="19" spans="1:5" ht="33.75" customHeight="1">
      <c r="A19" s="313"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313"/>
      <c r="C19" s="313"/>
      <c r="D19" s="313"/>
    </row>
    <row r="20" spans="1:5" ht="33.75" hidden="1" customHeight="1">
      <c r="A20" s="312" t="str">
        <f>IF(DAY('Общие данные'!E67)&lt;15,"   ","  Oxirgi yakuniy to'lov "&amp;'Общие данные'!B65&amp;" shartnomasi tuzilgan kundan boshlab oxirgi oyning oxirgi kunida amalga oshiriladi")</f>
        <v xml:space="preserve">   </v>
      </c>
      <c r="B20" s="312"/>
      <c r="C20" s="312"/>
      <c r="D20" s="312"/>
    </row>
    <row r="21" spans="1:5">
      <c r="A21" s="312" t="str">
        <f>""&amp;'Общие данные'!B65&amp;" ta’minoti::"</f>
        <v>Mikroqarz ta’minoti::</v>
      </c>
      <c r="B21" s="312"/>
      <c r="C21" s="312"/>
      <c r="D21" s="312"/>
    </row>
    <row r="22" spans="1:5" ht="66.75" customHeight="1">
      <c r="A22" s="313" t="str">
        <f>IF('Общие данные'!B103="Avtotransport",A26,A23)</f>
        <v xml:space="preserve"> Egalik huquqi ANNAZAROV KAXRAMAN SADULLAYEVICHga tegishli bo'lgan  umumiy yer maydoni, (m2) - 704, qurilish osti maydoni - 149,81, umumiy foydali maydoni - 213,72  va yashash maydoni  - 108,36 Yakka tartibdagi uy-joy, QORAQALPOG'ISTON RESPUBLIKASI TO'RTKO'L TUMANI YOSHLIK MFY KALTAMINAR KO'CHASI 1B-UY </v>
      </c>
      <c r="B22" s="313"/>
      <c r="C22" s="313"/>
      <c r="D22" s="313"/>
    </row>
    <row r="23" spans="1:5" ht="79.5" hidden="1" customHeight="1">
      <c r="A23" s="313" t="str">
        <f>IF('Общие данные'!B92='Общие данные'!C92,A25,IF('Общие данные'!B92='Общие данные'!D92,A24,0))</f>
        <v xml:space="preserve"> Egalik huquqi ANNAZAROV KAXRAMAN SADULLAYEVICHga tegishli bo'lgan  umumiy yer maydoni, (m2) - 704, qurilish osti maydoni - 149,81, umumiy foydali maydoni - 213,72  va yashash maydoni  - 108,36 Yakka tartibdagi uy-joy, QORAQALPOG'ISTON RESPUBLIKASI TO'RTKO'L TUMANI YOSHLIK MFY KALTAMINAR KO'CHASI 1B-UY </v>
      </c>
      <c r="B23" s="313"/>
      <c r="C23" s="313"/>
      <c r="D23" s="313"/>
    </row>
    <row r="24" spans="1:5" ht="96.75" hidden="1" customHeight="1">
      <c r="A24" s="313" t="str">
        <f>" - Navbatdagi garov (ipoteka) Egalik huquqi asosida  "&amp;'Общие данные'!C117&amp;"ga "&amp;'Общие данные'!C126&amp;", umumiy maydoni - "&amp;'Общие данные'!C130&amp;" va qurilish osti maydoni - "&amp;'Общие данные'!C133&amp;", manzili: "&amp;'Общие данные'!C123&amp;"."</f>
        <v xml:space="preserve"> - Navbatdagi garov (ipoteka) Egalik huquqi asosida  ANNAZAROV KAXRAMAN SADULLAYEVICHga Yakka tartibdagi uy-joy, umumiy maydoni - 213,72 va qurilish osti maydoni - 149,81, manzili: QORAQALPOG'ISTON RESPUBLIKASI TO'RTKO'L TUMANI YOSHLIK MFY KALTAMINAR KO'CHASI 1B-UY.</v>
      </c>
      <c r="B24" s="313"/>
      <c r="C24" s="313"/>
      <c r="D24" s="313"/>
      <c r="E24" s="184"/>
    </row>
    <row r="25" spans="1:5" ht="92.25" hidden="1" customHeight="1">
      <c r="A25" s="314" t="str">
        <f>" Egalik huquqi "&amp;'Общие данные'!C117&amp;"ga tegishli bo'lgan  "&amp;'Общие данные'!D134&amp;" - "&amp;'Общие данные'!C134&amp;", "&amp;'Общие данные'!D133&amp;" - "&amp;'Общие данные'!C133&amp;", "&amp;'Общие данные'!D130&amp;" - "&amp;'Общие данные'!C130&amp;"  va "&amp;'Общие данные'!D131&amp;"  - "&amp;'Общие данные'!C131&amp;" "&amp;'Общие данные'!C126&amp;", "&amp;'Общие данные'!C123&amp;" "</f>
        <v xml:space="preserve"> Egalik huquqi ANNAZAROV KAXRAMAN SADULLAYEVICHga tegishli bo'lgan  umumiy yer maydoni, (m2) - 704, qurilish osti maydoni - 149,81, umumiy foydali maydoni - 213,72  va yashash maydoni  - 108,36 Yakka tartibdagi uy-joy, QORAQALPOG'ISTON RESPUBLIKASI TO'RTKO'L TUMANI YOSHLIK MFY KALTAMINAR KO'CHASI 1B-UY </v>
      </c>
      <c r="B25" s="314"/>
      <c r="C25" s="314"/>
      <c r="D25" s="314"/>
    </row>
    <row r="26" spans="1:5" ht="78" hidden="1" customHeight="1">
      <c r="A26" s="313" t="str">
        <f>IF('Общие данные'!B92='Общие данные'!C92,'Кредитная заявка'!A28:D28,IF('Общие данные'!B92='Общие данные'!D92,'Кредитная заявка'!A27:D27,0))</f>
        <v xml:space="preserve">  Egalik huquqi ANNAZAROV KAXRAMAN SADULLAYEVICHga tegishli bo'lgan garovga olingan avtomobil markasi   , rangi -  , ishlab chiqarilgan yili - , davlat raqam belgisi , kuzov turi - , kuzov raqami , dvigatel raqami , shassi raqami - </v>
      </c>
      <c r="B26" s="313"/>
      <c r="C26" s="313"/>
      <c r="D26" s="313"/>
    </row>
    <row r="27" spans="1:5" ht="93" hidden="1" customHeight="1">
      <c r="A27" s="313"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ANNAZAROV KAXRAMAN SADULLAYEVICHga tegishli bo'lgan , rangi -  , ishlab chiqarilgan yili - , davlat raqam belgisi , kuzov turi - , kuzov raqami , dvigatel raqami , shassi raqami -  avtotransport vositasi </v>
      </c>
      <c r="B27" s="313"/>
      <c r="C27" s="313"/>
      <c r="D27" s="313"/>
    </row>
    <row r="28" spans="1:5" ht="93.75" hidden="1" customHeight="1">
      <c r="A28" s="313"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ANNAZAROV KAXRAMAN SADULLAYEVICHga tegishli bo'lgan garovga olingan avtomobil markasi   , rangi -  , ishlab chiqarilgan yili - , davlat raqam belgisi , kuzov turi - , kuzov raqami , dvigatel raqami , shassi raqami - </v>
      </c>
      <c r="B28" s="313"/>
      <c r="C28" s="313"/>
      <c r="D28" s="313"/>
    </row>
    <row r="29" spans="1:5" ht="10.5" customHeight="1">
      <c r="A29" s="312"/>
      <c r="B29" s="312"/>
      <c r="C29" s="312"/>
      <c r="D29" s="312"/>
    </row>
    <row r="30" spans="1:5" ht="53.25" customHeight="1">
      <c r="A30" s="313"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B30" s="313"/>
      <c r="C30" s="313"/>
      <c r="D30" s="313"/>
    </row>
    <row r="31" spans="1:5" ht="15.75" customHeight="1">
      <c r="A31" s="313" t="s">
        <v>240</v>
      </c>
      <c r="B31" s="313"/>
      <c r="C31" s="313"/>
      <c r="D31" s="313"/>
    </row>
    <row r="32" spans="1:5">
      <c r="A32" s="313" t="s">
        <v>241</v>
      </c>
      <c r="B32" s="313"/>
      <c r="C32" s="313"/>
      <c r="D32" s="313"/>
    </row>
    <row r="33" spans="1:4">
      <c r="A33" s="313" t="s">
        <v>242</v>
      </c>
      <c r="B33" s="313"/>
      <c r="C33" s="313"/>
      <c r="D33" s="313"/>
    </row>
    <row r="34" spans="1:4">
      <c r="A34" s="312" t="str">
        <f>"Ariza berilgan sana: "&amp;TEXT('Общие данные'!B2,"ДД.ММ.ГГГГ")&amp;"y."</f>
        <v>Ariza berilgan sana: 03.04.2026y.</v>
      </c>
      <c r="B34" s="312"/>
      <c r="C34" s="312"/>
      <c r="D34" s="312"/>
    </row>
    <row r="35" spans="1:4">
      <c r="A35" s="312"/>
      <c r="B35" s="312"/>
      <c r="C35" s="312"/>
      <c r="D35" s="312"/>
    </row>
    <row r="36" spans="1:4">
      <c r="A36" s="312" t="s">
        <v>243</v>
      </c>
      <c r="B36" s="312"/>
      <c r="C36" s="312"/>
      <c r="D36" s="312"/>
    </row>
    <row r="37" spans="1:4">
      <c r="A37" s="312"/>
      <c r="B37" s="312"/>
      <c r="C37" s="312"/>
      <c r="D37" s="312"/>
    </row>
    <row r="38" spans="1:4">
      <c r="A38" s="312"/>
      <c r="B38" s="312"/>
      <c r="C38" s="312"/>
      <c r="D38" s="312"/>
    </row>
    <row r="39" spans="1:4" ht="15.75" customHeight="1">
      <c r="A39" s="315" t="str">
        <f>'Общие данные'!B5</f>
        <v>ANNAZAROV KAXRAMAN SADULLAYEVICH</v>
      </c>
      <c r="B39" s="315"/>
      <c r="C39" s="315"/>
      <c r="D39" s="14" t="s">
        <v>4</v>
      </c>
    </row>
    <row r="40" spans="1:4">
      <c r="A40" s="13"/>
      <c r="B40" s="13"/>
      <c r="D40" s="15" t="s">
        <v>326</v>
      </c>
    </row>
    <row r="41" spans="1:4">
      <c r="A41" s="312"/>
      <c r="B41" s="312"/>
      <c r="C41" s="312"/>
      <c r="D41" s="312"/>
    </row>
    <row r="42" spans="1:4">
      <c r="A42" s="312"/>
      <c r="B42" s="312"/>
      <c r="C42" s="312"/>
      <c r="D42" s="312"/>
    </row>
    <row r="43" spans="1:4">
      <c r="A43" s="312"/>
      <c r="B43" s="312"/>
      <c r="C43" s="312"/>
      <c r="D43" s="312"/>
    </row>
    <row r="44" spans="1:4">
      <c r="A44" s="312"/>
      <c r="B44" s="312"/>
      <c r="C44" s="312"/>
      <c r="D44" s="312"/>
    </row>
    <row r="45" spans="1:4">
      <c r="A45" s="312"/>
      <c r="B45" s="312"/>
      <c r="C45" s="312"/>
      <c r="D45" s="312"/>
    </row>
    <row r="46" spans="1:4">
      <c r="A46" s="312"/>
      <c r="B46" s="312"/>
      <c r="C46" s="312"/>
      <c r="D46" s="312"/>
    </row>
    <row r="47" spans="1:4">
      <c r="A47" s="312"/>
      <c r="B47" s="312"/>
      <c r="C47" s="312"/>
      <c r="D47" s="312"/>
    </row>
    <row r="48" spans="1:4">
      <c r="A48" s="312"/>
      <c r="B48" s="312"/>
      <c r="C48" s="312"/>
      <c r="D48" s="312"/>
    </row>
    <row r="49" spans="1:4">
      <c r="A49" s="312"/>
      <c r="B49" s="312"/>
      <c r="C49" s="312"/>
      <c r="D49" s="312"/>
    </row>
    <row r="50" spans="1:4">
      <c r="A50" s="312"/>
      <c r="B50" s="312"/>
      <c r="C50" s="312"/>
      <c r="D50" s="312"/>
    </row>
    <row r="51" spans="1:4">
      <c r="A51" s="312"/>
      <c r="B51" s="312"/>
      <c r="C51" s="312"/>
      <c r="D51" s="312"/>
    </row>
    <row r="52" spans="1:4">
      <c r="A52" s="312"/>
      <c r="B52" s="312"/>
      <c r="C52" s="312"/>
      <c r="D52" s="312"/>
    </row>
    <row r="53" spans="1:4">
      <c r="A53" s="312"/>
      <c r="B53" s="312"/>
      <c r="C53" s="312"/>
      <c r="D53" s="312"/>
    </row>
    <row r="54" spans="1:4">
      <c r="A54" s="312"/>
      <c r="B54" s="312"/>
      <c r="C54" s="312"/>
      <c r="D54" s="312"/>
    </row>
    <row r="55" spans="1:4">
      <c r="A55" s="312"/>
      <c r="B55" s="312"/>
      <c r="C55" s="312"/>
      <c r="D55" s="312"/>
    </row>
    <row r="56" spans="1:4">
      <c r="A56" s="312"/>
      <c r="B56" s="312"/>
      <c r="C56" s="312"/>
      <c r="D56" s="312"/>
    </row>
    <row r="57" spans="1:4">
      <c r="A57" s="312"/>
      <c r="B57" s="312"/>
      <c r="C57" s="312"/>
      <c r="D57" s="312"/>
    </row>
    <row r="58" spans="1:4">
      <c r="A58" s="312"/>
      <c r="B58" s="312"/>
      <c r="C58" s="312"/>
      <c r="D58" s="312"/>
    </row>
    <row r="59" spans="1:4">
      <c r="A59" s="312"/>
      <c r="B59" s="312"/>
      <c r="C59" s="312"/>
      <c r="D59" s="312"/>
    </row>
    <row r="60" spans="1:4">
      <c r="A60" s="312"/>
      <c r="B60" s="312"/>
      <c r="C60" s="312"/>
      <c r="D60" s="312"/>
    </row>
    <row r="61" spans="1:4">
      <c r="A61" s="312"/>
      <c r="B61" s="312"/>
      <c r="C61" s="312"/>
      <c r="D61" s="312"/>
    </row>
    <row r="62" spans="1:4">
      <c r="A62" s="312"/>
      <c r="B62" s="312"/>
      <c r="C62" s="312"/>
      <c r="D62" s="312"/>
    </row>
    <row r="63" spans="1:4">
      <c r="A63" s="312"/>
      <c r="B63" s="312"/>
      <c r="C63" s="312"/>
      <c r="D63" s="312"/>
    </row>
    <row r="64" spans="1:4">
      <c r="A64" s="312"/>
      <c r="B64" s="312"/>
      <c r="C64" s="312"/>
      <c r="D64" s="312"/>
    </row>
    <row r="65" spans="1:4">
      <c r="A65" s="312"/>
      <c r="B65" s="312"/>
      <c r="C65" s="312"/>
      <c r="D65" s="312"/>
    </row>
    <row r="66" spans="1:4">
      <c r="A66" s="312"/>
      <c r="B66" s="312"/>
      <c r="C66" s="312"/>
      <c r="D66" s="312"/>
    </row>
    <row r="67" spans="1:4">
      <c r="A67" s="312"/>
      <c r="B67" s="312"/>
      <c r="C67" s="312"/>
      <c r="D67" s="312"/>
    </row>
    <row r="68" spans="1:4">
      <c r="A68" s="312"/>
      <c r="B68" s="312"/>
      <c r="C68" s="312"/>
      <c r="D68" s="312"/>
    </row>
    <row r="69" spans="1:4">
      <c r="A69" s="312"/>
      <c r="B69" s="312"/>
      <c r="C69" s="312"/>
      <c r="D69" s="312"/>
    </row>
    <row r="70" spans="1:4">
      <c r="A70" s="312"/>
      <c r="B70" s="312"/>
      <c r="C70" s="312"/>
      <c r="D70" s="312"/>
    </row>
    <row r="71" spans="1:4">
      <c r="A71" s="312"/>
      <c r="B71" s="312"/>
      <c r="C71" s="312"/>
      <c r="D71" s="312"/>
    </row>
    <row r="72" spans="1:4">
      <c r="A72" s="312"/>
      <c r="B72" s="312"/>
      <c r="C72" s="312"/>
      <c r="D72" s="312"/>
    </row>
    <row r="73" spans="1:4">
      <c r="A73" s="312"/>
      <c r="B73" s="312"/>
      <c r="C73" s="312"/>
      <c r="D73" s="312"/>
    </row>
    <row r="74" spans="1:4">
      <c r="A74" s="312"/>
      <c r="B74" s="312"/>
      <c r="C74" s="312"/>
      <c r="D74" s="312"/>
    </row>
    <row r="75" spans="1:4">
      <c r="A75" s="312"/>
      <c r="B75" s="312"/>
      <c r="C75" s="312"/>
      <c r="D75" s="312"/>
    </row>
    <row r="76" spans="1:4">
      <c r="A76" s="312"/>
      <c r="B76" s="312"/>
      <c r="C76" s="312"/>
      <c r="D76" s="312"/>
    </row>
    <row r="77" spans="1:4">
      <c r="A77" s="312"/>
      <c r="B77" s="312"/>
      <c r="C77" s="312"/>
      <c r="D77" s="312"/>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0866141732283472" right="0.31496062992125984" top="0.74803149606299213" bottom="0.74803149606299213" header="0.31496062992125984" footer="0.31496062992125984"/>
  <pageSetup paperSize="9" scale="9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00B050"/>
  </sheetPr>
  <dimension ref="A3:B11"/>
  <sheetViews>
    <sheetView view="pageBreakPreview" zoomScale="85" zoomScaleNormal="100" zoomScaleSheetLayoutView="85" workbookViewId="0">
      <selection activeCell="A9" sqref="A9:XFD9"/>
    </sheetView>
  </sheetViews>
  <sheetFormatPr defaultRowHeight="15"/>
  <cols>
    <col min="1" max="1" width="54.42578125" style="18" customWidth="1"/>
    <col min="2" max="2" width="32.28515625" style="18" customWidth="1"/>
  </cols>
  <sheetData>
    <row r="3" spans="1:2" ht="35.25" customHeight="1">
      <c r="A3" s="316" t="s">
        <v>206</v>
      </c>
      <c r="B3" s="316"/>
    </row>
    <row r="4" spans="1:2" ht="92.25" customHeight="1">
      <c r="A4" s="246" t="str">
        <f>"     Men, fuqaro "&amp;'Общие данные'!B5&amp;" "&amp;'Общие данные'!B149&amp;" bilan "&amp;'Общие данные'!B69&amp;" sanasidagi "&amp;'Общие данные'!B66&amp;"-sonli shartnomaning garov ta'minoti sifatida taqdim etilayotgan "&amp;'Общие данные'!C125&amp;" ko'chmas mulkni qonunga xilof ravishda o‘zlashtirmaslikka, yashirmaslikka, nobud qilmaslikka yoki unga shikast yetkazmaslik majburiyatini olaman."</f>
        <v xml:space="preserve">     Men, fuqaro ANNAZAROV KAXRAMAN SADULLAYEVICH «PULLOL BUSINESS MIKROMOLIYA TASHKILOTI»  MChJ bilan 3 aprel 2026 y. sanasidagi №310-TR-sonli shartnomaning garov ta'minoti sifatida taqdim etilayotgan Yakka tartibdagi uy-joy ko'chmas mulkni qonunga xilof ravishda o‘zlashtirmaslikka, yashirmaslikka, nobud qilmaslikka yoki unga shikast yetkazmaslik majburiyatini olaman.</v>
      </c>
      <c r="B4" s="246"/>
    </row>
    <row r="5" spans="1:2" ht="56.25" customHeight="1">
      <c r="A5" s="317" t="s">
        <v>207</v>
      </c>
      <c r="B5" s="317"/>
    </row>
    <row r="6" spans="1:2" ht="42.75" customHeight="1"/>
    <row r="7" spans="1:2">
      <c r="A7" s="18" t="str">
        <f>'Общие данные'!B5</f>
        <v>ANNAZAROV KAXRAMAN SADULLAYEVICH</v>
      </c>
      <c r="B7" s="159" t="s">
        <v>208</v>
      </c>
    </row>
    <row r="8" spans="1:2" ht="26.25" customHeight="1"/>
    <row r="9" spans="1:2" hidden="1">
      <c r="A9" s="18">
        <f>'Общие данные'!C105</f>
        <v>0</v>
      </c>
      <c r="B9" s="159" t="s">
        <v>208</v>
      </c>
    </row>
    <row r="10" spans="1:2" ht="26.25" customHeight="1"/>
    <row r="11" spans="1:2">
      <c r="A11" s="18" t="str">
        <f>"sana:   "&amp;TEXT('Общие данные'!B2,"ДД.ММ.ГГГГ")&amp;" y."</f>
        <v>sana:   03.04.2026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00B050"/>
  </sheetPr>
  <dimension ref="A1:F79"/>
  <sheetViews>
    <sheetView view="pageBreakPreview" zoomScaleSheetLayoutView="100" workbookViewId="0">
      <selection activeCell="A22" sqref="A22:F22"/>
    </sheetView>
  </sheetViews>
  <sheetFormatPr defaultColWidth="9.140625" defaultRowHeight="15" outlineLevelRow="1"/>
  <cols>
    <col min="1" max="2" width="23.7109375" style="18" customWidth="1"/>
    <col min="3" max="6" width="17" style="18" customWidth="1"/>
    <col min="7" max="16384" width="9.140625" style="18"/>
  </cols>
  <sheetData>
    <row r="1" spans="1:6" ht="36" customHeight="1">
      <c r="A1" s="280" t="str">
        <f>""&amp;'Общие данные'!B147&amp;"
mikromoliya tashkilotining Xulosasi"</f>
        <v>«PULLOL BUSINESS MIKROMOLIYA TASHKILOTI»  MChJ
mikromoliya tashkilotining Xulosasi</v>
      </c>
      <c r="B1" s="280"/>
      <c r="C1" s="280"/>
      <c r="D1" s="280"/>
      <c r="E1" s="280"/>
      <c r="F1" s="280"/>
    </row>
    <row r="2" spans="1:6">
      <c r="A2" s="246"/>
      <c r="B2" s="246"/>
      <c r="C2" s="246"/>
      <c r="D2" s="246"/>
      <c r="E2" s="246"/>
      <c r="F2" s="246"/>
    </row>
    <row r="3" spans="1:6">
      <c r="A3" s="280" t="s">
        <v>194</v>
      </c>
      <c r="B3" s="280"/>
      <c r="C3" s="280"/>
      <c r="D3" s="280"/>
      <c r="E3" s="280"/>
      <c r="F3" s="280"/>
    </row>
    <row r="4" spans="1:6">
      <c r="A4" s="246" t="str">
        <f>"Mijozning to'liq ismi sharifi: "&amp;'Общие данные'!B5&amp;""</f>
        <v>Mijozning to'liq ismi sharifi: ANNAZAROV KAXRAMAN SADULLAYEVICH</v>
      </c>
      <c r="B4" s="246"/>
      <c r="C4" s="246"/>
      <c r="D4" s="246"/>
      <c r="E4" s="246"/>
      <c r="F4" s="246"/>
    </row>
    <row r="5" spans="1:6">
      <c r="A5" s="246" t="str">
        <f>"Tug'ilgan sanasi: "&amp;'Общие данные'!B15&amp;""</f>
        <v>Tug'ilgan sanasi: 30.01.1973 y</v>
      </c>
      <c r="B5" s="246"/>
      <c r="C5" s="246"/>
      <c r="D5" s="246"/>
      <c r="E5" s="246"/>
      <c r="F5" s="246"/>
    </row>
    <row r="6" spans="1:6" ht="31.5" customHeight="1">
      <c r="A6" s="246" t="str">
        <f>"Pasport seriyasi "&amp;'Общие данные'!B16&amp;" "&amp;'Общие данные'!B20&amp;", amal qilish muddati - "&amp;'Общие данные'!B21&amp;""</f>
        <v>Pasport seriyasi AD 2849628 IIV 35233 tomonidan 23.03.2023 yilda berilgan, amal qilish muddati - 22.03.2033 y.</v>
      </c>
      <c r="B6" s="246"/>
      <c r="C6" s="246"/>
      <c r="D6" s="246"/>
      <c r="E6" s="246"/>
      <c r="F6" s="246"/>
    </row>
    <row r="7" spans="1:6" ht="35.25" customHeight="1">
      <c r="A7" s="246" t="str">
        <f>"Ro‘yxatdan o‘tgan manzili: "&amp;'Общие данные'!B28&amp;", mo'ljal: "&amp;'Общие данные'!B26&amp;""</f>
        <v>Ro‘yxatdan o‘tgan manzili: QORAQALPOG'ISTON RESPUBLIKASI TO'RTKO'L TUMANI YOSHLIK MFY KALTAMINAR KO'CHASI 1B-UY, mo'ljal: VISHKI TARAF GRAF METANNI YONIDA</v>
      </c>
      <c r="B7" s="246"/>
      <c r="C7" s="246"/>
      <c r="D7" s="246"/>
      <c r="E7" s="246"/>
      <c r="F7" s="246"/>
    </row>
    <row r="8" spans="1:6" ht="23.25" customHeight="1">
      <c r="A8" s="246" t="str">
        <f>"Ish joyi: "&amp;'Общие данные'!B52&amp;" lavozimi "&amp;'Общие данные'!B49&amp;"da "&amp;'Общие данные'!B44&amp;""</f>
        <v>Ish joyi:  lavozimi Сантехника ишлариda O'Z O'ZINI BAND QILGAN FUQARO</v>
      </c>
      <c r="B8" s="246"/>
      <c r="C8" s="246"/>
      <c r="D8" s="246"/>
      <c r="E8" s="246"/>
      <c r="F8" s="246"/>
    </row>
    <row r="9" spans="1:6">
      <c r="A9" s="246"/>
      <c r="B9" s="246"/>
      <c r="C9" s="246"/>
      <c r="D9" s="246"/>
      <c r="E9" s="246"/>
      <c r="F9" s="246"/>
    </row>
    <row r="10" spans="1:6">
      <c r="A10" s="280" t="str">
        <f>"Mijoz tomonidan so’ralgan "&amp;'Общие данные'!B65&amp;" shartlari:"</f>
        <v>Mijoz tomonidan so’ralgan Mikroqarz shartlari:</v>
      </c>
      <c r="B10" s="280"/>
      <c r="C10" s="280"/>
      <c r="D10" s="280"/>
      <c r="E10" s="280"/>
      <c r="F10" s="280"/>
    </row>
    <row r="11" spans="1:6">
      <c r="A11" s="246" t="str">
        <f>'Кредитная заявка'!A13</f>
        <v>Mikroqarz summasi: 100 000 000,00 (Yuz million so'm) so'm.</v>
      </c>
      <c r="B11" s="246"/>
      <c r="C11" s="246"/>
      <c r="D11" s="246"/>
      <c r="E11" s="246"/>
      <c r="F11" s="246"/>
    </row>
    <row r="12" spans="1:6">
      <c r="A12" s="246" t="str">
        <f>'Кредитная заявка'!A14:D14</f>
        <v>Mikroqarz muddati: 36 (Yigirma to'rt) oy.</v>
      </c>
      <c r="B12" s="246"/>
      <c r="C12" s="246"/>
      <c r="D12" s="246"/>
      <c r="E12" s="246"/>
      <c r="F12" s="246"/>
    </row>
    <row r="13" spans="1:6">
      <c r="A13" s="246" t="str">
        <f>'Кредитная заявка'!A15:D15</f>
        <v>Mikroqarzdan foydalanganlik uchun foiz stavkasi: yillik  55% (Ellik besh  ) foiz</v>
      </c>
      <c r="B13" s="246"/>
      <c r="C13" s="246"/>
      <c r="D13" s="246"/>
      <c r="E13" s="246"/>
      <c r="F13" s="246"/>
    </row>
    <row r="14" spans="1:6">
      <c r="A14" s="246" t="str">
        <f>'Кредитная заявка'!A16:D16</f>
        <v>Mikroqarz bo'yicha asosiy qarz va foizlarni to'lash:</v>
      </c>
      <c r="B14" s="246"/>
      <c r="C14" s="246"/>
      <c r="D14" s="246"/>
      <c r="E14" s="246"/>
      <c r="F14" s="246"/>
    </row>
    <row r="15" spans="1:6" ht="18.75" customHeight="1">
      <c r="A15" s="246" t="str">
        <f>'Кредитная заявка'!A19:D19</f>
        <v xml:space="preserve"> - Mikroqarz shartnomasi bo'yicha har oy differensial to'lovlari amalga oshiriladi</v>
      </c>
      <c r="B15" s="246"/>
      <c r="C15" s="246"/>
      <c r="D15" s="246"/>
      <c r="E15" s="246"/>
      <c r="F15" s="246"/>
    </row>
    <row r="16" spans="1:6" ht="14.25" customHeight="1">
      <c r="A16" s="256" t="str">
        <f>'Кредитная заявка'!A20:D20</f>
        <v xml:space="preserve">   </v>
      </c>
      <c r="B16" s="256"/>
      <c r="C16" s="256"/>
      <c r="D16" s="256"/>
      <c r="E16" s="256"/>
      <c r="F16" s="256"/>
    </row>
    <row r="17" spans="1:6">
      <c r="A17" s="246" t="str">
        <f>'Кредитная заявка'!A21:D21</f>
        <v>Mikroqarz ta’minoti::</v>
      </c>
      <c r="B17" s="246"/>
      <c r="C17" s="246"/>
      <c r="D17" s="246"/>
      <c r="E17" s="246"/>
      <c r="F17" s="246"/>
    </row>
    <row r="18" spans="1:6" ht="48" customHeight="1">
      <c r="A18" s="246" t="str">
        <f>'Кредитная заявка'!A22:D22</f>
        <v xml:space="preserve"> Egalik huquqi ANNAZAROV KAXRAMAN SADULLAYEVICHga tegishli bo'lgan  umumiy yer maydoni, (m2) - 704, qurilish osti maydoni - 149,81, umumiy foydali maydoni - 213,72  va yashash maydoni  - 108,36 Yakka tartibdagi uy-joy, QORAQALPOG'ISTON RESPUBLIKASI TO'RTKO'L TUMANI YOSHLIK MFY KALTAMINAR KO'CHASI 1B-UY </v>
      </c>
      <c r="B18" s="246"/>
      <c r="C18" s="246"/>
      <c r="D18" s="246"/>
      <c r="E18" s="246"/>
      <c r="F18" s="246"/>
    </row>
    <row r="19" spans="1:6">
      <c r="A19" s="280" t="s">
        <v>195</v>
      </c>
      <c r="B19" s="280"/>
      <c r="C19" s="280"/>
      <c r="D19" s="280"/>
      <c r="E19" s="280"/>
      <c r="F19" s="280"/>
    </row>
    <row r="20" spans="1:6" ht="35.25" customHeight="1">
      <c r="A20" s="246" t="str">
        <f>"Anketaga muvofiq "&amp;'Общие данные'!B9&amp;"ning o‘rtacha oylik daromadi  "&amp;FIXED('Анкета Клиента'!B27)&amp;" so‘mni tashkil etdi."</f>
        <v>Anketaga muvofiq ANNAZAROV K.S.ning o‘rtacha oylik daromadi  21 000 000,00 so‘mni tashkil etdi.</v>
      </c>
      <c r="B20" s="246"/>
      <c r="C20" s="246"/>
      <c r="D20" s="246"/>
      <c r="E20" s="246"/>
      <c r="F20" s="246"/>
    </row>
    <row r="21" spans="1:6" ht="21" customHeight="1">
      <c r="A21" s="246" t="str">
        <f>"Mijozning o'rtacha oylik xarajatlari "&amp;FIXED('Анкета Клиента'!F27)&amp;" so'mni tashkil etdi"</f>
        <v>Mijozning o'rtacha oylik xarajatlari 1 800 000,00 so'mni tashkil etdi</v>
      </c>
      <c r="B21" s="246"/>
      <c r="C21" s="246"/>
      <c r="D21" s="246"/>
      <c r="E21" s="246"/>
      <c r="F21" s="246"/>
    </row>
    <row r="22" spans="1:6">
      <c r="A22" s="246" t="str">
        <f>IF('Общие данные'!B77='Общие данные'!C77,'Заключение КК'!A23:F23,'Заключение КК'!A24:F24)</f>
        <v>Mikrokredit shartnomasi bo'yicha birinchi oy uchun to'lov 7 599 695,54 so'mni tashkil etadi.</v>
      </c>
      <c r="B22" s="246"/>
      <c r="C22" s="246"/>
      <c r="D22" s="246"/>
      <c r="E22" s="246"/>
      <c r="F22" s="246"/>
    </row>
    <row r="23" spans="1:6" ht="21" hidden="1" customHeight="1">
      <c r="A23" s="246" t="str">
        <f>""&amp;'Общие данные'!C64&amp;" shartnomasi bo'yicha birinchi oy uchun to'lov "&amp;FIXED('Общие данные'!B90)&amp;" so'mni tashkil etadi."</f>
        <v>Mikrokredit shartnomasi bo'yicha birinchi oy uchun to'lov 7 599 695,54 so'mni tashkil etadi.</v>
      </c>
      <c r="B23" s="246"/>
      <c r="C23" s="246"/>
      <c r="D23" s="246"/>
      <c r="E23" s="246"/>
      <c r="F23" s="246"/>
    </row>
    <row r="24" spans="1:6" ht="29.25" hidden="1" customHeight="1">
      <c r="A24" s="246" t="str">
        <f>""&amp;'Общие данные'!C64&amp;" bo‘yicha oylik "&amp;'Общие данные'!B77&amp;" to‘lovi miqdori "&amp;FIXED('Общие данные'!B90)&amp;" so‘mni tashkil etadi."</f>
        <v>Mikrokredit bo‘yicha oylik differensial to‘lovi miqdori 7 599 695,54 so‘mni tashkil etadi.</v>
      </c>
      <c r="B24" s="246"/>
      <c r="C24" s="246"/>
      <c r="D24" s="246"/>
      <c r="E24" s="246"/>
      <c r="F24" s="246"/>
    </row>
    <row r="25" spans="1:6" ht="37.5" hidden="1" customHeight="1">
      <c r="A25" s="256" t="s">
        <v>420</v>
      </c>
      <c r="B25" s="256"/>
      <c r="C25" s="256"/>
      <c r="D25" s="256"/>
      <c r="E25" s="256"/>
      <c r="F25" s="256"/>
    </row>
    <row r="26" spans="1:6">
      <c r="A26" s="280" t="str">
        <f>""&amp;'Общие данные'!B65&amp;" bo’yicha ta’minot:"</f>
        <v>Mikroqarz bo’yicha ta’minot:</v>
      </c>
      <c r="B26" s="280"/>
      <c r="C26" s="280"/>
      <c r="D26" s="280"/>
      <c r="E26" s="280"/>
      <c r="F26" s="280"/>
    </row>
    <row r="27" spans="1:6" ht="15" hidden="1" customHeight="1">
      <c r="A27" s="246" t="str">
        <f>" - "&amp;'Общие данные'!B117&amp;" ga mulk huquqi asosida tegishli avtotransport vositasi "&amp;'Общие данные'!B125&amp;" , quyidagi tafsilotlarga muvofiq:"</f>
        <v xml:space="preserve"> - ANNAZAROV KAXRAMAN SADULLAYEVICH ga mulk huquqi asosida tegishli avtotransport vositasi  , quyidagi tafsilotlarga muvofiq:</v>
      </c>
      <c r="B27" s="246"/>
      <c r="C27" s="246"/>
      <c r="D27" s="246"/>
      <c r="E27" s="246"/>
      <c r="F27" s="246"/>
    </row>
    <row r="28" spans="1:6" ht="55.5" customHeight="1">
      <c r="A28" s="246" t="str">
        <f>" -   "&amp;'Общие данные'!C117&amp;" ga mulk huquqi asosida tegishli ko'chmas mulk shaklida "&amp;'Общие данные'!C126&amp;", manzili: "&amp;'Общие данные'!C123&amp;", quyidagi tafsilotlarga muvofiq:"</f>
        <v xml:space="preserve"> -   ANNAZAROV KAXRAMAN SADULLAYEVICH ga mulk huquqi asosida tegishli ko'chmas mulk shaklida Yakka tartibdagi uy-joy, manzili: QORAQALPOG'ISTON RESPUBLIKASI TO'RTKO'L TUMANI YOSHLIK MFY KALTAMINAR KO'CHASI 1B-UY, quyidagi tafsilotlarga muvofiq:</v>
      </c>
      <c r="B28" s="246"/>
      <c r="C28" s="246"/>
      <c r="D28" s="246"/>
      <c r="E28" s="246"/>
      <c r="F28" s="246"/>
    </row>
    <row r="29" spans="1:6" ht="50.25" hidden="1" customHeight="1">
      <c r="A29" s="246" t="str">
        <f>IF('Общие данные'!B103="Avtotransport",'Заключение КК'!A27:F27,'Заключение КК'!A28:F28)</f>
        <v xml:space="preserve"> -   ANNAZAROV KAXRAMAN SADULLAYEVICH ga mulk huquqi asosida tegishli ko'chmas mulk shaklida Yakka tartibdagi uy-joy, manzili: QORAQALPOG'ISTON RESPUBLIKASI TO'RTKO'L TUMANI YOSHLIK MFY KALTAMINAR KO'CHASI 1B-UY, quyidagi tafsilotlarga muvofiq:</v>
      </c>
      <c r="B29" s="246"/>
      <c r="C29" s="246"/>
      <c r="D29" s="246"/>
      <c r="E29" s="246"/>
      <c r="F29" s="246"/>
    </row>
    <row r="30" spans="1:6" s="19" customFormat="1" ht="58.9" customHeight="1" outlineLevel="1">
      <c r="A30" s="42" t="s">
        <v>196</v>
      </c>
      <c r="B30" s="42" t="s">
        <v>408</v>
      </c>
      <c r="C30" s="42" t="s">
        <v>404</v>
      </c>
      <c r="D30" s="42" t="s">
        <v>256</v>
      </c>
      <c r="E30" s="42" t="s">
        <v>410</v>
      </c>
      <c r="F30" s="42" t="s">
        <v>197</v>
      </c>
    </row>
    <row r="31" spans="1:6" s="23" customFormat="1" ht="92.25" customHeight="1" outlineLevel="1">
      <c r="A31" s="20" t="str">
        <f>'Общие данные'!C125</f>
        <v>Yakka tartibdagi uy-joy</v>
      </c>
      <c r="B31" s="20">
        <f>'Общие данные'!C134</f>
        <v>704</v>
      </c>
      <c r="C31" s="20">
        <f>'Общие данные'!C133</f>
        <v>149.81</v>
      </c>
      <c r="D31" s="20">
        <f>'Общие данные'!C131</f>
        <v>108.36</v>
      </c>
      <c r="E31" s="20">
        <f>'Общие данные'!C130</f>
        <v>213.72</v>
      </c>
      <c r="F31" s="20" t="str">
        <f>""&amp;FIXED('Общие данные'!B136)&amp;" ("&amp;'Общие данные'!B137&amp;")"</f>
        <v>140 000 000,00 (yuz qirq million so'm)</v>
      </c>
    </row>
    <row r="32" spans="1:6" hidden="1" outlineLevel="1">
      <c r="A32" s="246" t="str">
        <f>"-* avtotransport vositasining mulkdori: "&amp;'Общие данные'!B117&amp;""</f>
        <v>-* avtotransport vositasining mulkdori: ANNAZAROV KAXRAMAN SADULLAYEVICH</v>
      </c>
      <c r="B32" s="246"/>
      <c r="C32" s="246"/>
      <c r="D32" s="246"/>
      <c r="E32" s="246"/>
      <c r="F32" s="246"/>
    </row>
    <row r="33" spans="1:6" hidden="1" outlineLevel="1">
      <c r="A33" s="246" t="str">
        <f>"-* texpasport raqami:: "&amp;'Общие данные'!B124&amp;""</f>
        <v xml:space="preserve">-* texpasport raqami:: </v>
      </c>
      <c r="B33" s="246"/>
      <c r="C33" s="246"/>
      <c r="D33" s="246"/>
      <c r="E33" s="246"/>
      <c r="F33" s="246"/>
    </row>
    <row r="34" spans="1:6" ht="33" hidden="1" customHeight="1" outlineLevel="1">
      <c r="A34" s="246" t="str">
        <f>"-* roʻyxatdan oʻtgan manzili/garaj manzili: "&amp;'Общие данные'!B122&amp;""</f>
        <v>-* roʻyxatdan oʻtgan manzili/garaj manzili: QORAQALPOG'ISTON RESPUBLIKASI TO'RTKO'L TUMANI YOSHLIK MFY KALTAMINAR KO'CHASI 1B-UY</v>
      </c>
      <c r="B34" s="246"/>
      <c r="C34" s="246"/>
      <c r="D34" s="246"/>
      <c r="E34" s="246"/>
      <c r="F34" s="246"/>
    </row>
    <row r="35" spans="1:6" hidden="1" outlineLevel="1">
      <c r="A35" s="246" t="str">
        <f>"-* davlat raqami: "&amp;'Общие данные'!B126&amp;""</f>
        <v xml:space="preserve">-* davlat raqami: </v>
      </c>
      <c r="B35" s="246"/>
      <c r="C35" s="246"/>
      <c r="D35" s="246"/>
      <c r="E35" s="246"/>
      <c r="F35" s="246"/>
    </row>
    <row r="36" spans="1:6" ht="9.75" hidden="1" customHeight="1">
      <c r="A36" s="22"/>
      <c r="B36" s="22"/>
      <c r="C36" s="22"/>
      <c r="D36" s="22"/>
      <c r="E36" s="22"/>
      <c r="F36" s="22"/>
    </row>
    <row r="37" spans="1:6" ht="57" hidden="1" outlineLevel="1">
      <c r="A37" s="42" t="s">
        <v>196</v>
      </c>
      <c r="B37" s="42"/>
      <c r="C37" s="42" t="s">
        <v>255</v>
      </c>
      <c r="D37" s="42" t="s">
        <v>256</v>
      </c>
      <c r="E37" s="42" t="s">
        <v>257</v>
      </c>
      <c r="F37" s="42" t="s">
        <v>197</v>
      </c>
    </row>
    <row r="38" spans="1:6" ht="21.75" hidden="1" customHeight="1" outlineLevel="1">
      <c r="A38" s="55" t="str">
        <f>'Акт согласования'!A51</f>
        <v>Yashash xona</v>
      </c>
      <c r="B38" s="55"/>
      <c r="C38" s="219" t="str">
        <f>'Акт согласования'!C51</f>
        <v>3</v>
      </c>
      <c r="D38" s="59" t="s">
        <v>391</v>
      </c>
      <c r="E38" s="59" t="s">
        <v>390</v>
      </c>
      <c r="F38" s="286" t="str">
        <f>""&amp;FIXED('Общие данные'!C136,2)&amp;" ("&amp;'Общие данные'!C137&amp;")"</f>
        <v>140 000 000,00 (yuz qirq million so'm)</v>
      </c>
    </row>
    <row r="39" spans="1:6" ht="21.75" hidden="1" customHeight="1" outlineLevel="1">
      <c r="A39" s="55">
        <f>'Акт согласования'!A52</f>
        <v>0</v>
      </c>
      <c r="B39" s="55"/>
      <c r="C39" s="59">
        <f>'Акт согласования'!C52</f>
        <v>0</v>
      </c>
      <c r="D39" s="59">
        <f>'Акт согласования'!D52</f>
        <v>0</v>
      </c>
      <c r="E39" s="59">
        <f>'Акт согласования'!E52</f>
        <v>0</v>
      </c>
      <c r="F39" s="286"/>
    </row>
    <row r="40" spans="1:6" ht="34.5" hidden="1" customHeight="1" outlineLevel="1">
      <c r="A40" s="55" t="str">
        <f>'Акт согласования'!A53</f>
        <v>Umumiy maydon</v>
      </c>
      <c r="B40" s="55"/>
      <c r="C40" s="59" t="s">
        <v>390</v>
      </c>
      <c r="D40" s="59" t="s">
        <v>391</v>
      </c>
      <c r="E40" s="59" t="s">
        <v>390</v>
      </c>
      <c r="F40" s="286"/>
    </row>
    <row r="41" spans="1:6" ht="21.75" hidden="1" customHeight="1" outlineLevel="1">
      <c r="A41" s="55">
        <f>'Акт согласования'!A54</f>
        <v>0</v>
      </c>
      <c r="B41" s="55"/>
      <c r="C41" s="59">
        <f>'Акт согласования'!C54</f>
        <v>0</v>
      </c>
      <c r="D41" s="59">
        <f>'Акт согласования'!D54</f>
        <v>0</v>
      </c>
      <c r="E41" s="59">
        <f>'Акт согласования'!E54</f>
        <v>0</v>
      </c>
      <c r="F41" s="286"/>
    </row>
    <row r="42" spans="1:6" ht="21.75" hidden="1" customHeight="1" outlineLevel="1">
      <c r="A42" s="55">
        <f>'Акт согласования'!A55</f>
        <v>0</v>
      </c>
      <c r="B42" s="55"/>
      <c r="C42" s="59">
        <f>'Акт согласования'!C55</f>
        <v>0</v>
      </c>
      <c r="D42" s="59">
        <f>'Акт согласования'!D55</f>
        <v>0</v>
      </c>
      <c r="E42" s="59">
        <f>'Акт согласования'!E55</f>
        <v>0</v>
      </c>
      <c r="F42" s="286"/>
    </row>
    <row r="43" spans="1:6" ht="21.75" hidden="1" customHeight="1" outlineLevel="1">
      <c r="A43" s="55">
        <f>'Акт согласования'!A56</f>
        <v>0</v>
      </c>
      <c r="B43" s="55"/>
      <c r="C43" s="59">
        <f>'Акт согласования'!C56</f>
        <v>0</v>
      </c>
      <c r="D43" s="59">
        <f>'Акт согласования'!D56</f>
        <v>0</v>
      </c>
      <c r="E43" s="59">
        <f>'Акт согласования'!E56</f>
        <v>0</v>
      </c>
      <c r="F43" s="286"/>
    </row>
    <row r="44" spans="1:6" ht="21.75" hidden="1" customHeight="1" outlineLevel="1">
      <c r="A44" s="55">
        <f>'Акт согласования'!A57</f>
        <v>0</v>
      </c>
      <c r="B44" s="55"/>
      <c r="C44" s="59">
        <f>'Акт согласования'!C57</f>
        <v>0</v>
      </c>
      <c r="D44" s="59">
        <f>'Акт согласования'!D57</f>
        <v>0</v>
      </c>
      <c r="E44" s="59">
        <f>'Акт согласования'!E57</f>
        <v>0</v>
      </c>
      <c r="F44" s="286"/>
    </row>
    <row r="45" spans="1:6" ht="21.75" hidden="1" customHeight="1" outlineLevel="1">
      <c r="A45" s="55">
        <f>'Акт согласования'!A58</f>
        <v>0</v>
      </c>
      <c r="B45" s="55"/>
      <c r="C45" s="59">
        <f>'Акт согласования'!C58</f>
        <v>0</v>
      </c>
      <c r="D45" s="59">
        <f>'Акт согласования'!D58</f>
        <v>0</v>
      </c>
      <c r="E45" s="59">
        <f>'Акт согласования'!E58</f>
        <v>0</v>
      </c>
      <c r="F45" s="286"/>
    </row>
    <row r="46" spans="1:6" ht="21.75" hidden="1" customHeight="1" outlineLevel="1">
      <c r="A46" s="55">
        <f>'Акт согласования'!A59</f>
        <v>0</v>
      </c>
      <c r="B46" s="55"/>
      <c r="C46" s="59">
        <f>'Акт согласования'!C59</f>
        <v>0</v>
      </c>
      <c r="D46" s="59">
        <f>'Акт согласования'!D59</f>
        <v>0</v>
      </c>
      <c r="E46" s="59">
        <f>'Акт согласования'!E59</f>
        <v>0</v>
      </c>
      <c r="F46" s="286"/>
    </row>
    <row r="47" spans="1:6" ht="21.75" hidden="1" customHeight="1" outlineLevel="1">
      <c r="A47" s="55">
        <f>'Акт согласования'!A60</f>
        <v>0</v>
      </c>
      <c r="B47" s="55"/>
      <c r="C47" s="59">
        <f>'Акт согласования'!C60</f>
        <v>0</v>
      </c>
      <c r="D47" s="59">
        <f>'Акт согласования'!D60</f>
        <v>0</v>
      </c>
      <c r="E47" s="59">
        <f>'Акт согласования'!E60</f>
        <v>0</v>
      </c>
      <c r="F47" s="286"/>
    </row>
    <row r="48" spans="1:6" hidden="1" outlineLevel="1">
      <c r="A48" s="55">
        <f>'Акт согласования'!A61</f>
        <v>0</v>
      </c>
      <c r="B48" s="55"/>
      <c r="C48" s="59">
        <f>'Акт согласования'!C61</f>
        <v>0</v>
      </c>
      <c r="D48" s="59">
        <f>'Акт согласования'!D61</f>
        <v>0</v>
      </c>
      <c r="E48" s="59">
        <f>'Акт согласования'!E61</f>
        <v>0</v>
      </c>
      <c r="F48" s="286"/>
    </row>
    <row r="49" spans="1:6" s="40" customFormat="1" ht="14.25" hidden="1" outlineLevel="1">
      <c r="A49" s="56" t="str">
        <f>'Акт согласования'!A62</f>
        <v>JAMI</v>
      </c>
      <c r="B49" s="56"/>
      <c r="C49" s="60" t="str">
        <f>C40</f>
        <v>43.96</v>
      </c>
      <c r="D49" s="60" t="str">
        <f>D38</f>
        <v>18.82</v>
      </c>
      <c r="E49" s="60" t="str">
        <f>E40</f>
        <v>43.96</v>
      </c>
      <c r="F49" s="61" t="str">
        <f>'Акт согласования'!F62</f>
        <v>140 000 000,00</v>
      </c>
    </row>
    <row r="50" spans="1:6" s="40" customFormat="1" outlineLevel="1">
      <c r="A50" s="246" t="str">
        <f>"-* ko'chmas mulk egasi: "&amp;'Общие данные'!C117&amp;""</f>
        <v>-* ko'chmas mulk egasi: ANNAZAROV KAXRAMAN SADULLAYEVICH</v>
      </c>
      <c r="B50" s="246"/>
      <c r="C50" s="246"/>
      <c r="D50" s="246"/>
      <c r="E50" s="246"/>
      <c r="F50" s="246"/>
    </row>
    <row r="51" spans="1:6" s="40" customFormat="1" outlineLevel="1">
      <c r="A51" s="246" t="str">
        <f>"-* reestr raqami: "&amp;'Общие данные'!C124&amp;""</f>
        <v>-* reestr raqami: №1735233/Y-26004624</v>
      </c>
      <c r="B51" s="246"/>
      <c r="C51" s="246"/>
      <c r="D51" s="246"/>
      <c r="E51" s="246"/>
      <c r="F51" s="246"/>
    </row>
    <row r="52" spans="1:6" s="40" customFormat="1" outlineLevel="1">
      <c r="A52" s="246" t="str">
        <f>"-* kadastr raqami: "&amp;'Общие данные'!C127&amp;""</f>
        <v>-* kadastr raqami: 01.04.2026 y. №23:08:40:01:04:0357</v>
      </c>
      <c r="B52" s="246"/>
      <c r="C52" s="246"/>
      <c r="D52" s="246"/>
      <c r="E52" s="246"/>
      <c r="F52" s="246"/>
    </row>
    <row r="53" spans="1:6" s="40" customFormat="1" ht="30.75" customHeight="1" outlineLevel="1">
      <c r="A53" s="246" t="str">
        <f>"-* manzili: "&amp;'Общие данные'!C123&amp;""</f>
        <v>-* manzili: QORAQALPOG'ISTON RESPUBLIKASI TO'RTKO'L TUMANI YOSHLIK MFY KALTAMINAR KO'CHASI 1B-UY</v>
      </c>
      <c r="B53" s="246"/>
      <c r="C53" s="246"/>
      <c r="D53" s="246"/>
      <c r="E53" s="246"/>
      <c r="F53" s="246"/>
    </row>
    <row r="54" spans="1:6" ht="3.75" customHeight="1">
      <c r="A54" s="246"/>
      <c r="B54" s="246"/>
      <c r="C54" s="246"/>
      <c r="D54" s="246"/>
      <c r="E54" s="246"/>
      <c r="F54" s="246"/>
    </row>
    <row r="55" spans="1:6" ht="39" customHeight="1">
      <c r="A55" s="280" t="str">
        <f>""&amp;'Общие данные'!B147&amp;"
mikromoliya tashkilotining Xulosasi"</f>
        <v>«PULLOL BUSINESS MIKROMOLIYA TASHKILOTI»  MChJ
mikromoliya tashkilotining Xulosasi</v>
      </c>
      <c r="B55" s="280"/>
      <c r="C55" s="280"/>
      <c r="D55" s="280"/>
      <c r="E55" s="280"/>
      <c r="F55" s="280"/>
    </row>
    <row r="56" spans="1:6" ht="48" customHeight="1">
      <c r="A56" s="246" t="str">
        <f>""&amp;'Общие данные'!B147&amp;" kredit qo‘mitasining xulosasiga quyidagi shartlarda "&amp;'Общие данные'!B10&amp;"ga "&amp;'Общие данные'!B65&amp;" berish masalasi kiritiladi:"</f>
        <v>«PULLOL BUSINESS MIKROMOLIYA TASHKILOTI»  MChJ kredit qo‘mitasining xulosasiga quyidagi shartlarda ANNAZAROV KAXRAMAN SADULLAYEVICHga Mikroqarz berish masalasi kiritiladi:</v>
      </c>
      <c r="B56" s="246"/>
      <c r="C56" s="246"/>
      <c r="D56" s="246"/>
      <c r="E56" s="246"/>
      <c r="F56" s="246"/>
    </row>
    <row r="57" spans="1:6">
      <c r="A57" s="246" t="str">
        <f>A11</f>
        <v>Mikroqarz summasi: 100 000 000,00 (Yuz million so'm) so'm.</v>
      </c>
      <c r="B57" s="246"/>
      <c r="C57" s="246"/>
      <c r="D57" s="246"/>
      <c r="E57" s="246"/>
      <c r="F57" s="246"/>
    </row>
    <row r="58" spans="1:6">
      <c r="A58" s="246" t="str">
        <f t="shared" ref="A58:A64" si="0">A12</f>
        <v>Mikroqarz muddati: 36 (Yigirma to'rt) oy.</v>
      </c>
      <c r="B58" s="246"/>
      <c r="C58" s="246"/>
      <c r="D58" s="246"/>
      <c r="E58" s="246"/>
      <c r="F58" s="246"/>
    </row>
    <row r="59" spans="1:6">
      <c r="A59" s="246" t="str">
        <f t="shared" si="0"/>
        <v>Mikroqarzdan foydalanganlik uchun foiz stavkasi: yillik  55% (Ellik besh  ) foiz</v>
      </c>
      <c r="B59" s="246"/>
      <c r="C59" s="246"/>
      <c r="D59" s="246"/>
      <c r="E59" s="246"/>
      <c r="F59" s="246"/>
    </row>
    <row r="60" spans="1:6">
      <c r="A60" s="246" t="str">
        <f t="shared" si="0"/>
        <v>Mikroqarz bo'yicha asosiy qarz va foizlarni to'lash:</v>
      </c>
      <c r="B60" s="246"/>
      <c r="C60" s="246"/>
      <c r="D60" s="246"/>
      <c r="E60" s="246"/>
      <c r="F60" s="246"/>
    </row>
    <row r="61" spans="1:6" ht="20.25" customHeight="1">
      <c r="A61" s="246" t="str">
        <f t="shared" si="0"/>
        <v xml:space="preserve"> - Mikroqarz shartnomasi bo'yicha har oy differensial to'lovlari amalga oshiriladi</v>
      </c>
      <c r="B61" s="246"/>
      <c r="C61" s="246"/>
      <c r="D61" s="246"/>
      <c r="E61" s="246"/>
      <c r="F61" s="246"/>
    </row>
    <row r="62" spans="1:6" ht="31.5" hidden="1" customHeight="1">
      <c r="A62" s="246" t="str">
        <f t="shared" si="0"/>
        <v xml:space="preserve">   </v>
      </c>
      <c r="B62" s="246"/>
      <c r="C62" s="246"/>
      <c r="D62" s="246"/>
      <c r="E62" s="246"/>
      <c r="F62" s="246"/>
    </row>
    <row r="63" spans="1:6">
      <c r="A63" s="246" t="str">
        <f t="shared" si="0"/>
        <v>Mikroqarz ta’minoti::</v>
      </c>
      <c r="B63" s="246"/>
      <c r="C63" s="246"/>
      <c r="D63" s="246"/>
      <c r="E63" s="246"/>
      <c r="F63" s="246"/>
    </row>
    <row r="64" spans="1:6" ht="56.25" customHeight="1">
      <c r="A64" s="246" t="str">
        <f t="shared" si="0"/>
        <v xml:space="preserve"> Egalik huquqi ANNAZAROV KAXRAMAN SADULLAYEVICHga tegishli bo'lgan  umumiy yer maydoni, (m2) - 704, qurilish osti maydoni - 149,81, umumiy foydali maydoni - 213,72  va yashash maydoni  - 108,36 Yakka tartibdagi uy-joy, QORAQALPOG'ISTON RESPUBLIKASI TO'RTKO'L TUMANI YOSHLIK MFY KALTAMINAR KO'CHASI 1B-UY </v>
      </c>
      <c r="B64" s="246"/>
      <c r="C64" s="246"/>
      <c r="D64" s="246"/>
      <c r="E64" s="246"/>
      <c r="F64" s="246"/>
    </row>
    <row r="65" spans="1:6">
      <c r="A65" s="246"/>
      <c r="B65" s="246"/>
      <c r="C65" s="246"/>
      <c r="D65" s="246"/>
      <c r="E65" s="246"/>
      <c r="F65" s="246"/>
    </row>
    <row r="66" spans="1:6" ht="36.75" customHeight="1">
      <c r="A66" s="246" t="str">
        <f>""&amp;'Общие данные'!B147&amp;" mikromoliya tashkilotining xulosasi  "&amp;TEXT('Общие данные'!B2,"ДД.ММ.ГГГГ")&amp;" y. tayyorlangan"</f>
        <v>«PULLOL BUSINESS MIKROMOLIYA TASHKILOTI»  MChJ mikromoliya tashkilotining xulosasi  03.04.2026 y. tayyorlangan</v>
      </c>
      <c r="B66" s="246"/>
      <c r="C66" s="246"/>
      <c r="D66" s="246"/>
      <c r="E66" s="246"/>
      <c r="F66" s="246"/>
    </row>
    <row r="67" spans="1:6">
      <c r="A67" s="246"/>
      <c r="B67" s="246"/>
      <c r="C67" s="246"/>
      <c r="D67" s="246"/>
      <c r="E67" s="246"/>
      <c r="F67" s="246"/>
    </row>
    <row r="68" spans="1:6" ht="15.75" customHeight="1">
      <c r="A68" s="256"/>
      <c r="B68" s="256"/>
      <c r="C68" s="256"/>
      <c r="D68" s="256"/>
      <c r="E68" s="25"/>
      <c r="F68" s="26"/>
    </row>
    <row r="69" spans="1:6" ht="35.25" customHeight="1">
      <c r="A69" s="256" t="str">
        <f>'Общие данные'!A160</f>
        <v>To'rtko'l filiali boshlig’i</v>
      </c>
      <c r="B69" s="256"/>
      <c r="C69" s="256"/>
      <c r="D69" s="256"/>
      <c r="E69" s="26"/>
      <c r="F69" s="26" t="str">
        <f>'Общие данные'!B160</f>
        <v>Djumanazarov B.A.</v>
      </c>
    </row>
    <row r="70" spans="1:6">
      <c r="A70" s="246"/>
      <c r="B70" s="246"/>
      <c r="C70" s="246"/>
      <c r="D70" s="246"/>
      <c r="E70" s="246"/>
      <c r="F70" s="246"/>
    </row>
    <row r="71" spans="1:6" ht="47.25" customHeight="1">
      <c r="A71" s="246" t="str">
        <f>""&amp;'Общие данные'!B147&amp;" mikromoliya tashkilotining Kredit qo‘mitasi a’zolari "&amp;'Общие данные'!B147&amp;"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71" s="246"/>
      <c r="C71" s="246"/>
      <c r="D71" s="246"/>
      <c r="E71" s="246"/>
      <c r="F71" s="246"/>
    </row>
    <row r="72" spans="1:6">
      <c r="A72" s="22"/>
      <c r="B72" s="22"/>
      <c r="C72" s="22"/>
      <c r="D72" s="22"/>
      <c r="E72" s="22"/>
      <c r="F72" s="22"/>
    </row>
    <row r="73" spans="1:6">
      <c r="A73" s="256" t="str">
        <f>'Общие данные'!B150</f>
        <v>Obidov A. Sh.</v>
      </c>
      <c r="B73" s="256"/>
      <c r="C73" s="256"/>
      <c r="D73" s="22"/>
      <c r="E73" s="22"/>
      <c r="F73" s="22"/>
    </row>
    <row r="74" spans="1:6" hidden="1">
      <c r="A74" s="22"/>
      <c r="B74" s="22"/>
      <c r="C74" s="22"/>
      <c r="D74" s="22"/>
      <c r="E74" s="22"/>
      <c r="F74" s="22"/>
    </row>
    <row r="75" spans="1:6" hidden="1">
      <c r="A75" s="256" t="str">
        <f>'Общие данные'!B160</f>
        <v>Djumanazarov B.A.</v>
      </c>
      <c r="B75" s="256"/>
      <c r="C75" s="256"/>
      <c r="D75" s="25"/>
      <c r="E75" s="25"/>
      <c r="F75" s="25"/>
    </row>
    <row r="76" spans="1:6">
      <c r="A76" s="64"/>
      <c r="B76" s="64"/>
      <c r="C76" s="64"/>
      <c r="D76" s="25"/>
      <c r="E76" s="25"/>
      <c r="F76" s="25"/>
    </row>
    <row r="77" spans="1:6" ht="21" customHeight="1">
      <c r="A77" s="246" t="str">
        <f>'Общие данные'!B159</f>
        <v>Akramov R.N.</v>
      </c>
      <c r="B77" s="246"/>
      <c r="C77" s="246"/>
      <c r="D77" s="246"/>
      <c r="E77" s="246"/>
      <c r="F77" s="246"/>
    </row>
    <row r="79" spans="1:6">
      <c r="A79" s="18" t="str">
        <f>'Общие данные'!B161</f>
        <v>Eshbekov S.O.</v>
      </c>
    </row>
  </sheetData>
  <mergeCells count="59">
    <mergeCell ref="A71:F71"/>
    <mergeCell ref="A77:F77"/>
    <mergeCell ref="A56:F56"/>
    <mergeCell ref="A57:F57"/>
    <mergeCell ref="A58:F58"/>
    <mergeCell ref="A59:F59"/>
    <mergeCell ref="A60:F60"/>
    <mergeCell ref="A61:F61"/>
    <mergeCell ref="A62:F62"/>
    <mergeCell ref="A63:F63"/>
    <mergeCell ref="A64:F64"/>
    <mergeCell ref="A65:F65"/>
    <mergeCell ref="A73:C73"/>
    <mergeCell ref="A75:C75"/>
    <mergeCell ref="A66:F66"/>
    <mergeCell ref="A67:F67"/>
    <mergeCell ref="A70:F70"/>
    <mergeCell ref="A33:F33"/>
    <mergeCell ref="A34:F34"/>
    <mergeCell ref="A35:F35"/>
    <mergeCell ref="A54:F54"/>
    <mergeCell ref="A55:F55"/>
    <mergeCell ref="F38:F48"/>
    <mergeCell ref="A50:F50"/>
    <mergeCell ref="A51:F51"/>
    <mergeCell ref="A52:F52"/>
    <mergeCell ref="A53:F53"/>
    <mergeCell ref="A68:D68"/>
    <mergeCell ref="A69:D69"/>
    <mergeCell ref="A32:F32"/>
    <mergeCell ref="A14:F14"/>
    <mergeCell ref="A15:F15"/>
    <mergeCell ref="A16:F16"/>
    <mergeCell ref="A17:F17"/>
    <mergeCell ref="A18:F18"/>
    <mergeCell ref="A27:F27"/>
    <mergeCell ref="A19:F19"/>
    <mergeCell ref="A20:F20"/>
    <mergeCell ref="A24:F24"/>
    <mergeCell ref="A25:F25"/>
    <mergeCell ref="A28:F28"/>
    <mergeCell ref="A29:F29"/>
    <mergeCell ref="A7:F7"/>
    <mergeCell ref="A8:F8"/>
    <mergeCell ref="A9:F9"/>
    <mergeCell ref="A26:F26"/>
    <mergeCell ref="A10:F10"/>
    <mergeCell ref="A11:F11"/>
    <mergeCell ref="A12:F12"/>
    <mergeCell ref="A13:F13"/>
    <mergeCell ref="A23:F23"/>
    <mergeCell ref="A22:F22"/>
    <mergeCell ref="A21:F21"/>
    <mergeCell ref="A6:F6"/>
    <mergeCell ref="A1:F1"/>
    <mergeCell ref="A2:F2"/>
    <mergeCell ref="A3:F3"/>
    <mergeCell ref="A4:F4"/>
    <mergeCell ref="A5:F5"/>
  </mergeCells>
  <phoneticPr fontId="58" type="noConversion"/>
  <conditionalFormatting sqref="A38:E49">
    <cfRule type="cellIs" dxfId="2" priority="1" operator="lessThan">
      <formula>0.1</formula>
    </cfRule>
    <cfRule type="cellIs" priority="2" operator="lessThan">
      <formula>0.1</formula>
    </cfRule>
  </conditionalFormatting>
  <pageMargins left="0.70866141732283472" right="0.70866141732283472" top="0.74803149606299213" bottom="0.74803149606299213" header="0.31496062992125984" footer="0.31496062992125984"/>
  <pageSetup paperSize="9" scale="5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tabColor rgb="FF00B050"/>
  </sheetPr>
  <dimension ref="A1:K131"/>
  <sheetViews>
    <sheetView view="pageBreakPreview" zoomScaleNormal="55" zoomScaleSheetLayoutView="100" workbookViewId="0">
      <selection activeCell="A24" sqref="A24:B24"/>
    </sheetView>
  </sheetViews>
  <sheetFormatPr defaultColWidth="9.140625" defaultRowHeight="15.75"/>
  <cols>
    <col min="1" max="1" width="50.42578125" style="9" customWidth="1"/>
    <col min="2" max="2" width="57.42578125" style="9" customWidth="1"/>
    <col min="3" max="3" width="93.28515625" style="9" customWidth="1"/>
    <col min="4" max="7" width="9.140625" style="9" customWidth="1"/>
    <col min="8" max="8" width="111.5703125" style="9" customWidth="1"/>
    <col min="9" max="16" width="9.140625" style="9" customWidth="1"/>
    <col min="17" max="16384" width="9.140625" style="9"/>
  </cols>
  <sheetData>
    <row r="1" spans="1:3">
      <c r="A1" s="318" t="str">
        <f>""&amp;'Общие данные'!B65&amp;" shartnoma "&amp;'Общие данные'!B66&amp;""</f>
        <v>Mikroqarz shartnoma №310-TR</v>
      </c>
      <c r="B1" s="318"/>
    </row>
    <row r="3" spans="1:3">
      <c r="A3" s="318" t="str">
        <f>"Toshkent shahri                                                                               "&amp;'Общие данные'!B70&amp;""</f>
        <v>Toshkent shahri                                                                               3 aprel 2026 y.</v>
      </c>
      <c r="B3" s="318"/>
    </row>
    <row r="4" spans="1:3">
      <c r="A4" s="80"/>
    </row>
    <row r="5" spans="1:3" ht="114.75" customHeight="1">
      <c r="A5" s="321" t="str">
        <f>""&amp;'Общие данные'!B147&amp;", bundan buyon «Mikromoliya tashkiloti» deb nomlanuvchi, ishonchnoma asosida xarakat qiluvchi "&amp;'Общие данные'!A160&amp;" "&amp;'Общие данные'!B160&amp;"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данные'!B65&amp;" shartnomasini (bundan keyin – «Shartnoma») quyidagilar haqida tuzdilar:"</f>
        <v>«PULLOL BUSINESS MIKROMOLIYA TASHKILOTI»  MChJ, bundan buyon «Mikromoliya tashkiloti» deb nomlanuvchi, ishonchnoma asosida xarakat qiluvchi To'rtko'l filiali boshlig’i Djumanazarov B.A.  bir tomondan va o‘z manfaati yo‘lida hamda o‘z nomidan harakat qiluvchi O‘zbekiston Respublikasi fuqarosi ANNAZAROV KAXRAMAN SADULLAYEVICH  (pasport raqami AD 2849628, IIV 35233 tomonidan 23.03.2023 yilda berilgan ), bundan buyon «Qarz oluvchi» deb nomlanuvchi, boshqa tomondan, birgalikda “Tomonlar” yoki alohida “Tomon” deb nomlanuvchilar, Qarz oluvchi tomonidan 03.04.2026 yil,Mikroqarz olish uchun ariza berilganligini hisobga olib, ushbu Mikroqarz shartnomasini (bundan keyin – «Shartnoma») quyidagilar haqida tuzdilar:</v>
      </c>
      <c r="B5" s="321"/>
    </row>
    <row r="7" spans="1:3">
      <c r="A7" s="318" t="s">
        <v>254</v>
      </c>
      <c r="B7" s="318"/>
    </row>
    <row r="8" spans="1:3" ht="53.25" customHeight="1">
      <c r="A8" s="321" t="str">
        <f>"1.1. Mikromoliya tashkiloti Qarz oluvchiga umumiy miqdori "&amp;FIXED('Общие данные'!B75,2)&amp;" ("&amp;'Общие данные'!B76&amp;") bo‘lgan "&amp;'Общие данные'!B65&amp;"ni "&amp;'Общие данные'!B71&amp;" dan "&amp;'Общие данные'!B73&amp;" gacha bo'lgan muddatga naqd pul va/yoki o'tkazmasi shaklida ajratadi."</f>
        <v>1.1. Mikromoliya tashkiloti Qarz oluvchiga umumiy miqdori 100 000 000,00 (Yuz million so'm) bo‘lgan Mikroqarzni 3 aprel 2026 y. dan 3 aprel 2029 y. gacha bo'lgan muddatga naqd pul va/yoki o'tkazmasi shaklida ajratadi.</v>
      </c>
      <c r="B8" s="321"/>
    </row>
    <row r="9" spans="1:3" ht="36" customHeight="1">
      <c r="A9" s="321"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21"/>
    </row>
    <row r="10" spans="1:3">
      <c r="A10" s="35"/>
    </row>
    <row r="11" spans="1:3">
      <c r="A11" s="323" t="str">
        <f>"2. "&amp;'Общие данные'!D64&amp;" BERISH VA QAYTARISH TARTIBI"</f>
        <v>2. Mikroqarz BERISH VA QAYTARISH TARTIBI</v>
      </c>
      <c r="B11" s="323"/>
      <c r="C11" s="78"/>
    </row>
    <row r="12" spans="1:3" ht="36" customHeight="1">
      <c r="A12" s="321"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21"/>
    </row>
    <row r="13" spans="1:3" ht="35.25" customHeight="1">
      <c r="A13" s="321" t="str">
        <f>"2.2. "&amp;'Общие данные'!B65&amp;"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21"/>
    </row>
    <row r="14" spans="1:3" ht="35.25" customHeight="1">
      <c r="A14" s="321" t="str">
        <f>"2.3. "&amp;'Общие данные'!B65&amp;"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21"/>
    </row>
    <row r="15" spans="1:3" ht="94.5" customHeight="1">
      <c r="A15" s="321"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hisoblaydi.__________"</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155% (bir yuz ellik  besh) foiz miqdorida foizlar hisoblaydi.__________</v>
      </c>
      <c r="B15" s="321"/>
    </row>
    <row r="16" spans="1:3" ht="188.25" customHeight="1">
      <c r="A16" s="321" t="s">
        <v>325</v>
      </c>
      <c r="B16" s="321"/>
    </row>
    <row r="17" spans="1:11" ht="161.25" customHeight="1">
      <c r="A17" s="32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21"/>
      <c r="C17" s="184" t="s">
        <v>328</v>
      </c>
      <c r="H17" s="9" t="str">
        <f>'Общие данные'!B65</f>
        <v>Mikroqarz</v>
      </c>
      <c r="I17" s="9" t="s">
        <v>329</v>
      </c>
    </row>
    <row r="18" spans="1:11" ht="100.5" customHeight="1">
      <c r="A18" s="322" t="s">
        <v>367</v>
      </c>
      <c r="B18" s="322"/>
    </row>
    <row r="19" spans="1:11" ht="36" customHeight="1">
      <c r="A19" s="321"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21"/>
    </row>
    <row r="20" spans="1:11" ht="39" customHeight="1">
      <c r="A20" s="321"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21"/>
    </row>
    <row r="21" spans="1:11" ht="114" customHeight="1">
      <c r="A21" s="324"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24"/>
      <c r="C21" s="9"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9"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9"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23" t="str">
        <f>"3. "&amp;'Общие данные'!D64&amp;" TA'MINOTI BO‘YICHA "</f>
        <v xml:space="preserve">3. Mikroqarz TA'MINOTI BO‘YICHA </v>
      </c>
      <c r="B22" s="323"/>
    </row>
    <row r="23" spans="1:11" ht="19.5" customHeight="1">
      <c r="A23" s="321" t="str">
        <f>"3.1. Ushbu Shartnoma bo‘yicha taqdim etilgan "&amp;'Общие данные'!B65&amp;" quyidagi garov bilan ta'minlanadi:"</f>
        <v>3.1. Ushbu Shartnoma bo‘yicha taqdim etilgan Mikroqarz quyidagi garov bilan ta'minlanadi:</v>
      </c>
      <c r="B23" s="321"/>
    </row>
    <row r="24" spans="1:11" s="241" customFormat="1" ht="135" customHeight="1">
      <c r="A24" s="320" t="str">
        <f>IF('Общие данные'!B103='Общие данные'!C103,договор!A28,IF('Общие данные'!B103='Общие данные'!D103,договор!A25,0))</f>
        <v>3.1.1. Mikromoliya tashkiloti va Qarz oluvchi tomonidan 2026 yil 3 aprelda imzolangan 1-sonli Garov predmeti qiymatini tasdiqlash dalolatnomasiga muvofiq QORAQALPOG'ISTON RESPUBLIKASI TO'RTKO'L TUMANI YOSHLIK MFY KALTAMINAR KO'CHASI 1B-UY manzilida joylashgan,  umumiy yer maydoni - 704, qurilish osti maydoni- 149,81, umumiy foydali maydoni - 213,72 yashash maydoni - 108,36 bo'lgan, Yakka tartibdagi turarjoy -  ko'rinishidagi ko'chmas mulk (bundan keyin “Garov predmeti”), egalik huquqiga ko'ra  ANNAZAROV KAXRAMAN SADULLAYEVICHga tegishli va kelishilgan garov qiymati 2026 yil 3 aprelda imzolangan 1-sonli Garov predmeti qiymatini tasdiqlash dalolatnomasiga muvofiq 140 000 000,00 (yuz qirq million so'm) so'mni tashkil qiladi. Garovning aniq shartlari tegishli tarzda notarial tasdiqlangan garov shartnomasi bilan belgilangan.</v>
      </c>
      <c r="B24" s="320"/>
    </row>
    <row r="25" spans="1:11" s="241" customFormat="1" ht="129" hidden="1" customHeight="1">
      <c r="A25" s="319" t="str">
        <f>IF('Общие данные'!B92='Общие данные'!C92,договор!A27,IF('Общие данные'!B92='Общие данные'!D92,договор!A26,0))</f>
        <v>3.1.1. Mikromoliya tashkiloti va Qarz oluvchi tomonidan 2026 yil 3 aprelda imzolangan 1-sonli Garov predmeti qiymatini tasdiqlash dalolatnomasiga muvofiq QORAQALPOG'ISTON RESPUBLIKASI TO'RTKO'L TUMANI YOSHLIK MFY KALTAMINAR KO'CHASI 1B-UY manzilida joylashgan,  umumiy yer maydoni - 704, qurilish osti maydoni- 149,81, umumiy foydali maydoni - 213,72 yashash maydoni - 108,36 bo'lgan, Yakka tartibdagi turarjoy -  ko'rinishidagi ko'chmas mulk (bundan keyin “Garov predmeti”), egalik huquqiga ko'ra  ANNAZAROV KAXRAMAN SADULLAYEVICHga tegishli va kelishilgan garov qiymati 2026 yil 3 aprelda imzolangan 1-sonli Garov predmeti qiymatini tasdiqlash dalolatnomasiga muvofiq 140 000 000,00 (yuz qirq million so'm) so'mni tashkil qiladi. Garovning aniq shartlari tegishli tarzda notarial tasdiqlangan garov shartnomasi bilan belgilangan.</v>
      </c>
      <c r="B25" s="319"/>
    </row>
    <row r="26" spans="1:11" s="241" customFormat="1" ht="129.75" hidden="1" customHeight="1">
      <c r="A26" s="320"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2026 yil 3 aprelda imzolangan 1-sonli navbatdagi garov predmeti qiymatini tasdiqlash dalolatnomasiga muvofiq QORAQALPOG'ISTON RESPUBLIKASI TO'RTKO'L TUMANI YOSHLIK MFY KALTAMINAR KO'CHASI 1B-UY manzilida joylashgan,  umumiy yer maydoni - 704, qurilish osti maydoni- 149,81, umumiy foydali maydoni - 213,72 yashash maydoni - 108,36 bo'lgan, Yakka tartibdagi turarjoy -  ko'rinishidagi ko'chmas mulk (bundan keyin “navbatdagi garov predmeti”), egalik huquqiga ko'ra  ANNAZAROV KAXRAMAN SADULLAYEVICHga tegishli va kelishilgan garov qiymati 2026 yil 3 aprelda imzolangan 1-sonli Garov predmeti qiymatini tasdiqlash dalolatnomasiga muvofiq 140 000 000,00 (yuz qirq million so'm) so'mni tashkil qiladi. Garovning aniq shartlari tegishli tarzda notarial tasdiqlangan garov shartnomasi bilan belgilangan.</v>
      </c>
      <c r="B26" s="320"/>
    </row>
    <row r="27" spans="1:11" s="241" customFormat="1" ht="149.25" hidden="1" customHeight="1">
      <c r="A27" s="319"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2026 yil 3 aprelda imzolangan 1-sonli Garov predmeti qiymatini tasdiqlash dalolatnomasiga muvofiq QORAQALPOG'ISTON RESPUBLIKASI TO'RTKO'L TUMANI YOSHLIK MFY KALTAMINAR KO'CHASI 1B-UY manzilida joylashgan,  umumiy yer maydoni - 704, qurilish osti maydoni- 149,81, umumiy foydali maydoni - 213,72 yashash maydoni - 108,36 bo'lgan, Yakka tartibdagi turarjoy -  ko'rinishidagi ko'chmas mulk (bundan keyin “Garov predmeti”), egalik huquqiga ko'ra  ANNAZAROV KAXRAMAN SADULLAYEVICHga tegishli va kelishilgan garov qiymati 2026 yil 3 aprelda imzolangan 1-sonli Garov predmeti qiymatini tasdiqlash dalolatnomasiga muvofiq 140 000 000,00 (yuz qirq million so'm) so'mni tashkil qiladi. Garovning aniq shartlari tegishli tarzda notarial tasdiqlangan garov shartnomasi bilan belgilangan.</v>
      </c>
      <c r="B27" s="319"/>
    </row>
    <row r="28" spans="1:11" ht="114" hidden="1" customHeight="1">
      <c r="A28" s="327" t="str">
        <f>IF('Общие данные'!B92='Общие данные'!C92,A29,IF('Общие данные'!B92='Общие данные'!D92,A30,0))</f>
        <v>3.1.1. Mikromoliya tashkiloti va Qarz oluvchi tomonidan 2026 yil 3 aprelda imzolangan 1-sonli garov predmeti qiymatini tasdiqlash dalolatnomasiga muvofiq  rangli, ishlab chiqarilgan yili –  yil,  dvigatel raqami , shassi - ,  kuzov turi - , kuzov raqami №, davlat raqam belgisi  bo'lgan  rusumli avtomashinasi (bundan keyin “Garov predmeti”), egalik huquqiga ega  ANNAZAROV KAXRAMAN SADULLAYEVICHga tegishli va kelishilgan garov qiymati 2026 yil 3 aprelda imzolangan 1-sonli Garov predmeti qiymatini tasdiqlash dalolatnomasiga muvifiq 140 000 000,00 (yuz qirq million so'm) so'mni tashkil qiladi. Garov garovining aniq shartlari tegishli notarial rasmiylashtirilgan garov shartnomasi bilan belgilanadi.</v>
      </c>
      <c r="B28" s="327"/>
      <c r="K28" s="9" t="s">
        <v>322</v>
      </c>
    </row>
    <row r="29" spans="1:11" ht="114.75" hidden="1" customHeight="1">
      <c r="A29" s="327"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2026 yil 3 aprelda imzolangan 1-sonli garov predmeti qiymatini tasdiqlash dalolatnomasiga muvofiq  rangli, ishlab chiqarilgan yili –  yil,  dvigatel raqami , shassi - ,  kuzov turi - , kuzov raqami №, davlat raqam belgisi  bo'lgan  rusumli avtomashinasi (bundan keyin “Garov predmeti”), egalik huquqiga ega  ANNAZAROV KAXRAMAN SADULLAYEVICHga tegishli va kelishilgan garov qiymati 2026 yil 3 aprelda imzolangan 1-sonli Garov predmeti qiymatini tasdiqlash dalolatnomasiga muvifiq 140 000 000,00 (yuz qirq million so'm) so'mni tashkil qiladi. Garov garovining aniq shartlari tegishli notarial rasmiylashtirilgan garov shartnomasi bilan belgilanadi.</v>
      </c>
      <c r="B29" s="327"/>
    </row>
    <row r="30" spans="1:11" ht="1.5" hidden="1" customHeight="1">
      <c r="A30" s="320"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2026 yil 3 aprelda imzolangan 1-sonli navbatdagi garov predmeti qiymatini tasdiqlash dalolatnomasiga muvofiq  rangli, ishlab chiqarilgan yili –  yil,  dvigatel raqami , shassi - ,  kuzov turi - , kuzov raqami №, davlat raqam belgisi  bo'lgan  rusumli avtomashinasi (bundan keyin “navbatdagi garov predmeti”), egalik huquqiga ega  ANNAZAROV KAXRAMAN SADULLAYEVICHga tegishli va kelishilgan garov qiymati 2026 yil 3 aprelda imzolangan 1-sonli Garov predmeti qiymatini tasdiqlash dalolatnomasiga muvifiq 140 000 000,00 (yuz qirq million so'm) so'mni tashkil qiladi. Garov garovining aniq shartlari tegishli notarial rasmiylashtirilgan garov shartnomasi bilan belgilanadi.</v>
      </c>
      <c r="B30" s="320"/>
    </row>
    <row r="31" spans="1:11" ht="129" customHeight="1">
      <c r="A31" s="326"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26"/>
    </row>
    <row r="32" spans="1:11" ht="94.5" hidden="1">
      <c r="A32" s="191" t="s">
        <v>349</v>
      </c>
      <c r="B32" s="35"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91"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5" t="s">
        <v>331</v>
      </c>
    </row>
    <row r="34" spans="1:8" ht="85.5" customHeight="1">
      <c r="A34" s="325" t="s">
        <v>258</v>
      </c>
      <c r="B34" s="325"/>
    </row>
    <row r="35" spans="1:8" ht="84" customHeight="1">
      <c r="A35" s="325" t="s">
        <v>310</v>
      </c>
      <c r="B35" s="325"/>
    </row>
    <row r="37" spans="1:8">
      <c r="A37" s="329" t="s">
        <v>309</v>
      </c>
      <c r="B37" s="329"/>
      <c r="C37" s="91"/>
    </row>
    <row r="38" spans="1:8">
      <c r="A38" s="328" t="s">
        <v>308</v>
      </c>
      <c r="B38" s="328"/>
    </row>
    <row r="39" spans="1:8" ht="101.25" customHeight="1">
      <c r="A39" s="325"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ega.____________</v>
      </c>
      <c r="B39" s="325"/>
      <c r="C39" s="9" t="str">
        <f>"4.1.1. Ushbu Shartnomada ko‘rsatilgan asoslar bo‘yicha Qarz oluvchiga Shartnomada ko‘zda tutilgan "&amp;'Общие данные'!B65&amp;""</f>
        <v>4.1.1. Ushbu Shartnomada ko‘rsatilgan asoslar bo‘yicha Qarz oluvchiga Shartnomada ko‘zda tutilgan Mikroqarz</v>
      </c>
      <c r="H39" s="184" t="s">
        <v>421</v>
      </c>
    </row>
    <row r="40" spans="1:8" ht="39" customHeight="1">
      <c r="A40" s="325" t="str">
        <f>"4.1.2.1. "&amp;'Общие данные'!C64&amp;"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B40" s="325"/>
    </row>
    <row r="41" spans="1:8">
      <c r="A41" s="325" t="s">
        <v>311</v>
      </c>
      <c r="B41" s="325"/>
    </row>
    <row r="42" spans="1:8" ht="20.25" customHeight="1">
      <c r="A42" s="325" t="str">
        <f>"b) "&amp;'Общие данные'!B65&amp;" summasiga hisoblanadigan asosiy qarz bo‘yicha muddati o‘tgan qarzdorlik va/yoki foizlarning yuzaga kelishi;"</f>
        <v>b) Mikroqarz summasiga hisoblanadigan asosiy qarz bo‘yicha muddati o‘tgan qarzdorlik va/yoki foizlarning yuzaga kelishi;</v>
      </c>
      <c r="B42" s="325"/>
    </row>
    <row r="43" spans="1:8" ht="37.5" customHeight="1">
      <c r="A43" s="325" t="s">
        <v>312</v>
      </c>
      <c r="B43" s="325"/>
    </row>
    <row r="44" spans="1:8" ht="52.5" customHeight="1">
      <c r="A44" s="325" t="s">
        <v>313</v>
      </c>
      <c r="B44" s="325"/>
    </row>
    <row r="45" spans="1:8" ht="19.5" customHeight="1">
      <c r="A45" s="325" t="s">
        <v>314</v>
      </c>
      <c r="B45" s="325"/>
    </row>
    <row r="46" spans="1:8" ht="51.75" customHeight="1">
      <c r="A46" s="325"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25"/>
    </row>
    <row r="47" spans="1:8" ht="33.75" customHeight="1">
      <c r="A47" s="325" t="s">
        <v>307</v>
      </c>
      <c r="B47" s="325"/>
    </row>
    <row r="48" spans="1:8" ht="36.75" customHeight="1">
      <c r="A48" s="325" t="s">
        <v>306</v>
      </c>
      <c r="B48" s="325"/>
      <c r="C48" s="191"/>
    </row>
    <row r="49" spans="1:8" ht="100.5" customHeight="1">
      <c r="A49" s="321" t="s">
        <v>305</v>
      </c>
      <c r="B49" s="321"/>
      <c r="C49" s="191"/>
    </row>
    <row r="50" spans="1:8" ht="70.5" customHeight="1">
      <c r="A50" s="321" t="s">
        <v>304</v>
      </c>
      <c r="B50" s="321"/>
      <c r="C50" s="191"/>
    </row>
    <row r="51" spans="1:8" ht="39.75" customHeight="1">
      <c r="A51" s="321"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21"/>
      <c r="C51" s="191"/>
    </row>
    <row r="52" spans="1:8" ht="33" customHeight="1">
      <c r="A52" s="321" t="s">
        <v>315</v>
      </c>
      <c r="B52" s="321"/>
      <c r="C52" s="191"/>
    </row>
    <row r="53" spans="1:8" ht="39.75" customHeight="1">
      <c r="A53" s="321" t="s">
        <v>303</v>
      </c>
      <c r="B53" s="321"/>
      <c r="C53" s="191"/>
    </row>
    <row r="54" spans="1:8" ht="50.25" customHeight="1">
      <c r="A54" s="32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21"/>
      <c r="C54" s="191" t="str">
        <f>"4.1.10. Qarz oluvchi taqdim etilgan "&amp;'Общие данные'!B65&amp;"dan Shartnoma tuzilgan kundan boshlab 1 (bir) oy davomida foydalanmagan"</f>
        <v>4.1.10. Qarz oluvchi taqdim etilgan Mikroqarzdan Shartnoma tuzilgan kundan boshlab 1 (bir) oy davomida foydalanmagan</v>
      </c>
      <c r="H54" s="9" t="s">
        <v>332</v>
      </c>
    </row>
    <row r="55" spans="1:8" ht="19.5" customHeight="1">
      <c r="A55" s="321" t="str">
        <f>"4.1.11. Oldingi "&amp;'Общие данные'!B65&amp;" to‘liq to‘lanmagunga qadar yangi "&amp;'Общие данные'!B65&amp;" berishni rad etish."</f>
        <v>4.1.11. Oldingi Mikroqarz to‘liq to‘lanmagunga qadar yangi Mikroqarz berishni rad etish.</v>
      </c>
      <c r="B55" s="321"/>
      <c r="C55" s="191"/>
    </row>
    <row r="57" spans="1:8">
      <c r="A57" s="323" t="s">
        <v>302</v>
      </c>
      <c r="B57" s="323"/>
      <c r="C57" s="190"/>
    </row>
    <row r="58" spans="1:8">
      <c r="A58" s="330" t="s">
        <v>301</v>
      </c>
      <c r="B58" s="330"/>
      <c r="C58" s="192"/>
    </row>
    <row r="59" spans="1:8" ht="36" customHeight="1">
      <c r="A59" s="321"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21"/>
      <c r="C59" s="191"/>
    </row>
    <row r="60" spans="1:8" ht="36.75" customHeight="1">
      <c r="A60" s="321"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21"/>
      <c r="C60" s="191"/>
    </row>
    <row r="61" spans="1:8" ht="17.25" customHeight="1">
      <c r="A61" s="321" t="str">
        <f>"5.1.3. "&amp;'Общие данные'!C64&amp;" xizmatlari ko‘rsatish qoidalari bilan tanishish."</f>
        <v>5.1.3. Mikrokredit xizmatlari ko‘rsatish qoidalari bilan tanishish.</v>
      </c>
      <c r="B61" s="321"/>
      <c r="C61" s="191"/>
    </row>
    <row r="62" spans="1:8" ht="36" customHeight="1">
      <c r="A62" s="321"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21"/>
      <c r="C62" s="191"/>
    </row>
    <row r="63" spans="1:8" ht="33.75" customHeight="1">
      <c r="A63" s="321" t="s">
        <v>316</v>
      </c>
      <c r="B63" s="321"/>
      <c r="C63" s="191"/>
    </row>
    <row r="64" spans="1:8">
      <c r="A64" s="330" t="s">
        <v>300</v>
      </c>
      <c r="B64" s="330"/>
      <c r="C64" s="192"/>
    </row>
    <row r="65" spans="1:8" ht="37.5" customHeight="1">
      <c r="A65" s="321"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21"/>
      <c r="C65" s="191"/>
    </row>
    <row r="66" spans="1:8" ht="39.75" customHeight="1">
      <c r="A66" s="321" t="s">
        <v>317</v>
      </c>
      <c r="B66" s="321"/>
      <c r="C66" s="191"/>
    </row>
    <row r="67" spans="1:8" ht="27" customHeight="1">
      <c r="A67" s="321" t="str">
        <f>"5.2.3. To‘lov jadvaliga muvofiq "&amp;'Общие данные'!B65&amp;", shuningdek hisoblangan foizlar to‘lovlarini amalga oshirish."</f>
        <v>5.2.3. To‘lov jadvaliga muvofiq Mikroqarz, shuningdek hisoblangan foizlar to‘lovlarini amalga oshirish.</v>
      </c>
      <c r="B67" s="321"/>
      <c r="C67" s="191"/>
    </row>
    <row r="68" spans="1:8" ht="84" customHeight="1">
      <c r="A68" s="32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21"/>
      <c r="C68" s="191" t="s">
        <v>333</v>
      </c>
      <c r="H68" s="9"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21" t="s">
        <v>318</v>
      </c>
      <c r="B69" s="321"/>
      <c r="C69" s="191"/>
    </row>
    <row r="70" spans="1:8" ht="36" customHeight="1">
      <c r="A70" s="321"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21"/>
      <c r="C70" s="191"/>
    </row>
    <row r="71" spans="1:8" ht="51.75" customHeight="1">
      <c r="A71" s="322" t="s">
        <v>334</v>
      </c>
      <c r="B71" s="322"/>
      <c r="C71" s="194"/>
    </row>
    <row r="72" spans="1:8" ht="71.25" customHeight="1">
      <c r="A72" s="321"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21"/>
      <c r="C72" s="191"/>
    </row>
    <row r="73" spans="1:8" ht="33.75" customHeight="1">
      <c r="A73" s="321"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21"/>
      <c r="C73" s="191"/>
      <c r="H73" s="9" t="s">
        <v>330</v>
      </c>
    </row>
    <row r="74" spans="1:8" ht="68.25" customHeight="1">
      <c r="A74" s="32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21"/>
      <c r="C74" s="191"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9" t="s">
        <v>335</v>
      </c>
    </row>
    <row r="75" spans="1:8">
      <c r="A75" s="87"/>
    </row>
    <row r="76" spans="1:8">
      <c r="A76" s="329" t="s">
        <v>299</v>
      </c>
      <c r="B76" s="329"/>
      <c r="C76" s="193"/>
    </row>
    <row r="77" spans="1:8" ht="98.25" customHeight="1">
      <c r="A77" s="32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21"/>
      <c r="C77" s="191" t="s">
        <v>336</v>
      </c>
      <c r="H77" s="9"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21" t="s">
        <v>298</v>
      </c>
      <c r="B78" s="321"/>
      <c r="C78" s="191"/>
    </row>
    <row r="79" spans="1:8" ht="35.25" customHeight="1">
      <c r="A79" s="321" t="s">
        <v>297</v>
      </c>
      <c r="B79" s="321"/>
      <c r="C79" s="191"/>
    </row>
    <row r="80" spans="1:8" ht="33" customHeight="1">
      <c r="A80" s="321" t="s">
        <v>296</v>
      </c>
      <c r="B80" s="321"/>
      <c r="C80" s="191"/>
    </row>
    <row r="82" spans="1:3">
      <c r="A82" s="310" t="s">
        <v>295</v>
      </c>
      <c r="B82" s="310"/>
      <c r="C82" s="79"/>
    </row>
    <row r="83" spans="1:3" ht="162.75" customHeight="1">
      <c r="A83" s="321" t="s">
        <v>294</v>
      </c>
      <c r="B83" s="321"/>
      <c r="C83" s="191"/>
    </row>
    <row r="84" spans="1:3" ht="33.75" customHeight="1">
      <c r="A84" s="321" t="s">
        <v>337</v>
      </c>
      <c r="B84" s="321"/>
      <c r="C84" s="191"/>
    </row>
    <row r="85" spans="1:3" ht="51.75" customHeight="1">
      <c r="A85" s="321" t="s">
        <v>293</v>
      </c>
      <c r="B85" s="321"/>
      <c r="C85" s="191"/>
    </row>
    <row r="86" spans="1:3" ht="36" customHeight="1">
      <c r="A86" s="321" t="s">
        <v>292</v>
      </c>
      <c r="B86" s="321"/>
      <c r="C86" s="191"/>
    </row>
    <row r="88" spans="1:3">
      <c r="A88" s="310" t="s">
        <v>291</v>
      </c>
      <c r="B88" s="310"/>
      <c r="C88" s="79"/>
    </row>
    <row r="89" spans="1:3" ht="114.75" customHeight="1">
      <c r="A89" s="321" t="s">
        <v>350</v>
      </c>
      <c r="B89" s="321"/>
      <c r="C89" s="191"/>
    </row>
    <row r="90" spans="1:3" ht="36" customHeight="1">
      <c r="A90" s="321" t="s">
        <v>319</v>
      </c>
      <c r="B90" s="321"/>
      <c r="C90" s="191"/>
    </row>
    <row r="91" spans="1:3" ht="64.5" customHeight="1">
      <c r="A91" s="321"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21"/>
      <c r="C91" s="191"/>
    </row>
    <row r="93" spans="1:3">
      <c r="A93" s="331" t="s">
        <v>290</v>
      </c>
      <c r="B93" s="331"/>
      <c r="C93" s="89"/>
    </row>
    <row r="94" spans="1:3" ht="20.25" customHeight="1">
      <c r="A94" s="321" t="s">
        <v>289</v>
      </c>
      <c r="B94" s="321"/>
      <c r="C94" s="191"/>
    </row>
    <row r="95" spans="1:3" ht="33.75" customHeight="1">
      <c r="A95" s="321"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21"/>
      <c r="C95" s="191"/>
    </row>
    <row r="96" spans="1:3" ht="51" customHeight="1">
      <c r="A96" s="321" t="s">
        <v>288</v>
      </c>
      <c r="B96" s="321"/>
      <c r="C96" s="191"/>
    </row>
    <row r="98" spans="1:3">
      <c r="A98" s="323" t="s">
        <v>287</v>
      </c>
      <c r="B98" s="323"/>
      <c r="C98" s="78"/>
    </row>
    <row r="99" spans="1:3" ht="82.5" customHeight="1">
      <c r="A99" s="321" t="s">
        <v>286</v>
      </c>
      <c r="B99" s="321"/>
      <c r="C99" s="191"/>
    </row>
    <row r="100" spans="1:3" ht="66" customHeight="1">
      <c r="A100" s="321" t="s">
        <v>285</v>
      </c>
      <c r="B100" s="321"/>
      <c r="C100" s="191"/>
    </row>
    <row r="101" spans="1:3" ht="48" customHeight="1">
      <c r="A101" s="321" t="s">
        <v>284</v>
      </c>
      <c r="B101" s="321"/>
      <c r="C101" s="191"/>
    </row>
    <row r="103" spans="1:3">
      <c r="A103" s="310" t="s">
        <v>283</v>
      </c>
      <c r="B103" s="310"/>
      <c r="C103" s="168"/>
    </row>
    <row r="104" spans="1:3" ht="37.5" customHeight="1">
      <c r="A104" s="321" t="s">
        <v>282</v>
      </c>
      <c r="B104" s="321"/>
      <c r="C104" s="191"/>
    </row>
    <row r="105" spans="1:3" ht="34.5" customHeight="1">
      <c r="A105" s="321" t="s">
        <v>281</v>
      </c>
      <c r="B105" s="321"/>
      <c r="C105" s="191"/>
    </row>
    <row r="106" spans="1:3" ht="66.75" customHeight="1">
      <c r="A106" s="321" t="s">
        <v>280</v>
      </c>
      <c r="B106" s="321"/>
      <c r="C106" s="191"/>
    </row>
    <row r="107" spans="1:3" ht="51" customHeight="1">
      <c r="A107" s="321" t="s">
        <v>279</v>
      </c>
      <c r="B107" s="321"/>
      <c r="C107" s="191"/>
    </row>
    <row r="108" spans="1:3" ht="37.5" customHeight="1">
      <c r="A108" s="321" t="s">
        <v>278</v>
      </c>
      <c r="B108" s="321"/>
      <c r="C108" s="191"/>
    </row>
    <row r="109" spans="1:3" ht="38.25" customHeight="1">
      <c r="A109" s="321" t="s">
        <v>277</v>
      </c>
      <c r="B109" s="321"/>
      <c r="C109" s="191"/>
    </row>
    <row r="110" spans="1:3" ht="21" customHeight="1">
      <c r="A110" s="321" t="s">
        <v>276</v>
      </c>
      <c r="B110" s="321"/>
      <c r="C110" s="191"/>
    </row>
    <row r="111" spans="1:3" ht="32.25" customHeight="1">
      <c r="A111" s="321"/>
      <c r="B111" s="321"/>
      <c r="C111" s="191"/>
    </row>
    <row r="113" spans="1:3">
      <c r="A113" s="331" t="s">
        <v>320</v>
      </c>
      <c r="B113" s="331"/>
      <c r="C113" s="89"/>
    </row>
    <row r="115" spans="1:3">
      <c r="A115" s="90" t="s">
        <v>275</v>
      </c>
      <c r="B115" s="90" t="s">
        <v>274</v>
      </c>
    </row>
    <row r="117" spans="1:3" ht="31.5">
      <c r="A117" s="89" t="str">
        <f>'Общие данные'!B148</f>
        <v>«PULLOL BUSINESS MIKROMOLIYA TASHKILOTI»  MChJ</v>
      </c>
      <c r="B117" s="81" t="str">
        <f>'Общие данные'!B5</f>
        <v>ANNAZAROV KAXRAMAN SADULLAYEVICH</v>
      </c>
    </row>
    <row r="119" spans="1:3" ht="50.25" customHeight="1">
      <c r="A119" s="86" t="str">
        <f>"Manzil: "&amp;'Общие данные'!B153&amp;""</f>
        <v>Manzil: Toshkent shahri, Yakkasaroy tumani, Rakat ko'chasi, 10-uy, 18 xonadon</v>
      </c>
      <c r="B119" s="86" t="str">
        <f>"Manzil: "&amp;'Общие данные'!B28&amp;""</f>
        <v>Manzil: QORAQALPOG'ISTON RESPUBLIKASI TO'RTKO'L TUMANI YOSHLIK MFY KALTAMINAR KO'CHASI 1B-UY</v>
      </c>
    </row>
    <row r="120" spans="1:3">
      <c r="A120" s="88" t="str">
        <f>"h/r: "&amp;'Общие данные'!B154&amp;""</f>
        <v>h/r: № 20208000405643889001</v>
      </c>
    </row>
    <row r="121" spans="1:3" ht="59.25" customHeight="1">
      <c r="A121" s="86" t="str">
        <f>"MFO: "&amp;'Общие данные'!B155&amp;" в "&amp;'Общие данные'!B156&amp;""</f>
        <v>MFO: №01088 в ATB “Kapitalbank” Markaziy amaliyotlar bo'limi</v>
      </c>
      <c r="B121" s="86" t="str">
        <f>"pasport seriyasi: "&amp;'Общие данные'!B16&amp;", "&amp;'Общие данные'!B20&amp;""</f>
        <v>pasport seriyasi: AD 2849628, IIV 35233 tomonidan 23.03.2023 yilda berilgan</v>
      </c>
    </row>
    <row r="122" spans="1:3">
      <c r="A122" s="86" t="str">
        <f>"STIR: "&amp;'Общие данные'!B157&amp;""</f>
        <v>STIR: 310430149</v>
      </c>
      <c r="B122" s="80" t="str">
        <f>"Tel: "&amp;'Общие данные'!B40&amp;""</f>
        <v>Tel: 93 770 26 32 KLIENT</v>
      </c>
    </row>
    <row r="123" spans="1:3">
      <c r="A123" s="215" t="str">
        <f>"Tel: (97) 714 14 14"</f>
        <v>Tel: (97) 714 14 14</v>
      </c>
      <c r="B123" s="80" t="str">
        <f>'Общие данные'!B41</f>
        <v>93 369 60 50 AYOLI</v>
      </c>
    </row>
    <row r="124" spans="1:3">
      <c r="A124" s="215" t="s">
        <v>378</v>
      </c>
      <c r="B124" s="80" t="str">
        <f>'Общие данные'!B42</f>
        <v>94 149 90 95 UYI</v>
      </c>
    </row>
    <row r="125" spans="1:3">
      <c r="A125" s="9" t="s">
        <v>396</v>
      </c>
    </row>
    <row r="126" spans="1:3">
      <c r="A126" s="189" t="str">
        <f>'Общие данные'!A160</f>
        <v>To'rtko'l filiali boshlig’i</v>
      </c>
      <c r="B126" s="79" t="str">
        <f>""&amp;'Общие данные'!B7&amp;"     __________________"</f>
        <v>ANNAZAROV K.S.     __________________</v>
      </c>
    </row>
    <row r="128" spans="1:3">
      <c r="B128" s="207"/>
    </row>
    <row r="129" spans="1:2">
      <c r="A129" s="168" t="str">
        <f>""&amp;'Общие данные'!B160&amp;" ________________ "</f>
        <v xml:space="preserve">Djumanazarov B.A. ________________ </v>
      </c>
      <c r="B129" s="9" t="str">
        <f>""&amp;'Общие данные'!B65&amp;" shartnoma bir nusxasini oldim ________"</f>
        <v>Mikroqarz shartnoma bir nusxasini oldim ________</v>
      </c>
    </row>
    <row r="131" spans="1:2" hidden="1">
      <c r="A131" s="9" t="str">
        <f>"менеджер :   "&amp;'Общие данные'!B161&amp;"______________"</f>
        <v>менеджер :   Eshbekov S.O.______________</v>
      </c>
    </row>
  </sheetData>
  <mergeCells count="98">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39370078740157483" bottom="0.39370078740157483" header="0.31496062992125984" footer="0.31496062992125984"/>
  <pageSetup paperSize="9" scale="76" orientation="portrait" r:id="rId1"/>
  <rowBreaks count="3" manualBreakCount="3">
    <brk id="20" max="1" man="1"/>
    <brk id="72" max="1" man="1"/>
    <brk id="95"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tabColor rgb="FF00B050"/>
  </sheetPr>
  <dimension ref="A1:P77"/>
  <sheetViews>
    <sheetView view="pageBreakPreview" topLeftCell="A13" zoomScaleNormal="100" zoomScaleSheetLayoutView="100" workbookViewId="0">
      <selection activeCell="D69" sqref="D69:F69"/>
    </sheetView>
  </sheetViews>
  <sheetFormatPr defaultColWidth="9.140625" defaultRowHeight="15" outlineLevelCol="1"/>
  <cols>
    <col min="1" max="1" width="9.140625" style="18"/>
    <col min="2" max="2" width="12.28515625" style="18" customWidth="1"/>
    <col min="3" max="3" width="17.7109375" style="18" customWidth="1"/>
    <col min="4" max="4" width="20.28515625" style="18" customWidth="1"/>
    <col min="5" max="5" width="16.7109375" style="18" customWidth="1"/>
    <col min="6" max="6" width="19" style="18" customWidth="1"/>
    <col min="7" max="7" width="10.140625" style="18" customWidth="1" outlineLevel="1"/>
    <col min="8" max="8" width="19.7109375" style="18" customWidth="1"/>
    <col min="9" max="10" width="9.140625" style="18" customWidth="1"/>
    <col min="11" max="16384" width="9.140625" style="18"/>
  </cols>
  <sheetData>
    <row r="1" spans="1:16" ht="3" customHeight="1"/>
    <row r="2" spans="1:16" ht="18.75" hidden="1" customHeight="1">
      <c r="A2" s="40"/>
      <c r="B2" s="40"/>
      <c r="C2" s="40"/>
      <c r="D2" s="40"/>
      <c r="E2" s="283"/>
      <c r="F2" s="283"/>
      <c r="G2" s="23"/>
    </row>
    <row r="3" spans="1:16" ht="75.75" customHeight="1">
      <c r="A3" s="40"/>
      <c r="B3" s="40"/>
      <c r="C3" s="40"/>
      <c r="D3" s="40"/>
      <c r="E3" s="40"/>
      <c r="F3" s="185" t="str">
        <f>""&amp;'Общие данные'!B74&amp;" "&amp;'Общие данные'!B65&amp;" shartnomasiga 
1 sonli ilova"</f>
        <v>3 aprel 2026 y.dan №310-TR Mikroqarz shartnomasiga 
1 sonli ilova</v>
      </c>
      <c r="G3" s="23"/>
    </row>
    <row r="4" spans="1:16" ht="6.75" customHeight="1">
      <c r="A4" s="40"/>
      <c r="B4" s="40"/>
      <c r="C4" s="40"/>
      <c r="D4" s="40"/>
      <c r="E4" s="40"/>
      <c r="F4" s="40"/>
    </row>
    <row r="5" spans="1:16">
      <c r="A5" s="284" t="s">
        <v>259</v>
      </c>
      <c r="B5" s="284"/>
      <c r="C5" s="284"/>
      <c r="D5" s="284"/>
      <c r="E5" s="284"/>
      <c r="F5" s="284"/>
    </row>
    <row r="6" spans="1:16" ht="7.5" customHeight="1"/>
    <row r="7" spans="1:16" ht="15" customHeight="1">
      <c r="A7" s="285" t="s">
        <v>14</v>
      </c>
      <c r="B7" s="286" t="s">
        <v>260</v>
      </c>
      <c r="C7" s="286" t="s">
        <v>261</v>
      </c>
      <c r="D7" s="287" t="s">
        <v>262</v>
      </c>
      <c r="E7" s="287"/>
      <c r="F7" s="287"/>
    </row>
    <row r="8" spans="1:16" s="19" customFormat="1">
      <c r="A8" s="285"/>
      <c r="B8" s="286"/>
      <c r="C8" s="286"/>
      <c r="D8" s="20" t="s">
        <v>263</v>
      </c>
      <c r="E8" s="20" t="s">
        <v>264</v>
      </c>
      <c r="F8" s="20" t="s">
        <v>265</v>
      </c>
    </row>
    <row r="9" spans="1:16" ht="13.5" customHeight="1">
      <c r="A9" s="21">
        <v>1</v>
      </c>
      <c r="B9" s="36">
        <f>'График дифференц'!B8</f>
        <v>46147</v>
      </c>
      <c r="C9" s="37">
        <f>IF('Общие данные'!$B$77='Общие данные'!$C$77,'График дифференц'!C8,IF('Общие данные'!$B$77='Общие данные'!$D$77,'График аннуитет.'!C8))</f>
        <v>100000000</v>
      </c>
      <c r="D9" s="37">
        <f>IF('Общие данные'!$B$77='Общие данные'!$C$77,'График дифференц'!D8,IF('Общие данные'!$B$77='Общие данные'!$D$77,'График аннуитет.'!D8))</f>
        <v>2777777.78</v>
      </c>
      <c r="E9" s="37">
        <f>IF('Общие данные'!$B$77='Общие данные'!$C$77,'График дифференц'!E8,IF('Общие данные'!$B$77='Общие данные'!$D$77,'График аннуитет.'!E8))</f>
        <v>4821917.76</v>
      </c>
      <c r="F9" s="37">
        <f>IF('Общие данные'!$B$77='Общие данные'!$C$77,'График дифференц'!F8,IF('Общие данные'!$B$77='Общие данные'!$D$77,'График аннуитет.'!F8))</f>
        <v>7599695.5399999991</v>
      </c>
    </row>
    <row r="10" spans="1:16" ht="13.5" customHeight="1">
      <c r="A10" s="21">
        <v>2</v>
      </c>
      <c r="B10" s="36">
        <f>'График дифференц'!B9</f>
        <v>46178</v>
      </c>
      <c r="C10" s="37">
        <f>IF('Общие данные'!$B$77='Общие данные'!$C$77,'График дифференц'!C9,IF('Общие данные'!$B$77='Общие данные'!$D$77,'График аннуитет.'!C9))</f>
        <v>97222222.219999999</v>
      </c>
      <c r="D10" s="37">
        <f>IF('Общие данные'!$B$77='Общие данные'!$C$77,'График дифференц'!D9,IF('Общие данные'!$B$77='Общие данные'!$D$77,'График аннуитет.'!D9))</f>
        <v>2777777.78</v>
      </c>
      <c r="E10" s="37">
        <f>IF('Общие данные'!$B$77='Общие данные'!$C$77,'График дифференц'!E9,IF('Общие данные'!$B$77='Общие данные'!$D$77,'График аннуитет.'!E9))</f>
        <v>4541476.4399999995</v>
      </c>
      <c r="F10" s="37">
        <f>IF('Общие данные'!$B$77='Общие данные'!$C$77,'График дифференц'!F9,IF('Общие данные'!$B$77='Общие данные'!$D$77,'График аннуитет.'!F9))</f>
        <v>7319254.2199999988</v>
      </c>
    </row>
    <row r="11" spans="1:16" ht="13.5" customHeight="1">
      <c r="A11" s="21">
        <v>3</v>
      </c>
      <c r="B11" s="36">
        <f>'График дифференц'!B10</f>
        <v>46209</v>
      </c>
      <c r="C11" s="37">
        <f>IF('Общие данные'!$B$77='Общие данные'!$C$77,'График дифференц'!C10,IF('Общие данные'!$B$77='Общие данные'!$D$77,'График аннуитет.'!C10))</f>
        <v>94444444.439999998</v>
      </c>
      <c r="D11" s="37">
        <f>IF('Общие данные'!$B$77='Общие данные'!$C$77,'График дифференц'!D10,IF('Общие данные'!$B$77='Общие данные'!$D$77,'График аннуитет.'!D10))</f>
        <v>2777777.78</v>
      </c>
      <c r="E11" s="37">
        <f>IF('Общие данные'!$B$77='Общие данные'!$C$77,'График дифференц'!E10,IF('Общие данные'!$B$77='Общие данные'!$D$77,'График аннуитет.'!E10))</f>
        <v>4411720.05</v>
      </c>
      <c r="F11" s="37">
        <f>IF('Общие данные'!$B$77='Общие данные'!$C$77,'График дифференц'!F10,IF('Общие данные'!$B$77='Общие данные'!$D$77,'График аннуитет.'!F10))</f>
        <v>7189497.8300000001</v>
      </c>
    </row>
    <row r="12" spans="1:16" ht="13.5" customHeight="1">
      <c r="A12" s="21">
        <v>4</v>
      </c>
      <c r="B12" s="36">
        <f>'График дифференц'!B11</f>
        <v>46239</v>
      </c>
      <c r="C12" s="37">
        <f>IF('Общие данные'!$B$77='Общие данные'!$C$77,'График дифференц'!C11,IF('Общие данные'!$B$77='Общие данные'!$D$77,'График аннуитет.'!C11))</f>
        <v>91666666.659999996</v>
      </c>
      <c r="D12" s="37">
        <f>IF('Общие данные'!$B$77='Общие данные'!$C$77,'График дифференц'!D11,IF('Общие данные'!$B$77='Общие данные'!$D$77,'График аннуитет.'!D11))</f>
        <v>2777777.78</v>
      </c>
      <c r="E12" s="37">
        <f>IF('Общие данные'!$B$77='Общие данные'!$C$77,'График дифференц'!E11,IF('Общие данные'!$B$77='Общие данные'!$D$77,'График аннуитет.'!E11))</f>
        <v>4143835.5</v>
      </c>
      <c r="F12" s="37">
        <f>IF('Общие данные'!$B$77='Общие данные'!$C$77,'График дифференц'!F11,IF('Общие данные'!$B$77='Общие данные'!$D$77,'График аннуитет.'!F11))</f>
        <v>6921613.2799999993</v>
      </c>
      <c r="H12" s="332" t="s">
        <v>368</v>
      </c>
      <c r="I12" s="332"/>
      <c r="J12" s="332"/>
      <c r="K12" s="332"/>
      <c r="L12" s="332"/>
      <c r="M12" s="332"/>
      <c r="N12" s="332"/>
      <c r="O12" s="332"/>
      <c r="P12" s="332"/>
    </row>
    <row r="13" spans="1:16" ht="13.5" customHeight="1">
      <c r="A13" s="21">
        <v>5</v>
      </c>
      <c r="B13" s="36">
        <f>'График дифференц'!B12</f>
        <v>46272</v>
      </c>
      <c r="C13" s="37">
        <f>IF('Общие данные'!$B$77='Общие данные'!$C$77,'График дифференц'!C12,IF('Общие данные'!$B$77='Общие данные'!$D$77,'График аннуитет.'!C12))</f>
        <v>88888888.879999995</v>
      </c>
      <c r="D13" s="37">
        <f>IF('Общие данные'!$B$77='Общие данные'!$C$77,'График дифференц'!D12,IF('Общие данные'!$B$77='Общие данные'!$D$77,'График аннуитет.'!D12))</f>
        <v>2777777.78</v>
      </c>
      <c r="E13" s="37">
        <f>IF('Общие данные'!$B$77='Общие данные'!$C$77,'График дифференц'!E12,IF('Общие данные'!$B$77='Общие данные'!$D$77,'График аннуитет.'!E12))</f>
        <v>4420091.28</v>
      </c>
      <c r="F13" s="37">
        <f>IF('Общие данные'!$B$77='Общие данные'!$C$77,'График дифференц'!F12,IF('Общие данные'!$B$77='Общие данные'!$D$77,'График аннуитет.'!F12))</f>
        <v>7197869.0600000005</v>
      </c>
      <c r="H13" s="332"/>
      <c r="I13" s="332"/>
      <c r="J13" s="332"/>
      <c r="K13" s="332"/>
      <c r="L13" s="332"/>
      <c r="M13" s="332"/>
      <c r="N13" s="332"/>
      <c r="O13" s="332"/>
      <c r="P13" s="332"/>
    </row>
    <row r="14" spans="1:16" ht="13.5" customHeight="1">
      <c r="A14" s="21">
        <v>6</v>
      </c>
      <c r="B14" s="36">
        <f>'График дифференц'!B13</f>
        <v>46300</v>
      </c>
      <c r="C14" s="37">
        <f>IF('Общие данные'!$B$77='Общие данные'!$C$77,'График дифференц'!C13,IF('Общие данные'!$B$77='Общие данные'!$D$77,'График аннуитет.'!C13))</f>
        <v>86111111.099999994</v>
      </c>
      <c r="D14" s="37">
        <f>IF('Общие данные'!$B$77='Общие данные'!$C$77,'График дифференц'!D13,IF('Общие данные'!$B$77='Общие данные'!$D$77,'График аннуитет.'!D13))</f>
        <v>2777777.78</v>
      </c>
      <c r="E14" s="37">
        <f>IF('Общие данные'!$B$77='Общие данные'!$C$77,'График дифференц'!E13,IF('Общие данные'!$B$77='Общие данные'!$D$77,'График аннуитет.'!E13))</f>
        <v>3633181.16</v>
      </c>
      <c r="F14" s="37">
        <f>IF('Общие данные'!$B$77='Общие данные'!$C$77,'График дифференц'!F13,IF('Общие данные'!$B$77='Общие данные'!$D$77,'График аннуитет.'!F13))</f>
        <v>6410958.9399999995</v>
      </c>
      <c r="H14" s="332"/>
      <c r="I14" s="332"/>
      <c r="J14" s="332"/>
      <c r="K14" s="332"/>
      <c r="L14" s="332"/>
      <c r="M14" s="332"/>
      <c r="N14" s="332"/>
      <c r="O14" s="332"/>
      <c r="P14" s="332"/>
    </row>
    <row r="15" spans="1:16" ht="13.5" customHeight="1">
      <c r="A15" s="21">
        <v>7</v>
      </c>
      <c r="B15" s="36">
        <f>'График дифференц'!B14</f>
        <v>46331</v>
      </c>
      <c r="C15" s="37">
        <f>IF('Общие данные'!$B$77='Общие данные'!$C$77,'График дифференц'!C14,IF('Общие данные'!$B$77='Общие данные'!$D$77,'График аннуитет.'!C14))</f>
        <v>83333333.319999993</v>
      </c>
      <c r="D15" s="37">
        <f>IF('Общие данные'!$B$77='Общие данные'!$C$77,'График дифференц'!D14,IF('Общие данные'!$B$77='Общие данные'!$D$77,'График аннуитет.'!D14))</f>
        <v>2777777.78</v>
      </c>
      <c r="E15" s="37">
        <f>IF('Общие данные'!$B$77='Общие данные'!$C$77,'График дифференц'!E14,IF('Общие данные'!$B$77='Общие данные'!$D$77,'График аннуитет.'!E14))</f>
        <v>3892694.18</v>
      </c>
      <c r="F15" s="37">
        <f>IF('Общие данные'!$B$77='Общие данные'!$C$77,'График дифференц'!F14,IF('Общие данные'!$B$77='Общие данные'!$D$77,'График аннуитет.'!F14))</f>
        <v>6670471.96</v>
      </c>
      <c r="H15" s="332"/>
      <c r="I15" s="332"/>
      <c r="J15" s="332"/>
      <c r="K15" s="332"/>
      <c r="L15" s="332"/>
      <c r="M15" s="332"/>
      <c r="N15" s="332"/>
      <c r="O15" s="332"/>
      <c r="P15" s="332"/>
    </row>
    <row r="16" spans="1:16" ht="13.5" customHeight="1">
      <c r="A16" s="21">
        <v>8</v>
      </c>
      <c r="B16" s="36">
        <f>'График дифференц'!B15</f>
        <v>46363</v>
      </c>
      <c r="C16" s="37">
        <f>IF('Общие данные'!$B$77='Общие данные'!$C$77,'График дифференц'!C15,IF('Общие данные'!$B$77='Общие данные'!$D$77,'График аннуитет.'!C15))</f>
        <v>80555555.539999992</v>
      </c>
      <c r="D16" s="37">
        <f>IF('Общие данные'!$B$77='Общие данные'!$C$77,'График дифференц'!D15,IF('Общие данные'!$B$77='Общие данные'!$D$77,'График аннуитет.'!D15))</f>
        <v>2777777.78</v>
      </c>
      <c r="E16" s="37">
        <f>IF('Общие данные'!$B$77='Общие данные'!$C$77,'График дифференц'!E15,IF('Общие данные'!$B$77='Общие данные'!$D$77,'График аннуитет.'!E15))</f>
        <v>3884322.56</v>
      </c>
      <c r="F16" s="37">
        <f>IF('Общие данные'!$B$77='Общие данные'!$C$77,'График дифференц'!F15,IF('Общие данные'!$B$77='Общие данные'!$D$77,'График аннуитет.'!F15))</f>
        <v>6662100.3399999999</v>
      </c>
      <c r="H16" s="332"/>
      <c r="I16" s="332"/>
      <c r="J16" s="332"/>
      <c r="K16" s="332"/>
      <c r="L16" s="332"/>
      <c r="M16" s="332"/>
      <c r="N16" s="332"/>
      <c r="O16" s="332"/>
      <c r="P16" s="332"/>
    </row>
    <row r="17" spans="1:16" ht="13.5" customHeight="1">
      <c r="A17" s="21">
        <v>9</v>
      </c>
      <c r="B17" s="36">
        <f>'График дифференц'!B16</f>
        <v>46392</v>
      </c>
      <c r="C17" s="37">
        <f>IF('Общие данные'!$B$77='Общие данные'!$C$77,'График дифференц'!C16,IF('Общие данные'!$B$77='Общие данные'!$D$77,'График аннуитет.'!C16))</f>
        <v>77777777.75999999</v>
      </c>
      <c r="D17" s="37">
        <f>IF('Общие данные'!$B$77='Общие данные'!$C$77,'График дифференц'!D16,IF('Общие данные'!$B$77='Общие данные'!$D$77,'График аннуитет.'!D16))</f>
        <v>2777777.78</v>
      </c>
      <c r="E17" s="37">
        <f>IF('Общие данные'!$B$77='Общие данные'!$C$77,'График дифференц'!E16,IF('Общие данные'!$B$77='Общие данные'!$D$77,'График аннуитет.'!E16))</f>
        <v>3398782.31</v>
      </c>
      <c r="F17" s="37">
        <f>IF('Общие данные'!$B$77='Общие данные'!$C$77,'График дифференц'!F16,IF('Общие данные'!$B$77='Общие данные'!$D$77,'График аннуитет.'!F16))</f>
        <v>6176560.0899999999</v>
      </c>
      <c r="H17" s="332"/>
      <c r="I17" s="332"/>
      <c r="J17" s="332"/>
      <c r="K17" s="332"/>
      <c r="L17" s="332"/>
      <c r="M17" s="332"/>
      <c r="N17" s="332"/>
      <c r="O17" s="332"/>
      <c r="P17" s="332"/>
    </row>
    <row r="18" spans="1:16" ht="13.5" customHeight="1">
      <c r="A18" s="21">
        <v>10</v>
      </c>
      <c r="B18" s="36">
        <f>'График дифференц'!B17</f>
        <v>46423</v>
      </c>
      <c r="C18" s="37">
        <f>IF('Общие данные'!$B$77='Общие данные'!$C$77,'График дифференц'!C17,IF('Общие данные'!$B$77='Общие данные'!$D$77,'График аннуитет.'!C17))</f>
        <v>74999999.979999989</v>
      </c>
      <c r="D18" s="37">
        <f>IF('Общие данные'!$B$77='Общие данные'!$C$77,'График дифференц'!D17,IF('Общие данные'!$B$77='Общие данные'!$D$77,'График аннуитет.'!D17))</f>
        <v>2777777.78</v>
      </c>
      <c r="E18" s="37">
        <f>IF('Общие данные'!$B$77='Общие данные'!$C$77,'График дифференц'!E17,IF('Общие данные'!$B$77='Общие данные'!$D$77,'График аннуитет.'!E17))</f>
        <v>3503424.6999999997</v>
      </c>
      <c r="F18" s="37">
        <f>IF('Общие данные'!$B$77='Общие данные'!$C$77,'График дифференц'!F17,IF('Общие данные'!$B$77='Общие данные'!$D$77,'График аннуитет.'!F17))</f>
        <v>6281202.4799999995</v>
      </c>
      <c r="H18" s="332"/>
      <c r="I18" s="332"/>
      <c r="J18" s="332"/>
      <c r="K18" s="332"/>
      <c r="L18" s="332"/>
      <c r="M18" s="332"/>
      <c r="N18" s="332"/>
      <c r="O18" s="332"/>
      <c r="P18" s="332"/>
    </row>
    <row r="19" spans="1:16" ht="13.5" customHeight="1">
      <c r="A19" s="21">
        <v>11</v>
      </c>
      <c r="B19" s="36">
        <f>'График дифференц'!B18</f>
        <v>46451</v>
      </c>
      <c r="C19" s="37">
        <f>IF('Общие данные'!$B$77='Общие данные'!$C$77,'График дифференц'!C18,IF('Общие данные'!$B$77='Общие данные'!$D$77,'График аннуитет.'!C18))</f>
        <v>72222222.199999988</v>
      </c>
      <c r="D19" s="37">
        <f>IF('Общие данные'!$B$77='Общие данные'!$C$77,'График дифференц'!D18,IF('Общие данные'!$B$77='Общие данные'!$D$77,'График аннуитет.'!D18))</f>
        <v>2777777.78</v>
      </c>
      <c r="E19" s="37">
        <f>IF('Общие данные'!$B$77='Общие данные'!$C$77,'График дифференц'!E18,IF('Общие данные'!$B$77='Общие данные'!$D$77,'График аннуитет.'!E18))</f>
        <v>3047184.28</v>
      </c>
      <c r="F19" s="37">
        <f>IF('Общие данные'!$B$77='Общие данные'!$C$77,'График дифференц'!F18,IF('Общие данные'!$B$77='Общие данные'!$D$77,'График аннуитет.'!F18))</f>
        <v>5824962.0599999996</v>
      </c>
      <c r="H19" s="332"/>
      <c r="I19" s="332"/>
      <c r="J19" s="332"/>
      <c r="K19" s="332"/>
      <c r="L19" s="332"/>
      <c r="M19" s="332"/>
      <c r="N19" s="332"/>
      <c r="O19" s="332"/>
      <c r="P19" s="332"/>
    </row>
    <row r="20" spans="1:16">
      <c r="A20" s="21">
        <v>12</v>
      </c>
      <c r="B20" s="36">
        <f>'График дифференц'!B19</f>
        <v>46482</v>
      </c>
      <c r="C20" s="37">
        <f>IF('Общие данные'!$B$77='Общие данные'!$C$77,'График дифференц'!C19,IF('Общие данные'!$B$77='Общие данные'!$D$77,'График аннуитет.'!C19))</f>
        <v>69444444.419999987</v>
      </c>
      <c r="D20" s="37">
        <f>IF('Общие данные'!$B$77='Общие данные'!$C$77,'График дифференц'!D19,IF('Общие данные'!$B$77='Общие данные'!$D$77,'График аннуитет.'!D19))</f>
        <v>2777777.78</v>
      </c>
      <c r="E20" s="37">
        <f>IF('Общие данные'!$B$77='Общие данные'!$C$77,'График дифференц'!E19,IF('Общие данные'!$B$77='Общие данные'!$D$77,'График аннуитет.'!E19))</f>
        <v>3243911.61</v>
      </c>
      <c r="F20" s="37">
        <f>IF('Общие данные'!$B$77='Общие данные'!$C$77,'График дифференц'!F19,IF('Общие данные'!$B$77='Общие данные'!$D$77,'График аннуитет.'!F19))</f>
        <v>6021689.3899999997</v>
      </c>
      <c r="H20" s="332"/>
      <c r="I20" s="332"/>
      <c r="J20" s="332"/>
      <c r="K20" s="332"/>
      <c r="L20" s="332"/>
      <c r="M20" s="332"/>
      <c r="N20" s="332"/>
      <c r="O20" s="332"/>
      <c r="P20" s="332"/>
    </row>
    <row r="21" spans="1:16">
      <c r="A21" s="21">
        <v>13</v>
      </c>
      <c r="B21" s="36">
        <f>'График дифференц'!B20</f>
        <v>46512</v>
      </c>
      <c r="C21" s="37">
        <f>IF('Общие данные'!$B$77='Общие данные'!$C$77,'График дифференц'!C20,IF('Общие данные'!$B$77='Общие данные'!$D$77,'График аннуитет.'!C20))</f>
        <v>66666666.639999986</v>
      </c>
      <c r="D21" s="37">
        <f>IF('Общие данные'!$B$77='Общие данные'!$C$77,'График дифференц'!D20,IF('Общие данные'!$B$77='Общие данные'!$D$77,'График аннуитет.'!D20))</f>
        <v>2777777.78</v>
      </c>
      <c r="E21" s="37">
        <f>IF('Общие данные'!$B$77='Общие данные'!$C$77,'График дифференц'!E20,IF('Общие данные'!$B$77='Общие данные'!$D$77,'График аннуитет.'!E20))</f>
        <v>3013698.5999999996</v>
      </c>
      <c r="F21" s="37">
        <f>IF('Общие данные'!$B$77='Общие данные'!$C$77,'График дифференц'!F20,IF('Общие данные'!$B$77='Общие данные'!$D$77,'График аннуитет.'!F20))</f>
        <v>5791476.379999999</v>
      </c>
      <c r="H21" s="332"/>
      <c r="I21" s="332"/>
      <c r="J21" s="332"/>
      <c r="K21" s="332"/>
      <c r="L21" s="332"/>
      <c r="M21" s="332"/>
      <c r="N21" s="332"/>
      <c r="O21" s="332"/>
      <c r="P21" s="332"/>
    </row>
    <row r="22" spans="1:16">
      <c r="A22" s="21">
        <v>14</v>
      </c>
      <c r="B22" s="36">
        <f>'График дифференц'!B21</f>
        <v>46545</v>
      </c>
      <c r="C22" s="37">
        <f>IF('Общие данные'!$B$77='Общие данные'!$C$77,'График дифференц'!C21,IF('Общие данные'!$B$77='Общие данные'!$D$77,'График аннуитет.'!C21))</f>
        <v>63888888.859999985</v>
      </c>
      <c r="D22" s="37">
        <f>IF('Общие данные'!$B$77='Общие данные'!$C$77,'График дифференц'!D21,IF('Общие данные'!$B$77='Общие данные'!$D$77,'График аннуитет.'!D21))</f>
        <v>2777777.78</v>
      </c>
      <c r="E22" s="37">
        <f>IF('Общие данные'!$B$77='Общие данные'!$C$77,'График дифференц'!E21,IF('Общие данные'!$B$77='Общие данные'!$D$77,'График аннуитет.'!E21))</f>
        <v>3176940.69</v>
      </c>
      <c r="F22" s="37">
        <f>IF('Общие данные'!$B$77='Общие данные'!$C$77,'График дифференц'!F21,IF('Общие данные'!$B$77='Общие данные'!$D$77,'График аннуитет.'!F21))</f>
        <v>5954718.4699999997</v>
      </c>
      <c r="H22" s="332"/>
      <c r="I22" s="332"/>
      <c r="J22" s="332"/>
      <c r="K22" s="332"/>
      <c r="L22" s="332"/>
      <c r="M22" s="332"/>
      <c r="N22" s="332"/>
      <c r="O22" s="332"/>
      <c r="P22" s="332"/>
    </row>
    <row r="23" spans="1:16">
      <c r="A23" s="21">
        <v>15</v>
      </c>
      <c r="B23" s="36">
        <f>'График дифференц'!B22</f>
        <v>46573</v>
      </c>
      <c r="C23" s="37">
        <f>IF('Общие данные'!$B$77='Общие данные'!$C$77,'График дифференц'!C22,IF('Общие данные'!$B$77='Общие данные'!$D$77,'График аннуитет.'!C22))</f>
        <v>61111111.079999983</v>
      </c>
      <c r="D23" s="37">
        <f>IF('Общие данные'!$B$77='Общие данные'!$C$77,'График дифференц'!D22,IF('Общие данные'!$B$77='Общие данные'!$D$77,'График аннуитет.'!D22))</f>
        <v>2777777.78</v>
      </c>
      <c r="E23" s="37">
        <f>IF('Общие данные'!$B$77='Общие данные'!$C$77,'График дифференц'!E22,IF('Общие данные'!$B$77='Общие данные'!$D$77,'График аннуитет.'!E22))</f>
        <v>2578386.7200000002</v>
      </c>
      <c r="F23" s="37">
        <f>IF('Общие данные'!$B$77='Общие данные'!$C$77,'График дифференц'!F22,IF('Общие данные'!$B$77='Общие данные'!$D$77,'График аннуитет.'!F22))</f>
        <v>5356164.5</v>
      </c>
      <c r="H23" s="332"/>
      <c r="I23" s="332"/>
      <c r="J23" s="332"/>
      <c r="K23" s="332"/>
      <c r="L23" s="332"/>
      <c r="M23" s="332"/>
      <c r="N23" s="332"/>
      <c r="O23" s="332"/>
      <c r="P23" s="332"/>
    </row>
    <row r="24" spans="1:16">
      <c r="A24" s="21">
        <v>16</v>
      </c>
      <c r="B24" s="36">
        <f>'График дифференц'!B23</f>
        <v>46604</v>
      </c>
      <c r="C24" s="37">
        <f>IF('Общие данные'!$B$77='Общие данные'!$C$77,'График дифференц'!C23,IF('Общие данные'!$B$77='Общие данные'!$D$77,'График аннуитет.'!C23))</f>
        <v>58333333.299999982</v>
      </c>
      <c r="D24" s="37">
        <f>IF('Общие данные'!$B$77='Общие данные'!$C$77,'График дифференц'!D23,IF('Общие данные'!$B$77='Общие данные'!$D$77,'График аннуитет.'!D23))</f>
        <v>2777777.78</v>
      </c>
      <c r="E24" s="37">
        <f>IF('Общие данные'!$B$77='Общие данные'!$C$77,'График дифференц'!E23,IF('Общие данные'!$B$77='Общие данные'!$D$77,'График аннуитет.'!E23))</f>
        <v>2724885.7399999998</v>
      </c>
      <c r="F24" s="37">
        <f>IF('Общие данные'!$B$77='Общие данные'!$C$77,'График дифференц'!F23,IF('Общие данные'!$B$77='Общие данные'!$D$77,'График аннуитет.'!F23))</f>
        <v>5502663.5199999996</v>
      </c>
      <c r="H24" s="332"/>
      <c r="I24" s="332"/>
      <c r="J24" s="332"/>
      <c r="K24" s="332"/>
      <c r="L24" s="332"/>
      <c r="M24" s="332"/>
      <c r="N24" s="332"/>
      <c r="O24" s="332"/>
      <c r="P24" s="332"/>
    </row>
    <row r="25" spans="1:16">
      <c r="A25" s="21">
        <v>17</v>
      </c>
      <c r="B25" s="36">
        <f>'График дифференц'!B24</f>
        <v>46636</v>
      </c>
      <c r="C25" s="37">
        <f>IF('Общие данные'!$B$77='Общие данные'!$C$77,'График дифференц'!C24,IF('Общие данные'!$B$77='Общие данные'!$D$77,'График аннуитет.'!C24))</f>
        <v>55555555.519999981</v>
      </c>
      <c r="D25" s="37">
        <f>IF('Общие данные'!$B$77='Общие данные'!$C$77,'График дифференц'!D24,IF('Общие данные'!$B$77='Общие данные'!$D$77,'График аннуитет.'!D24))</f>
        <v>2777777.78</v>
      </c>
      <c r="E25" s="37">
        <f>IF('Общие данные'!$B$77='Общие данные'!$C$77,'График дифференц'!E24,IF('Общие данные'!$B$77='Общие данные'!$D$77,'График аннуитет.'!E24))</f>
        <v>2678843.2000000002</v>
      </c>
      <c r="F25" s="37">
        <f>IF('Общие данные'!$B$77='Общие данные'!$C$77,'График дифференц'!F24,IF('Общие данные'!$B$77='Общие данные'!$D$77,'График аннуитет.'!F24))</f>
        <v>5456620.9800000004</v>
      </c>
    </row>
    <row r="26" spans="1:16">
      <c r="A26" s="21">
        <v>18</v>
      </c>
      <c r="B26" s="36">
        <f>'График дифференц'!B25</f>
        <v>46665</v>
      </c>
      <c r="C26" s="37">
        <f>IF('Общие данные'!$B$77='Общие данные'!$C$77,'График дифференц'!C25,IF('Общие данные'!$B$77='Общие данные'!$D$77,'График аннуитет.'!C25))</f>
        <v>52777777.73999998</v>
      </c>
      <c r="D26" s="37">
        <f>IF('Общие данные'!$B$77='Общие данные'!$C$77,'График дифференц'!D25,IF('Общие данные'!$B$77='Общие данные'!$D$77,'График аннуитет.'!D25))</f>
        <v>2777777.78</v>
      </c>
      <c r="E26" s="37">
        <f>IF('Общие данные'!$B$77='Общие данные'!$C$77,'График дифференц'!E25,IF('Общие данные'!$B$77='Общие данные'!$D$77,'График аннуитет.'!E25))</f>
        <v>2306316.64</v>
      </c>
      <c r="F26" s="37">
        <f>IF('Общие данные'!$B$77='Общие данные'!$C$77,'График дифференц'!F25,IF('Общие данные'!$B$77='Общие данные'!$D$77,'График аннуитет.'!F25))</f>
        <v>5084094.42</v>
      </c>
    </row>
    <row r="27" spans="1:16">
      <c r="A27" s="21">
        <v>19</v>
      </c>
      <c r="B27" s="36">
        <f>'График дифференц'!B26</f>
        <v>46696</v>
      </c>
      <c r="C27" s="37">
        <f>IF('Общие данные'!$B$77='Общие данные'!$C$77,'График дифференц'!C26,IF('Общие данные'!$B$77='Общие данные'!$D$77,'График аннуитет.'!C26))</f>
        <v>49999999.959999979</v>
      </c>
      <c r="D27" s="37">
        <f>IF('Общие данные'!$B$77='Общие данные'!$C$77,'График дифференц'!D26,IF('Общие данные'!$B$77='Общие данные'!$D$77,'График аннуитет.'!D26))</f>
        <v>2777777.78</v>
      </c>
      <c r="E27" s="37">
        <f>IF('Общие данные'!$B$77='Общие данные'!$C$77,'График дифференц'!E26,IF('Общие данные'!$B$77='Общие данные'!$D$77,'График аннуитет.'!E26))</f>
        <v>2335616.5699999998</v>
      </c>
      <c r="F27" s="37">
        <f>IF('Общие данные'!$B$77='Общие данные'!$C$77,'График дифференц'!F26,IF('Общие данные'!$B$77='Общие данные'!$D$77,'График аннуитет.'!F26))</f>
        <v>5113394.3499999996</v>
      </c>
    </row>
    <row r="28" spans="1:16">
      <c r="A28" s="21">
        <v>20</v>
      </c>
      <c r="B28" s="36">
        <f>'График дифференц'!B27</f>
        <v>46727</v>
      </c>
      <c r="C28" s="37">
        <f>IF('Общие данные'!$B$77='Общие данные'!$C$77,'График дифференц'!C27,IF('Общие данные'!$B$77='Общие данные'!$D$77,'График аннуитет.'!C27))</f>
        <v>47222222.179999977</v>
      </c>
      <c r="D28" s="37">
        <f>IF('Общие данные'!$B$77='Общие данные'!$C$77,'График дифференц'!D27,IF('Общие данные'!$B$77='Общие данные'!$D$77,'График аннуитет.'!D27))</f>
        <v>2777777.78</v>
      </c>
      <c r="E28" s="37">
        <f>IF('Общие данные'!$B$77='Общие данные'!$C$77,'График дифференц'!E27,IF('Общие данные'!$B$77='Общие данные'!$D$77,'График аннуитет.'!E27))</f>
        <v>2205859.87</v>
      </c>
      <c r="F28" s="37">
        <f>IF('Общие данные'!$B$77='Общие данные'!$C$77,'График дифференц'!F27,IF('Общие данные'!$B$77='Общие данные'!$D$77,'График аннуитет.'!F27))</f>
        <v>4983637.6500000004</v>
      </c>
    </row>
    <row r="29" spans="1:16">
      <c r="A29" s="21">
        <v>21</v>
      </c>
      <c r="B29" s="36">
        <f>'График дифференц'!B28</f>
        <v>46757</v>
      </c>
      <c r="C29" s="37">
        <f>IF('Общие данные'!$B$77='Общие данные'!$C$77,'График дифференц'!C28,IF('Общие данные'!$B$77='Общие данные'!$D$77,'График аннуитет.'!C28))</f>
        <v>44444444.399999976</v>
      </c>
      <c r="D29" s="37">
        <f>IF('Общие данные'!$B$77='Общие данные'!$C$77,'График дифференц'!D28,IF('Общие данные'!$B$77='Общие данные'!$D$77,'График аннуитет.'!D28))</f>
        <v>2777777.78</v>
      </c>
      <c r="E29" s="37">
        <f>IF('Общие данные'!$B$77='Общие данные'!$C$77,'График дифференц'!E28,IF('Общие данные'!$B$77='Общие данные'!$D$77,'График аннуитет.'!E28))</f>
        <v>2003643.0000000002</v>
      </c>
      <c r="F29" s="37">
        <f>IF('Общие данные'!$B$77='Общие данные'!$C$77,'График дифференц'!F28,IF('Общие данные'!$B$77='Общие данные'!$D$77,'График аннуитет.'!F28))</f>
        <v>4781420.78</v>
      </c>
    </row>
    <row r="30" spans="1:16">
      <c r="A30" s="21">
        <v>22</v>
      </c>
      <c r="B30" s="36">
        <f>'График дифференц'!B29</f>
        <v>46790</v>
      </c>
      <c r="C30" s="37">
        <f>IF('Общие данные'!$B$77='Общие данные'!$C$77,'График дифференц'!C29,IF('Общие данные'!$B$77='Общие данные'!$D$77,'График аннуитет.'!C29))</f>
        <v>41666666.619999975</v>
      </c>
      <c r="D30" s="37">
        <f>IF('Общие данные'!$B$77='Общие данные'!$C$77,'График дифференц'!D29,IF('Общие данные'!$B$77='Общие данные'!$D$77,'График аннуитет.'!D29))</f>
        <v>2777777.78</v>
      </c>
      <c r="E30" s="37">
        <f>IF('Общие данные'!$B$77='Общие данные'!$C$77,'График дифференц'!E29,IF('Общие данные'!$B$77='Общие данные'!$D$77,'График аннуитет.'!E29))</f>
        <v>2066256.72</v>
      </c>
      <c r="F30" s="37">
        <f>IF('Общие данные'!$B$77='Общие данные'!$C$77,'График дифференц'!F29,IF('Общие данные'!$B$77='Общие данные'!$D$77,'График аннуитет.'!F29))</f>
        <v>4844034.5</v>
      </c>
    </row>
    <row r="31" spans="1:16">
      <c r="A31" s="21">
        <v>23</v>
      </c>
      <c r="B31" s="36">
        <f>'График дифференц'!B30</f>
        <v>46818</v>
      </c>
      <c r="C31" s="37">
        <f>IF('Общие данные'!$B$77='Общие данные'!$C$77,'График дифференц'!C30,IF('Общие данные'!$B$77='Общие данные'!$D$77,'График аннуитет.'!C30))</f>
        <v>38888888.839999974</v>
      </c>
      <c r="D31" s="37">
        <f>IF('Общие данные'!$B$77='Общие данные'!$C$77,'График дифференц'!D30,IF('Общие данные'!$B$77='Общие данные'!$D$77,'График аннуитет.'!D30))</f>
        <v>2777777.78</v>
      </c>
      <c r="E31" s="37">
        <f>IF('Общие данные'!$B$77='Общие данные'!$C$77,'График дифференц'!E30,IF('Общие данные'!$B$77='Общие данные'!$D$77,'График аннуитет.'!E30))</f>
        <v>1636308.52</v>
      </c>
      <c r="F31" s="37">
        <f>IF('Общие данные'!$B$77='Общие данные'!$C$77,'График дифференц'!F30,IF('Общие данные'!$B$77='Общие данные'!$D$77,'График аннуитет.'!F30))</f>
        <v>4414086.3</v>
      </c>
    </row>
    <row r="32" spans="1:16">
      <c r="A32" s="21">
        <v>24</v>
      </c>
      <c r="B32" s="36">
        <f>'График дифференц'!B31</f>
        <v>46848</v>
      </c>
      <c r="C32" s="37">
        <f>IF('Общие данные'!$B$77='Общие данные'!$C$77,'График дифференц'!C31,IF('Общие данные'!$B$77='Общие данные'!$D$77,'График аннуитет.'!C31))</f>
        <v>36111111.059999973</v>
      </c>
      <c r="D32" s="37">
        <f>IF('Общие данные'!$B$77='Общие данные'!$C$77,'График дифференц'!D31,IF('Общие данные'!$B$77='Общие данные'!$D$77,'График аннуитет.'!D31))</f>
        <v>2777777.78</v>
      </c>
      <c r="E32" s="37">
        <f>IF('Общие данные'!$B$77='Общие данные'!$C$77,'График дифференц'!E31,IF('Общие данные'!$B$77='Общие данные'!$D$77,'График аннуитет.'!E31))</f>
        <v>1627959.9000000001</v>
      </c>
      <c r="F32" s="37">
        <f>IF('Общие данные'!$B$77='Общие данные'!$C$77,'График дифференц'!F31,IF('Общие данные'!$B$77='Общие данные'!$D$77,'График аннуитет.'!F31))</f>
        <v>4405737.68</v>
      </c>
    </row>
    <row r="33" spans="1:6">
      <c r="A33" s="21">
        <f>1+A32</f>
        <v>25</v>
      </c>
      <c r="B33" s="36">
        <f>'График дифференц'!B32</f>
        <v>46878</v>
      </c>
      <c r="C33" s="37">
        <f>IF('Общие данные'!$B$77='Общие данные'!$C$77,'График дифференц'!C32,IF('Общие данные'!$B$77='Общие данные'!$D$77,'График аннуитет.'!C32))</f>
        <v>33333333.279999971</v>
      </c>
      <c r="D33" s="37">
        <f>IF('Общие данные'!$B$77='Общие данные'!$C$77,'График дифференц'!D32,IF('Общие данные'!$B$77='Общие данные'!$D$77,'График аннуитет.'!D32))</f>
        <v>2777777.78</v>
      </c>
      <c r="E33" s="37">
        <f>IF('Общие данные'!$B$77='Общие данные'!$C$77,'График дифференц'!E32,IF('Общие данные'!$B$77='Общие данные'!$D$77,'График аннуитет.'!E32))</f>
        <v>1502732.1</v>
      </c>
      <c r="F33" s="37">
        <f>IF('Общие данные'!$B$77='Общие данные'!$C$77,'График дифференц'!F32,IF('Общие данные'!$B$77='Общие данные'!$D$77,'График аннуитет.'!F32))</f>
        <v>4280509.88</v>
      </c>
    </row>
    <row r="34" spans="1:6">
      <c r="A34" s="21">
        <f t="shared" ref="A34:A56" si="0">1+A33</f>
        <v>26</v>
      </c>
      <c r="B34" s="36">
        <f>'График дифференц'!B33</f>
        <v>46909</v>
      </c>
      <c r="C34" s="37">
        <f>IF('Общие данные'!$B$77='Общие данные'!$C$77,'График дифференц'!C33,IF('Общие данные'!$B$77='Общие данные'!$D$77,'График аннуитет.'!C33))</f>
        <v>30555555.49999997</v>
      </c>
      <c r="D34" s="37">
        <f>IF('Общие данные'!$B$77='Общие данные'!$C$77,'График дифференц'!D33,IF('Общие данные'!$B$77='Общие данные'!$D$77,'График аннуитет.'!D33))</f>
        <v>2777777.78</v>
      </c>
      <c r="E34" s="37">
        <f>IF('Общие данные'!$B$77='Общие данные'!$C$77,'График дифференц'!E33,IF('Общие данные'!$B$77='Общие данные'!$D$77,'График аннуитет.'!E33))</f>
        <v>1423421.42</v>
      </c>
      <c r="F34" s="37">
        <f>IF('Общие данные'!$B$77='Общие данные'!$C$77,'График дифференц'!F33,IF('Общие данные'!$B$77='Общие данные'!$D$77,'График аннуитет.'!F33))</f>
        <v>4201199.1999999993</v>
      </c>
    </row>
    <row r="35" spans="1:6">
      <c r="A35" s="21">
        <f t="shared" si="0"/>
        <v>27</v>
      </c>
      <c r="B35" s="36">
        <f>'График дифференц'!B34</f>
        <v>46939</v>
      </c>
      <c r="C35" s="37">
        <f>IF('Общие данные'!$B$77='Общие данные'!$C$77,'График дифференц'!C34,IF('Общие данные'!$B$77='Общие данные'!$D$77,'График аннуитет.'!C34))</f>
        <v>27777777.719999969</v>
      </c>
      <c r="D35" s="37">
        <f>IF('Общие данные'!$B$77='Общие данные'!$C$77,'График дифференц'!D34,IF('Общие данные'!$B$77='Общие данные'!$D$77,'График аннуитет.'!D34))</f>
        <v>2777777.78</v>
      </c>
      <c r="E35" s="37">
        <f>IF('Общие данные'!$B$77='Общие данные'!$C$77,'График дифференц'!E34,IF('Общие данные'!$B$77='Общие данные'!$D$77,'График аннуитет.'!E34))</f>
        <v>1252276.7999999998</v>
      </c>
      <c r="F35" s="37">
        <f>IF('Общие данные'!$B$77='Общие данные'!$C$77,'График дифференц'!F34,IF('Общие данные'!$B$77='Общие данные'!$D$77,'График аннуитет.'!F34))</f>
        <v>4030054.5799999996</v>
      </c>
    </row>
    <row r="36" spans="1:6">
      <c r="A36" s="21">
        <f t="shared" si="0"/>
        <v>28</v>
      </c>
      <c r="B36" s="36">
        <f>'График дифференц'!B35</f>
        <v>46972</v>
      </c>
      <c r="C36" s="37">
        <f>IF('Общие данные'!$B$77='Общие данные'!$C$77,'График дифференц'!C35,IF('Общие данные'!$B$77='Общие данные'!$D$77,'График аннуитет.'!C35))</f>
        <v>24999999.939999968</v>
      </c>
      <c r="D36" s="37">
        <f>IF('Общие данные'!$B$77='Общие данные'!$C$77,'График дифференц'!D35,IF('Общие данные'!$B$77='Общие данные'!$D$77,'График аннуитет.'!D35))</f>
        <v>2777777.78</v>
      </c>
      <c r="E36" s="37">
        <f>IF('Общие данные'!$B$77='Общие данные'!$C$77,'График дифференц'!E35,IF('Общие данные'!$B$77='Общие данные'!$D$77,'График аннуитет.'!E35))</f>
        <v>1239754.23</v>
      </c>
      <c r="F36" s="37">
        <f>IF('Общие данные'!$B$77='Общие данные'!$C$77,'График дифференц'!F35,IF('Общие данные'!$B$77='Общие данные'!$D$77,'График аннуитет.'!F35))</f>
        <v>4017532.01</v>
      </c>
    </row>
    <row r="37" spans="1:6">
      <c r="A37" s="21">
        <f t="shared" si="0"/>
        <v>29</v>
      </c>
      <c r="B37" s="36">
        <f>'График дифференц'!B36</f>
        <v>47001</v>
      </c>
      <c r="C37" s="37">
        <f>IF('Общие данные'!$B$77='Общие данные'!$C$77,'График дифференц'!C36,IF('Общие данные'!$B$77='Общие данные'!$D$77,'График аннуитет.'!C36))</f>
        <v>22222222.159999967</v>
      </c>
      <c r="D37" s="37">
        <f>IF('Общие данные'!$B$77='Общие данные'!$C$77,'График дифференц'!D36,IF('Общие данные'!$B$77='Общие данные'!$D$77,'График аннуитет.'!D36))</f>
        <v>2777777.78</v>
      </c>
      <c r="E37" s="37">
        <f>IF('Общие данные'!$B$77='Общие данные'!$C$77,'График дифференц'!E36,IF('Общие данные'!$B$77='Общие данные'!$D$77,'График аннуитет.'!E36))</f>
        <v>968427.45000000007</v>
      </c>
      <c r="F37" s="37">
        <f>IF('Общие данные'!$B$77='Общие данные'!$C$77,'График дифференц'!F36,IF('Общие данные'!$B$77='Общие данные'!$D$77,'График аннуитет.'!F36))</f>
        <v>3746205.23</v>
      </c>
    </row>
    <row r="38" spans="1:6">
      <c r="A38" s="21">
        <f t="shared" si="0"/>
        <v>30</v>
      </c>
      <c r="B38" s="36">
        <f>'График дифференц'!B37</f>
        <v>47031</v>
      </c>
      <c r="C38" s="37">
        <f>IF('Общие данные'!$B$77='Общие данные'!$C$77,'График дифференц'!C37,IF('Общие данные'!$B$77='Общие данные'!$D$77,'График аннуитет.'!C37))</f>
        <v>19444444.379999965</v>
      </c>
      <c r="D38" s="37">
        <f>IF('Общие данные'!$B$77='Общие данные'!$C$77,'График дифференц'!D37,IF('Общие данные'!$B$77='Общие данные'!$D$77,'График аннуитет.'!D37))</f>
        <v>2777777.78</v>
      </c>
      <c r="E38" s="37">
        <f>IF('Общие данные'!$B$77='Общие данные'!$C$77,'График дифференц'!E37,IF('Общие данные'!$B$77='Общие данные'!$D$77,'График аннуитет.'!E37))</f>
        <v>876593.70000000007</v>
      </c>
      <c r="F38" s="37">
        <f>IF('Общие данные'!$B$77='Общие данные'!$C$77,'График дифференц'!F37,IF('Общие данные'!$B$77='Общие данные'!$D$77,'График аннуитет.'!F37))</f>
        <v>3654371.48</v>
      </c>
    </row>
    <row r="39" spans="1:6">
      <c r="A39" s="21">
        <f t="shared" si="0"/>
        <v>31</v>
      </c>
      <c r="B39" s="36">
        <f>'График дифференц'!B38</f>
        <v>47063</v>
      </c>
      <c r="C39" s="37">
        <f>IF('Общие данные'!$B$77='Общие данные'!$C$77,'График дифференц'!C38,IF('Общие данные'!$B$77='Общие данные'!$D$77,'График аннуитет.'!C38))</f>
        <v>16666666.599999966</v>
      </c>
      <c r="D39" s="37">
        <f>IF('Общие данные'!$B$77='Общие данные'!$C$77,'График дифференц'!D38,IF('Общие данные'!$B$77='Общие данные'!$D$77,'График аннуитет.'!D38))</f>
        <v>2777777.78</v>
      </c>
      <c r="E39" s="37">
        <f>IF('Общие данные'!$B$77='Общие данные'!$C$77,'График дифференц'!E38,IF('Общие данные'!$B$77='Общие данные'!$D$77,'График аннуитет.'!E38))</f>
        <v>801457.28</v>
      </c>
      <c r="F39" s="37">
        <f>IF('Общие данные'!$B$77='Общие данные'!$C$77,'График дифференц'!F38,IF('Общие данные'!$B$77='Общие данные'!$D$77,'График аннуитет.'!F38))</f>
        <v>3579235.0599999996</v>
      </c>
    </row>
    <row r="40" spans="1:6">
      <c r="A40" s="21">
        <f t="shared" si="0"/>
        <v>32</v>
      </c>
      <c r="B40" s="36">
        <f>'График дифференц'!B39</f>
        <v>47092</v>
      </c>
      <c r="C40" s="37">
        <f>IF('Общие данные'!$B$77='Общие данные'!$C$77,'График дифференц'!C39,IF('Общие данные'!$B$77='Общие данные'!$D$77,'График аннуитет.'!C39))</f>
        <v>13888888.819999967</v>
      </c>
      <c r="D40" s="37">
        <f>IF('Общие данные'!$B$77='Общие данные'!$C$77,'График дифференц'!D39,IF('Общие данные'!$B$77='Общие данные'!$D$77,'График аннуитет.'!D39))</f>
        <v>2777777.78</v>
      </c>
      <c r="E40" s="37">
        <f>IF('Общие данные'!$B$77='Общие данные'!$C$77,'График дифференц'!E39,IF('Общие данные'!$B$77='Общие данные'!$D$77,'График аннуитет.'!E39))</f>
        <v>605267.12</v>
      </c>
      <c r="F40" s="37">
        <f>IF('Общие данные'!$B$77='Общие данные'!$C$77,'График дифференц'!F39,IF('Общие данные'!$B$77='Общие данные'!$D$77,'График аннуитет.'!F39))</f>
        <v>3383044.9</v>
      </c>
    </row>
    <row r="41" spans="1:6">
      <c r="A41" s="21">
        <f t="shared" si="0"/>
        <v>33</v>
      </c>
      <c r="B41" s="36">
        <f>'График дифференц'!B40</f>
        <v>47123</v>
      </c>
      <c r="C41" s="37">
        <f>IF('Общие данные'!$B$77='Общие данные'!$C$77,'График дифференц'!C40,IF('Общие данные'!$B$77='Общие данные'!$D$77,'График аннуитет.'!C40))</f>
        <v>11111111.039999967</v>
      </c>
      <c r="D41" s="37">
        <f>IF('Общие данные'!$B$77='Общие данные'!$C$77,'График дифференц'!D40,IF('Общие данные'!$B$77='Общие данные'!$D$77,'График аннуитет.'!D40))</f>
        <v>2777777.78</v>
      </c>
      <c r="E41" s="37">
        <f>IF('Общие данные'!$B$77='Общие данные'!$C$77,'График дифференц'!E40,IF('Общие данные'!$B$77='Общие данные'!$D$77,'График аннуитет.'!E40))</f>
        <v>519025.87</v>
      </c>
      <c r="F41" s="37">
        <f>IF('Общие данные'!$B$77='Общие данные'!$C$77,'График дифференц'!F40,IF('Общие данные'!$B$77='Общие данные'!$D$77,'График аннуитет.'!F40))</f>
        <v>3296803.65</v>
      </c>
    </row>
    <row r="42" spans="1:6">
      <c r="A42" s="21">
        <f t="shared" si="0"/>
        <v>34</v>
      </c>
      <c r="B42" s="36">
        <f>'График дифференц'!B41</f>
        <v>47154</v>
      </c>
      <c r="C42" s="37">
        <f>IF('Общие данные'!$B$77='Общие данные'!$C$77,'График дифференц'!C41,IF('Общие данные'!$B$77='Общие данные'!$D$77,'График аннуитет.'!C41))</f>
        <v>8333333.2599999681</v>
      </c>
      <c r="D42" s="37">
        <f>IF('Общие данные'!$B$77='Общие данные'!$C$77,'График дифференц'!D41,IF('Общие данные'!$B$77='Общие данные'!$D$77,'График аннуитет.'!D41))</f>
        <v>2777777.78</v>
      </c>
      <c r="E42" s="37">
        <f>IF('Общие данные'!$B$77='Общие данные'!$C$77,'График дифференц'!E41,IF('Общие данные'!$B$77='Общие данные'!$D$77,'График аннуитет.'!E41))</f>
        <v>389269.48</v>
      </c>
      <c r="F42" s="37">
        <f>IF('Общие данные'!$B$77='Общие данные'!$C$77,'График дифференц'!F41,IF('Общие данные'!$B$77='Общие данные'!$D$77,'График аннуитет.'!F41))</f>
        <v>3167047.26</v>
      </c>
    </row>
    <row r="43" spans="1:6">
      <c r="A43" s="21">
        <f t="shared" si="0"/>
        <v>35</v>
      </c>
      <c r="B43" s="36">
        <f>'График дифференц'!B42</f>
        <v>47182</v>
      </c>
      <c r="C43" s="37">
        <f>IF('Общие данные'!$B$77='Общие данные'!$C$77,'График дифференц'!C42,IF('Общие данные'!$B$77='Общие данные'!$D$77,'График аннуитет.'!C42))</f>
        <v>5555555.4799999688</v>
      </c>
      <c r="D43" s="37">
        <f>IF('Общие данные'!$B$77='Общие данные'!$C$77,'График дифференц'!D42,IF('Общие данные'!$B$77='Общие данные'!$D$77,'График аннуитет.'!D42))</f>
        <v>2777777.78</v>
      </c>
      <c r="E43" s="37">
        <f>IF('Общие данные'!$B$77='Общие данные'!$C$77,'График дифференц'!E42,IF('Общие данные'!$B$77='Общие данные'!$D$77,'График аннуитет.'!E42))</f>
        <v>234398.63999999998</v>
      </c>
      <c r="F43" s="37">
        <f>IF('Общие данные'!$B$77='Общие данные'!$C$77,'График дифференц'!F42,IF('Общие данные'!$B$77='Общие данные'!$D$77,'График аннуитет.'!F42))</f>
        <v>3012176.42</v>
      </c>
    </row>
    <row r="44" spans="1:6">
      <c r="A44" s="21">
        <f t="shared" si="0"/>
        <v>36</v>
      </c>
      <c r="B44" s="36">
        <f>'График дифференц'!B43</f>
        <v>47211</v>
      </c>
      <c r="C44" s="37">
        <f>IF('Общие данные'!$B$77='Общие данные'!$C$77,'График дифференц'!C43,IF('Общие данные'!$B$77='Общие данные'!$D$77,'График аннуитет.'!C43))</f>
        <v>2777777.699999969</v>
      </c>
      <c r="D44" s="37">
        <f>IF('Общие данные'!$B$77='Общие данные'!$C$77,'График дифференц'!D43,IF('Общие данные'!$B$77='Общие данные'!$D$77,'График аннуитет.'!D43))</f>
        <v>2777777.6999999732</v>
      </c>
      <c r="E44" s="37">
        <f>IF('Общие данные'!$B$77='Общие данные'!$C$77,'График дифференц'!E43,IF('Общие данные'!$B$77='Общие данные'!$D$77,'График аннуитет.'!E43))</f>
        <v>121385.01</v>
      </c>
      <c r="F44" s="37">
        <f>IF('Общие данные'!$B$77='Общие данные'!$C$77,'График дифференц'!F43,IF('Общие данные'!$B$77='Общие данные'!$D$77,'График аннуитет.'!F43))</f>
        <v>2899162.709999973</v>
      </c>
    </row>
    <row r="45" spans="1:6" hidden="1">
      <c r="A45" s="21">
        <f t="shared" si="0"/>
        <v>37</v>
      </c>
      <c r="B45" s="36" t="b">
        <f>'График дифференц'!B44</f>
        <v>0</v>
      </c>
      <c r="C45" s="37">
        <f>IF('Общие данные'!$B$77='Общие данные'!$C$77,'График дифференц'!C44,IF('Общие данные'!$B$77='Общие данные'!$D$77,'График аннуитет.'!C44))</f>
        <v>-4.1909515857696533E-9</v>
      </c>
      <c r="D45" s="37" t="b">
        <f>IF('Общие данные'!$B$77='Общие данные'!$C$77,'График дифференц'!D44,IF('Общие данные'!$B$77='Общие данные'!$D$77,'График аннуитет.'!D44))</f>
        <v>0</v>
      </c>
      <c r="E45" s="37" t="b">
        <f>IF('Общие данные'!$B$77='Общие данные'!$C$77,'График дифференц'!E44,IF('Общие данные'!$B$77='Общие данные'!$D$77,'График аннуитет.'!E44))</f>
        <v>0</v>
      </c>
      <c r="F45" s="37" t="b">
        <f>IF('Общие данные'!$B$77='Общие данные'!$C$77,'График дифференц'!F44,IF('Общие данные'!$B$77='Общие данные'!$D$77,'График аннуитет.'!F44))</f>
        <v>0</v>
      </c>
    </row>
    <row r="46" spans="1:6" hidden="1">
      <c r="A46" s="21">
        <f t="shared" si="0"/>
        <v>38</v>
      </c>
      <c r="B46" s="36" t="b">
        <f>'График дифференц'!B45</f>
        <v>0</v>
      </c>
      <c r="C46" s="37">
        <f>IF('Общие данные'!$B$77='Общие данные'!$C$77,'График дифференц'!C45,IF('Общие данные'!$B$77='Общие данные'!$D$77,'График аннуитет.'!C57))</f>
        <v>-4.1909515857696533E-9</v>
      </c>
      <c r="D46" s="37" t="b">
        <f>IF('Общие данные'!$B$77='Общие данные'!$C$77,'График дифференц'!D45,IF('Общие данные'!$B$77='Общие данные'!$D$77,'График аннуитет.'!D45))</f>
        <v>0</v>
      </c>
      <c r="E46" s="37" t="b">
        <f>IF('Общие данные'!$B$77='Общие данные'!$C$77,'График дифференц'!E45,IF('Общие данные'!$B$77='Общие данные'!$D$77,'График аннуитет.'!E45))</f>
        <v>0</v>
      </c>
      <c r="F46" s="37" t="b">
        <f>IF('Общие данные'!$B$77='Общие данные'!$C$77,'График дифференц'!F45,IF('Общие данные'!$B$77='Общие данные'!$D$77,'График аннуитет.'!F57))</f>
        <v>0</v>
      </c>
    </row>
    <row r="47" spans="1:6" hidden="1">
      <c r="A47" s="21">
        <f t="shared" si="0"/>
        <v>39</v>
      </c>
      <c r="B47" s="36" t="b">
        <f>'График дифференц'!B46</f>
        <v>0</v>
      </c>
      <c r="C47" s="37">
        <f>IF('Общие данные'!$B$77='Общие данные'!$C$77,'График дифференц'!C46,IF('Общие данные'!$B$77='Общие данные'!$D$77,'График аннуитет.'!C58))</f>
        <v>-4.1909515857696533E-9</v>
      </c>
      <c r="D47" s="37" t="b">
        <f>IF('Общие данные'!$B$77='Общие данные'!$C$77,'График дифференц'!D46,IF('Общие данные'!$B$77='Общие данные'!$D$77,'График аннуитет.'!D46))</f>
        <v>0</v>
      </c>
      <c r="E47" s="37" t="b">
        <f>IF('Общие данные'!$B$77='Общие данные'!$C$77,'График дифференц'!E46,IF('Общие данные'!$B$77='Общие данные'!$D$77,'График аннуитет.'!E46))</f>
        <v>0</v>
      </c>
      <c r="F47" s="37" t="b">
        <f>IF('Общие данные'!$B$77='Общие данные'!$C$77,'График дифференц'!F46,IF('Общие данные'!$B$77='Общие данные'!$D$77,'График аннуитет.'!F58))</f>
        <v>0</v>
      </c>
    </row>
    <row r="48" spans="1:6" hidden="1">
      <c r="A48" s="21">
        <f t="shared" si="0"/>
        <v>40</v>
      </c>
      <c r="B48" s="36" t="b">
        <f>'График дифференц'!B47</f>
        <v>0</v>
      </c>
      <c r="C48" s="37">
        <f>IF('Общие данные'!$B$77='Общие данные'!$C$77,'График дифференц'!C47,IF('Общие данные'!$B$77='Общие данные'!$D$77,'График аннуитет.'!C59))</f>
        <v>-4.1909515857696533E-9</v>
      </c>
      <c r="D48" s="37" t="b">
        <f>IF('Общие данные'!$B$77='Общие данные'!$C$77,'График дифференц'!D47,IF('Общие данные'!$B$77='Общие данные'!$D$77,'График аннуитет.'!D47))</f>
        <v>0</v>
      </c>
      <c r="E48" s="37" t="b">
        <f>IF('Общие данные'!$B$77='Общие данные'!$C$77,'График дифференц'!E47,IF('Общие данные'!$B$77='Общие данные'!$D$77,'График аннуитет.'!E47))</f>
        <v>0</v>
      </c>
      <c r="F48" s="37" t="b">
        <f>IF('Общие данные'!$B$77='Общие данные'!$C$77,'График дифференц'!F47,IF('Общие данные'!$B$77='Общие данные'!$D$77,'График аннуитет.'!F59))</f>
        <v>0</v>
      </c>
    </row>
    <row r="49" spans="1:6" hidden="1">
      <c r="A49" s="21">
        <f t="shared" si="0"/>
        <v>41</v>
      </c>
      <c r="B49" s="36" t="b">
        <f>'График дифференц'!B48</f>
        <v>0</v>
      </c>
      <c r="C49" s="37">
        <f>IF('Общие данные'!$B$77='Общие данные'!$C$77,'График дифференц'!C48,IF('Общие данные'!$B$77='Общие данные'!$D$77,'График аннуитет.'!C60))</f>
        <v>-4.1909515857696533E-9</v>
      </c>
      <c r="D49" s="37" t="b">
        <f>IF('Общие данные'!$B$77='Общие данные'!$C$77,'График дифференц'!D48,IF('Общие данные'!$B$77='Общие данные'!$D$77,'График аннуитет.'!D48))</f>
        <v>0</v>
      </c>
      <c r="E49" s="37" t="b">
        <f>IF('Общие данные'!$B$77='Общие данные'!$C$77,'График дифференц'!E48,IF('Общие данные'!$B$77='Общие данные'!$D$77,'График аннуитет.'!E48))</f>
        <v>0</v>
      </c>
      <c r="F49" s="37" t="b">
        <f>IF('Общие данные'!$B$77='Общие данные'!$C$77,'График дифференц'!F48,IF('Общие данные'!$B$77='Общие данные'!$D$77,'График аннуитет.'!F60))</f>
        <v>0</v>
      </c>
    </row>
    <row r="50" spans="1:6" hidden="1">
      <c r="A50" s="21">
        <f t="shared" si="0"/>
        <v>42</v>
      </c>
      <c r="B50" s="36" t="b">
        <f>'График дифференц'!B49</f>
        <v>0</v>
      </c>
      <c r="C50" s="37">
        <f>IF('Общие данные'!$B$77='Общие данные'!$C$77,'График дифференц'!C49,IF('Общие данные'!$B$77='Общие данные'!$D$77,'График аннуитет.'!C61))</f>
        <v>-4.1909515857696533E-9</v>
      </c>
      <c r="D50" s="37" t="b">
        <f>IF('Общие данные'!$B$77='Общие данные'!$C$77,'График дифференц'!D49,IF('Общие данные'!$B$77='Общие данные'!$D$77,'График аннуитет.'!D49))</f>
        <v>0</v>
      </c>
      <c r="E50" s="37" t="b">
        <f>IF('Общие данные'!$B$77='Общие данные'!$C$77,'График дифференц'!E49,IF('Общие данные'!$B$77='Общие данные'!$D$77,'График аннуитет.'!E49))</f>
        <v>0</v>
      </c>
      <c r="F50" s="37" t="b">
        <f>IF('Общие данные'!$B$77='Общие данные'!$C$77,'График дифференц'!F49,IF('Общие данные'!$B$77='Общие данные'!$D$77,'График аннуитет.'!F61))</f>
        <v>0</v>
      </c>
    </row>
    <row r="51" spans="1:6" hidden="1">
      <c r="A51" s="21">
        <f t="shared" si="0"/>
        <v>43</v>
      </c>
      <c r="B51" s="36" t="b">
        <f>'График дифференц'!B50</f>
        <v>0</v>
      </c>
      <c r="C51" s="37">
        <f>IF('Общие данные'!$B$77='Общие данные'!$C$77,'График дифференц'!C50,IF('Общие данные'!$B$77='Общие данные'!$D$77,'График аннуитет.'!C62))</f>
        <v>-4.1909515857696533E-9</v>
      </c>
      <c r="D51" s="37" t="b">
        <f>IF('Общие данные'!$B$77='Общие данные'!$C$77,'График дифференц'!D50,IF('Общие данные'!$B$77='Общие данные'!$D$77,'График аннуитет.'!D50))</f>
        <v>0</v>
      </c>
      <c r="E51" s="37" t="b">
        <f>IF('Общие данные'!$B$77='Общие данные'!$C$77,'График дифференц'!E50,IF('Общие данные'!$B$77='Общие данные'!$D$77,'График аннуитет.'!E50))</f>
        <v>0</v>
      </c>
      <c r="F51" s="37" t="b">
        <f>IF('Общие данные'!$B$77='Общие данные'!$C$77,'График дифференц'!F50,IF('Общие данные'!$B$77='Общие данные'!$D$77,'График аннуитет.'!F62))</f>
        <v>0</v>
      </c>
    </row>
    <row r="52" spans="1:6" hidden="1">
      <c r="A52" s="21">
        <f t="shared" si="0"/>
        <v>44</v>
      </c>
      <c r="B52" s="36" t="b">
        <f>'График дифференц'!B51</f>
        <v>0</v>
      </c>
      <c r="C52" s="37">
        <f>IF('Общие данные'!$B$77='Общие данные'!$C$77,'График дифференц'!C51,IF('Общие данные'!$B$77='Общие данные'!$D$77,'График аннуитет.'!C63))</f>
        <v>-4.1909515857696533E-9</v>
      </c>
      <c r="D52" s="37" t="b">
        <f>IF('Общие данные'!$B$77='Общие данные'!$C$77,'График дифференц'!D51,IF('Общие данные'!$B$77='Общие данные'!$D$77,'График аннуитет.'!D51))</f>
        <v>0</v>
      </c>
      <c r="E52" s="37" t="b">
        <f>IF('Общие данные'!$B$77='Общие данные'!$C$77,'График дифференц'!E51,IF('Общие данные'!$B$77='Общие данные'!$D$77,'График аннуитет.'!E51))</f>
        <v>0</v>
      </c>
      <c r="F52" s="37" t="b">
        <f>IF('Общие данные'!$B$77='Общие данные'!$C$77,'График дифференц'!F51,IF('Общие данные'!$B$77='Общие данные'!$D$77,'График аннуитет.'!F63))</f>
        <v>0</v>
      </c>
    </row>
    <row r="53" spans="1:6" hidden="1">
      <c r="A53" s="21">
        <f t="shared" si="0"/>
        <v>45</v>
      </c>
      <c r="B53" s="36" t="b">
        <f>'График дифференц'!B52</f>
        <v>0</v>
      </c>
      <c r="C53" s="37">
        <f>IF('Общие данные'!$B$77='Общие данные'!$C$77,'График дифференц'!C52,IF('Общие данные'!$B$77='Общие данные'!$D$77,'График аннуитет.'!C64))</f>
        <v>-4.1909515857696533E-9</v>
      </c>
      <c r="D53" s="37" t="b">
        <f>IF('Общие данные'!$B$77='Общие данные'!$C$77,'График дифференц'!D52,IF('Общие данные'!$B$77='Общие данные'!$D$77,'График аннуитет.'!D52))</f>
        <v>0</v>
      </c>
      <c r="E53" s="37" t="b">
        <f>IF('Общие данные'!$B$77='Общие данные'!$C$77,'График дифференц'!E52,IF('Общие данные'!$B$77='Общие данные'!$D$77,'График аннуитет.'!E52))</f>
        <v>0</v>
      </c>
      <c r="F53" s="37" t="b">
        <f>IF('Общие данные'!$B$77='Общие данные'!$C$77,'График дифференц'!F52,IF('Общие данные'!$B$77='Общие данные'!$D$77,'График аннуитет.'!F64))</f>
        <v>0</v>
      </c>
    </row>
    <row r="54" spans="1:6" hidden="1">
      <c r="A54" s="21">
        <f t="shared" si="0"/>
        <v>46</v>
      </c>
      <c r="B54" s="36" t="b">
        <f>'График дифференц'!B53</f>
        <v>0</v>
      </c>
      <c r="C54" s="37">
        <f>IF('Общие данные'!$B$77='Общие данные'!$C$77,'График дифференц'!C53,IF('Общие данные'!$B$77='Общие данные'!$D$77,'График аннуитет.'!C65))</f>
        <v>-4.1909515857696533E-9</v>
      </c>
      <c r="D54" s="37" t="b">
        <f>IF('Общие данные'!$B$77='Общие данные'!$C$77,'График дифференц'!D53,IF('Общие данные'!$B$77='Общие данные'!$D$77,'График аннуитет.'!D53))</f>
        <v>0</v>
      </c>
      <c r="E54" s="37" t="b">
        <f>IF('Общие данные'!$B$77='Общие данные'!$C$77,'График дифференц'!E53,IF('Общие данные'!$B$77='Общие данные'!$D$77,'График аннуитет.'!E53))</f>
        <v>0</v>
      </c>
      <c r="F54" s="37" t="b">
        <f>IF('Общие данные'!$B$77='Общие данные'!$C$77,'График дифференц'!F53,IF('Общие данные'!$B$77='Общие данные'!$D$77,'График аннуитет.'!F65))</f>
        <v>0</v>
      </c>
    </row>
    <row r="55" spans="1:6" hidden="1">
      <c r="A55" s="21">
        <f t="shared" si="0"/>
        <v>47</v>
      </c>
      <c r="B55" s="36" t="b">
        <f>'График дифференц'!B54</f>
        <v>0</v>
      </c>
      <c r="C55" s="37">
        <f>IF('Общие данные'!$B$77='Общие данные'!$C$77,'График дифференц'!C54,IF('Общие данные'!$B$77='Общие данные'!$D$77,'График аннуитет.'!C66))</f>
        <v>-4.1909515857696533E-9</v>
      </c>
      <c r="D55" s="37" t="b">
        <f>IF('Общие данные'!$B$77='Общие данные'!$C$77,'График дифференц'!D54,IF('Общие данные'!$B$77='Общие данные'!$D$77,'График аннуитет.'!D54))</f>
        <v>0</v>
      </c>
      <c r="E55" s="37" t="b">
        <f>IF('Общие данные'!$B$77='Общие данные'!$C$77,'График дифференц'!E54,IF('Общие данные'!$B$77='Общие данные'!$D$77,'График аннуитет.'!E54))</f>
        <v>0</v>
      </c>
      <c r="F55" s="37" t="b">
        <f>IF('Общие данные'!$B$77='Общие данные'!$C$77,'График дифференц'!F54,IF('Общие данные'!$B$77='Общие данные'!$D$77,'График аннуитет.'!F66))</f>
        <v>0</v>
      </c>
    </row>
    <row r="56" spans="1:6" hidden="1">
      <c r="A56" s="21">
        <f t="shared" si="0"/>
        <v>48</v>
      </c>
      <c r="B56" s="36" t="b">
        <f>'График дифференц'!B55</f>
        <v>0</v>
      </c>
      <c r="C56" s="37">
        <f>IF('Общие данные'!$B$77='Общие данные'!$C$77,'График дифференц'!C55,IF('Общие данные'!$B$77='Общие данные'!$D$77,'График аннуитет.'!C67))</f>
        <v>-4.1909515857696533E-9</v>
      </c>
      <c r="D56" s="37" t="b">
        <f>IF('Общие данные'!$B$77='Общие данные'!$C$77,'График дифференц'!D55,IF('Общие данные'!$B$77='Общие данные'!$D$77,'График аннуитет.'!D55))</f>
        <v>0</v>
      </c>
      <c r="E56" s="37" t="b">
        <f>IF('Общие данные'!$B$77='Общие данные'!$C$77,'График дифференц'!E55,IF('Общие данные'!$B$77='Общие данные'!$D$77,'График аннуитет.'!E55))</f>
        <v>0</v>
      </c>
      <c r="F56" s="37" t="b">
        <f>IF('Общие данные'!$B$77='Общие данные'!$C$77,'График дифференц'!F55,IF('Общие данные'!$B$77='Общие данные'!$D$77,'График аннуитет.'!F67))</f>
        <v>0</v>
      </c>
    </row>
    <row r="57" spans="1:6" ht="15" customHeight="1">
      <c r="A57" s="49"/>
      <c r="B57" s="50" t="s">
        <v>201</v>
      </c>
      <c r="C57" s="51"/>
      <c r="D57" s="37">
        <f>IF('Общие данные'!$B$77='Общие данные'!$C$77,'График дифференц'!D56,IF('Общие данные'!$B$77='Общие данные'!$D$77,'График аннуитет.'!D56))</f>
        <v>100000000</v>
      </c>
      <c r="E57" s="37">
        <f>IF('Общие данные'!$B$77='Общие данные'!$C$77,'График дифференц'!E56,IF('Общие данные'!$B$77='Общие данные'!$D$77,'График аннуитет.'!E56))</f>
        <v>85231267.100000039</v>
      </c>
      <c r="F57" s="51">
        <f>SUM(F9:F56)</f>
        <v>185231267.09999996</v>
      </c>
    </row>
    <row r="58" spans="1:6" ht="21" customHeight="1">
      <c r="B58" s="38"/>
      <c r="C58" s="39"/>
      <c r="D58" s="39"/>
      <c r="E58" s="39"/>
      <c r="F58" s="39"/>
    </row>
    <row r="59" spans="1:6" ht="47.25" customHeight="1">
      <c r="A59" s="246" t="str">
        <f>"*"&amp;'Общие данные'!C64&amp;" bo‘yicha to‘lovlar to‘lov jadvalida ko‘rsatilmagan sanalarda to‘langan taqdirda, to‘lov summasi mikroqarz shartnomasining 2.4.-bandiga muvofiq "&amp;'Общие данные'!B65&amp;" qoldig‘iga hisoblangan foizlar summasiga o‘zgartiriladi."</f>
        <v>*Mikrokredit bo‘yicha to‘lovlar to‘lov jadvalida ko‘rsatilmagan sanalarda to‘langan taqdirda, to‘lov summasi mikroqarz shartnomasining 2.4.-bandiga muvofiq Mikroqarz qoldig‘iga hisoblangan foizlar summasiga o‘zgartiriladi.</v>
      </c>
      <c r="B59" s="246"/>
      <c r="C59" s="246"/>
      <c r="D59" s="246"/>
      <c r="E59" s="246"/>
      <c r="F59" s="246"/>
    </row>
    <row r="60" spans="1:6" ht="7.5" customHeight="1"/>
    <row r="61" spans="1:6" ht="15" customHeight="1">
      <c r="A61" s="281" t="s">
        <v>266</v>
      </c>
      <c r="B61" s="281"/>
      <c r="C61" s="281"/>
      <c r="D61" s="281" t="s">
        <v>274</v>
      </c>
      <c r="E61" s="281"/>
      <c r="F61" s="281"/>
    </row>
    <row r="62" spans="1:6" ht="11.25" customHeight="1">
      <c r="A62" s="282"/>
      <c r="B62" s="282"/>
      <c r="C62" s="282"/>
      <c r="D62" s="282"/>
      <c r="E62" s="282"/>
      <c r="F62" s="282"/>
    </row>
    <row r="63" spans="1:6" ht="30" customHeight="1">
      <c r="A63" s="280" t="str">
        <f>договор!A117</f>
        <v>«PULLOL BUSINESS MIKROMOLIYA TASHKILOTI»  MChJ</v>
      </c>
      <c r="B63" s="280"/>
      <c r="C63" s="280"/>
      <c r="D63" s="280" t="str">
        <f>договор!B117</f>
        <v>ANNAZAROV KAXRAMAN SADULLAYEVICH</v>
      </c>
      <c r="E63" s="280"/>
      <c r="F63" s="280"/>
    </row>
    <row r="64" spans="1:6" ht="53.25" customHeight="1">
      <c r="A64" s="276" t="str">
        <f>договор!A119</f>
        <v>Manzil: Toshkent shahri, Yakkasaroy tumani, Rakat ko'chasi, 10-uy, 18 xonadon</v>
      </c>
      <c r="B64" s="276"/>
      <c r="C64" s="276"/>
      <c r="D64" s="276" t="str">
        <f>договор!B119</f>
        <v>Manzil: QORAQALPOG'ISTON RESPUBLIKASI TO'RTKO'L TUMANI YOSHLIK MFY KALTAMINAR KO'CHASI 1B-UY</v>
      </c>
      <c r="E64" s="276"/>
      <c r="F64" s="276"/>
    </row>
    <row r="65" spans="1:6" ht="15" customHeight="1">
      <c r="A65" s="276" t="str">
        <f>договор!A120</f>
        <v>h/r: № 20208000405643889001</v>
      </c>
      <c r="B65" s="276"/>
      <c r="C65" s="276"/>
      <c r="D65" s="276" t="str">
        <f>договор!B121</f>
        <v>pasport seriyasi: AD 2849628, IIV 35233 tomonidan 23.03.2023 yilda berilgan</v>
      </c>
      <c r="E65" s="276"/>
      <c r="F65" s="276"/>
    </row>
    <row r="66" spans="1:6" ht="32.25" customHeight="1">
      <c r="A66" s="276" t="str">
        <f>договор!A121</f>
        <v>MFO: №01088 в ATB “Kapitalbank” Markaziy amaliyotlar bo'limi</v>
      </c>
      <c r="B66" s="276"/>
      <c r="C66" s="276"/>
      <c r="D66" s="276"/>
      <c r="E66" s="276"/>
      <c r="F66" s="276"/>
    </row>
    <row r="67" spans="1:6" ht="15" customHeight="1">
      <c r="A67" s="276" t="str">
        <f>договор!A122</f>
        <v>STIR: 310430149</v>
      </c>
      <c r="B67" s="276"/>
      <c r="C67" s="276"/>
      <c r="D67" s="276" t="str">
        <f>договор!B122</f>
        <v>Tel: 93 770 26 32 KLIENT</v>
      </c>
      <c r="E67" s="276"/>
      <c r="F67" s="276"/>
    </row>
    <row r="68" spans="1:6" ht="15" customHeight="1">
      <c r="A68" s="276" t="str">
        <f>договор!A123</f>
        <v>Tel: (97) 714 14 14</v>
      </c>
      <c r="B68" s="276"/>
      <c r="C68" s="276"/>
      <c r="D68" s="276" t="str">
        <f>договор!B123</f>
        <v>93 369 60 50 AYOLI</v>
      </c>
      <c r="E68" s="276"/>
      <c r="F68" s="276"/>
    </row>
    <row r="69" spans="1:6" ht="15" customHeight="1">
      <c r="A69" s="276" t="str">
        <f>договор!A124</f>
        <v>(71) 555 10 02 17</v>
      </c>
      <c r="B69" s="276"/>
      <c r="C69" s="276"/>
      <c r="D69" s="276" t="str">
        <f>договор!B124</f>
        <v>94 149 90 95 UYI</v>
      </c>
      <c r="E69" s="276"/>
      <c r="F69" s="276"/>
    </row>
    <row r="70" spans="1:6" ht="23.25" customHeight="1">
      <c r="A70" s="276"/>
      <c r="B70" s="276"/>
      <c r="C70" s="276"/>
      <c r="D70" s="276" t="str">
        <f>IF(договор!B125=0,"",договор!B125)</f>
        <v/>
      </c>
      <c r="E70" s="276"/>
      <c r="F70" s="276"/>
    </row>
    <row r="71" spans="1:6" ht="29.25" customHeight="1">
      <c r="A71" s="333" t="str">
        <f>договор!A126</f>
        <v>To'rtko'l filiali boshlig’i</v>
      </c>
      <c r="B71" s="333"/>
      <c r="C71" s="333"/>
      <c r="D71" s="280" t="str">
        <f>договор!B126</f>
        <v>ANNAZAROV K.S.     __________________</v>
      </c>
      <c r="E71" s="280"/>
      <c r="F71" s="280"/>
    </row>
    <row r="72" spans="1:6" ht="15" customHeight="1">
      <c r="A72" s="276"/>
      <c r="B72" s="276"/>
      <c r="C72" s="276"/>
      <c r="D72" s="280"/>
      <c r="E72" s="280"/>
      <c r="F72" s="280"/>
    </row>
    <row r="73" spans="1:6">
      <c r="A73" s="333" t="str">
        <f>договор!A129</f>
        <v xml:space="preserve">Djumanazarov B.A. ________________ </v>
      </c>
      <c r="B73" s="333"/>
      <c r="C73" s="333"/>
      <c r="D73" s="280"/>
      <c r="E73" s="280"/>
      <c r="F73" s="280"/>
    </row>
    <row r="74" spans="1:6" ht="8.25" customHeight="1">
      <c r="A74" s="276"/>
      <c r="B74" s="276"/>
      <c r="C74" s="276"/>
      <c r="D74" s="276"/>
      <c r="E74" s="276"/>
      <c r="F74" s="276"/>
    </row>
    <row r="75" spans="1:6" ht="30" customHeight="1">
      <c r="A75" s="277"/>
      <c r="B75" s="277"/>
      <c r="C75" s="277"/>
      <c r="D75" s="278"/>
      <c r="E75" s="278"/>
      <c r="F75" s="278"/>
    </row>
    <row r="76" spans="1:6">
      <c r="A76" s="279"/>
      <c r="B76" s="279"/>
      <c r="C76" s="279"/>
      <c r="D76" s="279"/>
      <c r="E76" s="279"/>
      <c r="F76" s="279"/>
    </row>
    <row r="77" spans="1:6">
      <c r="A77" s="275"/>
      <c r="B77" s="275"/>
      <c r="C77" s="275"/>
      <c r="D77" s="275"/>
      <c r="E77" s="275"/>
      <c r="F77" s="275"/>
    </row>
  </sheetData>
  <mergeCells count="41">
    <mergeCell ref="E2:F2"/>
    <mergeCell ref="A5:F5"/>
    <mergeCell ref="A7:A8"/>
    <mergeCell ref="B7:B8"/>
    <mergeCell ref="C7:C8"/>
    <mergeCell ref="D7:F7"/>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D68:F68"/>
    <mergeCell ref="A69:C69"/>
    <mergeCell ref="D69:F69"/>
    <mergeCell ref="A70:C70"/>
    <mergeCell ref="D70:F70"/>
    <mergeCell ref="H12:P24"/>
    <mergeCell ref="A77:C77"/>
    <mergeCell ref="D77:F77"/>
    <mergeCell ref="A74:C74"/>
    <mergeCell ref="D74:F74"/>
    <mergeCell ref="A75:C75"/>
    <mergeCell ref="D75:F75"/>
    <mergeCell ref="A76:C76"/>
    <mergeCell ref="D76:F76"/>
    <mergeCell ref="A71:C71"/>
    <mergeCell ref="D71:F71"/>
    <mergeCell ref="A72:C72"/>
    <mergeCell ref="D72:F72"/>
    <mergeCell ref="A73:C73"/>
    <mergeCell ref="D73:F73"/>
    <mergeCell ref="A68:C68"/>
  </mergeCells>
  <conditionalFormatting sqref="B9:B56">
    <cfRule type="cellIs" dxfId="1" priority="6" operator="lessThan">
      <formula>22105</formula>
    </cfRule>
  </conditionalFormatting>
  <conditionalFormatting sqref="C9:F44 C45:C56 F45:F56 D45:E57">
    <cfRule type="cellIs" dxfId="0" priority="1" operator="lessThan">
      <formula>0.1</formula>
    </cfRule>
  </conditionalFormatting>
  <pageMargins left="1.1023622047244095" right="0.70866141732283472" top="0.19685039370078741" bottom="0.15748031496062992" header="0.31496062992125984" footer="0.31496062992125984"/>
  <pageSetup paperSize="9" scale="8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tabColor rgb="FF00B050"/>
  </sheetPr>
  <dimension ref="A5:B29"/>
  <sheetViews>
    <sheetView view="pageBreakPreview" topLeftCell="A5" zoomScale="115" zoomScaleNormal="100" zoomScaleSheetLayoutView="115" workbookViewId="0">
      <selection activeCell="B8" sqref="B8"/>
    </sheetView>
  </sheetViews>
  <sheetFormatPr defaultColWidth="0" defaultRowHeight="15.75" zeroHeight="1"/>
  <cols>
    <col min="1" max="1" width="33" style="9" customWidth="1"/>
    <col min="2" max="2" width="53.42578125" style="9" customWidth="1"/>
    <col min="3" max="16384" width="9.140625" style="9" hidden="1"/>
  </cols>
  <sheetData>
    <row r="5" spans="1:2"/>
    <row r="6" spans="1:2">
      <c r="B6" s="17" t="str">
        <f>'Общие данные'!B148</f>
        <v>«PULLOL BUSINESS MIKROMOLIYA TASHKILOTI»  MChJ</v>
      </c>
    </row>
    <row r="7" spans="1:2">
      <c r="A7" s="212"/>
      <c r="B7" s="203" t="str">
        <f>""&amp;'Общие данные'!A160&amp;"i "&amp;'Общие данные'!B160&amp;"ga"</f>
        <v>To'rtko'l filiali boshlig’ii Djumanazarov B.A.ga</v>
      </c>
    </row>
    <row r="8" spans="1:2">
      <c r="A8" s="186"/>
      <c r="B8" s="203" t="str">
        <f>""&amp;'Общие данные'!C105&amp;"dan"</f>
        <v>dan</v>
      </c>
    </row>
    <row r="9" spans="1:2" ht="15.75" hidden="1" customHeight="1">
      <c r="B9" s="10" t="str">
        <f>'Общие данные'!B111</f>
        <v>ANNAZAROV KAXRAMAN SADULLAYEVICH</v>
      </c>
    </row>
    <row r="10" spans="1:2" ht="15.75" hidden="1" customHeight="1">
      <c r="B10" s="10" t="str">
        <f>'Общие данные'!C111</f>
        <v>ANNAZAROV KAXRAMAN SADULLAYEVICH</v>
      </c>
    </row>
    <row r="11" spans="1:2" ht="15.75" hidden="1" customHeight="1">
      <c r="B11" s="186" t="s">
        <v>268</v>
      </c>
    </row>
    <row r="12" spans="1:2"/>
    <row r="13" spans="1:2" ht="115.5" customHeight="1">
      <c r="A13" s="313" t="str">
        <f>IF('Общие данные'!B103="Avtotransport",A14,A15)</f>
        <v>ANNAZAROV KAXRAMAN SADULLAYEVICH tomonidan so’ralayotgan 36 (Yigirma to'rt) oy muddatga, 100 000 000 (Yuz million so'm) miqdoridagi Mikroqarzning ta’minoti sifatida menga mulk huquqi asosida tegishli bo’lgan  Yakka tartibdagi uy-joy, umumiy maydoni 213,72 va yashash maydoni 149,81  QORAQALPOG'ISTON RESPUBLIKASI TO'RTKO'L TUMANI YOSHLIK MFY KALTAMINAR KO'CHASI 1B-UY manzilda joylashgan ko'chmas mulkni qabul qilishingizni so’rayman:</v>
      </c>
      <c r="B13" s="313"/>
    </row>
    <row r="14" spans="1:2" ht="124.5" hidden="1" customHeight="1">
      <c r="A14" s="31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ANNAZAROV KAXRAMAN SADULLAYEVICH tomonidan so’ralayotgan 36 (Yigirma to'rt) oy muddatga, 100 000 000 (Yuz million so'm) miqdoridagi Mikroqarzning ta’minoti sifatida menga mulk huquqi asosida tegishli bo’lgan  , kuzov turi - , kuzov raqami , dvigatel raqami , shassi raqami - , rangi -  , ishlab chiqarilgan yili - , avtotransport vositasini qabul qilishingizni so’rayman:</v>
      </c>
      <c r="B14" s="313"/>
    </row>
    <row r="15" spans="1:2" ht="116.25" hidden="1" customHeight="1">
      <c r="A15" s="31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ANNAZAROV KAXRAMAN SADULLAYEVICH tomonidan so’ralayotgan 36 (Yigirma to'rt) oy muddatga, 100 000 000 (Yuz million so'm) miqdoridagi Mikroqarzning ta’minoti sifatida menga mulk huquqi asosida tegishli bo’lgan  Yakka tartibdagi uy-joy, umumiy maydoni 213,72 va yashash maydoni 149,81  QORAQALPOG'ISTON RESPUBLIKASI TO'RTKO'L TUMANI YOSHLIK MFY KALTAMINAR KO'CHASI 1B-UY manzilda joylashgan ko'chmas mulkni qabul qilishingizni so’rayman:</v>
      </c>
      <c r="B15" s="313"/>
    </row>
    <row r="16" spans="1:2"/>
    <row r="17" spans="1:2"/>
    <row r="18" spans="1:2">
      <c r="B18" s="10" t="s">
        <v>267</v>
      </c>
    </row>
    <row r="19" spans="1:2" ht="18.75" customHeight="1">
      <c r="A19" s="9">
        <f>'Общие данные'!C106</f>
        <v>0</v>
      </c>
      <c r="B19" s="67" t="str">
        <f>'Общие данные'!B2</f>
        <v>03.04.2026</v>
      </c>
    </row>
    <row r="20" spans="1:2" ht="57" hidden="1" customHeight="1">
      <c r="A20" s="334" t="str">
        <f>IF('Общие данные'!B93="yo’q",CONCATENATE(A24," ",A28,A22),"")</f>
        <v/>
      </c>
      <c r="B20" s="334"/>
    </row>
    <row r="21" spans="1:2" hidden="1">
      <c r="A21" s="9" t="s">
        <v>24</v>
      </c>
    </row>
    <row r="22" spans="1:2" hidden="1">
      <c r="A22" s="9"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9" t="str">
        <f>"№"&amp;'Общие данные'!B100&amp; ""</f>
        <v>№</v>
      </c>
    </row>
    <row r="25" spans="1:2" hidden="1">
      <c r="A25" s="9" t="str">
        <f>'Общие данные'!B102</f>
        <v>00.01.1900</v>
      </c>
    </row>
    <row r="26" spans="1:2" hidden="1">
      <c r="A26" s="9" t="str">
        <f>TEXT(A25,"ДД.ММ.ГГГГ")</f>
        <v>00.01.1900</v>
      </c>
    </row>
    <row r="27" spans="1:2" hidden="1">
      <c r="A27" s="9" t="s">
        <v>340</v>
      </c>
    </row>
    <row r="28" spans="1:2" hidden="1">
      <c r="A28" s="9" t="str">
        <f>CONCATENATE(A26,A27)</f>
        <v>00.01.1900. sanasidan</v>
      </c>
    </row>
    <row r="29" spans="1:2"/>
  </sheetData>
  <mergeCells count="4">
    <mergeCell ref="A13:B13"/>
    <mergeCell ref="A14:B14"/>
    <mergeCell ref="A15:B15"/>
    <mergeCell ref="A20:B20"/>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3">
    <tabColor rgb="FF00B050"/>
  </sheetPr>
  <dimension ref="A1:F82"/>
  <sheetViews>
    <sheetView view="pageBreakPreview" zoomScaleNormal="100" zoomScaleSheetLayoutView="100" workbookViewId="0">
      <selection activeCell="D48" sqref="D48"/>
    </sheetView>
  </sheetViews>
  <sheetFormatPr defaultColWidth="9.140625" defaultRowHeight="15" outlineLevelRow="1"/>
  <cols>
    <col min="1" max="1" width="28.42578125" style="18" customWidth="1"/>
    <col min="2" max="2" width="19.5703125" style="18" customWidth="1"/>
    <col min="3" max="3" width="19.42578125" style="18" customWidth="1"/>
    <col min="4" max="4" width="17.28515625" style="18" customWidth="1"/>
    <col min="5" max="6" width="17.140625" style="18" customWidth="1"/>
    <col min="7" max="16384" width="9.140625" style="18"/>
  </cols>
  <sheetData>
    <row r="1" spans="1:6" ht="106.5" customHeight="1"/>
    <row r="2" spans="1:6">
      <c r="A2" s="284" t="str">
        <f>"GAROV PREDMETI QIYMATINI KELISHISH 
№"&amp;'Общие данные'!B141&amp;" SONLI DALOLATNOMASI
 "</f>
        <v xml:space="preserve">GAROV PREDMETI QIYMATINI KELISHISH 
№1 SONLI DALOLATNOMASI
 </v>
      </c>
      <c r="B2" s="284"/>
      <c r="C2" s="284"/>
      <c r="D2" s="284"/>
      <c r="E2" s="284"/>
      <c r="F2" s="284"/>
    </row>
    <row r="3" spans="1:6">
      <c r="A3" s="43"/>
      <c r="B3" s="43"/>
      <c r="C3" s="43"/>
      <c r="D3" s="43"/>
      <c r="E3" s="43"/>
      <c r="F3" s="43"/>
    </row>
    <row r="4" spans="1:6">
      <c r="A4" s="40" t="s">
        <v>198</v>
      </c>
      <c r="B4" s="40"/>
      <c r="C4" s="40"/>
      <c r="D4" s="40"/>
      <c r="E4" s="40"/>
      <c r="F4" s="40" t="str">
        <f>'Общие данные'!B142</f>
        <v>3 aprel 2026 y.</v>
      </c>
    </row>
    <row r="5" spans="1:6" ht="9" customHeight="1">
      <c r="A5" s="246"/>
      <c r="B5" s="246"/>
      <c r="C5" s="246"/>
      <c r="D5" s="246"/>
      <c r="E5" s="246"/>
      <c r="F5" s="246"/>
    </row>
    <row r="6" spans="1:6" ht="63" customHeight="1">
      <c r="A6" s="246" t="str">
        <f>IF('Общие данные'!B103="ko'chmas mulk",'Акт согласования'!A10:F10,'Акт согласования'!A10:F10)</f>
        <v>«PULLOL BUSINESS MIKROMOLIYA TASHKILOTI»  MChJning (1-tomon) vakili bo‘lgan  To'rtko'l filiali boshlig’i Djumanazarov B.A., O‘zbekiston Respublikasi fuqarosi va garovga beruvchi ANNAZAROV KAXRAMAN SADULLAYEVICH (2-tomon) o’rtalarida, 3 aprel 2026 y.dan №310-TR-sonli Mikrokredit shartnomasiga muvofiq 1-tomon 2-tomonga berilgan Mikroqarz bo‘yicha ta’minot sifatida taqdim etilgan, 2-tomonga mulk huquqi asosida tegishli bo‘lgan mulkning garov qiymatini kelishish muzokaralari o’tkazildi.</v>
      </c>
      <c r="B6" s="246"/>
      <c r="C6" s="246"/>
      <c r="D6" s="246"/>
      <c r="E6" s="246"/>
      <c r="F6" s="246"/>
    </row>
    <row r="7" spans="1:6" ht="88.5" hidden="1" customHeight="1">
      <c r="A7" s="246" t="str">
        <f>IF('Общие данные'!B93="ha",'Акт согласования'!A9:F9,'Акт согласования'!A8:F8)</f>
        <v xml:space="preserve">«PULLOL BUSINESS MIKROMOLIYA TASHKILOTI»  MChJning (1-tomon) vakili bo‘lgan  To'rtko'l filiali boshlig’i Djumanazarov B.A., va O‘zbekiston Respublikasi fuqarosi  ANNAZAROV KAXRAMAN SADULLAYEVICH (2-tomon) va garov egasi ANNAZAROV KAXRAMAN SADULLAYEVICH (3-tomon) 3 aprel 2026 y.dan №310-TR Mikrokredit shartnomasiga muvofiq 1-tomon 2-tomonga berilgan Mikroqarz bo‘yicha ta’minot sifatida taqdim etilgan, 2-tomonga mulk huquqi asosida tegishli bo‘lgan mulkning garov qiymatini kelishish muzokaralari o’tkazildi. </v>
      </c>
      <c r="B7" s="246"/>
      <c r="C7" s="246"/>
      <c r="D7" s="246"/>
      <c r="E7" s="246"/>
      <c r="F7" s="246"/>
    </row>
    <row r="8" spans="1:6" ht="88.5" hidden="1" customHeight="1">
      <c r="A8" s="246" t="str">
        <f>""&amp;'Общие данные'!B147&amp;"ning (1-tomon) vakili bo‘lgan  "&amp;'Общие данные'!A160&amp;" "&amp;'Общие данные'!B160&amp;",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«PULLOL BUSINESS MIKROMOLIYA TASHKILOTI»  MChJning (1-tomon) vakili bo‘lgan  To'rtko'l filiali boshlig’i Djumanazarov B.A., va O‘zbekiston Respublikasi fuqarosi  ANNAZAROV KAXRAMAN SADULLAYEVICH (2-tomon) va garov egasi ANNAZAROV KAXRAMAN SADULLAYEVICH (3-tomon) 3 aprel 2026 y.dan №310-TR Mikrokredit shartnomasiga muvofiq 1-tomon 2-tomonga berilgan Mikroqarz bo‘yicha ta’minot sifatida taqdim etilgan, 2-tomonga mulk huquqi asosida tegishli bo‘lgan mulkning garov qiymatini kelishish muzokaralari o’tkazildi. </v>
      </c>
      <c r="B8" s="246"/>
      <c r="C8" s="246"/>
      <c r="D8" s="246"/>
      <c r="E8" s="246"/>
      <c r="F8" s="246"/>
    </row>
    <row r="9" spans="1:6" ht="88.5" hidden="1" customHeight="1">
      <c r="A9" s="246" t="str">
        <f>""&amp;'Общие данные'!B147&amp;"ning (1-tomon) vakili bo‘lgan  "&amp;'Общие данные'!A160&amp;" "&amp;'Общие данные'!B160&amp;",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«PULLOL BUSINESS MIKROMOLIYA TASHKILOTI»  MChJning (1-tomon) vakili bo‘lgan  To'rtko'l filiali boshlig’i Djumanazarov B.A., va O‘zbekiston Respublikasi fuqarosi  ANNAZAROV KAXRAMAN SADULLAYEVICH (2-tomon) va garov egasi ANNAZAROV KAXRAMAN SADULLAYEVICH (3-tomon) 3 aprel 2026 y.dan №310-TR Mikrokredit shartnomasiga muvofiq 1-tomon 2-tomonga berilgan Mikroqarz bo‘yicha ta’minot sifatida taqdim etilgan, 2-tomonga mulk huquqi asosida tegishli bo‘lgan mulkning garov qiymatini kelishish muzokaralari o’tkazildi. </v>
      </c>
      <c r="B9" s="246"/>
      <c r="C9" s="246"/>
      <c r="D9" s="246"/>
      <c r="E9" s="246"/>
      <c r="F9" s="246"/>
    </row>
    <row r="10" spans="1:6" ht="88.5" hidden="1" customHeight="1">
      <c r="A10" s="246" t="str">
        <f>IF('Общие данные'!B93="ha",'Акт согласования'!A12:F12,'Акт согласования'!A11:F11)</f>
        <v>«PULLOL BUSINESS MIKROMOLIYA TASHKILOTI»  MChJning (1-tomon) vakili bo‘lgan  To'rtko'l filiali boshlig’i Djumanazarov B.A., O‘zbekiston Respublikasi fuqarosi va garovga beruvchi ANNAZAROV KAXRAMAN SADULLAYEVICH (2-tomon) o’rtalarida, 3 aprel 2026 y.dan №310-TR-sonli Mikrokredit shartnomasiga muvofiq 1-tomon 2-tomonga berilgan Mikroqarz bo‘yicha ta’minot sifatida taqdim etilgan, 2-tomonga mulk huquqi asosida tegishli bo‘lgan mulkning garov qiymatini kelishish muzokaralari o’tkazildi.</v>
      </c>
      <c r="B10" s="246"/>
      <c r="C10" s="246"/>
      <c r="D10" s="246"/>
      <c r="E10" s="246"/>
      <c r="F10" s="246"/>
    </row>
    <row r="11" spans="1:6" ht="88.5" hidden="1" customHeight="1">
      <c r="A11" s="246" t="str">
        <f>""&amp;'Общие данные'!B147&amp;"ning (1-tomon) vakili bo‘lgan  "&amp;'Общие данные'!A160&amp;"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«PULLOL BUSINESS MIKROMOLIYA TASHKILOTI»  MChJning (1-tomon) vakili bo‘lgan  To'rtko'l filiali boshlig’i Obidov A. Sh., O‘zbekiston Respublikasi fuqarosi ANNAZAROV KAXRAMAN SADULLAYEVICH (2-tomon) va garovga beruvchi O‘zbekiston Respublikasi fuqarosi ANNAZAROV KAXRAMAN SADULLAYEVICH (3-tomon) o’rtalarida, 3 aprel 2026 y.dan №310-TR-sonli Mikrokredit shartnomasiga muvofiq 1-tomon 2-tomonga berilgan Mikroqarz bo‘yicha ta’minot sifatida taqdim etilgan, 3-tomonga mulk huquqi asosida tegishli bo‘lgan mulkning garov qiymatini kelishish muzokaralari o’tkazildi.</v>
      </c>
      <c r="B11" s="246"/>
      <c r="C11" s="246"/>
      <c r="D11" s="246"/>
      <c r="E11" s="246"/>
      <c r="F11" s="246"/>
    </row>
    <row r="12" spans="1:6" ht="88.5" hidden="1" customHeight="1">
      <c r="A12" s="246" t="str">
        <f>""&amp;'Общие данные'!B147&amp;"ning (1-tomon) vakili bo‘lgan  "&amp;'Общие данные'!A160&amp;" "&amp;'Общие данные'!B160&amp;",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«PULLOL BUSINESS MIKROMOLIYA TASHKILOTI»  MChJning (1-tomon) vakili bo‘lgan  To'rtko'l filiali boshlig’i Djumanazarov B.A., O‘zbekiston Respublikasi fuqarosi va garovga beruvchi ANNAZAROV KAXRAMAN SADULLAYEVICH (2-tomon) o’rtalarida, 3 aprel 2026 y.dan №310-TR-sonli Mikrokredit shartnomasiga muvofiq 1-tomon 2-tomonga berilgan Mikroqarz bo‘yicha ta’minot sifatida taqdim etilgan, 2-tomonga mulk huquqi asosida tegishli bo‘lgan mulkning garov qiymatini kelishish muzokaralari o’tkazildi.</v>
      </c>
      <c r="B12" s="246"/>
      <c r="C12" s="246"/>
      <c r="D12" s="246"/>
      <c r="E12" s="246"/>
      <c r="F12" s="246"/>
    </row>
    <row r="13" spans="1:6" ht="88.5" hidden="1" customHeight="1">
      <c r="A13" s="246" t="str">
        <f>"Garov predmeti sifatida "&amp;'Общие данные'!B125&amp;", 3-tomonga egalik huquqi tegishli bo'lgan, quyidagi tafsilotlarga ega avtotransport vositasi taqdim etiladi:"</f>
        <v>Garov predmeti sifatida , 3-tomonga egalik huquqi tegishli bo'lgan, quyidagi tafsilotlarga ega avtotransport vositasi taqdim etiladi:</v>
      </c>
      <c r="B13" s="246"/>
      <c r="C13" s="246"/>
      <c r="D13" s="246"/>
      <c r="E13" s="246"/>
      <c r="F13" s="246"/>
    </row>
    <row r="14" spans="1:6" ht="88.5" hidden="1" customHeight="1">
      <c r="A14" s="246" t="str">
        <f>"Garov predmeti sifatida "&amp;'Общие данные'!B125&amp;", 2-tomonga egalik huquqi tegishli bo'lgan, quyidagi tafsilotlarga ega avtotransport vositasi taqdim etiladi:"</f>
        <v>Garov predmeti sifatida , 2-tomonga egalik huquqi tegishli bo'lgan, quyidagi tafsilotlarga ega avtotransport vositasi taqdim etiladi:</v>
      </c>
      <c r="B14" s="246"/>
      <c r="C14" s="246"/>
      <c r="D14" s="246"/>
      <c r="E14" s="246"/>
      <c r="F14" s="246"/>
    </row>
    <row r="15" spans="1:6" ht="88.5" hidden="1" customHeight="1">
      <c r="A15" s="246" t="str">
        <f>IF('Общие данные'!B93="ha",'Акт согласования'!A14:F14,'Акт согласования'!A13:F13)</f>
        <v>Garov predmeti sifatida , 2-tomonga egalik huquqi tegishli bo'lgan, quyidagi tafsilotlarga ega avtotransport vositasi taqdim etiladi:</v>
      </c>
      <c r="B15" s="246"/>
      <c r="C15" s="246"/>
      <c r="D15" s="246"/>
      <c r="E15" s="246"/>
      <c r="F15" s="246"/>
    </row>
    <row r="16" spans="1:6" ht="88.5" hidden="1" customHeight="1">
      <c r="A16" s="246" t="str">
        <f>"Garov predmeti sifatida "&amp;'Общие данные'!C126&amp;", 2-tomonga egalik huquqi tegishli bo'lgan, quyidagi tafsilotlarga ega ko'chmas mulk taqdim etiladi:"</f>
        <v>Garov predmeti sifatida Yakka tartibdagi uy-joy, 2-tomonga egalik huquqi tegishli bo'lgan, quyidagi tafsilotlarga ega ko'chmas mulk taqdim etiladi:</v>
      </c>
      <c r="B16" s="246"/>
      <c r="C16" s="246"/>
      <c r="D16" s="246"/>
      <c r="E16" s="246"/>
      <c r="F16" s="246"/>
    </row>
    <row r="17" spans="1:6" ht="13.5" hidden="1" customHeight="1">
      <c r="A17" s="246" t="str">
        <f>"Garov predmeti sifatida "&amp;'Общие данные'!C126&amp;", 3-tomonga egalik huquqi tegishli bo'lgan, quyidagi tafsilotlarga ega ko'chmas mulk taqdim etiladi:"</f>
        <v>Garov predmeti sifatida Yakka tartibdagi uy-joy, 3-tomonga egalik huquqi tegishli bo'lgan, quyidagi tafsilotlarga ega ko'chmas mulk taqdim etiladi:</v>
      </c>
      <c r="B17" s="246"/>
      <c r="C17" s="246"/>
      <c r="D17" s="246"/>
      <c r="E17" s="246"/>
      <c r="F17" s="246"/>
    </row>
    <row r="18" spans="1:6" ht="11.25" hidden="1" customHeight="1">
      <c r="A18" s="246" t="str">
        <f>IF('Общие данные'!B93="ha",'Акт согласования'!A16:F16,'Акт согласования'!A17:F17)</f>
        <v>Garov predmeti sifatida Yakka tartibdagi uy-joy, 2-tomonga egalik huquqi tegishli bo'lgan, quyidagi tafsilotlarga ega ko'chmas mulk taqdim etiladi:</v>
      </c>
      <c r="B18" s="246"/>
      <c r="C18" s="246"/>
      <c r="D18" s="246"/>
      <c r="E18" s="246"/>
      <c r="F18" s="246"/>
    </row>
    <row r="19" spans="1:6" ht="39.75" hidden="1" customHeight="1">
      <c r="A19" s="246" t="str">
        <f>IF('Общие данные'!B103="Avtotransport",'Акт согласования'!A15:F15,'Акт согласования'!A18:F18)</f>
        <v>Garov predmeti sifatida Yakka tartibdagi uy-joy, 2-tomonga egalik huquqi tegishli bo'lgan, quyidagi tafsilotlarga ega ko'chmas mulk taqdim etiladi:</v>
      </c>
      <c r="B19" s="246"/>
      <c r="C19" s="246"/>
      <c r="D19" s="246"/>
      <c r="E19" s="246"/>
      <c r="F19" s="246"/>
    </row>
    <row r="20" spans="1:6" ht="48" customHeight="1" outlineLevel="1">
      <c r="A20" s="42" t="s">
        <v>196</v>
      </c>
      <c r="B20" s="335" t="s">
        <v>407</v>
      </c>
      <c r="C20" s="336"/>
      <c r="D20" s="232" t="s">
        <v>411</v>
      </c>
      <c r="E20" s="42" t="s">
        <v>412</v>
      </c>
      <c r="F20" s="42" t="s">
        <v>413</v>
      </c>
    </row>
    <row r="21" spans="1:6" ht="65.25" customHeight="1" outlineLevel="1">
      <c r="A21" s="20" t="str">
        <f>'Общие данные'!C125</f>
        <v>Yakka tartibdagi uy-joy</v>
      </c>
      <c r="B21" s="337">
        <f>'Общие данные'!C134</f>
        <v>704</v>
      </c>
      <c r="C21" s="338"/>
      <c r="D21" s="20">
        <f>'Общие данные'!C133</f>
        <v>149.81</v>
      </c>
      <c r="E21" s="20">
        <f>'Общие данные'!C130</f>
        <v>213.72</v>
      </c>
      <c r="F21" s="20">
        <f>'Общие данные'!C131</f>
        <v>108.36</v>
      </c>
    </row>
    <row r="22" spans="1:6" ht="17.25" hidden="1" customHeight="1" outlineLevel="1">
      <c r="A22" s="246" t="str">
        <f>"-* avtotransport egasi: "&amp;'Общие данные'!B117&amp;""</f>
        <v>-* avtotransport egasi: ANNAZAROV KAXRAMAN SADULLAYEVICH</v>
      </c>
      <c r="B22" s="246"/>
      <c r="C22" s="246"/>
      <c r="D22" s="246"/>
      <c r="E22" s="246"/>
      <c r="F22" s="246"/>
    </row>
    <row r="23" spans="1:6" hidden="1" outlineLevel="1">
      <c r="A23" s="246" t="str">
        <f>"-* texnik pasport: "&amp;'Общие данные'!B124&amp;""</f>
        <v xml:space="preserve">-* texnik pasport: </v>
      </c>
      <c r="B23" s="246"/>
      <c r="C23" s="246"/>
      <c r="D23" s="246"/>
      <c r="E23" s="246"/>
      <c r="F23" s="246"/>
    </row>
    <row r="24" spans="1:6" ht="17.25" hidden="1" customHeight="1" outlineLevel="1">
      <c r="A24" s="246" t="str">
        <f>"-* roʻyxatdan oʻtgan manzili/garaj manzili: "&amp;'Общие данные'!B122&amp;""</f>
        <v>-* roʻyxatdan oʻtgan manzili/garaj manzili: QORAQALPOG'ISTON RESPUBLIKASI TO'RTKO'L TUMANI YOSHLIK MFY KALTAMINAR KO'CHASI 1B-UY</v>
      </c>
      <c r="B24" s="246"/>
      <c r="C24" s="246"/>
      <c r="D24" s="246"/>
      <c r="E24" s="246"/>
      <c r="F24" s="246"/>
    </row>
    <row r="25" spans="1:6" ht="19.5" hidden="1" customHeight="1" outlineLevel="1">
      <c r="A25" s="246" t="str">
        <f>"-* davlat raqami: "&amp;'Общие данные'!B126&amp;""</f>
        <v xml:space="preserve">-* davlat raqami: </v>
      </c>
      <c r="B25" s="246"/>
      <c r="C25" s="246"/>
      <c r="D25" s="246"/>
      <c r="E25" s="246"/>
      <c r="F25" s="246"/>
    </row>
    <row r="26" spans="1:6" ht="5.25" hidden="1" customHeight="1">
      <c r="A26" s="22"/>
      <c r="B26" s="22"/>
      <c r="C26" s="22"/>
      <c r="D26" s="22"/>
      <c r="E26" s="22"/>
      <c r="F26" s="22"/>
    </row>
    <row r="27" spans="1:6" s="40" customFormat="1" ht="37.5" hidden="1" customHeight="1" outlineLevel="1">
      <c r="A27" s="335" t="s">
        <v>196</v>
      </c>
      <c r="B27" s="347"/>
      <c r="C27" s="336"/>
      <c r="D27" s="42" t="s">
        <v>386</v>
      </c>
      <c r="E27" s="42" t="s">
        <v>253</v>
      </c>
      <c r="F27" s="42" t="s">
        <v>199</v>
      </c>
    </row>
    <row r="28" spans="1:6" ht="17.25" hidden="1" customHeight="1" outlineLevel="1">
      <c r="A28" s="344" t="s">
        <v>200</v>
      </c>
      <c r="B28" s="345"/>
      <c r="C28" s="346"/>
      <c r="D28" s="218" t="s">
        <v>395</v>
      </c>
      <c r="E28" s="132" t="s">
        <v>391</v>
      </c>
      <c r="F28" s="59"/>
    </row>
    <row r="29" spans="1:6" ht="19.5" hidden="1" customHeight="1" outlineLevel="1">
      <c r="A29" s="340" t="s">
        <v>385</v>
      </c>
      <c r="B29" s="341"/>
      <c r="C29" s="342"/>
      <c r="D29" s="132" t="s">
        <v>390</v>
      </c>
      <c r="E29" s="132" t="s">
        <v>391</v>
      </c>
      <c r="F29" s="59" t="s">
        <v>390</v>
      </c>
    </row>
    <row r="30" spans="1:6" ht="15" hidden="1" customHeight="1" outlineLevel="1">
      <c r="A30" s="340"/>
      <c r="B30" s="341"/>
      <c r="C30" s="342"/>
      <c r="D30" s="132"/>
      <c r="E30" s="132">
        <v>0</v>
      </c>
      <c r="F30" s="59">
        <f t="shared" ref="F30:F37" si="0">D30+E30</f>
        <v>0</v>
      </c>
    </row>
    <row r="31" spans="1:6" ht="15" hidden="1" customHeight="1" outlineLevel="1">
      <c r="A31" s="340"/>
      <c r="B31" s="341"/>
      <c r="C31" s="342"/>
      <c r="D31" s="132"/>
      <c r="E31" s="132">
        <v>0</v>
      </c>
      <c r="F31" s="59">
        <f t="shared" si="0"/>
        <v>0</v>
      </c>
    </row>
    <row r="32" spans="1:6" ht="15" hidden="1" customHeight="1" outlineLevel="1">
      <c r="A32" s="340"/>
      <c r="B32" s="341"/>
      <c r="C32" s="342"/>
      <c r="D32" s="132"/>
      <c r="E32" s="132">
        <v>0</v>
      </c>
      <c r="F32" s="59">
        <f t="shared" si="0"/>
        <v>0</v>
      </c>
    </row>
    <row r="33" spans="1:6" hidden="1" outlineLevel="1">
      <c r="A33" s="340"/>
      <c r="B33" s="341"/>
      <c r="C33" s="342"/>
      <c r="D33" s="132"/>
      <c r="E33" s="132">
        <v>0</v>
      </c>
      <c r="F33" s="59">
        <f t="shared" si="0"/>
        <v>0</v>
      </c>
    </row>
    <row r="34" spans="1:6" hidden="1" outlineLevel="1">
      <c r="A34" s="340"/>
      <c r="B34" s="341"/>
      <c r="C34" s="342"/>
      <c r="D34" s="132"/>
      <c r="E34" s="132"/>
      <c r="F34" s="59">
        <f t="shared" si="0"/>
        <v>0</v>
      </c>
    </row>
    <row r="35" spans="1:6" hidden="1" outlineLevel="1">
      <c r="A35" s="340"/>
      <c r="B35" s="341"/>
      <c r="C35" s="342"/>
      <c r="D35" s="132"/>
      <c r="E35" s="132">
        <v>0</v>
      </c>
      <c r="F35" s="59">
        <f t="shared" si="0"/>
        <v>0</v>
      </c>
    </row>
    <row r="36" spans="1:6" hidden="1" outlineLevel="1">
      <c r="A36" s="340"/>
      <c r="B36" s="341"/>
      <c r="C36" s="342"/>
      <c r="D36" s="132"/>
      <c r="E36" s="132"/>
      <c r="F36" s="59">
        <f t="shared" si="0"/>
        <v>0</v>
      </c>
    </row>
    <row r="37" spans="1:6" hidden="1" outlineLevel="1">
      <c r="A37" s="340"/>
      <c r="B37" s="341"/>
      <c r="C37" s="342"/>
      <c r="D37" s="59"/>
      <c r="E37" s="59"/>
      <c r="F37" s="59">
        <f t="shared" si="0"/>
        <v>0</v>
      </c>
    </row>
    <row r="38" spans="1:6" s="40" customFormat="1" ht="14.25" hidden="1" outlineLevel="1">
      <c r="A38" s="348" t="s">
        <v>201</v>
      </c>
      <c r="B38" s="349"/>
      <c r="C38" s="350"/>
      <c r="D38" s="217" t="str">
        <f>D29</f>
        <v>43.96</v>
      </c>
      <c r="E38" s="217" t="str">
        <f>E28</f>
        <v>18.82</v>
      </c>
      <c r="F38" s="130" t="str">
        <f>F29</f>
        <v>43.96</v>
      </c>
    </row>
    <row r="39" spans="1:6" s="40" customFormat="1" ht="15" customHeight="1" outlineLevel="1">
      <c r="A39" s="343" t="str">
        <f>"-* ko'chmas mulk egasi: "&amp;'Общие данные'!C117&amp;""</f>
        <v>-* ko'chmas mulk egasi: ANNAZAROV KAXRAMAN SADULLAYEVICH</v>
      </c>
      <c r="B39" s="343"/>
      <c r="C39" s="343"/>
      <c r="D39" s="343"/>
      <c r="E39" s="343"/>
      <c r="F39" s="343"/>
    </row>
    <row r="40" spans="1:6" s="40" customFormat="1" ht="15" customHeight="1" outlineLevel="1">
      <c r="A40" s="246" t="str">
        <f>"-* reestr raqami: "&amp;'Общие данные'!C124&amp;""</f>
        <v>-* reestr raqami: №1735233/Y-26004624</v>
      </c>
      <c r="B40" s="246"/>
      <c r="C40" s="246"/>
      <c r="D40" s="246"/>
      <c r="E40" s="246"/>
      <c r="F40" s="246"/>
    </row>
    <row r="41" spans="1:6" s="40" customFormat="1" ht="15" customHeight="1" outlineLevel="1">
      <c r="A41" s="246" t="str">
        <f>"-* kadastr raqami: "&amp;'Общие данные'!C127&amp;""</f>
        <v>-* kadastr raqami: 01.04.2026 y. №23:08:40:01:04:0357</v>
      </c>
      <c r="B41" s="246"/>
      <c r="C41" s="246"/>
      <c r="D41" s="246"/>
      <c r="E41" s="246"/>
      <c r="F41" s="246"/>
    </row>
    <row r="42" spans="1:6" s="40" customFormat="1" ht="15" customHeight="1" outlineLevel="1">
      <c r="A42" s="246" t="str">
        <f>"-* manzil: "&amp;'Общие данные'!C123&amp;""</f>
        <v>-* manzil: QORAQALPOG'ISTON RESPUBLIKASI TO'RTKO'L TUMANI YOSHLIK MFY KALTAMINAR KO'CHASI 1B-UY</v>
      </c>
      <c r="B42" s="246"/>
      <c r="C42" s="246"/>
      <c r="D42" s="246"/>
      <c r="E42" s="246"/>
      <c r="F42" s="246"/>
    </row>
    <row r="43" spans="1:6" s="40" customFormat="1" ht="9" customHeight="1">
      <c r="A43" s="246"/>
      <c r="B43" s="246"/>
      <c r="C43" s="246"/>
      <c r="D43" s="246"/>
      <c r="E43" s="246"/>
      <c r="F43" s="246"/>
    </row>
    <row r="44" spans="1:6" ht="65.25" customHeight="1">
      <c r="A44" s="246" t="str">
        <f>IF('Общие данные'!B93="ha",'Акт согласования'!A46:F46,'Акт согласования'!A45:F45)</f>
        <v>Tomonlar o’rtasida o’tkazilgan muzokaralar natijalariga ko‘ra, 2-tomon ta’minot sifatida quyidagi tafsilotlarga ega bo’lgan garov predmetini taqdim etadi, 1-tomon esa ushbu garov predmetini  3 aprel 2026 y.dan №310-TR Mikrokredit shartnomasi bo‘yicha berilgan Mikroqarz bo‘yicha  140 000 000,00 (yuz qirq million so'm) so’m bo‘lgan kelishilgan garov qiymatida qabul qiladi::</v>
      </c>
      <c r="B44" s="246"/>
      <c r="C44" s="246"/>
      <c r="D44" s="246"/>
      <c r="E44" s="246"/>
      <c r="F44" s="246"/>
    </row>
    <row r="45" spans="1:6" ht="66" hidden="1" customHeight="1">
      <c r="A45" s="24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3 aprel 2026 y.dan №310-TR Mikroqarz shartnomasi bo‘yicha berilgan Mikroqarz bo‘yicha  140 000 000,00 (yuz qirq million so'm) so’m bo‘lgan kelishilgan garov qiymatida qabul qiladi::</v>
      </c>
      <c r="B45" s="246"/>
      <c r="C45" s="246"/>
      <c r="D45" s="246"/>
      <c r="E45" s="246"/>
      <c r="F45" s="246"/>
    </row>
    <row r="46" spans="1:6" ht="58.5" hidden="1" customHeight="1">
      <c r="A46" s="24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3 aprel 2026 y.dan №310-TR Mikrokredit shartnomasi bo‘yicha berilgan Mikroqarz bo‘yicha  140 000 000,00 (yuz qirq million so'm) so’m bo‘lgan kelishilgan garov qiymatida qabul qiladi::</v>
      </c>
      <c r="B46" s="246"/>
      <c r="C46" s="246"/>
      <c r="D46" s="246"/>
      <c r="E46" s="246"/>
      <c r="F46" s="246"/>
    </row>
    <row r="47" spans="1:6" ht="51.75" customHeight="1" outlineLevel="1">
      <c r="A47" s="42" t="s">
        <v>196</v>
      </c>
      <c r="B47" s="42" t="str">
        <f>B20</f>
        <v>Umumiy yer maydoni, (m2)</v>
      </c>
      <c r="C47" s="42" t="str">
        <f t="shared" ref="C47:E48" si="1">D20</f>
        <v>Qurilish osti maydoni, (m2)</v>
      </c>
      <c r="D47" s="42" t="str">
        <f t="shared" si="1"/>
        <v>Umumiy foydali maydoni, (m2)</v>
      </c>
      <c r="E47" s="42" t="str">
        <f t="shared" si="1"/>
        <v>Yashash maydoni, (m2)</v>
      </c>
      <c r="F47" s="42" t="s">
        <v>197</v>
      </c>
    </row>
    <row r="48" spans="1:6" ht="76.5" customHeight="1" outlineLevel="1">
      <c r="A48" s="20" t="str">
        <f>A21</f>
        <v>Yakka tartibdagi uy-joy</v>
      </c>
      <c r="B48" s="20">
        <f>B21</f>
        <v>704</v>
      </c>
      <c r="C48" s="20">
        <f t="shared" si="1"/>
        <v>149.81</v>
      </c>
      <c r="D48" s="20">
        <f t="shared" si="1"/>
        <v>213.72</v>
      </c>
      <c r="E48" s="20">
        <f t="shared" si="1"/>
        <v>108.36</v>
      </c>
      <c r="F48" s="20" t="str">
        <f>""&amp;FIXED('Общие данные'!B136,2)&amp;" 
("&amp;'Общие данные'!B137&amp;")"</f>
        <v>140 000 000,00 
(yuz qirq million so'm)</v>
      </c>
    </row>
    <row r="49" spans="1:6" ht="16.5" customHeight="1">
      <c r="A49" s="19"/>
      <c r="B49" s="19"/>
      <c r="C49" s="19"/>
      <c r="D49" s="19"/>
      <c r="E49" s="19"/>
      <c r="F49" s="19"/>
    </row>
    <row r="50" spans="1:6" ht="56.25" hidden="1" customHeight="1" outlineLevel="1">
      <c r="A50" s="42" t="s">
        <v>5</v>
      </c>
      <c r="B50" s="42"/>
      <c r="C50" s="42" t="s">
        <v>18</v>
      </c>
      <c r="D50" s="42" t="s">
        <v>19</v>
      </c>
      <c r="E50" s="42" t="s">
        <v>20</v>
      </c>
      <c r="F50" s="42" t="s">
        <v>6</v>
      </c>
    </row>
    <row r="51" spans="1:6" ht="15.75" hidden="1" customHeight="1" outlineLevel="1">
      <c r="A51" s="20" t="str">
        <f>A28</f>
        <v>Yashash xona</v>
      </c>
      <c r="B51" s="20"/>
      <c r="C51" s="131" t="str">
        <f>D28</f>
        <v>3</v>
      </c>
      <c r="D51" s="131" t="str">
        <f>E28</f>
        <v>18.82</v>
      </c>
      <c r="E51" s="131">
        <f>F28</f>
        <v>0</v>
      </c>
      <c r="F51" s="351" t="str">
        <f>""&amp;FIXED('Общие данные'!C136,2)&amp;" ("&amp;'Общие данные'!B137&amp;")"</f>
        <v>140 000 000,00 (yuz qirq million so'm)</v>
      </c>
    </row>
    <row r="52" spans="1:6" ht="15.75" hidden="1" customHeight="1" outlineLevel="1">
      <c r="A52" s="20"/>
      <c r="B52" s="20"/>
      <c r="C52" s="131"/>
      <c r="D52" s="131"/>
      <c r="E52" s="131"/>
      <c r="F52" s="352"/>
    </row>
    <row r="53" spans="1:6" ht="15.75" hidden="1" customHeight="1" outlineLevel="1">
      <c r="A53" s="20" t="str">
        <f t="shared" ref="A53:A62" si="2">A29</f>
        <v>Umumiy maydon</v>
      </c>
      <c r="B53" s="20"/>
      <c r="C53" s="131" t="str">
        <f t="shared" ref="C53:E62" si="3">D29</f>
        <v>43.96</v>
      </c>
      <c r="D53" s="131" t="str">
        <f t="shared" si="3"/>
        <v>18.82</v>
      </c>
      <c r="E53" s="131" t="str">
        <f t="shared" si="3"/>
        <v>43.96</v>
      </c>
      <c r="F53" s="352"/>
    </row>
    <row r="54" spans="1:6" ht="15.75" hidden="1" customHeight="1" outlineLevel="1">
      <c r="A54" s="20">
        <f t="shared" si="2"/>
        <v>0</v>
      </c>
      <c r="B54" s="20"/>
      <c r="C54" s="131">
        <f t="shared" si="3"/>
        <v>0</v>
      </c>
      <c r="D54" s="131">
        <f t="shared" si="3"/>
        <v>0</v>
      </c>
      <c r="E54" s="131">
        <f t="shared" si="3"/>
        <v>0</v>
      </c>
      <c r="F54" s="352"/>
    </row>
    <row r="55" spans="1:6" ht="15.75" hidden="1" customHeight="1" outlineLevel="1">
      <c r="A55" s="20">
        <f t="shared" si="2"/>
        <v>0</v>
      </c>
      <c r="B55" s="20"/>
      <c r="C55" s="131">
        <f t="shared" si="3"/>
        <v>0</v>
      </c>
      <c r="D55" s="131">
        <f t="shared" si="3"/>
        <v>0</v>
      </c>
      <c r="E55" s="131">
        <f t="shared" si="3"/>
        <v>0</v>
      </c>
      <c r="F55" s="352"/>
    </row>
    <row r="56" spans="1:6" ht="15.75" hidden="1" customHeight="1" outlineLevel="1">
      <c r="A56" s="20">
        <f t="shared" si="2"/>
        <v>0</v>
      </c>
      <c r="B56" s="20"/>
      <c r="C56" s="131">
        <f t="shared" si="3"/>
        <v>0</v>
      </c>
      <c r="D56" s="131">
        <f t="shared" si="3"/>
        <v>0</v>
      </c>
      <c r="E56" s="131">
        <f t="shared" si="3"/>
        <v>0</v>
      </c>
      <c r="F56" s="352"/>
    </row>
    <row r="57" spans="1:6" ht="15.75" hidden="1" customHeight="1" outlineLevel="1">
      <c r="A57" s="20">
        <f t="shared" si="2"/>
        <v>0</v>
      </c>
      <c r="B57" s="20"/>
      <c r="C57" s="131">
        <f t="shared" si="3"/>
        <v>0</v>
      </c>
      <c r="D57" s="131">
        <f t="shared" si="3"/>
        <v>0</v>
      </c>
      <c r="E57" s="131">
        <f t="shared" si="3"/>
        <v>0</v>
      </c>
      <c r="F57" s="352"/>
    </row>
    <row r="58" spans="1:6" ht="15.75" hidden="1" customHeight="1" outlineLevel="1">
      <c r="A58" s="20">
        <f t="shared" si="2"/>
        <v>0</v>
      </c>
      <c r="B58" s="20"/>
      <c r="C58" s="131">
        <f t="shared" si="3"/>
        <v>0</v>
      </c>
      <c r="D58" s="131">
        <f t="shared" si="3"/>
        <v>0</v>
      </c>
      <c r="E58" s="131">
        <f t="shared" si="3"/>
        <v>0</v>
      </c>
      <c r="F58" s="352"/>
    </row>
    <row r="59" spans="1:6" ht="15.75" hidden="1" customHeight="1" outlineLevel="1">
      <c r="A59" s="20">
        <f t="shared" si="2"/>
        <v>0</v>
      </c>
      <c r="B59" s="20"/>
      <c r="C59" s="131">
        <f t="shared" si="3"/>
        <v>0</v>
      </c>
      <c r="D59" s="131">
        <f t="shared" si="3"/>
        <v>0</v>
      </c>
      <c r="E59" s="131">
        <f t="shared" si="3"/>
        <v>0</v>
      </c>
      <c r="F59" s="352"/>
    </row>
    <row r="60" spans="1:6" ht="15.75" hidden="1" customHeight="1" outlineLevel="1">
      <c r="A60" s="20">
        <f t="shared" si="2"/>
        <v>0</v>
      </c>
      <c r="B60" s="20"/>
      <c r="C60" s="131">
        <f t="shared" si="3"/>
        <v>0</v>
      </c>
      <c r="D60" s="131">
        <f t="shared" si="3"/>
        <v>0</v>
      </c>
      <c r="E60" s="131">
        <f t="shared" si="3"/>
        <v>0</v>
      </c>
      <c r="F60" s="352"/>
    </row>
    <row r="61" spans="1:6" ht="15.75" hidden="1" customHeight="1" outlineLevel="1">
      <c r="A61" s="20">
        <f t="shared" si="2"/>
        <v>0</v>
      </c>
      <c r="B61" s="20"/>
      <c r="C61" s="20">
        <f t="shared" si="3"/>
        <v>0</v>
      </c>
      <c r="D61" s="20">
        <f t="shared" si="3"/>
        <v>0</v>
      </c>
      <c r="E61" s="20">
        <f t="shared" si="3"/>
        <v>0</v>
      </c>
      <c r="F61" s="353"/>
    </row>
    <row r="62" spans="1:6" s="40" customFormat="1" ht="15.75" hidden="1" customHeight="1" outlineLevel="1">
      <c r="A62" s="42" t="str">
        <f t="shared" si="2"/>
        <v>JAMI</v>
      </c>
      <c r="B62" s="42"/>
      <c r="C62" s="42" t="str">
        <f t="shared" si="3"/>
        <v>43.96</v>
      </c>
      <c r="D62" s="42" t="str">
        <f t="shared" si="3"/>
        <v>18.82</v>
      </c>
      <c r="E62" s="42" t="str">
        <f t="shared" si="3"/>
        <v>43.96</v>
      </c>
      <c r="F62" s="42" t="str">
        <f>FIXED('Общие данные'!C136,2)</f>
        <v>140 000 000,00</v>
      </c>
    </row>
    <row r="63" spans="1:6" ht="12.75" customHeight="1" collapsed="1">
      <c r="A63" s="19"/>
      <c r="B63" s="19"/>
      <c r="C63" s="19"/>
      <c r="D63" s="19"/>
      <c r="E63" s="19"/>
      <c r="F63" s="19"/>
    </row>
    <row r="64" spans="1:6" ht="93.75" hidden="1" customHeight="1">
      <c r="A64" s="24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64" s="246"/>
      <c r="C64" s="246"/>
      <c r="D64" s="246"/>
      <c r="E64" s="246"/>
      <c r="F64" s="246"/>
    </row>
    <row r="65" spans="1:6" ht="42" customHeight="1">
      <c r="A65" s="246" t="s">
        <v>202</v>
      </c>
      <c r="B65" s="246"/>
      <c r="C65" s="246"/>
      <c r="D65" s="246"/>
      <c r="E65" s="246"/>
      <c r="F65" s="246"/>
    </row>
    <row r="66" spans="1:6" ht="35.25" customHeight="1">
      <c r="A66" s="246" t="str">
        <f>"Shunday qilib, garov predmetining kelishilgan garov qiymati  "&amp;FIXED('Общие данные'!B136)&amp;" ("&amp;'Общие данные'!B137&amp;") so‘mni tashkil etadi."</f>
        <v>Shunday qilib, garov predmetining kelishilgan garov qiymati  140 000 000,00 (yuz qirq million so'm) so‘mni tashkil etadi.</v>
      </c>
      <c r="B66" s="246"/>
      <c r="C66" s="246"/>
      <c r="D66" s="246"/>
      <c r="E66" s="246"/>
      <c r="F66" s="246"/>
    </row>
    <row r="67" spans="1:6" ht="35.25" hidden="1" customHeight="1">
      <c r="A67" s="22"/>
      <c r="B67" s="22"/>
      <c r="C67" s="22"/>
      <c r="D67" s="22"/>
      <c r="E67" s="22">
        <f>IF('Общие данные'!B92='Общие данные'!C92,'Общие данные'!C136,IF('Общие данные'!B92='Общие данные'!D92,'Данные для послед. Залога'!M22,0))</f>
        <v>140000000</v>
      </c>
      <c r="F67" s="22" t="str">
        <f>IF('Общие данные'!B92='Общие данные'!C92,'Общие данные'!B137,IF('Общие данные'!B92='Общие данные'!D92,'Данные для послед. Залога'!Q22,0))</f>
        <v>yuz qirq million so'm</v>
      </c>
    </row>
    <row r="68" spans="1:6">
      <c r="A68" s="333" t="s">
        <v>203</v>
      </c>
      <c r="B68" s="333"/>
      <c r="C68" s="333"/>
      <c r="D68" s="333"/>
      <c r="E68" s="25"/>
      <c r="F68" s="25"/>
    </row>
    <row r="69" spans="1:6">
      <c r="A69" s="256" t="str">
        <f>'Общие данные'!B148</f>
        <v>«PULLOL BUSINESS MIKROMOLIYA TASHKILOTI»  MChJ</v>
      </c>
      <c r="B69" s="256"/>
      <c r="C69" s="256"/>
      <c r="D69" s="256"/>
      <c r="E69" s="202"/>
      <c r="F69" s="202"/>
    </row>
    <row r="70" spans="1:6" ht="15" customHeight="1">
      <c r="A70" s="256" t="str">
        <f>""&amp;'Общие данные'!A160&amp;"i"</f>
        <v>To'rtko'l filiali boshlig’ii</v>
      </c>
      <c r="B70" s="256"/>
      <c r="C70" s="256"/>
      <c r="D70" s="256"/>
      <c r="E70" s="333" t="str">
        <f>"____________ "&amp;'Общие данные'!B160&amp;""</f>
        <v>____________ Djumanazarov B.A.</v>
      </c>
      <c r="F70" s="333"/>
    </row>
    <row r="71" spans="1:6">
      <c r="A71" s="64"/>
      <c r="B71" s="64"/>
      <c r="C71" s="64"/>
      <c r="D71" s="64"/>
      <c r="E71" s="64"/>
      <c r="F71" s="64"/>
    </row>
    <row r="72" spans="1:6">
      <c r="A72" s="333"/>
      <c r="B72" s="333"/>
      <c r="C72" s="333"/>
      <c r="D72" s="333"/>
      <c r="E72" s="64"/>
      <c r="F72" s="64"/>
    </row>
    <row r="73" spans="1:6" hidden="1">
      <c r="A73" s="256" t="s">
        <v>44</v>
      </c>
      <c r="B73" s="256"/>
      <c r="C73" s="256"/>
      <c r="D73" s="256"/>
      <c r="E73" s="64"/>
      <c r="F73" s="64"/>
    </row>
    <row r="74" spans="1:6" hidden="1">
      <c r="A74" s="256" t="str">
        <f>'Общие данные'!B148</f>
        <v>«PULLOL BUSINESS MIKROMOLIYA TASHKILOTI»  MChJ</v>
      </c>
      <c r="B74" s="256"/>
      <c r="C74" s="256"/>
      <c r="D74" s="256"/>
      <c r="E74" s="256" t="str">
        <f>"_______________   "&amp;'Общие данные'!B159&amp;""</f>
        <v>_______________   Akramov R.N.</v>
      </c>
      <c r="F74" s="256"/>
    </row>
    <row r="75" spans="1:6" ht="12.75" customHeight="1">
      <c r="A75" s="256"/>
      <c r="B75" s="256"/>
      <c r="C75" s="256"/>
      <c r="D75" s="256"/>
      <c r="E75" s="256"/>
      <c r="F75" s="256"/>
    </row>
    <row r="76" spans="1:6">
      <c r="A76" s="333" t="s">
        <v>204</v>
      </c>
      <c r="B76" s="333"/>
      <c r="C76" s="333"/>
      <c r="D76" s="333"/>
      <c r="E76" s="256"/>
      <c r="F76" s="256"/>
    </row>
    <row r="77" spans="1:6" ht="31.5" customHeight="1">
      <c r="A77" s="256" t="s">
        <v>205</v>
      </c>
      <c r="B77" s="256"/>
      <c r="C77" s="256"/>
      <c r="D77" s="256"/>
      <c r="E77" s="333" t="str">
        <f>"_____________"&amp;'Общие данные'!B7&amp;""</f>
        <v>_____________ANNAZAROV K.S.</v>
      </c>
      <c r="F77" s="333"/>
    </row>
    <row r="78" spans="1:6" ht="12.75" customHeight="1">
      <c r="A78" s="256"/>
      <c r="B78" s="256"/>
      <c r="C78" s="256"/>
      <c r="D78" s="256"/>
      <c r="E78" s="339" t="str">
        <f>IF('Общие данные'!B93="да","",'Общие данные'!B118)</f>
        <v>ANNAZAROV K.S.</v>
      </c>
      <c r="F78" s="339"/>
    </row>
    <row r="79" spans="1:6" ht="17.25" customHeight="1">
      <c r="A79" s="333" t="str">
        <f>+IF('Общие данные'!B93="ha"," ","3-tomondan:")</f>
        <v xml:space="preserve"> </v>
      </c>
      <c r="B79" s="333"/>
      <c r="C79" s="333"/>
      <c r="D79" s="333"/>
      <c r="E79" s="339" t="str">
        <f>IF('Общие данные'!B93="ha","",'Общие данные'!C118)</f>
        <v/>
      </c>
      <c r="F79" s="339"/>
    </row>
    <row r="80" spans="1:6" ht="29.25" customHeight="1">
      <c r="A80" s="256" t="str">
        <f>+IF('Общие данные'!B93="ha"," ","O'zbekiston Respublikasi fuqarosi")</f>
        <v xml:space="preserve"> </v>
      </c>
      <c r="B80" s="256"/>
      <c r="C80" s="256"/>
      <c r="D80" s="256"/>
      <c r="E80" s="333" t="str">
        <f>IF('Общие данные'!B93="yo’q","________  "&amp;'Общие данные'!C106&amp;"","")</f>
        <v/>
      </c>
      <c r="F80" s="333"/>
    </row>
    <row r="81" spans="1:6" ht="70.5" hidden="1" customHeight="1">
      <c r="A81" s="64"/>
      <c r="B81" s="64"/>
      <c r="C81" s="64"/>
      <c r="D81" s="256" t="str">
        <f>+IF('Общие данные'!B93="ha"," ",'заявление залогодателя'!A20)</f>
        <v xml:space="preserve"> </v>
      </c>
      <c r="E81" s="256"/>
      <c r="F81" s="256"/>
    </row>
    <row r="82" spans="1:6" ht="6.75" customHeight="1">
      <c r="E82" s="277"/>
      <c r="F82" s="277"/>
    </row>
  </sheetData>
  <mergeCells count="68">
    <mergeCell ref="A72:D72"/>
    <mergeCell ref="A73:D73"/>
    <mergeCell ref="A74:D74"/>
    <mergeCell ref="E74:F74"/>
    <mergeCell ref="A29:C29"/>
    <mergeCell ref="A45:F45"/>
    <mergeCell ref="A68:D68"/>
    <mergeCell ref="A69:D69"/>
    <mergeCell ref="A70:D70"/>
    <mergeCell ref="E70:F70"/>
    <mergeCell ref="A64:F64"/>
    <mergeCell ref="A65:F65"/>
    <mergeCell ref="F51:F61"/>
    <mergeCell ref="A46:F46"/>
    <mergeCell ref="A66:F66"/>
    <mergeCell ref="A28:C28"/>
    <mergeCell ref="A27:C27"/>
    <mergeCell ref="A44:F44"/>
    <mergeCell ref="A40:F40"/>
    <mergeCell ref="A41:F41"/>
    <mergeCell ref="A42:F42"/>
    <mergeCell ref="A43:F43"/>
    <mergeCell ref="A33:C33"/>
    <mergeCell ref="A37:C37"/>
    <mergeCell ref="A38:C38"/>
    <mergeCell ref="A34:C34"/>
    <mergeCell ref="A35:C35"/>
    <mergeCell ref="A36:C36"/>
    <mergeCell ref="E82:F82"/>
    <mergeCell ref="A2:F2"/>
    <mergeCell ref="A11:F11"/>
    <mergeCell ref="A12:F12"/>
    <mergeCell ref="A13:F13"/>
    <mergeCell ref="A10:F10"/>
    <mergeCell ref="A5:F5"/>
    <mergeCell ref="A6:F6"/>
    <mergeCell ref="A7:F7"/>
    <mergeCell ref="A8:F8"/>
    <mergeCell ref="A9:F9"/>
    <mergeCell ref="A30:C30"/>
    <mergeCell ref="A31:C31"/>
    <mergeCell ref="A32:C32"/>
    <mergeCell ref="D81:F81"/>
    <mergeCell ref="A39:F39"/>
    <mergeCell ref="A75:D75"/>
    <mergeCell ref="E75:F75"/>
    <mergeCell ref="A76:D76"/>
    <mergeCell ref="E76:F76"/>
    <mergeCell ref="A77:D77"/>
    <mergeCell ref="E77:F77"/>
    <mergeCell ref="A78:D78"/>
    <mergeCell ref="E78:F78"/>
    <mergeCell ref="A79:D79"/>
    <mergeCell ref="E79:F79"/>
    <mergeCell ref="A80:D80"/>
    <mergeCell ref="E80:F80"/>
    <mergeCell ref="A14:F14"/>
    <mergeCell ref="A15:F15"/>
    <mergeCell ref="A16:F16"/>
    <mergeCell ref="A17:F17"/>
    <mergeCell ref="A18:F18"/>
    <mergeCell ref="A19:F19"/>
    <mergeCell ref="A24:F24"/>
    <mergeCell ref="A25:F25"/>
    <mergeCell ref="B20:C20"/>
    <mergeCell ref="B21:C21"/>
    <mergeCell ref="A22:F22"/>
    <mergeCell ref="A23:F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00B050"/>
  </sheetPr>
  <dimension ref="A3:F54"/>
  <sheetViews>
    <sheetView view="pageBreakPreview" zoomScaleSheetLayoutView="100" workbookViewId="0">
      <selection activeCell="A22" sqref="A22:F22"/>
    </sheetView>
  </sheetViews>
  <sheetFormatPr defaultColWidth="9.140625" defaultRowHeight="15" outlineLevelRow="1"/>
  <cols>
    <col min="1" max="2" width="23.85546875" style="18" customWidth="1"/>
    <col min="3" max="3" width="23.28515625" style="18" customWidth="1"/>
    <col min="4" max="4" width="17" style="18" customWidth="1"/>
    <col min="5" max="5" width="17.5703125" style="18" customWidth="1"/>
    <col min="6" max="6" width="19.7109375" style="18" customWidth="1"/>
    <col min="7" max="16384" width="9.140625" style="18"/>
  </cols>
  <sheetData>
    <row r="3" spans="1:6" ht="16.5" customHeight="1"/>
    <row r="4" spans="1:6" ht="17.25" customHeight="1">
      <c r="A4" s="280" t="str">
        <f>""&amp;'Общие данные'!B147&amp;" Direktorining
"&amp;'Общие данные'!B165&amp;"dagi "&amp;'Общие данные'!B164&amp;"-sonli buyrug‘i"</f>
        <v>«PULLOL BUSINESS MIKROMOLIYA TASHKILOTI»  MChJ Direktorining
3 aprel 2026 y.dagi №310-TR-sonli buyrug‘i</v>
      </c>
      <c r="B4" s="280"/>
      <c r="C4" s="280"/>
      <c r="D4" s="280"/>
      <c r="E4" s="280"/>
      <c r="F4" s="280"/>
    </row>
    <row r="5" spans="1:6">
      <c r="A5" s="280"/>
      <c r="B5" s="280"/>
      <c r="C5" s="280"/>
      <c r="D5" s="280"/>
      <c r="E5" s="280"/>
      <c r="F5" s="280"/>
    </row>
    <row r="6" spans="1:6">
      <c r="A6" s="280"/>
      <c r="B6" s="280"/>
      <c r="C6" s="280"/>
      <c r="D6" s="280"/>
      <c r="E6" s="280"/>
      <c r="F6" s="280"/>
    </row>
    <row r="7" spans="1:6">
      <c r="A7" s="246"/>
      <c r="B7" s="246"/>
      <c r="C7" s="246"/>
      <c r="D7" s="246"/>
      <c r="E7" s="246"/>
      <c r="F7" s="246"/>
    </row>
    <row r="8" spans="1:6" ht="53.25" customHeight="1">
      <c r="A8" s="246" t="str">
        <f>"Men, "&amp;'Общие данные'!B151&amp;", "&amp;'Общие данные'!B147&amp;" direktori, jismoniy shaxs "&amp;'Общие данные'!B10&amp;"ga quyidagi shartlarda "&amp;'Общие данные'!B65&amp;" berishni buyuraman:"</f>
        <v>Men, Obidov Abdullo Shokir o'g'li, «PULLOL BUSINESS MIKROMOLIYA TASHKILOTI»  MChJ direktori, jismoniy shaxs ANNAZAROV KAXRAMAN SADULLAYEVICHga quyidagi shartlarda Mikroqarz berishni buyuraman:</v>
      </c>
      <c r="B8" s="246"/>
      <c r="C8" s="246"/>
      <c r="D8" s="246"/>
      <c r="E8" s="246"/>
      <c r="F8" s="246"/>
    </row>
    <row r="9" spans="1:6" ht="26.25" customHeight="1">
      <c r="A9" s="246" t="str">
        <f>'Кредитная заявка'!A13:D13</f>
        <v>Mikroqarz summasi: 100 000 000,00 (Yuz million so'm) so'm.</v>
      </c>
      <c r="B9" s="246"/>
      <c r="C9" s="246"/>
      <c r="D9" s="246"/>
      <c r="E9" s="246"/>
      <c r="F9" s="246"/>
    </row>
    <row r="10" spans="1:6" ht="21" customHeight="1">
      <c r="A10" s="246" t="str">
        <f>'Кредитная заявка'!A14:D14</f>
        <v>Mikroqarz muddati: 36 (Yigirma to'rt) oy.</v>
      </c>
      <c r="B10" s="246"/>
      <c r="C10" s="246"/>
      <c r="D10" s="246"/>
      <c r="E10" s="246"/>
      <c r="F10" s="246"/>
    </row>
    <row r="11" spans="1:6" ht="27" customHeight="1">
      <c r="A11" s="246" t="str">
        <f>'Кредитная заявка'!A15:D15</f>
        <v>Mikroqarzdan foydalanganlik uchun foiz stavkasi: yillik  55% (Ellik besh  ) foiz</v>
      </c>
      <c r="B11" s="246"/>
      <c r="C11" s="246"/>
      <c r="D11" s="246"/>
      <c r="E11" s="246"/>
      <c r="F11" s="246"/>
    </row>
    <row r="12" spans="1:6" ht="26.25" customHeight="1">
      <c r="A12" s="246" t="str">
        <f>'Кредитная заявка'!A16:D16</f>
        <v>Mikroqarz bo'yicha asosiy qarz va foizlarni to'lash:</v>
      </c>
      <c r="B12" s="246"/>
      <c r="C12" s="246"/>
      <c r="D12" s="246"/>
      <c r="E12" s="246"/>
      <c r="F12" s="246"/>
    </row>
    <row r="13" spans="1:6" ht="21.75" customHeight="1">
      <c r="A13" s="246" t="str">
        <f>'Кредитная заявка'!A17:D17</f>
        <v xml:space="preserve"> - Mikroqarz shartnomasi bo'yicha har oy differensial to'lovlari amalga oshiriladi</v>
      </c>
      <c r="B13" s="246"/>
      <c r="C13" s="246"/>
      <c r="D13" s="246"/>
      <c r="E13" s="246"/>
      <c r="F13" s="246"/>
    </row>
    <row r="14" spans="1:6">
      <c r="A14" s="246" t="str">
        <f>'Кредитная заявка'!A20:D20</f>
        <v xml:space="preserve">   </v>
      </c>
      <c r="B14" s="246"/>
      <c r="C14" s="246"/>
      <c r="D14" s="246"/>
      <c r="E14" s="246"/>
      <c r="F14" s="246"/>
    </row>
    <row r="15" spans="1:6" ht="45.75" customHeight="1">
      <c r="A15" s="246" t="str">
        <f>IF('Общие данные'!B103="Avtotransport",'Приказ на сделку'!A14:F14,'Приказ на сделку'!A13:F13)</f>
        <v xml:space="preserve"> - Mikroqarz shartnomasi bo'yicha har oy differensial to'lovlari amalga oshiriladi</v>
      </c>
      <c r="B15" s="246"/>
      <c r="C15" s="246"/>
      <c r="D15" s="246"/>
      <c r="E15" s="246"/>
      <c r="F15" s="246"/>
    </row>
    <row r="16" spans="1:6" ht="50.25" hidden="1" customHeight="1">
      <c r="A16" s="246" t="str">
        <f>""&amp;'Общие данные'!C117&amp;"ga tegishli "&amp;'Общие данные'!C126&amp;" ko'rinishidagi ko'chmas mulkni quyidagi ma'lumotlarga muvofiq  garovga qabul qilinsin:"</f>
        <v>ANNAZAROV KAXRAMAN SADULLAYEVICHga tegishli Yakka tartibdagi uy-joy ko'rinishidagi ko'chmas mulkni quyidagi ma'lumotlarga muvofiq  garovga qabul qilinsin:</v>
      </c>
      <c r="B16" s="246"/>
      <c r="C16" s="246"/>
      <c r="D16" s="246"/>
      <c r="E16" s="246"/>
      <c r="F16" s="246"/>
    </row>
    <row r="17" spans="1:6" ht="47.25" customHeight="1">
      <c r="A17" s="246" t="str">
        <f>""&amp;'Общие данные'!B117&amp;"ga tegishli "&amp;'Общие данные'!B125&amp;"  ko'chmas mulk  quyidagi ma'lumotlarga muvofiq garovga qabul qilinsin:"</f>
        <v>ANNAZAROV KAXRAMAN SADULLAYEVICHga tegishli   ko'chmas mulk  quyidagi ma'lumotlarga muvofiq garovga qabul qilinsin:</v>
      </c>
      <c r="B17" s="246"/>
      <c r="C17" s="246"/>
      <c r="D17" s="246"/>
      <c r="E17" s="246"/>
      <c r="F17" s="246"/>
    </row>
    <row r="18" spans="1:6" s="40" customFormat="1" ht="60" customHeight="1" outlineLevel="1">
      <c r="A18" s="42" t="str">
        <f>'Акт согласования'!A47</f>
        <v>Nomi</v>
      </c>
      <c r="B18" s="42" t="str">
        <f>'Акт согласования'!B47</f>
        <v>Umumiy yer maydoni, (m2)</v>
      </c>
      <c r="C18" s="42" t="str">
        <f>'Акт согласования'!C47</f>
        <v>Qurilish osti maydoni, (m2)</v>
      </c>
      <c r="D18" s="42" t="str">
        <f>'Акт согласования'!D47</f>
        <v>Umumiy foydali maydoni, (m2)</v>
      </c>
      <c r="E18" s="42" t="str">
        <f>'Акт согласования'!E47</f>
        <v>Yashash maydoni, (m2)</v>
      </c>
      <c r="F18" s="42" t="str">
        <f>'Акт согласования'!F47</f>
        <v>Kelishilgan garov qiymati, so'm</v>
      </c>
    </row>
    <row r="19" spans="1:6" ht="84.75" customHeight="1" outlineLevel="1">
      <c r="A19" s="20" t="str">
        <f>'Акт согласования'!A48</f>
        <v>Yakka tartibdagi uy-joy</v>
      </c>
      <c r="B19" s="20">
        <f>'Акт согласования'!B48</f>
        <v>704</v>
      </c>
      <c r="C19" s="20">
        <f>'Акт согласования'!C48</f>
        <v>149.81</v>
      </c>
      <c r="D19" s="20">
        <f>'Акт согласования'!D48</f>
        <v>213.72</v>
      </c>
      <c r="E19" s="20">
        <f>'Акт согласования'!E48</f>
        <v>108.36</v>
      </c>
      <c r="F19" s="20" t="str">
        <f>'Акт согласования'!F48</f>
        <v>140 000 000,00 
(yuz qirq million so'm)</v>
      </c>
    </row>
    <row r="20" spans="1:6" ht="20.25" customHeight="1" outlineLevel="1">
      <c r="A20" s="246" t="str">
        <f>"-* ko'chmas mulk egasi: "&amp;'Общие данные'!C117&amp;""</f>
        <v>-* ko'chmas mulk egasi: ANNAZAROV KAXRAMAN SADULLAYEVICH</v>
      </c>
      <c r="B20" s="246"/>
      <c r="C20" s="246"/>
      <c r="D20" s="246"/>
      <c r="E20" s="246"/>
      <c r="F20" s="246"/>
    </row>
    <row r="21" spans="1:6" ht="20.25" customHeight="1" outlineLevel="1">
      <c r="A21" s="246" t="str">
        <f>"-* reestr raqami: "&amp;'Общие данные'!C124&amp;""</f>
        <v>-* reestr raqami: №1735233/Y-26004624</v>
      </c>
      <c r="B21" s="246"/>
      <c r="C21" s="246"/>
      <c r="D21" s="246"/>
      <c r="E21" s="246"/>
      <c r="F21" s="246"/>
    </row>
    <row r="22" spans="1:6" ht="36" customHeight="1" outlineLevel="1">
      <c r="A22" s="246" t="str">
        <f>"-* kadastr raqami: "&amp;'Общие данные'!C127&amp;""</f>
        <v>-* kadastr raqami: 01.04.2026 y. №23:08:40:01:04:0357</v>
      </c>
      <c r="B22" s="246"/>
      <c r="C22" s="246"/>
      <c r="D22" s="246"/>
      <c r="E22" s="246"/>
      <c r="F22" s="246"/>
    </row>
    <row r="23" spans="1:6" ht="30.75" customHeight="1" outlineLevel="1">
      <c r="A23" s="246" t="str">
        <f>"-* manzil: "&amp;'Общие данные'!C123&amp;""</f>
        <v>-* manzil: QORAQALPOG'ISTON RESPUBLIKASI TO'RTKO'L TUMANI YOSHLIK MFY KALTAMINAR KO'CHASI 1B-UY</v>
      </c>
      <c r="B23" s="246"/>
      <c r="C23" s="246"/>
      <c r="D23" s="246"/>
      <c r="E23" s="246"/>
      <c r="F23" s="246"/>
    </row>
    <row r="24" spans="1:6">
      <c r="A24" s="246"/>
      <c r="B24" s="246"/>
      <c r="C24" s="246"/>
      <c r="D24" s="246"/>
      <c r="E24" s="246"/>
      <c r="F24" s="246"/>
    </row>
    <row r="25" spans="1:6" s="40" customFormat="1" ht="41.25" hidden="1" customHeight="1" outlineLevel="1">
      <c r="A25" s="42" t="s">
        <v>196</v>
      </c>
      <c r="B25" s="42"/>
      <c r="C25" s="42" t="s">
        <v>253</v>
      </c>
      <c r="D25" s="42" t="s">
        <v>273</v>
      </c>
      <c r="E25" s="42" t="s">
        <v>199</v>
      </c>
      <c r="F25" s="42" t="str">
        <f>'Акт согласования'!F47</f>
        <v>Kelishilgan garov qiymati, so'm</v>
      </c>
    </row>
    <row r="26" spans="1:6" hidden="1" outlineLevel="1">
      <c r="A26" s="20" t="str">
        <f>'Акт согласования'!A51</f>
        <v>Yashash xona</v>
      </c>
      <c r="B26" s="20"/>
      <c r="C26" s="131" t="str">
        <f>'Акт согласования'!C51</f>
        <v>3</v>
      </c>
      <c r="D26" s="131" t="str">
        <f>'Акт согласования'!D51</f>
        <v>18.82</v>
      </c>
      <c r="E26" s="131">
        <f>'Акт согласования'!E51</f>
        <v>0</v>
      </c>
      <c r="F26" s="286" t="str">
        <f>'Акт согласования'!F51</f>
        <v>140 000 000,00 (yuz qirq million so'm)</v>
      </c>
    </row>
    <row r="27" spans="1:6" hidden="1" outlineLevel="1">
      <c r="A27" s="20">
        <f>'Акт согласования'!A52</f>
        <v>0</v>
      </c>
      <c r="B27" s="20"/>
      <c r="C27" s="131">
        <f>'Акт согласования'!C52</f>
        <v>0</v>
      </c>
      <c r="D27" s="131">
        <f>'Акт согласования'!D52</f>
        <v>0</v>
      </c>
      <c r="E27" s="131">
        <f>'Акт согласования'!E52</f>
        <v>0</v>
      </c>
      <c r="F27" s="286"/>
    </row>
    <row r="28" spans="1:6" hidden="1" outlineLevel="1">
      <c r="A28" s="20" t="str">
        <f>'Акт согласования'!A53</f>
        <v>Umumiy maydon</v>
      </c>
      <c r="B28" s="20"/>
      <c r="C28" s="131" t="str">
        <f>'Акт согласования'!C53</f>
        <v>43.96</v>
      </c>
      <c r="D28" s="131" t="str">
        <f>'Акт согласования'!D53</f>
        <v>18.82</v>
      </c>
      <c r="E28" s="131" t="str">
        <f>'Акт согласования'!E53</f>
        <v>43.96</v>
      </c>
      <c r="F28" s="286"/>
    </row>
    <row r="29" spans="1:6" hidden="1" outlineLevel="1">
      <c r="A29" s="20">
        <f>'Акт согласования'!A54</f>
        <v>0</v>
      </c>
      <c r="B29" s="20"/>
      <c r="C29" s="131">
        <f>'Акт согласования'!C54</f>
        <v>0</v>
      </c>
      <c r="D29" s="131">
        <f>'Акт согласования'!D54</f>
        <v>0</v>
      </c>
      <c r="E29" s="131">
        <f>'Акт согласования'!E54</f>
        <v>0</v>
      </c>
      <c r="F29" s="286"/>
    </row>
    <row r="30" spans="1:6" hidden="1" outlineLevel="1">
      <c r="A30" s="20">
        <f>'Акт согласования'!A55</f>
        <v>0</v>
      </c>
      <c r="B30" s="20"/>
      <c r="C30" s="131">
        <f>'Акт согласования'!C55</f>
        <v>0</v>
      </c>
      <c r="D30" s="131">
        <f>'Акт согласования'!D55</f>
        <v>0</v>
      </c>
      <c r="E30" s="131">
        <f>'Акт согласования'!E55</f>
        <v>0</v>
      </c>
      <c r="F30" s="286"/>
    </row>
    <row r="31" spans="1:6" hidden="1" outlineLevel="1">
      <c r="A31" s="20">
        <f>'Акт согласования'!A56</f>
        <v>0</v>
      </c>
      <c r="B31" s="20"/>
      <c r="C31" s="131">
        <f>'Акт согласования'!C56</f>
        <v>0</v>
      </c>
      <c r="D31" s="131">
        <f>'Акт согласования'!D56</f>
        <v>0</v>
      </c>
      <c r="E31" s="131">
        <f>'Акт согласования'!E56</f>
        <v>0</v>
      </c>
      <c r="F31" s="286"/>
    </row>
    <row r="32" spans="1:6" hidden="1" outlineLevel="1">
      <c r="A32" s="20">
        <f>'Акт согласования'!A57</f>
        <v>0</v>
      </c>
      <c r="B32" s="20"/>
      <c r="C32" s="131">
        <f>'Акт согласования'!C57</f>
        <v>0</v>
      </c>
      <c r="D32" s="131">
        <f>'Акт согласования'!D57</f>
        <v>0</v>
      </c>
      <c r="E32" s="131">
        <f>'Акт согласования'!E57</f>
        <v>0</v>
      </c>
      <c r="F32" s="286"/>
    </row>
    <row r="33" spans="1:6" hidden="1" outlineLevel="1">
      <c r="A33" s="20">
        <f>'Акт согласования'!A58</f>
        <v>0</v>
      </c>
      <c r="B33" s="20"/>
      <c r="C33" s="131">
        <f>'Акт согласования'!C58</f>
        <v>0</v>
      </c>
      <c r="D33" s="131">
        <f>'Акт согласования'!D58</f>
        <v>0</v>
      </c>
      <c r="E33" s="131">
        <f>'Акт согласования'!E58</f>
        <v>0</v>
      </c>
      <c r="F33" s="286"/>
    </row>
    <row r="34" spans="1:6" hidden="1" outlineLevel="1">
      <c r="A34" s="20">
        <f>'Акт согласования'!A59</f>
        <v>0</v>
      </c>
      <c r="B34" s="20"/>
      <c r="C34" s="131">
        <f>'Акт согласования'!C59</f>
        <v>0</v>
      </c>
      <c r="D34" s="131">
        <f>'Акт согласования'!D59</f>
        <v>0</v>
      </c>
      <c r="E34" s="131">
        <f>'Акт согласования'!E59</f>
        <v>0</v>
      </c>
      <c r="F34" s="286"/>
    </row>
    <row r="35" spans="1:6" hidden="1" outlineLevel="1">
      <c r="A35" s="20">
        <f>'Акт согласования'!A60</f>
        <v>0</v>
      </c>
      <c r="B35" s="20"/>
      <c r="C35" s="131">
        <f>'Акт согласования'!C60</f>
        <v>0</v>
      </c>
      <c r="D35" s="131">
        <f>'Акт согласования'!D60</f>
        <v>0</v>
      </c>
      <c r="E35" s="131">
        <f>'Акт согласования'!E60</f>
        <v>0</v>
      </c>
      <c r="F35" s="286"/>
    </row>
    <row r="36" spans="1:6" hidden="1" outlineLevel="1">
      <c r="A36" s="20">
        <f>'Акт согласования'!A61</f>
        <v>0</v>
      </c>
      <c r="B36" s="20"/>
      <c r="C36" s="20">
        <f>'Акт согласования'!C61</f>
        <v>0</v>
      </c>
      <c r="D36" s="20">
        <f>'Акт согласования'!D61</f>
        <v>0</v>
      </c>
      <c r="E36" s="20">
        <f>'Акт согласования'!E61</f>
        <v>0</v>
      </c>
      <c r="F36" s="286"/>
    </row>
    <row r="37" spans="1:6" s="40" customFormat="1" ht="14.25" hidden="1" outlineLevel="1">
      <c r="A37" s="42" t="str">
        <f>'Акт согласования'!A62</f>
        <v>JAMI</v>
      </c>
      <c r="B37" s="42"/>
      <c r="C37" s="42" t="str">
        <f>'Акт согласования'!C62</f>
        <v>43.96</v>
      </c>
      <c r="D37" s="42" t="str">
        <f>'Акт согласования'!D62</f>
        <v>18.82</v>
      </c>
      <c r="E37" s="42" t="str">
        <f>'Акт согласования'!E62</f>
        <v>43.96</v>
      </c>
      <c r="F37" s="42" t="str">
        <f>'Акт согласования'!F62</f>
        <v>140 000 000,00</v>
      </c>
    </row>
    <row r="38" spans="1:6" s="40" customFormat="1" ht="15" hidden="1" customHeight="1" outlineLevel="1">
      <c r="A38" s="246" t="str">
        <f>'Акт согласования'!A39:F39</f>
        <v>-* ko'chmas mulk egasi: ANNAZAROV KAXRAMAN SADULLAYEVICH</v>
      </c>
      <c r="B38" s="246"/>
      <c r="C38" s="246"/>
      <c r="D38" s="246"/>
      <c r="E38" s="246"/>
      <c r="F38" s="246"/>
    </row>
    <row r="39" spans="1:6" s="40" customFormat="1" hidden="1" outlineLevel="1">
      <c r="A39" s="246" t="str">
        <f>'Акт согласования'!A40:F40</f>
        <v>-* reestr raqami: №1735233/Y-26004624</v>
      </c>
      <c r="B39" s="246"/>
      <c r="C39" s="246"/>
      <c r="D39" s="246"/>
      <c r="E39" s="246"/>
      <c r="F39" s="246"/>
    </row>
    <row r="40" spans="1:6" s="40" customFormat="1" hidden="1" outlineLevel="1">
      <c r="A40" s="246" t="str">
        <f>'Акт согласования'!A41:F41</f>
        <v>-* kadastr raqami: 01.04.2026 y. №23:08:40:01:04:0357</v>
      </c>
      <c r="B40" s="246"/>
      <c r="C40" s="246"/>
      <c r="D40" s="246"/>
      <c r="E40" s="246"/>
      <c r="F40" s="246"/>
    </row>
    <row r="41" spans="1:6" s="40" customFormat="1" hidden="1" outlineLevel="1">
      <c r="A41" s="246" t="str">
        <f>'Акт согласования'!A42:F42</f>
        <v>-* manzil: QORAQALPOG'ISTON RESPUBLIKASI TO'RTKO'L TUMANI YOSHLIK MFY KALTAMINAR KO'CHASI 1B-UY</v>
      </c>
      <c r="B41" s="246"/>
      <c r="C41" s="246"/>
      <c r="D41" s="246"/>
      <c r="E41" s="246"/>
      <c r="F41" s="246"/>
    </row>
    <row r="42" spans="1:6" s="40" customFormat="1" collapsed="1">
      <c r="A42" s="246"/>
      <c r="B42" s="246"/>
      <c r="C42" s="246"/>
      <c r="D42" s="246"/>
      <c r="E42" s="246"/>
      <c r="F42" s="246"/>
    </row>
    <row r="43" spans="1:6" s="40" customFormat="1">
      <c r="A43" s="246"/>
      <c r="B43" s="246"/>
      <c r="C43" s="246"/>
      <c r="D43" s="246"/>
      <c r="E43" s="246"/>
      <c r="F43" s="246"/>
    </row>
    <row r="44" spans="1:6" s="40" customFormat="1" hidden="1">
      <c r="A44" s="246"/>
      <c r="B44" s="246"/>
      <c r="C44" s="246"/>
      <c r="D44" s="246"/>
      <c r="E44" s="246"/>
      <c r="F44" s="246"/>
    </row>
    <row r="45" spans="1:6" s="40" customFormat="1" ht="14.25" hidden="1">
      <c r="A45" s="58"/>
      <c r="B45" s="58"/>
      <c r="C45" s="58"/>
      <c r="D45" s="58"/>
      <c r="E45" s="58"/>
      <c r="F45" s="58"/>
    </row>
    <row r="46" spans="1:6" hidden="1">
      <c r="A46" s="246"/>
      <c r="B46" s="246"/>
      <c r="C46" s="246"/>
      <c r="D46" s="246"/>
      <c r="E46" s="246"/>
      <c r="F46" s="246"/>
    </row>
    <row r="47" spans="1:6" ht="15" customHeight="1">
      <c r="A47" s="333" t="str">
        <f>'Общие данные'!B148</f>
        <v>«PULLOL BUSINESS MIKROMOLIYA TASHKILOTI»  MChJ</v>
      </c>
      <c r="B47" s="333"/>
      <c r="C47" s="333"/>
      <c r="D47" s="333"/>
      <c r="E47" s="354"/>
      <c r="F47" s="354"/>
    </row>
    <row r="48" spans="1:6" ht="15" customHeight="1">
      <c r="A48" s="333" t="s">
        <v>394</v>
      </c>
      <c r="B48" s="333"/>
      <c r="C48" s="333"/>
      <c r="D48" s="333"/>
      <c r="E48" s="354" t="str">
        <f>'Общие данные'!B150</f>
        <v>Obidov A. Sh.</v>
      </c>
      <c r="F48" s="354"/>
    </row>
    <row r="49" spans="1:6">
      <c r="A49" s="246"/>
      <c r="B49" s="246"/>
      <c r="C49" s="246"/>
      <c r="D49" s="246"/>
      <c r="E49" s="246"/>
      <c r="F49" s="246"/>
    </row>
    <row r="50" spans="1:6">
      <c r="A50" s="246"/>
      <c r="B50" s="246"/>
      <c r="C50" s="246"/>
      <c r="D50" s="246"/>
      <c r="E50" s="246"/>
      <c r="F50" s="246"/>
    </row>
    <row r="51" spans="1:6">
      <c r="A51" s="246"/>
      <c r="B51" s="246"/>
      <c r="C51" s="246"/>
      <c r="D51" s="246"/>
      <c r="E51" s="246"/>
      <c r="F51" s="246"/>
    </row>
    <row r="52" spans="1:6">
      <c r="A52" s="246"/>
      <c r="B52" s="246"/>
      <c r="C52" s="246"/>
      <c r="D52" s="246"/>
      <c r="E52" s="246"/>
      <c r="F52" s="246"/>
    </row>
    <row r="53" spans="1:6">
      <c r="A53" s="246"/>
      <c r="B53" s="246"/>
      <c r="C53" s="246"/>
      <c r="D53" s="246"/>
      <c r="E53" s="246"/>
      <c r="F53" s="246"/>
    </row>
    <row r="54" spans="1:6">
      <c r="A54" s="246"/>
      <c r="B54" s="246"/>
      <c r="C54" s="246"/>
      <c r="D54" s="246"/>
      <c r="E54" s="246"/>
      <c r="F54" s="246"/>
    </row>
  </sheetData>
  <mergeCells count="36">
    <mergeCell ref="A54:F54"/>
    <mergeCell ref="A22:F22"/>
    <mergeCell ref="A23:F23"/>
    <mergeCell ref="A24:F24"/>
    <mergeCell ref="A46:F46"/>
    <mergeCell ref="A47:D47"/>
    <mergeCell ref="E47:F47"/>
    <mergeCell ref="A48:D48"/>
    <mergeCell ref="E48:F48"/>
    <mergeCell ref="A49:F49"/>
    <mergeCell ref="A50:F50"/>
    <mergeCell ref="A51:F51"/>
    <mergeCell ref="A53:F53"/>
    <mergeCell ref="F26:F36"/>
    <mergeCell ref="A43:F43"/>
    <mergeCell ref="A4:F6"/>
    <mergeCell ref="A44:F44"/>
    <mergeCell ref="A38:F38"/>
    <mergeCell ref="A39:F39"/>
    <mergeCell ref="A40:F40"/>
    <mergeCell ref="A41:F41"/>
    <mergeCell ref="A42:F42"/>
    <mergeCell ref="A21:F21"/>
    <mergeCell ref="A14:F14"/>
    <mergeCell ref="A17:F17"/>
    <mergeCell ref="A7:F7"/>
    <mergeCell ref="A8:F8"/>
    <mergeCell ref="A13:F13"/>
    <mergeCell ref="A9:F9"/>
    <mergeCell ref="A10:F10"/>
    <mergeCell ref="A11:F11"/>
    <mergeCell ref="A12:F12"/>
    <mergeCell ref="A52:F52"/>
    <mergeCell ref="A20:F20"/>
    <mergeCell ref="A15:F15"/>
    <mergeCell ref="A16:F16"/>
  </mergeCells>
  <pageMargins left="0.70866141732283472" right="0.70866141732283472" top="0.74803149606299213" bottom="0.74803149606299213" header="0.31496062992125984" footer="0.31496062992125984"/>
  <pageSetup paperSize="9" scale="6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00B050"/>
  </sheetPr>
  <dimension ref="B1:G42"/>
  <sheetViews>
    <sheetView view="pageBreakPreview" zoomScaleSheetLayoutView="100" workbookViewId="0">
      <selection activeCell="Q21" sqref="Q21"/>
    </sheetView>
  </sheetViews>
  <sheetFormatPr defaultColWidth="9.140625" defaultRowHeight="15"/>
  <cols>
    <col min="1" max="1" width="3.42578125" style="18" customWidth="1"/>
    <col min="2" max="3" width="17.85546875" style="23" customWidth="1"/>
    <col min="4" max="4" width="15" style="23" customWidth="1"/>
    <col min="5" max="5" width="17.85546875" style="23" customWidth="1"/>
    <col min="6" max="6" width="9" style="23" customWidth="1"/>
    <col min="7" max="7" width="4.7109375" style="23" customWidth="1"/>
    <col min="8" max="16384" width="9.140625" style="18"/>
  </cols>
  <sheetData>
    <row r="1" spans="2:7" ht="15.75" thickBot="1"/>
    <row r="2" spans="2:7" ht="62.25" customHeight="1">
      <c r="B2" s="365" t="str">
        <f>'Общие данные'!B148</f>
        <v>«PULLOL BUSINESS MIKROMOLIYA TASHKILOTI»  MChJ</v>
      </c>
      <c r="C2" s="366"/>
      <c r="D2" s="366"/>
      <c r="E2" s="366"/>
      <c r="F2" s="367"/>
      <c r="G2" s="44"/>
    </row>
    <row r="3" spans="2:7">
      <c r="B3" s="358"/>
      <c r="C3" s="279"/>
      <c r="D3" s="279"/>
      <c r="E3" s="279"/>
      <c r="F3" s="359"/>
      <c r="G3" s="45"/>
    </row>
    <row r="4" spans="2:7" ht="8.25" customHeight="1">
      <c r="B4" s="65"/>
      <c r="F4" s="66"/>
      <c r="G4" s="45"/>
    </row>
    <row r="5" spans="2:7" ht="12" customHeight="1">
      <c r="B5" s="47"/>
      <c r="C5" s="45"/>
      <c r="D5" s="45"/>
      <c r="E5" s="45"/>
      <c r="F5" s="48"/>
      <c r="G5" s="45"/>
    </row>
    <row r="6" spans="2:7" ht="6.75" customHeight="1">
      <c r="B6" s="47"/>
      <c r="C6" s="45"/>
      <c r="D6" s="45"/>
      <c r="E6" s="45"/>
      <c r="F6" s="48"/>
      <c r="G6" s="45"/>
    </row>
    <row r="7" spans="2:7" ht="6.75" customHeight="1">
      <c r="B7" s="47"/>
      <c r="C7" s="45"/>
      <c r="D7" s="45"/>
      <c r="E7" s="45"/>
      <c r="F7" s="48"/>
      <c r="G7" s="45"/>
    </row>
    <row r="8" spans="2:7">
      <c r="B8" s="47"/>
      <c r="C8" s="45"/>
      <c r="D8" s="45"/>
      <c r="E8" s="45"/>
      <c r="F8" s="48"/>
      <c r="G8" s="45"/>
    </row>
    <row r="9" spans="2:7">
      <c r="B9" s="47"/>
      <c r="C9" s="45"/>
      <c r="D9" s="45"/>
      <c r="E9" s="45"/>
      <c r="F9" s="48"/>
      <c r="G9" s="45"/>
    </row>
    <row r="10" spans="2:7">
      <c r="B10" s="358" t="s">
        <v>24</v>
      </c>
      <c r="C10" s="279"/>
      <c r="D10" s="279"/>
      <c r="E10" s="279"/>
      <c r="F10" s="359"/>
      <c r="G10" s="45"/>
    </row>
    <row r="11" spans="2:7">
      <c r="B11" s="358" t="s">
        <v>24</v>
      </c>
      <c r="C11" s="279"/>
      <c r="D11" s="279"/>
      <c r="E11" s="279"/>
      <c r="F11" s="359"/>
      <c r="G11" s="45"/>
    </row>
    <row r="12" spans="2:7" ht="135" customHeight="1">
      <c r="B12" s="368" t="str">
        <f>'Общие данные'!B5</f>
        <v>ANNAZAROV KAXRAMAN SADULLAYEVICH</v>
      </c>
      <c r="C12" s="369"/>
      <c r="D12" s="369"/>
      <c r="E12" s="369"/>
      <c r="F12" s="370"/>
      <c r="G12" s="46"/>
    </row>
    <row r="13" spans="2:7">
      <c r="B13" s="358"/>
      <c r="C13" s="279"/>
      <c r="D13" s="279"/>
      <c r="E13" s="279"/>
      <c r="F13" s="359"/>
      <c r="G13" s="45"/>
    </row>
    <row r="14" spans="2:7">
      <c r="B14" s="47"/>
      <c r="C14" s="45"/>
      <c r="D14" s="45"/>
      <c r="E14" s="45"/>
      <c r="F14" s="48"/>
      <c r="G14" s="45"/>
    </row>
    <row r="15" spans="2:7">
      <c r="B15" s="47"/>
      <c r="C15" s="45"/>
      <c r="D15" s="45"/>
      <c r="E15" s="45"/>
      <c r="F15" s="48"/>
      <c r="G15" s="45"/>
    </row>
    <row r="16" spans="2:7">
      <c r="B16" s="47"/>
      <c r="C16" s="45"/>
      <c r="D16" s="45"/>
      <c r="E16" s="45"/>
      <c r="F16" s="48"/>
      <c r="G16" s="45"/>
    </row>
    <row r="17" spans="2:7">
      <c r="B17" s="47"/>
      <c r="C17" s="45"/>
      <c r="D17" s="45"/>
      <c r="E17" s="45"/>
      <c r="F17" s="48"/>
      <c r="G17" s="45"/>
    </row>
    <row r="18" spans="2:7">
      <c r="B18" s="358"/>
      <c r="C18" s="279"/>
      <c r="D18" s="279"/>
      <c r="E18" s="279"/>
      <c r="F18" s="359"/>
      <c r="G18" s="45"/>
    </row>
    <row r="19" spans="2:7" ht="20.25">
      <c r="B19" s="362" t="str">
        <f>""&amp;'Общие данные'!B65&amp;" shartnoma "&amp;'Общие данные'!B74&amp;""</f>
        <v>Mikroqarz shartnoma 3 aprel 2026 y.dan №310-TR</v>
      </c>
      <c r="C19" s="363"/>
      <c r="D19" s="363"/>
      <c r="E19" s="363"/>
      <c r="F19" s="364"/>
      <c r="G19" s="45"/>
    </row>
    <row r="20" spans="2:7">
      <c r="B20" s="358"/>
      <c r="C20" s="279"/>
      <c r="D20" s="279"/>
      <c r="E20" s="279"/>
      <c r="F20" s="359"/>
      <c r="G20" s="45"/>
    </row>
    <row r="21" spans="2:7">
      <c r="B21" s="358"/>
      <c r="C21" s="279"/>
      <c r="D21" s="279"/>
      <c r="E21" s="279"/>
      <c r="F21" s="359"/>
      <c r="G21" s="45"/>
    </row>
    <row r="22" spans="2:7">
      <c r="B22" s="358"/>
      <c r="C22" s="279"/>
      <c r="D22" s="279"/>
      <c r="E22" s="279"/>
      <c r="F22" s="359"/>
      <c r="G22" s="45"/>
    </row>
    <row r="23" spans="2:7">
      <c r="B23" s="358"/>
      <c r="C23" s="279"/>
      <c r="D23" s="279"/>
      <c r="E23" s="279"/>
      <c r="F23" s="359"/>
      <c r="G23" s="45"/>
    </row>
    <row r="24" spans="2:7">
      <c r="B24" s="360" t="str">
        <f>" Foiz stavkasi: "&amp;'Общие данные'!B85&amp;"%"</f>
        <v xml:space="preserve"> Foiz stavkasi: 55%</v>
      </c>
      <c r="C24" s="249"/>
      <c r="D24" s="249"/>
      <c r="E24" s="249"/>
      <c r="F24" s="361"/>
      <c r="G24" s="45"/>
    </row>
    <row r="25" spans="2:7" ht="15" customHeight="1">
      <c r="B25" s="360" t="str">
        <f>" "&amp;'Общие данные'!B65&amp;" muddati: "&amp;'Общие данные'!B81&amp;" oy"</f>
        <v xml:space="preserve"> Mikroqarz muddati: 36 oy</v>
      </c>
      <c r="C25" s="249"/>
      <c r="D25" s="249"/>
      <c r="E25" s="249"/>
      <c r="F25" s="361"/>
      <c r="G25" s="45"/>
    </row>
    <row r="26" spans="2:7">
      <c r="B26" s="360" t="str">
        <f>" "&amp;'Общие данные'!B65&amp;" miqdori: "&amp;FIXED('Общие данные'!B75,2)&amp;" so'm"</f>
        <v xml:space="preserve"> Mikroqarz miqdori: 100 000 000,00 so'm</v>
      </c>
      <c r="C26" s="249"/>
      <c r="D26" s="249"/>
      <c r="E26" s="249"/>
      <c r="F26" s="361"/>
      <c r="G26" s="45"/>
    </row>
    <row r="27" spans="2:7">
      <c r="B27" s="358"/>
      <c r="C27" s="279"/>
      <c r="D27" s="279"/>
      <c r="E27" s="279"/>
      <c r="F27" s="359"/>
      <c r="G27" s="45"/>
    </row>
    <row r="28" spans="2:7" hidden="1">
      <c r="G28" s="45"/>
    </row>
    <row r="29" spans="2:7">
      <c r="B29" s="358"/>
      <c r="C29" s="279"/>
      <c r="D29" s="279"/>
      <c r="E29" s="279"/>
      <c r="F29" s="359"/>
      <c r="G29" s="45"/>
    </row>
    <row r="30" spans="2:7" ht="12.75" customHeight="1">
      <c r="B30" s="47"/>
      <c r="C30" s="45"/>
      <c r="D30" s="45"/>
      <c r="E30" s="45"/>
      <c r="F30" s="48"/>
      <c r="G30" s="45"/>
    </row>
    <row r="31" spans="2:7">
      <c r="B31" s="47"/>
      <c r="C31" s="45"/>
      <c r="D31" s="45"/>
      <c r="E31" s="45"/>
      <c r="F31" s="48"/>
      <c r="G31" s="45"/>
    </row>
    <row r="32" spans="2:7" ht="2.25" customHeight="1">
      <c r="B32" s="47"/>
      <c r="C32" s="45"/>
      <c r="D32" s="45"/>
      <c r="E32" s="45"/>
      <c r="F32" s="48"/>
      <c r="G32" s="45"/>
    </row>
    <row r="33" spans="2:7">
      <c r="B33" s="47"/>
      <c r="C33" s="45"/>
      <c r="D33" s="45"/>
      <c r="E33" s="45"/>
      <c r="F33" s="48"/>
      <c r="G33" s="45"/>
    </row>
    <row r="34" spans="2:7">
      <c r="B34" s="47"/>
      <c r="C34" s="45"/>
      <c r="D34" s="45"/>
      <c r="E34" s="45"/>
      <c r="F34" s="48"/>
      <c r="G34" s="45"/>
    </row>
    <row r="35" spans="2:7">
      <c r="B35" s="47"/>
      <c r="C35" s="45"/>
      <c r="D35" s="45"/>
      <c r="E35" s="45"/>
      <c r="F35" s="48"/>
      <c r="G35" s="45"/>
    </row>
    <row r="36" spans="2:7">
      <c r="B36" s="47"/>
      <c r="C36" s="45"/>
      <c r="D36" s="45"/>
      <c r="E36" s="45"/>
      <c r="F36" s="48"/>
      <c r="G36" s="45"/>
    </row>
    <row r="37" spans="2:7">
      <c r="B37" s="47"/>
      <c r="C37" s="45"/>
      <c r="D37" s="45"/>
      <c r="E37" s="45"/>
      <c r="F37" s="48"/>
      <c r="G37" s="45"/>
    </row>
    <row r="38" spans="2:7">
      <c r="B38" s="47"/>
      <c r="C38" s="45"/>
      <c r="D38" s="45"/>
      <c r="E38" s="45"/>
      <c r="F38" s="48"/>
      <c r="G38" s="45"/>
    </row>
    <row r="39" spans="2:7">
      <c r="B39" s="47"/>
      <c r="C39" s="45"/>
      <c r="D39" s="45"/>
      <c r="E39" s="45"/>
      <c r="F39" s="48"/>
      <c r="G39" s="45"/>
    </row>
    <row r="40" spans="2:7" ht="15.75" thickBot="1">
      <c r="B40" s="355" t="str">
        <f>"Toshkent sh., "&amp;'Общие данные'!B70&amp;""</f>
        <v>Toshkent sh., 3 aprel 2026 y.</v>
      </c>
      <c r="C40" s="356"/>
      <c r="D40" s="356"/>
      <c r="E40" s="356"/>
      <c r="F40" s="357"/>
      <c r="G40" s="45"/>
    </row>
    <row r="41" spans="2:7">
      <c r="B41" s="279"/>
      <c r="C41" s="279"/>
      <c r="D41" s="279"/>
      <c r="E41" s="279"/>
      <c r="F41" s="279"/>
      <c r="G41" s="45"/>
    </row>
    <row r="42" spans="2:7">
      <c r="B42" s="279"/>
      <c r="C42" s="279"/>
      <c r="D42" s="279"/>
      <c r="E42" s="279"/>
      <c r="F42" s="279"/>
      <c r="G42" s="45"/>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0866141732283472" right="0.70866141732283472" top="0.74803149606299213" bottom="0.74803149606299213" header="0.31496062992125984" footer="0.31496062992125984"/>
  <pageSetup paperSize="9" scale="10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8" customWidth="1"/>
    <col min="2" max="2" width="21.28515625" style="18" customWidth="1"/>
    <col min="3" max="3" width="19.140625" style="18" customWidth="1"/>
    <col min="4" max="5" width="21.28515625" style="18" customWidth="1"/>
    <col min="6" max="16384" width="9.140625" style="18"/>
  </cols>
  <sheetData>
    <row r="2" spans="1:5">
      <c r="A2" s="127" t="s">
        <v>45</v>
      </c>
    </row>
    <row r="3" spans="1:5">
      <c r="A3" s="127" t="s">
        <v>46</v>
      </c>
    </row>
    <row r="6" spans="1:5" ht="20.25" customHeight="1">
      <c r="E6" s="128" t="s">
        <v>33</v>
      </c>
    </row>
    <row r="7" spans="1:5">
      <c r="E7" s="128" t="s">
        <v>47</v>
      </c>
    </row>
    <row r="9" spans="1:5" ht="107.25" customHeight="1">
      <c r="A9" s="372"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ANNAZAROV KAXRAMAN SADULLAYEVICH  (паспорт: AD 2849628 IIV 35233 tomonidan 23.03.2023 yilda berilgan) заключен договор микрозайма 3 aprel 2026 y.dan №310-TR, на сумму 100 000 000,00 (Yuz million so'm) сум, сроком на 36 (Yigirma to'rt) месяцев. В качестве своевременного исполнения обязательств по договору Микрозайма 3 aprel 2026 y.dan №310-TR планирует предоставить нижеследующее недвижимого имущества в виде Yakka tartibdagi uy-joy, общей площадью - 213,72 и жилой площадью - 149,81, расположенного по адресу: QORAQALPOG'ISTON RESPUBLIKASI TO'RTKO'L TUMANI YOSHLIK MFY KALTAMINAR KO'CHASI 1B-UY, принадлежащее на правах собственности ANNAZAROV KAXRAMAN SADULLAYEVICH.</v>
      </c>
      <c r="B9" s="372"/>
      <c r="C9" s="372"/>
      <c r="D9" s="372"/>
      <c r="E9" s="372"/>
    </row>
    <row r="11" spans="1:5" ht="28.5">
      <c r="A11" s="42" t="str">
        <f>'Приказ на сделку'!A18</f>
        <v>Nomi</v>
      </c>
      <c r="B11" s="42" t="str">
        <f>'Приказ на сделку'!C18</f>
        <v>Qurilish osti maydoni, (m2)</v>
      </c>
      <c r="C11" s="42" t="str">
        <f>'Приказ на сделку'!D18</f>
        <v>Umumiy foydali maydoni, (m2)</v>
      </c>
      <c r="D11" s="42" t="str">
        <f>'Приказ на сделку'!E18</f>
        <v>Yashash maydoni, (m2)</v>
      </c>
      <c r="E11" s="42" t="str">
        <f>'Приказ на сделку'!F18</f>
        <v>Kelishilgan garov qiymati, so'm</v>
      </c>
    </row>
    <row r="12" spans="1:5" ht="73.5" customHeight="1">
      <c r="A12" s="42" t="str">
        <f>'Приказ на сделку'!A19</f>
        <v>Yakka tartibdagi uy-joy</v>
      </c>
      <c r="B12" s="42">
        <f>'Приказ на сделку'!C19</f>
        <v>149.81</v>
      </c>
      <c r="C12" s="42">
        <f>'Приказ на сделку'!D19</f>
        <v>213.72</v>
      </c>
      <c r="D12" s="42">
        <f>'Приказ на сделку'!E19</f>
        <v>108.36</v>
      </c>
      <c r="E12" s="42" t="str">
        <f>'Приказ на сделку'!F19</f>
        <v>140 000 000,00 
(yuz qirq million so'm)</v>
      </c>
    </row>
    <row r="13" spans="1:5">
      <c r="A13" s="376" t="str">
        <f>'Приказ на сделку'!A20:F20</f>
        <v>-* ko'chmas mulk egasi: ANNAZAROV KAXRAMAN SADULLAYEVICH</v>
      </c>
      <c r="B13" s="376"/>
      <c r="C13" s="376"/>
      <c r="D13" s="376"/>
      <c r="E13" s="376"/>
    </row>
    <row r="14" spans="1:5">
      <c r="A14" s="376" t="str">
        <f>'Приказ на сделку'!A21:F21</f>
        <v>-* reestr raqami: №1735233/Y-26004624</v>
      </c>
      <c r="B14" s="376"/>
      <c r="C14" s="376"/>
      <c r="D14" s="376"/>
      <c r="E14" s="376"/>
    </row>
    <row r="15" spans="1:5">
      <c r="A15" s="376" t="str">
        <f>'Приказ на сделку'!A22:F22</f>
        <v>-* kadastr raqami: 01.04.2026 y. №23:08:40:01:04:0357</v>
      </c>
      <c r="B15" s="376"/>
      <c r="C15" s="376"/>
      <c r="D15" s="376"/>
      <c r="E15" s="376"/>
    </row>
    <row r="16" spans="1:5">
      <c r="A16" s="376" t="str">
        <f>'Приказ на сделку'!A23:F23</f>
        <v>-* manzil: QORAQALPOG'ISTON RESPUBLIKASI TO'RTKO'L TUMANI YOSHLIK MFY KALTAMINAR KO'CHASI 1B-UY</v>
      </c>
      <c r="B16" s="376"/>
      <c r="C16" s="376"/>
      <c r="D16" s="376"/>
      <c r="E16" s="376"/>
    </row>
    <row r="17" spans="1:5" ht="3" customHeight="1"/>
    <row r="19" spans="1:5" ht="59.25" hidden="1" customHeight="1">
      <c r="A19" s="42" t="str">
        <f>'Акт согласования'!A50</f>
        <v>Наименование</v>
      </c>
      <c r="B19" s="42" t="str">
        <f>'Акт согласования'!C50</f>
        <v>Полезная площадь</v>
      </c>
      <c r="C19" s="42" t="str">
        <f>'Акт согласования'!D50</f>
        <v>Жилая площадь</v>
      </c>
      <c r="D19" s="42" t="str">
        <f>'Акт согласования'!E50</f>
        <v>Общая площадь</v>
      </c>
      <c r="E19" s="42" t="str">
        <f>'Акт согласования'!F50</f>
        <v>Согласованная залоговая стоимость, сум</v>
      </c>
    </row>
    <row r="20" spans="1:5" ht="17.25" hidden="1" customHeight="1">
      <c r="A20" s="20" t="str">
        <f>'Акт согласования'!A51</f>
        <v>Yashash xona</v>
      </c>
      <c r="B20" s="20" t="str">
        <f>'Акт согласования'!C51</f>
        <v>3</v>
      </c>
      <c r="C20" s="20" t="str">
        <f>'Акт согласования'!D51</f>
        <v>18.82</v>
      </c>
      <c r="D20" s="20">
        <f>'Акт согласования'!E51</f>
        <v>0</v>
      </c>
      <c r="E20" s="351" t="str">
        <f>""&amp;FIXED('Общие данные'!C136,2)&amp;" ("&amp;'Общие данные'!C137&amp;")"</f>
        <v>140 000 000,00 (yuz qirq million so'm)</v>
      </c>
    </row>
    <row r="21" spans="1:5" ht="17.25" hidden="1" customHeight="1">
      <c r="A21" s="20">
        <f>'Акт согласования'!A52</f>
        <v>0</v>
      </c>
      <c r="B21" s="20">
        <f>'Акт согласования'!C52</f>
        <v>0</v>
      </c>
      <c r="C21" s="20">
        <f>'Акт согласования'!D52</f>
        <v>0</v>
      </c>
      <c r="D21" s="20">
        <f>'Акт согласования'!E52</f>
        <v>0</v>
      </c>
      <c r="E21" s="352"/>
    </row>
    <row r="22" spans="1:5" ht="17.25" hidden="1" customHeight="1">
      <c r="A22" s="20" t="str">
        <f>'Акт согласования'!A53</f>
        <v>Umumiy maydon</v>
      </c>
      <c r="B22" s="20" t="str">
        <f>'Акт согласования'!C53</f>
        <v>43.96</v>
      </c>
      <c r="C22" s="20" t="str">
        <f>'Акт согласования'!D53</f>
        <v>18.82</v>
      </c>
      <c r="D22" s="20" t="str">
        <f>'Акт согласования'!E53</f>
        <v>43.96</v>
      </c>
      <c r="E22" s="352"/>
    </row>
    <row r="23" spans="1:5" ht="17.25" hidden="1" customHeight="1">
      <c r="A23" s="20">
        <f>'Акт согласования'!A54</f>
        <v>0</v>
      </c>
      <c r="B23" s="20">
        <f>'Акт согласования'!C54</f>
        <v>0</v>
      </c>
      <c r="C23" s="20">
        <f>'Акт согласования'!D54</f>
        <v>0</v>
      </c>
      <c r="D23" s="20">
        <f>'Акт согласования'!E54</f>
        <v>0</v>
      </c>
      <c r="E23" s="352"/>
    </row>
    <row r="24" spans="1:5" ht="17.25" hidden="1" customHeight="1">
      <c r="A24" s="20">
        <f>'Акт согласования'!A55</f>
        <v>0</v>
      </c>
      <c r="B24" s="20">
        <f>'Акт согласования'!C55</f>
        <v>0</v>
      </c>
      <c r="C24" s="20">
        <f>'Акт согласования'!D55</f>
        <v>0</v>
      </c>
      <c r="D24" s="20">
        <f>'Акт согласования'!E55</f>
        <v>0</v>
      </c>
      <c r="E24" s="352"/>
    </row>
    <row r="25" spans="1:5" ht="15.75" hidden="1" customHeight="1">
      <c r="A25" s="20">
        <f>'Акт согласования'!A56</f>
        <v>0</v>
      </c>
      <c r="B25" s="20">
        <f>'Акт согласования'!C56</f>
        <v>0</v>
      </c>
      <c r="C25" s="20">
        <f>'Акт согласования'!D56</f>
        <v>0</v>
      </c>
      <c r="D25" s="20">
        <f>'Акт согласования'!E56</f>
        <v>0</v>
      </c>
      <c r="E25" s="352"/>
    </row>
    <row r="26" spans="1:5" ht="17.25" hidden="1" customHeight="1">
      <c r="A26" s="20">
        <f>'Акт согласования'!A57</f>
        <v>0</v>
      </c>
      <c r="B26" s="20">
        <f>'Акт согласования'!C57</f>
        <v>0</v>
      </c>
      <c r="C26" s="20">
        <f>'Акт согласования'!D57</f>
        <v>0</v>
      </c>
      <c r="D26" s="20">
        <f>'Акт согласования'!E57</f>
        <v>0</v>
      </c>
      <c r="E26" s="352"/>
    </row>
    <row r="27" spans="1:5" ht="17.25" hidden="1" customHeight="1">
      <c r="A27" s="20">
        <f>'Акт согласования'!A58</f>
        <v>0</v>
      </c>
      <c r="B27" s="20">
        <f>'Акт согласования'!C58</f>
        <v>0</v>
      </c>
      <c r="C27" s="20">
        <f>'Акт согласования'!D58</f>
        <v>0</v>
      </c>
      <c r="D27" s="20">
        <f>'Акт согласования'!E58</f>
        <v>0</v>
      </c>
      <c r="E27" s="352"/>
    </row>
    <row r="28" spans="1:5" ht="17.25" hidden="1" customHeight="1">
      <c r="A28" s="20">
        <f>'Акт согласования'!A59</f>
        <v>0</v>
      </c>
      <c r="B28" s="20">
        <f>'Акт согласования'!C59</f>
        <v>0</v>
      </c>
      <c r="C28" s="20">
        <f>'Акт согласования'!D59</f>
        <v>0</v>
      </c>
      <c r="D28" s="20">
        <f>'Акт согласования'!E59</f>
        <v>0</v>
      </c>
      <c r="E28" s="352"/>
    </row>
    <row r="29" spans="1:5" ht="17.25" hidden="1" customHeight="1">
      <c r="A29" s="20">
        <f>'Акт согласования'!A60</f>
        <v>0</v>
      </c>
      <c r="B29" s="20">
        <f>'Акт согласования'!C60</f>
        <v>0</v>
      </c>
      <c r="C29" s="20">
        <f>'Акт согласования'!D60</f>
        <v>0</v>
      </c>
      <c r="D29" s="20">
        <f>'Акт согласования'!E60</f>
        <v>0</v>
      </c>
      <c r="E29" s="352"/>
    </row>
    <row r="30" spans="1:5" ht="17.25" hidden="1" customHeight="1">
      <c r="A30" s="20">
        <f>'Акт согласования'!A61</f>
        <v>0</v>
      </c>
      <c r="B30" s="20">
        <f>'Акт согласования'!C61</f>
        <v>0</v>
      </c>
      <c r="C30" s="20">
        <f>'Акт согласования'!D61</f>
        <v>0</v>
      </c>
      <c r="D30" s="20">
        <f>'Акт согласования'!E61</f>
        <v>0</v>
      </c>
      <c r="E30" s="353"/>
    </row>
    <row r="31" spans="1:5" ht="17.25" hidden="1" customHeight="1">
      <c r="A31" s="20" t="str">
        <f>'Акт согласования'!A62</f>
        <v>JAMI</v>
      </c>
      <c r="B31" s="20" t="str">
        <f>'Акт согласования'!C62</f>
        <v>43.96</v>
      </c>
      <c r="C31" s="20" t="str">
        <f>'Акт согласования'!D62</f>
        <v>18.82</v>
      </c>
      <c r="D31" s="20" t="str">
        <f>'Акт согласования'!E62</f>
        <v>43.96</v>
      </c>
      <c r="E31" s="20" t="str">
        <f>'Акт согласования'!F62</f>
        <v>140 000 000,00</v>
      </c>
    </row>
    <row r="32" spans="1:5" ht="18.75" hidden="1" customHeight="1">
      <c r="A32" s="372" t="str">
        <f>'Акт согласования'!A39:F39</f>
        <v>-* ko'chmas mulk egasi: ANNAZAROV KAXRAMAN SADULLAYEVICH</v>
      </c>
      <c r="B32" s="372"/>
      <c r="C32" s="372"/>
      <c r="D32" s="372"/>
      <c r="E32" s="372"/>
    </row>
    <row r="33" spans="1:5" ht="24.75" hidden="1" customHeight="1">
      <c r="A33" s="372" t="str">
        <f>'Акт согласования'!A40:F40</f>
        <v>-* reestr raqami: №1735233/Y-26004624</v>
      </c>
      <c r="B33" s="372"/>
      <c r="C33" s="372"/>
      <c r="D33" s="372"/>
      <c r="E33" s="372"/>
    </row>
    <row r="34" spans="1:5" ht="30.75" hidden="1" customHeight="1">
      <c r="A34" s="372" t="str">
        <f>'Акт согласования'!A41:F41</f>
        <v>-* kadastr raqami: 01.04.2026 y. №23:08:40:01:04:0357</v>
      </c>
      <c r="B34" s="372"/>
      <c r="C34" s="372"/>
      <c r="D34" s="372"/>
      <c r="E34" s="372"/>
    </row>
    <row r="35" spans="1:5" ht="15" hidden="1" customHeight="1">
      <c r="A35" s="372" t="str">
        <f>'Акт согласования'!A42:F42</f>
        <v>-* manzil: QORAQALPOG'ISTON RESPUBLIKASI TO'RTKO'L TUMANI YOSHLIK MFY KALTAMINAR KO'CHASI 1B-UY</v>
      </c>
      <c r="B35" s="372"/>
      <c r="C35" s="372"/>
      <c r="D35" s="372"/>
      <c r="E35" s="372"/>
    </row>
    <row r="36" spans="1:5">
      <c r="A36" s="25"/>
      <c r="B36" s="25"/>
      <c r="C36" s="25"/>
      <c r="D36" s="25"/>
      <c r="E36" s="25"/>
    </row>
    <row r="37" spans="1:5" s="151" customFormat="1" ht="51" customHeight="1">
      <c r="A37" s="375" t="str">
        <f>'Акт согласования'!A64:F64</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75"/>
      <c r="C37" s="375"/>
      <c r="D37" s="375"/>
      <c r="E37" s="375"/>
    </row>
    <row r="38" spans="1:5" ht="40.5" customHeight="1">
      <c r="A38" s="372" t="str">
        <f>'Акт согласования'!A65:F65</f>
        <v>Shu bilan birga, garov predmetining kelishilgan garov qiymati deganda ushbu mulk garov sifatida taqdim etilgan/qabul qilingan qiymati tushuniladi.</v>
      </c>
      <c r="B38" s="372"/>
      <c r="C38" s="372"/>
      <c r="D38" s="372"/>
      <c r="E38" s="372"/>
    </row>
    <row r="39" spans="1:5" ht="39" customHeight="1">
      <c r="A39" s="372"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3 aprel 2026 y.dan №310-TR, при сохранении запрета.</v>
      </c>
      <c r="B39" s="372"/>
      <c r="C39" s="372"/>
      <c r="D39" s="372"/>
      <c r="E39" s="372"/>
    </row>
    <row r="40" spans="1:5">
      <c r="A40" s="373"/>
      <c r="B40" s="373"/>
      <c r="C40" s="373"/>
      <c r="D40" s="373"/>
      <c r="E40" s="373"/>
    </row>
    <row r="41" spans="1:5">
      <c r="A41" s="374" t="s">
        <v>34</v>
      </c>
      <c r="B41" s="374"/>
      <c r="C41" s="374"/>
      <c r="D41" s="374"/>
      <c r="E41" s="374"/>
    </row>
    <row r="42" spans="1:5">
      <c r="A42" s="373"/>
      <c r="B42" s="373"/>
      <c r="C42" s="373"/>
      <c r="D42" s="373"/>
      <c r="E42" s="373"/>
    </row>
    <row r="43" spans="1:5">
      <c r="A43" s="374" t="s">
        <v>35</v>
      </c>
      <c r="B43" s="374"/>
      <c r="C43" s="374"/>
      <c r="D43" s="374"/>
      <c r="E43" s="374"/>
    </row>
    <row r="44" spans="1:5" ht="28.5" customHeight="1">
      <c r="A44" s="371" t="s">
        <v>36</v>
      </c>
      <c r="B44" s="371"/>
      <c r="C44" s="371"/>
      <c r="D44" s="371"/>
      <c r="E44" s="129"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00B050"/>
  </sheetPr>
  <dimension ref="A1:I30"/>
  <sheetViews>
    <sheetView view="pageBreakPreview" zoomScaleNormal="100" zoomScaleSheetLayoutView="100" workbookViewId="0">
      <selection activeCell="X29" sqref="X29"/>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9" width="9.140625" style="27" hidden="1" customWidth="1"/>
    <col min="10" max="10" width="9.140625" style="27" customWidth="1"/>
    <col min="11" max="11" width="0.5703125" style="27" customWidth="1"/>
    <col min="12" max="16384" width="9.140625" style="27"/>
  </cols>
  <sheetData>
    <row r="1" spans="1:9">
      <c r="A1" s="34"/>
      <c r="B1" s="34"/>
      <c r="C1" s="34"/>
      <c r="D1" s="34"/>
      <c r="E1" s="34"/>
      <c r="F1" s="34"/>
      <c r="G1" s="34"/>
      <c r="H1" s="34"/>
      <c r="I1" s="34"/>
    </row>
    <row r="2" spans="1:9">
      <c r="A2" s="379" t="str">
        <f>""&amp;" "&amp;'Общие данные'!B74&amp;"-sonli "&amp;" "&amp;'Общие данные'!B65&amp;" shartnomasi bo‘yicha
 garovga qo‘yilgan mol-mulkni tekshirish bo’yicha "&amp;'Общие данные'!B5&amp;" bilan tuzilgan dalolatnomasi"</f>
        <v xml:space="preserve"> 3 aprel 2026 y.dan №310-TR-sonli  Mikroqarz shartnomasi bo‘yicha
 garovga qo‘yilgan mol-mulkni tekshirish bo’yicha ANNAZAROV KAXRAMAN SADULLAYEVICH bilan tuzilgan dalolatnomasi</v>
      </c>
      <c r="B2" s="379"/>
      <c r="C2" s="379"/>
      <c r="D2" s="379"/>
      <c r="E2" s="379"/>
      <c r="F2" s="379"/>
      <c r="G2" s="379"/>
      <c r="H2" s="379"/>
      <c r="I2" s="34"/>
    </row>
    <row r="3" spans="1:9">
      <c r="A3" s="379"/>
      <c r="B3" s="379"/>
      <c r="C3" s="379"/>
      <c r="D3" s="379"/>
      <c r="E3" s="379"/>
      <c r="F3" s="379"/>
      <c r="G3" s="379"/>
      <c r="H3" s="379"/>
      <c r="I3" s="34"/>
    </row>
    <row r="5" spans="1:9">
      <c r="A5" s="27" t="s">
        <v>193</v>
      </c>
      <c r="F5" s="188"/>
      <c r="H5" s="165" t="str">
        <f>TEXT('Общие данные'!D2,"ДД.ММ.ГГГГ")</f>
        <v>30.09.2026</v>
      </c>
    </row>
    <row r="7" spans="1:9" ht="45" customHeight="1">
      <c r="A7" s="378" t="str">
        <f>"      Men, “PULLOL BUSINESS MIKROMOLIYA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“PULLOL BUSINESS MIKROMOLIYA TASHKILOTI” Direktori Obidov A. Sh., jismoniy shaxs  ANNAZAROV KAXRAMAN SADULLAYEVICH  3 aprel 2026 y.dan №310-TR-sonli Mikroqarz shartnomasi bo‘yicha garovga qo‘yilgan mol-mulkni ko‘zdan kechirdim</v>
      </c>
      <c r="B7" s="378"/>
      <c r="C7" s="378"/>
      <c r="D7" s="378"/>
      <c r="E7" s="378"/>
      <c r="F7" s="378"/>
      <c r="G7" s="378"/>
      <c r="H7" s="378"/>
    </row>
    <row r="8" spans="1:9" ht="19.5" customHeight="1">
      <c r="A8" s="382" t="s">
        <v>269</v>
      </c>
      <c r="B8" s="382"/>
      <c r="C8" s="382"/>
      <c r="D8" s="382"/>
      <c r="E8" s="382"/>
      <c r="F8" s="382"/>
      <c r="G8" s="382"/>
      <c r="H8" s="382"/>
    </row>
    <row r="9" spans="1:9" s="166" customFormat="1" ht="32.25" customHeight="1">
      <c r="A9" s="383" t="s">
        <v>196</v>
      </c>
      <c r="B9" s="384"/>
      <c r="C9" s="383" t="s">
        <v>403</v>
      </c>
      <c r="D9" s="384"/>
      <c r="E9" s="385" t="s">
        <v>387</v>
      </c>
      <c r="F9" s="385"/>
      <c r="G9" s="385" t="s">
        <v>388</v>
      </c>
      <c r="H9" s="385"/>
    </row>
    <row r="10" spans="1:9" s="164" customFormat="1" ht="58.5" customHeight="1">
      <c r="A10" s="386" t="str">
        <f>'Общие данные'!C125</f>
        <v>Yakka tartibdagi uy-joy</v>
      </c>
      <c r="B10" s="386"/>
      <c r="C10" s="386">
        <f>'Общие данные'!C133</f>
        <v>149.81</v>
      </c>
      <c r="D10" s="386"/>
      <c r="E10" s="386">
        <f>'Общие данные'!C130</f>
        <v>213.72</v>
      </c>
      <c r="F10" s="386"/>
      <c r="G10" s="386">
        <f>'Общие данные'!C131</f>
        <v>108.36</v>
      </c>
      <c r="H10" s="386"/>
    </row>
    <row r="11" spans="1:9" ht="19.5" customHeight="1">
      <c r="A11" s="377" t="str">
        <f>'Акт согласования'!A39:F39</f>
        <v>-* ko'chmas mulk egasi: ANNAZAROV KAXRAMAN SADULLAYEVICH</v>
      </c>
      <c r="B11" s="377"/>
      <c r="C11" s="377"/>
      <c r="D11" s="377"/>
      <c r="E11" s="377"/>
      <c r="F11" s="377"/>
      <c r="G11" s="377"/>
      <c r="H11" s="377"/>
    </row>
    <row r="12" spans="1:9" ht="19.5" customHeight="1">
      <c r="A12" s="377" t="str">
        <f>'Акт согласования'!A40:F40</f>
        <v>-* reestr raqami: №1735233/Y-26004624</v>
      </c>
      <c r="B12" s="377"/>
      <c r="C12" s="377"/>
      <c r="D12" s="377"/>
      <c r="E12" s="377"/>
      <c r="F12" s="377"/>
      <c r="G12" s="377"/>
      <c r="H12" s="377"/>
    </row>
    <row r="13" spans="1:9" ht="19.5" customHeight="1">
      <c r="A13" s="377" t="str">
        <f>'Акт согласования'!A41:F41</f>
        <v>-* kadastr raqami: 01.04.2026 y. №23:08:40:01:04:0357</v>
      </c>
      <c r="B13" s="377"/>
      <c r="C13" s="377"/>
      <c r="D13" s="377"/>
      <c r="E13" s="377"/>
      <c r="F13" s="377"/>
      <c r="G13" s="377"/>
      <c r="H13" s="377"/>
    </row>
    <row r="14" spans="1:9" ht="19.5" customHeight="1">
      <c r="A14" s="377" t="str">
        <f>'Акт согласования'!A42:F42</f>
        <v>-* manzil: QORAQALPOG'ISTON RESPUBLIKASI TO'RTKO'L TUMANI YOSHLIK MFY KALTAMINAR KO'CHASI 1B-UY</v>
      </c>
      <c r="B14" s="377"/>
      <c r="C14" s="377"/>
      <c r="D14" s="377"/>
      <c r="E14" s="377"/>
      <c r="F14" s="377"/>
      <c r="G14" s="377"/>
      <c r="H14" s="377"/>
    </row>
    <row r="15" spans="1:9" ht="33.75" customHeight="1">
      <c r="A15" s="380" t="str">
        <f>+"Shu bilan birga, yuqoridagi mulkning kelishilgan garov qiymati "&amp;'Акт согласования'!F48</f>
        <v>Shu bilan birga, yuqoridagi mulkning kelishilgan garov qiymati 140 000 000,00 
(yuz qirq million so'm)</v>
      </c>
      <c r="B15" s="380"/>
      <c r="C15" s="380"/>
      <c r="D15" s="380"/>
      <c r="E15" s="380"/>
      <c r="F15" s="380"/>
      <c r="G15" s="380"/>
      <c r="H15" s="380"/>
    </row>
    <row r="17" spans="1:8" ht="27" customHeight="1">
      <c r="A17" s="381" t="s">
        <v>270</v>
      </c>
      <c r="B17" s="381"/>
      <c r="C17" s="381"/>
      <c r="D17" s="381"/>
      <c r="E17" s="381"/>
      <c r="F17" s="381"/>
      <c r="G17" s="381"/>
      <c r="H17" s="381"/>
    </row>
    <row r="21" spans="1:8" s="34" customFormat="1"/>
    <row r="22" spans="1:8" s="34" customFormat="1">
      <c r="A22" s="34" t="str">
        <f>'Общие данные'!A150</f>
        <v>Direktor</v>
      </c>
      <c r="H22" s="167" t="str">
        <f>'Общие данные'!B150</f>
        <v>Obidov A. Sh.</v>
      </c>
    </row>
    <row r="23" spans="1:8" s="34" customFormat="1" ht="32.25" customHeight="1">
      <c r="H23" s="167"/>
    </row>
    <row r="24" spans="1:8" s="34" customFormat="1" ht="16.5" hidden="1" customHeight="1">
      <c r="A24" s="34" t="s">
        <v>271</v>
      </c>
      <c r="H24" s="34" t="str">
        <f>'Общие данные'!B160</f>
        <v>Djumanazarov B.A.</v>
      </c>
    </row>
    <row r="25" spans="1:8" s="34" customFormat="1" ht="60" customHeight="1"/>
    <row r="26" spans="1:8" s="34" customFormat="1">
      <c r="A26" s="34" t="s">
        <v>272</v>
      </c>
      <c r="H26" s="167" t="str">
        <f>'Общие данные'!B7</f>
        <v>ANNAZAROV K.S.</v>
      </c>
    </row>
    <row r="27" spans="1:8" s="34" customFormat="1"/>
    <row r="28" spans="1:8" s="34" customFormat="1"/>
    <row r="29" spans="1:8" s="34" customFormat="1"/>
    <row r="30" spans="1:8" s="34"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00B050"/>
  </sheetPr>
  <dimension ref="A1:I29"/>
  <sheetViews>
    <sheetView view="pageBreakPreview" zoomScale="115" zoomScaleNormal="100" zoomScaleSheetLayoutView="115" workbookViewId="0">
      <selection activeCell="P5" sqref="P5"/>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21.28515625" style="27" customWidth="1"/>
    <col min="9" max="16384" width="9.140625" style="27"/>
  </cols>
  <sheetData>
    <row r="1" spans="1:9">
      <c r="A1" s="34"/>
      <c r="B1" s="34"/>
      <c r="C1" s="34"/>
      <c r="D1" s="34"/>
      <c r="E1" s="34"/>
      <c r="F1" s="34"/>
      <c r="G1" s="34"/>
      <c r="H1" s="34"/>
      <c r="I1" s="34"/>
    </row>
    <row r="2" spans="1:9">
      <c r="A2" s="379" t="str">
        <f>""&amp;" "&amp;'Общие данные'!B74&amp;"-sonli "&amp;" "&amp;'Общие данные'!B65&amp;" shartnomasi bo‘yicha
 garovga qo‘yilgan mol-mulkni tekshirish bo’yicha "&amp;'Общие данные'!B5&amp;" bilan tuzilgan dalolatnomasi"</f>
        <v xml:space="preserve"> 3 aprel 2026 y.dan №310-TR-sonli  Mikroqarz shartnomasi bo‘yicha
 garovga qo‘yilgan mol-mulkni tekshirish bo’yicha ANNAZAROV KAXRAMAN SADULLAYEVICH bilan tuzilgan dalolatnomasi</v>
      </c>
      <c r="B2" s="379"/>
      <c r="C2" s="379"/>
      <c r="D2" s="379"/>
      <c r="E2" s="379"/>
      <c r="F2" s="379"/>
      <c r="G2" s="379"/>
      <c r="H2" s="379"/>
      <c r="I2" s="34"/>
    </row>
    <row r="3" spans="1:9">
      <c r="A3" s="379"/>
      <c r="B3" s="379"/>
      <c r="C3" s="379"/>
      <c r="D3" s="379"/>
      <c r="E3" s="379"/>
      <c r="F3" s="379"/>
      <c r="G3" s="379"/>
      <c r="H3" s="379"/>
      <c r="I3" s="34"/>
    </row>
    <row r="5" spans="1:9">
      <c r="A5" s="27" t="s">
        <v>193</v>
      </c>
      <c r="H5" s="165" t="str">
        <f>TEXT(+'Общие данные'!B2+360,"ДД.ММ.ГГГГ")</f>
        <v>29.03.2027</v>
      </c>
    </row>
    <row r="7" spans="1:9" ht="45" customHeight="1">
      <c r="A7" s="378" t="str">
        <f>"      Men, "&amp;'Общие данные'!B147&amp;"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«PULLOL BUSINESS MIKROMOLIYA TASHKILOTI»  MChJ Direktori Obidov A. Sh., jismoniy shaxs  ANNAZAROV KAXRAMAN SADULLAYEVICH  3 aprel 2026 y.dan №310-TR-sonli Mikroqarz shartnomasi bo‘yicha garovga qo‘yilgan mol-mulkni ko‘zdan kechirdim</v>
      </c>
      <c r="B7" s="378"/>
      <c r="C7" s="378"/>
      <c r="D7" s="378"/>
      <c r="E7" s="378"/>
      <c r="F7" s="378"/>
      <c r="G7" s="378"/>
      <c r="H7" s="378"/>
    </row>
    <row r="8" spans="1:9" ht="19.5" customHeight="1">
      <c r="A8" s="382" t="s">
        <v>269</v>
      </c>
      <c r="B8" s="382"/>
      <c r="C8" s="382"/>
      <c r="D8" s="382"/>
      <c r="E8" s="382"/>
      <c r="F8" s="382"/>
      <c r="G8" s="382"/>
      <c r="H8" s="382"/>
    </row>
    <row r="9" spans="1:9" s="166" customFormat="1" ht="32.25" customHeight="1">
      <c r="A9" s="383" t="s">
        <v>196</v>
      </c>
      <c r="B9" s="384"/>
      <c r="C9" s="383" t="s">
        <v>403</v>
      </c>
      <c r="D9" s="384"/>
      <c r="E9" s="385" t="s">
        <v>387</v>
      </c>
      <c r="F9" s="385"/>
      <c r="G9" s="385" t="s">
        <v>388</v>
      </c>
      <c r="H9" s="385"/>
    </row>
    <row r="10" spans="1:9" s="164" customFormat="1" ht="58.5" customHeight="1">
      <c r="A10" s="386" t="str">
        <f>' Акт мониторинга 1'!A10:B10</f>
        <v>Yakka tartibdagi uy-joy</v>
      </c>
      <c r="B10" s="386"/>
      <c r="C10" s="386">
        <f>' Акт мониторинга 1'!C10:D10</f>
        <v>149.81</v>
      </c>
      <c r="D10" s="386"/>
      <c r="E10" s="386">
        <f>' Акт мониторинга 1'!E10:F10</f>
        <v>213.72</v>
      </c>
      <c r="F10" s="386"/>
      <c r="G10" s="386">
        <f>' Акт мониторинга 1'!G10:H10</f>
        <v>108.36</v>
      </c>
      <c r="H10" s="386"/>
    </row>
    <row r="11" spans="1:9" ht="19.5" customHeight="1">
      <c r="A11" s="377" t="str">
        <f>' Акт мониторинга 1'!A11:H11</f>
        <v>-* ko'chmas mulk egasi: ANNAZAROV KAXRAMAN SADULLAYEVICH</v>
      </c>
      <c r="B11" s="377"/>
      <c r="C11" s="377"/>
      <c r="D11" s="377"/>
      <c r="E11" s="377"/>
      <c r="F11" s="377"/>
      <c r="G11" s="377"/>
      <c r="H11" s="377"/>
    </row>
    <row r="12" spans="1:9" ht="19.5" customHeight="1">
      <c r="A12" s="377" t="str">
        <f>' Акт мониторинга 1'!A12:H12</f>
        <v>-* reestr raqami: №1735233/Y-26004624</v>
      </c>
      <c r="B12" s="377"/>
      <c r="C12" s="377"/>
      <c r="D12" s="377"/>
      <c r="E12" s="377"/>
      <c r="F12" s="377"/>
      <c r="G12" s="377"/>
      <c r="H12" s="377"/>
    </row>
    <row r="13" spans="1:9" ht="35.25" customHeight="1">
      <c r="A13" s="381" t="str">
        <f>' Акт мониторинга 1'!A13:H13</f>
        <v>-* kadastr raqami: 01.04.2026 y. №23:08:40:01:04:0357</v>
      </c>
      <c r="B13" s="381"/>
      <c r="C13" s="381"/>
      <c r="D13" s="381"/>
      <c r="E13" s="381"/>
      <c r="F13" s="381"/>
      <c r="G13" s="381"/>
      <c r="H13" s="381"/>
    </row>
    <row r="14" spans="1:9" ht="19.5" customHeight="1">
      <c r="A14" s="377" t="str">
        <f>' Акт мониторинга 1'!A14:H14</f>
        <v>-* manzil: QORAQALPOG'ISTON RESPUBLIKASI TO'RTKO'L TUMANI YOSHLIK MFY KALTAMINAR KO'CHASI 1B-UY</v>
      </c>
      <c r="B14" s="377"/>
      <c r="C14" s="377"/>
      <c r="D14" s="377"/>
      <c r="E14" s="377"/>
      <c r="F14" s="377"/>
      <c r="G14" s="377"/>
      <c r="H14" s="377"/>
    </row>
    <row r="15" spans="1:9" ht="33.75" customHeight="1">
      <c r="A15" s="380" t="str">
        <f>+"Shu bilan birga, yuqoridagi mulkning kelishilgan garov qiymati "&amp;'Акт согласования'!F48</f>
        <v>Shu bilan birga, yuqoridagi mulkning kelishilgan garov qiymati 140 000 000,00 
(yuz qirq million so'm)</v>
      </c>
      <c r="B15" s="380"/>
      <c r="C15" s="380"/>
      <c r="D15" s="380"/>
      <c r="E15" s="380"/>
      <c r="F15" s="380"/>
      <c r="G15" s="380"/>
      <c r="H15" s="380"/>
    </row>
    <row r="17" spans="1:8" ht="35.25" customHeight="1">
      <c r="A17" s="381" t="s">
        <v>270</v>
      </c>
      <c r="B17" s="381"/>
      <c r="C17" s="381"/>
      <c r="D17" s="381"/>
      <c r="E17" s="381"/>
      <c r="F17" s="381"/>
      <c r="G17" s="381"/>
      <c r="H17" s="381"/>
    </row>
    <row r="21" spans="1:8" s="34" customFormat="1"/>
    <row r="22" spans="1:8" s="34" customFormat="1">
      <c r="A22" s="34" t="str">
        <f>'Общие данные'!A150</f>
        <v>Direktor</v>
      </c>
      <c r="H22" s="167" t="str">
        <f>'Общие данные'!B150</f>
        <v>Obidov A. Sh.</v>
      </c>
    </row>
    <row r="23" spans="1:8" s="34" customFormat="1" ht="32.25" customHeight="1">
      <c r="H23" s="167"/>
    </row>
    <row r="24" spans="1:8" s="34" customFormat="1" ht="16.5" hidden="1" customHeight="1">
      <c r="A24" s="34" t="s">
        <v>271</v>
      </c>
      <c r="H24" s="34" t="s">
        <v>371</v>
      </c>
    </row>
    <row r="25" spans="1:8" s="34" customFormat="1" ht="60" customHeight="1"/>
    <row r="26" spans="1:8" s="34" customFormat="1">
      <c r="A26" s="34" t="s">
        <v>272</v>
      </c>
      <c r="H26" s="167" t="str">
        <f>'Общие данные'!B7</f>
        <v>ANNAZAROV K.S.</v>
      </c>
    </row>
    <row r="27" spans="1:8" s="34" customFormat="1"/>
    <row r="28" spans="1:8" s="34" customFormat="1"/>
    <row r="29" spans="1:8" s="34"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7"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00B050"/>
  </sheetPr>
  <dimension ref="A1:I29"/>
  <sheetViews>
    <sheetView view="pageBreakPreview" zoomScaleNormal="100" zoomScaleSheetLayoutView="100" workbookViewId="0">
      <selection activeCell="G10" sqref="G10:H10"/>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16384" width="9.140625" style="27"/>
  </cols>
  <sheetData>
    <row r="1" spans="1:9">
      <c r="A1" s="34"/>
      <c r="B1" s="34"/>
      <c r="C1" s="34"/>
      <c r="D1" s="34"/>
      <c r="E1" s="34"/>
      <c r="F1" s="34"/>
      <c r="G1" s="34"/>
      <c r="H1" s="34"/>
      <c r="I1" s="34"/>
    </row>
    <row r="2" spans="1:9">
      <c r="A2" s="379" t="str">
        <f>""&amp;" "&amp;'Общие данные'!B74&amp;"-sonli "&amp;" "&amp;'Общие данные'!B65&amp;" shartnomasi bo‘yicha
 garovga qo‘yilgan mol-mulkni tekshirish bo’yicha "&amp;'Общие данные'!B5&amp;" bilan tuzilgan dalolatnomasi"</f>
        <v xml:space="preserve"> 3 aprel 2026 y.dan №310-TR-sonli  Mikroqarz shartnomasi bo‘yicha
 garovga qo‘yilgan mol-mulkni tekshirish bo’yicha ANNAZAROV KAXRAMAN SADULLAYEVICH bilan tuzilgan dalolatnomasi</v>
      </c>
      <c r="B2" s="379"/>
      <c r="C2" s="379"/>
      <c r="D2" s="379"/>
      <c r="E2" s="379"/>
      <c r="F2" s="379"/>
      <c r="G2" s="379"/>
      <c r="H2" s="379"/>
      <c r="I2" s="34"/>
    </row>
    <row r="3" spans="1:9">
      <c r="A3" s="379"/>
      <c r="B3" s="379"/>
      <c r="C3" s="379"/>
      <c r="D3" s="379"/>
      <c r="E3" s="379"/>
      <c r="F3" s="379"/>
      <c r="G3" s="379"/>
      <c r="H3" s="379"/>
      <c r="I3" s="34"/>
    </row>
    <row r="5" spans="1:9">
      <c r="A5" s="27" t="s">
        <v>193</v>
      </c>
      <c r="H5" s="165" t="str">
        <f>TEXT(+'Общие данные'!B2+540,"ДД.ММ.ГГГГ")</f>
        <v>25.09.2027</v>
      </c>
    </row>
    <row r="7" spans="1:9" ht="45" customHeight="1">
      <c r="A7" s="378" t="str">
        <f>"      Men, "&amp;'Общие данные'!B147&amp;"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«PULLOL BUSINESS MIKROMOLIYA TASHKILOTI»  MChJ Direktori Obidov A. Sh., jismoniy shaxs  ANNAZAROV KAXRAMAN SADULLAYEVICH  3 aprel 2026 y.dan №310-TR-sonli Mikroqarz shartnomasi bo‘yicha garovga qo‘yilgan mol-mulkni ko‘zdan kechirdim</v>
      </c>
      <c r="B7" s="378"/>
      <c r="C7" s="378"/>
      <c r="D7" s="378"/>
      <c r="E7" s="378"/>
      <c r="F7" s="378"/>
      <c r="G7" s="378"/>
      <c r="H7" s="378"/>
    </row>
    <row r="8" spans="1:9" ht="19.5" customHeight="1">
      <c r="A8" s="382" t="s">
        <v>269</v>
      </c>
      <c r="B8" s="382"/>
      <c r="C8" s="382"/>
      <c r="D8" s="382"/>
      <c r="E8" s="382"/>
      <c r="F8" s="382"/>
      <c r="G8" s="382"/>
      <c r="H8" s="382"/>
    </row>
    <row r="9" spans="1:9" s="166" customFormat="1" ht="32.25" customHeight="1">
      <c r="A9" s="383" t="s">
        <v>196</v>
      </c>
      <c r="B9" s="384"/>
      <c r="C9" s="383" t="s">
        <v>403</v>
      </c>
      <c r="D9" s="384"/>
      <c r="E9" s="385" t="s">
        <v>387</v>
      </c>
      <c r="F9" s="385"/>
      <c r="G9" s="385" t="s">
        <v>388</v>
      </c>
      <c r="H9" s="385"/>
    </row>
    <row r="10" spans="1:9" s="164" customFormat="1" ht="58.5" customHeight="1">
      <c r="A10" s="386" t="str">
        <f>' Акт мониторинга 2'!A10:B10</f>
        <v>Yakka tartibdagi uy-joy</v>
      </c>
      <c r="B10" s="386"/>
      <c r="C10" s="386">
        <f>' Акт мониторинга 2'!C10:D10</f>
        <v>149.81</v>
      </c>
      <c r="D10" s="386"/>
      <c r="E10" s="386">
        <f>' Акт мониторинга 2'!E10:F10</f>
        <v>213.72</v>
      </c>
      <c r="F10" s="386"/>
      <c r="G10" s="386">
        <f>' Акт мониторинга 2'!G10:H10</f>
        <v>108.36</v>
      </c>
      <c r="H10" s="386"/>
    </row>
    <row r="11" spans="1:9" ht="19.5" customHeight="1">
      <c r="A11" s="377" t="str">
        <f>' Акт мониторинга 2'!A11:H11</f>
        <v>-* ko'chmas mulk egasi: ANNAZAROV KAXRAMAN SADULLAYEVICH</v>
      </c>
      <c r="B11" s="377"/>
      <c r="C11" s="377"/>
      <c r="D11" s="377"/>
      <c r="E11" s="377"/>
      <c r="F11" s="377"/>
      <c r="G11" s="377"/>
      <c r="H11" s="377"/>
    </row>
    <row r="12" spans="1:9" ht="19.5" customHeight="1">
      <c r="A12" s="377" t="str">
        <f>' Акт мониторинга 2'!A12:H12</f>
        <v>-* reestr raqami: №1735233/Y-26004624</v>
      </c>
      <c r="B12" s="377"/>
      <c r="C12" s="377"/>
      <c r="D12" s="377"/>
      <c r="E12" s="377"/>
      <c r="F12" s="377"/>
      <c r="G12" s="377"/>
      <c r="H12" s="377"/>
    </row>
    <row r="13" spans="1:9" ht="30.75" customHeight="1">
      <c r="A13" s="381" t="str">
        <f>' Акт мониторинга 2'!A13:H13</f>
        <v>-* kadastr raqami: 01.04.2026 y. №23:08:40:01:04:0357</v>
      </c>
      <c r="B13" s="381"/>
      <c r="C13" s="381"/>
      <c r="D13" s="381"/>
      <c r="E13" s="381"/>
      <c r="F13" s="381"/>
      <c r="G13" s="381"/>
      <c r="H13" s="381"/>
    </row>
    <row r="14" spans="1:9" ht="19.5" customHeight="1">
      <c r="A14" s="377" t="str">
        <f>' Акт мониторинга 2'!A14:H14</f>
        <v>-* manzil: QORAQALPOG'ISTON RESPUBLIKASI TO'RTKO'L TUMANI YOSHLIK MFY KALTAMINAR KO'CHASI 1B-UY</v>
      </c>
      <c r="B14" s="377"/>
      <c r="C14" s="377"/>
      <c r="D14" s="377"/>
      <c r="E14" s="377"/>
      <c r="F14" s="377"/>
      <c r="G14" s="377"/>
      <c r="H14" s="377"/>
    </row>
    <row r="15" spans="1:9" ht="33.75" customHeight="1">
      <c r="A15" s="380" t="str">
        <f>+"Shu bilan birga, yuqoridagi mulkning kelishilgan garov qiymati "&amp;'Акт согласования'!F48</f>
        <v>Shu bilan birga, yuqoridagi mulkning kelishilgan garov qiymati 140 000 000,00 
(yuz qirq million so'm)</v>
      </c>
      <c r="B15" s="380"/>
      <c r="C15" s="380"/>
      <c r="D15" s="380"/>
      <c r="E15" s="380"/>
      <c r="F15" s="380"/>
      <c r="G15" s="380"/>
      <c r="H15" s="380"/>
    </row>
    <row r="17" spans="1:8" s="164" customFormat="1" ht="32.25" customHeight="1">
      <c r="A17" s="381" t="s">
        <v>270</v>
      </c>
      <c r="B17" s="381"/>
      <c r="C17" s="381"/>
      <c r="D17" s="381"/>
      <c r="E17" s="381"/>
      <c r="F17" s="381"/>
      <c r="G17" s="381"/>
      <c r="H17" s="381"/>
    </row>
    <row r="21" spans="1:8" s="34" customFormat="1"/>
    <row r="22" spans="1:8" s="34" customFormat="1">
      <c r="A22" s="34" t="str">
        <f>'Общие данные'!A150</f>
        <v>Direktor</v>
      </c>
      <c r="H22" s="167" t="str">
        <f>'Общие данные'!B150</f>
        <v>Obidov A. Sh.</v>
      </c>
    </row>
    <row r="23" spans="1:8" s="34" customFormat="1" ht="32.25" customHeight="1">
      <c r="H23" s="167"/>
    </row>
    <row r="24" spans="1:8" s="34" customFormat="1" ht="16.5" hidden="1" customHeight="1">
      <c r="A24" s="34" t="s">
        <v>271</v>
      </c>
      <c r="H24" s="34" t="s">
        <v>371</v>
      </c>
    </row>
    <row r="25" spans="1:8" s="34" customFormat="1" ht="60" customHeight="1"/>
    <row r="26" spans="1:8" s="34" customFormat="1">
      <c r="A26" s="34" t="s">
        <v>272</v>
      </c>
      <c r="H26" s="167" t="str">
        <f>'Общие данные'!B7</f>
        <v>ANNAZAROV K.S.</v>
      </c>
    </row>
    <row r="27" spans="1:8" s="34" customFormat="1"/>
    <row r="28" spans="1:8" s="34" customFormat="1"/>
    <row r="29" spans="1:8" s="34"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00B050"/>
  </sheetPr>
  <dimension ref="A1:I29"/>
  <sheetViews>
    <sheetView view="pageBreakPreview" zoomScaleNormal="100" zoomScaleSheetLayoutView="100" workbookViewId="0">
      <selection activeCell="A8" sqref="A8:H8"/>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16384" width="9.140625" style="27"/>
  </cols>
  <sheetData>
    <row r="1" spans="1:9">
      <c r="A1" s="34"/>
      <c r="B1" s="34"/>
      <c r="C1" s="34"/>
      <c r="D1" s="34"/>
      <c r="E1" s="34"/>
      <c r="F1" s="34"/>
      <c r="G1" s="34"/>
      <c r="H1" s="34"/>
      <c r="I1" s="34"/>
    </row>
    <row r="2" spans="1:9">
      <c r="A2" s="379" t="str">
        <f>""&amp;" "&amp;'Общие данные'!B74&amp;"-sonli "&amp;" "&amp;'Общие данные'!B65&amp;" shartnomasi bo‘yicha
 garovga qo‘yilgan mol-mulkni tekshirish bo’yicha "&amp;'Общие данные'!B5&amp;" bilan tuzilgan dalolatnomasi"</f>
        <v xml:space="preserve"> 3 aprel 2026 y.dan №310-TR-sonli  Mikroqarz shartnomasi bo‘yicha
 garovga qo‘yilgan mol-mulkni tekshirish bo’yicha ANNAZAROV KAXRAMAN SADULLAYEVICH bilan tuzilgan dalolatnomasi</v>
      </c>
      <c r="B2" s="379"/>
      <c r="C2" s="379"/>
      <c r="D2" s="379"/>
      <c r="E2" s="379"/>
      <c r="F2" s="379"/>
      <c r="G2" s="379"/>
      <c r="H2" s="379"/>
      <c r="I2" s="34"/>
    </row>
    <row r="3" spans="1:9">
      <c r="A3" s="379"/>
      <c r="B3" s="379"/>
      <c r="C3" s="379"/>
      <c r="D3" s="379"/>
      <c r="E3" s="379"/>
      <c r="F3" s="379"/>
      <c r="G3" s="379"/>
      <c r="H3" s="379"/>
      <c r="I3" s="34"/>
    </row>
    <row r="5" spans="1:9">
      <c r="A5" s="27" t="s">
        <v>193</v>
      </c>
      <c r="H5" s="165" t="str">
        <f>TEXT(+'Общие данные'!B2+720,"ДД.ММ.ГГГГ")</f>
        <v>23.03.2028</v>
      </c>
    </row>
    <row r="7" spans="1:9" ht="45" customHeight="1">
      <c r="A7" s="378" t="str">
        <f>"      Men, "&amp;'Общие данные'!B147&amp;"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«PULLOL BUSINESS MIKROMOLIYA TASHKILOTI»  MChJ Direktori Obidov A. Sh., jismoniy shaxs  ANNAZAROV KAXRAMAN SADULLAYEVICH  3 aprel 2026 y.dan №310-TR-sonli Mikroqarz shartnomasi bo‘yicha garovga qo‘yilgan mol-mulkni ko‘zdan kechirdim</v>
      </c>
      <c r="B7" s="378"/>
      <c r="C7" s="378"/>
      <c r="D7" s="378"/>
      <c r="E7" s="378"/>
      <c r="F7" s="378"/>
      <c r="G7" s="378"/>
      <c r="H7" s="378"/>
    </row>
    <row r="8" spans="1:9" ht="19.5" customHeight="1">
      <c r="A8" s="382" t="s">
        <v>269</v>
      </c>
      <c r="B8" s="382"/>
      <c r="C8" s="382"/>
      <c r="D8" s="382"/>
      <c r="E8" s="382"/>
      <c r="F8" s="382"/>
      <c r="G8" s="382"/>
      <c r="H8" s="382"/>
    </row>
    <row r="9" spans="1:9" s="166" customFormat="1" ht="32.25" customHeight="1">
      <c r="A9" s="383" t="s">
        <v>196</v>
      </c>
      <c r="B9" s="384"/>
      <c r="C9" s="383" t="s">
        <v>403</v>
      </c>
      <c r="D9" s="384"/>
      <c r="E9" s="385" t="s">
        <v>387</v>
      </c>
      <c r="F9" s="385"/>
      <c r="G9" s="385" t="s">
        <v>388</v>
      </c>
      <c r="H9" s="385"/>
    </row>
    <row r="10" spans="1:9" s="164" customFormat="1" ht="58.5" customHeight="1">
      <c r="A10" s="386" t="str">
        <f>' Акт мониторинга 3'!A10:B10</f>
        <v>Yakka tartibdagi uy-joy</v>
      </c>
      <c r="B10" s="386"/>
      <c r="C10" s="386">
        <f>' Акт мониторинга 3'!C10:D10</f>
        <v>149.81</v>
      </c>
      <c r="D10" s="386"/>
      <c r="E10" s="386">
        <f>' Акт мониторинга 3'!E10:F10</f>
        <v>213.72</v>
      </c>
      <c r="F10" s="386"/>
      <c r="G10" s="386">
        <f>' Акт мониторинга 3'!G10:H10</f>
        <v>108.36</v>
      </c>
      <c r="H10" s="386"/>
    </row>
    <row r="11" spans="1:9" ht="19.5" customHeight="1">
      <c r="A11" s="377" t="str">
        <f>' Акт мониторинга 3'!A11:H11</f>
        <v>-* ko'chmas mulk egasi: ANNAZAROV KAXRAMAN SADULLAYEVICH</v>
      </c>
      <c r="B11" s="377"/>
      <c r="C11" s="377"/>
      <c r="D11" s="377"/>
      <c r="E11" s="377"/>
      <c r="F11" s="377"/>
      <c r="G11" s="377"/>
      <c r="H11" s="377"/>
    </row>
    <row r="12" spans="1:9" ht="19.5" customHeight="1">
      <c r="A12" s="377" t="str">
        <f>' Акт мониторинга 3'!A12:H12</f>
        <v>-* reestr raqami: №1735233/Y-26004624</v>
      </c>
      <c r="B12" s="377"/>
      <c r="C12" s="377"/>
      <c r="D12" s="377"/>
      <c r="E12" s="377"/>
      <c r="F12" s="377"/>
      <c r="G12" s="377"/>
      <c r="H12" s="377"/>
    </row>
    <row r="13" spans="1:9" ht="25.5" customHeight="1">
      <c r="A13" s="377" t="str">
        <f>' Акт мониторинга 3'!A13:H13</f>
        <v>-* kadastr raqami: 01.04.2026 y. №23:08:40:01:04:0357</v>
      </c>
      <c r="B13" s="377"/>
      <c r="C13" s="377"/>
      <c r="D13" s="377"/>
      <c r="E13" s="377"/>
      <c r="F13" s="377"/>
      <c r="G13" s="377"/>
      <c r="H13" s="377"/>
    </row>
    <row r="14" spans="1:9" ht="19.5" customHeight="1">
      <c r="A14" s="377" t="str">
        <f>' Акт мониторинга 3'!A14:H14</f>
        <v>-* manzil: QORAQALPOG'ISTON RESPUBLIKASI TO'RTKO'L TUMANI YOSHLIK MFY KALTAMINAR KO'CHASI 1B-UY</v>
      </c>
      <c r="B14" s="377"/>
      <c r="C14" s="377"/>
      <c r="D14" s="377"/>
      <c r="E14" s="377"/>
      <c r="F14" s="377"/>
      <c r="G14" s="377"/>
      <c r="H14" s="377"/>
    </row>
    <row r="15" spans="1:9" ht="33.75" customHeight="1">
      <c r="A15" s="380" t="str">
        <f>+"Shu bilan birga, yuqoridagi mulkning kelishilgan garov qiymati "&amp;'Акт согласования'!F48</f>
        <v>Shu bilan birga, yuqoridagi mulkning kelishilgan garov qiymati 140 000 000,00 
(yuz qirq million so'm)</v>
      </c>
      <c r="B15" s="380"/>
      <c r="C15" s="380"/>
      <c r="D15" s="380"/>
      <c r="E15" s="380"/>
      <c r="F15" s="380"/>
      <c r="G15" s="380"/>
      <c r="H15" s="380"/>
    </row>
    <row r="17" spans="1:8" ht="28.5" customHeight="1">
      <c r="A17" s="381" t="s">
        <v>270</v>
      </c>
      <c r="B17" s="381"/>
      <c r="C17" s="381"/>
      <c r="D17" s="381"/>
      <c r="E17" s="381"/>
      <c r="F17" s="381"/>
      <c r="G17" s="381"/>
      <c r="H17" s="381"/>
    </row>
    <row r="21" spans="1:8" s="34" customFormat="1"/>
    <row r="22" spans="1:8" s="34" customFormat="1">
      <c r="A22" s="34" t="str">
        <f>'Общие данные'!A150</f>
        <v>Direktor</v>
      </c>
      <c r="H22" s="167" t="str">
        <f>'Общие данные'!B150</f>
        <v>Obidov A. Sh.</v>
      </c>
    </row>
    <row r="23" spans="1:8" s="34" customFormat="1" ht="32.25" customHeight="1">
      <c r="H23" s="167"/>
    </row>
    <row r="24" spans="1:8" s="34" customFormat="1" ht="16.5" hidden="1" customHeight="1">
      <c r="A24" s="34" t="s">
        <v>271</v>
      </c>
      <c r="H24" s="34" t="s">
        <v>371</v>
      </c>
    </row>
    <row r="25" spans="1:8" s="34" customFormat="1" ht="60" customHeight="1"/>
    <row r="26" spans="1:8" s="34" customFormat="1">
      <c r="A26" s="34" t="s">
        <v>272</v>
      </c>
      <c r="H26" s="167" t="str">
        <f>'Общие данные'!B7</f>
        <v>ANNAZAROV K.S.</v>
      </c>
    </row>
    <row r="27" spans="1:8" s="34" customFormat="1"/>
    <row r="28" spans="1:8" s="34" customFormat="1"/>
    <row r="29" spans="1:8" s="34"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14</vt:i4>
      </vt:variant>
    </vt:vector>
  </HeadingPairs>
  <TitlesOfParts>
    <vt:vector size="35"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 Акт мониторинга 2'!Область_печати</vt:lpstr>
      <vt:lpstr>' Акт мониторинга 3'!Область_печати</vt:lpstr>
      <vt:lpstr>' Акт мониторинга 4'!Область_печати</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'Приказ на сделку'!Область_печати</vt:lpstr>
      <vt:lpstr>'Протокол  (2)'!Область_печати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m.taylakov</cp:lastModifiedBy>
  <cp:lastPrinted>2026-04-02T11:32:50Z</cp:lastPrinted>
  <dcterms:created xsi:type="dcterms:W3CDTF">2015-06-05T18:19:34Z</dcterms:created>
  <dcterms:modified xsi:type="dcterms:W3CDTF">2026-04-03T05:21:20Z</dcterms:modified>
</cp:coreProperties>
</file>