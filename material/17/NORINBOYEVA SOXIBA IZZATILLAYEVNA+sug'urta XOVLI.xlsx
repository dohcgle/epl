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ЭтаКнига"/>
  <mc:AlternateContent xmlns:mc="http://schemas.openxmlformats.org/markup-compatibility/2006">
    <mc:Choice Requires="x15">
      <x15ac:absPath xmlns:x15ac="http://schemas.microsoft.com/office/spreadsheetml/2010/11/ac" url="G:\Мой диск\StartUP\EPL\Excel\17.02.2026\"/>
    </mc:Choice>
  </mc:AlternateContent>
  <xr:revisionPtr revIDLastSave="0" documentId="13_ncr:1_{20CA9281-3BD2-4D6E-B93A-D43A0547EE21}" xr6:coauthVersionLast="47" xr6:coauthVersionMax="47" xr10:uidLastSave="{00000000-0000-0000-0000-000000000000}"/>
  <bookViews>
    <workbookView xWindow="14295" yWindow="0" windowWidth="14610" windowHeight="15585" tabRatio="915" firstSheet="16" activeTab="22" xr2:uid="{00000000-000D-0000-FFFF-FFFF00000000}"/>
  </bookViews>
  <sheets>
    <sheet name="protokol" sheetId="23" r:id="rId1"/>
    <sheet name="umumiy_malumot" sheetId="1" r:id="rId2"/>
    <sheet name="mijoz_anketasi" sheetId="4" r:id="rId3"/>
    <sheet name="anketa" sheetId="22" r:id="rId4"/>
    <sheet name="kredit_ariza" sheetId="2" r:id="rId5"/>
    <sheet name="majburiyatnoma" sheetId="24" r:id="rId6"/>
    <sheet name="xulosa" sheetId="3" r:id="rId7"/>
    <sheet name="shartnoma" sheetId="19" r:id="rId8"/>
    <sheet name="grafik" sheetId="16" r:id="rId9"/>
    <sheet name="garov_ariza" sheetId="31" r:id="rId10"/>
    <sheet name="dalolatnoma" sheetId="7" r:id="rId11"/>
    <sheet name="buyruq" sheetId="8" r:id="rId12"/>
    <sheet name="График дифференц" sheetId="15" state="hidden" r:id="rId13"/>
    <sheet name="Данные для послед. Залога" sheetId="21" state="hidden" r:id="rId14"/>
    <sheet name="График аннуитет." sheetId="12" state="hidden" r:id="rId15"/>
    <sheet name="muqova" sheetId="9" r:id="rId16"/>
    <sheet name="mijoz_ariza" sheetId="34" r:id="rId17"/>
    <sheet name="ariza HR" sheetId="32" r:id="rId18"/>
    <sheet name="Письмо" sheetId="20" state="hidden" r:id="rId19"/>
    <sheet name="monitoring_1" sheetId="27" r:id="rId20"/>
    <sheet name="monitoring_2" sheetId="26" r:id="rId21"/>
    <sheet name="monitoring_3" sheetId="28" r:id="rId22"/>
    <sheet name="monitoring_4" sheetId="29" r:id="rId23"/>
    <sheet name="notarius" sheetId="33" r:id="rId24"/>
  </sheets>
  <externalReferences>
    <externalReference r:id="rId25"/>
    <externalReference r:id="rId26"/>
    <externalReference r:id="rId27"/>
  </externalReferences>
  <definedNames>
    <definedName name="mos" localSheetId="16">'[1]Общие данные'!$C$23:$D$23</definedName>
    <definedName name="mos">'[2]Общие данные'!$C$23:$D$23</definedName>
    <definedName name="mulk" localSheetId="16">'[1]Общие данные'!$C$24:$W$24</definedName>
    <definedName name="mulk">'[2]Общие данные'!$C$24:$W$24</definedName>
    <definedName name="_xlnm.Print_Area" localSheetId="17">'ariza HR'!$A$1:$D$24</definedName>
    <definedName name="_xlnm.Print_Area" localSheetId="11">buyruq!$A$1:$F$29</definedName>
    <definedName name="_xlnm.Print_Area" localSheetId="10">dalolatnoma!$A$2:$F$73</definedName>
    <definedName name="_xlnm.Print_Area" localSheetId="9">garov_ariza!$A$5:$C$26</definedName>
    <definedName name="_xlnm.Print_Area" localSheetId="8">grafik!$A$1:$F$74</definedName>
    <definedName name="_xlnm.Print_Area" localSheetId="4">kredit_ariza!$A$1:$D$46</definedName>
    <definedName name="_xlnm.Print_Area" localSheetId="2">mijoz_anketasi!$A$1:$F$36</definedName>
    <definedName name="_xlnm.Print_Area" localSheetId="16">mijoz_ariza!$A$1:$C$18</definedName>
    <definedName name="_xlnm.Print_Area" localSheetId="19">monitoring_1!$A$1:$H$34</definedName>
    <definedName name="_xlnm.Print_Area" localSheetId="20">monitoring_2!$A$1:$H$33</definedName>
    <definedName name="_xlnm.Print_Area" localSheetId="21">monitoring_3!$A$1:$H$33</definedName>
    <definedName name="_xlnm.Print_Area" localSheetId="22">monitoring_4!$A$1:$H$33</definedName>
    <definedName name="_xlnm.Print_Area" localSheetId="15">muqova!$A$1:$G$41</definedName>
    <definedName name="_xlnm.Print_Area" localSheetId="23">notarius!$A$1:$D$31</definedName>
    <definedName name="_xlnm.Print_Area" localSheetId="0">protokol!$A$1:$F$50</definedName>
    <definedName name="_xlnm.Print_Area" localSheetId="7">shartnoma!$A$1:$B$133</definedName>
    <definedName name="_xlnm.Print_Area" localSheetId="6">xulosa!$A$1:$E$70</definedName>
    <definedName name="_xlnm.Print_Area" localSheetId="14">'График аннуитет.'!$A$1:$F$75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7" i="23" l="1"/>
  <c r="E21" i="7"/>
  <c r="F21" i="7"/>
  <c r="E30" i="7" s="1"/>
  <c r="B21" i="7"/>
  <c r="B30" i="7" s="1"/>
  <c r="G25" i="2"/>
  <c r="D30" i="7"/>
  <c r="E29" i="7"/>
  <c r="D29" i="7"/>
  <c r="D26" i="23" s="1"/>
  <c r="C29" i="7"/>
  <c r="C26" i="23" s="1"/>
  <c r="B29" i="7"/>
  <c r="B17" i="8" s="1"/>
  <c r="D21" i="7"/>
  <c r="C30" i="7" s="1"/>
  <c r="C27" i="23" s="1"/>
  <c r="H133" i="1"/>
  <c r="E133" i="1" s="1"/>
  <c r="H132" i="1"/>
  <c r="E132" i="1" s="1"/>
  <c r="C130" i="1"/>
  <c r="D55" i="3"/>
  <c r="A55" i="3"/>
  <c r="A49" i="23"/>
  <c r="E49" i="23"/>
  <c r="B18" i="8" l="1"/>
  <c r="B27" i="23"/>
  <c r="F132" i="1"/>
  <c r="B26" i="23"/>
  <c r="F133" i="1"/>
  <c r="A20" i="4"/>
  <c r="A48" i="23" l="1"/>
  <c r="E48" i="23"/>
  <c r="E59" i="7" l="1"/>
  <c r="A9" i="24"/>
  <c r="A7" i="24"/>
  <c r="A4" i="34" l="1"/>
  <c r="B40" i="1" l="1"/>
  <c r="B33" i="1"/>
  <c r="A126" i="19"/>
  <c r="A70" i="16" s="1"/>
  <c r="B128" i="19"/>
  <c r="D71" i="16" s="1"/>
  <c r="A124" i="19"/>
  <c r="A123" i="19"/>
  <c r="C7" i="31" l="1"/>
  <c r="C1" i="32"/>
  <c r="A20" i="32"/>
  <c r="A41" i="23"/>
  <c r="B155" i="1" l="1"/>
  <c r="B76" i="1"/>
  <c r="B143" i="1"/>
  <c r="B144" i="1" l="1"/>
  <c r="F30" i="7" s="1"/>
  <c r="B77" i="1"/>
  <c r="C75" i="1"/>
  <c r="D75" i="1" s="1"/>
  <c r="B19" i="1"/>
  <c r="A48" i="7" l="1"/>
  <c r="E62" i="7"/>
  <c r="C23" i="31"/>
  <c r="A23" i="31"/>
  <c r="C8" i="31"/>
  <c r="A7" i="3"/>
  <c r="A71" i="16"/>
  <c r="A130" i="19"/>
  <c r="A128" i="19"/>
  <c r="A28" i="31" l="1"/>
  <c r="A29" i="31"/>
  <c r="A30" i="31" s="1"/>
  <c r="A32" i="31" s="1"/>
  <c r="A26" i="31"/>
  <c r="A20" i="31" l="1"/>
  <c r="C64" i="7" s="1"/>
  <c r="A19" i="31" l="1"/>
  <c r="A63" i="7"/>
  <c r="E63" i="7"/>
  <c r="A16" i="33" l="1"/>
  <c r="A15" i="33"/>
  <c r="A14" i="33"/>
  <c r="A13" i="33"/>
  <c r="D12" i="33"/>
  <c r="C12" i="33"/>
  <c r="B12" i="33"/>
  <c r="A12" i="33"/>
  <c r="D11" i="33"/>
  <c r="C11" i="33"/>
  <c r="B11" i="33"/>
  <c r="A9" i="33"/>
  <c r="A7" i="33"/>
  <c r="A6" i="33"/>
  <c r="C19" i="31" l="1"/>
  <c r="C6" i="31" l="1"/>
  <c r="C10" i="31"/>
  <c r="C9" i="31"/>
  <c r="C87" i="1" l="1"/>
  <c r="B87" i="1"/>
  <c r="B83" i="1"/>
  <c r="H31" i="26" l="1"/>
  <c r="H31" i="27"/>
  <c r="H27" i="27"/>
  <c r="A27" i="27"/>
  <c r="D43" i="2"/>
  <c r="A43" i="2"/>
  <c r="F52" i="7"/>
  <c r="D59" i="3"/>
  <c r="D63" i="3"/>
  <c r="A63" i="3"/>
  <c r="A59" i="3"/>
  <c r="E45" i="23"/>
  <c r="A45" i="23"/>
  <c r="B34" i="1" l="1"/>
  <c r="B27" i="1"/>
  <c r="B9" i="1"/>
  <c r="B8" i="1"/>
  <c r="B10" i="1" s="1"/>
  <c r="B12" i="1" s="1"/>
  <c r="B11" i="1" l="1"/>
  <c r="B13" i="1" s="1"/>
  <c r="A72" i="16"/>
  <c r="I9" i="23"/>
  <c r="A122" i="19"/>
  <c r="A16" i="32"/>
  <c r="B11" i="32"/>
  <c r="B12" i="32"/>
  <c r="B13" i="32"/>
  <c r="B14" i="32"/>
  <c r="B10" i="32"/>
  <c r="A11" i="32"/>
  <c r="A12" i="32"/>
  <c r="A13" i="32"/>
  <c r="A14" i="32"/>
  <c r="A10" i="32"/>
  <c r="C5" i="32"/>
  <c r="C4" i="32"/>
  <c r="B134" i="1" l="1"/>
  <c r="B156" i="1" l="1"/>
  <c r="B145" i="1" l="1"/>
  <c r="A14" i="23"/>
  <c r="A9" i="32" l="1"/>
  <c r="B65" i="1"/>
  <c r="A52" i="7"/>
  <c r="C1" i="2"/>
  <c r="A27" i="16"/>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A56" i="16" s="1"/>
  <c r="A32" i="15"/>
  <c r="A33" i="15" s="1"/>
  <c r="A34" i="15" s="1"/>
  <c r="A35" i="15" s="1"/>
  <c r="A36" i="15" s="1"/>
  <c r="A37" i="15" s="1"/>
  <c r="A38" i="15" s="1"/>
  <c r="A39" i="15" s="1"/>
  <c r="A40" i="15" s="1"/>
  <c r="A41" i="15" s="1"/>
  <c r="A42" i="15" s="1"/>
  <c r="A43" i="15" s="1"/>
  <c r="A44" i="15" s="1"/>
  <c r="A32" i="12"/>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C123" i="1"/>
  <c r="C129" i="1" s="1"/>
  <c r="C121" i="1"/>
  <c r="C127" i="1" s="1"/>
  <c r="C120" i="1"/>
  <c r="C126" i="1" s="1"/>
  <c r="C119" i="1"/>
  <c r="C125" i="1" s="1"/>
  <c r="C118" i="1"/>
  <c r="C124" i="1" s="1"/>
  <c r="A62" i="7"/>
  <c r="A61" i="7"/>
  <c r="G61" i="7"/>
  <c r="A25" i="7"/>
  <c r="A23" i="7"/>
  <c r="A15" i="31" l="1"/>
  <c r="A13" i="31" s="1"/>
  <c r="A15" i="19"/>
  <c r="A7" i="23"/>
  <c r="A6" i="8"/>
  <c r="A31" i="4"/>
  <c r="A45" i="15"/>
  <c r="A54" i="12"/>
  <c r="A75" i="1"/>
  <c r="A34" i="23"/>
  <c r="A9" i="26"/>
  <c r="A9" i="29" s="1"/>
  <c r="A46" i="15" l="1"/>
  <c r="A55" i="12"/>
  <c r="A9" i="27"/>
  <c r="A9" i="28"/>
  <c r="I133" i="1"/>
  <c r="A47" i="3"/>
  <c r="A35" i="3"/>
  <c r="E30" i="3"/>
  <c r="A30" i="3"/>
  <c r="A33" i="3"/>
  <c r="A47" i="15" l="1"/>
  <c r="D30" i="3"/>
  <c r="F137" i="1"/>
  <c r="E140" i="1"/>
  <c r="E137" i="1"/>
  <c r="G9" i="26"/>
  <c r="A48" i="15" l="1"/>
  <c r="G9" i="28"/>
  <c r="G9" i="27"/>
  <c r="G9" i="29"/>
  <c r="B30" i="3"/>
  <c r="C9" i="26"/>
  <c r="C30" i="3"/>
  <c r="E9" i="26"/>
  <c r="A49" i="15" l="1"/>
  <c r="E9" i="29"/>
  <c r="E9" i="28"/>
  <c r="E9" i="27"/>
  <c r="C9" i="29"/>
  <c r="C9" i="28"/>
  <c r="C9" i="27"/>
  <c r="A50" i="15" l="1"/>
  <c r="H27" i="29"/>
  <c r="H27" i="28"/>
  <c r="A22" i="26"/>
  <c r="H27" i="26"/>
  <c r="A52" i="3"/>
  <c r="A36" i="3"/>
  <c r="A1" i="3"/>
  <c r="E15" i="23"/>
  <c r="F15" i="23" s="1"/>
  <c r="A1" i="23"/>
  <c r="D70" i="16"/>
  <c r="A51" i="15" l="1"/>
  <c r="A117" i="1"/>
  <c r="A116" i="1"/>
  <c r="A115" i="1"/>
  <c r="A114" i="1"/>
  <c r="C22" i="1"/>
  <c r="A16" i="23"/>
  <c r="A69" i="16"/>
  <c r="A52" i="15" l="1"/>
  <c r="B49" i="1"/>
  <c r="B59" i="1" s="1"/>
  <c r="A53" i="15" l="1"/>
  <c r="A16" i="4"/>
  <c r="A17" i="4"/>
  <c r="B119" i="19"/>
  <c r="B123" i="1"/>
  <c r="B129" i="1" s="1"/>
  <c r="A24" i="7" s="1"/>
  <c r="A34" i="3" s="1"/>
  <c r="B121" i="1"/>
  <c r="B120" i="1"/>
  <c r="B119" i="1"/>
  <c r="B118" i="1"/>
  <c r="A54" i="15" l="1"/>
  <c r="B45" i="1"/>
  <c r="B58" i="1"/>
  <c r="A51" i="7"/>
  <c r="D2" i="2"/>
  <c r="C77" i="1"/>
  <c r="A9" i="2" l="1"/>
  <c r="A19" i="4"/>
  <c r="A55" i="15"/>
  <c r="A31" i="2"/>
  <c r="H79" i="19"/>
  <c r="A79" i="19" s="1"/>
  <c r="H21" i="19"/>
  <c r="A74" i="19"/>
  <c r="H70" i="19"/>
  <c r="A70" i="19" s="1"/>
  <c r="A57" i="19"/>
  <c r="A5" i="23"/>
  <c r="A12" i="19"/>
  <c r="A34" i="19"/>
  <c r="B33" i="19" s="1"/>
  <c r="A32" i="19" s="1"/>
  <c r="A88" i="1"/>
  <c r="A10" i="3"/>
  <c r="A17" i="2"/>
  <c r="A18" i="2"/>
  <c r="A9" i="19"/>
  <c r="A19" i="19"/>
  <c r="A48" i="19"/>
  <c r="A72" i="19"/>
  <c r="A97" i="19"/>
  <c r="C64" i="1"/>
  <c r="C21" i="19"/>
  <c r="A53" i="19"/>
  <c r="A64" i="19"/>
  <c r="A75" i="19"/>
  <c r="C41" i="19"/>
  <c r="A41" i="19" s="1"/>
  <c r="A67" i="19"/>
  <c r="C76" i="19"/>
  <c r="A76" i="19" s="1"/>
  <c r="H17" i="19"/>
  <c r="A17" i="19" s="1"/>
  <c r="I21" i="19"/>
  <c r="A44" i="19"/>
  <c r="A61" i="19"/>
  <c r="A93" i="19"/>
  <c r="A20" i="19"/>
  <c r="C56" i="19"/>
  <c r="A56" i="19" s="1"/>
  <c r="A62" i="19"/>
  <c r="A69" i="19"/>
  <c r="A18" i="23"/>
  <c r="D64" i="1"/>
  <c r="A22" i="19" s="1"/>
  <c r="A1" i="1"/>
  <c r="A80" i="1"/>
  <c r="A86" i="1"/>
  <c r="A2" i="1"/>
  <c r="A82" i="1"/>
  <c r="A87" i="1"/>
  <c r="A76" i="1"/>
  <c r="A83" i="1"/>
  <c r="A90" i="1"/>
  <c r="A79" i="1"/>
  <c r="A85" i="1"/>
  <c r="A33" i="23" l="1"/>
  <c r="A29" i="2"/>
  <c r="A23" i="8"/>
  <c r="A23" i="19"/>
  <c r="C31" i="19"/>
  <c r="B130" i="19"/>
  <c r="A24" i="23"/>
  <c r="E31" i="19"/>
  <c r="D31" i="19" s="1"/>
  <c r="A59" i="16"/>
  <c r="A13" i="2"/>
  <c r="A16" i="2"/>
  <c r="A21" i="2"/>
  <c r="A11" i="23"/>
  <c r="A4" i="2"/>
  <c r="B26" i="9"/>
  <c r="A20" i="23"/>
  <c r="A14" i="19"/>
  <c r="A15" i="2"/>
  <c r="A22" i="23"/>
  <c r="A19" i="23"/>
  <c r="A42" i="19"/>
  <c r="A21" i="23"/>
  <c r="B25" i="9"/>
  <c r="A21" i="19"/>
  <c r="A13" i="19"/>
  <c r="A14" i="2"/>
  <c r="A26" i="3"/>
  <c r="A63" i="19"/>
  <c r="A11" i="19"/>
  <c r="B124" i="1"/>
  <c r="A22" i="7" s="1"/>
  <c r="B125" i="1"/>
  <c r="A31" i="19" l="1"/>
  <c r="A16" i="8"/>
  <c r="A32" i="3"/>
  <c r="I7" i="23"/>
  <c r="A2" i="23" s="1"/>
  <c r="B127" i="1" l="1"/>
  <c r="B126" i="1"/>
  <c r="A120" i="19" l="1"/>
  <c r="A65" i="16" s="1"/>
  <c r="A30" i="4"/>
  <c r="B122" i="19"/>
  <c r="D67" i="16" s="1"/>
  <c r="A15" i="4"/>
  <c r="A14" i="4"/>
  <c r="A13" i="4"/>
  <c r="C8" i="15"/>
  <c r="J12" i="15"/>
  <c r="A10" i="4" l="1"/>
  <c r="A9" i="4" s="1"/>
  <c r="B124" i="19"/>
  <c r="D69" i="16" s="1"/>
  <c r="B123" i="19"/>
  <c r="D68" i="16" s="1"/>
  <c r="D64" i="16"/>
  <c r="B117" i="19"/>
  <c r="D63" i="16" s="1"/>
  <c r="A68" i="16" l="1"/>
  <c r="A67" i="16"/>
  <c r="A121" i="19"/>
  <c r="A66" i="16" s="1"/>
  <c r="A119" i="19"/>
  <c r="A64" i="16" s="1"/>
  <c r="B24" i="9" l="1"/>
  <c r="B2" i="9"/>
  <c r="A22" i="29"/>
  <c r="A22" i="28"/>
  <c r="H5" i="29"/>
  <c r="H5" i="28"/>
  <c r="H5" i="27"/>
  <c r="A22" i="27"/>
  <c r="H22" i="26"/>
  <c r="D2" i="1"/>
  <c r="H5" i="26" s="1"/>
  <c r="A35" i="2"/>
  <c r="A29" i="4"/>
  <c r="A28" i="4"/>
  <c r="A7" i="4"/>
  <c r="A11" i="24"/>
  <c r="A14" i="7"/>
  <c r="A13" i="7"/>
  <c r="A2" i="7"/>
  <c r="A8" i="3"/>
  <c r="A5" i="3"/>
  <c r="A4" i="3"/>
  <c r="A9" i="8"/>
  <c r="A8" i="8"/>
  <c r="A7" i="8"/>
  <c r="A12" i="2"/>
  <c r="A7" i="2"/>
  <c r="B175" i="1"/>
  <c r="I132" i="1"/>
  <c r="B140" i="1"/>
  <c r="B137" i="1"/>
  <c r="E10" i="26" s="1"/>
  <c r="C10" i="26"/>
  <c r="G10" i="26" l="1"/>
  <c r="D31" i="3"/>
  <c r="E10" i="28"/>
  <c r="E10" i="27"/>
  <c r="E10" i="29"/>
  <c r="C10" i="28"/>
  <c r="C10" i="27"/>
  <c r="C10" i="29"/>
  <c r="C133" i="1"/>
  <c r="A21" i="7"/>
  <c r="A10" i="26" s="1"/>
  <c r="C144" i="1"/>
  <c r="A6" i="2"/>
  <c r="E31" i="3"/>
  <c r="A15" i="7"/>
  <c r="A27" i="3"/>
  <c r="A27" i="2"/>
  <c r="A28" i="2"/>
  <c r="A17" i="7" l="1"/>
  <c r="A25" i="2"/>
  <c r="A24" i="2"/>
  <c r="A28" i="3"/>
  <c r="A15" i="8"/>
  <c r="G10" i="28"/>
  <c r="G10" i="29"/>
  <c r="G10" i="27"/>
  <c r="A14" i="8"/>
  <c r="A16" i="7"/>
  <c r="A18" i="7" s="1"/>
  <c r="A19" i="7" s="1"/>
  <c r="A29" i="3"/>
  <c r="A25" i="23" s="1"/>
  <c r="A37" i="3"/>
  <c r="A21" i="4" l="1"/>
  <c r="A10" i="2"/>
  <c r="B66" i="1" l="1"/>
  <c r="A1" i="19" s="1"/>
  <c r="H31" i="29"/>
  <c r="H31" i="28"/>
  <c r="H22" i="29"/>
  <c r="H22" i="28"/>
  <c r="H22" i="27"/>
  <c r="E56" i="7" l="1"/>
  <c r="A56" i="7"/>
  <c r="A132" i="19"/>
  <c r="B109" i="1"/>
  <c r="R131" i="1" l="1"/>
  <c r="R132" i="1" s="1"/>
  <c r="N133" i="1" s="1"/>
  <c r="Q131" i="1"/>
  <c r="Q132" i="1" s="1"/>
  <c r="N132" i="1" s="1"/>
  <c r="B24" i="4" l="1"/>
  <c r="B67" i="1" l="1"/>
  <c r="C79" i="1" s="1"/>
  <c r="C80" i="1" s="1"/>
  <c r="C81" i="1" s="1"/>
  <c r="B80" i="1" s="1"/>
  <c r="B81" i="1" s="1"/>
  <c r="A14" i="31" s="1"/>
  <c r="B152" i="1" l="1"/>
  <c r="B150" i="1"/>
  <c r="C18" i="1" l="1"/>
  <c r="B20" i="1" l="1"/>
  <c r="B121" i="19" s="1"/>
  <c r="C20" i="1"/>
  <c r="A5" i="19" s="1"/>
  <c r="C122" i="1" l="1"/>
  <c r="C128" i="1" s="1"/>
  <c r="C6" i="32"/>
  <c r="B122" i="1"/>
  <c r="B128" i="1" s="1"/>
  <c r="D65" i="16"/>
  <c r="A8" i="2"/>
  <c r="E26" i="23"/>
  <c r="F26" i="23"/>
  <c r="A26"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F27" i="4" l="1"/>
  <c r="A21" i="3" s="1"/>
  <c r="D25" i="21" l="1"/>
  <c r="C25" i="21"/>
  <c r="A25" i="21"/>
  <c r="B25" i="21" s="1"/>
  <c r="M22" i="21"/>
  <c r="F49" i="7" l="1"/>
  <c r="O2" i="21"/>
  <c r="P2" i="21" s="1"/>
  <c r="P5" i="21"/>
  <c r="P13" i="21"/>
  <c r="P17" i="21"/>
  <c r="P21" i="21"/>
  <c r="O4" i="21"/>
  <c r="P4" i="21" s="1"/>
  <c r="P15" i="21"/>
  <c r="P16" i="21"/>
  <c r="P20" i="21"/>
  <c r="P7" i="21"/>
  <c r="P8" i="21"/>
  <c r="P9" i="21"/>
  <c r="P10" i="21"/>
  <c r="P18" i="21"/>
  <c r="P6" i="21"/>
  <c r="P14" i="21"/>
  <c r="O3" i="21"/>
  <c r="P3" i="21" s="1"/>
  <c r="P11" i="21"/>
  <c r="P12" i="21"/>
  <c r="P19" i="21"/>
  <c r="C33" i="7"/>
  <c r="A33" i="7"/>
  <c r="W2" i="21" l="1"/>
  <c r="A46" i="7" s="1"/>
  <c r="C143" i="1"/>
  <c r="E49" i="7" l="1"/>
  <c r="F33" i="7"/>
  <c r="A38" i="20"/>
  <c r="A37" i="20"/>
  <c r="B19" i="20"/>
  <c r="C19" i="20"/>
  <c r="D19" i="20"/>
  <c r="E19" i="20"/>
  <c r="A19" i="20"/>
  <c r="L5" i="15" l="1"/>
  <c r="I8" i="15" l="1"/>
  <c r="E20" i="20"/>
  <c r="B26" i="4"/>
  <c r="B27" i="4" s="1"/>
  <c r="A11" i="2" l="1"/>
  <c r="A20" i="3"/>
  <c r="C19" i="1"/>
  <c r="A33" i="20"/>
  <c r="B21" i="1" l="1"/>
  <c r="A6" i="3" s="1"/>
  <c r="C21" i="1"/>
  <c r="B8" i="15"/>
  <c r="C5" i="22"/>
  <c r="A33" i="22" s="1"/>
  <c r="R43" i="15" l="1"/>
  <c r="O43" i="15" s="1"/>
  <c r="P43" i="15" s="1"/>
  <c r="Q43" i="15" s="1"/>
  <c r="B43" i="15" s="1"/>
  <c r="R44" i="15"/>
  <c r="R45" i="15"/>
  <c r="R46" i="15"/>
  <c r="R47" i="15"/>
  <c r="O47" i="15" s="1"/>
  <c r="P47" i="15" s="1"/>
  <c r="Q47" i="15" s="1"/>
  <c r="B47" i="15" s="1"/>
  <c r="R48" i="15"/>
  <c r="O48" i="15" s="1"/>
  <c r="P48" i="15" s="1"/>
  <c r="Q48" i="15" s="1"/>
  <c r="B48" i="15" s="1"/>
  <c r="R49" i="15"/>
  <c r="R50" i="15"/>
  <c r="R51" i="15"/>
  <c r="R52" i="15"/>
  <c r="R53" i="15"/>
  <c r="R54" i="15"/>
  <c r="R55" i="15"/>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O55" i="15" l="1"/>
  <c r="P55" i="15" s="1"/>
  <c r="Q55" i="15" s="1"/>
  <c r="B55" i="15"/>
  <c r="O54" i="15"/>
  <c r="P54" i="15" s="1"/>
  <c r="Q54" i="15" s="1"/>
  <c r="B54" i="15" s="1"/>
  <c r="O53" i="15"/>
  <c r="P53" i="15" s="1"/>
  <c r="Q53" i="15" s="1"/>
  <c r="B53" i="15" s="1"/>
  <c r="O52" i="15"/>
  <c r="P52" i="15" s="1"/>
  <c r="Q52" i="15" s="1"/>
  <c r="B52" i="15" s="1"/>
  <c r="O51" i="15"/>
  <c r="P51" i="15" s="1"/>
  <c r="Q51" i="15" s="1"/>
  <c r="B51" i="15" s="1"/>
  <c r="O50" i="15"/>
  <c r="P50" i="15" s="1"/>
  <c r="Q50" i="15" s="1"/>
  <c r="B50" i="15" s="1"/>
  <c r="O49" i="15"/>
  <c r="P49" i="15" s="1"/>
  <c r="Q49" i="15" s="1"/>
  <c r="B49" i="15" s="1"/>
  <c r="B48" i="12"/>
  <c r="G48" i="15"/>
  <c r="H48" i="15"/>
  <c r="B47" i="12"/>
  <c r="H47" i="15"/>
  <c r="O46" i="15"/>
  <c r="P46" i="15" s="1"/>
  <c r="Q46" i="15" s="1"/>
  <c r="B46" i="15" s="1"/>
  <c r="O45" i="15"/>
  <c r="P45" i="15" s="1"/>
  <c r="Q45" i="15" s="1"/>
  <c r="B45" i="15" s="1"/>
  <c r="O44" i="15"/>
  <c r="P44" i="15" s="1"/>
  <c r="Q44" i="15" s="1"/>
  <c r="B44" i="15" s="1"/>
  <c r="H42" i="12"/>
  <c r="H37" i="12"/>
  <c r="H38" i="12"/>
  <c r="G38" i="12"/>
  <c r="H32" i="15"/>
  <c r="B32" i="12"/>
  <c r="B33" i="16" s="1"/>
  <c r="G39" i="12"/>
  <c r="H39" i="12"/>
  <c r="H40" i="12"/>
  <c r="G40" i="12"/>
  <c r="H43" i="15"/>
  <c r="B43" i="12"/>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B49" i="12" l="1"/>
  <c r="H49" i="15"/>
  <c r="G49" i="15"/>
  <c r="B50" i="12"/>
  <c r="H50" i="15"/>
  <c r="G50" i="15"/>
  <c r="B45" i="12"/>
  <c r="H45" i="15"/>
  <c r="G45" i="15"/>
  <c r="B53" i="12"/>
  <c r="G53" i="15"/>
  <c r="H53" i="15"/>
  <c r="B46" i="12"/>
  <c r="H46" i="15"/>
  <c r="G46" i="15"/>
  <c r="G47" i="15"/>
  <c r="B52" i="12"/>
  <c r="H52" i="15"/>
  <c r="G52" i="15"/>
  <c r="B44" i="12"/>
  <c r="G44" i="12" s="1"/>
  <c r="H44" i="15"/>
  <c r="G44" i="15"/>
  <c r="B49" i="16"/>
  <c r="G48" i="12"/>
  <c r="H48" i="12"/>
  <c r="B51" i="12"/>
  <c r="H51" i="15"/>
  <c r="G51" i="15"/>
  <c r="B54" i="12"/>
  <c r="G54" i="15"/>
  <c r="H54" i="15"/>
  <c r="H47" i="12"/>
  <c r="B48" i="16"/>
  <c r="B55" i="12"/>
  <c r="H55" i="15"/>
  <c r="G55" i="15"/>
  <c r="B44" i="16"/>
  <c r="H32" i="12"/>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H31" i="15"/>
  <c r="H25" i="15"/>
  <c r="H16" i="15"/>
  <c r="G16" i="15"/>
  <c r="G17" i="15"/>
  <c r="H17" i="15"/>
  <c r="H15" i="15"/>
  <c r="H18" i="15"/>
  <c r="G18" i="15"/>
  <c r="H13" i="15"/>
  <c r="H20" i="15"/>
  <c r="H21" i="15"/>
  <c r="G21" i="15"/>
  <c r="G23" i="15"/>
  <c r="H23" i="15"/>
  <c r="H22" i="15"/>
  <c r="G22" i="15"/>
  <c r="G14" i="15"/>
  <c r="H14" i="15"/>
  <c r="G15" i="15"/>
  <c r="G9" i="15"/>
  <c r="H19" i="15"/>
  <c r="G20" i="15"/>
  <c r="G19" i="15"/>
  <c r="D17" i="1"/>
  <c r="B55" i="16" l="1"/>
  <c r="H54" i="12"/>
  <c r="G54" i="12"/>
  <c r="H46" i="12"/>
  <c r="G46" i="12"/>
  <c r="B47" i="16"/>
  <c r="B52" i="16"/>
  <c r="G51" i="12"/>
  <c r="H51" i="12"/>
  <c r="H53" i="12"/>
  <c r="G53" i="12"/>
  <c r="B54" i="16"/>
  <c r="B45" i="16"/>
  <c r="H44" i="12"/>
  <c r="H50" i="12"/>
  <c r="B51" i="16"/>
  <c r="G50" i="12"/>
  <c r="B46" i="16"/>
  <c r="G45" i="12"/>
  <c r="H45" i="12"/>
  <c r="G55" i="12"/>
  <c r="B56" i="16"/>
  <c r="H55" i="12"/>
  <c r="G47" i="12"/>
  <c r="G52" i="12"/>
  <c r="B53" i="16"/>
  <c r="H52" i="12"/>
  <c r="B50" i="16"/>
  <c r="H49" i="12"/>
  <c r="G49" i="12"/>
  <c r="G32" i="12"/>
  <c r="B32" i="16"/>
  <c r="H41" i="12"/>
  <c r="G41" i="12"/>
  <c r="G42" i="12"/>
  <c r="G10" i="15"/>
  <c r="H10" i="15"/>
  <c r="H9" i="15"/>
  <c r="G13" i="15"/>
  <c r="G12" i="15"/>
  <c r="H12" i="15"/>
  <c r="H11" i="15"/>
  <c r="G11" i="15"/>
  <c r="I67" i="1"/>
  <c r="G67" i="1"/>
  <c r="A117" i="19" l="1"/>
  <c r="A63" i="16" s="1"/>
  <c r="F67" i="1" l="1"/>
  <c r="E67" i="1"/>
  <c r="A20" i="2" s="1"/>
  <c r="C67" i="1"/>
  <c r="C65" i="1"/>
  <c r="C66" i="1" l="1"/>
  <c r="I66" i="1"/>
  <c r="G66" i="1"/>
  <c r="D67" i="1"/>
  <c r="B151" i="1" s="1"/>
  <c r="A26" i="19" s="1"/>
  <c r="H67" i="1"/>
  <c r="B69" i="1" s="1"/>
  <c r="A4" i="24" s="1"/>
  <c r="E66" i="1"/>
  <c r="F66" i="1"/>
  <c r="A30" i="19" l="1"/>
  <c r="A29" i="19"/>
  <c r="A28" i="19" s="1"/>
  <c r="A27" i="19"/>
  <c r="B68" i="1"/>
  <c r="D66" i="1"/>
  <c r="B72" i="1" s="1"/>
  <c r="H66" i="1"/>
  <c r="B73" i="1" s="1"/>
  <c r="F3" i="23" l="1"/>
  <c r="B74" i="1"/>
  <c r="B70" i="1"/>
  <c r="E3" i="22"/>
  <c r="B71" i="1"/>
  <c r="A8" i="19" s="1"/>
  <c r="A6" i="34" l="1"/>
  <c r="B3" i="34"/>
  <c r="E3" i="16"/>
  <c r="A7" i="26"/>
  <c r="A3" i="19"/>
  <c r="B176" i="1"/>
  <c r="A2" i="8" s="1"/>
  <c r="A28" i="7"/>
  <c r="A27" i="7"/>
  <c r="A7" i="28"/>
  <c r="A7" i="27"/>
  <c r="A12" i="7"/>
  <c r="A7" i="29"/>
  <c r="A11" i="7"/>
  <c r="A9" i="7"/>
  <c r="A8" i="7"/>
  <c r="B19" i="9"/>
  <c r="A2" i="27"/>
  <c r="A2" i="28"/>
  <c r="A2" i="29"/>
  <c r="A2" i="26"/>
  <c r="B149" i="1"/>
  <c r="F4" i="7" s="1"/>
  <c r="A39" i="20"/>
  <c r="B40" i="9"/>
  <c r="A19" i="2"/>
  <c r="D72" i="15"/>
  <c r="A70" i="15"/>
  <c r="A68" i="15"/>
  <c r="D64" i="15"/>
  <c r="D60" i="15"/>
  <c r="A60" i="15"/>
  <c r="A23" i="23" l="1"/>
  <c r="A12" i="8"/>
  <c r="A7" i="7"/>
  <c r="A10" i="7"/>
  <c r="A26" i="7"/>
  <c r="A15" i="3"/>
  <c r="H27" i="15"/>
  <c r="G27" i="15"/>
  <c r="G28" i="15"/>
  <c r="H28" i="15"/>
  <c r="G30" i="15"/>
  <c r="G31" i="15"/>
  <c r="H30" i="15"/>
  <c r="G29" i="15"/>
  <c r="H29" i="15"/>
  <c r="G26" i="15"/>
  <c r="H26" i="15"/>
  <c r="H24" i="15"/>
  <c r="G24" i="15"/>
  <c r="G25" i="15"/>
  <c r="A6" i="7" l="1"/>
  <c r="F2" i="15"/>
  <c r="B62" i="1" l="1"/>
  <c r="D67" i="15" l="1"/>
  <c r="D68" i="15" l="1"/>
  <c r="D66" i="15" l="1"/>
  <c r="A43" i="7" l="1"/>
  <c r="C43" i="7"/>
  <c r="D43" i="7"/>
  <c r="E43" i="7"/>
  <c r="A44" i="7"/>
  <c r="C35" i="7"/>
  <c r="D35" i="7"/>
  <c r="E35" i="7"/>
  <c r="C36" i="7"/>
  <c r="D36" i="7"/>
  <c r="E36" i="7"/>
  <c r="C37" i="7"/>
  <c r="D37" i="7"/>
  <c r="E37" i="7"/>
  <c r="C38" i="7"/>
  <c r="D38" i="7"/>
  <c r="E38" i="7"/>
  <c r="C39" i="7"/>
  <c r="D39" i="7"/>
  <c r="E39" i="7"/>
  <c r="C40" i="7"/>
  <c r="D40" i="7"/>
  <c r="E40" i="7"/>
  <c r="C41" i="7"/>
  <c r="D41" i="7"/>
  <c r="E41" i="7"/>
  <c r="C42" i="7"/>
  <c r="D42" i="7"/>
  <c r="E42" i="7"/>
  <c r="D33" i="7"/>
  <c r="E33" i="7"/>
  <c r="A35" i="7"/>
  <c r="A36" i="7"/>
  <c r="A37" i="7"/>
  <c r="A38" i="7"/>
  <c r="A39" i="7"/>
  <c r="A40" i="7"/>
  <c r="A41" i="7"/>
  <c r="A42" i="7"/>
  <c r="E44" i="7"/>
  <c r="D44" i="7"/>
  <c r="C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C149" i="1"/>
  <c r="A35" i="20"/>
  <c r="A34" i="20"/>
  <c r="A9" i="20" l="1"/>
  <c r="N130" i="1"/>
  <c r="F44" i="7"/>
  <c r="E31" i="20" s="1"/>
  <c r="A23" i="2" l="1"/>
  <c r="D72" i="12"/>
  <c r="A70" i="12"/>
  <c r="A68" i="12"/>
  <c r="D64" i="12"/>
  <c r="D60" i="12"/>
  <c r="A60" i="12"/>
  <c r="C8" i="12"/>
  <c r="C9" i="16" s="1"/>
  <c r="A32" i="20"/>
  <c r="A25" i="19" l="1"/>
  <c r="A24" i="19" l="1"/>
  <c r="B12" i="9"/>
  <c r="A10" i="8"/>
  <c r="F17" i="8"/>
  <c r="E11" i="20" s="1"/>
  <c r="E17" i="8"/>
  <c r="D11" i="20" s="1"/>
  <c r="D17" i="8"/>
  <c r="C11" i="20" s="1"/>
  <c r="C17" i="8"/>
  <c r="B11" i="20" s="1"/>
  <c r="A17" i="8"/>
  <c r="A11" i="20" s="1"/>
  <c r="E60" i="7"/>
  <c r="A30" i="7"/>
  <c r="D27" i="23" l="1"/>
  <c r="C31" i="3"/>
  <c r="A27" i="23"/>
  <c r="A31" i="3"/>
  <c r="B31" i="3"/>
  <c r="A31" i="23"/>
  <c r="A14" i="26"/>
  <c r="A14" i="29"/>
  <c r="A14" i="28"/>
  <c r="A14" i="27"/>
  <c r="A29" i="23"/>
  <c r="A12" i="27"/>
  <c r="A12" i="29"/>
  <c r="A12" i="28"/>
  <c r="A12" i="26"/>
  <c r="E18" i="8"/>
  <c r="D12" i="20" s="1"/>
  <c r="D18" i="8"/>
  <c r="C12" i="20" s="1"/>
  <c r="C18" i="8"/>
  <c r="B12" i="20" s="1"/>
  <c r="A22" i="8"/>
  <c r="A16" i="20" s="1"/>
  <c r="A18" i="8"/>
  <c r="A12" i="20" s="1"/>
  <c r="A20" i="8"/>
  <c r="A14" i="20" s="1"/>
  <c r="D35" i="4"/>
  <c r="D27" i="4"/>
  <c r="C27" i="4"/>
  <c r="A14" i="3"/>
  <c r="A41" i="3" s="1"/>
  <c r="A11" i="4"/>
  <c r="A8" i="4"/>
  <c r="A6" i="4"/>
  <c r="A5" i="4"/>
  <c r="A4" i="4"/>
  <c r="A40" i="2"/>
  <c r="A17" i="3"/>
  <c r="A44" i="3" s="1"/>
  <c r="A12" i="3"/>
  <c r="A63" i="15" l="1"/>
  <c r="A67" i="15"/>
  <c r="A72" i="15"/>
  <c r="D74" i="15"/>
  <c r="A62" i="15"/>
  <c r="A66" i="15"/>
  <c r="A65" i="15"/>
  <c r="A64" i="15"/>
  <c r="D63" i="15"/>
  <c r="D70" i="15"/>
  <c r="D62" i="15"/>
  <c r="A72" i="12"/>
  <c r="A66" i="12"/>
  <c r="A63" i="12"/>
  <c r="A67" i="12"/>
  <c r="A64" i="12"/>
  <c r="A13" i="3"/>
  <c r="A40" i="3" s="1"/>
  <c r="A65" i="12"/>
  <c r="D68" i="12"/>
  <c r="D66" i="12"/>
  <c r="D67" i="12"/>
  <c r="D63" i="12"/>
  <c r="D70" i="12"/>
  <c r="D62" i="12"/>
  <c r="A62" i="12"/>
  <c r="A39" i="3"/>
  <c r="A42" i="3"/>
  <c r="A11" i="8"/>
  <c r="A13" i="8" s="1"/>
  <c r="A16" i="3"/>
  <c r="A43" i="3" s="1"/>
  <c r="A11" i="3"/>
  <c r="A38" i="3" s="1"/>
  <c r="A26" i="2"/>
  <c r="A22" i="2" s="1"/>
  <c r="A15" i="27" l="1"/>
  <c r="A15" i="26"/>
  <c r="A15" i="29"/>
  <c r="A15" i="28"/>
  <c r="A30" i="23"/>
  <c r="A13" i="27"/>
  <c r="A13" i="28"/>
  <c r="A13" i="29"/>
  <c r="A13" i="26"/>
  <c r="A28" i="23"/>
  <c r="A11" i="29"/>
  <c r="A11" i="28"/>
  <c r="A11" i="27"/>
  <c r="A11" i="26"/>
  <c r="F27" i="23"/>
  <c r="A21" i="8"/>
  <c r="A15" i="20" s="1"/>
  <c r="A19" i="8"/>
  <c r="A13" i="20" s="1"/>
  <c r="F18" i="8"/>
  <c r="E12" i="20" s="1"/>
  <c r="A18" i="3"/>
  <c r="F2" i="12"/>
  <c r="A13" i="23" l="1"/>
  <c r="A45" i="3"/>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D9" i="15" s="1"/>
  <c r="C10" i="15" s="1"/>
  <c r="M8" i="15"/>
  <c r="F8" i="15" s="1"/>
  <c r="I10" i="15"/>
  <c r="I11" i="15" s="1"/>
  <c r="I12" i="15" s="1"/>
  <c r="L9" i="15" l="1"/>
  <c r="E9" i="15" s="1"/>
  <c r="D10" i="15"/>
  <c r="J13" i="15"/>
  <c r="K13" i="15" s="1"/>
  <c r="I13" i="15" s="1"/>
  <c r="I14" i="15" s="1"/>
  <c r="I15" i="15" s="1"/>
  <c r="I16" i="15" s="1"/>
  <c r="I17" i="15" s="1"/>
  <c r="I18" i="15" s="1"/>
  <c r="L10" i="15"/>
  <c r="E10" i="15" s="1"/>
  <c r="J15" i="15" l="1"/>
  <c r="K15" i="15" s="1"/>
  <c r="J19" i="15"/>
  <c r="K19" i="15" s="1"/>
  <c r="I19" i="15" s="1"/>
  <c r="J20" i="15" s="1"/>
  <c r="K20" i="15" s="1"/>
  <c r="J18" i="15"/>
  <c r="K18" i="15" s="1"/>
  <c r="J17" i="15"/>
  <c r="K17" i="15" s="1"/>
  <c r="J16" i="15"/>
  <c r="K16" i="15" s="1"/>
  <c r="J14" i="15"/>
  <c r="K14" i="15" s="1"/>
  <c r="M9" i="15"/>
  <c r="F9" i="15" s="1"/>
  <c r="C11" i="15"/>
  <c r="D11" i="15" s="1"/>
  <c r="I20" i="15"/>
  <c r="I21" i="15" s="1"/>
  <c r="M10" i="15"/>
  <c r="F10" i="15" s="1"/>
  <c r="C12" i="15" l="1"/>
  <c r="D12" i="15" s="1"/>
  <c r="C13" i="15" s="1"/>
  <c r="D13" i="15" s="1"/>
  <c r="C14" i="15" s="1"/>
  <c r="L11" i="15"/>
  <c r="E11" i="15" s="1"/>
  <c r="J21" i="15"/>
  <c r="K21" i="15" s="1"/>
  <c r="J22" i="15"/>
  <c r="K22" i="15" s="1"/>
  <c r="I22" i="15" s="1"/>
  <c r="I23" i="15" l="1"/>
  <c r="I24" i="15" s="1"/>
  <c r="J25" i="15" s="1"/>
  <c r="K25" i="15" s="1"/>
  <c r="I25" i="15" s="1"/>
  <c r="I26" i="15" s="1"/>
  <c r="J23" i="15"/>
  <c r="K23" i="15" s="1"/>
  <c r="L12" i="15"/>
  <c r="E12" i="15" s="1"/>
  <c r="M11" i="15"/>
  <c r="F11" i="15" s="1"/>
  <c r="J24" i="15" l="1"/>
  <c r="K24" i="15" s="1"/>
  <c r="J26" i="15"/>
  <c r="K26" i="15" s="1"/>
  <c r="J27" i="15"/>
  <c r="K27" i="15" s="1"/>
  <c r="I27" i="15" s="1"/>
  <c r="M12" i="15"/>
  <c r="F12" i="15" s="1"/>
  <c r="L13" i="15"/>
  <c r="E13" i="15" s="1"/>
  <c r="I28" i="15" l="1"/>
  <c r="J29" i="15" s="1"/>
  <c r="K29" i="15" s="1"/>
  <c r="I29" i="15" s="1"/>
  <c r="J30" i="15" s="1"/>
  <c r="K30" i="15" s="1"/>
  <c r="I30" i="15" s="1"/>
  <c r="J31" i="15" s="1"/>
  <c r="K31" i="15" s="1"/>
  <c r="I31" i="15" s="1"/>
  <c r="J32" i="15" s="1"/>
  <c r="K32" i="15" s="1"/>
  <c r="J28" i="15"/>
  <c r="K28" i="15" s="1"/>
  <c r="L14" i="15"/>
  <c r="I32" i="15" l="1"/>
  <c r="I33" i="15" s="1"/>
  <c r="I34" i="15" s="1"/>
  <c r="E14" i="15"/>
  <c r="D14" i="15"/>
  <c r="C15" i="15" s="1"/>
  <c r="L15" i="15" s="1"/>
  <c r="E15" i="15" s="1"/>
  <c r="M13" i="15"/>
  <c r="F13" i="15" s="1"/>
  <c r="J34" i="15" l="1"/>
  <c r="K34" i="15" s="1"/>
  <c r="J33" i="15"/>
  <c r="K33" i="15" s="1"/>
  <c r="M14" i="15"/>
  <c r="F14" i="15" s="1"/>
  <c r="D15" i="15"/>
  <c r="C16" i="15" s="1"/>
  <c r="L16" i="15" s="1"/>
  <c r="E16" i="15" s="1"/>
  <c r="I35" i="15"/>
  <c r="J35" i="15"/>
  <c r="K35" i="15" s="1"/>
  <c r="M15" i="15" l="1"/>
  <c r="F15" i="15" s="1"/>
  <c r="D16" i="15"/>
  <c r="C17" i="15" s="1"/>
  <c r="L17" i="15" s="1"/>
  <c r="E17" i="15" s="1"/>
  <c r="I36" i="15"/>
  <c r="J36" i="15"/>
  <c r="K36" i="15" s="1"/>
  <c r="M16" i="15" l="1"/>
  <c r="F16" i="15" s="1"/>
  <c r="D17" i="15"/>
  <c r="C18" i="15" s="1"/>
  <c r="L18" i="15" s="1"/>
  <c r="E18" i="15" s="1"/>
  <c r="J37" i="15"/>
  <c r="K37" i="15" s="1"/>
  <c r="I37" i="15" s="1"/>
  <c r="M17" i="15" l="1"/>
  <c r="F17" i="15" s="1"/>
  <c r="D18" i="15"/>
  <c r="C19" i="15" s="1"/>
  <c r="L19" i="15" s="1"/>
  <c r="E19" i="15" s="1"/>
  <c r="I38" i="15"/>
  <c r="J38" i="15"/>
  <c r="K38" i="15" s="1"/>
  <c r="M18" i="15" l="1"/>
  <c r="F18" i="15" s="1"/>
  <c r="D19" i="15"/>
  <c r="C20" i="15" s="1"/>
  <c r="L20" i="15" s="1"/>
  <c r="I39" i="15"/>
  <c r="J39" i="15"/>
  <c r="K39" i="15" s="1"/>
  <c r="M19" i="15" l="1"/>
  <c r="F19" i="15" s="1"/>
  <c r="I40" i="15"/>
  <c r="J40" i="15"/>
  <c r="K40" i="15" s="1"/>
  <c r="E20" i="15"/>
  <c r="D20" i="15"/>
  <c r="C21" i="15" l="1"/>
  <c r="L21" i="15" s="1"/>
  <c r="E21" i="15" s="1"/>
  <c r="I41" i="15"/>
  <c r="J41" i="15"/>
  <c r="K41" i="15" s="1"/>
  <c r="M20" i="15"/>
  <c r="F20" i="15" s="1"/>
  <c r="D21" i="15" l="1"/>
  <c r="C22" i="15" s="1"/>
  <c r="L22" i="15" s="1"/>
  <c r="E22" i="15" s="1"/>
  <c r="I42" i="15"/>
  <c r="J43" i="15" s="1"/>
  <c r="K43" i="15" s="1"/>
  <c r="I43" i="15" s="1"/>
  <c r="J42" i="15"/>
  <c r="K42" i="15" s="1"/>
  <c r="I44" i="15" l="1"/>
  <c r="J44" i="15"/>
  <c r="K44" i="15" s="1"/>
  <c r="D22" i="15"/>
  <c r="C23" i="15" s="1"/>
  <c r="L23" i="15" s="1"/>
  <c r="E23" i="15" s="1"/>
  <c r="M21" i="15"/>
  <c r="F21" i="15" s="1"/>
  <c r="I45" i="15" l="1"/>
  <c r="J45" i="15"/>
  <c r="K45" i="15" s="1"/>
  <c r="M22" i="15"/>
  <c r="F22" i="15" s="1"/>
  <c r="D23" i="15"/>
  <c r="C24" i="15" s="1"/>
  <c r="L24" i="15" s="1"/>
  <c r="E24" i="15" s="1"/>
  <c r="I46" i="15" l="1"/>
  <c r="J46" i="15"/>
  <c r="K46" i="15" s="1"/>
  <c r="M23" i="15"/>
  <c r="F23" i="15" s="1"/>
  <c r="D24" i="15"/>
  <c r="J47" i="15" l="1"/>
  <c r="K47" i="15" s="1"/>
  <c r="I47" i="15" s="1"/>
  <c r="C25" i="15"/>
  <c r="M24" i="15"/>
  <c r="F24" i="15" s="1"/>
  <c r="I48" i="15" l="1"/>
  <c r="J48" i="15"/>
  <c r="K48" i="15" s="1"/>
  <c r="L25" i="15"/>
  <c r="E25" i="15" s="1"/>
  <c r="I49" i="15" l="1"/>
  <c r="J49" i="15"/>
  <c r="K49" i="15" s="1"/>
  <c r="D25" i="15"/>
  <c r="I50" i="15" l="1"/>
  <c r="J50" i="15"/>
  <c r="K50" i="15" s="1"/>
  <c r="C26" i="15"/>
  <c r="M25" i="15"/>
  <c r="F25" i="15" s="1"/>
  <c r="I51" i="15" l="1"/>
  <c r="J51" i="15"/>
  <c r="K51" i="15" s="1"/>
  <c r="L26" i="15"/>
  <c r="D26" i="15" s="1"/>
  <c r="I52" i="15" l="1"/>
  <c r="J52" i="15"/>
  <c r="K52" i="15" s="1"/>
  <c r="E26" i="15"/>
  <c r="M26" i="15" s="1"/>
  <c r="F26" i="15" s="1"/>
  <c r="C27" i="15"/>
  <c r="I53" i="15" l="1"/>
  <c r="J53" i="15"/>
  <c r="K53" i="15" s="1"/>
  <c r="L27" i="15"/>
  <c r="D27" i="15" s="1"/>
  <c r="J54" i="15" l="1"/>
  <c r="K54" i="15" s="1"/>
  <c r="I54" i="15"/>
  <c r="J55" i="15" s="1"/>
  <c r="K55" i="15" s="1"/>
  <c r="I55" i="15" s="1"/>
  <c r="E27" i="15"/>
  <c r="M27" i="15" s="1"/>
  <c r="F27" i="15" s="1"/>
  <c r="C28" i="15"/>
  <c r="L28" i="15" l="1"/>
  <c r="D28" i="15" s="1"/>
  <c r="E28" i="15" l="1"/>
  <c r="M28" i="15" s="1"/>
  <c r="F28" i="15" s="1"/>
  <c r="C29" i="15"/>
  <c r="L29" i="15" l="1"/>
  <c r="D29" i="15" s="1"/>
  <c r="E29" i="15" l="1"/>
  <c r="M29" i="15" s="1"/>
  <c r="F29" i="15" s="1"/>
  <c r="C30" i="15"/>
  <c r="L30" i="15" l="1"/>
  <c r="D30" i="15" s="1"/>
  <c r="E30" i="15" l="1"/>
  <c r="M30" i="15" s="1"/>
  <c r="F30" i="15" s="1"/>
  <c r="C31" i="15"/>
  <c r="L31" i="15" l="1"/>
  <c r="D31" i="15" s="1"/>
  <c r="C32" i="15" s="1"/>
  <c r="E31" i="15" l="1"/>
  <c r="M31" i="15" s="1"/>
  <c r="F31" i="15" s="1"/>
  <c r="L32" i="15"/>
  <c r="E32" i="15" s="1"/>
  <c r="D32" i="15" l="1"/>
  <c r="C33" i="15" s="1"/>
  <c r="L33" i="15" s="1"/>
  <c r="E33" i="15" s="1"/>
  <c r="M32" i="15" l="1"/>
  <c r="F32" i="15" s="1"/>
  <c r="D33" i="15"/>
  <c r="C34" i="15" s="1"/>
  <c r="L34" i="15" s="1"/>
  <c r="E34" i="15" s="1"/>
  <c r="M33" i="15" l="1"/>
  <c r="F33" i="15" s="1"/>
  <c r="D34" i="15"/>
  <c r="C35" i="15" s="1"/>
  <c r="L35" i="15" s="1"/>
  <c r="E35" i="15" s="1"/>
  <c r="M34" i="15" l="1"/>
  <c r="F34" i="15" s="1"/>
  <c r="D35" i="15"/>
  <c r="C36" i="15" s="1"/>
  <c r="L36" i="15" s="1"/>
  <c r="E36" i="15" s="1"/>
  <c r="M35" i="15" l="1"/>
  <c r="F35" i="15" s="1"/>
  <c r="D36" i="15"/>
  <c r="C37" i="15" s="1"/>
  <c r="L37" i="15" s="1"/>
  <c r="E37" i="15" s="1"/>
  <c r="M36" i="15" l="1"/>
  <c r="F36" i="15" s="1"/>
  <c r="D37" i="15"/>
  <c r="M37" i="15" s="1"/>
  <c r="F37" i="15" s="1"/>
  <c r="C38" i="15" l="1"/>
  <c r="L38" i="15" l="1"/>
  <c r="E38" i="15" s="1"/>
  <c r="D38" i="15" l="1"/>
  <c r="C39" i="15" s="1"/>
  <c r="L39" i="15" l="1"/>
  <c r="E39" i="15" s="1"/>
  <c r="M38" i="15"/>
  <c r="F38" i="15" s="1"/>
  <c r="D39" i="15" l="1"/>
  <c r="C40" i="15" l="1"/>
  <c r="M39" i="15"/>
  <c r="F39" i="15" s="1"/>
  <c r="L40" i="15" l="1"/>
  <c r="E40" i="15" s="1"/>
  <c r="D40" i="15" l="1"/>
  <c r="M40" i="15" s="1"/>
  <c r="F40" i="15" s="1"/>
  <c r="C41" i="15" l="1"/>
  <c r="L41" i="15" s="1"/>
  <c r="E41" i="15" s="1"/>
  <c r="D41" i="15" l="1"/>
  <c r="M41" i="15" s="1"/>
  <c r="F41" i="15" s="1"/>
  <c r="C42" i="15" l="1"/>
  <c r="L42" i="15" s="1"/>
  <c r="E42" i="15" s="1"/>
  <c r="D42" i="15" l="1"/>
  <c r="C43" i="15" s="1"/>
  <c r="L43" i="15" l="1"/>
  <c r="E43" i="15" s="1"/>
  <c r="M42" i="15"/>
  <c r="F42" i="15" s="1"/>
  <c r="D43" i="15" l="1"/>
  <c r="M43" i="15" s="1"/>
  <c r="F43" i="15" s="1"/>
  <c r="C44" i="15" l="1"/>
  <c r="L44" i="15" s="1"/>
  <c r="D44" i="15" s="1"/>
  <c r="C45" i="15" l="1"/>
  <c r="E44" i="15"/>
  <c r="L45" i="15" l="1"/>
  <c r="D45" i="15" s="1"/>
  <c r="M44" i="15"/>
  <c r="F44" i="15" s="1"/>
  <c r="C46" i="15" l="1"/>
  <c r="E45" i="15"/>
  <c r="L46" i="15" l="1"/>
  <c r="D46" i="15" s="1"/>
  <c r="C47" i="15" s="1"/>
  <c r="M45" i="15"/>
  <c r="F45" i="15" s="1"/>
  <c r="L47" i="15" l="1"/>
  <c r="D47" i="15" s="1"/>
  <c r="C48" i="15" s="1"/>
  <c r="E46" i="15"/>
  <c r="M46" i="15" l="1"/>
  <c r="F46" i="15" s="1"/>
  <c r="L48" i="15"/>
  <c r="D48" i="15" s="1"/>
  <c r="C49" i="15" s="1"/>
  <c r="E47" i="15"/>
  <c r="M47" i="15" l="1"/>
  <c r="F47" i="15" s="1"/>
  <c r="E48" i="15"/>
  <c r="M48" i="15" s="1"/>
  <c r="F48" i="15" s="1"/>
  <c r="L49" i="15"/>
  <c r="D49" i="15" s="1"/>
  <c r="C50" i="15" s="1"/>
  <c r="L50" i="15" l="1"/>
  <c r="D50" i="15" s="1"/>
  <c r="C51" i="15" s="1"/>
  <c r="E49" i="15"/>
  <c r="E50" i="15" l="1"/>
  <c r="M50" i="15" s="1"/>
  <c r="F50" i="15" s="1"/>
  <c r="M49" i="15"/>
  <c r="F49" i="15" s="1"/>
  <c r="L51" i="15"/>
  <c r="E51" i="15" s="1"/>
  <c r="D51" i="15" l="1"/>
  <c r="C52" i="15" s="1"/>
  <c r="L52" i="15" s="1"/>
  <c r="D52" i="15" s="1"/>
  <c r="C53" i="15" s="1"/>
  <c r="M51" i="15" l="1"/>
  <c r="F51" i="15" s="1"/>
  <c r="E52" i="15"/>
  <c r="M52" i="15" s="1"/>
  <c r="F52" i="15" s="1"/>
  <c r="L53" i="15"/>
  <c r="E53" i="15" s="1"/>
  <c r="D53" i="15" l="1"/>
  <c r="M53" i="15" s="1"/>
  <c r="F53" i="15" s="1"/>
  <c r="C54" i="15" l="1"/>
  <c r="L54" i="15" s="1"/>
  <c r="D54" i="15" s="1"/>
  <c r="C55" i="15" s="1"/>
  <c r="L55" i="15" l="1"/>
  <c r="E55" i="15" s="1"/>
  <c r="E54" i="15"/>
  <c r="D55" i="15" l="1"/>
  <c r="M55" i="15" s="1"/>
  <c r="F55" i="15" s="1"/>
  <c r="E56" i="15"/>
  <c r="M54" i="15"/>
  <c r="F54" i="15" s="1"/>
  <c r="D56" i="15" l="1"/>
  <c r="F56" i="15"/>
  <c r="A10" i="27" l="1"/>
  <c r="A10" i="28"/>
  <c r="A10" i="29"/>
  <c r="D14" i="16" l="1"/>
  <c r="E15" i="16" l="1"/>
  <c r="D15" i="16" l="1"/>
  <c r="C16" i="16" l="1"/>
  <c r="E16" i="16" l="1"/>
  <c r="D16" i="16" l="1"/>
  <c r="C17" i="16" l="1"/>
  <c r="E17" i="16" l="1"/>
  <c r="D17" i="16" l="1"/>
  <c r="C18" i="16" l="1"/>
  <c r="E18" i="16" l="1"/>
  <c r="D18" i="16" l="1"/>
  <c r="C19" i="16" l="1"/>
  <c r="E19" i="16" l="1"/>
  <c r="D19" i="16" l="1"/>
  <c r="C20" i="16" l="1"/>
  <c r="E20" i="16" l="1"/>
  <c r="D20" i="16" l="1"/>
  <c r="C21" i="16" l="1"/>
  <c r="E21" i="16" l="1"/>
  <c r="D21" i="16" l="1"/>
  <c r="C22" i="16" l="1"/>
  <c r="E22" i="16" l="1"/>
  <c r="D22" i="16" l="1"/>
  <c r="C23" i="16" l="1"/>
  <c r="E23" i="16" l="1"/>
  <c r="D23" i="16" l="1"/>
  <c r="C24" i="16" l="1"/>
  <c r="E24" i="16" l="1"/>
  <c r="D24" i="16" l="1"/>
  <c r="C25" i="16" l="1"/>
  <c r="E25" i="16" l="1"/>
  <c r="D25" i="16" l="1"/>
  <c r="C26" i="16" l="1"/>
  <c r="C27" i="16" l="1"/>
  <c r="D26" i="16"/>
  <c r="F26" i="16" l="1"/>
  <c r="C28" i="16"/>
  <c r="D27" i="16"/>
  <c r="C29" i="16" l="1"/>
  <c r="D28" i="16"/>
  <c r="D29" i="16" l="1"/>
  <c r="C30" i="16" l="1"/>
  <c r="D30" i="16" l="1"/>
  <c r="C31" i="16"/>
  <c r="C32" i="16" l="1"/>
  <c r="D31" i="16"/>
  <c r="C33" i="16" l="1"/>
  <c r="D32" i="16"/>
  <c r="D33" i="16" l="1"/>
  <c r="C34" i="16"/>
  <c r="C35" i="16" l="1"/>
  <c r="D34" i="16"/>
  <c r="D35" i="16" l="1"/>
  <c r="C36" i="16" l="1"/>
  <c r="D36" i="16" l="1"/>
  <c r="C37" i="16" l="1"/>
  <c r="D37" i="16" l="1"/>
  <c r="C38" i="16" l="1"/>
  <c r="D38" i="16" l="1"/>
  <c r="C39" i="16" l="1"/>
  <c r="C40" i="16" l="1"/>
  <c r="D39" i="16"/>
  <c r="D40" i="16" l="1"/>
  <c r="C41" i="16"/>
  <c r="D41" i="16" l="1"/>
  <c r="C42" i="16" l="1"/>
  <c r="C43" i="16" l="1"/>
  <c r="D42" i="16"/>
  <c r="C44" i="16" l="1"/>
  <c r="D43" i="16"/>
  <c r="C45" i="16" l="1"/>
  <c r="D44" i="16"/>
  <c r="D45" i="16" l="1"/>
  <c r="C46" i="16"/>
  <c r="C47" i="16" l="1"/>
  <c r="D46" i="16"/>
  <c r="D47" i="16" l="1"/>
  <c r="C48" i="16" l="1"/>
  <c r="D48" i="16" l="1"/>
  <c r="C49" i="16"/>
  <c r="C50" i="16" l="1"/>
  <c r="D49" i="16"/>
  <c r="D50" i="16" l="1"/>
  <c r="C51" i="16" l="1"/>
  <c r="D51" i="16" l="1"/>
  <c r="C52" i="16" l="1"/>
  <c r="C53" i="16" l="1"/>
  <c r="D52" i="16"/>
  <c r="C54" i="16" l="1"/>
  <c r="D53" i="16"/>
  <c r="D54" i="16" l="1"/>
  <c r="C55" i="16"/>
  <c r="C56" i="16" l="1"/>
  <c r="D55" i="16"/>
  <c r="E56" i="16" l="1"/>
  <c r="D56" i="16"/>
  <c r="F56" i="16" l="1"/>
  <c r="D9" i="16"/>
  <c r="D10" i="16"/>
  <c r="D11" i="16"/>
  <c r="D12" i="16"/>
  <c r="D13" i="16"/>
  <c r="F9" i="16"/>
  <c r="F10" i="16"/>
  <c r="F11" i="16"/>
  <c r="F12" i="16"/>
  <c r="F13" i="16"/>
  <c r="F14" i="16"/>
  <c r="F15" i="16"/>
  <c r="F16" i="16"/>
  <c r="F17" i="16"/>
  <c r="F18" i="16"/>
  <c r="F19" i="16"/>
  <c r="F20" i="16"/>
  <c r="F21" i="16"/>
  <c r="F22" i="16"/>
  <c r="F23" i="16"/>
  <c r="F24" i="16"/>
  <c r="F25" i="16"/>
  <c r="E10" i="16"/>
  <c r="F55" i="16"/>
  <c r="E55" i="16"/>
  <c r="F54" i="16"/>
  <c r="F53" i="16"/>
  <c r="E54" i="16"/>
  <c r="F52" i="16"/>
  <c r="E53" i="16"/>
  <c r="E52" i="16"/>
  <c r="F51" i="16"/>
  <c r="E51" i="16"/>
  <c r="F50" i="16"/>
  <c r="F49" i="16"/>
  <c r="E50" i="16"/>
  <c r="F48" i="16"/>
  <c r="E49" i="16"/>
  <c r="E48" i="16"/>
  <c r="F47" i="16"/>
  <c r="F46" i="16"/>
  <c r="E47" i="16"/>
  <c r="F45" i="16"/>
  <c r="E46" i="16"/>
  <c r="F44" i="16"/>
  <c r="E45" i="16"/>
  <c r="F43" i="16"/>
  <c r="E44" i="16"/>
  <c r="F42" i="16"/>
  <c r="E43" i="16"/>
  <c r="E42" i="16"/>
  <c r="F41" i="16"/>
  <c r="F40" i="16"/>
  <c r="E41" i="16"/>
  <c r="F39" i="16"/>
  <c r="E40" i="16"/>
  <c r="E39" i="16"/>
  <c r="F38" i="16"/>
  <c r="E38" i="16"/>
  <c r="F37" i="16"/>
  <c r="E37" i="16"/>
  <c r="F36" i="16"/>
  <c r="E36" i="16"/>
  <c r="F35" i="16"/>
  <c r="F34" i="16"/>
  <c r="E35" i="16"/>
  <c r="F33" i="16"/>
  <c r="E34" i="16"/>
  <c r="F32" i="16"/>
  <c r="E33" i="16"/>
  <c r="F31" i="16"/>
  <c r="E32" i="16"/>
  <c r="F30" i="16"/>
  <c r="E31" i="16"/>
  <c r="E30" i="16"/>
  <c r="F29" i="16"/>
  <c r="F28" i="16"/>
  <c r="E29" i="16"/>
  <c r="F27" i="16"/>
  <c r="E28" i="16"/>
  <c r="E27" i="16"/>
  <c r="E26" i="16"/>
  <c r="E11" i="16"/>
  <c r="E12" i="16"/>
  <c r="E13" i="16"/>
  <c r="E14" i="16"/>
  <c r="C15" i="16"/>
  <c r="C14" i="16"/>
  <c r="C13" i="16"/>
  <c r="C12" i="16"/>
  <c r="C11" i="16"/>
  <c r="C10" i="16"/>
  <c r="D57" i="16" l="1"/>
  <c r="F57" i="16"/>
  <c r="E57" i="16"/>
  <c r="B91" i="1"/>
  <c r="F8" i="12" s="1"/>
  <c r="C63" i="1"/>
  <c r="C60" i="1" s="1"/>
  <c r="D8" i="12" l="1"/>
  <c r="C9" i="12" s="1"/>
  <c r="F9" i="12"/>
  <c r="A23" i="3"/>
  <c r="A22" i="3" s="1"/>
  <c r="A24" i="3"/>
  <c r="E9" i="12" l="1"/>
  <c r="D9" i="12" s="1"/>
  <c r="C10" i="12" s="1"/>
  <c r="E10" i="12" l="1"/>
  <c r="F10" i="12"/>
  <c r="D10" i="12" s="1"/>
  <c r="C11" i="12" s="1"/>
  <c r="E11" i="12" s="1"/>
  <c r="F11" i="12"/>
  <c r="F12" i="12" s="1"/>
  <c r="F13" i="12" s="1"/>
  <c r="D11" i="12" l="1"/>
  <c r="F14" i="12"/>
  <c r="C12" i="12"/>
  <c r="E12" i="12" l="1"/>
  <c r="F15" i="12"/>
  <c r="F16" i="12" l="1"/>
  <c r="D12" i="12"/>
  <c r="C13" i="12" l="1"/>
  <c r="F17" i="12"/>
  <c r="F18" i="12" l="1"/>
  <c r="E13" i="12"/>
  <c r="D13" i="12" l="1"/>
  <c r="F19" i="12"/>
  <c r="F20" i="12" l="1"/>
  <c r="C14" i="12"/>
  <c r="F21" i="12" l="1"/>
  <c r="E14" i="12"/>
  <c r="D14" i="12" l="1"/>
  <c r="F22" i="12"/>
  <c r="F23" i="12" l="1"/>
  <c r="C15" i="12"/>
  <c r="E15" i="12" l="1"/>
  <c r="F24" i="12"/>
  <c r="F25" i="12" l="1"/>
  <c r="D15" i="12"/>
  <c r="C16" i="12" l="1"/>
  <c r="F26" i="12"/>
  <c r="F27" i="12" l="1"/>
  <c r="E16" i="12"/>
  <c r="D16" i="12" l="1"/>
  <c r="C17" i="12" s="1"/>
  <c r="F28" i="12"/>
  <c r="F29" i="12" l="1"/>
  <c r="E17" i="12"/>
  <c r="D17" i="12" s="1"/>
  <c r="C18" i="12" s="1"/>
  <c r="E18" i="12" l="1"/>
  <c r="D18" i="12" s="1"/>
  <c r="C19" i="12" s="1"/>
  <c r="F30" i="12"/>
  <c r="E19" i="12" l="1"/>
  <c r="D19" i="12" s="1"/>
  <c r="C20" i="12" s="1"/>
  <c r="F31" i="12"/>
  <c r="E20" i="12" l="1"/>
  <c r="D20" i="12" s="1"/>
  <c r="C21" i="12" s="1"/>
  <c r="F32" i="12"/>
  <c r="E21" i="12" l="1"/>
  <c r="D21" i="12" s="1"/>
  <c r="C22" i="12" s="1"/>
  <c r="F33" i="12"/>
  <c r="E22" i="12" l="1"/>
  <c r="D22" i="12" s="1"/>
  <c r="C23" i="12" s="1"/>
  <c r="F34" i="12"/>
  <c r="E23" i="12" l="1"/>
  <c r="D23" i="12" s="1"/>
  <c r="C24" i="12" s="1"/>
  <c r="F35" i="12"/>
  <c r="E24" i="12" l="1"/>
  <c r="D24" i="12" s="1"/>
  <c r="C25" i="12" s="1"/>
  <c r="F36" i="12"/>
  <c r="E25" i="12" l="1"/>
  <c r="D25" i="12" s="1"/>
  <c r="C26" i="12" s="1"/>
  <c r="F37" i="12"/>
  <c r="E26" i="12" l="1"/>
  <c r="D26" i="12" s="1"/>
  <c r="C27" i="12" s="1"/>
  <c r="F38" i="12"/>
  <c r="E27" i="12" l="1"/>
  <c r="D27" i="12" s="1"/>
  <c r="C28" i="12" s="1"/>
  <c r="F39" i="12"/>
  <c r="E28" i="12" l="1"/>
  <c r="D28" i="12" s="1"/>
  <c r="C29" i="12" s="1"/>
  <c r="F40" i="12"/>
  <c r="E29" i="12" l="1"/>
  <c r="D29" i="12" s="1"/>
  <c r="C30" i="12" s="1"/>
  <c r="F41" i="12"/>
  <c r="E30" i="12" l="1"/>
  <c r="D30" i="12" s="1"/>
  <c r="C31" i="12" s="1"/>
  <c r="F42" i="12"/>
  <c r="E31" i="12" l="1"/>
  <c r="D31" i="12" s="1"/>
  <c r="C32" i="12" s="1"/>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D40" i="12" s="1"/>
  <c r="C41" i="12" s="1"/>
  <c r="E41" i="12" l="1"/>
  <c r="D41" i="12" s="1"/>
  <c r="C42" i="12" s="1"/>
  <c r="E42" i="12" l="1"/>
  <c r="D42" i="12" s="1"/>
  <c r="C43" i="12" s="1"/>
  <c r="D43" i="12" l="1"/>
  <c r="C44" i="12"/>
  <c r="E43" i="12"/>
  <c r="D44" i="12" l="1"/>
  <c r="C45" i="12"/>
  <c r="E44" i="12"/>
  <c r="F43" i="12"/>
  <c r="D45" i="12" l="1"/>
  <c r="C46" i="12"/>
  <c r="E45" i="12"/>
  <c r="F44" i="12"/>
  <c r="D46" i="12" l="1"/>
  <c r="E46" i="12"/>
  <c r="C47" i="12"/>
  <c r="F45" i="12"/>
  <c r="D47" i="12" l="1"/>
  <c r="E47" i="12"/>
  <c r="C48" i="12"/>
  <c r="F46" i="12"/>
  <c r="D48" i="12" l="1"/>
  <c r="E48" i="12"/>
  <c r="C49" i="12"/>
  <c r="F47" i="12"/>
  <c r="D49" i="12" l="1"/>
  <c r="C50" i="12"/>
  <c r="E49" i="12"/>
  <c r="F48" i="12"/>
  <c r="D50" i="12" l="1"/>
  <c r="C51" i="12"/>
  <c r="E50" i="12"/>
  <c r="F49" i="12"/>
  <c r="D51" i="12" l="1"/>
  <c r="C52" i="12"/>
  <c r="E51" i="12"/>
  <c r="F50" i="12"/>
  <c r="E52" i="12" l="1"/>
  <c r="D52" i="12"/>
  <c r="F52" i="12" s="1"/>
  <c r="F51" i="12"/>
  <c r="C53" i="12" l="1"/>
  <c r="E53" i="12" l="1"/>
  <c r="D53" i="12"/>
  <c r="F53" i="12" s="1"/>
  <c r="C54" i="12" l="1"/>
  <c r="E54" i="12" l="1"/>
  <c r="D54" i="12"/>
  <c r="F54" i="12" s="1"/>
  <c r="C55" i="12" l="1"/>
  <c r="D55" i="12"/>
  <c r="E55" i="12"/>
  <c r="E56" i="12" s="1"/>
  <c r="F55" i="12" l="1"/>
  <c r="F56" i="12" s="1"/>
  <c r="D56" i="12"/>
</calcChain>
</file>

<file path=xl/sharedStrings.xml><?xml version="1.0" encoding="utf-8"?>
<sst xmlns="http://schemas.openxmlformats.org/spreadsheetml/2006/main" count="654" uniqueCount="487">
  <si>
    <t>служебная</t>
  </si>
  <si>
    <t>другое</t>
  </si>
  <si>
    <t>Г.В. Тян</t>
  </si>
  <si>
    <t>-</t>
  </si>
  <si>
    <t>Наименование</t>
  </si>
  <si>
    <t>Согласованная залоговая стоимость, сум</t>
  </si>
  <si>
    <t>ИТОГО</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</si>
  <si>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</si>
  <si>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</si>
  <si>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</si>
  <si>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</si>
  <si>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</si>
  <si>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</si>
  <si>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</si>
  <si>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</si>
  <si>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</si>
  <si>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</si>
  <si>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</si>
  <si>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</si>
  <si>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</si>
  <si>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</si>
  <si>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июля</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</si>
  <si>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</si>
  <si>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</si>
  <si>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</si>
  <si>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</si>
  <si>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</si>
  <si>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</si>
  <si>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</si>
  <si>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</si>
  <si>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</si>
  <si>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</si>
  <si>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</si>
  <si>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</si>
  <si>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</si>
  <si>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</si>
  <si>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</si>
  <si>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</si>
  <si>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</si>
  <si>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</si>
  <si>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</si>
  <si>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</si>
  <si>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</si>
  <si>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</si>
  <si>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</si>
  <si>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</si>
  <si>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</si>
  <si>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</si>
  <si>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</si>
  <si>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</si>
  <si>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</si>
  <si>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</si>
  <si>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</si>
  <si>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</si>
  <si>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</si>
  <si>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</si>
  <si>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</si>
  <si>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</si>
  <si>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</si>
  <si>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</si>
  <si>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</si>
  <si>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</si>
  <si>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</si>
  <si>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</si>
  <si>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</si>
  <si>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</si>
  <si>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</si>
  <si>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</si>
  <si>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</si>
  <si>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</si>
  <si>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</si>
  <si>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</si>
  <si>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</si>
  <si>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</si>
  <si>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</si>
  <si>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</si>
  <si>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</si>
  <si>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</si>
  <si>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</si>
  <si>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</si>
  <si>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</si>
  <si>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</si>
  <si>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</si>
  <si>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</si>
  <si>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</si>
  <si>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</si>
  <si>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</si>
  <si>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</si>
  <si>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</si>
  <si>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</si>
  <si>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</si>
  <si>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</si>
  <si>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</si>
  <si>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</si>
  <si>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</si>
  <si>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</si>
  <si>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</si>
  <si>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</si>
  <si>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</si>
  <si>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</si>
  <si>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</si>
  <si>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</si>
  <si>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</si>
  <si>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</si>
  <si>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</si>
  <si>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</si>
  <si>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</si>
  <si>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</si>
  <si>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</si>
  <si>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</si>
  <si>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</si>
  <si>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</si>
  <si>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</si>
  <si>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</si>
  <si>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</si>
  <si>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</si>
  <si>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</si>
  <si>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</si>
  <si>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</si>
  <si>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</si>
  <si>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</si>
  <si>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</si>
  <si>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</si>
  <si>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</si>
  <si>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</si>
  <si>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</si>
  <si>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</si>
  <si>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</si>
  <si>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</si>
  <si>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</si>
  <si>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</si>
  <si>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</si>
  <si>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</si>
  <si>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</si>
  <si>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</si>
  <si>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ISHONCHNOMA BO’YICHA MA’LUMOTLAR</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</si>
  <si>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</si>
  <si>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</si>
  <si>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</si>
  <si>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</si>
  <si>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</si>
  <si>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</si>
  <si>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</si>
  <si>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</si>
  <si>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</si>
  <si>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</si>
  <si>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</si>
  <si>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</si>
  <si>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</si>
  <si>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</si>
  <si>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</si>
  <si>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</si>
  <si>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</si>
  <si>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</si>
  <si>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</si>
  <si>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</si>
  <si>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</si>
  <si>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</si>
  <si>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</si>
  <si>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</si>
  <si>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</si>
  <si>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</si>
  <si>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</si>
  <si>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</si>
  <si>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</si>
  <si>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</si>
  <si>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</si>
  <si>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</si>
  <si>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</si>
  <si>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</si>
  <si>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</si>
  <si>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</si>
  <si>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</si>
  <si>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</si>
  <si>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</si>
  <si>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</si>
  <si>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</si>
  <si>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</si>
  <si>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</si>
  <si>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</si>
  <si>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</si>
  <si>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</si>
  <si>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</si>
  <si>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</si>
  <si>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</si>
  <si>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</si>
  <si>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</si>
  <si>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</si>
  <si>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</si>
  <si>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</si>
  <si>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</si>
  <si>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</si>
  <si>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</si>
  <si>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</si>
  <si>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</si>
  <si>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</si>
  <si>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</si>
  <si>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</si>
  <si>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</si>
  <si>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</si>
  <si>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</si>
  <si>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</si>
  <si>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</si>
  <si>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</si>
  <si>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</si>
  <si>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</si>
  <si>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</si>
  <si>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</si>
  <si>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</si>
  <si>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</si>
  <si>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</si>
  <si>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</si>
  <si>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</si>
  <si>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</si>
  <si>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</si>
  <si>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</si>
  <si>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</si>
  <si>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</si>
  <si>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</si>
  <si>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</si>
  <si>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</si>
  <si>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</si>
  <si>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</si>
  <si>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</si>
  <si>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</si>
  <si>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</si>
  <si>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</si>
  <si>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</si>
  <si>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</si>
  <si>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</si>
  <si>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</si>
  <si>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</si>
  <si>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</si>
  <si>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</si>
  <si>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</si>
  <si>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</si>
  <si>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</si>
  <si>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</si>
  <si>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</si>
  <si>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</si>
  <si>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</si>
  <si>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</si>
  <si>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</si>
  <si>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</si>
  <si>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</si>
  <si>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</si>
  <si>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</si>
  <si>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</si>
  <si>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</si>
  <si>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</si>
  <si>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</si>
  <si>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</si>
  <si>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</si>
  <si>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</si>
  <si>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</si>
  <si>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</si>
  <si>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</si>
  <si>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</si>
  <si>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</si>
  <si>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</si>
  <si>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</si>
  <si>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</si>
  <si>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</si>
  <si>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</si>
  <si>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</si>
  <si>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</si>
  <si>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</si>
  <si>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</si>
  <si>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</si>
  <si>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</si>
  <si>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</si>
  <si>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</si>
  <si>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</si>
  <si>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</si>
  <si>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</si>
  <si>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</si>
  <si>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</si>
  <si>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</si>
  <si>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</si>
  <si>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</si>
  <si>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</si>
  <si>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</si>
  <si>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</si>
  <si>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</si>
  <si>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</si>
  <si>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</si>
  <si>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</si>
  <si>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</si>
  <si>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</si>
  <si>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</si>
  <si>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</si>
  <si>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</si>
  <si>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</si>
  <si>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</si>
  <si>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</si>
  <si>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</si>
  <si>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</si>
  <si>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</si>
  <si>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</si>
  <si>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</si>
  <si>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</si>
  <si>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</si>
  <si>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</si>
  <si>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</si>
  <si>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</si>
  <si>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</si>
  <si>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</si>
  <si>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</si>
  <si>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</si>
  <si>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</si>
  <si>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</si>
  <si>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</si>
  <si>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</si>
  <si>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</si>
  <si>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</si>
  <si>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</si>
  <si>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</si>
  <si>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</si>
  <si>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</si>
  <si>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</si>
  <si>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</si>
  <si>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</si>
  <si>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</si>
  <si>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</si>
  <si>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</si>
  <si>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</si>
  <si>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</si>
  <si>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</si>
  <si>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</si>
  <si>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</si>
  <si>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</si>
  <si>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</si>
  <si>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</si>
  <si>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</si>
  <si>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</si>
  <si>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</si>
  <si>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</si>
  <si>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</si>
  <si>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</si>
  <si>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</si>
  <si>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</si>
  <si>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</si>
  <si>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</si>
  <si>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</si>
  <si>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</si>
  <si>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</si>
  <si>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</si>
  <si>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</si>
  <si>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</si>
  <si>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</si>
  <si>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</si>
  <si>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</si>
  <si>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</si>
  <si>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</si>
  <si>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</si>
  <si>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</si>
  <si>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</si>
  <si>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</si>
  <si>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</si>
  <si>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</si>
  <si>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</si>
  <si>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</si>
  <si>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</si>
  <si>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 kadastr raqami</t>
  </si>
  <si>
    <t>Foydalanishga topshirilgan yili</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</si>
  <si>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</si>
  <si>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Процент годовой</t>
  </si>
  <si>
    <t>Sug'urta kompaniyasi nomi</t>
  </si>
  <si>
    <t>Summa</t>
  </si>
  <si>
    <t>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t>
  </si>
  <si>
    <t>3.5. Undiruvni Garov narsasiga (predmetlariga) va/yoki uning (ularning) bir qismiga (qismlariga) qaratishda va/yoki Qarz oluvchining Kafildan qarzini undirishda Mikromoliya tashkiloti undiruvning birinchi navbatdagi obyektini o‘z xohishiga ko‘ra bir tomonlama tanlash yoki bir vaqtning o‘zida undiruvni Garov narsasiga (predmetlariga) qaratish va Kafilga talab qo‘yish huquqini o‘zida saqlab qoladi. Undiruvni garov narsasining bir obyektiga va/yoki uning (ularning) bir qismiga qaratish va/yoki Mikroqarzni Kafildan undirish Mikromoliya tashkilotini undiruvni garov narsasining boshqa obyektiga (obyektlariga) va/yoki uning (ularning) bir qismiga qaratish va/yoki Mikroqarzni Kafildan undirishda cheklamaydi. Qarz oluvchining Mikroqarzni Sug‘urtalovchidan undirish tartibi tegishli sug‘urta shartnomasida belgilanadi.</t>
  </si>
  <si>
    <t>ARIZA</t>
  </si>
  <si>
    <t>Mijoz plastik kartasi parametrlari</t>
  </si>
  <si>
    <t>Bank nomi:</t>
  </si>
  <si>
    <t>H/r:</t>
  </si>
  <si>
    <t>MFO:</t>
  </si>
  <si>
    <t>STIR:</t>
  </si>
  <si>
    <t>Karta raqami:</t>
  </si>
  <si>
    <t>________________</t>
  </si>
  <si>
    <t>N. Abduraximov</t>
  </si>
  <si>
    <t>sana</t>
  </si>
  <si>
    <t>_______________</t>
  </si>
  <si>
    <t>Imzolaganlar ro'yxati:</t>
  </si>
  <si>
    <t>55</t>
  </si>
  <si>
    <t>dan</t>
  </si>
  <si>
    <t>Sana:</t>
  </si>
  <si>
    <t>“CLEVER MIKROMOLIYA TASHKILOTI” MChJ</t>
  </si>
  <si>
    <t>Toshkent sh, Olmazor tumani, Sag’bon ko’chasi 30-tup., 6-uy</t>
  </si>
  <si>
    <t>h/r: 2021 6000 7050 6838 0001, STIR: 306 365 847, MFO: 01042,</t>
  </si>
  <si>
    <t>“Kapitalbank” AKB Sergeli filiali</t>
  </si>
  <si>
    <t>O‘zbekiston Respublikasi</t>
  </si>
  <si>
    <t>Notarial idoralariga</t>
  </si>
  <si>
    <r>
      <t xml:space="preserve">“CLEVER mikromoliya tashkiloti” MChJ </t>
    </r>
    <r>
      <rPr>
        <sz val="11"/>
        <color rgb="FF8C0101"/>
        <rFont val="Times New Roman"/>
        <family val="1"/>
        <charset val="204"/>
      </rPr>
      <t xml:space="preserve">20.03.2025 </t>
    </r>
    <r>
      <rPr>
        <sz val="11"/>
        <color theme="1"/>
        <rFont val="Times New Roman"/>
        <family val="1"/>
        <charset val="204"/>
      </rPr>
      <t xml:space="preserve">yildagi № </t>
    </r>
    <r>
      <rPr>
        <sz val="11"/>
        <color rgb="FF8C0101"/>
        <rFont val="Times New Roman"/>
        <family val="1"/>
        <charset val="204"/>
      </rPr>
      <t>647</t>
    </r>
    <r>
      <rPr>
        <sz val="11"/>
        <color theme="1"/>
        <rFont val="Times New Roman"/>
        <family val="1"/>
        <charset val="204"/>
      </rPr>
      <t>-son mikrokredit shartnomasi bo‘yicha Qarz oluvchi tomonidan majburiyatlarini to‘liq to‘laganligini hisobga olib, yuqorida ko‘rsatilgan mol-mulkni garov ta’minotidan ozod qilishga roziligini beradi.</t>
    </r>
  </si>
  <si>
    <t xml:space="preserve">          «CLEVER MIKROMOLIYA</t>
  </si>
  <si>
    <t xml:space="preserve">          TASHKILOTI» MChJ rahbari</t>
  </si>
  <si>
    <t xml:space="preserve">     Ijrochi: B.T.Jumanazarov </t>
  </si>
  <si>
    <t xml:space="preserve">     Tel: (78) 113 31 33</t>
  </si>
  <si>
    <t xml:space="preserve">     Hujjat elektron raqamli imzo bilan tasdiqlangan. "Elektron raqamli imzo to‘g‘risida"gi Qonunning 7-moddasiga asosan elektron raqamli imzo va qo‘lda qo‘yilgan imzo bir xil ahamiyatga ega. Hujjatning haqqoniyligini tekshirish uchun QR-kodni skanerlang.</t>
  </si>
  <si>
    <t>АО СК "IMPEX INSURANCE"</t>
  </si>
  <si>
    <t>sanasidan</t>
  </si>
  <si>
    <t>Kredit bo'limi menejeri</t>
  </si>
  <si>
    <t xml:space="preserve">Kreditlash bo’limi boshlig’i </t>
  </si>
  <si>
    <t>Ajratilayotgan qarzning sug'urta hisobidan qoplanadigan taminot qismi</t>
  </si>
  <si>
    <t>«PULLOL BUSINESS MIKROMOLIYA TASHKILOTI»  MChJ</t>
  </si>
  <si>
    <t>Obidov A.Sh.</t>
  </si>
  <si>
    <t>Direktor</t>
  </si>
  <si>
    <t>Obidov Abdullo Shokir o'g'li</t>
  </si>
  <si>
    <t>27-13/968</t>
  </si>
  <si>
    <t>A.Obidov</t>
  </si>
  <si>
    <t>direktor</t>
  </si>
  <si>
    <t>A.Obidovga</t>
  </si>
  <si>
    <t>Toshkent shahri, Yakkasaroy tumani, Rakat ko'chasi, 10 uy, 18 xonadon</t>
  </si>
  <si>
    <t>№20208000405643889001</t>
  </si>
  <si>
    <t>№01088</t>
  </si>
  <si>
    <t>ATB “Kapitalbank” Markaziy amaliyotlar bo'limi</t>
  </si>
  <si>
    <t>310430149</t>
  </si>
  <si>
    <t>Abduraximova T.N.</t>
  </si>
  <si>
    <t>Akramov R.N.</t>
  </si>
  <si>
    <t>14.08.2023 y.</t>
  </si>
  <si>
    <t>PUL O'TKAZISH UCHUN ARIZA AО CK «IMPEX INSURANCE»</t>
  </si>
  <si>
    <r>
      <rPr>
        <b/>
        <i/>
        <sz val="12"/>
        <color rgb="FF0D0D0D"/>
        <rFont val="Times New Roman"/>
        <family val="1"/>
      </rPr>
      <t>sug'urta mukofotini to'lash uchun</t>
    </r>
  </si>
  <si>
    <r>
      <rPr>
        <sz val="12"/>
        <rFont val="Times New Roman"/>
        <family val="1"/>
      </rPr>
      <t>Men ixtiyoriy ravishda ish yuritib, shu bilan menga №01/18-22/2505178-sonli bosh kelishuv shartlariga</t>
    </r>
  </si>
  <si>
    <t>ta’minot bilan ta’minlanmagan qismidagi mikroqarz qaytarilmasligi xavfini sug‘urta qilish uchun sug‘urta polisi tuzilayotganligi to‘g‘risida xabar berilganligini tasdiqlayman, hamda ushbu sug‘urta bo’yicha sug'urta mukofoti to‘lovini qabul qilishingizni so‘rayman:</t>
  </si>
  <si>
    <r>
      <rPr>
        <b/>
        <sz val="12"/>
        <color rgb="FF0D0D0D"/>
        <rFont val="Times New Roman"/>
        <family val="1"/>
      </rPr>
      <t>Qabul qiluvchi</t>
    </r>
  </si>
  <si>
    <r>
      <rPr>
        <b/>
        <sz val="12"/>
        <rFont val="Times New Roman"/>
        <family val="1"/>
      </rPr>
      <t>«PULLOL     BUSINESS      MIKROMOLIYA TASHKILOTI</t>
    </r>
    <r>
      <rPr>
        <b/>
        <sz val="10"/>
        <rFont val="Times New Roman"/>
        <family val="1"/>
      </rPr>
      <t xml:space="preserve">» </t>
    </r>
    <r>
      <rPr>
        <b/>
        <sz val="12"/>
        <rFont val="Times New Roman"/>
        <family val="1"/>
      </rPr>
      <t>MChJ</t>
    </r>
  </si>
  <si>
    <r>
      <rPr>
        <b/>
        <sz val="12"/>
        <color rgb="FF0D0D0D"/>
        <rFont val="Times New Roman"/>
        <family val="1"/>
      </rPr>
      <t>Hisob raqam</t>
    </r>
  </si>
  <si>
    <r>
      <rPr>
        <sz val="12"/>
        <rFont val="Times New Roman"/>
        <family val="1"/>
      </rPr>
      <t xml:space="preserve">h/s </t>
    </r>
    <r>
      <rPr>
        <sz val="11"/>
        <rFont val="Times New Roman"/>
        <family val="1"/>
      </rPr>
      <t xml:space="preserve">20208000405643889001   </t>
    </r>
    <r>
      <rPr>
        <sz val="12"/>
        <rFont val="Times New Roman"/>
        <family val="1"/>
      </rPr>
      <t xml:space="preserve">MFO </t>
    </r>
    <r>
      <rPr>
        <sz val="11"/>
        <rFont val="Times New Roman"/>
        <family val="1"/>
      </rPr>
      <t xml:space="preserve">01088
</t>
    </r>
    <r>
      <rPr>
        <sz val="12"/>
        <rFont val="Times New Roman"/>
        <family val="1"/>
      </rPr>
      <t xml:space="preserve">STIR </t>
    </r>
    <r>
      <rPr>
        <sz val="11"/>
        <rFont val="Times New Roman"/>
        <family val="1"/>
      </rPr>
      <t>310430149</t>
    </r>
  </si>
  <si>
    <r>
      <rPr>
        <b/>
        <sz val="12"/>
        <color rgb="FF0D0D0D"/>
        <rFont val="Times New Roman"/>
        <family val="1"/>
      </rPr>
      <t>To’lov maqsadi</t>
    </r>
  </si>
  <si>
    <r>
      <rPr>
        <sz val="12"/>
        <rFont val="Times New Roman"/>
        <family val="1"/>
      </rPr>
      <t>Sug’urta mukofotini to’lash</t>
    </r>
  </si>
  <si>
    <r>
      <rPr>
        <b/>
        <sz val="12"/>
        <color rgb="FF0D0D0D"/>
        <rFont val="Times New Roman"/>
        <family val="1"/>
      </rPr>
      <t>Yillik tarif</t>
    </r>
  </si>
  <si>
    <r>
      <rPr>
        <b/>
        <sz val="12"/>
        <color rgb="FF0D0D0D"/>
        <rFont val="Times New Roman"/>
        <family val="1"/>
      </rPr>
      <t>Polis raqami</t>
    </r>
  </si>
  <si>
    <r>
      <rPr>
        <sz val="12"/>
        <rFont val="Times New Roman"/>
        <family val="1"/>
      </rPr>
      <t>Men quyidagilar bilan roziman:</t>
    </r>
  </si>
  <si>
    <r>
      <rPr>
        <sz val="12"/>
        <rFont val="Symbol"/>
        <family val="1"/>
      </rPr>
      <t xml:space="preserve">  </t>
    </r>
    <r>
      <rPr>
        <sz val="12"/>
        <rFont val="Times New Roman"/>
        <family val="1"/>
      </rPr>
      <t xml:space="preserve"> sug‘urta shartnomasini (sug‘urta polisini) tuzish (ro‘yxatdan o‘tkazish) uchun mening hisobimdan</t>
    </r>
  </si>
  <si>
    <r>
      <rPr>
        <sz val="12"/>
        <rFont val="Times New Roman"/>
        <family val="1"/>
      </rPr>
      <t>yechib olingan to‘lov summasi bilan;</t>
    </r>
  </si>
  <si>
    <r>
      <rPr>
        <sz val="12"/>
        <rFont val="Symbol"/>
        <family val="1"/>
      </rPr>
      <t></t>
    </r>
    <r>
      <rPr>
        <sz val="12"/>
        <rFont val="Times New Roman"/>
        <family val="1"/>
      </rPr>
      <t xml:space="preserve"> Sug'urtalovchiga "Kafolatsiz garov yoki boshqa turdagi garov bilan ta'minlanmagan qismi bo'yicha mikrokredit/mikrokredit to'lanmaganlik" xavfi bo'yicha to'langan sug'urta tovoni summasini to'liq undirib olinmaguncha, summalarni O'zbekiston Respublikasining mening nomimga ochilgan har qanday bank hisobvaraqlari va bank kartasidan akseptsiz va tortishuvsiz tartibda yechib olishni topshiraman va ushbu ariza mening hisobimdan sug'urtalovchi tomonidan to'langan sug'urta tovoni summasini to'liq undirib olinmaguncha, mening nomimga ochilgan O'zbekiston Respublikasining har qanday bankining hisobvaraqlari va bank kartamdan akseptsiz tartibda pul mablag'larini yechib olish bo'yicha mening farmoyishim hisoblanadi.</t>
    </r>
  </si>
  <si>
    <t>                                                                                                                                                </t>
  </si>
  <si>
    <t>  Imzo   </t>
  </si>
  <si>
    <t>F.I.O.</t>
  </si>
  <si>
    <t>Omanlikov  O.O.</t>
  </si>
  <si>
    <t>«PULLOL BUSINESS MIKROMOLIYA TASHKILOTI»  MChJ direktori</t>
  </si>
  <si>
    <t>CHEVROLET COBALT</t>
  </si>
  <si>
    <t>01Z067RC</t>
  </si>
  <si>
    <t>OQ SUMMIT WHITE</t>
  </si>
  <si>
    <t>2024</t>
  </si>
  <si>
    <t>YENGIL SEDAN</t>
  </si>
  <si>
    <t>AAG       4174202      15.06.2024 yilda</t>
  </si>
  <si>
    <t>RAQAMSIZ</t>
  </si>
  <si>
    <t>XWBJA69VERA108471</t>
  </si>
  <si>
    <t>B15D213241352MTAX0118</t>
  </si>
  <si>
    <t>Mijoz quyidagi majburiyatlarga ega: "TOShKENT Sh., "ANOR BANK" АKTSIYADORLIK JАMIYATI 106 139 813.00 so'm, Ayni paytda muddati o'tgan qarzdorligi mavjud emas. O‘rtacha oylik to‘lov 5 353 870.46 so‘mni tashkil qiladi</t>
  </si>
  <si>
    <t>7- TRO' VA IOB (YANGIHAYOT)</t>
  </si>
  <si>
    <t>bir yuz ellik besh</t>
  </si>
  <si>
    <t>155</t>
  </si>
  <si>
    <t>Eshbekov S. O.</t>
  </si>
  <si>
    <t>№0012660051</t>
  </si>
  <si>
    <t>BOLALAR O'YINCHOGINI ISHLAB CHIQARISH (UY SHAROITIDA)</t>
  </si>
  <si>
    <t>NORINBAYEVA SAPURA MAMADALIYEVNA</t>
  </si>
  <si>
    <t>NORINBAYEVA S.M.</t>
  </si>
  <si>
    <t>24.04.1957 y</t>
  </si>
  <si>
    <t>AE 4754225</t>
  </si>
  <si>
    <t>IIV 27256 tamonidan 24.10.2025 yilda berilgan</t>
  </si>
  <si>
    <t>TOSHKENT VILOYATI CHINOZ TUMANI ALISHER NAVOIY MFY SOBIR RAHIMOV KO'CHASI 36 UY</t>
  </si>
  <si>
    <t>NORINBOYEVA SOXIBA IZZATILLAYEVNA</t>
  </si>
  <si>
    <t>16.02.2026</t>
  </si>
  <si>
    <t>№ 110</t>
  </si>
  <si>
    <t>NORINBOYEVA S.I.</t>
  </si>
  <si>
    <t>19.10.1985 yil</t>
  </si>
  <si>
    <t>AE 5547691</t>
  </si>
  <si>
    <t>IIV 27256</t>
  </si>
  <si>
    <t>33 730 30 31 MIJOZ</t>
  </si>
  <si>
    <t>1 MAKTAB BALNITSA CHINOZ</t>
  </si>
  <si>
    <t>CHINOZ TUMANI</t>
  </si>
  <si>
    <t>99 407 50 08 UY EGASI</t>
  </si>
  <si>
    <t>94 659 57 51 ADASI</t>
  </si>
  <si>
    <t>№1727256/Y-25006342</t>
  </si>
  <si>
    <t>Yakka tartibdagi uy-joy</t>
  </si>
  <si>
    <t>13.08.2025 y. №11:13:42:02:01:1840</t>
  </si>
  <si>
    <t>163.19</t>
  </si>
  <si>
    <t>114.59</t>
  </si>
  <si>
    <t>340.11</t>
  </si>
  <si>
    <t>umumiy yer maydoni, (m2)</t>
  </si>
  <si>
    <t>qurilish osti maydoni</t>
  </si>
  <si>
    <t>700</t>
  </si>
  <si>
    <t>Umumiy yer maydoni, (m2)</t>
  </si>
  <si>
    <t>Qurilish osti maydoni, (m2)</t>
  </si>
  <si>
    <t>Umumiy foydali maydoni, (m2)</t>
  </si>
  <si>
    <t>Yashash maydoni, (m2)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</si>
</sst>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 _₽_-;\-* #\ ##0.00\ _₽_-;_-* &quot;-&quot;??\ _₽_-;_-@_-"/>
    <numFmt numFmtId="171" formatCode="_-* #\ ##0.00_-;\-* #\ ##0.00_-;_-* &quot;-&quot;??_-;_-@_-"/>
  </numFmts>
  <fonts count="78" x14ac:knownFonts="1">
    <font>
      <sz val="11"/>
      <color theme="1"/>
      <name val="Calibri"/>
      <family val="2"/>
      <scheme val="minor"/>
    </font>
    <font>
      <sz val="11"/>
      <color theme="1"/>
      <name val="Calibri"/>
      <family val="2"/>
      <charset val="204"/>
      <scheme val="minor"/>
    </font>
    <font>
      <sz val="11"/>
      <color theme="1"/>
      <name val="Arial"/>
      <family val="2"/>
      <charset val="204"/>
    </font>
    <font>
      <sz val="11"/>
      <color theme="1"/>
      <name val="Calibri"/>
      <family val="2"/>
      <charset val="204"/>
      <scheme val="minor"/>
    </font>
    <font>
      <sz val="11"/>
      <color theme="1"/>
      <name val="Calibri"/>
      <family val="2"/>
      <charset val="204"/>
      <scheme val="minor"/>
    </font>
    <font>
      <sz val="11"/>
      <color theme="1"/>
      <name val="Arial"/>
      <family val="2"/>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b/>
      <u/>
      <sz val="12"/>
      <name val="Times New Roman"/>
      <family val="1"/>
      <charset val="204"/>
    </font>
    <font>
      <b/>
      <sz val="12"/>
      <name val="Times New Roman"/>
      <family val="1"/>
      <charset val="204"/>
    </font>
    <font>
      <sz val="11"/>
      <color theme="1"/>
      <name val="Arial"/>
      <family val="2"/>
      <charset val="204"/>
    </font>
    <font>
      <sz val="22"/>
      <color rgb="FFFF0000"/>
      <name val="Arial"/>
      <family val="2"/>
      <charset val="204"/>
    </font>
    <font>
      <sz val="12"/>
      <color theme="0"/>
      <name val="Times New Roman"/>
      <family val="1"/>
      <charset val="204"/>
    </font>
    <font>
      <sz val="9"/>
      <color theme="1"/>
      <name val="Times New Roman"/>
      <family val="1"/>
      <charset val="204"/>
    </font>
    <font>
      <sz val="11"/>
      <color rgb="FF8C0101"/>
      <name val="Times New Roman"/>
      <family val="1"/>
      <charset val="204"/>
    </font>
    <font>
      <sz val="11"/>
      <color theme="1"/>
      <name val="Calibri"/>
      <family val="2"/>
      <charset val="204"/>
      <scheme val="minor"/>
    </font>
    <font>
      <sz val="11"/>
      <color theme="1"/>
      <name val="Calibri"/>
      <family val="2"/>
      <charset val="204"/>
      <scheme val="minor"/>
    </font>
    <font>
      <sz val="11"/>
      <name val="Calibri"/>
      <family val="2"/>
      <charset val="204"/>
    </font>
    <font>
      <sz val="12"/>
      <name val="Arial"/>
      <family val="2"/>
      <charset val="204"/>
    </font>
    <font>
      <sz val="10"/>
      <color rgb="FF000000"/>
      <name val="Times New Roman"/>
      <family val="1"/>
      <charset val="204"/>
    </font>
    <font>
      <b/>
      <sz val="12"/>
      <color rgb="FF0D0D0D"/>
      <name val="Times New Roman"/>
      <family val="1"/>
    </font>
    <font>
      <b/>
      <i/>
      <sz val="12"/>
      <name val="Times New Roman"/>
      <family val="1"/>
      <charset val="204"/>
    </font>
    <font>
      <b/>
      <i/>
      <sz val="12"/>
      <color rgb="FF0D0D0D"/>
      <name val="Times New Roman"/>
      <family val="1"/>
    </font>
    <font>
      <sz val="12"/>
      <name val="Times New Roman"/>
      <family val="1"/>
    </font>
    <font>
      <sz val="12"/>
      <color rgb="FF000000"/>
      <name val="Times New Roman"/>
      <family val="1"/>
      <charset val="204"/>
    </font>
    <font>
      <b/>
      <sz val="12"/>
      <name val="Times New Roman"/>
      <family val="1"/>
    </font>
    <font>
      <b/>
      <sz val="10"/>
      <name val="Times New Roman"/>
      <family val="1"/>
    </font>
    <font>
      <sz val="11"/>
      <name val="Times New Roman"/>
      <family val="1"/>
    </font>
    <font>
      <sz val="12"/>
      <name val="Symbol"/>
      <family val="1"/>
    </font>
    <font>
      <b/>
      <u/>
      <sz val="12"/>
      <color rgb="FF0D0D0D"/>
      <name val="Times New Roman"/>
      <family val="1"/>
    </font>
  </fonts>
  <fills count="13">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
      <patternFill patternType="solid">
        <fgColor rgb="FF00B050"/>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6045">
    <xf numFmtId="0" fontId="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55" fillId="0" borderId="0">
      <alignment vertical="center"/>
    </xf>
    <xf numFmtId="0" fontId="55" fillId="0" borderId="0">
      <alignment vertical="center"/>
    </xf>
    <xf numFmtId="43" fontId="10"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1"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3" fillId="0" borderId="0"/>
    <xf numFmtId="0" fontId="64" fillId="0" borderId="0"/>
    <xf numFmtId="171" fontId="63" fillId="0" borderId="0" applyFont="0" applyFill="0" applyBorder="0" applyAlignment="0" applyProtection="0"/>
    <xf numFmtId="171" fontId="63" fillId="0" borderId="0" applyFont="0" applyFill="0" applyBorder="0" applyAlignment="0" applyProtection="0"/>
    <xf numFmtId="0" fontId="64" fillId="0" borderId="0"/>
    <xf numFmtId="171" fontId="63" fillId="0" borderId="0" applyFont="0" applyFill="0" applyBorder="0" applyAlignment="0" applyProtection="0"/>
    <xf numFmtId="171" fontId="63" fillId="0" borderId="0" applyFont="0" applyFill="0" applyBorder="0" applyAlignment="0" applyProtection="0"/>
    <xf numFmtId="0" fontId="65" fillId="0" borderId="0">
      <alignment vertical="center"/>
    </xf>
    <xf numFmtId="0" fontId="64" fillId="0" borderId="0"/>
    <xf numFmtId="171" fontId="63" fillId="0" borderId="0" applyFont="0" applyFill="0" applyBorder="0" applyAlignment="0" applyProtection="0"/>
    <xf numFmtId="0" fontId="64" fillId="0" borderId="0"/>
    <xf numFmtId="0" fontId="64" fillId="0" borderId="0"/>
    <xf numFmtId="0" fontId="64" fillId="0" borderId="0"/>
    <xf numFmtId="0" fontId="64" fillId="0" borderId="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0" fontId="65" fillId="0" borderId="0">
      <alignment vertical="center"/>
    </xf>
    <xf numFmtId="171" fontId="63" fillId="0" borderId="0" applyFont="0" applyFill="0" applyBorder="0" applyAlignment="0" applyProtection="0"/>
    <xf numFmtId="0" fontId="64" fillId="0" borderId="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9" fontId="63"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1"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1" fontId="1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55" fillId="0" borderId="0">
      <alignment vertical="center"/>
    </xf>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55" fillId="0" borderId="0">
      <alignment vertical="center"/>
    </xf>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9" fontId="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67" fillId="0" borderId="0"/>
  </cellStyleXfs>
  <cellXfs count="414">
    <xf numFmtId="0" fontId="0" fillId="0" borderId="0" xfId="0"/>
    <xf numFmtId="0" fontId="11" fillId="0" borderId="1" xfId="0" applyFont="1" applyBorder="1" applyAlignment="1">
      <alignment vertical="center" wrapText="1"/>
    </xf>
    <xf numFmtId="49" fontId="11" fillId="0" borderId="1" xfId="0" applyNumberFormat="1" applyFont="1" applyBorder="1" applyAlignment="1">
      <alignment vertical="center" wrapText="1"/>
    </xf>
    <xf numFmtId="0" fontId="12" fillId="2" borderId="1" xfId="0" applyFont="1" applyFill="1" applyBorder="1" applyAlignment="1">
      <alignment vertical="center" wrapText="1"/>
    </xf>
    <xf numFmtId="165" fontId="11" fillId="0" borderId="1" xfId="0" applyNumberFormat="1" applyFont="1" applyBorder="1" applyAlignment="1">
      <alignment vertical="center" wrapText="1"/>
    </xf>
    <xf numFmtId="43" fontId="11" fillId="0" borderId="1" xfId="1" applyFont="1" applyBorder="1" applyAlignment="1">
      <alignment vertical="center" wrapText="1"/>
    </xf>
    <xf numFmtId="0" fontId="13" fillId="0" borderId="0" xfId="0" applyFont="1"/>
    <xf numFmtId="0" fontId="15" fillId="2" borderId="1" xfId="0" applyFont="1" applyFill="1" applyBorder="1" applyAlignment="1">
      <alignment horizontal="left" vertical="center" wrapText="1"/>
    </xf>
    <xf numFmtId="0" fontId="15" fillId="2" borderId="1" xfId="0" applyFont="1" applyFill="1" applyBorder="1" applyAlignment="1">
      <alignment horizontal="center" vertical="center" wrapText="1"/>
    </xf>
    <xf numFmtId="0" fontId="17" fillId="0" borderId="0" xfId="0" applyFont="1" applyAlignment="1" applyProtection="1">
      <alignment horizontal="center" vertical="top"/>
      <protection hidden="1"/>
    </xf>
    <xf numFmtId="0" fontId="17" fillId="0" borderId="0" xfId="0" applyFont="1" applyAlignment="1" applyProtection="1">
      <alignment horizontal="center" vertical="center"/>
      <protection hidden="1"/>
    </xf>
    <xf numFmtId="0" fontId="14" fillId="0" borderId="0" xfId="0" applyFont="1"/>
    <xf numFmtId="0" fontId="14" fillId="0" borderId="0" xfId="0" applyFont="1" applyAlignment="1">
      <alignment horizontal="right"/>
    </xf>
    <xf numFmtId="0" fontId="18" fillId="0" borderId="0" xfId="0" applyFont="1"/>
    <xf numFmtId="0" fontId="18" fillId="0" borderId="0" xfId="0" applyFont="1" applyAlignment="1">
      <alignment horizontal="center" vertical="center" wrapText="1"/>
    </xf>
    <xf numFmtId="0" fontId="18" fillId="0" borderId="1" xfId="0" applyFont="1" applyBorder="1" applyAlignment="1">
      <alignment horizontal="center" vertical="center" wrapText="1"/>
    </xf>
    <xf numFmtId="0" fontId="18" fillId="0" borderId="1" xfId="0" applyFont="1" applyBorder="1"/>
    <xf numFmtId="0" fontId="18" fillId="0" borderId="0" xfId="0" applyFont="1" applyAlignment="1">
      <alignment horizontal="justify" vertical="top" wrapText="1"/>
    </xf>
    <xf numFmtId="0" fontId="18" fillId="0" borderId="0" xfId="0" applyFont="1" applyAlignment="1">
      <alignment wrapText="1"/>
    </xf>
    <xf numFmtId="0" fontId="18" fillId="0" borderId="0" xfId="0" applyFont="1" applyAlignment="1">
      <alignment vertical="top" wrapText="1"/>
    </xf>
    <xf numFmtId="0" fontId="18" fillId="0" borderId="0" xfId="0" applyFont="1" applyAlignment="1">
      <alignment vertical="center" wrapText="1"/>
    </xf>
    <xf numFmtId="0" fontId="21" fillId="0" borderId="0" xfId="0" applyFont="1"/>
    <xf numFmtId="0" fontId="20" fillId="0" borderId="1" xfId="0" applyFont="1" applyBorder="1" applyAlignment="1">
      <alignment horizontal="center" vertical="center" wrapText="1"/>
    </xf>
    <xf numFmtId="0" fontId="20" fillId="0" borderId="0" xfId="0" applyFont="1" applyAlignment="1">
      <alignment horizontal="center" vertical="center" wrapText="1"/>
    </xf>
    <xf numFmtId="0" fontId="21" fillId="0" borderId="1" xfId="0" applyFont="1" applyBorder="1" applyAlignment="1">
      <alignment horizontal="center" vertical="top" wrapText="1"/>
    </xf>
    <xf numFmtId="43" fontId="21" fillId="0" borderId="1" xfId="1" applyFont="1" applyBorder="1" applyAlignment="1">
      <alignment horizontal="center" vertical="top" wrapText="1"/>
    </xf>
    <xf numFmtId="0" fontId="20" fillId="0" borderId="1" xfId="0" applyFont="1" applyBorder="1" applyAlignment="1">
      <alignment horizontal="center" vertical="top" wrapText="1"/>
    </xf>
    <xf numFmtId="43" fontId="20" fillId="0" borderId="1" xfId="0" applyNumberFormat="1" applyFont="1" applyBorder="1" applyAlignment="1">
      <alignment horizontal="center" vertical="top" wrapText="1"/>
    </xf>
    <xf numFmtId="0" fontId="20" fillId="0" borderId="0" xfId="0" applyFont="1"/>
    <xf numFmtId="0" fontId="13" fillId="0" borderId="0" xfId="0" applyFont="1" applyAlignment="1">
      <alignment horizontal="left"/>
    </xf>
    <xf numFmtId="14" fontId="18" fillId="0" borderId="1" xfId="0" applyNumberFormat="1" applyFont="1" applyBorder="1"/>
    <xf numFmtId="43" fontId="18" fillId="0" borderId="1" xfId="1" applyFont="1" applyBorder="1"/>
    <xf numFmtId="14" fontId="18" fillId="0" borderId="0" xfId="0" applyNumberFormat="1" applyFont="1"/>
    <xf numFmtId="43" fontId="18" fillId="0" borderId="0" xfId="1" applyFont="1" applyBorder="1"/>
    <xf numFmtId="0" fontId="19" fillId="0" borderId="0" xfId="0" applyFont="1"/>
    <xf numFmtId="0" fontId="19" fillId="0" borderId="0" xfId="0" applyFont="1" applyAlignment="1">
      <alignment horizontal="right"/>
    </xf>
    <xf numFmtId="0" fontId="19" fillId="0" borderId="1" xfId="0" applyFont="1" applyBorder="1" applyAlignment="1">
      <alignment horizontal="center" vertical="center" wrapText="1"/>
    </xf>
    <xf numFmtId="0" fontId="19" fillId="0" borderId="0" xfId="0" applyFont="1" applyAlignment="1">
      <alignment horizontal="center"/>
    </xf>
    <xf numFmtId="0" fontId="26" fillId="0" borderId="0" xfId="0" applyFont="1" applyAlignment="1">
      <alignment horizontal="center" wrapText="1"/>
    </xf>
    <xf numFmtId="0" fontId="18" fillId="0" borderId="0" xfId="0" applyFont="1" applyAlignment="1">
      <alignment horizontal="center" wrapText="1"/>
    </xf>
    <xf numFmtId="0" fontId="25" fillId="0" borderId="0" xfId="0" applyFont="1" applyAlignment="1">
      <alignment horizontal="center" wrapText="1"/>
    </xf>
    <xf numFmtId="0" fontId="18" fillId="0" borderId="8" xfId="0" applyFont="1" applyBorder="1" applyAlignment="1">
      <alignment horizontal="center" wrapText="1"/>
    </xf>
    <xf numFmtId="0" fontId="18" fillId="0" borderId="9" xfId="0" applyFont="1" applyBorder="1" applyAlignment="1">
      <alignment horizontal="center" wrapText="1"/>
    </xf>
    <xf numFmtId="0" fontId="19" fillId="0" borderId="1" xfId="0" applyFont="1" applyBorder="1"/>
    <xf numFmtId="14" fontId="19" fillId="0" borderId="1" xfId="0" applyNumberFormat="1" applyFont="1" applyBorder="1"/>
    <xf numFmtId="43" fontId="19" fillId="0" borderId="1" xfId="1" applyFont="1" applyBorder="1"/>
    <xf numFmtId="0" fontId="11" fillId="4" borderId="1" xfId="0" applyFont="1" applyFill="1" applyBorder="1" applyAlignment="1">
      <alignment vertical="center" wrapText="1"/>
    </xf>
    <xf numFmtId="0" fontId="19" fillId="0" borderId="0" xfId="0" applyFont="1" applyAlignment="1">
      <alignment horizontal="center" vertical="center" wrapText="1"/>
    </xf>
    <xf numFmtId="43" fontId="31" fillId="0" borderId="1" xfId="1" applyFont="1" applyBorder="1"/>
    <xf numFmtId="43" fontId="11" fillId="4" borderId="1" xfId="1" applyFont="1" applyFill="1" applyBorder="1" applyAlignment="1">
      <alignment vertical="center" wrapText="1"/>
    </xf>
    <xf numFmtId="0" fontId="18" fillId="0" borderId="0" xfId="0" applyFont="1" applyAlignment="1">
      <alignment horizontal="left" vertical="top" wrapText="1"/>
    </xf>
    <xf numFmtId="0" fontId="18" fillId="0" borderId="8" xfId="0" applyFont="1" applyBorder="1" applyAlignment="1">
      <alignment wrapText="1"/>
    </xf>
    <xf numFmtId="0" fontId="18" fillId="0" borderId="9" xfId="0" applyFont="1" applyBorder="1" applyAlignment="1">
      <alignment wrapText="1"/>
    </xf>
    <xf numFmtId="165" fontId="30" fillId="2" borderId="1" xfId="0" applyNumberFormat="1" applyFont="1" applyFill="1" applyBorder="1" applyAlignment="1">
      <alignment vertical="center" wrapText="1"/>
    </xf>
    <xf numFmtId="165" fontId="11" fillId="2" borderId="1" xfId="0" applyNumberFormat="1" applyFont="1" applyFill="1" applyBorder="1" applyAlignment="1">
      <alignment vertical="center" wrapText="1"/>
    </xf>
    <xf numFmtId="0" fontId="11"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4" fillId="4" borderId="1" xfId="0" applyFont="1" applyFill="1" applyBorder="1"/>
    <xf numFmtId="0" fontId="14" fillId="0" borderId="0" xfId="0" applyFont="1" applyAlignment="1">
      <alignment horizontal="center" vertical="center" wrapText="1"/>
    </xf>
    <xf numFmtId="0" fontId="14" fillId="0" borderId="0" xfId="0" applyFont="1" applyAlignment="1">
      <alignment horizontal="center"/>
    </xf>
    <xf numFmtId="0" fontId="13" fillId="0" borderId="0" xfId="0" applyFont="1" applyAlignment="1">
      <alignment horizontal="center" vertical="center"/>
    </xf>
    <xf numFmtId="43" fontId="11" fillId="4" borderId="3" xfId="1" applyFont="1" applyFill="1" applyBorder="1" applyAlignment="1">
      <alignment vertical="center" wrapText="1"/>
    </xf>
    <xf numFmtId="0" fontId="12" fillId="2" borderId="1" xfId="0" applyFont="1" applyFill="1" applyBorder="1" applyAlignment="1">
      <alignment horizontal="right" vertical="center" wrapText="1"/>
    </xf>
    <xf numFmtId="0" fontId="13" fillId="0" borderId="0" xfId="0" applyFont="1" applyAlignment="1">
      <alignment vertical="top" wrapText="1"/>
    </xf>
    <xf numFmtId="0" fontId="14" fillId="0" borderId="0" xfId="0" applyFont="1" applyAlignment="1">
      <alignment horizontal="center" wrapText="1"/>
    </xf>
    <xf numFmtId="0" fontId="13" fillId="0" borderId="0" xfId="0" applyFont="1" applyAlignment="1">
      <alignment vertical="top"/>
    </xf>
    <xf numFmtId="0" fontId="11" fillId="6" borderId="1" xfId="0" applyFont="1" applyFill="1" applyBorder="1" applyAlignment="1">
      <alignment vertical="center" wrapText="1"/>
    </xf>
    <xf numFmtId="165" fontId="11" fillId="2" borderId="1" xfId="0" applyNumberFormat="1" applyFont="1" applyFill="1" applyBorder="1" applyAlignment="1">
      <alignment horizontal="left" vertical="center" wrapText="1"/>
    </xf>
    <xf numFmtId="14" fontId="11" fillId="6" borderId="1" xfId="0" applyNumberFormat="1" applyFont="1" applyFill="1" applyBorder="1" applyAlignment="1">
      <alignment vertical="center" wrapText="1"/>
    </xf>
    <xf numFmtId="165" fontId="11" fillId="6" borderId="1" xfId="0" applyNumberFormat="1" applyFont="1" applyFill="1" applyBorder="1" applyAlignment="1">
      <alignment vertical="center" wrapText="1"/>
    </xf>
    <xf numFmtId="9" fontId="11" fillId="7" borderId="1" xfId="0" applyNumberFormat="1" applyFont="1" applyFill="1" applyBorder="1" applyAlignment="1">
      <alignment vertical="center" wrapText="1"/>
    </xf>
    <xf numFmtId="49" fontId="11" fillId="7" borderId="1" xfId="1" applyNumberFormat="1" applyFont="1" applyFill="1" applyBorder="1" applyAlignment="1">
      <alignment vertical="center" wrapText="1"/>
    </xf>
    <xf numFmtId="40" fontId="11" fillId="7" borderId="1" xfId="1" applyNumberFormat="1" applyFont="1" applyFill="1" applyBorder="1" applyAlignment="1">
      <alignment vertical="center" wrapText="1"/>
    </xf>
    <xf numFmtId="0" fontId="12" fillId="2" borderId="1" xfId="0" applyFont="1" applyFill="1" applyBorder="1" applyAlignment="1">
      <alignment horizontal="center" vertical="center" wrapText="1"/>
    </xf>
    <xf numFmtId="49" fontId="11" fillId="4" borderId="1" xfId="0" applyNumberFormat="1" applyFont="1" applyFill="1" applyBorder="1" applyAlignment="1">
      <alignment horizontal="left" vertical="center" wrapText="1"/>
    </xf>
    <xf numFmtId="0" fontId="37" fillId="0" borderId="0" xfId="0" applyFont="1"/>
    <xf numFmtId="0" fontId="31" fillId="0" borderId="0" xfId="0" applyFont="1"/>
    <xf numFmtId="0" fontId="37" fillId="0" borderId="0" xfId="0" applyFont="1" applyAlignment="1">
      <alignment horizontal="right"/>
    </xf>
    <xf numFmtId="164" fontId="31" fillId="0" borderId="0" xfId="0" applyNumberFormat="1" applyFont="1"/>
    <xf numFmtId="166" fontId="31" fillId="0" borderId="0" xfId="0" applyNumberFormat="1" applyFont="1"/>
    <xf numFmtId="0" fontId="31" fillId="0" borderId="1" xfId="0" applyFont="1" applyBorder="1" applyAlignment="1">
      <alignment horizontal="center" vertical="center" wrapText="1"/>
    </xf>
    <xf numFmtId="0" fontId="31" fillId="0" borderId="0" xfId="0" applyFont="1" applyAlignment="1">
      <alignment horizontal="center" vertical="center" wrapText="1"/>
    </xf>
    <xf numFmtId="0" fontId="31" fillId="0" borderId="1" xfId="0" applyFont="1" applyBorder="1"/>
    <xf numFmtId="14" fontId="31" fillId="0" borderId="1" xfId="0" applyNumberFormat="1" applyFont="1" applyBorder="1"/>
    <xf numFmtId="167" fontId="31" fillId="0" borderId="0" xfId="0" applyNumberFormat="1" applyFont="1"/>
    <xf numFmtId="0" fontId="37" fillId="0" borderId="1" xfId="0" applyFont="1" applyBorder="1"/>
    <xf numFmtId="14" fontId="37" fillId="0" borderId="1" xfId="0" applyNumberFormat="1" applyFont="1" applyBorder="1"/>
    <xf numFmtId="43" fontId="37" fillId="0" borderId="1" xfId="1" applyFont="1" applyBorder="1"/>
    <xf numFmtId="14" fontId="31" fillId="0" borderId="0" xfId="0" applyNumberFormat="1" applyFont="1"/>
    <xf numFmtId="43" fontId="31" fillId="0" borderId="0" xfId="1" applyFont="1" applyBorder="1"/>
    <xf numFmtId="14" fontId="30" fillId="5" borderId="0" xfId="0" applyNumberFormat="1" applyFont="1" applyFill="1"/>
    <xf numFmtId="0" fontId="30" fillId="5" borderId="0" xfId="0" applyFont="1" applyFill="1"/>
    <xf numFmtId="0" fontId="30" fillId="0" borderId="0" xfId="0" applyFont="1"/>
    <xf numFmtId="168" fontId="40" fillId="5" borderId="0" xfId="0" applyNumberFormat="1" applyFont="1" applyFill="1"/>
    <xf numFmtId="0" fontId="30" fillId="4" borderId="0" xfId="0" applyFont="1" applyFill="1"/>
    <xf numFmtId="1" fontId="30" fillId="5" borderId="0" xfId="0" applyNumberFormat="1" applyFont="1" applyFill="1"/>
    <xf numFmtId="49" fontId="31" fillId="0" borderId="0" xfId="0" applyNumberFormat="1" applyFont="1" applyAlignment="1">
      <alignment horizontal="right"/>
    </xf>
    <xf numFmtId="0" fontId="41" fillId="0" borderId="0" xfId="0" applyFont="1" applyAlignment="1">
      <alignment vertical="center"/>
    </xf>
    <xf numFmtId="0" fontId="42" fillId="0" borderId="0" xfId="0" applyFont="1" applyAlignment="1">
      <alignment horizontal="right" vertical="center"/>
    </xf>
    <xf numFmtId="0" fontId="42" fillId="0" borderId="0" xfId="0" applyFont="1" applyAlignment="1">
      <alignment horizontal="right" vertical="center" wrapText="1"/>
    </xf>
    <xf numFmtId="43" fontId="18" fillId="0" borderId="1" xfId="1" applyFont="1" applyBorder="1" applyAlignment="1">
      <alignment horizontal="center" vertical="top" wrapText="1"/>
    </xf>
    <xf numFmtId="0" fontId="43" fillId="7" borderId="1" xfId="0" applyFont="1" applyFill="1" applyBorder="1"/>
    <xf numFmtId="0" fontId="43"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30" fillId="4" borderId="1" xfId="0" applyFont="1" applyFill="1" applyBorder="1"/>
    <xf numFmtId="0" fontId="43"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32" fillId="0" borderId="0" xfId="0" applyFont="1" applyAlignment="1">
      <alignment horizontal="right"/>
    </xf>
    <xf numFmtId="0" fontId="32" fillId="0" borderId="0" xfId="0" applyFont="1" applyAlignment="1">
      <alignment horizontal="justify"/>
    </xf>
    <xf numFmtId="0" fontId="32" fillId="0" borderId="0" xfId="0" applyFont="1" applyAlignment="1">
      <alignment horizontal="justify" vertical="center"/>
    </xf>
    <xf numFmtId="0" fontId="32" fillId="0" borderId="1" xfId="0" applyFont="1" applyBorder="1" applyAlignment="1">
      <alignment horizontal="justify"/>
    </xf>
    <xf numFmtId="0" fontId="32" fillId="0" borderId="0" xfId="0" applyFont="1" applyAlignment="1">
      <alignment horizontal="justify" vertical="center" wrapText="1"/>
    </xf>
    <xf numFmtId="0" fontId="32" fillId="0" borderId="0" xfId="0" applyFont="1" applyAlignment="1">
      <alignment horizontal="left"/>
    </xf>
    <xf numFmtId="0" fontId="32" fillId="0" borderId="11" xfId="0" applyFont="1" applyBorder="1" applyAlignment="1">
      <alignment horizontal="center"/>
    </xf>
    <xf numFmtId="0" fontId="32" fillId="0" borderId="0" xfId="0" applyFont="1" applyAlignment="1">
      <alignment horizontal="center"/>
    </xf>
    <xf numFmtId="0" fontId="11" fillId="3" borderId="1" xfId="0" applyFont="1" applyFill="1" applyBorder="1" applyAlignment="1">
      <alignment horizontal="center" vertical="center" wrapText="1"/>
    </xf>
    <xf numFmtId="0" fontId="18" fillId="0" borderId="0" xfId="0" applyFont="1" applyAlignment="1">
      <alignment vertical="top"/>
    </xf>
    <xf numFmtId="0" fontId="19" fillId="0" borderId="0" xfId="0" applyFont="1" applyAlignment="1">
      <alignment horizontal="left" vertical="center" wrapText="1"/>
    </xf>
    <xf numFmtId="0" fontId="19" fillId="0" borderId="0" xfId="0" applyFont="1" applyAlignment="1">
      <alignment horizontal="right" vertical="center" wrapText="1"/>
    </xf>
    <xf numFmtId="0" fontId="0" fillId="0" borderId="0" xfId="0" applyAlignment="1">
      <alignment horizontal="left" vertical="center"/>
    </xf>
    <xf numFmtId="0" fontId="18" fillId="0" borderId="0" xfId="0" applyFont="1" applyAlignment="1">
      <alignment horizontal="left" vertical="center" wrapText="1"/>
    </xf>
    <xf numFmtId="0" fontId="18" fillId="0" borderId="0" xfId="0" applyFont="1" applyAlignment="1">
      <alignment horizontal="right"/>
    </xf>
    <xf numFmtId="0" fontId="12" fillId="6" borderId="1" xfId="0" applyFont="1" applyFill="1" applyBorder="1" applyAlignment="1">
      <alignment horizontal="left" vertical="center" wrapText="1"/>
    </xf>
    <xf numFmtId="0" fontId="12" fillId="6" borderId="1" xfId="0" applyFont="1" applyFill="1" applyBorder="1" applyAlignment="1">
      <alignment vertical="center" wrapText="1"/>
    </xf>
    <xf numFmtId="0" fontId="15" fillId="4" borderId="1" xfId="0" applyFont="1" applyFill="1" applyBorder="1" applyAlignment="1">
      <alignment horizontal="center" vertical="center" wrapText="1"/>
    </xf>
    <xf numFmtId="0" fontId="21" fillId="0" borderId="0" xfId="0" applyFont="1" applyAlignment="1">
      <alignment wrapText="1"/>
    </xf>
    <xf numFmtId="165" fontId="21" fillId="0" borderId="0" xfId="0" applyNumberFormat="1" applyFont="1"/>
    <xf numFmtId="0" fontId="20" fillId="0" borderId="0" xfId="0" applyFont="1" applyAlignment="1">
      <alignment vertical="center" wrapText="1"/>
    </xf>
    <xf numFmtId="0" fontId="20" fillId="0" borderId="0" xfId="0" applyFont="1" applyAlignment="1">
      <alignment horizontal="left"/>
    </xf>
    <xf numFmtId="0" fontId="14" fillId="0" borderId="0" xfId="0" applyFont="1" applyAlignment="1">
      <alignment horizontal="left"/>
    </xf>
    <xf numFmtId="14" fontId="15" fillId="4" borderId="1" xfId="0" applyNumberFormat="1" applyFont="1" applyFill="1" applyBorder="1" applyAlignment="1">
      <alignment horizontal="center" vertical="center" wrapText="1"/>
    </xf>
    <xf numFmtId="0" fontId="11" fillId="4" borderId="3" xfId="0" applyFont="1" applyFill="1" applyBorder="1" applyAlignment="1">
      <alignment vertical="center" wrapText="1"/>
    </xf>
    <xf numFmtId="49" fontId="15" fillId="4" borderId="1" xfId="0" applyNumberFormat="1" applyFont="1" applyFill="1" applyBorder="1" applyAlignment="1">
      <alignment horizontal="center" vertical="center" wrapText="1"/>
    </xf>
    <xf numFmtId="0" fontId="21" fillId="0" borderId="0" xfId="0" applyFont="1" applyAlignment="1">
      <alignment horizontal="center" vertical="top" wrapText="1"/>
    </xf>
    <xf numFmtId="0" fontId="45" fillId="2" borderId="1" xfId="0" applyFont="1" applyFill="1" applyBorder="1" applyAlignment="1">
      <alignment vertical="center" wrapText="1"/>
    </xf>
    <xf numFmtId="0" fontId="11" fillId="9" borderId="1" xfId="0" applyFont="1" applyFill="1" applyBorder="1" applyAlignment="1">
      <alignment vertical="center" wrapText="1"/>
    </xf>
    <xf numFmtId="0" fontId="9" fillId="0" borderId="0" xfId="0" applyFont="1"/>
    <xf numFmtId="0" fontId="46" fillId="0" borderId="0" xfId="0" applyFont="1" applyAlignment="1">
      <alignment vertical="center"/>
    </xf>
    <xf numFmtId="0" fontId="47" fillId="0" borderId="0" xfId="0" applyFont="1" applyAlignment="1">
      <alignment wrapText="1"/>
    </xf>
    <xf numFmtId="0" fontId="13" fillId="0" borderId="0" xfId="0" applyFont="1" applyAlignment="1">
      <alignment wrapText="1"/>
    </xf>
    <xf numFmtId="0" fontId="49" fillId="0" borderId="0" xfId="0" applyFont="1"/>
    <xf numFmtId="0" fontId="14" fillId="0" borderId="0" xfId="0" applyFont="1" applyAlignment="1">
      <alignment horizontal="left" vertical="center" wrapText="1"/>
    </xf>
    <xf numFmtId="0" fontId="13" fillId="0" borderId="0" xfId="0" applyFont="1" applyAlignment="1">
      <alignment horizontal="left" vertical="top" wrapText="1"/>
    </xf>
    <xf numFmtId="0" fontId="35" fillId="0" borderId="0" xfId="0" applyFont="1" applyAlignment="1">
      <alignment horizontal="left"/>
    </xf>
    <xf numFmtId="0" fontId="14" fillId="0" borderId="0" xfId="0" applyFont="1" applyAlignment="1">
      <alignment horizontal="left" vertical="top" wrapText="1"/>
    </xf>
    <xf numFmtId="49" fontId="13" fillId="0" borderId="0" xfId="0" applyNumberFormat="1" applyFont="1" applyAlignment="1">
      <alignment horizontal="left" vertical="top" wrapText="1"/>
    </xf>
    <xf numFmtId="0" fontId="11" fillId="5" borderId="1" xfId="0" applyFont="1" applyFill="1" applyBorder="1" applyAlignment="1">
      <alignment vertical="center" wrapText="1"/>
    </xf>
    <xf numFmtId="0" fontId="18" fillId="0" borderId="0" xfId="0" applyFont="1" applyAlignment="1">
      <alignment horizontal="left"/>
    </xf>
    <xf numFmtId="14" fontId="11" fillId="3" borderId="1" xfId="0" applyNumberFormat="1" applyFont="1" applyFill="1" applyBorder="1" applyAlignment="1">
      <alignment horizontal="center" vertical="center" wrapText="1"/>
    </xf>
    <xf numFmtId="0" fontId="51" fillId="2" borderId="1" xfId="0" applyFont="1" applyFill="1" applyBorder="1" applyAlignment="1">
      <alignment horizontal="left" vertical="center" wrapText="1"/>
    </xf>
    <xf numFmtId="0" fontId="51" fillId="2" borderId="1" xfId="0" applyFont="1" applyFill="1" applyBorder="1" applyAlignment="1">
      <alignment vertical="center" wrapText="1"/>
    </xf>
    <xf numFmtId="0" fontId="33" fillId="4" borderId="1" xfId="0" applyFont="1" applyFill="1" applyBorder="1" applyAlignment="1">
      <alignment vertical="center" wrapText="1"/>
    </xf>
    <xf numFmtId="0" fontId="53" fillId="4" borderId="1" xfId="0" applyFont="1" applyFill="1" applyBorder="1" applyAlignment="1">
      <alignment vertical="center" wrapText="1"/>
    </xf>
    <xf numFmtId="0" fontId="52" fillId="2" borderId="1" xfId="0" applyFont="1" applyFill="1" applyBorder="1" applyAlignment="1">
      <alignment vertical="center" wrapText="1"/>
    </xf>
    <xf numFmtId="0" fontId="51" fillId="10" borderId="2" xfId="0" applyFont="1" applyFill="1" applyBorder="1" applyAlignment="1">
      <alignment horizontal="left" vertical="center" wrapText="1"/>
    </xf>
    <xf numFmtId="0" fontId="51" fillId="10" borderId="24" xfId="0" applyFont="1" applyFill="1" applyBorder="1" applyAlignment="1">
      <alignment horizontal="left" vertical="center" wrapText="1"/>
    </xf>
    <xf numFmtId="43" fontId="53" fillId="4" borderId="1" xfId="1" applyFont="1" applyFill="1" applyBorder="1" applyAlignment="1">
      <alignment vertical="center" wrapText="1"/>
    </xf>
    <xf numFmtId="0" fontId="18" fillId="11" borderId="0" xfId="0" applyFont="1" applyFill="1"/>
    <xf numFmtId="0" fontId="11" fillId="10" borderId="0" xfId="0" applyFont="1" applyFill="1"/>
    <xf numFmtId="0" fontId="12" fillId="10" borderId="0" xfId="0" applyFont="1" applyFill="1" applyAlignment="1">
      <alignment vertical="center" wrapText="1"/>
    </xf>
    <xf numFmtId="0" fontId="11" fillId="10" borderId="0" xfId="0" applyFont="1" applyFill="1" applyAlignment="1">
      <alignment vertical="center" wrapText="1"/>
    </xf>
    <xf numFmtId="49" fontId="33" fillId="4" borderId="1" xfId="0" applyNumberFormat="1" applyFont="1" applyFill="1" applyBorder="1" applyAlignment="1">
      <alignment vertical="center" wrapText="1"/>
    </xf>
    <xf numFmtId="0" fontId="12" fillId="2" borderId="13" xfId="0" applyFont="1" applyFill="1" applyBorder="1" applyAlignment="1">
      <alignment vertical="center" wrapText="1"/>
    </xf>
    <xf numFmtId="0" fontId="11" fillId="0" borderId="13" xfId="0" applyFont="1" applyBorder="1" applyAlignment="1">
      <alignment vertical="center" wrapText="1"/>
    </xf>
    <xf numFmtId="0" fontId="50" fillId="12" borderId="25" xfId="0" applyFont="1" applyFill="1" applyBorder="1" applyAlignment="1">
      <alignment vertical="center" wrapText="1"/>
    </xf>
    <xf numFmtId="0" fontId="50" fillId="12" borderId="27" xfId="0" applyFont="1" applyFill="1" applyBorder="1" applyAlignment="1">
      <alignment vertical="center" wrapText="1"/>
    </xf>
    <xf numFmtId="43" fontId="11" fillId="12" borderId="28" xfId="1" applyFont="1" applyFill="1" applyBorder="1" applyAlignment="1">
      <alignment vertical="center" wrapText="1"/>
    </xf>
    <xf numFmtId="0" fontId="12" fillId="12" borderId="29" xfId="0" applyFont="1" applyFill="1" applyBorder="1" applyAlignment="1">
      <alignment vertical="center" wrapText="1"/>
    </xf>
    <xf numFmtId="43" fontId="11" fillId="12" borderId="30" xfId="1" applyFont="1" applyFill="1" applyBorder="1" applyAlignment="1">
      <alignment vertical="center" wrapText="1"/>
    </xf>
    <xf numFmtId="0" fontId="19" fillId="0" borderId="0" xfId="0" applyFont="1" applyAlignment="1">
      <alignment horizontal="left" wrapText="1"/>
    </xf>
    <xf numFmtId="0" fontId="13" fillId="0" borderId="0" xfId="0" applyFont="1" applyAlignment="1">
      <alignment vertical="center" wrapText="1"/>
    </xf>
    <xf numFmtId="0" fontId="12" fillId="2" borderId="1" xfId="0" applyFont="1" applyFill="1" applyBorder="1" applyAlignment="1">
      <alignment horizontal="left" vertical="center" wrapText="1"/>
    </xf>
    <xf numFmtId="0" fontId="56" fillId="0" borderId="0" xfId="0" applyFont="1" applyAlignment="1" applyProtection="1">
      <alignment horizontal="center" vertical="center"/>
      <protection hidden="1"/>
    </xf>
    <xf numFmtId="0" fontId="57" fillId="0" borderId="0" xfId="0" applyFont="1" applyAlignment="1" applyProtection="1">
      <alignment horizontal="center" vertical="center"/>
      <protection hidden="1"/>
    </xf>
    <xf numFmtId="0" fontId="22" fillId="0" borderId="0" xfId="0" applyFont="1" applyAlignment="1">
      <alignment horizontal="center"/>
    </xf>
    <xf numFmtId="0" fontId="13" fillId="0" borderId="0" xfId="0" applyFont="1" applyAlignment="1">
      <alignment horizontal="left" vertical="center" wrapText="1"/>
    </xf>
    <xf numFmtId="0" fontId="13" fillId="0" borderId="0" xfId="0" applyFont="1" applyAlignment="1">
      <alignment horizontal="center"/>
    </xf>
    <xf numFmtId="0" fontId="58" fillId="4" borderId="1" xfId="0" applyFont="1" applyFill="1" applyBorder="1" applyAlignment="1">
      <alignment vertical="center" wrapText="1"/>
    </xf>
    <xf numFmtId="0" fontId="58" fillId="6" borderId="1" xfId="0" applyFont="1" applyFill="1" applyBorder="1" applyAlignment="1">
      <alignment vertical="center" wrapText="1"/>
    </xf>
    <xf numFmtId="169" fontId="58" fillId="4" borderId="1" xfId="0" applyNumberFormat="1" applyFont="1" applyFill="1" applyBorder="1" applyAlignment="1">
      <alignment vertical="center" wrapText="1"/>
    </xf>
    <xf numFmtId="0" fontId="59" fillId="4" borderId="1" xfId="0" applyFont="1" applyFill="1" applyBorder="1" applyAlignment="1">
      <alignment vertical="center" wrapText="1"/>
    </xf>
    <xf numFmtId="0" fontId="58" fillId="0" borderId="1" xfId="0" applyFont="1" applyBorder="1" applyAlignment="1">
      <alignment vertical="center" wrapText="1"/>
    </xf>
    <xf numFmtId="43" fontId="58" fillId="4" borderId="1" xfId="1" applyFont="1" applyFill="1" applyBorder="1" applyAlignment="1">
      <alignment vertical="center" wrapText="1"/>
    </xf>
    <xf numFmtId="170" fontId="58" fillId="4" borderId="1" xfId="0" applyNumberFormat="1" applyFont="1" applyFill="1" applyBorder="1" applyAlignment="1">
      <alignment vertical="center" wrapText="1"/>
    </xf>
    <xf numFmtId="0" fontId="13" fillId="5" borderId="0" xfId="0" applyFont="1" applyFill="1"/>
    <xf numFmtId="0" fontId="19" fillId="0" borderId="0" xfId="0" applyFont="1" applyAlignment="1">
      <alignment horizontal="left"/>
    </xf>
    <xf numFmtId="0" fontId="19" fillId="0" borderId="0" xfId="0" applyFont="1" applyAlignment="1">
      <alignment wrapText="1"/>
    </xf>
    <xf numFmtId="0" fontId="19" fillId="0" borderId="0" xfId="0" applyFont="1" applyAlignment="1">
      <alignment vertical="top" wrapText="1"/>
    </xf>
    <xf numFmtId="0" fontId="14" fillId="0" borderId="0" xfId="0" applyFont="1" applyAlignment="1">
      <alignment wrapText="1"/>
    </xf>
    <xf numFmtId="0" fontId="20" fillId="0" borderId="0" xfId="0" applyFont="1" applyAlignment="1">
      <alignment vertical="center"/>
    </xf>
    <xf numFmtId="0" fontId="16" fillId="0" borderId="0" xfId="0" applyFont="1" applyAlignment="1" applyProtection="1">
      <alignment horizontal="center" vertical="center"/>
      <protection hidden="1"/>
    </xf>
    <xf numFmtId="0" fontId="14" fillId="0" borderId="0" xfId="0" applyFont="1" applyAlignment="1">
      <alignment horizontal="center" vertical="center"/>
    </xf>
    <xf numFmtId="0" fontId="14" fillId="0" borderId="0" xfId="0" applyFont="1" applyAlignment="1">
      <alignment horizontal="right" wrapText="1"/>
    </xf>
    <xf numFmtId="0" fontId="60" fillId="0" borderId="0" xfId="0" applyFont="1"/>
    <xf numFmtId="0" fontId="13" fillId="0" borderId="0" xfId="0" applyFont="1" applyAlignment="1">
      <alignment horizontal="right"/>
    </xf>
    <xf numFmtId="49" fontId="13" fillId="0" borderId="0" xfId="0" applyNumberFormat="1" applyFont="1" applyAlignment="1">
      <alignment horizontal="right"/>
    </xf>
    <xf numFmtId="0" fontId="13" fillId="0" borderId="0" xfId="0" applyFont="1" applyAlignment="1">
      <alignment horizontal="left" wrapText="1"/>
    </xf>
    <xf numFmtId="0" fontId="18" fillId="0" borderId="0" xfId="0" applyFont="1" applyAlignment="1">
      <alignment vertical="center"/>
    </xf>
    <xf numFmtId="0" fontId="18" fillId="0" borderId="0" xfId="0" applyFont="1" applyAlignment="1">
      <alignment horizontal="right" vertical="center"/>
    </xf>
    <xf numFmtId="0" fontId="19" fillId="0" borderId="0" xfId="0" applyFont="1" applyAlignment="1">
      <alignment vertical="center"/>
    </xf>
    <xf numFmtId="0" fontId="61" fillId="4" borderId="0" xfId="0" applyFont="1" applyFill="1"/>
    <xf numFmtId="0" fontId="61" fillId="4" borderId="0" xfId="0" applyFont="1" applyFill="1" applyAlignment="1">
      <alignment vertical="center"/>
    </xf>
    <xf numFmtId="0" fontId="5" fillId="12" borderId="26" xfId="0" applyFont="1" applyFill="1" applyBorder="1" applyAlignment="1">
      <alignment vertical="center" wrapText="1"/>
    </xf>
    <xf numFmtId="49" fontId="5" fillId="4" borderId="1" xfId="0" applyNumberFormat="1" applyFont="1" applyFill="1" applyBorder="1" applyAlignment="1">
      <alignment vertical="center" wrapText="1"/>
    </xf>
    <xf numFmtId="0" fontId="5" fillId="4" borderId="1" xfId="0" applyFont="1" applyFill="1" applyBorder="1" applyAlignment="1">
      <alignment horizontal="left" vertical="center" wrapText="1"/>
    </xf>
    <xf numFmtId="49" fontId="5" fillId="4" borderId="1" xfId="0" applyNumberFormat="1" applyFont="1" applyFill="1" applyBorder="1" applyAlignment="1">
      <alignment horizontal="left" vertical="center" wrapText="1"/>
    </xf>
    <xf numFmtId="14" fontId="13" fillId="0" borderId="0" xfId="0" applyNumberFormat="1" applyFont="1"/>
    <xf numFmtId="0" fontId="33" fillId="6" borderId="1" xfId="0" applyFont="1" applyFill="1" applyBorder="1" applyAlignment="1">
      <alignment vertical="center" wrapText="1"/>
    </xf>
    <xf numFmtId="0" fontId="2" fillId="4" borderId="1" xfId="0" applyFont="1" applyFill="1" applyBorder="1" applyAlignment="1">
      <alignment vertical="center" wrapText="1"/>
    </xf>
    <xf numFmtId="49" fontId="2" fillId="4" borderId="1" xfId="0" applyNumberFormat="1" applyFont="1" applyFill="1" applyBorder="1" applyAlignment="1">
      <alignment vertical="center" wrapText="1"/>
    </xf>
    <xf numFmtId="0" fontId="2" fillId="0" borderId="1" xfId="0" applyFont="1" applyBorder="1" applyAlignment="1">
      <alignment vertical="center" wrapText="1"/>
    </xf>
    <xf numFmtId="0" fontId="12" fillId="3" borderId="31" xfId="0" applyFont="1" applyFill="1" applyBorder="1" applyAlignment="1">
      <alignment vertical="center" wrapText="1"/>
    </xf>
    <xf numFmtId="4" fontId="11" fillId="3" borderId="19" xfId="0" applyNumberFormat="1" applyFont="1" applyFill="1" applyBorder="1" applyAlignment="1">
      <alignment vertical="center" wrapText="1"/>
    </xf>
    <xf numFmtId="4" fontId="58" fillId="0" borderId="1" xfId="0" applyNumberFormat="1" applyFont="1" applyBorder="1" applyAlignment="1">
      <alignment vertical="center" wrapText="1"/>
    </xf>
    <xf numFmtId="49" fontId="2" fillId="0" borderId="1" xfId="0" applyNumberFormat="1" applyFont="1" applyBorder="1" applyAlignment="1">
      <alignment vertical="center" wrapText="1"/>
    </xf>
    <xf numFmtId="0" fontId="13" fillId="5" borderId="0" xfId="0" applyFont="1" applyFill="1" applyAlignment="1">
      <alignment horizontal="center" wrapText="1"/>
    </xf>
    <xf numFmtId="11" fontId="2" fillId="4" borderId="1" xfId="0" applyNumberFormat="1" applyFont="1" applyFill="1" applyBorder="1" applyAlignment="1">
      <alignment vertical="center" wrapText="1"/>
    </xf>
    <xf numFmtId="0" fontId="67" fillId="0" borderId="0" xfId="6044" applyAlignment="1">
      <alignment horizontal="left" vertical="top"/>
    </xf>
    <xf numFmtId="0" fontId="32" fillId="0" borderId="0" xfId="6044" applyFont="1" applyAlignment="1">
      <alignment vertical="top"/>
    </xf>
    <xf numFmtId="0" fontId="32" fillId="0" borderId="0" xfId="6044" applyFont="1" applyAlignment="1">
      <alignment horizontal="right" vertical="top"/>
    </xf>
    <xf numFmtId="0" fontId="57" fillId="0" borderId="33" xfId="6044" applyFont="1" applyBorder="1" applyAlignment="1">
      <alignment horizontal="left" vertical="top" wrapText="1"/>
    </xf>
    <xf numFmtId="0" fontId="67" fillId="0" borderId="33" xfId="6044" applyBorder="1" applyAlignment="1">
      <alignment horizontal="left" vertical="top" wrapText="1"/>
    </xf>
    <xf numFmtId="0" fontId="32" fillId="0" borderId="0" xfId="6044" applyFont="1" applyAlignment="1">
      <alignment horizontal="left" vertical="center"/>
    </xf>
    <xf numFmtId="0" fontId="77" fillId="0" borderId="0" xfId="6044" applyFont="1" applyAlignment="1">
      <alignment horizontal="left" vertical="top"/>
    </xf>
    <xf numFmtId="43" fontId="58" fillId="9" borderId="1" xfId="1" applyFont="1" applyFill="1" applyBorder="1" applyAlignment="1">
      <alignment vertical="center" wrapText="1"/>
    </xf>
    <xf numFmtId="14" fontId="2" fillId="4" borderId="1" xfId="0" applyNumberFormat="1" applyFont="1" applyFill="1" applyBorder="1" applyAlignment="1">
      <alignment vertical="center" wrapText="1"/>
    </xf>
    <xf numFmtId="49" fontId="2" fillId="4" borderId="1" xfId="0" applyNumberFormat="1" applyFont="1" applyFill="1" applyBorder="1" applyAlignment="1">
      <alignment horizontal="left" vertical="center" wrapText="1"/>
    </xf>
    <xf numFmtId="0" fontId="2" fillId="7" borderId="1" xfId="0" applyFont="1" applyFill="1" applyBorder="1" applyAlignment="1">
      <alignment vertical="center" wrapText="1"/>
    </xf>
    <xf numFmtId="49" fontId="2" fillId="7" borderId="1" xfId="1" applyNumberFormat="1" applyFont="1" applyFill="1" applyBorder="1" applyAlignment="1">
      <alignment vertical="center" wrapText="1"/>
    </xf>
    <xf numFmtId="0" fontId="11" fillId="5" borderId="0" xfId="0" applyFont="1" applyFill="1"/>
    <xf numFmtId="0" fontId="11" fillId="5" borderId="1" xfId="0" applyFont="1" applyFill="1" applyBorder="1"/>
    <xf numFmtId="0" fontId="11" fillId="5" borderId="1" xfId="0" applyFont="1" applyFill="1" applyBorder="1" applyAlignment="1">
      <alignment wrapText="1"/>
    </xf>
    <xf numFmtId="10" fontId="33" fillId="5" borderId="0" xfId="287" applyNumberFormat="1" applyFont="1" applyFill="1" applyAlignment="1">
      <alignment horizontal="center"/>
    </xf>
    <xf numFmtId="0" fontId="33" fillId="5" borderId="0" xfId="0" applyFont="1" applyFill="1" applyAlignment="1">
      <alignment horizontal="center"/>
    </xf>
    <xf numFmtId="0" fontId="33" fillId="5" borderId="0" xfId="0" applyFont="1" applyFill="1"/>
    <xf numFmtId="43" fontId="30" fillId="5" borderId="0" xfId="0" applyNumberFormat="1" applyFont="1" applyFill="1"/>
    <xf numFmtId="4" fontId="30" fillId="5" borderId="0" xfId="0" applyNumberFormat="1" applyFont="1" applyFill="1"/>
    <xf numFmtId="0" fontId="66" fillId="5" borderId="16" xfId="0" applyFont="1" applyFill="1" applyBorder="1"/>
    <xf numFmtId="164" fontId="30" fillId="5" borderId="3" xfId="0" applyNumberFormat="1" applyFont="1" applyFill="1" applyBorder="1" applyAlignment="1">
      <alignment horizontal="left" vertical="top" wrapText="1"/>
    </xf>
    <xf numFmtId="14" fontId="11" fillId="5" borderId="0" xfId="0" applyNumberFormat="1" applyFont="1" applyFill="1"/>
    <xf numFmtId="168" fontId="12" fillId="5" borderId="0" xfId="0" applyNumberFormat="1" applyFont="1" applyFill="1"/>
    <xf numFmtId="0" fontId="2" fillId="5" borderId="0" xfId="0" applyFont="1" applyFill="1"/>
    <xf numFmtId="0" fontId="11" fillId="5" borderId="19" xfId="0" applyFont="1" applyFill="1" applyBorder="1"/>
    <xf numFmtId="0" fontId="11" fillId="5" borderId="20" xfId="0" applyFont="1" applyFill="1" applyBorder="1"/>
    <xf numFmtId="0" fontId="15" fillId="5" borderId="1" xfId="0" applyFont="1" applyFill="1" applyBorder="1" applyAlignment="1">
      <alignment horizontal="center" vertical="center" wrapText="1"/>
    </xf>
    <xf numFmtId="0" fontId="11" fillId="5" borderId="1" xfId="0" applyFont="1" applyFill="1" applyBorder="1" applyAlignment="1">
      <alignment horizontal="center" vertical="center"/>
    </xf>
    <xf numFmtId="0" fontId="11" fillId="5" borderId="1" xfId="0" applyFont="1" applyFill="1" applyBorder="1" applyAlignment="1">
      <alignment horizontal="center" vertical="center" wrapText="1"/>
    </xf>
    <xf numFmtId="0" fontId="11" fillId="5" borderId="1" xfId="0" applyFont="1" applyFill="1" applyBorder="1" applyAlignment="1">
      <alignment horizontal="left" vertical="center"/>
    </xf>
    <xf numFmtId="0" fontId="11" fillId="5" borderId="1" xfId="0" applyFont="1" applyFill="1" applyBorder="1" applyAlignment="1">
      <alignment horizontal="left" vertical="center" wrapText="1"/>
    </xf>
    <xf numFmtId="0" fontId="12" fillId="5" borderId="0" xfId="0" applyFont="1" applyFill="1" applyAlignment="1">
      <alignment vertical="center"/>
    </xf>
    <xf numFmtId="0" fontId="11" fillId="5" borderId="13" xfId="0" applyFont="1" applyFill="1" applyBorder="1" applyAlignment="1">
      <alignment vertical="center"/>
    </xf>
    <xf numFmtId="0" fontId="11" fillId="5" borderId="15" xfId="0" applyFont="1" applyFill="1" applyBorder="1" applyAlignment="1">
      <alignment vertical="center"/>
    </xf>
    <xf numFmtId="14" fontId="11" fillId="5" borderId="1" xfId="0" applyNumberFormat="1" applyFont="1" applyFill="1" applyBorder="1"/>
    <xf numFmtId="0" fontId="12" fillId="5" borderId="0" xfId="0" applyFont="1" applyFill="1"/>
    <xf numFmtId="49" fontId="11" fillId="5" borderId="0" xfId="0" applyNumberFormat="1" applyFont="1" applyFill="1"/>
    <xf numFmtId="49" fontId="11" fillId="5" borderId="1" xfId="0" applyNumberFormat="1" applyFont="1" applyFill="1" applyBorder="1"/>
    <xf numFmtId="0" fontId="12" fillId="5" borderId="0" xfId="0" applyFont="1" applyFill="1" applyAlignment="1">
      <alignment wrapText="1"/>
    </xf>
    <xf numFmtId="164" fontId="11" fillId="5" borderId="1" xfId="0" applyNumberFormat="1" applyFont="1" applyFill="1" applyBorder="1" applyAlignment="1">
      <alignment vertical="center" wrapText="1"/>
    </xf>
    <xf numFmtId="164" fontId="11" fillId="5" borderId="0" xfId="0" applyNumberFormat="1" applyFont="1" applyFill="1" applyAlignment="1">
      <alignment vertical="center" wrapText="1"/>
    </xf>
    <xf numFmtId="0" fontId="2" fillId="5" borderId="1" xfId="0" applyFont="1" applyFill="1" applyBorder="1" applyAlignment="1">
      <alignment horizontal="left" vertical="center"/>
    </xf>
    <xf numFmtId="0" fontId="2" fillId="5" borderId="1" xfId="0" applyFont="1" applyFill="1" applyBorder="1"/>
    <xf numFmtId="0" fontId="2" fillId="0" borderId="0" xfId="0" applyFont="1"/>
    <xf numFmtId="0" fontId="19" fillId="0" borderId="1" xfId="0" applyFont="1" applyBorder="1" applyAlignment="1">
      <alignment vertical="center" wrapText="1"/>
    </xf>
    <xf numFmtId="0" fontId="18" fillId="0" borderId="1" xfId="0" applyFont="1" applyBorder="1" applyAlignment="1">
      <alignment horizontal="center" vertical="center" wrapText="1"/>
    </xf>
    <xf numFmtId="0" fontId="18" fillId="0" borderId="0" xfId="0" applyFont="1" applyAlignment="1">
      <alignment horizontal="left" vertical="center" wrapText="1"/>
    </xf>
    <xf numFmtId="0" fontId="18" fillId="0" borderId="0" xfId="0" applyFont="1" applyAlignment="1">
      <alignment horizontal="left" vertical="top" wrapText="1"/>
    </xf>
    <xf numFmtId="0" fontId="48" fillId="0" borderId="0" xfId="0" applyFont="1" applyAlignment="1">
      <alignment horizontal="justify" vertical="top" wrapText="1"/>
    </xf>
    <xf numFmtId="0" fontId="18" fillId="0" borderId="0" xfId="0" applyFont="1" applyAlignment="1">
      <alignment horizontal="justify" vertical="top" wrapText="1"/>
    </xf>
    <xf numFmtId="0" fontId="19" fillId="0" borderId="0" xfId="0" applyFont="1" applyAlignment="1">
      <alignment horizontal="left" vertical="center" wrapText="1"/>
    </xf>
    <xf numFmtId="0" fontId="19" fillId="0" borderId="0" xfId="0" applyFont="1" applyAlignment="1">
      <alignment horizontal="center" vertical="center" wrapText="1"/>
    </xf>
    <xf numFmtId="0" fontId="37" fillId="0" borderId="0" xfId="0" applyFont="1" applyAlignment="1">
      <alignment horizontal="center" vertical="center" wrapText="1"/>
    </xf>
    <xf numFmtId="0" fontId="2" fillId="0" borderId="19" xfId="0" applyFont="1" applyBorder="1" applyAlignment="1">
      <alignment vertical="center" wrapText="1"/>
    </xf>
    <xf numFmtId="0" fontId="2" fillId="0" borderId="0" xfId="0" applyFont="1" applyAlignment="1">
      <alignment vertical="center"/>
    </xf>
    <xf numFmtId="0" fontId="12" fillId="2" borderId="15"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21" fillId="0" borderId="0" xfId="0" applyFont="1" applyAlignment="1">
      <alignment horizontal="justify" vertical="top" wrapText="1"/>
    </xf>
    <xf numFmtId="0" fontId="20" fillId="0" borderId="0" xfId="0" applyFont="1" applyAlignment="1">
      <alignment horizontal="center" vertical="top" wrapText="1"/>
    </xf>
    <xf numFmtId="0" fontId="21" fillId="0" borderId="0" xfId="0" applyFont="1" applyAlignment="1">
      <alignment horizontal="left" vertical="top" wrapText="1"/>
    </xf>
    <xf numFmtId="0" fontId="21" fillId="0" borderId="0" xfId="0" applyFont="1" applyAlignment="1">
      <alignment horizontal="center" vertical="top" wrapText="1"/>
    </xf>
    <xf numFmtId="0" fontId="21" fillId="0" borderId="4" xfId="0" applyFont="1" applyBorder="1" applyAlignment="1">
      <alignment horizontal="center" vertical="top" wrapText="1"/>
    </xf>
    <xf numFmtId="49" fontId="21" fillId="0" borderId="0" xfId="0" applyNumberFormat="1" applyFont="1" applyAlignment="1">
      <alignment horizontal="center" vertical="center" wrapText="1"/>
    </xf>
    <xf numFmtId="0" fontId="32" fillId="0" borderId="0" xfId="0" applyFont="1" applyAlignment="1">
      <alignment horizontal="justify" vertical="center" wrapText="1"/>
    </xf>
    <xf numFmtId="0" fontId="32" fillId="0" borderId="1" xfId="0" applyFont="1" applyBorder="1" applyAlignment="1">
      <alignment horizontal="justify" vertical="center" wrapText="1"/>
    </xf>
    <xf numFmtId="0" fontId="32" fillId="0" borderId="17" xfId="0" applyFont="1" applyBorder="1" applyAlignment="1">
      <alignment horizontal="justify" vertical="center" wrapText="1"/>
    </xf>
    <xf numFmtId="0" fontId="32" fillId="0" borderId="11" xfId="0" applyFont="1" applyBorder="1" applyAlignment="1">
      <alignment horizontal="justify"/>
    </xf>
    <xf numFmtId="0" fontId="32" fillId="0" borderId="0" xfId="0" applyFont="1" applyAlignment="1">
      <alignment horizontal="center"/>
    </xf>
    <xf numFmtId="0" fontId="32" fillId="0" borderId="3" xfId="0" applyFont="1" applyBorder="1" applyAlignment="1">
      <alignment horizontal="justify" vertical="center" wrapText="1"/>
    </xf>
    <xf numFmtId="0" fontId="32" fillId="0" borderId="18" xfId="0" applyFont="1" applyBorder="1" applyAlignment="1">
      <alignment horizontal="justify" vertical="center" wrapText="1"/>
    </xf>
    <xf numFmtId="0" fontId="32" fillId="0" borderId="2" xfId="0" applyFont="1" applyBorder="1" applyAlignment="1">
      <alignment horizontal="justify" vertical="center" wrapText="1"/>
    </xf>
    <xf numFmtId="0" fontId="32" fillId="0" borderId="3" xfId="0" applyFont="1" applyBorder="1" applyAlignment="1">
      <alignment horizontal="justify" vertical="center"/>
    </xf>
    <xf numFmtId="0" fontId="32" fillId="0" borderId="2" xfId="0" applyFont="1" applyBorder="1" applyAlignment="1">
      <alignment horizontal="justify" vertical="center"/>
    </xf>
    <xf numFmtId="0" fontId="32" fillId="0" borderId="21" xfId="0" applyFont="1" applyBorder="1" applyAlignment="1">
      <alignment horizontal="justify" vertical="center"/>
    </xf>
    <xf numFmtId="0" fontId="32" fillId="0" borderId="17" xfId="0" applyFont="1" applyBorder="1" applyAlignment="1">
      <alignment horizontal="justify" vertical="center"/>
    </xf>
    <xf numFmtId="0" fontId="32" fillId="0" borderId="22" xfId="0" applyFont="1" applyBorder="1" applyAlignment="1">
      <alignment horizontal="justify" vertical="center"/>
    </xf>
    <xf numFmtId="0" fontId="32" fillId="0" borderId="20" xfId="0" applyFont="1" applyBorder="1" applyAlignment="1">
      <alignment horizontal="justify" vertical="center"/>
    </xf>
    <xf numFmtId="0" fontId="32" fillId="0" borderId="4" xfId="0" applyFont="1" applyBorder="1" applyAlignment="1">
      <alignment horizontal="justify" vertical="center"/>
    </xf>
    <xf numFmtId="0" fontId="32" fillId="0" borderId="23" xfId="0" applyFont="1" applyBorder="1" applyAlignment="1">
      <alignment horizontal="justify" vertical="center"/>
    </xf>
    <xf numFmtId="0" fontId="14" fillId="0" borderId="0" xfId="0" applyFont="1" applyAlignment="1">
      <alignment horizontal="center"/>
    </xf>
    <xf numFmtId="0" fontId="14" fillId="0" borderId="0" xfId="0" applyFont="1" applyAlignment="1">
      <alignment horizontal="right" vertical="top" wrapText="1"/>
    </xf>
    <xf numFmtId="0" fontId="13" fillId="0" borderId="0" xfId="0" applyFont="1" applyAlignment="1">
      <alignment horizontal="justify" vertical="top" wrapText="1"/>
    </xf>
    <xf numFmtId="0" fontId="13" fillId="0" borderId="0" xfId="0" applyFont="1" applyAlignment="1">
      <alignment horizontal="justify" wrapText="1"/>
    </xf>
    <xf numFmtId="0" fontId="13" fillId="4" borderId="0" xfId="0" applyFont="1" applyFill="1" applyAlignment="1">
      <alignment horizontal="justify" vertical="top" wrapText="1"/>
    </xf>
    <xf numFmtId="0" fontId="13" fillId="0" borderId="0" xfId="0" applyFont="1" applyAlignment="1">
      <alignment horizontal="left" vertical="top" wrapText="1"/>
    </xf>
    <xf numFmtId="0" fontId="14" fillId="0" borderId="0" xfId="0" applyFont="1" applyAlignment="1">
      <alignment horizontal="left" vertical="center" wrapText="1"/>
    </xf>
    <xf numFmtId="0" fontId="18" fillId="0" borderId="0" xfId="0" applyFont="1" applyAlignment="1">
      <alignment horizontal="center" vertical="center"/>
    </xf>
    <xf numFmtId="49" fontId="18" fillId="0" borderId="0" xfId="0" applyNumberFormat="1" applyFont="1" applyAlignment="1">
      <alignment horizontal="justify" vertical="top" wrapText="1"/>
    </xf>
    <xf numFmtId="0" fontId="19" fillId="0" borderId="0" xfId="0" applyFont="1" applyAlignment="1">
      <alignment horizontal="center" vertical="top" wrapText="1"/>
    </xf>
    <xf numFmtId="0" fontId="19" fillId="0" borderId="0" xfId="0" applyFont="1" applyAlignment="1">
      <alignment horizontal="left" vertical="top" wrapText="1"/>
    </xf>
    <xf numFmtId="0" fontId="14" fillId="0" borderId="0" xfId="0" applyFont="1" applyAlignment="1">
      <alignment horizontal="center" vertical="center"/>
    </xf>
    <xf numFmtId="0" fontId="13" fillId="5" borderId="0" xfId="0" applyFont="1" applyFill="1" applyAlignment="1">
      <alignment horizontal="left" vertical="top" wrapText="1"/>
    </xf>
    <xf numFmtId="0" fontId="32" fillId="5" borderId="0" xfId="0" applyFont="1" applyFill="1" applyAlignment="1">
      <alignment horizontal="left" vertical="top" wrapText="1"/>
    </xf>
    <xf numFmtId="49" fontId="13" fillId="0" borderId="0" xfId="0" applyNumberFormat="1" applyFont="1" applyAlignment="1">
      <alignment horizontal="left" vertical="top" wrapText="1"/>
    </xf>
    <xf numFmtId="0" fontId="14" fillId="0" borderId="0" xfId="0" applyFont="1" applyAlignment="1">
      <alignment horizontal="center" vertical="center" wrapText="1"/>
    </xf>
    <xf numFmtId="0" fontId="13" fillId="0" borderId="0" xfId="0" applyFont="1" applyAlignment="1">
      <alignment vertical="top" wrapText="1"/>
    </xf>
    <xf numFmtId="0" fontId="35" fillId="0" borderId="0" xfId="0" applyFont="1" applyAlignment="1">
      <alignment horizontal="center" vertical="top" wrapText="1"/>
    </xf>
    <xf numFmtId="0" fontId="14" fillId="0" borderId="0" xfId="0" applyFont="1" applyAlignment="1">
      <alignment horizontal="center" vertical="top" wrapText="1"/>
    </xf>
    <xf numFmtId="0" fontId="35" fillId="0" borderId="0" xfId="0" applyFont="1" applyAlignment="1">
      <alignment horizontal="left"/>
    </xf>
    <xf numFmtId="0" fontId="14" fillId="0" borderId="0" xfId="0" applyFont="1" applyAlignment="1">
      <alignment horizontal="center" wrapText="1"/>
    </xf>
    <xf numFmtId="0" fontId="54" fillId="0" borderId="0" xfId="0" applyFont="1" applyAlignment="1">
      <alignment horizontal="center" wrapText="1"/>
    </xf>
    <xf numFmtId="0" fontId="18" fillId="0" borderId="0" xfId="0" applyFont="1" applyAlignment="1">
      <alignment horizontal="center"/>
    </xf>
    <xf numFmtId="0" fontId="18" fillId="0" borderId="0" xfId="0" applyFont="1" applyAlignment="1">
      <alignment horizontal="center" vertical="top" wrapText="1"/>
    </xf>
    <xf numFmtId="0" fontId="18" fillId="0" borderId="0" xfId="0" applyFont="1" applyAlignment="1">
      <alignment horizontal="left" wrapText="1"/>
    </xf>
    <xf numFmtId="0" fontId="23" fillId="0" borderId="0" xfId="0" applyFont="1" applyAlignment="1">
      <alignment horizontal="center" vertical="top" wrapText="1"/>
    </xf>
    <xf numFmtId="0" fontId="18" fillId="0" borderId="0" xfId="0" applyFont="1" applyAlignment="1">
      <alignment horizontal="center" wrapText="1"/>
    </xf>
    <xf numFmtId="0" fontId="24" fillId="0" borderId="0" xfId="0" applyFont="1" applyAlignment="1">
      <alignment horizontal="center" vertical="center" wrapText="1"/>
    </xf>
    <xf numFmtId="0" fontId="19" fillId="0" borderId="0" xfId="0" applyFont="1" applyAlignment="1">
      <alignment horizontal="center" wrapText="1"/>
    </xf>
    <xf numFmtId="0" fontId="19" fillId="0" borderId="0" xfId="0" applyFont="1" applyAlignment="1">
      <alignment horizontal="right"/>
    </xf>
    <xf numFmtId="0" fontId="19" fillId="0" borderId="0" xfId="0" applyFont="1" applyAlignment="1">
      <alignment horizontal="center"/>
    </xf>
    <xf numFmtId="0" fontId="18" fillId="0" borderId="1" xfId="0" applyFont="1" applyBorder="1" applyAlignment="1">
      <alignment horizontal="center" vertical="center"/>
    </xf>
    <xf numFmtId="0" fontId="18" fillId="0" borderId="1" xfId="0" applyFont="1" applyBorder="1" applyAlignment="1">
      <alignment horizontal="center" vertical="center" wrapText="1"/>
    </xf>
    <xf numFmtId="0" fontId="18" fillId="0" borderId="1" xfId="0" applyFont="1" applyBorder="1" applyAlignment="1">
      <alignment horizontal="center"/>
    </xf>
    <xf numFmtId="0" fontId="19" fillId="0" borderId="0" xfId="0" applyFont="1" applyAlignment="1">
      <alignment horizontal="right" vertical="center" wrapText="1"/>
    </xf>
    <xf numFmtId="0" fontId="13" fillId="8" borderId="0" xfId="0" applyFont="1" applyFill="1" applyAlignment="1">
      <alignment horizontal="justify" vertical="top" wrapText="1"/>
    </xf>
    <xf numFmtId="0" fontId="13" fillId="0" borderId="0" xfId="0" applyFont="1" applyAlignment="1">
      <alignment horizontal="center" vertical="center" wrapText="1"/>
    </xf>
    <xf numFmtId="0" fontId="37" fillId="0" borderId="0" xfId="0" applyFont="1" applyAlignment="1">
      <alignment horizontal="left" vertical="center" wrapText="1"/>
    </xf>
    <xf numFmtId="0" fontId="37" fillId="0" borderId="0" xfId="0" applyFont="1" applyAlignment="1">
      <alignment horizontal="center" vertical="top" wrapText="1"/>
    </xf>
    <xf numFmtId="0" fontId="29" fillId="0" borderId="0" xfId="0" applyFont="1" applyAlignment="1">
      <alignment horizontal="right" vertical="top" wrapText="1"/>
    </xf>
    <xf numFmtId="0" fontId="18" fillId="0" borderId="13"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15"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18" xfId="0" applyFont="1" applyBorder="1" applyAlignment="1">
      <alignment horizontal="center" vertical="center" wrapText="1"/>
    </xf>
    <xf numFmtId="49" fontId="18" fillId="0" borderId="3" xfId="0" applyNumberFormat="1" applyFont="1" applyBorder="1" applyAlignment="1">
      <alignment horizontal="center" vertical="center" wrapText="1"/>
    </xf>
    <xf numFmtId="0" fontId="18" fillId="0" borderId="2" xfId="0" applyFont="1" applyBorder="1" applyAlignment="1">
      <alignment horizontal="center" vertical="center" wrapText="1"/>
    </xf>
    <xf numFmtId="0" fontId="31" fillId="0" borderId="0" xfId="0" applyFont="1" applyAlignment="1">
      <alignment horizontal="center"/>
    </xf>
    <xf numFmtId="0" fontId="31" fillId="0" borderId="0" xfId="0" applyFont="1" applyAlignment="1">
      <alignment horizontal="center" vertical="top" wrapText="1"/>
    </xf>
    <xf numFmtId="0" fontId="31" fillId="0" borderId="0" xfId="0" applyFont="1" applyAlignment="1">
      <alignment horizontal="left" wrapText="1"/>
    </xf>
    <xf numFmtId="0" fontId="39" fillId="0" borderId="0" xfId="0" applyFont="1" applyAlignment="1">
      <alignment horizontal="center" vertical="top" wrapText="1"/>
    </xf>
    <xf numFmtId="0" fontId="31" fillId="0" borderId="0" xfId="0" applyFont="1" applyAlignment="1">
      <alignment horizontal="center" wrapText="1"/>
    </xf>
    <xf numFmtId="0" fontId="31" fillId="0" borderId="0" xfId="0" applyFont="1" applyAlignment="1">
      <alignment horizontal="justify" vertical="top" wrapText="1"/>
    </xf>
    <xf numFmtId="0" fontId="38" fillId="0" borderId="0" xfId="0" applyFont="1" applyAlignment="1">
      <alignment horizontal="center" vertical="center" wrapText="1"/>
    </xf>
    <xf numFmtId="0" fontId="37" fillId="0" borderId="0" xfId="0" applyFont="1" applyAlignment="1">
      <alignment horizontal="center" wrapText="1"/>
    </xf>
    <xf numFmtId="0" fontId="37" fillId="0" borderId="0" xfId="0" applyFont="1" applyAlignment="1">
      <alignment horizontal="right"/>
    </xf>
    <xf numFmtId="0" fontId="37" fillId="0" borderId="0" xfId="0" applyFont="1" applyAlignment="1">
      <alignment horizontal="center"/>
    </xf>
    <xf numFmtId="0" fontId="31" fillId="0" borderId="1" xfId="0" applyFont="1" applyBorder="1" applyAlignment="1">
      <alignment horizontal="center" vertical="center"/>
    </xf>
    <xf numFmtId="0" fontId="31" fillId="0" borderId="1" xfId="0" applyFont="1" applyBorder="1" applyAlignment="1">
      <alignment horizontal="center" vertical="center" wrapText="1"/>
    </xf>
    <xf numFmtId="0" fontId="31" fillId="0" borderId="1" xfId="0" applyFont="1" applyBorder="1" applyAlignment="1">
      <alignment horizontal="center"/>
    </xf>
    <xf numFmtId="0" fontId="19" fillId="0" borderId="10" xfId="0" applyFont="1" applyBorder="1" applyAlignment="1">
      <alignment horizontal="center" wrapText="1"/>
    </xf>
    <xf numFmtId="0" fontId="19" fillId="0" borderId="11" xfId="0" applyFont="1" applyBorder="1" applyAlignment="1">
      <alignment horizontal="center" wrapText="1"/>
    </xf>
    <xf numFmtId="0" fontId="19" fillId="0" borderId="12" xfId="0" applyFont="1" applyBorder="1" applyAlignment="1">
      <alignment horizontal="center" wrapText="1"/>
    </xf>
    <xf numFmtId="0" fontId="18" fillId="0" borderId="8" xfId="0" applyFont="1" applyBorder="1" applyAlignment="1">
      <alignment horizontal="center" wrapText="1"/>
    </xf>
    <xf numFmtId="0" fontId="18" fillId="0" borderId="9" xfId="0" applyFont="1" applyBorder="1" applyAlignment="1">
      <alignment horizontal="center" wrapText="1"/>
    </xf>
    <xf numFmtId="0" fontId="19" fillId="0" borderId="8" xfId="0" applyFont="1" applyBorder="1" applyAlignment="1">
      <alignment horizontal="left" wrapText="1"/>
    </xf>
    <xf numFmtId="0" fontId="19" fillId="0" borderId="0" xfId="0" applyFont="1" applyAlignment="1">
      <alignment horizontal="left" wrapText="1"/>
    </xf>
    <xf numFmtId="0" fontId="19" fillId="0" borderId="9" xfId="0" applyFont="1" applyBorder="1" applyAlignment="1">
      <alignment horizontal="left" wrapText="1"/>
    </xf>
    <xf numFmtId="0" fontId="27" fillId="0" borderId="8" xfId="0" applyFont="1" applyBorder="1" applyAlignment="1">
      <alignment horizontal="center" wrapText="1"/>
    </xf>
    <xf numFmtId="0" fontId="27" fillId="0" borderId="0" xfId="0" applyFont="1" applyAlignment="1">
      <alignment horizontal="center" wrapText="1"/>
    </xf>
    <xf numFmtId="0" fontId="27" fillId="0" borderId="9" xfId="0" applyFont="1" applyBorder="1" applyAlignment="1">
      <alignment horizontal="center" wrapText="1"/>
    </xf>
    <xf numFmtId="0" fontId="28" fillId="0" borderId="5" xfId="0" applyFont="1" applyBorder="1" applyAlignment="1">
      <alignment horizontal="center" wrapText="1"/>
    </xf>
    <xf numFmtId="0" fontId="28" fillId="0" borderId="6" xfId="0" applyFont="1" applyBorder="1" applyAlignment="1">
      <alignment horizontal="center" wrapText="1"/>
    </xf>
    <xf numFmtId="0" fontId="28" fillId="0" borderId="7" xfId="0" applyFont="1" applyBorder="1" applyAlignment="1">
      <alignment horizontal="center" wrapText="1"/>
    </xf>
    <xf numFmtId="0" fontId="36" fillId="0" borderId="8" xfId="0" applyFont="1" applyBorder="1" applyAlignment="1">
      <alignment horizontal="center" wrapText="1"/>
    </xf>
    <xf numFmtId="0" fontId="36" fillId="0" borderId="0" xfId="0" applyFont="1" applyAlignment="1">
      <alignment horizontal="center" wrapText="1"/>
    </xf>
    <xf numFmtId="0" fontId="36" fillId="0" borderId="9" xfId="0" applyFont="1" applyBorder="1" applyAlignment="1">
      <alignment horizontal="center" wrapText="1"/>
    </xf>
    <xf numFmtId="0" fontId="67" fillId="0" borderId="34" xfId="6044" applyBorder="1" applyAlignment="1">
      <alignment horizontal="left" vertical="top" wrapText="1"/>
    </xf>
    <xf numFmtId="0" fontId="67" fillId="0" borderId="35" xfId="6044" applyBorder="1" applyAlignment="1">
      <alignment horizontal="left" vertical="top" wrapText="1"/>
    </xf>
    <xf numFmtId="9" fontId="32" fillId="0" borderId="34" xfId="6044" applyNumberFormat="1" applyFont="1" applyBorder="1" applyAlignment="1">
      <alignment horizontal="left" vertical="top" wrapText="1"/>
    </xf>
    <xf numFmtId="0" fontId="32" fillId="0" borderId="35" xfId="6044" applyFont="1" applyBorder="1" applyAlignment="1">
      <alignment horizontal="left" vertical="top" wrapText="1"/>
    </xf>
    <xf numFmtId="0" fontId="67" fillId="0" borderId="0" xfId="6044" applyAlignment="1">
      <alignment horizontal="left" vertical="top" wrapText="1"/>
    </xf>
    <xf numFmtId="0" fontId="68" fillId="0" borderId="0" xfId="6044" applyFont="1" applyAlignment="1">
      <alignment horizontal="center"/>
    </xf>
    <xf numFmtId="0" fontId="67" fillId="0" borderId="0" xfId="6044" applyAlignment="1">
      <alignment horizontal="center"/>
    </xf>
    <xf numFmtId="0" fontId="69" fillId="0" borderId="0" xfId="6044" applyFont="1" applyAlignment="1">
      <alignment horizontal="center" vertical="top"/>
    </xf>
    <xf numFmtId="0" fontId="57" fillId="0" borderId="0" xfId="6044" applyFont="1" applyAlignment="1">
      <alignment horizontal="left" vertical="top"/>
    </xf>
    <xf numFmtId="0" fontId="72" fillId="0" borderId="0" xfId="6044" applyFont="1" applyAlignment="1">
      <alignment horizontal="left" vertical="top" wrapText="1"/>
    </xf>
    <xf numFmtId="0" fontId="71" fillId="0" borderId="32" xfId="6044" applyFont="1" applyBorder="1" applyAlignment="1">
      <alignment horizontal="left" vertical="top" wrapText="1"/>
    </xf>
    <xf numFmtId="0" fontId="67" fillId="0" borderId="32" xfId="6044" applyBorder="1" applyAlignment="1">
      <alignment horizontal="left" vertical="top" wrapText="1"/>
    </xf>
    <xf numFmtId="0" fontId="13" fillId="0" borderId="0" xfId="0" applyFont="1" applyAlignment="1">
      <alignment horizontal="left" vertical="center" wrapText="1"/>
    </xf>
    <xf numFmtId="0" fontId="14" fillId="0" borderId="0" xfId="0" applyFont="1" applyAlignment="1">
      <alignment horizontal="left" vertical="top" wrapText="1"/>
    </xf>
    <xf numFmtId="0" fontId="14" fillId="0" borderId="0" xfId="0" applyFont="1" applyAlignment="1">
      <alignment horizontal="right" vertical="center"/>
    </xf>
    <xf numFmtId="0" fontId="42" fillId="0" borderId="0" xfId="0" applyFont="1" applyAlignment="1">
      <alignment vertical="center" wrapText="1"/>
    </xf>
    <xf numFmtId="0" fontId="41" fillId="0" borderId="0" xfId="0" applyFont="1" applyAlignment="1">
      <alignment horizontal="justify" vertical="center" wrapText="1"/>
    </xf>
    <xf numFmtId="0" fontId="18" fillId="0" borderId="0" xfId="0" applyFont="1" applyAlignment="1">
      <alignment vertical="top" wrapText="1"/>
    </xf>
    <xf numFmtId="0" fontId="42" fillId="0" borderId="0" xfId="0" applyFont="1" applyAlignment="1">
      <alignment horizontal="justify" vertical="center" wrapText="1"/>
    </xf>
    <xf numFmtId="0" fontId="41" fillId="0" borderId="0" xfId="0" applyFont="1" applyAlignment="1">
      <alignment horizontal="justify" vertical="top" wrapText="1"/>
    </xf>
    <xf numFmtId="0" fontId="18" fillId="0" borderId="0" xfId="0" applyFont="1" applyAlignment="1">
      <alignment horizontal="left"/>
    </xf>
    <xf numFmtId="0" fontId="20" fillId="8" borderId="3" xfId="0" applyFont="1" applyFill="1" applyBorder="1" applyAlignment="1">
      <alignment horizontal="center" vertical="center" wrapText="1"/>
    </xf>
    <xf numFmtId="0" fontId="20" fillId="8" borderId="2" xfId="0" applyFont="1" applyFill="1" applyBorder="1" applyAlignment="1">
      <alignment horizontal="center" vertical="center" wrapText="1"/>
    </xf>
    <xf numFmtId="0" fontId="20" fillId="0" borderId="0" xfId="0" applyFont="1" applyAlignment="1">
      <alignment horizontal="center" wrapText="1"/>
    </xf>
    <xf numFmtId="0" fontId="21" fillId="0" borderId="0" xfId="0" applyFont="1" applyAlignment="1">
      <alignment horizontal="left"/>
    </xf>
    <xf numFmtId="0" fontId="44" fillId="0" borderId="0" xfId="0" applyFont="1" applyAlignment="1">
      <alignment horizontal="left" vertical="center" wrapText="1" readingOrder="1"/>
    </xf>
    <xf numFmtId="0" fontId="21" fillId="0" borderId="0" xfId="0" applyFont="1" applyAlignment="1">
      <alignment horizontal="justify" vertical="top" wrapText="1" readingOrder="1"/>
    </xf>
    <xf numFmtId="0" fontId="20" fillId="0" borderId="4" xfId="0" applyFont="1" applyBorder="1" applyAlignment="1">
      <alignment horizontal="left" vertical="top"/>
    </xf>
    <xf numFmtId="0" fontId="21" fillId="0" borderId="0" xfId="0" applyFont="1" applyAlignment="1">
      <alignment horizontal="left" wrapText="1"/>
    </xf>
    <xf numFmtId="0" fontId="21" fillId="0" borderId="1" xfId="0" applyFont="1" applyBorder="1" applyAlignment="1">
      <alignment horizontal="center" vertical="center" wrapText="1"/>
    </xf>
    <xf numFmtId="0" fontId="21" fillId="0" borderId="3" xfId="0" applyFont="1" applyBorder="1" applyAlignment="1">
      <alignment horizontal="center" vertical="center" wrapText="1"/>
    </xf>
    <xf numFmtId="0" fontId="21" fillId="0" borderId="2" xfId="0" applyFont="1" applyBorder="1" applyAlignment="1">
      <alignment horizontal="center" vertical="center" wrapText="1"/>
    </xf>
    <xf numFmtId="0" fontId="18" fillId="0" borderId="17" xfId="0" applyFont="1" applyBorder="1" applyAlignment="1">
      <alignment horizontal="left" vertical="center"/>
    </xf>
    <xf numFmtId="0" fontId="18" fillId="0" borderId="0" xfId="0" applyFont="1" applyAlignment="1">
      <alignment horizontal="left" vertical="center"/>
    </xf>
  </cellXfs>
  <cellStyles count="6045">
    <cellStyle name="Обычный" xfId="0" builtinId="0"/>
    <cellStyle name="Обычный 10" xfId="72" xr:uid="{00000000-0005-0000-0000-000001000000}"/>
    <cellStyle name="Обычный 10 10" xfId="4326" xr:uid="{00000000-0005-0000-0000-000002000000}"/>
    <cellStyle name="Обычный 10 2" xfId="208" xr:uid="{00000000-0005-0000-0000-000003000000}"/>
    <cellStyle name="Обычный 10 2 2" xfId="1306" xr:uid="{00000000-0005-0000-0000-000004000000}"/>
    <cellStyle name="Обычный 10 2 2 2" xfId="1416" xr:uid="{00000000-0005-0000-0000-000005000000}"/>
    <cellStyle name="Обычный 10 2 2 2 2" xfId="3200" xr:uid="{00000000-0005-0000-0000-000006000000}"/>
    <cellStyle name="Обычный 10 2 2 2 3" xfId="4844" xr:uid="{00000000-0005-0000-0000-000007000000}"/>
    <cellStyle name="Обычный 10 2 2 3" xfId="3090" xr:uid="{00000000-0005-0000-0000-000008000000}"/>
    <cellStyle name="Обычный 10 2 2 4" xfId="4734" xr:uid="{00000000-0005-0000-0000-000009000000}"/>
    <cellStyle name="Обычный 10 2 3" xfId="1400" xr:uid="{00000000-0005-0000-0000-00000A000000}"/>
    <cellStyle name="Обычный 10 2 3 2" xfId="3184" xr:uid="{00000000-0005-0000-0000-00000B000000}"/>
    <cellStyle name="Обычный 10 2 3 3" xfId="4828" xr:uid="{00000000-0005-0000-0000-00000C000000}"/>
    <cellStyle name="Обычный 10 2 4" xfId="2537" xr:uid="{00000000-0005-0000-0000-00000D000000}"/>
    <cellStyle name="Обычный 10 2 4 2" xfId="4182" xr:uid="{00000000-0005-0000-0000-00000E000000}"/>
    <cellStyle name="Обычный 10 2 4 3" xfId="5965" xr:uid="{00000000-0005-0000-0000-00000F000000}"/>
    <cellStyle name="Обычный 10 2 5" xfId="1041" xr:uid="{00000000-0005-0000-0000-000010000000}"/>
    <cellStyle name="Обычный 10 2 6" xfId="629" xr:uid="{00000000-0005-0000-0000-000011000000}"/>
    <cellStyle name="Обычный 10 2 7" xfId="2818" xr:uid="{00000000-0005-0000-0000-000012000000}"/>
    <cellStyle name="Обычный 10 2 8" xfId="4462" xr:uid="{00000000-0005-0000-0000-000013000000}"/>
    <cellStyle name="Обычный 10 3" xfId="357" xr:uid="{00000000-0005-0000-0000-000014000000}"/>
    <cellStyle name="Обычный 10 3 2" xfId="1408" xr:uid="{00000000-0005-0000-0000-000015000000}"/>
    <cellStyle name="Обычный 10 3 2 2" xfId="3192" xr:uid="{00000000-0005-0000-0000-000016000000}"/>
    <cellStyle name="Обычный 10 3 2 3" xfId="4836" xr:uid="{00000000-0005-0000-0000-000017000000}"/>
    <cellStyle name="Обычный 10 3 3" xfId="777" xr:uid="{00000000-0005-0000-0000-000018000000}"/>
    <cellStyle name="Обычный 10 3 4" xfId="2954" xr:uid="{00000000-0005-0000-0000-000019000000}"/>
    <cellStyle name="Обычный 10 3 5" xfId="4598" xr:uid="{00000000-0005-0000-0000-00001A000000}"/>
    <cellStyle name="Обычный 10 4" xfId="1426" xr:uid="{00000000-0005-0000-0000-00001B000000}"/>
    <cellStyle name="Обычный 10 4 2" xfId="1880" xr:uid="{00000000-0005-0000-0000-00001C000000}"/>
    <cellStyle name="Обычный 10 4 2 2" xfId="3525" xr:uid="{00000000-0005-0000-0000-00001D000000}"/>
    <cellStyle name="Обычный 10 4 2 3" xfId="5308" xr:uid="{00000000-0005-0000-0000-00001E000000}"/>
    <cellStyle name="Обычный 10 4 3" xfId="4854" xr:uid="{00000000-0005-0000-0000-00001F000000}"/>
    <cellStyle name="Обычный 10 5" xfId="1392" xr:uid="{00000000-0005-0000-0000-000020000000}"/>
    <cellStyle name="Обычный 10 5 2" xfId="3176" xr:uid="{00000000-0005-0000-0000-000021000000}"/>
    <cellStyle name="Обычный 10 5 3" xfId="4820" xr:uid="{00000000-0005-0000-0000-000022000000}"/>
    <cellStyle name="Обычный 10 6" xfId="2401" xr:uid="{00000000-0005-0000-0000-000023000000}"/>
    <cellStyle name="Обычный 10 6 2" xfId="4046" xr:uid="{00000000-0005-0000-0000-000024000000}"/>
    <cellStyle name="Обычный 10 6 3" xfId="5829" xr:uid="{00000000-0005-0000-0000-000025000000}"/>
    <cellStyle name="Обычный 10 7" xfId="1628" xr:uid="{00000000-0005-0000-0000-000026000000}"/>
    <cellStyle name="Обычный 10 7 2" xfId="3273" xr:uid="{00000000-0005-0000-0000-000027000000}"/>
    <cellStyle name="Обычный 10 7 3" xfId="5056" xr:uid="{00000000-0005-0000-0000-000028000000}"/>
    <cellStyle name="Обычный 10 8" xfId="493" xr:uid="{00000000-0005-0000-0000-000029000000}"/>
    <cellStyle name="Обычный 10 9" xfId="2682" xr:uid="{00000000-0005-0000-0000-00002A000000}"/>
    <cellStyle name="Обычный 11" xfId="73" xr:uid="{00000000-0005-0000-0000-00002B000000}"/>
    <cellStyle name="Обычный 11 10" xfId="4327" xr:uid="{00000000-0005-0000-0000-00002C000000}"/>
    <cellStyle name="Обычный 11 2" xfId="209" xr:uid="{00000000-0005-0000-0000-00002D000000}"/>
    <cellStyle name="Обычный 11 2 2" xfId="1307" xr:uid="{00000000-0005-0000-0000-00002E000000}"/>
    <cellStyle name="Обычный 11 2 2 2" xfId="1417" xr:uid="{00000000-0005-0000-0000-00002F000000}"/>
    <cellStyle name="Обычный 11 2 2 2 2" xfId="3201" xr:uid="{00000000-0005-0000-0000-000030000000}"/>
    <cellStyle name="Обычный 11 2 2 2 3" xfId="4845" xr:uid="{00000000-0005-0000-0000-000031000000}"/>
    <cellStyle name="Обычный 11 2 2 3" xfId="3091" xr:uid="{00000000-0005-0000-0000-000032000000}"/>
    <cellStyle name="Обычный 11 2 2 4" xfId="4735" xr:uid="{00000000-0005-0000-0000-000033000000}"/>
    <cellStyle name="Обычный 11 2 3" xfId="1401" xr:uid="{00000000-0005-0000-0000-000034000000}"/>
    <cellStyle name="Обычный 11 2 3 2" xfId="3185" xr:uid="{00000000-0005-0000-0000-000035000000}"/>
    <cellStyle name="Обычный 11 2 3 3" xfId="4829" xr:uid="{00000000-0005-0000-0000-000036000000}"/>
    <cellStyle name="Обычный 11 2 4" xfId="2538" xr:uid="{00000000-0005-0000-0000-000037000000}"/>
    <cellStyle name="Обычный 11 2 4 2" xfId="4183" xr:uid="{00000000-0005-0000-0000-000038000000}"/>
    <cellStyle name="Обычный 11 2 4 3" xfId="5966" xr:uid="{00000000-0005-0000-0000-000039000000}"/>
    <cellStyle name="Обычный 11 2 5" xfId="1042" xr:uid="{00000000-0005-0000-0000-00003A000000}"/>
    <cellStyle name="Обычный 11 2 6" xfId="630" xr:uid="{00000000-0005-0000-0000-00003B000000}"/>
    <cellStyle name="Обычный 11 2 7" xfId="2819" xr:uid="{00000000-0005-0000-0000-00003C000000}"/>
    <cellStyle name="Обычный 11 2 8" xfId="4463" xr:uid="{00000000-0005-0000-0000-00003D000000}"/>
    <cellStyle name="Обычный 11 3" xfId="358" xr:uid="{00000000-0005-0000-0000-00003E000000}"/>
    <cellStyle name="Обычный 11 3 2" xfId="1409" xr:uid="{00000000-0005-0000-0000-00003F000000}"/>
    <cellStyle name="Обычный 11 3 2 2" xfId="3193" xr:uid="{00000000-0005-0000-0000-000040000000}"/>
    <cellStyle name="Обычный 11 3 2 3" xfId="4837" xr:uid="{00000000-0005-0000-0000-000041000000}"/>
    <cellStyle name="Обычный 11 3 3" xfId="778" xr:uid="{00000000-0005-0000-0000-000042000000}"/>
    <cellStyle name="Обычный 11 3 4" xfId="2955" xr:uid="{00000000-0005-0000-0000-000043000000}"/>
    <cellStyle name="Обычный 11 3 5" xfId="4599" xr:uid="{00000000-0005-0000-0000-000044000000}"/>
    <cellStyle name="Обычный 11 4" xfId="1442" xr:uid="{00000000-0005-0000-0000-000045000000}"/>
    <cellStyle name="Обычный 11 4 2" xfId="1881" xr:uid="{00000000-0005-0000-0000-000046000000}"/>
    <cellStyle name="Обычный 11 4 2 2" xfId="3526" xr:uid="{00000000-0005-0000-0000-000047000000}"/>
    <cellStyle name="Обычный 11 4 2 3" xfId="5309" xr:uid="{00000000-0005-0000-0000-000048000000}"/>
    <cellStyle name="Обычный 11 4 3" xfId="4870" xr:uid="{00000000-0005-0000-0000-000049000000}"/>
    <cellStyle name="Обычный 11 5" xfId="1393" xr:uid="{00000000-0005-0000-0000-00004A000000}"/>
    <cellStyle name="Обычный 11 5 2" xfId="3177" xr:uid="{00000000-0005-0000-0000-00004B000000}"/>
    <cellStyle name="Обычный 11 5 3" xfId="4821" xr:uid="{00000000-0005-0000-0000-00004C000000}"/>
    <cellStyle name="Обычный 11 6" xfId="2402" xr:uid="{00000000-0005-0000-0000-00004D000000}"/>
    <cellStyle name="Обычный 11 6 2" xfId="4047" xr:uid="{00000000-0005-0000-0000-00004E000000}"/>
    <cellStyle name="Обычный 11 6 3" xfId="5830" xr:uid="{00000000-0005-0000-0000-00004F000000}"/>
    <cellStyle name="Обычный 11 7" xfId="1629" xr:uid="{00000000-0005-0000-0000-000050000000}"/>
    <cellStyle name="Обычный 11 7 2" xfId="3274" xr:uid="{00000000-0005-0000-0000-000051000000}"/>
    <cellStyle name="Обычный 11 7 3" xfId="5057" xr:uid="{00000000-0005-0000-0000-000052000000}"/>
    <cellStyle name="Обычный 11 8" xfId="494" xr:uid="{00000000-0005-0000-0000-000053000000}"/>
    <cellStyle name="Обычный 11 9" xfId="2683" xr:uid="{00000000-0005-0000-0000-000054000000}"/>
    <cellStyle name="Обычный 12" xfId="1418" xr:uid="{00000000-0005-0000-0000-000055000000}"/>
    <cellStyle name="Обычный 12 2" xfId="4846" xr:uid="{00000000-0005-0000-0000-000056000000}"/>
    <cellStyle name="Обычный 2" xfId="63" xr:uid="{00000000-0005-0000-0000-000057000000}"/>
    <cellStyle name="Обычный 2 2" xfId="1440" xr:uid="{00000000-0005-0000-0000-000058000000}"/>
    <cellStyle name="Обычный 2 2 2" xfId="4868" xr:uid="{00000000-0005-0000-0000-000059000000}"/>
    <cellStyle name="Обычный 2 2 3" xfId="6044" xr:uid="{00000000-0005-0000-0000-00005A000000}"/>
    <cellStyle name="Обычный 3" xfId="64" xr:uid="{00000000-0005-0000-0000-00005B000000}"/>
    <cellStyle name="Обычный 3 2" xfId="1425" xr:uid="{00000000-0005-0000-0000-00005C000000}"/>
    <cellStyle name="Обычный 3 2 2" xfId="4853" xr:uid="{00000000-0005-0000-0000-00005D000000}"/>
    <cellStyle name="Обычный 4" xfId="66" xr:uid="{00000000-0005-0000-0000-00005E000000}"/>
    <cellStyle name="Обычный 4 10" xfId="4320" xr:uid="{00000000-0005-0000-0000-00005F000000}"/>
    <cellStyle name="Обычный 4 2" xfId="202" xr:uid="{00000000-0005-0000-0000-000060000000}"/>
    <cellStyle name="Обычный 4 2 2" xfId="1300" xr:uid="{00000000-0005-0000-0000-000061000000}"/>
    <cellStyle name="Обычный 4 2 2 2" xfId="1410" xr:uid="{00000000-0005-0000-0000-000062000000}"/>
    <cellStyle name="Обычный 4 2 2 2 2" xfId="3194" xr:uid="{00000000-0005-0000-0000-000063000000}"/>
    <cellStyle name="Обычный 4 2 2 2 3" xfId="4838" xr:uid="{00000000-0005-0000-0000-000064000000}"/>
    <cellStyle name="Обычный 4 2 2 3" xfId="3084" xr:uid="{00000000-0005-0000-0000-000065000000}"/>
    <cellStyle name="Обычный 4 2 2 4" xfId="4728" xr:uid="{00000000-0005-0000-0000-000066000000}"/>
    <cellStyle name="Обычный 4 2 3" xfId="1394" xr:uid="{00000000-0005-0000-0000-000067000000}"/>
    <cellStyle name="Обычный 4 2 3 2" xfId="3178" xr:uid="{00000000-0005-0000-0000-000068000000}"/>
    <cellStyle name="Обычный 4 2 3 3" xfId="4822" xr:uid="{00000000-0005-0000-0000-000069000000}"/>
    <cellStyle name="Обычный 4 2 4" xfId="2531" xr:uid="{00000000-0005-0000-0000-00006A000000}"/>
    <cellStyle name="Обычный 4 2 4 2" xfId="4176" xr:uid="{00000000-0005-0000-0000-00006B000000}"/>
    <cellStyle name="Обычный 4 2 4 3" xfId="5959" xr:uid="{00000000-0005-0000-0000-00006C000000}"/>
    <cellStyle name="Обычный 4 2 5" xfId="1035" xr:uid="{00000000-0005-0000-0000-00006D000000}"/>
    <cellStyle name="Обычный 4 2 6" xfId="623" xr:uid="{00000000-0005-0000-0000-00006E000000}"/>
    <cellStyle name="Обычный 4 2 7" xfId="2812" xr:uid="{00000000-0005-0000-0000-00006F000000}"/>
    <cellStyle name="Обычный 4 2 8" xfId="4456" xr:uid="{00000000-0005-0000-0000-000070000000}"/>
    <cellStyle name="Обычный 4 3" xfId="351" xr:uid="{00000000-0005-0000-0000-000071000000}"/>
    <cellStyle name="Обычный 4 3 2" xfId="1402" xr:uid="{00000000-0005-0000-0000-000072000000}"/>
    <cellStyle name="Обычный 4 3 2 2" xfId="3186" xr:uid="{00000000-0005-0000-0000-000073000000}"/>
    <cellStyle name="Обычный 4 3 2 3" xfId="4830" xr:uid="{00000000-0005-0000-0000-000074000000}"/>
    <cellStyle name="Обычный 4 3 3" xfId="771" xr:uid="{00000000-0005-0000-0000-000075000000}"/>
    <cellStyle name="Обычный 4 3 4" xfId="2948" xr:uid="{00000000-0005-0000-0000-000076000000}"/>
    <cellStyle name="Обычный 4 3 5" xfId="4592" xr:uid="{00000000-0005-0000-0000-000077000000}"/>
    <cellStyle name="Обычный 4 4" xfId="1419" xr:uid="{00000000-0005-0000-0000-000078000000}"/>
    <cellStyle name="Обычный 4 4 2" xfId="1874" xr:uid="{00000000-0005-0000-0000-000079000000}"/>
    <cellStyle name="Обычный 4 4 2 2" xfId="3519" xr:uid="{00000000-0005-0000-0000-00007A000000}"/>
    <cellStyle name="Обычный 4 4 2 3" xfId="5302" xr:uid="{00000000-0005-0000-0000-00007B000000}"/>
    <cellStyle name="Обычный 4 4 3" xfId="4847" xr:uid="{00000000-0005-0000-0000-00007C000000}"/>
    <cellStyle name="Обычный 4 5" xfId="1386" xr:uid="{00000000-0005-0000-0000-00007D000000}"/>
    <cellStyle name="Обычный 4 5 2" xfId="3170" xr:uid="{00000000-0005-0000-0000-00007E000000}"/>
    <cellStyle name="Обычный 4 5 3" xfId="4814" xr:uid="{00000000-0005-0000-0000-00007F000000}"/>
    <cellStyle name="Обычный 4 6" xfId="2395" xr:uid="{00000000-0005-0000-0000-000080000000}"/>
    <cellStyle name="Обычный 4 6 2" xfId="4040" xr:uid="{00000000-0005-0000-0000-000081000000}"/>
    <cellStyle name="Обычный 4 6 3" xfId="5823" xr:uid="{00000000-0005-0000-0000-000082000000}"/>
    <cellStyle name="Обычный 4 7" xfId="1622" xr:uid="{00000000-0005-0000-0000-000083000000}"/>
    <cellStyle name="Обычный 4 7 2" xfId="3267" xr:uid="{00000000-0005-0000-0000-000084000000}"/>
    <cellStyle name="Обычный 4 7 3" xfId="5050" xr:uid="{00000000-0005-0000-0000-000085000000}"/>
    <cellStyle name="Обычный 4 8" xfId="487" xr:uid="{00000000-0005-0000-0000-000086000000}"/>
    <cellStyle name="Обычный 4 9" xfId="2676" xr:uid="{00000000-0005-0000-0000-000087000000}"/>
    <cellStyle name="Обычный 5" xfId="67" xr:uid="{00000000-0005-0000-0000-000088000000}"/>
    <cellStyle name="Обычный 5 10" xfId="4321" xr:uid="{00000000-0005-0000-0000-000089000000}"/>
    <cellStyle name="Обычный 5 2" xfId="203" xr:uid="{00000000-0005-0000-0000-00008A000000}"/>
    <cellStyle name="Обычный 5 2 2" xfId="1301" xr:uid="{00000000-0005-0000-0000-00008B000000}"/>
    <cellStyle name="Обычный 5 2 2 2" xfId="1411" xr:uid="{00000000-0005-0000-0000-00008C000000}"/>
    <cellStyle name="Обычный 5 2 2 2 2" xfId="3195" xr:uid="{00000000-0005-0000-0000-00008D000000}"/>
    <cellStyle name="Обычный 5 2 2 2 3" xfId="4839" xr:uid="{00000000-0005-0000-0000-00008E000000}"/>
    <cellStyle name="Обычный 5 2 2 3" xfId="3085" xr:uid="{00000000-0005-0000-0000-00008F000000}"/>
    <cellStyle name="Обычный 5 2 2 4" xfId="4729" xr:uid="{00000000-0005-0000-0000-000090000000}"/>
    <cellStyle name="Обычный 5 2 3" xfId="1395" xr:uid="{00000000-0005-0000-0000-000091000000}"/>
    <cellStyle name="Обычный 5 2 3 2" xfId="3179" xr:uid="{00000000-0005-0000-0000-000092000000}"/>
    <cellStyle name="Обычный 5 2 3 3" xfId="4823" xr:uid="{00000000-0005-0000-0000-000093000000}"/>
    <cellStyle name="Обычный 5 2 4" xfId="2532" xr:uid="{00000000-0005-0000-0000-000094000000}"/>
    <cellStyle name="Обычный 5 2 4 2" xfId="4177" xr:uid="{00000000-0005-0000-0000-000095000000}"/>
    <cellStyle name="Обычный 5 2 4 3" xfId="5960" xr:uid="{00000000-0005-0000-0000-000096000000}"/>
    <cellStyle name="Обычный 5 2 5" xfId="1036" xr:uid="{00000000-0005-0000-0000-000097000000}"/>
    <cellStyle name="Обычный 5 2 6" xfId="624" xr:uid="{00000000-0005-0000-0000-000098000000}"/>
    <cellStyle name="Обычный 5 2 7" xfId="2813" xr:uid="{00000000-0005-0000-0000-000099000000}"/>
    <cellStyle name="Обычный 5 2 8" xfId="4457" xr:uid="{00000000-0005-0000-0000-00009A000000}"/>
    <cellStyle name="Обычный 5 3" xfId="352" xr:uid="{00000000-0005-0000-0000-00009B000000}"/>
    <cellStyle name="Обычный 5 3 2" xfId="1403" xr:uid="{00000000-0005-0000-0000-00009C000000}"/>
    <cellStyle name="Обычный 5 3 2 2" xfId="3187" xr:uid="{00000000-0005-0000-0000-00009D000000}"/>
    <cellStyle name="Обычный 5 3 2 3" xfId="4831" xr:uid="{00000000-0005-0000-0000-00009E000000}"/>
    <cellStyle name="Обычный 5 3 3" xfId="772" xr:uid="{00000000-0005-0000-0000-00009F000000}"/>
    <cellStyle name="Обычный 5 3 4" xfId="2949" xr:uid="{00000000-0005-0000-0000-0000A0000000}"/>
    <cellStyle name="Обычный 5 3 5" xfId="4593" xr:uid="{00000000-0005-0000-0000-0000A1000000}"/>
    <cellStyle name="Обычный 5 4" xfId="1422" xr:uid="{00000000-0005-0000-0000-0000A2000000}"/>
    <cellStyle name="Обычный 5 4 2" xfId="1875" xr:uid="{00000000-0005-0000-0000-0000A3000000}"/>
    <cellStyle name="Обычный 5 4 2 2" xfId="3520" xr:uid="{00000000-0005-0000-0000-0000A4000000}"/>
    <cellStyle name="Обычный 5 4 2 3" xfId="5303" xr:uid="{00000000-0005-0000-0000-0000A5000000}"/>
    <cellStyle name="Обычный 5 4 3" xfId="4850" xr:uid="{00000000-0005-0000-0000-0000A6000000}"/>
    <cellStyle name="Обычный 5 5" xfId="1387" xr:uid="{00000000-0005-0000-0000-0000A7000000}"/>
    <cellStyle name="Обычный 5 5 2" xfId="3171" xr:uid="{00000000-0005-0000-0000-0000A8000000}"/>
    <cellStyle name="Обычный 5 5 3" xfId="4815" xr:uid="{00000000-0005-0000-0000-0000A9000000}"/>
    <cellStyle name="Обычный 5 6" xfId="2396" xr:uid="{00000000-0005-0000-0000-0000AA000000}"/>
    <cellStyle name="Обычный 5 6 2" xfId="4041" xr:uid="{00000000-0005-0000-0000-0000AB000000}"/>
    <cellStyle name="Обычный 5 6 3" xfId="5824" xr:uid="{00000000-0005-0000-0000-0000AC000000}"/>
    <cellStyle name="Обычный 5 7" xfId="1623" xr:uid="{00000000-0005-0000-0000-0000AD000000}"/>
    <cellStyle name="Обычный 5 7 2" xfId="3268" xr:uid="{00000000-0005-0000-0000-0000AE000000}"/>
    <cellStyle name="Обычный 5 7 3" xfId="5051" xr:uid="{00000000-0005-0000-0000-0000AF000000}"/>
    <cellStyle name="Обычный 5 8" xfId="488" xr:uid="{00000000-0005-0000-0000-0000B0000000}"/>
    <cellStyle name="Обычный 5 9" xfId="2677" xr:uid="{00000000-0005-0000-0000-0000B1000000}"/>
    <cellStyle name="Обычный 6" xfId="68" xr:uid="{00000000-0005-0000-0000-0000B2000000}"/>
    <cellStyle name="Обычный 6 10" xfId="4322" xr:uid="{00000000-0005-0000-0000-0000B3000000}"/>
    <cellStyle name="Обычный 6 2" xfId="204" xr:uid="{00000000-0005-0000-0000-0000B4000000}"/>
    <cellStyle name="Обычный 6 2 2" xfId="1302" xr:uid="{00000000-0005-0000-0000-0000B5000000}"/>
    <cellStyle name="Обычный 6 2 2 2" xfId="1412" xr:uid="{00000000-0005-0000-0000-0000B6000000}"/>
    <cellStyle name="Обычный 6 2 2 2 2" xfId="3196" xr:uid="{00000000-0005-0000-0000-0000B7000000}"/>
    <cellStyle name="Обычный 6 2 2 2 3" xfId="4840" xr:uid="{00000000-0005-0000-0000-0000B8000000}"/>
    <cellStyle name="Обычный 6 2 2 3" xfId="3086" xr:uid="{00000000-0005-0000-0000-0000B9000000}"/>
    <cellStyle name="Обычный 6 2 2 4" xfId="4730" xr:uid="{00000000-0005-0000-0000-0000BA000000}"/>
    <cellStyle name="Обычный 6 2 3" xfId="1396" xr:uid="{00000000-0005-0000-0000-0000BB000000}"/>
    <cellStyle name="Обычный 6 2 3 2" xfId="3180" xr:uid="{00000000-0005-0000-0000-0000BC000000}"/>
    <cellStyle name="Обычный 6 2 3 3" xfId="4824" xr:uid="{00000000-0005-0000-0000-0000BD000000}"/>
    <cellStyle name="Обычный 6 2 4" xfId="2533" xr:uid="{00000000-0005-0000-0000-0000BE000000}"/>
    <cellStyle name="Обычный 6 2 4 2" xfId="4178" xr:uid="{00000000-0005-0000-0000-0000BF000000}"/>
    <cellStyle name="Обычный 6 2 4 3" xfId="5961" xr:uid="{00000000-0005-0000-0000-0000C0000000}"/>
    <cellStyle name="Обычный 6 2 5" xfId="1037" xr:uid="{00000000-0005-0000-0000-0000C1000000}"/>
    <cellStyle name="Обычный 6 2 6" xfId="625" xr:uid="{00000000-0005-0000-0000-0000C2000000}"/>
    <cellStyle name="Обычный 6 2 7" xfId="2814" xr:uid="{00000000-0005-0000-0000-0000C3000000}"/>
    <cellStyle name="Обычный 6 2 8" xfId="4458" xr:uid="{00000000-0005-0000-0000-0000C4000000}"/>
    <cellStyle name="Обычный 6 3" xfId="353" xr:uid="{00000000-0005-0000-0000-0000C5000000}"/>
    <cellStyle name="Обычный 6 3 2" xfId="1404" xr:uid="{00000000-0005-0000-0000-0000C6000000}"/>
    <cellStyle name="Обычный 6 3 2 2" xfId="3188" xr:uid="{00000000-0005-0000-0000-0000C7000000}"/>
    <cellStyle name="Обычный 6 3 2 3" xfId="4832" xr:uid="{00000000-0005-0000-0000-0000C8000000}"/>
    <cellStyle name="Обычный 6 3 3" xfId="773" xr:uid="{00000000-0005-0000-0000-0000C9000000}"/>
    <cellStyle name="Обычный 6 3 4" xfId="2950" xr:uid="{00000000-0005-0000-0000-0000CA000000}"/>
    <cellStyle name="Обычный 6 3 5" xfId="4594" xr:uid="{00000000-0005-0000-0000-0000CB000000}"/>
    <cellStyle name="Обычный 6 4" xfId="1428" xr:uid="{00000000-0005-0000-0000-0000CC000000}"/>
    <cellStyle name="Обычный 6 4 2" xfId="1876" xr:uid="{00000000-0005-0000-0000-0000CD000000}"/>
    <cellStyle name="Обычный 6 4 2 2" xfId="3521" xr:uid="{00000000-0005-0000-0000-0000CE000000}"/>
    <cellStyle name="Обычный 6 4 2 3" xfId="5304" xr:uid="{00000000-0005-0000-0000-0000CF000000}"/>
    <cellStyle name="Обычный 6 4 3" xfId="4856" xr:uid="{00000000-0005-0000-0000-0000D0000000}"/>
    <cellStyle name="Обычный 6 5" xfId="1388" xr:uid="{00000000-0005-0000-0000-0000D1000000}"/>
    <cellStyle name="Обычный 6 5 2" xfId="3172" xr:uid="{00000000-0005-0000-0000-0000D2000000}"/>
    <cellStyle name="Обычный 6 5 3" xfId="4816" xr:uid="{00000000-0005-0000-0000-0000D3000000}"/>
    <cellStyle name="Обычный 6 6" xfId="2397" xr:uid="{00000000-0005-0000-0000-0000D4000000}"/>
    <cellStyle name="Обычный 6 6 2" xfId="4042" xr:uid="{00000000-0005-0000-0000-0000D5000000}"/>
    <cellStyle name="Обычный 6 6 3" xfId="5825" xr:uid="{00000000-0005-0000-0000-0000D6000000}"/>
    <cellStyle name="Обычный 6 7" xfId="1624" xr:uid="{00000000-0005-0000-0000-0000D7000000}"/>
    <cellStyle name="Обычный 6 7 2" xfId="3269" xr:uid="{00000000-0005-0000-0000-0000D8000000}"/>
    <cellStyle name="Обычный 6 7 3" xfId="5052" xr:uid="{00000000-0005-0000-0000-0000D9000000}"/>
    <cellStyle name="Обычный 6 8" xfId="489" xr:uid="{00000000-0005-0000-0000-0000DA000000}"/>
    <cellStyle name="Обычный 6 9" xfId="2678" xr:uid="{00000000-0005-0000-0000-0000DB000000}"/>
    <cellStyle name="Обычный 7" xfId="69" xr:uid="{00000000-0005-0000-0000-0000DC000000}"/>
    <cellStyle name="Обычный 7 10" xfId="4323" xr:uid="{00000000-0005-0000-0000-0000DD000000}"/>
    <cellStyle name="Обычный 7 2" xfId="205" xr:uid="{00000000-0005-0000-0000-0000DE000000}"/>
    <cellStyle name="Обычный 7 2 2" xfId="1303" xr:uid="{00000000-0005-0000-0000-0000DF000000}"/>
    <cellStyle name="Обычный 7 2 2 2" xfId="1413" xr:uid="{00000000-0005-0000-0000-0000E0000000}"/>
    <cellStyle name="Обычный 7 2 2 2 2" xfId="3197" xr:uid="{00000000-0005-0000-0000-0000E1000000}"/>
    <cellStyle name="Обычный 7 2 2 2 3" xfId="4841" xr:uid="{00000000-0005-0000-0000-0000E2000000}"/>
    <cellStyle name="Обычный 7 2 2 3" xfId="3087" xr:uid="{00000000-0005-0000-0000-0000E3000000}"/>
    <cellStyle name="Обычный 7 2 2 4" xfId="4731" xr:uid="{00000000-0005-0000-0000-0000E4000000}"/>
    <cellStyle name="Обычный 7 2 3" xfId="1397" xr:uid="{00000000-0005-0000-0000-0000E5000000}"/>
    <cellStyle name="Обычный 7 2 3 2" xfId="3181" xr:uid="{00000000-0005-0000-0000-0000E6000000}"/>
    <cellStyle name="Обычный 7 2 3 3" xfId="4825" xr:uid="{00000000-0005-0000-0000-0000E7000000}"/>
    <cellStyle name="Обычный 7 2 4" xfId="2534" xr:uid="{00000000-0005-0000-0000-0000E8000000}"/>
    <cellStyle name="Обычный 7 2 4 2" xfId="4179" xr:uid="{00000000-0005-0000-0000-0000E9000000}"/>
    <cellStyle name="Обычный 7 2 4 3" xfId="5962" xr:uid="{00000000-0005-0000-0000-0000EA000000}"/>
    <cellStyle name="Обычный 7 2 5" xfId="1038" xr:uid="{00000000-0005-0000-0000-0000EB000000}"/>
    <cellStyle name="Обычный 7 2 6" xfId="626" xr:uid="{00000000-0005-0000-0000-0000EC000000}"/>
    <cellStyle name="Обычный 7 2 7" xfId="2815" xr:uid="{00000000-0005-0000-0000-0000ED000000}"/>
    <cellStyle name="Обычный 7 2 8" xfId="4459" xr:uid="{00000000-0005-0000-0000-0000EE000000}"/>
    <cellStyle name="Обычный 7 3" xfId="354" xr:uid="{00000000-0005-0000-0000-0000EF000000}"/>
    <cellStyle name="Обычный 7 3 2" xfId="1405" xr:uid="{00000000-0005-0000-0000-0000F0000000}"/>
    <cellStyle name="Обычный 7 3 2 2" xfId="3189" xr:uid="{00000000-0005-0000-0000-0000F1000000}"/>
    <cellStyle name="Обычный 7 3 2 3" xfId="4833" xr:uid="{00000000-0005-0000-0000-0000F2000000}"/>
    <cellStyle name="Обычный 7 3 3" xfId="774" xr:uid="{00000000-0005-0000-0000-0000F3000000}"/>
    <cellStyle name="Обычный 7 3 4" xfId="2951" xr:uid="{00000000-0005-0000-0000-0000F4000000}"/>
    <cellStyle name="Обычный 7 3 5" xfId="4595" xr:uid="{00000000-0005-0000-0000-0000F5000000}"/>
    <cellStyle name="Обычный 7 4" xfId="1429" xr:uid="{00000000-0005-0000-0000-0000F6000000}"/>
    <cellStyle name="Обычный 7 4 2" xfId="1877" xr:uid="{00000000-0005-0000-0000-0000F7000000}"/>
    <cellStyle name="Обычный 7 4 2 2" xfId="3522" xr:uid="{00000000-0005-0000-0000-0000F8000000}"/>
    <cellStyle name="Обычный 7 4 2 3" xfId="5305" xr:uid="{00000000-0005-0000-0000-0000F9000000}"/>
    <cellStyle name="Обычный 7 4 3" xfId="4857" xr:uid="{00000000-0005-0000-0000-0000FA000000}"/>
    <cellStyle name="Обычный 7 5" xfId="1389" xr:uid="{00000000-0005-0000-0000-0000FB000000}"/>
    <cellStyle name="Обычный 7 5 2" xfId="3173" xr:uid="{00000000-0005-0000-0000-0000FC000000}"/>
    <cellStyle name="Обычный 7 5 3" xfId="4817" xr:uid="{00000000-0005-0000-0000-0000FD000000}"/>
    <cellStyle name="Обычный 7 6" xfId="2398" xr:uid="{00000000-0005-0000-0000-0000FE000000}"/>
    <cellStyle name="Обычный 7 6 2" xfId="4043" xr:uid="{00000000-0005-0000-0000-0000FF000000}"/>
    <cellStyle name="Обычный 7 6 3" xfId="5826" xr:uid="{00000000-0005-0000-0000-000000010000}"/>
    <cellStyle name="Обычный 7 7" xfId="1625" xr:uid="{00000000-0005-0000-0000-000001010000}"/>
    <cellStyle name="Обычный 7 7 2" xfId="3270" xr:uid="{00000000-0005-0000-0000-000002010000}"/>
    <cellStyle name="Обычный 7 7 3" xfId="5053" xr:uid="{00000000-0005-0000-0000-000003010000}"/>
    <cellStyle name="Обычный 7 8" xfId="490" xr:uid="{00000000-0005-0000-0000-000004010000}"/>
    <cellStyle name="Обычный 7 9" xfId="2679" xr:uid="{00000000-0005-0000-0000-000005010000}"/>
    <cellStyle name="Обычный 8" xfId="70" xr:uid="{00000000-0005-0000-0000-000006010000}"/>
    <cellStyle name="Обычный 8 10" xfId="4324" xr:uid="{00000000-0005-0000-0000-000007010000}"/>
    <cellStyle name="Обычный 8 2" xfId="206" xr:uid="{00000000-0005-0000-0000-000008010000}"/>
    <cellStyle name="Обычный 8 2 2" xfId="1304" xr:uid="{00000000-0005-0000-0000-000009010000}"/>
    <cellStyle name="Обычный 8 2 2 2" xfId="1414" xr:uid="{00000000-0005-0000-0000-00000A010000}"/>
    <cellStyle name="Обычный 8 2 2 2 2" xfId="3198" xr:uid="{00000000-0005-0000-0000-00000B010000}"/>
    <cellStyle name="Обычный 8 2 2 2 3" xfId="4842" xr:uid="{00000000-0005-0000-0000-00000C010000}"/>
    <cellStyle name="Обычный 8 2 2 3" xfId="3088" xr:uid="{00000000-0005-0000-0000-00000D010000}"/>
    <cellStyle name="Обычный 8 2 2 4" xfId="4732" xr:uid="{00000000-0005-0000-0000-00000E010000}"/>
    <cellStyle name="Обычный 8 2 3" xfId="1398" xr:uid="{00000000-0005-0000-0000-00000F010000}"/>
    <cellStyle name="Обычный 8 2 3 2" xfId="3182" xr:uid="{00000000-0005-0000-0000-000010010000}"/>
    <cellStyle name="Обычный 8 2 3 3" xfId="4826" xr:uid="{00000000-0005-0000-0000-000011010000}"/>
    <cellStyle name="Обычный 8 2 4" xfId="2535" xr:uid="{00000000-0005-0000-0000-000012010000}"/>
    <cellStyle name="Обычный 8 2 4 2" xfId="4180" xr:uid="{00000000-0005-0000-0000-000013010000}"/>
    <cellStyle name="Обычный 8 2 4 3" xfId="5963" xr:uid="{00000000-0005-0000-0000-000014010000}"/>
    <cellStyle name="Обычный 8 2 5" xfId="1039" xr:uid="{00000000-0005-0000-0000-000015010000}"/>
    <cellStyle name="Обычный 8 2 6" xfId="627" xr:uid="{00000000-0005-0000-0000-000016010000}"/>
    <cellStyle name="Обычный 8 2 7" xfId="2816" xr:uid="{00000000-0005-0000-0000-000017010000}"/>
    <cellStyle name="Обычный 8 2 8" xfId="4460" xr:uid="{00000000-0005-0000-0000-000018010000}"/>
    <cellStyle name="Обычный 8 3" xfId="355" xr:uid="{00000000-0005-0000-0000-000019010000}"/>
    <cellStyle name="Обычный 8 3 2" xfId="1406" xr:uid="{00000000-0005-0000-0000-00001A010000}"/>
    <cellStyle name="Обычный 8 3 2 2" xfId="3190" xr:uid="{00000000-0005-0000-0000-00001B010000}"/>
    <cellStyle name="Обычный 8 3 2 3" xfId="4834" xr:uid="{00000000-0005-0000-0000-00001C010000}"/>
    <cellStyle name="Обычный 8 3 3" xfId="775" xr:uid="{00000000-0005-0000-0000-00001D010000}"/>
    <cellStyle name="Обычный 8 3 4" xfId="2952" xr:uid="{00000000-0005-0000-0000-00001E010000}"/>
    <cellStyle name="Обычный 8 3 5" xfId="4596" xr:uid="{00000000-0005-0000-0000-00001F010000}"/>
    <cellStyle name="Обычный 8 4" xfId="1430" xr:uid="{00000000-0005-0000-0000-000020010000}"/>
    <cellStyle name="Обычный 8 4 2" xfId="1878" xr:uid="{00000000-0005-0000-0000-000021010000}"/>
    <cellStyle name="Обычный 8 4 2 2" xfId="3523" xr:uid="{00000000-0005-0000-0000-000022010000}"/>
    <cellStyle name="Обычный 8 4 2 3" xfId="5306" xr:uid="{00000000-0005-0000-0000-000023010000}"/>
    <cellStyle name="Обычный 8 4 3" xfId="4858" xr:uid="{00000000-0005-0000-0000-000024010000}"/>
    <cellStyle name="Обычный 8 5" xfId="1390" xr:uid="{00000000-0005-0000-0000-000025010000}"/>
    <cellStyle name="Обычный 8 5 2" xfId="3174" xr:uid="{00000000-0005-0000-0000-000026010000}"/>
    <cellStyle name="Обычный 8 5 3" xfId="4818" xr:uid="{00000000-0005-0000-0000-000027010000}"/>
    <cellStyle name="Обычный 8 6" xfId="2399" xr:uid="{00000000-0005-0000-0000-000028010000}"/>
    <cellStyle name="Обычный 8 6 2" xfId="4044" xr:uid="{00000000-0005-0000-0000-000029010000}"/>
    <cellStyle name="Обычный 8 6 3" xfId="5827" xr:uid="{00000000-0005-0000-0000-00002A010000}"/>
    <cellStyle name="Обычный 8 7" xfId="1626" xr:uid="{00000000-0005-0000-0000-00002B010000}"/>
    <cellStyle name="Обычный 8 7 2" xfId="3271" xr:uid="{00000000-0005-0000-0000-00002C010000}"/>
    <cellStyle name="Обычный 8 7 3" xfId="5054" xr:uid="{00000000-0005-0000-0000-00002D010000}"/>
    <cellStyle name="Обычный 8 8" xfId="491" xr:uid="{00000000-0005-0000-0000-00002E010000}"/>
    <cellStyle name="Обычный 8 9" xfId="2680" xr:uid="{00000000-0005-0000-0000-00002F010000}"/>
    <cellStyle name="Обычный 9" xfId="71" xr:uid="{00000000-0005-0000-0000-000030010000}"/>
    <cellStyle name="Обычный 9 10" xfId="4325" xr:uid="{00000000-0005-0000-0000-000031010000}"/>
    <cellStyle name="Обычный 9 2" xfId="207" xr:uid="{00000000-0005-0000-0000-000032010000}"/>
    <cellStyle name="Обычный 9 2 2" xfId="1305" xr:uid="{00000000-0005-0000-0000-000033010000}"/>
    <cellStyle name="Обычный 9 2 2 2" xfId="1415" xr:uid="{00000000-0005-0000-0000-000034010000}"/>
    <cellStyle name="Обычный 9 2 2 2 2" xfId="3199" xr:uid="{00000000-0005-0000-0000-000035010000}"/>
    <cellStyle name="Обычный 9 2 2 2 3" xfId="4843" xr:uid="{00000000-0005-0000-0000-000036010000}"/>
    <cellStyle name="Обычный 9 2 2 3" xfId="3089" xr:uid="{00000000-0005-0000-0000-000037010000}"/>
    <cellStyle name="Обычный 9 2 2 4" xfId="4733" xr:uid="{00000000-0005-0000-0000-000038010000}"/>
    <cellStyle name="Обычный 9 2 3" xfId="1399" xr:uid="{00000000-0005-0000-0000-000039010000}"/>
    <cellStyle name="Обычный 9 2 3 2" xfId="3183" xr:uid="{00000000-0005-0000-0000-00003A010000}"/>
    <cellStyle name="Обычный 9 2 3 3" xfId="4827" xr:uid="{00000000-0005-0000-0000-00003B010000}"/>
    <cellStyle name="Обычный 9 2 4" xfId="2536" xr:uid="{00000000-0005-0000-0000-00003C010000}"/>
    <cellStyle name="Обычный 9 2 4 2" xfId="4181" xr:uid="{00000000-0005-0000-0000-00003D010000}"/>
    <cellStyle name="Обычный 9 2 4 3" xfId="5964" xr:uid="{00000000-0005-0000-0000-00003E010000}"/>
    <cellStyle name="Обычный 9 2 5" xfId="1040" xr:uid="{00000000-0005-0000-0000-00003F010000}"/>
    <cellStyle name="Обычный 9 2 6" xfId="628" xr:uid="{00000000-0005-0000-0000-000040010000}"/>
    <cellStyle name="Обычный 9 2 7" xfId="2817" xr:uid="{00000000-0005-0000-0000-000041010000}"/>
    <cellStyle name="Обычный 9 2 8" xfId="4461" xr:uid="{00000000-0005-0000-0000-000042010000}"/>
    <cellStyle name="Обычный 9 3" xfId="356" xr:uid="{00000000-0005-0000-0000-000043010000}"/>
    <cellStyle name="Обычный 9 3 2" xfId="1407" xr:uid="{00000000-0005-0000-0000-000044010000}"/>
    <cellStyle name="Обычный 9 3 2 2" xfId="3191" xr:uid="{00000000-0005-0000-0000-000045010000}"/>
    <cellStyle name="Обычный 9 3 2 3" xfId="4835" xr:uid="{00000000-0005-0000-0000-000046010000}"/>
    <cellStyle name="Обычный 9 3 3" xfId="776" xr:uid="{00000000-0005-0000-0000-000047010000}"/>
    <cellStyle name="Обычный 9 3 4" xfId="2953" xr:uid="{00000000-0005-0000-0000-000048010000}"/>
    <cellStyle name="Обычный 9 3 5" xfId="4597" xr:uid="{00000000-0005-0000-0000-000049010000}"/>
    <cellStyle name="Обычный 9 4" xfId="1431" xr:uid="{00000000-0005-0000-0000-00004A010000}"/>
    <cellStyle name="Обычный 9 4 2" xfId="1879" xr:uid="{00000000-0005-0000-0000-00004B010000}"/>
    <cellStyle name="Обычный 9 4 2 2" xfId="3524" xr:uid="{00000000-0005-0000-0000-00004C010000}"/>
    <cellStyle name="Обычный 9 4 2 3" xfId="5307" xr:uid="{00000000-0005-0000-0000-00004D010000}"/>
    <cellStyle name="Обычный 9 4 3" xfId="4859" xr:uid="{00000000-0005-0000-0000-00004E010000}"/>
    <cellStyle name="Обычный 9 5" xfId="1391" xr:uid="{00000000-0005-0000-0000-00004F010000}"/>
    <cellStyle name="Обычный 9 5 2" xfId="3175" xr:uid="{00000000-0005-0000-0000-000050010000}"/>
    <cellStyle name="Обычный 9 5 3" xfId="4819" xr:uid="{00000000-0005-0000-0000-000051010000}"/>
    <cellStyle name="Обычный 9 6" xfId="2400" xr:uid="{00000000-0005-0000-0000-000052010000}"/>
    <cellStyle name="Обычный 9 6 2" xfId="4045" xr:uid="{00000000-0005-0000-0000-000053010000}"/>
    <cellStyle name="Обычный 9 6 3" xfId="5828" xr:uid="{00000000-0005-0000-0000-000054010000}"/>
    <cellStyle name="Обычный 9 7" xfId="1627" xr:uid="{00000000-0005-0000-0000-000055010000}"/>
    <cellStyle name="Обычный 9 7 2" xfId="3272" xr:uid="{00000000-0005-0000-0000-000056010000}"/>
    <cellStyle name="Обычный 9 7 3" xfId="5055" xr:uid="{00000000-0005-0000-0000-000057010000}"/>
    <cellStyle name="Обычный 9 8" xfId="492" xr:uid="{00000000-0005-0000-0000-000058010000}"/>
    <cellStyle name="Обычный 9 9" xfId="2681" xr:uid="{00000000-0005-0000-0000-000059010000}"/>
    <cellStyle name="Процентный" xfId="287" builtinId="5"/>
    <cellStyle name="Процентный 2" xfId="1557" xr:uid="{00000000-0005-0000-0000-00005B010000}"/>
    <cellStyle name="Процентный 2 2" xfId="4985" xr:uid="{00000000-0005-0000-0000-00005C010000}"/>
    <cellStyle name="Финансовый" xfId="1" builtinId="3"/>
    <cellStyle name="Финансовый [0] 2" xfId="1385" xr:uid="{00000000-0005-0000-0000-00005E010000}"/>
    <cellStyle name="Финансовый [0] 2 2" xfId="3169" xr:uid="{00000000-0005-0000-0000-00005F010000}"/>
    <cellStyle name="Финансовый [0] 2 3" xfId="4813" xr:uid="{00000000-0005-0000-0000-000060010000}"/>
    <cellStyle name="Финансовый 10" xfId="125" xr:uid="{00000000-0005-0000-0000-000061010000}"/>
    <cellStyle name="Финансовый 10 10" xfId="2735" xr:uid="{00000000-0005-0000-0000-000062010000}"/>
    <cellStyle name="Финансовый 10 11" xfId="4379" xr:uid="{00000000-0005-0000-0000-000063010000}"/>
    <cellStyle name="Финансовый 10 2" xfId="261" xr:uid="{00000000-0005-0000-0000-000064010000}"/>
    <cellStyle name="Финансовый 10 2 2" xfId="1359" xr:uid="{00000000-0005-0000-0000-000065010000}"/>
    <cellStyle name="Финансовый 10 2 2 2" xfId="2317" xr:uid="{00000000-0005-0000-0000-000066010000}"/>
    <cellStyle name="Финансовый 10 2 2 2 2" xfId="3962" xr:uid="{00000000-0005-0000-0000-000067010000}"/>
    <cellStyle name="Финансовый 10 2 2 2 3" xfId="5745" xr:uid="{00000000-0005-0000-0000-000068010000}"/>
    <cellStyle name="Финансовый 10 2 2 3" xfId="3143" xr:uid="{00000000-0005-0000-0000-000069010000}"/>
    <cellStyle name="Финансовый 10 2 2 4" xfId="4787" xr:uid="{00000000-0005-0000-0000-00006A010000}"/>
    <cellStyle name="Финансовый 10 2 3" xfId="2061" xr:uid="{00000000-0005-0000-0000-00006B010000}"/>
    <cellStyle name="Финансовый 10 2 3 2" xfId="3706" xr:uid="{00000000-0005-0000-0000-00006C010000}"/>
    <cellStyle name="Финансовый 10 2 3 3" xfId="5489" xr:uid="{00000000-0005-0000-0000-00006D010000}"/>
    <cellStyle name="Финансовый 10 2 4" xfId="2590" xr:uid="{00000000-0005-0000-0000-00006E010000}"/>
    <cellStyle name="Финансовый 10 2 4 2" xfId="4235" xr:uid="{00000000-0005-0000-0000-00006F010000}"/>
    <cellStyle name="Финансовый 10 2 4 3" xfId="6018" xr:uid="{00000000-0005-0000-0000-000070010000}"/>
    <cellStyle name="Финансовый 10 2 5" xfId="1094" xr:uid="{00000000-0005-0000-0000-000071010000}"/>
    <cellStyle name="Финансовый 10 2 6" xfId="682" xr:uid="{00000000-0005-0000-0000-000072010000}"/>
    <cellStyle name="Финансовый 10 2 7" xfId="2871" xr:uid="{00000000-0005-0000-0000-000073010000}"/>
    <cellStyle name="Финансовый 10 2 8" xfId="4515" xr:uid="{00000000-0005-0000-0000-000074010000}"/>
    <cellStyle name="Финансовый 10 3" xfId="410" xr:uid="{00000000-0005-0000-0000-000075010000}"/>
    <cellStyle name="Финансовый 10 3 2" xfId="2189" xr:uid="{00000000-0005-0000-0000-000076010000}"/>
    <cellStyle name="Финансовый 10 3 2 2" xfId="3834" xr:uid="{00000000-0005-0000-0000-000077010000}"/>
    <cellStyle name="Финансовый 10 3 2 3" xfId="5617" xr:uid="{00000000-0005-0000-0000-000078010000}"/>
    <cellStyle name="Финансовый 10 3 3" xfId="1223" xr:uid="{00000000-0005-0000-0000-000079010000}"/>
    <cellStyle name="Финансовый 10 3 4" xfId="830" xr:uid="{00000000-0005-0000-0000-00007A010000}"/>
    <cellStyle name="Финансовый 10 3 5" xfId="3007" xr:uid="{00000000-0005-0000-0000-00007B010000}"/>
    <cellStyle name="Финансовый 10 3 6" xfId="4651" xr:uid="{00000000-0005-0000-0000-00007C010000}"/>
    <cellStyle name="Финансовый 10 4" xfId="1444" xr:uid="{00000000-0005-0000-0000-00007D010000}"/>
    <cellStyle name="Финансовый 10 4 2" xfId="1933" xr:uid="{00000000-0005-0000-0000-00007E010000}"/>
    <cellStyle name="Финансовый 10 4 2 2" xfId="3578" xr:uid="{00000000-0005-0000-0000-00007F010000}"/>
    <cellStyle name="Финансовый 10 4 2 3" xfId="5361" xr:uid="{00000000-0005-0000-0000-000080010000}"/>
    <cellStyle name="Финансовый 10 4 3" xfId="4872" xr:uid="{00000000-0005-0000-0000-000081010000}"/>
    <cellStyle name="Финансовый 10 5" xfId="1809" xr:uid="{00000000-0005-0000-0000-000082010000}"/>
    <cellStyle name="Финансовый 10 5 2" xfId="3454" xr:uid="{00000000-0005-0000-0000-000083010000}"/>
    <cellStyle name="Финансовый 10 5 3" xfId="5237" xr:uid="{00000000-0005-0000-0000-000084010000}"/>
    <cellStyle name="Финансовый 10 6" xfId="2454" xr:uid="{00000000-0005-0000-0000-000085010000}"/>
    <cellStyle name="Финансовый 10 6 2" xfId="4099" xr:uid="{00000000-0005-0000-0000-000086010000}"/>
    <cellStyle name="Финансовый 10 6 3" xfId="5882" xr:uid="{00000000-0005-0000-0000-000087010000}"/>
    <cellStyle name="Финансовый 10 7" xfId="1681" xr:uid="{00000000-0005-0000-0000-000088010000}"/>
    <cellStyle name="Финансовый 10 7 2" xfId="3326" xr:uid="{00000000-0005-0000-0000-000089010000}"/>
    <cellStyle name="Финансовый 10 7 3" xfId="5109" xr:uid="{00000000-0005-0000-0000-00008A010000}"/>
    <cellStyle name="Финансовый 10 8" xfId="958" xr:uid="{00000000-0005-0000-0000-00008B010000}"/>
    <cellStyle name="Финансовый 10 9" xfId="546" xr:uid="{00000000-0005-0000-0000-00008C010000}"/>
    <cellStyle name="Финансовый 11" xfId="61" xr:uid="{00000000-0005-0000-0000-00008D010000}"/>
    <cellStyle name="Финансовый 11 10" xfId="2673" xr:uid="{00000000-0005-0000-0000-00008E010000}"/>
    <cellStyle name="Финансовый 11 11" xfId="4316" xr:uid="{00000000-0005-0000-0000-00008F010000}"/>
    <cellStyle name="Финансовый 11 2" xfId="199" xr:uid="{00000000-0005-0000-0000-000090010000}"/>
    <cellStyle name="Финансовый 11 2 2" xfId="1297" xr:uid="{00000000-0005-0000-0000-000091010000}"/>
    <cellStyle name="Финансовый 11 2 2 2" xfId="2263" xr:uid="{00000000-0005-0000-0000-000092010000}"/>
    <cellStyle name="Финансовый 11 2 2 2 2" xfId="3908" xr:uid="{00000000-0005-0000-0000-000093010000}"/>
    <cellStyle name="Финансовый 11 2 2 2 3" xfId="5691" xr:uid="{00000000-0005-0000-0000-000094010000}"/>
    <cellStyle name="Финансовый 11 2 2 3" xfId="3081" xr:uid="{00000000-0005-0000-0000-000095010000}"/>
    <cellStyle name="Финансовый 11 2 2 4" xfId="4725" xr:uid="{00000000-0005-0000-0000-000096010000}"/>
    <cellStyle name="Финансовый 11 2 3" xfId="2007" xr:uid="{00000000-0005-0000-0000-000097010000}"/>
    <cellStyle name="Финансовый 11 2 3 2" xfId="3652" xr:uid="{00000000-0005-0000-0000-000098010000}"/>
    <cellStyle name="Финансовый 11 2 3 3" xfId="5435" xr:uid="{00000000-0005-0000-0000-000099010000}"/>
    <cellStyle name="Финансовый 11 2 4" xfId="2528" xr:uid="{00000000-0005-0000-0000-00009A010000}"/>
    <cellStyle name="Финансовый 11 2 4 2" xfId="4173" xr:uid="{00000000-0005-0000-0000-00009B010000}"/>
    <cellStyle name="Финансовый 11 2 4 3" xfId="5956" xr:uid="{00000000-0005-0000-0000-00009C010000}"/>
    <cellStyle name="Финансовый 11 2 5" xfId="1032" xr:uid="{00000000-0005-0000-0000-00009D010000}"/>
    <cellStyle name="Финансовый 11 2 6" xfId="620" xr:uid="{00000000-0005-0000-0000-00009E010000}"/>
    <cellStyle name="Финансовый 11 2 7" xfId="2809" xr:uid="{00000000-0005-0000-0000-00009F010000}"/>
    <cellStyle name="Финансовый 11 2 8" xfId="4453" xr:uid="{00000000-0005-0000-0000-0000A0010000}"/>
    <cellStyle name="Финансовый 11 3" xfId="348" xr:uid="{00000000-0005-0000-0000-0000A1010000}"/>
    <cellStyle name="Финансовый 11 3 2" xfId="2135" xr:uid="{00000000-0005-0000-0000-0000A2010000}"/>
    <cellStyle name="Финансовый 11 3 2 2" xfId="3780" xr:uid="{00000000-0005-0000-0000-0000A3010000}"/>
    <cellStyle name="Финансовый 11 3 2 3" xfId="5563" xr:uid="{00000000-0005-0000-0000-0000A4010000}"/>
    <cellStyle name="Финансовый 11 3 3" xfId="1168" xr:uid="{00000000-0005-0000-0000-0000A5010000}"/>
    <cellStyle name="Финансовый 11 3 4" xfId="768" xr:uid="{00000000-0005-0000-0000-0000A6010000}"/>
    <cellStyle name="Финансовый 11 3 5" xfId="2945" xr:uid="{00000000-0005-0000-0000-0000A7010000}"/>
    <cellStyle name="Финансовый 11 3 6" xfId="4589" xr:uid="{00000000-0005-0000-0000-0000A8010000}"/>
    <cellStyle name="Финансовый 11 4" xfId="1436" xr:uid="{00000000-0005-0000-0000-0000A9010000}"/>
    <cellStyle name="Финансовый 11 4 2" xfId="1871" xr:uid="{00000000-0005-0000-0000-0000AA010000}"/>
    <cellStyle name="Финансовый 11 4 2 2" xfId="3516" xr:uid="{00000000-0005-0000-0000-0000AB010000}"/>
    <cellStyle name="Финансовый 11 4 2 3" xfId="5299" xr:uid="{00000000-0005-0000-0000-0000AC010000}"/>
    <cellStyle name="Финансовый 11 4 3" xfId="4864" xr:uid="{00000000-0005-0000-0000-0000AD010000}"/>
    <cellStyle name="Финансовый 11 5" xfId="1755" xr:uid="{00000000-0005-0000-0000-0000AE010000}"/>
    <cellStyle name="Финансовый 11 5 2" xfId="3400" xr:uid="{00000000-0005-0000-0000-0000AF010000}"/>
    <cellStyle name="Финансовый 11 5 3" xfId="5183" xr:uid="{00000000-0005-0000-0000-0000B0010000}"/>
    <cellStyle name="Финансовый 11 6" xfId="2391" xr:uid="{00000000-0005-0000-0000-0000B1010000}"/>
    <cellStyle name="Финансовый 11 6 2" xfId="4036" xr:uid="{00000000-0005-0000-0000-0000B2010000}"/>
    <cellStyle name="Финансовый 11 6 3" xfId="5819" xr:uid="{00000000-0005-0000-0000-0000B3010000}"/>
    <cellStyle name="Финансовый 11 7" xfId="1618" xr:uid="{00000000-0005-0000-0000-0000B4010000}"/>
    <cellStyle name="Финансовый 11 7 2" xfId="3263" xr:uid="{00000000-0005-0000-0000-0000B5010000}"/>
    <cellStyle name="Финансовый 11 7 3" xfId="5046" xr:uid="{00000000-0005-0000-0000-0000B6010000}"/>
    <cellStyle name="Финансовый 11 8" xfId="904" xr:uid="{00000000-0005-0000-0000-0000B7010000}"/>
    <cellStyle name="Финансовый 11 9" xfId="484" xr:uid="{00000000-0005-0000-0000-0000B8010000}"/>
    <cellStyle name="Финансовый 12" xfId="49" xr:uid="{00000000-0005-0000-0000-0000B9010000}"/>
    <cellStyle name="Финансовый 12 10" xfId="2661" xr:uid="{00000000-0005-0000-0000-0000BA010000}"/>
    <cellStyle name="Финансовый 12 11" xfId="4304" xr:uid="{00000000-0005-0000-0000-0000BB010000}"/>
    <cellStyle name="Финансовый 12 2" xfId="187" xr:uid="{00000000-0005-0000-0000-0000BC010000}"/>
    <cellStyle name="Финансовый 12 2 2" xfId="1285" xr:uid="{00000000-0005-0000-0000-0000BD010000}"/>
    <cellStyle name="Финансовый 12 2 2 2" xfId="2251" xr:uid="{00000000-0005-0000-0000-0000BE010000}"/>
    <cellStyle name="Финансовый 12 2 2 2 2" xfId="3896" xr:uid="{00000000-0005-0000-0000-0000BF010000}"/>
    <cellStyle name="Финансовый 12 2 2 2 3" xfId="5679" xr:uid="{00000000-0005-0000-0000-0000C0010000}"/>
    <cellStyle name="Финансовый 12 2 2 3" xfId="3069" xr:uid="{00000000-0005-0000-0000-0000C1010000}"/>
    <cellStyle name="Финансовый 12 2 2 4" xfId="4713" xr:uid="{00000000-0005-0000-0000-0000C2010000}"/>
    <cellStyle name="Финансовый 12 2 3" xfId="1995" xr:uid="{00000000-0005-0000-0000-0000C3010000}"/>
    <cellStyle name="Финансовый 12 2 3 2" xfId="3640" xr:uid="{00000000-0005-0000-0000-0000C4010000}"/>
    <cellStyle name="Финансовый 12 2 3 3" xfId="5423" xr:uid="{00000000-0005-0000-0000-0000C5010000}"/>
    <cellStyle name="Финансовый 12 2 4" xfId="2516" xr:uid="{00000000-0005-0000-0000-0000C6010000}"/>
    <cellStyle name="Финансовый 12 2 4 2" xfId="4161" xr:uid="{00000000-0005-0000-0000-0000C7010000}"/>
    <cellStyle name="Финансовый 12 2 4 3" xfId="5944" xr:uid="{00000000-0005-0000-0000-0000C8010000}"/>
    <cellStyle name="Финансовый 12 2 5" xfId="1020" xr:uid="{00000000-0005-0000-0000-0000C9010000}"/>
    <cellStyle name="Финансовый 12 2 6" xfId="608" xr:uid="{00000000-0005-0000-0000-0000CA010000}"/>
    <cellStyle name="Финансовый 12 2 7" xfId="2797" xr:uid="{00000000-0005-0000-0000-0000CB010000}"/>
    <cellStyle name="Финансовый 12 2 8" xfId="4441" xr:uid="{00000000-0005-0000-0000-0000CC010000}"/>
    <cellStyle name="Финансовый 12 3" xfId="336" xr:uid="{00000000-0005-0000-0000-0000CD010000}"/>
    <cellStyle name="Финансовый 12 3 2" xfId="2123" xr:uid="{00000000-0005-0000-0000-0000CE010000}"/>
    <cellStyle name="Финансовый 12 3 2 2" xfId="3768" xr:uid="{00000000-0005-0000-0000-0000CF010000}"/>
    <cellStyle name="Финансовый 12 3 2 3" xfId="5551" xr:uid="{00000000-0005-0000-0000-0000D0010000}"/>
    <cellStyle name="Финансовый 12 3 3" xfId="1156" xr:uid="{00000000-0005-0000-0000-0000D1010000}"/>
    <cellStyle name="Финансовый 12 3 4" xfId="756" xr:uid="{00000000-0005-0000-0000-0000D2010000}"/>
    <cellStyle name="Финансовый 12 3 5" xfId="2933" xr:uid="{00000000-0005-0000-0000-0000D3010000}"/>
    <cellStyle name="Финансовый 12 3 6" xfId="4577" xr:uid="{00000000-0005-0000-0000-0000D4010000}"/>
    <cellStyle name="Финансовый 12 4" xfId="1438" xr:uid="{00000000-0005-0000-0000-0000D5010000}"/>
    <cellStyle name="Финансовый 12 4 2" xfId="1859" xr:uid="{00000000-0005-0000-0000-0000D6010000}"/>
    <cellStyle name="Финансовый 12 4 2 2" xfId="3504" xr:uid="{00000000-0005-0000-0000-0000D7010000}"/>
    <cellStyle name="Финансовый 12 4 2 3" xfId="5287" xr:uid="{00000000-0005-0000-0000-0000D8010000}"/>
    <cellStyle name="Финансовый 12 4 3" xfId="4866" xr:uid="{00000000-0005-0000-0000-0000D9010000}"/>
    <cellStyle name="Финансовый 12 5" xfId="1743" xr:uid="{00000000-0005-0000-0000-0000DA010000}"/>
    <cellStyle name="Финансовый 12 5 2" xfId="3388" xr:uid="{00000000-0005-0000-0000-0000DB010000}"/>
    <cellStyle name="Финансовый 12 5 3" xfId="5171" xr:uid="{00000000-0005-0000-0000-0000DC010000}"/>
    <cellStyle name="Финансовый 12 6" xfId="2379" xr:uid="{00000000-0005-0000-0000-0000DD010000}"/>
    <cellStyle name="Финансовый 12 6 2" xfId="4024" xr:uid="{00000000-0005-0000-0000-0000DE010000}"/>
    <cellStyle name="Финансовый 12 6 3" xfId="5807" xr:uid="{00000000-0005-0000-0000-0000DF010000}"/>
    <cellStyle name="Финансовый 12 7" xfId="1606" xr:uid="{00000000-0005-0000-0000-0000E0010000}"/>
    <cellStyle name="Финансовый 12 7 2" xfId="3251" xr:uid="{00000000-0005-0000-0000-0000E1010000}"/>
    <cellStyle name="Финансовый 12 7 3" xfId="5034" xr:uid="{00000000-0005-0000-0000-0000E2010000}"/>
    <cellStyle name="Финансовый 12 8" xfId="892" xr:uid="{00000000-0005-0000-0000-0000E3010000}"/>
    <cellStyle name="Финансовый 12 9" xfId="472" xr:uid="{00000000-0005-0000-0000-0000E4010000}"/>
    <cellStyle name="Финансовый 13" xfId="127" xr:uid="{00000000-0005-0000-0000-0000E5010000}"/>
    <cellStyle name="Финансовый 13 10" xfId="2737" xr:uid="{00000000-0005-0000-0000-0000E6010000}"/>
    <cellStyle name="Финансовый 13 11" xfId="4381" xr:uid="{00000000-0005-0000-0000-0000E7010000}"/>
    <cellStyle name="Финансовый 13 2" xfId="263" xr:uid="{00000000-0005-0000-0000-0000E8010000}"/>
    <cellStyle name="Финансовый 13 2 2" xfId="1361" xr:uid="{00000000-0005-0000-0000-0000E9010000}"/>
    <cellStyle name="Финансовый 13 2 2 2" xfId="2319" xr:uid="{00000000-0005-0000-0000-0000EA010000}"/>
    <cellStyle name="Финансовый 13 2 2 2 2" xfId="3964" xr:uid="{00000000-0005-0000-0000-0000EB010000}"/>
    <cellStyle name="Финансовый 13 2 2 2 3" xfId="5747" xr:uid="{00000000-0005-0000-0000-0000EC010000}"/>
    <cellStyle name="Финансовый 13 2 2 3" xfId="3145" xr:uid="{00000000-0005-0000-0000-0000ED010000}"/>
    <cellStyle name="Финансовый 13 2 2 4" xfId="4789" xr:uid="{00000000-0005-0000-0000-0000EE010000}"/>
    <cellStyle name="Финансовый 13 2 3" xfId="2063" xr:uid="{00000000-0005-0000-0000-0000EF010000}"/>
    <cellStyle name="Финансовый 13 2 3 2" xfId="3708" xr:uid="{00000000-0005-0000-0000-0000F0010000}"/>
    <cellStyle name="Финансовый 13 2 3 3" xfId="5491" xr:uid="{00000000-0005-0000-0000-0000F1010000}"/>
    <cellStyle name="Финансовый 13 2 4" xfId="2592" xr:uid="{00000000-0005-0000-0000-0000F2010000}"/>
    <cellStyle name="Финансовый 13 2 4 2" xfId="4237" xr:uid="{00000000-0005-0000-0000-0000F3010000}"/>
    <cellStyle name="Финансовый 13 2 4 3" xfId="6020" xr:uid="{00000000-0005-0000-0000-0000F4010000}"/>
    <cellStyle name="Финансовый 13 2 5" xfId="1096" xr:uid="{00000000-0005-0000-0000-0000F5010000}"/>
    <cellStyle name="Финансовый 13 2 6" xfId="684" xr:uid="{00000000-0005-0000-0000-0000F6010000}"/>
    <cellStyle name="Финансовый 13 2 7" xfId="2873" xr:uid="{00000000-0005-0000-0000-0000F7010000}"/>
    <cellStyle name="Финансовый 13 2 8" xfId="4517" xr:uid="{00000000-0005-0000-0000-0000F8010000}"/>
    <cellStyle name="Финансовый 13 3" xfId="412" xr:uid="{00000000-0005-0000-0000-0000F9010000}"/>
    <cellStyle name="Финансовый 13 3 2" xfId="2191" xr:uid="{00000000-0005-0000-0000-0000FA010000}"/>
    <cellStyle name="Финансовый 13 3 2 2" xfId="3836" xr:uid="{00000000-0005-0000-0000-0000FB010000}"/>
    <cellStyle name="Финансовый 13 3 2 3" xfId="5619" xr:uid="{00000000-0005-0000-0000-0000FC010000}"/>
    <cellStyle name="Финансовый 13 3 3" xfId="1225" xr:uid="{00000000-0005-0000-0000-0000FD010000}"/>
    <cellStyle name="Финансовый 13 3 4" xfId="832" xr:uid="{00000000-0005-0000-0000-0000FE010000}"/>
    <cellStyle name="Финансовый 13 3 5" xfId="3009" xr:uid="{00000000-0005-0000-0000-0000FF010000}"/>
    <cellStyle name="Финансовый 13 3 6" xfId="4653" xr:uid="{00000000-0005-0000-0000-000000020000}"/>
    <cellStyle name="Финансовый 13 4" xfId="1439" xr:uid="{00000000-0005-0000-0000-000001020000}"/>
    <cellStyle name="Финансовый 13 4 2" xfId="1935" xr:uid="{00000000-0005-0000-0000-000002020000}"/>
    <cellStyle name="Финансовый 13 4 2 2" xfId="3580" xr:uid="{00000000-0005-0000-0000-000003020000}"/>
    <cellStyle name="Финансовый 13 4 2 3" xfId="5363" xr:uid="{00000000-0005-0000-0000-000004020000}"/>
    <cellStyle name="Финансовый 13 4 3" xfId="4867" xr:uid="{00000000-0005-0000-0000-000005020000}"/>
    <cellStyle name="Финансовый 13 5" xfId="1811" xr:uid="{00000000-0005-0000-0000-000006020000}"/>
    <cellStyle name="Финансовый 13 5 2" xfId="3456" xr:uid="{00000000-0005-0000-0000-000007020000}"/>
    <cellStyle name="Финансовый 13 5 3" xfId="5239" xr:uid="{00000000-0005-0000-0000-000008020000}"/>
    <cellStyle name="Финансовый 13 6" xfId="2456" xr:uid="{00000000-0005-0000-0000-000009020000}"/>
    <cellStyle name="Финансовый 13 6 2" xfId="4101" xr:uid="{00000000-0005-0000-0000-00000A020000}"/>
    <cellStyle name="Финансовый 13 6 3" xfId="5884" xr:uid="{00000000-0005-0000-0000-00000B020000}"/>
    <cellStyle name="Финансовый 13 7" xfId="1683" xr:uid="{00000000-0005-0000-0000-00000C020000}"/>
    <cellStyle name="Финансовый 13 7 2" xfId="3328" xr:uid="{00000000-0005-0000-0000-00000D020000}"/>
    <cellStyle name="Финансовый 13 7 3" xfId="5111" xr:uid="{00000000-0005-0000-0000-00000E020000}"/>
    <cellStyle name="Финансовый 13 8" xfId="960" xr:uid="{00000000-0005-0000-0000-00000F020000}"/>
    <cellStyle name="Финансовый 13 9" xfId="548" xr:uid="{00000000-0005-0000-0000-000010020000}"/>
    <cellStyle name="Финансовый 14" xfId="25" xr:uid="{00000000-0005-0000-0000-000011020000}"/>
    <cellStyle name="Финансовый 14 10" xfId="2637" xr:uid="{00000000-0005-0000-0000-000012020000}"/>
    <cellStyle name="Финансовый 14 11" xfId="4280" xr:uid="{00000000-0005-0000-0000-000013020000}"/>
    <cellStyle name="Финансовый 14 2" xfId="163" xr:uid="{00000000-0005-0000-0000-000014020000}"/>
    <cellStyle name="Финансовый 14 2 2" xfId="1261" xr:uid="{00000000-0005-0000-0000-000015020000}"/>
    <cellStyle name="Финансовый 14 2 2 2" xfId="2227" xr:uid="{00000000-0005-0000-0000-000016020000}"/>
    <cellStyle name="Финансовый 14 2 2 2 2" xfId="3872" xr:uid="{00000000-0005-0000-0000-000017020000}"/>
    <cellStyle name="Финансовый 14 2 2 2 3" xfId="5655" xr:uid="{00000000-0005-0000-0000-000018020000}"/>
    <cellStyle name="Финансовый 14 2 2 3" xfId="3045" xr:uid="{00000000-0005-0000-0000-000019020000}"/>
    <cellStyle name="Финансовый 14 2 2 4" xfId="4689" xr:uid="{00000000-0005-0000-0000-00001A020000}"/>
    <cellStyle name="Финансовый 14 2 3" xfId="1971" xr:uid="{00000000-0005-0000-0000-00001B020000}"/>
    <cellStyle name="Финансовый 14 2 3 2" xfId="3616" xr:uid="{00000000-0005-0000-0000-00001C020000}"/>
    <cellStyle name="Финансовый 14 2 3 3" xfId="5399" xr:uid="{00000000-0005-0000-0000-00001D020000}"/>
    <cellStyle name="Финансовый 14 2 4" xfId="2492" xr:uid="{00000000-0005-0000-0000-00001E020000}"/>
    <cellStyle name="Финансовый 14 2 4 2" xfId="4137" xr:uid="{00000000-0005-0000-0000-00001F020000}"/>
    <cellStyle name="Финансовый 14 2 4 3" xfId="5920" xr:uid="{00000000-0005-0000-0000-000020020000}"/>
    <cellStyle name="Финансовый 14 2 5" xfId="996" xr:uid="{00000000-0005-0000-0000-000021020000}"/>
    <cellStyle name="Финансовый 14 2 6" xfId="584" xr:uid="{00000000-0005-0000-0000-000022020000}"/>
    <cellStyle name="Финансовый 14 2 7" xfId="2773" xr:uid="{00000000-0005-0000-0000-000023020000}"/>
    <cellStyle name="Финансовый 14 2 8" xfId="4417" xr:uid="{00000000-0005-0000-0000-000024020000}"/>
    <cellStyle name="Финансовый 14 3" xfId="312" xr:uid="{00000000-0005-0000-0000-000025020000}"/>
    <cellStyle name="Финансовый 14 3 2" xfId="2099" xr:uid="{00000000-0005-0000-0000-000026020000}"/>
    <cellStyle name="Финансовый 14 3 2 2" xfId="3744" xr:uid="{00000000-0005-0000-0000-000027020000}"/>
    <cellStyle name="Финансовый 14 3 2 3" xfId="5527" xr:uid="{00000000-0005-0000-0000-000028020000}"/>
    <cellStyle name="Финансовый 14 3 3" xfId="1132" xr:uid="{00000000-0005-0000-0000-000029020000}"/>
    <cellStyle name="Финансовый 14 3 4" xfId="732" xr:uid="{00000000-0005-0000-0000-00002A020000}"/>
    <cellStyle name="Финансовый 14 3 5" xfId="2909" xr:uid="{00000000-0005-0000-0000-00002B020000}"/>
    <cellStyle name="Финансовый 14 3 6" xfId="4553" xr:uid="{00000000-0005-0000-0000-00002C020000}"/>
    <cellStyle name="Финансовый 14 4" xfId="1441" xr:uid="{00000000-0005-0000-0000-00002D020000}"/>
    <cellStyle name="Финансовый 14 4 2" xfId="1835" xr:uid="{00000000-0005-0000-0000-00002E020000}"/>
    <cellStyle name="Финансовый 14 4 2 2" xfId="3480" xr:uid="{00000000-0005-0000-0000-00002F020000}"/>
    <cellStyle name="Финансовый 14 4 2 3" xfId="5263" xr:uid="{00000000-0005-0000-0000-000030020000}"/>
    <cellStyle name="Финансовый 14 4 3" xfId="4869" xr:uid="{00000000-0005-0000-0000-000031020000}"/>
    <cellStyle name="Финансовый 14 5" xfId="1719" xr:uid="{00000000-0005-0000-0000-000032020000}"/>
    <cellStyle name="Финансовый 14 5 2" xfId="3364" xr:uid="{00000000-0005-0000-0000-000033020000}"/>
    <cellStyle name="Финансовый 14 5 3" xfId="5147" xr:uid="{00000000-0005-0000-0000-000034020000}"/>
    <cellStyle name="Финансовый 14 6" xfId="2355" xr:uid="{00000000-0005-0000-0000-000035020000}"/>
    <cellStyle name="Финансовый 14 6 2" xfId="4000" xr:uid="{00000000-0005-0000-0000-000036020000}"/>
    <cellStyle name="Финансовый 14 6 3" xfId="5783" xr:uid="{00000000-0005-0000-0000-000037020000}"/>
    <cellStyle name="Финансовый 14 7" xfId="1582" xr:uid="{00000000-0005-0000-0000-000038020000}"/>
    <cellStyle name="Финансовый 14 7 2" xfId="3227" xr:uid="{00000000-0005-0000-0000-000039020000}"/>
    <cellStyle name="Финансовый 14 7 3" xfId="5010" xr:uid="{00000000-0005-0000-0000-00003A020000}"/>
    <cellStyle name="Финансовый 14 8" xfId="868" xr:uid="{00000000-0005-0000-0000-00003B020000}"/>
    <cellStyle name="Финансовый 14 9" xfId="448" xr:uid="{00000000-0005-0000-0000-00003C020000}"/>
    <cellStyle name="Финансовый 15" xfId="13" xr:uid="{00000000-0005-0000-0000-00003D020000}"/>
    <cellStyle name="Финансовый 15 10" xfId="2625" xr:uid="{00000000-0005-0000-0000-00003E020000}"/>
    <cellStyle name="Финансовый 15 11" xfId="4268" xr:uid="{00000000-0005-0000-0000-00003F020000}"/>
    <cellStyle name="Финансовый 15 2" xfId="151" xr:uid="{00000000-0005-0000-0000-000040020000}"/>
    <cellStyle name="Финансовый 15 2 2" xfId="1249" xr:uid="{00000000-0005-0000-0000-000041020000}"/>
    <cellStyle name="Финансовый 15 2 2 2" xfId="2215" xr:uid="{00000000-0005-0000-0000-000042020000}"/>
    <cellStyle name="Финансовый 15 2 2 2 2" xfId="3860" xr:uid="{00000000-0005-0000-0000-000043020000}"/>
    <cellStyle name="Финансовый 15 2 2 2 3" xfId="5643" xr:uid="{00000000-0005-0000-0000-000044020000}"/>
    <cellStyle name="Финансовый 15 2 2 3" xfId="3033" xr:uid="{00000000-0005-0000-0000-000045020000}"/>
    <cellStyle name="Финансовый 15 2 2 4" xfId="4677" xr:uid="{00000000-0005-0000-0000-000046020000}"/>
    <cellStyle name="Финансовый 15 2 3" xfId="1959" xr:uid="{00000000-0005-0000-0000-000047020000}"/>
    <cellStyle name="Финансовый 15 2 3 2" xfId="3604" xr:uid="{00000000-0005-0000-0000-000048020000}"/>
    <cellStyle name="Финансовый 15 2 3 3" xfId="5387" xr:uid="{00000000-0005-0000-0000-000049020000}"/>
    <cellStyle name="Финансовый 15 2 4" xfId="2480" xr:uid="{00000000-0005-0000-0000-00004A020000}"/>
    <cellStyle name="Финансовый 15 2 4 2" xfId="4125" xr:uid="{00000000-0005-0000-0000-00004B020000}"/>
    <cellStyle name="Финансовый 15 2 4 3" xfId="5908" xr:uid="{00000000-0005-0000-0000-00004C020000}"/>
    <cellStyle name="Финансовый 15 2 5" xfId="984" xr:uid="{00000000-0005-0000-0000-00004D020000}"/>
    <cellStyle name="Финансовый 15 2 6" xfId="572" xr:uid="{00000000-0005-0000-0000-00004E020000}"/>
    <cellStyle name="Финансовый 15 2 7" xfId="2761" xr:uid="{00000000-0005-0000-0000-00004F020000}"/>
    <cellStyle name="Финансовый 15 2 8" xfId="4405" xr:uid="{00000000-0005-0000-0000-000050020000}"/>
    <cellStyle name="Финансовый 15 3" xfId="300" xr:uid="{00000000-0005-0000-0000-000051020000}"/>
    <cellStyle name="Финансовый 15 3 2" xfId="2087" xr:uid="{00000000-0005-0000-0000-000052020000}"/>
    <cellStyle name="Финансовый 15 3 2 2" xfId="3732" xr:uid="{00000000-0005-0000-0000-000053020000}"/>
    <cellStyle name="Финансовый 15 3 2 3" xfId="5515" xr:uid="{00000000-0005-0000-0000-000054020000}"/>
    <cellStyle name="Финансовый 15 3 3" xfId="1120" xr:uid="{00000000-0005-0000-0000-000055020000}"/>
    <cellStyle name="Финансовый 15 3 4" xfId="720" xr:uid="{00000000-0005-0000-0000-000056020000}"/>
    <cellStyle name="Финансовый 15 3 5" xfId="2897" xr:uid="{00000000-0005-0000-0000-000057020000}"/>
    <cellStyle name="Финансовый 15 3 6" xfId="4541" xr:uid="{00000000-0005-0000-0000-000058020000}"/>
    <cellStyle name="Финансовый 15 4" xfId="1435" xr:uid="{00000000-0005-0000-0000-000059020000}"/>
    <cellStyle name="Финансовый 15 4 2" xfId="1823" xr:uid="{00000000-0005-0000-0000-00005A020000}"/>
    <cellStyle name="Финансовый 15 4 2 2" xfId="3468" xr:uid="{00000000-0005-0000-0000-00005B020000}"/>
    <cellStyle name="Финансовый 15 4 2 3" xfId="5251" xr:uid="{00000000-0005-0000-0000-00005C020000}"/>
    <cellStyle name="Финансовый 15 4 3" xfId="4863" xr:uid="{00000000-0005-0000-0000-00005D020000}"/>
    <cellStyle name="Финансовый 15 5" xfId="1707" xr:uid="{00000000-0005-0000-0000-00005E020000}"/>
    <cellStyle name="Финансовый 15 5 2" xfId="3352" xr:uid="{00000000-0005-0000-0000-00005F020000}"/>
    <cellStyle name="Финансовый 15 5 3" xfId="5135" xr:uid="{00000000-0005-0000-0000-000060020000}"/>
    <cellStyle name="Финансовый 15 6" xfId="2343" xr:uid="{00000000-0005-0000-0000-000061020000}"/>
    <cellStyle name="Финансовый 15 6 2" xfId="3988" xr:uid="{00000000-0005-0000-0000-000062020000}"/>
    <cellStyle name="Финансовый 15 6 3" xfId="5771" xr:uid="{00000000-0005-0000-0000-000063020000}"/>
    <cellStyle name="Финансовый 15 7" xfId="1570" xr:uid="{00000000-0005-0000-0000-000064020000}"/>
    <cellStyle name="Финансовый 15 7 2" xfId="3215" xr:uid="{00000000-0005-0000-0000-000065020000}"/>
    <cellStyle name="Финансовый 15 7 3" xfId="4998" xr:uid="{00000000-0005-0000-0000-000066020000}"/>
    <cellStyle name="Финансовый 15 8" xfId="856" xr:uid="{00000000-0005-0000-0000-000067020000}"/>
    <cellStyle name="Финансовый 15 9" xfId="436" xr:uid="{00000000-0005-0000-0000-000068020000}"/>
    <cellStyle name="Финансовый 16" xfId="139" xr:uid="{00000000-0005-0000-0000-000069020000}"/>
    <cellStyle name="Финансовый 16 2" xfId="1237" xr:uid="{00000000-0005-0000-0000-00006A020000}"/>
    <cellStyle name="Финансовый 16 2 2" xfId="2203" xr:uid="{00000000-0005-0000-0000-00006B020000}"/>
    <cellStyle name="Финансовый 16 2 2 2" xfId="3848" xr:uid="{00000000-0005-0000-0000-00006C020000}"/>
    <cellStyle name="Финансовый 16 2 2 3" xfId="5631" xr:uid="{00000000-0005-0000-0000-00006D020000}"/>
    <cellStyle name="Финансовый 16 2 3" xfId="3021" xr:uid="{00000000-0005-0000-0000-00006E020000}"/>
    <cellStyle name="Финансовый 16 2 4" xfId="4665" xr:uid="{00000000-0005-0000-0000-00006F020000}"/>
    <cellStyle name="Финансовый 16 3" xfId="1947" xr:uid="{00000000-0005-0000-0000-000070020000}"/>
    <cellStyle name="Финансовый 16 3 2" xfId="3592" xr:uid="{00000000-0005-0000-0000-000071020000}"/>
    <cellStyle name="Финансовый 16 3 3" xfId="5375" xr:uid="{00000000-0005-0000-0000-000072020000}"/>
    <cellStyle name="Финансовый 16 4" xfId="2468" xr:uid="{00000000-0005-0000-0000-000073020000}"/>
    <cellStyle name="Финансовый 16 4 2" xfId="4113" xr:uid="{00000000-0005-0000-0000-000074020000}"/>
    <cellStyle name="Финансовый 16 4 3" xfId="5896" xr:uid="{00000000-0005-0000-0000-000075020000}"/>
    <cellStyle name="Финансовый 16 5" xfId="972" xr:uid="{00000000-0005-0000-0000-000076020000}"/>
    <cellStyle name="Финансовый 16 6" xfId="560" xr:uid="{00000000-0005-0000-0000-000077020000}"/>
    <cellStyle name="Финансовый 16 7" xfId="2749" xr:uid="{00000000-0005-0000-0000-000078020000}"/>
    <cellStyle name="Финансовый 16 8" xfId="4393" xr:uid="{00000000-0005-0000-0000-000079020000}"/>
    <cellStyle name="Финансовый 17" xfId="275" xr:uid="{00000000-0005-0000-0000-00007A020000}"/>
    <cellStyle name="Финансовый 17 2" xfId="2075" xr:uid="{00000000-0005-0000-0000-00007B020000}"/>
    <cellStyle name="Финансовый 17 2 2" xfId="3720" xr:uid="{00000000-0005-0000-0000-00007C020000}"/>
    <cellStyle name="Финансовый 17 2 3" xfId="5503" xr:uid="{00000000-0005-0000-0000-00007D020000}"/>
    <cellStyle name="Финансовый 17 3" xfId="1373" xr:uid="{00000000-0005-0000-0000-00007E020000}"/>
    <cellStyle name="Финансовый 17 4" xfId="696" xr:uid="{00000000-0005-0000-0000-00007F020000}"/>
    <cellStyle name="Финансовый 17 5" xfId="3157" xr:uid="{00000000-0005-0000-0000-000080020000}"/>
    <cellStyle name="Финансовый 17 6" xfId="4801" xr:uid="{00000000-0005-0000-0000-000081020000}"/>
    <cellStyle name="Финансовый 18" xfId="288" xr:uid="{00000000-0005-0000-0000-000082020000}"/>
    <cellStyle name="Финансовый 18 2" xfId="1108" xr:uid="{00000000-0005-0000-0000-000083020000}"/>
    <cellStyle name="Финансовый 18 3" xfId="708" xr:uid="{00000000-0005-0000-0000-000084020000}"/>
    <cellStyle name="Финансовый 18 4" xfId="2885" xr:uid="{00000000-0005-0000-0000-000085020000}"/>
    <cellStyle name="Финансовый 18 5" xfId="4529" xr:uid="{00000000-0005-0000-0000-000086020000}"/>
    <cellStyle name="Финансовый 19" xfId="1421" xr:uid="{00000000-0005-0000-0000-000087020000}"/>
    <cellStyle name="Финансовый 19 2" xfId="1695" xr:uid="{00000000-0005-0000-0000-000088020000}"/>
    <cellStyle name="Финансовый 19 2 2" xfId="3340" xr:uid="{00000000-0005-0000-0000-000089020000}"/>
    <cellStyle name="Финансовый 19 2 3" xfId="5123" xr:uid="{00000000-0005-0000-0000-00008A020000}"/>
    <cellStyle name="Финансовый 19 3" xfId="4849" xr:uid="{00000000-0005-0000-0000-00008B020000}"/>
    <cellStyle name="Финансовый 2" xfId="2" xr:uid="{00000000-0005-0000-0000-00008C020000}"/>
    <cellStyle name="Финансовый 2 10" xfId="62" xr:uid="{00000000-0005-0000-0000-00008D020000}"/>
    <cellStyle name="Финансовый 2 10 10" xfId="2674" xr:uid="{00000000-0005-0000-0000-00008E020000}"/>
    <cellStyle name="Финансовый 2 10 11" xfId="4317" xr:uid="{00000000-0005-0000-0000-00008F020000}"/>
    <cellStyle name="Финансовый 2 10 2" xfId="200" xr:uid="{00000000-0005-0000-0000-000090020000}"/>
    <cellStyle name="Финансовый 2 10 2 2" xfId="1298" xr:uid="{00000000-0005-0000-0000-000091020000}"/>
    <cellStyle name="Финансовый 2 10 2 2 2" xfId="2264" xr:uid="{00000000-0005-0000-0000-000092020000}"/>
    <cellStyle name="Финансовый 2 10 2 2 2 2" xfId="3909" xr:uid="{00000000-0005-0000-0000-000093020000}"/>
    <cellStyle name="Финансовый 2 10 2 2 2 3" xfId="5692" xr:uid="{00000000-0005-0000-0000-000094020000}"/>
    <cellStyle name="Финансовый 2 10 2 2 3" xfId="3082" xr:uid="{00000000-0005-0000-0000-000095020000}"/>
    <cellStyle name="Финансовый 2 10 2 2 4" xfId="4726" xr:uid="{00000000-0005-0000-0000-000096020000}"/>
    <cellStyle name="Финансовый 2 10 2 3" xfId="2008" xr:uid="{00000000-0005-0000-0000-000097020000}"/>
    <cellStyle name="Финансовый 2 10 2 3 2" xfId="3653" xr:uid="{00000000-0005-0000-0000-000098020000}"/>
    <cellStyle name="Финансовый 2 10 2 3 3" xfId="5436" xr:uid="{00000000-0005-0000-0000-000099020000}"/>
    <cellStyle name="Финансовый 2 10 2 4" xfId="2529" xr:uid="{00000000-0005-0000-0000-00009A020000}"/>
    <cellStyle name="Финансовый 2 10 2 4 2" xfId="4174" xr:uid="{00000000-0005-0000-0000-00009B020000}"/>
    <cellStyle name="Финансовый 2 10 2 4 3" xfId="5957" xr:uid="{00000000-0005-0000-0000-00009C020000}"/>
    <cellStyle name="Финансовый 2 10 2 5" xfId="1033" xr:uid="{00000000-0005-0000-0000-00009D020000}"/>
    <cellStyle name="Финансовый 2 10 2 6" xfId="621" xr:uid="{00000000-0005-0000-0000-00009E020000}"/>
    <cellStyle name="Финансовый 2 10 2 7" xfId="2810" xr:uid="{00000000-0005-0000-0000-00009F020000}"/>
    <cellStyle name="Финансовый 2 10 2 8" xfId="4454" xr:uid="{00000000-0005-0000-0000-0000A0020000}"/>
    <cellStyle name="Финансовый 2 10 3" xfId="349" xr:uid="{00000000-0005-0000-0000-0000A1020000}"/>
    <cellStyle name="Финансовый 2 10 3 2" xfId="2136" xr:uid="{00000000-0005-0000-0000-0000A2020000}"/>
    <cellStyle name="Финансовый 2 10 3 2 2" xfId="3781" xr:uid="{00000000-0005-0000-0000-0000A3020000}"/>
    <cellStyle name="Финансовый 2 10 3 2 3" xfId="5564" xr:uid="{00000000-0005-0000-0000-0000A4020000}"/>
    <cellStyle name="Финансовый 2 10 3 3" xfId="1169" xr:uid="{00000000-0005-0000-0000-0000A5020000}"/>
    <cellStyle name="Финансовый 2 10 3 4" xfId="769" xr:uid="{00000000-0005-0000-0000-0000A6020000}"/>
    <cellStyle name="Финансовый 2 10 3 5" xfId="2946" xr:uid="{00000000-0005-0000-0000-0000A7020000}"/>
    <cellStyle name="Финансовый 2 10 3 6" xfId="4590" xr:uid="{00000000-0005-0000-0000-0000A8020000}"/>
    <cellStyle name="Финансовый 2 10 4" xfId="1448" xr:uid="{00000000-0005-0000-0000-0000A9020000}"/>
    <cellStyle name="Финансовый 2 10 4 2" xfId="1872" xr:uid="{00000000-0005-0000-0000-0000AA020000}"/>
    <cellStyle name="Финансовый 2 10 4 2 2" xfId="3517" xr:uid="{00000000-0005-0000-0000-0000AB020000}"/>
    <cellStyle name="Финансовый 2 10 4 2 3" xfId="5300" xr:uid="{00000000-0005-0000-0000-0000AC020000}"/>
    <cellStyle name="Финансовый 2 10 4 3" xfId="4876" xr:uid="{00000000-0005-0000-0000-0000AD020000}"/>
    <cellStyle name="Финансовый 2 10 5" xfId="1756" xr:uid="{00000000-0005-0000-0000-0000AE020000}"/>
    <cellStyle name="Финансовый 2 10 5 2" xfId="3401" xr:uid="{00000000-0005-0000-0000-0000AF020000}"/>
    <cellStyle name="Финансовый 2 10 5 3" xfId="5184" xr:uid="{00000000-0005-0000-0000-0000B0020000}"/>
    <cellStyle name="Финансовый 2 10 6" xfId="2392" xr:uid="{00000000-0005-0000-0000-0000B1020000}"/>
    <cellStyle name="Финансовый 2 10 6 2" xfId="4037" xr:uid="{00000000-0005-0000-0000-0000B2020000}"/>
    <cellStyle name="Финансовый 2 10 6 3" xfId="5820" xr:uid="{00000000-0005-0000-0000-0000B3020000}"/>
    <cellStyle name="Финансовый 2 10 7" xfId="1619" xr:uid="{00000000-0005-0000-0000-0000B4020000}"/>
    <cellStyle name="Финансовый 2 10 7 2" xfId="3264" xr:uid="{00000000-0005-0000-0000-0000B5020000}"/>
    <cellStyle name="Финансовый 2 10 7 3" xfId="5047" xr:uid="{00000000-0005-0000-0000-0000B6020000}"/>
    <cellStyle name="Финансовый 2 10 8" xfId="905" xr:uid="{00000000-0005-0000-0000-0000B7020000}"/>
    <cellStyle name="Финансовый 2 10 9" xfId="485" xr:uid="{00000000-0005-0000-0000-0000B8020000}"/>
    <cellStyle name="Финансовый 2 11" xfId="50" xr:uid="{00000000-0005-0000-0000-0000B9020000}"/>
    <cellStyle name="Финансовый 2 11 10" xfId="2662" xr:uid="{00000000-0005-0000-0000-0000BA020000}"/>
    <cellStyle name="Финансовый 2 11 11" xfId="4305" xr:uid="{00000000-0005-0000-0000-0000BB020000}"/>
    <cellStyle name="Финансовый 2 11 2" xfId="188" xr:uid="{00000000-0005-0000-0000-0000BC020000}"/>
    <cellStyle name="Финансовый 2 11 2 2" xfId="1286" xr:uid="{00000000-0005-0000-0000-0000BD020000}"/>
    <cellStyle name="Финансовый 2 11 2 2 2" xfId="2252" xr:uid="{00000000-0005-0000-0000-0000BE020000}"/>
    <cellStyle name="Финансовый 2 11 2 2 2 2" xfId="3897" xr:uid="{00000000-0005-0000-0000-0000BF020000}"/>
    <cellStyle name="Финансовый 2 11 2 2 2 3" xfId="5680" xr:uid="{00000000-0005-0000-0000-0000C0020000}"/>
    <cellStyle name="Финансовый 2 11 2 2 3" xfId="3070" xr:uid="{00000000-0005-0000-0000-0000C1020000}"/>
    <cellStyle name="Финансовый 2 11 2 2 4" xfId="4714" xr:uid="{00000000-0005-0000-0000-0000C2020000}"/>
    <cellStyle name="Финансовый 2 11 2 3" xfId="1996" xr:uid="{00000000-0005-0000-0000-0000C3020000}"/>
    <cellStyle name="Финансовый 2 11 2 3 2" xfId="3641" xr:uid="{00000000-0005-0000-0000-0000C4020000}"/>
    <cellStyle name="Финансовый 2 11 2 3 3" xfId="5424" xr:uid="{00000000-0005-0000-0000-0000C5020000}"/>
    <cellStyle name="Финансовый 2 11 2 4" xfId="2517" xr:uid="{00000000-0005-0000-0000-0000C6020000}"/>
    <cellStyle name="Финансовый 2 11 2 4 2" xfId="4162" xr:uid="{00000000-0005-0000-0000-0000C7020000}"/>
    <cellStyle name="Финансовый 2 11 2 4 3" xfId="5945" xr:uid="{00000000-0005-0000-0000-0000C8020000}"/>
    <cellStyle name="Финансовый 2 11 2 5" xfId="1021" xr:uid="{00000000-0005-0000-0000-0000C9020000}"/>
    <cellStyle name="Финансовый 2 11 2 6" xfId="609" xr:uid="{00000000-0005-0000-0000-0000CA020000}"/>
    <cellStyle name="Финансовый 2 11 2 7" xfId="2798" xr:uid="{00000000-0005-0000-0000-0000CB020000}"/>
    <cellStyle name="Финансовый 2 11 2 8" xfId="4442" xr:uid="{00000000-0005-0000-0000-0000CC020000}"/>
    <cellStyle name="Финансовый 2 11 3" xfId="337" xr:uid="{00000000-0005-0000-0000-0000CD020000}"/>
    <cellStyle name="Финансовый 2 11 3 2" xfId="2124" xr:uid="{00000000-0005-0000-0000-0000CE020000}"/>
    <cellStyle name="Финансовый 2 11 3 2 2" xfId="3769" xr:uid="{00000000-0005-0000-0000-0000CF020000}"/>
    <cellStyle name="Финансовый 2 11 3 2 3" xfId="5552" xr:uid="{00000000-0005-0000-0000-0000D0020000}"/>
    <cellStyle name="Финансовый 2 11 3 3" xfId="1157" xr:uid="{00000000-0005-0000-0000-0000D1020000}"/>
    <cellStyle name="Финансовый 2 11 3 4" xfId="757" xr:uid="{00000000-0005-0000-0000-0000D2020000}"/>
    <cellStyle name="Финансовый 2 11 3 5" xfId="2934" xr:uid="{00000000-0005-0000-0000-0000D3020000}"/>
    <cellStyle name="Финансовый 2 11 3 6" xfId="4578" xr:uid="{00000000-0005-0000-0000-0000D4020000}"/>
    <cellStyle name="Финансовый 2 11 4" xfId="1434" xr:uid="{00000000-0005-0000-0000-0000D5020000}"/>
    <cellStyle name="Финансовый 2 11 4 2" xfId="1860" xr:uid="{00000000-0005-0000-0000-0000D6020000}"/>
    <cellStyle name="Финансовый 2 11 4 2 2" xfId="3505" xr:uid="{00000000-0005-0000-0000-0000D7020000}"/>
    <cellStyle name="Финансовый 2 11 4 2 3" xfId="5288" xr:uid="{00000000-0005-0000-0000-0000D8020000}"/>
    <cellStyle name="Финансовый 2 11 4 3" xfId="4862" xr:uid="{00000000-0005-0000-0000-0000D9020000}"/>
    <cellStyle name="Финансовый 2 11 5" xfId="1744" xr:uid="{00000000-0005-0000-0000-0000DA020000}"/>
    <cellStyle name="Финансовый 2 11 5 2" xfId="3389" xr:uid="{00000000-0005-0000-0000-0000DB020000}"/>
    <cellStyle name="Финансовый 2 11 5 3" xfId="5172" xr:uid="{00000000-0005-0000-0000-0000DC020000}"/>
    <cellStyle name="Финансовый 2 11 6" xfId="2380" xr:uid="{00000000-0005-0000-0000-0000DD020000}"/>
    <cellStyle name="Финансовый 2 11 6 2" xfId="4025" xr:uid="{00000000-0005-0000-0000-0000DE020000}"/>
    <cellStyle name="Финансовый 2 11 6 3" xfId="5808" xr:uid="{00000000-0005-0000-0000-0000DF020000}"/>
    <cellStyle name="Финансовый 2 11 7" xfId="1607" xr:uid="{00000000-0005-0000-0000-0000E0020000}"/>
    <cellStyle name="Финансовый 2 11 7 2" xfId="3252" xr:uid="{00000000-0005-0000-0000-0000E1020000}"/>
    <cellStyle name="Финансовый 2 11 7 3" xfId="5035" xr:uid="{00000000-0005-0000-0000-0000E2020000}"/>
    <cellStyle name="Финансовый 2 11 8" xfId="893" xr:uid="{00000000-0005-0000-0000-0000E3020000}"/>
    <cellStyle name="Финансовый 2 11 9" xfId="473" xr:uid="{00000000-0005-0000-0000-0000E4020000}"/>
    <cellStyle name="Финансовый 2 12" xfId="128" xr:uid="{00000000-0005-0000-0000-0000E5020000}"/>
    <cellStyle name="Финансовый 2 12 10" xfId="2738" xr:uid="{00000000-0005-0000-0000-0000E6020000}"/>
    <cellStyle name="Финансовый 2 12 11" xfId="4382" xr:uid="{00000000-0005-0000-0000-0000E7020000}"/>
    <cellStyle name="Финансовый 2 12 2" xfId="264" xr:uid="{00000000-0005-0000-0000-0000E8020000}"/>
    <cellStyle name="Финансовый 2 12 2 2" xfId="1362" xr:uid="{00000000-0005-0000-0000-0000E9020000}"/>
    <cellStyle name="Финансовый 2 12 2 2 2" xfId="2320" xr:uid="{00000000-0005-0000-0000-0000EA020000}"/>
    <cellStyle name="Финансовый 2 12 2 2 2 2" xfId="3965" xr:uid="{00000000-0005-0000-0000-0000EB020000}"/>
    <cellStyle name="Финансовый 2 12 2 2 2 3" xfId="5748" xr:uid="{00000000-0005-0000-0000-0000EC020000}"/>
    <cellStyle name="Финансовый 2 12 2 2 3" xfId="3146" xr:uid="{00000000-0005-0000-0000-0000ED020000}"/>
    <cellStyle name="Финансовый 2 12 2 2 4" xfId="4790" xr:uid="{00000000-0005-0000-0000-0000EE020000}"/>
    <cellStyle name="Финансовый 2 12 2 3" xfId="2064" xr:uid="{00000000-0005-0000-0000-0000EF020000}"/>
    <cellStyle name="Финансовый 2 12 2 3 2" xfId="3709" xr:uid="{00000000-0005-0000-0000-0000F0020000}"/>
    <cellStyle name="Финансовый 2 12 2 3 3" xfId="5492" xr:uid="{00000000-0005-0000-0000-0000F1020000}"/>
    <cellStyle name="Финансовый 2 12 2 4" xfId="2593" xr:uid="{00000000-0005-0000-0000-0000F2020000}"/>
    <cellStyle name="Финансовый 2 12 2 4 2" xfId="4238" xr:uid="{00000000-0005-0000-0000-0000F3020000}"/>
    <cellStyle name="Финансовый 2 12 2 4 3" xfId="6021" xr:uid="{00000000-0005-0000-0000-0000F4020000}"/>
    <cellStyle name="Финансовый 2 12 2 5" xfId="1097" xr:uid="{00000000-0005-0000-0000-0000F5020000}"/>
    <cellStyle name="Финансовый 2 12 2 6" xfId="685" xr:uid="{00000000-0005-0000-0000-0000F6020000}"/>
    <cellStyle name="Финансовый 2 12 2 7" xfId="2874" xr:uid="{00000000-0005-0000-0000-0000F7020000}"/>
    <cellStyle name="Финансовый 2 12 2 8" xfId="4518" xr:uid="{00000000-0005-0000-0000-0000F8020000}"/>
    <cellStyle name="Финансовый 2 12 3" xfId="413" xr:uid="{00000000-0005-0000-0000-0000F9020000}"/>
    <cellStyle name="Финансовый 2 12 3 2" xfId="2192" xr:uid="{00000000-0005-0000-0000-0000FA020000}"/>
    <cellStyle name="Финансовый 2 12 3 2 2" xfId="3837" xr:uid="{00000000-0005-0000-0000-0000FB020000}"/>
    <cellStyle name="Финансовый 2 12 3 2 3" xfId="5620" xr:uid="{00000000-0005-0000-0000-0000FC020000}"/>
    <cellStyle name="Финансовый 2 12 3 3" xfId="1226" xr:uid="{00000000-0005-0000-0000-0000FD020000}"/>
    <cellStyle name="Финансовый 2 12 3 4" xfId="833" xr:uid="{00000000-0005-0000-0000-0000FE020000}"/>
    <cellStyle name="Финансовый 2 12 3 5" xfId="3010" xr:uid="{00000000-0005-0000-0000-0000FF020000}"/>
    <cellStyle name="Финансовый 2 12 3 6" xfId="4654" xr:uid="{00000000-0005-0000-0000-000000030000}"/>
    <cellStyle name="Финансовый 2 12 4" xfId="1450" xr:uid="{00000000-0005-0000-0000-000001030000}"/>
    <cellStyle name="Финансовый 2 12 4 2" xfId="1936" xr:uid="{00000000-0005-0000-0000-000002030000}"/>
    <cellStyle name="Финансовый 2 12 4 2 2" xfId="3581" xr:uid="{00000000-0005-0000-0000-000003030000}"/>
    <cellStyle name="Финансовый 2 12 4 2 3" xfId="5364" xr:uid="{00000000-0005-0000-0000-000004030000}"/>
    <cellStyle name="Финансовый 2 12 4 3" xfId="4878" xr:uid="{00000000-0005-0000-0000-000005030000}"/>
    <cellStyle name="Финансовый 2 12 5" xfId="1812" xr:uid="{00000000-0005-0000-0000-000006030000}"/>
    <cellStyle name="Финансовый 2 12 5 2" xfId="3457" xr:uid="{00000000-0005-0000-0000-000007030000}"/>
    <cellStyle name="Финансовый 2 12 5 3" xfId="5240" xr:uid="{00000000-0005-0000-0000-000008030000}"/>
    <cellStyle name="Финансовый 2 12 6" xfId="2457" xr:uid="{00000000-0005-0000-0000-000009030000}"/>
    <cellStyle name="Финансовый 2 12 6 2" xfId="4102" xr:uid="{00000000-0005-0000-0000-00000A030000}"/>
    <cellStyle name="Финансовый 2 12 6 3" xfId="5885" xr:uid="{00000000-0005-0000-0000-00000B030000}"/>
    <cellStyle name="Финансовый 2 12 7" xfId="1684" xr:uid="{00000000-0005-0000-0000-00000C030000}"/>
    <cellStyle name="Финансовый 2 12 7 2" xfId="3329" xr:uid="{00000000-0005-0000-0000-00000D030000}"/>
    <cellStyle name="Финансовый 2 12 7 3" xfId="5112" xr:uid="{00000000-0005-0000-0000-00000E030000}"/>
    <cellStyle name="Финансовый 2 12 8" xfId="961" xr:uid="{00000000-0005-0000-0000-00000F030000}"/>
    <cellStyle name="Финансовый 2 12 9" xfId="549" xr:uid="{00000000-0005-0000-0000-000010030000}"/>
    <cellStyle name="Финансовый 2 13" xfId="26" xr:uid="{00000000-0005-0000-0000-000011030000}"/>
    <cellStyle name="Финансовый 2 13 10" xfId="2638" xr:uid="{00000000-0005-0000-0000-000012030000}"/>
    <cellStyle name="Финансовый 2 13 11" xfId="4281" xr:uid="{00000000-0005-0000-0000-000013030000}"/>
    <cellStyle name="Финансовый 2 13 2" xfId="164" xr:uid="{00000000-0005-0000-0000-000014030000}"/>
    <cellStyle name="Финансовый 2 13 2 2" xfId="1262" xr:uid="{00000000-0005-0000-0000-000015030000}"/>
    <cellStyle name="Финансовый 2 13 2 2 2" xfId="2228" xr:uid="{00000000-0005-0000-0000-000016030000}"/>
    <cellStyle name="Финансовый 2 13 2 2 2 2" xfId="3873" xr:uid="{00000000-0005-0000-0000-000017030000}"/>
    <cellStyle name="Финансовый 2 13 2 2 2 3" xfId="5656" xr:uid="{00000000-0005-0000-0000-000018030000}"/>
    <cellStyle name="Финансовый 2 13 2 2 3" xfId="3046" xr:uid="{00000000-0005-0000-0000-000019030000}"/>
    <cellStyle name="Финансовый 2 13 2 2 4" xfId="4690" xr:uid="{00000000-0005-0000-0000-00001A030000}"/>
    <cellStyle name="Финансовый 2 13 2 3" xfId="1972" xr:uid="{00000000-0005-0000-0000-00001B030000}"/>
    <cellStyle name="Финансовый 2 13 2 3 2" xfId="3617" xr:uid="{00000000-0005-0000-0000-00001C030000}"/>
    <cellStyle name="Финансовый 2 13 2 3 3" xfId="5400" xr:uid="{00000000-0005-0000-0000-00001D030000}"/>
    <cellStyle name="Финансовый 2 13 2 4" xfId="2493" xr:uid="{00000000-0005-0000-0000-00001E030000}"/>
    <cellStyle name="Финансовый 2 13 2 4 2" xfId="4138" xr:uid="{00000000-0005-0000-0000-00001F030000}"/>
    <cellStyle name="Финансовый 2 13 2 4 3" xfId="5921" xr:uid="{00000000-0005-0000-0000-000020030000}"/>
    <cellStyle name="Финансовый 2 13 2 5" xfId="997" xr:uid="{00000000-0005-0000-0000-000021030000}"/>
    <cellStyle name="Финансовый 2 13 2 6" xfId="585" xr:uid="{00000000-0005-0000-0000-000022030000}"/>
    <cellStyle name="Финансовый 2 13 2 7" xfId="2774" xr:uid="{00000000-0005-0000-0000-000023030000}"/>
    <cellStyle name="Финансовый 2 13 2 8" xfId="4418" xr:uid="{00000000-0005-0000-0000-000024030000}"/>
    <cellStyle name="Финансовый 2 13 3" xfId="313" xr:uid="{00000000-0005-0000-0000-000025030000}"/>
    <cellStyle name="Финансовый 2 13 3 2" xfId="2100" xr:uid="{00000000-0005-0000-0000-000026030000}"/>
    <cellStyle name="Финансовый 2 13 3 2 2" xfId="3745" xr:uid="{00000000-0005-0000-0000-000027030000}"/>
    <cellStyle name="Финансовый 2 13 3 2 3" xfId="5528" xr:uid="{00000000-0005-0000-0000-000028030000}"/>
    <cellStyle name="Финансовый 2 13 3 3" xfId="1133" xr:uid="{00000000-0005-0000-0000-000029030000}"/>
    <cellStyle name="Финансовый 2 13 3 4" xfId="733" xr:uid="{00000000-0005-0000-0000-00002A030000}"/>
    <cellStyle name="Финансовый 2 13 3 5" xfId="2910" xr:uid="{00000000-0005-0000-0000-00002B030000}"/>
    <cellStyle name="Финансовый 2 13 3 6" xfId="4554" xr:uid="{00000000-0005-0000-0000-00002C030000}"/>
    <cellStyle name="Финансовый 2 13 4" xfId="1451" xr:uid="{00000000-0005-0000-0000-00002D030000}"/>
    <cellStyle name="Финансовый 2 13 4 2" xfId="1836" xr:uid="{00000000-0005-0000-0000-00002E030000}"/>
    <cellStyle name="Финансовый 2 13 4 2 2" xfId="3481" xr:uid="{00000000-0005-0000-0000-00002F030000}"/>
    <cellStyle name="Финансовый 2 13 4 2 3" xfId="5264" xr:uid="{00000000-0005-0000-0000-000030030000}"/>
    <cellStyle name="Финансовый 2 13 4 3" xfId="4879" xr:uid="{00000000-0005-0000-0000-000031030000}"/>
    <cellStyle name="Финансовый 2 13 5" xfId="1720" xr:uid="{00000000-0005-0000-0000-000032030000}"/>
    <cellStyle name="Финансовый 2 13 5 2" xfId="3365" xr:uid="{00000000-0005-0000-0000-000033030000}"/>
    <cellStyle name="Финансовый 2 13 5 3" xfId="5148" xr:uid="{00000000-0005-0000-0000-000034030000}"/>
    <cellStyle name="Финансовый 2 13 6" xfId="2356" xr:uid="{00000000-0005-0000-0000-000035030000}"/>
    <cellStyle name="Финансовый 2 13 6 2" xfId="4001" xr:uid="{00000000-0005-0000-0000-000036030000}"/>
    <cellStyle name="Финансовый 2 13 6 3" xfId="5784" xr:uid="{00000000-0005-0000-0000-000037030000}"/>
    <cellStyle name="Финансовый 2 13 7" xfId="1583" xr:uid="{00000000-0005-0000-0000-000038030000}"/>
    <cellStyle name="Финансовый 2 13 7 2" xfId="3228" xr:uid="{00000000-0005-0000-0000-000039030000}"/>
    <cellStyle name="Финансовый 2 13 7 3" xfId="5011" xr:uid="{00000000-0005-0000-0000-00003A030000}"/>
    <cellStyle name="Финансовый 2 13 8" xfId="869" xr:uid="{00000000-0005-0000-0000-00003B030000}"/>
    <cellStyle name="Финансовый 2 13 9" xfId="449" xr:uid="{00000000-0005-0000-0000-00003C030000}"/>
    <cellStyle name="Финансовый 2 14" xfId="14" xr:uid="{00000000-0005-0000-0000-00003D030000}"/>
    <cellStyle name="Финансовый 2 14 10" xfId="2626" xr:uid="{00000000-0005-0000-0000-00003E030000}"/>
    <cellStyle name="Финансовый 2 14 11" xfId="4269" xr:uid="{00000000-0005-0000-0000-00003F030000}"/>
    <cellStyle name="Финансовый 2 14 2" xfId="152" xr:uid="{00000000-0005-0000-0000-000040030000}"/>
    <cellStyle name="Финансовый 2 14 2 2" xfId="1250" xr:uid="{00000000-0005-0000-0000-000041030000}"/>
    <cellStyle name="Финансовый 2 14 2 2 2" xfId="2216" xr:uid="{00000000-0005-0000-0000-000042030000}"/>
    <cellStyle name="Финансовый 2 14 2 2 2 2" xfId="3861" xr:uid="{00000000-0005-0000-0000-000043030000}"/>
    <cellStyle name="Финансовый 2 14 2 2 2 3" xfId="5644" xr:uid="{00000000-0005-0000-0000-000044030000}"/>
    <cellStyle name="Финансовый 2 14 2 2 3" xfId="3034" xr:uid="{00000000-0005-0000-0000-000045030000}"/>
    <cellStyle name="Финансовый 2 14 2 2 4" xfId="4678" xr:uid="{00000000-0005-0000-0000-000046030000}"/>
    <cellStyle name="Финансовый 2 14 2 3" xfId="1960" xr:uid="{00000000-0005-0000-0000-000047030000}"/>
    <cellStyle name="Финансовый 2 14 2 3 2" xfId="3605" xr:uid="{00000000-0005-0000-0000-000048030000}"/>
    <cellStyle name="Финансовый 2 14 2 3 3" xfId="5388" xr:uid="{00000000-0005-0000-0000-000049030000}"/>
    <cellStyle name="Финансовый 2 14 2 4" xfId="2481" xr:uid="{00000000-0005-0000-0000-00004A030000}"/>
    <cellStyle name="Финансовый 2 14 2 4 2" xfId="4126" xr:uid="{00000000-0005-0000-0000-00004B030000}"/>
    <cellStyle name="Финансовый 2 14 2 4 3" xfId="5909" xr:uid="{00000000-0005-0000-0000-00004C030000}"/>
    <cellStyle name="Финансовый 2 14 2 5" xfId="985" xr:uid="{00000000-0005-0000-0000-00004D030000}"/>
    <cellStyle name="Финансовый 2 14 2 6" xfId="573" xr:uid="{00000000-0005-0000-0000-00004E030000}"/>
    <cellStyle name="Финансовый 2 14 2 7" xfId="2762" xr:uid="{00000000-0005-0000-0000-00004F030000}"/>
    <cellStyle name="Финансовый 2 14 2 8" xfId="4406" xr:uid="{00000000-0005-0000-0000-000050030000}"/>
    <cellStyle name="Финансовый 2 14 3" xfId="301" xr:uid="{00000000-0005-0000-0000-000051030000}"/>
    <cellStyle name="Финансовый 2 14 3 2" xfId="2088" xr:uid="{00000000-0005-0000-0000-000052030000}"/>
    <cellStyle name="Финансовый 2 14 3 2 2" xfId="3733" xr:uid="{00000000-0005-0000-0000-000053030000}"/>
    <cellStyle name="Финансовый 2 14 3 2 3" xfId="5516" xr:uid="{00000000-0005-0000-0000-000054030000}"/>
    <cellStyle name="Финансовый 2 14 3 3" xfId="1121" xr:uid="{00000000-0005-0000-0000-000055030000}"/>
    <cellStyle name="Финансовый 2 14 3 4" xfId="721" xr:uid="{00000000-0005-0000-0000-000056030000}"/>
    <cellStyle name="Финансовый 2 14 3 5" xfId="2898" xr:uid="{00000000-0005-0000-0000-000057030000}"/>
    <cellStyle name="Финансовый 2 14 3 6" xfId="4542" xr:uid="{00000000-0005-0000-0000-000058030000}"/>
    <cellStyle name="Финансовый 2 14 4" xfId="1452" xr:uid="{00000000-0005-0000-0000-000059030000}"/>
    <cellStyle name="Финансовый 2 14 4 2" xfId="1824" xr:uid="{00000000-0005-0000-0000-00005A030000}"/>
    <cellStyle name="Финансовый 2 14 4 2 2" xfId="3469" xr:uid="{00000000-0005-0000-0000-00005B030000}"/>
    <cellStyle name="Финансовый 2 14 4 2 3" xfId="5252" xr:uid="{00000000-0005-0000-0000-00005C030000}"/>
    <cellStyle name="Финансовый 2 14 4 3" xfId="4880" xr:uid="{00000000-0005-0000-0000-00005D030000}"/>
    <cellStyle name="Финансовый 2 14 5" xfId="1708" xr:uid="{00000000-0005-0000-0000-00005E030000}"/>
    <cellStyle name="Финансовый 2 14 5 2" xfId="3353" xr:uid="{00000000-0005-0000-0000-00005F030000}"/>
    <cellStyle name="Финансовый 2 14 5 3" xfId="5136" xr:uid="{00000000-0005-0000-0000-000060030000}"/>
    <cellStyle name="Финансовый 2 14 6" xfId="2344" xr:uid="{00000000-0005-0000-0000-000061030000}"/>
    <cellStyle name="Финансовый 2 14 6 2" xfId="3989" xr:uid="{00000000-0005-0000-0000-000062030000}"/>
    <cellStyle name="Финансовый 2 14 6 3" xfId="5772" xr:uid="{00000000-0005-0000-0000-000063030000}"/>
    <cellStyle name="Финансовый 2 14 7" xfId="1571" xr:uid="{00000000-0005-0000-0000-000064030000}"/>
    <cellStyle name="Финансовый 2 14 7 2" xfId="3216" xr:uid="{00000000-0005-0000-0000-000065030000}"/>
    <cellStyle name="Финансовый 2 14 7 3" xfId="4999" xr:uid="{00000000-0005-0000-0000-000066030000}"/>
    <cellStyle name="Финансовый 2 14 8" xfId="857" xr:uid="{00000000-0005-0000-0000-000067030000}"/>
    <cellStyle name="Финансовый 2 14 9" xfId="437" xr:uid="{00000000-0005-0000-0000-000068030000}"/>
    <cellStyle name="Финансовый 2 15" xfId="140" xr:uid="{00000000-0005-0000-0000-000069030000}"/>
    <cellStyle name="Финансовый 2 15 2" xfId="1238" xr:uid="{00000000-0005-0000-0000-00006A030000}"/>
    <cellStyle name="Финансовый 2 15 2 2" xfId="2204" xr:uid="{00000000-0005-0000-0000-00006B030000}"/>
    <cellStyle name="Финансовый 2 15 2 2 2" xfId="3849" xr:uid="{00000000-0005-0000-0000-00006C030000}"/>
    <cellStyle name="Финансовый 2 15 2 2 3" xfId="5632" xr:uid="{00000000-0005-0000-0000-00006D030000}"/>
    <cellStyle name="Финансовый 2 15 2 3" xfId="3022" xr:uid="{00000000-0005-0000-0000-00006E030000}"/>
    <cellStyle name="Финансовый 2 15 2 4" xfId="4666" xr:uid="{00000000-0005-0000-0000-00006F030000}"/>
    <cellStyle name="Финансовый 2 15 3" xfId="1948" xr:uid="{00000000-0005-0000-0000-000070030000}"/>
    <cellStyle name="Финансовый 2 15 3 2" xfId="3593" xr:uid="{00000000-0005-0000-0000-000071030000}"/>
    <cellStyle name="Финансовый 2 15 3 3" xfId="5376" xr:uid="{00000000-0005-0000-0000-000072030000}"/>
    <cellStyle name="Финансовый 2 15 4" xfId="2469" xr:uid="{00000000-0005-0000-0000-000073030000}"/>
    <cellStyle name="Финансовый 2 15 4 2" xfId="4114" xr:uid="{00000000-0005-0000-0000-000074030000}"/>
    <cellStyle name="Финансовый 2 15 4 3" xfId="5897" xr:uid="{00000000-0005-0000-0000-000075030000}"/>
    <cellStyle name="Финансовый 2 15 5" xfId="973" xr:uid="{00000000-0005-0000-0000-000076030000}"/>
    <cellStyle name="Финансовый 2 15 6" xfId="561" xr:uid="{00000000-0005-0000-0000-000077030000}"/>
    <cellStyle name="Финансовый 2 15 7" xfId="2750" xr:uid="{00000000-0005-0000-0000-000078030000}"/>
    <cellStyle name="Финансовый 2 15 8" xfId="4394" xr:uid="{00000000-0005-0000-0000-000079030000}"/>
    <cellStyle name="Финансовый 2 16" xfId="276" xr:uid="{00000000-0005-0000-0000-00007A030000}"/>
    <cellStyle name="Финансовый 2 16 2" xfId="2076" xr:uid="{00000000-0005-0000-0000-00007B030000}"/>
    <cellStyle name="Финансовый 2 16 2 2" xfId="3721" xr:uid="{00000000-0005-0000-0000-00007C030000}"/>
    <cellStyle name="Финансовый 2 16 2 3" xfId="5504" xr:uid="{00000000-0005-0000-0000-00007D030000}"/>
    <cellStyle name="Финансовый 2 16 3" xfId="1374" xr:uid="{00000000-0005-0000-0000-00007E030000}"/>
    <cellStyle name="Финансовый 2 16 4" xfId="697" xr:uid="{00000000-0005-0000-0000-00007F030000}"/>
    <cellStyle name="Финансовый 2 16 5" xfId="3158" xr:uid="{00000000-0005-0000-0000-000080030000}"/>
    <cellStyle name="Финансовый 2 16 6" xfId="4802" xr:uid="{00000000-0005-0000-0000-000081030000}"/>
    <cellStyle name="Финансовый 2 17" xfId="289" xr:uid="{00000000-0005-0000-0000-000082030000}"/>
    <cellStyle name="Финансовый 2 17 2" xfId="1109" xr:uid="{00000000-0005-0000-0000-000083030000}"/>
    <cellStyle name="Финансовый 2 17 3" xfId="709" xr:uid="{00000000-0005-0000-0000-000084030000}"/>
    <cellStyle name="Финансовый 2 17 4" xfId="2886" xr:uid="{00000000-0005-0000-0000-000085030000}"/>
    <cellStyle name="Финансовый 2 17 5" xfId="4530" xr:uid="{00000000-0005-0000-0000-000086030000}"/>
    <cellStyle name="Финансовый 2 18" xfId="1445" xr:uid="{00000000-0005-0000-0000-000087030000}"/>
    <cellStyle name="Финансовый 2 18 2" xfId="1696" xr:uid="{00000000-0005-0000-0000-000088030000}"/>
    <cellStyle name="Финансовый 2 18 2 2" xfId="3341" xr:uid="{00000000-0005-0000-0000-000089030000}"/>
    <cellStyle name="Финансовый 2 18 2 3" xfId="5124" xr:uid="{00000000-0005-0000-0000-00008A030000}"/>
    <cellStyle name="Финансовый 2 18 3" xfId="4873" xr:uid="{00000000-0005-0000-0000-00008B030000}"/>
    <cellStyle name="Финансовый 2 19" xfId="2332" xr:uid="{00000000-0005-0000-0000-00008C030000}"/>
    <cellStyle name="Финансовый 2 19 2" xfId="3977" xr:uid="{00000000-0005-0000-0000-00008D030000}"/>
    <cellStyle name="Финансовый 2 19 3" xfId="5760" xr:uid="{00000000-0005-0000-0000-00008E030000}"/>
    <cellStyle name="Финансовый 2 2" xfId="4" xr:uid="{00000000-0005-0000-0000-00008F030000}"/>
    <cellStyle name="Финансовый 2 2 10" xfId="28" xr:uid="{00000000-0005-0000-0000-000090030000}"/>
    <cellStyle name="Финансовый 2 2 10 10" xfId="2640" xr:uid="{00000000-0005-0000-0000-000091030000}"/>
    <cellStyle name="Финансовый 2 2 10 11" xfId="4283" xr:uid="{00000000-0005-0000-0000-000092030000}"/>
    <cellStyle name="Финансовый 2 2 10 2" xfId="166" xr:uid="{00000000-0005-0000-0000-000093030000}"/>
    <cellStyle name="Финансовый 2 2 10 2 2" xfId="1264" xr:uid="{00000000-0005-0000-0000-000094030000}"/>
    <cellStyle name="Финансовый 2 2 10 2 2 2" xfId="2230" xr:uid="{00000000-0005-0000-0000-000095030000}"/>
    <cellStyle name="Финансовый 2 2 10 2 2 2 2" xfId="3875" xr:uid="{00000000-0005-0000-0000-000096030000}"/>
    <cellStyle name="Финансовый 2 2 10 2 2 2 3" xfId="5658" xr:uid="{00000000-0005-0000-0000-000097030000}"/>
    <cellStyle name="Финансовый 2 2 10 2 2 3" xfId="3048" xr:uid="{00000000-0005-0000-0000-000098030000}"/>
    <cellStyle name="Финансовый 2 2 10 2 2 4" xfId="4692" xr:uid="{00000000-0005-0000-0000-000099030000}"/>
    <cellStyle name="Финансовый 2 2 10 2 3" xfId="1974" xr:uid="{00000000-0005-0000-0000-00009A030000}"/>
    <cellStyle name="Финансовый 2 2 10 2 3 2" xfId="3619" xr:uid="{00000000-0005-0000-0000-00009B030000}"/>
    <cellStyle name="Финансовый 2 2 10 2 3 3" xfId="5402" xr:uid="{00000000-0005-0000-0000-00009C030000}"/>
    <cellStyle name="Финансовый 2 2 10 2 4" xfId="2495" xr:uid="{00000000-0005-0000-0000-00009D030000}"/>
    <cellStyle name="Финансовый 2 2 10 2 4 2" xfId="4140" xr:uid="{00000000-0005-0000-0000-00009E030000}"/>
    <cellStyle name="Финансовый 2 2 10 2 4 3" xfId="5923" xr:uid="{00000000-0005-0000-0000-00009F030000}"/>
    <cellStyle name="Финансовый 2 2 10 2 5" xfId="999" xr:uid="{00000000-0005-0000-0000-0000A0030000}"/>
    <cellStyle name="Финансовый 2 2 10 2 6" xfId="587" xr:uid="{00000000-0005-0000-0000-0000A1030000}"/>
    <cellStyle name="Финансовый 2 2 10 2 7" xfId="2776" xr:uid="{00000000-0005-0000-0000-0000A2030000}"/>
    <cellStyle name="Финансовый 2 2 10 2 8" xfId="4420" xr:uid="{00000000-0005-0000-0000-0000A3030000}"/>
    <cellStyle name="Финансовый 2 2 10 3" xfId="315" xr:uid="{00000000-0005-0000-0000-0000A4030000}"/>
    <cellStyle name="Финансовый 2 2 10 3 2" xfId="2102" xr:uid="{00000000-0005-0000-0000-0000A5030000}"/>
    <cellStyle name="Финансовый 2 2 10 3 2 2" xfId="3747" xr:uid="{00000000-0005-0000-0000-0000A6030000}"/>
    <cellStyle name="Финансовый 2 2 10 3 2 3" xfId="5530" xr:uid="{00000000-0005-0000-0000-0000A7030000}"/>
    <cellStyle name="Финансовый 2 2 10 3 3" xfId="1135" xr:uid="{00000000-0005-0000-0000-0000A8030000}"/>
    <cellStyle name="Финансовый 2 2 10 3 4" xfId="735" xr:uid="{00000000-0005-0000-0000-0000A9030000}"/>
    <cellStyle name="Финансовый 2 2 10 3 5" xfId="2912" xr:uid="{00000000-0005-0000-0000-0000AA030000}"/>
    <cellStyle name="Финансовый 2 2 10 3 6" xfId="4556" xr:uid="{00000000-0005-0000-0000-0000AB030000}"/>
    <cellStyle name="Финансовый 2 2 10 4" xfId="1455" xr:uid="{00000000-0005-0000-0000-0000AC030000}"/>
    <cellStyle name="Финансовый 2 2 10 4 2" xfId="1838" xr:uid="{00000000-0005-0000-0000-0000AD030000}"/>
    <cellStyle name="Финансовый 2 2 10 4 2 2" xfId="3483" xr:uid="{00000000-0005-0000-0000-0000AE030000}"/>
    <cellStyle name="Финансовый 2 2 10 4 2 3" xfId="5266" xr:uid="{00000000-0005-0000-0000-0000AF030000}"/>
    <cellStyle name="Финансовый 2 2 10 4 3" xfId="4883" xr:uid="{00000000-0005-0000-0000-0000B0030000}"/>
    <cellStyle name="Финансовый 2 2 10 5" xfId="1722" xr:uid="{00000000-0005-0000-0000-0000B1030000}"/>
    <cellStyle name="Финансовый 2 2 10 5 2" xfId="3367" xr:uid="{00000000-0005-0000-0000-0000B2030000}"/>
    <cellStyle name="Финансовый 2 2 10 5 3" xfId="5150" xr:uid="{00000000-0005-0000-0000-0000B3030000}"/>
    <cellStyle name="Финансовый 2 2 10 6" xfId="2358" xr:uid="{00000000-0005-0000-0000-0000B4030000}"/>
    <cellStyle name="Финансовый 2 2 10 6 2" xfId="4003" xr:uid="{00000000-0005-0000-0000-0000B5030000}"/>
    <cellStyle name="Финансовый 2 2 10 6 3" xfId="5786" xr:uid="{00000000-0005-0000-0000-0000B6030000}"/>
    <cellStyle name="Финансовый 2 2 10 7" xfId="1585" xr:uid="{00000000-0005-0000-0000-0000B7030000}"/>
    <cellStyle name="Финансовый 2 2 10 7 2" xfId="3230" xr:uid="{00000000-0005-0000-0000-0000B8030000}"/>
    <cellStyle name="Финансовый 2 2 10 7 3" xfId="5013" xr:uid="{00000000-0005-0000-0000-0000B9030000}"/>
    <cellStyle name="Финансовый 2 2 10 8" xfId="871" xr:uid="{00000000-0005-0000-0000-0000BA030000}"/>
    <cellStyle name="Финансовый 2 2 10 9" xfId="451" xr:uid="{00000000-0005-0000-0000-0000BB030000}"/>
    <cellStyle name="Финансовый 2 2 11" xfId="16" xr:uid="{00000000-0005-0000-0000-0000BC030000}"/>
    <cellStyle name="Финансовый 2 2 11 10" xfId="2628" xr:uid="{00000000-0005-0000-0000-0000BD030000}"/>
    <cellStyle name="Финансовый 2 2 11 11" xfId="4271" xr:uid="{00000000-0005-0000-0000-0000BE030000}"/>
    <cellStyle name="Финансовый 2 2 11 2" xfId="154" xr:uid="{00000000-0005-0000-0000-0000BF030000}"/>
    <cellStyle name="Финансовый 2 2 11 2 2" xfId="1252" xr:uid="{00000000-0005-0000-0000-0000C0030000}"/>
    <cellStyle name="Финансовый 2 2 11 2 2 2" xfId="2218" xr:uid="{00000000-0005-0000-0000-0000C1030000}"/>
    <cellStyle name="Финансовый 2 2 11 2 2 2 2" xfId="3863" xr:uid="{00000000-0005-0000-0000-0000C2030000}"/>
    <cellStyle name="Финансовый 2 2 11 2 2 2 3" xfId="5646" xr:uid="{00000000-0005-0000-0000-0000C3030000}"/>
    <cellStyle name="Финансовый 2 2 11 2 2 3" xfId="3036" xr:uid="{00000000-0005-0000-0000-0000C4030000}"/>
    <cellStyle name="Финансовый 2 2 11 2 2 4" xfId="4680" xr:uid="{00000000-0005-0000-0000-0000C5030000}"/>
    <cellStyle name="Финансовый 2 2 11 2 3" xfId="1962" xr:uid="{00000000-0005-0000-0000-0000C6030000}"/>
    <cellStyle name="Финансовый 2 2 11 2 3 2" xfId="3607" xr:uid="{00000000-0005-0000-0000-0000C7030000}"/>
    <cellStyle name="Финансовый 2 2 11 2 3 3" xfId="5390" xr:uid="{00000000-0005-0000-0000-0000C8030000}"/>
    <cellStyle name="Финансовый 2 2 11 2 4" xfId="2483" xr:uid="{00000000-0005-0000-0000-0000C9030000}"/>
    <cellStyle name="Финансовый 2 2 11 2 4 2" xfId="4128" xr:uid="{00000000-0005-0000-0000-0000CA030000}"/>
    <cellStyle name="Финансовый 2 2 11 2 4 3" xfId="5911" xr:uid="{00000000-0005-0000-0000-0000CB030000}"/>
    <cellStyle name="Финансовый 2 2 11 2 5" xfId="987" xr:uid="{00000000-0005-0000-0000-0000CC030000}"/>
    <cellStyle name="Финансовый 2 2 11 2 6" xfId="575" xr:uid="{00000000-0005-0000-0000-0000CD030000}"/>
    <cellStyle name="Финансовый 2 2 11 2 7" xfId="2764" xr:uid="{00000000-0005-0000-0000-0000CE030000}"/>
    <cellStyle name="Финансовый 2 2 11 2 8" xfId="4408" xr:uid="{00000000-0005-0000-0000-0000CF030000}"/>
    <cellStyle name="Финансовый 2 2 11 3" xfId="303" xr:uid="{00000000-0005-0000-0000-0000D0030000}"/>
    <cellStyle name="Финансовый 2 2 11 3 2" xfId="2090" xr:uid="{00000000-0005-0000-0000-0000D1030000}"/>
    <cellStyle name="Финансовый 2 2 11 3 2 2" xfId="3735" xr:uid="{00000000-0005-0000-0000-0000D2030000}"/>
    <cellStyle name="Финансовый 2 2 11 3 2 3" xfId="5518" xr:uid="{00000000-0005-0000-0000-0000D3030000}"/>
    <cellStyle name="Финансовый 2 2 11 3 3" xfId="1123" xr:uid="{00000000-0005-0000-0000-0000D4030000}"/>
    <cellStyle name="Финансовый 2 2 11 3 4" xfId="723" xr:uid="{00000000-0005-0000-0000-0000D5030000}"/>
    <cellStyle name="Финансовый 2 2 11 3 5" xfId="2900" xr:uid="{00000000-0005-0000-0000-0000D6030000}"/>
    <cellStyle name="Финансовый 2 2 11 3 6" xfId="4544" xr:uid="{00000000-0005-0000-0000-0000D7030000}"/>
    <cellStyle name="Финансовый 2 2 11 4" xfId="1424" xr:uid="{00000000-0005-0000-0000-0000D8030000}"/>
    <cellStyle name="Финансовый 2 2 11 4 2" xfId="1826" xr:uid="{00000000-0005-0000-0000-0000D9030000}"/>
    <cellStyle name="Финансовый 2 2 11 4 2 2" xfId="3471" xr:uid="{00000000-0005-0000-0000-0000DA030000}"/>
    <cellStyle name="Финансовый 2 2 11 4 2 3" xfId="5254" xr:uid="{00000000-0005-0000-0000-0000DB030000}"/>
    <cellStyle name="Финансовый 2 2 11 4 3" xfId="4852" xr:uid="{00000000-0005-0000-0000-0000DC030000}"/>
    <cellStyle name="Финансовый 2 2 11 5" xfId="1710" xr:uid="{00000000-0005-0000-0000-0000DD030000}"/>
    <cellStyle name="Финансовый 2 2 11 5 2" xfId="3355" xr:uid="{00000000-0005-0000-0000-0000DE030000}"/>
    <cellStyle name="Финансовый 2 2 11 5 3" xfId="5138" xr:uid="{00000000-0005-0000-0000-0000DF030000}"/>
    <cellStyle name="Финансовый 2 2 11 6" xfId="2346" xr:uid="{00000000-0005-0000-0000-0000E0030000}"/>
    <cellStyle name="Финансовый 2 2 11 6 2" xfId="3991" xr:uid="{00000000-0005-0000-0000-0000E1030000}"/>
    <cellStyle name="Финансовый 2 2 11 6 3" xfId="5774" xr:uid="{00000000-0005-0000-0000-0000E2030000}"/>
    <cellStyle name="Финансовый 2 2 11 7" xfId="1573" xr:uid="{00000000-0005-0000-0000-0000E3030000}"/>
    <cellStyle name="Финансовый 2 2 11 7 2" xfId="3218" xr:uid="{00000000-0005-0000-0000-0000E4030000}"/>
    <cellStyle name="Финансовый 2 2 11 7 3" xfId="5001" xr:uid="{00000000-0005-0000-0000-0000E5030000}"/>
    <cellStyle name="Финансовый 2 2 11 8" xfId="859" xr:uid="{00000000-0005-0000-0000-0000E6030000}"/>
    <cellStyle name="Финансовый 2 2 11 9" xfId="439" xr:uid="{00000000-0005-0000-0000-0000E7030000}"/>
    <cellStyle name="Финансовый 2 2 12" xfId="142" xr:uid="{00000000-0005-0000-0000-0000E8030000}"/>
    <cellStyle name="Финансовый 2 2 12 2" xfId="1240" xr:uid="{00000000-0005-0000-0000-0000E9030000}"/>
    <cellStyle name="Финансовый 2 2 12 2 2" xfId="2206" xr:uid="{00000000-0005-0000-0000-0000EA030000}"/>
    <cellStyle name="Финансовый 2 2 12 2 2 2" xfId="3851" xr:uid="{00000000-0005-0000-0000-0000EB030000}"/>
    <cellStyle name="Финансовый 2 2 12 2 2 3" xfId="5634" xr:uid="{00000000-0005-0000-0000-0000EC030000}"/>
    <cellStyle name="Финансовый 2 2 12 2 3" xfId="3024" xr:uid="{00000000-0005-0000-0000-0000ED030000}"/>
    <cellStyle name="Финансовый 2 2 12 2 4" xfId="4668" xr:uid="{00000000-0005-0000-0000-0000EE030000}"/>
    <cellStyle name="Финансовый 2 2 12 3" xfId="1950" xr:uid="{00000000-0005-0000-0000-0000EF030000}"/>
    <cellStyle name="Финансовый 2 2 12 3 2" xfId="3595" xr:uid="{00000000-0005-0000-0000-0000F0030000}"/>
    <cellStyle name="Финансовый 2 2 12 3 3" xfId="5378" xr:uid="{00000000-0005-0000-0000-0000F1030000}"/>
    <cellStyle name="Финансовый 2 2 12 4" xfId="2471" xr:uid="{00000000-0005-0000-0000-0000F2030000}"/>
    <cellStyle name="Финансовый 2 2 12 4 2" xfId="4116" xr:uid="{00000000-0005-0000-0000-0000F3030000}"/>
    <cellStyle name="Финансовый 2 2 12 4 3" xfId="5899" xr:uid="{00000000-0005-0000-0000-0000F4030000}"/>
    <cellStyle name="Финансовый 2 2 12 5" xfId="975" xr:uid="{00000000-0005-0000-0000-0000F5030000}"/>
    <cellStyle name="Финансовый 2 2 12 6" xfId="563" xr:uid="{00000000-0005-0000-0000-0000F6030000}"/>
    <cellStyle name="Финансовый 2 2 12 7" xfId="2752" xr:uid="{00000000-0005-0000-0000-0000F7030000}"/>
    <cellStyle name="Финансовый 2 2 12 8" xfId="4396" xr:uid="{00000000-0005-0000-0000-0000F8030000}"/>
    <cellStyle name="Финансовый 2 2 13" xfId="278" xr:uid="{00000000-0005-0000-0000-0000F9030000}"/>
    <cellStyle name="Финансовый 2 2 13 2" xfId="2078" xr:uid="{00000000-0005-0000-0000-0000FA030000}"/>
    <cellStyle name="Финансовый 2 2 13 2 2" xfId="3723" xr:uid="{00000000-0005-0000-0000-0000FB030000}"/>
    <cellStyle name="Финансовый 2 2 13 2 3" xfId="5506" xr:uid="{00000000-0005-0000-0000-0000FC030000}"/>
    <cellStyle name="Финансовый 2 2 13 3" xfId="1376" xr:uid="{00000000-0005-0000-0000-0000FD030000}"/>
    <cellStyle name="Финансовый 2 2 13 4" xfId="699" xr:uid="{00000000-0005-0000-0000-0000FE030000}"/>
    <cellStyle name="Финансовый 2 2 13 5" xfId="3160" xr:uid="{00000000-0005-0000-0000-0000FF030000}"/>
    <cellStyle name="Финансовый 2 2 13 6" xfId="4804" xr:uid="{00000000-0005-0000-0000-000000040000}"/>
    <cellStyle name="Финансовый 2 2 14" xfId="291" xr:uid="{00000000-0005-0000-0000-000001040000}"/>
    <cellStyle name="Финансовый 2 2 14 2" xfId="1111" xr:uid="{00000000-0005-0000-0000-000002040000}"/>
    <cellStyle name="Финансовый 2 2 14 3" xfId="711" xr:uid="{00000000-0005-0000-0000-000003040000}"/>
    <cellStyle name="Финансовый 2 2 14 4" xfId="2888" xr:uid="{00000000-0005-0000-0000-000004040000}"/>
    <cellStyle name="Финансовый 2 2 14 5" xfId="4532" xr:uid="{00000000-0005-0000-0000-000005040000}"/>
    <cellStyle name="Финансовый 2 2 15" xfId="1454" xr:uid="{00000000-0005-0000-0000-000006040000}"/>
    <cellStyle name="Финансовый 2 2 15 2" xfId="1698" xr:uid="{00000000-0005-0000-0000-000007040000}"/>
    <cellStyle name="Финансовый 2 2 15 2 2" xfId="3343" xr:uid="{00000000-0005-0000-0000-000008040000}"/>
    <cellStyle name="Финансовый 2 2 15 2 3" xfId="5126" xr:uid="{00000000-0005-0000-0000-000009040000}"/>
    <cellStyle name="Финансовый 2 2 15 3" xfId="4882" xr:uid="{00000000-0005-0000-0000-00000A040000}"/>
    <cellStyle name="Финансовый 2 2 16" xfId="2334" xr:uid="{00000000-0005-0000-0000-00000B040000}"/>
    <cellStyle name="Финансовый 2 2 16 2" xfId="3979" xr:uid="{00000000-0005-0000-0000-00000C040000}"/>
    <cellStyle name="Финансовый 2 2 16 3" xfId="5762" xr:uid="{00000000-0005-0000-0000-00000D040000}"/>
    <cellStyle name="Финансовый 2 2 17" xfId="1561" xr:uid="{00000000-0005-0000-0000-00000E040000}"/>
    <cellStyle name="Финансовый 2 2 17 2" xfId="3206" xr:uid="{00000000-0005-0000-0000-00000F040000}"/>
    <cellStyle name="Финансовый 2 2 17 3" xfId="4989" xr:uid="{00000000-0005-0000-0000-000010040000}"/>
    <cellStyle name="Финансовый 2 2 18" xfId="847" xr:uid="{00000000-0005-0000-0000-000011040000}"/>
    <cellStyle name="Финансовый 2 2 19" xfId="427" xr:uid="{00000000-0005-0000-0000-000012040000}"/>
    <cellStyle name="Финансовый 2 2 2" xfId="10" xr:uid="{00000000-0005-0000-0000-000013040000}"/>
    <cellStyle name="Финансовый 2 2 2 10" xfId="284" xr:uid="{00000000-0005-0000-0000-000014040000}"/>
    <cellStyle name="Финансовый 2 2 2 10 2" xfId="2084" xr:uid="{00000000-0005-0000-0000-000015040000}"/>
    <cellStyle name="Финансовый 2 2 2 10 2 2" xfId="3729" xr:uid="{00000000-0005-0000-0000-000016040000}"/>
    <cellStyle name="Финансовый 2 2 2 10 2 3" xfId="5512" xr:uid="{00000000-0005-0000-0000-000017040000}"/>
    <cellStyle name="Финансовый 2 2 2 10 3" xfId="1382" xr:uid="{00000000-0005-0000-0000-000018040000}"/>
    <cellStyle name="Финансовый 2 2 2 10 4" xfId="705" xr:uid="{00000000-0005-0000-0000-000019040000}"/>
    <cellStyle name="Финансовый 2 2 2 10 5" xfId="3166" xr:uid="{00000000-0005-0000-0000-00001A040000}"/>
    <cellStyle name="Финансовый 2 2 2 10 6" xfId="4810" xr:uid="{00000000-0005-0000-0000-00001B040000}"/>
    <cellStyle name="Финансовый 2 2 2 11" xfId="297" xr:uid="{00000000-0005-0000-0000-00001C040000}"/>
    <cellStyle name="Финансовый 2 2 2 11 2" xfId="1117" xr:uid="{00000000-0005-0000-0000-00001D040000}"/>
    <cellStyle name="Финансовый 2 2 2 11 3" xfId="717" xr:uid="{00000000-0005-0000-0000-00001E040000}"/>
    <cellStyle name="Финансовый 2 2 2 11 4" xfId="2894" xr:uid="{00000000-0005-0000-0000-00001F040000}"/>
    <cellStyle name="Финансовый 2 2 2 11 5" xfId="4538" xr:uid="{00000000-0005-0000-0000-000020040000}"/>
    <cellStyle name="Финансовый 2 2 2 12" xfId="1457" xr:uid="{00000000-0005-0000-0000-000021040000}"/>
    <cellStyle name="Финансовый 2 2 2 12 2" xfId="1704" xr:uid="{00000000-0005-0000-0000-000022040000}"/>
    <cellStyle name="Финансовый 2 2 2 12 2 2" xfId="3349" xr:uid="{00000000-0005-0000-0000-000023040000}"/>
    <cellStyle name="Финансовый 2 2 2 12 2 3" xfId="5132" xr:uid="{00000000-0005-0000-0000-000024040000}"/>
    <cellStyle name="Финансовый 2 2 2 12 3" xfId="4885" xr:uid="{00000000-0005-0000-0000-000025040000}"/>
    <cellStyle name="Финансовый 2 2 2 13" xfId="2340" xr:uid="{00000000-0005-0000-0000-000026040000}"/>
    <cellStyle name="Финансовый 2 2 2 13 2" xfId="3985" xr:uid="{00000000-0005-0000-0000-000027040000}"/>
    <cellStyle name="Финансовый 2 2 2 13 3" xfId="5768" xr:uid="{00000000-0005-0000-0000-000028040000}"/>
    <cellStyle name="Финансовый 2 2 2 14" xfId="1567" xr:uid="{00000000-0005-0000-0000-000029040000}"/>
    <cellStyle name="Финансовый 2 2 2 14 2" xfId="3212" xr:uid="{00000000-0005-0000-0000-00002A040000}"/>
    <cellStyle name="Финансовый 2 2 2 14 3" xfId="4995" xr:uid="{00000000-0005-0000-0000-00002B040000}"/>
    <cellStyle name="Финансовый 2 2 2 15" xfId="853" xr:uid="{00000000-0005-0000-0000-00002C040000}"/>
    <cellStyle name="Финансовый 2 2 2 16" xfId="433" xr:uid="{00000000-0005-0000-0000-00002D040000}"/>
    <cellStyle name="Финансовый 2 2 2 17" xfId="2622" xr:uid="{00000000-0005-0000-0000-00002E040000}"/>
    <cellStyle name="Финансовый 2 2 2 18" xfId="4265" xr:uid="{00000000-0005-0000-0000-00002F040000}"/>
    <cellStyle name="Финансовый 2 2 2 2" xfId="46" xr:uid="{00000000-0005-0000-0000-000030040000}"/>
    <cellStyle name="Финансовый 2 2 2 2 10" xfId="469" xr:uid="{00000000-0005-0000-0000-000031040000}"/>
    <cellStyle name="Финансовый 2 2 2 2 11" xfId="2658" xr:uid="{00000000-0005-0000-0000-000032040000}"/>
    <cellStyle name="Финансовый 2 2 2 2 12" xfId="4301" xr:uid="{00000000-0005-0000-0000-000033040000}"/>
    <cellStyle name="Финансовый 2 2 2 2 2" xfId="104" xr:uid="{00000000-0005-0000-0000-000034040000}"/>
    <cellStyle name="Финансовый 2 2 2 2 2 10" xfId="2714" xr:uid="{00000000-0005-0000-0000-000035040000}"/>
    <cellStyle name="Финансовый 2 2 2 2 2 11" xfId="4358" xr:uid="{00000000-0005-0000-0000-000036040000}"/>
    <cellStyle name="Финансовый 2 2 2 2 2 2" xfId="240" xr:uid="{00000000-0005-0000-0000-000037040000}"/>
    <cellStyle name="Финансовый 2 2 2 2 2 2 2" xfId="1338" xr:uid="{00000000-0005-0000-0000-000038040000}"/>
    <cellStyle name="Финансовый 2 2 2 2 2 2 2 2" xfId="2296" xr:uid="{00000000-0005-0000-0000-000039040000}"/>
    <cellStyle name="Финансовый 2 2 2 2 2 2 2 2 2" xfId="3941" xr:uid="{00000000-0005-0000-0000-00003A040000}"/>
    <cellStyle name="Финансовый 2 2 2 2 2 2 2 2 3" xfId="5724" xr:uid="{00000000-0005-0000-0000-00003B040000}"/>
    <cellStyle name="Финансовый 2 2 2 2 2 2 2 3" xfId="3122" xr:uid="{00000000-0005-0000-0000-00003C040000}"/>
    <cellStyle name="Финансовый 2 2 2 2 2 2 2 4" xfId="4766" xr:uid="{00000000-0005-0000-0000-00003D040000}"/>
    <cellStyle name="Финансовый 2 2 2 2 2 2 3" xfId="2040" xr:uid="{00000000-0005-0000-0000-00003E040000}"/>
    <cellStyle name="Финансовый 2 2 2 2 2 2 3 2" xfId="3685" xr:uid="{00000000-0005-0000-0000-00003F040000}"/>
    <cellStyle name="Финансовый 2 2 2 2 2 2 3 3" xfId="5468" xr:uid="{00000000-0005-0000-0000-000040040000}"/>
    <cellStyle name="Финансовый 2 2 2 2 2 2 4" xfId="2569" xr:uid="{00000000-0005-0000-0000-000041040000}"/>
    <cellStyle name="Финансовый 2 2 2 2 2 2 4 2" xfId="4214" xr:uid="{00000000-0005-0000-0000-000042040000}"/>
    <cellStyle name="Финансовый 2 2 2 2 2 2 4 3" xfId="5997" xr:uid="{00000000-0005-0000-0000-000043040000}"/>
    <cellStyle name="Финансовый 2 2 2 2 2 2 5" xfId="1073" xr:uid="{00000000-0005-0000-0000-000044040000}"/>
    <cellStyle name="Финансовый 2 2 2 2 2 2 6" xfId="661" xr:uid="{00000000-0005-0000-0000-000045040000}"/>
    <cellStyle name="Финансовый 2 2 2 2 2 2 7" xfId="2850" xr:uid="{00000000-0005-0000-0000-000046040000}"/>
    <cellStyle name="Финансовый 2 2 2 2 2 2 8" xfId="4494" xr:uid="{00000000-0005-0000-0000-000047040000}"/>
    <cellStyle name="Финансовый 2 2 2 2 2 3" xfId="389" xr:uid="{00000000-0005-0000-0000-000048040000}"/>
    <cellStyle name="Финансовый 2 2 2 2 2 3 2" xfId="2168" xr:uid="{00000000-0005-0000-0000-000049040000}"/>
    <cellStyle name="Финансовый 2 2 2 2 2 3 2 2" xfId="3813" xr:uid="{00000000-0005-0000-0000-00004A040000}"/>
    <cellStyle name="Финансовый 2 2 2 2 2 3 2 3" xfId="5596" xr:uid="{00000000-0005-0000-0000-00004B040000}"/>
    <cellStyle name="Финансовый 2 2 2 2 2 3 3" xfId="1202" xr:uid="{00000000-0005-0000-0000-00004C040000}"/>
    <cellStyle name="Финансовый 2 2 2 2 2 3 4" xfId="809" xr:uid="{00000000-0005-0000-0000-00004D040000}"/>
    <cellStyle name="Финансовый 2 2 2 2 2 3 5" xfId="2986" xr:uid="{00000000-0005-0000-0000-00004E040000}"/>
    <cellStyle name="Финансовый 2 2 2 2 2 3 6" xfId="4630" xr:uid="{00000000-0005-0000-0000-00004F040000}"/>
    <cellStyle name="Финансовый 2 2 2 2 2 4" xfId="1460" xr:uid="{00000000-0005-0000-0000-000050040000}"/>
    <cellStyle name="Финансовый 2 2 2 2 2 4 2" xfId="1912" xr:uid="{00000000-0005-0000-0000-000051040000}"/>
    <cellStyle name="Финансовый 2 2 2 2 2 4 2 2" xfId="3557" xr:uid="{00000000-0005-0000-0000-000052040000}"/>
    <cellStyle name="Финансовый 2 2 2 2 2 4 2 3" xfId="5340" xr:uid="{00000000-0005-0000-0000-000053040000}"/>
    <cellStyle name="Финансовый 2 2 2 2 2 4 3" xfId="4888" xr:uid="{00000000-0005-0000-0000-000054040000}"/>
    <cellStyle name="Финансовый 2 2 2 2 2 5" xfId="1788" xr:uid="{00000000-0005-0000-0000-000055040000}"/>
    <cellStyle name="Финансовый 2 2 2 2 2 5 2" xfId="3433" xr:uid="{00000000-0005-0000-0000-000056040000}"/>
    <cellStyle name="Финансовый 2 2 2 2 2 5 3" xfId="5216" xr:uid="{00000000-0005-0000-0000-000057040000}"/>
    <cellStyle name="Финансовый 2 2 2 2 2 6" xfId="2433" xr:uid="{00000000-0005-0000-0000-000058040000}"/>
    <cellStyle name="Финансовый 2 2 2 2 2 6 2" xfId="4078" xr:uid="{00000000-0005-0000-0000-000059040000}"/>
    <cellStyle name="Финансовый 2 2 2 2 2 6 3" xfId="5861" xr:uid="{00000000-0005-0000-0000-00005A040000}"/>
    <cellStyle name="Финансовый 2 2 2 2 2 7" xfId="1660" xr:uid="{00000000-0005-0000-0000-00005B040000}"/>
    <cellStyle name="Финансовый 2 2 2 2 2 7 2" xfId="3305" xr:uid="{00000000-0005-0000-0000-00005C040000}"/>
    <cellStyle name="Финансовый 2 2 2 2 2 7 3" xfId="5088" xr:uid="{00000000-0005-0000-0000-00005D040000}"/>
    <cellStyle name="Финансовый 2 2 2 2 2 8" xfId="937" xr:uid="{00000000-0005-0000-0000-00005E040000}"/>
    <cellStyle name="Финансовый 2 2 2 2 2 9" xfId="525" xr:uid="{00000000-0005-0000-0000-00005F040000}"/>
    <cellStyle name="Финансовый 2 2 2 2 3" xfId="184" xr:uid="{00000000-0005-0000-0000-000060040000}"/>
    <cellStyle name="Финансовый 2 2 2 2 3 2" xfId="1282" xr:uid="{00000000-0005-0000-0000-000061040000}"/>
    <cellStyle name="Финансовый 2 2 2 2 3 2 2" xfId="2248" xr:uid="{00000000-0005-0000-0000-000062040000}"/>
    <cellStyle name="Финансовый 2 2 2 2 3 2 2 2" xfId="3893" xr:uid="{00000000-0005-0000-0000-000063040000}"/>
    <cellStyle name="Финансовый 2 2 2 2 3 2 2 3" xfId="5676" xr:uid="{00000000-0005-0000-0000-000064040000}"/>
    <cellStyle name="Финансовый 2 2 2 2 3 2 3" xfId="3066" xr:uid="{00000000-0005-0000-0000-000065040000}"/>
    <cellStyle name="Финансовый 2 2 2 2 3 2 4" xfId="4710" xr:uid="{00000000-0005-0000-0000-000066040000}"/>
    <cellStyle name="Финансовый 2 2 2 2 3 3" xfId="1992" xr:uid="{00000000-0005-0000-0000-000067040000}"/>
    <cellStyle name="Финансовый 2 2 2 2 3 3 2" xfId="3637" xr:uid="{00000000-0005-0000-0000-000068040000}"/>
    <cellStyle name="Финансовый 2 2 2 2 3 3 3" xfId="5420" xr:uid="{00000000-0005-0000-0000-000069040000}"/>
    <cellStyle name="Финансовый 2 2 2 2 3 4" xfId="2513" xr:uid="{00000000-0005-0000-0000-00006A040000}"/>
    <cellStyle name="Финансовый 2 2 2 2 3 4 2" xfId="4158" xr:uid="{00000000-0005-0000-0000-00006B040000}"/>
    <cellStyle name="Финансовый 2 2 2 2 3 4 3" xfId="5941" xr:uid="{00000000-0005-0000-0000-00006C040000}"/>
    <cellStyle name="Финансовый 2 2 2 2 3 5" xfId="1017" xr:uid="{00000000-0005-0000-0000-00006D040000}"/>
    <cellStyle name="Финансовый 2 2 2 2 3 6" xfId="605" xr:uid="{00000000-0005-0000-0000-00006E040000}"/>
    <cellStyle name="Финансовый 2 2 2 2 3 7" xfId="2794" xr:uid="{00000000-0005-0000-0000-00006F040000}"/>
    <cellStyle name="Финансовый 2 2 2 2 3 8" xfId="4438" xr:uid="{00000000-0005-0000-0000-000070040000}"/>
    <cellStyle name="Финансовый 2 2 2 2 4" xfId="333" xr:uid="{00000000-0005-0000-0000-000071040000}"/>
    <cellStyle name="Финансовый 2 2 2 2 4 2" xfId="2120" xr:uid="{00000000-0005-0000-0000-000072040000}"/>
    <cellStyle name="Финансовый 2 2 2 2 4 2 2" xfId="3765" xr:uid="{00000000-0005-0000-0000-000073040000}"/>
    <cellStyle name="Финансовый 2 2 2 2 4 2 3" xfId="5548" xr:uid="{00000000-0005-0000-0000-000074040000}"/>
    <cellStyle name="Финансовый 2 2 2 2 4 3" xfId="1153" xr:uid="{00000000-0005-0000-0000-000075040000}"/>
    <cellStyle name="Финансовый 2 2 2 2 4 4" xfId="753" xr:uid="{00000000-0005-0000-0000-000076040000}"/>
    <cellStyle name="Финансовый 2 2 2 2 4 5" xfId="2930" xr:uid="{00000000-0005-0000-0000-000077040000}"/>
    <cellStyle name="Финансовый 2 2 2 2 4 6" xfId="4574" xr:uid="{00000000-0005-0000-0000-000078040000}"/>
    <cellStyle name="Финансовый 2 2 2 2 5" xfId="1458" xr:uid="{00000000-0005-0000-0000-000079040000}"/>
    <cellStyle name="Финансовый 2 2 2 2 5 2" xfId="1856" xr:uid="{00000000-0005-0000-0000-00007A040000}"/>
    <cellStyle name="Финансовый 2 2 2 2 5 2 2" xfId="3501" xr:uid="{00000000-0005-0000-0000-00007B040000}"/>
    <cellStyle name="Финансовый 2 2 2 2 5 2 3" xfId="5284" xr:uid="{00000000-0005-0000-0000-00007C040000}"/>
    <cellStyle name="Финансовый 2 2 2 2 5 3" xfId="4886" xr:uid="{00000000-0005-0000-0000-00007D040000}"/>
    <cellStyle name="Финансовый 2 2 2 2 6" xfId="1740" xr:uid="{00000000-0005-0000-0000-00007E040000}"/>
    <cellStyle name="Финансовый 2 2 2 2 6 2" xfId="3385" xr:uid="{00000000-0005-0000-0000-00007F040000}"/>
    <cellStyle name="Финансовый 2 2 2 2 6 3" xfId="5168" xr:uid="{00000000-0005-0000-0000-000080040000}"/>
    <cellStyle name="Финансовый 2 2 2 2 7" xfId="2376" xr:uid="{00000000-0005-0000-0000-000081040000}"/>
    <cellStyle name="Финансовый 2 2 2 2 7 2" xfId="4021" xr:uid="{00000000-0005-0000-0000-000082040000}"/>
    <cellStyle name="Финансовый 2 2 2 2 7 3" xfId="5804" xr:uid="{00000000-0005-0000-0000-000083040000}"/>
    <cellStyle name="Финансовый 2 2 2 2 8" xfId="1603" xr:uid="{00000000-0005-0000-0000-000084040000}"/>
    <cellStyle name="Финансовый 2 2 2 2 8 2" xfId="3248" xr:uid="{00000000-0005-0000-0000-000085040000}"/>
    <cellStyle name="Финансовый 2 2 2 2 8 3" xfId="5031" xr:uid="{00000000-0005-0000-0000-000086040000}"/>
    <cellStyle name="Финансовый 2 2 2 2 9" xfId="889" xr:uid="{00000000-0005-0000-0000-000087040000}"/>
    <cellStyle name="Финансовый 2 2 2 3" xfId="116" xr:uid="{00000000-0005-0000-0000-000088040000}"/>
    <cellStyle name="Финансовый 2 2 2 3 10" xfId="2726" xr:uid="{00000000-0005-0000-0000-000089040000}"/>
    <cellStyle name="Финансовый 2 2 2 3 11" xfId="4370" xr:uid="{00000000-0005-0000-0000-00008A040000}"/>
    <cellStyle name="Финансовый 2 2 2 3 2" xfId="252" xr:uid="{00000000-0005-0000-0000-00008B040000}"/>
    <cellStyle name="Финансовый 2 2 2 3 2 2" xfId="1350" xr:uid="{00000000-0005-0000-0000-00008C040000}"/>
    <cellStyle name="Финансовый 2 2 2 3 2 2 2" xfId="2308" xr:uid="{00000000-0005-0000-0000-00008D040000}"/>
    <cellStyle name="Финансовый 2 2 2 3 2 2 2 2" xfId="3953" xr:uid="{00000000-0005-0000-0000-00008E040000}"/>
    <cellStyle name="Финансовый 2 2 2 3 2 2 2 3" xfId="5736" xr:uid="{00000000-0005-0000-0000-00008F040000}"/>
    <cellStyle name="Финансовый 2 2 2 3 2 2 3" xfId="3134" xr:uid="{00000000-0005-0000-0000-000090040000}"/>
    <cellStyle name="Финансовый 2 2 2 3 2 2 4" xfId="4778" xr:uid="{00000000-0005-0000-0000-000091040000}"/>
    <cellStyle name="Финансовый 2 2 2 3 2 3" xfId="2052" xr:uid="{00000000-0005-0000-0000-000092040000}"/>
    <cellStyle name="Финансовый 2 2 2 3 2 3 2" xfId="3697" xr:uid="{00000000-0005-0000-0000-000093040000}"/>
    <cellStyle name="Финансовый 2 2 2 3 2 3 3" xfId="5480" xr:uid="{00000000-0005-0000-0000-000094040000}"/>
    <cellStyle name="Финансовый 2 2 2 3 2 4" xfId="2581" xr:uid="{00000000-0005-0000-0000-000095040000}"/>
    <cellStyle name="Финансовый 2 2 2 3 2 4 2" xfId="4226" xr:uid="{00000000-0005-0000-0000-000096040000}"/>
    <cellStyle name="Финансовый 2 2 2 3 2 4 3" xfId="6009" xr:uid="{00000000-0005-0000-0000-000097040000}"/>
    <cellStyle name="Финансовый 2 2 2 3 2 5" xfId="1085" xr:uid="{00000000-0005-0000-0000-000098040000}"/>
    <cellStyle name="Финансовый 2 2 2 3 2 6" xfId="673" xr:uid="{00000000-0005-0000-0000-000099040000}"/>
    <cellStyle name="Финансовый 2 2 2 3 2 7" xfId="2862" xr:uid="{00000000-0005-0000-0000-00009A040000}"/>
    <cellStyle name="Финансовый 2 2 2 3 2 8" xfId="4506" xr:uid="{00000000-0005-0000-0000-00009B040000}"/>
    <cellStyle name="Финансовый 2 2 2 3 3" xfId="401" xr:uid="{00000000-0005-0000-0000-00009C040000}"/>
    <cellStyle name="Финансовый 2 2 2 3 3 2" xfId="2180" xr:uid="{00000000-0005-0000-0000-00009D040000}"/>
    <cellStyle name="Финансовый 2 2 2 3 3 2 2" xfId="3825" xr:uid="{00000000-0005-0000-0000-00009E040000}"/>
    <cellStyle name="Финансовый 2 2 2 3 3 2 3" xfId="5608" xr:uid="{00000000-0005-0000-0000-00009F040000}"/>
    <cellStyle name="Финансовый 2 2 2 3 3 3" xfId="1214" xr:uid="{00000000-0005-0000-0000-0000A0040000}"/>
    <cellStyle name="Финансовый 2 2 2 3 3 4" xfId="821" xr:uid="{00000000-0005-0000-0000-0000A1040000}"/>
    <cellStyle name="Финансовый 2 2 2 3 3 5" xfId="2998" xr:uid="{00000000-0005-0000-0000-0000A2040000}"/>
    <cellStyle name="Финансовый 2 2 2 3 3 6" xfId="4642" xr:uid="{00000000-0005-0000-0000-0000A3040000}"/>
    <cellStyle name="Финансовый 2 2 2 3 4" xfId="1461" xr:uid="{00000000-0005-0000-0000-0000A4040000}"/>
    <cellStyle name="Финансовый 2 2 2 3 4 2" xfId="1924" xr:uid="{00000000-0005-0000-0000-0000A5040000}"/>
    <cellStyle name="Финансовый 2 2 2 3 4 2 2" xfId="3569" xr:uid="{00000000-0005-0000-0000-0000A6040000}"/>
    <cellStyle name="Финансовый 2 2 2 3 4 2 3" xfId="5352" xr:uid="{00000000-0005-0000-0000-0000A7040000}"/>
    <cellStyle name="Финансовый 2 2 2 3 4 3" xfId="4889" xr:uid="{00000000-0005-0000-0000-0000A8040000}"/>
    <cellStyle name="Финансовый 2 2 2 3 5" xfId="1800" xr:uid="{00000000-0005-0000-0000-0000A9040000}"/>
    <cellStyle name="Финансовый 2 2 2 3 5 2" xfId="3445" xr:uid="{00000000-0005-0000-0000-0000AA040000}"/>
    <cellStyle name="Финансовый 2 2 2 3 5 3" xfId="5228" xr:uid="{00000000-0005-0000-0000-0000AB040000}"/>
    <cellStyle name="Финансовый 2 2 2 3 6" xfId="2445" xr:uid="{00000000-0005-0000-0000-0000AC040000}"/>
    <cellStyle name="Финансовый 2 2 2 3 6 2" xfId="4090" xr:uid="{00000000-0005-0000-0000-0000AD040000}"/>
    <cellStyle name="Финансовый 2 2 2 3 6 3" xfId="5873" xr:uid="{00000000-0005-0000-0000-0000AE040000}"/>
    <cellStyle name="Финансовый 2 2 2 3 7" xfId="1672" xr:uid="{00000000-0005-0000-0000-0000AF040000}"/>
    <cellStyle name="Финансовый 2 2 2 3 7 2" xfId="3317" xr:uid="{00000000-0005-0000-0000-0000B0040000}"/>
    <cellStyle name="Финансовый 2 2 2 3 7 3" xfId="5100" xr:uid="{00000000-0005-0000-0000-0000B1040000}"/>
    <cellStyle name="Финансовый 2 2 2 3 8" xfId="949" xr:uid="{00000000-0005-0000-0000-0000B2040000}"/>
    <cellStyle name="Финансовый 2 2 2 3 9" xfId="537" xr:uid="{00000000-0005-0000-0000-0000B3040000}"/>
    <cellStyle name="Финансовый 2 2 2 4" xfId="80" xr:uid="{00000000-0005-0000-0000-0000B4040000}"/>
    <cellStyle name="Финансовый 2 2 2 4 10" xfId="2690" xr:uid="{00000000-0005-0000-0000-0000B5040000}"/>
    <cellStyle name="Финансовый 2 2 2 4 11" xfId="4334" xr:uid="{00000000-0005-0000-0000-0000B6040000}"/>
    <cellStyle name="Финансовый 2 2 2 4 2" xfId="216" xr:uid="{00000000-0005-0000-0000-0000B7040000}"/>
    <cellStyle name="Финансовый 2 2 2 4 2 2" xfId="1314" xr:uid="{00000000-0005-0000-0000-0000B8040000}"/>
    <cellStyle name="Финансовый 2 2 2 4 2 2 2" xfId="2272" xr:uid="{00000000-0005-0000-0000-0000B9040000}"/>
    <cellStyle name="Финансовый 2 2 2 4 2 2 2 2" xfId="3917" xr:uid="{00000000-0005-0000-0000-0000BA040000}"/>
    <cellStyle name="Финансовый 2 2 2 4 2 2 2 3" xfId="5700" xr:uid="{00000000-0005-0000-0000-0000BB040000}"/>
    <cellStyle name="Финансовый 2 2 2 4 2 2 3" xfId="3098" xr:uid="{00000000-0005-0000-0000-0000BC040000}"/>
    <cellStyle name="Финансовый 2 2 2 4 2 2 4" xfId="4742" xr:uid="{00000000-0005-0000-0000-0000BD040000}"/>
    <cellStyle name="Финансовый 2 2 2 4 2 3" xfId="2016" xr:uid="{00000000-0005-0000-0000-0000BE040000}"/>
    <cellStyle name="Финансовый 2 2 2 4 2 3 2" xfId="3661" xr:uid="{00000000-0005-0000-0000-0000BF040000}"/>
    <cellStyle name="Финансовый 2 2 2 4 2 3 3" xfId="5444" xr:uid="{00000000-0005-0000-0000-0000C0040000}"/>
    <cellStyle name="Финансовый 2 2 2 4 2 4" xfId="2545" xr:uid="{00000000-0005-0000-0000-0000C1040000}"/>
    <cellStyle name="Финансовый 2 2 2 4 2 4 2" xfId="4190" xr:uid="{00000000-0005-0000-0000-0000C2040000}"/>
    <cellStyle name="Финансовый 2 2 2 4 2 4 3" xfId="5973" xr:uid="{00000000-0005-0000-0000-0000C3040000}"/>
    <cellStyle name="Финансовый 2 2 2 4 2 5" xfId="1049" xr:uid="{00000000-0005-0000-0000-0000C4040000}"/>
    <cellStyle name="Финансовый 2 2 2 4 2 6" xfId="637" xr:uid="{00000000-0005-0000-0000-0000C5040000}"/>
    <cellStyle name="Финансовый 2 2 2 4 2 7" xfId="2826" xr:uid="{00000000-0005-0000-0000-0000C6040000}"/>
    <cellStyle name="Финансовый 2 2 2 4 2 8" xfId="4470" xr:uid="{00000000-0005-0000-0000-0000C7040000}"/>
    <cellStyle name="Финансовый 2 2 2 4 3" xfId="365" xr:uid="{00000000-0005-0000-0000-0000C8040000}"/>
    <cellStyle name="Финансовый 2 2 2 4 3 2" xfId="2144" xr:uid="{00000000-0005-0000-0000-0000C9040000}"/>
    <cellStyle name="Финансовый 2 2 2 4 3 2 2" xfId="3789" xr:uid="{00000000-0005-0000-0000-0000CA040000}"/>
    <cellStyle name="Финансовый 2 2 2 4 3 2 3" xfId="5572" xr:uid="{00000000-0005-0000-0000-0000CB040000}"/>
    <cellStyle name="Финансовый 2 2 2 4 3 3" xfId="1178" xr:uid="{00000000-0005-0000-0000-0000CC040000}"/>
    <cellStyle name="Финансовый 2 2 2 4 3 4" xfId="785" xr:uid="{00000000-0005-0000-0000-0000CD040000}"/>
    <cellStyle name="Финансовый 2 2 2 4 3 5" xfId="2962" xr:uid="{00000000-0005-0000-0000-0000CE040000}"/>
    <cellStyle name="Финансовый 2 2 2 4 3 6" xfId="4606" xr:uid="{00000000-0005-0000-0000-0000CF040000}"/>
    <cellStyle name="Финансовый 2 2 2 4 4" xfId="1462" xr:uid="{00000000-0005-0000-0000-0000D0040000}"/>
    <cellStyle name="Финансовый 2 2 2 4 4 2" xfId="1888" xr:uid="{00000000-0005-0000-0000-0000D1040000}"/>
    <cellStyle name="Финансовый 2 2 2 4 4 2 2" xfId="3533" xr:uid="{00000000-0005-0000-0000-0000D2040000}"/>
    <cellStyle name="Финансовый 2 2 2 4 4 2 3" xfId="5316" xr:uid="{00000000-0005-0000-0000-0000D3040000}"/>
    <cellStyle name="Финансовый 2 2 2 4 4 3" xfId="4890" xr:uid="{00000000-0005-0000-0000-0000D4040000}"/>
    <cellStyle name="Финансовый 2 2 2 4 5" xfId="1764" xr:uid="{00000000-0005-0000-0000-0000D5040000}"/>
    <cellStyle name="Финансовый 2 2 2 4 5 2" xfId="3409" xr:uid="{00000000-0005-0000-0000-0000D6040000}"/>
    <cellStyle name="Финансовый 2 2 2 4 5 3" xfId="5192" xr:uid="{00000000-0005-0000-0000-0000D7040000}"/>
    <cellStyle name="Финансовый 2 2 2 4 6" xfId="2409" xr:uid="{00000000-0005-0000-0000-0000D8040000}"/>
    <cellStyle name="Финансовый 2 2 2 4 6 2" xfId="4054" xr:uid="{00000000-0005-0000-0000-0000D9040000}"/>
    <cellStyle name="Финансовый 2 2 2 4 6 3" xfId="5837" xr:uid="{00000000-0005-0000-0000-0000DA040000}"/>
    <cellStyle name="Финансовый 2 2 2 4 7" xfId="1636" xr:uid="{00000000-0005-0000-0000-0000DB040000}"/>
    <cellStyle name="Финансовый 2 2 2 4 7 2" xfId="3281" xr:uid="{00000000-0005-0000-0000-0000DC040000}"/>
    <cellStyle name="Финансовый 2 2 2 4 7 3" xfId="5064" xr:uid="{00000000-0005-0000-0000-0000DD040000}"/>
    <cellStyle name="Финансовый 2 2 2 4 8" xfId="913" xr:uid="{00000000-0005-0000-0000-0000DE040000}"/>
    <cellStyle name="Финансовый 2 2 2 4 9" xfId="501" xr:uid="{00000000-0005-0000-0000-0000DF040000}"/>
    <cellStyle name="Финансовый 2 2 2 5" xfId="58" xr:uid="{00000000-0005-0000-0000-0000E0040000}"/>
    <cellStyle name="Финансовый 2 2 2 5 10" xfId="2670" xr:uid="{00000000-0005-0000-0000-0000E1040000}"/>
    <cellStyle name="Финансовый 2 2 2 5 11" xfId="4313" xr:uid="{00000000-0005-0000-0000-0000E2040000}"/>
    <cellStyle name="Финансовый 2 2 2 5 2" xfId="196" xr:uid="{00000000-0005-0000-0000-0000E3040000}"/>
    <cellStyle name="Финансовый 2 2 2 5 2 2" xfId="1294" xr:uid="{00000000-0005-0000-0000-0000E4040000}"/>
    <cellStyle name="Финансовый 2 2 2 5 2 2 2" xfId="2260" xr:uid="{00000000-0005-0000-0000-0000E5040000}"/>
    <cellStyle name="Финансовый 2 2 2 5 2 2 2 2" xfId="3905" xr:uid="{00000000-0005-0000-0000-0000E6040000}"/>
    <cellStyle name="Финансовый 2 2 2 5 2 2 2 3" xfId="5688" xr:uid="{00000000-0005-0000-0000-0000E7040000}"/>
    <cellStyle name="Финансовый 2 2 2 5 2 2 3" xfId="3078" xr:uid="{00000000-0005-0000-0000-0000E8040000}"/>
    <cellStyle name="Финансовый 2 2 2 5 2 2 4" xfId="4722" xr:uid="{00000000-0005-0000-0000-0000E9040000}"/>
    <cellStyle name="Финансовый 2 2 2 5 2 3" xfId="2004" xr:uid="{00000000-0005-0000-0000-0000EA040000}"/>
    <cellStyle name="Финансовый 2 2 2 5 2 3 2" xfId="3649" xr:uid="{00000000-0005-0000-0000-0000EB040000}"/>
    <cellStyle name="Финансовый 2 2 2 5 2 3 3" xfId="5432" xr:uid="{00000000-0005-0000-0000-0000EC040000}"/>
    <cellStyle name="Финансовый 2 2 2 5 2 4" xfId="2525" xr:uid="{00000000-0005-0000-0000-0000ED040000}"/>
    <cellStyle name="Финансовый 2 2 2 5 2 4 2" xfId="4170" xr:uid="{00000000-0005-0000-0000-0000EE040000}"/>
    <cellStyle name="Финансовый 2 2 2 5 2 4 3" xfId="5953" xr:uid="{00000000-0005-0000-0000-0000EF040000}"/>
    <cellStyle name="Финансовый 2 2 2 5 2 5" xfId="1029" xr:uid="{00000000-0005-0000-0000-0000F0040000}"/>
    <cellStyle name="Финансовый 2 2 2 5 2 6" xfId="617" xr:uid="{00000000-0005-0000-0000-0000F1040000}"/>
    <cellStyle name="Финансовый 2 2 2 5 2 7" xfId="2806" xr:uid="{00000000-0005-0000-0000-0000F2040000}"/>
    <cellStyle name="Финансовый 2 2 2 5 2 8" xfId="4450" xr:uid="{00000000-0005-0000-0000-0000F3040000}"/>
    <cellStyle name="Финансовый 2 2 2 5 3" xfId="345" xr:uid="{00000000-0005-0000-0000-0000F4040000}"/>
    <cellStyle name="Финансовый 2 2 2 5 3 2" xfId="2132" xr:uid="{00000000-0005-0000-0000-0000F5040000}"/>
    <cellStyle name="Финансовый 2 2 2 5 3 2 2" xfId="3777" xr:uid="{00000000-0005-0000-0000-0000F6040000}"/>
    <cellStyle name="Финансовый 2 2 2 5 3 2 3" xfId="5560" xr:uid="{00000000-0005-0000-0000-0000F7040000}"/>
    <cellStyle name="Финансовый 2 2 2 5 3 3" xfId="1165" xr:uid="{00000000-0005-0000-0000-0000F8040000}"/>
    <cellStyle name="Финансовый 2 2 2 5 3 4" xfId="765" xr:uid="{00000000-0005-0000-0000-0000F9040000}"/>
    <cellStyle name="Финансовый 2 2 2 5 3 5" xfId="2942" xr:uid="{00000000-0005-0000-0000-0000FA040000}"/>
    <cellStyle name="Финансовый 2 2 2 5 3 6" xfId="4586" xr:uid="{00000000-0005-0000-0000-0000FB040000}"/>
    <cellStyle name="Финансовый 2 2 2 5 4" xfId="1463" xr:uid="{00000000-0005-0000-0000-0000FC040000}"/>
    <cellStyle name="Финансовый 2 2 2 5 4 2" xfId="1868" xr:uid="{00000000-0005-0000-0000-0000FD040000}"/>
    <cellStyle name="Финансовый 2 2 2 5 4 2 2" xfId="3513" xr:uid="{00000000-0005-0000-0000-0000FE040000}"/>
    <cellStyle name="Финансовый 2 2 2 5 4 2 3" xfId="5296" xr:uid="{00000000-0005-0000-0000-0000FF040000}"/>
    <cellStyle name="Финансовый 2 2 2 5 4 3" xfId="4891" xr:uid="{00000000-0005-0000-0000-000000050000}"/>
    <cellStyle name="Финансовый 2 2 2 5 5" xfId="1752" xr:uid="{00000000-0005-0000-0000-000001050000}"/>
    <cellStyle name="Финансовый 2 2 2 5 5 2" xfId="3397" xr:uid="{00000000-0005-0000-0000-000002050000}"/>
    <cellStyle name="Финансовый 2 2 2 5 5 3" xfId="5180" xr:uid="{00000000-0005-0000-0000-000003050000}"/>
    <cellStyle name="Финансовый 2 2 2 5 6" xfId="2388" xr:uid="{00000000-0005-0000-0000-000004050000}"/>
    <cellStyle name="Финансовый 2 2 2 5 6 2" xfId="4033" xr:uid="{00000000-0005-0000-0000-000005050000}"/>
    <cellStyle name="Финансовый 2 2 2 5 6 3" xfId="5816" xr:uid="{00000000-0005-0000-0000-000006050000}"/>
    <cellStyle name="Финансовый 2 2 2 5 7" xfId="1615" xr:uid="{00000000-0005-0000-0000-000007050000}"/>
    <cellStyle name="Финансовый 2 2 2 5 7 2" xfId="3260" xr:uid="{00000000-0005-0000-0000-000008050000}"/>
    <cellStyle name="Финансовый 2 2 2 5 7 3" xfId="5043" xr:uid="{00000000-0005-0000-0000-000009050000}"/>
    <cellStyle name="Финансовый 2 2 2 5 8" xfId="901" xr:uid="{00000000-0005-0000-0000-00000A050000}"/>
    <cellStyle name="Финансовый 2 2 2 5 9" xfId="481" xr:uid="{00000000-0005-0000-0000-00000B050000}"/>
    <cellStyle name="Финансовый 2 2 2 6" xfId="136" xr:uid="{00000000-0005-0000-0000-00000C050000}"/>
    <cellStyle name="Финансовый 2 2 2 6 10" xfId="2746" xr:uid="{00000000-0005-0000-0000-00000D050000}"/>
    <cellStyle name="Финансовый 2 2 2 6 11" xfId="4390" xr:uid="{00000000-0005-0000-0000-00000E050000}"/>
    <cellStyle name="Финансовый 2 2 2 6 2" xfId="272" xr:uid="{00000000-0005-0000-0000-00000F050000}"/>
    <cellStyle name="Финансовый 2 2 2 6 2 2" xfId="1370" xr:uid="{00000000-0005-0000-0000-000010050000}"/>
    <cellStyle name="Финансовый 2 2 2 6 2 2 2" xfId="2328" xr:uid="{00000000-0005-0000-0000-000011050000}"/>
    <cellStyle name="Финансовый 2 2 2 6 2 2 2 2" xfId="3973" xr:uid="{00000000-0005-0000-0000-000012050000}"/>
    <cellStyle name="Финансовый 2 2 2 6 2 2 2 3" xfId="5756" xr:uid="{00000000-0005-0000-0000-000013050000}"/>
    <cellStyle name="Финансовый 2 2 2 6 2 2 3" xfId="3154" xr:uid="{00000000-0005-0000-0000-000014050000}"/>
    <cellStyle name="Финансовый 2 2 2 6 2 2 4" xfId="4798" xr:uid="{00000000-0005-0000-0000-000015050000}"/>
    <cellStyle name="Финансовый 2 2 2 6 2 3" xfId="2072" xr:uid="{00000000-0005-0000-0000-000016050000}"/>
    <cellStyle name="Финансовый 2 2 2 6 2 3 2" xfId="3717" xr:uid="{00000000-0005-0000-0000-000017050000}"/>
    <cellStyle name="Финансовый 2 2 2 6 2 3 3" xfId="5500" xr:uid="{00000000-0005-0000-0000-000018050000}"/>
    <cellStyle name="Финансовый 2 2 2 6 2 4" xfId="2601" xr:uid="{00000000-0005-0000-0000-000019050000}"/>
    <cellStyle name="Финансовый 2 2 2 6 2 4 2" xfId="4246" xr:uid="{00000000-0005-0000-0000-00001A050000}"/>
    <cellStyle name="Финансовый 2 2 2 6 2 4 3" xfId="6029" xr:uid="{00000000-0005-0000-0000-00001B050000}"/>
    <cellStyle name="Финансовый 2 2 2 6 2 5" xfId="1105" xr:uid="{00000000-0005-0000-0000-00001C050000}"/>
    <cellStyle name="Финансовый 2 2 2 6 2 6" xfId="693" xr:uid="{00000000-0005-0000-0000-00001D050000}"/>
    <cellStyle name="Финансовый 2 2 2 6 2 7" xfId="2882" xr:uid="{00000000-0005-0000-0000-00001E050000}"/>
    <cellStyle name="Финансовый 2 2 2 6 2 8" xfId="4526" xr:uid="{00000000-0005-0000-0000-00001F050000}"/>
    <cellStyle name="Финансовый 2 2 2 6 3" xfId="421" xr:uid="{00000000-0005-0000-0000-000020050000}"/>
    <cellStyle name="Финансовый 2 2 2 6 3 2" xfId="2200" xr:uid="{00000000-0005-0000-0000-000021050000}"/>
    <cellStyle name="Финансовый 2 2 2 6 3 2 2" xfId="3845" xr:uid="{00000000-0005-0000-0000-000022050000}"/>
    <cellStyle name="Финансовый 2 2 2 6 3 2 3" xfId="5628" xr:uid="{00000000-0005-0000-0000-000023050000}"/>
    <cellStyle name="Финансовый 2 2 2 6 3 3" xfId="1234" xr:uid="{00000000-0005-0000-0000-000024050000}"/>
    <cellStyle name="Финансовый 2 2 2 6 3 4" xfId="841" xr:uid="{00000000-0005-0000-0000-000025050000}"/>
    <cellStyle name="Финансовый 2 2 2 6 3 5" xfId="3018" xr:uid="{00000000-0005-0000-0000-000026050000}"/>
    <cellStyle name="Финансовый 2 2 2 6 3 6" xfId="4662" xr:uid="{00000000-0005-0000-0000-000027050000}"/>
    <cellStyle name="Финансовый 2 2 2 6 4" xfId="1464" xr:uid="{00000000-0005-0000-0000-000028050000}"/>
    <cellStyle name="Финансовый 2 2 2 6 4 2" xfId="1944" xr:uid="{00000000-0005-0000-0000-000029050000}"/>
    <cellStyle name="Финансовый 2 2 2 6 4 2 2" xfId="3589" xr:uid="{00000000-0005-0000-0000-00002A050000}"/>
    <cellStyle name="Финансовый 2 2 2 6 4 2 3" xfId="5372" xr:uid="{00000000-0005-0000-0000-00002B050000}"/>
    <cellStyle name="Финансовый 2 2 2 6 4 3" xfId="4892" xr:uid="{00000000-0005-0000-0000-00002C050000}"/>
    <cellStyle name="Финансовый 2 2 2 6 5" xfId="1820" xr:uid="{00000000-0005-0000-0000-00002D050000}"/>
    <cellStyle name="Финансовый 2 2 2 6 5 2" xfId="3465" xr:uid="{00000000-0005-0000-0000-00002E050000}"/>
    <cellStyle name="Финансовый 2 2 2 6 5 3" xfId="5248" xr:uid="{00000000-0005-0000-0000-00002F050000}"/>
    <cellStyle name="Финансовый 2 2 2 6 6" xfId="2465" xr:uid="{00000000-0005-0000-0000-000030050000}"/>
    <cellStyle name="Финансовый 2 2 2 6 6 2" xfId="4110" xr:uid="{00000000-0005-0000-0000-000031050000}"/>
    <cellStyle name="Финансовый 2 2 2 6 6 3" xfId="5893" xr:uid="{00000000-0005-0000-0000-000032050000}"/>
    <cellStyle name="Финансовый 2 2 2 6 7" xfId="1692" xr:uid="{00000000-0005-0000-0000-000033050000}"/>
    <cellStyle name="Финансовый 2 2 2 6 7 2" xfId="3337" xr:uid="{00000000-0005-0000-0000-000034050000}"/>
    <cellStyle name="Финансовый 2 2 2 6 7 3" xfId="5120" xr:uid="{00000000-0005-0000-0000-000035050000}"/>
    <cellStyle name="Финансовый 2 2 2 6 8" xfId="969" xr:uid="{00000000-0005-0000-0000-000036050000}"/>
    <cellStyle name="Финансовый 2 2 2 6 9" xfId="557" xr:uid="{00000000-0005-0000-0000-000037050000}"/>
    <cellStyle name="Финансовый 2 2 2 7" xfId="34" xr:uid="{00000000-0005-0000-0000-000038050000}"/>
    <cellStyle name="Финансовый 2 2 2 7 10" xfId="2646" xr:uid="{00000000-0005-0000-0000-000039050000}"/>
    <cellStyle name="Финансовый 2 2 2 7 11" xfId="4289" xr:uid="{00000000-0005-0000-0000-00003A050000}"/>
    <cellStyle name="Финансовый 2 2 2 7 2" xfId="172" xr:uid="{00000000-0005-0000-0000-00003B050000}"/>
    <cellStyle name="Финансовый 2 2 2 7 2 2" xfId="1270" xr:uid="{00000000-0005-0000-0000-00003C050000}"/>
    <cellStyle name="Финансовый 2 2 2 7 2 2 2" xfId="2236" xr:uid="{00000000-0005-0000-0000-00003D050000}"/>
    <cellStyle name="Финансовый 2 2 2 7 2 2 2 2" xfId="3881" xr:uid="{00000000-0005-0000-0000-00003E050000}"/>
    <cellStyle name="Финансовый 2 2 2 7 2 2 2 3" xfId="5664" xr:uid="{00000000-0005-0000-0000-00003F050000}"/>
    <cellStyle name="Финансовый 2 2 2 7 2 2 3" xfId="3054" xr:uid="{00000000-0005-0000-0000-000040050000}"/>
    <cellStyle name="Финансовый 2 2 2 7 2 2 4" xfId="4698" xr:uid="{00000000-0005-0000-0000-000041050000}"/>
    <cellStyle name="Финансовый 2 2 2 7 2 3" xfId="1980" xr:uid="{00000000-0005-0000-0000-000042050000}"/>
    <cellStyle name="Финансовый 2 2 2 7 2 3 2" xfId="3625" xr:uid="{00000000-0005-0000-0000-000043050000}"/>
    <cellStyle name="Финансовый 2 2 2 7 2 3 3" xfId="5408" xr:uid="{00000000-0005-0000-0000-000044050000}"/>
    <cellStyle name="Финансовый 2 2 2 7 2 4" xfId="2501" xr:uid="{00000000-0005-0000-0000-000045050000}"/>
    <cellStyle name="Финансовый 2 2 2 7 2 4 2" xfId="4146" xr:uid="{00000000-0005-0000-0000-000046050000}"/>
    <cellStyle name="Финансовый 2 2 2 7 2 4 3" xfId="5929" xr:uid="{00000000-0005-0000-0000-000047050000}"/>
    <cellStyle name="Финансовый 2 2 2 7 2 5" xfId="1005" xr:uid="{00000000-0005-0000-0000-000048050000}"/>
    <cellStyle name="Финансовый 2 2 2 7 2 6" xfId="593" xr:uid="{00000000-0005-0000-0000-000049050000}"/>
    <cellStyle name="Финансовый 2 2 2 7 2 7" xfId="2782" xr:uid="{00000000-0005-0000-0000-00004A050000}"/>
    <cellStyle name="Финансовый 2 2 2 7 2 8" xfId="4426" xr:uid="{00000000-0005-0000-0000-00004B050000}"/>
    <cellStyle name="Финансовый 2 2 2 7 3" xfId="321" xr:uid="{00000000-0005-0000-0000-00004C050000}"/>
    <cellStyle name="Финансовый 2 2 2 7 3 2" xfId="2108" xr:uid="{00000000-0005-0000-0000-00004D050000}"/>
    <cellStyle name="Финансовый 2 2 2 7 3 2 2" xfId="3753" xr:uid="{00000000-0005-0000-0000-00004E050000}"/>
    <cellStyle name="Финансовый 2 2 2 7 3 2 3" xfId="5536" xr:uid="{00000000-0005-0000-0000-00004F050000}"/>
    <cellStyle name="Финансовый 2 2 2 7 3 3" xfId="1141" xr:uid="{00000000-0005-0000-0000-000050050000}"/>
    <cellStyle name="Финансовый 2 2 2 7 3 4" xfId="741" xr:uid="{00000000-0005-0000-0000-000051050000}"/>
    <cellStyle name="Финансовый 2 2 2 7 3 5" xfId="2918" xr:uid="{00000000-0005-0000-0000-000052050000}"/>
    <cellStyle name="Финансовый 2 2 2 7 3 6" xfId="4562" xr:uid="{00000000-0005-0000-0000-000053050000}"/>
    <cellStyle name="Финансовый 2 2 2 7 4" xfId="1465" xr:uid="{00000000-0005-0000-0000-000054050000}"/>
    <cellStyle name="Финансовый 2 2 2 7 4 2" xfId="1844" xr:uid="{00000000-0005-0000-0000-000055050000}"/>
    <cellStyle name="Финансовый 2 2 2 7 4 2 2" xfId="3489" xr:uid="{00000000-0005-0000-0000-000056050000}"/>
    <cellStyle name="Финансовый 2 2 2 7 4 2 3" xfId="5272" xr:uid="{00000000-0005-0000-0000-000057050000}"/>
    <cellStyle name="Финансовый 2 2 2 7 4 3" xfId="4893" xr:uid="{00000000-0005-0000-0000-000058050000}"/>
    <cellStyle name="Финансовый 2 2 2 7 5" xfId="1728" xr:uid="{00000000-0005-0000-0000-000059050000}"/>
    <cellStyle name="Финансовый 2 2 2 7 5 2" xfId="3373" xr:uid="{00000000-0005-0000-0000-00005A050000}"/>
    <cellStyle name="Финансовый 2 2 2 7 5 3" xfId="5156" xr:uid="{00000000-0005-0000-0000-00005B050000}"/>
    <cellStyle name="Финансовый 2 2 2 7 6" xfId="2364" xr:uid="{00000000-0005-0000-0000-00005C050000}"/>
    <cellStyle name="Финансовый 2 2 2 7 6 2" xfId="4009" xr:uid="{00000000-0005-0000-0000-00005D050000}"/>
    <cellStyle name="Финансовый 2 2 2 7 6 3" xfId="5792" xr:uid="{00000000-0005-0000-0000-00005E050000}"/>
    <cellStyle name="Финансовый 2 2 2 7 7" xfId="1591" xr:uid="{00000000-0005-0000-0000-00005F050000}"/>
    <cellStyle name="Финансовый 2 2 2 7 7 2" xfId="3236" xr:uid="{00000000-0005-0000-0000-000060050000}"/>
    <cellStyle name="Финансовый 2 2 2 7 7 3" xfId="5019" xr:uid="{00000000-0005-0000-0000-000061050000}"/>
    <cellStyle name="Финансовый 2 2 2 7 8" xfId="877" xr:uid="{00000000-0005-0000-0000-000062050000}"/>
    <cellStyle name="Финансовый 2 2 2 7 9" xfId="457" xr:uid="{00000000-0005-0000-0000-000063050000}"/>
    <cellStyle name="Финансовый 2 2 2 8" xfId="22" xr:uid="{00000000-0005-0000-0000-000064050000}"/>
    <cellStyle name="Финансовый 2 2 2 8 10" xfId="2634" xr:uid="{00000000-0005-0000-0000-000065050000}"/>
    <cellStyle name="Финансовый 2 2 2 8 11" xfId="4277" xr:uid="{00000000-0005-0000-0000-000066050000}"/>
    <cellStyle name="Финансовый 2 2 2 8 2" xfId="160" xr:uid="{00000000-0005-0000-0000-000067050000}"/>
    <cellStyle name="Финансовый 2 2 2 8 2 2" xfId="1258" xr:uid="{00000000-0005-0000-0000-000068050000}"/>
    <cellStyle name="Финансовый 2 2 2 8 2 2 2" xfId="2224" xr:uid="{00000000-0005-0000-0000-000069050000}"/>
    <cellStyle name="Финансовый 2 2 2 8 2 2 2 2" xfId="3869" xr:uid="{00000000-0005-0000-0000-00006A050000}"/>
    <cellStyle name="Финансовый 2 2 2 8 2 2 2 3" xfId="5652" xr:uid="{00000000-0005-0000-0000-00006B050000}"/>
    <cellStyle name="Финансовый 2 2 2 8 2 2 3" xfId="3042" xr:uid="{00000000-0005-0000-0000-00006C050000}"/>
    <cellStyle name="Финансовый 2 2 2 8 2 2 4" xfId="4686" xr:uid="{00000000-0005-0000-0000-00006D050000}"/>
    <cellStyle name="Финансовый 2 2 2 8 2 3" xfId="1968" xr:uid="{00000000-0005-0000-0000-00006E050000}"/>
    <cellStyle name="Финансовый 2 2 2 8 2 3 2" xfId="3613" xr:uid="{00000000-0005-0000-0000-00006F050000}"/>
    <cellStyle name="Финансовый 2 2 2 8 2 3 3" xfId="5396" xr:uid="{00000000-0005-0000-0000-000070050000}"/>
    <cellStyle name="Финансовый 2 2 2 8 2 4" xfId="2489" xr:uid="{00000000-0005-0000-0000-000071050000}"/>
    <cellStyle name="Финансовый 2 2 2 8 2 4 2" xfId="4134" xr:uid="{00000000-0005-0000-0000-000072050000}"/>
    <cellStyle name="Финансовый 2 2 2 8 2 4 3" xfId="5917" xr:uid="{00000000-0005-0000-0000-000073050000}"/>
    <cellStyle name="Финансовый 2 2 2 8 2 5" xfId="993" xr:uid="{00000000-0005-0000-0000-000074050000}"/>
    <cellStyle name="Финансовый 2 2 2 8 2 6" xfId="581" xr:uid="{00000000-0005-0000-0000-000075050000}"/>
    <cellStyle name="Финансовый 2 2 2 8 2 7" xfId="2770" xr:uid="{00000000-0005-0000-0000-000076050000}"/>
    <cellStyle name="Финансовый 2 2 2 8 2 8" xfId="4414" xr:uid="{00000000-0005-0000-0000-000077050000}"/>
    <cellStyle name="Финансовый 2 2 2 8 3" xfId="309" xr:uid="{00000000-0005-0000-0000-000078050000}"/>
    <cellStyle name="Финансовый 2 2 2 8 3 2" xfId="2096" xr:uid="{00000000-0005-0000-0000-000079050000}"/>
    <cellStyle name="Финансовый 2 2 2 8 3 2 2" xfId="3741" xr:uid="{00000000-0005-0000-0000-00007A050000}"/>
    <cellStyle name="Финансовый 2 2 2 8 3 2 3" xfId="5524" xr:uid="{00000000-0005-0000-0000-00007B050000}"/>
    <cellStyle name="Финансовый 2 2 2 8 3 3" xfId="1129" xr:uid="{00000000-0005-0000-0000-00007C050000}"/>
    <cellStyle name="Финансовый 2 2 2 8 3 4" xfId="729" xr:uid="{00000000-0005-0000-0000-00007D050000}"/>
    <cellStyle name="Финансовый 2 2 2 8 3 5" xfId="2906" xr:uid="{00000000-0005-0000-0000-00007E050000}"/>
    <cellStyle name="Финансовый 2 2 2 8 3 6" xfId="4550" xr:uid="{00000000-0005-0000-0000-00007F050000}"/>
    <cellStyle name="Финансовый 2 2 2 8 4" xfId="1466" xr:uid="{00000000-0005-0000-0000-000080050000}"/>
    <cellStyle name="Финансовый 2 2 2 8 4 2" xfId="1832" xr:uid="{00000000-0005-0000-0000-000081050000}"/>
    <cellStyle name="Финансовый 2 2 2 8 4 2 2" xfId="3477" xr:uid="{00000000-0005-0000-0000-000082050000}"/>
    <cellStyle name="Финансовый 2 2 2 8 4 2 3" xfId="5260" xr:uid="{00000000-0005-0000-0000-000083050000}"/>
    <cellStyle name="Финансовый 2 2 2 8 4 3" xfId="4894" xr:uid="{00000000-0005-0000-0000-000084050000}"/>
    <cellStyle name="Финансовый 2 2 2 8 5" xfId="1716" xr:uid="{00000000-0005-0000-0000-000085050000}"/>
    <cellStyle name="Финансовый 2 2 2 8 5 2" xfId="3361" xr:uid="{00000000-0005-0000-0000-000086050000}"/>
    <cellStyle name="Финансовый 2 2 2 8 5 3" xfId="5144" xr:uid="{00000000-0005-0000-0000-000087050000}"/>
    <cellStyle name="Финансовый 2 2 2 8 6" xfId="2352" xr:uid="{00000000-0005-0000-0000-000088050000}"/>
    <cellStyle name="Финансовый 2 2 2 8 6 2" xfId="3997" xr:uid="{00000000-0005-0000-0000-000089050000}"/>
    <cellStyle name="Финансовый 2 2 2 8 6 3" xfId="5780" xr:uid="{00000000-0005-0000-0000-00008A050000}"/>
    <cellStyle name="Финансовый 2 2 2 8 7" xfId="1579" xr:uid="{00000000-0005-0000-0000-00008B050000}"/>
    <cellStyle name="Финансовый 2 2 2 8 7 2" xfId="3224" xr:uid="{00000000-0005-0000-0000-00008C050000}"/>
    <cellStyle name="Финансовый 2 2 2 8 7 3" xfId="5007" xr:uid="{00000000-0005-0000-0000-00008D050000}"/>
    <cellStyle name="Финансовый 2 2 2 8 8" xfId="865" xr:uid="{00000000-0005-0000-0000-00008E050000}"/>
    <cellStyle name="Финансовый 2 2 2 8 9" xfId="445" xr:uid="{00000000-0005-0000-0000-00008F050000}"/>
    <cellStyle name="Финансовый 2 2 2 9" xfId="148" xr:uid="{00000000-0005-0000-0000-000090050000}"/>
    <cellStyle name="Финансовый 2 2 2 9 2" xfId="1246" xr:uid="{00000000-0005-0000-0000-000091050000}"/>
    <cellStyle name="Финансовый 2 2 2 9 2 2" xfId="2212" xr:uid="{00000000-0005-0000-0000-000092050000}"/>
    <cellStyle name="Финансовый 2 2 2 9 2 2 2" xfId="3857" xr:uid="{00000000-0005-0000-0000-000093050000}"/>
    <cellStyle name="Финансовый 2 2 2 9 2 2 3" xfId="5640" xr:uid="{00000000-0005-0000-0000-000094050000}"/>
    <cellStyle name="Финансовый 2 2 2 9 2 3" xfId="3030" xr:uid="{00000000-0005-0000-0000-000095050000}"/>
    <cellStyle name="Финансовый 2 2 2 9 2 4" xfId="4674" xr:uid="{00000000-0005-0000-0000-000096050000}"/>
    <cellStyle name="Финансовый 2 2 2 9 3" xfId="1956" xr:uid="{00000000-0005-0000-0000-000097050000}"/>
    <cellStyle name="Финансовый 2 2 2 9 3 2" xfId="3601" xr:uid="{00000000-0005-0000-0000-000098050000}"/>
    <cellStyle name="Финансовый 2 2 2 9 3 3" xfId="5384" xr:uid="{00000000-0005-0000-0000-000099050000}"/>
    <cellStyle name="Финансовый 2 2 2 9 4" xfId="2477" xr:uid="{00000000-0005-0000-0000-00009A050000}"/>
    <cellStyle name="Финансовый 2 2 2 9 4 2" xfId="4122" xr:uid="{00000000-0005-0000-0000-00009B050000}"/>
    <cellStyle name="Финансовый 2 2 2 9 4 3" xfId="5905" xr:uid="{00000000-0005-0000-0000-00009C050000}"/>
    <cellStyle name="Финансовый 2 2 2 9 5" xfId="981" xr:uid="{00000000-0005-0000-0000-00009D050000}"/>
    <cellStyle name="Финансовый 2 2 2 9 6" xfId="569" xr:uid="{00000000-0005-0000-0000-00009E050000}"/>
    <cellStyle name="Финансовый 2 2 2 9 7" xfId="2758" xr:uid="{00000000-0005-0000-0000-00009F050000}"/>
    <cellStyle name="Финансовый 2 2 2 9 8" xfId="4402" xr:uid="{00000000-0005-0000-0000-0000A0050000}"/>
    <cellStyle name="Финансовый 2 2 20" xfId="2616" xr:uid="{00000000-0005-0000-0000-0000A1050000}"/>
    <cellStyle name="Финансовый 2 2 21" xfId="4259" xr:uid="{00000000-0005-0000-0000-0000A2050000}"/>
    <cellStyle name="Финансовый 2 2 3" xfId="40" xr:uid="{00000000-0005-0000-0000-0000A3050000}"/>
    <cellStyle name="Финансовый 2 2 3 10" xfId="883" xr:uid="{00000000-0005-0000-0000-0000A4050000}"/>
    <cellStyle name="Финансовый 2 2 3 11" xfId="463" xr:uid="{00000000-0005-0000-0000-0000A5050000}"/>
    <cellStyle name="Финансовый 2 2 3 12" xfId="2652" xr:uid="{00000000-0005-0000-0000-0000A6050000}"/>
    <cellStyle name="Финансовый 2 2 3 13" xfId="4295" xr:uid="{00000000-0005-0000-0000-0000A7050000}"/>
    <cellStyle name="Финансовый 2 2 3 2" xfId="122" xr:uid="{00000000-0005-0000-0000-0000A8050000}"/>
    <cellStyle name="Финансовый 2 2 3 2 10" xfId="2732" xr:uid="{00000000-0005-0000-0000-0000A9050000}"/>
    <cellStyle name="Финансовый 2 2 3 2 11" xfId="4376" xr:uid="{00000000-0005-0000-0000-0000AA050000}"/>
    <cellStyle name="Финансовый 2 2 3 2 2" xfId="258" xr:uid="{00000000-0005-0000-0000-0000AB050000}"/>
    <cellStyle name="Финансовый 2 2 3 2 2 2" xfId="1356" xr:uid="{00000000-0005-0000-0000-0000AC050000}"/>
    <cellStyle name="Финансовый 2 2 3 2 2 2 2" xfId="2314" xr:uid="{00000000-0005-0000-0000-0000AD050000}"/>
    <cellStyle name="Финансовый 2 2 3 2 2 2 2 2" xfId="3959" xr:uid="{00000000-0005-0000-0000-0000AE050000}"/>
    <cellStyle name="Финансовый 2 2 3 2 2 2 2 3" xfId="5742" xr:uid="{00000000-0005-0000-0000-0000AF050000}"/>
    <cellStyle name="Финансовый 2 2 3 2 2 2 3" xfId="3140" xr:uid="{00000000-0005-0000-0000-0000B0050000}"/>
    <cellStyle name="Финансовый 2 2 3 2 2 2 4" xfId="4784" xr:uid="{00000000-0005-0000-0000-0000B1050000}"/>
    <cellStyle name="Финансовый 2 2 3 2 2 3" xfId="2058" xr:uid="{00000000-0005-0000-0000-0000B2050000}"/>
    <cellStyle name="Финансовый 2 2 3 2 2 3 2" xfId="3703" xr:uid="{00000000-0005-0000-0000-0000B3050000}"/>
    <cellStyle name="Финансовый 2 2 3 2 2 3 3" xfId="5486" xr:uid="{00000000-0005-0000-0000-0000B4050000}"/>
    <cellStyle name="Финансовый 2 2 3 2 2 4" xfId="2587" xr:uid="{00000000-0005-0000-0000-0000B5050000}"/>
    <cellStyle name="Финансовый 2 2 3 2 2 4 2" xfId="4232" xr:uid="{00000000-0005-0000-0000-0000B6050000}"/>
    <cellStyle name="Финансовый 2 2 3 2 2 4 3" xfId="6015" xr:uid="{00000000-0005-0000-0000-0000B7050000}"/>
    <cellStyle name="Финансовый 2 2 3 2 2 5" xfId="1091" xr:uid="{00000000-0005-0000-0000-0000B8050000}"/>
    <cellStyle name="Финансовый 2 2 3 2 2 6" xfId="679" xr:uid="{00000000-0005-0000-0000-0000B9050000}"/>
    <cellStyle name="Финансовый 2 2 3 2 2 7" xfId="2868" xr:uid="{00000000-0005-0000-0000-0000BA050000}"/>
    <cellStyle name="Финансовый 2 2 3 2 2 8" xfId="4512" xr:uid="{00000000-0005-0000-0000-0000BB050000}"/>
    <cellStyle name="Финансовый 2 2 3 2 3" xfId="407" xr:uid="{00000000-0005-0000-0000-0000BC050000}"/>
    <cellStyle name="Финансовый 2 2 3 2 3 2" xfId="2186" xr:uid="{00000000-0005-0000-0000-0000BD050000}"/>
    <cellStyle name="Финансовый 2 2 3 2 3 2 2" xfId="3831" xr:uid="{00000000-0005-0000-0000-0000BE050000}"/>
    <cellStyle name="Финансовый 2 2 3 2 3 2 3" xfId="5614" xr:uid="{00000000-0005-0000-0000-0000BF050000}"/>
    <cellStyle name="Финансовый 2 2 3 2 3 3" xfId="1220" xr:uid="{00000000-0005-0000-0000-0000C0050000}"/>
    <cellStyle name="Финансовый 2 2 3 2 3 4" xfId="827" xr:uid="{00000000-0005-0000-0000-0000C1050000}"/>
    <cellStyle name="Финансовый 2 2 3 2 3 5" xfId="3004" xr:uid="{00000000-0005-0000-0000-0000C2050000}"/>
    <cellStyle name="Финансовый 2 2 3 2 3 6" xfId="4648" xr:uid="{00000000-0005-0000-0000-0000C3050000}"/>
    <cellStyle name="Финансовый 2 2 3 2 4" xfId="1469" xr:uid="{00000000-0005-0000-0000-0000C4050000}"/>
    <cellStyle name="Финансовый 2 2 3 2 4 2" xfId="1930" xr:uid="{00000000-0005-0000-0000-0000C5050000}"/>
    <cellStyle name="Финансовый 2 2 3 2 4 2 2" xfId="3575" xr:uid="{00000000-0005-0000-0000-0000C6050000}"/>
    <cellStyle name="Финансовый 2 2 3 2 4 2 3" xfId="5358" xr:uid="{00000000-0005-0000-0000-0000C7050000}"/>
    <cellStyle name="Финансовый 2 2 3 2 4 3" xfId="4897" xr:uid="{00000000-0005-0000-0000-0000C8050000}"/>
    <cellStyle name="Финансовый 2 2 3 2 5" xfId="1806" xr:uid="{00000000-0005-0000-0000-0000C9050000}"/>
    <cellStyle name="Финансовый 2 2 3 2 5 2" xfId="3451" xr:uid="{00000000-0005-0000-0000-0000CA050000}"/>
    <cellStyle name="Финансовый 2 2 3 2 5 3" xfId="5234" xr:uid="{00000000-0005-0000-0000-0000CB050000}"/>
    <cellStyle name="Финансовый 2 2 3 2 6" xfId="2451" xr:uid="{00000000-0005-0000-0000-0000CC050000}"/>
    <cellStyle name="Финансовый 2 2 3 2 6 2" xfId="4096" xr:uid="{00000000-0005-0000-0000-0000CD050000}"/>
    <cellStyle name="Финансовый 2 2 3 2 6 3" xfId="5879" xr:uid="{00000000-0005-0000-0000-0000CE050000}"/>
    <cellStyle name="Финансовый 2 2 3 2 7" xfId="1678" xr:uid="{00000000-0005-0000-0000-0000CF050000}"/>
    <cellStyle name="Финансовый 2 2 3 2 7 2" xfId="3323" xr:uid="{00000000-0005-0000-0000-0000D0050000}"/>
    <cellStyle name="Финансовый 2 2 3 2 7 3" xfId="5106" xr:uid="{00000000-0005-0000-0000-0000D1050000}"/>
    <cellStyle name="Финансовый 2 2 3 2 8" xfId="955" xr:uid="{00000000-0005-0000-0000-0000D2050000}"/>
    <cellStyle name="Финансовый 2 2 3 2 9" xfId="543" xr:uid="{00000000-0005-0000-0000-0000D3050000}"/>
    <cellStyle name="Финансовый 2 2 3 3" xfId="86" xr:uid="{00000000-0005-0000-0000-0000D4050000}"/>
    <cellStyle name="Финансовый 2 2 3 3 10" xfId="2696" xr:uid="{00000000-0005-0000-0000-0000D5050000}"/>
    <cellStyle name="Финансовый 2 2 3 3 11" xfId="4340" xr:uid="{00000000-0005-0000-0000-0000D6050000}"/>
    <cellStyle name="Финансовый 2 2 3 3 2" xfId="222" xr:uid="{00000000-0005-0000-0000-0000D7050000}"/>
    <cellStyle name="Финансовый 2 2 3 3 2 2" xfId="1320" xr:uid="{00000000-0005-0000-0000-0000D8050000}"/>
    <cellStyle name="Финансовый 2 2 3 3 2 2 2" xfId="2278" xr:uid="{00000000-0005-0000-0000-0000D9050000}"/>
    <cellStyle name="Финансовый 2 2 3 3 2 2 2 2" xfId="3923" xr:uid="{00000000-0005-0000-0000-0000DA050000}"/>
    <cellStyle name="Финансовый 2 2 3 3 2 2 2 3" xfId="5706" xr:uid="{00000000-0005-0000-0000-0000DB050000}"/>
    <cellStyle name="Финансовый 2 2 3 3 2 2 3" xfId="3104" xr:uid="{00000000-0005-0000-0000-0000DC050000}"/>
    <cellStyle name="Финансовый 2 2 3 3 2 2 4" xfId="4748" xr:uid="{00000000-0005-0000-0000-0000DD050000}"/>
    <cellStyle name="Финансовый 2 2 3 3 2 3" xfId="2022" xr:uid="{00000000-0005-0000-0000-0000DE050000}"/>
    <cellStyle name="Финансовый 2 2 3 3 2 3 2" xfId="3667" xr:uid="{00000000-0005-0000-0000-0000DF050000}"/>
    <cellStyle name="Финансовый 2 2 3 3 2 3 3" xfId="5450" xr:uid="{00000000-0005-0000-0000-0000E0050000}"/>
    <cellStyle name="Финансовый 2 2 3 3 2 4" xfId="2551" xr:uid="{00000000-0005-0000-0000-0000E1050000}"/>
    <cellStyle name="Финансовый 2 2 3 3 2 4 2" xfId="4196" xr:uid="{00000000-0005-0000-0000-0000E2050000}"/>
    <cellStyle name="Финансовый 2 2 3 3 2 4 3" xfId="5979" xr:uid="{00000000-0005-0000-0000-0000E3050000}"/>
    <cellStyle name="Финансовый 2 2 3 3 2 5" xfId="1055" xr:uid="{00000000-0005-0000-0000-0000E4050000}"/>
    <cellStyle name="Финансовый 2 2 3 3 2 6" xfId="643" xr:uid="{00000000-0005-0000-0000-0000E5050000}"/>
    <cellStyle name="Финансовый 2 2 3 3 2 7" xfId="2832" xr:uid="{00000000-0005-0000-0000-0000E6050000}"/>
    <cellStyle name="Финансовый 2 2 3 3 2 8" xfId="4476" xr:uid="{00000000-0005-0000-0000-0000E7050000}"/>
    <cellStyle name="Финансовый 2 2 3 3 3" xfId="371" xr:uid="{00000000-0005-0000-0000-0000E8050000}"/>
    <cellStyle name="Финансовый 2 2 3 3 3 2" xfId="2150" xr:uid="{00000000-0005-0000-0000-0000E9050000}"/>
    <cellStyle name="Финансовый 2 2 3 3 3 2 2" xfId="3795" xr:uid="{00000000-0005-0000-0000-0000EA050000}"/>
    <cellStyle name="Финансовый 2 2 3 3 3 2 3" xfId="5578" xr:uid="{00000000-0005-0000-0000-0000EB050000}"/>
    <cellStyle name="Финансовый 2 2 3 3 3 3" xfId="1184" xr:uid="{00000000-0005-0000-0000-0000EC050000}"/>
    <cellStyle name="Финансовый 2 2 3 3 3 4" xfId="791" xr:uid="{00000000-0005-0000-0000-0000ED050000}"/>
    <cellStyle name="Финансовый 2 2 3 3 3 5" xfId="2968" xr:uid="{00000000-0005-0000-0000-0000EE050000}"/>
    <cellStyle name="Финансовый 2 2 3 3 3 6" xfId="4612" xr:uid="{00000000-0005-0000-0000-0000EF050000}"/>
    <cellStyle name="Финансовый 2 2 3 3 4" xfId="1470" xr:uid="{00000000-0005-0000-0000-0000F0050000}"/>
    <cellStyle name="Финансовый 2 2 3 3 4 2" xfId="1894" xr:uid="{00000000-0005-0000-0000-0000F1050000}"/>
    <cellStyle name="Финансовый 2 2 3 3 4 2 2" xfId="3539" xr:uid="{00000000-0005-0000-0000-0000F2050000}"/>
    <cellStyle name="Финансовый 2 2 3 3 4 2 3" xfId="5322" xr:uid="{00000000-0005-0000-0000-0000F3050000}"/>
    <cellStyle name="Финансовый 2 2 3 3 4 3" xfId="4898" xr:uid="{00000000-0005-0000-0000-0000F4050000}"/>
    <cellStyle name="Финансовый 2 2 3 3 5" xfId="1770" xr:uid="{00000000-0005-0000-0000-0000F5050000}"/>
    <cellStyle name="Финансовый 2 2 3 3 5 2" xfId="3415" xr:uid="{00000000-0005-0000-0000-0000F6050000}"/>
    <cellStyle name="Финансовый 2 2 3 3 5 3" xfId="5198" xr:uid="{00000000-0005-0000-0000-0000F7050000}"/>
    <cellStyle name="Финансовый 2 2 3 3 6" xfId="2415" xr:uid="{00000000-0005-0000-0000-0000F8050000}"/>
    <cellStyle name="Финансовый 2 2 3 3 6 2" xfId="4060" xr:uid="{00000000-0005-0000-0000-0000F9050000}"/>
    <cellStyle name="Финансовый 2 2 3 3 6 3" xfId="5843" xr:uid="{00000000-0005-0000-0000-0000FA050000}"/>
    <cellStyle name="Финансовый 2 2 3 3 7" xfId="1642" xr:uid="{00000000-0005-0000-0000-0000FB050000}"/>
    <cellStyle name="Финансовый 2 2 3 3 7 2" xfId="3287" xr:uid="{00000000-0005-0000-0000-0000FC050000}"/>
    <cellStyle name="Финансовый 2 2 3 3 7 3" xfId="5070" xr:uid="{00000000-0005-0000-0000-0000FD050000}"/>
    <cellStyle name="Финансовый 2 2 3 3 8" xfId="919" xr:uid="{00000000-0005-0000-0000-0000FE050000}"/>
    <cellStyle name="Финансовый 2 2 3 3 9" xfId="507" xr:uid="{00000000-0005-0000-0000-0000FF050000}"/>
    <cellStyle name="Финансовый 2 2 3 4" xfId="178" xr:uid="{00000000-0005-0000-0000-000000060000}"/>
    <cellStyle name="Финансовый 2 2 3 4 2" xfId="1276" xr:uid="{00000000-0005-0000-0000-000001060000}"/>
    <cellStyle name="Финансовый 2 2 3 4 2 2" xfId="2242" xr:uid="{00000000-0005-0000-0000-000002060000}"/>
    <cellStyle name="Финансовый 2 2 3 4 2 2 2" xfId="3887" xr:uid="{00000000-0005-0000-0000-000003060000}"/>
    <cellStyle name="Финансовый 2 2 3 4 2 2 3" xfId="5670" xr:uid="{00000000-0005-0000-0000-000004060000}"/>
    <cellStyle name="Финансовый 2 2 3 4 2 3" xfId="3060" xr:uid="{00000000-0005-0000-0000-000005060000}"/>
    <cellStyle name="Финансовый 2 2 3 4 2 4" xfId="4704" xr:uid="{00000000-0005-0000-0000-000006060000}"/>
    <cellStyle name="Финансовый 2 2 3 4 3" xfId="1986" xr:uid="{00000000-0005-0000-0000-000007060000}"/>
    <cellStyle name="Финансовый 2 2 3 4 3 2" xfId="3631" xr:uid="{00000000-0005-0000-0000-000008060000}"/>
    <cellStyle name="Финансовый 2 2 3 4 3 3" xfId="5414" xr:uid="{00000000-0005-0000-0000-000009060000}"/>
    <cellStyle name="Финансовый 2 2 3 4 4" xfId="2507" xr:uid="{00000000-0005-0000-0000-00000A060000}"/>
    <cellStyle name="Финансовый 2 2 3 4 4 2" xfId="4152" xr:uid="{00000000-0005-0000-0000-00000B060000}"/>
    <cellStyle name="Финансовый 2 2 3 4 4 3" xfId="5935" xr:uid="{00000000-0005-0000-0000-00000C060000}"/>
    <cellStyle name="Финансовый 2 2 3 4 5" xfId="1011" xr:uid="{00000000-0005-0000-0000-00000D060000}"/>
    <cellStyle name="Финансовый 2 2 3 4 6" xfId="599" xr:uid="{00000000-0005-0000-0000-00000E060000}"/>
    <cellStyle name="Финансовый 2 2 3 4 7" xfId="2788" xr:uid="{00000000-0005-0000-0000-00000F060000}"/>
    <cellStyle name="Финансовый 2 2 3 4 8" xfId="4432" xr:uid="{00000000-0005-0000-0000-000010060000}"/>
    <cellStyle name="Финансовый 2 2 3 5" xfId="327" xr:uid="{00000000-0005-0000-0000-000011060000}"/>
    <cellStyle name="Финансовый 2 2 3 5 2" xfId="2114" xr:uid="{00000000-0005-0000-0000-000012060000}"/>
    <cellStyle name="Финансовый 2 2 3 5 2 2" xfId="3759" xr:uid="{00000000-0005-0000-0000-000013060000}"/>
    <cellStyle name="Финансовый 2 2 3 5 2 3" xfId="5542" xr:uid="{00000000-0005-0000-0000-000014060000}"/>
    <cellStyle name="Финансовый 2 2 3 5 3" xfId="1147" xr:uid="{00000000-0005-0000-0000-000015060000}"/>
    <cellStyle name="Финансовый 2 2 3 5 4" xfId="747" xr:uid="{00000000-0005-0000-0000-000016060000}"/>
    <cellStyle name="Финансовый 2 2 3 5 5" xfId="2924" xr:uid="{00000000-0005-0000-0000-000017060000}"/>
    <cellStyle name="Финансовый 2 2 3 5 6" xfId="4568" xr:uid="{00000000-0005-0000-0000-000018060000}"/>
    <cellStyle name="Финансовый 2 2 3 6" xfId="1468" xr:uid="{00000000-0005-0000-0000-000019060000}"/>
    <cellStyle name="Финансовый 2 2 3 6 2" xfId="1850" xr:uid="{00000000-0005-0000-0000-00001A060000}"/>
    <cellStyle name="Финансовый 2 2 3 6 2 2" xfId="3495" xr:uid="{00000000-0005-0000-0000-00001B060000}"/>
    <cellStyle name="Финансовый 2 2 3 6 2 3" xfId="5278" xr:uid="{00000000-0005-0000-0000-00001C060000}"/>
    <cellStyle name="Финансовый 2 2 3 6 3" xfId="4896" xr:uid="{00000000-0005-0000-0000-00001D060000}"/>
    <cellStyle name="Финансовый 2 2 3 7" xfId="1734" xr:uid="{00000000-0005-0000-0000-00001E060000}"/>
    <cellStyle name="Финансовый 2 2 3 7 2" xfId="3379" xr:uid="{00000000-0005-0000-0000-00001F060000}"/>
    <cellStyle name="Финансовый 2 2 3 7 3" xfId="5162" xr:uid="{00000000-0005-0000-0000-000020060000}"/>
    <cellStyle name="Финансовый 2 2 3 8" xfId="2370" xr:uid="{00000000-0005-0000-0000-000021060000}"/>
    <cellStyle name="Финансовый 2 2 3 8 2" xfId="4015" xr:uid="{00000000-0005-0000-0000-000022060000}"/>
    <cellStyle name="Финансовый 2 2 3 8 3" xfId="5798" xr:uid="{00000000-0005-0000-0000-000023060000}"/>
    <cellStyle name="Финансовый 2 2 3 9" xfId="1597" xr:uid="{00000000-0005-0000-0000-000024060000}"/>
    <cellStyle name="Финансовый 2 2 3 9 2" xfId="3242" xr:uid="{00000000-0005-0000-0000-000025060000}"/>
    <cellStyle name="Финансовый 2 2 3 9 3" xfId="5025" xr:uid="{00000000-0005-0000-0000-000026060000}"/>
    <cellStyle name="Финансовый 2 2 4" xfId="92" xr:uid="{00000000-0005-0000-0000-000027060000}"/>
    <cellStyle name="Финансовый 2 2 4 10" xfId="2702" xr:uid="{00000000-0005-0000-0000-000028060000}"/>
    <cellStyle name="Финансовый 2 2 4 11" xfId="4346" xr:uid="{00000000-0005-0000-0000-000029060000}"/>
    <cellStyle name="Финансовый 2 2 4 2" xfId="228" xr:uid="{00000000-0005-0000-0000-00002A060000}"/>
    <cellStyle name="Финансовый 2 2 4 2 2" xfId="1326" xr:uid="{00000000-0005-0000-0000-00002B060000}"/>
    <cellStyle name="Финансовый 2 2 4 2 2 2" xfId="2284" xr:uid="{00000000-0005-0000-0000-00002C060000}"/>
    <cellStyle name="Финансовый 2 2 4 2 2 2 2" xfId="3929" xr:uid="{00000000-0005-0000-0000-00002D060000}"/>
    <cellStyle name="Финансовый 2 2 4 2 2 2 3" xfId="5712" xr:uid="{00000000-0005-0000-0000-00002E060000}"/>
    <cellStyle name="Финансовый 2 2 4 2 2 3" xfId="3110" xr:uid="{00000000-0005-0000-0000-00002F060000}"/>
    <cellStyle name="Финансовый 2 2 4 2 2 4" xfId="4754" xr:uid="{00000000-0005-0000-0000-000030060000}"/>
    <cellStyle name="Финансовый 2 2 4 2 3" xfId="2028" xr:uid="{00000000-0005-0000-0000-000031060000}"/>
    <cellStyle name="Финансовый 2 2 4 2 3 2" xfId="3673" xr:uid="{00000000-0005-0000-0000-000032060000}"/>
    <cellStyle name="Финансовый 2 2 4 2 3 3" xfId="5456" xr:uid="{00000000-0005-0000-0000-000033060000}"/>
    <cellStyle name="Финансовый 2 2 4 2 4" xfId="2557" xr:uid="{00000000-0005-0000-0000-000034060000}"/>
    <cellStyle name="Финансовый 2 2 4 2 4 2" xfId="4202" xr:uid="{00000000-0005-0000-0000-000035060000}"/>
    <cellStyle name="Финансовый 2 2 4 2 4 3" xfId="5985" xr:uid="{00000000-0005-0000-0000-000036060000}"/>
    <cellStyle name="Финансовый 2 2 4 2 5" xfId="1061" xr:uid="{00000000-0005-0000-0000-000037060000}"/>
    <cellStyle name="Финансовый 2 2 4 2 6" xfId="649" xr:uid="{00000000-0005-0000-0000-000038060000}"/>
    <cellStyle name="Финансовый 2 2 4 2 7" xfId="2838" xr:uid="{00000000-0005-0000-0000-000039060000}"/>
    <cellStyle name="Финансовый 2 2 4 2 8" xfId="4482" xr:uid="{00000000-0005-0000-0000-00003A060000}"/>
    <cellStyle name="Финансовый 2 2 4 3" xfId="377" xr:uid="{00000000-0005-0000-0000-00003B060000}"/>
    <cellStyle name="Финансовый 2 2 4 3 2" xfId="2156" xr:uid="{00000000-0005-0000-0000-00003C060000}"/>
    <cellStyle name="Финансовый 2 2 4 3 2 2" xfId="3801" xr:uid="{00000000-0005-0000-0000-00003D060000}"/>
    <cellStyle name="Финансовый 2 2 4 3 2 3" xfId="5584" xr:uid="{00000000-0005-0000-0000-00003E060000}"/>
    <cellStyle name="Финансовый 2 2 4 3 3" xfId="1190" xr:uid="{00000000-0005-0000-0000-00003F060000}"/>
    <cellStyle name="Финансовый 2 2 4 3 4" xfId="797" xr:uid="{00000000-0005-0000-0000-000040060000}"/>
    <cellStyle name="Финансовый 2 2 4 3 5" xfId="2974" xr:uid="{00000000-0005-0000-0000-000041060000}"/>
    <cellStyle name="Финансовый 2 2 4 3 6" xfId="4618" xr:uid="{00000000-0005-0000-0000-000042060000}"/>
    <cellStyle name="Финансовый 2 2 4 4" xfId="1471" xr:uid="{00000000-0005-0000-0000-000043060000}"/>
    <cellStyle name="Финансовый 2 2 4 4 2" xfId="1900" xr:uid="{00000000-0005-0000-0000-000044060000}"/>
    <cellStyle name="Финансовый 2 2 4 4 2 2" xfId="3545" xr:uid="{00000000-0005-0000-0000-000045060000}"/>
    <cellStyle name="Финансовый 2 2 4 4 2 3" xfId="5328" xr:uid="{00000000-0005-0000-0000-000046060000}"/>
    <cellStyle name="Финансовый 2 2 4 4 3" xfId="4899" xr:uid="{00000000-0005-0000-0000-000047060000}"/>
    <cellStyle name="Финансовый 2 2 4 5" xfId="1776" xr:uid="{00000000-0005-0000-0000-000048060000}"/>
    <cellStyle name="Финансовый 2 2 4 5 2" xfId="3421" xr:uid="{00000000-0005-0000-0000-000049060000}"/>
    <cellStyle name="Финансовый 2 2 4 5 3" xfId="5204" xr:uid="{00000000-0005-0000-0000-00004A060000}"/>
    <cellStyle name="Финансовый 2 2 4 6" xfId="2421" xr:uid="{00000000-0005-0000-0000-00004B060000}"/>
    <cellStyle name="Финансовый 2 2 4 6 2" xfId="4066" xr:uid="{00000000-0005-0000-0000-00004C060000}"/>
    <cellStyle name="Финансовый 2 2 4 6 3" xfId="5849" xr:uid="{00000000-0005-0000-0000-00004D060000}"/>
    <cellStyle name="Финансовый 2 2 4 7" xfId="1648" xr:uid="{00000000-0005-0000-0000-00004E060000}"/>
    <cellStyle name="Финансовый 2 2 4 7 2" xfId="3293" xr:uid="{00000000-0005-0000-0000-00004F060000}"/>
    <cellStyle name="Финансовый 2 2 4 7 3" xfId="5076" xr:uid="{00000000-0005-0000-0000-000050060000}"/>
    <cellStyle name="Финансовый 2 2 4 8" xfId="925" xr:uid="{00000000-0005-0000-0000-000051060000}"/>
    <cellStyle name="Финансовый 2 2 4 9" xfId="513" xr:uid="{00000000-0005-0000-0000-000052060000}"/>
    <cellStyle name="Финансовый 2 2 5" xfId="98" xr:uid="{00000000-0005-0000-0000-000053060000}"/>
    <cellStyle name="Финансовый 2 2 5 10" xfId="2708" xr:uid="{00000000-0005-0000-0000-000054060000}"/>
    <cellStyle name="Финансовый 2 2 5 11" xfId="4352" xr:uid="{00000000-0005-0000-0000-000055060000}"/>
    <cellStyle name="Финансовый 2 2 5 2" xfId="234" xr:uid="{00000000-0005-0000-0000-000056060000}"/>
    <cellStyle name="Финансовый 2 2 5 2 2" xfId="1332" xr:uid="{00000000-0005-0000-0000-000057060000}"/>
    <cellStyle name="Финансовый 2 2 5 2 2 2" xfId="2290" xr:uid="{00000000-0005-0000-0000-000058060000}"/>
    <cellStyle name="Финансовый 2 2 5 2 2 2 2" xfId="3935" xr:uid="{00000000-0005-0000-0000-000059060000}"/>
    <cellStyle name="Финансовый 2 2 5 2 2 2 3" xfId="5718" xr:uid="{00000000-0005-0000-0000-00005A060000}"/>
    <cellStyle name="Финансовый 2 2 5 2 2 3" xfId="3116" xr:uid="{00000000-0005-0000-0000-00005B060000}"/>
    <cellStyle name="Финансовый 2 2 5 2 2 4" xfId="4760" xr:uid="{00000000-0005-0000-0000-00005C060000}"/>
    <cellStyle name="Финансовый 2 2 5 2 3" xfId="2034" xr:uid="{00000000-0005-0000-0000-00005D060000}"/>
    <cellStyle name="Финансовый 2 2 5 2 3 2" xfId="3679" xr:uid="{00000000-0005-0000-0000-00005E060000}"/>
    <cellStyle name="Финансовый 2 2 5 2 3 3" xfId="5462" xr:uid="{00000000-0005-0000-0000-00005F060000}"/>
    <cellStyle name="Финансовый 2 2 5 2 4" xfId="2563" xr:uid="{00000000-0005-0000-0000-000060060000}"/>
    <cellStyle name="Финансовый 2 2 5 2 4 2" xfId="4208" xr:uid="{00000000-0005-0000-0000-000061060000}"/>
    <cellStyle name="Финансовый 2 2 5 2 4 3" xfId="5991" xr:uid="{00000000-0005-0000-0000-000062060000}"/>
    <cellStyle name="Финансовый 2 2 5 2 5" xfId="1067" xr:uid="{00000000-0005-0000-0000-000063060000}"/>
    <cellStyle name="Финансовый 2 2 5 2 6" xfId="655" xr:uid="{00000000-0005-0000-0000-000064060000}"/>
    <cellStyle name="Финансовый 2 2 5 2 7" xfId="2844" xr:uid="{00000000-0005-0000-0000-000065060000}"/>
    <cellStyle name="Финансовый 2 2 5 2 8" xfId="4488" xr:uid="{00000000-0005-0000-0000-000066060000}"/>
    <cellStyle name="Финансовый 2 2 5 3" xfId="383" xr:uid="{00000000-0005-0000-0000-000067060000}"/>
    <cellStyle name="Финансовый 2 2 5 3 2" xfId="2162" xr:uid="{00000000-0005-0000-0000-000068060000}"/>
    <cellStyle name="Финансовый 2 2 5 3 2 2" xfId="3807" xr:uid="{00000000-0005-0000-0000-000069060000}"/>
    <cellStyle name="Финансовый 2 2 5 3 2 3" xfId="5590" xr:uid="{00000000-0005-0000-0000-00006A060000}"/>
    <cellStyle name="Финансовый 2 2 5 3 3" xfId="1196" xr:uid="{00000000-0005-0000-0000-00006B060000}"/>
    <cellStyle name="Финансовый 2 2 5 3 4" xfId="803" xr:uid="{00000000-0005-0000-0000-00006C060000}"/>
    <cellStyle name="Финансовый 2 2 5 3 5" xfId="2980" xr:uid="{00000000-0005-0000-0000-00006D060000}"/>
    <cellStyle name="Финансовый 2 2 5 3 6" xfId="4624" xr:uid="{00000000-0005-0000-0000-00006E060000}"/>
    <cellStyle name="Финансовый 2 2 5 4" xfId="1472" xr:uid="{00000000-0005-0000-0000-00006F060000}"/>
    <cellStyle name="Финансовый 2 2 5 4 2" xfId="1906" xr:uid="{00000000-0005-0000-0000-000070060000}"/>
    <cellStyle name="Финансовый 2 2 5 4 2 2" xfId="3551" xr:uid="{00000000-0005-0000-0000-000071060000}"/>
    <cellStyle name="Финансовый 2 2 5 4 2 3" xfId="5334" xr:uid="{00000000-0005-0000-0000-000072060000}"/>
    <cellStyle name="Финансовый 2 2 5 4 3" xfId="4900" xr:uid="{00000000-0005-0000-0000-000073060000}"/>
    <cellStyle name="Финансовый 2 2 5 5" xfId="1782" xr:uid="{00000000-0005-0000-0000-000074060000}"/>
    <cellStyle name="Финансовый 2 2 5 5 2" xfId="3427" xr:uid="{00000000-0005-0000-0000-000075060000}"/>
    <cellStyle name="Финансовый 2 2 5 5 3" xfId="5210" xr:uid="{00000000-0005-0000-0000-000076060000}"/>
    <cellStyle name="Финансовый 2 2 5 6" xfId="2427" xr:uid="{00000000-0005-0000-0000-000077060000}"/>
    <cellStyle name="Финансовый 2 2 5 6 2" xfId="4072" xr:uid="{00000000-0005-0000-0000-000078060000}"/>
    <cellStyle name="Финансовый 2 2 5 6 3" xfId="5855" xr:uid="{00000000-0005-0000-0000-000079060000}"/>
    <cellStyle name="Финансовый 2 2 5 7" xfId="1654" xr:uid="{00000000-0005-0000-0000-00007A060000}"/>
    <cellStyle name="Финансовый 2 2 5 7 2" xfId="3299" xr:uid="{00000000-0005-0000-0000-00007B060000}"/>
    <cellStyle name="Финансовый 2 2 5 7 3" xfId="5082" xr:uid="{00000000-0005-0000-0000-00007C060000}"/>
    <cellStyle name="Финансовый 2 2 5 8" xfId="931" xr:uid="{00000000-0005-0000-0000-00007D060000}"/>
    <cellStyle name="Финансовый 2 2 5 9" xfId="519" xr:uid="{00000000-0005-0000-0000-00007E060000}"/>
    <cellStyle name="Финансовый 2 2 6" xfId="110" xr:uid="{00000000-0005-0000-0000-00007F060000}"/>
    <cellStyle name="Финансовый 2 2 6 10" xfId="2720" xr:uid="{00000000-0005-0000-0000-000080060000}"/>
    <cellStyle name="Финансовый 2 2 6 11" xfId="4364" xr:uid="{00000000-0005-0000-0000-000081060000}"/>
    <cellStyle name="Финансовый 2 2 6 2" xfId="246" xr:uid="{00000000-0005-0000-0000-000082060000}"/>
    <cellStyle name="Финансовый 2 2 6 2 2" xfId="1344" xr:uid="{00000000-0005-0000-0000-000083060000}"/>
    <cellStyle name="Финансовый 2 2 6 2 2 2" xfId="2302" xr:uid="{00000000-0005-0000-0000-000084060000}"/>
    <cellStyle name="Финансовый 2 2 6 2 2 2 2" xfId="3947" xr:uid="{00000000-0005-0000-0000-000085060000}"/>
    <cellStyle name="Финансовый 2 2 6 2 2 2 3" xfId="5730" xr:uid="{00000000-0005-0000-0000-000086060000}"/>
    <cellStyle name="Финансовый 2 2 6 2 2 3" xfId="3128" xr:uid="{00000000-0005-0000-0000-000087060000}"/>
    <cellStyle name="Финансовый 2 2 6 2 2 4" xfId="4772" xr:uid="{00000000-0005-0000-0000-000088060000}"/>
    <cellStyle name="Финансовый 2 2 6 2 3" xfId="2046" xr:uid="{00000000-0005-0000-0000-000089060000}"/>
    <cellStyle name="Финансовый 2 2 6 2 3 2" xfId="3691" xr:uid="{00000000-0005-0000-0000-00008A060000}"/>
    <cellStyle name="Финансовый 2 2 6 2 3 3" xfId="5474" xr:uid="{00000000-0005-0000-0000-00008B060000}"/>
    <cellStyle name="Финансовый 2 2 6 2 4" xfId="2575" xr:uid="{00000000-0005-0000-0000-00008C060000}"/>
    <cellStyle name="Финансовый 2 2 6 2 4 2" xfId="4220" xr:uid="{00000000-0005-0000-0000-00008D060000}"/>
    <cellStyle name="Финансовый 2 2 6 2 4 3" xfId="6003" xr:uid="{00000000-0005-0000-0000-00008E060000}"/>
    <cellStyle name="Финансовый 2 2 6 2 5" xfId="1079" xr:uid="{00000000-0005-0000-0000-00008F060000}"/>
    <cellStyle name="Финансовый 2 2 6 2 6" xfId="667" xr:uid="{00000000-0005-0000-0000-000090060000}"/>
    <cellStyle name="Финансовый 2 2 6 2 7" xfId="2856" xr:uid="{00000000-0005-0000-0000-000091060000}"/>
    <cellStyle name="Финансовый 2 2 6 2 8" xfId="4500" xr:uid="{00000000-0005-0000-0000-000092060000}"/>
    <cellStyle name="Финансовый 2 2 6 3" xfId="395" xr:uid="{00000000-0005-0000-0000-000093060000}"/>
    <cellStyle name="Финансовый 2 2 6 3 2" xfId="2174" xr:uid="{00000000-0005-0000-0000-000094060000}"/>
    <cellStyle name="Финансовый 2 2 6 3 2 2" xfId="3819" xr:uid="{00000000-0005-0000-0000-000095060000}"/>
    <cellStyle name="Финансовый 2 2 6 3 2 3" xfId="5602" xr:uid="{00000000-0005-0000-0000-000096060000}"/>
    <cellStyle name="Финансовый 2 2 6 3 3" xfId="1208" xr:uid="{00000000-0005-0000-0000-000097060000}"/>
    <cellStyle name="Финансовый 2 2 6 3 4" xfId="815" xr:uid="{00000000-0005-0000-0000-000098060000}"/>
    <cellStyle name="Финансовый 2 2 6 3 5" xfId="2992" xr:uid="{00000000-0005-0000-0000-000099060000}"/>
    <cellStyle name="Финансовый 2 2 6 3 6" xfId="4636" xr:uid="{00000000-0005-0000-0000-00009A060000}"/>
    <cellStyle name="Финансовый 2 2 6 4" xfId="1459" xr:uid="{00000000-0005-0000-0000-00009B060000}"/>
    <cellStyle name="Финансовый 2 2 6 4 2" xfId="1918" xr:uid="{00000000-0005-0000-0000-00009C060000}"/>
    <cellStyle name="Финансовый 2 2 6 4 2 2" xfId="3563" xr:uid="{00000000-0005-0000-0000-00009D060000}"/>
    <cellStyle name="Финансовый 2 2 6 4 2 3" xfId="5346" xr:uid="{00000000-0005-0000-0000-00009E060000}"/>
    <cellStyle name="Финансовый 2 2 6 4 3" xfId="4887" xr:uid="{00000000-0005-0000-0000-00009F060000}"/>
    <cellStyle name="Финансовый 2 2 6 5" xfId="1794" xr:uid="{00000000-0005-0000-0000-0000A0060000}"/>
    <cellStyle name="Финансовый 2 2 6 5 2" xfId="3439" xr:uid="{00000000-0005-0000-0000-0000A1060000}"/>
    <cellStyle name="Финансовый 2 2 6 5 3" xfId="5222" xr:uid="{00000000-0005-0000-0000-0000A2060000}"/>
    <cellStyle name="Финансовый 2 2 6 6" xfId="2439" xr:uid="{00000000-0005-0000-0000-0000A3060000}"/>
    <cellStyle name="Финансовый 2 2 6 6 2" xfId="4084" xr:uid="{00000000-0005-0000-0000-0000A4060000}"/>
    <cellStyle name="Финансовый 2 2 6 6 3" xfId="5867" xr:uid="{00000000-0005-0000-0000-0000A5060000}"/>
    <cellStyle name="Финансовый 2 2 6 7" xfId="1666" xr:uid="{00000000-0005-0000-0000-0000A6060000}"/>
    <cellStyle name="Финансовый 2 2 6 7 2" xfId="3311" xr:uid="{00000000-0005-0000-0000-0000A7060000}"/>
    <cellStyle name="Финансовый 2 2 6 7 3" xfId="5094" xr:uid="{00000000-0005-0000-0000-0000A8060000}"/>
    <cellStyle name="Финансовый 2 2 6 8" xfId="943" xr:uid="{00000000-0005-0000-0000-0000A9060000}"/>
    <cellStyle name="Финансовый 2 2 6 9" xfId="531" xr:uid="{00000000-0005-0000-0000-0000AA060000}"/>
    <cellStyle name="Финансовый 2 2 7" xfId="65" xr:uid="{00000000-0005-0000-0000-0000AB060000}"/>
    <cellStyle name="Финансовый 2 2 7 10" xfId="2675" xr:uid="{00000000-0005-0000-0000-0000AC060000}"/>
    <cellStyle name="Финансовый 2 2 7 11" xfId="4319" xr:uid="{00000000-0005-0000-0000-0000AD060000}"/>
    <cellStyle name="Финансовый 2 2 7 2" xfId="201" xr:uid="{00000000-0005-0000-0000-0000AE060000}"/>
    <cellStyle name="Финансовый 2 2 7 2 2" xfId="1299" xr:uid="{00000000-0005-0000-0000-0000AF060000}"/>
    <cellStyle name="Финансовый 2 2 7 2 2 2" xfId="2265" xr:uid="{00000000-0005-0000-0000-0000B0060000}"/>
    <cellStyle name="Финансовый 2 2 7 2 2 2 2" xfId="3910" xr:uid="{00000000-0005-0000-0000-0000B1060000}"/>
    <cellStyle name="Финансовый 2 2 7 2 2 2 3" xfId="5693" xr:uid="{00000000-0005-0000-0000-0000B2060000}"/>
    <cellStyle name="Финансовый 2 2 7 2 2 3" xfId="3083" xr:uid="{00000000-0005-0000-0000-0000B3060000}"/>
    <cellStyle name="Финансовый 2 2 7 2 2 4" xfId="4727" xr:uid="{00000000-0005-0000-0000-0000B4060000}"/>
    <cellStyle name="Финансовый 2 2 7 2 3" xfId="2009" xr:uid="{00000000-0005-0000-0000-0000B5060000}"/>
    <cellStyle name="Финансовый 2 2 7 2 3 2" xfId="3654" xr:uid="{00000000-0005-0000-0000-0000B6060000}"/>
    <cellStyle name="Финансовый 2 2 7 2 3 3" xfId="5437" xr:uid="{00000000-0005-0000-0000-0000B7060000}"/>
    <cellStyle name="Финансовый 2 2 7 2 4" xfId="2530" xr:uid="{00000000-0005-0000-0000-0000B8060000}"/>
    <cellStyle name="Финансовый 2 2 7 2 4 2" xfId="4175" xr:uid="{00000000-0005-0000-0000-0000B9060000}"/>
    <cellStyle name="Финансовый 2 2 7 2 4 3" xfId="5958" xr:uid="{00000000-0005-0000-0000-0000BA060000}"/>
    <cellStyle name="Финансовый 2 2 7 2 5" xfId="1034" xr:uid="{00000000-0005-0000-0000-0000BB060000}"/>
    <cellStyle name="Финансовый 2 2 7 2 6" xfId="622" xr:uid="{00000000-0005-0000-0000-0000BC060000}"/>
    <cellStyle name="Финансовый 2 2 7 2 7" xfId="2811" xr:uid="{00000000-0005-0000-0000-0000BD060000}"/>
    <cellStyle name="Финансовый 2 2 7 2 8" xfId="4455" xr:uid="{00000000-0005-0000-0000-0000BE060000}"/>
    <cellStyle name="Финансовый 2 2 7 3" xfId="350" xr:uid="{00000000-0005-0000-0000-0000BF060000}"/>
    <cellStyle name="Финансовый 2 2 7 3 2" xfId="2137" xr:uid="{00000000-0005-0000-0000-0000C0060000}"/>
    <cellStyle name="Финансовый 2 2 7 3 2 2" xfId="3782" xr:uid="{00000000-0005-0000-0000-0000C1060000}"/>
    <cellStyle name="Финансовый 2 2 7 3 2 3" xfId="5565" xr:uid="{00000000-0005-0000-0000-0000C2060000}"/>
    <cellStyle name="Финансовый 2 2 7 3 3" xfId="1170" xr:uid="{00000000-0005-0000-0000-0000C3060000}"/>
    <cellStyle name="Финансовый 2 2 7 3 4" xfId="770" xr:uid="{00000000-0005-0000-0000-0000C4060000}"/>
    <cellStyle name="Финансовый 2 2 7 3 5" xfId="2947" xr:uid="{00000000-0005-0000-0000-0000C5060000}"/>
    <cellStyle name="Финансовый 2 2 7 3 6" xfId="4591" xr:uid="{00000000-0005-0000-0000-0000C6060000}"/>
    <cellStyle name="Финансовый 2 2 7 4" xfId="1473" xr:uid="{00000000-0005-0000-0000-0000C7060000}"/>
    <cellStyle name="Финансовый 2 2 7 4 2" xfId="1873" xr:uid="{00000000-0005-0000-0000-0000C8060000}"/>
    <cellStyle name="Финансовый 2 2 7 4 2 2" xfId="3518" xr:uid="{00000000-0005-0000-0000-0000C9060000}"/>
    <cellStyle name="Финансовый 2 2 7 4 2 3" xfId="5301" xr:uid="{00000000-0005-0000-0000-0000CA060000}"/>
    <cellStyle name="Финансовый 2 2 7 4 3" xfId="4901" xr:uid="{00000000-0005-0000-0000-0000CB060000}"/>
    <cellStyle name="Финансовый 2 2 7 5" xfId="1757" xr:uid="{00000000-0005-0000-0000-0000CC060000}"/>
    <cellStyle name="Финансовый 2 2 7 5 2" xfId="3402" xr:uid="{00000000-0005-0000-0000-0000CD060000}"/>
    <cellStyle name="Финансовый 2 2 7 5 3" xfId="5185" xr:uid="{00000000-0005-0000-0000-0000CE060000}"/>
    <cellStyle name="Финансовый 2 2 7 6" xfId="2394" xr:uid="{00000000-0005-0000-0000-0000CF060000}"/>
    <cellStyle name="Финансовый 2 2 7 6 2" xfId="4039" xr:uid="{00000000-0005-0000-0000-0000D0060000}"/>
    <cellStyle name="Финансовый 2 2 7 6 3" xfId="5822" xr:uid="{00000000-0005-0000-0000-0000D1060000}"/>
    <cellStyle name="Финансовый 2 2 7 7" xfId="1621" xr:uid="{00000000-0005-0000-0000-0000D2060000}"/>
    <cellStyle name="Финансовый 2 2 7 7 2" xfId="3266" xr:uid="{00000000-0005-0000-0000-0000D3060000}"/>
    <cellStyle name="Финансовый 2 2 7 7 3" xfId="5049" xr:uid="{00000000-0005-0000-0000-0000D4060000}"/>
    <cellStyle name="Финансовый 2 2 7 8" xfId="906" xr:uid="{00000000-0005-0000-0000-0000D5060000}"/>
    <cellStyle name="Финансовый 2 2 7 9" xfId="486" xr:uid="{00000000-0005-0000-0000-0000D6060000}"/>
    <cellStyle name="Финансовый 2 2 8" xfId="52" xr:uid="{00000000-0005-0000-0000-0000D7060000}"/>
    <cellStyle name="Финансовый 2 2 8 10" xfId="2664" xr:uid="{00000000-0005-0000-0000-0000D8060000}"/>
    <cellStyle name="Финансовый 2 2 8 11" xfId="4307" xr:uid="{00000000-0005-0000-0000-0000D9060000}"/>
    <cellStyle name="Финансовый 2 2 8 2" xfId="190" xr:uid="{00000000-0005-0000-0000-0000DA060000}"/>
    <cellStyle name="Финансовый 2 2 8 2 2" xfId="1288" xr:uid="{00000000-0005-0000-0000-0000DB060000}"/>
    <cellStyle name="Финансовый 2 2 8 2 2 2" xfId="2254" xr:uid="{00000000-0005-0000-0000-0000DC060000}"/>
    <cellStyle name="Финансовый 2 2 8 2 2 2 2" xfId="3899" xr:uid="{00000000-0005-0000-0000-0000DD060000}"/>
    <cellStyle name="Финансовый 2 2 8 2 2 2 3" xfId="5682" xr:uid="{00000000-0005-0000-0000-0000DE060000}"/>
    <cellStyle name="Финансовый 2 2 8 2 2 3" xfId="3072" xr:uid="{00000000-0005-0000-0000-0000DF060000}"/>
    <cellStyle name="Финансовый 2 2 8 2 2 4" xfId="4716" xr:uid="{00000000-0005-0000-0000-0000E0060000}"/>
    <cellStyle name="Финансовый 2 2 8 2 3" xfId="1998" xr:uid="{00000000-0005-0000-0000-0000E1060000}"/>
    <cellStyle name="Финансовый 2 2 8 2 3 2" xfId="3643" xr:uid="{00000000-0005-0000-0000-0000E2060000}"/>
    <cellStyle name="Финансовый 2 2 8 2 3 3" xfId="5426" xr:uid="{00000000-0005-0000-0000-0000E3060000}"/>
    <cellStyle name="Финансовый 2 2 8 2 4" xfId="2519" xr:uid="{00000000-0005-0000-0000-0000E4060000}"/>
    <cellStyle name="Финансовый 2 2 8 2 4 2" xfId="4164" xr:uid="{00000000-0005-0000-0000-0000E5060000}"/>
    <cellStyle name="Финансовый 2 2 8 2 4 3" xfId="5947" xr:uid="{00000000-0005-0000-0000-0000E6060000}"/>
    <cellStyle name="Финансовый 2 2 8 2 5" xfId="1023" xr:uid="{00000000-0005-0000-0000-0000E7060000}"/>
    <cellStyle name="Финансовый 2 2 8 2 6" xfId="611" xr:uid="{00000000-0005-0000-0000-0000E8060000}"/>
    <cellStyle name="Финансовый 2 2 8 2 7" xfId="2800" xr:uid="{00000000-0005-0000-0000-0000E9060000}"/>
    <cellStyle name="Финансовый 2 2 8 2 8" xfId="4444" xr:uid="{00000000-0005-0000-0000-0000EA060000}"/>
    <cellStyle name="Финансовый 2 2 8 3" xfId="339" xr:uid="{00000000-0005-0000-0000-0000EB060000}"/>
    <cellStyle name="Финансовый 2 2 8 3 2" xfId="2126" xr:uid="{00000000-0005-0000-0000-0000EC060000}"/>
    <cellStyle name="Финансовый 2 2 8 3 2 2" xfId="3771" xr:uid="{00000000-0005-0000-0000-0000ED060000}"/>
    <cellStyle name="Финансовый 2 2 8 3 2 3" xfId="5554" xr:uid="{00000000-0005-0000-0000-0000EE060000}"/>
    <cellStyle name="Финансовый 2 2 8 3 3" xfId="1159" xr:uid="{00000000-0005-0000-0000-0000EF060000}"/>
    <cellStyle name="Финансовый 2 2 8 3 4" xfId="759" xr:uid="{00000000-0005-0000-0000-0000F0060000}"/>
    <cellStyle name="Финансовый 2 2 8 3 5" xfId="2936" xr:uid="{00000000-0005-0000-0000-0000F1060000}"/>
    <cellStyle name="Финансовый 2 2 8 3 6" xfId="4580" xr:uid="{00000000-0005-0000-0000-0000F2060000}"/>
    <cellStyle name="Финансовый 2 2 8 4" xfId="1474" xr:uid="{00000000-0005-0000-0000-0000F3060000}"/>
    <cellStyle name="Финансовый 2 2 8 4 2" xfId="1862" xr:uid="{00000000-0005-0000-0000-0000F4060000}"/>
    <cellStyle name="Финансовый 2 2 8 4 2 2" xfId="3507" xr:uid="{00000000-0005-0000-0000-0000F5060000}"/>
    <cellStyle name="Финансовый 2 2 8 4 2 3" xfId="5290" xr:uid="{00000000-0005-0000-0000-0000F6060000}"/>
    <cellStyle name="Финансовый 2 2 8 4 3" xfId="4902" xr:uid="{00000000-0005-0000-0000-0000F7060000}"/>
    <cellStyle name="Финансовый 2 2 8 5" xfId="1746" xr:uid="{00000000-0005-0000-0000-0000F8060000}"/>
    <cellStyle name="Финансовый 2 2 8 5 2" xfId="3391" xr:uid="{00000000-0005-0000-0000-0000F9060000}"/>
    <cellStyle name="Финансовый 2 2 8 5 3" xfId="5174" xr:uid="{00000000-0005-0000-0000-0000FA060000}"/>
    <cellStyle name="Финансовый 2 2 8 6" xfId="2382" xr:uid="{00000000-0005-0000-0000-0000FB060000}"/>
    <cellStyle name="Финансовый 2 2 8 6 2" xfId="4027" xr:uid="{00000000-0005-0000-0000-0000FC060000}"/>
    <cellStyle name="Финансовый 2 2 8 6 3" xfId="5810" xr:uid="{00000000-0005-0000-0000-0000FD060000}"/>
    <cellStyle name="Финансовый 2 2 8 7" xfId="1609" xr:uid="{00000000-0005-0000-0000-0000FE060000}"/>
    <cellStyle name="Финансовый 2 2 8 7 2" xfId="3254" xr:uid="{00000000-0005-0000-0000-0000FF060000}"/>
    <cellStyle name="Финансовый 2 2 8 7 3" xfId="5037" xr:uid="{00000000-0005-0000-0000-000000070000}"/>
    <cellStyle name="Финансовый 2 2 8 8" xfId="895" xr:uid="{00000000-0005-0000-0000-000001070000}"/>
    <cellStyle name="Финансовый 2 2 8 9" xfId="475" xr:uid="{00000000-0005-0000-0000-000002070000}"/>
    <cellStyle name="Финансовый 2 2 9" xfId="130" xr:uid="{00000000-0005-0000-0000-000003070000}"/>
    <cellStyle name="Финансовый 2 2 9 10" xfId="2740" xr:uid="{00000000-0005-0000-0000-000004070000}"/>
    <cellStyle name="Финансовый 2 2 9 11" xfId="4384" xr:uid="{00000000-0005-0000-0000-000005070000}"/>
    <cellStyle name="Финансовый 2 2 9 2" xfId="266" xr:uid="{00000000-0005-0000-0000-000006070000}"/>
    <cellStyle name="Финансовый 2 2 9 2 2" xfId="1364" xr:uid="{00000000-0005-0000-0000-000007070000}"/>
    <cellStyle name="Финансовый 2 2 9 2 2 2" xfId="2322" xr:uid="{00000000-0005-0000-0000-000008070000}"/>
    <cellStyle name="Финансовый 2 2 9 2 2 2 2" xfId="3967" xr:uid="{00000000-0005-0000-0000-000009070000}"/>
    <cellStyle name="Финансовый 2 2 9 2 2 2 3" xfId="5750" xr:uid="{00000000-0005-0000-0000-00000A070000}"/>
    <cellStyle name="Финансовый 2 2 9 2 2 3" xfId="3148" xr:uid="{00000000-0005-0000-0000-00000B070000}"/>
    <cellStyle name="Финансовый 2 2 9 2 2 4" xfId="4792" xr:uid="{00000000-0005-0000-0000-00000C070000}"/>
    <cellStyle name="Финансовый 2 2 9 2 3" xfId="2066" xr:uid="{00000000-0005-0000-0000-00000D070000}"/>
    <cellStyle name="Финансовый 2 2 9 2 3 2" xfId="3711" xr:uid="{00000000-0005-0000-0000-00000E070000}"/>
    <cellStyle name="Финансовый 2 2 9 2 3 3" xfId="5494" xr:uid="{00000000-0005-0000-0000-00000F070000}"/>
    <cellStyle name="Финансовый 2 2 9 2 4" xfId="2595" xr:uid="{00000000-0005-0000-0000-000010070000}"/>
    <cellStyle name="Финансовый 2 2 9 2 4 2" xfId="4240" xr:uid="{00000000-0005-0000-0000-000011070000}"/>
    <cellStyle name="Финансовый 2 2 9 2 4 3" xfId="6023" xr:uid="{00000000-0005-0000-0000-000012070000}"/>
    <cellStyle name="Финансовый 2 2 9 2 5" xfId="1099" xr:uid="{00000000-0005-0000-0000-000013070000}"/>
    <cellStyle name="Финансовый 2 2 9 2 6" xfId="687" xr:uid="{00000000-0005-0000-0000-000014070000}"/>
    <cellStyle name="Финансовый 2 2 9 2 7" xfId="2876" xr:uid="{00000000-0005-0000-0000-000015070000}"/>
    <cellStyle name="Финансовый 2 2 9 2 8" xfId="4520" xr:uid="{00000000-0005-0000-0000-000016070000}"/>
    <cellStyle name="Финансовый 2 2 9 3" xfId="415" xr:uid="{00000000-0005-0000-0000-000017070000}"/>
    <cellStyle name="Финансовый 2 2 9 3 2" xfId="2194" xr:uid="{00000000-0005-0000-0000-000018070000}"/>
    <cellStyle name="Финансовый 2 2 9 3 2 2" xfId="3839" xr:uid="{00000000-0005-0000-0000-000019070000}"/>
    <cellStyle name="Финансовый 2 2 9 3 2 3" xfId="5622" xr:uid="{00000000-0005-0000-0000-00001A070000}"/>
    <cellStyle name="Финансовый 2 2 9 3 3" xfId="1228" xr:uid="{00000000-0005-0000-0000-00001B070000}"/>
    <cellStyle name="Финансовый 2 2 9 3 4" xfId="835" xr:uid="{00000000-0005-0000-0000-00001C070000}"/>
    <cellStyle name="Финансовый 2 2 9 3 5" xfId="3012" xr:uid="{00000000-0005-0000-0000-00001D070000}"/>
    <cellStyle name="Финансовый 2 2 9 3 6" xfId="4656" xr:uid="{00000000-0005-0000-0000-00001E070000}"/>
    <cellStyle name="Финансовый 2 2 9 4" xfId="1475" xr:uid="{00000000-0005-0000-0000-00001F070000}"/>
    <cellStyle name="Финансовый 2 2 9 4 2" xfId="1938" xr:uid="{00000000-0005-0000-0000-000020070000}"/>
    <cellStyle name="Финансовый 2 2 9 4 2 2" xfId="3583" xr:uid="{00000000-0005-0000-0000-000021070000}"/>
    <cellStyle name="Финансовый 2 2 9 4 2 3" xfId="5366" xr:uid="{00000000-0005-0000-0000-000022070000}"/>
    <cellStyle name="Финансовый 2 2 9 4 3" xfId="4903" xr:uid="{00000000-0005-0000-0000-000023070000}"/>
    <cellStyle name="Финансовый 2 2 9 5" xfId="1814" xr:uid="{00000000-0005-0000-0000-000024070000}"/>
    <cellStyle name="Финансовый 2 2 9 5 2" xfId="3459" xr:uid="{00000000-0005-0000-0000-000025070000}"/>
    <cellStyle name="Финансовый 2 2 9 5 3" xfId="5242" xr:uid="{00000000-0005-0000-0000-000026070000}"/>
    <cellStyle name="Финансовый 2 2 9 6" xfId="2459" xr:uid="{00000000-0005-0000-0000-000027070000}"/>
    <cellStyle name="Финансовый 2 2 9 6 2" xfId="4104" xr:uid="{00000000-0005-0000-0000-000028070000}"/>
    <cellStyle name="Финансовый 2 2 9 6 3" xfId="5887" xr:uid="{00000000-0005-0000-0000-000029070000}"/>
    <cellStyle name="Финансовый 2 2 9 7" xfId="1686" xr:uid="{00000000-0005-0000-0000-00002A070000}"/>
    <cellStyle name="Финансовый 2 2 9 7 2" xfId="3331" xr:uid="{00000000-0005-0000-0000-00002B070000}"/>
    <cellStyle name="Финансовый 2 2 9 7 3" xfId="5114" xr:uid="{00000000-0005-0000-0000-00002C070000}"/>
    <cellStyle name="Финансовый 2 2 9 8" xfId="963" xr:uid="{00000000-0005-0000-0000-00002D070000}"/>
    <cellStyle name="Финансовый 2 2 9 9" xfId="551" xr:uid="{00000000-0005-0000-0000-00002E070000}"/>
    <cellStyle name="Финансовый 2 20" xfId="1559" xr:uid="{00000000-0005-0000-0000-00002F070000}"/>
    <cellStyle name="Финансовый 2 20 2" xfId="3204" xr:uid="{00000000-0005-0000-0000-000030070000}"/>
    <cellStyle name="Финансовый 2 20 3" xfId="4987" xr:uid="{00000000-0005-0000-0000-000031070000}"/>
    <cellStyle name="Финансовый 2 21" xfId="845" xr:uid="{00000000-0005-0000-0000-000032070000}"/>
    <cellStyle name="Финансовый 2 22" xfId="425" xr:uid="{00000000-0005-0000-0000-000033070000}"/>
    <cellStyle name="Финансовый 2 23" xfId="2614" xr:uid="{00000000-0005-0000-0000-000034070000}"/>
    <cellStyle name="Финансовый 2 24" xfId="4257" xr:uid="{00000000-0005-0000-0000-000035070000}"/>
    <cellStyle name="Финансовый 2 3" xfId="6" xr:uid="{00000000-0005-0000-0000-000036070000}"/>
    <cellStyle name="Финансовый 2 3 10" xfId="30" xr:uid="{00000000-0005-0000-0000-000037070000}"/>
    <cellStyle name="Финансовый 2 3 10 10" xfId="2642" xr:uid="{00000000-0005-0000-0000-000038070000}"/>
    <cellStyle name="Финансовый 2 3 10 11" xfId="4285" xr:uid="{00000000-0005-0000-0000-000039070000}"/>
    <cellStyle name="Финансовый 2 3 10 2" xfId="168" xr:uid="{00000000-0005-0000-0000-00003A070000}"/>
    <cellStyle name="Финансовый 2 3 10 2 2" xfId="1266" xr:uid="{00000000-0005-0000-0000-00003B070000}"/>
    <cellStyle name="Финансовый 2 3 10 2 2 2" xfId="2232" xr:uid="{00000000-0005-0000-0000-00003C070000}"/>
    <cellStyle name="Финансовый 2 3 10 2 2 2 2" xfId="3877" xr:uid="{00000000-0005-0000-0000-00003D070000}"/>
    <cellStyle name="Финансовый 2 3 10 2 2 2 3" xfId="5660" xr:uid="{00000000-0005-0000-0000-00003E070000}"/>
    <cellStyle name="Финансовый 2 3 10 2 2 3" xfId="3050" xr:uid="{00000000-0005-0000-0000-00003F070000}"/>
    <cellStyle name="Финансовый 2 3 10 2 2 4" xfId="4694" xr:uid="{00000000-0005-0000-0000-000040070000}"/>
    <cellStyle name="Финансовый 2 3 10 2 3" xfId="1976" xr:uid="{00000000-0005-0000-0000-000041070000}"/>
    <cellStyle name="Финансовый 2 3 10 2 3 2" xfId="3621" xr:uid="{00000000-0005-0000-0000-000042070000}"/>
    <cellStyle name="Финансовый 2 3 10 2 3 3" xfId="5404" xr:uid="{00000000-0005-0000-0000-000043070000}"/>
    <cellStyle name="Финансовый 2 3 10 2 4" xfId="2497" xr:uid="{00000000-0005-0000-0000-000044070000}"/>
    <cellStyle name="Финансовый 2 3 10 2 4 2" xfId="4142" xr:uid="{00000000-0005-0000-0000-000045070000}"/>
    <cellStyle name="Финансовый 2 3 10 2 4 3" xfId="5925" xr:uid="{00000000-0005-0000-0000-000046070000}"/>
    <cellStyle name="Финансовый 2 3 10 2 5" xfId="1001" xr:uid="{00000000-0005-0000-0000-000047070000}"/>
    <cellStyle name="Финансовый 2 3 10 2 6" xfId="589" xr:uid="{00000000-0005-0000-0000-000048070000}"/>
    <cellStyle name="Финансовый 2 3 10 2 7" xfId="2778" xr:uid="{00000000-0005-0000-0000-000049070000}"/>
    <cellStyle name="Финансовый 2 3 10 2 8" xfId="4422" xr:uid="{00000000-0005-0000-0000-00004A070000}"/>
    <cellStyle name="Финансовый 2 3 10 3" xfId="317" xr:uid="{00000000-0005-0000-0000-00004B070000}"/>
    <cellStyle name="Финансовый 2 3 10 3 2" xfId="2104" xr:uid="{00000000-0005-0000-0000-00004C070000}"/>
    <cellStyle name="Финансовый 2 3 10 3 2 2" xfId="3749" xr:uid="{00000000-0005-0000-0000-00004D070000}"/>
    <cellStyle name="Финансовый 2 3 10 3 2 3" xfId="5532" xr:uid="{00000000-0005-0000-0000-00004E070000}"/>
    <cellStyle name="Финансовый 2 3 10 3 3" xfId="1137" xr:uid="{00000000-0005-0000-0000-00004F070000}"/>
    <cellStyle name="Финансовый 2 3 10 3 4" xfId="737" xr:uid="{00000000-0005-0000-0000-000050070000}"/>
    <cellStyle name="Финансовый 2 3 10 3 5" xfId="2914" xr:uid="{00000000-0005-0000-0000-000051070000}"/>
    <cellStyle name="Финансовый 2 3 10 3 6" xfId="4558" xr:uid="{00000000-0005-0000-0000-000052070000}"/>
    <cellStyle name="Финансовый 2 3 10 4" xfId="1479" xr:uid="{00000000-0005-0000-0000-000053070000}"/>
    <cellStyle name="Финансовый 2 3 10 4 2" xfId="1840" xr:uid="{00000000-0005-0000-0000-000054070000}"/>
    <cellStyle name="Финансовый 2 3 10 4 2 2" xfId="3485" xr:uid="{00000000-0005-0000-0000-000055070000}"/>
    <cellStyle name="Финансовый 2 3 10 4 2 3" xfId="5268" xr:uid="{00000000-0005-0000-0000-000056070000}"/>
    <cellStyle name="Финансовый 2 3 10 4 3" xfId="4907" xr:uid="{00000000-0005-0000-0000-000057070000}"/>
    <cellStyle name="Финансовый 2 3 10 5" xfId="1724" xr:uid="{00000000-0005-0000-0000-000058070000}"/>
    <cellStyle name="Финансовый 2 3 10 5 2" xfId="3369" xr:uid="{00000000-0005-0000-0000-000059070000}"/>
    <cellStyle name="Финансовый 2 3 10 5 3" xfId="5152" xr:uid="{00000000-0005-0000-0000-00005A070000}"/>
    <cellStyle name="Финансовый 2 3 10 6" xfId="2360" xr:uid="{00000000-0005-0000-0000-00005B070000}"/>
    <cellStyle name="Финансовый 2 3 10 6 2" xfId="4005" xr:uid="{00000000-0005-0000-0000-00005C070000}"/>
    <cellStyle name="Финансовый 2 3 10 6 3" xfId="5788" xr:uid="{00000000-0005-0000-0000-00005D070000}"/>
    <cellStyle name="Финансовый 2 3 10 7" xfId="1587" xr:uid="{00000000-0005-0000-0000-00005E070000}"/>
    <cellStyle name="Финансовый 2 3 10 7 2" xfId="3232" xr:uid="{00000000-0005-0000-0000-00005F070000}"/>
    <cellStyle name="Финансовый 2 3 10 7 3" xfId="5015" xr:uid="{00000000-0005-0000-0000-000060070000}"/>
    <cellStyle name="Финансовый 2 3 10 8" xfId="873" xr:uid="{00000000-0005-0000-0000-000061070000}"/>
    <cellStyle name="Финансовый 2 3 10 9" xfId="453" xr:uid="{00000000-0005-0000-0000-000062070000}"/>
    <cellStyle name="Финансовый 2 3 11" xfId="18" xr:uid="{00000000-0005-0000-0000-000063070000}"/>
    <cellStyle name="Финансовый 2 3 11 10" xfId="2630" xr:uid="{00000000-0005-0000-0000-000064070000}"/>
    <cellStyle name="Финансовый 2 3 11 11" xfId="4273" xr:uid="{00000000-0005-0000-0000-000065070000}"/>
    <cellStyle name="Финансовый 2 3 11 2" xfId="156" xr:uid="{00000000-0005-0000-0000-000066070000}"/>
    <cellStyle name="Финансовый 2 3 11 2 2" xfId="1254" xr:uid="{00000000-0005-0000-0000-000067070000}"/>
    <cellStyle name="Финансовый 2 3 11 2 2 2" xfId="2220" xr:uid="{00000000-0005-0000-0000-000068070000}"/>
    <cellStyle name="Финансовый 2 3 11 2 2 2 2" xfId="3865" xr:uid="{00000000-0005-0000-0000-000069070000}"/>
    <cellStyle name="Финансовый 2 3 11 2 2 2 3" xfId="5648" xr:uid="{00000000-0005-0000-0000-00006A070000}"/>
    <cellStyle name="Финансовый 2 3 11 2 2 3" xfId="3038" xr:uid="{00000000-0005-0000-0000-00006B070000}"/>
    <cellStyle name="Финансовый 2 3 11 2 2 4" xfId="4682" xr:uid="{00000000-0005-0000-0000-00006C070000}"/>
    <cellStyle name="Финансовый 2 3 11 2 3" xfId="1964" xr:uid="{00000000-0005-0000-0000-00006D070000}"/>
    <cellStyle name="Финансовый 2 3 11 2 3 2" xfId="3609" xr:uid="{00000000-0005-0000-0000-00006E070000}"/>
    <cellStyle name="Финансовый 2 3 11 2 3 3" xfId="5392" xr:uid="{00000000-0005-0000-0000-00006F070000}"/>
    <cellStyle name="Финансовый 2 3 11 2 4" xfId="2485" xr:uid="{00000000-0005-0000-0000-000070070000}"/>
    <cellStyle name="Финансовый 2 3 11 2 4 2" xfId="4130" xr:uid="{00000000-0005-0000-0000-000071070000}"/>
    <cellStyle name="Финансовый 2 3 11 2 4 3" xfId="5913" xr:uid="{00000000-0005-0000-0000-000072070000}"/>
    <cellStyle name="Финансовый 2 3 11 2 5" xfId="989" xr:uid="{00000000-0005-0000-0000-000073070000}"/>
    <cellStyle name="Финансовый 2 3 11 2 6" xfId="577" xr:uid="{00000000-0005-0000-0000-000074070000}"/>
    <cellStyle name="Финансовый 2 3 11 2 7" xfId="2766" xr:uid="{00000000-0005-0000-0000-000075070000}"/>
    <cellStyle name="Финансовый 2 3 11 2 8" xfId="4410" xr:uid="{00000000-0005-0000-0000-000076070000}"/>
    <cellStyle name="Финансовый 2 3 11 3" xfId="305" xr:uid="{00000000-0005-0000-0000-000077070000}"/>
    <cellStyle name="Финансовый 2 3 11 3 2" xfId="2092" xr:uid="{00000000-0005-0000-0000-000078070000}"/>
    <cellStyle name="Финансовый 2 3 11 3 2 2" xfId="3737" xr:uid="{00000000-0005-0000-0000-000079070000}"/>
    <cellStyle name="Финансовый 2 3 11 3 2 3" xfId="5520" xr:uid="{00000000-0005-0000-0000-00007A070000}"/>
    <cellStyle name="Финансовый 2 3 11 3 3" xfId="1125" xr:uid="{00000000-0005-0000-0000-00007B070000}"/>
    <cellStyle name="Финансовый 2 3 11 3 4" xfId="725" xr:uid="{00000000-0005-0000-0000-00007C070000}"/>
    <cellStyle name="Финансовый 2 3 11 3 5" xfId="2902" xr:uid="{00000000-0005-0000-0000-00007D070000}"/>
    <cellStyle name="Финансовый 2 3 11 3 6" xfId="4546" xr:uid="{00000000-0005-0000-0000-00007E070000}"/>
    <cellStyle name="Финансовый 2 3 11 4" xfId="1447" xr:uid="{00000000-0005-0000-0000-00007F070000}"/>
    <cellStyle name="Финансовый 2 3 11 4 2" xfId="1828" xr:uid="{00000000-0005-0000-0000-000080070000}"/>
    <cellStyle name="Финансовый 2 3 11 4 2 2" xfId="3473" xr:uid="{00000000-0005-0000-0000-000081070000}"/>
    <cellStyle name="Финансовый 2 3 11 4 2 3" xfId="5256" xr:uid="{00000000-0005-0000-0000-000082070000}"/>
    <cellStyle name="Финансовый 2 3 11 4 3" xfId="4875" xr:uid="{00000000-0005-0000-0000-000083070000}"/>
    <cellStyle name="Финансовый 2 3 11 5" xfId="1712" xr:uid="{00000000-0005-0000-0000-000084070000}"/>
    <cellStyle name="Финансовый 2 3 11 5 2" xfId="3357" xr:uid="{00000000-0005-0000-0000-000085070000}"/>
    <cellStyle name="Финансовый 2 3 11 5 3" xfId="5140" xr:uid="{00000000-0005-0000-0000-000086070000}"/>
    <cellStyle name="Финансовый 2 3 11 6" xfId="2348" xr:uid="{00000000-0005-0000-0000-000087070000}"/>
    <cellStyle name="Финансовый 2 3 11 6 2" xfId="3993" xr:uid="{00000000-0005-0000-0000-000088070000}"/>
    <cellStyle name="Финансовый 2 3 11 6 3" xfId="5776" xr:uid="{00000000-0005-0000-0000-000089070000}"/>
    <cellStyle name="Финансовый 2 3 11 7" xfId="1575" xr:uid="{00000000-0005-0000-0000-00008A070000}"/>
    <cellStyle name="Финансовый 2 3 11 7 2" xfId="3220" xr:uid="{00000000-0005-0000-0000-00008B070000}"/>
    <cellStyle name="Финансовый 2 3 11 7 3" xfId="5003" xr:uid="{00000000-0005-0000-0000-00008C070000}"/>
    <cellStyle name="Финансовый 2 3 11 8" xfId="861" xr:uid="{00000000-0005-0000-0000-00008D070000}"/>
    <cellStyle name="Финансовый 2 3 11 9" xfId="441" xr:uid="{00000000-0005-0000-0000-00008E070000}"/>
    <cellStyle name="Финансовый 2 3 12" xfId="144" xr:uid="{00000000-0005-0000-0000-00008F070000}"/>
    <cellStyle name="Финансовый 2 3 12 2" xfId="1242" xr:uid="{00000000-0005-0000-0000-000090070000}"/>
    <cellStyle name="Финансовый 2 3 12 2 2" xfId="2208" xr:uid="{00000000-0005-0000-0000-000091070000}"/>
    <cellStyle name="Финансовый 2 3 12 2 2 2" xfId="3853" xr:uid="{00000000-0005-0000-0000-000092070000}"/>
    <cellStyle name="Финансовый 2 3 12 2 2 3" xfId="5636" xr:uid="{00000000-0005-0000-0000-000093070000}"/>
    <cellStyle name="Финансовый 2 3 12 2 3" xfId="3026" xr:uid="{00000000-0005-0000-0000-000094070000}"/>
    <cellStyle name="Финансовый 2 3 12 2 4" xfId="4670" xr:uid="{00000000-0005-0000-0000-000095070000}"/>
    <cellStyle name="Финансовый 2 3 12 3" xfId="1952" xr:uid="{00000000-0005-0000-0000-000096070000}"/>
    <cellStyle name="Финансовый 2 3 12 3 2" xfId="3597" xr:uid="{00000000-0005-0000-0000-000097070000}"/>
    <cellStyle name="Финансовый 2 3 12 3 3" xfId="5380" xr:uid="{00000000-0005-0000-0000-000098070000}"/>
    <cellStyle name="Финансовый 2 3 12 4" xfId="2473" xr:uid="{00000000-0005-0000-0000-000099070000}"/>
    <cellStyle name="Финансовый 2 3 12 4 2" xfId="4118" xr:uid="{00000000-0005-0000-0000-00009A070000}"/>
    <cellStyle name="Финансовый 2 3 12 4 3" xfId="5901" xr:uid="{00000000-0005-0000-0000-00009B070000}"/>
    <cellStyle name="Финансовый 2 3 12 5" xfId="977" xr:uid="{00000000-0005-0000-0000-00009C070000}"/>
    <cellStyle name="Финансовый 2 3 12 6" xfId="565" xr:uid="{00000000-0005-0000-0000-00009D070000}"/>
    <cellStyle name="Финансовый 2 3 12 7" xfId="2754" xr:uid="{00000000-0005-0000-0000-00009E070000}"/>
    <cellStyle name="Финансовый 2 3 12 8" xfId="4398" xr:uid="{00000000-0005-0000-0000-00009F070000}"/>
    <cellStyle name="Финансовый 2 3 13" xfId="280" xr:uid="{00000000-0005-0000-0000-0000A0070000}"/>
    <cellStyle name="Финансовый 2 3 13 2" xfId="2080" xr:uid="{00000000-0005-0000-0000-0000A1070000}"/>
    <cellStyle name="Финансовый 2 3 13 2 2" xfId="3725" xr:uid="{00000000-0005-0000-0000-0000A2070000}"/>
    <cellStyle name="Финансовый 2 3 13 2 3" xfId="5508" xr:uid="{00000000-0005-0000-0000-0000A3070000}"/>
    <cellStyle name="Финансовый 2 3 13 3" xfId="1378" xr:uid="{00000000-0005-0000-0000-0000A4070000}"/>
    <cellStyle name="Финансовый 2 3 13 4" xfId="701" xr:uid="{00000000-0005-0000-0000-0000A5070000}"/>
    <cellStyle name="Финансовый 2 3 13 5" xfId="3162" xr:uid="{00000000-0005-0000-0000-0000A6070000}"/>
    <cellStyle name="Финансовый 2 3 13 6" xfId="4806" xr:uid="{00000000-0005-0000-0000-0000A7070000}"/>
    <cellStyle name="Финансовый 2 3 14" xfId="293" xr:uid="{00000000-0005-0000-0000-0000A8070000}"/>
    <cellStyle name="Финансовый 2 3 14 2" xfId="1113" xr:uid="{00000000-0005-0000-0000-0000A9070000}"/>
    <cellStyle name="Финансовый 2 3 14 3" xfId="713" xr:uid="{00000000-0005-0000-0000-0000AA070000}"/>
    <cellStyle name="Финансовый 2 3 14 4" xfId="2890" xr:uid="{00000000-0005-0000-0000-0000AB070000}"/>
    <cellStyle name="Финансовый 2 3 14 5" xfId="4534" xr:uid="{00000000-0005-0000-0000-0000AC070000}"/>
    <cellStyle name="Финансовый 2 3 15" xfId="1477" xr:uid="{00000000-0005-0000-0000-0000AD070000}"/>
    <cellStyle name="Финансовый 2 3 15 2" xfId="1700" xr:uid="{00000000-0005-0000-0000-0000AE070000}"/>
    <cellStyle name="Финансовый 2 3 15 2 2" xfId="3345" xr:uid="{00000000-0005-0000-0000-0000AF070000}"/>
    <cellStyle name="Финансовый 2 3 15 2 3" xfId="5128" xr:uid="{00000000-0005-0000-0000-0000B0070000}"/>
    <cellStyle name="Финансовый 2 3 15 3" xfId="4905" xr:uid="{00000000-0005-0000-0000-0000B1070000}"/>
    <cellStyle name="Финансовый 2 3 16" xfId="2336" xr:uid="{00000000-0005-0000-0000-0000B2070000}"/>
    <cellStyle name="Финансовый 2 3 16 2" xfId="3981" xr:uid="{00000000-0005-0000-0000-0000B3070000}"/>
    <cellStyle name="Финансовый 2 3 16 3" xfId="5764" xr:uid="{00000000-0005-0000-0000-0000B4070000}"/>
    <cellStyle name="Финансовый 2 3 17" xfId="1563" xr:uid="{00000000-0005-0000-0000-0000B5070000}"/>
    <cellStyle name="Финансовый 2 3 17 2" xfId="3208" xr:uid="{00000000-0005-0000-0000-0000B6070000}"/>
    <cellStyle name="Финансовый 2 3 17 3" xfId="4991" xr:uid="{00000000-0005-0000-0000-0000B7070000}"/>
    <cellStyle name="Финансовый 2 3 18" xfId="849" xr:uid="{00000000-0005-0000-0000-0000B8070000}"/>
    <cellStyle name="Финансовый 2 3 19" xfId="429" xr:uid="{00000000-0005-0000-0000-0000B9070000}"/>
    <cellStyle name="Финансовый 2 3 2" xfId="12" xr:uid="{00000000-0005-0000-0000-0000BA070000}"/>
    <cellStyle name="Финансовый 2 3 2 10" xfId="286" xr:uid="{00000000-0005-0000-0000-0000BB070000}"/>
    <cellStyle name="Финансовый 2 3 2 10 2" xfId="2086" xr:uid="{00000000-0005-0000-0000-0000BC070000}"/>
    <cellStyle name="Финансовый 2 3 2 10 2 2" xfId="3731" xr:uid="{00000000-0005-0000-0000-0000BD070000}"/>
    <cellStyle name="Финансовый 2 3 2 10 2 3" xfId="5514" xr:uid="{00000000-0005-0000-0000-0000BE070000}"/>
    <cellStyle name="Финансовый 2 3 2 10 3" xfId="1384" xr:uid="{00000000-0005-0000-0000-0000BF070000}"/>
    <cellStyle name="Финансовый 2 3 2 10 4" xfId="707" xr:uid="{00000000-0005-0000-0000-0000C0070000}"/>
    <cellStyle name="Финансовый 2 3 2 10 5" xfId="3168" xr:uid="{00000000-0005-0000-0000-0000C1070000}"/>
    <cellStyle name="Финансовый 2 3 2 10 6" xfId="4812" xr:uid="{00000000-0005-0000-0000-0000C2070000}"/>
    <cellStyle name="Финансовый 2 3 2 11" xfId="299" xr:uid="{00000000-0005-0000-0000-0000C3070000}"/>
    <cellStyle name="Финансовый 2 3 2 11 2" xfId="1119" xr:uid="{00000000-0005-0000-0000-0000C4070000}"/>
    <cellStyle name="Финансовый 2 3 2 11 3" xfId="719" xr:uid="{00000000-0005-0000-0000-0000C5070000}"/>
    <cellStyle name="Финансовый 2 3 2 11 4" xfId="2896" xr:uid="{00000000-0005-0000-0000-0000C6070000}"/>
    <cellStyle name="Финансовый 2 3 2 11 5" xfId="4540" xr:uid="{00000000-0005-0000-0000-0000C7070000}"/>
    <cellStyle name="Финансовый 2 3 2 12" xfId="1480" xr:uid="{00000000-0005-0000-0000-0000C8070000}"/>
    <cellStyle name="Финансовый 2 3 2 12 2" xfId="1706" xr:uid="{00000000-0005-0000-0000-0000C9070000}"/>
    <cellStyle name="Финансовый 2 3 2 12 2 2" xfId="3351" xr:uid="{00000000-0005-0000-0000-0000CA070000}"/>
    <cellStyle name="Финансовый 2 3 2 12 2 3" xfId="5134" xr:uid="{00000000-0005-0000-0000-0000CB070000}"/>
    <cellStyle name="Финансовый 2 3 2 12 3" xfId="4908" xr:uid="{00000000-0005-0000-0000-0000CC070000}"/>
    <cellStyle name="Финансовый 2 3 2 13" xfId="2342" xr:uid="{00000000-0005-0000-0000-0000CD070000}"/>
    <cellStyle name="Финансовый 2 3 2 13 2" xfId="3987" xr:uid="{00000000-0005-0000-0000-0000CE070000}"/>
    <cellStyle name="Финансовый 2 3 2 13 3" xfId="5770" xr:uid="{00000000-0005-0000-0000-0000CF070000}"/>
    <cellStyle name="Финансовый 2 3 2 14" xfId="1569" xr:uid="{00000000-0005-0000-0000-0000D0070000}"/>
    <cellStyle name="Финансовый 2 3 2 14 2" xfId="3214" xr:uid="{00000000-0005-0000-0000-0000D1070000}"/>
    <cellStyle name="Финансовый 2 3 2 14 3" xfId="4997" xr:uid="{00000000-0005-0000-0000-0000D2070000}"/>
    <cellStyle name="Финансовый 2 3 2 15" xfId="855" xr:uid="{00000000-0005-0000-0000-0000D3070000}"/>
    <cellStyle name="Финансовый 2 3 2 16" xfId="435" xr:uid="{00000000-0005-0000-0000-0000D4070000}"/>
    <cellStyle name="Финансовый 2 3 2 17" xfId="2624" xr:uid="{00000000-0005-0000-0000-0000D5070000}"/>
    <cellStyle name="Финансовый 2 3 2 18" xfId="4267" xr:uid="{00000000-0005-0000-0000-0000D6070000}"/>
    <cellStyle name="Финансовый 2 3 2 2" xfId="48" xr:uid="{00000000-0005-0000-0000-0000D7070000}"/>
    <cellStyle name="Финансовый 2 3 2 2 10" xfId="471" xr:uid="{00000000-0005-0000-0000-0000D8070000}"/>
    <cellStyle name="Финансовый 2 3 2 2 11" xfId="2660" xr:uid="{00000000-0005-0000-0000-0000D9070000}"/>
    <cellStyle name="Финансовый 2 3 2 2 12" xfId="4303" xr:uid="{00000000-0005-0000-0000-0000DA070000}"/>
    <cellStyle name="Финансовый 2 3 2 2 2" xfId="106" xr:uid="{00000000-0005-0000-0000-0000DB070000}"/>
    <cellStyle name="Финансовый 2 3 2 2 2 10" xfId="2716" xr:uid="{00000000-0005-0000-0000-0000DC070000}"/>
    <cellStyle name="Финансовый 2 3 2 2 2 11" xfId="4360" xr:uid="{00000000-0005-0000-0000-0000DD070000}"/>
    <cellStyle name="Финансовый 2 3 2 2 2 2" xfId="242" xr:uid="{00000000-0005-0000-0000-0000DE070000}"/>
    <cellStyle name="Финансовый 2 3 2 2 2 2 2" xfId="1340" xr:uid="{00000000-0005-0000-0000-0000DF070000}"/>
    <cellStyle name="Финансовый 2 3 2 2 2 2 2 2" xfId="2298" xr:uid="{00000000-0005-0000-0000-0000E0070000}"/>
    <cellStyle name="Финансовый 2 3 2 2 2 2 2 2 2" xfId="3943" xr:uid="{00000000-0005-0000-0000-0000E1070000}"/>
    <cellStyle name="Финансовый 2 3 2 2 2 2 2 2 3" xfId="5726" xr:uid="{00000000-0005-0000-0000-0000E2070000}"/>
    <cellStyle name="Финансовый 2 3 2 2 2 2 2 3" xfId="3124" xr:uid="{00000000-0005-0000-0000-0000E3070000}"/>
    <cellStyle name="Финансовый 2 3 2 2 2 2 2 4" xfId="4768" xr:uid="{00000000-0005-0000-0000-0000E4070000}"/>
    <cellStyle name="Финансовый 2 3 2 2 2 2 3" xfId="2042" xr:uid="{00000000-0005-0000-0000-0000E5070000}"/>
    <cellStyle name="Финансовый 2 3 2 2 2 2 3 2" xfId="3687" xr:uid="{00000000-0005-0000-0000-0000E6070000}"/>
    <cellStyle name="Финансовый 2 3 2 2 2 2 3 3" xfId="5470" xr:uid="{00000000-0005-0000-0000-0000E7070000}"/>
    <cellStyle name="Финансовый 2 3 2 2 2 2 4" xfId="2571" xr:uid="{00000000-0005-0000-0000-0000E8070000}"/>
    <cellStyle name="Финансовый 2 3 2 2 2 2 4 2" xfId="4216" xr:uid="{00000000-0005-0000-0000-0000E9070000}"/>
    <cellStyle name="Финансовый 2 3 2 2 2 2 4 3" xfId="5999" xr:uid="{00000000-0005-0000-0000-0000EA070000}"/>
    <cellStyle name="Финансовый 2 3 2 2 2 2 5" xfId="1075" xr:uid="{00000000-0005-0000-0000-0000EB070000}"/>
    <cellStyle name="Финансовый 2 3 2 2 2 2 6" xfId="663" xr:uid="{00000000-0005-0000-0000-0000EC070000}"/>
    <cellStyle name="Финансовый 2 3 2 2 2 2 7" xfId="2852" xr:uid="{00000000-0005-0000-0000-0000ED070000}"/>
    <cellStyle name="Финансовый 2 3 2 2 2 2 8" xfId="4496" xr:uid="{00000000-0005-0000-0000-0000EE070000}"/>
    <cellStyle name="Финансовый 2 3 2 2 2 3" xfId="391" xr:uid="{00000000-0005-0000-0000-0000EF070000}"/>
    <cellStyle name="Финансовый 2 3 2 2 2 3 2" xfId="2170" xr:uid="{00000000-0005-0000-0000-0000F0070000}"/>
    <cellStyle name="Финансовый 2 3 2 2 2 3 2 2" xfId="3815" xr:uid="{00000000-0005-0000-0000-0000F1070000}"/>
    <cellStyle name="Финансовый 2 3 2 2 2 3 2 3" xfId="5598" xr:uid="{00000000-0005-0000-0000-0000F2070000}"/>
    <cellStyle name="Финансовый 2 3 2 2 2 3 3" xfId="1204" xr:uid="{00000000-0005-0000-0000-0000F3070000}"/>
    <cellStyle name="Финансовый 2 3 2 2 2 3 4" xfId="811" xr:uid="{00000000-0005-0000-0000-0000F4070000}"/>
    <cellStyle name="Финансовый 2 3 2 2 2 3 5" xfId="2988" xr:uid="{00000000-0005-0000-0000-0000F5070000}"/>
    <cellStyle name="Финансовый 2 3 2 2 2 3 6" xfId="4632" xr:uid="{00000000-0005-0000-0000-0000F6070000}"/>
    <cellStyle name="Финансовый 2 3 2 2 2 4" xfId="1482" xr:uid="{00000000-0005-0000-0000-0000F7070000}"/>
    <cellStyle name="Финансовый 2 3 2 2 2 4 2" xfId="1914" xr:uid="{00000000-0005-0000-0000-0000F8070000}"/>
    <cellStyle name="Финансовый 2 3 2 2 2 4 2 2" xfId="3559" xr:uid="{00000000-0005-0000-0000-0000F9070000}"/>
    <cellStyle name="Финансовый 2 3 2 2 2 4 2 3" xfId="5342" xr:uid="{00000000-0005-0000-0000-0000FA070000}"/>
    <cellStyle name="Финансовый 2 3 2 2 2 4 3" xfId="4910" xr:uid="{00000000-0005-0000-0000-0000FB070000}"/>
    <cellStyle name="Финансовый 2 3 2 2 2 5" xfId="1790" xr:uid="{00000000-0005-0000-0000-0000FC070000}"/>
    <cellStyle name="Финансовый 2 3 2 2 2 5 2" xfId="3435" xr:uid="{00000000-0005-0000-0000-0000FD070000}"/>
    <cellStyle name="Финансовый 2 3 2 2 2 5 3" xfId="5218" xr:uid="{00000000-0005-0000-0000-0000FE070000}"/>
    <cellStyle name="Финансовый 2 3 2 2 2 6" xfId="2435" xr:uid="{00000000-0005-0000-0000-0000FF070000}"/>
    <cellStyle name="Финансовый 2 3 2 2 2 6 2" xfId="4080" xr:uid="{00000000-0005-0000-0000-000000080000}"/>
    <cellStyle name="Финансовый 2 3 2 2 2 6 3" xfId="5863" xr:uid="{00000000-0005-0000-0000-000001080000}"/>
    <cellStyle name="Финансовый 2 3 2 2 2 7" xfId="1662" xr:uid="{00000000-0005-0000-0000-000002080000}"/>
    <cellStyle name="Финансовый 2 3 2 2 2 7 2" xfId="3307" xr:uid="{00000000-0005-0000-0000-000003080000}"/>
    <cellStyle name="Финансовый 2 3 2 2 2 7 3" xfId="5090" xr:uid="{00000000-0005-0000-0000-000004080000}"/>
    <cellStyle name="Финансовый 2 3 2 2 2 8" xfId="939" xr:uid="{00000000-0005-0000-0000-000005080000}"/>
    <cellStyle name="Финансовый 2 3 2 2 2 9" xfId="527" xr:uid="{00000000-0005-0000-0000-000006080000}"/>
    <cellStyle name="Финансовый 2 3 2 2 3" xfId="186" xr:uid="{00000000-0005-0000-0000-000007080000}"/>
    <cellStyle name="Финансовый 2 3 2 2 3 2" xfId="1284" xr:uid="{00000000-0005-0000-0000-000008080000}"/>
    <cellStyle name="Финансовый 2 3 2 2 3 2 2" xfId="2250" xr:uid="{00000000-0005-0000-0000-000009080000}"/>
    <cellStyle name="Финансовый 2 3 2 2 3 2 2 2" xfId="3895" xr:uid="{00000000-0005-0000-0000-00000A080000}"/>
    <cellStyle name="Финансовый 2 3 2 2 3 2 2 3" xfId="5678" xr:uid="{00000000-0005-0000-0000-00000B080000}"/>
    <cellStyle name="Финансовый 2 3 2 2 3 2 3" xfId="3068" xr:uid="{00000000-0005-0000-0000-00000C080000}"/>
    <cellStyle name="Финансовый 2 3 2 2 3 2 4" xfId="4712" xr:uid="{00000000-0005-0000-0000-00000D080000}"/>
    <cellStyle name="Финансовый 2 3 2 2 3 3" xfId="1994" xr:uid="{00000000-0005-0000-0000-00000E080000}"/>
    <cellStyle name="Финансовый 2 3 2 2 3 3 2" xfId="3639" xr:uid="{00000000-0005-0000-0000-00000F080000}"/>
    <cellStyle name="Финансовый 2 3 2 2 3 3 3" xfId="5422" xr:uid="{00000000-0005-0000-0000-000010080000}"/>
    <cellStyle name="Финансовый 2 3 2 2 3 4" xfId="2515" xr:uid="{00000000-0005-0000-0000-000011080000}"/>
    <cellStyle name="Финансовый 2 3 2 2 3 4 2" xfId="4160" xr:uid="{00000000-0005-0000-0000-000012080000}"/>
    <cellStyle name="Финансовый 2 3 2 2 3 4 3" xfId="5943" xr:uid="{00000000-0005-0000-0000-000013080000}"/>
    <cellStyle name="Финансовый 2 3 2 2 3 5" xfId="1019" xr:uid="{00000000-0005-0000-0000-000014080000}"/>
    <cellStyle name="Финансовый 2 3 2 2 3 6" xfId="607" xr:uid="{00000000-0005-0000-0000-000015080000}"/>
    <cellStyle name="Финансовый 2 3 2 2 3 7" xfId="2796" xr:uid="{00000000-0005-0000-0000-000016080000}"/>
    <cellStyle name="Финансовый 2 3 2 2 3 8" xfId="4440" xr:uid="{00000000-0005-0000-0000-000017080000}"/>
    <cellStyle name="Финансовый 2 3 2 2 4" xfId="335" xr:uid="{00000000-0005-0000-0000-000018080000}"/>
    <cellStyle name="Финансовый 2 3 2 2 4 2" xfId="2122" xr:uid="{00000000-0005-0000-0000-000019080000}"/>
    <cellStyle name="Финансовый 2 3 2 2 4 2 2" xfId="3767" xr:uid="{00000000-0005-0000-0000-00001A080000}"/>
    <cellStyle name="Финансовый 2 3 2 2 4 2 3" xfId="5550" xr:uid="{00000000-0005-0000-0000-00001B080000}"/>
    <cellStyle name="Финансовый 2 3 2 2 4 3" xfId="1155" xr:uid="{00000000-0005-0000-0000-00001C080000}"/>
    <cellStyle name="Финансовый 2 3 2 2 4 4" xfId="755" xr:uid="{00000000-0005-0000-0000-00001D080000}"/>
    <cellStyle name="Финансовый 2 3 2 2 4 5" xfId="2932" xr:uid="{00000000-0005-0000-0000-00001E080000}"/>
    <cellStyle name="Финансовый 2 3 2 2 4 6" xfId="4576" xr:uid="{00000000-0005-0000-0000-00001F080000}"/>
    <cellStyle name="Финансовый 2 3 2 2 5" xfId="1481" xr:uid="{00000000-0005-0000-0000-000020080000}"/>
    <cellStyle name="Финансовый 2 3 2 2 5 2" xfId="1858" xr:uid="{00000000-0005-0000-0000-000021080000}"/>
    <cellStyle name="Финансовый 2 3 2 2 5 2 2" xfId="3503" xr:uid="{00000000-0005-0000-0000-000022080000}"/>
    <cellStyle name="Финансовый 2 3 2 2 5 2 3" xfId="5286" xr:uid="{00000000-0005-0000-0000-000023080000}"/>
    <cellStyle name="Финансовый 2 3 2 2 5 3" xfId="4909" xr:uid="{00000000-0005-0000-0000-000024080000}"/>
    <cellStyle name="Финансовый 2 3 2 2 6" xfId="1742" xr:uid="{00000000-0005-0000-0000-000025080000}"/>
    <cellStyle name="Финансовый 2 3 2 2 6 2" xfId="3387" xr:uid="{00000000-0005-0000-0000-000026080000}"/>
    <cellStyle name="Финансовый 2 3 2 2 6 3" xfId="5170" xr:uid="{00000000-0005-0000-0000-000027080000}"/>
    <cellStyle name="Финансовый 2 3 2 2 7" xfId="2378" xr:uid="{00000000-0005-0000-0000-000028080000}"/>
    <cellStyle name="Финансовый 2 3 2 2 7 2" xfId="4023" xr:uid="{00000000-0005-0000-0000-000029080000}"/>
    <cellStyle name="Финансовый 2 3 2 2 7 3" xfId="5806" xr:uid="{00000000-0005-0000-0000-00002A080000}"/>
    <cellStyle name="Финансовый 2 3 2 2 8" xfId="1605" xr:uid="{00000000-0005-0000-0000-00002B080000}"/>
    <cellStyle name="Финансовый 2 3 2 2 8 2" xfId="3250" xr:uid="{00000000-0005-0000-0000-00002C080000}"/>
    <cellStyle name="Финансовый 2 3 2 2 8 3" xfId="5033" xr:uid="{00000000-0005-0000-0000-00002D080000}"/>
    <cellStyle name="Финансовый 2 3 2 2 9" xfId="891" xr:uid="{00000000-0005-0000-0000-00002E080000}"/>
    <cellStyle name="Финансовый 2 3 2 3" xfId="118" xr:uid="{00000000-0005-0000-0000-00002F080000}"/>
    <cellStyle name="Финансовый 2 3 2 3 10" xfId="2728" xr:uid="{00000000-0005-0000-0000-000030080000}"/>
    <cellStyle name="Финансовый 2 3 2 3 11" xfId="4372" xr:uid="{00000000-0005-0000-0000-000031080000}"/>
    <cellStyle name="Финансовый 2 3 2 3 2" xfId="254" xr:uid="{00000000-0005-0000-0000-000032080000}"/>
    <cellStyle name="Финансовый 2 3 2 3 2 2" xfId="1352" xr:uid="{00000000-0005-0000-0000-000033080000}"/>
    <cellStyle name="Финансовый 2 3 2 3 2 2 2" xfId="2310" xr:uid="{00000000-0005-0000-0000-000034080000}"/>
    <cellStyle name="Финансовый 2 3 2 3 2 2 2 2" xfId="3955" xr:uid="{00000000-0005-0000-0000-000035080000}"/>
    <cellStyle name="Финансовый 2 3 2 3 2 2 2 3" xfId="5738" xr:uid="{00000000-0005-0000-0000-000036080000}"/>
    <cellStyle name="Финансовый 2 3 2 3 2 2 3" xfId="3136" xr:uid="{00000000-0005-0000-0000-000037080000}"/>
    <cellStyle name="Финансовый 2 3 2 3 2 2 4" xfId="4780" xr:uid="{00000000-0005-0000-0000-000038080000}"/>
    <cellStyle name="Финансовый 2 3 2 3 2 3" xfId="2054" xr:uid="{00000000-0005-0000-0000-000039080000}"/>
    <cellStyle name="Финансовый 2 3 2 3 2 3 2" xfId="3699" xr:uid="{00000000-0005-0000-0000-00003A080000}"/>
    <cellStyle name="Финансовый 2 3 2 3 2 3 3" xfId="5482" xr:uid="{00000000-0005-0000-0000-00003B080000}"/>
    <cellStyle name="Финансовый 2 3 2 3 2 4" xfId="2583" xr:uid="{00000000-0005-0000-0000-00003C080000}"/>
    <cellStyle name="Финансовый 2 3 2 3 2 4 2" xfId="4228" xr:uid="{00000000-0005-0000-0000-00003D080000}"/>
    <cellStyle name="Финансовый 2 3 2 3 2 4 3" xfId="6011" xr:uid="{00000000-0005-0000-0000-00003E080000}"/>
    <cellStyle name="Финансовый 2 3 2 3 2 5" xfId="1087" xr:uid="{00000000-0005-0000-0000-00003F080000}"/>
    <cellStyle name="Финансовый 2 3 2 3 2 6" xfId="675" xr:uid="{00000000-0005-0000-0000-000040080000}"/>
    <cellStyle name="Финансовый 2 3 2 3 2 7" xfId="2864" xr:uid="{00000000-0005-0000-0000-000041080000}"/>
    <cellStyle name="Финансовый 2 3 2 3 2 8" xfId="4508" xr:uid="{00000000-0005-0000-0000-000042080000}"/>
    <cellStyle name="Финансовый 2 3 2 3 3" xfId="403" xr:uid="{00000000-0005-0000-0000-000043080000}"/>
    <cellStyle name="Финансовый 2 3 2 3 3 2" xfId="2182" xr:uid="{00000000-0005-0000-0000-000044080000}"/>
    <cellStyle name="Финансовый 2 3 2 3 3 2 2" xfId="3827" xr:uid="{00000000-0005-0000-0000-000045080000}"/>
    <cellStyle name="Финансовый 2 3 2 3 3 2 3" xfId="5610" xr:uid="{00000000-0005-0000-0000-000046080000}"/>
    <cellStyle name="Финансовый 2 3 2 3 3 3" xfId="1216" xr:uid="{00000000-0005-0000-0000-000047080000}"/>
    <cellStyle name="Финансовый 2 3 2 3 3 4" xfId="823" xr:uid="{00000000-0005-0000-0000-000048080000}"/>
    <cellStyle name="Финансовый 2 3 2 3 3 5" xfId="3000" xr:uid="{00000000-0005-0000-0000-000049080000}"/>
    <cellStyle name="Финансовый 2 3 2 3 3 6" xfId="4644" xr:uid="{00000000-0005-0000-0000-00004A080000}"/>
    <cellStyle name="Финансовый 2 3 2 3 4" xfId="1483" xr:uid="{00000000-0005-0000-0000-00004B080000}"/>
    <cellStyle name="Финансовый 2 3 2 3 4 2" xfId="1926" xr:uid="{00000000-0005-0000-0000-00004C080000}"/>
    <cellStyle name="Финансовый 2 3 2 3 4 2 2" xfId="3571" xr:uid="{00000000-0005-0000-0000-00004D080000}"/>
    <cellStyle name="Финансовый 2 3 2 3 4 2 3" xfId="5354" xr:uid="{00000000-0005-0000-0000-00004E080000}"/>
    <cellStyle name="Финансовый 2 3 2 3 4 3" xfId="4911" xr:uid="{00000000-0005-0000-0000-00004F080000}"/>
    <cellStyle name="Финансовый 2 3 2 3 5" xfId="1802" xr:uid="{00000000-0005-0000-0000-000050080000}"/>
    <cellStyle name="Финансовый 2 3 2 3 5 2" xfId="3447" xr:uid="{00000000-0005-0000-0000-000051080000}"/>
    <cellStyle name="Финансовый 2 3 2 3 5 3" xfId="5230" xr:uid="{00000000-0005-0000-0000-000052080000}"/>
    <cellStyle name="Финансовый 2 3 2 3 6" xfId="2447" xr:uid="{00000000-0005-0000-0000-000053080000}"/>
    <cellStyle name="Финансовый 2 3 2 3 6 2" xfId="4092" xr:uid="{00000000-0005-0000-0000-000054080000}"/>
    <cellStyle name="Финансовый 2 3 2 3 6 3" xfId="5875" xr:uid="{00000000-0005-0000-0000-000055080000}"/>
    <cellStyle name="Финансовый 2 3 2 3 7" xfId="1674" xr:uid="{00000000-0005-0000-0000-000056080000}"/>
    <cellStyle name="Финансовый 2 3 2 3 7 2" xfId="3319" xr:uid="{00000000-0005-0000-0000-000057080000}"/>
    <cellStyle name="Финансовый 2 3 2 3 7 3" xfId="5102" xr:uid="{00000000-0005-0000-0000-000058080000}"/>
    <cellStyle name="Финансовый 2 3 2 3 8" xfId="951" xr:uid="{00000000-0005-0000-0000-000059080000}"/>
    <cellStyle name="Финансовый 2 3 2 3 9" xfId="539" xr:uid="{00000000-0005-0000-0000-00005A080000}"/>
    <cellStyle name="Финансовый 2 3 2 4" xfId="82" xr:uid="{00000000-0005-0000-0000-00005B080000}"/>
    <cellStyle name="Финансовый 2 3 2 4 10" xfId="2692" xr:uid="{00000000-0005-0000-0000-00005C080000}"/>
    <cellStyle name="Финансовый 2 3 2 4 11" xfId="4336" xr:uid="{00000000-0005-0000-0000-00005D080000}"/>
    <cellStyle name="Финансовый 2 3 2 4 2" xfId="218" xr:uid="{00000000-0005-0000-0000-00005E080000}"/>
    <cellStyle name="Финансовый 2 3 2 4 2 2" xfId="1316" xr:uid="{00000000-0005-0000-0000-00005F080000}"/>
    <cellStyle name="Финансовый 2 3 2 4 2 2 2" xfId="2274" xr:uid="{00000000-0005-0000-0000-000060080000}"/>
    <cellStyle name="Финансовый 2 3 2 4 2 2 2 2" xfId="3919" xr:uid="{00000000-0005-0000-0000-000061080000}"/>
    <cellStyle name="Финансовый 2 3 2 4 2 2 2 3" xfId="5702" xr:uid="{00000000-0005-0000-0000-000062080000}"/>
    <cellStyle name="Финансовый 2 3 2 4 2 2 3" xfId="3100" xr:uid="{00000000-0005-0000-0000-000063080000}"/>
    <cellStyle name="Финансовый 2 3 2 4 2 2 4" xfId="4744" xr:uid="{00000000-0005-0000-0000-000064080000}"/>
    <cellStyle name="Финансовый 2 3 2 4 2 3" xfId="2018" xr:uid="{00000000-0005-0000-0000-000065080000}"/>
    <cellStyle name="Финансовый 2 3 2 4 2 3 2" xfId="3663" xr:uid="{00000000-0005-0000-0000-000066080000}"/>
    <cellStyle name="Финансовый 2 3 2 4 2 3 3" xfId="5446" xr:uid="{00000000-0005-0000-0000-000067080000}"/>
    <cellStyle name="Финансовый 2 3 2 4 2 4" xfId="2547" xr:uid="{00000000-0005-0000-0000-000068080000}"/>
    <cellStyle name="Финансовый 2 3 2 4 2 4 2" xfId="4192" xr:uid="{00000000-0005-0000-0000-000069080000}"/>
    <cellStyle name="Финансовый 2 3 2 4 2 4 3" xfId="5975" xr:uid="{00000000-0005-0000-0000-00006A080000}"/>
    <cellStyle name="Финансовый 2 3 2 4 2 5" xfId="1051" xr:uid="{00000000-0005-0000-0000-00006B080000}"/>
    <cellStyle name="Финансовый 2 3 2 4 2 6" xfId="639" xr:uid="{00000000-0005-0000-0000-00006C080000}"/>
    <cellStyle name="Финансовый 2 3 2 4 2 7" xfId="2828" xr:uid="{00000000-0005-0000-0000-00006D080000}"/>
    <cellStyle name="Финансовый 2 3 2 4 2 8" xfId="4472" xr:uid="{00000000-0005-0000-0000-00006E080000}"/>
    <cellStyle name="Финансовый 2 3 2 4 3" xfId="367" xr:uid="{00000000-0005-0000-0000-00006F080000}"/>
    <cellStyle name="Финансовый 2 3 2 4 3 2" xfId="2146" xr:uid="{00000000-0005-0000-0000-000070080000}"/>
    <cellStyle name="Финансовый 2 3 2 4 3 2 2" xfId="3791" xr:uid="{00000000-0005-0000-0000-000071080000}"/>
    <cellStyle name="Финансовый 2 3 2 4 3 2 3" xfId="5574" xr:uid="{00000000-0005-0000-0000-000072080000}"/>
    <cellStyle name="Финансовый 2 3 2 4 3 3" xfId="1180" xr:uid="{00000000-0005-0000-0000-000073080000}"/>
    <cellStyle name="Финансовый 2 3 2 4 3 4" xfId="787" xr:uid="{00000000-0005-0000-0000-000074080000}"/>
    <cellStyle name="Финансовый 2 3 2 4 3 5" xfId="2964" xr:uid="{00000000-0005-0000-0000-000075080000}"/>
    <cellStyle name="Финансовый 2 3 2 4 3 6" xfId="4608" xr:uid="{00000000-0005-0000-0000-000076080000}"/>
    <cellStyle name="Финансовый 2 3 2 4 4" xfId="1484" xr:uid="{00000000-0005-0000-0000-000077080000}"/>
    <cellStyle name="Финансовый 2 3 2 4 4 2" xfId="1890" xr:uid="{00000000-0005-0000-0000-000078080000}"/>
    <cellStyle name="Финансовый 2 3 2 4 4 2 2" xfId="3535" xr:uid="{00000000-0005-0000-0000-000079080000}"/>
    <cellStyle name="Финансовый 2 3 2 4 4 2 3" xfId="5318" xr:uid="{00000000-0005-0000-0000-00007A080000}"/>
    <cellStyle name="Финансовый 2 3 2 4 4 3" xfId="4912" xr:uid="{00000000-0005-0000-0000-00007B080000}"/>
    <cellStyle name="Финансовый 2 3 2 4 5" xfId="1766" xr:uid="{00000000-0005-0000-0000-00007C080000}"/>
    <cellStyle name="Финансовый 2 3 2 4 5 2" xfId="3411" xr:uid="{00000000-0005-0000-0000-00007D080000}"/>
    <cellStyle name="Финансовый 2 3 2 4 5 3" xfId="5194" xr:uid="{00000000-0005-0000-0000-00007E080000}"/>
    <cellStyle name="Финансовый 2 3 2 4 6" xfId="2411" xr:uid="{00000000-0005-0000-0000-00007F080000}"/>
    <cellStyle name="Финансовый 2 3 2 4 6 2" xfId="4056" xr:uid="{00000000-0005-0000-0000-000080080000}"/>
    <cellStyle name="Финансовый 2 3 2 4 6 3" xfId="5839" xr:uid="{00000000-0005-0000-0000-000081080000}"/>
    <cellStyle name="Финансовый 2 3 2 4 7" xfId="1638" xr:uid="{00000000-0005-0000-0000-000082080000}"/>
    <cellStyle name="Финансовый 2 3 2 4 7 2" xfId="3283" xr:uid="{00000000-0005-0000-0000-000083080000}"/>
    <cellStyle name="Финансовый 2 3 2 4 7 3" xfId="5066" xr:uid="{00000000-0005-0000-0000-000084080000}"/>
    <cellStyle name="Финансовый 2 3 2 4 8" xfId="915" xr:uid="{00000000-0005-0000-0000-000085080000}"/>
    <cellStyle name="Финансовый 2 3 2 4 9" xfId="503" xr:uid="{00000000-0005-0000-0000-000086080000}"/>
    <cellStyle name="Финансовый 2 3 2 5" xfId="60" xr:uid="{00000000-0005-0000-0000-000087080000}"/>
    <cellStyle name="Финансовый 2 3 2 5 10" xfId="2672" xr:uid="{00000000-0005-0000-0000-000088080000}"/>
    <cellStyle name="Финансовый 2 3 2 5 11" xfId="4315" xr:uid="{00000000-0005-0000-0000-000089080000}"/>
    <cellStyle name="Финансовый 2 3 2 5 2" xfId="198" xr:uid="{00000000-0005-0000-0000-00008A080000}"/>
    <cellStyle name="Финансовый 2 3 2 5 2 2" xfId="1296" xr:uid="{00000000-0005-0000-0000-00008B080000}"/>
    <cellStyle name="Финансовый 2 3 2 5 2 2 2" xfId="2262" xr:uid="{00000000-0005-0000-0000-00008C080000}"/>
    <cellStyle name="Финансовый 2 3 2 5 2 2 2 2" xfId="3907" xr:uid="{00000000-0005-0000-0000-00008D080000}"/>
    <cellStyle name="Финансовый 2 3 2 5 2 2 2 3" xfId="5690" xr:uid="{00000000-0005-0000-0000-00008E080000}"/>
    <cellStyle name="Финансовый 2 3 2 5 2 2 3" xfId="3080" xr:uid="{00000000-0005-0000-0000-00008F080000}"/>
    <cellStyle name="Финансовый 2 3 2 5 2 2 4" xfId="4724" xr:uid="{00000000-0005-0000-0000-000090080000}"/>
    <cellStyle name="Финансовый 2 3 2 5 2 3" xfId="2006" xr:uid="{00000000-0005-0000-0000-000091080000}"/>
    <cellStyle name="Финансовый 2 3 2 5 2 3 2" xfId="3651" xr:uid="{00000000-0005-0000-0000-000092080000}"/>
    <cellStyle name="Финансовый 2 3 2 5 2 3 3" xfId="5434" xr:uid="{00000000-0005-0000-0000-000093080000}"/>
    <cellStyle name="Финансовый 2 3 2 5 2 4" xfId="2527" xr:uid="{00000000-0005-0000-0000-000094080000}"/>
    <cellStyle name="Финансовый 2 3 2 5 2 4 2" xfId="4172" xr:uid="{00000000-0005-0000-0000-000095080000}"/>
    <cellStyle name="Финансовый 2 3 2 5 2 4 3" xfId="5955" xr:uid="{00000000-0005-0000-0000-000096080000}"/>
    <cellStyle name="Финансовый 2 3 2 5 2 5" xfId="1031" xr:uid="{00000000-0005-0000-0000-000097080000}"/>
    <cellStyle name="Финансовый 2 3 2 5 2 6" xfId="619" xr:uid="{00000000-0005-0000-0000-000098080000}"/>
    <cellStyle name="Финансовый 2 3 2 5 2 7" xfId="2808" xr:uid="{00000000-0005-0000-0000-000099080000}"/>
    <cellStyle name="Финансовый 2 3 2 5 2 8" xfId="4452" xr:uid="{00000000-0005-0000-0000-00009A080000}"/>
    <cellStyle name="Финансовый 2 3 2 5 3" xfId="347" xr:uid="{00000000-0005-0000-0000-00009B080000}"/>
    <cellStyle name="Финансовый 2 3 2 5 3 2" xfId="2134" xr:uid="{00000000-0005-0000-0000-00009C080000}"/>
    <cellStyle name="Финансовый 2 3 2 5 3 2 2" xfId="3779" xr:uid="{00000000-0005-0000-0000-00009D080000}"/>
    <cellStyle name="Финансовый 2 3 2 5 3 2 3" xfId="5562" xr:uid="{00000000-0005-0000-0000-00009E080000}"/>
    <cellStyle name="Финансовый 2 3 2 5 3 3" xfId="1167" xr:uid="{00000000-0005-0000-0000-00009F080000}"/>
    <cellStyle name="Финансовый 2 3 2 5 3 4" xfId="767" xr:uid="{00000000-0005-0000-0000-0000A0080000}"/>
    <cellStyle name="Финансовый 2 3 2 5 3 5" xfId="2944" xr:uid="{00000000-0005-0000-0000-0000A1080000}"/>
    <cellStyle name="Финансовый 2 3 2 5 3 6" xfId="4588" xr:uid="{00000000-0005-0000-0000-0000A2080000}"/>
    <cellStyle name="Финансовый 2 3 2 5 4" xfId="1485" xr:uid="{00000000-0005-0000-0000-0000A3080000}"/>
    <cellStyle name="Финансовый 2 3 2 5 4 2" xfId="1870" xr:uid="{00000000-0005-0000-0000-0000A4080000}"/>
    <cellStyle name="Финансовый 2 3 2 5 4 2 2" xfId="3515" xr:uid="{00000000-0005-0000-0000-0000A5080000}"/>
    <cellStyle name="Финансовый 2 3 2 5 4 2 3" xfId="5298" xr:uid="{00000000-0005-0000-0000-0000A6080000}"/>
    <cellStyle name="Финансовый 2 3 2 5 4 3" xfId="4913" xr:uid="{00000000-0005-0000-0000-0000A7080000}"/>
    <cellStyle name="Финансовый 2 3 2 5 5" xfId="1754" xr:uid="{00000000-0005-0000-0000-0000A8080000}"/>
    <cellStyle name="Финансовый 2 3 2 5 5 2" xfId="3399" xr:uid="{00000000-0005-0000-0000-0000A9080000}"/>
    <cellStyle name="Финансовый 2 3 2 5 5 3" xfId="5182" xr:uid="{00000000-0005-0000-0000-0000AA080000}"/>
    <cellStyle name="Финансовый 2 3 2 5 6" xfId="2390" xr:uid="{00000000-0005-0000-0000-0000AB080000}"/>
    <cellStyle name="Финансовый 2 3 2 5 6 2" xfId="4035" xr:uid="{00000000-0005-0000-0000-0000AC080000}"/>
    <cellStyle name="Финансовый 2 3 2 5 6 3" xfId="5818" xr:uid="{00000000-0005-0000-0000-0000AD080000}"/>
    <cellStyle name="Финансовый 2 3 2 5 7" xfId="1617" xr:uid="{00000000-0005-0000-0000-0000AE080000}"/>
    <cellStyle name="Финансовый 2 3 2 5 7 2" xfId="3262" xr:uid="{00000000-0005-0000-0000-0000AF080000}"/>
    <cellStyle name="Финансовый 2 3 2 5 7 3" xfId="5045" xr:uid="{00000000-0005-0000-0000-0000B0080000}"/>
    <cellStyle name="Финансовый 2 3 2 5 8" xfId="903" xr:uid="{00000000-0005-0000-0000-0000B1080000}"/>
    <cellStyle name="Финансовый 2 3 2 5 9" xfId="483" xr:uid="{00000000-0005-0000-0000-0000B2080000}"/>
    <cellStyle name="Финансовый 2 3 2 6" xfId="138" xr:uid="{00000000-0005-0000-0000-0000B3080000}"/>
    <cellStyle name="Финансовый 2 3 2 6 10" xfId="2748" xr:uid="{00000000-0005-0000-0000-0000B4080000}"/>
    <cellStyle name="Финансовый 2 3 2 6 11" xfId="4392" xr:uid="{00000000-0005-0000-0000-0000B5080000}"/>
    <cellStyle name="Финансовый 2 3 2 6 2" xfId="274" xr:uid="{00000000-0005-0000-0000-0000B6080000}"/>
    <cellStyle name="Финансовый 2 3 2 6 2 2" xfId="1372" xr:uid="{00000000-0005-0000-0000-0000B7080000}"/>
    <cellStyle name="Финансовый 2 3 2 6 2 2 2" xfId="2330" xr:uid="{00000000-0005-0000-0000-0000B8080000}"/>
    <cellStyle name="Финансовый 2 3 2 6 2 2 2 2" xfId="3975" xr:uid="{00000000-0005-0000-0000-0000B9080000}"/>
    <cellStyle name="Финансовый 2 3 2 6 2 2 2 3" xfId="5758" xr:uid="{00000000-0005-0000-0000-0000BA080000}"/>
    <cellStyle name="Финансовый 2 3 2 6 2 2 3" xfId="3156" xr:uid="{00000000-0005-0000-0000-0000BB080000}"/>
    <cellStyle name="Финансовый 2 3 2 6 2 2 4" xfId="4800" xr:uid="{00000000-0005-0000-0000-0000BC080000}"/>
    <cellStyle name="Финансовый 2 3 2 6 2 3" xfId="2074" xr:uid="{00000000-0005-0000-0000-0000BD080000}"/>
    <cellStyle name="Финансовый 2 3 2 6 2 3 2" xfId="3719" xr:uid="{00000000-0005-0000-0000-0000BE080000}"/>
    <cellStyle name="Финансовый 2 3 2 6 2 3 3" xfId="5502" xr:uid="{00000000-0005-0000-0000-0000BF080000}"/>
    <cellStyle name="Финансовый 2 3 2 6 2 4" xfId="2603" xr:uid="{00000000-0005-0000-0000-0000C0080000}"/>
    <cellStyle name="Финансовый 2 3 2 6 2 4 2" xfId="4248" xr:uid="{00000000-0005-0000-0000-0000C1080000}"/>
    <cellStyle name="Финансовый 2 3 2 6 2 4 3" xfId="6031" xr:uid="{00000000-0005-0000-0000-0000C2080000}"/>
    <cellStyle name="Финансовый 2 3 2 6 2 5" xfId="1107" xr:uid="{00000000-0005-0000-0000-0000C3080000}"/>
    <cellStyle name="Финансовый 2 3 2 6 2 6" xfId="695" xr:uid="{00000000-0005-0000-0000-0000C4080000}"/>
    <cellStyle name="Финансовый 2 3 2 6 2 7" xfId="2884" xr:uid="{00000000-0005-0000-0000-0000C5080000}"/>
    <cellStyle name="Финансовый 2 3 2 6 2 8" xfId="4528" xr:uid="{00000000-0005-0000-0000-0000C6080000}"/>
    <cellStyle name="Финансовый 2 3 2 6 3" xfId="423" xr:uid="{00000000-0005-0000-0000-0000C7080000}"/>
    <cellStyle name="Финансовый 2 3 2 6 3 2" xfId="2202" xr:uid="{00000000-0005-0000-0000-0000C8080000}"/>
    <cellStyle name="Финансовый 2 3 2 6 3 2 2" xfId="3847" xr:uid="{00000000-0005-0000-0000-0000C9080000}"/>
    <cellStyle name="Финансовый 2 3 2 6 3 2 3" xfId="5630" xr:uid="{00000000-0005-0000-0000-0000CA080000}"/>
    <cellStyle name="Финансовый 2 3 2 6 3 3" xfId="1236" xr:uid="{00000000-0005-0000-0000-0000CB080000}"/>
    <cellStyle name="Финансовый 2 3 2 6 3 4" xfId="843" xr:uid="{00000000-0005-0000-0000-0000CC080000}"/>
    <cellStyle name="Финансовый 2 3 2 6 3 5" xfId="3020" xr:uid="{00000000-0005-0000-0000-0000CD080000}"/>
    <cellStyle name="Финансовый 2 3 2 6 3 6" xfId="4664" xr:uid="{00000000-0005-0000-0000-0000CE080000}"/>
    <cellStyle name="Финансовый 2 3 2 6 4" xfId="1486" xr:uid="{00000000-0005-0000-0000-0000CF080000}"/>
    <cellStyle name="Финансовый 2 3 2 6 4 2" xfId="1946" xr:uid="{00000000-0005-0000-0000-0000D0080000}"/>
    <cellStyle name="Финансовый 2 3 2 6 4 2 2" xfId="3591" xr:uid="{00000000-0005-0000-0000-0000D1080000}"/>
    <cellStyle name="Финансовый 2 3 2 6 4 2 3" xfId="5374" xr:uid="{00000000-0005-0000-0000-0000D2080000}"/>
    <cellStyle name="Финансовый 2 3 2 6 4 3" xfId="4914" xr:uid="{00000000-0005-0000-0000-0000D3080000}"/>
    <cellStyle name="Финансовый 2 3 2 6 5" xfId="1822" xr:uid="{00000000-0005-0000-0000-0000D4080000}"/>
    <cellStyle name="Финансовый 2 3 2 6 5 2" xfId="3467" xr:uid="{00000000-0005-0000-0000-0000D5080000}"/>
    <cellStyle name="Финансовый 2 3 2 6 5 3" xfId="5250" xr:uid="{00000000-0005-0000-0000-0000D6080000}"/>
    <cellStyle name="Финансовый 2 3 2 6 6" xfId="2467" xr:uid="{00000000-0005-0000-0000-0000D7080000}"/>
    <cellStyle name="Финансовый 2 3 2 6 6 2" xfId="4112" xr:uid="{00000000-0005-0000-0000-0000D8080000}"/>
    <cellStyle name="Финансовый 2 3 2 6 6 3" xfId="5895" xr:uid="{00000000-0005-0000-0000-0000D9080000}"/>
    <cellStyle name="Финансовый 2 3 2 6 7" xfId="1694" xr:uid="{00000000-0005-0000-0000-0000DA080000}"/>
    <cellStyle name="Финансовый 2 3 2 6 7 2" xfId="3339" xr:uid="{00000000-0005-0000-0000-0000DB080000}"/>
    <cellStyle name="Финансовый 2 3 2 6 7 3" xfId="5122" xr:uid="{00000000-0005-0000-0000-0000DC080000}"/>
    <cellStyle name="Финансовый 2 3 2 6 8" xfId="971" xr:uid="{00000000-0005-0000-0000-0000DD080000}"/>
    <cellStyle name="Финансовый 2 3 2 6 9" xfId="559" xr:uid="{00000000-0005-0000-0000-0000DE080000}"/>
    <cellStyle name="Финансовый 2 3 2 7" xfId="36" xr:uid="{00000000-0005-0000-0000-0000DF080000}"/>
    <cellStyle name="Финансовый 2 3 2 7 10" xfId="2648" xr:uid="{00000000-0005-0000-0000-0000E0080000}"/>
    <cellStyle name="Финансовый 2 3 2 7 11" xfId="4291" xr:uid="{00000000-0005-0000-0000-0000E1080000}"/>
    <cellStyle name="Финансовый 2 3 2 7 2" xfId="174" xr:uid="{00000000-0005-0000-0000-0000E2080000}"/>
    <cellStyle name="Финансовый 2 3 2 7 2 2" xfId="1272" xr:uid="{00000000-0005-0000-0000-0000E3080000}"/>
    <cellStyle name="Финансовый 2 3 2 7 2 2 2" xfId="2238" xr:uid="{00000000-0005-0000-0000-0000E4080000}"/>
    <cellStyle name="Финансовый 2 3 2 7 2 2 2 2" xfId="3883" xr:uid="{00000000-0005-0000-0000-0000E5080000}"/>
    <cellStyle name="Финансовый 2 3 2 7 2 2 2 3" xfId="5666" xr:uid="{00000000-0005-0000-0000-0000E6080000}"/>
    <cellStyle name="Финансовый 2 3 2 7 2 2 3" xfId="3056" xr:uid="{00000000-0005-0000-0000-0000E7080000}"/>
    <cellStyle name="Финансовый 2 3 2 7 2 2 4" xfId="4700" xr:uid="{00000000-0005-0000-0000-0000E8080000}"/>
    <cellStyle name="Финансовый 2 3 2 7 2 3" xfId="1982" xr:uid="{00000000-0005-0000-0000-0000E9080000}"/>
    <cellStyle name="Финансовый 2 3 2 7 2 3 2" xfId="3627" xr:uid="{00000000-0005-0000-0000-0000EA080000}"/>
    <cellStyle name="Финансовый 2 3 2 7 2 3 3" xfId="5410" xr:uid="{00000000-0005-0000-0000-0000EB080000}"/>
    <cellStyle name="Финансовый 2 3 2 7 2 4" xfId="2503" xr:uid="{00000000-0005-0000-0000-0000EC080000}"/>
    <cellStyle name="Финансовый 2 3 2 7 2 4 2" xfId="4148" xr:uid="{00000000-0005-0000-0000-0000ED080000}"/>
    <cellStyle name="Финансовый 2 3 2 7 2 4 3" xfId="5931" xr:uid="{00000000-0005-0000-0000-0000EE080000}"/>
    <cellStyle name="Финансовый 2 3 2 7 2 5" xfId="1007" xr:uid="{00000000-0005-0000-0000-0000EF080000}"/>
    <cellStyle name="Финансовый 2 3 2 7 2 6" xfId="595" xr:uid="{00000000-0005-0000-0000-0000F0080000}"/>
    <cellStyle name="Финансовый 2 3 2 7 2 7" xfId="2784" xr:uid="{00000000-0005-0000-0000-0000F1080000}"/>
    <cellStyle name="Финансовый 2 3 2 7 2 8" xfId="4428" xr:uid="{00000000-0005-0000-0000-0000F2080000}"/>
    <cellStyle name="Финансовый 2 3 2 7 3" xfId="323" xr:uid="{00000000-0005-0000-0000-0000F3080000}"/>
    <cellStyle name="Финансовый 2 3 2 7 3 2" xfId="2110" xr:uid="{00000000-0005-0000-0000-0000F4080000}"/>
    <cellStyle name="Финансовый 2 3 2 7 3 2 2" xfId="3755" xr:uid="{00000000-0005-0000-0000-0000F5080000}"/>
    <cellStyle name="Финансовый 2 3 2 7 3 2 3" xfId="5538" xr:uid="{00000000-0005-0000-0000-0000F6080000}"/>
    <cellStyle name="Финансовый 2 3 2 7 3 3" xfId="1143" xr:uid="{00000000-0005-0000-0000-0000F7080000}"/>
    <cellStyle name="Финансовый 2 3 2 7 3 4" xfId="743" xr:uid="{00000000-0005-0000-0000-0000F8080000}"/>
    <cellStyle name="Финансовый 2 3 2 7 3 5" xfId="2920" xr:uid="{00000000-0005-0000-0000-0000F9080000}"/>
    <cellStyle name="Финансовый 2 3 2 7 3 6" xfId="4564" xr:uid="{00000000-0005-0000-0000-0000FA080000}"/>
    <cellStyle name="Финансовый 2 3 2 7 4" xfId="1456" xr:uid="{00000000-0005-0000-0000-0000FB080000}"/>
    <cellStyle name="Финансовый 2 3 2 7 4 2" xfId="1846" xr:uid="{00000000-0005-0000-0000-0000FC080000}"/>
    <cellStyle name="Финансовый 2 3 2 7 4 2 2" xfId="3491" xr:uid="{00000000-0005-0000-0000-0000FD080000}"/>
    <cellStyle name="Финансовый 2 3 2 7 4 2 3" xfId="5274" xr:uid="{00000000-0005-0000-0000-0000FE080000}"/>
    <cellStyle name="Финансовый 2 3 2 7 4 3" xfId="4884" xr:uid="{00000000-0005-0000-0000-0000FF080000}"/>
    <cellStyle name="Финансовый 2 3 2 7 5" xfId="1730" xr:uid="{00000000-0005-0000-0000-000000090000}"/>
    <cellStyle name="Финансовый 2 3 2 7 5 2" xfId="3375" xr:uid="{00000000-0005-0000-0000-000001090000}"/>
    <cellStyle name="Финансовый 2 3 2 7 5 3" xfId="5158" xr:uid="{00000000-0005-0000-0000-000002090000}"/>
    <cellStyle name="Финансовый 2 3 2 7 6" xfId="2366" xr:uid="{00000000-0005-0000-0000-000003090000}"/>
    <cellStyle name="Финансовый 2 3 2 7 6 2" xfId="4011" xr:uid="{00000000-0005-0000-0000-000004090000}"/>
    <cellStyle name="Финансовый 2 3 2 7 6 3" xfId="5794" xr:uid="{00000000-0005-0000-0000-000005090000}"/>
    <cellStyle name="Финансовый 2 3 2 7 7" xfId="1593" xr:uid="{00000000-0005-0000-0000-000006090000}"/>
    <cellStyle name="Финансовый 2 3 2 7 7 2" xfId="3238" xr:uid="{00000000-0005-0000-0000-000007090000}"/>
    <cellStyle name="Финансовый 2 3 2 7 7 3" xfId="5021" xr:uid="{00000000-0005-0000-0000-000008090000}"/>
    <cellStyle name="Финансовый 2 3 2 7 8" xfId="879" xr:uid="{00000000-0005-0000-0000-000009090000}"/>
    <cellStyle name="Финансовый 2 3 2 7 9" xfId="459" xr:uid="{00000000-0005-0000-0000-00000A090000}"/>
    <cellStyle name="Финансовый 2 3 2 8" xfId="24" xr:uid="{00000000-0005-0000-0000-00000B090000}"/>
    <cellStyle name="Финансовый 2 3 2 8 10" xfId="2636" xr:uid="{00000000-0005-0000-0000-00000C090000}"/>
    <cellStyle name="Финансовый 2 3 2 8 11" xfId="4279" xr:uid="{00000000-0005-0000-0000-00000D090000}"/>
    <cellStyle name="Финансовый 2 3 2 8 2" xfId="162" xr:uid="{00000000-0005-0000-0000-00000E090000}"/>
    <cellStyle name="Финансовый 2 3 2 8 2 2" xfId="1260" xr:uid="{00000000-0005-0000-0000-00000F090000}"/>
    <cellStyle name="Финансовый 2 3 2 8 2 2 2" xfId="2226" xr:uid="{00000000-0005-0000-0000-000010090000}"/>
    <cellStyle name="Финансовый 2 3 2 8 2 2 2 2" xfId="3871" xr:uid="{00000000-0005-0000-0000-000011090000}"/>
    <cellStyle name="Финансовый 2 3 2 8 2 2 2 3" xfId="5654" xr:uid="{00000000-0005-0000-0000-000012090000}"/>
    <cellStyle name="Финансовый 2 3 2 8 2 2 3" xfId="3044" xr:uid="{00000000-0005-0000-0000-000013090000}"/>
    <cellStyle name="Финансовый 2 3 2 8 2 2 4" xfId="4688" xr:uid="{00000000-0005-0000-0000-000014090000}"/>
    <cellStyle name="Финансовый 2 3 2 8 2 3" xfId="1970" xr:uid="{00000000-0005-0000-0000-000015090000}"/>
    <cellStyle name="Финансовый 2 3 2 8 2 3 2" xfId="3615" xr:uid="{00000000-0005-0000-0000-000016090000}"/>
    <cellStyle name="Финансовый 2 3 2 8 2 3 3" xfId="5398" xr:uid="{00000000-0005-0000-0000-000017090000}"/>
    <cellStyle name="Финансовый 2 3 2 8 2 4" xfId="2491" xr:uid="{00000000-0005-0000-0000-000018090000}"/>
    <cellStyle name="Финансовый 2 3 2 8 2 4 2" xfId="4136" xr:uid="{00000000-0005-0000-0000-000019090000}"/>
    <cellStyle name="Финансовый 2 3 2 8 2 4 3" xfId="5919" xr:uid="{00000000-0005-0000-0000-00001A090000}"/>
    <cellStyle name="Финансовый 2 3 2 8 2 5" xfId="995" xr:uid="{00000000-0005-0000-0000-00001B090000}"/>
    <cellStyle name="Финансовый 2 3 2 8 2 6" xfId="583" xr:uid="{00000000-0005-0000-0000-00001C090000}"/>
    <cellStyle name="Финансовый 2 3 2 8 2 7" xfId="2772" xr:uid="{00000000-0005-0000-0000-00001D090000}"/>
    <cellStyle name="Финансовый 2 3 2 8 2 8" xfId="4416" xr:uid="{00000000-0005-0000-0000-00001E090000}"/>
    <cellStyle name="Финансовый 2 3 2 8 3" xfId="311" xr:uid="{00000000-0005-0000-0000-00001F090000}"/>
    <cellStyle name="Финансовый 2 3 2 8 3 2" xfId="2098" xr:uid="{00000000-0005-0000-0000-000020090000}"/>
    <cellStyle name="Финансовый 2 3 2 8 3 2 2" xfId="3743" xr:uid="{00000000-0005-0000-0000-000021090000}"/>
    <cellStyle name="Финансовый 2 3 2 8 3 2 3" xfId="5526" xr:uid="{00000000-0005-0000-0000-000022090000}"/>
    <cellStyle name="Финансовый 2 3 2 8 3 3" xfId="1131" xr:uid="{00000000-0005-0000-0000-000023090000}"/>
    <cellStyle name="Финансовый 2 3 2 8 3 4" xfId="731" xr:uid="{00000000-0005-0000-0000-000024090000}"/>
    <cellStyle name="Финансовый 2 3 2 8 3 5" xfId="2908" xr:uid="{00000000-0005-0000-0000-000025090000}"/>
    <cellStyle name="Финансовый 2 3 2 8 3 6" xfId="4552" xr:uid="{00000000-0005-0000-0000-000026090000}"/>
    <cellStyle name="Финансовый 2 3 2 8 4" xfId="1467" xr:uid="{00000000-0005-0000-0000-000027090000}"/>
    <cellStyle name="Финансовый 2 3 2 8 4 2" xfId="1834" xr:uid="{00000000-0005-0000-0000-000028090000}"/>
    <cellStyle name="Финансовый 2 3 2 8 4 2 2" xfId="3479" xr:uid="{00000000-0005-0000-0000-000029090000}"/>
    <cellStyle name="Финансовый 2 3 2 8 4 2 3" xfId="5262" xr:uid="{00000000-0005-0000-0000-00002A090000}"/>
    <cellStyle name="Финансовый 2 3 2 8 4 3" xfId="4895" xr:uid="{00000000-0005-0000-0000-00002B090000}"/>
    <cellStyle name="Финансовый 2 3 2 8 5" xfId="1718" xr:uid="{00000000-0005-0000-0000-00002C090000}"/>
    <cellStyle name="Финансовый 2 3 2 8 5 2" xfId="3363" xr:uid="{00000000-0005-0000-0000-00002D090000}"/>
    <cellStyle name="Финансовый 2 3 2 8 5 3" xfId="5146" xr:uid="{00000000-0005-0000-0000-00002E090000}"/>
    <cellStyle name="Финансовый 2 3 2 8 6" xfId="2354" xr:uid="{00000000-0005-0000-0000-00002F090000}"/>
    <cellStyle name="Финансовый 2 3 2 8 6 2" xfId="3999" xr:uid="{00000000-0005-0000-0000-000030090000}"/>
    <cellStyle name="Финансовый 2 3 2 8 6 3" xfId="5782" xr:uid="{00000000-0005-0000-0000-000031090000}"/>
    <cellStyle name="Финансовый 2 3 2 8 7" xfId="1581" xr:uid="{00000000-0005-0000-0000-000032090000}"/>
    <cellStyle name="Финансовый 2 3 2 8 7 2" xfId="3226" xr:uid="{00000000-0005-0000-0000-000033090000}"/>
    <cellStyle name="Финансовый 2 3 2 8 7 3" xfId="5009" xr:uid="{00000000-0005-0000-0000-000034090000}"/>
    <cellStyle name="Финансовый 2 3 2 8 8" xfId="867" xr:uid="{00000000-0005-0000-0000-000035090000}"/>
    <cellStyle name="Финансовый 2 3 2 8 9" xfId="447" xr:uid="{00000000-0005-0000-0000-000036090000}"/>
    <cellStyle name="Финансовый 2 3 2 9" xfId="150" xr:uid="{00000000-0005-0000-0000-000037090000}"/>
    <cellStyle name="Финансовый 2 3 2 9 2" xfId="1248" xr:uid="{00000000-0005-0000-0000-000038090000}"/>
    <cellStyle name="Финансовый 2 3 2 9 2 2" xfId="2214" xr:uid="{00000000-0005-0000-0000-000039090000}"/>
    <cellStyle name="Финансовый 2 3 2 9 2 2 2" xfId="3859" xr:uid="{00000000-0005-0000-0000-00003A090000}"/>
    <cellStyle name="Финансовый 2 3 2 9 2 2 3" xfId="5642" xr:uid="{00000000-0005-0000-0000-00003B090000}"/>
    <cellStyle name="Финансовый 2 3 2 9 2 3" xfId="3032" xr:uid="{00000000-0005-0000-0000-00003C090000}"/>
    <cellStyle name="Финансовый 2 3 2 9 2 4" xfId="4676" xr:uid="{00000000-0005-0000-0000-00003D090000}"/>
    <cellStyle name="Финансовый 2 3 2 9 3" xfId="1958" xr:uid="{00000000-0005-0000-0000-00003E090000}"/>
    <cellStyle name="Финансовый 2 3 2 9 3 2" xfId="3603" xr:uid="{00000000-0005-0000-0000-00003F090000}"/>
    <cellStyle name="Финансовый 2 3 2 9 3 3" xfId="5386" xr:uid="{00000000-0005-0000-0000-000040090000}"/>
    <cellStyle name="Финансовый 2 3 2 9 4" xfId="2479" xr:uid="{00000000-0005-0000-0000-000041090000}"/>
    <cellStyle name="Финансовый 2 3 2 9 4 2" xfId="4124" xr:uid="{00000000-0005-0000-0000-000042090000}"/>
    <cellStyle name="Финансовый 2 3 2 9 4 3" xfId="5907" xr:uid="{00000000-0005-0000-0000-000043090000}"/>
    <cellStyle name="Финансовый 2 3 2 9 5" xfId="983" xr:uid="{00000000-0005-0000-0000-000044090000}"/>
    <cellStyle name="Финансовый 2 3 2 9 6" xfId="571" xr:uid="{00000000-0005-0000-0000-000045090000}"/>
    <cellStyle name="Финансовый 2 3 2 9 7" xfId="2760" xr:uid="{00000000-0005-0000-0000-000046090000}"/>
    <cellStyle name="Финансовый 2 3 2 9 8" xfId="4404" xr:uid="{00000000-0005-0000-0000-000047090000}"/>
    <cellStyle name="Финансовый 2 3 20" xfId="2618" xr:uid="{00000000-0005-0000-0000-000048090000}"/>
    <cellStyle name="Финансовый 2 3 21" xfId="4261" xr:uid="{00000000-0005-0000-0000-000049090000}"/>
    <cellStyle name="Финансовый 2 3 3" xfId="42" xr:uid="{00000000-0005-0000-0000-00004A090000}"/>
    <cellStyle name="Финансовый 2 3 3 10" xfId="885" xr:uid="{00000000-0005-0000-0000-00004B090000}"/>
    <cellStyle name="Финансовый 2 3 3 11" xfId="465" xr:uid="{00000000-0005-0000-0000-00004C090000}"/>
    <cellStyle name="Финансовый 2 3 3 12" xfId="2654" xr:uid="{00000000-0005-0000-0000-00004D090000}"/>
    <cellStyle name="Финансовый 2 3 3 13" xfId="4297" xr:uid="{00000000-0005-0000-0000-00004E090000}"/>
    <cellStyle name="Финансовый 2 3 3 2" xfId="124" xr:uid="{00000000-0005-0000-0000-00004F090000}"/>
    <cellStyle name="Финансовый 2 3 3 2 10" xfId="2734" xr:uid="{00000000-0005-0000-0000-000050090000}"/>
    <cellStyle name="Финансовый 2 3 3 2 11" xfId="4378" xr:uid="{00000000-0005-0000-0000-000051090000}"/>
    <cellStyle name="Финансовый 2 3 3 2 2" xfId="260" xr:uid="{00000000-0005-0000-0000-000052090000}"/>
    <cellStyle name="Финансовый 2 3 3 2 2 2" xfId="1358" xr:uid="{00000000-0005-0000-0000-000053090000}"/>
    <cellStyle name="Финансовый 2 3 3 2 2 2 2" xfId="2316" xr:uid="{00000000-0005-0000-0000-000054090000}"/>
    <cellStyle name="Финансовый 2 3 3 2 2 2 2 2" xfId="3961" xr:uid="{00000000-0005-0000-0000-000055090000}"/>
    <cellStyle name="Финансовый 2 3 3 2 2 2 2 3" xfId="5744" xr:uid="{00000000-0005-0000-0000-000056090000}"/>
    <cellStyle name="Финансовый 2 3 3 2 2 2 3" xfId="3142" xr:uid="{00000000-0005-0000-0000-000057090000}"/>
    <cellStyle name="Финансовый 2 3 3 2 2 2 4" xfId="4786" xr:uid="{00000000-0005-0000-0000-000058090000}"/>
    <cellStyle name="Финансовый 2 3 3 2 2 3" xfId="2060" xr:uid="{00000000-0005-0000-0000-000059090000}"/>
    <cellStyle name="Финансовый 2 3 3 2 2 3 2" xfId="3705" xr:uid="{00000000-0005-0000-0000-00005A090000}"/>
    <cellStyle name="Финансовый 2 3 3 2 2 3 3" xfId="5488" xr:uid="{00000000-0005-0000-0000-00005B090000}"/>
    <cellStyle name="Финансовый 2 3 3 2 2 4" xfId="2589" xr:uid="{00000000-0005-0000-0000-00005C090000}"/>
    <cellStyle name="Финансовый 2 3 3 2 2 4 2" xfId="4234" xr:uid="{00000000-0005-0000-0000-00005D090000}"/>
    <cellStyle name="Финансовый 2 3 3 2 2 4 3" xfId="6017" xr:uid="{00000000-0005-0000-0000-00005E090000}"/>
    <cellStyle name="Финансовый 2 3 3 2 2 5" xfId="1093" xr:uid="{00000000-0005-0000-0000-00005F090000}"/>
    <cellStyle name="Финансовый 2 3 3 2 2 6" xfId="681" xr:uid="{00000000-0005-0000-0000-000060090000}"/>
    <cellStyle name="Финансовый 2 3 3 2 2 7" xfId="2870" xr:uid="{00000000-0005-0000-0000-000061090000}"/>
    <cellStyle name="Финансовый 2 3 3 2 2 8" xfId="4514" xr:uid="{00000000-0005-0000-0000-000062090000}"/>
    <cellStyle name="Финансовый 2 3 3 2 3" xfId="409" xr:uid="{00000000-0005-0000-0000-000063090000}"/>
    <cellStyle name="Финансовый 2 3 3 2 3 2" xfId="2188" xr:uid="{00000000-0005-0000-0000-000064090000}"/>
    <cellStyle name="Финансовый 2 3 3 2 3 2 2" xfId="3833" xr:uid="{00000000-0005-0000-0000-000065090000}"/>
    <cellStyle name="Финансовый 2 3 3 2 3 2 3" xfId="5616" xr:uid="{00000000-0005-0000-0000-000066090000}"/>
    <cellStyle name="Финансовый 2 3 3 2 3 3" xfId="1222" xr:uid="{00000000-0005-0000-0000-000067090000}"/>
    <cellStyle name="Финансовый 2 3 3 2 3 4" xfId="829" xr:uid="{00000000-0005-0000-0000-000068090000}"/>
    <cellStyle name="Финансовый 2 3 3 2 3 5" xfId="3006" xr:uid="{00000000-0005-0000-0000-000069090000}"/>
    <cellStyle name="Финансовый 2 3 3 2 3 6" xfId="4650" xr:uid="{00000000-0005-0000-0000-00006A090000}"/>
    <cellStyle name="Финансовый 2 3 3 2 4" xfId="1488" xr:uid="{00000000-0005-0000-0000-00006B090000}"/>
    <cellStyle name="Финансовый 2 3 3 2 4 2" xfId="1932" xr:uid="{00000000-0005-0000-0000-00006C090000}"/>
    <cellStyle name="Финансовый 2 3 3 2 4 2 2" xfId="3577" xr:uid="{00000000-0005-0000-0000-00006D090000}"/>
    <cellStyle name="Финансовый 2 3 3 2 4 2 3" xfId="5360" xr:uid="{00000000-0005-0000-0000-00006E090000}"/>
    <cellStyle name="Финансовый 2 3 3 2 4 3" xfId="4916" xr:uid="{00000000-0005-0000-0000-00006F090000}"/>
    <cellStyle name="Финансовый 2 3 3 2 5" xfId="1808" xr:uid="{00000000-0005-0000-0000-000070090000}"/>
    <cellStyle name="Финансовый 2 3 3 2 5 2" xfId="3453" xr:uid="{00000000-0005-0000-0000-000071090000}"/>
    <cellStyle name="Финансовый 2 3 3 2 5 3" xfId="5236" xr:uid="{00000000-0005-0000-0000-000072090000}"/>
    <cellStyle name="Финансовый 2 3 3 2 6" xfId="2453" xr:uid="{00000000-0005-0000-0000-000073090000}"/>
    <cellStyle name="Финансовый 2 3 3 2 6 2" xfId="4098" xr:uid="{00000000-0005-0000-0000-000074090000}"/>
    <cellStyle name="Финансовый 2 3 3 2 6 3" xfId="5881" xr:uid="{00000000-0005-0000-0000-000075090000}"/>
    <cellStyle name="Финансовый 2 3 3 2 7" xfId="1680" xr:uid="{00000000-0005-0000-0000-000076090000}"/>
    <cellStyle name="Финансовый 2 3 3 2 7 2" xfId="3325" xr:uid="{00000000-0005-0000-0000-000077090000}"/>
    <cellStyle name="Финансовый 2 3 3 2 7 3" xfId="5108" xr:uid="{00000000-0005-0000-0000-000078090000}"/>
    <cellStyle name="Финансовый 2 3 3 2 8" xfId="957" xr:uid="{00000000-0005-0000-0000-000079090000}"/>
    <cellStyle name="Финансовый 2 3 3 2 9" xfId="545" xr:uid="{00000000-0005-0000-0000-00007A090000}"/>
    <cellStyle name="Финансовый 2 3 3 3" xfId="88" xr:uid="{00000000-0005-0000-0000-00007B090000}"/>
    <cellStyle name="Финансовый 2 3 3 3 10" xfId="2698" xr:uid="{00000000-0005-0000-0000-00007C090000}"/>
    <cellStyle name="Финансовый 2 3 3 3 11" xfId="4342" xr:uid="{00000000-0005-0000-0000-00007D090000}"/>
    <cellStyle name="Финансовый 2 3 3 3 2" xfId="224" xr:uid="{00000000-0005-0000-0000-00007E090000}"/>
    <cellStyle name="Финансовый 2 3 3 3 2 2" xfId="1322" xr:uid="{00000000-0005-0000-0000-00007F090000}"/>
    <cellStyle name="Финансовый 2 3 3 3 2 2 2" xfId="2280" xr:uid="{00000000-0005-0000-0000-000080090000}"/>
    <cellStyle name="Финансовый 2 3 3 3 2 2 2 2" xfId="3925" xr:uid="{00000000-0005-0000-0000-000081090000}"/>
    <cellStyle name="Финансовый 2 3 3 3 2 2 2 3" xfId="5708" xr:uid="{00000000-0005-0000-0000-000082090000}"/>
    <cellStyle name="Финансовый 2 3 3 3 2 2 3" xfId="3106" xr:uid="{00000000-0005-0000-0000-000083090000}"/>
    <cellStyle name="Финансовый 2 3 3 3 2 2 4" xfId="4750" xr:uid="{00000000-0005-0000-0000-000084090000}"/>
    <cellStyle name="Финансовый 2 3 3 3 2 3" xfId="2024" xr:uid="{00000000-0005-0000-0000-000085090000}"/>
    <cellStyle name="Финансовый 2 3 3 3 2 3 2" xfId="3669" xr:uid="{00000000-0005-0000-0000-000086090000}"/>
    <cellStyle name="Финансовый 2 3 3 3 2 3 3" xfId="5452" xr:uid="{00000000-0005-0000-0000-000087090000}"/>
    <cellStyle name="Финансовый 2 3 3 3 2 4" xfId="2553" xr:uid="{00000000-0005-0000-0000-000088090000}"/>
    <cellStyle name="Финансовый 2 3 3 3 2 4 2" xfId="4198" xr:uid="{00000000-0005-0000-0000-000089090000}"/>
    <cellStyle name="Финансовый 2 3 3 3 2 4 3" xfId="5981" xr:uid="{00000000-0005-0000-0000-00008A090000}"/>
    <cellStyle name="Финансовый 2 3 3 3 2 5" xfId="1057" xr:uid="{00000000-0005-0000-0000-00008B090000}"/>
    <cellStyle name="Финансовый 2 3 3 3 2 6" xfId="645" xr:uid="{00000000-0005-0000-0000-00008C090000}"/>
    <cellStyle name="Финансовый 2 3 3 3 2 7" xfId="2834" xr:uid="{00000000-0005-0000-0000-00008D090000}"/>
    <cellStyle name="Финансовый 2 3 3 3 2 8" xfId="4478" xr:uid="{00000000-0005-0000-0000-00008E090000}"/>
    <cellStyle name="Финансовый 2 3 3 3 3" xfId="373" xr:uid="{00000000-0005-0000-0000-00008F090000}"/>
    <cellStyle name="Финансовый 2 3 3 3 3 2" xfId="2152" xr:uid="{00000000-0005-0000-0000-000090090000}"/>
    <cellStyle name="Финансовый 2 3 3 3 3 2 2" xfId="3797" xr:uid="{00000000-0005-0000-0000-000091090000}"/>
    <cellStyle name="Финансовый 2 3 3 3 3 2 3" xfId="5580" xr:uid="{00000000-0005-0000-0000-000092090000}"/>
    <cellStyle name="Финансовый 2 3 3 3 3 3" xfId="1186" xr:uid="{00000000-0005-0000-0000-000093090000}"/>
    <cellStyle name="Финансовый 2 3 3 3 3 4" xfId="793" xr:uid="{00000000-0005-0000-0000-000094090000}"/>
    <cellStyle name="Финансовый 2 3 3 3 3 5" xfId="2970" xr:uid="{00000000-0005-0000-0000-000095090000}"/>
    <cellStyle name="Финансовый 2 3 3 3 3 6" xfId="4614" xr:uid="{00000000-0005-0000-0000-000096090000}"/>
    <cellStyle name="Финансовый 2 3 3 3 4" xfId="1489" xr:uid="{00000000-0005-0000-0000-000097090000}"/>
    <cellStyle name="Финансовый 2 3 3 3 4 2" xfId="1896" xr:uid="{00000000-0005-0000-0000-000098090000}"/>
    <cellStyle name="Финансовый 2 3 3 3 4 2 2" xfId="3541" xr:uid="{00000000-0005-0000-0000-000099090000}"/>
    <cellStyle name="Финансовый 2 3 3 3 4 2 3" xfId="5324" xr:uid="{00000000-0005-0000-0000-00009A090000}"/>
    <cellStyle name="Финансовый 2 3 3 3 4 3" xfId="4917" xr:uid="{00000000-0005-0000-0000-00009B090000}"/>
    <cellStyle name="Финансовый 2 3 3 3 5" xfId="1772" xr:uid="{00000000-0005-0000-0000-00009C090000}"/>
    <cellStyle name="Финансовый 2 3 3 3 5 2" xfId="3417" xr:uid="{00000000-0005-0000-0000-00009D090000}"/>
    <cellStyle name="Финансовый 2 3 3 3 5 3" xfId="5200" xr:uid="{00000000-0005-0000-0000-00009E090000}"/>
    <cellStyle name="Финансовый 2 3 3 3 6" xfId="2417" xr:uid="{00000000-0005-0000-0000-00009F090000}"/>
    <cellStyle name="Финансовый 2 3 3 3 6 2" xfId="4062" xr:uid="{00000000-0005-0000-0000-0000A0090000}"/>
    <cellStyle name="Финансовый 2 3 3 3 6 3" xfId="5845" xr:uid="{00000000-0005-0000-0000-0000A1090000}"/>
    <cellStyle name="Финансовый 2 3 3 3 7" xfId="1644" xr:uid="{00000000-0005-0000-0000-0000A2090000}"/>
    <cellStyle name="Финансовый 2 3 3 3 7 2" xfId="3289" xr:uid="{00000000-0005-0000-0000-0000A3090000}"/>
    <cellStyle name="Финансовый 2 3 3 3 7 3" xfId="5072" xr:uid="{00000000-0005-0000-0000-0000A4090000}"/>
    <cellStyle name="Финансовый 2 3 3 3 8" xfId="921" xr:uid="{00000000-0005-0000-0000-0000A5090000}"/>
    <cellStyle name="Финансовый 2 3 3 3 9" xfId="509" xr:uid="{00000000-0005-0000-0000-0000A6090000}"/>
    <cellStyle name="Финансовый 2 3 3 4" xfId="180" xr:uid="{00000000-0005-0000-0000-0000A7090000}"/>
    <cellStyle name="Финансовый 2 3 3 4 2" xfId="1278" xr:uid="{00000000-0005-0000-0000-0000A8090000}"/>
    <cellStyle name="Финансовый 2 3 3 4 2 2" xfId="2244" xr:uid="{00000000-0005-0000-0000-0000A9090000}"/>
    <cellStyle name="Финансовый 2 3 3 4 2 2 2" xfId="3889" xr:uid="{00000000-0005-0000-0000-0000AA090000}"/>
    <cellStyle name="Финансовый 2 3 3 4 2 2 3" xfId="5672" xr:uid="{00000000-0005-0000-0000-0000AB090000}"/>
    <cellStyle name="Финансовый 2 3 3 4 2 3" xfId="3062" xr:uid="{00000000-0005-0000-0000-0000AC090000}"/>
    <cellStyle name="Финансовый 2 3 3 4 2 4" xfId="4706" xr:uid="{00000000-0005-0000-0000-0000AD090000}"/>
    <cellStyle name="Финансовый 2 3 3 4 3" xfId="1988" xr:uid="{00000000-0005-0000-0000-0000AE090000}"/>
    <cellStyle name="Финансовый 2 3 3 4 3 2" xfId="3633" xr:uid="{00000000-0005-0000-0000-0000AF090000}"/>
    <cellStyle name="Финансовый 2 3 3 4 3 3" xfId="5416" xr:uid="{00000000-0005-0000-0000-0000B0090000}"/>
    <cellStyle name="Финансовый 2 3 3 4 4" xfId="2509" xr:uid="{00000000-0005-0000-0000-0000B1090000}"/>
    <cellStyle name="Финансовый 2 3 3 4 4 2" xfId="4154" xr:uid="{00000000-0005-0000-0000-0000B2090000}"/>
    <cellStyle name="Финансовый 2 3 3 4 4 3" xfId="5937" xr:uid="{00000000-0005-0000-0000-0000B3090000}"/>
    <cellStyle name="Финансовый 2 3 3 4 5" xfId="1013" xr:uid="{00000000-0005-0000-0000-0000B4090000}"/>
    <cellStyle name="Финансовый 2 3 3 4 6" xfId="601" xr:uid="{00000000-0005-0000-0000-0000B5090000}"/>
    <cellStyle name="Финансовый 2 3 3 4 7" xfId="2790" xr:uid="{00000000-0005-0000-0000-0000B6090000}"/>
    <cellStyle name="Финансовый 2 3 3 4 8" xfId="4434" xr:uid="{00000000-0005-0000-0000-0000B7090000}"/>
    <cellStyle name="Финансовый 2 3 3 5" xfId="329" xr:uid="{00000000-0005-0000-0000-0000B8090000}"/>
    <cellStyle name="Финансовый 2 3 3 5 2" xfId="2116" xr:uid="{00000000-0005-0000-0000-0000B9090000}"/>
    <cellStyle name="Финансовый 2 3 3 5 2 2" xfId="3761" xr:uid="{00000000-0005-0000-0000-0000BA090000}"/>
    <cellStyle name="Финансовый 2 3 3 5 2 3" xfId="5544" xr:uid="{00000000-0005-0000-0000-0000BB090000}"/>
    <cellStyle name="Финансовый 2 3 3 5 3" xfId="1149" xr:uid="{00000000-0005-0000-0000-0000BC090000}"/>
    <cellStyle name="Финансовый 2 3 3 5 4" xfId="749" xr:uid="{00000000-0005-0000-0000-0000BD090000}"/>
    <cellStyle name="Финансовый 2 3 3 5 5" xfId="2926" xr:uid="{00000000-0005-0000-0000-0000BE090000}"/>
    <cellStyle name="Финансовый 2 3 3 5 6" xfId="4570" xr:uid="{00000000-0005-0000-0000-0000BF090000}"/>
    <cellStyle name="Финансовый 2 3 3 6" xfId="1487" xr:uid="{00000000-0005-0000-0000-0000C0090000}"/>
    <cellStyle name="Финансовый 2 3 3 6 2" xfId="1852" xr:uid="{00000000-0005-0000-0000-0000C1090000}"/>
    <cellStyle name="Финансовый 2 3 3 6 2 2" xfId="3497" xr:uid="{00000000-0005-0000-0000-0000C2090000}"/>
    <cellStyle name="Финансовый 2 3 3 6 2 3" xfId="5280" xr:uid="{00000000-0005-0000-0000-0000C3090000}"/>
    <cellStyle name="Финансовый 2 3 3 6 3" xfId="4915" xr:uid="{00000000-0005-0000-0000-0000C4090000}"/>
    <cellStyle name="Финансовый 2 3 3 7" xfId="1736" xr:uid="{00000000-0005-0000-0000-0000C5090000}"/>
    <cellStyle name="Финансовый 2 3 3 7 2" xfId="3381" xr:uid="{00000000-0005-0000-0000-0000C6090000}"/>
    <cellStyle name="Финансовый 2 3 3 7 3" xfId="5164" xr:uid="{00000000-0005-0000-0000-0000C7090000}"/>
    <cellStyle name="Финансовый 2 3 3 8" xfId="2372" xr:uid="{00000000-0005-0000-0000-0000C8090000}"/>
    <cellStyle name="Финансовый 2 3 3 8 2" xfId="4017" xr:uid="{00000000-0005-0000-0000-0000C9090000}"/>
    <cellStyle name="Финансовый 2 3 3 8 3" xfId="5800" xr:uid="{00000000-0005-0000-0000-0000CA090000}"/>
    <cellStyle name="Финансовый 2 3 3 9" xfId="1599" xr:uid="{00000000-0005-0000-0000-0000CB090000}"/>
    <cellStyle name="Финансовый 2 3 3 9 2" xfId="3244" xr:uid="{00000000-0005-0000-0000-0000CC090000}"/>
    <cellStyle name="Финансовый 2 3 3 9 3" xfId="5027" xr:uid="{00000000-0005-0000-0000-0000CD090000}"/>
    <cellStyle name="Финансовый 2 3 4" xfId="94" xr:uid="{00000000-0005-0000-0000-0000CE090000}"/>
    <cellStyle name="Финансовый 2 3 4 10" xfId="2704" xr:uid="{00000000-0005-0000-0000-0000CF090000}"/>
    <cellStyle name="Финансовый 2 3 4 11" xfId="4348" xr:uid="{00000000-0005-0000-0000-0000D0090000}"/>
    <cellStyle name="Финансовый 2 3 4 2" xfId="230" xr:uid="{00000000-0005-0000-0000-0000D1090000}"/>
    <cellStyle name="Финансовый 2 3 4 2 2" xfId="1328" xr:uid="{00000000-0005-0000-0000-0000D2090000}"/>
    <cellStyle name="Финансовый 2 3 4 2 2 2" xfId="2286" xr:uid="{00000000-0005-0000-0000-0000D3090000}"/>
    <cellStyle name="Финансовый 2 3 4 2 2 2 2" xfId="3931" xr:uid="{00000000-0005-0000-0000-0000D4090000}"/>
    <cellStyle name="Финансовый 2 3 4 2 2 2 3" xfId="5714" xr:uid="{00000000-0005-0000-0000-0000D5090000}"/>
    <cellStyle name="Финансовый 2 3 4 2 2 3" xfId="3112" xr:uid="{00000000-0005-0000-0000-0000D6090000}"/>
    <cellStyle name="Финансовый 2 3 4 2 2 4" xfId="4756" xr:uid="{00000000-0005-0000-0000-0000D7090000}"/>
    <cellStyle name="Финансовый 2 3 4 2 3" xfId="2030" xr:uid="{00000000-0005-0000-0000-0000D8090000}"/>
    <cellStyle name="Финансовый 2 3 4 2 3 2" xfId="3675" xr:uid="{00000000-0005-0000-0000-0000D9090000}"/>
    <cellStyle name="Финансовый 2 3 4 2 3 3" xfId="5458" xr:uid="{00000000-0005-0000-0000-0000DA090000}"/>
    <cellStyle name="Финансовый 2 3 4 2 4" xfId="2559" xr:uid="{00000000-0005-0000-0000-0000DB090000}"/>
    <cellStyle name="Финансовый 2 3 4 2 4 2" xfId="4204" xr:uid="{00000000-0005-0000-0000-0000DC090000}"/>
    <cellStyle name="Финансовый 2 3 4 2 4 3" xfId="5987" xr:uid="{00000000-0005-0000-0000-0000DD090000}"/>
    <cellStyle name="Финансовый 2 3 4 2 5" xfId="1063" xr:uid="{00000000-0005-0000-0000-0000DE090000}"/>
    <cellStyle name="Финансовый 2 3 4 2 6" xfId="651" xr:uid="{00000000-0005-0000-0000-0000DF090000}"/>
    <cellStyle name="Финансовый 2 3 4 2 7" xfId="2840" xr:uid="{00000000-0005-0000-0000-0000E0090000}"/>
    <cellStyle name="Финансовый 2 3 4 2 8" xfId="4484" xr:uid="{00000000-0005-0000-0000-0000E1090000}"/>
    <cellStyle name="Финансовый 2 3 4 3" xfId="379" xr:uid="{00000000-0005-0000-0000-0000E2090000}"/>
    <cellStyle name="Финансовый 2 3 4 3 2" xfId="2158" xr:uid="{00000000-0005-0000-0000-0000E3090000}"/>
    <cellStyle name="Финансовый 2 3 4 3 2 2" xfId="3803" xr:uid="{00000000-0005-0000-0000-0000E4090000}"/>
    <cellStyle name="Финансовый 2 3 4 3 2 3" xfId="5586" xr:uid="{00000000-0005-0000-0000-0000E5090000}"/>
    <cellStyle name="Финансовый 2 3 4 3 3" xfId="1192" xr:uid="{00000000-0005-0000-0000-0000E6090000}"/>
    <cellStyle name="Финансовый 2 3 4 3 4" xfId="799" xr:uid="{00000000-0005-0000-0000-0000E7090000}"/>
    <cellStyle name="Финансовый 2 3 4 3 5" xfId="2976" xr:uid="{00000000-0005-0000-0000-0000E8090000}"/>
    <cellStyle name="Финансовый 2 3 4 3 6" xfId="4620" xr:uid="{00000000-0005-0000-0000-0000E9090000}"/>
    <cellStyle name="Финансовый 2 3 4 4" xfId="1490" xr:uid="{00000000-0005-0000-0000-0000EA090000}"/>
    <cellStyle name="Финансовый 2 3 4 4 2" xfId="1902" xr:uid="{00000000-0005-0000-0000-0000EB090000}"/>
    <cellStyle name="Финансовый 2 3 4 4 2 2" xfId="3547" xr:uid="{00000000-0005-0000-0000-0000EC090000}"/>
    <cellStyle name="Финансовый 2 3 4 4 2 3" xfId="5330" xr:uid="{00000000-0005-0000-0000-0000ED090000}"/>
    <cellStyle name="Финансовый 2 3 4 4 3" xfId="4918" xr:uid="{00000000-0005-0000-0000-0000EE090000}"/>
    <cellStyle name="Финансовый 2 3 4 5" xfId="1778" xr:uid="{00000000-0005-0000-0000-0000EF090000}"/>
    <cellStyle name="Финансовый 2 3 4 5 2" xfId="3423" xr:uid="{00000000-0005-0000-0000-0000F0090000}"/>
    <cellStyle name="Финансовый 2 3 4 5 3" xfId="5206" xr:uid="{00000000-0005-0000-0000-0000F1090000}"/>
    <cellStyle name="Финансовый 2 3 4 6" xfId="2423" xr:uid="{00000000-0005-0000-0000-0000F2090000}"/>
    <cellStyle name="Финансовый 2 3 4 6 2" xfId="4068" xr:uid="{00000000-0005-0000-0000-0000F3090000}"/>
    <cellStyle name="Финансовый 2 3 4 6 3" xfId="5851" xr:uid="{00000000-0005-0000-0000-0000F4090000}"/>
    <cellStyle name="Финансовый 2 3 4 7" xfId="1650" xr:uid="{00000000-0005-0000-0000-0000F5090000}"/>
    <cellStyle name="Финансовый 2 3 4 7 2" xfId="3295" xr:uid="{00000000-0005-0000-0000-0000F6090000}"/>
    <cellStyle name="Финансовый 2 3 4 7 3" xfId="5078" xr:uid="{00000000-0005-0000-0000-0000F7090000}"/>
    <cellStyle name="Финансовый 2 3 4 8" xfId="927" xr:uid="{00000000-0005-0000-0000-0000F8090000}"/>
    <cellStyle name="Финансовый 2 3 4 9" xfId="515" xr:uid="{00000000-0005-0000-0000-0000F9090000}"/>
    <cellStyle name="Финансовый 2 3 5" xfId="100" xr:uid="{00000000-0005-0000-0000-0000FA090000}"/>
    <cellStyle name="Финансовый 2 3 5 10" xfId="2710" xr:uid="{00000000-0005-0000-0000-0000FB090000}"/>
    <cellStyle name="Финансовый 2 3 5 11" xfId="4354" xr:uid="{00000000-0005-0000-0000-0000FC090000}"/>
    <cellStyle name="Финансовый 2 3 5 2" xfId="236" xr:uid="{00000000-0005-0000-0000-0000FD090000}"/>
    <cellStyle name="Финансовый 2 3 5 2 2" xfId="1334" xr:uid="{00000000-0005-0000-0000-0000FE090000}"/>
    <cellStyle name="Финансовый 2 3 5 2 2 2" xfId="2292" xr:uid="{00000000-0005-0000-0000-0000FF090000}"/>
    <cellStyle name="Финансовый 2 3 5 2 2 2 2" xfId="3937" xr:uid="{00000000-0005-0000-0000-0000000A0000}"/>
    <cellStyle name="Финансовый 2 3 5 2 2 2 3" xfId="5720" xr:uid="{00000000-0005-0000-0000-0000010A0000}"/>
    <cellStyle name="Финансовый 2 3 5 2 2 3" xfId="3118" xr:uid="{00000000-0005-0000-0000-0000020A0000}"/>
    <cellStyle name="Финансовый 2 3 5 2 2 4" xfId="4762" xr:uid="{00000000-0005-0000-0000-0000030A0000}"/>
    <cellStyle name="Финансовый 2 3 5 2 3" xfId="2036" xr:uid="{00000000-0005-0000-0000-0000040A0000}"/>
    <cellStyle name="Финансовый 2 3 5 2 3 2" xfId="3681" xr:uid="{00000000-0005-0000-0000-0000050A0000}"/>
    <cellStyle name="Финансовый 2 3 5 2 3 3" xfId="5464" xr:uid="{00000000-0005-0000-0000-0000060A0000}"/>
    <cellStyle name="Финансовый 2 3 5 2 4" xfId="2565" xr:uid="{00000000-0005-0000-0000-0000070A0000}"/>
    <cellStyle name="Финансовый 2 3 5 2 4 2" xfId="4210" xr:uid="{00000000-0005-0000-0000-0000080A0000}"/>
    <cellStyle name="Финансовый 2 3 5 2 4 3" xfId="5993" xr:uid="{00000000-0005-0000-0000-0000090A0000}"/>
    <cellStyle name="Финансовый 2 3 5 2 5" xfId="1069" xr:uid="{00000000-0005-0000-0000-00000A0A0000}"/>
    <cellStyle name="Финансовый 2 3 5 2 6" xfId="657" xr:uid="{00000000-0005-0000-0000-00000B0A0000}"/>
    <cellStyle name="Финансовый 2 3 5 2 7" xfId="2846" xr:uid="{00000000-0005-0000-0000-00000C0A0000}"/>
    <cellStyle name="Финансовый 2 3 5 2 8" xfId="4490" xr:uid="{00000000-0005-0000-0000-00000D0A0000}"/>
    <cellStyle name="Финансовый 2 3 5 3" xfId="385" xr:uid="{00000000-0005-0000-0000-00000E0A0000}"/>
    <cellStyle name="Финансовый 2 3 5 3 2" xfId="2164" xr:uid="{00000000-0005-0000-0000-00000F0A0000}"/>
    <cellStyle name="Финансовый 2 3 5 3 2 2" xfId="3809" xr:uid="{00000000-0005-0000-0000-0000100A0000}"/>
    <cellStyle name="Финансовый 2 3 5 3 2 3" xfId="5592" xr:uid="{00000000-0005-0000-0000-0000110A0000}"/>
    <cellStyle name="Финансовый 2 3 5 3 3" xfId="1198" xr:uid="{00000000-0005-0000-0000-0000120A0000}"/>
    <cellStyle name="Финансовый 2 3 5 3 4" xfId="805" xr:uid="{00000000-0005-0000-0000-0000130A0000}"/>
    <cellStyle name="Финансовый 2 3 5 3 5" xfId="2982" xr:uid="{00000000-0005-0000-0000-0000140A0000}"/>
    <cellStyle name="Финансовый 2 3 5 3 6" xfId="4626" xr:uid="{00000000-0005-0000-0000-0000150A0000}"/>
    <cellStyle name="Финансовый 2 3 5 4" xfId="1491" xr:uid="{00000000-0005-0000-0000-0000160A0000}"/>
    <cellStyle name="Финансовый 2 3 5 4 2" xfId="1908" xr:uid="{00000000-0005-0000-0000-0000170A0000}"/>
    <cellStyle name="Финансовый 2 3 5 4 2 2" xfId="3553" xr:uid="{00000000-0005-0000-0000-0000180A0000}"/>
    <cellStyle name="Финансовый 2 3 5 4 2 3" xfId="5336" xr:uid="{00000000-0005-0000-0000-0000190A0000}"/>
    <cellStyle name="Финансовый 2 3 5 4 3" xfId="4919" xr:uid="{00000000-0005-0000-0000-00001A0A0000}"/>
    <cellStyle name="Финансовый 2 3 5 5" xfId="1784" xr:uid="{00000000-0005-0000-0000-00001B0A0000}"/>
    <cellStyle name="Финансовый 2 3 5 5 2" xfId="3429" xr:uid="{00000000-0005-0000-0000-00001C0A0000}"/>
    <cellStyle name="Финансовый 2 3 5 5 3" xfId="5212" xr:uid="{00000000-0005-0000-0000-00001D0A0000}"/>
    <cellStyle name="Финансовый 2 3 5 6" xfId="2429" xr:uid="{00000000-0005-0000-0000-00001E0A0000}"/>
    <cellStyle name="Финансовый 2 3 5 6 2" xfId="4074" xr:uid="{00000000-0005-0000-0000-00001F0A0000}"/>
    <cellStyle name="Финансовый 2 3 5 6 3" xfId="5857" xr:uid="{00000000-0005-0000-0000-0000200A0000}"/>
    <cellStyle name="Финансовый 2 3 5 7" xfId="1656" xr:uid="{00000000-0005-0000-0000-0000210A0000}"/>
    <cellStyle name="Финансовый 2 3 5 7 2" xfId="3301" xr:uid="{00000000-0005-0000-0000-0000220A0000}"/>
    <cellStyle name="Финансовый 2 3 5 7 3" xfId="5084" xr:uid="{00000000-0005-0000-0000-0000230A0000}"/>
    <cellStyle name="Финансовый 2 3 5 8" xfId="933" xr:uid="{00000000-0005-0000-0000-0000240A0000}"/>
    <cellStyle name="Финансовый 2 3 5 9" xfId="521" xr:uid="{00000000-0005-0000-0000-0000250A0000}"/>
    <cellStyle name="Финансовый 2 3 6" xfId="112" xr:uid="{00000000-0005-0000-0000-0000260A0000}"/>
    <cellStyle name="Финансовый 2 3 6 10" xfId="2722" xr:uid="{00000000-0005-0000-0000-0000270A0000}"/>
    <cellStyle name="Финансовый 2 3 6 11" xfId="4366" xr:uid="{00000000-0005-0000-0000-0000280A0000}"/>
    <cellStyle name="Финансовый 2 3 6 2" xfId="248" xr:uid="{00000000-0005-0000-0000-0000290A0000}"/>
    <cellStyle name="Финансовый 2 3 6 2 2" xfId="1346" xr:uid="{00000000-0005-0000-0000-00002A0A0000}"/>
    <cellStyle name="Финансовый 2 3 6 2 2 2" xfId="2304" xr:uid="{00000000-0005-0000-0000-00002B0A0000}"/>
    <cellStyle name="Финансовый 2 3 6 2 2 2 2" xfId="3949" xr:uid="{00000000-0005-0000-0000-00002C0A0000}"/>
    <cellStyle name="Финансовый 2 3 6 2 2 2 3" xfId="5732" xr:uid="{00000000-0005-0000-0000-00002D0A0000}"/>
    <cellStyle name="Финансовый 2 3 6 2 2 3" xfId="3130" xr:uid="{00000000-0005-0000-0000-00002E0A0000}"/>
    <cellStyle name="Финансовый 2 3 6 2 2 4" xfId="4774" xr:uid="{00000000-0005-0000-0000-00002F0A0000}"/>
    <cellStyle name="Финансовый 2 3 6 2 3" xfId="2048" xr:uid="{00000000-0005-0000-0000-0000300A0000}"/>
    <cellStyle name="Финансовый 2 3 6 2 3 2" xfId="3693" xr:uid="{00000000-0005-0000-0000-0000310A0000}"/>
    <cellStyle name="Финансовый 2 3 6 2 3 3" xfId="5476" xr:uid="{00000000-0005-0000-0000-0000320A0000}"/>
    <cellStyle name="Финансовый 2 3 6 2 4" xfId="2577" xr:uid="{00000000-0005-0000-0000-0000330A0000}"/>
    <cellStyle name="Финансовый 2 3 6 2 4 2" xfId="4222" xr:uid="{00000000-0005-0000-0000-0000340A0000}"/>
    <cellStyle name="Финансовый 2 3 6 2 4 3" xfId="6005" xr:uid="{00000000-0005-0000-0000-0000350A0000}"/>
    <cellStyle name="Финансовый 2 3 6 2 5" xfId="1081" xr:uid="{00000000-0005-0000-0000-0000360A0000}"/>
    <cellStyle name="Финансовый 2 3 6 2 6" xfId="669" xr:uid="{00000000-0005-0000-0000-0000370A0000}"/>
    <cellStyle name="Финансовый 2 3 6 2 7" xfId="2858" xr:uid="{00000000-0005-0000-0000-0000380A0000}"/>
    <cellStyle name="Финансовый 2 3 6 2 8" xfId="4502" xr:uid="{00000000-0005-0000-0000-0000390A0000}"/>
    <cellStyle name="Финансовый 2 3 6 3" xfId="397" xr:uid="{00000000-0005-0000-0000-00003A0A0000}"/>
    <cellStyle name="Финансовый 2 3 6 3 2" xfId="2176" xr:uid="{00000000-0005-0000-0000-00003B0A0000}"/>
    <cellStyle name="Финансовый 2 3 6 3 2 2" xfId="3821" xr:uid="{00000000-0005-0000-0000-00003C0A0000}"/>
    <cellStyle name="Финансовый 2 3 6 3 2 3" xfId="5604" xr:uid="{00000000-0005-0000-0000-00003D0A0000}"/>
    <cellStyle name="Финансовый 2 3 6 3 3" xfId="1210" xr:uid="{00000000-0005-0000-0000-00003E0A0000}"/>
    <cellStyle name="Финансовый 2 3 6 3 4" xfId="817" xr:uid="{00000000-0005-0000-0000-00003F0A0000}"/>
    <cellStyle name="Финансовый 2 3 6 3 5" xfId="2994" xr:uid="{00000000-0005-0000-0000-0000400A0000}"/>
    <cellStyle name="Финансовый 2 3 6 3 6" xfId="4638" xr:uid="{00000000-0005-0000-0000-0000410A0000}"/>
    <cellStyle name="Финансовый 2 3 6 4" xfId="1492" xr:uid="{00000000-0005-0000-0000-0000420A0000}"/>
    <cellStyle name="Финансовый 2 3 6 4 2" xfId="1920" xr:uid="{00000000-0005-0000-0000-0000430A0000}"/>
    <cellStyle name="Финансовый 2 3 6 4 2 2" xfId="3565" xr:uid="{00000000-0005-0000-0000-0000440A0000}"/>
    <cellStyle name="Финансовый 2 3 6 4 2 3" xfId="5348" xr:uid="{00000000-0005-0000-0000-0000450A0000}"/>
    <cellStyle name="Финансовый 2 3 6 4 3" xfId="4920" xr:uid="{00000000-0005-0000-0000-0000460A0000}"/>
    <cellStyle name="Финансовый 2 3 6 5" xfId="1796" xr:uid="{00000000-0005-0000-0000-0000470A0000}"/>
    <cellStyle name="Финансовый 2 3 6 5 2" xfId="3441" xr:uid="{00000000-0005-0000-0000-0000480A0000}"/>
    <cellStyle name="Финансовый 2 3 6 5 3" xfId="5224" xr:uid="{00000000-0005-0000-0000-0000490A0000}"/>
    <cellStyle name="Финансовый 2 3 6 6" xfId="2441" xr:uid="{00000000-0005-0000-0000-00004A0A0000}"/>
    <cellStyle name="Финансовый 2 3 6 6 2" xfId="4086" xr:uid="{00000000-0005-0000-0000-00004B0A0000}"/>
    <cellStyle name="Финансовый 2 3 6 6 3" xfId="5869" xr:uid="{00000000-0005-0000-0000-00004C0A0000}"/>
    <cellStyle name="Финансовый 2 3 6 7" xfId="1668" xr:uid="{00000000-0005-0000-0000-00004D0A0000}"/>
    <cellStyle name="Финансовый 2 3 6 7 2" xfId="3313" xr:uid="{00000000-0005-0000-0000-00004E0A0000}"/>
    <cellStyle name="Финансовый 2 3 6 7 3" xfId="5096" xr:uid="{00000000-0005-0000-0000-00004F0A0000}"/>
    <cellStyle name="Финансовый 2 3 6 8" xfId="945" xr:uid="{00000000-0005-0000-0000-0000500A0000}"/>
    <cellStyle name="Финансовый 2 3 6 9" xfId="533" xr:uid="{00000000-0005-0000-0000-0000510A0000}"/>
    <cellStyle name="Финансовый 2 3 7" xfId="76" xr:uid="{00000000-0005-0000-0000-0000520A0000}"/>
    <cellStyle name="Финансовый 2 3 7 10" xfId="2686" xr:uid="{00000000-0005-0000-0000-0000530A0000}"/>
    <cellStyle name="Финансовый 2 3 7 11" xfId="4330" xr:uid="{00000000-0005-0000-0000-0000540A0000}"/>
    <cellStyle name="Финансовый 2 3 7 2" xfId="212" xr:uid="{00000000-0005-0000-0000-0000550A0000}"/>
    <cellStyle name="Финансовый 2 3 7 2 2" xfId="1310" xr:uid="{00000000-0005-0000-0000-0000560A0000}"/>
    <cellStyle name="Финансовый 2 3 7 2 2 2" xfId="2268" xr:uid="{00000000-0005-0000-0000-0000570A0000}"/>
    <cellStyle name="Финансовый 2 3 7 2 2 2 2" xfId="3913" xr:uid="{00000000-0005-0000-0000-0000580A0000}"/>
    <cellStyle name="Финансовый 2 3 7 2 2 2 3" xfId="5696" xr:uid="{00000000-0005-0000-0000-0000590A0000}"/>
    <cellStyle name="Финансовый 2 3 7 2 2 3" xfId="3094" xr:uid="{00000000-0005-0000-0000-00005A0A0000}"/>
    <cellStyle name="Финансовый 2 3 7 2 2 4" xfId="4738" xr:uid="{00000000-0005-0000-0000-00005B0A0000}"/>
    <cellStyle name="Финансовый 2 3 7 2 3" xfId="2012" xr:uid="{00000000-0005-0000-0000-00005C0A0000}"/>
    <cellStyle name="Финансовый 2 3 7 2 3 2" xfId="3657" xr:uid="{00000000-0005-0000-0000-00005D0A0000}"/>
    <cellStyle name="Финансовый 2 3 7 2 3 3" xfId="5440" xr:uid="{00000000-0005-0000-0000-00005E0A0000}"/>
    <cellStyle name="Финансовый 2 3 7 2 4" xfId="2541" xr:uid="{00000000-0005-0000-0000-00005F0A0000}"/>
    <cellStyle name="Финансовый 2 3 7 2 4 2" xfId="4186" xr:uid="{00000000-0005-0000-0000-0000600A0000}"/>
    <cellStyle name="Финансовый 2 3 7 2 4 3" xfId="5969" xr:uid="{00000000-0005-0000-0000-0000610A0000}"/>
    <cellStyle name="Финансовый 2 3 7 2 5" xfId="1045" xr:uid="{00000000-0005-0000-0000-0000620A0000}"/>
    <cellStyle name="Финансовый 2 3 7 2 6" xfId="633" xr:uid="{00000000-0005-0000-0000-0000630A0000}"/>
    <cellStyle name="Финансовый 2 3 7 2 7" xfId="2822" xr:uid="{00000000-0005-0000-0000-0000640A0000}"/>
    <cellStyle name="Финансовый 2 3 7 2 8" xfId="4466" xr:uid="{00000000-0005-0000-0000-0000650A0000}"/>
    <cellStyle name="Финансовый 2 3 7 3" xfId="361" xr:uid="{00000000-0005-0000-0000-0000660A0000}"/>
    <cellStyle name="Финансовый 2 3 7 3 2" xfId="2140" xr:uid="{00000000-0005-0000-0000-0000670A0000}"/>
    <cellStyle name="Финансовый 2 3 7 3 2 2" xfId="3785" xr:uid="{00000000-0005-0000-0000-0000680A0000}"/>
    <cellStyle name="Финансовый 2 3 7 3 2 3" xfId="5568" xr:uid="{00000000-0005-0000-0000-0000690A0000}"/>
    <cellStyle name="Финансовый 2 3 7 3 3" xfId="1174" xr:uid="{00000000-0005-0000-0000-00006A0A0000}"/>
    <cellStyle name="Финансовый 2 3 7 3 4" xfId="781" xr:uid="{00000000-0005-0000-0000-00006B0A0000}"/>
    <cellStyle name="Финансовый 2 3 7 3 5" xfId="2958" xr:uid="{00000000-0005-0000-0000-00006C0A0000}"/>
    <cellStyle name="Финансовый 2 3 7 3 6" xfId="4602" xr:uid="{00000000-0005-0000-0000-00006D0A0000}"/>
    <cellStyle name="Финансовый 2 3 7 4" xfId="1493" xr:uid="{00000000-0005-0000-0000-00006E0A0000}"/>
    <cellStyle name="Финансовый 2 3 7 4 2" xfId="1884" xr:uid="{00000000-0005-0000-0000-00006F0A0000}"/>
    <cellStyle name="Финансовый 2 3 7 4 2 2" xfId="3529" xr:uid="{00000000-0005-0000-0000-0000700A0000}"/>
    <cellStyle name="Финансовый 2 3 7 4 2 3" xfId="5312" xr:uid="{00000000-0005-0000-0000-0000710A0000}"/>
    <cellStyle name="Финансовый 2 3 7 4 3" xfId="4921" xr:uid="{00000000-0005-0000-0000-0000720A0000}"/>
    <cellStyle name="Финансовый 2 3 7 5" xfId="1760" xr:uid="{00000000-0005-0000-0000-0000730A0000}"/>
    <cellStyle name="Финансовый 2 3 7 5 2" xfId="3405" xr:uid="{00000000-0005-0000-0000-0000740A0000}"/>
    <cellStyle name="Финансовый 2 3 7 5 3" xfId="5188" xr:uid="{00000000-0005-0000-0000-0000750A0000}"/>
    <cellStyle name="Финансовый 2 3 7 6" xfId="2405" xr:uid="{00000000-0005-0000-0000-0000760A0000}"/>
    <cellStyle name="Финансовый 2 3 7 6 2" xfId="4050" xr:uid="{00000000-0005-0000-0000-0000770A0000}"/>
    <cellStyle name="Финансовый 2 3 7 6 3" xfId="5833" xr:uid="{00000000-0005-0000-0000-0000780A0000}"/>
    <cellStyle name="Финансовый 2 3 7 7" xfId="1632" xr:uid="{00000000-0005-0000-0000-0000790A0000}"/>
    <cellStyle name="Финансовый 2 3 7 7 2" xfId="3277" xr:uid="{00000000-0005-0000-0000-00007A0A0000}"/>
    <cellStyle name="Финансовый 2 3 7 7 3" xfId="5060" xr:uid="{00000000-0005-0000-0000-00007B0A0000}"/>
    <cellStyle name="Финансовый 2 3 7 8" xfId="909" xr:uid="{00000000-0005-0000-0000-00007C0A0000}"/>
    <cellStyle name="Финансовый 2 3 7 9" xfId="497" xr:uid="{00000000-0005-0000-0000-00007D0A0000}"/>
    <cellStyle name="Финансовый 2 3 8" xfId="54" xr:uid="{00000000-0005-0000-0000-00007E0A0000}"/>
    <cellStyle name="Финансовый 2 3 8 10" xfId="2666" xr:uid="{00000000-0005-0000-0000-00007F0A0000}"/>
    <cellStyle name="Финансовый 2 3 8 11" xfId="4309" xr:uid="{00000000-0005-0000-0000-0000800A0000}"/>
    <cellStyle name="Финансовый 2 3 8 2" xfId="192" xr:uid="{00000000-0005-0000-0000-0000810A0000}"/>
    <cellStyle name="Финансовый 2 3 8 2 2" xfId="1290" xr:uid="{00000000-0005-0000-0000-0000820A0000}"/>
    <cellStyle name="Финансовый 2 3 8 2 2 2" xfId="2256" xr:uid="{00000000-0005-0000-0000-0000830A0000}"/>
    <cellStyle name="Финансовый 2 3 8 2 2 2 2" xfId="3901" xr:uid="{00000000-0005-0000-0000-0000840A0000}"/>
    <cellStyle name="Финансовый 2 3 8 2 2 2 3" xfId="5684" xr:uid="{00000000-0005-0000-0000-0000850A0000}"/>
    <cellStyle name="Финансовый 2 3 8 2 2 3" xfId="3074" xr:uid="{00000000-0005-0000-0000-0000860A0000}"/>
    <cellStyle name="Финансовый 2 3 8 2 2 4" xfId="4718" xr:uid="{00000000-0005-0000-0000-0000870A0000}"/>
    <cellStyle name="Финансовый 2 3 8 2 3" xfId="2000" xr:uid="{00000000-0005-0000-0000-0000880A0000}"/>
    <cellStyle name="Финансовый 2 3 8 2 3 2" xfId="3645" xr:uid="{00000000-0005-0000-0000-0000890A0000}"/>
    <cellStyle name="Финансовый 2 3 8 2 3 3" xfId="5428" xr:uid="{00000000-0005-0000-0000-00008A0A0000}"/>
    <cellStyle name="Финансовый 2 3 8 2 4" xfId="2521" xr:uid="{00000000-0005-0000-0000-00008B0A0000}"/>
    <cellStyle name="Финансовый 2 3 8 2 4 2" xfId="4166" xr:uid="{00000000-0005-0000-0000-00008C0A0000}"/>
    <cellStyle name="Финансовый 2 3 8 2 4 3" xfId="5949" xr:uid="{00000000-0005-0000-0000-00008D0A0000}"/>
    <cellStyle name="Финансовый 2 3 8 2 5" xfId="1025" xr:uid="{00000000-0005-0000-0000-00008E0A0000}"/>
    <cellStyle name="Финансовый 2 3 8 2 6" xfId="613" xr:uid="{00000000-0005-0000-0000-00008F0A0000}"/>
    <cellStyle name="Финансовый 2 3 8 2 7" xfId="2802" xr:uid="{00000000-0005-0000-0000-0000900A0000}"/>
    <cellStyle name="Финансовый 2 3 8 2 8" xfId="4446" xr:uid="{00000000-0005-0000-0000-0000910A0000}"/>
    <cellStyle name="Финансовый 2 3 8 3" xfId="341" xr:uid="{00000000-0005-0000-0000-0000920A0000}"/>
    <cellStyle name="Финансовый 2 3 8 3 2" xfId="2128" xr:uid="{00000000-0005-0000-0000-0000930A0000}"/>
    <cellStyle name="Финансовый 2 3 8 3 2 2" xfId="3773" xr:uid="{00000000-0005-0000-0000-0000940A0000}"/>
    <cellStyle name="Финансовый 2 3 8 3 2 3" xfId="5556" xr:uid="{00000000-0005-0000-0000-0000950A0000}"/>
    <cellStyle name="Финансовый 2 3 8 3 3" xfId="1161" xr:uid="{00000000-0005-0000-0000-0000960A0000}"/>
    <cellStyle name="Финансовый 2 3 8 3 4" xfId="761" xr:uid="{00000000-0005-0000-0000-0000970A0000}"/>
    <cellStyle name="Финансовый 2 3 8 3 5" xfId="2938" xr:uid="{00000000-0005-0000-0000-0000980A0000}"/>
    <cellStyle name="Финансовый 2 3 8 3 6" xfId="4582" xr:uid="{00000000-0005-0000-0000-0000990A0000}"/>
    <cellStyle name="Финансовый 2 3 8 4" xfId="1494" xr:uid="{00000000-0005-0000-0000-00009A0A0000}"/>
    <cellStyle name="Финансовый 2 3 8 4 2" xfId="1864" xr:uid="{00000000-0005-0000-0000-00009B0A0000}"/>
    <cellStyle name="Финансовый 2 3 8 4 2 2" xfId="3509" xr:uid="{00000000-0005-0000-0000-00009C0A0000}"/>
    <cellStyle name="Финансовый 2 3 8 4 2 3" xfId="5292" xr:uid="{00000000-0005-0000-0000-00009D0A0000}"/>
    <cellStyle name="Финансовый 2 3 8 4 3" xfId="4922" xr:uid="{00000000-0005-0000-0000-00009E0A0000}"/>
    <cellStyle name="Финансовый 2 3 8 5" xfId="1748" xr:uid="{00000000-0005-0000-0000-00009F0A0000}"/>
    <cellStyle name="Финансовый 2 3 8 5 2" xfId="3393" xr:uid="{00000000-0005-0000-0000-0000A00A0000}"/>
    <cellStyle name="Финансовый 2 3 8 5 3" xfId="5176" xr:uid="{00000000-0005-0000-0000-0000A10A0000}"/>
    <cellStyle name="Финансовый 2 3 8 6" xfId="2384" xr:uid="{00000000-0005-0000-0000-0000A20A0000}"/>
    <cellStyle name="Финансовый 2 3 8 6 2" xfId="4029" xr:uid="{00000000-0005-0000-0000-0000A30A0000}"/>
    <cellStyle name="Финансовый 2 3 8 6 3" xfId="5812" xr:uid="{00000000-0005-0000-0000-0000A40A0000}"/>
    <cellStyle name="Финансовый 2 3 8 7" xfId="1611" xr:uid="{00000000-0005-0000-0000-0000A50A0000}"/>
    <cellStyle name="Финансовый 2 3 8 7 2" xfId="3256" xr:uid="{00000000-0005-0000-0000-0000A60A0000}"/>
    <cellStyle name="Финансовый 2 3 8 7 3" xfId="5039" xr:uid="{00000000-0005-0000-0000-0000A70A0000}"/>
    <cellStyle name="Финансовый 2 3 8 8" xfId="897" xr:uid="{00000000-0005-0000-0000-0000A80A0000}"/>
    <cellStyle name="Финансовый 2 3 8 9" xfId="477" xr:uid="{00000000-0005-0000-0000-0000A90A0000}"/>
    <cellStyle name="Финансовый 2 3 9" xfId="132" xr:uid="{00000000-0005-0000-0000-0000AA0A0000}"/>
    <cellStyle name="Финансовый 2 3 9 10" xfId="2742" xr:uid="{00000000-0005-0000-0000-0000AB0A0000}"/>
    <cellStyle name="Финансовый 2 3 9 11" xfId="4386" xr:uid="{00000000-0005-0000-0000-0000AC0A0000}"/>
    <cellStyle name="Финансовый 2 3 9 2" xfId="268" xr:uid="{00000000-0005-0000-0000-0000AD0A0000}"/>
    <cellStyle name="Финансовый 2 3 9 2 2" xfId="1366" xr:uid="{00000000-0005-0000-0000-0000AE0A0000}"/>
    <cellStyle name="Финансовый 2 3 9 2 2 2" xfId="2324" xr:uid="{00000000-0005-0000-0000-0000AF0A0000}"/>
    <cellStyle name="Финансовый 2 3 9 2 2 2 2" xfId="3969" xr:uid="{00000000-0005-0000-0000-0000B00A0000}"/>
    <cellStyle name="Финансовый 2 3 9 2 2 2 3" xfId="5752" xr:uid="{00000000-0005-0000-0000-0000B10A0000}"/>
    <cellStyle name="Финансовый 2 3 9 2 2 3" xfId="3150" xr:uid="{00000000-0005-0000-0000-0000B20A0000}"/>
    <cellStyle name="Финансовый 2 3 9 2 2 4" xfId="4794" xr:uid="{00000000-0005-0000-0000-0000B30A0000}"/>
    <cellStyle name="Финансовый 2 3 9 2 3" xfId="2068" xr:uid="{00000000-0005-0000-0000-0000B40A0000}"/>
    <cellStyle name="Финансовый 2 3 9 2 3 2" xfId="3713" xr:uid="{00000000-0005-0000-0000-0000B50A0000}"/>
    <cellStyle name="Финансовый 2 3 9 2 3 3" xfId="5496" xr:uid="{00000000-0005-0000-0000-0000B60A0000}"/>
    <cellStyle name="Финансовый 2 3 9 2 4" xfId="2597" xr:uid="{00000000-0005-0000-0000-0000B70A0000}"/>
    <cellStyle name="Финансовый 2 3 9 2 4 2" xfId="4242" xr:uid="{00000000-0005-0000-0000-0000B80A0000}"/>
    <cellStyle name="Финансовый 2 3 9 2 4 3" xfId="6025" xr:uid="{00000000-0005-0000-0000-0000B90A0000}"/>
    <cellStyle name="Финансовый 2 3 9 2 5" xfId="1101" xr:uid="{00000000-0005-0000-0000-0000BA0A0000}"/>
    <cellStyle name="Финансовый 2 3 9 2 6" xfId="689" xr:uid="{00000000-0005-0000-0000-0000BB0A0000}"/>
    <cellStyle name="Финансовый 2 3 9 2 7" xfId="2878" xr:uid="{00000000-0005-0000-0000-0000BC0A0000}"/>
    <cellStyle name="Финансовый 2 3 9 2 8" xfId="4522" xr:uid="{00000000-0005-0000-0000-0000BD0A0000}"/>
    <cellStyle name="Финансовый 2 3 9 3" xfId="417" xr:uid="{00000000-0005-0000-0000-0000BE0A0000}"/>
    <cellStyle name="Финансовый 2 3 9 3 2" xfId="2196" xr:uid="{00000000-0005-0000-0000-0000BF0A0000}"/>
    <cellStyle name="Финансовый 2 3 9 3 2 2" xfId="3841" xr:uid="{00000000-0005-0000-0000-0000C00A0000}"/>
    <cellStyle name="Финансовый 2 3 9 3 2 3" xfId="5624" xr:uid="{00000000-0005-0000-0000-0000C10A0000}"/>
    <cellStyle name="Финансовый 2 3 9 3 3" xfId="1230" xr:uid="{00000000-0005-0000-0000-0000C20A0000}"/>
    <cellStyle name="Финансовый 2 3 9 3 4" xfId="837" xr:uid="{00000000-0005-0000-0000-0000C30A0000}"/>
    <cellStyle name="Финансовый 2 3 9 3 5" xfId="3014" xr:uid="{00000000-0005-0000-0000-0000C40A0000}"/>
    <cellStyle name="Финансовый 2 3 9 3 6" xfId="4658" xr:uid="{00000000-0005-0000-0000-0000C50A0000}"/>
    <cellStyle name="Финансовый 2 3 9 4" xfId="1495" xr:uid="{00000000-0005-0000-0000-0000C60A0000}"/>
    <cellStyle name="Финансовый 2 3 9 4 2" xfId="1940" xr:uid="{00000000-0005-0000-0000-0000C70A0000}"/>
    <cellStyle name="Финансовый 2 3 9 4 2 2" xfId="3585" xr:uid="{00000000-0005-0000-0000-0000C80A0000}"/>
    <cellStyle name="Финансовый 2 3 9 4 2 3" xfId="5368" xr:uid="{00000000-0005-0000-0000-0000C90A0000}"/>
    <cellStyle name="Финансовый 2 3 9 4 3" xfId="4923" xr:uid="{00000000-0005-0000-0000-0000CA0A0000}"/>
    <cellStyle name="Финансовый 2 3 9 5" xfId="1816" xr:uid="{00000000-0005-0000-0000-0000CB0A0000}"/>
    <cellStyle name="Финансовый 2 3 9 5 2" xfId="3461" xr:uid="{00000000-0005-0000-0000-0000CC0A0000}"/>
    <cellStyle name="Финансовый 2 3 9 5 3" xfId="5244" xr:uid="{00000000-0005-0000-0000-0000CD0A0000}"/>
    <cellStyle name="Финансовый 2 3 9 6" xfId="2461" xr:uid="{00000000-0005-0000-0000-0000CE0A0000}"/>
    <cellStyle name="Финансовый 2 3 9 6 2" xfId="4106" xr:uid="{00000000-0005-0000-0000-0000CF0A0000}"/>
    <cellStyle name="Финансовый 2 3 9 6 3" xfId="5889" xr:uid="{00000000-0005-0000-0000-0000D00A0000}"/>
    <cellStyle name="Финансовый 2 3 9 7" xfId="1688" xr:uid="{00000000-0005-0000-0000-0000D10A0000}"/>
    <cellStyle name="Финансовый 2 3 9 7 2" xfId="3333" xr:uid="{00000000-0005-0000-0000-0000D20A0000}"/>
    <cellStyle name="Финансовый 2 3 9 7 3" xfId="5116" xr:uid="{00000000-0005-0000-0000-0000D30A0000}"/>
    <cellStyle name="Финансовый 2 3 9 8" xfId="965" xr:uid="{00000000-0005-0000-0000-0000D40A0000}"/>
    <cellStyle name="Финансовый 2 3 9 9" xfId="553" xr:uid="{00000000-0005-0000-0000-0000D50A0000}"/>
    <cellStyle name="Финансовый 2 4" xfId="8" xr:uid="{00000000-0005-0000-0000-0000D60A0000}"/>
    <cellStyle name="Финансовый 2 4 10" xfId="282" xr:uid="{00000000-0005-0000-0000-0000D70A0000}"/>
    <cellStyle name="Финансовый 2 4 10 2" xfId="2082" xr:uid="{00000000-0005-0000-0000-0000D80A0000}"/>
    <cellStyle name="Финансовый 2 4 10 2 2" xfId="3727" xr:uid="{00000000-0005-0000-0000-0000D90A0000}"/>
    <cellStyle name="Финансовый 2 4 10 2 3" xfId="5510" xr:uid="{00000000-0005-0000-0000-0000DA0A0000}"/>
    <cellStyle name="Финансовый 2 4 10 3" xfId="1380" xr:uid="{00000000-0005-0000-0000-0000DB0A0000}"/>
    <cellStyle name="Финансовый 2 4 10 4" xfId="703" xr:uid="{00000000-0005-0000-0000-0000DC0A0000}"/>
    <cellStyle name="Финансовый 2 4 10 5" xfId="3164" xr:uid="{00000000-0005-0000-0000-0000DD0A0000}"/>
    <cellStyle name="Финансовый 2 4 10 6" xfId="4808" xr:uid="{00000000-0005-0000-0000-0000DE0A0000}"/>
    <cellStyle name="Финансовый 2 4 11" xfId="295" xr:uid="{00000000-0005-0000-0000-0000DF0A0000}"/>
    <cellStyle name="Финансовый 2 4 11 2" xfId="1115" xr:uid="{00000000-0005-0000-0000-0000E00A0000}"/>
    <cellStyle name="Финансовый 2 4 11 3" xfId="715" xr:uid="{00000000-0005-0000-0000-0000E10A0000}"/>
    <cellStyle name="Финансовый 2 4 11 4" xfId="2892" xr:uid="{00000000-0005-0000-0000-0000E20A0000}"/>
    <cellStyle name="Финансовый 2 4 11 5" xfId="4536" xr:uid="{00000000-0005-0000-0000-0000E30A0000}"/>
    <cellStyle name="Финансовый 2 4 12" xfId="1497" xr:uid="{00000000-0005-0000-0000-0000E40A0000}"/>
    <cellStyle name="Финансовый 2 4 12 2" xfId="1702" xr:uid="{00000000-0005-0000-0000-0000E50A0000}"/>
    <cellStyle name="Финансовый 2 4 12 2 2" xfId="3347" xr:uid="{00000000-0005-0000-0000-0000E60A0000}"/>
    <cellStyle name="Финансовый 2 4 12 2 3" xfId="5130" xr:uid="{00000000-0005-0000-0000-0000E70A0000}"/>
    <cellStyle name="Финансовый 2 4 12 3" xfId="4925" xr:uid="{00000000-0005-0000-0000-0000E80A0000}"/>
    <cellStyle name="Финансовый 2 4 13" xfId="2338" xr:uid="{00000000-0005-0000-0000-0000E90A0000}"/>
    <cellStyle name="Финансовый 2 4 13 2" xfId="3983" xr:uid="{00000000-0005-0000-0000-0000EA0A0000}"/>
    <cellStyle name="Финансовый 2 4 13 3" xfId="5766" xr:uid="{00000000-0005-0000-0000-0000EB0A0000}"/>
    <cellStyle name="Финансовый 2 4 14" xfId="1565" xr:uid="{00000000-0005-0000-0000-0000EC0A0000}"/>
    <cellStyle name="Финансовый 2 4 14 2" xfId="3210" xr:uid="{00000000-0005-0000-0000-0000ED0A0000}"/>
    <cellStyle name="Финансовый 2 4 14 3" xfId="4993" xr:uid="{00000000-0005-0000-0000-0000EE0A0000}"/>
    <cellStyle name="Финансовый 2 4 15" xfId="851" xr:uid="{00000000-0005-0000-0000-0000EF0A0000}"/>
    <cellStyle name="Финансовый 2 4 16" xfId="431" xr:uid="{00000000-0005-0000-0000-0000F00A0000}"/>
    <cellStyle name="Финансовый 2 4 17" xfId="2620" xr:uid="{00000000-0005-0000-0000-0000F10A0000}"/>
    <cellStyle name="Финансовый 2 4 18" xfId="4263" xr:uid="{00000000-0005-0000-0000-0000F20A0000}"/>
    <cellStyle name="Финансовый 2 4 2" xfId="44" xr:uid="{00000000-0005-0000-0000-0000F30A0000}"/>
    <cellStyle name="Финансовый 2 4 2 10" xfId="467" xr:uid="{00000000-0005-0000-0000-0000F40A0000}"/>
    <cellStyle name="Финансовый 2 4 2 11" xfId="2656" xr:uid="{00000000-0005-0000-0000-0000F50A0000}"/>
    <cellStyle name="Финансовый 2 4 2 12" xfId="4299" xr:uid="{00000000-0005-0000-0000-0000F60A0000}"/>
    <cellStyle name="Финансовый 2 4 2 2" xfId="102" xr:uid="{00000000-0005-0000-0000-0000F70A0000}"/>
    <cellStyle name="Финансовый 2 4 2 2 10" xfId="2712" xr:uid="{00000000-0005-0000-0000-0000F80A0000}"/>
    <cellStyle name="Финансовый 2 4 2 2 11" xfId="4356" xr:uid="{00000000-0005-0000-0000-0000F90A0000}"/>
    <cellStyle name="Финансовый 2 4 2 2 2" xfId="238" xr:uid="{00000000-0005-0000-0000-0000FA0A0000}"/>
    <cellStyle name="Финансовый 2 4 2 2 2 2" xfId="1336" xr:uid="{00000000-0005-0000-0000-0000FB0A0000}"/>
    <cellStyle name="Финансовый 2 4 2 2 2 2 2" xfId="2294" xr:uid="{00000000-0005-0000-0000-0000FC0A0000}"/>
    <cellStyle name="Финансовый 2 4 2 2 2 2 2 2" xfId="3939" xr:uid="{00000000-0005-0000-0000-0000FD0A0000}"/>
    <cellStyle name="Финансовый 2 4 2 2 2 2 2 3" xfId="5722" xr:uid="{00000000-0005-0000-0000-0000FE0A0000}"/>
    <cellStyle name="Финансовый 2 4 2 2 2 2 3" xfId="3120" xr:uid="{00000000-0005-0000-0000-0000FF0A0000}"/>
    <cellStyle name="Финансовый 2 4 2 2 2 2 4" xfId="4764" xr:uid="{00000000-0005-0000-0000-0000000B0000}"/>
    <cellStyle name="Финансовый 2 4 2 2 2 3" xfId="2038" xr:uid="{00000000-0005-0000-0000-0000010B0000}"/>
    <cellStyle name="Финансовый 2 4 2 2 2 3 2" xfId="3683" xr:uid="{00000000-0005-0000-0000-0000020B0000}"/>
    <cellStyle name="Финансовый 2 4 2 2 2 3 3" xfId="5466" xr:uid="{00000000-0005-0000-0000-0000030B0000}"/>
    <cellStyle name="Финансовый 2 4 2 2 2 4" xfId="2567" xr:uid="{00000000-0005-0000-0000-0000040B0000}"/>
    <cellStyle name="Финансовый 2 4 2 2 2 4 2" xfId="4212" xr:uid="{00000000-0005-0000-0000-0000050B0000}"/>
    <cellStyle name="Финансовый 2 4 2 2 2 4 3" xfId="5995" xr:uid="{00000000-0005-0000-0000-0000060B0000}"/>
    <cellStyle name="Финансовый 2 4 2 2 2 5" xfId="1071" xr:uid="{00000000-0005-0000-0000-0000070B0000}"/>
    <cellStyle name="Финансовый 2 4 2 2 2 6" xfId="659" xr:uid="{00000000-0005-0000-0000-0000080B0000}"/>
    <cellStyle name="Финансовый 2 4 2 2 2 7" xfId="2848" xr:uid="{00000000-0005-0000-0000-0000090B0000}"/>
    <cellStyle name="Финансовый 2 4 2 2 2 8" xfId="4492" xr:uid="{00000000-0005-0000-0000-00000A0B0000}"/>
    <cellStyle name="Финансовый 2 4 2 2 3" xfId="387" xr:uid="{00000000-0005-0000-0000-00000B0B0000}"/>
    <cellStyle name="Финансовый 2 4 2 2 3 2" xfId="2166" xr:uid="{00000000-0005-0000-0000-00000C0B0000}"/>
    <cellStyle name="Финансовый 2 4 2 2 3 2 2" xfId="3811" xr:uid="{00000000-0005-0000-0000-00000D0B0000}"/>
    <cellStyle name="Финансовый 2 4 2 2 3 2 3" xfId="5594" xr:uid="{00000000-0005-0000-0000-00000E0B0000}"/>
    <cellStyle name="Финансовый 2 4 2 2 3 3" xfId="1200" xr:uid="{00000000-0005-0000-0000-00000F0B0000}"/>
    <cellStyle name="Финансовый 2 4 2 2 3 4" xfId="807" xr:uid="{00000000-0005-0000-0000-0000100B0000}"/>
    <cellStyle name="Финансовый 2 4 2 2 3 5" xfId="2984" xr:uid="{00000000-0005-0000-0000-0000110B0000}"/>
    <cellStyle name="Финансовый 2 4 2 2 3 6" xfId="4628" xr:uid="{00000000-0005-0000-0000-0000120B0000}"/>
    <cellStyle name="Финансовый 2 4 2 2 4" xfId="1499" xr:uid="{00000000-0005-0000-0000-0000130B0000}"/>
    <cellStyle name="Финансовый 2 4 2 2 4 2" xfId="1910" xr:uid="{00000000-0005-0000-0000-0000140B0000}"/>
    <cellStyle name="Финансовый 2 4 2 2 4 2 2" xfId="3555" xr:uid="{00000000-0005-0000-0000-0000150B0000}"/>
    <cellStyle name="Финансовый 2 4 2 2 4 2 3" xfId="5338" xr:uid="{00000000-0005-0000-0000-0000160B0000}"/>
    <cellStyle name="Финансовый 2 4 2 2 4 3" xfId="4927" xr:uid="{00000000-0005-0000-0000-0000170B0000}"/>
    <cellStyle name="Финансовый 2 4 2 2 5" xfId="1786" xr:uid="{00000000-0005-0000-0000-0000180B0000}"/>
    <cellStyle name="Финансовый 2 4 2 2 5 2" xfId="3431" xr:uid="{00000000-0005-0000-0000-0000190B0000}"/>
    <cellStyle name="Финансовый 2 4 2 2 5 3" xfId="5214" xr:uid="{00000000-0005-0000-0000-00001A0B0000}"/>
    <cellStyle name="Финансовый 2 4 2 2 6" xfId="2431" xr:uid="{00000000-0005-0000-0000-00001B0B0000}"/>
    <cellStyle name="Финансовый 2 4 2 2 6 2" xfId="4076" xr:uid="{00000000-0005-0000-0000-00001C0B0000}"/>
    <cellStyle name="Финансовый 2 4 2 2 6 3" xfId="5859" xr:uid="{00000000-0005-0000-0000-00001D0B0000}"/>
    <cellStyle name="Финансовый 2 4 2 2 7" xfId="1658" xr:uid="{00000000-0005-0000-0000-00001E0B0000}"/>
    <cellStyle name="Финансовый 2 4 2 2 7 2" xfId="3303" xr:uid="{00000000-0005-0000-0000-00001F0B0000}"/>
    <cellStyle name="Финансовый 2 4 2 2 7 3" xfId="5086" xr:uid="{00000000-0005-0000-0000-0000200B0000}"/>
    <cellStyle name="Финансовый 2 4 2 2 8" xfId="935" xr:uid="{00000000-0005-0000-0000-0000210B0000}"/>
    <cellStyle name="Финансовый 2 4 2 2 9" xfId="523" xr:uid="{00000000-0005-0000-0000-0000220B0000}"/>
    <cellStyle name="Финансовый 2 4 2 3" xfId="182" xr:uid="{00000000-0005-0000-0000-0000230B0000}"/>
    <cellStyle name="Финансовый 2 4 2 3 2" xfId="1280" xr:uid="{00000000-0005-0000-0000-0000240B0000}"/>
    <cellStyle name="Финансовый 2 4 2 3 2 2" xfId="2246" xr:uid="{00000000-0005-0000-0000-0000250B0000}"/>
    <cellStyle name="Финансовый 2 4 2 3 2 2 2" xfId="3891" xr:uid="{00000000-0005-0000-0000-0000260B0000}"/>
    <cellStyle name="Финансовый 2 4 2 3 2 2 3" xfId="5674" xr:uid="{00000000-0005-0000-0000-0000270B0000}"/>
    <cellStyle name="Финансовый 2 4 2 3 2 3" xfId="3064" xr:uid="{00000000-0005-0000-0000-0000280B0000}"/>
    <cellStyle name="Финансовый 2 4 2 3 2 4" xfId="4708" xr:uid="{00000000-0005-0000-0000-0000290B0000}"/>
    <cellStyle name="Финансовый 2 4 2 3 3" xfId="1990" xr:uid="{00000000-0005-0000-0000-00002A0B0000}"/>
    <cellStyle name="Финансовый 2 4 2 3 3 2" xfId="3635" xr:uid="{00000000-0005-0000-0000-00002B0B0000}"/>
    <cellStyle name="Финансовый 2 4 2 3 3 3" xfId="5418" xr:uid="{00000000-0005-0000-0000-00002C0B0000}"/>
    <cellStyle name="Финансовый 2 4 2 3 4" xfId="2511" xr:uid="{00000000-0005-0000-0000-00002D0B0000}"/>
    <cellStyle name="Финансовый 2 4 2 3 4 2" xfId="4156" xr:uid="{00000000-0005-0000-0000-00002E0B0000}"/>
    <cellStyle name="Финансовый 2 4 2 3 4 3" xfId="5939" xr:uid="{00000000-0005-0000-0000-00002F0B0000}"/>
    <cellStyle name="Финансовый 2 4 2 3 5" xfId="1015" xr:uid="{00000000-0005-0000-0000-0000300B0000}"/>
    <cellStyle name="Финансовый 2 4 2 3 6" xfId="603" xr:uid="{00000000-0005-0000-0000-0000310B0000}"/>
    <cellStyle name="Финансовый 2 4 2 3 7" xfId="2792" xr:uid="{00000000-0005-0000-0000-0000320B0000}"/>
    <cellStyle name="Финансовый 2 4 2 3 8" xfId="4436" xr:uid="{00000000-0005-0000-0000-0000330B0000}"/>
    <cellStyle name="Финансовый 2 4 2 4" xfId="331" xr:uid="{00000000-0005-0000-0000-0000340B0000}"/>
    <cellStyle name="Финансовый 2 4 2 4 2" xfId="2118" xr:uid="{00000000-0005-0000-0000-0000350B0000}"/>
    <cellStyle name="Финансовый 2 4 2 4 2 2" xfId="3763" xr:uid="{00000000-0005-0000-0000-0000360B0000}"/>
    <cellStyle name="Финансовый 2 4 2 4 2 3" xfId="5546" xr:uid="{00000000-0005-0000-0000-0000370B0000}"/>
    <cellStyle name="Финансовый 2 4 2 4 3" xfId="1151" xr:uid="{00000000-0005-0000-0000-0000380B0000}"/>
    <cellStyle name="Финансовый 2 4 2 4 4" xfId="751" xr:uid="{00000000-0005-0000-0000-0000390B0000}"/>
    <cellStyle name="Финансовый 2 4 2 4 5" xfId="2928" xr:uid="{00000000-0005-0000-0000-00003A0B0000}"/>
    <cellStyle name="Финансовый 2 4 2 4 6" xfId="4572" xr:uid="{00000000-0005-0000-0000-00003B0B0000}"/>
    <cellStyle name="Финансовый 2 4 2 5" xfId="1498" xr:uid="{00000000-0005-0000-0000-00003C0B0000}"/>
    <cellStyle name="Финансовый 2 4 2 5 2" xfId="1854" xr:uid="{00000000-0005-0000-0000-00003D0B0000}"/>
    <cellStyle name="Финансовый 2 4 2 5 2 2" xfId="3499" xr:uid="{00000000-0005-0000-0000-00003E0B0000}"/>
    <cellStyle name="Финансовый 2 4 2 5 2 3" xfId="5282" xr:uid="{00000000-0005-0000-0000-00003F0B0000}"/>
    <cellStyle name="Финансовый 2 4 2 5 3" xfId="4926" xr:uid="{00000000-0005-0000-0000-0000400B0000}"/>
    <cellStyle name="Финансовый 2 4 2 6" xfId="1738" xr:uid="{00000000-0005-0000-0000-0000410B0000}"/>
    <cellStyle name="Финансовый 2 4 2 6 2" xfId="3383" xr:uid="{00000000-0005-0000-0000-0000420B0000}"/>
    <cellStyle name="Финансовый 2 4 2 6 3" xfId="5166" xr:uid="{00000000-0005-0000-0000-0000430B0000}"/>
    <cellStyle name="Финансовый 2 4 2 7" xfId="2374" xr:uid="{00000000-0005-0000-0000-0000440B0000}"/>
    <cellStyle name="Финансовый 2 4 2 7 2" xfId="4019" xr:uid="{00000000-0005-0000-0000-0000450B0000}"/>
    <cellStyle name="Финансовый 2 4 2 7 3" xfId="5802" xr:uid="{00000000-0005-0000-0000-0000460B0000}"/>
    <cellStyle name="Финансовый 2 4 2 8" xfId="1601" xr:uid="{00000000-0005-0000-0000-0000470B0000}"/>
    <cellStyle name="Финансовый 2 4 2 8 2" xfId="3246" xr:uid="{00000000-0005-0000-0000-0000480B0000}"/>
    <cellStyle name="Финансовый 2 4 2 8 3" xfId="5029" xr:uid="{00000000-0005-0000-0000-0000490B0000}"/>
    <cellStyle name="Финансовый 2 4 2 9" xfId="887" xr:uid="{00000000-0005-0000-0000-00004A0B0000}"/>
    <cellStyle name="Финансовый 2 4 3" xfId="114" xr:uid="{00000000-0005-0000-0000-00004B0B0000}"/>
    <cellStyle name="Финансовый 2 4 3 10" xfId="2724" xr:uid="{00000000-0005-0000-0000-00004C0B0000}"/>
    <cellStyle name="Финансовый 2 4 3 11" xfId="4368" xr:uid="{00000000-0005-0000-0000-00004D0B0000}"/>
    <cellStyle name="Финансовый 2 4 3 2" xfId="250" xr:uid="{00000000-0005-0000-0000-00004E0B0000}"/>
    <cellStyle name="Финансовый 2 4 3 2 2" xfId="1348" xr:uid="{00000000-0005-0000-0000-00004F0B0000}"/>
    <cellStyle name="Финансовый 2 4 3 2 2 2" xfId="2306" xr:uid="{00000000-0005-0000-0000-0000500B0000}"/>
    <cellStyle name="Финансовый 2 4 3 2 2 2 2" xfId="3951" xr:uid="{00000000-0005-0000-0000-0000510B0000}"/>
    <cellStyle name="Финансовый 2 4 3 2 2 2 3" xfId="5734" xr:uid="{00000000-0005-0000-0000-0000520B0000}"/>
    <cellStyle name="Финансовый 2 4 3 2 2 3" xfId="3132" xr:uid="{00000000-0005-0000-0000-0000530B0000}"/>
    <cellStyle name="Финансовый 2 4 3 2 2 4" xfId="4776" xr:uid="{00000000-0005-0000-0000-0000540B0000}"/>
    <cellStyle name="Финансовый 2 4 3 2 3" xfId="2050" xr:uid="{00000000-0005-0000-0000-0000550B0000}"/>
    <cellStyle name="Финансовый 2 4 3 2 3 2" xfId="3695" xr:uid="{00000000-0005-0000-0000-0000560B0000}"/>
    <cellStyle name="Финансовый 2 4 3 2 3 3" xfId="5478" xr:uid="{00000000-0005-0000-0000-0000570B0000}"/>
    <cellStyle name="Финансовый 2 4 3 2 4" xfId="2579" xr:uid="{00000000-0005-0000-0000-0000580B0000}"/>
    <cellStyle name="Финансовый 2 4 3 2 4 2" xfId="4224" xr:uid="{00000000-0005-0000-0000-0000590B0000}"/>
    <cellStyle name="Финансовый 2 4 3 2 4 3" xfId="6007" xr:uid="{00000000-0005-0000-0000-00005A0B0000}"/>
    <cellStyle name="Финансовый 2 4 3 2 5" xfId="1083" xr:uid="{00000000-0005-0000-0000-00005B0B0000}"/>
    <cellStyle name="Финансовый 2 4 3 2 6" xfId="671" xr:uid="{00000000-0005-0000-0000-00005C0B0000}"/>
    <cellStyle name="Финансовый 2 4 3 2 7" xfId="2860" xr:uid="{00000000-0005-0000-0000-00005D0B0000}"/>
    <cellStyle name="Финансовый 2 4 3 2 8" xfId="4504" xr:uid="{00000000-0005-0000-0000-00005E0B0000}"/>
    <cellStyle name="Финансовый 2 4 3 3" xfId="399" xr:uid="{00000000-0005-0000-0000-00005F0B0000}"/>
    <cellStyle name="Финансовый 2 4 3 3 2" xfId="2178" xr:uid="{00000000-0005-0000-0000-0000600B0000}"/>
    <cellStyle name="Финансовый 2 4 3 3 2 2" xfId="3823" xr:uid="{00000000-0005-0000-0000-0000610B0000}"/>
    <cellStyle name="Финансовый 2 4 3 3 2 3" xfId="5606" xr:uid="{00000000-0005-0000-0000-0000620B0000}"/>
    <cellStyle name="Финансовый 2 4 3 3 3" xfId="1212" xr:uid="{00000000-0005-0000-0000-0000630B0000}"/>
    <cellStyle name="Финансовый 2 4 3 3 4" xfId="819" xr:uid="{00000000-0005-0000-0000-0000640B0000}"/>
    <cellStyle name="Финансовый 2 4 3 3 5" xfId="2996" xr:uid="{00000000-0005-0000-0000-0000650B0000}"/>
    <cellStyle name="Финансовый 2 4 3 3 6" xfId="4640" xr:uid="{00000000-0005-0000-0000-0000660B0000}"/>
    <cellStyle name="Финансовый 2 4 3 4" xfId="1500" xr:uid="{00000000-0005-0000-0000-0000670B0000}"/>
    <cellStyle name="Финансовый 2 4 3 4 2" xfId="1922" xr:uid="{00000000-0005-0000-0000-0000680B0000}"/>
    <cellStyle name="Финансовый 2 4 3 4 2 2" xfId="3567" xr:uid="{00000000-0005-0000-0000-0000690B0000}"/>
    <cellStyle name="Финансовый 2 4 3 4 2 3" xfId="5350" xr:uid="{00000000-0005-0000-0000-00006A0B0000}"/>
    <cellStyle name="Финансовый 2 4 3 4 3" xfId="4928" xr:uid="{00000000-0005-0000-0000-00006B0B0000}"/>
    <cellStyle name="Финансовый 2 4 3 5" xfId="1798" xr:uid="{00000000-0005-0000-0000-00006C0B0000}"/>
    <cellStyle name="Финансовый 2 4 3 5 2" xfId="3443" xr:uid="{00000000-0005-0000-0000-00006D0B0000}"/>
    <cellStyle name="Финансовый 2 4 3 5 3" xfId="5226" xr:uid="{00000000-0005-0000-0000-00006E0B0000}"/>
    <cellStyle name="Финансовый 2 4 3 6" xfId="2443" xr:uid="{00000000-0005-0000-0000-00006F0B0000}"/>
    <cellStyle name="Финансовый 2 4 3 6 2" xfId="4088" xr:uid="{00000000-0005-0000-0000-0000700B0000}"/>
    <cellStyle name="Финансовый 2 4 3 6 3" xfId="5871" xr:uid="{00000000-0005-0000-0000-0000710B0000}"/>
    <cellStyle name="Финансовый 2 4 3 7" xfId="1670" xr:uid="{00000000-0005-0000-0000-0000720B0000}"/>
    <cellStyle name="Финансовый 2 4 3 7 2" xfId="3315" xr:uid="{00000000-0005-0000-0000-0000730B0000}"/>
    <cellStyle name="Финансовый 2 4 3 7 3" xfId="5098" xr:uid="{00000000-0005-0000-0000-0000740B0000}"/>
    <cellStyle name="Финансовый 2 4 3 8" xfId="947" xr:uid="{00000000-0005-0000-0000-0000750B0000}"/>
    <cellStyle name="Финансовый 2 4 3 9" xfId="535" xr:uid="{00000000-0005-0000-0000-0000760B0000}"/>
    <cellStyle name="Финансовый 2 4 4" xfId="78" xr:uid="{00000000-0005-0000-0000-0000770B0000}"/>
    <cellStyle name="Финансовый 2 4 4 10" xfId="2688" xr:uid="{00000000-0005-0000-0000-0000780B0000}"/>
    <cellStyle name="Финансовый 2 4 4 11" xfId="4332" xr:uid="{00000000-0005-0000-0000-0000790B0000}"/>
    <cellStyle name="Финансовый 2 4 4 2" xfId="214" xr:uid="{00000000-0005-0000-0000-00007A0B0000}"/>
    <cellStyle name="Финансовый 2 4 4 2 2" xfId="1312" xr:uid="{00000000-0005-0000-0000-00007B0B0000}"/>
    <cellStyle name="Финансовый 2 4 4 2 2 2" xfId="2270" xr:uid="{00000000-0005-0000-0000-00007C0B0000}"/>
    <cellStyle name="Финансовый 2 4 4 2 2 2 2" xfId="3915" xr:uid="{00000000-0005-0000-0000-00007D0B0000}"/>
    <cellStyle name="Финансовый 2 4 4 2 2 2 3" xfId="5698" xr:uid="{00000000-0005-0000-0000-00007E0B0000}"/>
    <cellStyle name="Финансовый 2 4 4 2 2 3" xfId="3096" xr:uid="{00000000-0005-0000-0000-00007F0B0000}"/>
    <cellStyle name="Финансовый 2 4 4 2 2 4" xfId="4740" xr:uid="{00000000-0005-0000-0000-0000800B0000}"/>
    <cellStyle name="Финансовый 2 4 4 2 3" xfId="2014" xr:uid="{00000000-0005-0000-0000-0000810B0000}"/>
    <cellStyle name="Финансовый 2 4 4 2 3 2" xfId="3659" xr:uid="{00000000-0005-0000-0000-0000820B0000}"/>
    <cellStyle name="Финансовый 2 4 4 2 3 3" xfId="5442" xr:uid="{00000000-0005-0000-0000-0000830B0000}"/>
    <cellStyle name="Финансовый 2 4 4 2 4" xfId="2543" xr:uid="{00000000-0005-0000-0000-0000840B0000}"/>
    <cellStyle name="Финансовый 2 4 4 2 4 2" xfId="4188" xr:uid="{00000000-0005-0000-0000-0000850B0000}"/>
    <cellStyle name="Финансовый 2 4 4 2 4 3" xfId="5971" xr:uid="{00000000-0005-0000-0000-0000860B0000}"/>
    <cellStyle name="Финансовый 2 4 4 2 5" xfId="1047" xr:uid="{00000000-0005-0000-0000-0000870B0000}"/>
    <cellStyle name="Финансовый 2 4 4 2 6" xfId="635" xr:uid="{00000000-0005-0000-0000-0000880B0000}"/>
    <cellStyle name="Финансовый 2 4 4 2 7" xfId="2824" xr:uid="{00000000-0005-0000-0000-0000890B0000}"/>
    <cellStyle name="Финансовый 2 4 4 2 8" xfId="4468" xr:uid="{00000000-0005-0000-0000-00008A0B0000}"/>
    <cellStyle name="Финансовый 2 4 4 3" xfId="363" xr:uid="{00000000-0005-0000-0000-00008B0B0000}"/>
    <cellStyle name="Финансовый 2 4 4 3 2" xfId="2142" xr:uid="{00000000-0005-0000-0000-00008C0B0000}"/>
    <cellStyle name="Финансовый 2 4 4 3 2 2" xfId="3787" xr:uid="{00000000-0005-0000-0000-00008D0B0000}"/>
    <cellStyle name="Финансовый 2 4 4 3 2 3" xfId="5570" xr:uid="{00000000-0005-0000-0000-00008E0B0000}"/>
    <cellStyle name="Финансовый 2 4 4 3 3" xfId="1176" xr:uid="{00000000-0005-0000-0000-00008F0B0000}"/>
    <cellStyle name="Финансовый 2 4 4 3 4" xfId="783" xr:uid="{00000000-0005-0000-0000-0000900B0000}"/>
    <cellStyle name="Финансовый 2 4 4 3 5" xfId="2960" xr:uid="{00000000-0005-0000-0000-0000910B0000}"/>
    <cellStyle name="Финансовый 2 4 4 3 6" xfId="4604" xr:uid="{00000000-0005-0000-0000-0000920B0000}"/>
    <cellStyle name="Финансовый 2 4 4 4" xfId="1501" xr:uid="{00000000-0005-0000-0000-0000930B0000}"/>
    <cellStyle name="Финансовый 2 4 4 4 2" xfId="1886" xr:uid="{00000000-0005-0000-0000-0000940B0000}"/>
    <cellStyle name="Финансовый 2 4 4 4 2 2" xfId="3531" xr:uid="{00000000-0005-0000-0000-0000950B0000}"/>
    <cellStyle name="Финансовый 2 4 4 4 2 3" xfId="5314" xr:uid="{00000000-0005-0000-0000-0000960B0000}"/>
    <cellStyle name="Финансовый 2 4 4 4 3" xfId="4929" xr:uid="{00000000-0005-0000-0000-0000970B0000}"/>
    <cellStyle name="Финансовый 2 4 4 5" xfId="1762" xr:uid="{00000000-0005-0000-0000-0000980B0000}"/>
    <cellStyle name="Финансовый 2 4 4 5 2" xfId="3407" xr:uid="{00000000-0005-0000-0000-0000990B0000}"/>
    <cellStyle name="Финансовый 2 4 4 5 3" xfId="5190" xr:uid="{00000000-0005-0000-0000-00009A0B0000}"/>
    <cellStyle name="Финансовый 2 4 4 6" xfId="2407" xr:uid="{00000000-0005-0000-0000-00009B0B0000}"/>
    <cellStyle name="Финансовый 2 4 4 6 2" xfId="4052" xr:uid="{00000000-0005-0000-0000-00009C0B0000}"/>
    <cellStyle name="Финансовый 2 4 4 6 3" xfId="5835" xr:uid="{00000000-0005-0000-0000-00009D0B0000}"/>
    <cellStyle name="Финансовый 2 4 4 7" xfId="1634" xr:uid="{00000000-0005-0000-0000-00009E0B0000}"/>
    <cellStyle name="Финансовый 2 4 4 7 2" xfId="3279" xr:uid="{00000000-0005-0000-0000-00009F0B0000}"/>
    <cellStyle name="Финансовый 2 4 4 7 3" xfId="5062" xr:uid="{00000000-0005-0000-0000-0000A00B0000}"/>
    <cellStyle name="Финансовый 2 4 4 8" xfId="911" xr:uid="{00000000-0005-0000-0000-0000A10B0000}"/>
    <cellStyle name="Финансовый 2 4 4 9" xfId="499" xr:uid="{00000000-0005-0000-0000-0000A20B0000}"/>
    <cellStyle name="Финансовый 2 4 5" xfId="56" xr:uid="{00000000-0005-0000-0000-0000A30B0000}"/>
    <cellStyle name="Финансовый 2 4 5 10" xfId="2668" xr:uid="{00000000-0005-0000-0000-0000A40B0000}"/>
    <cellStyle name="Финансовый 2 4 5 11" xfId="4311" xr:uid="{00000000-0005-0000-0000-0000A50B0000}"/>
    <cellStyle name="Финансовый 2 4 5 2" xfId="194" xr:uid="{00000000-0005-0000-0000-0000A60B0000}"/>
    <cellStyle name="Финансовый 2 4 5 2 2" xfId="1292" xr:uid="{00000000-0005-0000-0000-0000A70B0000}"/>
    <cellStyle name="Финансовый 2 4 5 2 2 2" xfId="2258" xr:uid="{00000000-0005-0000-0000-0000A80B0000}"/>
    <cellStyle name="Финансовый 2 4 5 2 2 2 2" xfId="3903" xr:uid="{00000000-0005-0000-0000-0000A90B0000}"/>
    <cellStyle name="Финансовый 2 4 5 2 2 2 3" xfId="5686" xr:uid="{00000000-0005-0000-0000-0000AA0B0000}"/>
    <cellStyle name="Финансовый 2 4 5 2 2 3" xfId="3076" xr:uid="{00000000-0005-0000-0000-0000AB0B0000}"/>
    <cellStyle name="Финансовый 2 4 5 2 2 4" xfId="4720" xr:uid="{00000000-0005-0000-0000-0000AC0B0000}"/>
    <cellStyle name="Финансовый 2 4 5 2 3" xfId="2002" xr:uid="{00000000-0005-0000-0000-0000AD0B0000}"/>
    <cellStyle name="Финансовый 2 4 5 2 3 2" xfId="3647" xr:uid="{00000000-0005-0000-0000-0000AE0B0000}"/>
    <cellStyle name="Финансовый 2 4 5 2 3 3" xfId="5430" xr:uid="{00000000-0005-0000-0000-0000AF0B0000}"/>
    <cellStyle name="Финансовый 2 4 5 2 4" xfId="2523" xr:uid="{00000000-0005-0000-0000-0000B00B0000}"/>
    <cellStyle name="Финансовый 2 4 5 2 4 2" xfId="4168" xr:uid="{00000000-0005-0000-0000-0000B10B0000}"/>
    <cellStyle name="Финансовый 2 4 5 2 4 3" xfId="5951" xr:uid="{00000000-0005-0000-0000-0000B20B0000}"/>
    <cellStyle name="Финансовый 2 4 5 2 5" xfId="1027" xr:uid="{00000000-0005-0000-0000-0000B30B0000}"/>
    <cellStyle name="Финансовый 2 4 5 2 6" xfId="615" xr:uid="{00000000-0005-0000-0000-0000B40B0000}"/>
    <cellStyle name="Финансовый 2 4 5 2 7" xfId="2804" xr:uid="{00000000-0005-0000-0000-0000B50B0000}"/>
    <cellStyle name="Финансовый 2 4 5 2 8" xfId="4448" xr:uid="{00000000-0005-0000-0000-0000B60B0000}"/>
    <cellStyle name="Финансовый 2 4 5 3" xfId="343" xr:uid="{00000000-0005-0000-0000-0000B70B0000}"/>
    <cellStyle name="Финансовый 2 4 5 3 2" xfId="2130" xr:uid="{00000000-0005-0000-0000-0000B80B0000}"/>
    <cellStyle name="Финансовый 2 4 5 3 2 2" xfId="3775" xr:uid="{00000000-0005-0000-0000-0000B90B0000}"/>
    <cellStyle name="Финансовый 2 4 5 3 2 3" xfId="5558" xr:uid="{00000000-0005-0000-0000-0000BA0B0000}"/>
    <cellStyle name="Финансовый 2 4 5 3 3" xfId="1163" xr:uid="{00000000-0005-0000-0000-0000BB0B0000}"/>
    <cellStyle name="Финансовый 2 4 5 3 4" xfId="763" xr:uid="{00000000-0005-0000-0000-0000BC0B0000}"/>
    <cellStyle name="Финансовый 2 4 5 3 5" xfId="2940" xr:uid="{00000000-0005-0000-0000-0000BD0B0000}"/>
    <cellStyle name="Финансовый 2 4 5 3 6" xfId="4584" xr:uid="{00000000-0005-0000-0000-0000BE0B0000}"/>
    <cellStyle name="Финансовый 2 4 5 4" xfId="1502" xr:uid="{00000000-0005-0000-0000-0000BF0B0000}"/>
    <cellStyle name="Финансовый 2 4 5 4 2" xfId="1866" xr:uid="{00000000-0005-0000-0000-0000C00B0000}"/>
    <cellStyle name="Финансовый 2 4 5 4 2 2" xfId="3511" xr:uid="{00000000-0005-0000-0000-0000C10B0000}"/>
    <cellStyle name="Финансовый 2 4 5 4 2 3" xfId="5294" xr:uid="{00000000-0005-0000-0000-0000C20B0000}"/>
    <cellStyle name="Финансовый 2 4 5 4 3" xfId="4930" xr:uid="{00000000-0005-0000-0000-0000C30B0000}"/>
    <cellStyle name="Финансовый 2 4 5 5" xfId="1750" xr:uid="{00000000-0005-0000-0000-0000C40B0000}"/>
    <cellStyle name="Финансовый 2 4 5 5 2" xfId="3395" xr:uid="{00000000-0005-0000-0000-0000C50B0000}"/>
    <cellStyle name="Финансовый 2 4 5 5 3" xfId="5178" xr:uid="{00000000-0005-0000-0000-0000C60B0000}"/>
    <cellStyle name="Финансовый 2 4 5 6" xfId="2386" xr:uid="{00000000-0005-0000-0000-0000C70B0000}"/>
    <cellStyle name="Финансовый 2 4 5 6 2" xfId="4031" xr:uid="{00000000-0005-0000-0000-0000C80B0000}"/>
    <cellStyle name="Финансовый 2 4 5 6 3" xfId="5814" xr:uid="{00000000-0005-0000-0000-0000C90B0000}"/>
    <cellStyle name="Финансовый 2 4 5 7" xfId="1613" xr:uid="{00000000-0005-0000-0000-0000CA0B0000}"/>
    <cellStyle name="Финансовый 2 4 5 7 2" xfId="3258" xr:uid="{00000000-0005-0000-0000-0000CB0B0000}"/>
    <cellStyle name="Финансовый 2 4 5 7 3" xfId="5041" xr:uid="{00000000-0005-0000-0000-0000CC0B0000}"/>
    <cellStyle name="Финансовый 2 4 5 8" xfId="899" xr:uid="{00000000-0005-0000-0000-0000CD0B0000}"/>
    <cellStyle name="Финансовый 2 4 5 9" xfId="479" xr:uid="{00000000-0005-0000-0000-0000CE0B0000}"/>
    <cellStyle name="Финансовый 2 4 6" xfId="134" xr:uid="{00000000-0005-0000-0000-0000CF0B0000}"/>
    <cellStyle name="Финансовый 2 4 6 10" xfId="2744" xr:uid="{00000000-0005-0000-0000-0000D00B0000}"/>
    <cellStyle name="Финансовый 2 4 6 11" xfId="4388" xr:uid="{00000000-0005-0000-0000-0000D10B0000}"/>
    <cellStyle name="Финансовый 2 4 6 2" xfId="270" xr:uid="{00000000-0005-0000-0000-0000D20B0000}"/>
    <cellStyle name="Финансовый 2 4 6 2 2" xfId="1368" xr:uid="{00000000-0005-0000-0000-0000D30B0000}"/>
    <cellStyle name="Финансовый 2 4 6 2 2 2" xfId="2326" xr:uid="{00000000-0005-0000-0000-0000D40B0000}"/>
    <cellStyle name="Финансовый 2 4 6 2 2 2 2" xfId="3971" xr:uid="{00000000-0005-0000-0000-0000D50B0000}"/>
    <cellStyle name="Финансовый 2 4 6 2 2 2 3" xfId="5754" xr:uid="{00000000-0005-0000-0000-0000D60B0000}"/>
    <cellStyle name="Финансовый 2 4 6 2 2 3" xfId="3152" xr:uid="{00000000-0005-0000-0000-0000D70B0000}"/>
    <cellStyle name="Финансовый 2 4 6 2 2 4" xfId="4796" xr:uid="{00000000-0005-0000-0000-0000D80B0000}"/>
    <cellStyle name="Финансовый 2 4 6 2 3" xfId="2070" xr:uid="{00000000-0005-0000-0000-0000D90B0000}"/>
    <cellStyle name="Финансовый 2 4 6 2 3 2" xfId="3715" xr:uid="{00000000-0005-0000-0000-0000DA0B0000}"/>
    <cellStyle name="Финансовый 2 4 6 2 3 3" xfId="5498" xr:uid="{00000000-0005-0000-0000-0000DB0B0000}"/>
    <cellStyle name="Финансовый 2 4 6 2 4" xfId="2599" xr:uid="{00000000-0005-0000-0000-0000DC0B0000}"/>
    <cellStyle name="Финансовый 2 4 6 2 4 2" xfId="4244" xr:uid="{00000000-0005-0000-0000-0000DD0B0000}"/>
    <cellStyle name="Финансовый 2 4 6 2 4 3" xfId="6027" xr:uid="{00000000-0005-0000-0000-0000DE0B0000}"/>
    <cellStyle name="Финансовый 2 4 6 2 5" xfId="1103" xr:uid="{00000000-0005-0000-0000-0000DF0B0000}"/>
    <cellStyle name="Финансовый 2 4 6 2 6" xfId="691" xr:uid="{00000000-0005-0000-0000-0000E00B0000}"/>
    <cellStyle name="Финансовый 2 4 6 2 7" xfId="2880" xr:uid="{00000000-0005-0000-0000-0000E10B0000}"/>
    <cellStyle name="Финансовый 2 4 6 2 8" xfId="4524" xr:uid="{00000000-0005-0000-0000-0000E20B0000}"/>
    <cellStyle name="Финансовый 2 4 6 3" xfId="419" xr:uid="{00000000-0005-0000-0000-0000E30B0000}"/>
    <cellStyle name="Финансовый 2 4 6 3 2" xfId="2198" xr:uid="{00000000-0005-0000-0000-0000E40B0000}"/>
    <cellStyle name="Финансовый 2 4 6 3 2 2" xfId="3843" xr:uid="{00000000-0005-0000-0000-0000E50B0000}"/>
    <cellStyle name="Финансовый 2 4 6 3 2 3" xfId="5626" xr:uid="{00000000-0005-0000-0000-0000E60B0000}"/>
    <cellStyle name="Финансовый 2 4 6 3 3" xfId="1232" xr:uid="{00000000-0005-0000-0000-0000E70B0000}"/>
    <cellStyle name="Финансовый 2 4 6 3 4" xfId="839" xr:uid="{00000000-0005-0000-0000-0000E80B0000}"/>
    <cellStyle name="Финансовый 2 4 6 3 5" xfId="3016" xr:uid="{00000000-0005-0000-0000-0000E90B0000}"/>
    <cellStyle name="Финансовый 2 4 6 3 6" xfId="4660" xr:uid="{00000000-0005-0000-0000-0000EA0B0000}"/>
    <cellStyle name="Финансовый 2 4 6 4" xfId="1503" xr:uid="{00000000-0005-0000-0000-0000EB0B0000}"/>
    <cellStyle name="Финансовый 2 4 6 4 2" xfId="1942" xr:uid="{00000000-0005-0000-0000-0000EC0B0000}"/>
    <cellStyle name="Финансовый 2 4 6 4 2 2" xfId="3587" xr:uid="{00000000-0005-0000-0000-0000ED0B0000}"/>
    <cellStyle name="Финансовый 2 4 6 4 2 3" xfId="5370" xr:uid="{00000000-0005-0000-0000-0000EE0B0000}"/>
    <cellStyle name="Финансовый 2 4 6 4 3" xfId="4931" xr:uid="{00000000-0005-0000-0000-0000EF0B0000}"/>
    <cellStyle name="Финансовый 2 4 6 5" xfId="1818" xr:uid="{00000000-0005-0000-0000-0000F00B0000}"/>
    <cellStyle name="Финансовый 2 4 6 5 2" xfId="3463" xr:uid="{00000000-0005-0000-0000-0000F10B0000}"/>
    <cellStyle name="Финансовый 2 4 6 5 3" xfId="5246" xr:uid="{00000000-0005-0000-0000-0000F20B0000}"/>
    <cellStyle name="Финансовый 2 4 6 6" xfId="2463" xr:uid="{00000000-0005-0000-0000-0000F30B0000}"/>
    <cellStyle name="Финансовый 2 4 6 6 2" xfId="4108" xr:uid="{00000000-0005-0000-0000-0000F40B0000}"/>
    <cellStyle name="Финансовый 2 4 6 6 3" xfId="5891" xr:uid="{00000000-0005-0000-0000-0000F50B0000}"/>
    <cellStyle name="Финансовый 2 4 6 7" xfId="1690" xr:uid="{00000000-0005-0000-0000-0000F60B0000}"/>
    <cellStyle name="Финансовый 2 4 6 7 2" xfId="3335" xr:uid="{00000000-0005-0000-0000-0000F70B0000}"/>
    <cellStyle name="Финансовый 2 4 6 7 3" xfId="5118" xr:uid="{00000000-0005-0000-0000-0000F80B0000}"/>
    <cellStyle name="Финансовый 2 4 6 8" xfId="967" xr:uid="{00000000-0005-0000-0000-0000F90B0000}"/>
    <cellStyle name="Финансовый 2 4 6 9" xfId="555" xr:uid="{00000000-0005-0000-0000-0000FA0B0000}"/>
    <cellStyle name="Финансовый 2 4 7" xfId="32" xr:uid="{00000000-0005-0000-0000-0000FB0B0000}"/>
    <cellStyle name="Финансовый 2 4 7 10" xfId="2644" xr:uid="{00000000-0005-0000-0000-0000FC0B0000}"/>
    <cellStyle name="Финансовый 2 4 7 11" xfId="4287" xr:uid="{00000000-0005-0000-0000-0000FD0B0000}"/>
    <cellStyle name="Финансовый 2 4 7 2" xfId="170" xr:uid="{00000000-0005-0000-0000-0000FE0B0000}"/>
    <cellStyle name="Финансовый 2 4 7 2 2" xfId="1268" xr:uid="{00000000-0005-0000-0000-0000FF0B0000}"/>
    <cellStyle name="Финансовый 2 4 7 2 2 2" xfId="2234" xr:uid="{00000000-0005-0000-0000-0000000C0000}"/>
    <cellStyle name="Финансовый 2 4 7 2 2 2 2" xfId="3879" xr:uid="{00000000-0005-0000-0000-0000010C0000}"/>
    <cellStyle name="Финансовый 2 4 7 2 2 2 3" xfId="5662" xr:uid="{00000000-0005-0000-0000-0000020C0000}"/>
    <cellStyle name="Финансовый 2 4 7 2 2 3" xfId="3052" xr:uid="{00000000-0005-0000-0000-0000030C0000}"/>
    <cellStyle name="Финансовый 2 4 7 2 2 4" xfId="4696" xr:uid="{00000000-0005-0000-0000-0000040C0000}"/>
    <cellStyle name="Финансовый 2 4 7 2 3" xfId="1978" xr:uid="{00000000-0005-0000-0000-0000050C0000}"/>
    <cellStyle name="Финансовый 2 4 7 2 3 2" xfId="3623" xr:uid="{00000000-0005-0000-0000-0000060C0000}"/>
    <cellStyle name="Финансовый 2 4 7 2 3 3" xfId="5406" xr:uid="{00000000-0005-0000-0000-0000070C0000}"/>
    <cellStyle name="Финансовый 2 4 7 2 4" xfId="2499" xr:uid="{00000000-0005-0000-0000-0000080C0000}"/>
    <cellStyle name="Финансовый 2 4 7 2 4 2" xfId="4144" xr:uid="{00000000-0005-0000-0000-0000090C0000}"/>
    <cellStyle name="Финансовый 2 4 7 2 4 3" xfId="5927" xr:uid="{00000000-0005-0000-0000-00000A0C0000}"/>
    <cellStyle name="Финансовый 2 4 7 2 5" xfId="1003" xr:uid="{00000000-0005-0000-0000-00000B0C0000}"/>
    <cellStyle name="Финансовый 2 4 7 2 6" xfId="591" xr:uid="{00000000-0005-0000-0000-00000C0C0000}"/>
    <cellStyle name="Финансовый 2 4 7 2 7" xfId="2780" xr:uid="{00000000-0005-0000-0000-00000D0C0000}"/>
    <cellStyle name="Финансовый 2 4 7 2 8" xfId="4424" xr:uid="{00000000-0005-0000-0000-00000E0C0000}"/>
    <cellStyle name="Финансовый 2 4 7 3" xfId="319" xr:uid="{00000000-0005-0000-0000-00000F0C0000}"/>
    <cellStyle name="Финансовый 2 4 7 3 2" xfId="2106" xr:uid="{00000000-0005-0000-0000-0000100C0000}"/>
    <cellStyle name="Финансовый 2 4 7 3 2 2" xfId="3751" xr:uid="{00000000-0005-0000-0000-0000110C0000}"/>
    <cellStyle name="Финансовый 2 4 7 3 2 3" xfId="5534" xr:uid="{00000000-0005-0000-0000-0000120C0000}"/>
    <cellStyle name="Финансовый 2 4 7 3 3" xfId="1139" xr:uid="{00000000-0005-0000-0000-0000130C0000}"/>
    <cellStyle name="Финансовый 2 4 7 3 4" xfId="739" xr:uid="{00000000-0005-0000-0000-0000140C0000}"/>
    <cellStyle name="Финансовый 2 4 7 3 5" xfId="2916" xr:uid="{00000000-0005-0000-0000-0000150C0000}"/>
    <cellStyle name="Финансовый 2 4 7 3 6" xfId="4560" xr:uid="{00000000-0005-0000-0000-0000160C0000}"/>
    <cellStyle name="Финансовый 2 4 7 4" xfId="1504" xr:uid="{00000000-0005-0000-0000-0000170C0000}"/>
    <cellStyle name="Финансовый 2 4 7 4 2" xfId="1842" xr:uid="{00000000-0005-0000-0000-0000180C0000}"/>
    <cellStyle name="Финансовый 2 4 7 4 2 2" xfId="3487" xr:uid="{00000000-0005-0000-0000-0000190C0000}"/>
    <cellStyle name="Финансовый 2 4 7 4 2 3" xfId="5270" xr:uid="{00000000-0005-0000-0000-00001A0C0000}"/>
    <cellStyle name="Финансовый 2 4 7 4 3" xfId="4932" xr:uid="{00000000-0005-0000-0000-00001B0C0000}"/>
    <cellStyle name="Финансовый 2 4 7 5" xfId="1726" xr:uid="{00000000-0005-0000-0000-00001C0C0000}"/>
    <cellStyle name="Финансовый 2 4 7 5 2" xfId="3371" xr:uid="{00000000-0005-0000-0000-00001D0C0000}"/>
    <cellStyle name="Финансовый 2 4 7 5 3" xfId="5154" xr:uid="{00000000-0005-0000-0000-00001E0C0000}"/>
    <cellStyle name="Финансовый 2 4 7 6" xfId="2362" xr:uid="{00000000-0005-0000-0000-00001F0C0000}"/>
    <cellStyle name="Финансовый 2 4 7 6 2" xfId="4007" xr:uid="{00000000-0005-0000-0000-0000200C0000}"/>
    <cellStyle name="Финансовый 2 4 7 6 3" xfId="5790" xr:uid="{00000000-0005-0000-0000-0000210C0000}"/>
    <cellStyle name="Финансовый 2 4 7 7" xfId="1589" xr:uid="{00000000-0005-0000-0000-0000220C0000}"/>
    <cellStyle name="Финансовый 2 4 7 7 2" xfId="3234" xr:uid="{00000000-0005-0000-0000-0000230C0000}"/>
    <cellStyle name="Финансовый 2 4 7 7 3" xfId="5017" xr:uid="{00000000-0005-0000-0000-0000240C0000}"/>
    <cellStyle name="Финансовый 2 4 7 8" xfId="875" xr:uid="{00000000-0005-0000-0000-0000250C0000}"/>
    <cellStyle name="Финансовый 2 4 7 9" xfId="455" xr:uid="{00000000-0005-0000-0000-0000260C0000}"/>
    <cellStyle name="Финансовый 2 4 8" xfId="20" xr:uid="{00000000-0005-0000-0000-0000270C0000}"/>
    <cellStyle name="Финансовый 2 4 8 10" xfId="2632" xr:uid="{00000000-0005-0000-0000-0000280C0000}"/>
    <cellStyle name="Финансовый 2 4 8 11" xfId="4275" xr:uid="{00000000-0005-0000-0000-0000290C0000}"/>
    <cellStyle name="Финансовый 2 4 8 2" xfId="158" xr:uid="{00000000-0005-0000-0000-00002A0C0000}"/>
    <cellStyle name="Финансовый 2 4 8 2 2" xfId="1256" xr:uid="{00000000-0005-0000-0000-00002B0C0000}"/>
    <cellStyle name="Финансовый 2 4 8 2 2 2" xfId="2222" xr:uid="{00000000-0005-0000-0000-00002C0C0000}"/>
    <cellStyle name="Финансовый 2 4 8 2 2 2 2" xfId="3867" xr:uid="{00000000-0005-0000-0000-00002D0C0000}"/>
    <cellStyle name="Финансовый 2 4 8 2 2 2 3" xfId="5650" xr:uid="{00000000-0005-0000-0000-00002E0C0000}"/>
    <cellStyle name="Финансовый 2 4 8 2 2 3" xfId="3040" xr:uid="{00000000-0005-0000-0000-00002F0C0000}"/>
    <cellStyle name="Финансовый 2 4 8 2 2 4" xfId="4684" xr:uid="{00000000-0005-0000-0000-0000300C0000}"/>
    <cellStyle name="Финансовый 2 4 8 2 3" xfId="1966" xr:uid="{00000000-0005-0000-0000-0000310C0000}"/>
    <cellStyle name="Финансовый 2 4 8 2 3 2" xfId="3611" xr:uid="{00000000-0005-0000-0000-0000320C0000}"/>
    <cellStyle name="Финансовый 2 4 8 2 3 3" xfId="5394" xr:uid="{00000000-0005-0000-0000-0000330C0000}"/>
    <cellStyle name="Финансовый 2 4 8 2 4" xfId="2487" xr:uid="{00000000-0005-0000-0000-0000340C0000}"/>
    <cellStyle name="Финансовый 2 4 8 2 4 2" xfId="4132" xr:uid="{00000000-0005-0000-0000-0000350C0000}"/>
    <cellStyle name="Финансовый 2 4 8 2 4 3" xfId="5915" xr:uid="{00000000-0005-0000-0000-0000360C0000}"/>
    <cellStyle name="Финансовый 2 4 8 2 5" xfId="991" xr:uid="{00000000-0005-0000-0000-0000370C0000}"/>
    <cellStyle name="Финансовый 2 4 8 2 6" xfId="579" xr:uid="{00000000-0005-0000-0000-0000380C0000}"/>
    <cellStyle name="Финансовый 2 4 8 2 7" xfId="2768" xr:uid="{00000000-0005-0000-0000-0000390C0000}"/>
    <cellStyle name="Финансовый 2 4 8 2 8" xfId="4412" xr:uid="{00000000-0005-0000-0000-00003A0C0000}"/>
    <cellStyle name="Финансовый 2 4 8 3" xfId="307" xr:uid="{00000000-0005-0000-0000-00003B0C0000}"/>
    <cellStyle name="Финансовый 2 4 8 3 2" xfId="2094" xr:uid="{00000000-0005-0000-0000-00003C0C0000}"/>
    <cellStyle name="Финансовый 2 4 8 3 2 2" xfId="3739" xr:uid="{00000000-0005-0000-0000-00003D0C0000}"/>
    <cellStyle name="Финансовый 2 4 8 3 2 3" xfId="5522" xr:uid="{00000000-0005-0000-0000-00003E0C0000}"/>
    <cellStyle name="Финансовый 2 4 8 3 3" xfId="1127" xr:uid="{00000000-0005-0000-0000-00003F0C0000}"/>
    <cellStyle name="Финансовый 2 4 8 3 4" xfId="727" xr:uid="{00000000-0005-0000-0000-0000400C0000}"/>
    <cellStyle name="Финансовый 2 4 8 3 5" xfId="2904" xr:uid="{00000000-0005-0000-0000-0000410C0000}"/>
    <cellStyle name="Финансовый 2 4 8 3 6" xfId="4548" xr:uid="{00000000-0005-0000-0000-0000420C0000}"/>
    <cellStyle name="Финансовый 2 4 8 4" xfId="1505" xr:uid="{00000000-0005-0000-0000-0000430C0000}"/>
    <cellStyle name="Финансовый 2 4 8 4 2" xfId="1830" xr:uid="{00000000-0005-0000-0000-0000440C0000}"/>
    <cellStyle name="Финансовый 2 4 8 4 2 2" xfId="3475" xr:uid="{00000000-0005-0000-0000-0000450C0000}"/>
    <cellStyle name="Финансовый 2 4 8 4 2 3" xfId="5258" xr:uid="{00000000-0005-0000-0000-0000460C0000}"/>
    <cellStyle name="Финансовый 2 4 8 4 3" xfId="4933" xr:uid="{00000000-0005-0000-0000-0000470C0000}"/>
    <cellStyle name="Финансовый 2 4 8 5" xfId="1714" xr:uid="{00000000-0005-0000-0000-0000480C0000}"/>
    <cellStyle name="Финансовый 2 4 8 5 2" xfId="3359" xr:uid="{00000000-0005-0000-0000-0000490C0000}"/>
    <cellStyle name="Финансовый 2 4 8 5 3" xfId="5142" xr:uid="{00000000-0005-0000-0000-00004A0C0000}"/>
    <cellStyle name="Финансовый 2 4 8 6" xfId="2350" xr:uid="{00000000-0005-0000-0000-00004B0C0000}"/>
    <cellStyle name="Финансовый 2 4 8 6 2" xfId="3995" xr:uid="{00000000-0005-0000-0000-00004C0C0000}"/>
    <cellStyle name="Финансовый 2 4 8 6 3" xfId="5778" xr:uid="{00000000-0005-0000-0000-00004D0C0000}"/>
    <cellStyle name="Финансовый 2 4 8 7" xfId="1577" xr:uid="{00000000-0005-0000-0000-00004E0C0000}"/>
    <cellStyle name="Финансовый 2 4 8 7 2" xfId="3222" xr:uid="{00000000-0005-0000-0000-00004F0C0000}"/>
    <cellStyle name="Финансовый 2 4 8 7 3" xfId="5005" xr:uid="{00000000-0005-0000-0000-0000500C0000}"/>
    <cellStyle name="Финансовый 2 4 8 8" xfId="863" xr:uid="{00000000-0005-0000-0000-0000510C0000}"/>
    <cellStyle name="Финансовый 2 4 8 9" xfId="443" xr:uid="{00000000-0005-0000-0000-0000520C0000}"/>
    <cellStyle name="Финансовый 2 4 9" xfId="146" xr:uid="{00000000-0005-0000-0000-0000530C0000}"/>
    <cellStyle name="Финансовый 2 4 9 2" xfId="1244" xr:uid="{00000000-0005-0000-0000-0000540C0000}"/>
    <cellStyle name="Финансовый 2 4 9 2 2" xfId="2210" xr:uid="{00000000-0005-0000-0000-0000550C0000}"/>
    <cellStyle name="Финансовый 2 4 9 2 2 2" xfId="3855" xr:uid="{00000000-0005-0000-0000-0000560C0000}"/>
    <cellStyle name="Финансовый 2 4 9 2 2 3" xfId="5638" xr:uid="{00000000-0005-0000-0000-0000570C0000}"/>
    <cellStyle name="Финансовый 2 4 9 2 3" xfId="3028" xr:uid="{00000000-0005-0000-0000-0000580C0000}"/>
    <cellStyle name="Финансовый 2 4 9 2 4" xfId="4672" xr:uid="{00000000-0005-0000-0000-0000590C0000}"/>
    <cellStyle name="Финансовый 2 4 9 3" xfId="1954" xr:uid="{00000000-0005-0000-0000-00005A0C0000}"/>
    <cellStyle name="Финансовый 2 4 9 3 2" xfId="3599" xr:uid="{00000000-0005-0000-0000-00005B0C0000}"/>
    <cellStyle name="Финансовый 2 4 9 3 3" xfId="5382" xr:uid="{00000000-0005-0000-0000-00005C0C0000}"/>
    <cellStyle name="Финансовый 2 4 9 4" xfId="2475" xr:uid="{00000000-0005-0000-0000-00005D0C0000}"/>
    <cellStyle name="Финансовый 2 4 9 4 2" xfId="4120" xr:uid="{00000000-0005-0000-0000-00005E0C0000}"/>
    <cellStyle name="Финансовый 2 4 9 4 3" xfId="5903" xr:uid="{00000000-0005-0000-0000-00005F0C0000}"/>
    <cellStyle name="Финансовый 2 4 9 5" xfId="979" xr:uid="{00000000-0005-0000-0000-0000600C0000}"/>
    <cellStyle name="Финансовый 2 4 9 6" xfId="567" xr:uid="{00000000-0005-0000-0000-0000610C0000}"/>
    <cellStyle name="Финансовый 2 4 9 7" xfId="2756" xr:uid="{00000000-0005-0000-0000-0000620C0000}"/>
    <cellStyle name="Финансовый 2 4 9 8" xfId="4400" xr:uid="{00000000-0005-0000-0000-0000630C0000}"/>
    <cellStyle name="Финансовый 2 5" xfId="38" xr:uid="{00000000-0005-0000-0000-0000640C0000}"/>
    <cellStyle name="Финансовый 2 5 10" xfId="881" xr:uid="{00000000-0005-0000-0000-0000650C0000}"/>
    <cellStyle name="Финансовый 2 5 11" xfId="461" xr:uid="{00000000-0005-0000-0000-0000660C0000}"/>
    <cellStyle name="Финансовый 2 5 12" xfId="2650" xr:uid="{00000000-0005-0000-0000-0000670C0000}"/>
    <cellStyle name="Финансовый 2 5 13" xfId="4293" xr:uid="{00000000-0005-0000-0000-0000680C0000}"/>
    <cellStyle name="Финансовый 2 5 2" xfId="120" xr:uid="{00000000-0005-0000-0000-0000690C0000}"/>
    <cellStyle name="Финансовый 2 5 2 10" xfId="2730" xr:uid="{00000000-0005-0000-0000-00006A0C0000}"/>
    <cellStyle name="Финансовый 2 5 2 11" xfId="4374" xr:uid="{00000000-0005-0000-0000-00006B0C0000}"/>
    <cellStyle name="Финансовый 2 5 2 2" xfId="256" xr:uid="{00000000-0005-0000-0000-00006C0C0000}"/>
    <cellStyle name="Финансовый 2 5 2 2 2" xfId="1354" xr:uid="{00000000-0005-0000-0000-00006D0C0000}"/>
    <cellStyle name="Финансовый 2 5 2 2 2 2" xfId="2312" xr:uid="{00000000-0005-0000-0000-00006E0C0000}"/>
    <cellStyle name="Финансовый 2 5 2 2 2 2 2" xfId="3957" xr:uid="{00000000-0005-0000-0000-00006F0C0000}"/>
    <cellStyle name="Финансовый 2 5 2 2 2 2 3" xfId="5740" xr:uid="{00000000-0005-0000-0000-0000700C0000}"/>
    <cellStyle name="Финансовый 2 5 2 2 2 3" xfId="3138" xr:uid="{00000000-0005-0000-0000-0000710C0000}"/>
    <cellStyle name="Финансовый 2 5 2 2 2 4" xfId="4782" xr:uid="{00000000-0005-0000-0000-0000720C0000}"/>
    <cellStyle name="Финансовый 2 5 2 2 3" xfId="2056" xr:uid="{00000000-0005-0000-0000-0000730C0000}"/>
    <cellStyle name="Финансовый 2 5 2 2 3 2" xfId="3701" xr:uid="{00000000-0005-0000-0000-0000740C0000}"/>
    <cellStyle name="Финансовый 2 5 2 2 3 3" xfId="5484" xr:uid="{00000000-0005-0000-0000-0000750C0000}"/>
    <cellStyle name="Финансовый 2 5 2 2 4" xfId="2585" xr:uid="{00000000-0005-0000-0000-0000760C0000}"/>
    <cellStyle name="Финансовый 2 5 2 2 4 2" xfId="4230" xr:uid="{00000000-0005-0000-0000-0000770C0000}"/>
    <cellStyle name="Финансовый 2 5 2 2 4 3" xfId="6013" xr:uid="{00000000-0005-0000-0000-0000780C0000}"/>
    <cellStyle name="Финансовый 2 5 2 2 5" xfId="1089" xr:uid="{00000000-0005-0000-0000-0000790C0000}"/>
    <cellStyle name="Финансовый 2 5 2 2 6" xfId="677" xr:uid="{00000000-0005-0000-0000-00007A0C0000}"/>
    <cellStyle name="Финансовый 2 5 2 2 7" xfId="2866" xr:uid="{00000000-0005-0000-0000-00007B0C0000}"/>
    <cellStyle name="Финансовый 2 5 2 2 8" xfId="4510" xr:uid="{00000000-0005-0000-0000-00007C0C0000}"/>
    <cellStyle name="Финансовый 2 5 2 3" xfId="405" xr:uid="{00000000-0005-0000-0000-00007D0C0000}"/>
    <cellStyle name="Финансовый 2 5 2 3 2" xfId="2184" xr:uid="{00000000-0005-0000-0000-00007E0C0000}"/>
    <cellStyle name="Финансовый 2 5 2 3 2 2" xfId="3829" xr:uid="{00000000-0005-0000-0000-00007F0C0000}"/>
    <cellStyle name="Финансовый 2 5 2 3 2 3" xfId="5612" xr:uid="{00000000-0005-0000-0000-0000800C0000}"/>
    <cellStyle name="Финансовый 2 5 2 3 3" xfId="1218" xr:uid="{00000000-0005-0000-0000-0000810C0000}"/>
    <cellStyle name="Финансовый 2 5 2 3 4" xfId="825" xr:uid="{00000000-0005-0000-0000-0000820C0000}"/>
    <cellStyle name="Финансовый 2 5 2 3 5" xfId="3002" xr:uid="{00000000-0005-0000-0000-0000830C0000}"/>
    <cellStyle name="Финансовый 2 5 2 3 6" xfId="4646" xr:uid="{00000000-0005-0000-0000-0000840C0000}"/>
    <cellStyle name="Финансовый 2 5 2 4" xfId="1507" xr:uid="{00000000-0005-0000-0000-0000850C0000}"/>
    <cellStyle name="Финансовый 2 5 2 4 2" xfId="1928" xr:uid="{00000000-0005-0000-0000-0000860C0000}"/>
    <cellStyle name="Финансовый 2 5 2 4 2 2" xfId="3573" xr:uid="{00000000-0005-0000-0000-0000870C0000}"/>
    <cellStyle name="Финансовый 2 5 2 4 2 3" xfId="5356" xr:uid="{00000000-0005-0000-0000-0000880C0000}"/>
    <cellStyle name="Финансовый 2 5 2 4 3" xfId="4935" xr:uid="{00000000-0005-0000-0000-0000890C0000}"/>
    <cellStyle name="Финансовый 2 5 2 5" xfId="1804" xr:uid="{00000000-0005-0000-0000-00008A0C0000}"/>
    <cellStyle name="Финансовый 2 5 2 5 2" xfId="3449" xr:uid="{00000000-0005-0000-0000-00008B0C0000}"/>
    <cellStyle name="Финансовый 2 5 2 5 3" xfId="5232" xr:uid="{00000000-0005-0000-0000-00008C0C0000}"/>
    <cellStyle name="Финансовый 2 5 2 6" xfId="2449" xr:uid="{00000000-0005-0000-0000-00008D0C0000}"/>
    <cellStyle name="Финансовый 2 5 2 6 2" xfId="4094" xr:uid="{00000000-0005-0000-0000-00008E0C0000}"/>
    <cellStyle name="Финансовый 2 5 2 6 3" xfId="5877" xr:uid="{00000000-0005-0000-0000-00008F0C0000}"/>
    <cellStyle name="Финансовый 2 5 2 7" xfId="1676" xr:uid="{00000000-0005-0000-0000-0000900C0000}"/>
    <cellStyle name="Финансовый 2 5 2 7 2" xfId="3321" xr:uid="{00000000-0005-0000-0000-0000910C0000}"/>
    <cellStyle name="Финансовый 2 5 2 7 3" xfId="5104" xr:uid="{00000000-0005-0000-0000-0000920C0000}"/>
    <cellStyle name="Финансовый 2 5 2 8" xfId="953" xr:uid="{00000000-0005-0000-0000-0000930C0000}"/>
    <cellStyle name="Финансовый 2 5 2 9" xfId="541" xr:uid="{00000000-0005-0000-0000-0000940C0000}"/>
    <cellStyle name="Финансовый 2 5 3" xfId="84" xr:uid="{00000000-0005-0000-0000-0000950C0000}"/>
    <cellStyle name="Финансовый 2 5 3 10" xfId="2694" xr:uid="{00000000-0005-0000-0000-0000960C0000}"/>
    <cellStyle name="Финансовый 2 5 3 11" xfId="4338" xr:uid="{00000000-0005-0000-0000-0000970C0000}"/>
    <cellStyle name="Финансовый 2 5 3 2" xfId="220" xr:uid="{00000000-0005-0000-0000-0000980C0000}"/>
    <cellStyle name="Финансовый 2 5 3 2 2" xfId="1318" xr:uid="{00000000-0005-0000-0000-0000990C0000}"/>
    <cellStyle name="Финансовый 2 5 3 2 2 2" xfId="2276" xr:uid="{00000000-0005-0000-0000-00009A0C0000}"/>
    <cellStyle name="Финансовый 2 5 3 2 2 2 2" xfId="3921" xr:uid="{00000000-0005-0000-0000-00009B0C0000}"/>
    <cellStyle name="Финансовый 2 5 3 2 2 2 3" xfId="5704" xr:uid="{00000000-0005-0000-0000-00009C0C0000}"/>
    <cellStyle name="Финансовый 2 5 3 2 2 3" xfId="3102" xr:uid="{00000000-0005-0000-0000-00009D0C0000}"/>
    <cellStyle name="Финансовый 2 5 3 2 2 4" xfId="4746" xr:uid="{00000000-0005-0000-0000-00009E0C0000}"/>
    <cellStyle name="Финансовый 2 5 3 2 3" xfId="2020" xr:uid="{00000000-0005-0000-0000-00009F0C0000}"/>
    <cellStyle name="Финансовый 2 5 3 2 3 2" xfId="3665" xr:uid="{00000000-0005-0000-0000-0000A00C0000}"/>
    <cellStyle name="Финансовый 2 5 3 2 3 3" xfId="5448" xr:uid="{00000000-0005-0000-0000-0000A10C0000}"/>
    <cellStyle name="Финансовый 2 5 3 2 4" xfId="2549" xr:uid="{00000000-0005-0000-0000-0000A20C0000}"/>
    <cellStyle name="Финансовый 2 5 3 2 4 2" xfId="4194" xr:uid="{00000000-0005-0000-0000-0000A30C0000}"/>
    <cellStyle name="Финансовый 2 5 3 2 4 3" xfId="5977" xr:uid="{00000000-0005-0000-0000-0000A40C0000}"/>
    <cellStyle name="Финансовый 2 5 3 2 5" xfId="1053" xr:uid="{00000000-0005-0000-0000-0000A50C0000}"/>
    <cellStyle name="Финансовый 2 5 3 2 6" xfId="641" xr:uid="{00000000-0005-0000-0000-0000A60C0000}"/>
    <cellStyle name="Финансовый 2 5 3 2 7" xfId="2830" xr:uid="{00000000-0005-0000-0000-0000A70C0000}"/>
    <cellStyle name="Финансовый 2 5 3 2 8" xfId="4474" xr:uid="{00000000-0005-0000-0000-0000A80C0000}"/>
    <cellStyle name="Финансовый 2 5 3 3" xfId="369" xr:uid="{00000000-0005-0000-0000-0000A90C0000}"/>
    <cellStyle name="Финансовый 2 5 3 3 2" xfId="2148" xr:uid="{00000000-0005-0000-0000-0000AA0C0000}"/>
    <cellStyle name="Финансовый 2 5 3 3 2 2" xfId="3793" xr:uid="{00000000-0005-0000-0000-0000AB0C0000}"/>
    <cellStyle name="Финансовый 2 5 3 3 2 3" xfId="5576" xr:uid="{00000000-0005-0000-0000-0000AC0C0000}"/>
    <cellStyle name="Финансовый 2 5 3 3 3" xfId="1182" xr:uid="{00000000-0005-0000-0000-0000AD0C0000}"/>
    <cellStyle name="Финансовый 2 5 3 3 4" xfId="789" xr:uid="{00000000-0005-0000-0000-0000AE0C0000}"/>
    <cellStyle name="Финансовый 2 5 3 3 5" xfId="2966" xr:uid="{00000000-0005-0000-0000-0000AF0C0000}"/>
    <cellStyle name="Финансовый 2 5 3 3 6" xfId="4610" xr:uid="{00000000-0005-0000-0000-0000B00C0000}"/>
    <cellStyle name="Финансовый 2 5 3 4" xfId="1437" xr:uid="{00000000-0005-0000-0000-0000B10C0000}"/>
    <cellStyle name="Финансовый 2 5 3 4 2" xfId="1892" xr:uid="{00000000-0005-0000-0000-0000B20C0000}"/>
    <cellStyle name="Финансовый 2 5 3 4 2 2" xfId="3537" xr:uid="{00000000-0005-0000-0000-0000B30C0000}"/>
    <cellStyle name="Финансовый 2 5 3 4 2 3" xfId="5320" xr:uid="{00000000-0005-0000-0000-0000B40C0000}"/>
    <cellStyle name="Финансовый 2 5 3 4 3" xfId="4865" xr:uid="{00000000-0005-0000-0000-0000B50C0000}"/>
    <cellStyle name="Финансовый 2 5 3 5" xfId="1768" xr:uid="{00000000-0005-0000-0000-0000B60C0000}"/>
    <cellStyle name="Финансовый 2 5 3 5 2" xfId="3413" xr:uid="{00000000-0005-0000-0000-0000B70C0000}"/>
    <cellStyle name="Финансовый 2 5 3 5 3" xfId="5196" xr:uid="{00000000-0005-0000-0000-0000B80C0000}"/>
    <cellStyle name="Финансовый 2 5 3 6" xfId="2413" xr:uid="{00000000-0005-0000-0000-0000B90C0000}"/>
    <cellStyle name="Финансовый 2 5 3 6 2" xfId="4058" xr:uid="{00000000-0005-0000-0000-0000BA0C0000}"/>
    <cellStyle name="Финансовый 2 5 3 6 3" xfId="5841" xr:uid="{00000000-0005-0000-0000-0000BB0C0000}"/>
    <cellStyle name="Финансовый 2 5 3 7" xfId="1640" xr:uid="{00000000-0005-0000-0000-0000BC0C0000}"/>
    <cellStyle name="Финансовый 2 5 3 7 2" xfId="3285" xr:uid="{00000000-0005-0000-0000-0000BD0C0000}"/>
    <cellStyle name="Финансовый 2 5 3 7 3" xfId="5068" xr:uid="{00000000-0005-0000-0000-0000BE0C0000}"/>
    <cellStyle name="Финансовый 2 5 3 8" xfId="917" xr:uid="{00000000-0005-0000-0000-0000BF0C0000}"/>
    <cellStyle name="Финансовый 2 5 3 9" xfId="505" xr:uid="{00000000-0005-0000-0000-0000C00C0000}"/>
    <cellStyle name="Финансовый 2 5 4" xfId="176" xr:uid="{00000000-0005-0000-0000-0000C10C0000}"/>
    <cellStyle name="Финансовый 2 5 4 2" xfId="1274" xr:uid="{00000000-0005-0000-0000-0000C20C0000}"/>
    <cellStyle name="Финансовый 2 5 4 2 2" xfId="2240" xr:uid="{00000000-0005-0000-0000-0000C30C0000}"/>
    <cellStyle name="Финансовый 2 5 4 2 2 2" xfId="3885" xr:uid="{00000000-0005-0000-0000-0000C40C0000}"/>
    <cellStyle name="Финансовый 2 5 4 2 2 3" xfId="5668" xr:uid="{00000000-0005-0000-0000-0000C50C0000}"/>
    <cellStyle name="Финансовый 2 5 4 2 3" xfId="3058" xr:uid="{00000000-0005-0000-0000-0000C60C0000}"/>
    <cellStyle name="Финансовый 2 5 4 2 4" xfId="4702" xr:uid="{00000000-0005-0000-0000-0000C70C0000}"/>
    <cellStyle name="Финансовый 2 5 4 3" xfId="1984" xr:uid="{00000000-0005-0000-0000-0000C80C0000}"/>
    <cellStyle name="Финансовый 2 5 4 3 2" xfId="3629" xr:uid="{00000000-0005-0000-0000-0000C90C0000}"/>
    <cellStyle name="Финансовый 2 5 4 3 3" xfId="5412" xr:uid="{00000000-0005-0000-0000-0000CA0C0000}"/>
    <cellStyle name="Финансовый 2 5 4 4" xfId="2505" xr:uid="{00000000-0005-0000-0000-0000CB0C0000}"/>
    <cellStyle name="Финансовый 2 5 4 4 2" xfId="4150" xr:uid="{00000000-0005-0000-0000-0000CC0C0000}"/>
    <cellStyle name="Финансовый 2 5 4 4 3" xfId="5933" xr:uid="{00000000-0005-0000-0000-0000CD0C0000}"/>
    <cellStyle name="Финансовый 2 5 4 5" xfId="1009" xr:uid="{00000000-0005-0000-0000-0000CE0C0000}"/>
    <cellStyle name="Финансовый 2 5 4 6" xfId="597" xr:uid="{00000000-0005-0000-0000-0000CF0C0000}"/>
    <cellStyle name="Финансовый 2 5 4 7" xfId="2786" xr:uid="{00000000-0005-0000-0000-0000D00C0000}"/>
    <cellStyle name="Финансовый 2 5 4 8" xfId="4430" xr:uid="{00000000-0005-0000-0000-0000D10C0000}"/>
    <cellStyle name="Финансовый 2 5 5" xfId="325" xr:uid="{00000000-0005-0000-0000-0000D20C0000}"/>
    <cellStyle name="Финансовый 2 5 5 2" xfId="2112" xr:uid="{00000000-0005-0000-0000-0000D30C0000}"/>
    <cellStyle name="Финансовый 2 5 5 2 2" xfId="3757" xr:uid="{00000000-0005-0000-0000-0000D40C0000}"/>
    <cellStyle name="Финансовый 2 5 5 2 3" xfId="5540" xr:uid="{00000000-0005-0000-0000-0000D50C0000}"/>
    <cellStyle name="Финансовый 2 5 5 3" xfId="1145" xr:uid="{00000000-0005-0000-0000-0000D60C0000}"/>
    <cellStyle name="Финансовый 2 5 5 4" xfId="745" xr:uid="{00000000-0005-0000-0000-0000D70C0000}"/>
    <cellStyle name="Финансовый 2 5 5 5" xfId="2922" xr:uid="{00000000-0005-0000-0000-0000D80C0000}"/>
    <cellStyle name="Финансовый 2 5 5 6" xfId="4566" xr:uid="{00000000-0005-0000-0000-0000D90C0000}"/>
    <cellStyle name="Финансовый 2 5 6" xfId="1506" xr:uid="{00000000-0005-0000-0000-0000DA0C0000}"/>
    <cellStyle name="Финансовый 2 5 6 2" xfId="1848" xr:uid="{00000000-0005-0000-0000-0000DB0C0000}"/>
    <cellStyle name="Финансовый 2 5 6 2 2" xfId="3493" xr:uid="{00000000-0005-0000-0000-0000DC0C0000}"/>
    <cellStyle name="Финансовый 2 5 6 2 3" xfId="5276" xr:uid="{00000000-0005-0000-0000-0000DD0C0000}"/>
    <cellStyle name="Финансовый 2 5 6 3" xfId="4934" xr:uid="{00000000-0005-0000-0000-0000DE0C0000}"/>
    <cellStyle name="Финансовый 2 5 7" xfId="1732" xr:uid="{00000000-0005-0000-0000-0000DF0C0000}"/>
    <cellStyle name="Финансовый 2 5 7 2" xfId="3377" xr:uid="{00000000-0005-0000-0000-0000E00C0000}"/>
    <cellStyle name="Финансовый 2 5 7 3" xfId="5160" xr:uid="{00000000-0005-0000-0000-0000E10C0000}"/>
    <cellStyle name="Финансовый 2 5 8" xfId="2368" xr:uid="{00000000-0005-0000-0000-0000E20C0000}"/>
    <cellStyle name="Финансовый 2 5 8 2" xfId="4013" xr:uid="{00000000-0005-0000-0000-0000E30C0000}"/>
    <cellStyle name="Финансовый 2 5 8 3" xfId="5796" xr:uid="{00000000-0005-0000-0000-0000E40C0000}"/>
    <cellStyle name="Финансовый 2 5 9" xfId="1595" xr:uid="{00000000-0005-0000-0000-0000E50C0000}"/>
    <cellStyle name="Финансовый 2 5 9 2" xfId="3240" xr:uid="{00000000-0005-0000-0000-0000E60C0000}"/>
    <cellStyle name="Финансовый 2 5 9 3" xfId="5023" xr:uid="{00000000-0005-0000-0000-0000E70C0000}"/>
    <cellStyle name="Финансовый 2 6" xfId="90" xr:uid="{00000000-0005-0000-0000-0000E80C0000}"/>
    <cellStyle name="Финансовый 2 6 10" xfId="2700" xr:uid="{00000000-0005-0000-0000-0000E90C0000}"/>
    <cellStyle name="Финансовый 2 6 11" xfId="4344" xr:uid="{00000000-0005-0000-0000-0000EA0C0000}"/>
    <cellStyle name="Финансовый 2 6 2" xfId="226" xr:uid="{00000000-0005-0000-0000-0000EB0C0000}"/>
    <cellStyle name="Финансовый 2 6 2 2" xfId="1324" xr:uid="{00000000-0005-0000-0000-0000EC0C0000}"/>
    <cellStyle name="Финансовый 2 6 2 2 2" xfId="2282" xr:uid="{00000000-0005-0000-0000-0000ED0C0000}"/>
    <cellStyle name="Финансовый 2 6 2 2 2 2" xfId="3927" xr:uid="{00000000-0005-0000-0000-0000EE0C0000}"/>
    <cellStyle name="Финансовый 2 6 2 2 2 3" xfId="5710" xr:uid="{00000000-0005-0000-0000-0000EF0C0000}"/>
    <cellStyle name="Финансовый 2 6 2 2 3" xfId="3108" xr:uid="{00000000-0005-0000-0000-0000F00C0000}"/>
    <cellStyle name="Финансовый 2 6 2 2 4" xfId="4752" xr:uid="{00000000-0005-0000-0000-0000F10C0000}"/>
    <cellStyle name="Финансовый 2 6 2 3" xfId="2026" xr:uid="{00000000-0005-0000-0000-0000F20C0000}"/>
    <cellStyle name="Финансовый 2 6 2 3 2" xfId="3671" xr:uid="{00000000-0005-0000-0000-0000F30C0000}"/>
    <cellStyle name="Финансовый 2 6 2 3 3" xfId="5454" xr:uid="{00000000-0005-0000-0000-0000F40C0000}"/>
    <cellStyle name="Финансовый 2 6 2 4" xfId="2555" xr:uid="{00000000-0005-0000-0000-0000F50C0000}"/>
    <cellStyle name="Финансовый 2 6 2 4 2" xfId="4200" xr:uid="{00000000-0005-0000-0000-0000F60C0000}"/>
    <cellStyle name="Финансовый 2 6 2 4 3" xfId="5983" xr:uid="{00000000-0005-0000-0000-0000F70C0000}"/>
    <cellStyle name="Финансовый 2 6 2 5" xfId="1059" xr:uid="{00000000-0005-0000-0000-0000F80C0000}"/>
    <cellStyle name="Финансовый 2 6 2 6" xfId="647" xr:uid="{00000000-0005-0000-0000-0000F90C0000}"/>
    <cellStyle name="Финансовый 2 6 2 7" xfId="2836" xr:uid="{00000000-0005-0000-0000-0000FA0C0000}"/>
    <cellStyle name="Финансовый 2 6 2 8" xfId="4480" xr:uid="{00000000-0005-0000-0000-0000FB0C0000}"/>
    <cellStyle name="Финансовый 2 6 3" xfId="375" xr:uid="{00000000-0005-0000-0000-0000FC0C0000}"/>
    <cellStyle name="Финансовый 2 6 3 2" xfId="2154" xr:uid="{00000000-0005-0000-0000-0000FD0C0000}"/>
    <cellStyle name="Финансовый 2 6 3 2 2" xfId="3799" xr:uid="{00000000-0005-0000-0000-0000FE0C0000}"/>
    <cellStyle name="Финансовый 2 6 3 2 3" xfId="5582" xr:uid="{00000000-0005-0000-0000-0000FF0C0000}"/>
    <cellStyle name="Финансовый 2 6 3 3" xfId="1188" xr:uid="{00000000-0005-0000-0000-0000000D0000}"/>
    <cellStyle name="Финансовый 2 6 3 4" xfId="795" xr:uid="{00000000-0005-0000-0000-0000010D0000}"/>
    <cellStyle name="Финансовый 2 6 3 5" xfId="2972" xr:uid="{00000000-0005-0000-0000-0000020D0000}"/>
    <cellStyle name="Финансовый 2 6 3 6" xfId="4616" xr:uid="{00000000-0005-0000-0000-0000030D0000}"/>
    <cellStyle name="Финансовый 2 6 4" xfId="1508" xr:uid="{00000000-0005-0000-0000-0000040D0000}"/>
    <cellStyle name="Финансовый 2 6 4 2" xfId="1898" xr:uid="{00000000-0005-0000-0000-0000050D0000}"/>
    <cellStyle name="Финансовый 2 6 4 2 2" xfId="3543" xr:uid="{00000000-0005-0000-0000-0000060D0000}"/>
    <cellStyle name="Финансовый 2 6 4 2 3" xfId="5326" xr:uid="{00000000-0005-0000-0000-0000070D0000}"/>
    <cellStyle name="Финансовый 2 6 4 3" xfId="4936" xr:uid="{00000000-0005-0000-0000-0000080D0000}"/>
    <cellStyle name="Финансовый 2 6 5" xfId="1774" xr:uid="{00000000-0005-0000-0000-0000090D0000}"/>
    <cellStyle name="Финансовый 2 6 5 2" xfId="3419" xr:uid="{00000000-0005-0000-0000-00000A0D0000}"/>
    <cellStyle name="Финансовый 2 6 5 3" xfId="5202" xr:uid="{00000000-0005-0000-0000-00000B0D0000}"/>
    <cellStyle name="Финансовый 2 6 6" xfId="2419" xr:uid="{00000000-0005-0000-0000-00000C0D0000}"/>
    <cellStyle name="Финансовый 2 6 6 2" xfId="4064" xr:uid="{00000000-0005-0000-0000-00000D0D0000}"/>
    <cellStyle name="Финансовый 2 6 6 3" xfId="5847" xr:uid="{00000000-0005-0000-0000-00000E0D0000}"/>
    <cellStyle name="Финансовый 2 6 7" xfId="1646" xr:uid="{00000000-0005-0000-0000-00000F0D0000}"/>
    <cellStyle name="Финансовый 2 6 7 2" xfId="3291" xr:uid="{00000000-0005-0000-0000-0000100D0000}"/>
    <cellStyle name="Финансовый 2 6 7 3" xfId="5074" xr:uid="{00000000-0005-0000-0000-0000110D0000}"/>
    <cellStyle name="Финансовый 2 6 8" xfId="923" xr:uid="{00000000-0005-0000-0000-0000120D0000}"/>
    <cellStyle name="Финансовый 2 6 9" xfId="511" xr:uid="{00000000-0005-0000-0000-0000130D0000}"/>
    <cellStyle name="Финансовый 2 7" xfId="96" xr:uid="{00000000-0005-0000-0000-0000140D0000}"/>
    <cellStyle name="Финансовый 2 7 10" xfId="2706" xr:uid="{00000000-0005-0000-0000-0000150D0000}"/>
    <cellStyle name="Финансовый 2 7 11" xfId="4350" xr:uid="{00000000-0005-0000-0000-0000160D0000}"/>
    <cellStyle name="Финансовый 2 7 2" xfId="232" xr:uid="{00000000-0005-0000-0000-0000170D0000}"/>
    <cellStyle name="Финансовый 2 7 2 2" xfId="1330" xr:uid="{00000000-0005-0000-0000-0000180D0000}"/>
    <cellStyle name="Финансовый 2 7 2 2 2" xfId="2288" xr:uid="{00000000-0005-0000-0000-0000190D0000}"/>
    <cellStyle name="Финансовый 2 7 2 2 2 2" xfId="3933" xr:uid="{00000000-0005-0000-0000-00001A0D0000}"/>
    <cellStyle name="Финансовый 2 7 2 2 2 3" xfId="5716" xr:uid="{00000000-0005-0000-0000-00001B0D0000}"/>
    <cellStyle name="Финансовый 2 7 2 2 3" xfId="3114" xr:uid="{00000000-0005-0000-0000-00001C0D0000}"/>
    <cellStyle name="Финансовый 2 7 2 2 4" xfId="4758" xr:uid="{00000000-0005-0000-0000-00001D0D0000}"/>
    <cellStyle name="Финансовый 2 7 2 3" xfId="2032" xr:uid="{00000000-0005-0000-0000-00001E0D0000}"/>
    <cellStyle name="Финансовый 2 7 2 3 2" xfId="3677" xr:uid="{00000000-0005-0000-0000-00001F0D0000}"/>
    <cellStyle name="Финансовый 2 7 2 3 3" xfId="5460" xr:uid="{00000000-0005-0000-0000-0000200D0000}"/>
    <cellStyle name="Финансовый 2 7 2 4" xfId="2561" xr:uid="{00000000-0005-0000-0000-0000210D0000}"/>
    <cellStyle name="Финансовый 2 7 2 4 2" xfId="4206" xr:uid="{00000000-0005-0000-0000-0000220D0000}"/>
    <cellStyle name="Финансовый 2 7 2 4 3" xfId="5989" xr:uid="{00000000-0005-0000-0000-0000230D0000}"/>
    <cellStyle name="Финансовый 2 7 2 5" xfId="1065" xr:uid="{00000000-0005-0000-0000-0000240D0000}"/>
    <cellStyle name="Финансовый 2 7 2 6" xfId="653" xr:uid="{00000000-0005-0000-0000-0000250D0000}"/>
    <cellStyle name="Финансовый 2 7 2 7" xfId="2842" xr:uid="{00000000-0005-0000-0000-0000260D0000}"/>
    <cellStyle name="Финансовый 2 7 2 8" xfId="4486" xr:uid="{00000000-0005-0000-0000-0000270D0000}"/>
    <cellStyle name="Финансовый 2 7 3" xfId="381" xr:uid="{00000000-0005-0000-0000-0000280D0000}"/>
    <cellStyle name="Финансовый 2 7 3 2" xfId="2160" xr:uid="{00000000-0005-0000-0000-0000290D0000}"/>
    <cellStyle name="Финансовый 2 7 3 2 2" xfId="3805" xr:uid="{00000000-0005-0000-0000-00002A0D0000}"/>
    <cellStyle name="Финансовый 2 7 3 2 3" xfId="5588" xr:uid="{00000000-0005-0000-0000-00002B0D0000}"/>
    <cellStyle name="Финансовый 2 7 3 3" xfId="1194" xr:uid="{00000000-0005-0000-0000-00002C0D0000}"/>
    <cellStyle name="Финансовый 2 7 3 4" xfId="801" xr:uid="{00000000-0005-0000-0000-00002D0D0000}"/>
    <cellStyle name="Финансовый 2 7 3 5" xfId="2978" xr:uid="{00000000-0005-0000-0000-00002E0D0000}"/>
    <cellStyle name="Финансовый 2 7 3 6" xfId="4622" xr:uid="{00000000-0005-0000-0000-00002F0D0000}"/>
    <cellStyle name="Финансовый 2 7 4" xfId="1509" xr:uid="{00000000-0005-0000-0000-0000300D0000}"/>
    <cellStyle name="Финансовый 2 7 4 2" xfId="1904" xr:uid="{00000000-0005-0000-0000-0000310D0000}"/>
    <cellStyle name="Финансовый 2 7 4 2 2" xfId="3549" xr:uid="{00000000-0005-0000-0000-0000320D0000}"/>
    <cellStyle name="Финансовый 2 7 4 2 3" xfId="5332" xr:uid="{00000000-0005-0000-0000-0000330D0000}"/>
    <cellStyle name="Финансовый 2 7 4 3" xfId="4937" xr:uid="{00000000-0005-0000-0000-0000340D0000}"/>
    <cellStyle name="Финансовый 2 7 5" xfId="1780" xr:uid="{00000000-0005-0000-0000-0000350D0000}"/>
    <cellStyle name="Финансовый 2 7 5 2" xfId="3425" xr:uid="{00000000-0005-0000-0000-0000360D0000}"/>
    <cellStyle name="Финансовый 2 7 5 3" xfId="5208" xr:uid="{00000000-0005-0000-0000-0000370D0000}"/>
    <cellStyle name="Финансовый 2 7 6" xfId="2425" xr:uid="{00000000-0005-0000-0000-0000380D0000}"/>
    <cellStyle name="Финансовый 2 7 6 2" xfId="4070" xr:uid="{00000000-0005-0000-0000-0000390D0000}"/>
    <cellStyle name="Финансовый 2 7 6 3" xfId="5853" xr:uid="{00000000-0005-0000-0000-00003A0D0000}"/>
    <cellStyle name="Финансовый 2 7 7" xfId="1652" xr:uid="{00000000-0005-0000-0000-00003B0D0000}"/>
    <cellStyle name="Финансовый 2 7 7 2" xfId="3297" xr:uid="{00000000-0005-0000-0000-00003C0D0000}"/>
    <cellStyle name="Финансовый 2 7 7 3" xfId="5080" xr:uid="{00000000-0005-0000-0000-00003D0D0000}"/>
    <cellStyle name="Финансовый 2 7 8" xfId="929" xr:uid="{00000000-0005-0000-0000-00003E0D0000}"/>
    <cellStyle name="Финансовый 2 7 9" xfId="517" xr:uid="{00000000-0005-0000-0000-00003F0D0000}"/>
    <cellStyle name="Финансовый 2 8" xfId="108" xr:uid="{00000000-0005-0000-0000-0000400D0000}"/>
    <cellStyle name="Финансовый 2 8 10" xfId="2718" xr:uid="{00000000-0005-0000-0000-0000410D0000}"/>
    <cellStyle name="Финансовый 2 8 11" xfId="4362" xr:uid="{00000000-0005-0000-0000-0000420D0000}"/>
    <cellStyle name="Финансовый 2 8 2" xfId="244" xr:uid="{00000000-0005-0000-0000-0000430D0000}"/>
    <cellStyle name="Финансовый 2 8 2 2" xfId="1342" xr:uid="{00000000-0005-0000-0000-0000440D0000}"/>
    <cellStyle name="Финансовый 2 8 2 2 2" xfId="2300" xr:uid="{00000000-0005-0000-0000-0000450D0000}"/>
    <cellStyle name="Финансовый 2 8 2 2 2 2" xfId="3945" xr:uid="{00000000-0005-0000-0000-0000460D0000}"/>
    <cellStyle name="Финансовый 2 8 2 2 2 3" xfId="5728" xr:uid="{00000000-0005-0000-0000-0000470D0000}"/>
    <cellStyle name="Финансовый 2 8 2 2 3" xfId="3126" xr:uid="{00000000-0005-0000-0000-0000480D0000}"/>
    <cellStyle name="Финансовый 2 8 2 2 4" xfId="4770" xr:uid="{00000000-0005-0000-0000-0000490D0000}"/>
    <cellStyle name="Финансовый 2 8 2 3" xfId="2044" xr:uid="{00000000-0005-0000-0000-00004A0D0000}"/>
    <cellStyle name="Финансовый 2 8 2 3 2" xfId="3689" xr:uid="{00000000-0005-0000-0000-00004B0D0000}"/>
    <cellStyle name="Финансовый 2 8 2 3 3" xfId="5472" xr:uid="{00000000-0005-0000-0000-00004C0D0000}"/>
    <cellStyle name="Финансовый 2 8 2 4" xfId="2573" xr:uid="{00000000-0005-0000-0000-00004D0D0000}"/>
    <cellStyle name="Финансовый 2 8 2 4 2" xfId="4218" xr:uid="{00000000-0005-0000-0000-00004E0D0000}"/>
    <cellStyle name="Финансовый 2 8 2 4 3" xfId="6001" xr:uid="{00000000-0005-0000-0000-00004F0D0000}"/>
    <cellStyle name="Финансовый 2 8 2 5" xfId="1077" xr:uid="{00000000-0005-0000-0000-0000500D0000}"/>
    <cellStyle name="Финансовый 2 8 2 6" xfId="665" xr:uid="{00000000-0005-0000-0000-0000510D0000}"/>
    <cellStyle name="Финансовый 2 8 2 7" xfId="2854" xr:uid="{00000000-0005-0000-0000-0000520D0000}"/>
    <cellStyle name="Финансовый 2 8 2 8" xfId="4498" xr:uid="{00000000-0005-0000-0000-0000530D0000}"/>
    <cellStyle name="Финансовый 2 8 3" xfId="393" xr:uid="{00000000-0005-0000-0000-0000540D0000}"/>
    <cellStyle name="Финансовый 2 8 3 2" xfId="2172" xr:uid="{00000000-0005-0000-0000-0000550D0000}"/>
    <cellStyle name="Финансовый 2 8 3 2 2" xfId="3817" xr:uid="{00000000-0005-0000-0000-0000560D0000}"/>
    <cellStyle name="Финансовый 2 8 3 2 3" xfId="5600" xr:uid="{00000000-0005-0000-0000-0000570D0000}"/>
    <cellStyle name="Финансовый 2 8 3 3" xfId="1206" xr:uid="{00000000-0005-0000-0000-0000580D0000}"/>
    <cellStyle name="Финансовый 2 8 3 4" xfId="813" xr:uid="{00000000-0005-0000-0000-0000590D0000}"/>
    <cellStyle name="Финансовый 2 8 3 5" xfId="2990" xr:uid="{00000000-0005-0000-0000-00005A0D0000}"/>
    <cellStyle name="Финансовый 2 8 3 6" xfId="4634" xr:uid="{00000000-0005-0000-0000-00005B0D0000}"/>
    <cellStyle name="Финансовый 2 8 4" xfId="1510" xr:uid="{00000000-0005-0000-0000-00005C0D0000}"/>
    <cellStyle name="Финансовый 2 8 4 2" xfId="1916" xr:uid="{00000000-0005-0000-0000-00005D0D0000}"/>
    <cellStyle name="Финансовый 2 8 4 2 2" xfId="3561" xr:uid="{00000000-0005-0000-0000-00005E0D0000}"/>
    <cellStyle name="Финансовый 2 8 4 2 3" xfId="5344" xr:uid="{00000000-0005-0000-0000-00005F0D0000}"/>
    <cellStyle name="Финансовый 2 8 4 3" xfId="4938" xr:uid="{00000000-0005-0000-0000-0000600D0000}"/>
    <cellStyle name="Финансовый 2 8 5" xfId="1792" xr:uid="{00000000-0005-0000-0000-0000610D0000}"/>
    <cellStyle name="Финансовый 2 8 5 2" xfId="3437" xr:uid="{00000000-0005-0000-0000-0000620D0000}"/>
    <cellStyle name="Финансовый 2 8 5 3" xfId="5220" xr:uid="{00000000-0005-0000-0000-0000630D0000}"/>
    <cellStyle name="Финансовый 2 8 6" xfId="2437" xr:uid="{00000000-0005-0000-0000-0000640D0000}"/>
    <cellStyle name="Финансовый 2 8 6 2" xfId="4082" xr:uid="{00000000-0005-0000-0000-0000650D0000}"/>
    <cellStyle name="Финансовый 2 8 6 3" xfId="5865" xr:uid="{00000000-0005-0000-0000-0000660D0000}"/>
    <cellStyle name="Финансовый 2 8 7" xfId="1664" xr:uid="{00000000-0005-0000-0000-0000670D0000}"/>
    <cellStyle name="Финансовый 2 8 7 2" xfId="3309" xr:uid="{00000000-0005-0000-0000-0000680D0000}"/>
    <cellStyle name="Финансовый 2 8 7 3" xfId="5092" xr:uid="{00000000-0005-0000-0000-0000690D0000}"/>
    <cellStyle name="Финансовый 2 8 8" xfId="941" xr:uid="{00000000-0005-0000-0000-00006A0D0000}"/>
    <cellStyle name="Финансовый 2 8 9" xfId="529" xr:uid="{00000000-0005-0000-0000-00006B0D0000}"/>
    <cellStyle name="Финансовый 2 9" xfId="126" xr:uid="{00000000-0005-0000-0000-00006C0D0000}"/>
    <cellStyle name="Финансовый 2 9 10" xfId="2736" xr:uid="{00000000-0005-0000-0000-00006D0D0000}"/>
    <cellStyle name="Финансовый 2 9 11" xfId="4380" xr:uid="{00000000-0005-0000-0000-00006E0D0000}"/>
    <cellStyle name="Финансовый 2 9 2" xfId="262" xr:uid="{00000000-0005-0000-0000-00006F0D0000}"/>
    <cellStyle name="Финансовый 2 9 2 2" xfId="1360" xr:uid="{00000000-0005-0000-0000-0000700D0000}"/>
    <cellStyle name="Финансовый 2 9 2 2 2" xfId="2318" xr:uid="{00000000-0005-0000-0000-0000710D0000}"/>
    <cellStyle name="Финансовый 2 9 2 2 2 2" xfId="3963" xr:uid="{00000000-0005-0000-0000-0000720D0000}"/>
    <cellStyle name="Финансовый 2 9 2 2 2 3" xfId="5746" xr:uid="{00000000-0005-0000-0000-0000730D0000}"/>
    <cellStyle name="Финансовый 2 9 2 2 3" xfId="3144" xr:uid="{00000000-0005-0000-0000-0000740D0000}"/>
    <cellStyle name="Финансовый 2 9 2 2 4" xfId="4788" xr:uid="{00000000-0005-0000-0000-0000750D0000}"/>
    <cellStyle name="Финансовый 2 9 2 3" xfId="2062" xr:uid="{00000000-0005-0000-0000-0000760D0000}"/>
    <cellStyle name="Финансовый 2 9 2 3 2" xfId="3707" xr:uid="{00000000-0005-0000-0000-0000770D0000}"/>
    <cellStyle name="Финансовый 2 9 2 3 3" xfId="5490" xr:uid="{00000000-0005-0000-0000-0000780D0000}"/>
    <cellStyle name="Финансовый 2 9 2 4" xfId="2591" xr:uid="{00000000-0005-0000-0000-0000790D0000}"/>
    <cellStyle name="Финансовый 2 9 2 4 2" xfId="4236" xr:uid="{00000000-0005-0000-0000-00007A0D0000}"/>
    <cellStyle name="Финансовый 2 9 2 4 3" xfId="6019" xr:uid="{00000000-0005-0000-0000-00007B0D0000}"/>
    <cellStyle name="Финансовый 2 9 2 5" xfId="1095" xr:uid="{00000000-0005-0000-0000-00007C0D0000}"/>
    <cellStyle name="Финансовый 2 9 2 6" xfId="683" xr:uid="{00000000-0005-0000-0000-00007D0D0000}"/>
    <cellStyle name="Финансовый 2 9 2 7" xfId="2872" xr:uid="{00000000-0005-0000-0000-00007E0D0000}"/>
    <cellStyle name="Финансовый 2 9 2 8" xfId="4516" xr:uid="{00000000-0005-0000-0000-00007F0D0000}"/>
    <cellStyle name="Финансовый 2 9 3" xfId="411" xr:uid="{00000000-0005-0000-0000-0000800D0000}"/>
    <cellStyle name="Финансовый 2 9 3 2" xfId="2190" xr:uid="{00000000-0005-0000-0000-0000810D0000}"/>
    <cellStyle name="Финансовый 2 9 3 2 2" xfId="3835" xr:uid="{00000000-0005-0000-0000-0000820D0000}"/>
    <cellStyle name="Финансовый 2 9 3 2 3" xfId="5618" xr:uid="{00000000-0005-0000-0000-0000830D0000}"/>
    <cellStyle name="Финансовый 2 9 3 3" xfId="1224" xr:uid="{00000000-0005-0000-0000-0000840D0000}"/>
    <cellStyle name="Финансовый 2 9 3 4" xfId="831" xr:uid="{00000000-0005-0000-0000-0000850D0000}"/>
    <cellStyle name="Финансовый 2 9 3 5" xfId="3008" xr:uid="{00000000-0005-0000-0000-0000860D0000}"/>
    <cellStyle name="Финансовый 2 9 3 6" xfId="4652" xr:uid="{00000000-0005-0000-0000-0000870D0000}"/>
    <cellStyle name="Финансовый 2 9 4" xfId="1511" xr:uid="{00000000-0005-0000-0000-0000880D0000}"/>
    <cellStyle name="Финансовый 2 9 4 2" xfId="1934" xr:uid="{00000000-0005-0000-0000-0000890D0000}"/>
    <cellStyle name="Финансовый 2 9 4 2 2" xfId="3579" xr:uid="{00000000-0005-0000-0000-00008A0D0000}"/>
    <cellStyle name="Финансовый 2 9 4 2 3" xfId="5362" xr:uid="{00000000-0005-0000-0000-00008B0D0000}"/>
    <cellStyle name="Финансовый 2 9 4 3" xfId="4939" xr:uid="{00000000-0005-0000-0000-00008C0D0000}"/>
    <cellStyle name="Финансовый 2 9 5" xfId="1810" xr:uid="{00000000-0005-0000-0000-00008D0D0000}"/>
    <cellStyle name="Финансовый 2 9 5 2" xfId="3455" xr:uid="{00000000-0005-0000-0000-00008E0D0000}"/>
    <cellStyle name="Финансовый 2 9 5 3" xfId="5238" xr:uid="{00000000-0005-0000-0000-00008F0D0000}"/>
    <cellStyle name="Финансовый 2 9 6" xfId="2455" xr:uid="{00000000-0005-0000-0000-0000900D0000}"/>
    <cellStyle name="Финансовый 2 9 6 2" xfId="4100" xr:uid="{00000000-0005-0000-0000-0000910D0000}"/>
    <cellStyle name="Финансовый 2 9 6 3" xfId="5883" xr:uid="{00000000-0005-0000-0000-0000920D0000}"/>
    <cellStyle name="Финансовый 2 9 7" xfId="1682" xr:uid="{00000000-0005-0000-0000-0000930D0000}"/>
    <cellStyle name="Финансовый 2 9 7 2" xfId="3327" xr:uid="{00000000-0005-0000-0000-0000940D0000}"/>
    <cellStyle name="Финансовый 2 9 7 3" xfId="5110" xr:uid="{00000000-0005-0000-0000-0000950D0000}"/>
    <cellStyle name="Финансовый 2 9 8" xfId="959" xr:uid="{00000000-0005-0000-0000-0000960D0000}"/>
    <cellStyle name="Финансовый 2 9 9" xfId="547" xr:uid="{00000000-0005-0000-0000-0000970D0000}"/>
    <cellStyle name="Финансовый 20" xfId="2331" xr:uid="{00000000-0005-0000-0000-0000980D0000}"/>
    <cellStyle name="Финансовый 20 2" xfId="3976" xr:uid="{00000000-0005-0000-0000-0000990D0000}"/>
    <cellStyle name="Финансовый 20 3" xfId="5759" xr:uid="{00000000-0005-0000-0000-00009A0D0000}"/>
    <cellStyle name="Финансовый 21" xfId="2393" xr:uid="{00000000-0005-0000-0000-00009B0D0000}"/>
    <cellStyle name="Финансовый 21 2" xfId="4038" xr:uid="{00000000-0005-0000-0000-00009C0D0000}"/>
    <cellStyle name="Финансовый 21 3" xfId="5821" xr:uid="{00000000-0005-0000-0000-00009D0D0000}"/>
    <cellStyle name="Финансовый 22" xfId="2606" xr:uid="{00000000-0005-0000-0000-00009E0D0000}"/>
    <cellStyle name="Финансовый 22 2" xfId="4251" xr:uid="{00000000-0005-0000-0000-00009F0D0000}"/>
    <cellStyle name="Финансовый 22 3" xfId="6034" xr:uid="{00000000-0005-0000-0000-0000A00D0000}"/>
    <cellStyle name="Финансовый 23" xfId="2604" xr:uid="{00000000-0005-0000-0000-0000A10D0000}"/>
    <cellStyle name="Финансовый 23 2" xfId="4249" xr:uid="{00000000-0005-0000-0000-0000A20D0000}"/>
    <cellStyle name="Финансовый 23 3" xfId="6032" xr:uid="{00000000-0005-0000-0000-0000A30D0000}"/>
    <cellStyle name="Финансовый 24" xfId="2610" xr:uid="{00000000-0005-0000-0000-0000A40D0000}"/>
    <cellStyle name="Финансовый 24 2" xfId="4255" xr:uid="{00000000-0005-0000-0000-0000A50D0000}"/>
    <cellStyle name="Финансовый 24 3" xfId="6038" xr:uid="{00000000-0005-0000-0000-0000A60D0000}"/>
    <cellStyle name="Финансовый 25" xfId="2608" xr:uid="{00000000-0005-0000-0000-0000A70D0000}"/>
    <cellStyle name="Финансовый 25 2" xfId="4253" xr:uid="{00000000-0005-0000-0000-0000A80D0000}"/>
    <cellStyle name="Финансовый 25 3" xfId="6036" xr:uid="{00000000-0005-0000-0000-0000A90D0000}"/>
    <cellStyle name="Финансовый 26" xfId="2607" xr:uid="{00000000-0005-0000-0000-0000AA0D0000}"/>
    <cellStyle name="Финансовый 26 2" xfId="4252" xr:uid="{00000000-0005-0000-0000-0000AB0D0000}"/>
    <cellStyle name="Финансовый 26 3" xfId="6035" xr:uid="{00000000-0005-0000-0000-0000AC0D0000}"/>
    <cellStyle name="Финансовый 27" xfId="2605" xr:uid="{00000000-0005-0000-0000-0000AD0D0000}"/>
    <cellStyle name="Финансовый 27 2" xfId="4250" xr:uid="{00000000-0005-0000-0000-0000AE0D0000}"/>
    <cellStyle name="Финансовый 27 3" xfId="6033" xr:uid="{00000000-0005-0000-0000-0000AF0D0000}"/>
    <cellStyle name="Финансовый 28" xfId="2609" xr:uid="{00000000-0005-0000-0000-0000B00D0000}"/>
    <cellStyle name="Финансовый 28 2" xfId="4254" xr:uid="{00000000-0005-0000-0000-0000B10D0000}"/>
    <cellStyle name="Финансовый 28 3" xfId="6037" xr:uid="{00000000-0005-0000-0000-0000B20D0000}"/>
    <cellStyle name="Финансовый 29" xfId="1558" xr:uid="{00000000-0005-0000-0000-0000B30D0000}"/>
    <cellStyle name="Финансовый 29 2" xfId="3203" xr:uid="{00000000-0005-0000-0000-0000B40D0000}"/>
    <cellStyle name="Финансовый 29 3" xfId="4986" xr:uid="{00000000-0005-0000-0000-0000B50D0000}"/>
    <cellStyle name="Финансовый 3" xfId="3" xr:uid="{00000000-0005-0000-0000-0000B60D0000}"/>
    <cellStyle name="Финансовый 3 10" xfId="27" xr:uid="{00000000-0005-0000-0000-0000B70D0000}"/>
    <cellStyle name="Финансовый 3 10 10" xfId="2639" xr:uid="{00000000-0005-0000-0000-0000B80D0000}"/>
    <cellStyle name="Финансовый 3 10 11" xfId="4282" xr:uid="{00000000-0005-0000-0000-0000B90D0000}"/>
    <cellStyle name="Финансовый 3 10 2" xfId="165" xr:uid="{00000000-0005-0000-0000-0000BA0D0000}"/>
    <cellStyle name="Финансовый 3 10 2 2" xfId="1263" xr:uid="{00000000-0005-0000-0000-0000BB0D0000}"/>
    <cellStyle name="Финансовый 3 10 2 2 2" xfId="2229" xr:uid="{00000000-0005-0000-0000-0000BC0D0000}"/>
    <cellStyle name="Финансовый 3 10 2 2 2 2" xfId="3874" xr:uid="{00000000-0005-0000-0000-0000BD0D0000}"/>
    <cellStyle name="Финансовый 3 10 2 2 2 3" xfId="5657" xr:uid="{00000000-0005-0000-0000-0000BE0D0000}"/>
    <cellStyle name="Финансовый 3 10 2 2 3" xfId="3047" xr:uid="{00000000-0005-0000-0000-0000BF0D0000}"/>
    <cellStyle name="Финансовый 3 10 2 2 4" xfId="4691" xr:uid="{00000000-0005-0000-0000-0000C00D0000}"/>
    <cellStyle name="Финансовый 3 10 2 3" xfId="1973" xr:uid="{00000000-0005-0000-0000-0000C10D0000}"/>
    <cellStyle name="Финансовый 3 10 2 3 2" xfId="3618" xr:uid="{00000000-0005-0000-0000-0000C20D0000}"/>
    <cellStyle name="Финансовый 3 10 2 3 3" xfId="5401" xr:uid="{00000000-0005-0000-0000-0000C30D0000}"/>
    <cellStyle name="Финансовый 3 10 2 4" xfId="2494" xr:uid="{00000000-0005-0000-0000-0000C40D0000}"/>
    <cellStyle name="Финансовый 3 10 2 4 2" xfId="4139" xr:uid="{00000000-0005-0000-0000-0000C50D0000}"/>
    <cellStyle name="Финансовый 3 10 2 4 3" xfId="5922" xr:uid="{00000000-0005-0000-0000-0000C60D0000}"/>
    <cellStyle name="Финансовый 3 10 2 5" xfId="998" xr:uid="{00000000-0005-0000-0000-0000C70D0000}"/>
    <cellStyle name="Финансовый 3 10 2 6" xfId="586" xr:uid="{00000000-0005-0000-0000-0000C80D0000}"/>
    <cellStyle name="Финансовый 3 10 2 7" xfId="2775" xr:uid="{00000000-0005-0000-0000-0000C90D0000}"/>
    <cellStyle name="Финансовый 3 10 2 8" xfId="4419" xr:uid="{00000000-0005-0000-0000-0000CA0D0000}"/>
    <cellStyle name="Финансовый 3 10 3" xfId="314" xr:uid="{00000000-0005-0000-0000-0000CB0D0000}"/>
    <cellStyle name="Финансовый 3 10 3 2" xfId="2101" xr:uid="{00000000-0005-0000-0000-0000CC0D0000}"/>
    <cellStyle name="Финансовый 3 10 3 2 2" xfId="3746" xr:uid="{00000000-0005-0000-0000-0000CD0D0000}"/>
    <cellStyle name="Финансовый 3 10 3 2 3" xfId="5529" xr:uid="{00000000-0005-0000-0000-0000CE0D0000}"/>
    <cellStyle name="Финансовый 3 10 3 3" xfId="1134" xr:uid="{00000000-0005-0000-0000-0000CF0D0000}"/>
    <cellStyle name="Финансовый 3 10 3 4" xfId="734" xr:uid="{00000000-0005-0000-0000-0000D00D0000}"/>
    <cellStyle name="Финансовый 3 10 3 5" xfId="2911" xr:uid="{00000000-0005-0000-0000-0000D10D0000}"/>
    <cellStyle name="Финансовый 3 10 3 6" xfId="4555" xr:uid="{00000000-0005-0000-0000-0000D20D0000}"/>
    <cellStyle name="Финансовый 3 10 4" xfId="1513" xr:uid="{00000000-0005-0000-0000-0000D30D0000}"/>
    <cellStyle name="Финансовый 3 10 4 2" xfId="1837" xr:uid="{00000000-0005-0000-0000-0000D40D0000}"/>
    <cellStyle name="Финансовый 3 10 4 2 2" xfId="3482" xr:uid="{00000000-0005-0000-0000-0000D50D0000}"/>
    <cellStyle name="Финансовый 3 10 4 2 3" xfId="5265" xr:uid="{00000000-0005-0000-0000-0000D60D0000}"/>
    <cellStyle name="Финансовый 3 10 4 3" xfId="4941" xr:uid="{00000000-0005-0000-0000-0000D70D0000}"/>
    <cellStyle name="Финансовый 3 10 5" xfId="1721" xr:uid="{00000000-0005-0000-0000-0000D80D0000}"/>
    <cellStyle name="Финансовый 3 10 5 2" xfId="3366" xr:uid="{00000000-0005-0000-0000-0000D90D0000}"/>
    <cellStyle name="Финансовый 3 10 5 3" xfId="5149" xr:uid="{00000000-0005-0000-0000-0000DA0D0000}"/>
    <cellStyle name="Финансовый 3 10 6" xfId="2357" xr:uid="{00000000-0005-0000-0000-0000DB0D0000}"/>
    <cellStyle name="Финансовый 3 10 6 2" xfId="4002" xr:uid="{00000000-0005-0000-0000-0000DC0D0000}"/>
    <cellStyle name="Финансовый 3 10 6 3" xfId="5785" xr:uid="{00000000-0005-0000-0000-0000DD0D0000}"/>
    <cellStyle name="Финансовый 3 10 7" xfId="1584" xr:uid="{00000000-0005-0000-0000-0000DE0D0000}"/>
    <cellStyle name="Финансовый 3 10 7 2" xfId="3229" xr:uid="{00000000-0005-0000-0000-0000DF0D0000}"/>
    <cellStyle name="Финансовый 3 10 7 3" xfId="5012" xr:uid="{00000000-0005-0000-0000-0000E00D0000}"/>
    <cellStyle name="Финансовый 3 10 8" xfId="870" xr:uid="{00000000-0005-0000-0000-0000E10D0000}"/>
    <cellStyle name="Финансовый 3 10 9" xfId="450" xr:uid="{00000000-0005-0000-0000-0000E20D0000}"/>
    <cellStyle name="Финансовый 3 11" xfId="15" xr:uid="{00000000-0005-0000-0000-0000E30D0000}"/>
    <cellStyle name="Финансовый 3 11 10" xfId="2627" xr:uid="{00000000-0005-0000-0000-0000E40D0000}"/>
    <cellStyle name="Финансовый 3 11 11" xfId="4270" xr:uid="{00000000-0005-0000-0000-0000E50D0000}"/>
    <cellStyle name="Финансовый 3 11 2" xfId="153" xr:uid="{00000000-0005-0000-0000-0000E60D0000}"/>
    <cellStyle name="Финансовый 3 11 2 2" xfId="1251" xr:uid="{00000000-0005-0000-0000-0000E70D0000}"/>
    <cellStyle name="Финансовый 3 11 2 2 2" xfId="2217" xr:uid="{00000000-0005-0000-0000-0000E80D0000}"/>
    <cellStyle name="Финансовый 3 11 2 2 2 2" xfId="3862" xr:uid="{00000000-0005-0000-0000-0000E90D0000}"/>
    <cellStyle name="Финансовый 3 11 2 2 2 3" xfId="5645" xr:uid="{00000000-0005-0000-0000-0000EA0D0000}"/>
    <cellStyle name="Финансовый 3 11 2 2 3" xfId="3035" xr:uid="{00000000-0005-0000-0000-0000EB0D0000}"/>
    <cellStyle name="Финансовый 3 11 2 2 4" xfId="4679" xr:uid="{00000000-0005-0000-0000-0000EC0D0000}"/>
    <cellStyle name="Финансовый 3 11 2 3" xfId="1961" xr:uid="{00000000-0005-0000-0000-0000ED0D0000}"/>
    <cellStyle name="Финансовый 3 11 2 3 2" xfId="3606" xr:uid="{00000000-0005-0000-0000-0000EE0D0000}"/>
    <cellStyle name="Финансовый 3 11 2 3 3" xfId="5389" xr:uid="{00000000-0005-0000-0000-0000EF0D0000}"/>
    <cellStyle name="Финансовый 3 11 2 4" xfId="2482" xr:uid="{00000000-0005-0000-0000-0000F00D0000}"/>
    <cellStyle name="Финансовый 3 11 2 4 2" xfId="4127" xr:uid="{00000000-0005-0000-0000-0000F10D0000}"/>
    <cellStyle name="Финансовый 3 11 2 4 3" xfId="5910" xr:uid="{00000000-0005-0000-0000-0000F20D0000}"/>
    <cellStyle name="Финансовый 3 11 2 5" xfId="986" xr:uid="{00000000-0005-0000-0000-0000F30D0000}"/>
    <cellStyle name="Финансовый 3 11 2 6" xfId="574" xr:uid="{00000000-0005-0000-0000-0000F40D0000}"/>
    <cellStyle name="Финансовый 3 11 2 7" xfId="2763" xr:uid="{00000000-0005-0000-0000-0000F50D0000}"/>
    <cellStyle name="Финансовый 3 11 2 8" xfId="4407" xr:uid="{00000000-0005-0000-0000-0000F60D0000}"/>
    <cellStyle name="Финансовый 3 11 3" xfId="302" xr:uid="{00000000-0005-0000-0000-0000F70D0000}"/>
    <cellStyle name="Финансовый 3 11 3 2" xfId="2089" xr:uid="{00000000-0005-0000-0000-0000F80D0000}"/>
    <cellStyle name="Финансовый 3 11 3 2 2" xfId="3734" xr:uid="{00000000-0005-0000-0000-0000F90D0000}"/>
    <cellStyle name="Финансовый 3 11 3 2 3" xfId="5517" xr:uid="{00000000-0005-0000-0000-0000FA0D0000}"/>
    <cellStyle name="Финансовый 3 11 3 3" xfId="1122" xr:uid="{00000000-0005-0000-0000-0000FB0D0000}"/>
    <cellStyle name="Финансовый 3 11 3 4" xfId="722" xr:uid="{00000000-0005-0000-0000-0000FC0D0000}"/>
    <cellStyle name="Финансовый 3 11 3 5" xfId="2899" xr:uid="{00000000-0005-0000-0000-0000FD0D0000}"/>
    <cellStyle name="Финансовый 3 11 3 6" xfId="4543" xr:uid="{00000000-0005-0000-0000-0000FE0D0000}"/>
    <cellStyle name="Финансовый 3 11 4" xfId="1514" xr:uid="{00000000-0005-0000-0000-0000FF0D0000}"/>
    <cellStyle name="Финансовый 3 11 4 2" xfId="1825" xr:uid="{00000000-0005-0000-0000-0000000E0000}"/>
    <cellStyle name="Финансовый 3 11 4 2 2" xfId="3470" xr:uid="{00000000-0005-0000-0000-0000010E0000}"/>
    <cellStyle name="Финансовый 3 11 4 2 3" xfId="5253" xr:uid="{00000000-0005-0000-0000-0000020E0000}"/>
    <cellStyle name="Финансовый 3 11 4 3" xfId="4942" xr:uid="{00000000-0005-0000-0000-0000030E0000}"/>
    <cellStyle name="Финансовый 3 11 5" xfId="1709" xr:uid="{00000000-0005-0000-0000-0000040E0000}"/>
    <cellStyle name="Финансовый 3 11 5 2" xfId="3354" xr:uid="{00000000-0005-0000-0000-0000050E0000}"/>
    <cellStyle name="Финансовый 3 11 5 3" xfId="5137" xr:uid="{00000000-0005-0000-0000-0000060E0000}"/>
    <cellStyle name="Финансовый 3 11 6" xfId="2345" xr:uid="{00000000-0005-0000-0000-0000070E0000}"/>
    <cellStyle name="Финансовый 3 11 6 2" xfId="3990" xr:uid="{00000000-0005-0000-0000-0000080E0000}"/>
    <cellStyle name="Финансовый 3 11 6 3" xfId="5773" xr:uid="{00000000-0005-0000-0000-0000090E0000}"/>
    <cellStyle name="Финансовый 3 11 7" xfId="1572" xr:uid="{00000000-0005-0000-0000-00000A0E0000}"/>
    <cellStyle name="Финансовый 3 11 7 2" xfId="3217" xr:uid="{00000000-0005-0000-0000-00000B0E0000}"/>
    <cellStyle name="Финансовый 3 11 7 3" xfId="5000" xr:uid="{00000000-0005-0000-0000-00000C0E0000}"/>
    <cellStyle name="Финансовый 3 11 8" xfId="858" xr:uid="{00000000-0005-0000-0000-00000D0E0000}"/>
    <cellStyle name="Финансовый 3 11 9" xfId="438" xr:uid="{00000000-0005-0000-0000-00000E0E0000}"/>
    <cellStyle name="Финансовый 3 12" xfId="141" xr:uid="{00000000-0005-0000-0000-00000F0E0000}"/>
    <cellStyle name="Финансовый 3 12 2" xfId="1239" xr:uid="{00000000-0005-0000-0000-0000100E0000}"/>
    <cellStyle name="Финансовый 3 12 2 2" xfId="2205" xr:uid="{00000000-0005-0000-0000-0000110E0000}"/>
    <cellStyle name="Финансовый 3 12 2 2 2" xfId="3850" xr:uid="{00000000-0005-0000-0000-0000120E0000}"/>
    <cellStyle name="Финансовый 3 12 2 2 3" xfId="5633" xr:uid="{00000000-0005-0000-0000-0000130E0000}"/>
    <cellStyle name="Финансовый 3 12 2 3" xfId="3023" xr:uid="{00000000-0005-0000-0000-0000140E0000}"/>
    <cellStyle name="Финансовый 3 12 2 4" xfId="4667" xr:uid="{00000000-0005-0000-0000-0000150E0000}"/>
    <cellStyle name="Финансовый 3 12 3" xfId="1949" xr:uid="{00000000-0005-0000-0000-0000160E0000}"/>
    <cellStyle name="Финансовый 3 12 3 2" xfId="3594" xr:uid="{00000000-0005-0000-0000-0000170E0000}"/>
    <cellStyle name="Финансовый 3 12 3 3" xfId="5377" xr:uid="{00000000-0005-0000-0000-0000180E0000}"/>
    <cellStyle name="Финансовый 3 12 4" xfId="2470" xr:uid="{00000000-0005-0000-0000-0000190E0000}"/>
    <cellStyle name="Финансовый 3 12 4 2" xfId="4115" xr:uid="{00000000-0005-0000-0000-00001A0E0000}"/>
    <cellStyle name="Финансовый 3 12 4 3" xfId="5898" xr:uid="{00000000-0005-0000-0000-00001B0E0000}"/>
    <cellStyle name="Финансовый 3 12 5" xfId="974" xr:uid="{00000000-0005-0000-0000-00001C0E0000}"/>
    <cellStyle name="Финансовый 3 12 6" xfId="562" xr:uid="{00000000-0005-0000-0000-00001D0E0000}"/>
    <cellStyle name="Финансовый 3 12 7" xfId="2751" xr:uid="{00000000-0005-0000-0000-00001E0E0000}"/>
    <cellStyle name="Финансовый 3 12 8" xfId="4395" xr:uid="{00000000-0005-0000-0000-00001F0E0000}"/>
    <cellStyle name="Финансовый 3 13" xfId="277" xr:uid="{00000000-0005-0000-0000-0000200E0000}"/>
    <cellStyle name="Финансовый 3 13 2" xfId="2077" xr:uid="{00000000-0005-0000-0000-0000210E0000}"/>
    <cellStyle name="Финансовый 3 13 2 2" xfId="3722" xr:uid="{00000000-0005-0000-0000-0000220E0000}"/>
    <cellStyle name="Финансовый 3 13 2 3" xfId="5505" xr:uid="{00000000-0005-0000-0000-0000230E0000}"/>
    <cellStyle name="Финансовый 3 13 3" xfId="1375" xr:uid="{00000000-0005-0000-0000-0000240E0000}"/>
    <cellStyle name="Финансовый 3 13 4" xfId="698" xr:uid="{00000000-0005-0000-0000-0000250E0000}"/>
    <cellStyle name="Финансовый 3 13 5" xfId="3159" xr:uid="{00000000-0005-0000-0000-0000260E0000}"/>
    <cellStyle name="Финансовый 3 13 6" xfId="4803" xr:uid="{00000000-0005-0000-0000-0000270E0000}"/>
    <cellStyle name="Финансовый 3 14" xfId="290" xr:uid="{00000000-0005-0000-0000-0000280E0000}"/>
    <cellStyle name="Финансовый 3 14 2" xfId="1110" xr:uid="{00000000-0005-0000-0000-0000290E0000}"/>
    <cellStyle name="Финансовый 3 14 3" xfId="710" xr:uid="{00000000-0005-0000-0000-00002A0E0000}"/>
    <cellStyle name="Финансовый 3 14 4" xfId="2887" xr:uid="{00000000-0005-0000-0000-00002B0E0000}"/>
    <cellStyle name="Финансовый 3 14 5" xfId="4531" xr:uid="{00000000-0005-0000-0000-00002C0E0000}"/>
    <cellStyle name="Финансовый 3 15" xfId="1512" xr:uid="{00000000-0005-0000-0000-00002D0E0000}"/>
    <cellStyle name="Финансовый 3 15 2" xfId="1697" xr:uid="{00000000-0005-0000-0000-00002E0E0000}"/>
    <cellStyle name="Финансовый 3 15 2 2" xfId="3342" xr:uid="{00000000-0005-0000-0000-00002F0E0000}"/>
    <cellStyle name="Финансовый 3 15 2 3" xfId="5125" xr:uid="{00000000-0005-0000-0000-0000300E0000}"/>
    <cellStyle name="Финансовый 3 15 3" xfId="4940" xr:uid="{00000000-0005-0000-0000-0000310E0000}"/>
    <cellStyle name="Финансовый 3 16" xfId="2333" xr:uid="{00000000-0005-0000-0000-0000320E0000}"/>
    <cellStyle name="Финансовый 3 16 2" xfId="3978" xr:uid="{00000000-0005-0000-0000-0000330E0000}"/>
    <cellStyle name="Финансовый 3 16 3" xfId="5761" xr:uid="{00000000-0005-0000-0000-0000340E0000}"/>
    <cellStyle name="Финансовый 3 17" xfId="1560" xr:uid="{00000000-0005-0000-0000-0000350E0000}"/>
    <cellStyle name="Финансовый 3 17 2" xfId="3205" xr:uid="{00000000-0005-0000-0000-0000360E0000}"/>
    <cellStyle name="Финансовый 3 17 3" xfId="4988" xr:uid="{00000000-0005-0000-0000-0000370E0000}"/>
    <cellStyle name="Финансовый 3 18" xfId="846" xr:uid="{00000000-0005-0000-0000-0000380E0000}"/>
    <cellStyle name="Финансовый 3 19" xfId="426" xr:uid="{00000000-0005-0000-0000-0000390E0000}"/>
    <cellStyle name="Финансовый 3 2" xfId="9" xr:uid="{00000000-0005-0000-0000-00003A0E0000}"/>
    <cellStyle name="Финансовый 3 2 10" xfId="283" xr:uid="{00000000-0005-0000-0000-00003B0E0000}"/>
    <cellStyle name="Финансовый 3 2 10 2" xfId="2083" xr:uid="{00000000-0005-0000-0000-00003C0E0000}"/>
    <cellStyle name="Финансовый 3 2 10 2 2" xfId="3728" xr:uid="{00000000-0005-0000-0000-00003D0E0000}"/>
    <cellStyle name="Финансовый 3 2 10 2 3" xfId="5511" xr:uid="{00000000-0005-0000-0000-00003E0E0000}"/>
    <cellStyle name="Финансовый 3 2 10 3" xfId="1381" xr:uid="{00000000-0005-0000-0000-00003F0E0000}"/>
    <cellStyle name="Финансовый 3 2 10 4" xfId="704" xr:uid="{00000000-0005-0000-0000-0000400E0000}"/>
    <cellStyle name="Финансовый 3 2 10 5" xfId="3165" xr:uid="{00000000-0005-0000-0000-0000410E0000}"/>
    <cellStyle name="Финансовый 3 2 10 6" xfId="4809" xr:uid="{00000000-0005-0000-0000-0000420E0000}"/>
    <cellStyle name="Финансовый 3 2 11" xfId="296" xr:uid="{00000000-0005-0000-0000-0000430E0000}"/>
    <cellStyle name="Финансовый 3 2 11 2" xfId="1116" xr:uid="{00000000-0005-0000-0000-0000440E0000}"/>
    <cellStyle name="Финансовый 3 2 11 3" xfId="716" xr:uid="{00000000-0005-0000-0000-0000450E0000}"/>
    <cellStyle name="Финансовый 3 2 11 4" xfId="2893" xr:uid="{00000000-0005-0000-0000-0000460E0000}"/>
    <cellStyle name="Финансовый 3 2 11 5" xfId="4537" xr:uid="{00000000-0005-0000-0000-0000470E0000}"/>
    <cellStyle name="Финансовый 3 2 12" xfId="1515" xr:uid="{00000000-0005-0000-0000-0000480E0000}"/>
    <cellStyle name="Финансовый 3 2 12 2" xfId="1703" xr:uid="{00000000-0005-0000-0000-0000490E0000}"/>
    <cellStyle name="Финансовый 3 2 12 2 2" xfId="3348" xr:uid="{00000000-0005-0000-0000-00004A0E0000}"/>
    <cellStyle name="Финансовый 3 2 12 2 3" xfId="5131" xr:uid="{00000000-0005-0000-0000-00004B0E0000}"/>
    <cellStyle name="Финансовый 3 2 12 3" xfId="4943" xr:uid="{00000000-0005-0000-0000-00004C0E0000}"/>
    <cellStyle name="Финансовый 3 2 13" xfId="2339" xr:uid="{00000000-0005-0000-0000-00004D0E0000}"/>
    <cellStyle name="Финансовый 3 2 13 2" xfId="3984" xr:uid="{00000000-0005-0000-0000-00004E0E0000}"/>
    <cellStyle name="Финансовый 3 2 13 3" xfId="5767" xr:uid="{00000000-0005-0000-0000-00004F0E0000}"/>
    <cellStyle name="Финансовый 3 2 14" xfId="1566" xr:uid="{00000000-0005-0000-0000-0000500E0000}"/>
    <cellStyle name="Финансовый 3 2 14 2" xfId="3211" xr:uid="{00000000-0005-0000-0000-0000510E0000}"/>
    <cellStyle name="Финансовый 3 2 14 3" xfId="4994" xr:uid="{00000000-0005-0000-0000-0000520E0000}"/>
    <cellStyle name="Финансовый 3 2 15" xfId="852" xr:uid="{00000000-0005-0000-0000-0000530E0000}"/>
    <cellStyle name="Финансовый 3 2 16" xfId="432" xr:uid="{00000000-0005-0000-0000-0000540E0000}"/>
    <cellStyle name="Финансовый 3 2 17" xfId="2621" xr:uid="{00000000-0005-0000-0000-0000550E0000}"/>
    <cellStyle name="Финансовый 3 2 18" xfId="4264" xr:uid="{00000000-0005-0000-0000-0000560E0000}"/>
    <cellStyle name="Финансовый 3 2 2" xfId="45" xr:uid="{00000000-0005-0000-0000-0000570E0000}"/>
    <cellStyle name="Финансовый 3 2 2 10" xfId="468" xr:uid="{00000000-0005-0000-0000-0000580E0000}"/>
    <cellStyle name="Финансовый 3 2 2 11" xfId="2657" xr:uid="{00000000-0005-0000-0000-0000590E0000}"/>
    <cellStyle name="Финансовый 3 2 2 12" xfId="4300" xr:uid="{00000000-0005-0000-0000-00005A0E0000}"/>
    <cellStyle name="Финансовый 3 2 2 2" xfId="103" xr:uid="{00000000-0005-0000-0000-00005B0E0000}"/>
    <cellStyle name="Финансовый 3 2 2 2 10" xfId="2713" xr:uid="{00000000-0005-0000-0000-00005C0E0000}"/>
    <cellStyle name="Финансовый 3 2 2 2 11" xfId="4357" xr:uid="{00000000-0005-0000-0000-00005D0E0000}"/>
    <cellStyle name="Финансовый 3 2 2 2 2" xfId="239" xr:uid="{00000000-0005-0000-0000-00005E0E0000}"/>
    <cellStyle name="Финансовый 3 2 2 2 2 2" xfId="1337" xr:uid="{00000000-0005-0000-0000-00005F0E0000}"/>
    <cellStyle name="Финансовый 3 2 2 2 2 2 2" xfId="2295" xr:uid="{00000000-0005-0000-0000-0000600E0000}"/>
    <cellStyle name="Финансовый 3 2 2 2 2 2 2 2" xfId="3940" xr:uid="{00000000-0005-0000-0000-0000610E0000}"/>
    <cellStyle name="Финансовый 3 2 2 2 2 2 2 3" xfId="5723" xr:uid="{00000000-0005-0000-0000-0000620E0000}"/>
    <cellStyle name="Финансовый 3 2 2 2 2 2 3" xfId="3121" xr:uid="{00000000-0005-0000-0000-0000630E0000}"/>
    <cellStyle name="Финансовый 3 2 2 2 2 2 4" xfId="4765" xr:uid="{00000000-0005-0000-0000-0000640E0000}"/>
    <cellStyle name="Финансовый 3 2 2 2 2 3" xfId="2039" xr:uid="{00000000-0005-0000-0000-0000650E0000}"/>
    <cellStyle name="Финансовый 3 2 2 2 2 3 2" xfId="3684" xr:uid="{00000000-0005-0000-0000-0000660E0000}"/>
    <cellStyle name="Финансовый 3 2 2 2 2 3 3" xfId="5467" xr:uid="{00000000-0005-0000-0000-0000670E0000}"/>
    <cellStyle name="Финансовый 3 2 2 2 2 4" xfId="2568" xr:uid="{00000000-0005-0000-0000-0000680E0000}"/>
    <cellStyle name="Финансовый 3 2 2 2 2 4 2" xfId="4213" xr:uid="{00000000-0005-0000-0000-0000690E0000}"/>
    <cellStyle name="Финансовый 3 2 2 2 2 4 3" xfId="5996" xr:uid="{00000000-0005-0000-0000-00006A0E0000}"/>
    <cellStyle name="Финансовый 3 2 2 2 2 5" xfId="1072" xr:uid="{00000000-0005-0000-0000-00006B0E0000}"/>
    <cellStyle name="Финансовый 3 2 2 2 2 6" xfId="660" xr:uid="{00000000-0005-0000-0000-00006C0E0000}"/>
    <cellStyle name="Финансовый 3 2 2 2 2 7" xfId="2849" xr:uid="{00000000-0005-0000-0000-00006D0E0000}"/>
    <cellStyle name="Финансовый 3 2 2 2 2 8" xfId="4493" xr:uid="{00000000-0005-0000-0000-00006E0E0000}"/>
    <cellStyle name="Финансовый 3 2 2 2 3" xfId="388" xr:uid="{00000000-0005-0000-0000-00006F0E0000}"/>
    <cellStyle name="Финансовый 3 2 2 2 3 2" xfId="2167" xr:uid="{00000000-0005-0000-0000-0000700E0000}"/>
    <cellStyle name="Финансовый 3 2 2 2 3 2 2" xfId="3812" xr:uid="{00000000-0005-0000-0000-0000710E0000}"/>
    <cellStyle name="Финансовый 3 2 2 2 3 2 3" xfId="5595" xr:uid="{00000000-0005-0000-0000-0000720E0000}"/>
    <cellStyle name="Финансовый 3 2 2 2 3 3" xfId="1201" xr:uid="{00000000-0005-0000-0000-0000730E0000}"/>
    <cellStyle name="Финансовый 3 2 2 2 3 4" xfId="808" xr:uid="{00000000-0005-0000-0000-0000740E0000}"/>
    <cellStyle name="Финансовый 3 2 2 2 3 5" xfId="2985" xr:uid="{00000000-0005-0000-0000-0000750E0000}"/>
    <cellStyle name="Финансовый 3 2 2 2 3 6" xfId="4629" xr:uid="{00000000-0005-0000-0000-0000760E0000}"/>
    <cellStyle name="Финансовый 3 2 2 2 4" xfId="1517" xr:uid="{00000000-0005-0000-0000-0000770E0000}"/>
    <cellStyle name="Финансовый 3 2 2 2 4 2" xfId="1911" xr:uid="{00000000-0005-0000-0000-0000780E0000}"/>
    <cellStyle name="Финансовый 3 2 2 2 4 2 2" xfId="3556" xr:uid="{00000000-0005-0000-0000-0000790E0000}"/>
    <cellStyle name="Финансовый 3 2 2 2 4 2 3" xfId="5339" xr:uid="{00000000-0005-0000-0000-00007A0E0000}"/>
    <cellStyle name="Финансовый 3 2 2 2 4 3" xfId="4945" xr:uid="{00000000-0005-0000-0000-00007B0E0000}"/>
    <cellStyle name="Финансовый 3 2 2 2 5" xfId="1787" xr:uid="{00000000-0005-0000-0000-00007C0E0000}"/>
    <cellStyle name="Финансовый 3 2 2 2 5 2" xfId="3432" xr:uid="{00000000-0005-0000-0000-00007D0E0000}"/>
    <cellStyle name="Финансовый 3 2 2 2 5 3" xfId="5215" xr:uid="{00000000-0005-0000-0000-00007E0E0000}"/>
    <cellStyle name="Финансовый 3 2 2 2 6" xfId="2432" xr:uid="{00000000-0005-0000-0000-00007F0E0000}"/>
    <cellStyle name="Финансовый 3 2 2 2 6 2" xfId="4077" xr:uid="{00000000-0005-0000-0000-0000800E0000}"/>
    <cellStyle name="Финансовый 3 2 2 2 6 3" xfId="5860" xr:uid="{00000000-0005-0000-0000-0000810E0000}"/>
    <cellStyle name="Финансовый 3 2 2 2 7" xfId="1659" xr:uid="{00000000-0005-0000-0000-0000820E0000}"/>
    <cellStyle name="Финансовый 3 2 2 2 7 2" xfId="3304" xr:uid="{00000000-0005-0000-0000-0000830E0000}"/>
    <cellStyle name="Финансовый 3 2 2 2 7 3" xfId="5087" xr:uid="{00000000-0005-0000-0000-0000840E0000}"/>
    <cellStyle name="Финансовый 3 2 2 2 8" xfId="936" xr:uid="{00000000-0005-0000-0000-0000850E0000}"/>
    <cellStyle name="Финансовый 3 2 2 2 9" xfId="524" xr:uid="{00000000-0005-0000-0000-0000860E0000}"/>
    <cellStyle name="Финансовый 3 2 2 3" xfId="183" xr:uid="{00000000-0005-0000-0000-0000870E0000}"/>
    <cellStyle name="Финансовый 3 2 2 3 2" xfId="1281" xr:uid="{00000000-0005-0000-0000-0000880E0000}"/>
    <cellStyle name="Финансовый 3 2 2 3 2 2" xfId="2247" xr:uid="{00000000-0005-0000-0000-0000890E0000}"/>
    <cellStyle name="Финансовый 3 2 2 3 2 2 2" xfId="3892" xr:uid="{00000000-0005-0000-0000-00008A0E0000}"/>
    <cellStyle name="Финансовый 3 2 2 3 2 2 3" xfId="5675" xr:uid="{00000000-0005-0000-0000-00008B0E0000}"/>
    <cellStyle name="Финансовый 3 2 2 3 2 3" xfId="3065" xr:uid="{00000000-0005-0000-0000-00008C0E0000}"/>
    <cellStyle name="Финансовый 3 2 2 3 2 4" xfId="4709" xr:uid="{00000000-0005-0000-0000-00008D0E0000}"/>
    <cellStyle name="Финансовый 3 2 2 3 3" xfId="1991" xr:uid="{00000000-0005-0000-0000-00008E0E0000}"/>
    <cellStyle name="Финансовый 3 2 2 3 3 2" xfId="3636" xr:uid="{00000000-0005-0000-0000-00008F0E0000}"/>
    <cellStyle name="Финансовый 3 2 2 3 3 3" xfId="5419" xr:uid="{00000000-0005-0000-0000-0000900E0000}"/>
    <cellStyle name="Финансовый 3 2 2 3 4" xfId="2512" xr:uid="{00000000-0005-0000-0000-0000910E0000}"/>
    <cellStyle name="Финансовый 3 2 2 3 4 2" xfId="4157" xr:uid="{00000000-0005-0000-0000-0000920E0000}"/>
    <cellStyle name="Финансовый 3 2 2 3 4 3" xfId="5940" xr:uid="{00000000-0005-0000-0000-0000930E0000}"/>
    <cellStyle name="Финансовый 3 2 2 3 5" xfId="1016" xr:uid="{00000000-0005-0000-0000-0000940E0000}"/>
    <cellStyle name="Финансовый 3 2 2 3 6" xfId="604" xr:uid="{00000000-0005-0000-0000-0000950E0000}"/>
    <cellStyle name="Финансовый 3 2 2 3 7" xfId="2793" xr:uid="{00000000-0005-0000-0000-0000960E0000}"/>
    <cellStyle name="Финансовый 3 2 2 3 8" xfId="4437" xr:uid="{00000000-0005-0000-0000-0000970E0000}"/>
    <cellStyle name="Финансовый 3 2 2 4" xfId="332" xr:uid="{00000000-0005-0000-0000-0000980E0000}"/>
    <cellStyle name="Финансовый 3 2 2 4 2" xfId="2119" xr:uid="{00000000-0005-0000-0000-0000990E0000}"/>
    <cellStyle name="Финансовый 3 2 2 4 2 2" xfId="3764" xr:uid="{00000000-0005-0000-0000-00009A0E0000}"/>
    <cellStyle name="Финансовый 3 2 2 4 2 3" xfId="5547" xr:uid="{00000000-0005-0000-0000-00009B0E0000}"/>
    <cellStyle name="Финансовый 3 2 2 4 3" xfId="1152" xr:uid="{00000000-0005-0000-0000-00009C0E0000}"/>
    <cellStyle name="Финансовый 3 2 2 4 4" xfId="752" xr:uid="{00000000-0005-0000-0000-00009D0E0000}"/>
    <cellStyle name="Финансовый 3 2 2 4 5" xfId="2929" xr:uid="{00000000-0005-0000-0000-00009E0E0000}"/>
    <cellStyle name="Финансовый 3 2 2 4 6" xfId="4573" xr:uid="{00000000-0005-0000-0000-00009F0E0000}"/>
    <cellStyle name="Финансовый 3 2 2 5" xfId="1516" xr:uid="{00000000-0005-0000-0000-0000A00E0000}"/>
    <cellStyle name="Финансовый 3 2 2 5 2" xfId="1855" xr:uid="{00000000-0005-0000-0000-0000A10E0000}"/>
    <cellStyle name="Финансовый 3 2 2 5 2 2" xfId="3500" xr:uid="{00000000-0005-0000-0000-0000A20E0000}"/>
    <cellStyle name="Финансовый 3 2 2 5 2 3" xfId="5283" xr:uid="{00000000-0005-0000-0000-0000A30E0000}"/>
    <cellStyle name="Финансовый 3 2 2 5 3" xfId="4944" xr:uid="{00000000-0005-0000-0000-0000A40E0000}"/>
    <cellStyle name="Финансовый 3 2 2 6" xfId="1739" xr:uid="{00000000-0005-0000-0000-0000A50E0000}"/>
    <cellStyle name="Финансовый 3 2 2 6 2" xfId="3384" xr:uid="{00000000-0005-0000-0000-0000A60E0000}"/>
    <cellStyle name="Финансовый 3 2 2 6 3" xfId="5167" xr:uid="{00000000-0005-0000-0000-0000A70E0000}"/>
    <cellStyle name="Финансовый 3 2 2 7" xfId="2375" xr:uid="{00000000-0005-0000-0000-0000A80E0000}"/>
    <cellStyle name="Финансовый 3 2 2 7 2" xfId="4020" xr:uid="{00000000-0005-0000-0000-0000A90E0000}"/>
    <cellStyle name="Финансовый 3 2 2 7 3" xfId="5803" xr:uid="{00000000-0005-0000-0000-0000AA0E0000}"/>
    <cellStyle name="Финансовый 3 2 2 8" xfId="1602" xr:uid="{00000000-0005-0000-0000-0000AB0E0000}"/>
    <cellStyle name="Финансовый 3 2 2 8 2" xfId="3247" xr:uid="{00000000-0005-0000-0000-0000AC0E0000}"/>
    <cellStyle name="Финансовый 3 2 2 8 3" xfId="5030" xr:uid="{00000000-0005-0000-0000-0000AD0E0000}"/>
    <cellStyle name="Финансовый 3 2 2 9" xfId="888" xr:uid="{00000000-0005-0000-0000-0000AE0E0000}"/>
    <cellStyle name="Финансовый 3 2 3" xfId="115" xr:uid="{00000000-0005-0000-0000-0000AF0E0000}"/>
    <cellStyle name="Финансовый 3 2 3 10" xfId="2725" xr:uid="{00000000-0005-0000-0000-0000B00E0000}"/>
    <cellStyle name="Финансовый 3 2 3 11" xfId="4369" xr:uid="{00000000-0005-0000-0000-0000B10E0000}"/>
    <cellStyle name="Финансовый 3 2 3 2" xfId="251" xr:uid="{00000000-0005-0000-0000-0000B20E0000}"/>
    <cellStyle name="Финансовый 3 2 3 2 2" xfId="1349" xr:uid="{00000000-0005-0000-0000-0000B30E0000}"/>
    <cellStyle name="Финансовый 3 2 3 2 2 2" xfId="2307" xr:uid="{00000000-0005-0000-0000-0000B40E0000}"/>
    <cellStyle name="Финансовый 3 2 3 2 2 2 2" xfId="3952" xr:uid="{00000000-0005-0000-0000-0000B50E0000}"/>
    <cellStyle name="Финансовый 3 2 3 2 2 2 3" xfId="5735" xr:uid="{00000000-0005-0000-0000-0000B60E0000}"/>
    <cellStyle name="Финансовый 3 2 3 2 2 3" xfId="3133" xr:uid="{00000000-0005-0000-0000-0000B70E0000}"/>
    <cellStyle name="Финансовый 3 2 3 2 2 4" xfId="4777" xr:uid="{00000000-0005-0000-0000-0000B80E0000}"/>
    <cellStyle name="Финансовый 3 2 3 2 3" xfId="2051" xr:uid="{00000000-0005-0000-0000-0000B90E0000}"/>
    <cellStyle name="Финансовый 3 2 3 2 3 2" xfId="3696" xr:uid="{00000000-0005-0000-0000-0000BA0E0000}"/>
    <cellStyle name="Финансовый 3 2 3 2 3 3" xfId="5479" xr:uid="{00000000-0005-0000-0000-0000BB0E0000}"/>
    <cellStyle name="Финансовый 3 2 3 2 4" xfId="2580" xr:uid="{00000000-0005-0000-0000-0000BC0E0000}"/>
    <cellStyle name="Финансовый 3 2 3 2 4 2" xfId="4225" xr:uid="{00000000-0005-0000-0000-0000BD0E0000}"/>
    <cellStyle name="Финансовый 3 2 3 2 4 3" xfId="6008" xr:uid="{00000000-0005-0000-0000-0000BE0E0000}"/>
    <cellStyle name="Финансовый 3 2 3 2 5" xfId="1084" xr:uid="{00000000-0005-0000-0000-0000BF0E0000}"/>
    <cellStyle name="Финансовый 3 2 3 2 6" xfId="672" xr:uid="{00000000-0005-0000-0000-0000C00E0000}"/>
    <cellStyle name="Финансовый 3 2 3 2 7" xfId="2861" xr:uid="{00000000-0005-0000-0000-0000C10E0000}"/>
    <cellStyle name="Финансовый 3 2 3 2 8" xfId="4505" xr:uid="{00000000-0005-0000-0000-0000C20E0000}"/>
    <cellStyle name="Финансовый 3 2 3 3" xfId="400" xr:uid="{00000000-0005-0000-0000-0000C30E0000}"/>
    <cellStyle name="Финансовый 3 2 3 3 2" xfId="2179" xr:uid="{00000000-0005-0000-0000-0000C40E0000}"/>
    <cellStyle name="Финансовый 3 2 3 3 2 2" xfId="3824" xr:uid="{00000000-0005-0000-0000-0000C50E0000}"/>
    <cellStyle name="Финансовый 3 2 3 3 2 3" xfId="5607" xr:uid="{00000000-0005-0000-0000-0000C60E0000}"/>
    <cellStyle name="Финансовый 3 2 3 3 3" xfId="1213" xr:uid="{00000000-0005-0000-0000-0000C70E0000}"/>
    <cellStyle name="Финансовый 3 2 3 3 4" xfId="820" xr:uid="{00000000-0005-0000-0000-0000C80E0000}"/>
    <cellStyle name="Финансовый 3 2 3 3 5" xfId="2997" xr:uid="{00000000-0005-0000-0000-0000C90E0000}"/>
    <cellStyle name="Финансовый 3 2 3 3 6" xfId="4641" xr:uid="{00000000-0005-0000-0000-0000CA0E0000}"/>
    <cellStyle name="Финансовый 3 2 3 4" xfId="1518" xr:uid="{00000000-0005-0000-0000-0000CB0E0000}"/>
    <cellStyle name="Финансовый 3 2 3 4 2" xfId="1923" xr:uid="{00000000-0005-0000-0000-0000CC0E0000}"/>
    <cellStyle name="Финансовый 3 2 3 4 2 2" xfId="3568" xr:uid="{00000000-0005-0000-0000-0000CD0E0000}"/>
    <cellStyle name="Финансовый 3 2 3 4 2 3" xfId="5351" xr:uid="{00000000-0005-0000-0000-0000CE0E0000}"/>
    <cellStyle name="Финансовый 3 2 3 4 3" xfId="4946" xr:uid="{00000000-0005-0000-0000-0000CF0E0000}"/>
    <cellStyle name="Финансовый 3 2 3 5" xfId="1799" xr:uid="{00000000-0005-0000-0000-0000D00E0000}"/>
    <cellStyle name="Финансовый 3 2 3 5 2" xfId="3444" xr:uid="{00000000-0005-0000-0000-0000D10E0000}"/>
    <cellStyle name="Финансовый 3 2 3 5 3" xfId="5227" xr:uid="{00000000-0005-0000-0000-0000D20E0000}"/>
    <cellStyle name="Финансовый 3 2 3 6" xfId="2444" xr:uid="{00000000-0005-0000-0000-0000D30E0000}"/>
    <cellStyle name="Финансовый 3 2 3 6 2" xfId="4089" xr:uid="{00000000-0005-0000-0000-0000D40E0000}"/>
    <cellStyle name="Финансовый 3 2 3 6 3" xfId="5872" xr:uid="{00000000-0005-0000-0000-0000D50E0000}"/>
    <cellStyle name="Финансовый 3 2 3 7" xfId="1671" xr:uid="{00000000-0005-0000-0000-0000D60E0000}"/>
    <cellStyle name="Финансовый 3 2 3 7 2" xfId="3316" xr:uid="{00000000-0005-0000-0000-0000D70E0000}"/>
    <cellStyle name="Финансовый 3 2 3 7 3" xfId="5099" xr:uid="{00000000-0005-0000-0000-0000D80E0000}"/>
    <cellStyle name="Финансовый 3 2 3 8" xfId="948" xr:uid="{00000000-0005-0000-0000-0000D90E0000}"/>
    <cellStyle name="Финансовый 3 2 3 9" xfId="536" xr:uid="{00000000-0005-0000-0000-0000DA0E0000}"/>
    <cellStyle name="Финансовый 3 2 4" xfId="79" xr:uid="{00000000-0005-0000-0000-0000DB0E0000}"/>
    <cellStyle name="Финансовый 3 2 4 10" xfId="2689" xr:uid="{00000000-0005-0000-0000-0000DC0E0000}"/>
    <cellStyle name="Финансовый 3 2 4 11" xfId="4333" xr:uid="{00000000-0005-0000-0000-0000DD0E0000}"/>
    <cellStyle name="Финансовый 3 2 4 2" xfId="215" xr:uid="{00000000-0005-0000-0000-0000DE0E0000}"/>
    <cellStyle name="Финансовый 3 2 4 2 2" xfId="1313" xr:uid="{00000000-0005-0000-0000-0000DF0E0000}"/>
    <cellStyle name="Финансовый 3 2 4 2 2 2" xfId="2271" xr:uid="{00000000-0005-0000-0000-0000E00E0000}"/>
    <cellStyle name="Финансовый 3 2 4 2 2 2 2" xfId="3916" xr:uid="{00000000-0005-0000-0000-0000E10E0000}"/>
    <cellStyle name="Финансовый 3 2 4 2 2 2 3" xfId="5699" xr:uid="{00000000-0005-0000-0000-0000E20E0000}"/>
    <cellStyle name="Финансовый 3 2 4 2 2 3" xfId="3097" xr:uid="{00000000-0005-0000-0000-0000E30E0000}"/>
    <cellStyle name="Финансовый 3 2 4 2 2 4" xfId="4741" xr:uid="{00000000-0005-0000-0000-0000E40E0000}"/>
    <cellStyle name="Финансовый 3 2 4 2 3" xfId="2015" xr:uid="{00000000-0005-0000-0000-0000E50E0000}"/>
    <cellStyle name="Финансовый 3 2 4 2 3 2" xfId="3660" xr:uid="{00000000-0005-0000-0000-0000E60E0000}"/>
    <cellStyle name="Финансовый 3 2 4 2 3 3" xfId="5443" xr:uid="{00000000-0005-0000-0000-0000E70E0000}"/>
    <cellStyle name="Финансовый 3 2 4 2 4" xfId="2544" xr:uid="{00000000-0005-0000-0000-0000E80E0000}"/>
    <cellStyle name="Финансовый 3 2 4 2 4 2" xfId="4189" xr:uid="{00000000-0005-0000-0000-0000E90E0000}"/>
    <cellStyle name="Финансовый 3 2 4 2 4 3" xfId="5972" xr:uid="{00000000-0005-0000-0000-0000EA0E0000}"/>
    <cellStyle name="Финансовый 3 2 4 2 5" xfId="1048" xr:uid="{00000000-0005-0000-0000-0000EB0E0000}"/>
    <cellStyle name="Финансовый 3 2 4 2 6" xfId="636" xr:uid="{00000000-0005-0000-0000-0000EC0E0000}"/>
    <cellStyle name="Финансовый 3 2 4 2 7" xfId="2825" xr:uid="{00000000-0005-0000-0000-0000ED0E0000}"/>
    <cellStyle name="Финансовый 3 2 4 2 8" xfId="4469" xr:uid="{00000000-0005-0000-0000-0000EE0E0000}"/>
    <cellStyle name="Финансовый 3 2 4 3" xfId="364" xr:uid="{00000000-0005-0000-0000-0000EF0E0000}"/>
    <cellStyle name="Финансовый 3 2 4 3 2" xfId="2143" xr:uid="{00000000-0005-0000-0000-0000F00E0000}"/>
    <cellStyle name="Финансовый 3 2 4 3 2 2" xfId="3788" xr:uid="{00000000-0005-0000-0000-0000F10E0000}"/>
    <cellStyle name="Финансовый 3 2 4 3 2 3" xfId="5571" xr:uid="{00000000-0005-0000-0000-0000F20E0000}"/>
    <cellStyle name="Финансовый 3 2 4 3 3" xfId="1177" xr:uid="{00000000-0005-0000-0000-0000F30E0000}"/>
    <cellStyle name="Финансовый 3 2 4 3 4" xfId="784" xr:uid="{00000000-0005-0000-0000-0000F40E0000}"/>
    <cellStyle name="Финансовый 3 2 4 3 5" xfId="2961" xr:uid="{00000000-0005-0000-0000-0000F50E0000}"/>
    <cellStyle name="Финансовый 3 2 4 3 6" xfId="4605" xr:uid="{00000000-0005-0000-0000-0000F60E0000}"/>
    <cellStyle name="Финансовый 3 2 4 4" xfId="1519" xr:uid="{00000000-0005-0000-0000-0000F70E0000}"/>
    <cellStyle name="Финансовый 3 2 4 4 2" xfId="1887" xr:uid="{00000000-0005-0000-0000-0000F80E0000}"/>
    <cellStyle name="Финансовый 3 2 4 4 2 2" xfId="3532" xr:uid="{00000000-0005-0000-0000-0000F90E0000}"/>
    <cellStyle name="Финансовый 3 2 4 4 2 3" xfId="5315" xr:uid="{00000000-0005-0000-0000-0000FA0E0000}"/>
    <cellStyle name="Финансовый 3 2 4 4 3" xfId="4947" xr:uid="{00000000-0005-0000-0000-0000FB0E0000}"/>
    <cellStyle name="Финансовый 3 2 4 5" xfId="1763" xr:uid="{00000000-0005-0000-0000-0000FC0E0000}"/>
    <cellStyle name="Финансовый 3 2 4 5 2" xfId="3408" xr:uid="{00000000-0005-0000-0000-0000FD0E0000}"/>
    <cellStyle name="Финансовый 3 2 4 5 3" xfId="5191" xr:uid="{00000000-0005-0000-0000-0000FE0E0000}"/>
    <cellStyle name="Финансовый 3 2 4 6" xfId="2408" xr:uid="{00000000-0005-0000-0000-0000FF0E0000}"/>
    <cellStyle name="Финансовый 3 2 4 6 2" xfId="4053" xr:uid="{00000000-0005-0000-0000-0000000F0000}"/>
    <cellStyle name="Финансовый 3 2 4 6 3" xfId="5836" xr:uid="{00000000-0005-0000-0000-0000010F0000}"/>
    <cellStyle name="Финансовый 3 2 4 7" xfId="1635" xr:uid="{00000000-0005-0000-0000-0000020F0000}"/>
    <cellStyle name="Финансовый 3 2 4 7 2" xfId="3280" xr:uid="{00000000-0005-0000-0000-0000030F0000}"/>
    <cellStyle name="Финансовый 3 2 4 7 3" xfId="5063" xr:uid="{00000000-0005-0000-0000-0000040F0000}"/>
    <cellStyle name="Финансовый 3 2 4 8" xfId="912" xr:uid="{00000000-0005-0000-0000-0000050F0000}"/>
    <cellStyle name="Финансовый 3 2 4 9" xfId="500" xr:uid="{00000000-0005-0000-0000-0000060F0000}"/>
    <cellStyle name="Финансовый 3 2 5" xfId="57" xr:uid="{00000000-0005-0000-0000-0000070F0000}"/>
    <cellStyle name="Финансовый 3 2 5 10" xfId="2669" xr:uid="{00000000-0005-0000-0000-0000080F0000}"/>
    <cellStyle name="Финансовый 3 2 5 11" xfId="4312" xr:uid="{00000000-0005-0000-0000-0000090F0000}"/>
    <cellStyle name="Финансовый 3 2 5 2" xfId="195" xr:uid="{00000000-0005-0000-0000-00000A0F0000}"/>
    <cellStyle name="Финансовый 3 2 5 2 2" xfId="1293" xr:uid="{00000000-0005-0000-0000-00000B0F0000}"/>
    <cellStyle name="Финансовый 3 2 5 2 2 2" xfId="2259" xr:uid="{00000000-0005-0000-0000-00000C0F0000}"/>
    <cellStyle name="Финансовый 3 2 5 2 2 2 2" xfId="3904" xr:uid="{00000000-0005-0000-0000-00000D0F0000}"/>
    <cellStyle name="Финансовый 3 2 5 2 2 2 3" xfId="5687" xr:uid="{00000000-0005-0000-0000-00000E0F0000}"/>
    <cellStyle name="Финансовый 3 2 5 2 2 3" xfId="3077" xr:uid="{00000000-0005-0000-0000-00000F0F0000}"/>
    <cellStyle name="Финансовый 3 2 5 2 2 4" xfId="4721" xr:uid="{00000000-0005-0000-0000-0000100F0000}"/>
    <cellStyle name="Финансовый 3 2 5 2 3" xfId="2003" xr:uid="{00000000-0005-0000-0000-0000110F0000}"/>
    <cellStyle name="Финансовый 3 2 5 2 3 2" xfId="3648" xr:uid="{00000000-0005-0000-0000-0000120F0000}"/>
    <cellStyle name="Финансовый 3 2 5 2 3 3" xfId="5431" xr:uid="{00000000-0005-0000-0000-0000130F0000}"/>
    <cellStyle name="Финансовый 3 2 5 2 4" xfId="2524" xr:uid="{00000000-0005-0000-0000-0000140F0000}"/>
    <cellStyle name="Финансовый 3 2 5 2 4 2" xfId="4169" xr:uid="{00000000-0005-0000-0000-0000150F0000}"/>
    <cellStyle name="Финансовый 3 2 5 2 4 3" xfId="5952" xr:uid="{00000000-0005-0000-0000-0000160F0000}"/>
    <cellStyle name="Финансовый 3 2 5 2 5" xfId="1028" xr:uid="{00000000-0005-0000-0000-0000170F0000}"/>
    <cellStyle name="Финансовый 3 2 5 2 6" xfId="616" xr:uid="{00000000-0005-0000-0000-0000180F0000}"/>
    <cellStyle name="Финансовый 3 2 5 2 7" xfId="2805" xr:uid="{00000000-0005-0000-0000-0000190F0000}"/>
    <cellStyle name="Финансовый 3 2 5 2 8" xfId="4449" xr:uid="{00000000-0005-0000-0000-00001A0F0000}"/>
    <cellStyle name="Финансовый 3 2 5 3" xfId="344" xr:uid="{00000000-0005-0000-0000-00001B0F0000}"/>
    <cellStyle name="Финансовый 3 2 5 3 2" xfId="2131" xr:uid="{00000000-0005-0000-0000-00001C0F0000}"/>
    <cellStyle name="Финансовый 3 2 5 3 2 2" xfId="3776" xr:uid="{00000000-0005-0000-0000-00001D0F0000}"/>
    <cellStyle name="Финансовый 3 2 5 3 2 3" xfId="5559" xr:uid="{00000000-0005-0000-0000-00001E0F0000}"/>
    <cellStyle name="Финансовый 3 2 5 3 3" xfId="1164" xr:uid="{00000000-0005-0000-0000-00001F0F0000}"/>
    <cellStyle name="Финансовый 3 2 5 3 4" xfId="764" xr:uid="{00000000-0005-0000-0000-0000200F0000}"/>
    <cellStyle name="Финансовый 3 2 5 3 5" xfId="2941" xr:uid="{00000000-0005-0000-0000-0000210F0000}"/>
    <cellStyle name="Финансовый 3 2 5 3 6" xfId="4585" xr:uid="{00000000-0005-0000-0000-0000220F0000}"/>
    <cellStyle name="Финансовый 3 2 5 4" xfId="1520" xr:uid="{00000000-0005-0000-0000-0000230F0000}"/>
    <cellStyle name="Финансовый 3 2 5 4 2" xfId="1867" xr:uid="{00000000-0005-0000-0000-0000240F0000}"/>
    <cellStyle name="Финансовый 3 2 5 4 2 2" xfId="3512" xr:uid="{00000000-0005-0000-0000-0000250F0000}"/>
    <cellStyle name="Финансовый 3 2 5 4 2 3" xfId="5295" xr:uid="{00000000-0005-0000-0000-0000260F0000}"/>
    <cellStyle name="Финансовый 3 2 5 4 3" xfId="4948" xr:uid="{00000000-0005-0000-0000-0000270F0000}"/>
    <cellStyle name="Финансовый 3 2 5 5" xfId="1751" xr:uid="{00000000-0005-0000-0000-0000280F0000}"/>
    <cellStyle name="Финансовый 3 2 5 5 2" xfId="3396" xr:uid="{00000000-0005-0000-0000-0000290F0000}"/>
    <cellStyle name="Финансовый 3 2 5 5 3" xfId="5179" xr:uid="{00000000-0005-0000-0000-00002A0F0000}"/>
    <cellStyle name="Финансовый 3 2 5 6" xfId="2387" xr:uid="{00000000-0005-0000-0000-00002B0F0000}"/>
    <cellStyle name="Финансовый 3 2 5 6 2" xfId="4032" xr:uid="{00000000-0005-0000-0000-00002C0F0000}"/>
    <cellStyle name="Финансовый 3 2 5 6 3" xfId="5815" xr:uid="{00000000-0005-0000-0000-00002D0F0000}"/>
    <cellStyle name="Финансовый 3 2 5 7" xfId="1614" xr:uid="{00000000-0005-0000-0000-00002E0F0000}"/>
    <cellStyle name="Финансовый 3 2 5 7 2" xfId="3259" xr:uid="{00000000-0005-0000-0000-00002F0F0000}"/>
    <cellStyle name="Финансовый 3 2 5 7 3" xfId="5042" xr:uid="{00000000-0005-0000-0000-0000300F0000}"/>
    <cellStyle name="Финансовый 3 2 5 8" xfId="900" xr:uid="{00000000-0005-0000-0000-0000310F0000}"/>
    <cellStyle name="Финансовый 3 2 5 9" xfId="480" xr:uid="{00000000-0005-0000-0000-0000320F0000}"/>
    <cellStyle name="Финансовый 3 2 6" xfId="135" xr:uid="{00000000-0005-0000-0000-0000330F0000}"/>
    <cellStyle name="Финансовый 3 2 6 10" xfId="2745" xr:uid="{00000000-0005-0000-0000-0000340F0000}"/>
    <cellStyle name="Финансовый 3 2 6 11" xfId="4389" xr:uid="{00000000-0005-0000-0000-0000350F0000}"/>
    <cellStyle name="Финансовый 3 2 6 2" xfId="271" xr:uid="{00000000-0005-0000-0000-0000360F0000}"/>
    <cellStyle name="Финансовый 3 2 6 2 2" xfId="1369" xr:uid="{00000000-0005-0000-0000-0000370F0000}"/>
    <cellStyle name="Финансовый 3 2 6 2 2 2" xfId="2327" xr:uid="{00000000-0005-0000-0000-0000380F0000}"/>
    <cellStyle name="Финансовый 3 2 6 2 2 2 2" xfId="3972" xr:uid="{00000000-0005-0000-0000-0000390F0000}"/>
    <cellStyle name="Финансовый 3 2 6 2 2 2 3" xfId="5755" xr:uid="{00000000-0005-0000-0000-00003A0F0000}"/>
    <cellStyle name="Финансовый 3 2 6 2 2 3" xfId="3153" xr:uid="{00000000-0005-0000-0000-00003B0F0000}"/>
    <cellStyle name="Финансовый 3 2 6 2 2 4" xfId="4797" xr:uid="{00000000-0005-0000-0000-00003C0F0000}"/>
    <cellStyle name="Финансовый 3 2 6 2 3" xfId="2071" xr:uid="{00000000-0005-0000-0000-00003D0F0000}"/>
    <cellStyle name="Финансовый 3 2 6 2 3 2" xfId="3716" xr:uid="{00000000-0005-0000-0000-00003E0F0000}"/>
    <cellStyle name="Финансовый 3 2 6 2 3 3" xfId="5499" xr:uid="{00000000-0005-0000-0000-00003F0F0000}"/>
    <cellStyle name="Финансовый 3 2 6 2 4" xfId="2600" xr:uid="{00000000-0005-0000-0000-0000400F0000}"/>
    <cellStyle name="Финансовый 3 2 6 2 4 2" xfId="4245" xr:uid="{00000000-0005-0000-0000-0000410F0000}"/>
    <cellStyle name="Финансовый 3 2 6 2 4 3" xfId="6028" xr:uid="{00000000-0005-0000-0000-0000420F0000}"/>
    <cellStyle name="Финансовый 3 2 6 2 5" xfId="1104" xr:uid="{00000000-0005-0000-0000-0000430F0000}"/>
    <cellStyle name="Финансовый 3 2 6 2 6" xfId="692" xr:uid="{00000000-0005-0000-0000-0000440F0000}"/>
    <cellStyle name="Финансовый 3 2 6 2 7" xfId="2881" xr:uid="{00000000-0005-0000-0000-0000450F0000}"/>
    <cellStyle name="Финансовый 3 2 6 2 8" xfId="4525" xr:uid="{00000000-0005-0000-0000-0000460F0000}"/>
    <cellStyle name="Финансовый 3 2 6 3" xfId="420" xr:uid="{00000000-0005-0000-0000-0000470F0000}"/>
    <cellStyle name="Финансовый 3 2 6 3 2" xfId="2199" xr:uid="{00000000-0005-0000-0000-0000480F0000}"/>
    <cellStyle name="Финансовый 3 2 6 3 2 2" xfId="3844" xr:uid="{00000000-0005-0000-0000-0000490F0000}"/>
    <cellStyle name="Финансовый 3 2 6 3 2 3" xfId="5627" xr:uid="{00000000-0005-0000-0000-00004A0F0000}"/>
    <cellStyle name="Финансовый 3 2 6 3 3" xfId="1233" xr:uid="{00000000-0005-0000-0000-00004B0F0000}"/>
    <cellStyle name="Финансовый 3 2 6 3 4" xfId="840" xr:uid="{00000000-0005-0000-0000-00004C0F0000}"/>
    <cellStyle name="Финансовый 3 2 6 3 5" xfId="3017" xr:uid="{00000000-0005-0000-0000-00004D0F0000}"/>
    <cellStyle name="Финансовый 3 2 6 3 6" xfId="4661" xr:uid="{00000000-0005-0000-0000-00004E0F0000}"/>
    <cellStyle name="Финансовый 3 2 6 4" xfId="1521" xr:uid="{00000000-0005-0000-0000-00004F0F0000}"/>
    <cellStyle name="Финансовый 3 2 6 4 2" xfId="1943" xr:uid="{00000000-0005-0000-0000-0000500F0000}"/>
    <cellStyle name="Финансовый 3 2 6 4 2 2" xfId="3588" xr:uid="{00000000-0005-0000-0000-0000510F0000}"/>
    <cellStyle name="Финансовый 3 2 6 4 2 3" xfId="5371" xr:uid="{00000000-0005-0000-0000-0000520F0000}"/>
    <cellStyle name="Финансовый 3 2 6 4 3" xfId="4949" xr:uid="{00000000-0005-0000-0000-0000530F0000}"/>
    <cellStyle name="Финансовый 3 2 6 5" xfId="1819" xr:uid="{00000000-0005-0000-0000-0000540F0000}"/>
    <cellStyle name="Финансовый 3 2 6 5 2" xfId="3464" xr:uid="{00000000-0005-0000-0000-0000550F0000}"/>
    <cellStyle name="Финансовый 3 2 6 5 3" xfId="5247" xr:uid="{00000000-0005-0000-0000-0000560F0000}"/>
    <cellStyle name="Финансовый 3 2 6 6" xfId="2464" xr:uid="{00000000-0005-0000-0000-0000570F0000}"/>
    <cellStyle name="Финансовый 3 2 6 6 2" xfId="4109" xr:uid="{00000000-0005-0000-0000-0000580F0000}"/>
    <cellStyle name="Финансовый 3 2 6 6 3" xfId="5892" xr:uid="{00000000-0005-0000-0000-0000590F0000}"/>
    <cellStyle name="Финансовый 3 2 6 7" xfId="1691" xr:uid="{00000000-0005-0000-0000-00005A0F0000}"/>
    <cellStyle name="Финансовый 3 2 6 7 2" xfId="3336" xr:uid="{00000000-0005-0000-0000-00005B0F0000}"/>
    <cellStyle name="Финансовый 3 2 6 7 3" xfId="5119" xr:uid="{00000000-0005-0000-0000-00005C0F0000}"/>
    <cellStyle name="Финансовый 3 2 6 8" xfId="968" xr:uid="{00000000-0005-0000-0000-00005D0F0000}"/>
    <cellStyle name="Финансовый 3 2 6 9" xfId="556" xr:uid="{00000000-0005-0000-0000-00005E0F0000}"/>
    <cellStyle name="Финансовый 3 2 7" xfId="33" xr:uid="{00000000-0005-0000-0000-00005F0F0000}"/>
    <cellStyle name="Финансовый 3 2 7 10" xfId="2645" xr:uid="{00000000-0005-0000-0000-0000600F0000}"/>
    <cellStyle name="Финансовый 3 2 7 11" xfId="4288" xr:uid="{00000000-0005-0000-0000-0000610F0000}"/>
    <cellStyle name="Финансовый 3 2 7 2" xfId="171" xr:uid="{00000000-0005-0000-0000-0000620F0000}"/>
    <cellStyle name="Финансовый 3 2 7 2 2" xfId="1269" xr:uid="{00000000-0005-0000-0000-0000630F0000}"/>
    <cellStyle name="Финансовый 3 2 7 2 2 2" xfId="2235" xr:uid="{00000000-0005-0000-0000-0000640F0000}"/>
    <cellStyle name="Финансовый 3 2 7 2 2 2 2" xfId="3880" xr:uid="{00000000-0005-0000-0000-0000650F0000}"/>
    <cellStyle name="Финансовый 3 2 7 2 2 2 3" xfId="5663" xr:uid="{00000000-0005-0000-0000-0000660F0000}"/>
    <cellStyle name="Финансовый 3 2 7 2 2 3" xfId="3053" xr:uid="{00000000-0005-0000-0000-0000670F0000}"/>
    <cellStyle name="Финансовый 3 2 7 2 2 4" xfId="4697" xr:uid="{00000000-0005-0000-0000-0000680F0000}"/>
    <cellStyle name="Финансовый 3 2 7 2 3" xfId="1979" xr:uid="{00000000-0005-0000-0000-0000690F0000}"/>
    <cellStyle name="Финансовый 3 2 7 2 3 2" xfId="3624" xr:uid="{00000000-0005-0000-0000-00006A0F0000}"/>
    <cellStyle name="Финансовый 3 2 7 2 3 3" xfId="5407" xr:uid="{00000000-0005-0000-0000-00006B0F0000}"/>
    <cellStyle name="Финансовый 3 2 7 2 4" xfId="2500" xr:uid="{00000000-0005-0000-0000-00006C0F0000}"/>
    <cellStyle name="Финансовый 3 2 7 2 4 2" xfId="4145" xr:uid="{00000000-0005-0000-0000-00006D0F0000}"/>
    <cellStyle name="Финансовый 3 2 7 2 4 3" xfId="5928" xr:uid="{00000000-0005-0000-0000-00006E0F0000}"/>
    <cellStyle name="Финансовый 3 2 7 2 5" xfId="1004" xr:uid="{00000000-0005-0000-0000-00006F0F0000}"/>
    <cellStyle name="Финансовый 3 2 7 2 6" xfId="592" xr:uid="{00000000-0005-0000-0000-0000700F0000}"/>
    <cellStyle name="Финансовый 3 2 7 2 7" xfId="2781" xr:uid="{00000000-0005-0000-0000-0000710F0000}"/>
    <cellStyle name="Финансовый 3 2 7 2 8" xfId="4425" xr:uid="{00000000-0005-0000-0000-0000720F0000}"/>
    <cellStyle name="Финансовый 3 2 7 3" xfId="320" xr:uid="{00000000-0005-0000-0000-0000730F0000}"/>
    <cellStyle name="Финансовый 3 2 7 3 2" xfId="2107" xr:uid="{00000000-0005-0000-0000-0000740F0000}"/>
    <cellStyle name="Финансовый 3 2 7 3 2 2" xfId="3752" xr:uid="{00000000-0005-0000-0000-0000750F0000}"/>
    <cellStyle name="Финансовый 3 2 7 3 2 3" xfId="5535" xr:uid="{00000000-0005-0000-0000-0000760F0000}"/>
    <cellStyle name="Финансовый 3 2 7 3 3" xfId="1140" xr:uid="{00000000-0005-0000-0000-0000770F0000}"/>
    <cellStyle name="Финансовый 3 2 7 3 4" xfId="740" xr:uid="{00000000-0005-0000-0000-0000780F0000}"/>
    <cellStyle name="Финансовый 3 2 7 3 5" xfId="2917" xr:uid="{00000000-0005-0000-0000-0000790F0000}"/>
    <cellStyle name="Финансовый 3 2 7 3 6" xfId="4561" xr:uid="{00000000-0005-0000-0000-00007A0F0000}"/>
    <cellStyle name="Финансовый 3 2 7 4" xfId="1522" xr:uid="{00000000-0005-0000-0000-00007B0F0000}"/>
    <cellStyle name="Финансовый 3 2 7 4 2" xfId="1843" xr:uid="{00000000-0005-0000-0000-00007C0F0000}"/>
    <cellStyle name="Финансовый 3 2 7 4 2 2" xfId="3488" xr:uid="{00000000-0005-0000-0000-00007D0F0000}"/>
    <cellStyle name="Финансовый 3 2 7 4 2 3" xfId="5271" xr:uid="{00000000-0005-0000-0000-00007E0F0000}"/>
    <cellStyle name="Финансовый 3 2 7 4 3" xfId="4950" xr:uid="{00000000-0005-0000-0000-00007F0F0000}"/>
    <cellStyle name="Финансовый 3 2 7 5" xfId="1727" xr:uid="{00000000-0005-0000-0000-0000800F0000}"/>
    <cellStyle name="Финансовый 3 2 7 5 2" xfId="3372" xr:uid="{00000000-0005-0000-0000-0000810F0000}"/>
    <cellStyle name="Финансовый 3 2 7 5 3" xfId="5155" xr:uid="{00000000-0005-0000-0000-0000820F0000}"/>
    <cellStyle name="Финансовый 3 2 7 6" xfId="2363" xr:uid="{00000000-0005-0000-0000-0000830F0000}"/>
    <cellStyle name="Финансовый 3 2 7 6 2" xfId="4008" xr:uid="{00000000-0005-0000-0000-0000840F0000}"/>
    <cellStyle name="Финансовый 3 2 7 6 3" xfId="5791" xr:uid="{00000000-0005-0000-0000-0000850F0000}"/>
    <cellStyle name="Финансовый 3 2 7 7" xfId="1590" xr:uid="{00000000-0005-0000-0000-0000860F0000}"/>
    <cellStyle name="Финансовый 3 2 7 7 2" xfId="3235" xr:uid="{00000000-0005-0000-0000-0000870F0000}"/>
    <cellStyle name="Финансовый 3 2 7 7 3" xfId="5018" xr:uid="{00000000-0005-0000-0000-0000880F0000}"/>
    <cellStyle name="Финансовый 3 2 7 8" xfId="876" xr:uid="{00000000-0005-0000-0000-0000890F0000}"/>
    <cellStyle name="Финансовый 3 2 7 9" xfId="456" xr:uid="{00000000-0005-0000-0000-00008A0F0000}"/>
    <cellStyle name="Финансовый 3 2 8" xfId="21" xr:uid="{00000000-0005-0000-0000-00008B0F0000}"/>
    <cellStyle name="Финансовый 3 2 8 10" xfId="2633" xr:uid="{00000000-0005-0000-0000-00008C0F0000}"/>
    <cellStyle name="Финансовый 3 2 8 11" xfId="4276" xr:uid="{00000000-0005-0000-0000-00008D0F0000}"/>
    <cellStyle name="Финансовый 3 2 8 2" xfId="159" xr:uid="{00000000-0005-0000-0000-00008E0F0000}"/>
    <cellStyle name="Финансовый 3 2 8 2 2" xfId="1257" xr:uid="{00000000-0005-0000-0000-00008F0F0000}"/>
    <cellStyle name="Финансовый 3 2 8 2 2 2" xfId="2223" xr:uid="{00000000-0005-0000-0000-0000900F0000}"/>
    <cellStyle name="Финансовый 3 2 8 2 2 2 2" xfId="3868" xr:uid="{00000000-0005-0000-0000-0000910F0000}"/>
    <cellStyle name="Финансовый 3 2 8 2 2 2 3" xfId="5651" xr:uid="{00000000-0005-0000-0000-0000920F0000}"/>
    <cellStyle name="Финансовый 3 2 8 2 2 3" xfId="3041" xr:uid="{00000000-0005-0000-0000-0000930F0000}"/>
    <cellStyle name="Финансовый 3 2 8 2 2 4" xfId="4685" xr:uid="{00000000-0005-0000-0000-0000940F0000}"/>
    <cellStyle name="Финансовый 3 2 8 2 3" xfId="1967" xr:uid="{00000000-0005-0000-0000-0000950F0000}"/>
    <cellStyle name="Финансовый 3 2 8 2 3 2" xfId="3612" xr:uid="{00000000-0005-0000-0000-0000960F0000}"/>
    <cellStyle name="Финансовый 3 2 8 2 3 3" xfId="5395" xr:uid="{00000000-0005-0000-0000-0000970F0000}"/>
    <cellStyle name="Финансовый 3 2 8 2 4" xfId="2488" xr:uid="{00000000-0005-0000-0000-0000980F0000}"/>
    <cellStyle name="Финансовый 3 2 8 2 4 2" xfId="4133" xr:uid="{00000000-0005-0000-0000-0000990F0000}"/>
    <cellStyle name="Финансовый 3 2 8 2 4 3" xfId="5916" xr:uid="{00000000-0005-0000-0000-00009A0F0000}"/>
    <cellStyle name="Финансовый 3 2 8 2 5" xfId="992" xr:uid="{00000000-0005-0000-0000-00009B0F0000}"/>
    <cellStyle name="Финансовый 3 2 8 2 6" xfId="580" xr:uid="{00000000-0005-0000-0000-00009C0F0000}"/>
    <cellStyle name="Финансовый 3 2 8 2 7" xfId="2769" xr:uid="{00000000-0005-0000-0000-00009D0F0000}"/>
    <cellStyle name="Финансовый 3 2 8 2 8" xfId="4413" xr:uid="{00000000-0005-0000-0000-00009E0F0000}"/>
    <cellStyle name="Финансовый 3 2 8 3" xfId="308" xr:uid="{00000000-0005-0000-0000-00009F0F0000}"/>
    <cellStyle name="Финансовый 3 2 8 3 2" xfId="2095" xr:uid="{00000000-0005-0000-0000-0000A00F0000}"/>
    <cellStyle name="Финансовый 3 2 8 3 2 2" xfId="3740" xr:uid="{00000000-0005-0000-0000-0000A10F0000}"/>
    <cellStyle name="Финансовый 3 2 8 3 2 3" xfId="5523" xr:uid="{00000000-0005-0000-0000-0000A20F0000}"/>
    <cellStyle name="Финансовый 3 2 8 3 3" xfId="1128" xr:uid="{00000000-0005-0000-0000-0000A30F0000}"/>
    <cellStyle name="Финансовый 3 2 8 3 4" xfId="728" xr:uid="{00000000-0005-0000-0000-0000A40F0000}"/>
    <cellStyle name="Финансовый 3 2 8 3 5" xfId="2905" xr:uid="{00000000-0005-0000-0000-0000A50F0000}"/>
    <cellStyle name="Финансовый 3 2 8 3 6" xfId="4549" xr:uid="{00000000-0005-0000-0000-0000A60F0000}"/>
    <cellStyle name="Финансовый 3 2 8 4" xfId="1523" xr:uid="{00000000-0005-0000-0000-0000A70F0000}"/>
    <cellStyle name="Финансовый 3 2 8 4 2" xfId="1831" xr:uid="{00000000-0005-0000-0000-0000A80F0000}"/>
    <cellStyle name="Финансовый 3 2 8 4 2 2" xfId="3476" xr:uid="{00000000-0005-0000-0000-0000A90F0000}"/>
    <cellStyle name="Финансовый 3 2 8 4 2 3" xfId="5259" xr:uid="{00000000-0005-0000-0000-0000AA0F0000}"/>
    <cellStyle name="Финансовый 3 2 8 4 3" xfId="4951" xr:uid="{00000000-0005-0000-0000-0000AB0F0000}"/>
    <cellStyle name="Финансовый 3 2 8 5" xfId="1715" xr:uid="{00000000-0005-0000-0000-0000AC0F0000}"/>
    <cellStyle name="Финансовый 3 2 8 5 2" xfId="3360" xr:uid="{00000000-0005-0000-0000-0000AD0F0000}"/>
    <cellStyle name="Финансовый 3 2 8 5 3" xfId="5143" xr:uid="{00000000-0005-0000-0000-0000AE0F0000}"/>
    <cellStyle name="Финансовый 3 2 8 6" xfId="2351" xr:uid="{00000000-0005-0000-0000-0000AF0F0000}"/>
    <cellStyle name="Финансовый 3 2 8 6 2" xfId="3996" xr:uid="{00000000-0005-0000-0000-0000B00F0000}"/>
    <cellStyle name="Финансовый 3 2 8 6 3" xfId="5779" xr:uid="{00000000-0005-0000-0000-0000B10F0000}"/>
    <cellStyle name="Финансовый 3 2 8 7" xfId="1578" xr:uid="{00000000-0005-0000-0000-0000B20F0000}"/>
    <cellStyle name="Финансовый 3 2 8 7 2" xfId="3223" xr:uid="{00000000-0005-0000-0000-0000B30F0000}"/>
    <cellStyle name="Финансовый 3 2 8 7 3" xfId="5006" xr:uid="{00000000-0005-0000-0000-0000B40F0000}"/>
    <cellStyle name="Финансовый 3 2 8 8" xfId="864" xr:uid="{00000000-0005-0000-0000-0000B50F0000}"/>
    <cellStyle name="Финансовый 3 2 8 9" xfId="444" xr:uid="{00000000-0005-0000-0000-0000B60F0000}"/>
    <cellStyle name="Финансовый 3 2 9" xfId="147" xr:uid="{00000000-0005-0000-0000-0000B70F0000}"/>
    <cellStyle name="Финансовый 3 2 9 2" xfId="1245" xr:uid="{00000000-0005-0000-0000-0000B80F0000}"/>
    <cellStyle name="Финансовый 3 2 9 2 2" xfId="2211" xr:uid="{00000000-0005-0000-0000-0000B90F0000}"/>
    <cellStyle name="Финансовый 3 2 9 2 2 2" xfId="3856" xr:uid="{00000000-0005-0000-0000-0000BA0F0000}"/>
    <cellStyle name="Финансовый 3 2 9 2 2 3" xfId="5639" xr:uid="{00000000-0005-0000-0000-0000BB0F0000}"/>
    <cellStyle name="Финансовый 3 2 9 2 3" xfId="3029" xr:uid="{00000000-0005-0000-0000-0000BC0F0000}"/>
    <cellStyle name="Финансовый 3 2 9 2 4" xfId="4673" xr:uid="{00000000-0005-0000-0000-0000BD0F0000}"/>
    <cellStyle name="Финансовый 3 2 9 3" xfId="1955" xr:uid="{00000000-0005-0000-0000-0000BE0F0000}"/>
    <cellStyle name="Финансовый 3 2 9 3 2" xfId="3600" xr:uid="{00000000-0005-0000-0000-0000BF0F0000}"/>
    <cellStyle name="Финансовый 3 2 9 3 3" xfId="5383" xr:uid="{00000000-0005-0000-0000-0000C00F0000}"/>
    <cellStyle name="Финансовый 3 2 9 4" xfId="2476" xr:uid="{00000000-0005-0000-0000-0000C10F0000}"/>
    <cellStyle name="Финансовый 3 2 9 4 2" xfId="4121" xr:uid="{00000000-0005-0000-0000-0000C20F0000}"/>
    <cellStyle name="Финансовый 3 2 9 4 3" xfId="5904" xr:uid="{00000000-0005-0000-0000-0000C30F0000}"/>
    <cellStyle name="Финансовый 3 2 9 5" xfId="980" xr:uid="{00000000-0005-0000-0000-0000C40F0000}"/>
    <cellStyle name="Финансовый 3 2 9 6" xfId="568" xr:uid="{00000000-0005-0000-0000-0000C50F0000}"/>
    <cellStyle name="Финансовый 3 2 9 7" xfId="2757" xr:uid="{00000000-0005-0000-0000-0000C60F0000}"/>
    <cellStyle name="Финансовый 3 2 9 8" xfId="4401" xr:uid="{00000000-0005-0000-0000-0000C70F0000}"/>
    <cellStyle name="Финансовый 3 20" xfId="2615" xr:uid="{00000000-0005-0000-0000-0000C80F0000}"/>
    <cellStyle name="Финансовый 3 21" xfId="4258" xr:uid="{00000000-0005-0000-0000-0000C90F0000}"/>
    <cellStyle name="Финансовый 3 3" xfId="39" xr:uid="{00000000-0005-0000-0000-0000CA0F0000}"/>
    <cellStyle name="Финансовый 3 3 10" xfId="882" xr:uid="{00000000-0005-0000-0000-0000CB0F0000}"/>
    <cellStyle name="Финансовый 3 3 11" xfId="462" xr:uid="{00000000-0005-0000-0000-0000CC0F0000}"/>
    <cellStyle name="Финансовый 3 3 12" xfId="2651" xr:uid="{00000000-0005-0000-0000-0000CD0F0000}"/>
    <cellStyle name="Финансовый 3 3 13" xfId="4294" xr:uid="{00000000-0005-0000-0000-0000CE0F0000}"/>
    <cellStyle name="Финансовый 3 3 2" xfId="121" xr:uid="{00000000-0005-0000-0000-0000CF0F0000}"/>
    <cellStyle name="Финансовый 3 3 2 10" xfId="2731" xr:uid="{00000000-0005-0000-0000-0000D00F0000}"/>
    <cellStyle name="Финансовый 3 3 2 11" xfId="4375" xr:uid="{00000000-0005-0000-0000-0000D10F0000}"/>
    <cellStyle name="Финансовый 3 3 2 2" xfId="257" xr:uid="{00000000-0005-0000-0000-0000D20F0000}"/>
    <cellStyle name="Финансовый 3 3 2 2 2" xfId="1355" xr:uid="{00000000-0005-0000-0000-0000D30F0000}"/>
    <cellStyle name="Финансовый 3 3 2 2 2 2" xfId="2313" xr:uid="{00000000-0005-0000-0000-0000D40F0000}"/>
    <cellStyle name="Финансовый 3 3 2 2 2 2 2" xfId="3958" xr:uid="{00000000-0005-0000-0000-0000D50F0000}"/>
    <cellStyle name="Финансовый 3 3 2 2 2 2 3" xfId="5741" xr:uid="{00000000-0005-0000-0000-0000D60F0000}"/>
    <cellStyle name="Финансовый 3 3 2 2 2 3" xfId="3139" xr:uid="{00000000-0005-0000-0000-0000D70F0000}"/>
    <cellStyle name="Финансовый 3 3 2 2 2 4" xfId="4783" xr:uid="{00000000-0005-0000-0000-0000D80F0000}"/>
    <cellStyle name="Финансовый 3 3 2 2 3" xfId="2057" xr:uid="{00000000-0005-0000-0000-0000D90F0000}"/>
    <cellStyle name="Финансовый 3 3 2 2 3 2" xfId="3702" xr:uid="{00000000-0005-0000-0000-0000DA0F0000}"/>
    <cellStyle name="Финансовый 3 3 2 2 3 3" xfId="5485" xr:uid="{00000000-0005-0000-0000-0000DB0F0000}"/>
    <cellStyle name="Финансовый 3 3 2 2 4" xfId="2586" xr:uid="{00000000-0005-0000-0000-0000DC0F0000}"/>
    <cellStyle name="Финансовый 3 3 2 2 4 2" xfId="4231" xr:uid="{00000000-0005-0000-0000-0000DD0F0000}"/>
    <cellStyle name="Финансовый 3 3 2 2 4 3" xfId="6014" xr:uid="{00000000-0005-0000-0000-0000DE0F0000}"/>
    <cellStyle name="Финансовый 3 3 2 2 5" xfId="1090" xr:uid="{00000000-0005-0000-0000-0000DF0F0000}"/>
    <cellStyle name="Финансовый 3 3 2 2 6" xfId="678" xr:uid="{00000000-0005-0000-0000-0000E00F0000}"/>
    <cellStyle name="Финансовый 3 3 2 2 7" xfId="2867" xr:uid="{00000000-0005-0000-0000-0000E10F0000}"/>
    <cellStyle name="Финансовый 3 3 2 2 8" xfId="4511" xr:uid="{00000000-0005-0000-0000-0000E20F0000}"/>
    <cellStyle name="Финансовый 3 3 2 3" xfId="406" xr:uid="{00000000-0005-0000-0000-0000E30F0000}"/>
    <cellStyle name="Финансовый 3 3 2 3 2" xfId="2185" xr:uid="{00000000-0005-0000-0000-0000E40F0000}"/>
    <cellStyle name="Финансовый 3 3 2 3 2 2" xfId="3830" xr:uid="{00000000-0005-0000-0000-0000E50F0000}"/>
    <cellStyle name="Финансовый 3 3 2 3 2 3" xfId="5613" xr:uid="{00000000-0005-0000-0000-0000E60F0000}"/>
    <cellStyle name="Финансовый 3 3 2 3 3" xfId="1219" xr:uid="{00000000-0005-0000-0000-0000E70F0000}"/>
    <cellStyle name="Финансовый 3 3 2 3 4" xfId="826" xr:uid="{00000000-0005-0000-0000-0000E80F0000}"/>
    <cellStyle name="Финансовый 3 3 2 3 5" xfId="3003" xr:uid="{00000000-0005-0000-0000-0000E90F0000}"/>
    <cellStyle name="Финансовый 3 3 2 3 6" xfId="4647" xr:uid="{00000000-0005-0000-0000-0000EA0F0000}"/>
    <cellStyle name="Финансовый 3 3 2 4" xfId="1525" xr:uid="{00000000-0005-0000-0000-0000EB0F0000}"/>
    <cellStyle name="Финансовый 3 3 2 4 2" xfId="1929" xr:uid="{00000000-0005-0000-0000-0000EC0F0000}"/>
    <cellStyle name="Финансовый 3 3 2 4 2 2" xfId="3574" xr:uid="{00000000-0005-0000-0000-0000ED0F0000}"/>
    <cellStyle name="Финансовый 3 3 2 4 2 3" xfId="5357" xr:uid="{00000000-0005-0000-0000-0000EE0F0000}"/>
    <cellStyle name="Финансовый 3 3 2 4 3" xfId="4953" xr:uid="{00000000-0005-0000-0000-0000EF0F0000}"/>
    <cellStyle name="Финансовый 3 3 2 5" xfId="1805" xr:uid="{00000000-0005-0000-0000-0000F00F0000}"/>
    <cellStyle name="Финансовый 3 3 2 5 2" xfId="3450" xr:uid="{00000000-0005-0000-0000-0000F10F0000}"/>
    <cellStyle name="Финансовый 3 3 2 5 3" xfId="5233" xr:uid="{00000000-0005-0000-0000-0000F20F0000}"/>
    <cellStyle name="Финансовый 3 3 2 6" xfId="2450" xr:uid="{00000000-0005-0000-0000-0000F30F0000}"/>
    <cellStyle name="Финансовый 3 3 2 6 2" xfId="4095" xr:uid="{00000000-0005-0000-0000-0000F40F0000}"/>
    <cellStyle name="Финансовый 3 3 2 6 3" xfId="5878" xr:uid="{00000000-0005-0000-0000-0000F50F0000}"/>
    <cellStyle name="Финансовый 3 3 2 7" xfId="1677" xr:uid="{00000000-0005-0000-0000-0000F60F0000}"/>
    <cellStyle name="Финансовый 3 3 2 7 2" xfId="3322" xr:uid="{00000000-0005-0000-0000-0000F70F0000}"/>
    <cellStyle name="Финансовый 3 3 2 7 3" xfId="5105" xr:uid="{00000000-0005-0000-0000-0000F80F0000}"/>
    <cellStyle name="Финансовый 3 3 2 8" xfId="954" xr:uid="{00000000-0005-0000-0000-0000F90F0000}"/>
    <cellStyle name="Финансовый 3 3 2 9" xfId="542" xr:uid="{00000000-0005-0000-0000-0000FA0F0000}"/>
    <cellStyle name="Финансовый 3 3 3" xfId="85" xr:uid="{00000000-0005-0000-0000-0000FB0F0000}"/>
    <cellStyle name="Финансовый 3 3 3 10" xfId="2695" xr:uid="{00000000-0005-0000-0000-0000FC0F0000}"/>
    <cellStyle name="Финансовый 3 3 3 11" xfId="4339" xr:uid="{00000000-0005-0000-0000-0000FD0F0000}"/>
    <cellStyle name="Финансовый 3 3 3 2" xfId="221" xr:uid="{00000000-0005-0000-0000-0000FE0F0000}"/>
    <cellStyle name="Финансовый 3 3 3 2 2" xfId="1319" xr:uid="{00000000-0005-0000-0000-0000FF0F0000}"/>
    <cellStyle name="Финансовый 3 3 3 2 2 2" xfId="2277" xr:uid="{00000000-0005-0000-0000-000000100000}"/>
    <cellStyle name="Финансовый 3 3 3 2 2 2 2" xfId="3922" xr:uid="{00000000-0005-0000-0000-000001100000}"/>
    <cellStyle name="Финансовый 3 3 3 2 2 2 3" xfId="5705" xr:uid="{00000000-0005-0000-0000-000002100000}"/>
    <cellStyle name="Финансовый 3 3 3 2 2 3" xfId="3103" xr:uid="{00000000-0005-0000-0000-000003100000}"/>
    <cellStyle name="Финансовый 3 3 3 2 2 4" xfId="4747" xr:uid="{00000000-0005-0000-0000-000004100000}"/>
    <cellStyle name="Финансовый 3 3 3 2 3" xfId="2021" xr:uid="{00000000-0005-0000-0000-000005100000}"/>
    <cellStyle name="Финансовый 3 3 3 2 3 2" xfId="3666" xr:uid="{00000000-0005-0000-0000-000006100000}"/>
    <cellStyle name="Финансовый 3 3 3 2 3 3" xfId="5449" xr:uid="{00000000-0005-0000-0000-000007100000}"/>
    <cellStyle name="Финансовый 3 3 3 2 4" xfId="2550" xr:uid="{00000000-0005-0000-0000-000008100000}"/>
    <cellStyle name="Финансовый 3 3 3 2 4 2" xfId="4195" xr:uid="{00000000-0005-0000-0000-000009100000}"/>
    <cellStyle name="Финансовый 3 3 3 2 4 3" xfId="5978" xr:uid="{00000000-0005-0000-0000-00000A100000}"/>
    <cellStyle name="Финансовый 3 3 3 2 5" xfId="1054" xr:uid="{00000000-0005-0000-0000-00000B100000}"/>
    <cellStyle name="Финансовый 3 3 3 2 6" xfId="642" xr:uid="{00000000-0005-0000-0000-00000C100000}"/>
    <cellStyle name="Финансовый 3 3 3 2 7" xfId="2831" xr:uid="{00000000-0005-0000-0000-00000D100000}"/>
    <cellStyle name="Финансовый 3 3 3 2 8" xfId="4475" xr:uid="{00000000-0005-0000-0000-00000E100000}"/>
    <cellStyle name="Финансовый 3 3 3 3" xfId="370" xr:uid="{00000000-0005-0000-0000-00000F100000}"/>
    <cellStyle name="Финансовый 3 3 3 3 2" xfId="2149" xr:uid="{00000000-0005-0000-0000-000010100000}"/>
    <cellStyle name="Финансовый 3 3 3 3 2 2" xfId="3794" xr:uid="{00000000-0005-0000-0000-000011100000}"/>
    <cellStyle name="Финансовый 3 3 3 3 2 3" xfId="5577" xr:uid="{00000000-0005-0000-0000-000012100000}"/>
    <cellStyle name="Финансовый 3 3 3 3 3" xfId="1183" xr:uid="{00000000-0005-0000-0000-000013100000}"/>
    <cellStyle name="Финансовый 3 3 3 3 4" xfId="790" xr:uid="{00000000-0005-0000-0000-000014100000}"/>
    <cellStyle name="Финансовый 3 3 3 3 5" xfId="2967" xr:uid="{00000000-0005-0000-0000-000015100000}"/>
    <cellStyle name="Финансовый 3 3 3 3 6" xfId="4611" xr:uid="{00000000-0005-0000-0000-000016100000}"/>
    <cellStyle name="Финансовый 3 3 3 4" xfId="1526" xr:uid="{00000000-0005-0000-0000-000017100000}"/>
    <cellStyle name="Финансовый 3 3 3 4 2" xfId="1893" xr:uid="{00000000-0005-0000-0000-000018100000}"/>
    <cellStyle name="Финансовый 3 3 3 4 2 2" xfId="3538" xr:uid="{00000000-0005-0000-0000-000019100000}"/>
    <cellStyle name="Финансовый 3 3 3 4 2 3" xfId="5321" xr:uid="{00000000-0005-0000-0000-00001A100000}"/>
    <cellStyle name="Финансовый 3 3 3 4 3" xfId="4954" xr:uid="{00000000-0005-0000-0000-00001B100000}"/>
    <cellStyle name="Финансовый 3 3 3 5" xfId="1769" xr:uid="{00000000-0005-0000-0000-00001C100000}"/>
    <cellStyle name="Финансовый 3 3 3 5 2" xfId="3414" xr:uid="{00000000-0005-0000-0000-00001D100000}"/>
    <cellStyle name="Финансовый 3 3 3 5 3" xfId="5197" xr:uid="{00000000-0005-0000-0000-00001E100000}"/>
    <cellStyle name="Финансовый 3 3 3 6" xfId="2414" xr:uid="{00000000-0005-0000-0000-00001F100000}"/>
    <cellStyle name="Финансовый 3 3 3 6 2" xfId="4059" xr:uid="{00000000-0005-0000-0000-000020100000}"/>
    <cellStyle name="Финансовый 3 3 3 6 3" xfId="5842" xr:uid="{00000000-0005-0000-0000-000021100000}"/>
    <cellStyle name="Финансовый 3 3 3 7" xfId="1641" xr:uid="{00000000-0005-0000-0000-000022100000}"/>
    <cellStyle name="Финансовый 3 3 3 7 2" xfId="3286" xr:uid="{00000000-0005-0000-0000-000023100000}"/>
    <cellStyle name="Финансовый 3 3 3 7 3" xfId="5069" xr:uid="{00000000-0005-0000-0000-000024100000}"/>
    <cellStyle name="Финансовый 3 3 3 8" xfId="918" xr:uid="{00000000-0005-0000-0000-000025100000}"/>
    <cellStyle name="Финансовый 3 3 3 9" xfId="506" xr:uid="{00000000-0005-0000-0000-000026100000}"/>
    <cellStyle name="Финансовый 3 3 4" xfId="177" xr:uid="{00000000-0005-0000-0000-000027100000}"/>
    <cellStyle name="Финансовый 3 3 4 2" xfId="1275" xr:uid="{00000000-0005-0000-0000-000028100000}"/>
    <cellStyle name="Финансовый 3 3 4 2 2" xfId="2241" xr:uid="{00000000-0005-0000-0000-000029100000}"/>
    <cellStyle name="Финансовый 3 3 4 2 2 2" xfId="3886" xr:uid="{00000000-0005-0000-0000-00002A100000}"/>
    <cellStyle name="Финансовый 3 3 4 2 2 3" xfId="5669" xr:uid="{00000000-0005-0000-0000-00002B100000}"/>
    <cellStyle name="Финансовый 3 3 4 2 3" xfId="3059" xr:uid="{00000000-0005-0000-0000-00002C100000}"/>
    <cellStyle name="Финансовый 3 3 4 2 4" xfId="4703" xr:uid="{00000000-0005-0000-0000-00002D100000}"/>
    <cellStyle name="Финансовый 3 3 4 3" xfId="1985" xr:uid="{00000000-0005-0000-0000-00002E100000}"/>
    <cellStyle name="Финансовый 3 3 4 3 2" xfId="3630" xr:uid="{00000000-0005-0000-0000-00002F100000}"/>
    <cellStyle name="Финансовый 3 3 4 3 3" xfId="5413" xr:uid="{00000000-0005-0000-0000-000030100000}"/>
    <cellStyle name="Финансовый 3 3 4 4" xfId="2506" xr:uid="{00000000-0005-0000-0000-000031100000}"/>
    <cellStyle name="Финансовый 3 3 4 4 2" xfId="4151" xr:uid="{00000000-0005-0000-0000-000032100000}"/>
    <cellStyle name="Финансовый 3 3 4 4 3" xfId="5934" xr:uid="{00000000-0005-0000-0000-000033100000}"/>
    <cellStyle name="Финансовый 3 3 4 5" xfId="1010" xr:uid="{00000000-0005-0000-0000-000034100000}"/>
    <cellStyle name="Финансовый 3 3 4 6" xfId="598" xr:uid="{00000000-0005-0000-0000-000035100000}"/>
    <cellStyle name="Финансовый 3 3 4 7" xfId="2787" xr:uid="{00000000-0005-0000-0000-000036100000}"/>
    <cellStyle name="Финансовый 3 3 4 8" xfId="4431" xr:uid="{00000000-0005-0000-0000-000037100000}"/>
    <cellStyle name="Финансовый 3 3 5" xfId="326" xr:uid="{00000000-0005-0000-0000-000038100000}"/>
    <cellStyle name="Финансовый 3 3 5 2" xfId="2113" xr:uid="{00000000-0005-0000-0000-000039100000}"/>
    <cellStyle name="Финансовый 3 3 5 2 2" xfId="3758" xr:uid="{00000000-0005-0000-0000-00003A100000}"/>
    <cellStyle name="Финансовый 3 3 5 2 3" xfId="5541" xr:uid="{00000000-0005-0000-0000-00003B100000}"/>
    <cellStyle name="Финансовый 3 3 5 3" xfId="1146" xr:uid="{00000000-0005-0000-0000-00003C100000}"/>
    <cellStyle name="Финансовый 3 3 5 4" xfId="746" xr:uid="{00000000-0005-0000-0000-00003D100000}"/>
    <cellStyle name="Финансовый 3 3 5 5" xfId="2923" xr:uid="{00000000-0005-0000-0000-00003E100000}"/>
    <cellStyle name="Финансовый 3 3 5 6" xfId="4567" xr:uid="{00000000-0005-0000-0000-00003F100000}"/>
    <cellStyle name="Финансовый 3 3 6" xfId="1524" xr:uid="{00000000-0005-0000-0000-000040100000}"/>
    <cellStyle name="Финансовый 3 3 6 2" xfId="1849" xr:uid="{00000000-0005-0000-0000-000041100000}"/>
    <cellStyle name="Финансовый 3 3 6 2 2" xfId="3494" xr:uid="{00000000-0005-0000-0000-000042100000}"/>
    <cellStyle name="Финансовый 3 3 6 2 3" xfId="5277" xr:uid="{00000000-0005-0000-0000-000043100000}"/>
    <cellStyle name="Финансовый 3 3 6 3" xfId="4952" xr:uid="{00000000-0005-0000-0000-000044100000}"/>
    <cellStyle name="Финансовый 3 3 7" xfId="1733" xr:uid="{00000000-0005-0000-0000-000045100000}"/>
    <cellStyle name="Финансовый 3 3 7 2" xfId="3378" xr:uid="{00000000-0005-0000-0000-000046100000}"/>
    <cellStyle name="Финансовый 3 3 7 3" xfId="5161" xr:uid="{00000000-0005-0000-0000-000047100000}"/>
    <cellStyle name="Финансовый 3 3 8" xfId="2369" xr:uid="{00000000-0005-0000-0000-000048100000}"/>
    <cellStyle name="Финансовый 3 3 8 2" xfId="4014" xr:uid="{00000000-0005-0000-0000-000049100000}"/>
    <cellStyle name="Финансовый 3 3 8 3" xfId="5797" xr:uid="{00000000-0005-0000-0000-00004A100000}"/>
    <cellStyle name="Финансовый 3 3 9" xfId="1596" xr:uid="{00000000-0005-0000-0000-00004B100000}"/>
    <cellStyle name="Финансовый 3 3 9 2" xfId="3241" xr:uid="{00000000-0005-0000-0000-00004C100000}"/>
    <cellStyle name="Финансовый 3 3 9 3" xfId="5024" xr:uid="{00000000-0005-0000-0000-00004D100000}"/>
    <cellStyle name="Финансовый 3 4" xfId="91" xr:uid="{00000000-0005-0000-0000-00004E100000}"/>
    <cellStyle name="Финансовый 3 4 10" xfId="2701" xr:uid="{00000000-0005-0000-0000-00004F100000}"/>
    <cellStyle name="Финансовый 3 4 11" xfId="4345" xr:uid="{00000000-0005-0000-0000-000050100000}"/>
    <cellStyle name="Финансовый 3 4 2" xfId="227" xr:uid="{00000000-0005-0000-0000-000051100000}"/>
    <cellStyle name="Финансовый 3 4 2 2" xfId="1325" xr:uid="{00000000-0005-0000-0000-000052100000}"/>
    <cellStyle name="Финансовый 3 4 2 2 2" xfId="2283" xr:uid="{00000000-0005-0000-0000-000053100000}"/>
    <cellStyle name="Финансовый 3 4 2 2 2 2" xfId="3928" xr:uid="{00000000-0005-0000-0000-000054100000}"/>
    <cellStyle name="Финансовый 3 4 2 2 2 3" xfId="5711" xr:uid="{00000000-0005-0000-0000-000055100000}"/>
    <cellStyle name="Финансовый 3 4 2 2 3" xfId="3109" xr:uid="{00000000-0005-0000-0000-000056100000}"/>
    <cellStyle name="Финансовый 3 4 2 2 4" xfId="4753" xr:uid="{00000000-0005-0000-0000-000057100000}"/>
    <cellStyle name="Финансовый 3 4 2 3" xfId="2027" xr:uid="{00000000-0005-0000-0000-000058100000}"/>
    <cellStyle name="Финансовый 3 4 2 3 2" xfId="3672" xr:uid="{00000000-0005-0000-0000-000059100000}"/>
    <cellStyle name="Финансовый 3 4 2 3 3" xfId="5455" xr:uid="{00000000-0005-0000-0000-00005A100000}"/>
    <cellStyle name="Финансовый 3 4 2 4" xfId="2556" xr:uid="{00000000-0005-0000-0000-00005B100000}"/>
    <cellStyle name="Финансовый 3 4 2 4 2" xfId="4201" xr:uid="{00000000-0005-0000-0000-00005C100000}"/>
    <cellStyle name="Финансовый 3 4 2 4 3" xfId="5984" xr:uid="{00000000-0005-0000-0000-00005D100000}"/>
    <cellStyle name="Финансовый 3 4 2 5" xfId="1060" xr:uid="{00000000-0005-0000-0000-00005E100000}"/>
    <cellStyle name="Финансовый 3 4 2 6" xfId="648" xr:uid="{00000000-0005-0000-0000-00005F100000}"/>
    <cellStyle name="Финансовый 3 4 2 7" xfId="2837" xr:uid="{00000000-0005-0000-0000-000060100000}"/>
    <cellStyle name="Финансовый 3 4 2 8" xfId="4481" xr:uid="{00000000-0005-0000-0000-000061100000}"/>
    <cellStyle name="Финансовый 3 4 3" xfId="376" xr:uid="{00000000-0005-0000-0000-000062100000}"/>
    <cellStyle name="Финансовый 3 4 3 2" xfId="2155" xr:uid="{00000000-0005-0000-0000-000063100000}"/>
    <cellStyle name="Финансовый 3 4 3 2 2" xfId="3800" xr:uid="{00000000-0005-0000-0000-000064100000}"/>
    <cellStyle name="Финансовый 3 4 3 2 3" xfId="5583" xr:uid="{00000000-0005-0000-0000-000065100000}"/>
    <cellStyle name="Финансовый 3 4 3 3" xfId="1189" xr:uid="{00000000-0005-0000-0000-000066100000}"/>
    <cellStyle name="Финансовый 3 4 3 4" xfId="796" xr:uid="{00000000-0005-0000-0000-000067100000}"/>
    <cellStyle name="Финансовый 3 4 3 5" xfId="2973" xr:uid="{00000000-0005-0000-0000-000068100000}"/>
    <cellStyle name="Финансовый 3 4 3 6" xfId="4617" xr:uid="{00000000-0005-0000-0000-000069100000}"/>
    <cellStyle name="Финансовый 3 4 4" xfId="1527" xr:uid="{00000000-0005-0000-0000-00006A100000}"/>
    <cellStyle name="Финансовый 3 4 4 2" xfId="1899" xr:uid="{00000000-0005-0000-0000-00006B100000}"/>
    <cellStyle name="Финансовый 3 4 4 2 2" xfId="3544" xr:uid="{00000000-0005-0000-0000-00006C100000}"/>
    <cellStyle name="Финансовый 3 4 4 2 3" xfId="5327" xr:uid="{00000000-0005-0000-0000-00006D100000}"/>
    <cellStyle name="Финансовый 3 4 4 3" xfId="4955" xr:uid="{00000000-0005-0000-0000-00006E100000}"/>
    <cellStyle name="Финансовый 3 4 5" xfId="1775" xr:uid="{00000000-0005-0000-0000-00006F100000}"/>
    <cellStyle name="Финансовый 3 4 5 2" xfId="3420" xr:uid="{00000000-0005-0000-0000-000070100000}"/>
    <cellStyle name="Финансовый 3 4 5 3" xfId="5203" xr:uid="{00000000-0005-0000-0000-000071100000}"/>
    <cellStyle name="Финансовый 3 4 6" xfId="2420" xr:uid="{00000000-0005-0000-0000-000072100000}"/>
    <cellStyle name="Финансовый 3 4 6 2" xfId="4065" xr:uid="{00000000-0005-0000-0000-000073100000}"/>
    <cellStyle name="Финансовый 3 4 6 3" xfId="5848" xr:uid="{00000000-0005-0000-0000-000074100000}"/>
    <cellStyle name="Финансовый 3 4 7" xfId="1647" xr:uid="{00000000-0005-0000-0000-000075100000}"/>
    <cellStyle name="Финансовый 3 4 7 2" xfId="3292" xr:uid="{00000000-0005-0000-0000-000076100000}"/>
    <cellStyle name="Финансовый 3 4 7 3" xfId="5075" xr:uid="{00000000-0005-0000-0000-000077100000}"/>
    <cellStyle name="Финансовый 3 4 8" xfId="924" xr:uid="{00000000-0005-0000-0000-000078100000}"/>
    <cellStyle name="Финансовый 3 4 9" xfId="512" xr:uid="{00000000-0005-0000-0000-000079100000}"/>
    <cellStyle name="Финансовый 3 5" xfId="97" xr:uid="{00000000-0005-0000-0000-00007A100000}"/>
    <cellStyle name="Финансовый 3 5 10" xfId="2707" xr:uid="{00000000-0005-0000-0000-00007B100000}"/>
    <cellStyle name="Финансовый 3 5 11" xfId="4351" xr:uid="{00000000-0005-0000-0000-00007C100000}"/>
    <cellStyle name="Финансовый 3 5 2" xfId="233" xr:uid="{00000000-0005-0000-0000-00007D100000}"/>
    <cellStyle name="Финансовый 3 5 2 2" xfId="1331" xr:uid="{00000000-0005-0000-0000-00007E100000}"/>
    <cellStyle name="Финансовый 3 5 2 2 2" xfId="2289" xr:uid="{00000000-0005-0000-0000-00007F100000}"/>
    <cellStyle name="Финансовый 3 5 2 2 2 2" xfId="3934" xr:uid="{00000000-0005-0000-0000-000080100000}"/>
    <cellStyle name="Финансовый 3 5 2 2 2 3" xfId="5717" xr:uid="{00000000-0005-0000-0000-000081100000}"/>
    <cellStyle name="Финансовый 3 5 2 2 3" xfId="3115" xr:uid="{00000000-0005-0000-0000-000082100000}"/>
    <cellStyle name="Финансовый 3 5 2 2 4" xfId="4759" xr:uid="{00000000-0005-0000-0000-000083100000}"/>
    <cellStyle name="Финансовый 3 5 2 3" xfId="2033" xr:uid="{00000000-0005-0000-0000-000084100000}"/>
    <cellStyle name="Финансовый 3 5 2 3 2" xfId="3678" xr:uid="{00000000-0005-0000-0000-000085100000}"/>
    <cellStyle name="Финансовый 3 5 2 3 3" xfId="5461" xr:uid="{00000000-0005-0000-0000-000086100000}"/>
    <cellStyle name="Финансовый 3 5 2 4" xfId="2562" xr:uid="{00000000-0005-0000-0000-000087100000}"/>
    <cellStyle name="Финансовый 3 5 2 4 2" xfId="4207" xr:uid="{00000000-0005-0000-0000-000088100000}"/>
    <cellStyle name="Финансовый 3 5 2 4 3" xfId="5990" xr:uid="{00000000-0005-0000-0000-000089100000}"/>
    <cellStyle name="Финансовый 3 5 2 5" xfId="1066" xr:uid="{00000000-0005-0000-0000-00008A100000}"/>
    <cellStyle name="Финансовый 3 5 2 6" xfId="654" xr:uid="{00000000-0005-0000-0000-00008B100000}"/>
    <cellStyle name="Финансовый 3 5 2 7" xfId="2843" xr:uid="{00000000-0005-0000-0000-00008C100000}"/>
    <cellStyle name="Финансовый 3 5 2 8" xfId="4487" xr:uid="{00000000-0005-0000-0000-00008D100000}"/>
    <cellStyle name="Финансовый 3 5 3" xfId="382" xr:uid="{00000000-0005-0000-0000-00008E100000}"/>
    <cellStyle name="Финансовый 3 5 3 2" xfId="2161" xr:uid="{00000000-0005-0000-0000-00008F100000}"/>
    <cellStyle name="Финансовый 3 5 3 2 2" xfId="3806" xr:uid="{00000000-0005-0000-0000-000090100000}"/>
    <cellStyle name="Финансовый 3 5 3 2 3" xfId="5589" xr:uid="{00000000-0005-0000-0000-000091100000}"/>
    <cellStyle name="Финансовый 3 5 3 3" xfId="1195" xr:uid="{00000000-0005-0000-0000-000092100000}"/>
    <cellStyle name="Финансовый 3 5 3 4" xfId="802" xr:uid="{00000000-0005-0000-0000-000093100000}"/>
    <cellStyle name="Финансовый 3 5 3 5" xfId="2979" xr:uid="{00000000-0005-0000-0000-000094100000}"/>
    <cellStyle name="Финансовый 3 5 3 6" xfId="4623" xr:uid="{00000000-0005-0000-0000-000095100000}"/>
    <cellStyle name="Финансовый 3 5 4" xfId="1528" xr:uid="{00000000-0005-0000-0000-000096100000}"/>
    <cellStyle name="Финансовый 3 5 4 2" xfId="1905" xr:uid="{00000000-0005-0000-0000-000097100000}"/>
    <cellStyle name="Финансовый 3 5 4 2 2" xfId="3550" xr:uid="{00000000-0005-0000-0000-000098100000}"/>
    <cellStyle name="Финансовый 3 5 4 2 3" xfId="5333" xr:uid="{00000000-0005-0000-0000-000099100000}"/>
    <cellStyle name="Финансовый 3 5 4 3" xfId="4956" xr:uid="{00000000-0005-0000-0000-00009A100000}"/>
    <cellStyle name="Финансовый 3 5 5" xfId="1781" xr:uid="{00000000-0005-0000-0000-00009B100000}"/>
    <cellStyle name="Финансовый 3 5 5 2" xfId="3426" xr:uid="{00000000-0005-0000-0000-00009C100000}"/>
    <cellStyle name="Финансовый 3 5 5 3" xfId="5209" xr:uid="{00000000-0005-0000-0000-00009D100000}"/>
    <cellStyle name="Финансовый 3 5 6" xfId="2426" xr:uid="{00000000-0005-0000-0000-00009E100000}"/>
    <cellStyle name="Финансовый 3 5 6 2" xfId="4071" xr:uid="{00000000-0005-0000-0000-00009F100000}"/>
    <cellStyle name="Финансовый 3 5 6 3" xfId="5854" xr:uid="{00000000-0005-0000-0000-0000A0100000}"/>
    <cellStyle name="Финансовый 3 5 7" xfId="1653" xr:uid="{00000000-0005-0000-0000-0000A1100000}"/>
    <cellStyle name="Финансовый 3 5 7 2" xfId="3298" xr:uid="{00000000-0005-0000-0000-0000A2100000}"/>
    <cellStyle name="Финансовый 3 5 7 3" xfId="5081" xr:uid="{00000000-0005-0000-0000-0000A3100000}"/>
    <cellStyle name="Финансовый 3 5 8" xfId="930" xr:uid="{00000000-0005-0000-0000-0000A4100000}"/>
    <cellStyle name="Финансовый 3 5 9" xfId="518" xr:uid="{00000000-0005-0000-0000-0000A5100000}"/>
    <cellStyle name="Финансовый 3 6" xfId="109" xr:uid="{00000000-0005-0000-0000-0000A6100000}"/>
    <cellStyle name="Финансовый 3 6 10" xfId="2719" xr:uid="{00000000-0005-0000-0000-0000A7100000}"/>
    <cellStyle name="Финансовый 3 6 11" xfId="4363" xr:uid="{00000000-0005-0000-0000-0000A8100000}"/>
    <cellStyle name="Финансовый 3 6 2" xfId="245" xr:uid="{00000000-0005-0000-0000-0000A9100000}"/>
    <cellStyle name="Финансовый 3 6 2 2" xfId="1343" xr:uid="{00000000-0005-0000-0000-0000AA100000}"/>
    <cellStyle name="Финансовый 3 6 2 2 2" xfId="2301" xr:uid="{00000000-0005-0000-0000-0000AB100000}"/>
    <cellStyle name="Финансовый 3 6 2 2 2 2" xfId="3946" xr:uid="{00000000-0005-0000-0000-0000AC100000}"/>
    <cellStyle name="Финансовый 3 6 2 2 2 3" xfId="5729" xr:uid="{00000000-0005-0000-0000-0000AD100000}"/>
    <cellStyle name="Финансовый 3 6 2 2 3" xfId="3127" xr:uid="{00000000-0005-0000-0000-0000AE100000}"/>
    <cellStyle name="Финансовый 3 6 2 2 4" xfId="4771" xr:uid="{00000000-0005-0000-0000-0000AF100000}"/>
    <cellStyle name="Финансовый 3 6 2 3" xfId="2045" xr:uid="{00000000-0005-0000-0000-0000B0100000}"/>
    <cellStyle name="Финансовый 3 6 2 3 2" xfId="3690" xr:uid="{00000000-0005-0000-0000-0000B1100000}"/>
    <cellStyle name="Финансовый 3 6 2 3 3" xfId="5473" xr:uid="{00000000-0005-0000-0000-0000B2100000}"/>
    <cellStyle name="Финансовый 3 6 2 4" xfId="2574" xr:uid="{00000000-0005-0000-0000-0000B3100000}"/>
    <cellStyle name="Финансовый 3 6 2 4 2" xfId="4219" xr:uid="{00000000-0005-0000-0000-0000B4100000}"/>
    <cellStyle name="Финансовый 3 6 2 4 3" xfId="6002" xr:uid="{00000000-0005-0000-0000-0000B5100000}"/>
    <cellStyle name="Финансовый 3 6 2 5" xfId="1078" xr:uid="{00000000-0005-0000-0000-0000B6100000}"/>
    <cellStyle name="Финансовый 3 6 2 6" xfId="666" xr:uid="{00000000-0005-0000-0000-0000B7100000}"/>
    <cellStyle name="Финансовый 3 6 2 7" xfId="2855" xr:uid="{00000000-0005-0000-0000-0000B8100000}"/>
    <cellStyle name="Финансовый 3 6 2 8" xfId="4499" xr:uid="{00000000-0005-0000-0000-0000B9100000}"/>
    <cellStyle name="Финансовый 3 6 3" xfId="394" xr:uid="{00000000-0005-0000-0000-0000BA100000}"/>
    <cellStyle name="Финансовый 3 6 3 2" xfId="2173" xr:uid="{00000000-0005-0000-0000-0000BB100000}"/>
    <cellStyle name="Финансовый 3 6 3 2 2" xfId="3818" xr:uid="{00000000-0005-0000-0000-0000BC100000}"/>
    <cellStyle name="Финансовый 3 6 3 2 3" xfId="5601" xr:uid="{00000000-0005-0000-0000-0000BD100000}"/>
    <cellStyle name="Финансовый 3 6 3 3" xfId="1207" xr:uid="{00000000-0005-0000-0000-0000BE100000}"/>
    <cellStyle name="Финансовый 3 6 3 4" xfId="814" xr:uid="{00000000-0005-0000-0000-0000BF100000}"/>
    <cellStyle name="Финансовый 3 6 3 5" xfId="2991" xr:uid="{00000000-0005-0000-0000-0000C0100000}"/>
    <cellStyle name="Финансовый 3 6 3 6" xfId="4635" xr:uid="{00000000-0005-0000-0000-0000C1100000}"/>
    <cellStyle name="Финансовый 3 6 4" xfId="1529" xr:uid="{00000000-0005-0000-0000-0000C2100000}"/>
    <cellStyle name="Финансовый 3 6 4 2" xfId="1917" xr:uid="{00000000-0005-0000-0000-0000C3100000}"/>
    <cellStyle name="Финансовый 3 6 4 2 2" xfId="3562" xr:uid="{00000000-0005-0000-0000-0000C4100000}"/>
    <cellStyle name="Финансовый 3 6 4 2 3" xfId="5345" xr:uid="{00000000-0005-0000-0000-0000C5100000}"/>
    <cellStyle name="Финансовый 3 6 4 3" xfId="4957" xr:uid="{00000000-0005-0000-0000-0000C6100000}"/>
    <cellStyle name="Финансовый 3 6 5" xfId="1793" xr:uid="{00000000-0005-0000-0000-0000C7100000}"/>
    <cellStyle name="Финансовый 3 6 5 2" xfId="3438" xr:uid="{00000000-0005-0000-0000-0000C8100000}"/>
    <cellStyle name="Финансовый 3 6 5 3" xfId="5221" xr:uid="{00000000-0005-0000-0000-0000C9100000}"/>
    <cellStyle name="Финансовый 3 6 6" xfId="2438" xr:uid="{00000000-0005-0000-0000-0000CA100000}"/>
    <cellStyle name="Финансовый 3 6 6 2" xfId="4083" xr:uid="{00000000-0005-0000-0000-0000CB100000}"/>
    <cellStyle name="Финансовый 3 6 6 3" xfId="5866" xr:uid="{00000000-0005-0000-0000-0000CC100000}"/>
    <cellStyle name="Финансовый 3 6 7" xfId="1665" xr:uid="{00000000-0005-0000-0000-0000CD100000}"/>
    <cellStyle name="Финансовый 3 6 7 2" xfId="3310" xr:uid="{00000000-0005-0000-0000-0000CE100000}"/>
    <cellStyle name="Финансовый 3 6 7 3" xfId="5093" xr:uid="{00000000-0005-0000-0000-0000CF100000}"/>
    <cellStyle name="Финансовый 3 6 8" xfId="942" xr:uid="{00000000-0005-0000-0000-0000D0100000}"/>
    <cellStyle name="Финансовый 3 6 9" xfId="530" xr:uid="{00000000-0005-0000-0000-0000D1100000}"/>
    <cellStyle name="Финансовый 3 7" xfId="74" xr:uid="{00000000-0005-0000-0000-0000D2100000}"/>
    <cellStyle name="Финансовый 3 7 10" xfId="2684" xr:uid="{00000000-0005-0000-0000-0000D3100000}"/>
    <cellStyle name="Финансовый 3 7 11" xfId="4328" xr:uid="{00000000-0005-0000-0000-0000D4100000}"/>
    <cellStyle name="Финансовый 3 7 2" xfId="210" xr:uid="{00000000-0005-0000-0000-0000D5100000}"/>
    <cellStyle name="Финансовый 3 7 2 2" xfId="1308" xr:uid="{00000000-0005-0000-0000-0000D6100000}"/>
    <cellStyle name="Финансовый 3 7 2 2 2" xfId="2266" xr:uid="{00000000-0005-0000-0000-0000D7100000}"/>
    <cellStyle name="Финансовый 3 7 2 2 2 2" xfId="3911" xr:uid="{00000000-0005-0000-0000-0000D8100000}"/>
    <cellStyle name="Финансовый 3 7 2 2 2 3" xfId="5694" xr:uid="{00000000-0005-0000-0000-0000D9100000}"/>
    <cellStyle name="Финансовый 3 7 2 2 3" xfId="3092" xr:uid="{00000000-0005-0000-0000-0000DA100000}"/>
    <cellStyle name="Финансовый 3 7 2 2 4" xfId="4736" xr:uid="{00000000-0005-0000-0000-0000DB100000}"/>
    <cellStyle name="Финансовый 3 7 2 3" xfId="2010" xr:uid="{00000000-0005-0000-0000-0000DC100000}"/>
    <cellStyle name="Финансовый 3 7 2 3 2" xfId="3655" xr:uid="{00000000-0005-0000-0000-0000DD100000}"/>
    <cellStyle name="Финансовый 3 7 2 3 3" xfId="5438" xr:uid="{00000000-0005-0000-0000-0000DE100000}"/>
    <cellStyle name="Финансовый 3 7 2 4" xfId="2539" xr:uid="{00000000-0005-0000-0000-0000DF100000}"/>
    <cellStyle name="Финансовый 3 7 2 4 2" xfId="4184" xr:uid="{00000000-0005-0000-0000-0000E0100000}"/>
    <cellStyle name="Финансовый 3 7 2 4 3" xfId="5967" xr:uid="{00000000-0005-0000-0000-0000E1100000}"/>
    <cellStyle name="Финансовый 3 7 2 5" xfId="1043" xr:uid="{00000000-0005-0000-0000-0000E2100000}"/>
    <cellStyle name="Финансовый 3 7 2 6" xfId="631" xr:uid="{00000000-0005-0000-0000-0000E3100000}"/>
    <cellStyle name="Финансовый 3 7 2 7" xfId="2820" xr:uid="{00000000-0005-0000-0000-0000E4100000}"/>
    <cellStyle name="Финансовый 3 7 2 8" xfId="4464" xr:uid="{00000000-0005-0000-0000-0000E5100000}"/>
    <cellStyle name="Финансовый 3 7 3" xfId="359" xr:uid="{00000000-0005-0000-0000-0000E6100000}"/>
    <cellStyle name="Финансовый 3 7 3 2" xfId="2138" xr:uid="{00000000-0005-0000-0000-0000E7100000}"/>
    <cellStyle name="Финансовый 3 7 3 2 2" xfId="3783" xr:uid="{00000000-0005-0000-0000-0000E8100000}"/>
    <cellStyle name="Финансовый 3 7 3 2 3" xfId="5566" xr:uid="{00000000-0005-0000-0000-0000E9100000}"/>
    <cellStyle name="Финансовый 3 7 3 3" xfId="1172" xr:uid="{00000000-0005-0000-0000-0000EA100000}"/>
    <cellStyle name="Финансовый 3 7 3 4" xfId="779" xr:uid="{00000000-0005-0000-0000-0000EB100000}"/>
    <cellStyle name="Финансовый 3 7 3 5" xfId="2956" xr:uid="{00000000-0005-0000-0000-0000EC100000}"/>
    <cellStyle name="Финансовый 3 7 3 6" xfId="4600" xr:uid="{00000000-0005-0000-0000-0000ED100000}"/>
    <cellStyle name="Финансовый 3 7 4" xfId="1530" xr:uid="{00000000-0005-0000-0000-0000EE100000}"/>
    <cellStyle name="Финансовый 3 7 4 2" xfId="1882" xr:uid="{00000000-0005-0000-0000-0000EF100000}"/>
    <cellStyle name="Финансовый 3 7 4 2 2" xfId="3527" xr:uid="{00000000-0005-0000-0000-0000F0100000}"/>
    <cellStyle name="Финансовый 3 7 4 2 3" xfId="5310" xr:uid="{00000000-0005-0000-0000-0000F1100000}"/>
    <cellStyle name="Финансовый 3 7 4 3" xfId="4958" xr:uid="{00000000-0005-0000-0000-0000F2100000}"/>
    <cellStyle name="Финансовый 3 7 5" xfId="1758" xr:uid="{00000000-0005-0000-0000-0000F3100000}"/>
    <cellStyle name="Финансовый 3 7 5 2" xfId="3403" xr:uid="{00000000-0005-0000-0000-0000F4100000}"/>
    <cellStyle name="Финансовый 3 7 5 3" xfId="5186" xr:uid="{00000000-0005-0000-0000-0000F5100000}"/>
    <cellStyle name="Финансовый 3 7 6" xfId="2403" xr:uid="{00000000-0005-0000-0000-0000F6100000}"/>
    <cellStyle name="Финансовый 3 7 6 2" xfId="4048" xr:uid="{00000000-0005-0000-0000-0000F7100000}"/>
    <cellStyle name="Финансовый 3 7 6 3" xfId="5831" xr:uid="{00000000-0005-0000-0000-0000F8100000}"/>
    <cellStyle name="Финансовый 3 7 7" xfId="1630" xr:uid="{00000000-0005-0000-0000-0000F9100000}"/>
    <cellStyle name="Финансовый 3 7 7 2" xfId="3275" xr:uid="{00000000-0005-0000-0000-0000FA100000}"/>
    <cellStyle name="Финансовый 3 7 7 3" xfId="5058" xr:uid="{00000000-0005-0000-0000-0000FB100000}"/>
    <cellStyle name="Финансовый 3 7 8" xfId="907" xr:uid="{00000000-0005-0000-0000-0000FC100000}"/>
    <cellStyle name="Финансовый 3 7 9" xfId="495" xr:uid="{00000000-0005-0000-0000-0000FD100000}"/>
    <cellStyle name="Финансовый 3 8" xfId="51" xr:uid="{00000000-0005-0000-0000-0000FE100000}"/>
    <cellStyle name="Финансовый 3 8 10" xfId="2663" xr:uid="{00000000-0005-0000-0000-0000FF100000}"/>
    <cellStyle name="Финансовый 3 8 11" xfId="4306" xr:uid="{00000000-0005-0000-0000-000000110000}"/>
    <cellStyle name="Финансовый 3 8 2" xfId="189" xr:uid="{00000000-0005-0000-0000-000001110000}"/>
    <cellStyle name="Финансовый 3 8 2 2" xfId="1287" xr:uid="{00000000-0005-0000-0000-000002110000}"/>
    <cellStyle name="Финансовый 3 8 2 2 2" xfId="2253" xr:uid="{00000000-0005-0000-0000-000003110000}"/>
    <cellStyle name="Финансовый 3 8 2 2 2 2" xfId="3898" xr:uid="{00000000-0005-0000-0000-000004110000}"/>
    <cellStyle name="Финансовый 3 8 2 2 2 3" xfId="5681" xr:uid="{00000000-0005-0000-0000-000005110000}"/>
    <cellStyle name="Финансовый 3 8 2 2 3" xfId="3071" xr:uid="{00000000-0005-0000-0000-000006110000}"/>
    <cellStyle name="Финансовый 3 8 2 2 4" xfId="4715" xr:uid="{00000000-0005-0000-0000-000007110000}"/>
    <cellStyle name="Финансовый 3 8 2 3" xfId="1997" xr:uid="{00000000-0005-0000-0000-000008110000}"/>
    <cellStyle name="Финансовый 3 8 2 3 2" xfId="3642" xr:uid="{00000000-0005-0000-0000-000009110000}"/>
    <cellStyle name="Финансовый 3 8 2 3 3" xfId="5425" xr:uid="{00000000-0005-0000-0000-00000A110000}"/>
    <cellStyle name="Финансовый 3 8 2 4" xfId="2518" xr:uid="{00000000-0005-0000-0000-00000B110000}"/>
    <cellStyle name="Финансовый 3 8 2 4 2" xfId="4163" xr:uid="{00000000-0005-0000-0000-00000C110000}"/>
    <cellStyle name="Финансовый 3 8 2 4 3" xfId="5946" xr:uid="{00000000-0005-0000-0000-00000D110000}"/>
    <cellStyle name="Финансовый 3 8 2 5" xfId="1022" xr:uid="{00000000-0005-0000-0000-00000E110000}"/>
    <cellStyle name="Финансовый 3 8 2 6" xfId="610" xr:uid="{00000000-0005-0000-0000-00000F110000}"/>
    <cellStyle name="Финансовый 3 8 2 7" xfId="2799" xr:uid="{00000000-0005-0000-0000-000010110000}"/>
    <cellStyle name="Финансовый 3 8 2 8" xfId="4443" xr:uid="{00000000-0005-0000-0000-000011110000}"/>
    <cellStyle name="Финансовый 3 8 3" xfId="338" xr:uid="{00000000-0005-0000-0000-000012110000}"/>
    <cellStyle name="Финансовый 3 8 3 2" xfId="2125" xr:uid="{00000000-0005-0000-0000-000013110000}"/>
    <cellStyle name="Финансовый 3 8 3 2 2" xfId="3770" xr:uid="{00000000-0005-0000-0000-000014110000}"/>
    <cellStyle name="Финансовый 3 8 3 2 3" xfId="5553" xr:uid="{00000000-0005-0000-0000-000015110000}"/>
    <cellStyle name="Финансовый 3 8 3 3" xfId="1158" xr:uid="{00000000-0005-0000-0000-000016110000}"/>
    <cellStyle name="Финансовый 3 8 3 4" xfId="758" xr:uid="{00000000-0005-0000-0000-000017110000}"/>
    <cellStyle name="Финансовый 3 8 3 5" xfId="2935" xr:uid="{00000000-0005-0000-0000-000018110000}"/>
    <cellStyle name="Финансовый 3 8 3 6" xfId="4579" xr:uid="{00000000-0005-0000-0000-000019110000}"/>
    <cellStyle name="Финансовый 3 8 4" xfId="1420" xr:uid="{00000000-0005-0000-0000-00001A110000}"/>
    <cellStyle name="Финансовый 3 8 4 2" xfId="1861" xr:uid="{00000000-0005-0000-0000-00001B110000}"/>
    <cellStyle name="Финансовый 3 8 4 2 2" xfId="3506" xr:uid="{00000000-0005-0000-0000-00001C110000}"/>
    <cellStyle name="Финансовый 3 8 4 2 3" xfId="5289" xr:uid="{00000000-0005-0000-0000-00001D110000}"/>
    <cellStyle name="Финансовый 3 8 4 3" xfId="4848" xr:uid="{00000000-0005-0000-0000-00001E110000}"/>
    <cellStyle name="Финансовый 3 8 5" xfId="1745" xr:uid="{00000000-0005-0000-0000-00001F110000}"/>
    <cellStyle name="Финансовый 3 8 5 2" xfId="3390" xr:uid="{00000000-0005-0000-0000-000020110000}"/>
    <cellStyle name="Финансовый 3 8 5 3" xfId="5173" xr:uid="{00000000-0005-0000-0000-000021110000}"/>
    <cellStyle name="Финансовый 3 8 6" xfId="2381" xr:uid="{00000000-0005-0000-0000-000022110000}"/>
    <cellStyle name="Финансовый 3 8 6 2" xfId="4026" xr:uid="{00000000-0005-0000-0000-000023110000}"/>
    <cellStyle name="Финансовый 3 8 6 3" xfId="5809" xr:uid="{00000000-0005-0000-0000-000024110000}"/>
    <cellStyle name="Финансовый 3 8 7" xfId="1608" xr:uid="{00000000-0005-0000-0000-000025110000}"/>
    <cellStyle name="Финансовый 3 8 7 2" xfId="3253" xr:uid="{00000000-0005-0000-0000-000026110000}"/>
    <cellStyle name="Финансовый 3 8 7 3" xfId="5036" xr:uid="{00000000-0005-0000-0000-000027110000}"/>
    <cellStyle name="Финансовый 3 8 8" xfId="894" xr:uid="{00000000-0005-0000-0000-000028110000}"/>
    <cellStyle name="Финансовый 3 8 9" xfId="474" xr:uid="{00000000-0005-0000-0000-000029110000}"/>
    <cellStyle name="Финансовый 3 9" xfId="129" xr:uid="{00000000-0005-0000-0000-00002A110000}"/>
    <cellStyle name="Финансовый 3 9 10" xfId="2739" xr:uid="{00000000-0005-0000-0000-00002B110000}"/>
    <cellStyle name="Финансовый 3 9 11" xfId="4383" xr:uid="{00000000-0005-0000-0000-00002C110000}"/>
    <cellStyle name="Финансовый 3 9 2" xfId="265" xr:uid="{00000000-0005-0000-0000-00002D110000}"/>
    <cellStyle name="Финансовый 3 9 2 2" xfId="1363" xr:uid="{00000000-0005-0000-0000-00002E110000}"/>
    <cellStyle name="Финансовый 3 9 2 2 2" xfId="2321" xr:uid="{00000000-0005-0000-0000-00002F110000}"/>
    <cellStyle name="Финансовый 3 9 2 2 2 2" xfId="3966" xr:uid="{00000000-0005-0000-0000-000030110000}"/>
    <cellStyle name="Финансовый 3 9 2 2 2 3" xfId="5749" xr:uid="{00000000-0005-0000-0000-000031110000}"/>
    <cellStyle name="Финансовый 3 9 2 2 3" xfId="3147" xr:uid="{00000000-0005-0000-0000-000032110000}"/>
    <cellStyle name="Финансовый 3 9 2 2 4" xfId="4791" xr:uid="{00000000-0005-0000-0000-000033110000}"/>
    <cellStyle name="Финансовый 3 9 2 3" xfId="2065" xr:uid="{00000000-0005-0000-0000-000034110000}"/>
    <cellStyle name="Финансовый 3 9 2 3 2" xfId="3710" xr:uid="{00000000-0005-0000-0000-000035110000}"/>
    <cellStyle name="Финансовый 3 9 2 3 3" xfId="5493" xr:uid="{00000000-0005-0000-0000-000036110000}"/>
    <cellStyle name="Финансовый 3 9 2 4" xfId="2594" xr:uid="{00000000-0005-0000-0000-000037110000}"/>
    <cellStyle name="Финансовый 3 9 2 4 2" xfId="4239" xr:uid="{00000000-0005-0000-0000-000038110000}"/>
    <cellStyle name="Финансовый 3 9 2 4 3" xfId="6022" xr:uid="{00000000-0005-0000-0000-000039110000}"/>
    <cellStyle name="Финансовый 3 9 2 5" xfId="1098" xr:uid="{00000000-0005-0000-0000-00003A110000}"/>
    <cellStyle name="Финансовый 3 9 2 6" xfId="686" xr:uid="{00000000-0005-0000-0000-00003B110000}"/>
    <cellStyle name="Финансовый 3 9 2 7" xfId="2875" xr:uid="{00000000-0005-0000-0000-00003C110000}"/>
    <cellStyle name="Финансовый 3 9 2 8" xfId="4519" xr:uid="{00000000-0005-0000-0000-00003D110000}"/>
    <cellStyle name="Финансовый 3 9 3" xfId="414" xr:uid="{00000000-0005-0000-0000-00003E110000}"/>
    <cellStyle name="Финансовый 3 9 3 2" xfId="2193" xr:uid="{00000000-0005-0000-0000-00003F110000}"/>
    <cellStyle name="Финансовый 3 9 3 2 2" xfId="3838" xr:uid="{00000000-0005-0000-0000-000040110000}"/>
    <cellStyle name="Финансовый 3 9 3 2 3" xfId="5621" xr:uid="{00000000-0005-0000-0000-000041110000}"/>
    <cellStyle name="Финансовый 3 9 3 3" xfId="1227" xr:uid="{00000000-0005-0000-0000-000042110000}"/>
    <cellStyle name="Финансовый 3 9 3 4" xfId="834" xr:uid="{00000000-0005-0000-0000-000043110000}"/>
    <cellStyle name="Финансовый 3 9 3 5" xfId="3011" xr:uid="{00000000-0005-0000-0000-000044110000}"/>
    <cellStyle name="Финансовый 3 9 3 6" xfId="4655" xr:uid="{00000000-0005-0000-0000-000045110000}"/>
    <cellStyle name="Финансовый 3 9 4" xfId="1423" xr:uid="{00000000-0005-0000-0000-000046110000}"/>
    <cellStyle name="Финансовый 3 9 4 2" xfId="1937" xr:uid="{00000000-0005-0000-0000-000047110000}"/>
    <cellStyle name="Финансовый 3 9 4 2 2" xfId="3582" xr:uid="{00000000-0005-0000-0000-000048110000}"/>
    <cellStyle name="Финансовый 3 9 4 2 3" xfId="5365" xr:uid="{00000000-0005-0000-0000-000049110000}"/>
    <cellStyle name="Финансовый 3 9 4 3" xfId="4851" xr:uid="{00000000-0005-0000-0000-00004A110000}"/>
    <cellStyle name="Финансовый 3 9 5" xfId="1813" xr:uid="{00000000-0005-0000-0000-00004B110000}"/>
    <cellStyle name="Финансовый 3 9 5 2" xfId="3458" xr:uid="{00000000-0005-0000-0000-00004C110000}"/>
    <cellStyle name="Финансовый 3 9 5 3" xfId="5241" xr:uid="{00000000-0005-0000-0000-00004D110000}"/>
    <cellStyle name="Финансовый 3 9 6" xfId="2458" xr:uid="{00000000-0005-0000-0000-00004E110000}"/>
    <cellStyle name="Финансовый 3 9 6 2" xfId="4103" xr:uid="{00000000-0005-0000-0000-00004F110000}"/>
    <cellStyle name="Финансовый 3 9 6 3" xfId="5886" xr:uid="{00000000-0005-0000-0000-000050110000}"/>
    <cellStyle name="Финансовый 3 9 7" xfId="1685" xr:uid="{00000000-0005-0000-0000-000051110000}"/>
    <cellStyle name="Финансовый 3 9 7 2" xfId="3330" xr:uid="{00000000-0005-0000-0000-000052110000}"/>
    <cellStyle name="Финансовый 3 9 7 3" xfId="5113" xr:uid="{00000000-0005-0000-0000-000053110000}"/>
    <cellStyle name="Финансовый 3 9 8" xfId="962" xr:uid="{00000000-0005-0000-0000-000054110000}"/>
    <cellStyle name="Финансовый 3 9 9" xfId="550" xr:uid="{00000000-0005-0000-0000-000055110000}"/>
    <cellStyle name="Финансовый 30" xfId="1620" xr:uid="{00000000-0005-0000-0000-000056110000}"/>
    <cellStyle name="Финансовый 30 2" xfId="3265" xr:uid="{00000000-0005-0000-0000-000057110000}"/>
    <cellStyle name="Финансовый 30 3" xfId="5048" xr:uid="{00000000-0005-0000-0000-000058110000}"/>
    <cellStyle name="Финансовый 31" xfId="844" xr:uid="{00000000-0005-0000-0000-000059110000}"/>
    <cellStyle name="Финансовый 32" xfId="1171" xr:uid="{00000000-0005-0000-0000-00005A110000}"/>
    <cellStyle name="Финансовый 33" xfId="2612" xr:uid="{00000000-0005-0000-0000-00005B110000}"/>
    <cellStyle name="Финансовый 34" xfId="2611" xr:uid="{00000000-0005-0000-0000-00005C110000}"/>
    <cellStyle name="Финансовый 35" xfId="424" xr:uid="{00000000-0005-0000-0000-00005D110000}"/>
    <cellStyle name="Финансовый 36" xfId="2613" xr:uid="{00000000-0005-0000-0000-00005E110000}"/>
    <cellStyle name="Финансовый 37" xfId="3202" xr:uid="{00000000-0005-0000-0000-00005F110000}"/>
    <cellStyle name="Финансовый 38" xfId="4256" xr:uid="{00000000-0005-0000-0000-000060110000}"/>
    <cellStyle name="Финансовый 39" xfId="4318" xr:uid="{00000000-0005-0000-0000-000061110000}"/>
    <cellStyle name="Финансовый 4" xfId="5" xr:uid="{00000000-0005-0000-0000-000062110000}"/>
    <cellStyle name="Финансовый 4 10" xfId="29" xr:uid="{00000000-0005-0000-0000-000063110000}"/>
    <cellStyle name="Финансовый 4 10 10" xfId="2641" xr:uid="{00000000-0005-0000-0000-000064110000}"/>
    <cellStyle name="Финансовый 4 10 11" xfId="4284" xr:uid="{00000000-0005-0000-0000-000065110000}"/>
    <cellStyle name="Финансовый 4 10 2" xfId="167" xr:uid="{00000000-0005-0000-0000-000066110000}"/>
    <cellStyle name="Финансовый 4 10 2 2" xfId="1265" xr:uid="{00000000-0005-0000-0000-000067110000}"/>
    <cellStyle name="Финансовый 4 10 2 2 2" xfId="2231" xr:uid="{00000000-0005-0000-0000-000068110000}"/>
    <cellStyle name="Финансовый 4 10 2 2 2 2" xfId="3876" xr:uid="{00000000-0005-0000-0000-000069110000}"/>
    <cellStyle name="Финансовый 4 10 2 2 2 3" xfId="5659" xr:uid="{00000000-0005-0000-0000-00006A110000}"/>
    <cellStyle name="Финансовый 4 10 2 2 3" xfId="3049" xr:uid="{00000000-0005-0000-0000-00006B110000}"/>
    <cellStyle name="Финансовый 4 10 2 2 4" xfId="4693" xr:uid="{00000000-0005-0000-0000-00006C110000}"/>
    <cellStyle name="Финансовый 4 10 2 3" xfId="1975" xr:uid="{00000000-0005-0000-0000-00006D110000}"/>
    <cellStyle name="Финансовый 4 10 2 3 2" xfId="3620" xr:uid="{00000000-0005-0000-0000-00006E110000}"/>
    <cellStyle name="Финансовый 4 10 2 3 3" xfId="5403" xr:uid="{00000000-0005-0000-0000-00006F110000}"/>
    <cellStyle name="Финансовый 4 10 2 4" xfId="2496" xr:uid="{00000000-0005-0000-0000-000070110000}"/>
    <cellStyle name="Финансовый 4 10 2 4 2" xfId="4141" xr:uid="{00000000-0005-0000-0000-000071110000}"/>
    <cellStyle name="Финансовый 4 10 2 4 3" xfId="5924" xr:uid="{00000000-0005-0000-0000-000072110000}"/>
    <cellStyle name="Финансовый 4 10 2 5" xfId="1000" xr:uid="{00000000-0005-0000-0000-000073110000}"/>
    <cellStyle name="Финансовый 4 10 2 6" xfId="588" xr:uid="{00000000-0005-0000-0000-000074110000}"/>
    <cellStyle name="Финансовый 4 10 2 7" xfId="2777" xr:uid="{00000000-0005-0000-0000-000075110000}"/>
    <cellStyle name="Финансовый 4 10 2 8" xfId="4421" xr:uid="{00000000-0005-0000-0000-000076110000}"/>
    <cellStyle name="Финансовый 4 10 3" xfId="316" xr:uid="{00000000-0005-0000-0000-000077110000}"/>
    <cellStyle name="Финансовый 4 10 3 2" xfId="2103" xr:uid="{00000000-0005-0000-0000-000078110000}"/>
    <cellStyle name="Финансовый 4 10 3 2 2" xfId="3748" xr:uid="{00000000-0005-0000-0000-000079110000}"/>
    <cellStyle name="Финансовый 4 10 3 2 3" xfId="5531" xr:uid="{00000000-0005-0000-0000-00007A110000}"/>
    <cellStyle name="Финансовый 4 10 3 3" xfId="1136" xr:uid="{00000000-0005-0000-0000-00007B110000}"/>
    <cellStyle name="Финансовый 4 10 3 4" xfId="736" xr:uid="{00000000-0005-0000-0000-00007C110000}"/>
    <cellStyle name="Финансовый 4 10 3 5" xfId="2913" xr:uid="{00000000-0005-0000-0000-00007D110000}"/>
    <cellStyle name="Финансовый 4 10 3 6" xfId="4557" xr:uid="{00000000-0005-0000-0000-00007E110000}"/>
    <cellStyle name="Финансовый 4 10 4" xfId="1532" xr:uid="{00000000-0005-0000-0000-00007F110000}"/>
    <cellStyle name="Финансовый 4 10 4 2" xfId="1839" xr:uid="{00000000-0005-0000-0000-000080110000}"/>
    <cellStyle name="Финансовый 4 10 4 2 2" xfId="3484" xr:uid="{00000000-0005-0000-0000-000081110000}"/>
    <cellStyle name="Финансовый 4 10 4 2 3" xfId="5267" xr:uid="{00000000-0005-0000-0000-000082110000}"/>
    <cellStyle name="Финансовый 4 10 4 3" xfId="4960" xr:uid="{00000000-0005-0000-0000-000083110000}"/>
    <cellStyle name="Финансовый 4 10 5" xfId="1723" xr:uid="{00000000-0005-0000-0000-000084110000}"/>
    <cellStyle name="Финансовый 4 10 5 2" xfId="3368" xr:uid="{00000000-0005-0000-0000-000085110000}"/>
    <cellStyle name="Финансовый 4 10 5 3" xfId="5151" xr:uid="{00000000-0005-0000-0000-000086110000}"/>
    <cellStyle name="Финансовый 4 10 6" xfId="2359" xr:uid="{00000000-0005-0000-0000-000087110000}"/>
    <cellStyle name="Финансовый 4 10 6 2" xfId="4004" xr:uid="{00000000-0005-0000-0000-000088110000}"/>
    <cellStyle name="Финансовый 4 10 6 3" xfId="5787" xr:uid="{00000000-0005-0000-0000-000089110000}"/>
    <cellStyle name="Финансовый 4 10 7" xfId="1586" xr:uid="{00000000-0005-0000-0000-00008A110000}"/>
    <cellStyle name="Финансовый 4 10 7 2" xfId="3231" xr:uid="{00000000-0005-0000-0000-00008B110000}"/>
    <cellStyle name="Финансовый 4 10 7 3" xfId="5014" xr:uid="{00000000-0005-0000-0000-00008C110000}"/>
    <cellStyle name="Финансовый 4 10 8" xfId="872" xr:uid="{00000000-0005-0000-0000-00008D110000}"/>
    <cellStyle name="Финансовый 4 10 9" xfId="452" xr:uid="{00000000-0005-0000-0000-00008E110000}"/>
    <cellStyle name="Финансовый 4 11" xfId="17" xr:uid="{00000000-0005-0000-0000-00008F110000}"/>
    <cellStyle name="Финансовый 4 11 10" xfId="2629" xr:uid="{00000000-0005-0000-0000-000090110000}"/>
    <cellStyle name="Финансовый 4 11 11" xfId="4272" xr:uid="{00000000-0005-0000-0000-000091110000}"/>
    <cellStyle name="Финансовый 4 11 2" xfId="155" xr:uid="{00000000-0005-0000-0000-000092110000}"/>
    <cellStyle name="Финансовый 4 11 2 2" xfId="1253" xr:uid="{00000000-0005-0000-0000-000093110000}"/>
    <cellStyle name="Финансовый 4 11 2 2 2" xfId="2219" xr:uid="{00000000-0005-0000-0000-000094110000}"/>
    <cellStyle name="Финансовый 4 11 2 2 2 2" xfId="3864" xr:uid="{00000000-0005-0000-0000-000095110000}"/>
    <cellStyle name="Финансовый 4 11 2 2 2 3" xfId="5647" xr:uid="{00000000-0005-0000-0000-000096110000}"/>
    <cellStyle name="Финансовый 4 11 2 2 3" xfId="3037" xr:uid="{00000000-0005-0000-0000-000097110000}"/>
    <cellStyle name="Финансовый 4 11 2 2 4" xfId="4681" xr:uid="{00000000-0005-0000-0000-000098110000}"/>
    <cellStyle name="Финансовый 4 11 2 3" xfId="1963" xr:uid="{00000000-0005-0000-0000-000099110000}"/>
    <cellStyle name="Финансовый 4 11 2 3 2" xfId="3608" xr:uid="{00000000-0005-0000-0000-00009A110000}"/>
    <cellStyle name="Финансовый 4 11 2 3 3" xfId="5391" xr:uid="{00000000-0005-0000-0000-00009B110000}"/>
    <cellStyle name="Финансовый 4 11 2 4" xfId="2484" xr:uid="{00000000-0005-0000-0000-00009C110000}"/>
    <cellStyle name="Финансовый 4 11 2 4 2" xfId="4129" xr:uid="{00000000-0005-0000-0000-00009D110000}"/>
    <cellStyle name="Финансовый 4 11 2 4 3" xfId="5912" xr:uid="{00000000-0005-0000-0000-00009E110000}"/>
    <cellStyle name="Финансовый 4 11 2 5" xfId="988" xr:uid="{00000000-0005-0000-0000-00009F110000}"/>
    <cellStyle name="Финансовый 4 11 2 6" xfId="576" xr:uid="{00000000-0005-0000-0000-0000A0110000}"/>
    <cellStyle name="Финансовый 4 11 2 7" xfId="2765" xr:uid="{00000000-0005-0000-0000-0000A1110000}"/>
    <cellStyle name="Финансовый 4 11 2 8" xfId="4409" xr:uid="{00000000-0005-0000-0000-0000A2110000}"/>
    <cellStyle name="Финансовый 4 11 3" xfId="304" xr:uid="{00000000-0005-0000-0000-0000A3110000}"/>
    <cellStyle name="Финансовый 4 11 3 2" xfId="2091" xr:uid="{00000000-0005-0000-0000-0000A4110000}"/>
    <cellStyle name="Финансовый 4 11 3 2 2" xfId="3736" xr:uid="{00000000-0005-0000-0000-0000A5110000}"/>
    <cellStyle name="Финансовый 4 11 3 2 3" xfId="5519" xr:uid="{00000000-0005-0000-0000-0000A6110000}"/>
    <cellStyle name="Финансовый 4 11 3 3" xfId="1124" xr:uid="{00000000-0005-0000-0000-0000A7110000}"/>
    <cellStyle name="Финансовый 4 11 3 4" xfId="724" xr:uid="{00000000-0005-0000-0000-0000A8110000}"/>
    <cellStyle name="Финансовый 4 11 3 5" xfId="2901" xr:uid="{00000000-0005-0000-0000-0000A9110000}"/>
    <cellStyle name="Финансовый 4 11 3 6" xfId="4545" xr:uid="{00000000-0005-0000-0000-0000AA110000}"/>
    <cellStyle name="Финансовый 4 11 4" xfId="1533" xr:uid="{00000000-0005-0000-0000-0000AB110000}"/>
    <cellStyle name="Финансовый 4 11 4 2" xfId="1827" xr:uid="{00000000-0005-0000-0000-0000AC110000}"/>
    <cellStyle name="Финансовый 4 11 4 2 2" xfId="3472" xr:uid="{00000000-0005-0000-0000-0000AD110000}"/>
    <cellStyle name="Финансовый 4 11 4 2 3" xfId="5255" xr:uid="{00000000-0005-0000-0000-0000AE110000}"/>
    <cellStyle name="Финансовый 4 11 4 3" xfId="4961" xr:uid="{00000000-0005-0000-0000-0000AF110000}"/>
    <cellStyle name="Финансовый 4 11 5" xfId="1711" xr:uid="{00000000-0005-0000-0000-0000B0110000}"/>
    <cellStyle name="Финансовый 4 11 5 2" xfId="3356" xr:uid="{00000000-0005-0000-0000-0000B1110000}"/>
    <cellStyle name="Финансовый 4 11 5 3" xfId="5139" xr:uid="{00000000-0005-0000-0000-0000B2110000}"/>
    <cellStyle name="Финансовый 4 11 6" xfId="2347" xr:uid="{00000000-0005-0000-0000-0000B3110000}"/>
    <cellStyle name="Финансовый 4 11 6 2" xfId="3992" xr:uid="{00000000-0005-0000-0000-0000B4110000}"/>
    <cellStyle name="Финансовый 4 11 6 3" xfId="5775" xr:uid="{00000000-0005-0000-0000-0000B5110000}"/>
    <cellStyle name="Финансовый 4 11 7" xfId="1574" xr:uid="{00000000-0005-0000-0000-0000B6110000}"/>
    <cellStyle name="Финансовый 4 11 7 2" xfId="3219" xr:uid="{00000000-0005-0000-0000-0000B7110000}"/>
    <cellStyle name="Финансовый 4 11 7 3" xfId="5002" xr:uid="{00000000-0005-0000-0000-0000B8110000}"/>
    <cellStyle name="Финансовый 4 11 8" xfId="860" xr:uid="{00000000-0005-0000-0000-0000B9110000}"/>
    <cellStyle name="Финансовый 4 11 9" xfId="440" xr:uid="{00000000-0005-0000-0000-0000BA110000}"/>
    <cellStyle name="Финансовый 4 12" xfId="143" xr:uid="{00000000-0005-0000-0000-0000BB110000}"/>
    <cellStyle name="Финансовый 4 12 2" xfId="1241" xr:uid="{00000000-0005-0000-0000-0000BC110000}"/>
    <cellStyle name="Финансовый 4 12 2 2" xfId="2207" xr:uid="{00000000-0005-0000-0000-0000BD110000}"/>
    <cellStyle name="Финансовый 4 12 2 2 2" xfId="3852" xr:uid="{00000000-0005-0000-0000-0000BE110000}"/>
    <cellStyle name="Финансовый 4 12 2 2 3" xfId="5635" xr:uid="{00000000-0005-0000-0000-0000BF110000}"/>
    <cellStyle name="Финансовый 4 12 2 3" xfId="3025" xr:uid="{00000000-0005-0000-0000-0000C0110000}"/>
    <cellStyle name="Финансовый 4 12 2 4" xfId="4669" xr:uid="{00000000-0005-0000-0000-0000C1110000}"/>
    <cellStyle name="Финансовый 4 12 3" xfId="1951" xr:uid="{00000000-0005-0000-0000-0000C2110000}"/>
    <cellStyle name="Финансовый 4 12 3 2" xfId="3596" xr:uid="{00000000-0005-0000-0000-0000C3110000}"/>
    <cellStyle name="Финансовый 4 12 3 3" xfId="5379" xr:uid="{00000000-0005-0000-0000-0000C4110000}"/>
    <cellStyle name="Финансовый 4 12 4" xfId="2472" xr:uid="{00000000-0005-0000-0000-0000C5110000}"/>
    <cellStyle name="Финансовый 4 12 4 2" xfId="4117" xr:uid="{00000000-0005-0000-0000-0000C6110000}"/>
    <cellStyle name="Финансовый 4 12 4 3" xfId="5900" xr:uid="{00000000-0005-0000-0000-0000C7110000}"/>
    <cellStyle name="Финансовый 4 12 5" xfId="976" xr:uid="{00000000-0005-0000-0000-0000C8110000}"/>
    <cellStyle name="Финансовый 4 12 6" xfId="564" xr:uid="{00000000-0005-0000-0000-0000C9110000}"/>
    <cellStyle name="Финансовый 4 12 7" xfId="2753" xr:uid="{00000000-0005-0000-0000-0000CA110000}"/>
    <cellStyle name="Финансовый 4 12 8" xfId="4397" xr:uid="{00000000-0005-0000-0000-0000CB110000}"/>
    <cellStyle name="Финансовый 4 13" xfId="279" xr:uid="{00000000-0005-0000-0000-0000CC110000}"/>
    <cellStyle name="Финансовый 4 13 2" xfId="2079" xr:uid="{00000000-0005-0000-0000-0000CD110000}"/>
    <cellStyle name="Финансовый 4 13 2 2" xfId="3724" xr:uid="{00000000-0005-0000-0000-0000CE110000}"/>
    <cellStyle name="Финансовый 4 13 2 3" xfId="5507" xr:uid="{00000000-0005-0000-0000-0000CF110000}"/>
    <cellStyle name="Финансовый 4 13 3" xfId="1377" xr:uid="{00000000-0005-0000-0000-0000D0110000}"/>
    <cellStyle name="Финансовый 4 13 4" xfId="700" xr:uid="{00000000-0005-0000-0000-0000D1110000}"/>
    <cellStyle name="Финансовый 4 13 5" xfId="3161" xr:uid="{00000000-0005-0000-0000-0000D2110000}"/>
    <cellStyle name="Финансовый 4 13 6" xfId="4805" xr:uid="{00000000-0005-0000-0000-0000D3110000}"/>
    <cellStyle name="Финансовый 4 14" xfId="292" xr:uid="{00000000-0005-0000-0000-0000D4110000}"/>
    <cellStyle name="Финансовый 4 14 2" xfId="1112" xr:uid="{00000000-0005-0000-0000-0000D5110000}"/>
    <cellStyle name="Финансовый 4 14 3" xfId="712" xr:uid="{00000000-0005-0000-0000-0000D6110000}"/>
    <cellStyle name="Финансовый 4 14 4" xfId="2889" xr:uid="{00000000-0005-0000-0000-0000D7110000}"/>
    <cellStyle name="Финансовый 4 14 5" xfId="4533" xr:uid="{00000000-0005-0000-0000-0000D8110000}"/>
    <cellStyle name="Финансовый 4 15" xfId="1531" xr:uid="{00000000-0005-0000-0000-0000D9110000}"/>
    <cellStyle name="Финансовый 4 15 2" xfId="1699" xr:uid="{00000000-0005-0000-0000-0000DA110000}"/>
    <cellStyle name="Финансовый 4 15 2 2" xfId="3344" xr:uid="{00000000-0005-0000-0000-0000DB110000}"/>
    <cellStyle name="Финансовый 4 15 2 3" xfId="5127" xr:uid="{00000000-0005-0000-0000-0000DC110000}"/>
    <cellStyle name="Финансовый 4 15 3" xfId="4959" xr:uid="{00000000-0005-0000-0000-0000DD110000}"/>
    <cellStyle name="Финансовый 4 16" xfId="2335" xr:uid="{00000000-0005-0000-0000-0000DE110000}"/>
    <cellStyle name="Финансовый 4 16 2" xfId="3980" xr:uid="{00000000-0005-0000-0000-0000DF110000}"/>
    <cellStyle name="Финансовый 4 16 3" xfId="5763" xr:uid="{00000000-0005-0000-0000-0000E0110000}"/>
    <cellStyle name="Финансовый 4 17" xfId="1562" xr:uid="{00000000-0005-0000-0000-0000E1110000}"/>
    <cellStyle name="Финансовый 4 17 2" xfId="3207" xr:uid="{00000000-0005-0000-0000-0000E2110000}"/>
    <cellStyle name="Финансовый 4 17 3" xfId="4990" xr:uid="{00000000-0005-0000-0000-0000E3110000}"/>
    <cellStyle name="Финансовый 4 18" xfId="848" xr:uid="{00000000-0005-0000-0000-0000E4110000}"/>
    <cellStyle name="Финансовый 4 19" xfId="428" xr:uid="{00000000-0005-0000-0000-0000E5110000}"/>
    <cellStyle name="Финансовый 4 2" xfId="11" xr:uid="{00000000-0005-0000-0000-0000E6110000}"/>
    <cellStyle name="Финансовый 4 2 10" xfId="285" xr:uid="{00000000-0005-0000-0000-0000E7110000}"/>
    <cellStyle name="Финансовый 4 2 10 2" xfId="2085" xr:uid="{00000000-0005-0000-0000-0000E8110000}"/>
    <cellStyle name="Финансовый 4 2 10 2 2" xfId="3730" xr:uid="{00000000-0005-0000-0000-0000E9110000}"/>
    <cellStyle name="Финансовый 4 2 10 2 3" xfId="5513" xr:uid="{00000000-0005-0000-0000-0000EA110000}"/>
    <cellStyle name="Финансовый 4 2 10 3" xfId="1383" xr:uid="{00000000-0005-0000-0000-0000EB110000}"/>
    <cellStyle name="Финансовый 4 2 10 4" xfId="706" xr:uid="{00000000-0005-0000-0000-0000EC110000}"/>
    <cellStyle name="Финансовый 4 2 10 5" xfId="3167" xr:uid="{00000000-0005-0000-0000-0000ED110000}"/>
    <cellStyle name="Финансовый 4 2 10 6" xfId="4811" xr:uid="{00000000-0005-0000-0000-0000EE110000}"/>
    <cellStyle name="Финансовый 4 2 11" xfId="298" xr:uid="{00000000-0005-0000-0000-0000EF110000}"/>
    <cellStyle name="Финансовый 4 2 11 2" xfId="1118" xr:uid="{00000000-0005-0000-0000-0000F0110000}"/>
    <cellStyle name="Финансовый 4 2 11 3" xfId="718" xr:uid="{00000000-0005-0000-0000-0000F1110000}"/>
    <cellStyle name="Финансовый 4 2 11 4" xfId="2895" xr:uid="{00000000-0005-0000-0000-0000F2110000}"/>
    <cellStyle name="Финансовый 4 2 11 5" xfId="4539" xr:uid="{00000000-0005-0000-0000-0000F3110000}"/>
    <cellStyle name="Финансовый 4 2 12" xfId="1534" xr:uid="{00000000-0005-0000-0000-0000F4110000}"/>
    <cellStyle name="Финансовый 4 2 12 2" xfId="1705" xr:uid="{00000000-0005-0000-0000-0000F5110000}"/>
    <cellStyle name="Финансовый 4 2 12 2 2" xfId="3350" xr:uid="{00000000-0005-0000-0000-0000F6110000}"/>
    <cellStyle name="Финансовый 4 2 12 2 3" xfId="5133" xr:uid="{00000000-0005-0000-0000-0000F7110000}"/>
    <cellStyle name="Финансовый 4 2 12 3" xfId="4962" xr:uid="{00000000-0005-0000-0000-0000F8110000}"/>
    <cellStyle name="Финансовый 4 2 13" xfId="2341" xr:uid="{00000000-0005-0000-0000-0000F9110000}"/>
    <cellStyle name="Финансовый 4 2 13 2" xfId="3986" xr:uid="{00000000-0005-0000-0000-0000FA110000}"/>
    <cellStyle name="Финансовый 4 2 13 3" xfId="5769" xr:uid="{00000000-0005-0000-0000-0000FB110000}"/>
    <cellStyle name="Финансовый 4 2 14" xfId="1568" xr:uid="{00000000-0005-0000-0000-0000FC110000}"/>
    <cellStyle name="Финансовый 4 2 14 2" xfId="3213" xr:uid="{00000000-0005-0000-0000-0000FD110000}"/>
    <cellStyle name="Финансовый 4 2 14 3" xfId="4996" xr:uid="{00000000-0005-0000-0000-0000FE110000}"/>
    <cellStyle name="Финансовый 4 2 15" xfId="854" xr:uid="{00000000-0005-0000-0000-0000FF110000}"/>
    <cellStyle name="Финансовый 4 2 16" xfId="434" xr:uid="{00000000-0005-0000-0000-000000120000}"/>
    <cellStyle name="Финансовый 4 2 17" xfId="2623" xr:uid="{00000000-0005-0000-0000-000001120000}"/>
    <cellStyle name="Финансовый 4 2 18" xfId="4266" xr:uid="{00000000-0005-0000-0000-000002120000}"/>
    <cellStyle name="Финансовый 4 2 2" xfId="47" xr:uid="{00000000-0005-0000-0000-000003120000}"/>
    <cellStyle name="Финансовый 4 2 2 10" xfId="470" xr:uid="{00000000-0005-0000-0000-000004120000}"/>
    <cellStyle name="Финансовый 4 2 2 11" xfId="2659" xr:uid="{00000000-0005-0000-0000-000005120000}"/>
    <cellStyle name="Финансовый 4 2 2 12" xfId="4302" xr:uid="{00000000-0005-0000-0000-000006120000}"/>
    <cellStyle name="Финансовый 4 2 2 2" xfId="105" xr:uid="{00000000-0005-0000-0000-000007120000}"/>
    <cellStyle name="Финансовый 4 2 2 2 10" xfId="2715" xr:uid="{00000000-0005-0000-0000-000008120000}"/>
    <cellStyle name="Финансовый 4 2 2 2 11" xfId="4359" xr:uid="{00000000-0005-0000-0000-000009120000}"/>
    <cellStyle name="Финансовый 4 2 2 2 2" xfId="241" xr:uid="{00000000-0005-0000-0000-00000A120000}"/>
    <cellStyle name="Финансовый 4 2 2 2 2 2" xfId="1339" xr:uid="{00000000-0005-0000-0000-00000B120000}"/>
    <cellStyle name="Финансовый 4 2 2 2 2 2 2" xfId="2297" xr:uid="{00000000-0005-0000-0000-00000C120000}"/>
    <cellStyle name="Финансовый 4 2 2 2 2 2 2 2" xfId="3942" xr:uid="{00000000-0005-0000-0000-00000D120000}"/>
    <cellStyle name="Финансовый 4 2 2 2 2 2 2 3" xfId="5725" xr:uid="{00000000-0005-0000-0000-00000E120000}"/>
    <cellStyle name="Финансовый 4 2 2 2 2 2 3" xfId="3123" xr:uid="{00000000-0005-0000-0000-00000F120000}"/>
    <cellStyle name="Финансовый 4 2 2 2 2 2 4" xfId="4767" xr:uid="{00000000-0005-0000-0000-000010120000}"/>
    <cellStyle name="Финансовый 4 2 2 2 2 3" xfId="2041" xr:uid="{00000000-0005-0000-0000-000011120000}"/>
    <cellStyle name="Финансовый 4 2 2 2 2 3 2" xfId="3686" xr:uid="{00000000-0005-0000-0000-000012120000}"/>
    <cellStyle name="Финансовый 4 2 2 2 2 3 3" xfId="5469" xr:uid="{00000000-0005-0000-0000-000013120000}"/>
    <cellStyle name="Финансовый 4 2 2 2 2 4" xfId="2570" xr:uid="{00000000-0005-0000-0000-000014120000}"/>
    <cellStyle name="Финансовый 4 2 2 2 2 4 2" xfId="4215" xr:uid="{00000000-0005-0000-0000-000015120000}"/>
    <cellStyle name="Финансовый 4 2 2 2 2 4 3" xfId="5998" xr:uid="{00000000-0005-0000-0000-000016120000}"/>
    <cellStyle name="Финансовый 4 2 2 2 2 5" xfId="1074" xr:uid="{00000000-0005-0000-0000-000017120000}"/>
    <cellStyle name="Финансовый 4 2 2 2 2 6" xfId="662" xr:uid="{00000000-0005-0000-0000-000018120000}"/>
    <cellStyle name="Финансовый 4 2 2 2 2 7" xfId="2851" xr:uid="{00000000-0005-0000-0000-000019120000}"/>
    <cellStyle name="Финансовый 4 2 2 2 2 8" xfId="4495" xr:uid="{00000000-0005-0000-0000-00001A120000}"/>
    <cellStyle name="Финансовый 4 2 2 2 3" xfId="390" xr:uid="{00000000-0005-0000-0000-00001B120000}"/>
    <cellStyle name="Финансовый 4 2 2 2 3 2" xfId="2169" xr:uid="{00000000-0005-0000-0000-00001C120000}"/>
    <cellStyle name="Финансовый 4 2 2 2 3 2 2" xfId="3814" xr:uid="{00000000-0005-0000-0000-00001D120000}"/>
    <cellStyle name="Финансовый 4 2 2 2 3 2 3" xfId="5597" xr:uid="{00000000-0005-0000-0000-00001E120000}"/>
    <cellStyle name="Финансовый 4 2 2 2 3 3" xfId="1203" xr:uid="{00000000-0005-0000-0000-00001F120000}"/>
    <cellStyle name="Финансовый 4 2 2 2 3 4" xfId="810" xr:uid="{00000000-0005-0000-0000-000020120000}"/>
    <cellStyle name="Финансовый 4 2 2 2 3 5" xfId="2987" xr:uid="{00000000-0005-0000-0000-000021120000}"/>
    <cellStyle name="Финансовый 4 2 2 2 3 6" xfId="4631" xr:uid="{00000000-0005-0000-0000-000022120000}"/>
    <cellStyle name="Финансовый 4 2 2 2 4" xfId="1427" xr:uid="{00000000-0005-0000-0000-000023120000}"/>
    <cellStyle name="Финансовый 4 2 2 2 4 2" xfId="1913" xr:uid="{00000000-0005-0000-0000-000024120000}"/>
    <cellStyle name="Финансовый 4 2 2 2 4 2 2" xfId="3558" xr:uid="{00000000-0005-0000-0000-000025120000}"/>
    <cellStyle name="Финансовый 4 2 2 2 4 2 3" xfId="5341" xr:uid="{00000000-0005-0000-0000-000026120000}"/>
    <cellStyle name="Финансовый 4 2 2 2 4 3" xfId="4855" xr:uid="{00000000-0005-0000-0000-000027120000}"/>
    <cellStyle name="Финансовый 4 2 2 2 5" xfId="1789" xr:uid="{00000000-0005-0000-0000-000028120000}"/>
    <cellStyle name="Финансовый 4 2 2 2 5 2" xfId="3434" xr:uid="{00000000-0005-0000-0000-000029120000}"/>
    <cellStyle name="Финансовый 4 2 2 2 5 3" xfId="5217" xr:uid="{00000000-0005-0000-0000-00002A120000}"/>
    <cellStyle name="Финансовый 4 2 2 2 6" xfId="2434" xr:uid="{00000000-0005-0000-0000-00002B120000}"/>
    <cellStyle name="Финансовый 4 2 2 2 6 2" xfId="4079" xr:uid="{00000000-0005-0000-0000-00002C120000}"/>
    <cellStyle name="Финансовый 4 2 2 2 6 3" xfId="5862" xr:uid="{00000000-0005-0000-0000-00002D120000}"/>
    <cellStyle name="Финансовый 4 2 2 2 7" xfId="1661" xr:uid="{00000000-0005-0000-0000-00002E120000}"/>
    <cellStyle name="Финансовый 4 2 2 2 7 2" xfId="3306" xr:uid="{00000000-0005-0000-0000-00002F120000}"/>
    <cellStyle name="Финансовый 4 2 2 2 7 3" xfId="5089" xr:uid="{00000000-0005-0000-0000-000030120000}"/>
    <cellStyle name="Финансовый 4 2 2 2 8" xfId="938" xr:uid="{00000000-0005-0000-0000-000031120000}"/>
    <cellStyle name="Финансовый 4 2 2 2 9" xfId="526" xr:uid="{00000000-0005-0000-0000-000032120000}"/>
    <cellStyle name="Финансовый 4 2 2 3" xfId="185" xr:uid="{00000000-0005-0000-0000-000033120000}"/>
    <cellStyle name="Финансовый 4 2 2 3 2" xfId="1283" xr:uid="{00000000-0005-0000-0000-000034120000}"/>
    <cellStyle name="Финансовый 4 2 2 3 2 2" xfId="2249" xr:uid="{00000000-0005-0000-0000-000035120000}"/>
    <cellStyle name="Финансовый 4 2 2 3 2 2 2" xfId="3894" xr:uid="{00000000-0005-0000-0000-000036120000}"/>
    <cellStyle name="Финансовый 4 2 2 3 2 2 3" xfId="5677" xr:uid="{00000000-0005-0000-0000-000037120000}"/>
    <cellStyle name="Финансовый 4 2 2 3 2 3" xfId="3067" xr:uid="{00000000-0005-0000-0000-000038120000}"/>
    <cellStyle name="Финансовый 4 2 2 3 2 4" xfId="4711" xr:uid="{00000000-0005-0000-0000-000039120000}"/>
    <cellStyle name="Финансовый 4 2 2 3 3" xfId="1993" xr:uid="{00000000-0005-0000-0000-00003A120000}"/>
    <cellStyle name="Финансовый 4 2 2 3 3 2" xfId="3638" xr:uid="{00000000-0005-0000-0000-00003B120000}"/>
    <cellStyle name="Финансовый 4 2 2 3 3 3" xfId="5421" xr:uid="{00000000-0005-0000-0000-00003C120000}"/>
    <cellStyle name="Финансовый 4 2 2 3 4" xfId="2514" xr:uid="{00000000-0005-0000-0000-00003D120000}"/>
    <cellStyle name="Финансовый 4 2 2 3 4 2" xfId="4159" xr:uid="{00000000-0005-0000-0000-00003E120000}"/>
    <cellStyle name="Финансовый 4 2 2 3 4 3" xfId="5942" xr:uid="{00000000-0005-0000-0000-00003F120000}"/>
    <cellStyle name="Финансовый 4 2 2 3 5" xfId="1018" xr:uid="{00000000-0005-0000-0000-000040120000}"/>
    <cellStyle name="Финансовый 4 2 2 3 6" xfId="606" xr:uid="{00000000-0005-0000-0000-000041120000}"/>
    <cellStyle name="Финансовый 4 2 2 3 7" xfId="2795" xr:uid="{00000000-0005-0000-0000-000042120000}"/>
    <cellStyle name="Финансовый 4 2 2 3 8" xfId="4439" xr:uid="{00000000-0005-0000-0000-000043120000}"/>
    <cellStyle name="Финансовый 4 2 2 4" xfId="334" xr:uid="{00000000-0005-0000-0000-000044120000}"/>
    <cellStyle name="Финансовый 4 2 2 4 2" xfId="2121" xr:uid="{00000000-0005-0000-0000-000045120000}"/>
    <cellStyle name="Финансовый 4 2 2 4 2 2" xfId="3766" xr:uid="{00000000-0005-0000-0000-000046120000}"/>
    <cellStyle name="Финансовый 4 2 2 4 2 3" xfId="5549" xr:uid="{00000000-0005-0000-0000-000047120000}"/>
    <cellStyle name="Финансовый 4 2 2 4 3" xfId="1154" xr:uid="{00000000-0005-0000-0000-000048120000}"/>
    <cellStyle name="Финансовый 4 2 2 4 4" xfId="754" xr:uid="{00000000-0005-0000-0000-000049120000}"/>
    <cellStyle name="Финансовый 4 2 2 4 5" xfId="2931" xr:uid="{00000000-0005-0000-0000-00004A120000}"/>
    <cellStyle name="Финансовый 4 2 2 4 6" xfId="4575" xr:uid="{00000000-0005-0000-0000-00004B120000}"/>
    <cellStyle name="Финансовый 4 2 2 5" xfId="1535" xr:uid="{00000000-0005-0000-0000-00004C120000}"/>
    <cellStyle name="Финансовый 4 2 2 5 2" xfId="1857" xr:uid="{00000000-0005-0000-0000-00004D120000}"/>
    <cellStyle name="Финансовый 4 2 2 5 2 2" xfId="3502" xr:uid="{00000000-0005-0000-0000-00004E120000}"/>
    <cellStyle name="Финансовый 4 2 2 5 2 3" xfId="5285" xr:uid="{00000000-0005-0000-0000-00004F120000}"/>
    <cellStyle name="Финансовый 4 2 2 5 3" xfId="4963" xr:uid="{00000000-0005-0000-0000-000050120000}"/>
    <cellStyle name="Финансовый 4 2 2 6" xfId="1741" xr:uid="{00000000-0005-0000-0000-000051120000}"/>
    <cellStyle name="Финансовый 4 2 2 6 2" xfId="3386" xr:uid="{00000000-0005-0000-0000-000052120000}"/>
    <cellStyle name="Финансовый 4 2 2 6 3" xfId="5169" xr:uid="{00000000-0005-0000-0000-000053120000}"/>
    <cellStyle name="Финансовый 4 2 2 7" xfId="2377" xr:uid="{00000000-0005-0000-0000-000054120000}"/>
    <cellStyle name="Финансовый 4 2 2 7 2" xfId="4022" xr:uid="{00000000-0005-0000-0000-000055120000}"/>
    <cellStyle name="Финансовый 4 2 2 7 3" xfId="5805" xr:uid="{00000000-0005-0000-0000-000056120000}"/>
    <cellStyle name="Финансовый 4 2 2 8" xfId="1604" xr:uid="{00000000-0005-0000-0000-000057120000}"/>
    <cellStyle name="Финансовый 4 2 2 8 2" xfId="3249" xr:uid="{00000000-0005-0000-0000-000058120000}"/>
    <cellStyle name="Финансовый 4 2 2 8 3" xfId="5032" xr:uid="{00000000-0005-0000-0000-000059120000}"/>
    <cellStyle name="Финансовый 4 2 2 9" xfId="890" xr:uid="{00000000-0005-0000-0000-00005A120000}"/>
    <cellStyle name="Финансовый 4 2 3" xfId="117" xr:uid="{00000000-0005-0000-0000-00005B120000}"/>
    <cellStyle name="Финансовый 4 2 3 10" xfId="2727" xr:uid="{00000000-0005-0000-0000-00005C120000}"/>
    <cellStyle name="Финансовый 4 2 3 11" xfId="4371" xr:uid="{00000000-0005-0000-0000-00005D120000}"/>
    <cellStyle name="Финансовый 4 2 3 2" xfId="253" xr:uid="{00000000-0005-0000-0000-00005E120000}"/>
    <cellStyle name="Финансовый 4 2 3 2 2" xfId="1351" xr:uid="{00000000-0005-0000-0000-00005F120000}"/>
    <cellStyle name="Финансовый 4 2 3 2 2 2" xfId="2309" xr:uid="{00000000-0005-0000-0000-000060120000}"/>
    <cellStyle name="Финансовый 4 2 3 2 2 2 2" xfId="3954" xr:uid="{00000000-0005-0000-0000-000061120000}"/>
    <cellStyle name="Финансовый 4 2 3 2 2 2 3" xfId="5737" xr:uid="{00000000-0005-0000-0000-000062120000}"/>
    <cellStyle name="Финансовый 4 2 3 2 2 3" xfId="3135" xr:uid="{00000000-0005-0000-0000-000063120000}"/>
    <cellStyle name="Финансовый 4 2 3 2 2 4" xfId="4779" xr:uid="{00000000-0005-0000-0000-000064120000}"/>
    <cellStyle name="Финансовый 4 2 3 2 3" xfId="2053" xr:uid="{00000000-0005-0000-0000-000065120000}"/>
    <cellStyle name="Финансовый 4 2 3 2 3 2" xfId="3698" xr:uid="{00000000-0005-0000-0000-000066120000}"/>
    <cellStyle name="Финансовый 4 2 3 2 3 3" xfId="5481" xr:uid="{00000000-0005-0000-0000-000067120000}"/>
    <cellStyle name="Финансовый 4 2 3 2 4" xfId="2582" xr:uid="{00000000-0005-0000-0000-000068120000}"/>
    <cellStyle name="Финансовый 4 2 3 2 4 2" xfId="4227" xr:uid="{00000000-0005-0000-0000-000069120000}"/>
    <cellStyle name="Финансовый 4 2 3 2 4 3" xfId="6010" xr:uid="{00000000-0005-0000-0000-00006A120000}"/>
    <cellStyle name="Финансовый 4 2 3 2 5" xfId="1086" xr:uid="{00000000-0005-0000-0000-00006B120000}"/>
    <cellStyle name="Финансовый 4 2 3 2 6" xfId="674" xr:uid="{00000000-0005-0000-0000-00006C120000}"/>
    <cellStyle name="Финансовый 4 2 3 2 7" xfId="2863" xr:uid="{00000000-0005-0000-0000-00006D120000}"/>
    <cellStyle name="Финансовый 4 2 3 2 8" xfId="4507" xr:uid="{00000000-0005-0000-0000-00006E120000}"/>
    <cellStyle name="Финансовый 4 2 3 3" xfId="402" xr:uid="{00000000-0005-0000-0000-00006F120000}"/>
    <cellStyle name="Финансовый 4 2 3 3 2" xfId="2181" xr:uid="{00000000-0005-0000-0000-000070120000}"/>
    <cellStyle name="Финансовый 4 2 3 3 2 2" xfId="3826" xr:uid="{00000000-0005-0000-0000-000071120000}"/>
    <cellStyle name="Финансовый 4 2 3 3 2 3" xfId="5609" xr:uid="{00000000-0005-0000-0000-000072120000}"/>
    <cellStyle name="Финансовый 4 2 3 3 3" xfId="1215" xr:uid="{00000000-0005-0000-0000-000073120000}"/>
    <cellStyle name="Финансовый 4 2 3 3 4" xfId="822" xr:uid="{00000000-0005-0000-0000-000074120000}"/>
    <cellStyle name="Финансовый 4 2 3 3 5" xfId="2999" xr:uid="{00000000-0005-0000-0000-000075120000}"/>
    <cellStyle name="Финансовый 4 2 3 3 6" xfId="4643" xr:uid="{00000000-0005-0000-0000-000076120000}"/>
    <cellStyle name="Финансовый 4 2 3 4" xfId="1536" xr:uid="{00000000-0005-0000-0000-000077120000}"/>
    <cellStyle name="Финансовый 4 2 3 4 2" xfId="1925" xr:uid="{00000000-0005-0000-0000-000078120000}"/>
    <cellStyle name="Финансовый 4 2 3 4 2 2" xfId="3570" xr:uid="{00000000-0005-0000-0000-000079120000}"/>
    <cellStyle name="Финансовый 4 2 3 4 2 3" xfId="5353" xr:uid="{00000000-0005-0000-0000-00007A120000}"/>
    <cellStyle name="Финансовый 4 2 3 4 3" xfId="4964" xr:uid="{00000000-0005-0000-0000-00007B120000}"/>
    <cellStyle name="Финансовый 4 2 3 5" xfId="1801" xr:uid="{00000000-0005-0000-0000-00007C120000}"/>
    <cellStyle name="Финансовый 4 2 3 5 2" xfId="3446" xr:uid="{00000000-0005-0000-0000-00007D120000}"/>
    <cellStyle name="Финансовый 4 2 3 5 3" xfId="5229" xr:uid="{00000000-0005-0000-0000-00007E120000}"/>
    <cellStyle name="Финансовый 4 2 3 6" xfId="2446" xr:uid="{00000000-0005-0000-0000-00007F120000}"/>
    <cellStyle name="Финансовый 4 2 3 6 2" xfId="4091" xr:uid="{00000000-0005-0000-0000-000080120000}"/>
    <cellStyle name="Финансовый 4 2 3 6 3" xfId="5874" xr:uid="{00000000-0005-0000-0000-000081120000}"/>
    <cellStyle name="Финансовый 4 2 3 7" xfId="1673" xr:uid="{00000000-0005-0000-0000-000082120000}"/>
    <cellStyle name="Финансовый 4 2 3 7 2" xfId="3318" xr:uid="{00000000-0005-0000-0000-000083120000}"/>
    <cellStyle name="Финансовый 4 2 3 7 3" xfId="5101" xr:uid="{00000000-0005-0000-0000-000084120000}"/>
    <cellStyle name="Финансовый 4 2 3 8" xfId="950" xr:uid="{00000000-0005-0000-0000-000085120000}"/>
    <cellStyle name="Финансовый 4 2 3 9" xfId="538" xr:uid="{00000000-0005-0000-0000-000086120000}"/>
    <cellStyle name="Финансовый 4 2 4" xfId="81" xr:uid="{00000000-0005-0000-0000-000087120000}"/>
    <cellStyle name="Финансовый 4 2 4 10" xfId="2691" xr:uid="{00000000-0005-0000-0000-000088120000}"/>
    <cellStyle name="Финансовый 4 2 4 11" xfId="4335" xr:uid="{00000000-0005-0000-0000-000089120000}"/>
    <cellStyle name="Финансовый 4 2 4 2" xfId="217" xr:uid="{00000000-0005-0000-0000-00008A120000}"/>
    <cellStyle name="Финансовый 4 2 4 2 2" xfId="1315" xr:uid="{00000000-0005-0000-0000-00008B120000}"/>
    <cellStyle name="Финансовый 4 2 4 2 2 2" xfId="2273" xr:uid="{00000000-0005-0000-0000-00008C120000}"/>
    <cellStyle name="Финансовый 4 2 4 2 2 2 2" xfId="3918" xr:uid="{00000000-0005-0000-0000-00008D120000}"/>
    <cellStyle name="Финансовый 4 2 4 2 2 2 3" xfId="5701" xr:uid="{00000000-0005-0000-0000-00008E120000}"/>
    <cellStyle name="Финансовый 4 2 4 2 2 3" xfId="3099" xr:uid="{00000000-0005-0000-0000-00008F120000}"/>
    <cellStyle name="Финансовый 4 2 4 2 2 4" xfId="4743" xr:uid="{00000000-0005-0000-0000-000090120000}"/>
    <cellStyle name="Финансовый 4 2 4 2 3" xfId="2017" xr:uid="{00000000-0005-0000-0000-000091120000}"/>
    <cellStyle name="Финансовый 4 2 4 2 3 2" xfId="3662" xr:uid="{00000000-0005-0000-0000-000092120000}"/>
    <cellStyle name="Финансовый 4 2 4 2 3 3" xfId="5445" xr:uid="{00000000-0005-0000-0000-000093120000}"/>
    <cellStyle name="Финансовый 4 2 4 2 4" xfId="2546" xr:uid="{00000000-0005-0000-0000-000094120000}"/>
    <cellStyle name="Финансовый 4 2 4 2 4 2" xfId="4191" xr:uid="{00000000-0005-0000-0000-000095120000}"/>
    <cellStyle name="Финансовый 4 2 4 2 4 3" xfId="5974" xr:uid="{00000000-0005-0000-0000-000096120000}"/>
    <cellStyle name="Финансовый 4 2 4 2 5" xfId="1050" xr:uid="{00000000-0005-0000-0000-000097120000}"/>
    <cellStyle name="Финансовый 4 2 4 2 6" xfId="638" xr:uid="{00000000-0005-0000-0000-000098120000}"/>
    <cellStyle name="Финансовый 4 2 4 2 7" xfId="2827" xr:uid="{00000000-0005-0000-0000-000099120000}"/>
    <cellStyle name="Финансовый 4 2 4 2 8" xfId="4471" xr:uid="{00000000-0005-0000-0000-00009A120000}"/>
    <cellStyle name="Финансовый 4 2 4 3" xfId="366" xr:uid="{00000000-0005-0000-0000-00009B120000}"/>
    <cellStyle name="Финансовый 4 2 4 3 2" xfId="2145" xr:uid="{00000000-0005-0000-0000-00009C120000}"/>
    <cellStyle name="Финансовый 4 2 4 3 2 2" xfId="3790" xr:uid="{00000000-0005-0000-0000-00009D120000}"/>
    <cellStyle name="Финансовый 4 2 4 3 2 3" xfId="5573" xr:uid="{00000000-0005-0000-0000-00009E120000}"/>
    <cellStyle name="Финансовый 4 2 4 3 3" xfId="1179" xr:uid="{00000000-0005-0000-0000-00009F120000}"/>
    <cellStyle name="Финансовый 4 2 4 3 4" xfId="786" xr:uid="{00000000-0005-0000-0000-0000A0120000}"/>
    <cellStyle name="Финансовый 4 2 4 3 5" xfId="2963" xr:uid="{00000000-0005-0000-0000-0000A1120000}"/>
    <cellStyle name="Финансовый 4 2 4 3 6" xfId="4607" xr:uid="{00000000-0005-0000-0000-0000A2120000}"/>
    <cellStyle name="Финансовый 4 2 4 4" xfId="1537" xr:uid="{00000000-0005-0000-0000-0000A3120000}"/>
    <cellStyle name="Финансовый 4 2 4 4 2" xfId="1889" xr:uid="{00000000-0005-0000-0000-0000A4120000}"/>
    <cellStyle name="Финансовый 4 2 4 4 2 2" xfId="3534" xr:uid="{00000000-0005-0000-0000-0000A5120000}"/>
    <cellStyle name="Финансовый 4 2 4 4 2 3" xfId="5317" xr:uid="{00000000-0005-0000-0000-0000A6120000}"/>
    <cellStyle name="Финансовый 4 2 4 4 3" xfId="4965" xr:uid="{00000000-0005-0000-0000-0000A7120000}"/>
    <cellStyle name="Финансовый 4 2 4 5" xfId="1765" xr:uid="{00000000-0005-0000-0000-0000A8120000}"/>
    <cellStyle name="Финансовый 4 2 4 5 2" xfId="3410" xr:uid="{00000000-0005-0000-0000-0000A9120000}"/>
    <cellStyle name="Финансовый 4 2 4 5 3" xfId="5193" xr:uid="{00000000-0005-0000-0000-0000AA120000}"/>
    <cellStyle name="Финансовый 4 2 4 6" xfId="2410" xr:uid="{00000000-0005-0000-0000-0000AB120000}"/>
    <cellStyle name="Финансовый 4 2 4 6 2" xfId="4055" xr:uid="{00000000-0005-0000-0000-0000AC120000}"/>
    <cellStyle name="Финансовый 4 2 4 6 3" xfId="5838" xr:uid="{00000000-0005-0000-0000-0000AD120000}"/>
    <cellStyle name="Финансовый 4 2 4 7" xfId="1637" xr:uid="{00000000-0005-0000-0000-0000AE120000}"/>
    <cellStyle name="Финансовый 4 2 4 7 2" xfId="3282" xr:uid="{00000000-0005-0000-0000-0000AF120000}"/>
    <cellStyle name="Финансовый 4 2 4 7 3" xfId="5065" xr:uid="{00000000-0005-0000-0000-0000B0120000}"/>
    <cellStyle name="Финансовый 4 2 4 8" xfId="914" xr:uid="{00000000-0005-0000-0000-0000B1120000}"/>
    <cellStyle name="Финансовый 4 2 4 9" xfId="502" xr:uid="{00000000-0005-0000-0000-0000B2120000}"/>
    <cellStyle name="Финансовый 4 2 5" xfId="59" xr:uid="{00000000-0005-0000-0000-0000B3120000}"/>
    <cellStyle name="Финансовый 4 2 5 10" xfId="2671" xr:uid="{00000000-0005-0000-0000-0000B4120000}"/>
    <cellStyle name="Финансовый 4 2 5 11" xfId="4314" xr:uid="{00000000-0005-0000-0000-0000B5120000}"/>
    <cellStyle name="Финансовый 4 2 5 2" xfId="197" xr:uid="{00000000-0005-0000-0000-0000B6120000}"/>
    <cellStyle name="Финансовый 4 2 5 2 2" xfId="1295" xr:uid="{00000000-0005-0000-0000-0000B7120000}"/>
    <cellStyle name="Финансовый 4 2 5 2 2 2" xfId="2261" xr:uid="{00000000-0005-0000-0000-0000B8120000}"/>
    <cellStyle name="Финансовый 4 2 5 2 2 2 2" xfId="3906" xr:uid="{00000000-0005-0000-0000-0000B9120000}"/>
    <cellStyle name="Финансовый 4 2 5 2 2 2 3" xfId="5689" xr:uid="{00000000-0005-0000-0000-0000BA120000}"/>
    <cellStyle name="Финансовый 4 2 5 2 2 3" xfId="3079" xr:uid="{00000000-0005-0000-0000-0000BB120000}"/>
    <cellStyle name="Финансовый 4 2 5 2 2 4" xfId="4723" xr:uid="{00000000-0005-0000-0000-0000BC120000}"/>
    <cellStyle name="Финансовый 4 2 5 2 3" xfId="2005" xr:uid="{00000000-0005-0000-0000-0000BD120000}"/>
    <cellStyle name="Финансовый 4 2 5 2 3 2" xfId="3650" xr:uid="{00000000-0005-0000-0000-0000BE120000}"/>
    <cellStyle name="Финансовый 4 2 5 2 3 3" xfId="5433" xr:uid="{00000000-0005-0000-0000-0000BF120000}"/>
    <cellStyle name="Финансовый 4 2 5 2 4" xfId="2526" xr:uid="{00000000-0005-0000-0000-0000C0120000}"/>
    <cellStyle name="Финансовый 4 2 5 2 4 2" xfId="4171" xr:uid="{00000000-0005-0000-0000-0000C1120000}"/>
    <cellStyle name="Финансовый 4 2 5 2 4 3" xfId="5954" xr:uid="{00000000-0005-0000-0000-0000C2120000}"/>
    <cellStyle name="Финансовый 4 2 5 2 5" xfId="1030" xr:uid="{00000000-0005-0000-0000-0000C3120000}"/>
    <cellStyle name="Финансовый 4 2 5 2 6" xfId="618" xr:uid="{00000000-0005-0000-0000-0000C4120000}"/>
    <cellStyle name="Финансовый 4 2 5 2 7" xfId="2807" xr:uid="{00000000-0005-0000-0000-0000C5120000}"/>
    <cellStyle name="Финансовый 4 2 5 2 8" xfId="4451" xr:uid="{00000000-0005-0000-0000-0000C6120000}"/>
    <cellStyle name="Финансовый 4 2 5 3" xfId="346" xr:uid="{00000000-0005-0000-0000-0000C7120000}"/>
    <cellStyle name="Финансовый 4 2 5 3 2" xfId="2133" xr:uid="{00000000-0005-0000-0000-0000C8120000}"/>
    <cellStyle name="Финансовый 4 2 5 3 2 2" xfId="3778" xr:uid="{00000000-0005-0000-0000-0000C9120000}"/>
    <cellStyle name="Финансовый 4 2 5 3 2 3" xfId="5561" xr:uid="{00000000-0005-0000-0000-0000CA120000}"/>
    <cellStyle name="Финансовый 4 2 5 3 3" xfId="1166" xr:uid="{00000000-0005-0000-0000-0000CB120000}"/>
    <cellStyle name="Финансовый 4 2 5 3 4" xfId="766" xr:uid="{00000000-0005-0000-0000-0000CC120000}"/>
    <cellStyle name="Финансовый 4 2 5 3 5" xfId="2943" xr:uid="{00000000-0005-0000-0000-0000CD120000}"/>
    <cellStyle name="Финансовый 4 2 5 3 6" xfId="4587" xr:uid="{00000000-0005-0000-0000-0000CE120000}"/>
    <cellStyle name="Финансовый 4 2 5 4" xfId="1538" xr:uid="{00000000-0005-0000-0000-0000CF120000}"/>
    <cellStyle name="Финансовый 4 2 5 4 2" xfId="1869" xr:uid="{00000000-0005-0000-0000-0000D0120000}"/>
    <cellStyle name="Финансовый 4 2 5 4 2 2" xfId="3514" xr:uid="{00000000-0005-0000-0000-0000D1120000}"/>
    <cellStyle name="Финансовый 4 2 5 4 2 3" xfId="5297" xr:uid="{00000000-0005-0000-0000-0000D2120000}"/>
    <cellStyle name="Финансовый 4 2 5 4 3" xfId="4966" xr:uid="{00000000-0005-0000-0000-0000D3120000}"/>
    <cellStyle name="Финансовый 4 2 5 5" xfId="1753" xr:uid="{00000000-0005-0000-0000-0000D4120000}"/>
    <cellStyle name="Финансовый 4 2 5 5 2" xfId="3398" xr:uid="{00000000-0005-0000-0000-0000D5120000}"/>
    <cellStyle name="Финансовый 4 2 5 5 3" xfId="5181" xr:uid="{00000000-0005-0000-0000-0000D6120000}"/>
    <cellStyle name="Финансовый 4 2 5 6" xfId="2389" xr:uid="{00000000-0005-0000-0000-0000D7120000}"/>
    <cellStyle name="Финансовый 4 2 5 6 2" xfId="4034" xr:uid="{00000000-0005-0000-0000-0000D8120000}"/>
    <cellStyle name="Финансовый 4 2 5 6 3" xfId="5817" xr:uid="{00000000-0005-0000-0000-0000D9120000}"/>
    <cellStyle name="Финансовый 4 2 5 7" xfId="1616" xr:uid="{00000000-0005-0000-0000-0000DA120000}"/>
    <cellStyle name="Финансовый 4 2 5 7 2" xfId="3261" xr:uid="{00000000-0005-0000-0000-0000DB120000}"/>
    <cellStyle name="Финансовый 4 2 5 7 3" xfId="5044" xr:uid="{00000000-0005-0000-0000-0000DC120000}"/>
    <cellStyle name="Финансовый 4 2 5 8" xfId="902" xr:uid="{00000000-0005-0000-0000-0000DD120000}"/>
    <cellStyle name="Финансовый 4 2 5 9" xfId="482" xr:uid="{00000000-0005-0000-0000-0000DE120000}"/>
    <cellStyle name="Финансовый 4 2 6" xfId="137" xr:uid="{00000000-0005-0000-0000-0000DF120000}"/>
    <cellStyle name="Финансовый 4 2 6 10" xfId="2747" xr:uid="{00000000-0005-0000-0000-0000E0120000}"/>
    <cellStyle name="Финансовый 4 2 6 11" xfId="4391" xr:uid="{00000000-0005-0000-0000-0000E1120000}"/>
    <cellStyle name="Финансовый 4 2 6 2" xfId="273" xr:uid="{00000000-0005-0000-0000-0000E2120000}"/>
    <cellStyle name="Финансовый 4 2 6 2 2" xfId="1371" xr:uid="{00000000-0005-0000-0000-0000E3120000}"/>
    <cellStyle name="Финансовый 4 2 6 2 2 2" xfId="2329" xr:uid="{00000000-0005-0000-0000-0000E4120000}"/>
    <cellStyle name="Финансовый 4 2 6 2 2 2 2" xfId="3974" xr:uid="{00000000-0005-0000-0000-0000E5120000}"/>
    <cellStyle name="Финансовый 4 2 6 2 2 2 3" xfId="5757" xr:uid="{00000000-0005-0000-0000-0000E6120000}"/>
    <cellStyle name="Финансовый 4 2 6 2 2 3" xfId="3155" xr:uid="{00000000-0005-0000-0000-0000E7120000}"/>
    <cellStyle name="Финансовый 4 2 6 2 2 4" xfId="4799" xr:uid="{00000000-0005-0000-0000-0000E8120000}"/>
    <cellStyle name="Финансовый 4 2 6 2 3" xfId="2073" xr:uid="{00000000-0005-0000-0000-0000E9120000}"/>
    <cellStyle name="Финансовый 4 2 6 2 3 2" xfId="3718" xr:uid="{00000000-0005-0000-0000-0000EA120000}"/>
    <cellStyle name="Финансовый 4 2 6 2 3 3" xfId="5501" xr:uid="{00000000-0005-0000-0000-0000EB120000}"/>
    <cellStyle name="Финансовый 4 2 6 2 4" xfId="2602" xr:uid="{00000000-0005-0000-0000-0000EC120000}"/>
    <cellStyle name="Финансовый 4 2 6 2 4 2" xfId="4247" xr:uid="{00000000-0005-0000-0000-0000ED120000}"/>
    <cellStyle name="Финансовый 4 2 6 2 4 3" xfId="6030" xr:uid="{00000000-0005-0000-0000-0000EE120000}"/>
    <cellStyle name="Финансовый 4 2 6 2 5" xfId="1106" xr:uid="{00000000-0005-0000-0000-0000EF120000}"/>
    <cellStyle name="Финансовый 4 2 6 2 6" xfId="694" xr:uid="{00000000-0005-0000-0000-0000F0120000}"/>
    <cellStyle name="Финансовый 4 2 6 2 7" xfId="2883" xr:uid="{00000000-0005-0000-0000-0000F1120000}"/>
    <cellStyle name="Финансовый 4 2 6 2 8" xfId="4527" xr:uid="{00000000-0005-0000-0000-0000F2120000}"/>
    <cellStyle name="Финансовый 4 2 6 3" xfId="422" xr:uid="{00000000-0005-0000-0000-0000F3120000}"/>
    <cellStyle name="Финансовый 4 2 6 3 2" xfId="2201" xr:uid="{00000000-0005-0000-0000-0000F4120000}"/>
    <cellStyle name="Финансовый 4 2 6 3 2 2" xfId="3846" xr:uid="{00000000-0005-0000-0000-0000F5120000}"/>
    <cellStyle name="Финансовый 4 2 6 3 2 3" xfId="5629" xr:uid="{00000000-0005-0000-0000-0000F6120000}"/>
    <cellStyle name="Финансовый 4 2 6 3 3" xfId="1235" xr:uid="{00000000-0005-0000-0000-0000F7120000}"/>
    <cellStyle name="Финансовый 4 2 6 3 4" xfId="842" xr:uid="{00000000-0005-0000-0000-0000F8120000}"/>
    <cellStyle name="Финансовый 4 2 6 3 5" xfId="3019" xr:uid="{00000000-0005-0000-0000-0000F9120000}"/>
    <cellStyle name="Финансовый 4 2 6 3 6" xfId="4663" xr:uid="{00000000-0005-0000-0000-0000FA120000}"/>
    <cellStyle name="Финансовый 4 2 6 4" xfId="1453" xr:uid="{00000000-0005-0000-0000-0000FB120000}"/>
    <cellStyle name="Финансовый 4 2 6 4 2" xfId="1945" xr:uid="{00000000-0005-0000-0000-0000FC120000}"/>
    <cellStyle name="Финансовый 4 2 6 4 2 2" xfId="3590" xr:uid="{00000000-0005-0000-0000-0000FD120000}"/>
    <cellStyle name="Финансовый 4 2 6 4 2 3" xfId="5373" xr:uid="{00000000-0005-0000-0000-0000FE120000}"/>
    <cellStyle name="Финансовый 4 2 6 4 3" xfId="4881" xr:uid="{00000000-0005-0000-0000-0000FF120000}"/>
    <cellStyle name="Финансовый 4 2 6 5" xfId="1821" xr:uid="{00000000-0005-0000-0000-000000130000}"/>
    <cellStyle name="Финансовый 4 2 6 5 2" xfId="3466" xr:uid="{00000000-0005-0000-0000-000001130000}"/>
    <cellStyle name="Финансовый 4 2 6 5 3" xfId="5249" xr:uid="{00000000-0005-0000-0000-000002130000}"/>
    <cellStyle name="Финансовый 4 2 6 6" xfId="2466" xr:uid="{00000000-0005-0000-0000-000003130000}"/>
    <cellStyle name="Финансовый 4 2 6 6 2" xfId="4111" xr:uid="{00000000-0005-0000-0000-000004130000}"/>
    <cellStyle name="Финансовый 4 2 6 6 3" xfId="5894" xr:uid="{00000000-0005-0000-0000-000005130000}"/>
    <cellStyle name="Финансовый 4 2 6 7" xfId="1693" xr:uid="{00000000-0005-0000-0000-000006130000}"/>
    <cellStyle name="Финансовый 4 2 6 7 2" xfId="3338" xr:uid="{00000000-0005-0000-0000-000007130000}"/>
    <cellStyle name="Финансовый 4 2 6 7 3" xfId="5121" xr:uid="{00000000-0005-0000-0000-000008130000}"/>
    <cellStyle name="Финансовый 4 2 6 8" xfId="970" xr:uid="{00000000-0005-0000-0000-000009130000}"/>
    <cellStyle name="Финансовый 4 2 6 9" xfId="558" xr:uid="{00000000-0005-0000-0000-00000A130000}"/>
    <cellStyle name="Финансовый 4 2 7" xfId="35" xr:uid="{00000000-0005-0000-0000-00000B130000}"/>
    <cellStyle name="Финансовый 4 2 7 10" xfId="2647" xr:uid="{00000000-0005-0000-0000-00000C130000}"/>
    <cellStyle name="Финансовый 4 2 7 11" xfId="4290" xr:uid="{00000000-0005-0000-0000-00000D130000}"/>
    <cellStyle name="Финансовый 4 2 7 2" xfId="173" xr:uid="{00000000-0005-0000-0000-00000E130000}"/>
    <cellStyle name="Финансовый 4 2 7 2 2" xfId="1271" xr:uid="{00000000-0005-0000-0000-00000F130000}"/>
    <cellStyle name="Финансовый 4 2 7 2 2 2" xfId="2237" xr:uid="{00000000-0005-0000-0000-000010130000}"/>
    <cellStyle name="Финансовый 4 2 7 2 2 2 2" xfId="3882" xr:uid="{00000000-0005-0000-0000-000011130000}"/>
    <cellStyle name="Финансовый 4 2 7 2 2 2 3" xfId="5665" xr:uid="{00000000-0005-0000-0000-000012130000}"/>
    <cellStyle name="Финансовый 4 2 7 2 2 3" xfId="3055" xr:uid="{00000000-0005-0000-0000-000013130000}"/>
    <cellStyle name="Финансовый 4 2 7 2 2 4" xfId="4699" xr:uid="{00000000-0005-0000-0000-000014130000}"/>
    <cellStyle name="Финансовый 4 2 7 2 3" xfId="1981" xr:uid="{00000000-0005-0000-0000-000015130000}"/>
    <cellStyle name="Финансовый 4 2 7 2 3 2" xfId="3626" xr:uid="{00000000-0005-0000-0000-000016130000}"/>
    <cellStyle name="Финансовый 4 2 7 2 3 3" xfId="5409" xr:uid="{00000000-0005-0000-0000-000017130000}"/>
    <cellStyle name="Финансовый 4 2 7 2 4" xfId="2502" xr:uid="{00000000-0005-0000-0000-000018130000}"/>
    <cellStyle name="Финансовый 4 2 7 2 4 2" xfId="4147" xr:uid="{00000000-0005-0000-0000-000019130000}"/>
    <cellStyle name="Финансовый 4 2 7 2 4 3" xfId="5930" xr:uid="{00000000-0005-0000-0000-00001A130000}"/>
    <cellStyle name="Финансовый 4 2 7 2 5" xfId="1006" xr:uid="{00000000-0005-0000-0000-00001B130000}"/>
    <cellStyle name="Финансовый 4 2 7 2 6" xfId="594" xr:uid="{00000000-0005-0000-0000-00001C130000}"/>
    <cellStyle name="Финансовый 4 2 7 2 7" xfId="2783" xr:uid="{00000000-0005-0000-0000-00001D130000}"/>
    <cellStyle name="Финансовый 4 2 7 2 8" xfId="4427" xr:uid="{00000000-0005-0000-0000-00001E130000}"/>
    <cellStyle name="Финансовый 4 2 7 3" xfId="322" xr:uid="{00000000-0005-0000-0000-00001F130000}"/>
    <cellStyle name="Финансовый 4 2 7 3 2" xfId="2109" xr:uid="{00000000-0005-0000-0000-000020130000}"/>
    <cellStyle name="Финансовый 4 2 7 3 2 2" xfId="3754" xr:uid="{00000000-0005-0000-0000-000021130000}"/>
    <cellStyle name="Финансовый 4 2 7 3 2 3" xfId="5537" xr:uid="{00000000-0005-0000-0000-000022130000}"/>
    <cellStyle name="Финансовый 4 2 7 3 3" xfId="1142" xr:uid="{00000000-0005-0000-0000-000023130000}"/>
    <cellStyle name="Финансовый 4 2 7 3 4" xfId="742" xr:uid="{00000000-0005-0000-0000-000024130000}"/>
    <cellStyle name="Финансовый 4 2 7 3 5" xfId="2919" xr:uid="{00000000-0005-0000-0000-000025130000}"/>
    <cellStyle name="Финансовый 4 2 7 3 6" xfId="4563" xr:uid="{00000000-0005-0000-0000-000026130000}"/>
    <cellStyle name="Финансовый 4 2 7 4" xfId="1476" xr:uid="{00000000-0005-0000-0000-000027130000}"/>
    <cellStyle name="Финансовый 4 2 7 4 2" xfId="1845" xr:uid="{00000000-0005-0000-0000-000028130000}"/>
    <cellStyle name="Финансовый 4 2 7 4 2 2" xfId="3490" xr:uid="{00000000-0005-0000-0000-000029130000}"/>
    <cellStyle name="Финансовый 4 2 7 4 2 3" xfId="5273" xr:uid="{00000000-0005-0000-0000-00002A130000}"/>
    <cellStyle name="Финансовый 4 2 7 4 3" xfId="4904" xr:uid="{00000000-0005-0000-0000-00002B130000}"/>
    <cellStyle name="Финансовый 4 2 7 5" xfId="1729" xr:uid="{00000000-0005-0000-0000-00002C130000}"/>
    <cellStyle name="Финансовый 4 2 7 5 2" xfId="3374" xr:uid="{00000000-0005-0000-0000-00002D130000}"/>
    <cellStyle name="Финансовый 4 2 7 5 3" xfId="5157" xr:uid="{00000000-0005-0000-0000-00002E130000}"/>
    <cellStyle name="Финансовый 4 2 7 6" xfId="2365" xr:uid="{00000000-0005-0000-0000-00002F130000}"/>
    <cellStyle name="Финансовый 4 2 7 6 2" xfId="4010" xr:uid="{00000000-0005-0000-0000-000030130000}"/>
    <cellStyle name="Финансовый 4 2 7 6 3" xfId="5793" xr:uid="{00000000-0005-0000-0000-000031130000}"/>
    <cellStyle name="Финансовый 4 2 7 7" xfId="1592" xr:uid="{00000000-0005-0000-0000-000032130000}"/>
    <cellStyle name="Финансовый 4 2 7 7 2" xfId="3237" xr:uid="{00000000-0005-0000-0000-000033130000}"/>
    <cellStyle name="Финансовый 4 2 7 7 3" xfId="5020" xr:uid="{00000000-0005-0000-0000-000034130000}"/>
    <cellStyle name="Финансовый 4 2 7 8" xfId="878" xr:uid="{00000000-0005-0000-0000-000035130000}"/>
    <cellStyle name="Финансовый 4 2 7 9" xfId="458" xr:uid="{00000000-0005-0000-0000-000036130000}"/>
    <cellStyle name="Финансовый 4 2 8" xfId="23" xr:uid="{00000000-0005-0000-0000-000037130000}"/>
    <cellStyle name="Финансовый 4 2 8 10" xfId="2635" xr:uid="{00000000-0005-0000-0000-000038130000}"/>
    <cellStyle name="Финансовый 4 2 8 11" xfId="4278" xr:uid="{00000000-0005-0000-0000-000039130000}"/>
    <cellStyle name="Финансовый 4 2 8 2" xfId="161" xr:uid="{00000000-0005-0000-0000-00003A130000}"/>
    <cellStyle name="Финансовый 4 2 8 2 2" xfId="1259" xr:uid="{00000000-0005-0000-0000-00003B130000}"/>
    <cellStyle name="Финансовый 4 2 8 2 2 2" xfId="2225" xr:uid="{00000000-0005-0000-0000-00003C130000}"/>
    <cellStyle name="Финансовый 4 2 8 2 2 2 2" xfId="3870" xr:uid="{00000000-0005-0000-0000-00003D130000}"/>
    <cellStyle name="Финансовый 4 2 8 2 2 2 3" xfId="5653" xr:uid="{00000000-0005-0000-0000-00003E130000}"/>
    <cellStyle name="Финансовый 4 2 8 2 2 3" xfId="3043" xr:uid="{00000000-0005-0000-0000-00003F130000}"/>
    <cellStyle name="Финансовый 4 2 8 2 2 4" xfId="4687" xr:uid="{00000000-0005-0000-0000-000040130000}"/>
    <cellStyle name="Финансовый 4 2 8 2 3" xfId="1969" xr:uid="{00000000-0005-0000-0000-000041130000}"/>
    <cellStyle name="Финансовый 4 2 8 2 3 2" xfId="3614" xr:uid="{00000000-0005-0000-0000-000042130000}"/>
    <cellStyle name="Финансовый 4 2 8 2 3 3" xfId="5397" xr:uid="{00000000-0005-0000-0000-000043130000}"/>
    <cellStyle name="Финансовый 4 2 8 2 4" xfId="2490" xr:uid="{00000000-0005-0000-0000-000044130000}"/>
    <cellStyle name="Финансовый 4 2 8 2 4 2" xfId="4135" xr:uid="{00000000-0005-0000-0000-000045130000}"/>
    <cellStyle name="Финансовый 4 2 8 2 4 3" xfId="5918" xr:uid="{00000000-0005-0000-0000-000046130000}"/>
    <cellStyle name="Финансовый 4 2 8 2 5" xfId="994" xr:uid="{00000000-0005-0000-0000-000047130000}"/>
    <cellStyle name="Финансовый 4 2 8 2 6" xfId="582" xr:uid="{00000000-0005-0000-0000-000048130000}"/>
    <cellStyle name="Финансовый 4 2 8 2 7" xfId="2771" xr:uid="{00000000-0005-0000-0000-000049130000}"/>
    <cellStyle name="Финансовый 4 2 8 2 8" xfId="4415" xr:uid="{00000000-0005-0000-0000-00004A130000}"/>
    <cellStyle name="Финансовый 4 2 8 3" xfId="310" xr:uid="{00000000-0005-0000-0000-00004B130000}"/>
    <cellStyle name="Финансовый 4 2 8 3 2" xfId="2097" xr:uid="{00000000-0005-0000-0000-00004C130000}"/>
    <cellStyle name="Финансовый 4 2 8 3 2 2" xfId="3742" xr:uid="{00000000-0005-0000-0000-00004D130000}"/>
    <cellStyle name="Финансовый 4 2 8 3 2 3" xfId="5525" xr:uid="{00000000-0005-0000-0000-00004E130000}"/>
    <cellStyle name="Финансовый 4 2 8 3 3" xfId="1130" xr:uid="{00000000-0005-0000-0000-00004F130000}"/>
    <cellStyle name="Финансовый 4 2 8 3 4" xfId="730" xr:uid="{00000000-0005-0000-0000-000050130000}"/>
    <cellStyle name="Финансовый 4 2 8 3 5" xfId="2907" xr:uid="{00000000-0005-0000-0000-000051130000}"/>
    <cellStyle name="Финансовый 4 2 8 3 6" xfId="4551" xr:uid="{00000000-0005-0000-0000-000052130000}"/>
    <cellStyle name="Финансовый 4 2 8 4" xfId="1496" xr:uid="{00000000-0005-0000-0000-000053130000}"/>
    <cellStyle name="Финансовый 4 2 8 4 2" xfId="1833" xr:uid="{00000000-0005-0000-0000-000054130000}"/>
    <cellStyle name="Финансовый 4 2 8 4 2 2" xfId="3478" xr:uid="{00000000-0005-0000-0000-000055130000}"/>
    <cellStyle name="Финансовый 4 2 8 4 2 3" xfId="5261" xr:uid="{00000000-0005-0000-0000-000056130000}"/>
    <cellStyle name="Финансовый 4 2 8 4 3" xfId="4924" xr:uid="{00000000-0005-0000-0000-000057130000}"/>
    <cellStyle name="Финансовый 4 2 8 5" xfId="1717" xr:uid="{00000000-0005-0000-0000-000058130000}"/>
    <cellStyle name="Финансовый 4 2 8 5 2" xfId="3362" xr:uid="{00000000-0005-0000-0000-000059130000}"/>
    <cellStyle name="Финансовый 4 2 8 5 3" xfId="5145" xr:uid="{00000000-0005-0000-0000-00005A130000}"/>
    <cellStyle name="Финансовый 4 2 8 6" xfId="2353" xr:uid="{00000000-0005-0000-0000-00005B130000}"/>
    <cellStyle name="Финансовый 4 2 8 6 2" xfId="3998" xr:uid="{00000000-0005-0000-0000-00005C130000}"/>
    <cellStyle name="Финансовый 4 2 8 6 3" xfId="5781" xr:uid="{00000000-0005-0000-0000-00005D130000}"/>
    <cellStyle name="Финансовый 4 2 8 7" xfId="1580" xr:uid="{00000000-0005-0000-0000-00005E130000}"/>
    <cellStyle name="Финансовый 4 2 8 7 2" xfId="3225" xr:uid="{00000000-0005-0000-0000-00005F130000}"/>
    <cellStyle name="Финансовый 4 2 8 7 3" xfId="5008" xr:uid="{00000000-0005-0000-0000-000060130000}"/>
    <cellStyle name="Финансовый 4 2 8 8" xfId="866" xr:uid="{00000000-0005-0000-0000-000061130000}"/>
    <cellStyle name="Финансовый 4 2 8 9" xfId="446" xr:uid="{00000000-0005-0000-0000-000062130000}"/>
    <cellStyle name="Финансовый 4 2 9" xfId="149" xr:uid="{00000000-0005-0000-0000-000063130000}"/>
    <cellStyle name="Финансовый 4 2 9 2" xfId="1247" xr:uid="{00000000-0005-0000-0000-000064130000}"/>
    <cellStyle name="Финансовый 4 2 9 2 2" xfId="2213" xr:uid="{00000000-0005-0000-0000-000065130000}"/>
    <cellStyle name="Финансовый 4 2 9 2 2 2" xfId="3858" xr:uid="{00000000-0005-0000-0000-000066130000}"/>
    <cellStyle name="Финансовый 4 2 9 2 2 3" xfId="5641" xr:uid="{00000000-0005-0000-0000-000067130000}"/>
    <cellStyle name="Финансовый 4 2 9 2 3" xfId="3031" xr:uid="{00000000-0005-0000-0000-000068130000}"/>
    <cellStyle name="Финансовый 4 2 9 2 4" xfId="4675" xr:uid="{00000000-0005-0000-0000-000069130000}"/>
    <cellStyle name="Финансовый 4 2 9 3" xfId="1957" xr:uid="{00000000-0005-0000-0000-00006A130000}"/>
    <cellStyle name="Финансовый 4 2 9 3 2" xfId="3602" xr:uid="{00000000-0005-0000-0000-00006B130000}"/>
    <cellStyle name="Финансовый 4 2 9 3 3" xfId="5385" xr:uid="{00000000-0005-0000-0000-00006C130000}"/>
    <cellStyle name="Финансовый 4 2 9 4" xfId="2478" xr:uid="{00000000-0005-0000-0000-00006D130000}"/>
    <cellStyle name="Финансовый 4 2 9 4 2" xfId="4123" xr:uid="{00000000-0005-0000-0000-00006E130000}"/>
    <cellStyle name="Финансовый 4 2 9 4 3" xfId="5906" xr:uid="{00000000-0005-0000-0000-00006F130000}"/>
    <cellStyle name="Финансовый 4 2 9 5" xfId="982" xr:uid="{00000000-0005-0000-0000-000070130000}"/>
    <cellStyle name="Финансовый 4 2 9 6" xfId="570" xr:uid="{00000000-0005-0000-0000-000071130000}"/>
    <cellStyle name="Финансовый 4 2 9 7" xfId="2759" xr:uid="{00000000-0005-0000-0000-000072130000}"/>
    <cellStyle name="Финансовый 4 2 9 8" xfId="4403" xr:uid="{00000000-0005-0000-0000-000073130000}"/>
    <cellStyle name="Финансовый 4 20" xfId="2617" xr:uid="{00000000-0005-0000-0000-000074130000}"/>
    <cellStyle name="Финансовый 4 21" xfId="4260" xr:uid="{00000000-0005-0000-0000-000075130000}"/>
    <cellStyle name="Финансовый 4 3" xfId="41" xr:uid="{00000000-0005-0000-0000-000076130000}"/>
    <cellStyle name="Финансовый 4 3 10" xfId="884" xr:uid="{00000000-0005-0000-0000-000077130000}"/>
    <cellStyle name="Финансовый 4 3 11" xfId="464" xr:uid="{00000000-0005-0000-0000-000078130000}"/>
    <cellStyle name="Финансовый 4 3 12" xfId="2653" xr:uid="{00000000-0005-0000-0000-000079130000}"/>
    <cellStyle name="Финансовый 4 3 13" xfId="4296" xr:uid="{00000000-0005-0000-0000-00007A130000}"/>
    <cellStyle name="Финансовый 4 3 2" xfId="123" xr:uid="{00000000-0005-0000-0000-00007B130000}"/>
    <cellStyle name="Финансовый 4 3 2 10" xfId="2733" xr:uid="{00000000-0005-0000-0000-00007C130000}"/>
    <cellStyle name="Финансовый 4 3 2 11" xfId="4377" xr:uid="{00000000-0005-0000-0000-00007D130000}"/>
    <cellStyle name="Финансовый 4 3 2 2" xfId="259" xr:uid="{00000000-0005-0000-0000-00007E130000}"/>
    <cellStyle name="Финансовый 4 3 2 2 2" xfId="1357" xr:uid="{00000000-0005-0000-0000-00007F130000}"/>
    <cellStyle name="Финансовый 4 3 2 2 2 2" xfId="2315" xr:uid="{00000000-0005-0000-0000-000080130000}"/>
    <cellStyle name="Финансовый 4 3 2 2 2 2 2" xfId="3960" xr:uid="{00000000-0005-0000-0000-000081130000}"/>
    <cellStyle name="Финансовый 4 3 2 2 2 2 3" xfId="5743" xr:uid="{00000000-0005-0000-0000-000082130000}"/>
    <cellStyle name="Финансовый 4 3 2 2 2 3" xfId="3141" xr:uid="{00000000-0005-0000-0000-000083130000}"/>
    <cellStyle name="Финансовый 4 3 2 2 2 4" xfId="4785" xr:uid="{00000000-0005-0000-0000-000084130000}"/>
    <cellStyle name="Финансовый 4 3 2 2 3" xfId="2059" xr:uid="{00000000-0005-0000-0000-000085130000}"/>
    <cellStyle name="Финансовый 4 3 2 2 3 2" xfId="3704" xr:uid="{00000000-0005-0000-0000-000086130000}"/>
    <cellStyle name="Финансовый 4 3 2 2 3 3" xfId="5487" xr:uid="{00000000-0005-0000-0000-000087130000}"/>
    <cellStyle name="Финансовый 4 3 2 2 4" xfId="2588" xr:uid="{00000000-0005-0000-0000-000088130000}"/>
    <cellStyle name="Финансовый 4 3 2 2 4 2" xfId="4233" xr:uid="{00000000-0005-0000-0000-000089130000}"/>
    <cellStyle name="Финансовый 4 3 2 2 4 3" xfId="6016" xr:uid="{00000000-0005-0000-0000-00008A130000}"/>
    <cellStyle name="Финансовый 4 3 2 2 5" xfId="1092" xr:uid="{00000000-0005-0000-0000-00008B130000}"/>
    <cellStyle name="Финансовый 4 3 2 2 6" xfId="680" xr:uid="{00000000-0005-0000-0000-00008C130000}"/>
    <cellStyle name="Финансовый 4 3 2 2 7" xfId="2869" xr:uid="{00000000-0005-0000-0000-00008D130000}"/>
    <cellStyle name="Финансовый 4 3 2 2 8" xfId="4513" xr:uid="{00000000-0005-0000-0000-00008E130000}"/>
    <cellStyle name="Финансовый 4 3 2 3" xfId="408" xr:uid="{00000000-0005-0000-0000-00008F130000}"/>
    <cellStyle name="Финансовый 4 3 2 3 2" xfId="2187" xr:uid="{00000000-0005-0000-0000-000090130000}"/>
    <cellStyle name="Финансовый 4 3 2 3 2 2" xfId="3832" xr:uid="{00000000-0005-0000-0000-000091130000}"/>
    <cellStyle name="Финансовый 4 3 2 3 2 3" xfId="5615" xr:uid="{00000000-0005-0000-0000-000092130000}"/>
    <cellStyle name="Финансовый 4 3 2 3 3" xfId="1221" xr:uid="{00000000-0005-0000-0000-000093130000}"/>
    <cellStyle name="Финансовый 4 3 2 3 4" xfId="828" xr:uid="{00000000-0005-0000-0000-000094130000}"/>
    <cellStyle name="Финансовый 4 3 2 3 5" xfId="3005" xr:uid="{00000000-0005-0000-0000-000095130000}"/>
    <cellStyle name="Финансовый 4 3 2 3 6" xfId="4649" xr:uid="{00000000-0005-0000-0000-000096130000}"/>
    <cellStyle name="Финансовый 4 3 2 4" xfId="1539" xr:uid="{00000000-0005-0000-0000-000097130000}"/>
    <cellStyle name="Финансовый 4 3 2 4 2" xfId="1931" xr:uid="{00000000-0005-0000-0000-000098130000}"/>
    <cellStyle name="Финансовый 4 3 2 4 2 2" xfId="3576" xr:uid="{00000000-0005-0000-0000-000099130000}"/>
    <cellStyle name="Финансовый 4 3 2 4 2 3" xfId="5359" xr:uid="{00000000-0005-0000-0000-00009A130000}"/>
    <cellStyle name="Финансовый 4 3 2 4 3" xfId="4967" xr:uid="{00000000-0005-0000-0000-00009B130000}"/>
    <cellStyle name="Финансовый 4 3 2 5" xfId="1807" xr:uid="{00000000-0005-0000-0000-00009C130000}"/>
    <cellStyle name="Финансовый 4 3 2 5 2" xfId="3452" xr:uid="{00000000-0005-0000-0000-00009D130000}"/>
    <cellStyle name="Финансовый 4 3 2 5 3" xfId="5235" xr:uid="{00000000-0005-0000-0000-00009E130000}"/>
    <cellStyle name="Финансовый 4 3 2 6" xfId="2452" xr:uid="{00000000-0005-0000-0000-00009F130000}"/>
    <cellStyle name="Финансовый 4 3 2 6 2" xfId="4097" xr:uid="{00000000-0005-0000-0000-0000A0130000}"/>
    <cellStyle name="Финансовый 4 3 2 6 3" xfId="5880" xr:uid="{00000000-0005-0000-0000-0000A1130000}"/>
    <cellStyle name="Финансовый 4 3 2 7" xfId="1679" xr:uid="{00000000-0005-0000-0000-0000A2130000}"/>
    <cellStyle name="Финансовый 4 3 2 7 2" xfId="3324" xr:uid="{00000000-0005-0000-0000-0000A3130000}"/>
    <cellStyle name="Финансовый 4 3 2 7 3" xfId="5107" xr:uid="{00000000-0005-0000-0000-0000A4130000}"/>
    <cellStyle name="Финансовый 4 3 2 8" xfId="956" xr:uid="{00000000-0005-0000-0000-0000A5130000}"/>
    <cellStyle name="Финансовый 4 3 2 9" xfId="544" xr:uid="{00000000-0005-0000-0000-0000A6130000}"/>
    <cellStyle name="Финансовый 4 3 3" xfId="87" xr:uid="{00000000-0005-0000-0000-0000A7130000}"/>
    <cellStyle name="Финансовый 4 3 3 10" xfId="2697" xr:uid="{00000000-0005-0000-0000-0000A8130000}"/>
    <cellStyle name="Финансовый 4 3 3 11" xfId="4341" xr:uid="{00000000-0005-0000-0000-0000A9130000}"/>
    <cellStyle name="Финансовый 4 3 3 2" xfId="223" xr:uid="{00000000-0005-0000-0000-0000AA130000}"/>
    <cellStyle name="Финансовый 4 3 3 2 2" xfId="1321" xr:uid="{00000000-0005-0000-0000-0000AB130000}"/>
    <cellStyle name="Финансовый 4 3 3 2 2 2" xfId="2279" xr:uid="{00000000-0005-0000-0000-0000AC130000}"/>
    <cellStyle name="Финансовый 4 3 3 2 2 2 2" xfId="3924" xr:uid="{00000000-0005-0000-0000-0000AD130000}"/>
    <cellStyle name="Финансовый 4 3 3 2 2 2 3" xfId="5707" xr:uid="{00000000-0005-0000-0000-0000AE130000}"/>
    <cellStyle name="Финансовый 4 3 3 2 2 3" xfId="3105" xr:uid="{00000000-0005-0000-0000-0000AF130000}"/>
    <cellStyle name="Финансовый 4 3 3 2 2 4" xfId="4749" xr:uid="{00000000-0005-0000-0000-0000B0130000}"/>
    <cellStyle name="Финансовый 4 3 3 2 3" xfId="2023" xr:uid="{00000000-0005-0000-0000-0000B1130000}"/>
    <cellStyle name="Финансовый 4 3 3 2 3 2" xfId="3668" xr:uid="{00000000-0005-0000-0000-0000B2130000}"/>
    <cellStyle name="Финансовый 4 3 3 2 3 3" xfId="5451" xr:uid="{00000000-0005-0000-0000-0000B3130000}"/>
    <cellStyle name="Финансовый 4 3 3 2 4" xfId="2552" xr:uid="{00000000-0005-0000-0000-0000B4130000}"/>
    <cellStyle name="Финансовый 4 3 3 2 4 2" xfId="4197" xr:uid="{00000000-0005-0000-0000-0000B5130000}"/>
    <cellStyle name="Финансовый 4 3 3 2 4 3" xfId="5980" xr:uid="{00000000-0005-0000-0000-0000B6130000}"/>
    <cellStyle name="Финансовый 4 3 3 2 5" xfId="1056" xr:uid="{00000000-0005-0000-0000-0000B7130000}"/>
    <cellStyle name="Финансовый 4 3 3 2 6" xfId="644" xr:uid="{00000000-0005-0000-0000-0000B8130000}"/>
    <cellStyle name="Финансовый 4 3 3 2 7" xfId="2833" xr:uid="{00000000-0005-0000-0000-0000B9130000}"/>
    <cellStyle name="Финансовый 4 3 3 2 8" xfId="4477" xr:uid="{00000000-0005-0000-0000-0000BA130000}"/>
    <cellStyle name="Финансовый 4 3 3 3" xfId="372" xr:uid="{00000000-0005-0000-0000-0000BB130000}"/>
    <cellStyle name="Финансовый 4 3 3 3 2" xfId="2151" xr:uid="{00000000-0005-0000-0000-0000BC130000}"/>
    <cellStyle name="Финансовый 4 3 3 3 2 2" xfId="3796" xr:uid="{00000000-0005-0000-0000-0000BD130000}"/>
    <cellStyle name="Финансовый 4 3 3 3 2 3" xfId="5579" xr:uid="{00000000-0005-0000-0000-0000BE130000}"/>
    <cellStyle name="Финансовый 4 3 3 3 3" xfId="1185" xr:uid="{00000000-0005-0000-0000-0000BF130000}"/>
    <cellStyle name="Финансовый 4 3 3 3 4" xfId="792" xr:uid="{00000000-0005-0000-0000-0000C0130000}"/>
    <cellStyle name="Финансовый 4 3 3 3 5" xfId="2969" xr:uid="{00000000-0005-0000-0000-0000C1130000}"/>
    <cellStyle name="Финансовый 4 3 3 3 6" xfId="4613" xr:uid="{00000000-0005-0000-0000-0000C2130000}"/>
    <cellStyle name="Финансовый 4 3 3 4" xfId="1540" xr:uid="{00000000-0005-0000-0000-0000C3130000}"/>
    <cellStyle name="Финансовый 4 3 3 4 2" xfId="1895" xr:uid="{00000000-0005-0000-0000-0000C4130000}"/>
    <cellStyle name="Финансовый 4 3 3 4 2 2" xfId="3540" xr:uid="{00000000-0005-0000-0000-0000C5130000}"/>
    <cellStyle name="Финансовый 4 3 3 4 2 3" xfId="5323" xr:uid="{00000000-0005-0000-0000-0000C6130000}"/>
    <cellStyle name="Финансовый 4 3 3 4 3" xfId="4968" xr:uid="{00000000-0005-0000-0000-0000C7130000}"/>
    <cellStyle name="Финансовый 4 3 3 5" xfId="1771" xr:uid="{00000000-0005-0000-0000-0000C8130000}"/>
    <cellStyle name="Финансовый 4 3 3 5 2" xfId="3416" xr:uid="{00000000-0005-0000-0000-0000C9130000}"/>
    <cellStyle name="Финансовый 4 3 3 5 3" xfId="5199" xr:uid="{00000000-0005-0000-0000-0000CA130000}"/>
    <cellStyle name="Финансовый 4 3 3 6" xfId="2416" xr:uid="{00000000-0005-0000-0000-0000CB130000}"/>
    <cellStyle name="Финансовый 4 3 3 6 2" xfId="4061" xr:uid="{00000000-0005-0000-0000-0000CC130000}"/>
    <cellStyle name="Финансовый 4 3 3 6 3" xfId="5844" xr:uid="{00000000-0005-0000-0000-0000CD130000}"/>
    <cellStyle name="Финансовый 4 3 3 7" xfId="1643" xr:uid="{00000000-0005-0000-0000-0000CE130000}"/>
    <cellStyle name="Финансовый 4 3 3 7 2" xfId="3288" xr:uid="{00000000-0005-0000-0000-0000CF130000}"/>
    <cellStyle name="Финансовый 4 3 3 7 3" xfId="5071" xr:uid="{00000000-0005-0000-0000-0000D0130000}"/>
    <cellStyle name="Финансовый 4 3 3 8" xfId="920" xr:uid="{00000000-0005-0000-0000-0000D1130000}"/>
    <cellStyle name="Финансовый 4 3 3 9" xfId="508" xr:uid="{00000000-0005-0000-0000-0000D2130000}"/>
    <cellStyle name="Финансовый 4 3 4" xfId="179" xr:uid="{00000000-0005-0000-0000-0000D3130000}"/>
    <cellStyle name="Финансовый 4 3 4 2" xfId="1277" xr:uid="{00000000-0005-0000-0000-0000D4130000}"/>
    <cellStyle name="Финансовый 4 3 4 2 2" xfId="2243" xr:uid="{00000000-0005-0000-0000-0000D5130000}"/>
    <cellStyle name="Финансовый 4 3 4 2 2 2" xfId="3888" xr:uid="{00000000-0005-0000-0000-0000D6130000}"/>
    <cellStyle name="Финансовый 4 3 4 2 2 3" xfId="5671" xr:uid="{00000000-0005-0000-0000-0000D7130000}"/>
    <cellStyle name="Финансовый 4 3 4 2 3" xfId="3061" xr:uid="{00000000-0005-0000-0000-0000D8130000}"/>
    <cellStyle name="Финансовый 4 3 4 2 4" xfId="4705" xr:uid="{00000000-0005-0000-0000-0000D9130000}"/>
    <cellStyle name="Финансовый 4 3 4 3" xfId="1987" xr:uid="{00000000-0005-0000-0000-0000DA130000}"/>
    <cellStyle name="Финансовый 4 3 4 3 2" xfId="3632" xr:uid="{00000000-0005-0000-0000-0000DB130000}"/>
    <cellStyle name="Финансовый 4 3 4 3 3" xfId="5415" xr:uid="{00000000-0005-0000-0000-0000DC130000}"/>
    <cellStyle name="Финансовый 4 3 4 4" xfId="2508" xr:uid="{00000000-0005-0000-0000-0000DD130000}"/>
    <cellStyle name="Финансовый 4 3 4 4 2" xfId="4153" xr:uid="{00000000-0005-0000-0000-0000DE130000}"/>
    <cellStyle name="Финансовый 4 3 4 4 3" xfId="5936" xr:uid="{00000000-0005-0000-0000-0000DF130000}"/>
    <cellStyle name="Финансовый 4 3 4 5" xfId="1012" xr:uid="{00000000-0005-0000-0000-0000E0130000}"/>
    <cellStyle name="Финансовый 4 3 4 6" xfId="600" xr:uid="{00000000-0005-0000-0000-0000E1130000}"/>
    <cellStyle name="Финансовый 4 3 4 7" xfId="2789" xr:uid="{00000000-0005-0000-0000-0000E2130000}"/>
    <cellStyle name="Финансовый 4 3 4 8" xfId="4433" xr:uid="{00000000-0005-0000-0000-0000E3130000}"/>
    <cellStyle name="Финансовый 4 3 5" xfId="328" xr:uid="{00000000-0005-0000-0000-0000E4130000}"/>
    <cellStyle name="Финансовый 4 3 5 2" xfId="2115" xr:uid="{00000000-0005-0000-0000-0000E5130000}"/>
    <cellStyle name="Финансовый 4 3 5 2 2" xfId="3760" xr:uid="{00000000-0005-0000-0000-0000E6130000}"/>
    <cellStyle name="Финансовый 4 3 5 2 3" xfId="5543" xr:uid="{00000000-0005-0000-0000-0000E7130000}"/>
    <cellStyle name="Финансовый 4 3 5 3" xfId="1148" xr:uid="{00000000-0005-0000-0000-0000E8130000}"/>
    <cellStyle name="Финансовый 4 3 5 4" xfId="748" xr:uid="{00000000-0005-0000-0000-0000E9130000}"/>
    <cellStyle name="Финансовый 4 3 5 5" xfId="2925" xr:uid="{00000000-0005-0000-0000-0000EA130000}"/>
    <cellStyle name="Финансовый 4 3 5 6" xfId="4569" xr:uid="{00000000-0005-0000-0000-0000EB130000}"/>
    <cellStyle name="Финансовый 4 3 6" xfId="1432" xr:uid="{00000000-0005-0000-0000-0000EC130000}"/>
    <cellStyle name="Финансовый 4 3 6 2" xfId="1851" xr:uid="{00000000-0005-0000-0000-0000ED130000}"/>
    <cellStyle name="Финансовый 4 3 6 2 2" xfId="3496" xr:uid="{00000000-0005-0000-0000-0000EE130000}"/>
    <cellStyle name="Финансовый 4 3 6 2 3" xfId="5279" xr:uid="{00000000-0005-0000-0000-0000EF130000}"/>
    <cellStyle name="Финансовый 4 3 6 3" xfId="4860" xr:uid="{00000000-0005-0000-0000-0000F0130000}"/>
    <cellStyle name="Финансовый 4 3 7" xfId="1735" xr:uid="{00000000-0005-0000-0000-0000F1130000}"/>
    <cellStyle name="Финансовый 4 3 7 2" xfId="3380" xr:uid="{00000000-0005-0000-0000-0000F2130000}"/>
    <cellStyle name="Финансовый 4 3 7 3" xfId="5163" xr:uid="{00000000-0005-0000-0000-0000F3130000}"/>
    <cellStyle name="Финансовый 4 3 8" xfId="2371" xr:uid="{00000000-0005-0000-0000-0000F4130000}"/>
    <cellStyle name="Финансовый 4 3 8 2" xfId="4016" xr:uid="{00000000-0005-0000-0000-0000F5130000}"/>
    <cellStyle name="Финансовый 4 3 8 3" xfId="5799" xr:uid="{00000000-0005-0000-0000-0000F6130000}"/>
    <cellStyle name="Финансовый 4 3 9" xfId="1598" xr:uid="{00000000-0005-0000-0000-0000F7130000}"/>
    <cellStyle name="Финансовый 4 3 9 2" xfId="3243" xr:uid="{00000000-0005-0000-0000-0000F8130000}"/>
    <cellStyle name="Финансовый 4 3 9 3" xfId="5026" xr:uid="{00000000-0005-0000-0000-0000F9130000}"/>
    <cellStyle name="Финансовый 4 4" xfId="93" xr:uid="{00000000-0005-0000-0000-0000FA130000}"/>
    <cellStyle name="Финансовый 4 4 10" xfId="2703" xr:uid="{00000000-0005-0000-0000-0000FB130000}"/>
    <cellStyle name="Финансовый 4 4 11" xfId="4347" xr:uid="{00000000-0005-0000-0000-0000FC130000}"/>
    <cellStyle name="Финансовый 4 4 2" xfId="229" xr:uid="{00000000-0005-0000-0000-0000FD130000}"/>
    <cellStyle name="Финансовый 4 4 2 2" xfId="1327" xr:uid="{00000000-0005-0000-0000-0000FE130000}"/>
    <cellStyle name="Финансовый 4 4 2 2 2" xfId="2285" xr:uid="{00000000-0005-0000-0000-0000FF130000}"/>
    <cellStyle name="Финансовый 4 4 2 2 2 2" xfId="3930" xr:uid="{00000000-0005-0000-0000-000000140000}"/>
    <cellStyle name="Финансовый 4 4 2 2 2 3" xfId="5713" xr:uid="{00000000-0005-0000-0000-000001140000}"/>
    <cellStyle name="Финансовый 4 4 2 2 3" xfId="3111" xr:uid="{00000000-0005-0000-0000-000002140000}"/>
    <cellStyle name="Финансовый 4 4 2 2 4" xfId="4755" xr:uid="{00000000-0005-0000-0000-000003140000}"/>
    <cellStyle name="Финансовый 4 4 2 3" xfId="2029" xr:uid="{00000000-0005-0000-0000-000004140000}"/>
    <cellStyle name="Финансовый 4 4 2 3 2" xfId="3674" xr:uid="{00000000-0005-0000-0000-000005140000}"/>
    <cellStyle name="Финансовый 4 4 2 3 3" xfId="5457" xr:uid="{00000000-0005-0000-0000-000006140000}"/>
    <cellStyle name="Финансовый 4 4 2 4" xfId="2558" xr:uid="{00000000-0005-0000-0000-000007140000}"/>
    <cellStyle name="Финансовый 4 4 2 4 2" xfId="4203" xr:uid="{00000000-0005-0000-0000-000008140000}"/>
    <cellStyle name="Финансовый 4 4 2 4 3" xfId="5986" xr:uid="{00000000-0005-0000-0000-000009140000}"/>
    <cellStyle name="Финансовый 4 4 2 5" xfId="1062" xr:uid="{00000000-0005-0000-0000-00000A140000}"/>
    <cellStyle name="Финансовый 4 4 2 6" xfId="650" xr:uid="{00000000-0005-0000-0000-00000B140000}"/>
    <cellStyle name="Финансовый 4 4 2 7" xfId="2839" xr:uid="{00000000-0005-0000-0000-00000C140000}"/>
    <cellStyle name="Финансовый 4 4 2 8" xfId="4483" xr:uid="{00000000-0005-0000-0000-00000D140000}"/>
    <cellStyle name="Финансовый 4 4 3" xfId="378" xr:uid="{00000000-0005-0000-0000-00000E140000}"/>
    <cellStyle name="Финансовый 4 4 3 2" xfId="2157" xr:uid="{00000000-0005-0000-0000-00000F140000}"/>
    <cellStyle name="Финансовый 4 4 3 2 2" xfId="3802" xr:uid="{00000000-0005-0000-0000-000010140000}"/>
    <cellStyle name="Финансовый 4 4 3 2 3" xfId="5585" xr:uid="{00000000-0005-0000-0000-000011140000}"/>
    <cellStyle name="Финансовый 4 4 3 3" xfId="1191" xr:uid="{00000000-0005-0000-0000-000012140000}"/>
    <cellStyle name="Финансовый 4 4 3 4" xfId="798" xr:uid="{00000000-0005-0000-0000-000013140000}"/>
    <cellStyle name="Финансовый 4 4 3 5" xfId="2975" xr:uid="{00000000-0005-0000-0000-000014140000}"/>
    <cellStyle name="Финансовый 4 4 3 6" xfId="4619" xr:uid="{00000000-0005-0000-0000-000015140000}"/>
    <cellStyle name="Финансовый 4 4 4" xfId="1541" xr:uid="{00000000-0005-0000-0000-000016140000}"/>
    <cellStyle name="Финансовый 4 4 4 2" xfId="1901" xr:uid="{00000000-0005-0000-0000-000017140000}"/>
    <cellStyle name="Финансовый 4 4 4 2 2" xfId="3546" xr:uid="{00000000-0005-0000-0000-000018140000}"/>
    <cellStyle name="Финансовый 4 4 4 2 3" xfId="5329" xr:uid="{00000000-0005-0000-0000-000019140000}"/>
    <cellStyle name="Финансовый 4 4 4 3" xfId="4969" xr:uid="{00000000-0005-0000-0000-00001A140000}"/>
    <cellStyle name="Финансовый 4 4 5" xfId="1777" xr:uid="{00000000-0005-0000-0000-00001B140000}"/>
    <cellStyle name="Финансовый 4 4 5 2" xfId="3422" xr:uid="{00000000-0005-0000-0000-00001C140000}"/>
    <cellStyle name="Финансовый 4 4 5 3" xfId="5205" xr:uid="{00000000-0005-0000-0000-00001D140000}"/>
    <cellStyle name="Финансовый 4 4 6" xfId="2422" xr:uid="{00000000-0005-0000-0000-00001E140000}"/>
    <cellStyle name="Финансовый 4 4 6 2" xfId="4067" xr:uid="{00000000-0005-0000-0000-00001F140000}"/>
    <cellStyle name="Финансовый 4 4 6 3" xfId="5850" xr:uid="{00000000-0005-0000-0000-000020140000}"/>
    <cellStyle name="Финансовый 4 4 7" xfId="1649" xr:uid="{00000000-0005-0000-0000-000021140000}"/>
    <cellStyle name="Финансовый 4 4 7 2" xfId="3294" xr:uid="{00000000-0005-0000-0000-000022140000}"/>
    <cellStyle name="Финансовый 4 4 7 3" xfId="5077" xr:uid="{00000000-0005-0000-0000-000023140000}"/>
    <cellStyle name="Финансовый 4 4 8" xfId="926" xr:uid="{00000000-0005-0000-0000-000024140000}"/>
    <cellStyle name="Финансовый 4 4 9" xfId="514" xr:uid="{00000000-0005-0000-0000-000025140000}"/>
    <cellStyle name="Финансовый 4 5" xfId="99" xr:uid="{00000000-0005-0000-0000-000026140000}"/>
    <cellStyle name="Финансовый 4 5 10" xfId="2709" xr:uid="{00000000-0005-0000-0000-000027140000}"/>
    <cellStyle name="Финансовый 4 5 11" xfId="4353" xr:uid="{00000000-0005-0000-0000-000028140000}"/>
    <cellStyle name="Финансовый 4 5 2" xfId="235" xr:uid="{00000000-0005-0000-0000-000029140000}"/>
    <cellStyle name="Финансовый 4 5 2 2" xfId="1333" xr:uid="{00000000-0005-0000-0000-00002A140000}"/>
    <cellStyle name="Финансовый 4 5 2 2 2" xfId="2291" xr:uid="{00000000-0005-0000-0000-00002B140000}"/>
    <cellStyle name="Финансовый 4 5 2 2 2 2" xfId="3936" xr:uid="{00000000-0005-0000-0000-00002C140000}"/>
    <cellStyle name="Финансовый 4 5 2 2 2 3" xfId="5719" xr:uid="{00000000-0005-0000-0000-00002D140000}"/>
    <cellStyle name="Финансовый 4 5 2 2 3" xfId="3117" xr:uid="{00000000-0005-0000-0000-00002E140000}"/>
    <cellStyle name="Финансовый 4 5 2 2 4" xfId="4761" xr:uid="{00000000-0005-0000-0000-00002F140000}"/>
    <cellStyle name="Финансовый 4 5 2 3" xfId="2035" xr:uid="{00000000-0005-0000-0000-000030140000}"/>
    <cellStyle name="Финансовый 4 5 2 3 2" xfId="3680" xr:uid="{00000000-0005-0000-0000-000031140000}"/>
    <cellStyle name="Финансовый 4 5 2 3 3" xfId="5463" xr:uid="{00000000-0005-0000-0000-000032140000}"/>
    <cellStyle name="Финансовый 4 5 2 4" xfId="2564" xr:uid="{00000000-0005-0000-0000-000033140000}"/>
    <cellStyle name="Финансовый 4 5 2 4 2" xfId="4209" xr:uid="{00000000-0005-0000-0000-000034140000}"/>
    <cellStyle name="Финансовый 4 5 2 4 3" xfId="5992" xr:uid="{00000000-0005-0000-0000-000035140000}"/>
    <cellStyle name="Финансовый 4 5 2 5" xfId="1068" xr:uid="{00000000-0005-0000-0000-000036140000}"/>
    <cellStyle name="Финансовый 4 5 2 6" xfId="656" xr:uid="{00000000-0005-0000-0000-000037140000}"/>
    <cellStyle name="Финансовый 4 5 2 7" xfId="2845" xr:uid="{00000000-0005-0000-0000-000038140000}"/>
    <cellStyle name="Финансовый 4 5 2 8" xfId="4489" xr:uid="{00000000-0005-0000-0000-000039140000}"/>
    <cellStyle name="Финансовый 4 5 3" xfId="384" xr:uid="{00000000-0005-0000-0000-00003A140000}"/>
    <cellStyle name="Финансовый 4 5 3 2" xfId="2163" xr:uid="{00000000-0005-0000-0000-00003B140000}"/>
    <cellStyle name="Финансовый 4 5 3 2 2" xfId="3808" xr:uid="{00000000-0005-0000-0000-00003C140000}"/>
    <cellStyle name="Финансовый 4 5 3 2 3" xfId="5591" xr:uid="{00000000-0005-0000-0000-00003D140000}"/>
    <cellStyle name="Финансовый 4 5 3 3" xfId="1197" xr:uid="{00000000-0005-0000-0000-00003E140000}"/>
    <cellStyle name="Финансовый 4 5 3 4" xfId="804" xr:uid="{00000000-0005-0000-0000-00003F140000}"/>
    <cellStyle name="Финансовый 4 5 3 5" xfId="2981" xr:uid="{00000000-0005-0000-0000-000040140000}"/>
    <cellStyle name="Финансовый 4 5 3 6" xfId="4625" xr:uid="{00000000-0005-0000-0000-000041140000}"/>
    <cellStyle name="Финансовый 4 5 4" xfId="1542" xr:uid="{00000000-0005-0000-0000-000042140000}"/>
    <cellStyle name="Финансовый 4 5 4 2" xfId="1907" xr:uid="{00000000-0005-0000-0000-000043140000}"/>
    <cellStyle name="Финансовый 4 5 4 2 2" xfId="3552" xr:uid="{00000000-0005-0000-0000-000044140000}"/>
    <cellStyle name="Финансовый 4 5 4 2 3" xfId="5335" xr:uid="{00000000-0005-0000-0000-000045140000}"/>
    <cellStyle name="Финансовый 4 5 4 3" xfId="4970" xr:uid="{00000000-0005-0000-0000-000046140000}"/>
    <cellStyle name="Финансовый 4 5 5" xfId="1783" xr:uid="{00000000-0005-0000-0000-000047140000}"/>
    <cellStyle name="Финансовый 4 5 5 2" xfId="3428" xr:uid="{00000000-0005-0000-0000-000048140000}"/>
    <cellStyle name="Финансовый 4 5 5 3" xfId="5211" xr:uid="{00000000-0005-0000-0000-000049140000}"/>
    <cellStyle name="Финансовый 4 5 6" xfId="2428" xr:uid="{00000000-0005-0000-0000-00004A140000}"/>
    <cellStyle name="Финансовый 4 5 6 2" xfId="4073" xr:uid="{00000000-0005-0000-0000-00004B140000}"/>
    <cellStyle name="Финансовый 4 5 6 3" xfId="5856" xr:uid="{00000000-0005-0000-0000-00004C140000}"/>
    <cellStyle name="Финансовый 4 5 7" xfId="1655" xr:uid="{00000000-0005-0000-0000-00004D140000}"/>
    <cellStyle name="Финансовый 4 5 7 2" xfId="3300" xr:uid="{00000000-0005-0000-0000-00004E140000}"/>
    <cellStyle name="Финансовый 4 5 7 3" xfId="5083" xr:uid="{00000000-0005-0000-0000-00004F140000}"/>
    <cellStyle name="Финансовый 4 5 8" xfId="932" xr:uid="{00000000-0005-0000-0000-000050140000}"/>
    <cellStyle name="Финансовый 4 5 9" xfId="520" xr:uid="{00000000-0005-0000-0000-000051140000}"/>
    <cellStyle name="Финансовый 4 6" xfId="111" xr:uid="{00000000-0005-0000-0000-000052140000}"/>
    <cellStyle name="Финансовый 4 6 10" xfId="2721" xr:uid="{00000000-0005-0000-0000-000053140000}"/>
    <cellStyle name="Финансовый 4 6 11" xfId="4365" xr:uid="{00000000-0005-0000-0000-000054140000}"/>
    <cellStyle name="Финансовый 4 6 2" xfId="247" xr:uid="{00000000-0005-0000-0000-000055140000}"/>
    <cellStyle name="Финансовый 4 6 2 2" xfId="1345" xr:uid="{00000000-0005-0000-0000-000056140000}"/>
    <cellStyle name="Финансовый 4 6 2 2 2" xfId="2303" xr:uid="{00000000-0005-0000-0000-000057140000}"/>
    <cellStyle name="Финансовый 4 6 2 2 2 2" xfId="3948" xr:uid="{00000000-0005-0000-0000-000058140000}"/>
    <cellStyle name="Финансовый 4 6 2 2 2 3" xfId="5731" xr:uid="{00000000-0005-0000-0000-000059140000}"/>
    <cellStyle name="Финансовый 4 6 2 2 3" xfId="3129" xr:uid="{00000000-0005-0000-0000-00005A140000}"/>
    <cellStyle name="Финансовый 4 6 2 2 4" xfId="4773" xr:uid="{00000000-0005-0000-0000-00005B140000}"/>
    <cellStyle name="Финансовый 4 6 2 3" xfId="2047" xr:uid="{00000000-0005-0000-0000-00005C140000}"/>
    <cellStyle name="Финансовый 4 6 2 3 2" xfId="3692" xr:uid="{00000000-0005-0000-0000-00005D140000}"/>
    <cellStyle name="Финансовый 4 6 2 3 3" xfId="5475" xr:uid="{00000000-0005-0000-0000-00005E140000}"/>
    <cellStyle name="Финансовый 4 6 2 4" xfId="2576" xr:uid="{00000000-0005-0000-0000-00005F140000}"/>
    <cellStyle name="Финансовый 4 6 2 4 2" xfId="4221" xr:uid="{00000000-0005-0000-0000-000060140000}"/>
    <cellStyle name="Финансовый 4 6 2 4 3" xfId="6004" xr:uid="{00000000-0005-0000-0000-000061140000}"/>
    <cellStyle name="Финансовый 4 6 2 5" xfId="1080" xr:uid="{00000000-0005-0000-0000-000062140000}"/>
    <cellStyle name="Финансовый 4 6 2 6" xfId="668" xr:uid="{00000000-0005-0000-0000-000063140000}"/>
    <cellStyle name="Финансовый 4 6 2 7" xfId="2857" xr:uid="{00000000-0005-0000-0000-000064140000}"/>
    <cellStyle name="Финансовый 4 6 2 8" xfId="4501" xr:uid="{00000000-0005-0000-0000-000065140000}"/>
    <cellStyle name="Финансовый 4 6 3" xfId="396" xr:uid="{00000000-0005-0000-0000-000066140000}"/>
    <cellStyle name="Финансовый 4 6 3 2" xfId="2175" xr:uid="{00000000-0005-0000-0000-000067140000}"/>
    <cellStyle name="Финансовый 4 6 3 2 2" xfId="3820" xr:uid="{00000000-0005-0000-0000-000068140000}"/>
    <cellStyle name="Финансовый 4 6 3 2 3" xfId="5603" xr:uid="{00000000-0005-0000-0000-000069140000}"/>
    <cellStyle name="Финансовый 4 6 3 3" xfId="1209" xr:uid="{00000000-0005-0000-0000-00006A140000}"/>
    <cellStyle name="Финансовый 4 6 3 4" xfId="816" xr:uid="{00000000-0005-0000-0000-00006B140000}"/>
    <cellStyle name="Финансовый 4 6 3 5" xfId="2993" xr:uid="{00000000-0005-0000-0000-00006C140000}"/>
    <cellStyle name="Финансовый 4 6 3 6" xfId="4637" xr:uid="{00000000-0005-0000-0000-00006D140000}"/>
    <cellStyle name="Финансовый 4 6 4" xfId="1478" xr:uid="{00000000-0005-0000-0000-00006E140000}"/>
    <cellStyle name="Финансовый 4 6 4 2" xfId="1919" xr:uid="{00000000-0005-0000-0000-00006F140000}"/>
    <cellStyle name="Финансовый 4 6 4 2 2" xfId="3564" xr:uid="{00000000-0005-0000-0000-000070140000}"/>
    <cellStyle name="Финансовый 4 6 4 2 3" xfId="5347" xr:uid="{00000000-0005-0000-0000-000071140000}"/>
    <cellStyle name="Финансовый 4 6 4 3" xfId="4906" xr:uid="{00000000-0005-0000-0000-000072140000}"/>
    <cellStyle name="Финансовый 4 6 5" xfId="1795" xr:uid="{00000000-0005-0000-0000-000073140000}"/>
    <cellStyle name="Финансовый 4 6 5 2" xfId="3440" xr:uid="{00000000-0005-0000-0000-000074140000}"/>
    <cellStyle name="Финансовый 4 6 5 3" xfId="5223" xr:uid="{00000000-0005-0000-0000-000075140000}"/>
    <cellStyle name="Финансовый 4 6 6" xfId="2440" xr:uid="{00000000-0005-0000-0000-000076140000}"/>
    <cellStyle name="Финансовый 4 6 6 2" xfId="4085" xr:uid="{00000000-0005-0000-0000-000077140000}"/>
    <cellStyle name="Финансовый 4 6 6 3" xfId="5868" xr:uid="{00000000-0005-0000-0000-000078140000}"/>
    <cellStyle name="Финансовый 4 6 7" xfId="1667" xr:uid="{00000000-0005-0000-0000-000079140000}"/>
    <cellStyle name="Финансовый 4 6 7 2" xfId="3312" xr:uid="{00000000-0005-0000-0000-00007A140000}"/>
    <cellStyle name="Финансовый 4 6 7 3" xfId="5095" xr:uid="{00000000-0005-0000-0000-00007B140000}"/>
    <cellStyle name="Финансовый 4 6 8" xfId="944" xr:uid="{00000000-0005-0000-0000-00007C140000}"/>
    <cellStyle name="Финансовый 4 6 9" xfId="532" xr:uid="{00000000-0005-0000-0000-00007D140000}"/>
    <cellStyle name="Финансовый 4 7" xfId="75" xr:uid="{00000000-0005-0000-0000-00007E140000}"/>
    <cellStyle name="Финансовый 4 7 10" xfId="2685" xr:uid="{00000000-0005-0000-0000-00007F140000}"/>
    <cellStyle name="Финансовый 4 7 11" xfId="4329" xr:uid="{00000000-0005-0000-0000-000080140000}"/>
    <cellStyle name="Финансовый 4 7 2" xfId="211" xr:uid="{00000000-0005-0000-0000-000081140000}"/>
    <cellStyle name="Финансовый 4 7 2 2" xfId="1309" xr:uid="{00000000-0005-0000-0000-000082140000}"/>
    <cellStyle name="Финансовый 4 7 2 2 2" xfId="2267" xr:uid="{00000000-0005-0000-0000-000083140000}"/>
    <cellStyle name="Финансовый 4 7 2 2 2 2" xfId="3912" xr:uid="{00000000-0005-0000-0000-000084140000}"/>
    <cellStyle name="Финансовый 4 7 2 2 2 3" xfId="5695" xr:uid="{00000000-0005-0000-0000-000085140000}"/>
    <cellStyle name="Финансовый 4 7 2 2 3" xfId="3093" xr:uid="{00000000-0005-0000-0000-000086140000}"/>
    <cellStyle name="Финансовый 4 7 2 2 4" xfId="4737" xr:uid="{00000000-0005-0000-0000-000087140000}"/>
    <cellStyle name="Финансовый 4 7 2 3" xfId="2011" xr:uid="{00000000-0005-0000-0000-000088140000}"/>
    <cellStyle name="Финансовый 4 7 2 3 2" xfId="3656" xr:uid="{00000000-0005-0000-0000-000089140000}"/>
    <cellStyle name="Финансовый 4 7 2 3 3" xfId="5439" xr:uid="{00000000-0005-0000-0000-00008A140000}"/>
    <cellStyle name="Финансовый 4 7 2 4" xfId="2540" xr:uid="{00000000-0005-0000-0000-00008B140000}"/>
    <cellStyle name="Финансовый 4 7 2 4 2" xfId="4185" xr:uid="{00000000-0005-0000-0000-00008C140000}"/>
    <cellStyle name="Финансовый 4 7 2 4 3" xfId="5968" xr:uid="{00000000-0005-0000-0000-00008D140000}"/>
    <cellStyle name="Финансовый 4 7 2 5" xfId="1044" xr:uid="{00000000-0005-0000-0000-00008E140000}"/>
    <cellStyle name="Финансовый 4 7 2 6" xfId="632" xr:uid="{00000000-0005-0000-0000-00008F140000}"/>
    <cellStyle name="Финансовый 4 7 2 7" xfId="2821" xr:uid="{00000000-0005-0000-0000-000090140000}"/>
    <cellStyle name="Финансовый 4 7 2 8" xfId="4465" xr:uid="{00000000-0005-0000-0000-000091140000}"/>
    <cellStyle name="Финансовый 4 7 3" xfId="360" xr:uid="{00000000-0005-0000-0000-000092140000}"/>
    <cellStyle name="Финансовый 4 7 3 2" xfId="2139" xr:uid="{00000000-0005-0000-0000-000093140000}"/>
    <cellStyle name="Финансовый 4 7 3 2 2" xfId="3784" xr:uid="{00000000-0005-0000-0000-000094140000}"/>
    <cellStyle name="Финансовый 4 7 3 2 3" xfId="5567" xr:uid="{00000000-0005-0000-0000-000095140000}"/>
    <cellStyle name="Финансовый 4 7 3 3" xfId="1173" xr:uid="{00000000-0005-0000-0000-000096140000}"/>
    <cellStyle name="Финансовый 4 7 3 4" xfId="780" xr:uid="{00000000-0005-0000-0000-000097140000}"/>
    <cellStyle name="Финансовый 4 7 3 5" xfId="2957" xr:uid="{00000000-0005-0000-0000-000098140000}"/>
    <cellStyle name="Финансовый 4 7 3 6" xfId="4601" xr:uid="{00000000-0005-0000-0000-000099140000}"/>
    <cellStyle name="Финансовый 4 7 4" xfId="1446" xr:uid="{00000000-0005-0000-0000-00009A140000}"/>
    <cellStyle name="Финансовый 4 7 4 2" xfId="1883" xr:uid="{00000000-0005-0000-0000-00009B140000}"/>
    <cellStyle name="Финансовый 4 7 4 2 2" xfId="3528" xr:uid="{00000000-0005-0000-0000-00009C140000}"/>
    <cellStyle name="Финансовый 4 7 4 2 3" xfId="5311" xr:uid="{00000000-0005-0000-0000-00009D140000}"/>
    <cellStyle name="Финансовый 4 7 4 3" xfId="4874" xr:uid="{00000000-0005-0000-0000-00009E140000}"/>
    <cellStyle name="Финансовый 4 7 5" xfId="1759" xr:uid="{00000000-0005-0000-0000-00009F140000}"/>
    <cellStyle name="Финансовый 4 7 5 2" xfId="3404" xr:uid="{00000000-0005-0000-0000-0000A0140000}"/>
    <cellStyle name="Финансовый 4 7 5 3" xfId="5187" xr:uid="{00000000-0005-0000-0000-0000A1140000}"/>
    <cellStyle name="Финансовый 4 7 6" xfId="2404" xr:uid="{00000000-0005-0000-0000-0000A2140000}"/>
    <cellStyle name="Финансовый 4 7 6 2" xfId="4049" xr:uid="{00000000-0005-0000-0000-0000A3140000}"/>
    <cellStyle name="Финансовый 4 7 6 3" xfId="5832" xr:uid="{00000000-0005-0000-0000-0000A4140000}"/>
    <cellStyle name="Финансовый 4 7 7" xfId="1631" xr:uid="{00000000-0005-0000-0000-0000A5140000}"/>
    <cellStyle name="Финансовый 4 7 7 2" xfId="3276" xr:uid="{00000000-0005-0000-0000-0000A6140000}"/>
    <cellStyle name="Финансовый 4 7 7 3" xfId="5059" xr:uid="{00000000-0005-0000-0000-0000A7140000}"/>
    <cellStyle name="Финансовый 4 7 8" xfId="908" xr:uid="{00000000-0005-0000-0000-0000A8140000}"/>
    <cellStyle name="Финансовый 4 7 9" xfId="496" xr:uid="{00000000-0005-0000-0000-0000A9140000}"/>
    <cellStyle name="Финансовый 4 8" xfId="53" xr:uid="{00000000-0005-0000-0000-0000AA140000}"/>
    <cellStyle name="Финансовый 4 8 10" xfId="2665" xr:uid="{00000000-0005-0000-0000-0000AB140000}"/>
    <cellStyle name="Финансовый 4 8 11" xfId="4308" xr:uid="{00000000-0005-0000-0000-0000AC140000}"/>
    <cellStyle name="Финансовый 4 8 2" xfId="191" xr:uid="{00000000-0005-0000-0000-0000AD140000}"/>
    <cellStyle name="Финансовый 4 8 2 2" xfId="1289" xr:uid="{00000000-0005-0000-0000-0000AE140000}"/>
    <cellStyle name="Финансовый 4 8 2 2 2" xfId="2255" xr:uid="{00000000-0005-0000-0000-0000AF140000}"/>
    <cellStyle name="Финансовый 4 8 2 2 2 2" xfId="3900" xr:uid="{00000000-0005-0000-0000-0000B0140000}"/>
    <cellStyle name="Финансовый 4 8 2 2 2 3" xfId="5683" xr:uid="{00000000-0005-0000-0000-0000B1140000}"/>
    <cellStyle name="Финансовый 4 8 2 2 3" xfId="3073" xr:uid="{00000000-0005-0000-0000-0000B2140000}"/>
    <cellStyle name="Финансовый 4 8 2 2 4" xfId="4717" xr:uid="{00000000-0005-0000-0000-0000B3140000}"/>
    <cellStyle name="Финансовый 4 8 2 3" xfId="1999" xr:uid="{00000000-0005-0000-0000-0000B4140000}"/>
    <cellStyle name="Финансовый 4 8 2 3 2" xfId="3644" xr:uid="{00000000-0005-0000-0000-0000B5140000}"/>
    <cellStyle name="Финансовый 4 8 2 3 3" xfId="5427" xr:uid="{00000000-0005-0000-0000-0000B6140000}"/>
    <cellStyle name="Финансовый 4 8 2 4" xfId="2520" xr:uid="{00000000-0005-0000-0000-0000B7140000}"/>
    <cellStyle name="Финансовый 4 8 2 4 2" xfId="4165" xr:uid="{00000000-0005-0000-0000-0000B8140000}"/>
    <cellStyle name="Финансовый 4 8 2 4 3" xfId="5948" xr:uid="{00000000-0005-0000-0000-0000B9140000}"/>
    <cellStyle name="Финансовый 4 8 2 5" xfId="1024" xr:uid="{00000000-0005-0000-0000-0000BA140000}"/>
    <cellStyle name="Финансовый 4 8 2 6" xfId="612" xr:uid="{00000000-0005-0000-0000-0000BB140000}"/>
    <cellStyle name="Финансовый 4 8 2 7" xfId="2801" xr:uid="{00000000-0005-0000-0000-0000BC140000}"/>
    <cellStyle name="Финансовый 4 8 2 8" xfId="4445" xr:uid="{00000000-0005-0000-0000-0000BD140000}"/>
    <cellStyle name="Финансовый 4 8 3" xfId="340" xr:uid="{00000000-0005-0000-0000-0000BE140000}"/>
    <cellStyle name="Финансовый 4 8 3 2" xfId="2127" xr:uid="{00000000-0005-0000-0000-0000BF140000}"/>
    <cellStyle name="Финансовый 4 8 3 2 2" xfId="3772" xr:uid="{00000000-0005-0000-0000-0000C0140000}"/>
    <cellStyle name="Финансовый 4 8 3 2 3" xfId="5555" xr:uid="{00000000-0005-0000-0000-0000C1140000}"/>
    <cellStyle name="Финансовый 4 8 3 3" xfId="1160" xr:uid="{00000000-0005-0000-0000-0000C2140000}"/>
    <cellStyle name="Финансовый 4 8 3 4" xfId="760" xr:uid="{00000000-0005-0000-0000-0000C3140000}"/>
    <cellStyle name="Финансовый 4 8 3 5" xfId="2937" xr:uid="{00000000-0005-0000-0000-0000C4140000}"/>
    <cellStyle name="Финансовый 4 8 3 6" xfId="4581" xr:uid="{00000000-0005-0000-0000-0000C5140000}"/>
    <cellStyle name="Финансовый 4 8 4" xfId="1433" xr:uid="{00000000-0005-0000-0000-0000C6140000}"/>
    <cellStyle name="Финансовый 4 8 4 2" xfId="1863" xr:uid="{00000000-0005-0000-0000-0000C7140000}"/>
    <cellStyle name="Финансовый 4 8 4 2 2" xfId="3508" xr:uid="{00000000-0005-0000-0000-0000C8140000}"/>
    <cellStyle name="Финансовый 4 8 4 2 3" xfId="5291" xr:uid="{00000000-0005-0000-0000-0000C9140000}"/>
    <cellStyle name="Финансовый 4 8 4 3" xfId="4861" xr:uid="{00000000-0005-0000-0000-0000CA140000}"/>
    <cellStyle name="Финансовый 4 8 5" xfId="1747" xr:uid="{00000000-0005-0000-0000-0000CB140000}"/>
    <cellStyle name="Финансовый 4 8 5 2" xfId="3392" xr:uid="{00000000-0005-0000-0000-0000CC140000}"/>
    <cellStyle name="Финансовый 4 8 5 3" xfId="5175" xr:uid="{00000000-0005-0000-0000-0000CD140000}"/>
    <cellStyle name="Финансовый 4 8 6" xfId="2383" xr:uid="{00000000-0005-0000-0000-0000CE140000}"/>
    <cellStyle name="Финансовый 4 8 6 2" xfId="4028" xr:uid="{00000000-0005-0000-0000-0000CF140000}"/>
    <cellStyle name="Финансовый 4 8 6 3" xfId="5811" xr:uid="{00000000-0005-0000-0000-0000D0140000}"/>
    <cellStyle name="Финансовый 4 8 7" xfId="1610" xr:uid="{00000000-0005-0000-0000-0000D1140000}"/>
    <cellStyle name="Финансовый 4 8 7 2" xfId="3255" xr:uid="{00000000-0005-0000-0000-0000D2140000}"/>
    <cellStyle name="Финансовый 4 8 7 3" xfId="5038" xr:uid="{00000000-0005-0000-0000-0000D3140000}"/>
    <cellStyle name="Финансовый 4 8 8" xfId="896" xr:uid="{00000000-0005-0000-0000-0000D4140000}"/>
    <cellStyle name="Финансовый 4 8 9" xfId="476" xr:uid="{00000000-0005-0000-0000-0000D5140000}"/>
    <cellStyle name="Финансовый 4 9" xfId="131" xr:uid="{00000000-0005-0000-0000-0000D6140000}"/>
    <cellStyle name="Финансовый 4 9 10" xfId="2741" xr:uid="{00000000-0005-0000-0000-0000D7140000}"/>
    <cellStyle name="Финансовый 4 9 11" xfId="4385" xr:uid="{00000000-0005-0000-0000-0000D8140000}"/>
    <cellStyle name="Финансовый 4 9 2" xfId="267" xr:uid="{00000000-0005-0000-0000-0000D9140000}"/>
    <cellStyle name="Финансовый 4 9 2 2" xfId="1365" xr:uid="{00000000-0005-0000-0000-0000DA140000}"/>
    <cellStyle name="Финансовый 4 9 2 2 2" xfId="2323" xr:uid="{00000000-0005-0000-0000-0000DB140000}"/>
    <cellStyle name="Финансовый 4 9 2 2 2 2" xfId="3968" xr:uid="{00000000-0005-0000-0000-0000DC140000}"/>
    <cellStyle name="Финансовый 4 9 2 2 2 3" xfId="5751" xr:uid="{00000000-0005-0000-0000-0000DD140000}"/>
    <cellStyle name="Финансовый 4 9 2 2 3" xfId="3149" xr:uid="{00000000-0005-0000-0000-0000DE140000}"/>
    <cellStyle name="Финансовый 4 9 2 2 4" xfId="4793" xr:uid="{00000000-0005-0000-0000-0000DF140000}"/>
    <cellStyle name="Финансовый 4 9 2 3" xfId="2067" xr:uid="{00000000-0005-0000-0000-0000E0140000}"/>
    <cellStyle name="Финансовый 4 9 2 3 2" xfId="3712" xr:uid="{00000000-0005-0000-0000-0000E1140000}"/>
    <cellStyle name="Финансовый 4 9 2 3 3" xfId="5495" xr:uid="{00000000-0005-0000-0000-0000E2140000}"/>
    <cellStyle name="Финансовый 4 9 2 4" xfId="2596" xr:uid="{00000000-0005-0000-0000-0000E3140000}"/>
    <cellStyle name="Финансовый 4 9 2 4 2" xfId="4241" xr:uid="{00000000-0005-0000-0000-0000E4140000}"/>
    <cellStyle name="Финансовый 4 9 2 4 3" xfId="6024" xr:uid="{00000000-0005-0000-0000-0000E5140000}"/>
    <cellStyle name="Финансовый 4 9 2 5" xfId="1100" xr:uid="{00000000-0005-0000-0000-0000E6140000}"/>
    <cellStyle name="Финансовый 4 9 2 6" xfId="688" xr:uid="{00000000-0005-0000-0000-0000E7140000}"/>
    <cellStyle name="Финансовый 4 9 2 7" xfId="2877" xr:uid="{00000000-0005-0000-0000-0000E8140000}"/>
    <cellStyle name="Финансовый 4 9 2 8" xfId="4521" xr:uid="{00000000-0005-0000-0000-0000E9140000}"/>
    <cellStyle name="Финансовый 4 9 3" xfId="416" xr:uid="{00000000-0005-0000-0000-0000EA140000}"/>
    <cellStyle name="Финансовый 4 9 3 2" xfId="2195" xr:uid="{00000000-0005-0000-0000-0000EB140000}"/>
    <cellStyle name="Финансовый 4 9 3 2 2" xfId="3840" xr:uid="{00000000-0005-0000-0000-0000EC140000}"/>
    <cellStyle name="Финансовый 4 9 3 2 3" xfId="5623" xr:uid="{00000000-0005-0000-0000-0000ED140000}"/>
    <cellStyle name="Финансовый 4 9 3 3" xfId="1229" xr:uid="{00000000-0005-0000-0000-0000EE140000}"/>
    <cellStyle name="Финансовый 4 9 3 4" xfId="836" xr:uid="{00000000-0005-0000-0000-0000EF140000}"/>
    <cellStyle name="Финансовый 4 9 3 5" xfId="3013" xr:uid="{00000000-0005-0000-0000-0000F0140000}"/>
    <cellStyle name="Финансовый 4 9 3 6" xfId="4657" xr:uid="{00000000-0005-0000-0000-0000F1140000}"/>
    <cellStyle name="Финансовый 4 9 4" xfId="1449" xr:uid="{00000000-0005-0000-0000-0000F2140000}"/>
    <cellStyle name="Финансовый 4 9 4 2" xfId="1939" xr:uid="{00000000-0005-0000-0000-0000F3140000}"/>
    <cellStyle name="Финансовый 4 9 4 2 2" xfId="3584" xr:uid="{00000000-0005-0000-0000-0000F4140000}"/>
    <cellStyle name="Финансовый 4 9 4 2 3" xfId="5367" xr:uid="{00000000-0005-0000-0000-0000F5140000}"/>
    <cellStyle name="Финансовый 4 9 4 3" xfId="4877" xr:uid="{00000000-0005-0000-0000-0000F6140000}"/>
    <cellStyle name="Финансовый 4 9 5" xfId="1815" xr:uid="{00000000-0005-0000-0000-0000F7140000}"/>
    <cellStyle name="Финансовый 4 9 5 2" xfId="3460" xr:uid="{00000000-0005-0000-0000-0000F8140000}"/>
    <cellStyle name="Финансовый 4 9 5 3" xfId="5243" xr:uid="{00000000-0005-0000-0000-0000F9140000}"/>
    <cellStyle name="Финансовый 4 9 6" xfId="2460" xr:uid="{00000000-0005-0000-0000-0000FA140000}"/>
    <cellStyle name="Финансовый 4 9 6 2" xfId="4105" xr:uid="{00000000-0005-0000-0000-0000FB140000}"/>
    <cellStyle name="Финансовый 4 9 6 3" xfId="5888" xr:uid="{00000000-0005-0000-0000-0000FC140000}"/>
    <cellStyle name="Финансовый 4 9 7" xfId="1687" xr:uid="{00000000-0005-0000-0000-0000FD140000}"/>
    <cellStyle name="Финансовый 4 9 7 2" xfId="3332" xr:uid="{00000000-0005-0000-0000-0000FE140000}"/>
    <cellStyle name="Финансовый 4 9 7 3" xfId="5115" xr:uid="{00000000-0005-0000-0000-0000FF140000}"/>
    <cellStyle name="Финансовый 4 9 8" xfId="964" xr:uid="{00000000-0005-0000-0000-000000150000}"/>
    <cellStyle name="Финансовый 4 9 9" xfId="552" xr:uid="{00000000-0005-0000-0000-000001150000}"/>
    <cellStyle name="Финансовый 40" xfId="6042" xr:uid="{00000000-0005-0000-0000-000002150000}"/>
    <cellStyle name="Финансовый 41" xfId="6041" xr:uid="{00000000-0005-0000-0000-000003150000}"/>
    <cellStyle name="Финансовый 42" xfId="6039" xr:uid="{00000000-0005-0000-0000-000004150000}"/>
    <cellStyle name="Финансовый 43" xfId="6043" xr:uid="{00000000-0005-0000-0000-000005150000}"/>
    <cellStyle name="Финансовый 44" xfId="6040" xr:uid="{00000000-0005-0000-0000-000006150000}"/>
    <cellStyle name="Финансовый 5" xfId="7" xr:uid="{00000000-0005-0000-0000-000007150000}"/>
    <cellStyle name="Финансовый 5 10" xfId="281" xr:uid="{00000000-0005-0000-0000-000008150000}"/>
    <cellStyle name="Финансовый 5 10 2" xfId="2081" xr:uid="{00000000-0005-0000-0000-000009150000}"/>
    <cellStyle name="Финансовый 5 10 2 2" xfId="3726" xr:uid="{00000000-0005-0000-0000-00000A150000}"/>
    <cellStyle name="Финансовый 5 10 2 3" xfId="5509" xr:uid="{00000000-0005-0000-0000-00000B150000}"/>
    <cellStyle name="Финансовый 5 10 3" xfId="1379" xr:uid="{00000000-0005-0000-0000-00000C150000}"/>
    <cellStyle name="Финансовый 5 10 4" xfId="702" xr:uid="{00000000-0005-0000-0000-00000D150000}"/>
    <cellStyle name="Финансовый 5 10 5" xfId="3163" xr:uid="{00000000-0005-0000-0000-00000E150000}"/>
    <cellStyle name="Финансовый 5 10 6" xfId="4807" xr:uid="{00000000-0005-0000-0000-00000F150000}"/>
    <cellStyle name="Финансовый 5 11" xfId="294" xr:uid="{00000000-0005-0000-0000-000010150000}"/>
    <cellStyle name="Финансовый 5 11 2" xfId="1114" xr:uid="{00000000-0005-0000-0000-000011150000}"/>
    <cellStyle name="Финансовый 5 11 3" xfId="714" xr:uid="{00000000-0005-0000-0000-000012150000}"/>
    <cellStyle name="Финансовый 5 11 4" xfId="2891" xr:uid="{00000000-0005-0000-0000-000013150000}"/>
    <cellStyle name="Финансовый 5 11 5" xfId="4535" xr:uid="{00000000-0005-0000-0000-000014150000}"/>
    <cellStyle name="Финансовый 5 12" xfId="1543" xr:uid="{00000000-0005-0000-0000-000015150000}"/>
    <cellStyle name="Финансовый 5 12 2" xfId="1701" xr:uid="{00000000-0005-0000-0000-000016150000}"/>
    <cellStyle name="Финансовый 5 12 2 2" xfId="3346" xr:uid="{00000000-0005-0000-0000-000017150000}"/>
    <cellStyle name="Финансовый 5 12 2 3" xfId="5129" xr:uid="{00000000-0005-0000-0000-000018150000}"/>
    <cellStyle name="Финансовый 5 12 3" xfId="4971" xr:uid="{00000000-0005-0000-0000-000019150000}"/>
    <cellStyle name="Финансовый 5 13" xfId="2337" xr:uid="{00000000-0005-0000-0000-00001A150000}"/>
    <cellStyle name="Финансовый 5 13 2" xfId="3982" xr:uid="{00000000-0005-0000-0000-00001B150000}"/>
    <cellStyle name="Финансовый 5 13 3" xfId="5765" xr:uid="{00000000-0005-0000-0000-00001C150000}"/>
    <cellStyle name="Финансовый 5 14" xfId="1564" xr:uid="{00000000-0005-0000-0000-00001D150000}"/>
    <cellStyle name="Финансовый 5 14 2" xfId="3209" xr:uid="{00000000-0005-0000-0000-00001E150000}"/>
    <cellStyle name="Финансовый 5 14 3" xfId="4992" xr:uid="{00000000-0005-0000-0000-00001F150000}"/>
    <cellStyle name="Финансовый 5 15" xfId="850" xr:uid="{00000000-0005-0000-0000-000020150000}"/>
    <cellStyle name="Финансовый 5 16" xfId="430" xr:uid="{00000000-0005-0000-0000-000021150000}"/>
    <cellStyle name="Финансовый 5 17" xfId="2619" xr:uid="{00000000-0005-0000-0000-000022150000}"/>
    <cellStyle name="Финансовый 5 18" xfId="4262" xr:uid="{00000000-0005-0000-0000-000023150000}"/>
    <cellStyle name="Финансовый 5 2" xfId="43" xr:uid="{00000000-0005-0000-0000-000024150000}"/>
    <cellStyle name="Финансовый 5 2 10" xfId="466" xr:uid="{00000000-0005-0000-0000-000025150000}"/>
    <cellStyle name="Финансовый 5 2 11" xfId="2655" xr:uid="{00000000-0005-0000-0000-000026150000}"/>
    <cellStyle name="Финансовый 5 2 12" xfId="4298" xr:uid="{00000000-0005-0000-0000-000027150000}"/>
    <cellStyle name="Финансовый 5 2 2" xfId="101" xr:uid="{00000000-0005-0000-0000-000028150000}"/>
    <cellStyle name="Финансовый 5 2 2 10" xfId="2711" xr:uid="{00000000-0005-0000-0000-000029150000}"/>
    <cellStyle name="Финансовый 5 2 2 11" xfId="4355" xr:uid="{00000000-0005-0000-0000-00002A150000}"/>
    <cellStyle name="Финансовый 5 2 2 2" xfId="237" xr:uid="{00000000-0005-0000-0000-00002B150000}"/>
    <cellStyle name="Финансовый 5 2 2 2 2" xfId="1335" xr:uid="{00000000-0005-0000-0000-00002C150000}"/>
    <cellStyle name="Финансовый 5 2 2 2 2 2" xfId="2293" xr:uid="{00000000-0005-0000-0000-00002D150000}"/>
    <cellStyle name="Финансовый 5 2 2 2 2 2 2" xfId="3938" xr:uid="{00000000-0005-0000-0000-00002E150000}"/>
    <cellStyle name="Финансовый 5 2 2 2 2 2 3" xfId="5721" xr:uid="{00000000-0005-0000-0000-00002F150000}"/>
    <cellStyle name="Финансовый 5 2 2 2 2 3" xfId="3119" xr:uid="{00000000-0005-0000-0000-000030150000}"/>
    <cellStyle name="Финансовый 5 2 2 2 2 4" xfId="4763" xr:uid="{00000000-0005-0000-0000-000031150000}"/>
    <cellStyle name="Финансовый 5 2 2 2 3" xfId="2037" xr:uid="{00000000-0005-0000-0000-000032150000}"/>
    <cellStyle name="Финансовый 5 2 2 2 3 2" xfId="3682" xr:uid="{00000000-0005-0000-0000-000033150000}"/>
    <cellStyle name="Финансовый 5 2 2 2 3 3" xfId="5465" xr:uid="{00000000-0005-0000-0000-000034150000}"/>
    <cellStyle name="Финансовый 5 2 2 2 4" xfId="2566" xr:uid="{00000000-0005-0000-0000-000035150000}"/>
    <cellStyle name="Финансовый 5 2 2 2 4 2" xfId="4211" xr:uid="{00000000-0005-0000-0000-000036150000}"/>
    <cellStyle name="Финансовый 5 2 2 2 4 3" xfId="5994" xr:uid="{00000000-0005-0000-0000-000037150000}"/>
    <cellStyle name="Финансовый 5 2 2 2 5" xfId="1070" xr:uid="{00000000-0005-0000-0000-000038150000}"/>
    <cellStyle name="Финансовый 5 2 2 2 6" xfId="658" xr:uid="{00000000-0005-0000-0000-000039150000}"/>
    <cellStyle name="Финансовый 5 2 2 2 7" xfId="2847" xr:uid="{00000000-0005-0000-0000-00003A150000}"/>
    <cellStyle name="Финансовый 5 2 2 2 8" xfId="4491" xr:uid="{00000000-0005-0000-0000-00003B150000}"/>
    <cellStyle name="Финансовый 5 2 2 3" xfId="386" xr:uid="{00000000-0005-0000-0000-00003C150000}"/>
    <cellStyle name="Финансовый 5 2 2 3 2" xfId="2165" xr:uid="{00000000-0005-0000-0000-00003D150000}"/>
    <cellStyle name="Финансовый 5 2 2 3 2 2" xfId="3810" xr:uid="{00000000-0005-0000-0000-00003E150000}"/>
    <cellStyle name="Финансовый 5 2 2 3 2 3" xfId="5593" xr:uid="{00000000-0005-0000-0000-00003F150000}"/>
    <cellStyle name="Финансовый 5 2 2 3 3" xfId="1199" xr:uid="{00000000-0005-0000-0000-000040150000}"/>
    <cellStyle name="Финансовый 5 2 2 3 4" xfId="806" xr:uid="{00000000-0005-0000-0000-000041150000}"/>
    <cellStyle name="Финансовый 5 2 2 3 5" xfId="2983" xr:uid="{00000000-0005-0000-0000-000042150000}"/>
    <cellStyle name="Финансовый 5 2 2 3 6" xfId="4627" xr:uid="{00000000-0005-0000-0000-000043150000}"/>
    <cellStyle name="Финансовый 5 2 2 4" xfId="1545" xr:uid="{00000000-0005-0000-0000-000044150000}"/>
    <cellStyle name="Финансовый 5 2 2 4 2" xfId="1909" xr:uid="{00000000-0005-0000-0000-000045150000}"/>
    <cellStyle name="Финансовый 5 2 2 4 2 2" xfId="3554" xr:uid="{00000000-0005-0000-0000-000046150000}"/>
    <cellStyle name="Финансовый 5 2 2 4 2 3" xfId="5337" xr:uid="{00000000-0005-0000-0000-000047150000}"/>
    <cellStyle name="Финансовый 5 2 2 4 3" xfId="4973" xr:uid="{00000000-0005-0000-0000-000048150000}"/>
    <cellStyle name="Финансовый 5 2 2 5" xfId="1785" xr:uid="{00000000-0005-0000-0000-000049150000}"/>
    <cellStyle name="Финансовый 5 2 2 5 2" xfId="3430" xr:uid="{00000000-0005-0000-0000-00004A150000}"/>
    <cellStyle name="Финансовый 5 2 2 5 3" xfId="5213" xr:uid="{00000000-0005-0000-0000-00004B150000}"/>
    <cellStyle name="Финансовый 5 2 2 6" xfId="2430" xr:uid="{00000000-0005-0000-0000-00004C150000}"/>
    <cellStyle name="Финансовый 5 2 2 6 2" xfId="4075" xr:uid="{00000000-0005-0000-0000-00004D150000}"/>
    <cellStyle name="Финансовый 5 2 2 6 3" xfId="5858" xr:uid="{00000000-0005-0000-0000-00004E150000}"/>
    <cellStyle name="Финансовый 5 2 2 7" xfId="1657" xr:uid="{00000000-0005-0000-0000-00004F150000}"/>
    <cellStyle name="Финансовый 5 2 2 7 2" xfId="3302" xr:uid="{00000000-0005-0000-0000-000050150000}"/>
    <cellStyle name="Финансовый 5 2 2 7 3" xfId="5085" xr:uid="{00000000-0005-0000-0000-000051150000}"/>
    <cellStyle name="Финансовый 5 2 2 8" xfId="934" xr:uid="{00000000-0005-0000-0000-000052150000}"/>
    <cellStyle name="Финансовый 5 2 2 9" xfId="522" xr:uid="{00000000-0005-0000-0000-000053150000}"/>
    <cellStyle name="Финансовый 5 2 3" xfId="181" xr:uid="{00000000-0005-0000-0000-000054150000}"/>
    <cellStyle name="Финансовый 5 2 3 2" xfId="1279" xr:uid="{00000000-0005-0000-0000-000055150000}"/>
    <cellStyle name="Финансовый 5 2 3 2 2" xfId="2245" xr:uid="{00000000-0005-0000-0000-000056150000}"/>
    <cellStyle name="Финансовый 5 2 3 2 2 2" xfId="3890" xr:uid="{00000000-0005-0000-0000-000057150000}"/>
    <cellStyle name="Финансовый 5 2 3 2 2 3" xfId="5673" xr:uid="{00000000-0005-0000-0000-000058150000}"/>
    <cellStyle name="Финансовый 5 2 3 2 3" xfId="3063" xr:uid="{00000000-0005-0000-0000-000059150000}"/>
    <cellStyle name="Финансовый 5 2 3 2 4" xfId="4707" xr:uid="{00000000-0005-0000-0000-00005A150000}"/>
    <cellStyle name="Финансовый 5 2 3 3" xfId="1989" xr:uid="{00000000-0005-0000-0000-00005B150000}"/>
    <cellStyle name="Финансовый 5 2 3 3 2" xfId="3634" xr:uid="{00000000-0005-0000-0000-00005C150000}"/>
    <cellStyle name="Финансовый 5 2 3 3 3" xfId="5417" xr:uid="{00000000-0005-0000-0000-00005D150000}"/>
    <cellStyle name="Финансовый 5 2 3 4" xfId="2510" xr:uid="{00000000-0005-0000-0000-00005E150000}"/>
    <cellStyle name="Финансовый 5 2 3 4 2" xfId="4155" xr:uid="{00000000-0005-0000-0000-00005F150000}"/>
    <cellStyle name="Финансовый 5 2 3 4 3" xfId="5938" xr:uid="{00000000-0005-0000-0000-000060150000}"/>
    <cellStyle name="Финансовый 5 2 3 5" xfId="1014" xr:uid="{00000000-0005-0000-0000-000061150000}"/>
    <cellStyle name="Финансовый 5 2 3 6" xfId="602" xr:uid="{00000000-0005-0000-0000-000062150000}"/>
    <cellStyle name="Финансовый 5 2 3 7" xfId="2791" xr:uid="{00000000-0005-0000-0000-000063150000}"/>
    <cellStyle name="Финансовый 5 2 3 8" xfId="4435" xr:uid="{00000000-0005-0000-0000-000064150000}"/>
    <cellStyle name="Финансовый 5 2 4" xfId="330" xr:uid="{00000000-0005-0000-0000-000065150000}"/>
    <cellStyle name="Финансовый 5 2 4 2" xfId="2117" xr:uid="{00000000-0005-0000-0000-000066150000}"/>
    <cellStyle name="Финансовый 5 2 4 2 2" xfId="3762" xr:uid="{00000000-0005-0000-0000-000067150000}"/>
    <cellStyle name="Финансовый 5 2 4 2 3" xfId="5545" xr:uid="{00000000-0005-0000-0000-000068150000}"/>
    <cellStyle name="Финансовый 5 2 4 3" xfId="1150" xr:uid="{00000000-0005-0000-0000-000069150000}"/>
    <cellStyle name="Финансовый 5 2 4 4" xfId="750" xr:uid="{00000000-0005-0000-0000-00006A150000}"/>
    <cellStyle name="Финансовый 5 2 4 5" xfId="2927" xr:uid="{00000000-0005-0000-0000-00006B150000}"/>
    <cellStyle name="Финансовый 5 2 4 6" xfId="4571" xr:uid="{00000000-0005-0000-0000-00006C150000}"/>
    <cellStyle name="Финансовый 5 2 5" xfId="1544" xr:uid="{00000000-0005-0000-0000-00006D150000}"/>
    <cellStyle name="Финансовый 5 2 5 2" xfId="1853" xr:uid="{00000000-0005-0000-0000-00006E150000}"/>
    <cellStyle name="Финансовый 5 2 5 2 2" xfId="3498" xr:uid="{00000000-0005-0000-0000-00006F150000}"/>
    <cellStyle name="Финансовый 5 2 5 2 3" xfId="5281" xr:uid="{00000000-0005-0000-0000-000070150000}"/>
    <cellStyle name="Финансовый 5 2 5 3" xfId="4972" xr:uid="{00000000-0005-0000-0000-000071150000}"/>
    <cellStyle name="Финансовый 5 2 6" xfId="1737" xr:uid="{00000000-0005-0000-0000-000072150000}"/>
    <cellStyle name="Финансовый 5 2 6 2" xfId="3382" xr:uid="{00000000-0005-0000-0000-000073150000}"/>
    <cellStyle name="Финансовый 5 2 6 3" xfId="5165" xr:uid="{00000000-0005-0000-0000-000074150000}"/>
    <cellStyle name="Финансовый 5 2 7" xfId="2373" xr:uid="{00000000-0005-0000-0000-000075150000}"/>
    <cellStyle name="Финансовый 5 2 7 2" xfId="4018" xr:uid="{00000000-0005-0000-0000-000076150000}"/>
    <cellStyle name="Финансовый 5 2 7 3" xfId="5801" xr:uid="{00000000-0005-0000-0000-000077150000}"/>
    <cellStyle name="Финансовый 5 2 8" xfId="1600" xr:uid="{00000000-0005-0000-0000-000078150000}"/>
    <cellStyle name="Финансовый 5 2 8 2" xfId="3245" xr:uid="{00000000-0005-0000-0000-000079150000}"/>
    <cellStyle name="Финансовый 5 2 8 3" xfId="5028" xr:uid="{00000000-0005-0000-0000-00007A150000}"/>
    <cellStyle name="Финансовый 5 2 9" xfId="886" xr:uid="{00000000-0005-0000-0000-00007B150000}"/>
    <cellStyle name="Финансовый 5 3" xfId="113" xr:uid="{00000000-0005-0000-0000-00007C150000}"/>
    <cellStyle name="Финансовый 5 3 10" xfId="2723" xr:uid="{00000000-0005-0000-0000-00007D150000}"/>
    <cellStyle name="Финансовый 5 3 11" xfId="4367" xr:uid="{00000000-0005-0000-0000-00007E150000}"/>
    <cellStyle name="Финансовый 5 3 2" xfId="249" xr:uid="{00000000-0005-0000-0000-00007F150000}"/>
    <cellStyle name="Финансовый 5 3 2 2" xfId="1347" xr:uid="{00000000-0005-0000-0000-000080150000}"/>
    <cellStyle name="Финансовый 5 3 2 2 2" xfId="2305" xr:uid="{00000000-0005-0000-0000-000081150000}"/>
    <cellStyle name="Финансовый 5 3 2 2 2 2" xfId="3950" xr:uid="{00000000-0005-0000-0000-000082150000}"/>
    <cellStyle name="Финансовый 5 3 2 2 2 3" xfId="5733" xr:uid="{00000000-0005-0000-0000-000083150000}"/>
    <cellStyle name="Финансовый 5 3 2 2 3" xfId="3131" xr:uid="{00000000-0005-0000-0000-000084150000}"/>
    <cellStyle name="Финансовый 5 3 2 2 4" xfId="4775" xr:uid="{00000000-0005-0000-0000-000085150000}"/>
    <cellStyle name="Финансовый 5 3 2 3" xfId="2049" xr:uid="{00000000-0005-0000-0000-000086150000}"/>
    <cellStyle name="Финансовый 5 3 2 3 2" xfId="3694" xr:uid="{00000000-0005-0000-0000-000087150000}"/>
    <cellStyle name="Финансовый 5 3 2 3 3" xfId="5477" xr:uid="{00000000-0005-0000-0000-000088150000}"/>
    <cellStyle name="Финансовый 5 3 2 4" xfId="2578" xr:uid="{00000000-0005-0000-0000-000089150000}"/>
    <cellStyle name="Финансовый 5 3 2 4 2" xfId="4223" xr:uid="{00000000-0005-0000-0000-00008A150000}"/>
    <cellStyle name="Финансовый 5 3 2 4 3" xfId="6006" xr:uid="{00000000-0005-0000-0000-00008B150000}"/>
    <cellStyle name="Финансовый 5 3 2 5" xfId="1082" xr:uid="{00000000-0005-0000-0000-00008C150000}"/>
    <cellStyle name="Финансовый 5 3 2 6" xfId="670" xr:uid="{00000000-0005-0000-0000-00008D150000}"/>
    <cellStyle name="Финансовый 5 3 2 7" xfId="2859" xr:uid="{00000000-0005-0000-0000-00008E150000}"/>
    <cellStyle name="Финансовый 5 3 2 8" xfId="4503" xr:uid="{00000000-0005-0000-0000-00008F150000}"/>
    <cellStyle name="Финансовый 5 3 3" xfId="398" xr:uid="{00000000-0005-0000-0000-000090150000}"/>
    <cellStyle name="Финансовый 5 3 3 2" xfId="2177" xr:uid="{00000000-0005-0000-0000-000091150000}"/>
    <cellStyle name="Финансовый 5 3 3 2 2" xfId="3822" xr:uid="{00000000-0005-0000-0000-000092150000}"/>
    <cellStyle name="Финансовый 5 3 3 2 3" xfId="5605" xr:uid="{00000000-0005-0000-0000-000093150000}"/>
    <cellStyle name="Финансовый 5 3 3 3" xfId="1211" xr:uid="{00000000-0005-0000-0000-000094150000}"/>
    <cellStyle name="Финансовый 5 3 3 4" xfId="818" xr:uid="{00000000-0005-0000-0000-000095150000}"/>
    <cellStyle name="Финансовый 5 3 3 5" xfId="2995" xr:uid="{00000000-0005-0000-0000-000096150000}"/>
    <cellStyle name="Финансовый 5 3 3 6" xfId="4639" xr:uid="{00000000-0005-0000-0000-000097150000}"/>
    <cellStyle name="Финансовый 5 3 4" xfId="1546" xr:uid="{00000000-0005-0000-0000-000098150000}"/>
    <cellStyle name="Финансовый 5 3 4 2" xfId="1921" xr:uid="{00000000-0005-0000-0000-000099150000}"/>
    <cellStyle name="Финансовый 5 3 4 2 2" xfId="3566" xr:uid="{00000000-0005-0000-0000-00009A150000}"/>
    <cellStyle name="Финансовый 5 3 4 2 3" xfId="5349" xr:uid="{00000000-0005-0000-0000-00009B150000}"/>
    <cellStyle name="Финансовый 5 3 4 3" xfId="4974" xr:uid="{00000000-0005-0000-0000-00009C150000}"/>
    <cellStyle name="Финансовый 5 3 5" xfId="1797" xr:uid="{00000000-0005-0000-0000-00009D150000}"/>
    <cellStyle name="Финансовый 5 3 5 2" xfId="3442" xr:uid="{00000000-0005-0000-0000-00009E150000}"/>
    <cellStyle name="Финансовый 5 3 5 3" xfId="5225" xr:uid="{00000000-0005-0000-0000-00009F150000}"/>
    <cellStyle name="Финансовый 5 3 6" xfId="2442" xr:uid="{00000000-0005-0000-0000-0000A0150000}"/>
    <cellStyle name="Финансовый 5 3 6 2" xfId="4087" xr:uid="{00000000-0005-0000-0000-0000A1150000}"/>
    <cellStyle name="Финансовый 5 3 6 3" xfId="5870" xr:uid="{00000000-0005-0000-0000-0000A2150000}"/>
    <cellStyle name="Финансовый 5 3 7" xfId="1669" xr:uid="{00000000-0005-0000-0000-0000A3150000}"/>
    <cellStyle name="Финансовый 5 3 7 2" xfId="3314" xr:uid="{00000000-0005-0000-0000-0000A4150000}"/>
    <cellStyle name="Финансовый 5 3 7 3" xfId="5097" xr:uid="{00000000-0005-0000-0000-0000A5150000}"/>
    <cellStyle name="Финансовый 5 3 8" xfId="946" xr:uid="{00000000-0005-0000-0000-0000A6150000}"/>
    <cellStyle name="Финансовый 5 3 9" xfId="534" xr:uid="{00000000-0005-0000-0000-0000A7150000}"/>
    <cellStyle name="Финансовый 5 4" xfId="77" xr:uid="{00000000-0005-0000-0000-0000A8150000}"/>
    <cellStyle name="Финансовый 5 4 10" xfId="2687" xr:uid="{00000000-0005-0000-0000-0000A9150000}"/>
    <cellStyle name="Финансовый 5 4 11" xfId="4331" xr:uid="{00000000-0005-0000-0000-0000AA150000}"/>
    <cellStyle name="Финансовый 5 4 2" xfId="213" xr:uid="{00000000-0005-0000-0000-0000AB150000}"/>
    <cellStyle name="Финансовый 5 4 2 2" xfId="1311" xr:uid="{00000000-0005-0000-0000-0000AC150000}"/>
    <cellStyle name="Финансовый 5 4 2 2 2" xfId="2269" xr:uid="{00000000-0005-0000-0000-0000AD150000}"/>
    <cellStyle name="Финансовый 5 4 2 2 2 2" xfId="3914" xr:uid="{00000000-0005-0000-0000-0000AE150000}"/>
    <cellStyle name="Финансовый 5 4 2 2 2 3" xfId="5697" xr:uid="{00000000-0005-0000-0000-0000AF150000}"/>
    <cellStyle name="Финансовый 5 4 2 2 3" xfId="3095" xr:uid="{00000000-0005-0000-0000-0000B0150000}"/>
    <cellStyle name="Финансовый 5 4 2 2 4" xfId="4739" xr:uid="{00000000-0005-0000-0000-0000B1150000}"/>
    <cellStyle name="Финансовый 5 4 2 3" xfId="2013" xr:uid="{00000000-0005-0000-0000-0000B2150000}"/>
    <cellStyle name="Финансовый 5 4 2 3 2" xfId="3658" xr:uid="{00000000-0005-0000-0000-0000B3150000}"/>
    <cellStyle name="Финансовый 5 4 2 3 3" xfId="5441" xr:uid="{00000000-0005-0000-0000-0000B4150000}"/>
    <cellStyle name="Финансовый 5 4 2 4" xfId="2542" xr:uid="{00000000-0005-0000-0000-0000B5150000}"/>
    <cellStyle name="Финансовый 5 4 2 4 2" xfId="4187" xr:uid="{00000000-0005-0000-0000-0000B6150000}"/>
    <cellStyle name="Финансовый 5 4 2 4 3" xfId="5970" xr:uid="{00000000-0005-0000-0000-0000B7150000}"/>
    <cellStyle name="Финансовый 5 4 2 5" xfId="1046" xr:uid="{00000000-0005-0000-0000-0000B8150000}"/>
    <cellStyle name="Финансовый 5 4 2 6" xfId="634" xr:uid="{00000000-0005-0000-0000-0000B9150000}"/>
    <cellStyle name="Финансовый 5 4 2 7" xfId="2823" xr:uid="{00000000-0005-0000-0000-0000BA150000}"/>
    <cellStyle name="Финансовый 5 4 2 8" xfId="4467" xr:uid="{00000000-0005-0000-0000-0000BB150000}"/>
    <cellStyle name="Финансовый 5 4 3" xfId="362" xr:uid="{00000000-0005-0000-0000-0000BC150000}"/>
    <cellStyle name="Финансовый 5 4 3 2" xfId="2141" xr:uid="{00000000-0005-0000-0000-0000BD150000}"/>
    <cellStyle name="Финансовый 5 4 3 2 2" xfId="3786" xr:uid="{00000000-0005-0000-0000-0000BE150000}"/>
    <cellStyle name="Финансовый 5 4 3 2 3" xfId="5569" xr:uid="{00000000-0005-0000-0000-0000BF150000}"/>
    <cellStyle name="Финансовый 5 4 3 3" xfId="1175" xr:uid="{00000000-0005-0000-0000-0000C0150000}"/>
    <cellStyle name="Финансовый 5 4 3 4" xfId="782" xr:uid="{00000000-0005-0000-0000-0000C1150000}"/>
    <cellStyle name="Финансовый 5 4 3 5" xfId="2959" xr:uid="{00000000-0005-0000-0000-0000C2150000}"/>
    <cellStyle name="Финансовый 5 4 3 6" xfId="4603" xr:uid="{00000000-0005-0000-0000-0000C3150000}"/>
    <cellStyle name="Финансовый 5 4 4" xfId="1547" xr:uid="{00000000-0005-0000-0000-0000C4150000}"/>
    <cellStyle name="Финансовый 5 4 4 2" xfId="1885" xr:uid="{00000000-0005-0000-0000-0000C5150000}"/>
    <cellStyle name="Финансовый 5 4 4 2 2" xfId="3530" xr:uid="{00000000-0005-0000-0000-0000C6150000}"/>
    <cellStyle name="Финансовый 5 4 4 2 3" xfId="5313" xr:uid="{00000000-0005-0000-0000-0000C7150000}"/>
    <cellStyle name="Финансовый 5 4 4 3" xfId="4975" xr:uid="{00000000-0005-0000-0000-0000C8150000}"/>
    <cellStyle name="Финансовый 5 4 5" xfId="1761" xr:uid="{00000000-0005-0000-0000-0000C9150000}"/>
    <cellStyle name="Финансовый 5 4 5 2" xfId="3406" xr:uid="{00000000-0005-0000-0000-0000CA150000}"/>
    <cellStyle name="Финансовый 5 4 5 3" xfId="5189" xr:uid="{00000000-0005-0000-0000-0000CB150000}"/>
    <cellStyle name="Финансовый 5 4 6" xfId="2406" xr:uid="{00000000-0005-0000-0000-0000CC150000}"/>
    <cellStyle name="Финансовый 5 4 6 2" xfId="4051" xr:uid="{00000000-0005-0000-0000-0000CD150000}"/>
    <cellStyle name="Финансовый 5 4 6 3" xfId="5834" xr:uid="{00000000-0005-0000-0000-0000CE150000}"/>
    <cellStyle name="Финансовый 5 4 7" xfId="1633" xr:uid="{00000000-0005-0000-0000-0000CF150000}"/>
    <cellStyle name="Финансовый 5 4 7 2" xfId="3278" xr:uid="{00000000-0005-0000-0000-0000D0150000}"/>
    <cellStyle name="Финансовый 5 4 7 3" xfId="5061" xr:uid="{00000000-0005-0000-0000-0000D1150000}"/>
    <cellStyle name="Финансовый 5 4 8" xfId="910" xr:uid="{00000000-0005-0000-0000-0000D2150000}"/>
    <cellStyle name="Финансовый 5 4 9" xfId="498" xr:uid="{00000000-0005-0000-0000-0000D3150000}"/>
    <cellStyle name="Финансовый 5 5" xfId="55" xr:uid="{00000000-0005-0000-0000-0000D4150000}"/>
    <cellStyle name="Финансовый 5 5 10" xfId="2667" xr:uid="{00000000-0005-0000-0000-0000D5150000}"/>
    <cellStyle name="Финансовый 5 5 11" xfId="4310" xr:uid="{00000000-0005-0000-0000-0000D6150000}"/>
    <cellStyle name="Финансовый 5 5 2" xfId="193" xr:uid="{00000000-0005-0000-0000-0000D7150000}"/>
    <cellStyle name="Финансовый 5 5 2 2" xfId="1291" xr:uid="{00000000-0005-0000-0000-0000D8150000}"/>
    <cellStyle name="Финансовый 5 5 2 2 2" xfId="2257" xr:uid="{00000000-0005-0000-0000-0000D9150000}"/>
    <cellStyle name="Финансовый 5 5 2 2 2 2" xfId="3902" xr:uid="{00000000-0005-0000-0000-0000DA150000}"/>
    <cellStyle name="Финансовый 5 5 2 2 2 3" xfId="5685" xr:uid="{00000000-0005-0000-0000-0000DB150000}"/>
    <cellStyle name="Финансовый 5 5 2 2 3" xfId="3075" xr:uid="{00000000-0005-0000-0000-0000DC150000}"/>
    <cellStyle name="Финансовый 5 5 2 2 4" xfId="4719" xr:uid="{00000000-0005-0000-0000-0000DD150000}"/>
    <cellStyle name="Финансовый 5 5 2 3" xfId="2001" xr:uid="{00000000-0005-0000-0000-0000DE150000}"/>
    <cellStyle name="Финансовый 5 5 2 3 2" xfId="3646" xr:uid="{00000000-0005-0000-0000-0000DF150000}"/>
    <cellStyle name="Финансовый 5 5 2 3 3" xfId="5429" xr:uid="{00000000-0005-0000-0000-0000E0150000}"/>
    <cellStyle name="Финансовый 5 5 2 4" xfId="2522" xr:uid="{00000000-0005-0000-0000-0000E1150000}"/>
    <cellStyle name="Финансовый 5 5 2 4 2" xfId="4167" xr:uid="{00000000-0005-0000-0000-0000E2150000}"/>
    <cellStyle name="Финансовый 5 5 2 4 3" xfId="5950" xr:uid="{00000000-0005-0000-0000-0000E3150000}"/>
    <cellStyle name="Финансовый 5 5 2 5" xfId="1026" xr:uid="{00000000-0005-0000-0000-0000E4150000}"/>
    <cellStyle name="Финансовый 5 5 2 6" xfId="614" xr:uid="{00000000-0005-0000-0000-0000E5150000}"/>
    <cellStyle name="Финансовый 5 5 2 7" xfId="2803" xr:uid="{00000000-0005-0000-0000-0000E6150000}"/>
    <cellStyle name="Финансовый 5 5 2 8" xfId="4447" xr:uid="{00000000-0005-0000-0000-0000E7150000}"/>
    <cellStyle name="Финансовый 5 5 3" xfId="342" xr:uid="{00000000-0005-0000-0000-0000E8150000}"/>
    <cellStyle name="Финансовый 5 5 3 2" xfId="2129" xr:uid="{00000000-0005-0000-0000-0000E9150000}"/>
    <cellStyle name="Финансовый 5 5 3 2 2" xfId="3774" xr:uid="{00000000-0005-0000-0000-0000EA150000}"/>
    <cellStyle name="Финансовый 5 5 3 2 3" xfId="5557" xr:uid="{00000000-0005-0000-0000-0000EB150000}"/>
    <cellStyle name="Финансовый 5 5 3 3" xfId="1162" xr:uid="{00000000-0005-0000-0000-0000EC150000}"/>
    <cellStyle name="Финансовый 5 5 3 4" xfId="762" xr:uid="{00000000-0005-0000-0000-0000ED150000}"/>
    <cellStyle name="Финансовый 5 5 3 5" xfId="2939" xr:uid="{00000000-0005-0000-0000-0000EE150000}"/>
    <cellStyle name="Финансовый 5 5 3 6" xfId="4583" xr:uid="{00000000-0005-0000-0000-0000EF150000}"/>
    <cellStyle name="Финансовый 5 5 4" xfId="1548" xr:uid="{00000000-0005-0000-0000-0000F0150000}"/>
    <cellStyle name="Финансовый 5 5 4 2" xfId="1865" xr:uid="{00000000-0005-0000-0000-0000F1150000}"/>
    <cellStyle name="Финансовый 5 5 4 2 2" xfId="3510" xr:uid="{00000000-0005-0000-0000-0000F2150000}"/>
    <cellStyle name="Финансовый 5 5 4 2 3" xfId="5293" xr:uid="{00000000-0005-0000-0000-0000F3150000}"/>
    <cellStyle name="Финансовый 5 5 4 3" xfId="4976" xr:uid="{00000000-0005-0000-0000-0000F4150000}"/>
    <cellStyle name="Финансовый 5 5 5" xfId="1749" xr:uid="{00000000-0005-0000-0000-0000F5150000}"/>
    <cellStyle name="Финансовый 5 5 5 2" xfId="3394" xr:uid="{00000000-0005-0000-0000-0000F6150000}"/>
    <cellStyle name="Финансовый 5 5 5 3" xfId="5177" xr:uid="{00000000-0005-0000-0000-0000F7150000}"/>
    <cellStyle name="Финансовый 5 5 6" xfId="2385" xr:uid="{00000000-0005-0000-0000-0000F8150000}"/>
    <cellStyle name="Финансовый 5 5 6 2" xfId="4030" xr:uid="{00000000-0005-0000-0000-0000F9150000}"/>
    <cellStyle name="Финансовый 5 5 6 3" xfId="5813" xr:uid="{00000000-0005-0000-0000-0000FA150000}"/>
    <cellStyle name="Финансовый 5 5 7" xfId="1612" xr:uid="{00000000-0005-0000-0000-0000FB150000}"/>
    <cellStyle name="Финансовый 5 5 7 2" xfId="3257" xr:uid="{00000000-0005-0000-0000-0000FC150000}"/>
    <cellStyle name="Финансовый 5 5 7 3" xfId="5040" xr:uid="{00000000-0005-0000-0000-0000FD150000}"/>
    <cellStyle name="Финансовый 5 5 8" xfId="898" xr:uid="{00000000-0005-0000-0000-0000FE150000}"/>
    <cellStyle name="Финансовый 5 5 9" xfId="478" xr:uid="{00000000-0005-0000-0000-0000FF150000}"/>
    <cellStyle name="Финансовый 5 6" xfId="133" xr:uid="{00000000-0005-0000-0000-000000160000}"/>
    <cellStyle name="Финансовый 5 6 10" xfId="2743" xr:uid="{00000000-0005-0000-0000-000001160000}"/>
    <cellStyle name="Финансовый 5 6 11" xfId="4387" xr:uid="{00000000-0005-0000-0000-000002160000}"/>
    <cellStyle name="Финансовый 5 6 2" xfId="269" xr:uid="{00000000-0005-0000-0000-000003160000}"/>
    <cellStyle name="Финансовый 5 6 2 2" xfId="1367" xr:uid="{00000000-0005-0000-0000-000004160000}"/>
    <cellStyle name="Финансовый 5 6 2 2 2" xfId="2325" xr:uid="{00000000-0005-0000-0000-000005160000}"/>
    <cellStyle name="Финансовый 5 6 2 2 2 2" xfId="3970" xr:uid="{00000000-0005-0000-0000-000006160000}"/>
    <cellStyle name="Финансовый 5 6 2 2 2 3" xfId="5753" xr:uid="{00000000-0005-0000-0000-000007160000}"/>
    <cellStyle name="Финансовый 5 6 2 2 3" xfId="3151" xr:uid="{00000000-0005-0000-0000-000008160000}"/>
    <cellStyle name="Финансовый 5 6 2 2 4" xfId="4795" xr:uid="{00000000-0005-0000-0000-000009160000}"/>
    <cellStyle name="Финансовый 5 6 2 3" xfId="2069" xr:uid="{00000000-0005-0000-0000-00000A160000}"/>
    <cellStyle name="Финансовый 5 6 2 3 2" xfId="3714" xr:uid="{00000000-0005-0000-0000-00000B160000}"/>
    <cellStyle name="Финансовый 5 6 2 3 3" xfId="5497" xr:uid="{00000000-0005-0000-0000-00000C160000}"/>
    <cellStyle name="Финансовый 5 6 2 4" xfId="2598" xr:uid="{00000000-0005-0000-0000-00000D160000}"/>
    <cellStyle name="Финансовый 5 6 2 4 2" xfId="4243" xr:uid="{00000000-0005-0000-0000-00000E160000}"/>
    <cellStyle name="Финансовый 5 6 2 4 3" xfId="6026" xr:uid="{00000000-0005-0000-0000-00000F160000}"/>
    <cellStyle name="Финансовый 5 6 2 5" xfId="1102" xr:uid="{00000000-0005-0000-0000-000010160000}"/>
    <cellStyle name="Финансовый 5 6 2 6" xfId="690" xr:uid="{00000000-0005-0000-0000-000011160000}"/>
    <cellStyle name="Финансовый 5 6 2 7" xfId="2879" xr:uid="{00000000-0005-0000-0000-000012160000}"/>
    <cellStyle name="Финансовый 5 6 2 8" xfId="4523" xr:uid="{00000000-0005-0000-0000-000013160000}"/>
    <cellStyle name="Финансовый 5 6 3" xfId="418" xr:uid="{00000000-0005-0000-0000-000014160000}"/>
    <cellStyle name="Финансовый 5 6 3 2" xfId="2197" xr:uid="{00000000-0005-0000-0000-000015160000}"/>
    <cellStyle name="Финансовый 5 6 3 2 2" xfId="3842" xr:uid="{00000000-0005-0000-0000-000016160000}"/>
    <cellStyle name="Финансовый 5 6 3 2 3" xfId="5625" xr:uid="{00000000-0005-0000-0000-000017160000}"/>
    <cellStyle name="Финансовый 5 6 3 3" xfId="1231" xr:uid="{00000000-0005-0000-0000-000018160000}"/>
    <cellStyle name="Финансовый 5 6 3 4" xfId="838" xr:uid="{00000000-0005-0000-0000-000019160000}"/>
    <cellStyle name="Финансовый 5 6 3 5" xfId="3015" xr:uid="{00000000-0005-0000-0000-00001A160000}"/>
    <cellStyle name="Финансовый 5 6 3 6" xfId="4659" xr:uid="{00000000-0005-0000-0000-00001B160000}"/>
    <cellStyle name="Финансовый 5 6 4" xfId="1549" xr:uid="{00000000-0005-0000-0000-00001C160000}"/>
    <cellStyle name="Финансовый 5 6 4 2" xfId="1941" xr:uid="{00000000-0005-0000-0000-00001D160000}"/>
    <cellStyle name="Финансовый 5 6 4 2 2" xfId="3586" xr:uid="{00000000-0005-0000-0000-00001E160000}"/>
    <cellStyle name="Финансовый 5 6 4 2 3" xfId="5369" xr:uid="{00000000-0005-0000-0000-00001F160000}"/>
    <cellStyle name="Финансовый 5 6 4 3" xfId="4977" xr:uid="{00000000-0005-0000-0000-000020160000}"/>
    <cellStyle name="Финансовый 5 6 5" xfId="1817" xr:uid="{00000000-0005-0000-0000-000021160000}"/>
    <cellStyle name="Финансовый 5 6 5 2" xfId="3462" xr:uid="{00000000-0005-0000-0000-000022160000}"/>
    <cellStyle name="Финансовый 5 6 5 3" xfId="5245" xr:uid="{00000000-0005-0000-0000-000023160000}"/>
    <cellStyle name="Финансовый 5 6 6" xfId="2462" xr:uid="{00000000-0005-0000-0000-000024160000}"/>
    <cellStyle name="Финансовый 5 6 6 2" xfId="4107" xr:uid="{00000000-0005-0000-0000-000025160000}"/>
    <cellStyle name="Финансовый 5 6 6 3" xfId="5890" xr:uid="{00000000-0005-0000-0000-000026160000}"/>
    <cellStyle name="Финансовый 5 6 7" xfId="1689" xr:uid="{00000000-0005-0000-0000-000027160000}"/>
    <cellStyle name="Финансовый 5 6 7 2" xfId="3334" xr:uid="{00000000-0005-0000-0000-000028160000}"/>
    <cellStyle name="Финансовый 5 6 7 3" xfId="5117" xr:uid="{00000000-0005-0000-0000-000029160000}"/>
    <cellStyle name="Финансовый 5 6 8" xfId="966" xr:uid="{00000000-0005-0000-0000-00002A160000}"/>
    <cellStyle name="Финансовый 5 6 9" xfId="554" xr:uid="{00000000-0005-0000-0000-00002B160000}"/>
    <cellStyle name="Финансовый 5 7" xfId="31" xr:uid="{00000000-0005-0000-0000-00002C160000}"/>
    <cellStyle name="Финансовый 5 7 10" xfId="2643" xr:uid="{00000000-0005-0000-0000-00002D160000}"/>
    <cellStyle name="Финансовый 5 7 11" xfId="4286" xr:uid="{00000000-0005-0000-0000-00002E160000}"/>
    <cellStyle name="Финансовый 5 7 2" xfId="169" xr:uid="{00000000-0005-0000-0000-00002F160000}"/>
    <cellStyle name="Финансовый 5 7 2 2" xfId="1267" xr:uid="{00000000-0005-0000-0000-000030160000}"/>
    <cellStyle name="Финансовый 5 7 2 2 2" xfId="2233" xr:uid="{00000000-0005-0000-0000-000031160000}"/>
    <cellStyle name="Финансовый 5 7 2 2 2 2" xfId="3878" xr:uid="{00000000-0005-0000-0000-000032160000}"/>
    <cellStyle name="Финансовый 5 7 2 2 2 3" xfId="5661" xr:uid="{00000000-0005-0000-0000-000033160000}"/>
    <cellStyle name="Финансовый 5 7 2 2 3" xfId="3051" xr:uid="{00000000-0005-0000-0000-000034160000}"/>
    <cellStyle name="Финансовый 5 7 2 2 4" xfId="4695" xr:uid="{00000000-0005-0000-0000-000035160000}"/>
    <cellStyle name="Финансовый 5 7 2 3" xfId="1977" xr:uid="{00000000-0005-0000-0000-000036160000}"/>
    <cellStyle name="Финансовый 5 7 2 3 2" xfId="3622" xr:uid="{00000000-0005-0000-0000-000037160000}"/>
    <cellStyle name="Финансовый 5 7 2 3 3" xfId="5405" xr:uid="{00000000-0005-0000-0000-000038160000}"/>
    <cellStyle name="Финансовый 5 7 2 4" xfId="2498" xr:uid="{00000000-0005-0000-0000-000039160000}"/>
    <cellStyle name="Финансовый 5 7 2 4 2" xfId="4143" xr:uid="{00000000-0005-0000-0000-00003A160000}"/>
    <cellStyle name="Финансовый 5 7 2 4 3" xfId="5926" xr:uid="{00000000-0005-0000-0000-00003B160000}"/>
    <cellStyle name="Финансовый 5 7 2 5" xfId="1002" xr:uid="{00000000-0005-0000-0000-00003C160000}"/>
    <cellStyle name="Финансовый 5 7 2 6" xfId="590" xr:uid="{00000000-0005-0000-0000-00003D160000}"/>
    <cellStyle name="Финансовый 5 7 2 7" xfId="2779" xr:uid="{00000000-0005-0000-0000-00003E160000}"/>
    <cellStyle name="Финансовый 5 7 2 8" xfId="4423" xr:uid="{00000000-0005-0000-0000-00003F160000}"/>
    <cellStyle name="Финансовый 5 7 3" xfId="318" xr:uid="{00000000-0005-0000-0000-000040160000}"/>
    <cellStyle name="Финансовый 5 7 3 2" xfId="2105" xr:uid="{00000000-0005-0000-0000-000041160000}"/>
    <cellStyle name="Финансовый 5 7 3 2 2" xfId="3750" xr:uid="{00000000-0005-0000-0000-000042160000}"/>
    <cellStyle name="Финансовый 5 7 3 2 3" xfId="5533" xr:uid="{00000000-0005-0000-0000-000043160000}"/>
    <cellStyle name="Финансовый 5 7 3 3" xfId="1138" xr:uid="{00000000-0005-0000-0000-000044160000}"/>
    <cellStyle name="Финансовый 5 7 3 4" xfId="738" xr:uid="{00000000-0005-0000-0000-000045160000}"/>
    <cellStyle name="Финансовый 5 7 3 5" xfId="2915" xr:uid="{00000000-0005-0000-0000-000046160000}"/>
    <cellStyle name="Финансовый 5 7 3 6" xfId="4559" xr:uid="{00000000-0005-0000-0000-000047160000}"/>
    <cellStyle name="Финансовый 5 7 4" xfId="1550" xr:uid="{00000000-0005-0000-0000-000048160000}"/>
    <cellStyle name="Финансовый 5 7 4 2" xfId="1841" xr:uid="{00000000-0005-0000-0000-000049160000}"/>
    <cellStyle name="Финансовый 5 7 4 2 2" xfId="3486" xr:uid="{00000000-0005-0000-0000-00004A160000}"/>
    <cellStyle name="Финансовый 5 7 4 2 3" xfId="5269" xr:uid="{00000000-0005-0000-0000-00004B160000}"/>
    <cellStyle name="Финансовый 5 7 4 3" xfId="4978" xr:uid="{00000000-0005-0000-0000-00004C160000}"/>
    <cellStyle name="Финансовый 5 7 5" xfId="1725" xr:uid="{00000000-0005-0000-0000-00004D160000}"/>
    <cellStyle name="Финансовый 5 7 5 2" xfId="3370" xr:uid="{00000000-0005-0000-0000-00004E160000}"/>
    <cellStyle name="Финансовый 5 7 5 3" xfId="5153" xr:uid="{00000000-0005-0000-0000-00004F160000}"/>
    <cellStyle name="Финансовый 5 7 6" xfId="2361" xr:uid="{00000000-0005-0000-0000-000050160000}"/>
    <cellStyle name="Финансовый 5 7 6 2" xfId="4006" xr:uid="{00000000-0005-0000-0000-000051160000}"/>
    <cellStyle name="Финансовый 5 7 6 3" xfId="5789" xr:uid="{00000000-0005-0000-0000-000052160000}"/>
    <cellStyle name="Финансовый 5 7 7" xfId="1588" xr:uid="{00000000-0005-0000-0000-000053160000}"/>
    <cellStyle name="Финансовый 5 7 7 2" xfId="3233" xr:uid="{00000000-0005-0000-0000-000054160000}"/>
    <cellStyle name="Финансовый 5 7 7 3" xfId="5016" xr:uid="{00000000-0005-0000-0000-000055160000}"/>
    <cellStyle name="Финансовый 5 7 8" xfId="874" xr:uid="{00000000-0005-0000-0000-000056160000}"/>
    <cellStyle name="Финансовый 5 7 9" xfId="454" xr:uid="{00000000-0005-0000-0000-000057160000}"/>
    <cellStyle name="Финансовый 5 8" xfId="19" xr:uid="{00000000-0005-0000-0000-000058160000}"/>
    <cellStyle name="Финансовый 5 8 10" xfId="2631" xr:uid="{00000000-0005-0000-0000-000059160000}"/>
    <cellStyle name="Финансовый 5 8 11" xfId="4274" xr:uid="{00000000-0005-0000-0000-00005A160000}"/>
    <cellStyle name="Финансовый 5 8 2" xfId="157" xr:uid="{00000000-0005-0000-0000-00005B160000}"/>
    <cellStyle name="Финансовый 5 8 2 2" xfId="1255" xr:uid="{00000000-0005-0000-0000-00005C160000}"/>
    <cellStyle name="Финансовый 5 8 2 2 2" xfId="2221" xr:uid="{00000000-0005-0000-0000-00005D160000}"/>
    <cellStyle name="Финансовый 5 8 2 2 2 2" xfId="3866" xr:uid="{00000000-0005-0000-0000-00005E160000}"/>
    <cellStyle name="Финансовый 5 8 2 2 2 3" xfId="5649" xr:uid="{00000000-0005-0000-0000-00005F160000}"/>
    <cellStyle name="Финансовый 5 8 2 2 3" xfId="3039" xr:uid="{00000000-0005-0000-0000-000060160000}"/>
    <cellStyle name="Финансовый 5 8 2 2 4" xfId="4683" xr:uid="{00000000-0005-0000-0000-000061160000}"/>
    <cellStyle name="Финансовый 5 8 2 3" xfId="1965" xr:uid="{00000000-0005-0000-0000-000062160000}"/>
    <cellStyle name="Финансовый 5 8 2 3 2" xfId="3610" xr:uid="{00000000-0005-0000-0000-000063160000}"/>
    <cellStyle name="Финансовый 5 8 2 3 3" xfId="5393" xr:uid="{00000000-0005-0000-0000-000064160000}"/>
    <cellStyle name="Финансовый 5 8 2 4" xfId="2486" xr:uid="{00000000-0005-0000-0000-000065160000}"/>
    <cellStyle name="Финансовый 5 8 2 4 2" xfId="4131" xr:uid="{00000000-0005-0000-0000-000066160000}"/>
    <cellStyle name="Финансовый 5 8 2 4 3" xfId="5914" xr:uid="{00000000-0005-0000-0000-000067160000}"/>
    <cellStyle name="Финансовый 5 8 2 5" xfId="990" xr:uid="{00000000-0005-0000-0000-000068160000}"/>
    <cellStyle name="Финансовый 5 8 2 6" xfId="578" xr:uid="{00000000-0005-0000-0000-000069160000}"/>
    <cellStyle name="Финансовый 5 8 2 7" xfId="2767" xr:uid="{00000000-0005-0000-0000-00006A160000}"/>
    <cellStyle name="Финансовый 5 8 2 8" xfId="4411" xr:uid="{00000000-0005-0000-0000-00006B160000}"/>
    <cellStyle name="Финансовый 5 8 3" xfId="306" xr:uid="{00000000-0005-0000-0000-00006C160000}"/>
    <cellStyle name="Финансовый 5 8 3 2" xfId="2093" xr:uid="{00000000-0005-0000-0000-00006D160000}"/>
    <cellStyle name="Финансовый 5 8 3 2 2" xfId="3738" xr:uid="{00000000-0005-0000-0000-00006E160000}"/>
    <cellStyle name="Финансовый 5 8 3 2 3" xfId="5521" xr:uid="{00000000-0005-0000-0000-00006F160000}"/>
    <cellStyle name="Финансовый 5 8 3 3" xfId="1126" xr:uid="{00000000-0005-0000-0000-000070160000}"/>
    <cellStyle name="Финансовый 5 8 3 4" xfId="726" xr:uid="{00000000-0005-0000-0000-000071160000}"/>
    <cellStyle name="Финансовый 5 8 3 5" xfId="2903" xr:uid="{00000000-0005-0000-0000-000072160000}"/>
    <cellStyle name="Финансовый 5 8 3 6" xfId="4547" xr:uid="{00000000-0005-0000-0000-000073160000}"/>
    <cellStyle name="Финансовый 5 8 4" xfId="1551" xr:uid="{00000000-0005-0000-0000-000074160000}"/>
    <cellStyle name="Финансовый 5 8 4 2" xfId="1829" xr:uid="{00000000-0005-0000-0000-000075160000}"/>
    <cellStyle name="Финансовый 5 8 4 2 2" xfId="3474" xr:uid="{00000000-0005-0000-0000-000076160000}"/>
    <cellStyle name="Финансовый 5 8 4 2 3" xfId="5257" xr:uid="{00000000-0005-0000-0000-000077160000}"/>
    <cellStyle name="Финансовый 5 8 4 3" xfId="4979" xr:uid="{00000000-0005-0000-0000-000078160000}"/>
    <cellStyle name="Финансовый 5 8 5" xfId="1713" xr:uid="{00000000-0005-0000-0000-000079160000}"/>
    <cellStyle name="Финансовый 5 8 5 2" xfId="3358" xr:uid="{00000000-0005-0000-0000-00007A160000}"/>
    <cellStyle name="Финансовый 5 8 5 3" xfId="5141" xr:uid="{00000000-0005-0000-0000-00007B160000}"/>
    <cellStyle name="Финансовый 5 8 6" xfId="2349" xr:uid="{00000000-0005-0000-0000-00007C160000}"/>
    <cellStyle name="Финансовый 5 8 6 2" xfId="3994" xr:uid="{00000000-0005-0000-0000-00007D160000}"/>
    <cellStyle name="Финансовый 5 8 6 3" xfId="5777" xr:uid="{00000000-0005-0000-0000-00007E160000}"/>
    <cellStyle name="Финансовый 5 8 7" xfId="1576" xr:uid="{00000000-0005-0000-0000-00007F160000}"/>
    <cellStyle name="Финансовый 5 8 7 2" xfId="3221" xr:uid="{00000000-0005-0000-0000-000080160000}"/>
    <cellStyle name="Финансовый 5 8 7 3" xfId="5004" xr:uid="{00000000-0005-0000-0000-000081160000}"/>
    <cellStyle name="Финансовый 5 8 8" xfId="862" xr:uid="{00000000-0005-0000-0000-000082160000}"/>
    <cellStyle name="Финансовый 5 8 9" xfId="442" xr:uid="{00000000-0005-0000-0000-000083160000}"/>
    <cellStyle name="Финансовый 5 9" xfId="145" xr:uid="{00000000-0005-0000-0000-000084160000}"/>
    <cellStyle name="Финансовый 5 9 2" xfId="1243" xr:uid="{00000000-0005-0000-0000-000085160000}"/>
    <cellStyle name="Финансовый 5 9 2 2" xfId="2209" xr:uid="{00000000-0005-0000-0000-000086160000}"/>
    <cellStyle name="Финансовый 5 9 2 2 2" xfId="3854" xr:uid="{00000000-0005-0000-0000-000087160000}"/>
    <cellStyle name="Финансовый 5 9 2 2 3" xfId="5637" xr:uid="{00000000-0005-0000-0000-000088160000}"/>
    <cellStyle name="Финансовый 5 9 2 3" xfId="3027" xr:uid="{00000000-0005-0000-0000-000089160000}"/>
    <cellStyle name="Финансовый 5 9 2 4" xfId="4671" xr:uid="{00000000-0005-0000-0000-00008A160000}"/>
    <cellStyle name="Финансовый 5 9 3" xfId="1953" xr:uid="{00000000-0005-0000-0000-00008B160000}"/>
    <cellStyle name="Финансовый 5 9 3 2" xfId="3598" xr:uid="{00000000-0005-0000-0000-00008C160000}"/>
    <cellStyle name="Финансовый 5 9 3 3" xfId="5381" xr:uid="{00000000-0005-0000-0000-00008D160000}"/>
    <cellStyle name="Финансовый 5 9 4" xfId="2474" xr:uid="{00000000-0005-0000-0000-00008E160000}"/>
    <cellStyle name="Финансовый 5 9 4 2" xfId="4119" xr:uid="{00000000-0005-0000-0000-00008F160000}"/>
    <cellStyle name="Финансовый 5 9 4 3" xfId="5902" xr:uid="{00000000-0005-0000-0000-000090160000}"/>
    <cellStyle name="Финансовый 5 9 5" xfId="978" xr:uid="{00000000-0005-0000-0000-000091160000}"/>
    <cellStyle name="Финансовый 5 9 6" xfId="566" xr:uid="{00000000-0005-0000-0000-000092160000}"/>
    <cellStyle name="Финансовый 5 9 7" xfId="2755" xr:uid="{00000000-0005-0000-0000-000093160000}"/>
    <cellStyle name="Финансовый 5 9 8" xfId="4399" xr:uid="{00000000-0005-0000-0000-000094160000}"/>
    <cellStyle name="Финансовый 6" xfId="37" xr:uid="{00000000-0005-0000-0000-000095160000}"/>
    <cellStyle name="Финансовый 6 10" xfId="880" xr:uid="{00000000-0005-0000-0000-000096160000}"/>
    <cellStyle name="Финансовый 6 11" xfId="460" xr:uid="{00000000-0005-0000-0000-000097160000}"/>
    <cellStyle name="Финансовый 6 12" xfId="2649" xr:uid="{00000000-0005-0000-0000-000098160000}"/>
    <cellStyle name="Финансовый 6 13" xfId="4292" xr:uid="{00000000-0005-0000-0000-000099160000}"/>
    <cellStyle name="Финансовый 6 2" xfId="119" xr:uid="{00000000-0005-0000-0000-00009A160000}"/>
    <cellStyle name="Финансовый 6 2 10" xfId="2729" xr:uid="{00000000-0005-0000-0000-00009B160000}"/>
    <cellStyle name="Финансовый 6 2 11" xfId="4373" xr:uid="{00000000-0005-0000-0000-00009C160000}"/>
    <cellStyle name="Финансовый 6 2 2" xfId="255" xr:uid="{00000000-0005-0000-0000-00009D160000}"/>
    <cellStyle name="Финансовый 6 2 2 2" xfId="1353" xr:uid="{00000000-0005-0000-0000-00009E160000}"/>
    <cellStyle name="Финансовый 6 2 2 2 2" xfId="2311" xr:uid="{00000000-0005-0000-0000-00009F160000}"/>
    <cellStyle name="Финансовый 6 2 2 2 2 2" xfId="3956" xr:uid="{00000000-0005-0000-0000-0000A0160000}"/>
    <cellStyle name="Финансовый 6 2 2 2 2 3" xfId="5739" xr:uid="{00000000-0005-0000-0000-0000A1160000}"/>
    <cellStyle name="Финансовый 6 2 2 2 3" xfId="3137" xr:uid="{00000000-0005-0000-0000-0000A2160000}"/>
    <cellStyle name="Финансовый 6 2 2 2 4" xfId="4781" xr:uid="{00000000-0005-0000-0000-0000A3160000}"/>
    <cellStyle name="Финансовый 6 2 2 3" xfId="2055" xr:uid="{00000000-0005-0000-0000-0000A4160000}"/>
    <cellStyle name="Финансовый 6 2 2 3 2" xfId="3700" xr:uid="{00000000-0005-0000-0000-0000A5160000}"/>
    <cellStyle name="Финансовый 6 2 2 3 3" xfId="5483" xr:uid="{00000000-0005-0000-0000-0000A6160000}"/>
    <cellStyle name="Финансовый 6 2 2 4" xfId="2584" xr:uid="{00000000-0005-0000-0000-0000A7160000}"/>
    <cellStyle name="Финансовый 6 2 2 4 2" xfId="4229" xr:uid="{00000000-0005-0000-0000-0000A8160000}"/>
    <cellStyle name="Финансовый 6 2 2 4 3" xfId="6012" xr:uid="{00000000-0005-0000-0000-0000A9160000}"/>
    <cellStyle name="Финансовый 6 2 2 5" xfId="1088" xr:uid="{00000000-0005-0000-0000-0000AA160000}"/>
    <cellStyle name="Финансовый 6 2 2 6" xfId="676" xr:uid="{00000000-0005-0000-0000-0000AB160000}"/>
    <cellStyle name="Финансовый 6 2 2 7" xfId="2865" xr:uid="{00000000-0005-0000-0000-0000AC160000}"/>
    <cellStyle name="Финансовый 6 2 2 8" xfId="4509" xr:uid="{00000000-0005-0000-0000-0000AD160000}"/>
    <cellStyle name="Финансовый 6 2 3" xfId="404" xr:uid="{00000000-0005-0000-0000-0000AE160000}"/>
    <cellStyle name="Финансовый 6 2 3 2" xfId="2183" xr:uid="{00000000-0005-0000-0000-0000AF160000}"/>
    <cellStyle name="Финансовый 6 2 3 2 2" xfId="3828" xr:uid="{00000000-0005-0000-0000-0000B0160000}"/>
    <cellStyle name="Финансовый 6 2 3 2 3" xfId="5611" xr:uid="{00000000-0005-0000-0000-0000B1160000}"/>
    <cellStyle name="Финансовый 6 2 3 3" xfId="1217" xr:uid="{00000000-0005-0000-0000-0000B2160000}"/>
    <cellStyle name="Финансовый 6 2 3 4" xfId="824" xr:uid="{00000000-0005-0000-0000-0000B3160000}"/>
    <cellStyle name="Финансовый 6 2 3 5" xfId="3001" xr:uid="{00000000-0005-0000-0000-0000B4160000}"/>
    <cellStyle name="Финансовый 6 2 3 6" xfId="4645" xr:uid="{00000000-0005-0000-0000-0000B5160000}"/>
    <cellStyle name="Финансовый 6 2 4" xfId="1553" xr:uid="{00000000-0005-0000-0000-0000B6160000}"/>
    <cellStyle name="Финансовый 6 2 4 2" xfId="1927" xr:uid="{00000000-0005-0000-0000-0000B7160000}"/>
    <cellStyle name="Финансовый 6 2 4 2 2" xfId="3572" xr:uid="{00000000-0005-0000-0000-0000B8160000}"/>
    <cellStyle name="Финансовый 6 2 4 2 3" xfId="5355" xr:uid="{00000000-0005-0000-0000-0000B9160000}"/>
    <cellStyle name="Финансовый 6 2 4 3" xfId="4981" xr:uid="{00000000-0005-0000-0000-0000BA160000}"/>
    <cellStyle name="Финансовый 6 2 5" xfId="1803" xr:uid="{00000000-0005-0000-0000-0000BB160000}"/>
    <cellStyle name="Финансовый 6 2 5 2" xfId="3448" xr:uid="{00000000-0005-0000-0000-0000BC160000}"/>
    <cellStyle name="Финансовый 6 2 5 3" xfId="5231" xr:uid="{00000000-0005-0000-0000-0000BD160000}"/>
    <cellStyle name="Финансовый 6 2 6" xfId="2448" xr:uid="{00000000-0005-0000-0000-0000BE160000}"/>
    <cellStyle name="Финансовый 6 2 6 2" xfId="4093" xr:uid="{00000000-0005-0000-0000-0000BF160000}"/>
    <cellStyle name="Финансовый 6 2 6 3" xfId="5876" xr:uid="{00000000-0005-0000-0000-0000C0160000}"/>
    <cellStyle name="Финансовый 6 2 7" xfId="1675" xr:uid="{00000000-0005-0000-0000-0000C1160000}"/>
    <cellStyle name="Финансовый 6 2 7 2" xfId="3320" xr:uid="{00000000-0005-0000-0000-0000C2160000}"/>
    <cellStyle name="Финансовый 6 2 7 3" xfId="5103" xr:uid="{00000000-0005-0000-0000-0000C3160000}"/>
    <cellStyle name="Финансовый 6 2 8" xfId="952" xr:uid="{00000000-0005-0000-0000-0000C4160000}"/>
    <cellStyle name="Финансовый 6 2 9" xfId="540" xr:uid="{00000000-0005-0000-0000-0000C5160000}"/>
    <cellStyle name="Финансовый 6 3" xfId="83" xr:uid="{00000000-0005-0000-0000-0000C6160000}"/>
    <cellStyle name="Финансовый 6 3 10" xfId="2693" xr:uid="{00000000-0005-0000-0000-0000C7160000}"/>
    <cellStyle name="Финансовый 6 3 11" xfId="4337" xr:uid="{00000000-0005-0000-0000-0000C8160000}"/>
    <cellStyle name="Финансовый 6 3 2" xfId="219" xr:uid="{00000000-0005-0000-0000-0000C9160000}"/>
    <cellStyle name="Финансовый 6 3 2 2" xfId="1317" xr:uid="{00000000-0005-0000-0000-0000CA160000}"/>
    <cellStyle name="Финансовый 6 3 2 2 2" xfId="2275" xr:uid="{00000000-0005-0000-0000-0000CB160000}"/>
    <cellStyle name="Финансовый 6 3 2 2 2 2" xfId="3920" xr:uid="{00000000-0005-0000-0000-0000CC160000}"/>
    <cellStyle name="Финансовый 6 3 2 2 2 3" xfId="5703" xr:uid="{00000000-0005-0000-0000-0000CD160000}"/>
    <cellStyle name="Финансовый 6 3 2 2 3" xfId="3101" xr:uid="{00000000-0005-0000-0000-0000CE160000}"/>
    <cellStyle name="Финансовый 6 3 2 2 4" xfId="4745" xr:uid="{00000000-0005-0000-0000-0000CF160000}"/>
    <cellStyle name="Финансовый 6 3 2 3" xfId="2019" xr:uid="{00000000-0005-0000-0000-0000D0160000}"/>
    <cellStyle name="Финансовый 6 3 2 3 2" xfId="3664" xr:uid="{00000000-0005-0000-0000-0000D1160000}"/>
    <cellStyle name="Финансовый 6 3 2 3 3" xfId="5447" xr:uid="{00000000-0005-0000-0000-0000D2160000}"/>
    <cellStyle name="Финансовый 6 3 2 4" xfId="2548" xr:uid="{00000000-0005-0000-0000-0000D3160000}"/>
    <cellStyle name="Финансовый 6 3 2 4 2" xfId="4193" xr:uid="{00000000-0005-0000-0000-0000D4160000}"/>
    <cellStyle name="Финансовый 6 3 2 4 3" xfId="5976" xr:uid="{00000000-0005-0000-0000-0000D5160000}"/>
    <cellStyle name="Финансовый 6 3 2 5" xfId="1052" xr:uid="{00000000-0005-0000-0000-0000D6160000}"/>
    <cellStyle name="Финансовый 6 3 2 6" xfId="640" xr:uid="{00000000-0005-0000-0000-0000D7160000}"/>
    <cellStyle name="Финансовый 6 3 2 7" xfId="2829" xr:uid="{00000000-0005-0000-0000-0000D8160000}"/>
    <cellStyle name="Финансовый 6 3 2 8" xfId="4473" xr:uid="{00000000-0005-0000-0000-0000D9160000}"/>
    <cellStyle name="Финансовый 6 3 3" xfId="368" xr:uid="{00000000-0005-0000-0000-0000DA160000}"/>
    <cellStyle name="Финансовый 6 3 3 2" xfId="2147" xr:uid="{00000000-0005-0000-0000-0000DB160000}"/>
    <cellStyle name="Финансовый 6 3 3 2 2" xfId="3792" xr:uid="{00000000-0005-0000-0000-0000DC160000}"/>
    <cellStyle name="Финансовый 6 3 3 2 3" xfId="5575" xr:uid="{00000000-0005-0000-0000-0000DD160000}"/>
    <cellStyle name="Финансовый 6 3 3 3" xfId="1181" xr:uid="{00000000-0005-0000-0000-0000DE160000}"/>
    <cellStyle name="Финансовый 6 3 3 4" xfId="788" xr:uid="{00000000-0005-0000-0000-0000DF160000}"/>
    <cellStyle name="Финансовый 6 3 3 5" xfId="2965" xr:uid="{00000000-0005-0000-0000-0000E0160000}"/>
    <cellStyle name="Финансовый 6 3 3 6" xfId="4609" xr:uid="{00000000-0005-0000-0000-0000E1160000}"/>
    <cellStyle name="Финансовый 6 3 4" xfId="1443" xr:uid="{00000000-0005-0000-0000-0000E2160000}"/>
    <cellStyle name="Финансовый 6 3 4 2" xfId="1891" xr:uid="{00000000-0005-0000-0000-0000E3160000}"/>
    <cellStyle name="Финансовый 6 3 4 2 2" xfId="3536" xr:uid="{00000000-0005-0000-0000-0000E4160000}"/>
    <cellStyle name="Финансовый 6 3 4 2 3" xfId="5319" xr:uid="{00000000-0005-0000-0000-0000E5160000}"/>
    <cellStyle name="Финансовый 6 3 4 3" xfId="4871" xr:uid="{00000000-0005-0000-0000-0000E6160000}"/>
    <cellStyle name="Финансовый 6 3 5" xfId="1767" xr:uid="{00000000-0005-0000-0000-0000E7160000}"/>
    <cellStyle name="Финансовый 6 3 5 2" xfId="3412" xr:uid="{00000000-0005-0000-0000-0000E8160000}"/>
    <cellStyle name="Финансовый 6 3 5 3" xfId="5195" xr:uid="{00000000-0005-0000-0000-0000E9160000}"/>
    <cellStyle name="Финансовый 6 3 6" xfId="2412" xr:uid="{00000000-0005-0000-0000-0000EA160000}"/>
    <cellStyle name="Финансовый 6 3 6 2" xfId="4057" xr:uid="{00000000-0005-0000-0000-0000EB160000}"/>
    <cellStyle name="Финансовый 6 3 6 3" xfId="5840" xr:uid="{00000000-0005-0000-0000-0000EC160000}"/>
    <cellStyle name="Финансовый 6 3 7" xfId="1639" xr:uid="{00000000-0005-0000-0000-0000ED160000}"/>
    <cellStyle name="Финансовый 6 3 7 2" xfId="3284" xr:uid="{00000000-0005-0000-0000-0000EE160000}"/>
    <cellStyle name="Финансовый 6 3 7 3" xfId="5067" xr:uid="{00000000-0005-0000-0000-0000EF160000}"/>
    <cellStyle name="Финансовый 6 3 8" xfId="916" xr:uid="{00000000-0005-0000-0000-0000F0160000}"/>
    <cellStyle name="Финансовый 6 3 9" xfId="504" xr:uid="{00000000-0005-0000-0000-0000F1160000}"/>
    <cellStyle name="Финансовый 6 4" xfId="175" xr:uid="{00000000-0005-0000-0000-0000F2160000}"/>
    <cellStyle name="Финансовый 6 4 2" xfId="1273" xr:uid="{00000000-0005-0000-0000-0000F3160000}"/>
    <cellStyle name="Финансовый 6 4 2 2" xfId="2239" xr:uid="{00000000-0005-0000-0000-0000F4160000}"/>
    <cellStyle name="Финансовый 6 4 2 2 2" xfId="3884" xr:uid="{00000000-0005-0000-0000-0000F5160000}"/>
    <cellStyle name="Финансовый 6 4 2 2 3" xfId="5667" xr:uid="{00000000-0005-0000-0000-0000F6160000}"/>
    <cellStyle name="Финансовый 6 4 2 3" xfId="3057" xr:uid="{00000000-0005-0000-0000-0000F7160000}"/>
    <cellStyle name="Финансовый 6 4 2 4" xfId="4701" xr:uid="{00000000-0005-0000-0000-0000F8160000}"/>
    <cellStyle name="Финансовый 6 4 3" xfId="1983" xr:uid="{00000000-0005-0000-0000-0000F9160000}"/>
    <cellStyle name="Финансовый 6 4 3 2" xfId="3628" xr:uid="{00000000-0005-0000-0000-0000FA160000}"/>
    <cellStyle name="Финансовый 6 4 3 3" xfId="5411" xr:uid="{00000000-0005-0000-0000-0000FB160000}"/>
    <cellStyle name="Финансовый 6 4 4" xfId="2504" xr:uid="{00000000-0005-0000-0000-0000FC160000}"/>
    <cellStyle name="Финансовый 6 4 4 2" xfId="4149" xr:uid="{00000000-0005-0000-0000-0000FD160000}"/>
    <cellStyle name="Финансовый 6 4 4 3" xfId="5932" xr:uid="{00000000-0005-0000-0000-0000FE160000}"/>
    <cellStyle name="Финансовый 6 4 5" xfId="1008" xr:uid="{00000000-0005-0000-0000-0000FF160000}"/>
    <cellStyle name="Финансовый 6 4 6" xfId="596" xr:uid="{00000000-0005-0000-0000-000000170000}"/>
    <cellStyle name="Финансовый 6 4 7" xfId="2785" xr:uid="{00000000-0005-0000-0000-000001170000}"/>
    <cellStyle name="Финансовый 6 4 8" xfId="4429" xr:uid="{00000000-0005-0000-0000-000002170000}"/>
    <cellStyle name="Финансовый 6 5" xfId="324" xr:uid="{00000000-0005-0000-0000-000003170000}"/>
    <cellStyle name="Финансовый 6 5 2" xfId="2111" xr:uid="{00000000-0005-0000-0000-000004170000}"/>
    <cellStyle name="Финансовый 6 5 2 2" xfId="3756" xr:uid="{00000000-0005-0000-0000-000005170000}"/>
    <cellStyle name="Финансовый 6 5 2 3" xfId="5539" xr:uid="{00000000-0005-0000-0000-000006170000}"/>
    <cellStyle name="Финансовый 6 5 3" xfId="1144" xr:uid="{00000000-0005-0000-0000-000007170000}"/>
    <cellStyle name="Финансовый 6 5 4" xfId="744" xr:uid="{00000000-0005-0000-0000-000008170000}"/>
    <cellStyle name="Финансовый 6 5 5" xfId="2921" xr:uid="{00000000-0005-0000-0000-000009170000}"/>
    <cellStyle name="Финансовый 6 5 6" xfId="4565" xr:uid="{00000000-0005-0000-0000-00000A170000}"/>
    <cellStyle name="Финансовый 6 6" xfId="1552" xr:uid="{00000000-0005-0000-0000-00000B170000}"/>
    <cellStyle name="Финансовый 6 6 2" xfId="1847" xr:uid="{00000000-0005-0000-0000-00000C170000}"/>
    <cellStyle name="Финансовый 6 6 2 2" xfId="3492" xr:uid="{00000000-0005-0000-0000-00000D170000}"/>
    <cellStyle name="Финансовый 6 6 2 3" xfId="5275" xr:uid="{00000000-0005-0000-0000-00000E170000}"/>
    <cellStyle name="Финансовый 6 6 3" xfId="4980" xr:uid="{00000000-0005-0000-0000-00000F170000}"/>
    <cellStyle name="Финансовый 6 7" xfId="1731" xr:uid="{00000000-0005-0000-0000-000010170000}"/>
    <cellStyle name="Финансовый 6 7 2" xfId="3376" xr:uid="{00000000-0005-0000-0000-000011170000}"/>
    <cellStyle name="Финансовый 6 7 3" xfId="5159" xr:uid="{00000000-0005-0000-0000-000012170000}"/>
    <cellStyle name="Финансовый 6 8" xfId="2367" xr:uid="{00000000-0005-0000-0000-000013170000}"/>
    <cellStyle name="Финансовый 6 8 2" xfId="4012" xr:uid="{00000000-0005-0000-0000-000014170000}"/>
    <cellStyle name="Финансовый 6 8 3" xfId="5795" xr:uid="{00000000-0005-0000-0000-000015170000}"/>
    <cellStyle name="Финансовый 6 9" xfId="1594" xr:uid="{00000000-0005-0000-0000-000016170000}"/>
    <cellStyle name="Финансовый 6 9 2" xfId="3239" xr:uid="{00000000-0005-0000-0000-000017170000}"/>
    <cellStyle name="Финансовый 6 9 3" xfId="5022" xr:uid="{00000000-0005-0000-0000-000018170000}"/>
    <cellStyle name="Финансовый 7" xfId="89" xr:uid="{00000000-0005-0000-0000-000019170000}"/>
    <cellStyle name="Финансовый 7 10" xfId="2699" xr:uid="{00000000-0005-0000-0000-00001A170000}"/>
    <cellStyle name="Финансовый 7 11" xfId="4343" xr:uid="{00000000-0005-0000-0000-00001B170000}"/>
    <cellStyle name="Финансовый 7 2" xfId="225" xr:uid="{00000000-0005-0000-0000-00001C170000}"/>
    <cellStyle name="Финансовый 7 2 2" xfId="1323" xr:uid="{00000000-0005-0000-0000-00001D170000}"/>
    <cellStyle name="Финансовый 7 2 2 2" xfId="2281" xr:uid="{00000000-0005-0000-0000-00001E170000}"/>
    <cellStyle name="Финансовый 7 2 2 2 2" xfId="3926" xr:uid="{00000000-0005-0000-0000-00001F170000}"/>
    <cellStyle name="Финансовый 7 2 2 2 3" xfId="5709" xr:uid="{00000000-0005-0000-0000-000020170000}"/>
    <cellStyle name="Финансовый 7 2 2 3" xfId="3107" xr:uid="{00000000-0005-0000-0000-000021170000}"/>
    <cellStyle name="Финансовый 7 2 2 4" xfId="4751" xr:uid="{00000000-0005-0000-0000-000022170000}"/>
    <cellStyle name="Финансовый 7 2 3" xfId="2025" xr:uid="{00000000-0005-0000-0000-000023170000}"/>
    <cellStyle name="Финансовый 7 2 3 2" xfId="3670" xr:uid="{00000000-0005-0000-0000-000024170000}"/>
    <cellStyle name="Финансовый 7 2 3 3" xfId="5453" xr:uid="{00000000-0005-0000-0000-000025170000}"/>
    <cellStyle name="Финансовый 7 2 4" xfId="2554" xr:uid="{00000000-0005-0000-0000-000026170000}"/>
    <cellStyle name="Финансовый 7 2 4 2" xfId="4199" xr:uid="{00000000-0005-0000-0000-000027170000}"/>
    <cellStyle name="Финансовый 7 2 4 3" xfId="5982" xr:uid="{00000000-0005-0000-0000-000028170000}"/>
    <cellStyle name="Финансовый 7 2 5" xfId="1058" xr:uid="{00000000-0005-0000-0000-000029170000}"/>
    <cellStyle name="Финансовый 7 2 6" xfId="646" xr:uid="{00000000-0005-0000-0000-00002A170000}"/>
    <cellStyle name="Финансовый 7 2 7" xfId="2835" xr:uid="{00000000-0005-0000-0000-00002B170000}"/>
    <cellStyle name="Финансовый 7 2 8" xfId="4479" xr:uid="{00000000-0005-0000-0000-00002C170000}"/>
    <cellStyle name="Финансовый 7 3" xfId="374" xr:uid="{00000000-0005-0000-0000-00002D170000}"/>
    <cellStyle name="Финансовый 7 3 2" xfId="2153" xr:uid="{00000000-0005-0000-0000-00002E170000}"/>
    <cellStyle name="Финансовый 7 3 2 2" xfId="3798" xr:uid="{00000000-0005-0000-0000-00002F170000}"/>
    <cellStyle name="Финансовый 7 3 2 3" xfId="5581" xr:uid="{00000000-0005-0000-0000-000030170000}"/>
    <cellStyle name="Финансовый 7 3 3" xfId="1187" xr:uid="{00000000-0005-0000-0000-000031170000}"/>
    <cellStyle name="Финансовый 7 3 4" xfId="794" xr:uid="{00000000-0005-0000-0000-000032170000}"/>
    <cellStyle name="Финансовый 7 3 5" xfId="2971" xr:uid="{00000000-0005-0000-0000-000033170000}"/>
    <cellStyle name="Финансовый 7 3 6" xfId="4615" xr:uid="{00000000-0005-0000-0000-000034170000}"/>
    <cellStyle name="Финансовый 7 4" xfId="1554" xr:uid="{00000000-0005-0000-0000-000035170000}"/>
    <cellStyle name="Финансовый 7 4 2" xfId="1897" xr:uid="{00000000-0005-0000-0000-000036170000}"/>
    <cellStyle name="Финансовый 7 4 2 2" xfId="3542" xr:uid="{00000000-0005-0000-0000-000037170000}"/>
    <cellStyle name="Финансовый 7 4 2 3" xfId="5325" xr:uid="{00000000-0005-0000-0000-000038170000}"/>
    <cellStyle name="Финансовый 7 4 3" xfId="4982" xr:uid="{00000000-0005-0000-0000-000039170000}"/>
    <cellStyle name="Финансовый 7 5" xfId="1773" xr:uid="{00000000-0005-0000-0000-00003A170000}"/>
    <cellStyle name="Финансовый 7 5 2" xfId="3418" xr:uid="{00000000-0005-0000-0000-00003B170000}"/>
    <cellStyle name="Финансовый 7 5 3" xfId="5201" xr:uid="{00000000-0005-0000-0000-00003C170000}"/>
    <cellStyle name="Финансовый 7 6" xfId="2418" xr:uid="{00000000-0005-0000-0000-00003D170000}"/>
    <cellStyle name="Финансовый 7 6 2" xfId="4063" xr:uid="{00000000-0005-0000-0000-00003E170000}"/>
    <cellStyle name="Финансовый 7 6 3" xfId="5846" xr:uid="{00000000-0005-0000-0000-00003F170000}"/>
    <cellStyle name="Финансовый 7 7" xfId="1645" xr:uid="{00000000-0005-0000-0000-000040170000}"/>
    <cellStyle name="Финансовый 7 7 2" xfId="3290" xr:uid="{00000000-0005-0000-0000-000041170000}"/>
    <cellStyle name="Финансовый 7 7 3" xfId="5073" xr:uid="{00000000-0005-0000-0000-000042170000}"/>
    <cellStyle name="Финансовый 7 8" xfId="922" xr:uid="{00000000-0005-0000-0000-000043170000}"/>
    <cellStyle name="Финансовый 7 9" xfId="510" xr:uid="{00000000-0005-0000-0000-000044170000}"/>
    <cellStyle name="Финансовый 8" xfId="95" xr:uid="{00000000-0005-0000-0000-000045170000}"/>
    <cellStyle name="Финансовый 8 10" xfId="2705" xr:uid="{00000000-0005-0000-0000-000046170000}"/>
    <cellStyle name="Финансовый 8 11" xfId="4349" xr:uid="{00000000-0005-0000-0000-000047170000}"/>
    <cellStyle name="Финансовый 8 2" xfId="231" xr:uid="{00000000-0005-0000-0000-000048170000}"/>
    <cellStyle name="Финансовый 8 2 2" xfId="1329" xr:uid="{00000000-0005-0000-0000-000049170000}"/>
    <cellStyle name="Финансовый 8 2 2 2" xfId="2287" xr:uid="{00000000-0005-0000-0000-00004A170000}"/>
    <cellStyle name="Финансовый 8 2 2 2 2" xfId="3932" xr:uid="{00000000-0005-0000-0000-00004B170000}"/>
    <cellStyle name="Финансовый 8 2 2 2 3" xfId="5715" xr:uid="{00000000-0005-0000-0000-00004C170000}"/>
    <cellStyle name="Финансовый 8 2 2 3" xfId="3113" xr:uid="{00000000-0005-0000-0000-00004D170000}"/>
    <cellStyle name="Финансовый 8 2 2 4" xfId="4757" xr:uid="{00000000-0005-0000-0000-00004E170000}"/>
    <cellStyle name="Финансовый 8 2 3" xfId="2031" xr:uid="{00000000-0005-0000-0000-00004F170000}"/>
    <cellStyle name="Финансовый 8 2 3 2" xfId="3676" xr:uid="{00000000-0005-0000-0000-000050170000}"/>
    <cellStyle name="Финансовый 8 2 3 3" xfId="5459" xr:uid="{00000000-0005-0000-0000-000051170000}"/>
    <cellStyle name="Финансовый 8 2 4" xfId="2560" xr:uid="{00000000-0005-0000-0000-000052170000}"/>
    <cellStyle name="Финансовый 8 2 4 2" xfId="4205" xr:uid="{00000000-0005-0000-0000-000053170000}"/>
    <cellStyle name="Финансовый 8 2 4 3" xfId="5988" xr:uid="{00000000-0005-0000-0000-000054170000}"/>
    <cellStyle name="Финансовый 8 2 5" xfId="1064" xr:uid="{00000000-0005-0000-0000-000055170000}"/>
    <cellStyle name="Финансовый 8 2 6" xfId="652" xr:uid="{00000000-0005-0000-0000-000056170000}"/>
    <cellStyle name="Финансовый 8 2 7" xfId="2841" xr:uid="{00000000-0005-0000-0000-000057170000}"/>
    <cellStyle name="Финансовый 8 2 8" xfId="4485" xr:uid="{00000000-0005-0000-0000-000058170000}"/>
    <cellStyle name="Финансовый 8 3" xfId="380" xr:uid="{00000000-0005-0000-0000-000059170000}"/>
    <cellStyle name="Финансовый 8 3 2" xfId="2159" xr:uid="{00000000-0005-0000-0000-00005A170000}"/>
    <cellStyle name="Финансовый 8 3 2 2" xfId="3804" xr:uid="{00000000-0005-0000-0000-00005B170000}"/>
    <cellStyle name="Финансовый 8 3 2 3" xfId="5587" xr:uid="{00000000-0005-0000-0000-00005C170000}"/>
    <cellStyle name="Финансовый 8 3 3" xfId="1193" xr:uid="{00000000-0005-0000-0000-00005D170000}"/>
    <cellStyle name="Финансовый 8 3 4" xfId="800" xr:uid="{00000000-0005-0000-0000-00005E170000}"/>
    <cellStyle name="Финансовый 8 3 5" xfId="2977" xr:uid="{00000000-0005-0000-0000-00005F170000}"/>
    <cellStyle name="Финансовый 8 3 6" xfId="4621" xr:uid="{00000000-0005-0000-0000-000060170000}"/>
    <cellStyle name="Финансовый 8 4" xfId="1555" xr:uid="{00000000-0005-0000-0000-000061170000}"/>
    <cellStyle name="Финансовый 8 4 2" xfId="1903" xr:uid="{00000000-0005-0000-0000-000062170000}"/>
    <cellStyle name="Финансовый 8 4 2 2" xfId="3548" xr:uid="{00000000-0005-0000-0000-000063170000}"/>
    <cellStyle name="Финансовый 8 4 2 3" xfId="5331" xr:uid="{00000000-0005-0000-0000-000064170000}"/>
    <cellStyle name="Финансовый 8 4 3" xfId="4983" xr:uid="{00000000-0005-0000-0000-000065170000}"/>
    <cellStyle name="Финансовый 8 5" xfId="1779" xr:uid="{00000000-0005-0000-0000-000066170000}"/>
    <cellStyle name="Финансовый 8 5 2" xfId="3424" xr:uid="{00000000-0005-0000-0000-000067170000}"/>
    <cellStyle name="Финансовый 8 5 3" xfId="5207" xr:uid="{00000000-0005-0000-0000-000068170000}"/>
    <cellStyle name="Финансовый 8 6" xfId="2424" xr:uid="{00000000-0005-0000-0000-000069170000}"/>
    <cellStyle name="Финансовый 8 6 2" xfId="4069" xr:uid="{00000000-0005-0000-0000-00006A170000}"/>
    <cellStyle name="Финансовый 8 6 3" xfId="5852" xr:uid="{00000000-0005-0000-0000-00006B170000}"/>
    <cellStyle name="Финансовый 8 7" xfId="1651" xr:uid="{00000000-0005-0000-0000-00006C170000}"/>
    <cellStyle name="Финансовый 8 7 2" xfId="3296" xr:uid="{00000000-0005-0000-0000-00006D170000}"/>
    <cellStyle name="Финансовый 8 7 3" xfId="5079" xr:uid="{00000000-0005-0000-0000-00006E170000}"/>
    <cellStyle name="Финансовый 8 8" xfId="928" xr:uid="{00000000-0005-0000-0000-00006F170000}"/>
    <cellStyle name="Финансовый 8 9" xfId="516" xr:uid="{00000000-0005-0000-0000-000070170000}"/>
    <cellStyle name="Финансовый 9" xfId="107" xr:uid="{00000000-0005-0000-0000-000071170000}"/>
    <cellStyle name="Финансовый 9 10" xfId="2717" xr:uid="{00000000-0005-0000-0000-000072170000}"/>
    <cellStyle name="Финансовый 9 11" xfId="4361" xr:uid="{00000000-0005-0000-0000-000073170000}"/>
    <cellStyle name="Финансовый 9 2" xfId="243" xr:uid="{00000000-0005-0000-0000-000074170000}"/>
    <cellStyle name="Финансовый 9 2 2" xfId="1341" xr:uid="{00000000-0005-0000-0000-000075170000}"/>
    <cellStyle name="Финансовый 9 2 2 2" xfId="2299" xr:uid="{00000000-0005-0000-0000-000076170000}"/>
    <cellStyle name="Финансовый 9 2 2 2 2" xfId="3944" xr:uid="{00000000-0005-0000-0000-000077170000}"/>
    <cellStyle name="Финансовый 9 2 2 2 3" xfId="5727" xr:uid="{00000000-0005-0000-0000-000078170000}"/>
    <cellStyle name="Финансовый 9 2 2 3" xfId="3125" xr:uid="{00000000-0005-0000-0000-000079170000}"/>
    <cellStyle name="Финансовый 9 2 2 4" xfId="4769" xr:uid="{00000000-0005-0000-0000-00007A170000}"/>
    <cellStyle name="Финансовый 9 2 3" xfId="2043" xr:uid="{00000000-0005-0000-0000-00007B170000}"/>
    <cellStyle name="Финансовый 9 2 3 2" xfId="3688" xr:uid="{00000000-0005-0000-0000-00007C170000}"/>
    <cellStyle name="Финансовый 9 2 3 3" xfId="5471" xr:uid="{00000000-0005-0000-0000-00007D170000}"/>
    <cellStyle name="Финансовый 9 2 4" xfId="2572" xr:uid="{00000000-0005-0000-0000-00007E170000}"/>
    <cellStyle name="Финансовый 9 2 4 2" xfId="4217" xr:uid="{00000000-0005-0000-0000-00007F170000}"/>
    <cellStyle name="Финансовый 9 2 4 3" xfId="6000" xr:uid="{00000000-0005-0000-0000-000080170000}"/>
    <cellStyle name="Финансовый 9 2 5" xfId="1076" xr:uid="{00000000-0005-0000-0000-000081170000}"/>
    <cellStyle name="Финансовый 9 2 6" xfId="664" xr:uid="{00000000-0005-0000-0000-000082170000}"/>
    <cellStyle name="Финансовый 9 2 7" xfId="2853" xr:uid="{00000000-0005-0000-0000-000083170000}"/>
    <cellStyle name="Финансовый 9 2 8" xfId="4497" xr:uid="{00000000-0005-0000-0000-000084170000}"/>
    <cellStyle name="Финансовый 9 3" xfId="392" xr:uid="{00000000-0005-0000-0000-000085170000}"/>
    <cellStyle name="Финансовый 9 3 2" xfId="2171" xr:uid="{00000000-0005-0000-0000-000086170000}"/>
    <cellStyle name="Финансовый 9 3 2 2" xfId="3816" xr:uid="{00000000-0005-0000-0000-000087170000}"/>
    <cellStyle name="Финансовый 9 3 2 3" xfId="5599" xr:uid="{00000000-0005-0000-0000-000088170000}"/>
    <cellStyle name="Финансовый 9 3 3" xfId="1205" xr:uid="{00000000-0005-0000-0000-000089170000}"/>
    <cellStyle name="Финансовый 9 3 4" xfId="812" xr:uid="{00000000-0005-0000-0000-00008A170000}"/>
    <cellStyle name="Финансовый 9 3 5" xfId="2989" xr:uid="{00000000-0005-0000-0000-00008B170000}"/>
    <cellStyle name="Финансовый 9 3 6" xfId="4633" xr:uid="{00000000-0005-0000-0000-00008C170000}"/>
    <cellStyle name="Финансовый 9 4" xfId="1556" xr:uid="{00000000-0005-0000-0000-00008D170000}"/>
    <cellStyle name="Финансовый 9 4 2" xfId="1915" xr:uid="{00000000-0005-0000-0000-00008E170000}"/>
    <cellStyle name="Финансовый 9 4 2 2" xfId="3560" xr:uid="{00000000-0005-0000-0000-00008F170000}"/>
    <cellStyle name="Финансовый 9 4 2 3" xfId="5343" xr:uid="{00000000-0005-0000-0000-000090170000}"/>
    <cellStyle name="Финансовый 9 4 3" xfId="4984" xr:uid="{00000000-0005-0000-0000-000091170000}"/>
    <cellStyle name="Финансовый 9 5" xfId="1791" xr:uid="{00000000-0005-0000-0000-000092170000}"/>
    <cellStyle name="Финансовый 9 5 2" xfId="3436" xr:uid="{00000000-0005-0000-0000-000093170000}"/>
    <cellStyle name="Финансовый 9 5 3" xfId="5219" xr:uid="{00000000-0005-0000-0000-000094170000}"/>
    <cellStyle name="Финансовый 9 6" xfId="2436" xr:uid="{00000000-0005-0000-0000-000095170000}"/>
    <cellStyle name="Финансовый 9 6 2" xfId="4081" xr:uid="{00000000-0005-0000-0000-000096170000}"/>
    <cellStyle name="Финансовый 9 6 3" xfId="5864" xr:uid="{00000000-0005-0000-0000-000097170000}"/>
    <cellStyle name="Финансовый 9 7" xfId="1663" xr:uid="{00000000-0005-0000-0000-000098170000}"/>
    <cellStyle name="Финансовый 9 7 2" xfId="3308" xr:uid="{00000000-0005-0000-0000-000099170000}"/>
    <cellStyle name="Финансовый 9 7 3" xfId="5091" xr:uid="{00000000-0005-0000-0000-00009A170000}"/>
    <cellStyle name="Финансовый 9 8" xfId="940" xr:uid="{00000000-0005-0000-0000-00009B170000}"/>
    <cellStyle name="Финансовый 9 9" xfId="528" xr:uid="{00000000-0005-0000-0000-00009C17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45326</xdr:colOff>
      <xdr:row>0</xdr:row>
      <xdr:rowOff>28575</xdr:rowOff>
    </xdr:from>
    <xdr:to>
      <xdr:col>0</xdr:col>
      <xdr:colOff>799636</xdr:colOff>
      <xdr:row>4</xdr:row>
      <xdr:rowOff>22117</xdr:rowOff>
    </xdr:to>
    <xdr:pic>
      <xdr:nvPicPr>
        <xdr:cNvPr id="4" name="Image 1">
          <a:extLst>
            <a:ext uri="{FF2B5EF4-FFF2-40B4-BE49-F238E27FC236}">
              <a16:creationId xmlns:a16="http://schemas.microsoft.com/office/drawing/2014/main" id="{58E72672-7C31-4830-A884-42011E612024}"/>
            </a:ext>
          </a:extLst>
        </xdr:cNvPr>
        <xdr:cNvPicPr/>
      </xdr:nvPicPr>
      <xdr:blipFill>
        <a:blip xmlns:r="http://schemas.openxmlformats.org/officeDocument/2006/relationships" r:embed="rId1" cstate="print"/>
        <a:stretch>
          <a:fillRect/>
        </a:stretch>
      </xdr:blipFill>
      <xdr:spPr>
        <a:xfrm>
          <a:off x="45326" y="28575"/>
          <a:ext cx="754310" cy="755542"/>
        </a:xfrm>
        <a:prstGeom prst="rect">
          <a:avLst/>
        </a:prstGeom>
      </xdr:spPr>
    </xdr:pic>
    <xdr:clientData/>
  </xdr:twoCellAnchor>
  <xdr:twoCellAnchor editAs="oneCell">
    <xdr:from>
      <xdr:col>3</xdr:col>
      <xdr:colOff>638175</xdr:colOff>
      <xdr:row>0</xdr:row>
      <xdr:rowOff>19050</xdr:rowOff>
    </xdr:from>
    <xdr:to>
      <xdr:col>3</xdr:col>
      <xdr:colOff>1717501</xdr:colOff>
      <xdr:row>4</xdr:row>
      <xdr:rowOff>7525</xdr:rowOff>
    </xdr:to>
    <xdr:pic>
      <xdr:nvPicPr>
        <xdr:cNvPr id="5" name="Image 2">
          <a:extLst>
            <a:ext uri="{FF2B5EF4-FFF2-40B4-BE49-F238E27FC236}">
              <a16:creationId xmlns:a16="http://schemas.microsoft.com/office/drawing/2014/main" id="{A43254B9-9A06-470C-8D39-65F9AAB9C3C8}"/>
            </a:ext>
          </a:extLst>
        </xdr:cNvPr>
        <xdr:cNvPicPr/>
      </xdr:nvPicPr>
      <xdr:blipFill>
        <a:blip xmlns:r="http://schemas.openxmlformats.org/officeDocument/2006/relationships" r:embed="rId2" cstate="print"/>
        <a:stretch>
          <a:fillRect/>
        </a:stretch>
      </xdr:blipFill>
      <xdr:spPr>
        <a:xfrm>
          <a:off x="4705350" y="19050"/>
          <a:ext cx="1079326" cy="7504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056;&#1072;&#1073;&#1086;&#1095;&#1080;&#1081;%20&#1089;&#1090;&#1086;&#1083;/123123/22_12_2022_KALBAYEV_AYBEK_MAKSETOVICH_1974_&#1089;&#1087;&#1072;&#1088;&#1082;_30_2_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ile-server\mko\&#1056;&#1072;&#1073;&#1086;&#1095;&#1080;&#1081;%20&#1089;&#1090;&#1086;&#1083;\123123\22_12_2022_KALBAYEV_AYBEK_MAKSETOVICH_1974_&#1089;&#1087;&#1072;&#1088;&#1082;_30_2_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dmin\PycharmProjects\payup\media\mikroqarz_template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lumot"/>
      <sheetName val="shartnoma"/>
      <sheetName val="buyruq"/>
      <sheetName val="bayonnoma"/>
      <sheetName val="График дифференц"/>
      <sheetName val="Данные для послед. Залога"/>
      <sheetName val="График аннуитет."/>
      <sheetName val="xulosa"/>
      <sheetName val="grafik"/>
      <sheetName val="dalolatnoma"/>
      <sheetName val="ariza"/>
      <sheetName val="muqova"/>
      <sheetName val="mijoz_anketasi"/>
      <sheetName val="majburiyatnoma"/>
      <sheetName val="kredit_ariza"/>
      <sheetName val="garov_ariza"/>
      <sheetName val="Письмо"/>
      <sheetName val="akt_monitoring_1"/>
      <sheetName val="akt_monitoring_2"/>
      <sheetName val="akt_monitoring_3"/>
      <sheetName val="akt_monitoring_4"/>
      <sheetName val="notarius"/>
      <sheetName val="Анкета 2"/>
    </sheetNames>
    <sheetDataSet>
      <sheetData sheetId="0">
        <row r="1">
          <cell r="B1" t="str">
            <v>№ 687-BR</v>
          </cell>
        </row>
        <row r="2">
          <cell r="B2" t="str">
            <v>01.04.2025</v>
          </cell>
        </row>
        <row r="5">
          <cell r="B5" t="str">
            <v>XAYATOV OTABEK KURBANOVICH</v>
          </cell>
        </row>
        <row r="16">
          <cell r="B16" t="str">
            <v>AB 7858443</v>
          </cell>
        </row>
        <row r="20">
          <cell r="B20" t="str">
            <v>BUXORO VILOYATI KOGON TUMAN IIB tomonidan 06.10.2017 yilda berilgan</v>
          </cell>
        </row>
        <row r="75">
          <cell r="B75">
            <v>26000000</v>
          </cell>
        </row>
        <row r="76">
          <cell r="B76" t="str">
            <v>yigirma olti million so'm</v>
          </cell>
        </row>
        <row r="106">
          <cell r="B106" t="str">
            <v>202502386001856</v>
          </cell>
        </row>
        <row r="107">
          <cell r="B107" t="str">
            <v>01.04.2025</v>
          </cell>
        </row>
        <row r="109">
          <cell r="B109" t="str">
            <v>05.04.2025 yildagi</v>
          </cell>
        </row>
        <row r="110">
          <cell r="B110" t="str">
            <v>№ 02/04-001</v>
          </cell>
        </row>
        <row r="111">
          <cell r="B111" t="str">
            <v>Avtotransport</v>
          </cell>
          <cell r="C111" t="str">
            <v>Avtotransport</v>
          </cell>
        </row>
        <row r="119">
          <cell r="B119" t="str">
            <v>FAYZIYEV JAMSHID KURBONOVICH</v>
          </cell>
          <cell r="C119">
            <v>0</v>
          </cell>
        </row>
        <row r="125">
          <cell r="B125" t="str">
            <v>FAYZIYEV JAMSHID KURBONOVICH</v>
          </cell>
        </row>
        <row r="131">
          <cell r="C131" t="str">
            <v>SAMARQAND VILOYATI TAYLOQ TUMANI CHAROG'BON MFY YANGI TAYLOQ QISHLOG'I 6 TURAR JOY 12 QAVAT 58 XONADON</v>
          </cell>
        </row>
        <row r="132">
          <cell r="B132" t="str">
            <v>AAG   4517617  20.08.2024y</v>
          </cell>
          <cell r="C132" t="str">
            <v>13.12.2020 yildan 1718238/R-A1419303</v>
          </cell>
        </row>
        <row r="133">
          <cell r="B133" t="str">
            <v>SPARK</v>
          </cell>
          <cell r="C133" t="str">
            <v>3 - xonali yakka tartibdagi uy-joy</v>
          </cell>
        </row>
        <row r="134">
          <cell r="B134" t="str">
            <v>80Y320AB</v>
          </cell>
        </row>
        <row r="135">
          <cell r="B135" t="str">
            <v>kuzov turi - YENGIL SEDAN, kuzov raqami XWBMF481EBA580791</v>
          </cell>
        </row>
        <row r="138">
          <cell r="B138" t="str">
            <v>dvigatel raqami B10D1606437KC3, shassi raqami - RAKAMSIZ</v>
          </cell>
          <cell r="E138" t="str">
            <v>72,13 kv.m</v>
          </cell>
          <cell r="F138">
            <v>34.739999999999995</v>
          </cell>
        </row>
        <row r="141">
          <cell r="B141" t="str">
            <v>rangi -  OQ BELAYA "KASABLANKA", ishlab chiqarilgan yili - 2011</v>
          </cell>
          <cell r="E141" t="str">
            <v>37,39 kv.m</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I49"/>
  <sheetViews>
    <sheetView view="pageBreakPreview" topLeftCell="A17" zoomScaleNormal="100" zoomScaleSheetLayoutView="100" workbookViewId="0">
      <selection activeCell="E27" sqref="E27"/>
    </sheetView>
  </sheetViews>
  <sheetFormatPr defaultRowHeight="15" x14ac:dyDescent="0.25"/>
  <cols>
    <col min="1" max="1" width="22.85546875" style="56" customWidth="1"/>
    <col min="2" max="3" width="24.28515625" style="56" customWidth="1"/>
    <col min="4" max="4" width="18.42578125" style="56" customWidth="1"/>
    <col min="5" max="5" width="18" style="56" customWidth="1"/>
    <col min="6" max="6" width="25.140625" style="56" customWidth="1"/>
    <col min="7" max="7" width="9.140625" customWidth="1"/>
    <col min="8" max="8" width="24.42578125" customWidth="1"/>
    <col min="9" max="9" width="17.140625" customWidth="1"/>
    <col min="10" max="35" width="9.140625" hidden="1" customWidth="1"/>
    <col min="36" max="36" width="8.7109375" customWidth="1"/>
  </cols>
  <sheetData>
    <row r="1" spans="1:34" ht="47.25" customHeight="1" x14ac:dyDescent="0.25">
      <c r="A1" s="273" t="str">
        <f>""&amp;umumiy_malumot!B158&amp;"
mikromoliya tashkiloti
Kredit qo‘mitasining yig‘ilishi"</f>
        <v>«PULLOL BUSINESS MIKROMOLIYA TASHKILOTI»  MChJ
mikromoliya tashkiloti
Kredit qo‘mitasining yig‘ilishi</v>
      </c>
      <c r="B1" s="273"/>
      <c r="C1" s="273"/>
      <c r="D1" s="273"/>
      <c r="E1" s="273"/>
      <c r="F1" s="273"/>
    </row>
    <row r="2" spans="1:34" ht="19.5" customHeight="1" x14ac:dyDescent="0.25">
      <c r="A2" s="273" t="str">
        <f>""&amp;I7&amp;" protokolidan ko'chirma"</f>
        <v>№ 110 protokolidan ko'chirma</v>
      </c>
      <c r="B2" s="273"/>
      <c r="C2" s="273"/>
      <c r="D2" s="273"/>
      <c r="E2" s="273"/>
      <c r="F2" s="273"/>
    </row>
    <row r="3" spans="1:34" ht="29.25" customHeight="1" x14ac:dyDescent="0.25">
      <c r="A3" s="121" t="s">
        <v>194</v>
      </c>
      <c r="B3" s="47"/>
      <c r="C3" s="47"/>
      <c r="D3" s="47"/>
      <c r="E3" s="47"/>
      <c r="F3" s="122" t="str">
        <f>umumiy_malumot!B68</f>
        <v>16 fevral 2026 y.</v>
      </c>
    </row>
    <row r="4" spans="1:34" ht="21" customHeight="1" x14ac:dyDescent="0.25">
      <c r="A4" s="47"/>
      <c r="B4" s="273" t="s">
        <v>193</v>
      </c>
      <c r="C4" s="273"/>
      <c r="D4" s="273"/>
      <c r="E4" s="273"/>
      <c r="F4" s="47"/>
    </row>
    <row r="5" spans="1:34" ht="35.25" customHeight="1" x14ac:dyDescent="0.25">
      <c r="A5" s="268" t="str">
        <f>"         "&amp;I8&amp;"."&amp;umumiy_malumot!B5&amp;" ga "&amp;umumiy_malumot!B65&amp;" berish masalasini ko‘rib chiqish to‘g‘risida."</f>
        <v xml:space="preserve">         1.NORINBOYEVA SOXIBA IZZATILLAYEVNA ga mikrokredit berish masalasini ko‘rib chiqish to‘g‘risida.</v>
      </c>
      <c r="B5" s="268"/>
      <c r="C5" s="268"/>
      <c r="D5" s="268"/>
      <c r="E5" s="268"/>
      <c r="F5" s="268"/>
    </row>
    <row r="6" spans="1:34" ht="9" customHeight="1" x14ac:dyDescent="0.25"/>
    <row r="7" spans="1:34" ht="21" customHeight="1" x14ac:dyDescent="0.35">
      <c r="A7" s="271" t="str">
        <f>"      "&amp;I9&amp;" masala yuzasidan:  "&amp;umumiy_malumot!B158&amp;" mikromoliya tashkiloti kredit bo‘yicha menejeri  "&amp;umumiy_malumot!B5&amp;"ga "&amp;FIXED(umumiy_malumot!B76)&amp;" ("&amp;umumiy_malumot!B77&amp;") so‘m miqdorida, muddati "&amp;umumiy_malumot!B82&amp;" ("&amp;umumiy_malumot!B83&amp;") oyga va yillik "&amp;umumiy_malumot!B86&amp;" %("&amp;umumiy_malumot!B87&amp;") foiz miqdorida "&amp;umumiy_malumot!B65&amp;" berich bo‘yicha "&amp;umumiy_malumot!B5&amp;"ning kredit arizasi va "&amp;umumiy_malumot!B158&amp;"ning xulosasi bilan ishtirokchilarni tanishtirdi."</f>
        <v xml:space="preserve">      Birinchi masala yuzasidan:  «PULLOL BUSINESS MIKROMOLIYA TASHKILOTI»  MChJ mikromoliya tashkiloti kredit bo‘yicha menejeri  NORINBOYEVA SOXIBA IZZATILLAYEVNAga 175 000 000,00 (yuz yetmish besh million so'm) so‘m miqdorida, muddati 36 (O'ttiz olti  ) oyga va yillik 55 %(Ellik besh  ) foiz miqdorida mikrokredit berich bo‘yicha NORINBOYEVA SOXIBA IZZATILLAYEVNAning kredit arizasi va «PULLOL BUSINESS MIKROMOLIYA TASHKILOTI»  MChJning xulosasi bilan ishtirokchilarni tanishtirdi.</v>
      </c>
      <c r="B7" s="271"/>
      <c r="C7" s="271"/>
      <c r="D7" s="271"/>
      <c r="E7" s="271"/>
      <c r="F7" s="271"/>
      <c r="H7" s="57" t="s">
        <v>248</v>
      </c>
      <c r="I7" s="58" t="str">
        <f>umumiy_malumot!B1</f>
        <v>№ 110</v>
      </c>
    </row>
    <row r="8" spans="1:34" ht="48.75" customHeight="1" x14ac:dyDescent="0.35">
      <c r="A8" s="271"/>
      <c r="B8" s="271"/>
      <c r="C8" s="271"/>
      <c r="D8" s="271"/>
      <c r="E8" s="271"/>
      <c r="F8" s="271"/>
      <c r="H8" s="57" t="s">
        <v>249</v>
      </c>
      <c r="I8" s="58">
        <v>1</v>
      </c>
      <c r="J8">
        <v>1</v>
      </c>
      <c r="K8">
        <v>2</v>
      </c>
      <c r="L8">
        <v>3</v>
      </c>
      <c r="M8">
        <v>4</v>
      </c>
      <c r="N8">
        <v>5</v>
      </c>
      <c r="O8">
        <v>6</v>
      </c>
      <c r="P8">
        <v>7</v>
      </c>
      <c r="Q8">
        <v>8</v>
      </c>
      <c r="R8">
        <v>9</v>
      </c>
      <c r="S8">
        <v>10</v>
      </c>
      <c r="T8">
        <v>11</v>
      </c>
      <c r="U8">
        <v>12</v>
      </c>
      <c r="V8">
        <v>13</v>
      </c>
      <c r="W8">
        <v>14</v>
      </c>
      <c r="X8">
        <v>15</v>
      </c>
      <c r="Y8">
        <v>16</v>
      </c>
      <c r="Z8">
        <v>17</v>
      </c>
      <c r="AA8">
        <v>18</v>
      </c>
      <c r="AB8">
        <v>19</v>
      </c>
      <c r="AC8">
        <v>20</v>
      </c>
      <c r="AD8">
        <v>21</v>
      </c>
      <c r="AE8">
        <v>22</v>
      </c>
      <c r="AF8">
        <v>23</v>
      </c>
      <c r="AG8">
        <v>24</v>
      </c>
      <c r="AH8">
        <v>25</v>
      </c>
    </row>
    <row r="9" spans="1:34" ht="9" hidden="1" customHeight="1" x14ac:dyDescent="0.35">
      <c r="A9" s="271"/>
      <c r="B9" s="271"/>
      <c r="C9" s="271"/>
      <c r="D9" s="271"/>
      <c r="E9" s="271"/>
      <c r="F9" s="271"/>
      <c r="H9" s="57" t="s">
        <v>250</v>
      </c>
      <c r="I9" s="58" t="str">
        <f>IF(I8=J8,J9,IF(I8=K8,K9,IF(I8=L8,L9,IF(I8=M8,M9,IF(I8=N8,N9,IF(I8=O8,O9,IF(I8=P8,P9,IF(I8=Q8,Q9,IF(I8=R8,R9,IF(I8=S8,S9,IF(I8=T8,T9,IF(I8=U8,U9,IF(I8=V8,V9,IF(I8=W8,W9,IF(I8=X8,X9,IF(I8=Y8,Y9,IF(I8=Z8,Z9,IF(I8=AA8,AA9,IF(I8=AB8,AB9,IF(I8=AC8,AC9,IF(I8=AD8,AD9,IF(I8=AE8,AE9,IF(I8=AF8,AF9,IF(I8=AG8,AG9,IF(I8=AH8,AH9)))))))))))))))))))))))))</f>
        <v>Birinchi</v>
      </c>
      <c r="J9" s="140" t="s">
        <v>181</v>
      </c>
      <c r="K9" s="141" t="s">
        <v>182</v>
      </c>
      <c r="L9" s="141" t="s">
        <v>183</v>
      </c>
      <c r="M9" s="141" t="s">
        <v>353</v>
      </c>
      <c r="N9" s="141" t="s">
        <v>184</v>
      </c>
      <c r="O9" s="141" t="s">
        <v>354</v>
      </c>
      <c r="P9" s="141" t="s">
        <v>185</v>
      </c>
      <c r="Q9" s="141" t="s">
        <v>186</v>
      </c>
      <c r="R9" s="141" t="s">
        <v>187</v>
      </c>
      <c r="S9" s="141" t="s">
        <v>343</v>
      </c>
      <c r="T9" s="141" t="s">
        <v>344</v>
      </c>
      <c r="U9" s="141" t="s">
        <v>345</v>
      </c>
      <c r="V9" s="141" t="s">
        <v>346</v>
      </c>
      <c r="W9" s="141" t="s">
        <v>355</v>
      </c>
      <c r="X9" s="141" t="s">
        <v>347</v>
      </c>
      <c r="Y9" s="141" t="s">
        <v>348</v>
      </c>
      <c r="Z9" s="141" t="s">
        <v>349</v>
      </c>
      <c r="AA9" s="141" t="s">
        <v>350</v>
      </c>
      <c r="AB9" s="141" t="s">
        <v>351</v>
      </c>
      <c r="AC9" s="141" t="s">
        <v>188</v>
      </c>
      <c r="AD9" s="141" t="s">
        <v>189</v>
      </c>
      <c r="AE9" s="141" t="s">
        <v>190</v>
      </c>
      <c r="AF9" s="141" t="s">
        <v>191</v>
      </c>
      <c r="AG9" s="141" t="s">
        <v>352</v>
      </c>
      <c r="AH9" s="141" t="s">
        <v>192</v>
      </c>
    </row>
    <row r="10" spans="1:34" ht="11.25" customHeight="1" x14ac:dyDescent="0.25">
      <c r="A10" s="271"/>
      <c r="B10" s="271"/>
      <c r="C10" s="271"/>
      <c r="D10" s="271"/>
      <c r="E10" s="271"/>
      <c r="F10" s="271"/>
    </row>
    <row r="11" spans="1:34" ht="15.75" customHeight="1" x14ac:dyDescent="0.25">
      <c r="A11" s="269" t="str">
        <f>""&amp;umumiy_malumot!C64&amp;" ta’minoti:"</f>
        <v>Mikrokredit ta’minoti:</v>
      </c>
      <c r="B11" s="269"/>
      <c r="C11" s="269"/>
      <c r="D11" s="269"/>
      <c r="E11" s="269"/>
      <c r="F11" s="269"/>
    </row>
    <row r="12" spans="1:34" ht="7.5" customHeight="1" x14ac:dyDescent="0.25"/>
    <row r="13" spans="1:34" ht="64.5" customHeight="1" x14ac:dyDescent="0.25">
      <c r="A13" s="271" t="str">
        <f>xulosa!A18:E18</f>
        <v xml:space="preserve">1.  Egalik huquqi NORINBAYEVA SAPURA MAMADALIYEVNAga tegishli bo'lgan umumiy yer maydoni - 700,qurilish osti maydoni-340.11, umumiy foydali maydoni-114.59,  yashash maydoni - 163.19 Yakka tartibdagi uy-joy, TOSHKENT VILOYATI CHINOZ TUMANI ALISHER NAVOIY MFY SOBIR RAHIMOV KO'CHASI 36 UY </v>
      </c>
      <c r="B13" s="271"/>
      <c r="C13" s="271"/>
      <c r="D13" s="271"/>
      <c r="E13" s="271"/>
      <c r="F13" s="271"/>
    </row>
    <row r="14" spans="1:34" ht="31.9" customHeight="1" x14ac:dyDescent="0.25">
      <c r="A14" s="269" t="str">
        <f>"2. «"&amp;umumiy_malumot!B154&amp;"» АJ sug‘urta kompaniyasi tomonidan Mikroqarz to'lamaslik xavfini "&amp;FIXED(umumiy_malumot!B155,2)&amp;"("&amp;umumiy_malumot!B156&amp;") so ' m miqdoriga sug’urta qilish"</f>
        <v>2. «АО СК "IMPEX INSURANCE"» АJ sug‘urta kompaniyasi tomonidan Mikroqarz to'lamaslik xavfini 35 000 000,00(o'ttiz besh million so'm) so ' m miqdoriga sug’urta qilish</v>
      </c>
      <c r="B14" s="269"/>
      <c r="C14" s="269"/>
      <c r="D14" s="269"/>
      <c r="E14" s="269"/>
      <c r="F14" s="269"/>
    </row>
    <row r="15" spans="1:34" ht="17.25" customHeight="1" x14ac:dyDescent="0.25">
      <c r="D15" s="142" t="s">
        <v>362</v>
      </c>
      <c r="E15" s="142" t="str">
        <f>""&amp;umumiy_malumot!B158&amp;" kredit qo‘mitasi"</f>
        <v>«PULLOL BUSINESS MIKROMOLIYA TASHKILOTI»  MChJ kredit qo‘mitasi</v>
      </c>
      <c r="F15" s="142" t="str">
        <f>CONCATENATE(D15,E15)</f>
        <v xml:space="preserve"> masala yuzasidan berilgan ma’lumotlarni muhokama qilib, Kredit qo‘mitasi a’zolariga taqdim etilgan zarur hujjatlarni o‘rganib, majlisda ishtirok etgan Kredit qo‘mitasi a’zolarining taklif va mulohazalarini inobatga olgan holda «PULLOL BUSINESS MIKROMOLIYA TASHKILOTI»  MChJ kredit qo‘mitasi</v>
      </c>
    </row>
    <row r="16" spans="1:34" ht="54" customHeight="1" x14ac:dyDescent="0.25">
      <c r="A16" s="271" t="str">
        <f>CONCATENATE(I9,F15)</f>
        <v>Birinchi masala yuzasidan berilgan ma’lumotlarni muhokama qilib, Kredit qo‘mitasi a’zolariga taqdim etilgan zarur hujjatlarni o‘rganib, majlisda ishtirok etgan Kredit qo‘mitasi a’zolarining taklif va mulohazalarini inobatga olgan holda «PULLOL BUSINESS MIKROMOLIYA TASHKILOTI»  MChJ kredit qo‘mitasi</v>
      </c>
      <c r="B16" s="271"/>
      <c r="C16" s="271"/>
      <c r="D16" s="271"/>
      <c r="E16" s="271"/>
      <c r="F16" s="271"/>
    </row>
    <row r="17" spans="1:6" ht="24" customHeight="1" x14ac:dyDescent="0.25">
      <c r="A17" s="274" t="s">
        <v>251</v>
      </c>
      <c r="B17" s="274"/>
      <c r="C17" s="274"/>
      <c r="D17" s="274"/>
      <c r="E17" s="274"/>
      <c r="F17" s="274"/>
    </row>
    <row r="18" spans="1:6" ht="32.25" customHeight="1" x14ac:dyDescent="0.25">
      <c r="A18" s="271" t="str">
        <f>"       "&amp;umumiy_malumot!B5&amp;"ga quyidagi shartlarda "&amp;umumiy_malumot!B65&amp;" berish masalasi ma’qullansin:"</f>
        <v xml:space="preserve">       NORINBOYEVA SOXIBA IZZATILLAYEVNAga quyidagi shartlarda mikrokredit berish masalasi ma’qullansin:</v>
      </c>
      <c r="B18" s="271"/>
      <c r="C18" s="271"/>
      <c r="D18" s="271"/>
      <c r="E18" s="271"/>
      <c r="F18" s="271"/>
    </row>
    <row r="19" spans="1:6" s="123" customFormat="1" ht="18.75" customHeight="1" x14ac:dyDescent="0.25">
      <c r="A19" s="268" t="str">
        <f>"1. "&amp;umumiy_malumot!C64&amp;" summasi: "&amp;FIXED(umumiy_malumot!B76)&amp;" ("&amp;umumiy_malumot!B77&amp;") so'm."</f>
        <v>1. Mikrokredit summasi: 175 000 000,00 (yuz yetmish besh million so'm) so'm.</v>
      </c>
      <c r="B19" s="268"/>
      <c r="C19" s="268"/>
      <c r="D19" s="268"/>
      <c r="E19" s="268"/>
      <c r="F19" s="268"/>
    </row>
    <row r="20" spans="1:6" s="123" customFormat="1" ht="18.75" customHeight="1" x14ac:dyDescent="0.25">
      <c r="A20" s="268" t="str">
        <f>"2. "&amp;umumiy_malumot!C64&amp;" muddati: "&amp;umumiy_malumot!B82&amp;" ("&amp;umumiy_malumot!B83&amp;") oy "</f>
        <v xml:space="preserve">2. Mikrokredit muddati: 36 (O'ttiz olti  ) oy </v>
      </c>
      <c r="B20" s="268"/>
      <c r="C20" s="268"/>
      <c r="D20" s="268"/>
      <c r="E20" s="268"/>
      <c r="F20" s="268"/>
    </row>
    <row r="21" spans="1:6" s="123" customFormat="1" ht="18.75" customHeight="1" x14ac:dyDescent="0.25">
      <c r="A21" s="268" t="str">
        <f>"3. "&amp;umumiy_malumot!C64&amp;"dan foydalanganlik uchun foiz stavkasi:yillik "&amp;umumiy_malumot!B86&amp;"% ("&amp;umumiy_malumot!B87&amp;") foiz."</f>
        <v>3. Mikrokreditdan foydalanganlik uchun foiz stavkasi:yillik 55% (Ellik besh  ) foiz.</v>
      </c>
      <c r="B21" s="268"/>
      <c r="C21" s="268"/>
      <c r="D21" s="268"/>
      <c r="E21" s="268"/>
      <c r="F21" s="268"/>
    </row>
    <row r="22" spans="1:6" s="123" customFormat="1" ht="18.75" customHeight="1" x14ac:dyDescent="0.25">
      <c r="A22" s="268" t="str">
        <f>"4. "&amp;umumiy_malumot!C64&amp;" bo‘yicha asosiy qarz va foizlarni to‘lash:"</f>
        <v>4. Mikrokredit bo‘yicha asosiy qarz va foizlarni to‘lash:</v>
      </c>
      <c r="B22" s="268"/>
      <c r="C22" s="268"/>
      <c r="D22" s="268"/>
      <c r="E22" s="268"/>
      <c r="F22" s="268"/>
    </row>
    <row r="23" spans="1:6" s="123" customFormat="1" ht="18.75" customHeight="1" x14ac:dyDescent="0.25">
      <c r="A23" s="268" t="str">
        <f>kredit_ariza!A19:D19</f>
        <v xml:space="preserve"> - mikrokredit shartnomasi bo'yicha har oy differensial to'lovlari amalga oshiriladi</v>
      </c>
      <c r="B23" s="268"/>
      <c r="C23" s="268"/>
      <c r="D23" s="268"/>
      <c r="E23" s="268"/>
      <c r="F23" s="268"/>
    </row>
    <row r="24" spans="1:6" s="123" customFormat="1" ht="18.75" customHeight="1" x14ac:dyDescent="0.25">
      <c r="A24" s="268" t="str">
        <f>"5. "&amp;umumiy_malumot!C64&amp;" bo‘yicha ta'minot:"</f>
        <v>5. Mikrokredit bo‘yicha ta'minot:</v>
      </c>
      <c r="B24" s="268"/>
      <c r="C24" s="268"/>
      <c r="D24" s="268"/>
      <c r="E24" s="268"/>
      <c r="F24" s="268"/>
    </row>
    <row r="25" spans="1:6" ht="48" customHeight="1" x14ac:dyDescent="0.25">
      <c r="A25" s="271" t="str">
        <f>"1. garov  "&amp;xulosa!A29:E29&amp;""</f>
        <v>1. garov   -   NORINBAYEVA SAPURA MAMADALIYEVNA ga mulk huquqi asosida tegishli ko'chmas mulk shaklida Yakka tartibdagi uy-joy, manzili: TOSHKENT VILOYATI CHINOZ TUMANI ALISHER NAVOIY MFY SOBIR RAHIMOV KO'CHASI 36 UY, quyidagi tafsilotlarga muvofiq:</v>
      </c>
      <c r="B25" s="271"/>
      <c r="C25" s="271"/>
      <c r="D25" s="271"/>
      <c r="E25" s="271"/>
      <c r="F25" s="271"/>
    </row>
    <row r="26" spans="1:6" ht="40.5" customHeight="1" x14ac:dyDescent="0.25">
      <c r="A26" s="15" t="str">
        <f>dalolatnoma!A29</f>
        <v>Nomi</v>
      </c>
      <c r="B26" s="15" t="str">
        <f>dalolatnoma!B29</f>
        <v>Umumiy yer maydoni, (m2)</v>
      </c>
      <c r="C26" s="15" t="str">
        <f>dalolatnoma!C29</f>
        <v>Qurilish osti maydoni, (m2)</v>
      </c>
      <c r="D26" s="15" t="str">
        <f>dalolatnoma!D29</f>
        <v>Umumiy foydali maydoni, (m2)</v>
      </c>
      <c r="E26" s="15" t="str">
        <f>dalolatnoma!E29</f>
        <v>Yashash maydoni, (m2)</v>
      </c>
      <c r="F26" s="15" t="str">
        <f>dalolatnoma!F29</f>
        <v>Kelishilgan garov qiymati, so'm</v>
      </c>
    </row>
    <row r="27" spans="1:6" ht="75.75" customHeight="1" x14ac:dyDescent="0.25">
      <c r="A27" s="15" t="str">
        <f>dalolatnoma!A30</f>
        <v>Yakka tartibdagi uy-joy</v>
      </c>
      <c r="B27" s="15" t="str">
        <f>dalolatnoma!B30</f>
        <v>700</v>
      </c>
      <c r="C27" s="15" t="str">
        <f>dalolatnoma!C30</f>
        <v>340.11</v>
      </c>
      <c r="D27" s="15" t="str">
        <f>dalolatnoma!D30</f>
        <v>163.19</v>
      </c>
      <c r="E27" s="267" t="str">
        <f>dalolatnoma!E30</f>
        <v>114.59</v>
      </c>
      <c r="F27" s="15" t="str">
        <f>dalolatnoma!F30</f>
        <v>210 000 000,00 
(ikki yuz o'n million so'm)</v>
      </c>
    </row>
    <row r="28" spans="1:6" ht="20.25" customHeight="1" x14ac:dyDescent="0.25">
      <c r="A28" s="271" t="str">
        <f>dalolatnoma!A22:F22</f>
        <v>-* ko'chmas mulk egasi: NORINBAYEVA SAPURA MAMADALIYEVNA</v>
      </c>
      <c r="B28" s="271"/>
      <c r="C28" s="271"/>
      <c r="D28" s="271"/>
      <c r="E28" s="271"/>
      <c r="F28" s="271"/>
    </row>
    <row r="29" spans="1:6" ht="20.25" customHeight="1" x14ac:dyDescent="0.25">
      <c r="A29" s="271" t="str">
        <f>dalolatnoma!A23:F23</f>
        <v>-* reest raqami: №1727256/Y-25006342</v>
      </c>
      <c r="B29" s="271"/>
      <c r="C29" s="271"/>
      <c r="D29" s="271"/>
      <c r="E29" s="271"/>
      <c r="F29" s="271"/>
    </row>
    <row r="30" spans="1:6" ht="18" customHeight="1" x14ac:dyDescent="0.25">
      <c r="A30" s="271" t="str">
        <f>dalolatnoma!A24:F24</f>
        <v>-*  kadastr raqami: 13.08.2025 y. №11:13:42:02:01:1840</v>
      </c>
      <c r="B30" s="271"/>
      <c r="C30" s="271"/>
      <c r="D30" s="271"/>
      <c r="E30" s="271"/>
      <c r="F30" s="271"/>
    </row>
    <row r="31" spans="1:6" ht="22.5" customHeight="1" x14ac:dyDescent="0.25">
      <c r="A31" s="271" t="str">
        <f>dalolatnoma!A25:F25</f>
        <v>-* manzili: TOSHKENT VILOYATI CHINOZ TUMANI ALISHER NAVOIY MFY SOBIR RAHIMOV KO'CHASI 36 UY</v>
      </c>
      <c r="B31" s="271"/>
      <c r="C31" s="271"/>
      <c r="D31" s="271"/>
      <c r="E31" s="271"/>
      <c r="F31" s="271"/>
    </row>
    <row r="32" spans="1:6" ht="12" customHeight="1" x14ac:dyDescent="0.25">
      <c r="A32" s="124"/>
      <c r="B32" s="124"/>
      <c r="C32" s="124"/>
      <c r="D32" s="124"/>
      <c r="E32" s="124"/>
      <c r="F32" s="124"/>
    </row>
    <row r="33" spans="1:6" ht="34.9" customHeight="1" x14ac:dyDescent="0.25">
      <c r="A33" s="271" t="str">
        <f>"6. «"&amp;umumiy_malumot!B154&amp;"» АJ sug‘urta kompaniyasi tomonidan "&amp;umumiy_malumot!C64&amp;" to'lamaslik xavfini "&amp;FIXED(umumiy_malumot!B155,2)&amp;"("&amp;umumiy_malumot!B156&amp;") so ' m miqdoriga sug’urta qilish"</f>
        <v>6. «АО СК "IMPEX INSURANCE"» АJ sug‘urta kompaniyasi tomonidan Mikrokredit to'lamaslik xavfini 35 000 000,00(o'ttiz besh million so'm) so ' m miqdoriga sug’urta qilish</v>
      </c>
      <c r="B33" s="271"/>
      <c r="C33" s="271"/>
      <c r="D33" s="271"/>
      <c r="E33" s="271"/>
      <c r="F33" s="271"/>
    </row>
    <row r="34" spans="1:6" ht="22.5" customHeight="1" x14ac:dyDescent="0.25">
      <c r="A34" s="271" t="str">
        <f>"7. Boshqa shartlar – "&amp;IF(umumiy_malumot!B110=umumiy_malumot!B111,"avtotransport vositasi",IF(umumiy_malumot!B110=umumiy_malumot!C111,"ko'chmas mulk",0))&amp;" shaklida garov ta'minlangandan keyin "&amp;umumiy_malumot!B65&amp;" berish."</f>
        <v>7. Boshqa shartlar – ko'chmas mulk shaklida garov ta'minlangandan keyin mikrokredit berish.</v>
      </c>
      <c r="B34" s="271"/>
      <c r="C34" s="271"/>
      <c r="D34" s="271"/>
      <c r="E34" s="271"/>
      <c r="F34" s="271"/>
    </row>
    <row r="36" spans="1:6" ht="24" customHeight="1" x14ac:dyDescent="0.25">
      <c r="A36" s="270" t="s">
        <v>252</v>
      </c>
      <c r="B36" s="270"/>
      <c r="C36" s="270"/>
      <c r="D36" s="270"/>
      <c r="E36" s="270"/>
      <c r="F36" s="270"/>
    </row>
    <row r="37" spans="1:6" hidden="1" x14ac:dyDescent="0.25">
      <c r="A37" s="18"/>
      <c r="B37" s="272"/>
      <c r="C37" s="272"/>
      <c r="D37" s="272"/>
      <c r="E37" s="173"/>
      <c r="F37" s="18"/>
    </row>
    <row r="38" spans="1:6" ht="3.75" customHeight="1" x14ac:dyDescent="0.25">
      <c r="A38" s="18"/>
      <c r="B38" s="272"/>
      <c r="C38" s="272"/>
      <c r="D38" s="272"/>
      <c r="E38" s="173"/>
      <c r="F38" s="18"/>
    </row>
    <row r="39" spans="1:6" ht="27" customHeight="1" x14ac:dyDescent="0.25">
      <c r="A39" s="18"/>
      <c r="B39" s="272"/>
      <c r="C39" s="272"/>
      <c r="D39" s="272"/>
      <c r="E39" s="173"/>
      <c r="F39" s="18"/>
    </row>
    <row r="40" spans="1:6" ht="14.25" customHeight="1" x14ac:dyDescent="0.25"/>
    <row r="41" spans="1:6" ht="65.25" customHeight="1" x14ac:dyDescent="0.25">
      <c r="A41" s="121" t="str">
        <f>umumiy_malumot!B158&amp;" direktori"</f>
        <v>«PULLOL BUSINESS MIKROMOLIYA TASHKILOTI»  MChJ direktori</v>
      </c>
      <c r="B41" s="190"/>
      <c r="C41" s="190"/>
      <c r="D41" s="190"/>
      <c r="E41" s="189" t="s">
        <v>408</v>
      </c>
    </row>
    <row r="42" spans="1:6" x14ac:dyDescent="0.25">
      <c r="A42" s="190"/>
      <c r="B42" s="190"/>
      <c r="C42" s="190"/>
      <c r="D42" s="190"/>
      <c r="E42" s="190"/>
    </row>
    <row r="43" spans="1:6" x14ac:dyDescent="0.25">
      <c r="A43" s="190"/>
      <c r="B43" s="190"/>
      <c r="C43" s="190"/>
      <c r="D43" s="190"/>
      <c r="E43" s="190"/>
    </row>
    <row r="44" spans="1:6" x14ac:dyDescent="0.25">
      <c r="A44" s="190"/>
      <c r="B44" s="190"/>
      <c r="C44" s="190"/>
      <c r="D44" s="190"/>
      <c r="E44" s="190"/>
    </row>
    <row r="45" spans="1:6" ht="29.25" x14ac:dyDescent="0.25">
      <c r="A45" s="190" t="str">
        <f>umumiy_malumot!A170</f>
        <v xml:space="preserve">Kreditlash bo’limi boshlig’i </v>
      </c>
      <c r="B45" s="190"/>
      <c r="C45" s="190"/>
      <c r="D45" s="190"/>
      <c r="E45" s="190" t="str">
        <f>umumiy_malumot!B170</f>
        <v>Akramov R.N.</v>
      </c>
    </row>
    <row r="46" spans="1:6" x14ac:dyDescent="0.25">
      <c r="A46" s="190"/>
      <c r="B46" s="190"/>
      <c r="C46" s="190"/>
      <c r="D46" s="190"/>
      <c r="E46" s="190"/>
    </row>
    <row r="47" spans="1:6" x14ac:dyDescent="0.25">
      <c r="A47" s="190"/>
      <c r="B47" s="190"/>
      <c r="C47" s="190"/>
      <c r="D47" s="190"/>
      <c r="E47" s="190"/>
    </row>
    <row r="48" spans="1:6" ht="15" hidden="1" customHeight="1" x14ac:dyDescent="0.25">
      <c r="A48" s="190" t="str">
        <f>umumiy_malumot!A171</f>
        <v>Monitoring bo’limi boshlig’i</v>
      </c>
      <c r="B48" s="190"/>
      <c r="C48" s="190"/>
      <c r="D48" s="190"/>
      <c r="E48" s="190" t="str">
        <f>umumiy_malumot!B171</f>
        <v>Omanlikov  O.O.</v>
      </c>
    </row>
    <row r="49" spans="1:5" ht="29.25" x14ac:dyDescent="0.25">
      <c r="A49" s="190" t="str">
        <f>umumiy_malumot!A172</f>
        <v>Kredit bo'limi menejeri</v>
      </c>
      <c r="B49" s="190"/>
      <c r="C49" s="190"/>
      <c r="D49" s="190"/>
      <c r="E49" s="190" t="str">
        <f>umumiy_malumot!B172</f>
        <v>Eshbekov S. O.</v>
      </c>
    </row>
  </sheetData>
  <mergeCells count="28">
    <mergeCell ref="B37:D37"/>
    <mergeCell ref="B38:D38"/>
    <mergeCell ref="B39:D39"/>
    <mergeCell ref="A20:F20"/>
    <mergeCell ref="A1:F1"/>
    <mergeCell ref="A2:F2"/>
    <mergeCell ref="B4:E4"/>
    <mergeCell ref="A5:F5"/>
    <mergeCell ref="A7:F10"/>
    <mergeCell ref="A11:F11"/>
    <mergeCell ref="A13:F13"/>
    <mergeCell ref="A16:F16"/>
    <mergeCell ref="A17:F17"/>
    <mergeCell ref="A18:F18"/>
    <mergeCell ref="A19:F19"/>
    <mergeCell ref="A21:F21"/>
    <mergeCell ref="A22:F22"/>
    <mergeCell ref="A23:F23"/>
    <mergeCell ref="A14:F14"/>
    <mergeCell ref="A24:F24"/>
    <mergeCell ref="A36:F36"/>
    <mergeCell ref="A31:F31"/>
    <mergeCell ref="A25:F25"/>
    <mergeCell ref="A28:F28"/>
    <mergeCell ref="A29:F29"/>
    <mergeCell ref="A30:F30"/>
    <mergeCell ref="A34:F34"/>
    <mergeCell ref="A33:F33"/>
  </mergeCells>
  <pageMargins left="0.70866141732283472" right="0.11811023622047245" top="0.74803149606299213" bottom="0.74803149606299213" header="0.31496062992125984" footer="0.31496062992125984"/>
  <pageSetup paperSize="9" scale="6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2">
    <tabColor rgb="FF00B050"/>
  </sheetPr>
  <dimension ref="A1:BK178"/>
  <sheetViews>
    <sheetView zoomScaleNormal="100" workbookViewId="0">
      <selection activeCell="B5" sqref="B5"/>
    </sheetView>
  </sheetViews>
  <sheetFormatPr defaultColWidth="9.140625" defaultRowHeight="15" zeroHeight="1" x14ac:dyDescent="0.2"/>
  <cols>
    <col min="1" max="1" width="44.42578125" style="163" customWidth="1"/>
    <col min="2" max="2" width="61.85546875" style="164" customWidth="1"/>
    <col min="3" max="3" width="53.7109375" style="233" customWidth="1"/>
    <col min="4" max="4" width="29.7109375" style="233" customWidth="1"/>
    <col min="5" max="7" width="9.140625" style="233" customWidth="1"/>
    <col min="8" max="8" width="62.5703125" style="233" customWidth="1"/>
    <col min="9" max="13" width="9.140625" style="162" customWidth="1"/>
    <col min="14" max="14" width="70.7109375" style="162" customWidth="1"/>
    <col min="15" max="16" width="9.140625" style="162" customWidth="1"/>
    <col min="17" max="17" width="59.7109375" style="162" customWidth="1"/>
    <col min="18" max="18" width="49.85546875" style="162" customWidth="1"/>
    <col min="19" max="16384" width="9.140625" style="162"/>
  </cols>
  <sheetData>
    <row r="1" spans="1:4" x14ac:dyDescent="0.2">
      <c r="A1" s="3" t="str">
        <f>CONCATENATE(B65," olish uchun ariza")</f>
        <v>mikrokredit olish uchun ariza</v>
      </c>
      <c r="B1" s="212" t="s">
        <v>464</v>
      </c>
    </row>
    <row r="2" spans="1:4" ht="30" x14ac:dyDescent="0.2">
      <c r="A2" s="3" t="str">
        <f>CONCATENATE(B65," olish uchun ariza sanasi QO’L BILAN KIRITILADI")</f>
        <v>mikrokredit olish uchun ariza sanasi QO’L BILAN KIRITILADI</v>
      </c>
      <c r="B2" s="213" t="s">
        <v>463</v>
      </c>
      <c r="D2" s="233">
        <f>180+B2</f>
        <v>46249</v>
      </c>
    </row>
    <row r="3" spans="1:4" hidden="1" x14ac:dyDescent="0.2">
      <c r="A3" s="3"/>
      <c r="B3" s="1"/>
    </row>
    <row r="4" spans="1:4" x14ac:dyDescent="0.2">
      <c r="A4" s="278" t="s">
        <v>47</v>
      </c>
      <c r="B4" s="278"/>
    </row>
    <row r="5" spans="1:4" ht="30" x14ac:dyDescent="0.2">
      <c r="A5" s="3" t="s">
        <v>48</v>
      </c>
      <c r="B5" s="212" t="s">
        <v>462</v>
      </c>
    </row>
    <row r="6" spans="1:4" ht="28.5" customHeight="1" x14ac:dyDescent="0.2">
      <c r="A6" s="3" t="s">
        <v>49</v>
      </c>
      <c r="B6" s="181" t="s">
        <v>61</v>
      </c>
      <c r="C6" s="233" t="s">
        <v>247</v>
      </c>
      <c r="D6" s="233" t="s">
        <v>128</v>
      </c>
    </row>
    <row r="7" spans="1:4" ht="30" x14ac:dyDescent="0.2">
      <c r="A7" s="3" t="s">
        <v>50</v>
      </c>
      <c r="B7" s="212" t="s">
        <v>465</v>
      </c>
    </row>
    <row r="8" spans="1:4" ht="30" hidden="1" x14ac:dyDescent="0.2">
      <c r="A8" s="3" t="s">
        <v>51</v>
      </c>
      <c r="B8" s="182" t="str">
        <f>B5</f>
        <v>NORINBOYEVA SOXIBA IZZATILLAYEVNA</v>
      </c>
    </row>
    <row r="9" spans="1:4" hidden="1" x14ac:dyDescent="0.2">
      <c r="A9" s="3" t="s">
        <v>52</v>
      </c>
      <c r="B9" s="182" t="str">
        <f>B7</f>
        <v>NORINBOYEVA S.I.</v>
      </c>
    </row>
    <row r="10" spans="1:4" ht="30" hidden="1" x14ac:dyDescent="0.2">
      <c r="A10" s="3" t="s">
        <v>53</v>
      </c>
      <c r="B10" s="182" t="str">
        <f>B8</f>
        <v>NORINBOYEVA SOXIBA IZZATILLAYEVNA</v>
      </c>
    </row>
    <row r="11" spans="1:4" hidden="1" x14ac:dyDescent="0.2">
      <c r="A11" s="3" t="s">
        <v>54</v>
      </c>
      <c r="B11" s="182" t="str">
        <f>B9</f>
        <v>NORINBOYEVA S.I.</v>
      </c>
    </row>
    <row r="12" spans="1:4" ht="30" hidden="1" x14ac:dyDescent="0.2">
      <c r="A12" s="3" t="s">
        <v>55</v>
      </c>
      <c r="B12" s="182" t="str">
        <f>B10</f>
        <v>NORINBOYEVA SOXIBA IZZATILLAYEVNA</v>
      </c>
    </row>
    <row r="13" spans="1:4" hidden="1" x14ac:dyDescent="0.2">
      <c r="A13" s="3" t="s">
        <v>56</v>
      </c>
      <c r="B13" s="182" t="str">
        <f>B11</f>
        <v>NORINBOYEVA S.I.</v>
      </c>
    </row>
    <row r="14" spans="1:4" hidden="1" x14ac:dyDescent="0.2">
      <c r="A14" s="3" t="s">
        <v>57</v>
      </c>
      <c r="B14" s="182" t="s">
        <v>60</v>
      </c>
    </row>
    <row r="15" spans="1:4" x14ac:dyDescent="0.2">
      <c r="A15" s="3" t="s">
        <v>58</v>
      </c>
      <c r="B15" s="229" t="s">
        <v>466</v>
      </c>
    </row>
    <row r="16" spans="1:4" x14ac:dyDescent="0.2">
      <c r="A16" s="3" t="s">
        <v>59</v>
      </c>
      <c r="B16" s="212" t="s">
        <v>467</v>
      </c>
    </row>
    <row r="17" spans="1:7" x14ac:dyDescent="0.2">
      <c r="A17" s="3"/>
      <c r="B17" s="212" t="s">
        <v>468</v>
      </c>
      <c r="D17" s="233" t="str">
        <f>TEXT(C17,"ДД.ММ.ГГГГ")</f>
        <v>00.01.1900</v>
      </c>
    </row>
    <row r="18" spans="1:7" x14ac:dyDescent="0.2">
      <c r="A18" s="3"/>
      <c r="B18" s="229">
        <v>46013</v>
      </c>
      <c r="C18" s="234" t="str">
        <f>TEXT(B18,"ДД.ММ.ГГГГ")</f>
        <v>22.12.2025</v>
      </c>
    </row>
    <row r="19" spans="1:7" x14ac:dyDescent="0.2">
      <c r="A19" s="3"/>
      <c r="B19" s="183">
        <f>DATE(YEAR(B18)+10,MONTH(B18),DAY(B18)-1)</f>
        <v>49664</v>
      </c>
      <c r="C19" s="234" t="str">
        <f>TEXT(B19,"ДД.ММ.ГГГГ")</f>
        <v>21.12.2035</v>
      </c>
    </row>
    <row r="20" spans="1:7" ht="60" x14ac:dyDescent="0.2">
      <c r="A20" s="3" t="s">
        <v>62</v>
      </c>
      <c r="B20" s="55" t="str">
        <f>""&amp;B17&amp;" tomonidan "&amp;C18&amp;" yilda berilgan"</f>
        <v>IIV 27256 tomonidan 22.12.2025 yilda berilgan</v>
      </c>
      <c r="C20" s="235" t="str">
        <f>""&amp;B17&amp;" tomonidan "&amp;C18&amp;" yilda berilgan"</f>
        <v>IIV 27256 tomonidan 22.12.2025 yilda berilgan</v>
      </c>
    </row>
    <row r="21" spans="1:7" ht="45" x14ac:dyDescent="0.2">
      <c r="A21" s="3" t="s">
        <v>63</v>
      </c>
      <c r="B21" s="55" t="str">
        <f>""&amp;C19&amp;" y."</f>
        <v>21.12.2035 y.</v>
      </c>
      <c r="C21" s="234" t="str">
        <f>""&amp;C19&amp;" yilgacha"</f>
        <v>21.12.2035 yilgacha</v>
      </c>
    </row>
    <row r="22" spans="1:7" ht="64.5" customHeight="1" x14ac:dyDescent="0.2">
      <c r="A22" s="3" t="s">
        <v>64</v>
      </c>
      <c r="B22" s="212" t="s">
        <v>461</v>
      </c>
      <c r="C22" s="234" t="str">
        <f>TEXT(B19,"ДД.ММ.ГГГГ")</f>
        <v>21.12.2035</v>
      </c>
    </row>
    <row r="23" spans="1:7" ht="30" x14ac:dyDescent="0.2">
      <c r="A23" s="3" t="s">
        <v>65</v>
      </c>
      <c r="B23" s="212" t="s">
        <v>89</v>
      </c>
      <c r="C23" s="233" t="s">
        <v>89</v>
      </c>
      <c r="D23" s="233" t="s">
        <v>90</v>
      </c>
    </row>
    <row r="24" spans="1:7" ht="30" hidden="1" x14ac:dyDescent="0.2">
      <c r="A24" s="3" t="s">
        <v>66</v>
      </c>
      <c r="B24" s="211" t="s">
        <v>87</v>
      </c>
      <c r="C24" s="233" t="s">
        <v>87</v>
      </c>
      <c r="D24" s="233" t="s">
        <v>88</v>
      </c>
      <c r="E24" s="233" t="s">
        <v>0</v>
      </c>
      <c r="F24" s="233" t="s">
        <v>1</v>
      </c>
      <c r="G24" s="233" t="s">
        <v>3</v>
      </c>
    </row>
    <row r="25" spans="1:7" ht="30" x14ac:dyDescent="0.2">
      <c r="A25" s="3" t="s">
        <v>67</v>
      </c>
      <c r="B25" s="212" t="s">
        <v>469</v>
      </c>
    </row>
    <row r="26" spans="1:7" ht="44.25" customHeight="1" x14ac:dyDescent="0.2">
      <c r="A26" s="3" t="s">
        <v>68</v>
      </c>
      <c r="B26" s="212" t="s">
        <v>470</v>
      </c>
      <c r="C26" s="233" t="s">
        <v>22</v>
      </c>
    </row>
    <row r="27" spans="1:7" ht="44.25" hidden="1" customHeight="1" x14ac:dyDescent="0.2">
      <c r="A27" s="3"/>
      <c r="B27" s="155" t="str">
        <f>IF(B23="mos keladi",B22,B28)</f>
        <v>TOSHKENT VILOYATI CHINOZ TUMANI ALISHER NAVOIY MFY SOBIR RAHIMOV KO'CHASI 36 UY</v>
      </c>
    </row>
    <row r="28" spans="1:7" ht="45" x14ac:dyDescent="0.2">
      <c r="A28" s="3" t="s">
        <v>69</v>
      </c>
      <c r="B28" s="212" t="s">
        <v>461</v>
      </c>
    </row>
    <row r="29" spans="1:7" x14ac:dyDescent="0.2">
      <c r="A29" s="3" t="s">
        <v>70</v>
      </c>
      <c r="B29" s="181" t="s">
        <v>87</v>
      </c>
      <c r="C29" s="233" t="s">
        <v>87</v>
      </c>
      <c r="D29" s="233" t="s">
        <v>88</v>
      </c>
      <c r="E29" s="233" t="s">
        <v>316</v>
      </c>
      <c r="F29" s="233" t="s">
        <v>317</v>
      </c>
      <c r="G29" s="233" t="s">
        <v>3</v>
      </c>
    </row>
    <row r="30" spans="1:7" ht="27" x14ac:dyDescent="0.2">
      <c r="A30" s="3" t="s">
        <v>71</v>
      </c>
      <c r="B30" s="184" t="s">
        <v>320</v>
      </c>
      <c r="C30" s="233" t="s">
        <v>143</v>
      </c>
      <c r="D30" s="233" t="s">
        <v>320</v>
      </c>
    </row>
    <row r="31" spans="1:7" x14ac:dyDescent="0.2">
      <c r="A31" s="3" t="s">
        <v>72</v>
      </c>
      <c r="B31" s="212" t="s">
        <v>471</v>
      </c>
    </row>
    <row r="32" spans="1:7" x14ac:dyDescent="0.2">
      <c r="A32" s="3" t="s">
        <v>57</v>
      </c>
      <c r="B32" s="185" t="s">
        <v>60</v>
      </c>
    </row>
    <row r="33" spans="1:4" ht="30" x14ac:dyDescent="0.2">
      <c r="A33" s="3" t="s">
        <v>67</v>
      </c>
      <c r="B33" s="212" t="str">
        <f>B25</f>
        <v>33 730 30 31 MIJOZ</v>
      </c>
    </row>
    <row r="34" spans="1:4" hidden="1" x14ac:dyDescent="0.2">
      <c r="A34" s="3"/>
      <c r="B34" s="181" t="str">
        <f>IF(B23="mos keladi",B26,B35)</f>
        <v>1 MAKTAB BALNITSA CHINOZ</v>
      </c>
    </row>
    <row r="35" spans="1:4" x14ac:dyDescent="0.2">
      <c r="A35" s="3" t="s">
        <v>68</v>
      </c>
      <c r="B35" s="181"/>
    </row>
    <row r="36" spans="1:4" x14ac:dyDescent="0.2">
      <c r="A36" s="3" t="s">
        <v>73</v>
      </c>
      <c r="B36" s="181"/>
    </row>
    <row r="37" spans="1:4" x14ac:dyDescent="0.2">
      <c r="A37" s="3" t="s">
        <v>74</v>
      </c>
      <c r="B37" s="181"/>
    </row>
    <row r="38" spans="1:4" x14ac:dyDescent="0.2">
      <c r="A38" s="3" t="s">
        <v>75</v>
      </c>
      <c r="B38" s="181"/>
    </row>
    <row r="39" spans="1:4" x14ac:dyDescent="0.2">
      <c r="A39" s="3" t="s">
        <v>76</v>
      </c>
      <c r="B39" s="181"/>
    </row>
    <row r="40" spans="1:4" ht="24.75" customHeight="1" x14ac:dyDescent="0.2">
      <c r="A40" s="3" t="s">
        <v>77</v>
      </c>
      <c r="B40" s="212" t="str">
        <f>B25</f>
        <v>33 730 30 31 MIJOZ</v>
      </c>
    </row>
    <row r="41" spans="1:4" ht="24.75" customHeight="1" x14ac:dyDescent="0.2">
      <c r="A41" s="3" t="s">
        <v>78</v>
      </c>
      <c r="B41" s="212" t="s">
        <v>472</v>
      </c>
    </row>
    <row r="42" spans="1:4" ht="24.75" customHeight="1" x14ac:dyDescent="0.2">
      <c r="A42" s="3" t="s">
        <v>77</v>
      </c>
      <c r="B42" s="212" t="s">
        <v>473</v>
      </c>
    </row>
    <row r="43" spans="1:4" ht="30" x14ac:dyDescent="0.2">
      <c r="A43" s="3" t="s">
        <v>78</v>
      </c>
      <c r="B43" s="46"/>
    </row>
    <row r="44" spans="1:4" ht="23.25" x14ac:dyDescent="0.2">
      <c r="A44" s="157" t="s">
        <v>79</v>
      </c>
      <c r="B44" s="156" t="s">
        <v>336</v>
      </c>
      <c r="C44" s="233" t="s">
        <v>331</v>
      </c>
      <c r="D44" s="233" t="s">
        <v>336</v>
      </c>
    </row>
    <row r="45" spans="1:4" hidden="1" x14ac:dyDescent="0.2">
      <c r="A45" s="3"/>
      <c r="B45" s="155" t="str">
        <f>IF(B44=D44,CONCATENATE("MA'LUMOTNOMA ",B47,B46),C44)</f>
        <v>MA'LUMOTNOMA №0012660051</v>
      </c>
    </row>
    <row r="46" spans="1:4" ht="93" x14ac:dyDescent="0.2">
      <c r="A46" s="157" t="s">
        <v>337</v>
      </c>
      <c r="B46" s="165" t="s">
        <v>454</v>
      </c>
    </row>
    <row r="47" spans="1:4" ht="23.25" x14ac:dyDescent="0.2">
      <c r="A47" s="157"/>
      <c r="B47" s="165"/>
      <c r="C47" s="233" t="s">
        <v>13</v>
      </c>
    </row>
    <row r="48" spans="1:4" ht="93" x14ac:dyDescent="0.2">
      <c r="A48" s="157" t="s">
        <v>338</v>
      </c>
      <c r="B48" s="165" t="s">
        <v>455</v>
      </c>
    </row>
    <row r="49" spans="1:4" ht="28.5" hidden="1" x14ac:dyDescent="0.2">
      <c r="A49" s="3" t="s">
        <v>80</v>
      </c>
      <c r="B49" s="46" t="str">
        <f>IF(B44=C44,C44,B48)</f>
        <v>BOLALAR O'YINCHOGINI ISHLAB CHIQARISH (UY SHAROITIDA)</v>
      </c>
    </row>
    <row r="50" spans="1:4" ht="45" x14ac:dyDescent="0.2">
      <c r="A50" s="3" t="s">
        <v>81</v>
      </c>
      <c r="B50" s="46"/>
    </row>
    <row r="51" spans="1:4" x14ac:dyDescent="0.2">
      <c r="A51" s="3" t="s">
        <v>68</v>
      </c>
      <c r="B51" s="46"/>
    </row>
    <row r="52" spans="1:4" x14ac:dyDescent="0.2">
      <c r="A52" s="3" t="s">
        <v>82</v>
      </c>
      <c r="B52" s="46"/>
    </row>
    <row r="53" spans="1:4" x14ac:dyDescent="0.2">
      <c r="A53" s="3" t="s">
        <v>83</v>
      </c>
      <c r="B53" s="46"/>
    </row>
    <row r="54" spans="1:4" x14ac:dyDescent="0.2">
      <c r="A54" s="3" t="s">
        <v>84</v>
      </c>
      <c r="B54" s="46"/>
    </row>
    <row r="55" spans="1:4" x14ac:dyDescent="0.2">
      <c r="A55" s="3" t="s">
        <v>85</v>
      </c>
      <c r="B55" s="2"/>
    </row>
    <row r="56" spans="1:4" x14ac:dyDescent="0.2">
      <c r="A56" s="3" t="s">
        <v>86</v>
      </c>
      <c r="B56" s="2" t="s">
        <v>20</v>
      </c>
    </row>
    <row r="57" spans="1:4" ht="30" customHeight="1" x14ac:dyDescent="0.2">
      <c r="A57" s="279" t="s">
        <v>91</v>
      </c>
      <c r="B57" s="280"/>
    </row>
    <row r="58" spans="1:4" ht="20.25" hidden="1" customHeight="1" x14ac:dyDescent="0.2">
      <c r="A58" s="3" t="s">
        <v>92</v>
      </c>
      <c r="B58" s="46" t="str">
        <f>IF(B44=C44,C44,CONCATENATE(B44," ",B47))</f>
        <v xml:space="preserve">O'Z O'ZINI BAND QILGAN FUQARO </v>
      </c>
    </row>
    <row r="59" spans="1:4" ht="31.5" hidden="1" customHeight="1" x14ac:dyDescent="0.2">
      <c r="A59" s="3" t="s">
        <v>80</v>
      </c>
      <c r="B59" s="46" t="str">
        <f>B49</f>
        <v>BOLALAR O'YINCHOGINI ISHLAB CHIQARISH (UY SHAROITIDA)</v>
      </c>
    </row>
    <row r="60" spans="1:4" ht="23.25" x14ac:dyDescent="0.2">
      <c r="A60" s="157" t="s">
        <v>93</v>
      </c>
      <c r="B60" s="160">
        <v>20000000</v>
      </c>
      <c r="C60" s="236">
        <f>C63/B76</f>
        <v>0.4564079143428571</v>
      </c>
    </row>
    <row r="61" spans="1:4" x14ac:dyDescent="0.2">
      <c r="A61" s="3" t="s">
        <v>94</v>
      </c>
      <c r="B61" s="5">
        <v>10000000</v>
      </c>
      <c r="C61" s="237" t="s">
        <v>366</v>
      </c>
    </row>
    <row r="62" spans="1:4" hidden="1" x14ac:dyDescent="0.2">
      <c r="A62" s="3" t="s">
        <v>95</v>
      </c>
      <c r="B62" s="46">
        <f>B53</f>
        <v>0</v>
      </c>
      <c r="C62" s="238"/>
    </row>
    <row r="63" spans="1:4" ht="30" x14ac:dyDescent="0.2">
      <c r="A63" s="3" t="s">
        <v>96</v>
      </c>
      <c r="B63" s="46"/>
      <c r="C63" s="239">
        <f>SUM(grafik!E9:E20)</f>
        <v>79871385.00999999</v>
      </c>
      <c r="D63" s="92"/>
    </row>
    <row r="64" spans="1:4" x14ac:dyDescent="0.2">
      <c r="A64" s="278" t="s">
        <v>97</v>
      </c>
      <c r="B64" s="278"/>
      <c r="C64" s="92" t="str">
        <f>PROPER(B65)</f>
        <v>Mikrokredit</v>
      </c>
      <c r="D64" s="92" t="str">
        <f>UPPER(B65)</f>
        <v>MIKROKREDIT</v>
      </c>
    </row>
    <row r="65" spans="1:14" x14ac:dyDescent="0.2">
      <c r="A65" s="3" t="s">
        <v>98</v>
      </c>
      <c r="B65" s="1" t="str">
        <f>IF(B76&gt;100000001,"mikrokredit",IF(B76&lt;100000001,"mikroqarz",0))</f>
        <v>mikrokredit</v>
      </c>
      <c r="C65" s="91">
        <f>DATE(YEAR(B67),MONTH(B67)+B82,DAY(B67))</f>
        <v>47165</v>
      </c>
      <c r="D65" s="92"/>
    </row>
    <row r="66" spans="1:14" hidden="1" x14ac:dyDescent="0.2">
      <c r="A66" s="3" t="s">
        <v>99</v>
      </c>
      <c r="B66" s="46" t="str">
        <f>B1</f>
        <v>№ 110</v>
      </c>
      <c r="C66" s="92">
        <f>MONTH(C65)</f>
        <v>2</v>
      </c>
      <c r="D66" s="92" t="str">
        <f>IF(C66=C68,C70,IF(C66=D68,D70,IF(C66=E68,E70,IF(C66=F68,F70,IF(C66=G68,G70,IF(C66=H68,H70,IF(C66=I68,I70,IF(C66=J68,J70,IF(C66=K68,K70,IF(C66=L68,L70,IF(C66=M68,M70,IF(C66=N68,N70,))))))))))))</f>
        <v>fevral</v>
      </c>
      <c r="E66" s="233">
        <f>DAY(C65)</f>
        <v>16</v>
      </c>
      <c r="F66" s="233">
        <f>YEAR(C65)</f>
        <v>2029</v>
      </c>
      <c r="G66" s="233">
        <f>MONTH(C65)</f>
        <v>2</v>
      </c>
      <c r="H66" s="233" t="str">
        <f>IF(C66=C68,C71,IF(C66=D68,D71,IF(C66=E68,E71,IF(C66=F68,F71,IF(C66=G68,G71,IF(C66=H68,H71,IF(C66=I68,I71,IF(C66=J68,J71,IF(C66=K68,K71,IF(C66=L68,L71,IF(C66=M68,M71,IF(C66=N68,N71,))))))))))))</f>
        <v>fevral</v>
      </c>
      <c r="I66" s="162">
        <f>YEAR(C65)</f>
        <v>2029</v>
      </c>
    </row>
    <row r="67" spans="1:14" hidden="1" x14ac:dyDescent="0.2">
      <c r="A67" s="3" t="s">
        <v>100</v>
      </c>
      <c r="B67" s="75" t="str">
        <f>B2</f>
        <v>16.02.2026</v>
      </c>
      <c r="C67" s="92">
        <f>MONTH(B67)</f>
        <v>2</v>
      </c>
      <c r="D67" s="92" t="str">
        <f>IF(C67=C68,C70,IF(C67=D68,D70,IF(C67=E68,E70,IF(C67=F68,F70,IF(C67=G68,G70,IF(C67=H68,H70,IF(C67=I68,I70,IF(C67=J68,J70,IF(C67=K68,K70,IF(C67=L68,L70,IF(C67=M68,M70,IF(C67=N68,N70,))))))))))))</f>
        <v>fevral</v>
      </c>
      <c r="E67" s="233">
        <f>DAY(B67)</f>
        <v>16</v>
      </c>
      <c r="F67" s="233">
        <f>YEAR(B67)</f>
        <v>2026</v>
      </c>
      <c r="G67" s="233">
        <f>MONTH(B67)</f>
        <v>2</v>
      </c>
      <c r="H67" s="233" t="str">
        <f>IF(C67=C68,C71,IF(C67=D68,D71,IF(C67=E68,E71,IF(C67=F68,F71,IF(C67=G68,G71,IF(C67=H68,H71,IF(C67=I68,I71,IF(C67=J68,J71,IF(C67=K68,K71,IF(C67=L68,L71,IF(C67=M68,M71,IF(C67=N68,N71,))))))))))))</f>
        <v>fevral</v>
      </c>
      <c r="I67" s="162">
        <f>YEAR(B67)</f>
        <v>2026</v>
      </c>
    </row>
    <row r="68" spans="1:14" hidden="1" x14ac:dyDescent="0.2">
      <c r="A68" s="3" t="s">
        <v>101</v>
      </c>
      <c r="B68" s="68" t="str">
        <f>""&amp;E67&amp;" "&amp;D67&amp;" "&amp;F67&amp;" y."</f>
        <v>16 fevral 2026 y.</v>
      </c>
      <c r="C68" s="92">
        <v>1</v>
      </c>
      <c r="D68" s="92">
        <v>2</v>
      </c>
      <c r="E68" s="233">
        <v>3</v>
      </c>
      <c r="F68" s="233">
        <v>4</v>
      </c>
      <c r="G68" s="233">
        <v>5</v>
      </c>
      <c r="H68" s="233">
        <v>6</v>
      </c>
      <c r="I68" s="162">
        <v>7</v>
      </c>
      <c r="J68" s="162">
        <v>8</v>
      </c>
      <c r="K68" s="162">
        <v>9</v>
      </c>
      <c r="L68" s="162">
        <v>10</v>
      </c>
      <c r="M68" s="162">
        <v>11</v>
      </c>
      <c r="N68" s="162">
        <v>12</v>
      </c>
    </row>
    <row r="69" spans="1:14" hidden="1" x14ac:dyDescent="0.2">
      <c r="A69" s="3"/>
      <c r="B69" s="68" t="str">
        <f>""&amp;E67&amp;" "&amp;H67&amp;" "&amp;F67&amp;" y."</f>
        <v>16 fevral 2026 y.</v>
      </c>
      <c r="C69" s="92"/>
      <c r="D69" s="92"/>
    </row>
    <row r="70" spans="1:14" hidden="1" x14ac:dyDescent="0.2">
      <c r="A70" s="3"/>
      <c r="B70" s="54" t="str">
        <f>B68</f>
        <v>16 fevral 2026 y.</v>
      </c>
      <c r="C70" s="92" t="s">
        <v>113</v>
      </c>
      <c r="D70" s="92" t="s">
        <v>114</v>
      </c>
      <c r="E70" s="233" t="s">
        <v>103</v>
      </c>
      <c r="F70" s="233" t="s">
        <v>104</v>
      </c>
      <c r="G70" s="233" t="s">
        <v>105</v>
      </c>
      <c r="H70" s="233" t="s">
        <v>106</v>
      </c>
      <c r="I70" s="162" t="s">
        <v>107</v>
      </c>
      <c r="J70" s="162" t="s">
        <v>108</v>
      </c>
      <c r="K70" s="162" t="s">
        <v>109</v>
      </c>
      <c r="L70" s="162" t="s">
        <v>110</v>
      </c>
      <c r="M70" s="162" t="s">
        <v>111</v>
      </c>
      <c r="N70" s="162" t="s">
        <v>112</v>
      </c>
    </row>
    <row r="71" spans="1:14" hidden="1" x14ac:dyDescent="0.2">
      <c r="A71" s="3"/>
      <c r="B71" s="54" t="str">
        <f>B69</f>
        <v>16 fevral 2026 y.</v>
      </c>
      <c r="C71" s="92" t="s">
        <v>113</v>
      </c>
      <c r="D71" s="92" t="s">
        <v>114</v>
      </c>
      <c r="E71" s="233" t="s">
        <v>103</v>
      </c>
      <c r="F71" s="233" t="s">
        <v>104</v>
      </c>
      <c r="G71" s="233" t="s">
        <v>105</v>
      </c>
      <c r="H71" s="233" t="s">
        <v>106</v>
      </c>
      <c r="I71" s="162" t="s">
        <v>107</v>
      </c>
      <c r="J71" s="162" t="s">
        <v>108</v>
      </c>
      <c r="K71" s="162" t="s">
        <v>109</v>
      </c>
      <c r="L71" s="162" t="s">
        <v>110</v>
      </c>
      <c r="M71" s="162" t="s">
        <v>111</v>
      </c>
      <c r="N71" s="162" t="s">
        <v>112</v>
      </c>
    </row>
    <row r="72" spans="1:14" hidden="1" x14ac:dyDescent="0.2">
      <c r="A72" s="3" t="s">
        <v>102</v>
      </c>
      <c r="B72" s="53" t="str">
        <f>""&amp;E66&amp;" "&amp;D66&amp;" "&amp;F66&amp;" y."</f>
        <v>16 fevral 2029 y.</v>
      </c>
      <c r="C72" s="92"/>
      <c r="D72" s="92"/>
    </row>
    <row r="73" spans="1:14" hidden="1" x14ac:dyDescent="0.2">
      <c r="A73" s="3"/>
      <c r="B73" s="53" t="str">
        <f>""&amp;E66&amp;" "&amp;H66&amp;" "&amp;F66&amp;" y."</f>
        <v>16 fevral 2029 y.</v>
      </c>
      <c r="C73" s="92"/>
      <c r="D73" s="92"/>
    </row>
    <row r="74" spans="1:14" ht="15.75" hidden="1" thickBot="1" x14ac:dyDescent="0.25">
      <c r="A74" s="3" t="s">
        <v>115</v>
      </c>
      <c r="B74" s="1" t="str">
        <f>""&amp;B68&amp;"dan "&amp;B66&amp;""</f>
        <v>16 fevral 2026 y.dan № 110</v>
      </c>
      <c r="C74" s="92"/>
      <c r="D74" s="92"/>
    </row>
    <row r="75" spans="1:14" ht="15.75" thickBot="1" x14ac:dyDescent="0.25">
      <c r="A75" s="3" t="str">
        <f>CONCATENATE(B65," miqdori (summasi)")</f>
        <v>mikrokredit miqdori (summasi)</v>
      </c>
      <c r="B75" s="62">
        <v>150000000</v>
      </c>
      <c r="C75" s="240">
        <f>+B76*1.4</f>
        <v>244999999.99999997</v>
      </c>
      <c r="D75" s="9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C75))&gt;6,ROMAN(MID(INT(C75),1,LEN(INT(C75))-6)+0)&amp;" million "&amp;ROMAN(MID(INT(C75),LEN(INT(C75))-5,3)+0)&amp;" ming "&amp;ROMAN(MID(INT(C75),LEN(INT(C75))-2,3)+0),IF(LEN(INT(C75))&gt;3,ROMAN(MID(INT(C75),1,LEN(INT(C75))-3)+0)&amp;" ming "&amp;ROMAN(MID(INT(C75),LEN(INT(C75))-2,3)+0),ROMAN(INT(C75)))),"DCCC","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ikki yuz qirq besh million so'm</v>
      </c>
    </row>
    <row r="76" spans="1:14" x14ac:dyDescent="0.2">
      <c r="A76" s="3" t="str">
        <f>CONCATENATE(B65," miqdori (summasi)")</f>
        <v>mikrokredit miqdori (summasi)</v>
      </c>
      <c r="B76" s="62">
        <f>B75+B153</f>
        <v>175000000</v>
      </c>
      <c r="C76" s="241" t="s">
        <v>121</v>
      </c>
      <c r="D76" s="92"/>
    </row>
    <row r="77" spans="1:14" x14ac:dyDescent="0.2">
      <c r="A77" s="138" t="s">
        <v>116</v>
      </c>
      <c r="B77" s="49"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76))&gt;6,ROMAN(MID(INT(B76),1,LEN(INT(B76))-6)+0)&amp;" million "&amp;ROMAN(MID(INT(B76),LEN(INT(B76))-5,3)+0)&amp;" ming "&amp;ROMAN(MID(INT(B76),LEN(INT(B76))-2,3)+0),IF(LEN(INT(B76))&gt;3,ROMAN(MID(INT(B76),1,LEN(INT(B76))-3)+0)&amp;" ming "&amp;ROMAN(MID(INT(B76),LEN(INT(B76))-2,3)+0),ROMAN(INT(B76)))),"DCCC","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yuz yetmish besh million so'm</v>
      </c>
      <c r="C77" s="242"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76,0))&gt;6,ROMAN(MID(ROUNDDOWN(B76,0),1,LEN(ROUNDDOWN(B76,0))-6)+0)&amp;" million "&amp;ROMAN(MID(ROUNDDOWN(B76,0),LEN(ROUNDDOWN(B76,0))-5,3)+0)&amp;" ming "&amp;ROMAN(MID(ROUNDDOWN(B76,0),LEN(ROUNDDOWN(B76,0))-2,3)+0)&amp;" so'm",IF(LEN(ROUNDDOWN(B76,0))&gt;3,ROMAN(MID(ROUNDDOWN(B76,0),1,LEN(ROUNDDOWN(B76,0))-3)+0)&amp;" ming "&amp;ROMAN(MID(ROUNDDOWN(B76,0),LEN(ROUNDDOWN(B76,0))-2,3)+0)&amp;" so'm",ROMAN(ROUNDDOWN(B76,0))&amp;"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76,0))&gt;6,ROMAN(MID(ROUNDDOWN(B76,0),1,LEN(ROUNDDOWN(B76,0))-6)+0)&amp;" million "&amp;ROMAN(MID(ROUNDDOWN(B76,0),LEN(ROUNDDOWN(B76,0))-5,3)+0)&amp;" "&amp;ROMAN(MID(ROUNDDOWN(B76,0),LEN(ROUNDDOWN(B76,0))-2,3)+0)&amp;" so'm",IF(LEN(ROUNDDOWN(B76,0))&gt;3,ROMAN(MID(ROUNDDOWN(B76,0),1,LEN(ROUNDDOWN(B76,0))-3)+0)&amp;" ming "&amp;ROMAN(MID(ROUNDDOWN(B76,0),LEN(ROUNDDOWN(B76,0))-2,3)+0)&amp;" so'm",ROMAN(ROUNDDOWN(B76,0))&amp;"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Yuz yetmish besh million so'm</v>
      </c>
      <c r="D77" s="92"/>
    </row>
    <row r="78" spans="1:14" x14ac:dyDescent="0.2">
      <c r="A78" s="3" t="s">
        <v>117</v>
      </c>
      <c r="B78" s="46" t="s">
        <v>123</v>
      </c>
      <c r="C78" s="233" t="s">
        <v>123</v>
      </c>
      <c r="D78" s="233" t="s">
        <v>122</v>
      </c>
    </row>
    <row r="79" spans="1:14" x14ac:dyDescent="0.2">
      <c r="A79" s="3" t="str">
        <f>CONCATENATE(B65,"ni to'lash sanasi (14.10.2011)")</f>
        <v>mikrokreditni to'lash sanasi (14.10.2011)</v>
      </c>
      <c r="B79" s="46">
        <v>10</v>
      </c>
      <c r="C79" s="243">
        <f>DATE(YEAR(B67),MONTH(B67)+1,DAY(B79))</f>
        <v>46091</v>
      </c>
      <c r="D79" s="233" t="s">
        <v>24</v>
      </c>
      <c r="E79" s="233" t="s">
        <v>25</v>
      </c>
      <c r="F79" s="233" t="s">
        <v>26</v>
      </c>
      <c r="G79" s="233" t="s">
        <v>27</v>
      </c>
      <c r="H79" s="233" t="s">
        <v>28</v>
      </c>
      <c r="I79" s="162" t="s">
        <v>29</v>
      </c>
      <c r="J79" s="162" t="s">
        <v>30</v>
      </c>
    </row>
    <row r="80" spans="1:14" ht="30" hidden="1" x14ac:dyDescent="0.25">
      <c r="A80" s="3" t="str">
        <f>CONCATENATE(B65,"ni to'lash sanasi (14.10.2011 y.) QO’L BILAN KIRITILADI")</f>
        <v>mikrokreditni to'lash sanasi (14.10.2011 y.) QO’L BILAN KIRITILADI</v>
      </c>
      <c r="B80" s="69">
        <f>DATE(YEAR(B67),MONTH(B67)+1,DAY(B79+C81))</f>
        <v>46091</v>
      </c>
      <c r="C80" s="244" t="str">
        <f>TEXT(C79,"ддд")</f>
        <v>Вт</v>
      </c>
      <c r="D80" s="233" t="s">
        <v>24</v>
      </c>
      <c r="E80" s="233" t="s">
        <v>25</v>
      </c>
      <c r="F80" s="233" t="s">
        <v>26</v>
      </c>
      <c r="G80" s="233" t="s">
        <v>27</v>
      </c>
      <c r="H80" s="233" t="s">
        <v>28</v>
      </c>
      <c r="I80" s="162" t="s">
        <v>29</v>
      </c>
      <c r="J80" s="162" t="s">
        <v>30</v>
      </c>
    </row>
    <row r="81" spans="1:63" ht="30" hidden="1" x14ac:dyDescent="0.2">
      <c r="A81" s="3" t="s">
        <v>118</v>
      </c>
      <c r="B81" s="70">
        <f>B80</f>
        <v>46091</v>
      </c>
      <c r="C81" s="233">
        <f>IF(C80=I80,2,IF(C80=J80,1,0))</f>
        <v>0</v>
      </c>
    </row>
    <row r="82" spans="1:63" x14ac:dyDescent="0.2">
      <c r="A82" s="3" t="str">
        <f>CONCATENATE(B65," muddati")</f>
        <v>mikrokredit muddati</v>
      </c>
      <c r="B82" s="46">
        <v>36</v>
      </c>
      <c r="C82" s="233">
        <v>6</v>
      </c>
      <c r="D82" s="233">
        <v>12</v>
      </c>
      <c r="E82" s="233">
        <v>18</v>
      </c>
      <c r="F82" s="233">
        <v>24</v>
      </c>
      <c r="G82" s="233">
        <v>36</v>
      </c>
    </row>
    <row r="83" spans="1:63" ht="30" x14ac:dyDescent="0.2">
      <c r="A83" s="3" t="str">
        <f>CONCATENATE(B65," muddati QO’L BILAN KIRITILADI")</f>
        <v>mikrokredit muddati QO’L BILAN KIRITILADI</v>
      </c>
      <c r="B83" s="46"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82,0))&gt;6,ROMAN(MID(ROUNDDOWN(B82,0),1,LEN(ROUNDDOWN(B82,0))-6)+0)&amp;" million "&amp;ROMAN(MID(ROUNDDOWN(B82,0),LEN(ROUNDDOWN(B82,0))-5,3)+0)&amp;" ming "&amp;ROMAN(MID(ROUNDDOWN(B82,0),LEN(ROUNDDOWN(B82,0))-2,3)+0)&amp;"",IF(LEN(ROUNDDOWN(B82,0))&gt;3,ROMAN(MID(ROUNDDOWN(B82,0),1,LEN(ROUNDDOWN(B82,0))-3)+0)&amp;" ming "&amp;ROMAN(MID(ROUNDDOWN(B82,0),LEN(ROUNDDOWN(B82,0))-2,3)+0)&amp;"",ROMAN(ROUNDDOWN(B82,0))&amp;"")),"DCCC","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82,0))&gt;6,ROMAN(MID(ROUNDDOWN(B82,0),1,LEN(ROUNDDOWN(B82,0))-6)+0)&amp;" million "&amp;ROMAN(MID(ROUNDDOWN(B82,0),LEN(ROUNDDOWN(B82,0))-5,3)+0)&amp;" "&amp;ROMAN(MID(ROUNDDOWN(B82,0),LEN(ROUNDDOWN(B82,0))-2,3)+0)&amp;"",IF(LEN(ROUNDDOWN(B82,0))&gt;3,ROMAN(MID(ROUNDDOWN(B82,0),1,LEN(ROUNDDOWN(B82,0))-3)+0)&amp;" ming "&amp;ROMAN(MID(ROUNDDOWN(B82,0),LEN(ROUNDDOWN(B82,0))-2,3)+0)&amp;"",ROMAN(ROUNDDOWN(B82,0))&amp;"")),"DCCC","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"&amp;SUBSTITUTE(SUBSTITUTE(SUBSTITUTE(SUBSTITUTE(SUBSTITUTE(SUBSTITUTE(SUBSTITUTE(SUBSTITUTE(RIGHT(TEXT(B82," "),2)&amp;"","1","1"),"2","2"),"3","3"),"4","4"),"11","11"),"12","12"),"13","13"),"14","14")</f>
        <v xml:space="preserve">O'ttiz olti  </v>
      </c>
    </row>
    <row r="84" spans="1:63" ht="30" x14ac:dyDescent="0.2">
      <c r="A84" s="154" t="s">
        <v>333</v>
      </c>
      <c r="B84" s="135">
        <v>0</v>
      </c>
      <c r="BJ84" s="162">
        <v>1</v>
      </c>
      <c r="BK84" s="162">
        <v>0</v>
      </c>
    </row>
    <row r="85" spans="1:63" x14ac:dyDescent="0.2">
      <c r="A85" s="3" t="str">
        <f>CONCATENATE(B65," stavkasi")</f>
        <v>mikrokredit stavkasi</v>
      </c>
      <c r="B85" s="71">
        <v>0.55000000000000004</v>
      </c>
    </row>
    <row r="86" spans="1:63" x14ac:dyDescent="0.2">
      <c r="A86" s="3" t="str">
        <f>CONCATENATE(B65," stavkasi")</f>
        <v>mikrokredit stavkasi</v>
      </c>
      <c r="B86" s="232" t="s">
        <v>383</v>
      </c>
    </row>
    <row r="87" spans="1:63" x14ac:dyDescent="0.2">
      <c r="A87" s="3" t="str">
        <f>CONCATENATE(B65," stavkasi (so’z bilan)")</f>
        <v>mikrokredit stavkasi (so’z bilan)</v>
      </c>
      <c r="B87" s="72"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86,0))&gt;6,ROMAN(MID(ROUNDDOWN(B86,0),1,LEN(ROUNDDOWN(B86,0))-6)+0)&amp;" million "&amp;ROMAN(MID(ROUNDDOWN(B86,0),LEN(ROUNDDOWN(B86,0))-5,3)+0)&amp;" ming "&amp;ROMAN(MID(ROUNDDOWN(B86,0),LEN(ROUNDDOWN(B86,0))-2,3)+0)&amp;"",IF(LEN(ROUNDDOWN(B86,0))&gt;3,ROMAN(MID(ROUNDDOWN(B86,0),1,LEN(ROUNDDOWN(B86,0))-3)+0)&amp;" ming "&amp;ROMAN(MID(ROUNDDOWN(B86,0),LEN(ROUNDDOWN(B86,0))-2,3)+0)&amp;"",ROMAN(ROUNDDOWN(B86,0))&amp;"")),"DCCC","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86,0))&gt;6,ROMAN(MID(ROUNDDOWN(B86,0),1,LEN(ROUNDDOWN(B86,0))-6)+0)&amp;" million "&amp;ROMAN(MID(ROUNDDOWN(B86,0),LEN(ROUNDDOWN(B86,0))-5,3)+0)&amp;" "&amp;ROMAN(MID(ROUNDDOWN(B86,0),LEN(ROUNDDOWN(B86,0))-2,3)+0)&amp;"",IF(LEN(ROUNDDOWN(B86,0))&gt;3,ROMAN(MID(ROUNDDOWN(B86,0),1,LEN(ROUNDDOWN(B86,0))-3)+0)&amp;" ming "&amp;ROMAN(MID(ROUNDDOWN(B86,0),LEN(ROUNDDOWN(B86,0))-2,3)+0)&amp;"",ROMAN(ROUNDDOWN(B86,0))&amp;"")),"DCCC","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"&amp;SUBSTITUTE(SUBSTITUTE(SUBSTITUTE(SUBSTITUTE(SUBSTITUTE(SUBSTITUTE(SUBSTITUTE(SUBSTITUTE(RIGHT(TEXT(B86," "),2)&amp;"","1","1"),"2","2"),"3","3"),"4","4"),"11","11"),"12","12"),"13","13"),"14","14")</f>
        <v xml:space="preserve">Ellik besh  </v>
      </c>
      <c r="C87" s="233"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86,0))&gt;6,ROMAN(MID(ROUNDDOWN(B86,0),1,LEN(ROUNDDOWN(B86,0))-6)+0)&amp;" million "&amp;ROMAN(MID(ROUNDDOWN(B86,0),LEN(ROUNDDOWN(B86,0))-5,3)+0)&amp;" ming "&amp;ROMAN(MID(ROUNDDOWN(B86,0),LEN(ROUNDDOWN(B86,0))-2,3)+0)&amp;"",IF(LEN(ROUNDDOWN(B86,0))&gt;3,ROMAN(MID(ROUNDDOWN(B86,0),1,LEN(ROUNDDOWN(B86,0))-3)+0)&amp;" ming "&amp;ROMAN(MID(ROUNDDOWN(B86,0),LEN(ROUNDDOWN(B86,0))-2,3)+0)&amp;"",ROMAN(ROUNDDOWN(B86,0))&amp;"")),"DCCC","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86,0))&gt;6,ROMAN(MID(ROUNDDOWN(B86,0),1,LEN(ROUNDDOWN(B86,0))-6)+0)&amp;" million "&amp;ROMAN(MID(ROUNDDOWN(B86,0),LEN(ROUNDDOWN(B86,0))-5,3)+0)&amp;" "&amp;ROMAN(MID(ROUNDDOWN(B86,0),LEN(ROUNDDOWN(B86,0))-2,3)+0)&amp;"",IF(LEN(ROUNDDOWN(B86,0))&gt;3,ROMAN(MID(ROUNDDOWN(B86,0),1,LEN(ROUNDDOWN(B86,0))-3)+0)&amp;" ming "&amp;ROMAN(MID(ROUNDDOWN(B86,0),LEN(ROUNDDOWN(B86,0))-2,3)+0)&amp;"",ROMAN(ROUNDDOWN(B86,0))&amp;"")),"DCCC","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"&amp;SUBSTITUTE(SUBSTITUTE(SUBSTITUTE(SUBSTITUTE(SUBSTITUTE(SUBSTITUTE(SUBSTITUTE(SUBSTITUTE(RIGHT(TEXT(B86," "),2)&amp;"","1","1"),"2","2"),"3","3"),"4","4"),"11","11"),"12","12"),"13","13"),"14","14")</f>
        <v xml:space="preserve">Ellik besh  </v>
      </c>
    </row>
    <row r="88" spans="1:63" ht="30" x14ac:dyDescent="0.2">
      <c r="A88" s="3" t="str">
        <f>CONCATENATE("Muddati o'tgan ",B65," bo’yicha stavka")</f>
        <v>Muddati o'tgan mikrokredit bo’yicha stavka</v>
      </c>
      <c r="B88" s="71">
        <v>1.55</v>
      </c>
    </row>
    <row r="89" spans="1:63" x14ac:dyDescent="0.2">
      <c r="A89" s="138" t="s">
        <v>116</v>
      </c>
      <c r="B89" s="232" t="s">
        <v>452</v>
      </c>
    </row>
    <row r="90" spans="1:63" ht="30" x14ac:dyDescent="0.2">
      <c r="A90" s="3" t="str">
        <f>CONCATENATE("Muddati o'tgan ",B65," bo’yicha stavka")</f>
        <v>Muddati o'tgan mikrokredit bo’yicha stavka</v>
      </c>
      <c r="B90" s="231" t="s">
        <v>451</v>
      </c>
      <c r="C90" s="245" t="s">
        <v>451</v>
      </c>
    </row>
    <row r="91" spans="1:63" x14ac:dyDescent="0.2">
      <c r="A91" s="3" t="s">
        <v>119</v>
      </c>
      <c r="B91" s="73">
        <f>IF(B78=C78,LARGE(grafik!F9:F26,1),ROUND(PMT(B85/12,B82,-B76,0),-3))</f>
        <v>12808694.880000001</v>
      </c>
    </row>
    <row r="92" spans="1:63" x14ac:dyDescent="0.2">
      <c r="A92" s="279" t="s">
        <v>372</v>
      </c>
      <c r="B92" s="280"/>
    </row>
    <row r="93" spans="1:63" x14ac:dyDescent="0.2">
      <c r="A93" s="175" t="s">
        <v>373</v>
      </c>
      <c r="B93" s="208"/>
    </row>
    <row r="94" spans="1:63" x14ac:dyDescent="0.2">
      <c r="A94" s="175" t="s">
        <v>374</v>
      </c>
      <c r="B94" s="207"/>
    </row>
    <row r="95" spans="1:63" x14ac:dyDescent="0.2">
      <c r="A95" s="175" t="s">
        <v>375</v>
      </c>
      <c r="B95" s="209"/>
    </row>
    <row r="96" spans="1:63" x14ac:dyDescent="0.2">
      <c r="A96" s="175" t="s">
        <v>376</v>
      </c>
      <c r="B96" s="209"/>
    </row>
    <row r="97" spans="1:4" x14ac:dyDescent="0.2">
      <c r="A97" s="175" t="s">
        <v>377</v>
      </c>
      <c r="B97" s="209"/>
    </row>
    <row r="98" spans="1:4" x14ac:dyDescent="0.2">
      <c r="A98" s="278" t="s">
        <v>120</v>
      </c>
      <c r="B98" s="278"/>
    </row>
    <row r="99" spans="1:4" ht="18" x14ac:dyDescent="0.2">
      <c r="A99" s="74"/>
      <c r="B99" s="128" t="s">
        <v>125</v>
      </c>
      <c r="C99" s="246" t="s">
        <v>125</v>
      </c>
      <c r="D99" s="233" t="s">
        <v>126</v>
      </c>
    </row>
    <row r="100" spans="1:4" ht="18" x14ac:dyDescent="0.2">
      <c r="A100" s="7" t="s">
        <v>131</v>
      </c>
      <c r="B100" s="128" t="s">
        <v>128</v>
      </c>
      <c r="C100" s="247" t="s">
        <v>127</v>
      </c>
      <c r="D100" s="233" t="s">
        <v>128</v>
      </c>
    </row>
    <row r="101" spans="1:4" ht="54" x14ac:dyDescent="0.2">
      <c r="A101" s="7" t="s">
        <v>132</v>
      </c>
      <c r="B101" s="128" t="s">
        <v>129</v>
      </c>
      <c r="C101" s="233" t="s">
        <v>129</v>
      </c>
      <c r="D101" s="233" t="s">
        <v>130</v>
      </c>
    </row>
    <row r="102" spans="1:4" ht="36" x14ac:dyDescent="0.2">
      <c r="A102" s="7" t="s">
        <v>133</v>
      </c>
      <c r="B102" s="128"/>
    </row>
    <row r="103" spans="1:4" ht="54" x14ac:dyDescent="0.2">
      <c r="A103" s="7" t="s">
        <v>134</v>
      </c>
      <c r="B103" s="128"/>
    </row>
    <row r="104" spans="1:4" x14ac:dyDescent="0.2">
      <c r="A104" s="278" t="s">
        <v>135</v>
      </c>
      <c r="B104" s="278"/>
    </row>
    <row r="105" spans="1:4" ht="36" x14ac:dyDescent="0.2">
      <c r="A105" s="7" t="s">
        <v>136</v>
      </c>
      <c r="B105" s="128"/>
    </row>
    <row r="106" spans="1:4" ht="54" x14ac:dyDescent="0.2">
      <c r="A106" s="7" t="s">
        <v>137</v>
      </c>
      <c r="B106" s="128"/>
    </row>
    <row r="107" spans="1:4" ht="18" x14ac:dyDescent="0.2">
      <c r="A107" s="7" t="s">
        <v>138</v>
      </c>
      <c r="B107" s="136"/>
    </row>
    <row r="108" spans="1:4" ht="18" x14ac:dyDescent="0.2">
      <c r="A108" s="7" t="s">
        <v>139</v>
      </c>
      <c r="B108" s="134"/>
    </row>
    <row r="109" spans="1:4" ht="18" hidden="1" x14ac:dyDescent="0.2">
      <c r="A109" s="7"/>
      <c r="B109" s="128" t="str">
        <f>TEXT(B108,"ДД.ММ.ГГГГ")</f>
        <v>00.01.1900</v>
      </c>
    </row>
    <row r="110" spans="1:4" ht="18" x14ac:dyDescent="0.2">
      <c r="A110" s="7"/>
      <c r="B110" s="8" t="s">
        <v>141</v>
      </c>
      <c r="C110" s="233" t="s">
        <v>140</v>
      </c>
      <c r="D110" s="233" t="s">
        <v>141</v>
      </c>
    </row>
    <row r="111" spans="1:4" ht="90" x14ac:dyDescent="0.2">
      <c r="A111" s="159" t="s">
        <v>335</v>
      </c>
      <c r="B111" s="158" t="s">
        <v>334</v>
      </c>
      <c r="C111" s="248" t="s">
        <v>141</v>
      </c>
    </row>
    <row r="112" spans="1:4" ht="36" x14ac:dyDescent="0.2">
      <c r="A112" s="153" t="s">
        <v>356</v>
      </c>
      <c r="B112" s="8" t="s">
        <v>456</v>
      </c>
      <c r="C112" s="8" t="s">
        <v>456</v>
      </c>
    </row>
    <row r="113" spans="1:4" ht="30" x14ac:dyDescent="0.2">
      <c r="A113" s="153" t="s">
        <v>357</v>
      </c>
      <c r="B113" s="8" t="s">
        <v>457</v>
      </c>
      <c r="C113" s="8" t="s">
        <v>457</v>
      </c>
    </row>
    <row r="114" spans="1:4" ht="60" x14ac:dyDescent="0.2">
      <c r="A114" s="153" t="str">
        <f>A120</f>
        <v>Tug’ilgan sanasi (01.10.2011 y.)</v>
      </c>
      <c r="B114" s="8" t="s">
        <v>458</v>
      </c>
      <c r="C114" s="8" t="s">
        <v>458</v>
      </c>
    </row>
    <row r="115" spans="1:4" ht="60" x14ac:dyDescent="0.2">
      <c r="A115" s="153" t="str">
        <f>A121</f>
        <v>Pasport seriyasi (СА №1234567)</v>
      </c>
      <c r="B115" s="8" t="s">
        <v>459</v>
      </c>
      <c r="C115" s="8" t="s">
        <v>459</v>
      </c>
    </row>
    <row r="116" spans="1:4" ht="108.75" customHeight="1" x14ac:dyDescent="0.2">
      <c r="A116" s="153" t="str">
        <f>A122</f>
        <v xml:space="preserve">Kim va qachon berilgan
(Toshkent shahri Chilonzor IIB tomonidan 2011 yil __.____)
</v>
      </c>
      <c r="B116" s="8" t="s">
        <v>460</v>
      </c>
      <c r="C116" s="8" t="s">
        <v>460</v>
      </c>
    </row>
    <row r="117" spans="1:4" ht="150.75" customHeight="1" x14ac:dyDescent="0.2">
      <c r="A117" s="153" t="str">
        <f>A123</f>
        <v xml:space="preserve">doimiy ro’yhatdan o’tgan joyi
(Toshkent sh., Mirobod tumani, Nukus ko’chasi, 1 uy, 1 honadon)
</v>
      </c>
      <c r="B117" s="8" t="s">
        <v>461</v>
      </c>
      <c r="C117" s="8" t="s">
        <v>461</v>
      </c>
    </row>
    <row r="118" spans="1:4" x14ac:dyDescent="0.2">
      <c r="A118" s="126" t="s">
        <v>152</v>
      </c>
      <c r="B118" s="119" t="str">
        <f>IF(B100="HA",B5,B112)</f>
        <v>NORINBAYEVA SAPURA MAMADALIYEVNA</v>
      </c>
      <c r="C118" s="249" t="str">
        <f>IF(B100="HA",B5,C112)</f>
        <v>NORINBAYEVA SAPURA MAMADALIYEVNA</v>
      </c>
    </row>
    <row r="119" spans="1:4" x14ac:dyDescent="0.2">
      <c r="A119" s="126"/>
      <c r="B119" s="119" t="str">
        <f>IF(B100="HA",B7,B113)</f>
        <v>NORINBAYEVA S.M.</v>
      </c>
      <c r="C119" s="249" t="str">
        <f>IF(B100="HA",B7,C113)</f>
        <v>NORINBAYEVA S.M.</v>
      </c>
    </row>
    <row r="120" spans="1:4" x14ac:dyDescent="0.2">
      <c r="A120" s="127" t="s">
        <v>153</v>
      </c>
      <c r="B120" s="152" t="str">
        <f>IF(B100="HA",B15,B114)</f>
        <v>24.04.1957 y</v>
      </c>
      <c r="C120" s="249" t="str">
        <f>IF(B100="HA",B15,C114)</f>
        <v>24.04.1957 y</v>
      </c>
    </row>
    <row r="121" spans="1:4" x14ac:dyDescent="0.2">
      <c r="A121" s="127" t="s">
        <v>59</v>
      </c>
      <c r="B121" s="152" t="str">
        <f>IF(B100="HA",B16,B115)</f>
        <v>AE 4754225</v>
      </c>
      <c r="C121" s="249" t="str">
        <f>IF(B100="HA",B16,C115)</f>
        <v>AE 4754225</v>
      </c>
    </row>
    <row r="122" spans="1:4" ht="30" customHeight="1" x14ac:dyDescent="0.2">
      <c r="A122" s="127" t="s">
        <v>62</v>
      </c>
      <c r="B122" s="119" t="str">
        <f>IF(B100="HA",B20,B116)</f>
        <v>IIV 27256 tamonidan 24.10.2025 yilda berilgan</v>
      </c>
      <c r="C122" s="249" t="str">
        <f>IF(B100="HA",B20,C116)</f>
        <v>IIV 27256 tamonidan 24.10.2025 yilda berilgan</v>
      </c>
      <c r="D122" s="233">
        <v>493193762</v>
      </c>
    </row>
    <row r="123" spans="1:4" ht="53.25" customHeight="1" x14ac:dyDescent="0.2">
      <c r="A123" s="127" t="s">
        <v>64</v>
      </c>
      <c r="B123" s="119" t="str">
        <f>IF(B100="HA",B22,B117)</f>
        <v>TOSHKENT VILOYATI CHINOZ TUMANI ALISHER NAVOIY MFY SOBIR RAHIMOV KO'CHASI 36 UY</v>
      </c>
      <c r="C123" s="250" t="str">
        <f>IF(B100="HA",B22,C117)</f>
        <v>TOSHKENT VILOYATI CHINOZ TUMANI ALISHER NAVOIY MFY SOBIR RAHIMOV KO'CHASI 36 UY</v>
      </c>
    </row>
    <row r="124" spans="1:4" x14ac:dyDescent="0.2">
      <c r="A124" s="127" t="s">
        <v>154</v>
      </c>
      <c r="B124" s="1" t="str">
        <f>IF(B100="ha",B5,B118)</f>
        <v>NORINBAYEVA SAPURA MAMADALIYEVNA</v>
      </c>
      <c r="C124" s="251" t="str">
        <f>IF(B100="ha",B5,C118)</f>
        <v>NORINBAYEVA SAPURA MAMADALIYEVNA</v>
      </c>
    </row>
    <row r="125" spans="1:4" x14ac:dyDescent="0.2">
      <c r="A125" s="127"/>
      <c r="B125" s="1" t="str">
        <f>IF(B100="ha",B7,B119)</f>
        <v>NORINBAYEVA S.M.</v>
      </c>
      <c r="C125" s="251" t="str">
        <f>IF(B100="ha",B7,C119)</f>
        <v>NORINBAYEVA S.M.</v>
      </c>
    </row>
    <row r="126" spans="1:4" x14ac:dyDescent="0.2">
      <c r="A126" s="3" t="s">
        <v>153</v>
      </c>
      <c r="B126" s="1" t="str">
        <f>IF(B100="ha",B15,B120)</f>
        <v>24.04.1957 y</v>
      </c>
      <c r="C126" s="251" t="str">
        <f>IF(B100="ha",B15,C120)</f>
        <v>24.04.1957 y</v>
      </c>
    </row>
    <row r="127" spans="1:4" x14ac:dyDescent="0.2">
      <c r="A127" s="3" t="s">
        <v>59</v>
      </c>
      <c r="B127" s="1" t="str">
        <f>IF(B100="ha",B16,B121)</f>
        <v>AE 4754225</v>
      </c>
      <c r="C127" s="251" t="str">
        <f>IF(B100="ha",B16,C121)</f>
        <v>AE 4754225</v>
      </c>
    </row>
    <row r="128" spans="1:4" ht="60" x14ac:dyDescent="0.2">
      <c r="A128" s="3" t="s">
        <v>62</v>
      </c>
      <c r="B128" s="1" t="str">
        <f>IF(B100="ha",B20,B122)</f>
        <v>IIV 27256 tamonidan 24.10.2025 yilda berilgan</v>
      </c>
      <c r="C128" s="251" t="str">
        <f>IF(B100="ha",B20,C122)</f>
        <v>IIV 27256 tamonidan 24.10.2025 yilda berilgan</v>
      </c>
    </row>
    <row r="129" spans="1:18" ht="60" x14ac:dyDescent="0.2">
      <c r="A129" s="3" t="s">
        <v>64</v>
      </c>
      <c r="B129" s="150" t="str">
        <f>IF(B100="ha",B22,B123)</f>
        <v>TOSHKENT VILOYATI CHINOZ TUMANI ALISHER NAVOIY MFY SOBIR RAHIMOV KO'CHASI 36 UY</v>
      </c>
      <c r="C129" s="252" t="str">
        <f>IF(B100="ha",B22,C123)</f>
        <v>TOSHKENT VILOYATI CHINOZ TUMANI ALISHER NAVOIY MFY SOBIR RAHIMOV KO'CHASI 36 UY</v>
      </c>
    </row>
    <row r="130" spans="1:18" ht="98.25" customHeight="1" x14ac:dyDescent="0.2">
      <c r="A130" s="3" t="s">
        <v>155</v>
      </c>
      <c r="B130" s="212" t="s">
        <v>450</v>
      </c>
      <c r="C130" s="150" t="str">
        <f>B22</f>
        <v>TOSHKENT VILOYATI CHINOZ TUMANI ALISHER NAVOIY MFY SOBIR RAHIMOV KO'CHASI 36 UY</v>
      </c>
      <c r="N130" s="162" t="str">
        <f>IF(B110=C110,B124,IF(B110=D110,C124,0))</f>
        <v>NORINBAYEVA SAPURA MAMADALIYEVNA</v>
      </c>
    </row>
    <row r="131" spans="1:18" ht="60" x14ac:dyDescent="0.2">
      <c r="A131" s="3" t="s">
        <v>156</v>
      </c>
      <c r="B131" s="212" t="s">
        <v>445</v>
      </c>
      <c r="C131" s="251" t="s">
        <v>474</v>
      </c>
      <c r="D131" s="253" t="s">
        <v>146</v>
      </c>
      <c r="Q131" s="162" t="str">
        <f>""&amp;B102&amp;" (по генеральному доверенестью №"&amp;B107&amp;" от "&amp;B109&amp;")"</f>
        <v xml:space="preserve"> (по генеральному доверенестью № от 00.01.1900)</v>
      </c>
      <c r="R131" s="162" t="str">
        <f>""&amp;B102&amp;" ("&amp;B109&amp;"y. sanasidagi reestr raqami №"&amp;B107&amp;" bo'lgan Ishonchnomaga asosan)"</f>
        <v xml:space="preserve"> (00.01.1900y. sanasidagi reestr raqami № bo'lgan Ishonchnomaga asosan)</v>
      </c>
    </row>
    <row r="132" spans="1:18" x14ac:dyDescent="0.2">
      <c r="A132" s="3" t="s">
        <v>22</v>
      </c>
      <c r="B132" s="212" t="s">
        <v>440</v>
      </c>
      <c r="C132" s="252" t="s">
        <v>475</v>
      </c>
      <c r="D132" s="254" t="s">
        <v>144</v>
      </c>
      <c r="E132" s="233" t="str">
        <f>IF($C$136=$D$136,I132,IF($C$136=$E$136,H132,0))</f>
        <v>Ko'p qavatli uydagi  - xonali xonadon</v>
      </c>
      <c r="F132" s="233" t="str">
        <f>IF($C$136=$D$136,I132,IF($C$136=$E$136,H132,0))</f>
        <v>Ko'p qavatli uydagi  - xonali xonadon</v>
      </c>
      <c r="H132" s="233" t="str">
        <f>"Ko'p qavatli uydagi "&amp;D133&amp;" - xonali xonadon"</f>
        <v>Ko'p qavatli uydagi  - xonali xonadon</v>
      </c>
      <c r="I132" s="162" t="str">
        <f>""&amp;D133&amp;" - xonali yakka tartibdagi uy-joy"</f>
        <v xml:space="preserve"> - xonali yakka tartibdagi uy-joy</v>
      </c>
      <c r="N132" s="162" t="str">
        <f>IF(B100=C100,Q133,IF(B100=D100,Q132,0))</f>
        <v>Микрофинансовой организацией, Заемщиком и NORINBAYEVA SAPURA MAMADALIYEVNA</v>
      </c>
      <c r="Q132" s="162" t="str">
        <f>"Микрофинансовой организацией, Заемщиком и "&amp;IF(B101=D101,Q131,IF(B101=C101,B118,0))&amp;""</f>
        <v>Микрофинансовой организацией, Заемщиком и NORINBAYEVA SAPURA MAMADALIYEVNA</v>
      </c>
      <c r="R132" s="162" t="str">
        <f>"Mikromoliya tashkiloti, Qarz oluvchi va "&amp;IF(B101=D101,R131,IF(B101=C101,B118))&amp;""</f>
        <v>Mikromoliya tashkiloti, Qarz oluvchi va NORINBAYEVA SAPURA MAMADALIYEVNA</v>
      </c>
    </row>
    <row r="133" spans="1:18" ht="30" x14ac:dyDescent="0.2">
      <c r="A133" s="3" t="s">
        <v>157</v>
      </c>
      <c r="B133" s="220" t="s">
        <v>441</v>
      </c>
      <c r="C133" s="252" t="str">
        <f>C132</f>
        <v>Yakka tartibdagi uy-joy</v>
      </c>
      <c r="D133" s="255"/>
      <c r="E133" s="233" t="str">
        <f>IF($C$136=$D$136,I133,IF($C$136=$E$136,H133,0))</f>
        <v xml:space="preserve"> umumiy yer maydoni - 700, qurilish osti maydoni- 340.11, umumiy foydali maydoni - 163.19 yashash maydoni - 114.59</v>
      </c>
      <c r="F133" s="233" t="str">
        <f>IF($C$136=$D$136,I133,IF($C$136=$E$136,H133,0))</f>
        <v xml:space="preserve"> umumiy yer maydoni - 700, qurilish osti maydoni- 340.11, umumiy foydali maydoni - 163.19 yashash maydoni - 114.59</v>
      </c>
      <c r="H133" s="233" t="str">
        <f>" umumiy yer maydoni - "&amp;C140&amp;", qurilish osti maydoni- "&amp;C139&amp;", umumiy foydali maydoni - "&amp;C137&amp;" yashash maydoni - "&amp;C138&amp;""</f>
        <v xml:space="preserve"> umumiy yer maydoni - 700, qurilish osti maydoni- 340.11, umumiy foydali maydoni - 163.19 yashash maydoni - 114.59</v>
      </c>
      <c r="I133" s="162" t="str">
        <f>"yer uchastkasi maydoni - "&amp;C138&amp;", umumiy maydoni - "&amp;C137&amp;", yashash maydoni - "&amp;C140&amp;""</f>
        <v>yer uchastkasi maydoni - 114.59, umumiy maydoni - 163.19, yashash maydoni - 700</v>
      </c>
      <c r="N133" s="162" t="str">
        <f>IF(B100=C100,R133,IF(B100=D100,R132,0))</f>
        <v>Mikromoliya tashkiloti, Qarz oluvchi va NORINBAYEVA SAPURA MAMADALIYEVNA</v>
      </c>
      <c r="Q133" s="162" t="s">
        <v>46</v>
      </c>
      <c r="R133" s="162" t="s">
        <v>145</v>
      </c>
    </row>
    <row r="134" spans="1:18" ht="27" customHeight="1" x14ac:dyDescent="0.2">
      <c r="A134" s="3" t="s">
        <v>158</v>
      </c>
      <c r="B134" s="67" t="str">
        <f>"kuzov turi - "&amp;B135&amp;", kuzov raqami "&amp;B136&amp;""</f>
        <v>kuzov turi - YENGIL SEDAN, kuzov raqami XWBJA69VERA108471</v>
      </c>
      <c r="C134" s="263" t="s">
        <v>476</v>
      </c>
      <c r="D134" s="253" t="s">
        <v>363</v>
      </c>
    </row>
    <row r="135" spans="1:18" x14ac:dyDescent="0.2">
      <c r="A135" s="63" t="s">
        <v>159</v>
      </c>
      <c r="B135" s="212" t="s">
        <v>444</v>
      </c>
      <c r="C135" s="256"/>
    </row>
    <row r="136" spans="1:18" x14ac:dyDescent="0.2">
      <c r="A136" s="63" t="s">
        <v>160</v>
      </c>
      <c r="B136" s="212" t="s">
        <v>447</v>
      </c>
      <c r="C136" s="234" t="s">
        <v>148</v>
      </c>
      <c r="D136" s="233" t="s">
        <v>147</v>
      </c>
      <c r="E136" s="233" t="s">
        <v>148</v>
      </c>
    </row>
    <row r="137" spans="1:18" ht="27" customHeight="1" x14ac:dyDescent="0.25">
      <c r="A137" s="3" t="s">
        <v>161</v>
      </c>
      <c r="B137" s="67" t="str">
        <f>"dvigatel raqami "&amp;B138&amp;", shassi raqami - "&amp;B139&amp;""</f>
        <v>dvigatel raqami B15D213241352MTAX0118, shassi raqami - RAQAMSIZ</v>
      </c>
      <c r="C137" s="234" t="s">
        <v>477</v>
      </c>
      <c r="D137" s="257" t="s">
        <v>149</v>
      </c>
      <c r="E137" s="233" t="str">
        <f>CONCATENATE(C137," ","kv.m")</f>
        <v>163.19 kv.m</v>
      </c>
      <c r="F137" s="258" t="e">
        <f>C137-C140</f>
        <v>#VALUE!</v>
      </c>
    </row>
    <row r="138" spans="1:18" x14ac:dyDescent="0.25">
      <c r="A138" s="63" t="s">
        <v>162</v>
      </c>
      <c r="B138" s="230" t="s">
        <v>448</v>
      </c>
      <c r="C138" s="234" t="s">
        <v>478</v>
      </c>
      <c r="D138" s="257" t="s">
        <v>243</v>
      </c>
    </row>
    <row r="139" spans="1:18" x14ac:dyDescent="0.2">
      <c r="A139" s="63" t="s">
        <v>163</v>
      </c>
      <c r="B139" s="212" t="s">
        <v>446</v>
      </c>
      <c r="C139" s="264" t="s">
        <v>479</v>
      </c>
      <c r="D139" s="265" t="s">
        <v>481</v>
      </c>
    </row>
    <row r="140" spans="1:18" ht="25.5" customHeight="1" x14ac:dyDescent="0.25">
      <c r="A140" s="3" t="s">
        <v>164</v>
      </c>
      <c r="B140" s="67" t="str">
        <f>"rangi -  "&amp;B141&amp;", ishlab chiqarilgan yili - "&amp;B142&amp;""</f>
        <v>rangi -  OQ SUMMIT WHITE, ishlab chiqarilgan yili - 2024</v>
      </c>
      <c r="C140" s="259" t="s">
        <v>482</v>
      </c>
      <c r="D140" s="257" t="s">
        <v>480</v>
      </c>
      <c r="E140" s="233" t="str">
        <f>CONCATENATE(C140," ","kv.m")</f>
        <v>700 kv.m</v>
      </c>
    </row>
    <row r="141" spans="1:18" x14ac:dyDescent="0.2">
      <c r="A141" s="63" t="s">
        <v>165</v>
      </c>
      <c r="B141" s="212" t="s">
        <v>442</v>
      </c>
      <c r="C141" s="234"/>
    </row>
    <row r="142" spans="1:18" ht="30" x14ac:dyDescent="0.25">
      <c r="A142" s="63" t="s">
        <v>166</v>
      </c>
      <c r="B142" s="213" t="s">
        <v>443</v>
      </c>
      <c r="C142" s="256">
        <v>45882</v>
      </c>
      <c r="D142" s="260" t="s">
        <v>364</v>
      </c>
    </row>
    <row r="143" spans="1:18" x14ac:dyDescent="0.25">
      <c r="A143" s="3" t="s">
        <v>167</v>
      </c>
      <c r="B143" s="217">
        <f>B75*1.4</f>
        <v>210000000</v>
      </c>
      <c r="C143" s="261">
        <f>B143</f>
        <v>210000000</v>
      </c>
      <c r="D143" s="257" t="s">
        <v>167</v>
      </c>
    </row>
    <row r="144" spans="1:18" ht="27.75" customHeight="1" x14ac:dyDescent="0.2">
      <c r="A144" s="157"/>
      <c r="B144" s="186"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143))&gt;6,ROMAN(MID(INT(B143),1,LEN(INT(B143))-6)+0)&amp;" million "&amp;ROMAN(MID(INT(B143),LEN(INT(B143))-5,3)+0)&amp;" ming "&amp;ROMAN(MID(INT(B143),LEN(INT(B143))-2,3)+0),IF(LEN(INT(B143))&gt;3,ROMAN(MID(INT(B143),1,LEN(INT(B143))-3)+0)&amp;" ming "&amp;ROMAN(MID(INT(B143),LEN(INT(B143))-2,3)+0),ROMAN(INT(B143)))),"DCCC","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ikki yuz o'n million so'm</v>
      </c>
      <c r="C144" s="261" t="str">
        <f>B144</f>
        <v>ikki yuz o'n million so'm</v>
      </c>
    </row>
    <row r="145" spans="1:3" ht="27.75" customHeight="1" x14ac:dyDescent="0.2">
      <c r="A145" s="3"/>
      <c r="B145" s="187" t="str">
        <f>B144</f>
        <v>ikki yuz o'n million so'm</v>
      </c>
      <c r="C145" s="262"/>
    </row>
    <row r="146" spans="1:3" ht="20.25" x14ac:dyDescent="0.2">
      <c r="A146" s="3" t="s">
        <v>332</v>
      </c>
      <c r="B146" s="228">
        <v>120922</v>
      </c>
    </row>
    <row r="147" spans="1:3" x14ac:dyDescent="0.2">
      <c r="A147" s="3" t="s">
        <v>358</v>
      </c>
      <c r="B147" s="46"/>
    </row>
    <row r="148" spans="1:3" x14ac:dyDescent="0.2">
      <c r="A148" s="3" t="s">
        <v>150</v>
      </c>
      <c r="B148" s="2" t="s">
        <v>142</v>
      </c>
      <c r="C148" s="233">
        <v>1</v>
      </c>
    </row>
    <row r="149" spans="1:3" hidden="1" x14ac:dyDescent="0.2">
      <c r="A149" s="3" t="s">
        <v>151</v>
      </c>
      <c r="B149" s="4" t="str">
        <f>B70</f>
        <v>16 fevral 2026 y.</v>
      </c>
      <c r="C149" s="233" t="str">
        <f>B70</f>
        <v>16 fevral 2026 y.</v>
      </c>
    </row>
    <row r="150" spans="1:3" hidden="1" x14ac:dyDescent="0.2">
      <c r="A150" s="3"/>
      <c r="B150" s="1">
        <f>YEAR(B67)</f>
        <v>2026</v>
      </c>
    </row>
    <row r="151" spans="1:3" hidden="1" x14ac:dyDescent="0.2">
      <c r="A151" s="3"/>
      <c r="B151" s="139" t="str">
        <f>D67</f>
        <v>fevral</v>
      </c>
    </row>
    <row r="152" spans="1:3" hidden="1" x14ac:dyDescent="0.2">
      <c r="A152" s="166"/>
      <c r="B152" s="167">
        <f>DAY(B67)</f>
        <v>16</v>
      </c>
    </row>
    <row r="153" spans="1:3" ht="30.75" thickBot="1" x14ac:dyDescent="0.25">
      <c r="A153" s="215" t="s">
        <v>402</v>
      </c>
      <c r="B153" s="216">
        <v>25000000</v>
      </c>
    </row>
    <row r="154" spans="1:3" ht="20.25" x14ac:dyDescent="0.2">
      <c r="A154" s="168" t="s">
        <v>367</v>
      </c>
      <c r="B154" s="206" t="s">
        <v>398</v>
      </c>
    </row>
    <row r="155" spans="1:3" ht="20.25" x14ac:dyDescent="0.2">
      <c r="A155" s="169" t="s">
        <v>368</v>
      </c>
      <c r="B155" s="170">
        <f>+B153*1.4</f>
        <v>35000000</v>
      </c>
    </row>
    <row r="156" spans="1:3" ht="15.75" thickBot="1" x14ac:dyDescent="0.25">
      <c r="A156" s="171"/>
      <c r="B156" s="17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155))&gt;6,ROMAN(MID(INT(B155),1,LEN(INT(B155))-6)+0)&amp;" million "&amp;ROMAN(MID(INT(B155),LEN(INT(B155))-5,3)+0)&amp;" ming "&amp;ROMAN(MID(INT(B155),LEN(INT(B155))-2,3)+0),IF(LEN(INT(B155))&gt;3,ROMAN(MID(INT(B155),1,LEN(INT(B155))-3)+0)&amp;" ming "&amp;ROMAN(MID(INT(B155),LEN(INT(B155))-2,3)+0),ROMAN(INT(B155)))),"DCCC","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o'ttiz besh million so'm</v>
      </c>
    </row>
    <row r="157" spans="1:3" x14ac:dyDescent="0.2">
      <c r="A157" s="277" t="s">
        <v>339</v>
      </c>
      <c r="B157" s="277"/>
    </row>
    <row r="158" spans="1:3" x14ac:dyDescent="0.2">
      <c r="A158" s="3" t="s">
        <v>168</v>
      </c>
      <c r="B158" s="214" t="s">
        <v>403</v>
      </c>
    </row>
    <row r="159" spans="1:3" x14ac:dyDescent="0.2">
      <c r="A159" s="3"/>
      <c r="B159" s="214" t="s">
        <v>403</v>
      </c>
    </row>
    <row r="160" spans="1:3" x14ac:dyDescent="0.2">
      <c r="A160" s="3"/>
      <c r="B160" s="214" t="s">
        <v>403</v>
      </c>
    </row>
    <row r="161" spans="1:3" x14ac:dyDescent="0.2">
      <c r="A161" s="3" t="s">
        <v>405</v>
      </c>
      <c r="B161" s="214" t="s">
        <v>404</v>
      </c>
    </row>
    <row r="162" spans="1:3" x14ac:dyDescent="0.2">
      <c r="A162" s="3"/>
      <c r="B162" s="214" t="s">
        <v>406</v>
      </c>
    </row>
    <row r="163" spans="1:3" x14ac:dyDescent="0.2">
      <c r="A163" s="3" t="s">
        <v>170</v>
      </c>
      <c r="B163" s="1" t="s">
        <v>169</v>
      </c>
    </row>
    <row r="164" spans="1:3" ht="28.5" x14ac:dyDescent="0.2">
      <c r="A164" s="3" t="s">
        <v>171</v>
      </c>
      <c r="B164" s="214" t="s">
        <v>411</v>
      </c>
    </row>
    <row r="165" spans="1:3" x14ac:dyDescent="0.2">
      <c r="A165" s="3" t="s">
        <v>172</v>
      </c>
      <c r="B165" s="214" t="s">
        <v>412</v>
      </c>
    </row>
    <row r="166" spans="1:3" x14ac:dyDescent="0.2">
      <c r="A166" s="3" t="s">
        <v>173</v>
      </c>
      <c r="B166" s="214" t="s">
        <v>413</v>
      </c>
    </row>
    <row r="167" spans="1:3" x14ac:dyDescent="0.2">
      <c r="A167" s="3" t="s">
        <v>174</v>
      </c>
      <c r="B167" s="214" t="s">
        <v>414</v>
      </c>
    </row>
    <row r="168" spans="1:3" x14ac:dyDescent="0.2">
      <c r="A168" s="3" t="s">
        <v>175</v>
      </c>
      <c r="B168" s="218" t="s">
        <v>415</v>
      </c>
    </row>
    <row r="169" spans="1:3" x14ac:dyDescent="0.2">
      <c r="A169" s="3" t="s">
        <v>176</v>
      </c>
      <c r="B169" s="214" t="s">
        <v>416</v>
      </c>
    </row>
    <row r="170" spans="1:3" x14ac:dyDescent="0.2">
      <c r="A170" s="3" t="s">
        <v>401</v>
      </c>
      <c r="B170" s="214" t="s">
        <v>417</v>
      </c>
    </row>
    <row r="171" spans="1:3" x14ac:dyDescent="0.2">
      <c r="A171" s="3" t="s">
        <v>361</v>
      </c>
      <c r="B171" s="214" t="s">
        <v>438</v>
      </c>
    </row>
    <row r="172" spans="1:3" x14ac:dyDescent="0.2">
      <c r="A172" s="3" t="s">
        <v>400</v>
      </c>
      <c r="B172" s="275" t="s">
        <v>453</v>
      </c>
      <c r="C172" s="276"/>
    </row>
    <row r="173" spans="1:3" x14ac:dyDescent="0.2">
      <c r="A173" s="3" t="s">
        <v>177</v>
      </c>
      <c r="B173" s="218" t="s">
        <v>407</v>
      </c>
    </row>
    <row r="174" spans="1:3" x14ac:dyDescent="0.2">
      <c r="A174" s="3" t="s">
        <v>178</v>
      </c>
      <c r="B174" s="218" t="s">
        <v>418</v>
      </c>
    </row>
    <row r="175" spans="1:3" x14ac:dyDescent="0.2">
      <c r="A175" s="3" t="s">
        <v>179</v>
      </c>
      <c r="B175" s="1" t="str">
        <f>B1</f>
        <v>№ 110</v>
      </c>
    </row>
    <row r="176" spans="1:3" x14ac:dyDescent="0.2">
      <c r="A176" s="3" t="s">
        <v>180</v>
      </c>
      <c r="B176" s="4" t="str">
        <f>B70</f>
        <v>16 fevral 2026 y.</v>
      </c>
    </row>
    <row r="177" x14ac:dyDescent="0.2"/>
    <row r="178" x14ac:dyDescent="0.2"/>
  </sheetData>
  <mergeCells count="8">
    <mergeCell ref="B172:C172"/>
    <mergeCell ref="A157:B157"/>
    <mergeCell ref="A104:B104"/>
    <mergeCell ref="A4:B4"/>
    <mergeCell ref="A57:B57"/>
    <mergeCell ref="A64:B64"/>
    <mergeCell ref="A98:B98"/>
    <mergeCell ref="A92:B92"/>
  </mergeCells>
  <dataValidations count="12">
    <dataValidation type="list" allowBlank="1" showInputMessage="1" showErrorMessage="1" sqref="B30" xr:uid="{00000000-0002-0000-0100-000000000000}">
      <formula1>$C$30:$D$30</formula1>
    </dataValidation>
    <dataValidation type="list" allowBlank="1" showInputMessage="1" showErrorMessage="1" sqref="B100" xr:uid="{00000000-0002-0000-0100-000001000000}">
      <formula1>$C$100:$D$100</formula1>
    </dataValidation>
    <dataValidation type="list" allowBlank="1" showInputMessage="1" showErrorMessage="1" sqref="B110" xr:uid="{00000000-0002-0000-0100-000002000000}">
      <formula1>$C$110:$D$110</formula1>
    </dataValidation>
    <dataValidation type="list" allowBlank="1" showInputMessage="1" showErrorMessage="1" sqref="B78" xr:uid="{00000000-0002-0000-0100-000003000000}">
      <formula1>$C$78:$D$78</formula1>
    </dataValidation>
    <dataValidation type="list" allowBlank="1" showInputMessage="1" showErrorMessage="1" sqref="C136" xr:uid="{00000000-0002-0000-0100-000004000000}">
      <formula1>$D$136:$E$136</formula1>
    </dataValidation>
    <dataValidation type="list" allowBlank="1" showInputMessage="1" showErrorMessage="1" sqref="B99" xr:uid="{00000000-0002-0000-0100-000005000000}">
      <formula1>$C$99:$D$99</formula1>
    </dataValidation>
    <dataValidation type="list" allowBlank="1" showInputMessage="1" showErrorMessage="1" sqref="B101" xr:uid="{00000000-0002-0000-0100-000006000000}">
      <formula1>$C$101:$D$101</formula1>
    </dataValidation>
    <dataValidation type="list" allowBlank="1" showInputMessage="1" showErrorMessage="1" sqref="B23" xr:uid="{00000000-0002-0000-0100-000007000000}">
      <formula1>$C$23:$D$23</formula1>
    </dataValidation>
    <dataValidation type="list" allowBlank="1" showInputMessage="1" showErrorMessage="1" sqref="B29" xr:uid="{00000000-0002-0000-0100-000008000000}">
      <formula1>$C$29:$F$29</formula1>
    </dataValidation>
    <dataValidation type="list" allowBlank="1" showInputMessage="1" showErrorMessage="1" sqref="B24" xr:uid="{00000000-0002-0000-0100-000009000000}">
      <formula1>$C$24:$D$24</formula1>
    </dataValidation>
    <dataValidation type="list" allowBlank="1" showInputMessage="1" showErrorMessage="1" sqref="B84" xr:uid="{00000000-0002-0000-0100-00000A000000}">
      <formula1>$BJ$84:$BK$84</formula1>
    </dataValidation>
    <dataValidation type="list" allowBlank="1" showInputMessage="1" showErrorMessage="1" sqref="B44" xr:uid="{00000000-0002-0000-0100-00000B000000}">
      <formula1>$C$44:$D$44</formula1>
    </dataValidation>
  </dataValidations>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5">
    <tabColor rgb="FF00B050"/>
  </sheetPr>
  <dimension ref="A1:F43"/>
  <sheetViews>
    <sheetView view="pageBreakPreview" topLeftCell="A21" zoomScaleSheetLayoutView="100" workbookViewId="0">
      <selection activeCell="C23" sqref="C23"/>
    </sheetView>
  </sheetViews>
  <sheetFormatPr defaultColWidth="9.140625" defaultRowHeight="12.75" x14ac:dyDescent="0.2"/>
  <cols>
    <col min="1" max="6" width="14.28515625" style="21" customWidth="1"/>
    <col min="7" max="16384" width="9.140625" style="21"/>
  </cols>
  <sheetData>
    <row r="1" spans="1:6" x14ac:dyDescent="0.2">
      <c r="A1" s="282" t="s">
        <v>208</v>
      </c>
      <c r="B1" s="282"/>
      <c r="C1" s="282"/>
      <c r="D1" s="282"/>
      <c r="E1" s="282"/>
      <c r="F1" s="282"/>
    </row>
    <row r="2" spans="1:6" ht="35.25" customHeight="1" x14ac:dyDescent="0.2">
      <c r="A2" s="283" t="s">
        <v>314</v>
      </c>
      <c r="B2" s="283"/>
      <c r="C2" s="283"/>
      <c r="D2" s="283"/>
      <c r="E2" s="283"/>
      <c r="F2" s="283"/>
    </row>
    <row r="3" spans="1:6" x14ac:dyDescent="0.2">
      <c r="A3" s="282" t="s">
        <v>209</v>
      </c>
      <c r="B3" s="282"/>
      <c r="C3" s="282"/>
      <c r="D3" s="282"/>
      <c r="E3" s="282"/>
      <c r="F3" s="282"/>
    </row>
    <row r="4" spans="1:6" x14ac:dyDescent="0.2">
      <c r="A4" s="281" t="str">
        <f>xulosa!A4:E4</f>
        <v>Mijozning to'liq ismi sharifi: NORINBOYEVA SOXIBA IZZATILLAYEVNA</v>
      </c>
      <c r="B4" s="281"/>
      <c r="C4" s="281"/>
      <c r="D4" s="281"/>
      <c r="E4" s="281"/>
      <c r="F4" s="281"/>
    </row>
    <row r="5" spans="1:6" x14ac:dyDescent="0.2">
      <c r="A5" s="281" t="str">
        <f>xulosa!A5:E5</f>
        <v>Tug'ilgan sanasi: 19.10.1985 yil</v>
      </c>
      <c r="B5" s="281"/>
      <c r="C5" s="281"/>
      <c r="D5" s="281"/>
      <c r="E5" s="281"/>
      <c r="F5" s="281"/>
    </row>
    <row r="6" spans="1:6" ht="32.25" customHeight="1" x14ac:dyDescent="0.2">
      <c r="A6" s="281" t="str">
        <f>xulosa!A6:E6</f>
        <v>Pasport seriyasi AE 5547691 IIV 27256 tomonidan 22.12.2025 yilda berilgan, amal qilish muddati - 21.12.2035 y.</v>
      </c>
      <c r="B6" s="281"/>
      <c r="C6" s="281"/>
      <c r="D6" s="281"/>
      <c r="E6" s="281"/>
      <c r="F6" s="281"/>
    </row>
    <row r="7" spans="1:6" x14ac:dyDescent="0.2">
      <c r="A7" s="281" t="str">
        <f>"Fuqaroligi: "&amp;umumiy_malumot!B32&amp;""</f>
        <v>Fuqaroligi: O’zbekiston Respublikasi</v>
      </c>
      <c r="B7" s="281"/>
      <c r="C7" s="281"/>
      <c r="D7" s="281"/>
      <c r="E7" s="281"/>
      <c r="F7" s="281"/>
    </row>
    <row r="8" spans="1:6" ht="26.25" customHeight="1" x14ac:dyDescent="0.2">
      <c r="A8" s="281" t="str">
        <f>xulosa!A7:E7</f>
        <v>Ro‘yxatdan o‘tgan manzili: TOSHKENT VILOYATI CHINOZ TUMANI ALISHER NAVOIY MFY SOBIR RAHIMOV KO'CHASI 36 UY, mo'ljal: 1 MAKTAB BALNITSA CHINOZ</v>
      </c>
      <c r="B8" s="281"/>
      <c r="C8" s="281"/>
      <c r="D8" s="281"/>
      <c r="E8" s="281"/>
      <c r="F8" s="281"/>
    </row>
    <row r="9" spans="1:6" x14ac:dyDescent="0.2">
      <c r="A9" s="281" t="str">
        <f>IF(umumiy_malumot!B23="mos keladi"," ",mijoz_anketasi!A10:F10)</f>
        <v xml:space="preserve"> </v>
      </c>
      <c r="B9" s="281"/>
      <c r="C9" s="281"/>
      <c r="D9" s="281"/>
      <c r="E9" s="281"/>
      <c r="F9" s="281"/>
    </row>
    <row r="10" spans="1:6" ht="31.5" hidden="1" customHeight="1" x14ac:dyDescent="0.2">
      <c r="A10" s="281" t="str">
        <f>"Haqiqatdan yashash joy manzili: "&amp;umumiy_malumot!B28&amp;""</f>
        <v>Haqiqatdan yashash joy manzili: TOSHKENT VILOYATI CHINOZ TUMANI ALISHER NAVOIY MFY SOBIR RAHIMOV KO'CHASI 36 UY</v>
      </c>
      <c r="B10" s="281"/>
      <c r="C10" s="281"/>
      <c r="D10" s="281"/>
      <c r="E10" s="281"/>
      <c r="F10" s="281"/>
    </row>
    <row r="11" spans="1:6" ht="16.5" hidden="1" customHeight="1" x14ac:dyDescent="0.2">
      <c r="A11" s="281" t="str">
        <f>xulosa!A8:E8</f>
        <v>Ish joyi:  lavozimi BOLALAR O'YINCHOGINI ISHLAB CHIQARISH (UY SHAROITIDA)da O'Z O'ZINI BAND QILGAN FUQARO</v>
      </c>
      <c r="B11" s="281"/>
      <c r="C11" s="281"/>
      <c r="D11" s="281"/>
      <c r="E11" s="281"/>
      <c r="F11" s="281"/>
    </row>
    <row r="12" spans="1:6" x14ac:dyDescent="0.2">
      <c r="A12" s="282" t="s">
        <v>210</v>
      </c>
      <c r="B12" s="282"/>
      <c r="C12" s="282"/>
      <c r="D12" s="282"/>
      <c r="E12" s="282"/>
      <c r="F12" s="282"/>
    </row>
    <row r="13" spans="1:6" x14ac:dyDescent="0.2">
      <c r="A13" s="281" t="str">
        <f>"Uy telefoni raqami: "&amp;umumiy_malumot!B40&amp;""</f>
        <v>Uy telefoni raqami: 33 730 30 31 MIJOZ</v>
      </c>
      <c r="B13" s="281"/>
      <c r="C13" s="281"/>
      <c r="D13" s="281"/>
      <c r="E13" s="281"/>
      <c r="F13" s="281"/>
    </row>
    <row r="14" spans="1:6" x14ac:dyDescent="0.2">
      <c r="A14" s="281" t="str">
        <f>"Uyali telefon raqami: "&amp;umumiy_malumot!B41&amp;""</f>
        <v>Uyali telefon raqami: 99 407 50 08 UY EGASI</v>
      </c>
      <c r="B14" s="281"/>
      <c r="C14" s="281"/>
      <c r="D14" s="281"/>
      <c r="E14" s="281"/>
      <c r="F14" s="281"/>
    </row>
    <row r="15" spans="1:6" x14ac:dyDescent="0.2">
      <c r="A15" s="281" t="str">
        <f>"Uyali telefon raqami: "&amp;umumiy_malumot!B42&amp;""</f>
        <v>Uyali telefon raqami: 94 659 57 51 ADASI</v>
      </c>
      <c r="B15" s="281"/>
      <c r="C15" s="281"/>
      <c r="D15" s="281"/>
      <c r="E15" s="281"/>
      <c r="F15" s="281"/>
    </row>
    <row r="16" spans="1:6" hidden="1" x14ac:dyDescent="0.2">
      <c r="A16" s="281" t="str">
        <f>"Uyali telefon raqami: "&amp;umumiy_malumot!B42&amp;""</f>
        <v>Uyali telefon raqami: 94 659 57 51 ADASI</v>
      </c>
      <c r="B16" s="281"/>
      <c r="C16" s="281"/>
      <c r="D16" s="281"/>
      <c r="E16" s="281"/>
      <c r="F16" s="281"/>
    </row>
    <row r="17" spans="1:6" x14ac:dyDescent="0.2">
      <c r="A17" s="281" t="str">
        <f>"Ish telefoni raqami: "&amp;umumiy_malumot!B43&amp;""</f>
        <v xml:space="preserve">Ish telefoni raqami: </v>
      </c>
      <c r="B17" s="281"/>
      <c r="C17" s="281"/>
      <c r="D17" s="281"/>
      <c r="E17" s="281"/>
      <c r="F17" s="281"/>
    </row>
    <row r="18" spans="1:6" x14ac:dyDescent="0.2">
      <c r="A18" s="282" t="s">
        <v>211</v>
      </c>
      <c r="B18" s="282"/>
      <c r="C18" s="282"/>
      <c r="D18" s="282"/>
      <c r="E18" s="282"/>
      <c r="F18" s="282"/>
    </row>
    <row r="19" spans="1:6" x14ac:dyDescent="0.2">
      <c r="A19" s="281" t="str">
        <f>"Muassasa nomlanishi:"&amp;umumiy_malumot!B58&amp;""</f>
        <v xml:space="preserve">Muassasa nomlanishi:O'Z O'ZINI BAND QILGAN FUQARO </v>
      </c>
      <c r="B19" s="281"/>
      <c r="C19" s="281"/>
      <c r="D19" s="281"/>
      <c r="E19" s="281"/>
      <c r="F19" s="281"/>
    </row>
    <row r="20" spans="1:6" x14ac:dyDescent="0.2">
      <c r="A20" s="281" t="str">
        <f>"Ro‘yxatdan o‘tish manzili:"&amp;umumiy_malumot!B46&amp;""</f>
        <v>Ro‘yxatdan o‘tish manzili:№0012660051</v>
      </c>
      <c r="B20" s="281"/>
      <c r="C20" s="281"/>
      <c r="D20" s="281"/>
      <c r="E20" s="281"/>
      <c r="F20" s="281"/>
    </row>
    <row r="21" spans="1:6" x14ac:dyDescent="0.2">
      <c r="A21" s="281" t="str">
        <f>"Lavozimi: "&amp;umumiy_malumot!B59&amp;""</f>
        <v>Lavozimi: BOLALAR O'YINCHOGINI ISHLAB CHIQARISH (UY SHAROITIDA)</v>
      </c>
      <c r="B21" s="281"/>
      <c r="C21" s="281"/>
      <c r="D21" s="281"/>
      <c r="E21" s="281"/>
      <c r="F21" s="281"/>
    </row>
    <row r="22" spans="1:6" x14ac:dyDescent="0.2">
      <c r="A22" s="282" t="s">
        <v>212</v>
      </c>
      <c r="B22" s="284"/>
      <c r="C22" s="284"/>
      <c r="D22" s="284"/>
      <c r="E22" s="284"/>
      <c r="F22" s="284"/>
    </row>
    <row r="23" spans="1:6" s="23" customFormat="1" ht="25.5" x14ac:dyDescent="0.25">
      <c r="A23" s="22" t="s">
        <v>213</v>
      </c>
      <c r="B23" s="22" t="s">
        <v>214</v>
      </c>
      <c r="C23" s="22" t="s">
        <v>215</v>
      </c>
      <c r="D23" s="22" t="s">
        <v>216</v>
      </c>
      <c r="E23" s="22" t="s">
        <v>217</v>
      </c>
      <c r="F23" s="22" t="s">
        <v>218</v>
      </c>
    </row>
    <row r="24" spans="1:6" ht="51" x14ac:dyDescent="0.2">
      <c r="A24" s="24" t="s">
        <v>219</v>
      </c>
      <c r="B24" s="25">
        <f>umumiy_malumot!B60</f>
        <v>20000000</v>
      </c>
      <c r="C24" s="25">
        <v>0</v>
      </c>
      <c r="D24" s="25">
        <v>0</v>
      </c>
      <c r="E24" s="24" t="s">
        <v>222</v>
      </c>
      <c r="F24" s="25">
        <v>700000</v>
      </c>
    </row>
    <row r="25" spans="1:6" ht="25.5" x14ac:dyDescent="0.2">
      <c r="A25" s="24" t="s">
        <v>220</v>
      </c>
      <c r="B25" s="25">
        <v>0</v>
      </c>
      <c r="C25" s="25">
        <v>0</v>
      </c>
      <c r="D25" s="25">
        <v>0</v>
      </c>
      <c r="E25" s="24" t="s">
        <v>223</v>
      </c>
      <c r="F25" s="25">
        <v>500000</v>
      </c>
    </row>
    <row r="26" spans="1:6" ht="28.5" customHeight="1" x14ac:dyDescent="0.2">
      <c r="A26" s="24" t="s">
        <v>221</v>
      </c>
      <c r="B26" s="25">
        <f>umumiy_malumot!B61</f>
        <v>10000000</v>
      </c>
      <c r="C26" s="25">
        <v>0</v>
      </c>
      <c r="D26" s="25">
        <v>0</v>
      </c>
      <c r="E26" s="24" t="s">
        <v>224</v>
      </c>
      <c r="F26" s="25">
        <v>600000</v>
      </c>
    </row>
    <row r="27" spans="1:6" s="28" customFormat="1" x14ac:dyDescent="0.2">
      <c r="A27" s="26" t="s">
        <v>200</v>
      </c>
      <c r="B27" s="27">
        <f>B24+B25+B26</f>
        <v>30000000</v>
      </c>
      <c r="C27" s="27">
        <f t="shared" ref="C27:F27" si="0">SUM(C24:C26)</f>
        <v>0</v>
      </c>
      <c r="D27" s="27">
        <f t="shared" si="0"/>
        <v>0</v>
      </c>
      <c r="E27" s="26"/>
      <c r="F27" s="27">
        <f t="shared" si="0"/>
        <v>1800000</v>
      </c>
    </row>
    <row r="28" spans="1:6" ht="31.5" customHeight="1" x14ac:dyDescent="0.2">
      <c r="A28" s="281" t="str">
        <f>"Men, "&amp;umumiy_malumot!B5&amp;", ushbu anketada ko‘rsatilgan barcha ma'lumotlar anketa to'ldirilgan sanada  to'g'ri va aniq ekanligini tasdiqlayman."</f>
        <v>Men, NORINBOYEVA SOXIBA IZZATILLAYEVNA, ushbu anketada ko‘rsatilgan barcha ma'lumotlar anketa to'ldirilgan sanada  to'g'ri va aniq ekanligini tasdiqlayman.</v>
      </c>
      <c r="B28" s="281"/>
      <c r="C28" s="281"/>
      <c r="D28" s="281"/>
      <c r="E28" s="281"/>
      <c r="F28" s="281"/>
    </row>
    <row r="29" spans="1:6" x14ac:dyDescent="0.2">
      <c r="A29" s="281" t="str">
        <f>"Men,  "&amp;umumiy_malumot!B5&amp;", quyidagilarni tan olaman va roziman::"</f>
        <v>Men,  NORINBOYEVA SOXIBA IZZATILLAYEVNA, quyidagilarni tan olaman va roziman::</v>
      </c>
      <c r="B29" s="281"/>
      <c r="C29" s="281"/>
      <c r="D29" s="281"/>
      <c r="E29" s="281"/>
      <c r="F29" s="281"/>
    </row>
    <row r="30" spans="1:6" ht="45.75" customHeight="1" x14ac:dyDescent="0.2">
      <c r="A30" s="281" t="str">
        <f>"1.  Ushbu anketada ko‘rsatilgan har qanday ma’lumot  "&amp;umumiy_malumot!B158&amp;", uning xodimlari va huquqiy vorislari tomonidan istalgan manbaa va ma’lumotlardan foydalangan holda istalgan vaqtda tekshirilishi va qayta tekshirilishi mumkin."</f>
        <v>1.  Ushbu anketada ko‘rsatilgan har qanday ma’lumot  «PULLOL BUSINESS MIKROMOLIYA TASHKILOTI»  MChJ, uning xodimlari va huquqiy vorislari tomonidan istalgan manbaa va ma’lumotlardan foydalangan holda istalgan vaqtda tekshirilishi va qayta tekshirilishi mumkin.</v>
      </c>
      <c r="B30" s="281"/>
      <c r="C30" s="281"/>
      <c r="D30" s="281"/>
      <c r="E30" s="281"/>
      <c r="F30" s="281"/>
    </row>
    <row r="31" spans="1:6" ht="42.75" customHeight="1" x14ac:dyDescent="0.2">
      <c r="A31" s="281" t="str">
        <f>"2. Mazkur anketaning "&amp;umumiy_malumot!B158&amp;" tomonidan qabul qilinishi  "&amp;umumiy_malumot!B158&amp;" tomonidan menga "&amp;umumiy_malumot!B65&amp;" berish majburiyatini yuklamaydi."</f>
        <v>2. Mazkur anketaning «PULLOL BUSINESS MIKROMOLIYA TASHKILOTI»  MChJ tomonidan qabul qilinishi  «PULLOL BUSINESS MIKROMOLIYA TASHKILOTI»  MChJ tomonidan menga mikrokredit berish majburiyatini yuklamaydi.</v>
      </c>
      <c r="B31" s="281"/>
      <c r="C31" s="281"/>
      <c r="D31" s="281"/>
      <c r="E31" s="281"/>
      <c r="F31" s="281"/>
    </row>
    <row r="32" spans="1:6" ht="71.25" customHeight="1" x14ac:dyDescent="0.2">
      <c r="A32" s="281" t="s">
        <v>225</v>
      </c>
      <c r="B32" s="281"/>
      <c r="C32" s="281"/>
      <c r="D32" s="281"/>
      <c r="E32" s="281"/>
      <c r="F32" s="281"/>
    </row>
    <row r="33" spans="1:6" x14ac:dyDescent="0.2">
      <c r="A33" s="281"/>
      <c r="B33" s="281"/>
      <c r="C33" s="281"/>
      <c r="D33" s="281"/>
      <c r="E33" s="281"/>
      <c r="F33" s="281"/>
    </row>
    <row r="34" spans="1:6" ht="12.75" customHeight="1" x14ac:dyDescent="0.2">
      <c r="A34" s="284" t="s">
        <v>226</v>
      </c>
      <c r="B34" s="284"/>
      <c r="C34" s="284"/>
      <c r="D34" s="137" t="s">
        <v>151</v>
      </c>
      <c r="E34" s="284" t="s">
        <v>227</v>
      </c>
      <c r="F34" s="284"/>
    </row>
    <row r="35" spans="1:6" ht="25.5" customHeight="1" x14ac:dyDescent="0.2">
      <c r="A35" s="285"/>
      <c r="B35" s="285"/>
      <c r="C35" s="285"/>
      <c r="D35" s="286" t="str">
        <f>umumiy_malumot!B2</f>
        <v>16.02.2026</v>
      </c>
      <c r="E35" s="285"/>
      <c r="F35" s="285"/>
    </row>
    <row r="36" spans="1:6" ht="25.5" customHeight="1" x14ac:dyDescent="0.2">
      <c r="A36" s="285"/>
      <c r="B36" s="285"/>
      <c r="C36" s="285"/>
      <c r="D36" s="286"/>
      <c r="E36" s="285"/>
      <c r="F36" s="285"/>
    </row>
    <row r="37" spans="1:6" x14ac:dyDescent="0.2">
      <c r="A37" s="281"/>
      <c r="B37" s="281"/>
      <c r="C37" s="281"/>
      <c r="D37" s="281"/>
      <c r="E37" s="281"/>
      <c r="F37" s="281"/>
    </row>
    <row r="38" spans="1:6" x14ac:dyDescent="0.2">
      <c r="A38" s="281"/>
      <c r="B38" s="281"/>
      <c r="C38" s="281"/>
      <c r="D38" s="281"/>
      <c r="E38" s="281"/>
      <c r="F38" s="281"/>
    </row>
    <row r="39" spans="1:6" x14ac:dyDescent="0.2">
      <c r="A39" s="281"/>
      <c r="B39" s="281"/>
      <c r="C39" s="281"/>
      <c r="D39" s="281"/>
      <c r="E39" s="281"/>
      <c r="F39" s="281"/>
    </row>
    <row r="40" spans="1:6" x14ac:dyDescent="0.2">
      <c r="A40" s="281"/>
      <c r="B40" s="281"/>
      <c r="C40" s="281"/>
      <c r="D40" s="281"/>
      <c r="E40" s="281"/>
      <c r="F40" s="281"/>
    </row>
    <row r="41" spans="1:6" x14ac:dyDescent="0.2">
      <c r="A41" s="281"/>
      <c r="B41" s="281"/>
      <c r="C41" s="281"/>
      <c r="D41" s="281"/>
      <c r="E41" s="281"/>
      <c r="F41" s="281"/>
    </row>
    <row r="42" spans="1:6" x14ac:dyDescent="0.2">
      <c r="A42" s="281"/>
      <c r="B42" s="281"/>
      <c r="C42" s="281"/>
      <c r="D42" s="281"/>
      <c r="E42" s="281"/>
      <c r="F42" s="281"/>
    </row>
    <row r="43" spans="1:6" x14ac:dyDescent="0.2">
      <c r="A43" s="281"/>
      <c r="B43" s="281"/>
      <c r="C43" s="281"/>
      <c r="D43" s="281"/>
      <c r="E43" s="281"/>
      <c r="F43" s="281"/>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 right="0.7" top="0.75" bottom="0.75" header="0.3" footer="0.3"/>
  <pageSetup paperSize="9" scale="9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1">
    <tabColor rgb="FF00B050"/>
  </sheetPr>
  <dimension ref="A2:H33"/>
  <sheetViews>
    <sheetView view="pageBreakPreview" topLeftCell="A4" zoomScaleNormal="100" zoomScaleSheetLayoutView="100" workbookViewId="0">
      <selection activeCell="I16" sqref="I16"/>
    </sheetView>
  </sheetViews>
  <sheetFormatPr defaultColWidth="9.140625" defaultRowHeight="15.75" x14ac:dyDescent="0.25"/>
  <cols>
    <col min="1" max="2" width="17.42578125" style="112" customWidth="1"/>
    <col min="3" max="3" width="29.85546875" style="112" customWidth="1"/>
    <col min="4" max="4" width="18.140625" style="112" customWidth="1"/>
    <col min="5" max="5" width="6.5703125" style="112" customWidth="1"/>
    <col min="6" max="16384" width="9.140625" style="112"/>
  </cols>
  <sheetData>
    <row r="2" spans="1:5" x14ac:dyDescent="0.25">
      <c r="A2" s="291" t="s">
        <v>228</v>
      </c>
      <c r="B2" s="291"/>
      <c r="C2" s="291"/>
      <c r="D2" s="291"/>
      <c r="E2" s="291"/>
    </row>
    <row r="3" spans="1:5" x14ac:dyDescent="0.25">
      <c r="E3" s="111" t="str">
        <f>umumiy_malumot!B68</f>
        <v>16 fevral 2026 y.</v>
      </c>
    </row>
    <row r="5" spans="1:5" s="113" customFormat="1" ht="27" customHeight="1" x14ac:dyDescent="0.25">
      <c r="A5" s="295" t="s">
        <v>229</v>
      </c>
      <c r="B5" s="296"/>
      <c r="C5" s="292" t="str">
        <f>umumiy_malumot!B8</f>
        <v>NORINBOYEVA SOXIBA IZZATILLAYEVNA</v>
      </c>
      <c r="D5" s="293"/>
      <c r="E5" s="294"/>
    </row>
    <row r="7" spans="1:5" ht="15.75" customHeight="1" x14ac:dyDescent="0.25">
      <c r="A7" s="297" t="s">
        <v>340</v>
      </c>
      <c r="B7" s="298"/>
      <c r="C7" s="299"/>
      <c r="D7" s="114" t="s">
        <v>127</v>
      </c>
      <c r="E7" s="114"/>
    </row>
    <row r="8" spans="1:5" x14ac:dyDescent="0.25">
      <c r="A8" s="300"/>
      <c r="B8" s="301"/>
      <c r="C8" s="302"/>
      <c r="D8" s="114" t="s">
        <v>233</v>
      </c>
      <c r="E8" s="114"/>
    </row>
    <row r="9" spans="1:5" ht="15.75" customHeight="1" x14ac:dyDescent="0.25">
      <c r="A9" s="288" t="s">
        <v>230</v>
      </c>
      <c r="B9" s="288"/>
      <c r="C9" s="288"/>
      <c r="D9" s="114" t="s">
        <v>127</v>
      </c>
      <c r="E9" s="114"/>
    </row>
    <row r="10" spans="1:5" x14ac:dyDescent="0.25">
      <c r="A10" s="288"/>
      <c r="B10" s="288"/>
      <c r="C10" s="288"/>
      <c r="D10" s="114" t="s">
        <v>233</v>
      </c>
      <c r="E10" s="114"/>
    </row>
    <row r="11" spans="1:5" ht="15.75" customHeight="1" x14ac:dyDescent="0.25">
      <c r="A11" s="288" t="s">
        <v>231</v>
      </c>
      <c r="B11" s="288"/>
      <c r="C11" s="288"/>
      <c r="D11" s="114" t="s">
        <v>127</v>
      </c>
      <c r="E11" s="114"/>
    </row>
    <row r="12" spans="1:5" x14ac:dyDescent="0.25">
      <c r="A12" s="288"/>
      <c r="B12" s="288"/>
      <c r="C12" s="288"/>
      <c r="D12" s="114" t="s">
        <v>233</v>
      </c>
      <c r="E12" s="114"/>
    </row>
    <row r="13" spans="1:5" ht="34.5" customHeight="1" x14ac:dyDescent="0.25">
      <c r="A13" s="289" t="s">
        <v>232</v>
      </c>
      <c r="B13" s="289"/>
      <c r="C13" s="289"/>
      <c r="D13" s="289"/>
      <c r="E13" s="289"/>
    </row>
    <row r="14" spans="1:5" ht="16.5" thickBot="1" x14ac:dyDescent="0.3">
      <c r="A14" s="290"/>
      <c r="B14" s="290"/>
      <c r="C14" s="290"/>
      <c r="D14" s="290"/>
      <c r="E14" s="290"/>
    </row>
    <row r="15" spans="1:5" ht="16.5" thickBot="1" x14ac:dyDescent="0.3">
      <c r="A15" s="290"/>
      <c r="B15" s="290"/>
      <c r="C15" s="290"/>
      <c r="D15" s="290"/>
      <c r="E15" s="290"/>
    </row>
    <row r="16" spans="1:5" ht="16.5" thickBot="1" x14ac:dyDescent="0.3">
      <c r="A16" s="290"/>
      <c r="B16" s="290"/>
      <c r="C16" s="290"/>
      <c r="D16" s="290"/>
      <c r="E16" s="290"/>
    </row>
    <row r="18" spans="1:8" ht="18.75" customHeight="1" x14ac:dyDescent="0.25">
      <c r="A18" s="288" t="s">
        <v>234</v>
      </c>
      <c r="B18" s="288"/>
      <c r="C18" s="288"/>
      <c r="D18" s="114" t="s">
        <v>127</v>
      </c>
      <c r="E18" s="114"/>
    </row>
    <row r="19" spans="1:8" ht="18.75" customHeight="1" x14ac:dyDescent="0.25">
      <c r="A19" s="288"/>
      <c r="B19" s="288"/>
      <c r="C19" s="288"/>
      <c r="D19" s="114" t="s">
        <v>233</v>
      </c>
      <c r="E19" s="114"/>
    </row>
    <row r="20" spans="1:8" ht="29.25" customHeight="1" x14ac:dyDescent="0.25">
      <c r="A20" s="288" t="s">
        <v>235</v>
      </c>
      <c r="B20" s="288"/>
      <c r="C20" s="288"/>
      <c r="D20" s="114" t="s">
        <v>127</v>
      </c>
      <c r="E20" s="114"/>
    </row>
    <row r="21" spans="1:8" ht="29.25" customHeight="1" x14ac:dyDescent="0.25">
      <c r="A21" s="288"/>
      <c r="B21" s="288"/>
      <c r="C21" s="288"/>
      <c r="D21" s="114" t="s">
        <v>233</v>
      </c>
      <c r="E21" s="114"/>
    </row>
    <row r="23" spans="1:8" ht="15.75" customHeight="1" x14ac:dyDescent="0.25">
      <c r="A23" s="289" t="s">
        <v>236</v>
      </c>
      <c r="B23" s="289"/>
      <c r="C23" s="289"/>
      <c r="D23" s="289"/>
      <c r="E23" s="289"/>
    </row>
    <row r="24" spans="1:8" ht="16.5" thickBot="1" x14ac:dyDescent="0.3">
      <c r="A24" s="290"/>
      <c r="B24" s="290"/>
      <c r="C24" s="290"/>
      <c r="D24" s="290"/>
      <c r="E24" s="290"/>
    </row>
    <row r="25" spans="1:8" ht="16.5" thickBot="1" x14ac:dyDescent="0.3">
      <c r="A25" s="290"/>
      <c r="B25" s="290"/>
      <c r="C25" s="290"/>
      <c r="D25" s="290"/>
      <c r="E25" s="290"/>
    </row>
    <row r="26" spans="1:8" ht="16.5" thickBot="1" x14ac:dyDescent="0.3">
      <c r="A26" s="290"/>
      <c r="B26" s="290"/>
      <c r="C26" s="290"/>
      <c r="D26" s="290"/>
      <c r="E26" s="290"/>
    </row>
    <row r="28" spans="1:8" ht="78.75" customHeight="1" x14ac:dyDescent="0.25">
      <c r="A28" s="287" t="s">
        <v>237</v>
      </c>
      <c r="B28" s="287"/>
      <c r="C28" s="287"/>
      <c r="D28" s="287"/>
      <c r="E28" s="287"/>
    </row>
    <row r="30" spans="1:8" ht="33" customHeight="1" x14ac:dyDescent="0.25">
      <c r="A30" s="287" t="s">
        <v>238</v>
      </c>
      <c r="B30" s="287"/>
      <c r="C30" s="287"/>
      <c r="D30" s="287"/>
      <c r="E30" s="287"/>
      <c r="F30" s="115"/>
      <c r="G30" s="115"/>
      <c r="H30" s="115"/>
    </row>
    <row r="33" spans="1:5" ht="16.5" thickBot="1" x14ac:dyDescent="0.3">
      <c r="A33" s="116" t="str">
        <f>C5</f>
        <v>NORINBOYEVA SOXIBA IZZATILLAYEVNA</v>
      </c>
      <c r="D33" s="117"/>
      <c r="E33" s="118"/>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6">
    <tabColor rgb="FF00B050"/>
  </sheetPr>
  <dimension ref="A1:G78"/>
  <sheetViews>
    <sheetView view="pageBreakPreview" zoomScaleSheetLayoutView="100" workbookViewId="0">
      <selection activeCell="A15" sqref="A15:D15"/>
    </sheetView>
  </sheetViews>
  <sheetFormatPr defaultColWidth="9.140625" defaultRowHeight="15.75" x14ac:dyDescent="0.25"/>
  <cols>
    <col min="1" max="1" width="20.140625" style="6" customWidth="1"/>
    <col min="2" max="2" width="18.7109375" style="6" customWidth="1"/>
    <col min="3" max="3" width="19.7109375" style="6" customWidth="1"/>
    <col min="4" max="4" width="28.7109375" style="6" customWidth="1"/>
    <col min="5" max="16384" width="9.140625" style="6"/>
  </cols>
  <sheetData>
    <row r="1" spans="1:4" ht="54" customHeight="1" x14ac:dyDescent="0.25">
      <c r="C1" s="304" t="str">
        <f>""&amp;umumiy_malumot!B158&amp;"ning
"&amp;umumiy_malumot!A161&amp;""</f>
        <v>«PULLOL BUSINESS MIKROMOLIYA TASHKILOTI»  MChJning
Direktor</v>
      </c>
      <c r="D1" s="304"/>
    </row>
    <row r="2" spans="1:4" x14ac:dyDescent="0.25">
      <c r="C2" s="11"/>
      <c r="D2" s="12" t="str">
        <f>""&amp;umumiy_malumot!B161&amp;"ga"</f>
        <v>Obidov A.Sh.ga</v>
      </c>
    </row>
    <row r="3" spans="1:4" hidden="1" x14ac:dyDescent="0.25"/>
    <row r="4" spans="1:4" x14ac:dyDescent="0.25">
      <c r="A4" s="303" t="str">
        <f>""&amp;umumiy_malumot!C64&amp;" olish uchun Ariza"</f>
        <v>Mikrokredit olish uchun Ariza</v>
      </c>
      <c r="B4" s="303"/>
      <c r="C4" s="303"/>
      <c r="D4" s="303"/>
    </row>
    <row r="5" spans="1:4" ht="11.25" hidden="1" customHeight="1" x14ac:dyDescent="0.25">
      <c r="A5" s="303"/>
      <c r="B5" s="303"/>
      <c r="C5" s="303"/>
      <c r="D5" s="303"/>
    </row>
    <row r="6" spans="1:4" ht="48.75" customHeight="1" x14ac:dyDescent="0.25">
      <c r="A6" s="305" t="str">
        <f>""&amp;umumiy_malumot!B28&amp;".-da yashovchi O‘zbekiston Respublikasi fuqarosi "&amp;umumiy_malumot!B8&amp;"dan. "</f>
        <v xml:space="preserve">TOSHKENT VILOYATI CHINOZ TUMANI ALISHER NAVOIY MFY SOBIR RAHIMOV KO'CHASI 36 UY.-da yashovchi O‘zbekiston Respublikasi fuqarosi NORINBOYEVA SOXIBA IZZATILLAYEVNAdan. </v>
      </c>
      <c r="B6" s="305"/>
      <c r="C6" s="305"/>
      <c r="D6" s="305"/>
    </row>
    <row r="7" spans="1:4" ht="15.75" customHeight="1" x14ac:dyDescent="0.25">
      <c r="A7" s="306" t="str">
        <f>"Tug'ilgan kuni: "&amp;umumiy_malumot!B15&amp;""</f>
        <v>Tug'ilgan kuni: 19.10.1985 yil</v>
      </c>
      <c r="B7" s="306"/>
      <c r="C7" s="306"/>
      <c r="D7" s="306"/>
    </row>
    <row r="8" spans="1:4" ht="33" customHeight="1" x14ac:dyDescent="0.25">
      <c r="A8" s="306" t="str">
        <f>"Pasport seriyasi: "&amp;umumiy_malumot!B16&amp;" "&amp;umumiy_malumot!B20&amp;""</f>
        <v>Pasport seriyasi: AE 5547691 IIV 27256 tomonidan 22.12.2025 yilda berilgan</v>
      </c>
      <c r="B8" s="306"/>
      <c r="C8" s="306"/>
      <c r="D8" s="306"/>
    </row>
    <row r="9" spans="1:4" ht="16.5" customHeight="1" x14ac:dyDescent="0.25">
      <c r="A9" s="306" t="str">
        <f>"Asosiy ish joyi : "&amp;umumiy_malumot!B58&amp;""</f>
        <v xml:space="preserve">Asosiy ish joyi : O'Z O'ZINI BAND QILGAN FUQARO </v>
      </c>
      <c r="B9" s="306"/>
      <c r="C9" s="306"/>
      <c r="D9" s="306"/>
    </row>
    <row r="10" spans="1:4" ht="15.75" customHeight="1" x14ac:dyDescent="0.25">
      <c r="A10" s="306" t="str">
        <f>"Lavozimi: "&amp;umumiy_malumot!B59&amp;""</f>
        <v>Lavozimi: BOLALAR O'YINCHOGINI ISHLAB CHIQARISH (UY SHAROITIDA)</v>
      </c>
      <c r="B10" s="306"/>
      <c r="C10" s="306"/>
      <c r="D10" s="306"/>
    </row>
    <row r="11" spans="1:4" x14ac:dyDescent="0.25">
      <c r="A11" s="306" t="str">
        <f>"O’rtacha oylik daromadi: "&amp;FIXED(mijoz_anketasi!B27,2)&amp;" so'm."</f>
        <v>O’rtacha oylik daromadi: 30 000 000,00 so'm.</v>
      </c>
      <c r="B11" s="306"/>
      <c r="C11" s="306"/>
      <c r="D11" s="306"/>
    </row>
    <row r="12" spans="1:4" x14ac:dyDescent="0.25">
      <c r="A12" s="306" t="str">
        <f>"Menga quyidagi shartlarda "&amp;umumiy_malumot!B65&amp;" berishingizni so’rayman:"</f>
        <v>Menga quyidagi shartlarda mikrokredit berishingizni so’rayman:</v>
      </c>
      <c r="B12" s="306"/>
      <c r="C12" s="306"/>
      <c r="D12" s="306"/>
    </row>
    <row r="13" spans="1:4" x14ac:dyDescent="0.25">
      <c r="A13" s="306" t="str">
        <f>""&amp;umumiy_malumot!C64&amp;" summasi: "&amp;FIXED(umumiy_malumot!B76,2)&amp;" ("&amp;umumiy_malumot!B77&amp;") so'm."</f>
        <v>Mikrokredit summasi: 175 000 000,00 (yuz yetmish besh million so'm) so'm.</v>
      </c>
      <c r="B13" s="306"/>
      <c r="C13" s="306"/>
      <c r="D13" s="306"/>
    </row>
    <row r="14" spans="1:4" x14ac:dyDescent="0.25">
      <c r="A14" s="306" t="str">
        <f>""&amp;umumiy_malumot!C64&amp;" muddati: "&amp;umumiy_malumot!B82&amp;" ("&amp;umumiy_malumot!B83&amp;") oy."</f>
        <v>Mikrokredit muddati: 36 (O'ttiz olti  ) oy.</v>
      </c>
      <c r="B14" s="306"/>
      <c r="C14" s="306"/>
      <c r="D14" s="306"/>
    </row>
    <row r="15" spans="1:4" ht="17.25" customHeight="1" x14ac:dyDescent="0.25">
      <c r="A15" s="306" t="str">
        <f>""&amp;umumiy_malumot!C64&amp;"dan foydalanganlik uchun foiz stavkasi: yillik  "&amp;umumiy_malumot!B86&amp;"% ("&amp;umumiy_malumot!B87&amp;") foiz"</f>
        <v>Mikrokreditdan foydalanganlik uchun foiz stavkasi: yillik  55% (Ellik besh  ) foiz</v>
      </c>
      <c r="B15" s="306"/>
      <c r="C15" s="306"/>
      <c r="D15" s="306"/>
    </row>
    <row r="16" spans="1:4" x14ac:dyDescent="0.25">
      <c r="A16" s="306" t="str">
        <f>""&amp;umumiy_malumot!C64&amp;" bo'yicha asosiy qarz va foizlarni to'lash:"</f>
        <v>Mikrokredit bo'yicha asosiy qarz va foizlarni to'lash:</v>
      </c>
      <c r="B16" s="306"/>
      <c r="C16" s="306"/>
      <c r="D16" s="306"/>
    </row>
    <row r="17" spans="1:7" ht="20.25" hidden="1" customHeight="1" x14ac:dyDescent="0.25">
      <c r="A17" s="305" t="str">
        <f>" - "&amp;umumiy_malumot!B65&amp;" shartnomasi bo'yicha har oy differensial to'lovlari amalga oshiriladi"</f>
        <v xml:space="preserve"> - mikrokredit shartnomasi bo'yicha har oy differensial to'lovlari amalga oshiriladi</v>
      </c>
      <c r="B17" s="305"/>
      <c r="C17" s="305"/>
      <c r="D17" s="305"/>
    </row>
    <row r="18" spans="1:7" ht="33.75" hidden="1" customHeight="1" x14ac:dyDescent="0.25">
      <c r="A18" s="305" t="str">
        <f>" - "&amp;umumiy_malumot!B65&amp;" shartnomasi bo'yicha har oy annuitet to'lovlari amalga oshiriladi"</f>
        <v xml:space="preserve"> - mikrokredit shartnomasi bo'yicha har oy annuitet to'lovlari amalga oshiriladi</v>
      </c>
      <c r="B18" s="305"/>
      <c r="C18" s="305"/>
      <c r="D18" s="305"/>
    </row>
    <row r="19" spans="1:7" ht="21.75" customHeight="1" x14ac:dyDescent="0.25">
      <c r="A19" s="305" t="str">
        <f>IF(umumiy_malumot!B78=umumiy_malumot!C78,kredit_ariza!A17:D17,IF(umumiy_malumot!B78=umumiy_malumot!D78,kredit_ariza!A18:D18))</f>
        <v xml:space="preserve"> - mikrokredit shartnomasi bo'yicha har oy differensial to'lovlari amalga oshiriladi</v>
      </c>
      <c r="B19" s="305"/>
      <c r="C19" s="305"/>
      <c r="D19" s="305"/>
    </row>
    <row r="20" spans="1:7" ht="33.75" hidden="1" customHeight="1" x14ac:dyDescent="0.25">
      <c r="A20" s="306" t="str">
        <f>IF(DAY(umumiy_malumot!E67)&lt;15,"   ","  Oxirgi yakuniy to'lov "&amp;umumiy_malumot!B65&amp;" shartnomasi tuzilgan kundan boshlab oxirgi oyning oxirgi kunida amalga oshiriladi")</f>
        <v xml:space="preserve">  Oxirgi yakuniy to'lov mikrokredit shartnomasi tuzilgan kundan boshlab oxirgi oyning oxirgi kunida amalga oshiriladi</v>
      </c>
      <c r="B20" s="306"/>
      <c r="C20" s="306"/>
      <c r="D20" s="306"/>
    </row>
    <row r="21" spans="1:7" x14ac:dyDescent="0.25">
      <c r="A21" s="306" t="str">
        <f>""&amp;umumiy_malumot!C64&amp;" ta’minoti::"</f>
        <v>Mikrokredit ta’minoti::</v>
      </c>
      <c r="B21" s="306"/>
      <c r="C21" s="306"/>
      <c r="D21" s="306"/>
    </row>
    <row r="22" spans="1:7" ht="80.25" customHeight="1" x14ac:dyDescent="0.25">
      <c r="A22" s="305" t="str">
        <f>"1. "&amp;IF(umumiy_malumot!B110="Avtotransport",A26,A23)&amp;""</f>
        <v xml:space="preserve">1.  Egalik huquqi NORINBAYEVA SAPURA MAMADALIYEVNAga tegishli bo'lgan umumiy yer maydoni - 700,qurilish osti maydoni-340.11, umumiy foydali maydoni-114.59,  yashash maydoni - 163.19 Yakka tartibdagi uy-joy, TOSHKENT VILOYATI CHINOZ TUMANI ALISHER NAVOIY MFY SOBIR RAHIMOV KO'CHASI 36 UY </v>
      </c>
      <c r="B22" s="305"/>
      <c r="C22" s="305"/>
      <c r="D22" s="305"/>
    </row>
    <row r="23" spans="1:7" ht="79.5" hidden="1" customHeight="1" x14ac:dyDescent="0.25">
      <c r="A23" s="305" t="str">
        <f>IF(umumiy_malumot!B99=umumiy_malumot!C99,A25,IF(umumiy_malumot!B99=umumiy_malumot!D99,A24,0))</f>
        <v xml:space="preserve"> Egalik huquqi NORINBAYEVA SAPURA MAMADALIYEVNAga tegishli bo'lgan umumiy yer maydoni - 700,qurilish osti maydoni-340.11, umumiy foydali maydoni-114.59,  yashash maydoni - 163.19 Yakka tartibdagi uy-joy, TOSHKENT VILOYATI CHINOZ TUMANI ALISHER NAVOIY MFY SOBIR RAHIMOV KO'CHASI 36 UY </v>
      </c>
      <c r="B23" s="305"/>
      <c r="C23" s="305"/>
      <c r="D23" s="305"/>
    </row>
    <row r="24" spans="1:7" ht="96.75" hidden="1" customHeight="1" x14ac:dyDescent="0.25">
      <c r="A24" s="305" t="str">
        <f>" - Navbatdagi garov (ipoteka) Egalik huquqi asosida  "&amp;umumiy_malumot!C124&amp;"ga "&amp;umumiy_malumot!C133&amp;", umumiy maydoni - "&amp;umumiy_malumot!C137&amp;" va yashash maydoni - "&amp;umumiy_malumot!C140&amp;", manzili: "&amp;umumiy_malumot!C130&amp;"."</f>
        <v xml:space="preserve"> - Navbatdagi garov (ipoteka) Egalik huquqi asosida  NORINBAYEVA SAPURA MAMADALIYEVNAga Yakka tartibdagi uy-joy, umumiy maydoni - 163.19 va yashash maydoni - 700, manzili: TOSHKENT VILOYATI CHINOZ TUMANI ALISHER NAVOIY MFY SOBIR RAHIMOV KO'CHASI 36 UY.</v>
      </c>
      <c r="B24" s="305"/>
      <c r="C24" s="305"/>
      <c r="D24" s="305"/>
      <c r="E24" s="143"/>
    </row>
    <row r="25" spans="1:7" ht="92.25" hidden="1" customHeight="1" x14ac:dyDescent="0.25">
      <c r="A25" s="307" t="str">
        <f>" Egalik huquqi "&amp;umumiy_malumot!C124&amp;"ga tegishli bo'lgan umumiy yer maydoni - "&amp;umumiy_malumot!C140&amp;",qurilish osti maydoni-"&amp;umumiy_malumot!C139&amp;", umumiy foydali maydoni-"&amp;umumiy_malumot!C138&amp;",  yashash maydoni - "&amp;umumiy_malumot!C137&amp;" "&amp;umumiy_malumot!C133&amp;", "&amp;umumiy_malumot!C130&amp;" "</f>
        <v xml:space="preserve"> Egalik huquqi NORINBAYEVA SAPURA MAMADALIYEVNAga tegishli bo'lgan umumiy yer maydoni - 700,qurilish osti maydoni-340.11, umumiy foydali maydoni-114.59,  yashash maydoni - 163.19 Yakka tartibdagi uy-joy, TOSHKENT VILOYATI CHINOZ TUMANI ALISHER NAVOIY MFY SOBIR RAHIMOV KO'CHASI 36 UY </v>
      </c>
      <c r="B25" s="307"/>
      <c r="C25" s="307"/>
      <c r="D25" s="307"/>
      <c r="G25" s="6" t="str">
        <f>" umumiy yer maydoni - "&amp;C140&amp;", qurilish osti maydoni- "&amp;C139&amp;", umumiy foydali maydoni - "&amp;C137&amp;" yashash maydoni - "&amp;C138&amp;""</f>
        <v xml:space="preserve"> umumiy yer maydoni - , qurilish osti maydoni- , umumiy foydali maydoni -  yashash maydoni - </v>
      </c>
    </row>
    <row r="26" spans="1:7" ht="78" hidden="1" customHeight="1" x14ac:dyDescent="0.25">
      <c r="A26" s="305" t="str">
        <f>IF(umumiy_malumot!B99=umumiy_malumot!C99,kredit_ariza!A28:D28,IF(umumiy_malumot!B99=umumiy_malumot!D99,kredit_ariza!A27:D27,0))</f>
        <v xml:space="preserve">  Egalik huquqi NORINBAYEVA SAPURA MAMADALIYEVNAga tegishli bo'lgan garovga olingan avtomobil markasi   CHEVROLET COBALT, rangi -  OQ SUMMIT WHITE, ishlab chiqarilgan yili - 2024, davlat raqam belgisi 01Z067RC, kuzov turi - YENGIL SEDAN, kuzov raqami XWBJA69VERA108471, dvigatel raqami B15D213241352MTAX0118, shassi raqami - RAQAMSIZ</v>
      </c>
      <c r="B26" s="305"/>
      <c r="C26" s="305"/>
      <c r="D26" s="305"/>
    </row>
    <row r="27" spans="1:7" ht="93" hidden="1" customHeight="1" x14ac:dyDescent="0.25">
      <c r="A27" s="305" t="str">
        <f>" Egalik huquqi "&amp;umumiy_malumot!B124&amp;"ga tegishli bo'lgan "&amp;umumiy_malumot!B132&amp;", "&amp;umumiy_malumot!B140&amp;", davlat raqam belgisi "&amp;umumiy_malumot!B133&amp;", "&amp;umumiy_malumot!B134&amp;", "&amp;umumiy_malumot!B137&amp;" avtotransport vositasi "</f>
        <v xml:space="preserve"> Egalik huquqi NORINBAYEVA SAPURA MAMADALIYEVNAga tegishli bo'lgan CHEVROLET COBALT, rangi -  OQ SUMMIT WHITE, ishlab chiqarilgan yili - 2024, davlat raqam belgisi 01Z067RC, kuzov turi - YENGIL SEDAN, kuzov raqami XWBJA69VERA108471, dvigatel raqami B15D213241352MTAX0118, shassi raqami - RAQAMSIZ avtotransport vositasi </v>
      </c>
      <c r="B27" s="305"/>
      <c r="C27" s="305"/>
      <c r="D27" s="305"/>
    </row>
    <row r="28" spans="1:7" ht="93.75" hidden="1" customHeight="1" x14ac:dyDescent="0.25">
      <c r="A28" s="305" t="str">
        <f>"  Egalik huquqi "&amp;umumiy_malumot!B124&amp;"ga tegishli bo'lgan garovga olingan avtomobil markasi   "&amp;umumiy_malumot!B132&amp;", "&amp;umumiy_malumot!B140&amp;", davlat raqam belgisi "&amp;umumiy_malumot!B133&amp;", "&amp;umumiy_malumot!B134&amp;", "&amp;umumiy_malumot!B137&amp;""</f>
        <v xml:space="preserve">  Egalik huquqi NORINBAYEVA SAPURA MAMADALIYEVNAga tegishli bo'lgan garovga olingan avtomobil markasi   CHEVROLET COBALT, rangi -  OQ SUMMIT WHITE, ishlab chiqarilgan yili - 2024, davlat raqam belgisi 01Z067RC, kuzov turi - YENGIL SEDAN, kuzov raqami XWBJA69VERA108471, dvigatel raqami B15D213241352MTAX0118, shassi raqami - RAQAMSIZ</v>
      </c>
      <c r="B28" s="305"/>
      <c r="C28" s="305"/>
      <c r="D28" s="305"/>
    </row>
    <row r="29" spans="1:7" ht="40.5" customHeight="1" x14ac:dyDescent="0.25">
      <c r="A29" s="308" t="str">
        <f>"2. 	«"&amp;umumiy_malumot!B154&amp;"» АJ sug‘urta kompaniyasi tomonidan "&amp;umumiy_malumot!C64&amp;" to'lamaslik xavfini "&amp;FIXED(umumiy_malumot!B155,2)&amp;"("&amp;umumiy_malumot!B156&amp;") so ' m miqdoriga sug’urta qilish"</f>
        <v>2. 	«АО СК "IMPEX INSURANCE"» АJ sug‘urta kompaniyasi tomonidan Mikrokredit to'lamaslik xavfini 35 000 000,00(o'ttiz besh million so'm) so ' m miqdoriga sug’urta qilish</v>
      </c>
      <c r="B29" s="308"/>
      <c r="C29" s="308"/>
      <c r="D29" s="308"/>
    </row>
    <row r="30" spans="1:7" ht="10.5" hidden="1" customHeight="1" x14ac:dyDescent="0.25">
      <c r="A30" s="306"/>
      <c r="B30" s="306"/>
      <c r="C30" s="306"/>
      <c r="D30" s="306"/>
    </row>
    <row r="31" spans="1:7" ht="53.25" customHeight="1" x14ac:dyDescent="0.25">
      <c r="A31" s="305" t="str">
        <f>"Mazkur ariza bilan "&amp;umumiy_malumot!B158&amp;"ga men va soʻralayotgan "&amp;umumiy_malumot!B65&amp;" boʻyicha barcha zarur maʼlumotlarni quyida ko’rsatilgan tashkilotlarga taqdim etish va olishga roziligimni bildirib, ushbu amaliyotlarni o’tkazish uchun huquq beraman:"</f>
        <v>Mazkur ariza bilan «PULLOL BUSINESS MIKROMOLIYA TASHKILOTI»  MChJga men va soʻralayotgan mikrokredit boʻyicha barcha zarur maʼlumotlarni quyida ko’rsatilgan tashkilotlarga taqdim etish va olishga roziligimni bildirib, ushbu amaliyotlarni o’tkazish uchun huquq beraman:</v>
      </c>
      <c r="B31" s="305"/>
      <c r="C31" s="305"/>
      <c r="D31" s="305"/>
    </row>
    <row r="32" spans="1:7" ht="15.75" customHeight="1" x14ac:dyDescent="0.25">
      <c r="A32" s="305" t="s">
        <v>239</v>
      </c>
      <c r="B32" s="305"/>
      <c r="C32" s="305"/>
      <c r="D32" s="305"/>
    </row>
    <row r="33" spans="1:4" x14ac:dyDescent="0.25">
      <c r="A33" s="305" t="s">
        <v>240</v>
      </c>
      <c r="B33" s="305"/>
      <c r="C33" s="305"/>
      <c r="D33" s="305"/>
    </row>
    <row r="34" spans="1:4" x14ac:dyDescent="0.25">
      <c r="A34" s="305" t="s">
        <v>241</v>
      </c>
      <c r="B34" s="305"/>
      <c r="C34" s="305"/>
      <c r="D34" s="305"/>
    </row>
    <row r="35" spans="1:4" x14ac:dyDescent="0.25">
      <c r="A35" s="306" t="str">
        <f>"Ariza berilgan sana: "&amp;TEXT(umumiy_malumot!B2,"ДД.ММ.ГГГГ")&amp;"y."</f>
        <v>Ariza berilgan sana: 16.02.2026y.</v>
      </c>
      <c r="B35" s="306"/>
      <c r="C35" s="306"/>
      <c r="D35" s="306"/>
    </row>
    <row r="36" spans="1:4" hidden="1" x14ac:dyDescent="0.25">
      <c r="A36" s="306"/>
      <c r="B36" s="306"/>
      <c r="C36" s="306"/>
      <c r="D36" s="306"/>
    </row>
    <row r="37" spans="1:4" x14ac:dyDescent="0.25">
      <c r="A37" s="306" t="s">
        <v>242</v>
      </c>
      <c r="B37" s="306"/>
      <c r="C37" s="306"/>
      <c r="D37" s="306"/>
    </row>
    <row r="38" spans="1:4" hidden="1" x14ac:dyDescent="0.25">
      <c r="A38" s="306"/>
      <c r="B38" s="306"/>
      <c r="C38" s="306"/>
      <c r="D38" s="306"/>
    </row>
    <row r="39" spans="1:4" ht="11.25" customHeight="1" x14ac:dyDescent="0.25">
      <c r="A39" s="306"/>
      <c r="B39" s="306"/>
      <c r="C39" s="306"/>
      <c r="D39" s="306"/>
    </row>
    <row r="40" spans="1:4" ht="15.75" customHeight="1" x14ac:dyDescent="0.25">
      <c r="A40" s="309" t="str">
        <f>umumiy_malumot!B5</f>
        <v>NORINBOYEVA SOXIBA IZZATILLAYEVNA</v>
      </c>
      <c r="B40" s="309"/>
      <c r="C40" s="309"/>
      <c r="D40" s="194" t="s">
        <v>378</v>
      </c>
    </row>
    <row r="41" spans="1:4" x14ac:dyDescent="0.25">
      <c r="A41" s="9"/>
      <c r="B41" s="9"/>
      <c r="D41" s="10" t="s">
        <v>319</v>
      </c>
    </row>
    <row r="42" spans="1:4" x14ac:dyDescent="0.25">
      <c r="A42" s="306"/>
      <c r="B42" s="306"/>
      <c r="C42" s="306"/>
      <c r="D42" s="306"/>
    </row>
    <row r="43" spans="1:4" x14ac:dyDescent="0.25">
      <c r="A43" s="11" t="str">
        <f>umumiy_malumot!A161</f>
        <v>Direktor</v>
      </c>
      <c r="B43" s="192"/>
      <c r="C43" s="192"/>
      <c r="D43" s="192" t="str">
        <f>umumiy_malumot!B161</f>
        <v>Obidov A.Sh.</v>
      </c>
    </row>
    <row r="44" spans="1:4" x14ac:dyDescent="0.25">
      <c r="A44" s="143"/>
      <c r="B44" s="143"/>
      <c r="C44" s="143"/>
      <c r="D44" s="143"/>
    </row>
    <row r="45" spans="1:4" x14ac:dyDescent="0.25">
      <c r="A45" s="143"/>
      <c r="B45" s="143"/>
      <c r="C45" s="143"/>
      <c r="D45" s="143"/>
    </row>
    <row r="46" spans="1:4" x14ac:dyDescent="0.25">
      <c r="A46" s="143"/>
      <c r="B46" s="143"/>
      <c r="C46" s="143"/>
      <c r="D46" s="143"/>
    </row>
    <row r="47" spans="1:4" x14ac:dyDescent="0.25">
      <c r="A47" s="306"/>
      <c r="B47" s="306"/>
      <c r="C47" s="306"/>
      <c r="D47" s="306"/>
    </row>
    <row r="48" spans="1:4" x14ac:dyDescent="0.25">
      <c r="A48" s="306"/>
      <c r="B48" s="306"/>
      <c r="C48" s="306"/>
      <c r="D48" s="306"/>
    </row>
    <row r="49" spans="1:4" x14ac:dyDescent="0.25">
      <c r="A49" s="306"/>
      <c r="B49" s="306"/>
      <c r="C49" s="306"/>
      <c r="D49" s="306"/>
    </row>
    <row r="50" spans="1:4" x14ac:dyDescent="0.25">
      <c r="A50" s="306"/>
      <c r="B50" s="306"/>
      <c r="C50" s="306"/>
      <c r="D50" s="306"/>
    </row>
    <row r="51" spans="1:4" x14ac:dyDescent="0.25">
      <c r="A51" s="306"/>
      <c r="B51" s="306"/>
      <c r="C51" s="306"/>
      <c r="D51" s="306"/>
    </row>
    <row r="52" spans="1:4" x14ac:dyDescent="0.25">
      <c r="A52" s="306"/>
      <c r="B52" s="306"/>
      <c r="C52" s="306"/>
      <c r="D52" s="306"/>
    </row>
    <row r="53" spans="1:4" x14ac:dyDescent="0.25">
      <c r="A53" s="306"/>
      <c r="B53" s="306"/>
      <c r="C53" s="306"/>
      <c r="D53" s="306"/>
    </row>
    <row r="54" spans="1:4" x14ac:dyDescent="0.25">
      <c r="A54" s="306"/>
      <c r="B54" s="306"/>
      <c r="C54" s="306"/>
      <c r="D54" s="306"/>
    </row>
    <row r="55" spans="1:4" x14ac:dyDescent="0.25">
      <c r="A55" s="306"/>
      <c r="B55" s="306"/>
      <c r="C55" s="306"/>
      <c r="D55" s="306"/>
    </row>
    <row r="56" spans="1:4" x14ac:dyDescent="0.25">
      <c r="A56" s="306"/>
      <c r="B56" s="306"/>
      <c r="C56" s="306"/>
      <c r="D56" s="306"/>
    </row>
    <row r="57" spans="1:4" x14ac:dyDescent="0.25">
      <c r="A57" s="306"/>
      <c r="B57" s="306"/>
      <c r="C57" s="306"/>
      <c r="D57" s="306"/>
    </row>
    <row r="58" spans="1:4" x14ac:dyDescent="0.25">
      <c r="A58" s="306"/>
      <c r="B58" s="306"/>
      <c r="C58" s="306"/>
      <c r="D58" s="306"/>
    </row>
    <row r="59" spans="1:4" x14ac:dyDescent="0.25">
      <c r="A59" s="306"/>
      <c r="B59" s="306"/>
      <c r="C59" s="306"/>
      <c r="D59" s="306"/>
    </row>
    <row r="60" spans="1:4" x14ac:dyDescent="0.25">
      <c r="A60" s="306"/>
      <c r="B60" s="306"/>
      <c r="C60" s="306"/>
      <c r="D60" s="306"/>
    </row>
    <row r="61" spans="1:4" x14ac:dyDescent="0.25">
      <c r="A61" s="306"/>
      <c r="B61" s="306"/>
      <c r="C61" s="306"/>
      <c r="D61" s="306"/>
    </row>
    <row r="62" spans="1:4" x14ac:dyDescent="0.25">
      <c r="A62" s="306"/>
      <c r="B62" s="306"/>
      <c r="C62" s="306"/>
      <c r="D62" s="306"/>
    </row>
    <row r="63" spans="1:4" x14ac:dyDescent="0.25">
      <c r="A63" s="306"/>
      <c r="B63" s="306"/>
      <c r="C63" s="306"/>
      <c r="D63" s="306"/>
    </row>
    <row r="64" spans="1:4" x14ac:dyDescent="0.25">
      <c r="A64" s="306"/>
      <c r="B64" s="306"/>
      <c r="C64" s="306"/>
      <c r="D64" s="306"/>
    </row>
    <row r="65" spans="1:4" x14ac:dyDescent="0.25">
      <c r="A65" s="306"/>
      <c r="B65" s="306"/>
      <c r="C65" s="306"/>
      <c r="D65" s="306"/>
    </row>
    <row r="66" spans="1:4" x14ac:dyDescent="0.25">
      <c r="A66" s="306"/>
      <c r="B66" s="306"/>
      <c r="C66" s="306"/>
      <c r="D66" s="306"/>
    </row>
    <row r="67" spans="1:4" x14ac:dyDescent="0.25">
      <c r="A67" s="306"/>
      <c r="B67" s="306"/>
      <c r="C67" s="306"/>
      <c r="D67" s="306"/>
    </row>
    <row r="68" spans="1:4" x14ac:dyDescent="0.25">
      <c r="A68" s="306"/>
      <c r="B68" s="306"/>
      <c r="C68" s="306"/>
      <c r="D68" s="306"/>
    </row>
    <row r="69" spans="1:4" x14ac:dyDescent="0.25">
      <c r="A69" s="306"/>
      <c r="B69" s="306"/>
      <c r="C69" s="306"/>
      <c r="D69" s="306"/>
    </row>
    <row r="70" spans="1:4" x14ac:dyDescent="0.25">
      <c r="A70" s="306"/>
      <c r="B70" s="306"/>
      <c r="C70" s="306"/>
      <c r="D70" s="306"/>
    </row>
    <row r="71" spans="1:4" x14ac:dyDescent="0.25">
      <c r="A71" s="306"/>
      <c r="B71" s="306"/>
      <c r="C71" s="306"/>
      <c r="D71" s="306"/>
    </row>
    <row r="72" spans="1:4" x14ac:dyDescent="0.25">
      <c r="A72" s="306"/>
      <c r="B72" s="306"/>
      <c r="C72" s="306"/>
      <c r="D72" s="306"/>
    </row>
    <row r="73" spans="1:4" x14ac:dyDescent="0.25">
      <c r="A73" s="306"/>
      <c r="B73" s="306"/>
      <c r="C73" s="306"/>
      <c r="D73" s="306"/>
    </row>
    <row r="74" spans="1:4" x14ac:dyDescent="0.25">
      <c r="A74" s="306"/>
      <c r="B74" s="306"/>
      <c r="C74" s="306"/>
      <c r="D74" s="306"/>
    </row>
    <row r="75" spans="1:4" x14ac:dyDescent="0.25">
      <c r="A75" s="306"/>
      <c r="B75" s="306"/>
      <c r="C75" s="306"/>
      <c r="D75" s="306"/>
    </row>
    <row r="76" spans="1:4" x14ac:dyDescent="0.25">
      <c r="A76" s="306"/>
      <c r="B76" s="306"/>
      <c r="C76" s="306"/>
      <c r="D76" s="306"/>
    </row>
    <row r="77" spans="1:4" x14ac:dyDescent="0.25">
      <c r="A77" s="306"/>
      <c r="B77" s="306"/>
      <c r="C77" s="306"/>
      <c r="D77" s="306"/>
    </row>
    <row r="78" spans="1:4" x14ac:dyDescent="0.25">
      <c r="A78" s="306"/>
      <c r="B78" s="306"/>
      <c r="C78" s="306"/>
      <c r="D78" s="306"/>
    </row>
  </sheetData>
  <mergeCells count="71">
    <mergeCell ref="A76:D76"/>
    <mergeCell ref="A77:D77"/>
    <mergeCell ref="A78:D78"/>
    <mergeCell ref="A40:C40"/>
    <mergeCell ref="A71:D71"/>
    <mergeCell ref="A72:D72"/>
    <mergeCell ref="A73:D73"/>
    <mergeCell ref="A74:D74"/>
    <mergeCell ref="A75:D75"/>
    <mergeCell ref="A66:D66"/>
    <mergeCell ref="A67:D67"/>
    <mergeCell ref="A68:D68"/>
    <mergeCell ref="A69:D69"/>
    <mergeCell ref="A70:D70"/>
    <mergeCell ref="A61:D61"/>
    <mergeCell ref="A62:D62"/>
    <mergeCell ref="A64:D64"/>
    <mergeCell ref="A65:D65"/>
    <mergeCell ref="A56:D56"/>
    <mergeCell ref="A57:D57"/>
    <mergeCell ref="A58:D58"/>
    <mergeCell ref="A59:D59"/>
    <mergeCell ref="A60:D60"/>
    <mergeCell ref="A52:D52"/>
    <mergeCell ref="A53:D53"/>
    <mergeCell ref="A54:D54"/>
    <mergeCell ref="A55:D55"/>
    <mergeCell ref="A63:D63"/>
    <mergeCell ref="A47:D47"/>
    <mergeCell ref="A48:D48"/>
    <mergeCell ref="A49:D49"/>
    <mergeCell ref="A50:D50"/>
    <mergeCell ref="A51:D51"/>
    <mergeCell ref="A35:D35"/>
    <mergeCell ref="A42:D42"/>
    <mergeCell ref="A36:D36"/>
    <mergeCell ref="A37:D37"/>
    <mergeCell ref="A38:D38"/>
    <mergeCell ref="A39:D39"/>
    <mergeCell ref="A31:D31"/>
    <mergeCell ref="A32:D32"/>
    <mergeCell ref="A33:D33"/>
    <mergeCell ref="A34:D34"/>
    <mergeCell ref="A28:D28"/>
    <mergeCell ref="A30:D30"/>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0866141732283472" right="0.70866141732283472" top="0.74803149606299213" bottom="0.74803149606299213" header="0.31496062992125984" footer="0.31496062992125984"/>
  <pageSetup paperSize="9" scale="9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22">
    <tabColor rgb="FF00B050"/>
  </sheetPr>
  <dimension ref="A3:B11"/>
  <sheetViews>
    <sheetView view="pageBreakPreview" zoomScale="85" zoomScaleNormal="100" zoomScaleSheetLayoutView="85" workbookViewId="0">
      <selection activeCell="A9" sqref="A9"/>
    </sheetView>
  </sheetViews>
  <sheetFormatPr defaultRowHeight="15" x14ac:dyDescent="0.25"/>
  <cols>
    <col min="1" max="1" width="54.42578125" style="13" customWidth="1"/>
    <col min="2" max="2" width="32.28515625" style="13" customWidth="1"/>
  </cols>
  <sheetData>
    <row r="3" spans="1:2" ht="35.25" customHeight="1" x14ac:dyDescent="0.25">
      <c r="A3" s="310" t="s">
        <v>205</v>
      </c>
      <c r="B3" s="310"/>
    </row>
    <row r="4" spans="1:2" ht="92.25" customHeight="1" x14ac:dyDescent="0.25">
      <c r="A4" s="271" t="str">
        <f>"     Men, fuqaro "&amp;umumiy_malumot!B5&amp;" "&amp;umumiy_malumot!B160&amp;" bilan "&amp;umumiy_malumot!B69&amp;" sanasidagi "&amp;umumiy_malumot!B66&amp;"-sonli shartnomaning garov ta'minoti sifatida taqdim etilayotgan mulk "&amp;umumiy_malumot!B132&amp;" rusumli avtotransport vositasini qonunga xilof ravishda o‘zlashtirmaslikka, yashirmaslikka, nobud qilmaslikka yoki unga shikast yetkazmaslik majburiyatini olaman."</f>
        <v xml:space="preserve">     Men, fuqaro NORINBOYEVA SOXIBA IZZATILLAYEVNA «PULLOL BUSINESS MIKROMOLIYA TASHKILOTI»  MChJ bilan 16 fevral 2026 y. sanasidagi № 110-sonli shartnomaning garov ta'minoti sifatida taqdim etilayotgan mulk CHEVROLET COBALT rusumli avtotransport vositasini qonunga xilof ravishda o‘zlashtirmaslikka, yashirmaslikka, nobud qilmaslikka yoki unga shikast yetkazmaslik majburiyatini olaman.</v>
      </c>
      <c r="B4" s="271"/>
    </row>
    <row r="5" spans="1:2" ht="56.25" customHeight="1" x14ac:dyDescent="0.25">
      <c r="A5" s="311" t="s">
        <v>206</v>
      </c>
      <c r="B5" s="311"/>
    </row>
    <row r="6" spans="1:2" ht="42.75" customHeight="1" x14ac:dyDescent="0.25"/>
    <row r="7" spans="1:2" x14ac:dyDescent="0.25">
      <c r="A7" s="13" t="str">
        <f>umumiy_malumot!B5</f>
        <v>NORINBOYEVA SOXIBA IZZATILLAYEVNA</v>
      </c>
      <c r="B7" s="125" t="s">
        <v>207</v>
      </c>
    </row>
    <row r="8" spans="1:2" ht="26.25" customHeight="1" x14ac:dyDescent="0.25"/>
    <row r="9" spans="1:2" x14ac:dyDescent="0.25">
      <c r="A9" s="13" t="str">
        <f>umumiy_malumot!B5</f>
        <v>NORINBOYEVA SOXIBA IZZATILLAYEVNA</v>
      </c>
      <c r="B9" s="125" t="s">
        <v>207</v>
      </c>
    </row>
    <row r="10" spans="1:2" ht="26.25" customHeight="1" x14ac:dyDescent="0.25"/>
    <row r="11" spans="1:2" x14ac:dyDescent="0.25">
      <c r="A11" s="13" t="str">
        <f>"sana:   "&amp;TEXT(umumiy_malumot!B2,"ДД.ММ.ГГГГ")&amp;" y."</f>
        <v>sana:   16.02.2026 y.</v>
      </c>
    </row>
  </sheetData>
  <mergeCells count="3">
    <mergeCell ref="A3:B3"/>
    <mergeCell ref="A4:B4"/>
    <mergeCell ref="A5:B5"/>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7">
    <tabColor rgb="FF00B050"/>
  </sheetPr>
  <dimension ref="A1:E67"/>
  <sheetViews>
    <sheetView view="pageBreakPreview" zoomScaleSheetLayoutView="100" workbookViewId="0">
      <selection activeCell="A24" sqref="A24:E24"/>
    </sheetView>
  </sheetViews>
  <sheetFormatPr defaultColWidth="9.140625" defaultRowHeight="15" outlineLevelRow="1" x14ac:dyDescent="0.25"/>
  <cols>
    <col min="1" max="2" width="23.7109375" style="13" customWidth="1"/>
    <col min="3" max="3" width="18.28515625" style="13" customWidth="1"/>
    <col min="4" max="5" width="17" style="13" customWidth="1"/>
    <col min="6" max="16384" width="9.140625" style="13"/>
  </cols>
  <sheetData>
    <row r="1" spans="1:5" ht="36" customHeight="1" x14ac:dyDescent="0.25">
      <c r="A1" s="312" t="str">
        <f>""&amp;umumiy_malumot!B158&amp;"
mikromoliya tashkilotining Xulosasi"</f>
        <v>«PULLOL BUSINESS MIKROMOLIYA TASHKILOTI»  MChJ
mikromoliya tashkilotining Xulosasi</v>
      </c>
      <c r="B1" s="312"/>
      <c r="C1" s="312"/>
      <c r="D1" s="312"/>
      <c r="E1" s="312"/>
    </row>
    <row r="2" spans="1:5" x14ac:dyDescent="0.25">
      <c r="A2" s="271"/>
      <c r="B2" s="271"/>
      <c r="C2" s="271"/>
      <c r="D2" s="271"/>
      <c r="E2" s="271"/>
    </row>
    <row r="3" spans="1:5" x14ac:dyDescent="0.25">
      <c r="A3" s="312" t="s">
        <v>195</v>
      </c>
      <c r="B3" s="312"/>
      <c r="C3" s="312"/>
      <c r="D3" s="312"/>
      <c r="E3" s="312"/>
    </row>
    <row r="4" spans="1:5" x14ac:dyDescent="0.25">
      <c r="A4" s="271" t="str">
        <f>"Mijozning to'liq ismi sharifi: "&amp;umumiy_malumot!B5&amp;""</f>
        <v>Mijozning to'liq ismi sharifi: NORINBOYEVA SOXIBA IZZATILLAYEVNA</v>
      </c>
      <c r="B4" s="271"/>
      <c r="C4" s="271"/>
      <c r="D4" s="271"/>
      <c r="E4" s="271"/>
    </row>
    <row r="5" spans="1:5" x14ac:dyDescent="0.25">
      <c r="A5" s="271" t="str">
        <f>"Tug'ilgan sanasi: "&amp;umumiy_malumot!B15&amp;""</f>
        <v>Tug'ilgan sanasi: 19.10.1985 yil</v>
      </c>
      <c r="B5" s="271"/>
      <c r="C5" s="271"/>
      <c r="D5" s="271"/>
      <c r="E5" s="271"/>
    </row>
    <row r="6" spans="1:5" ht="31.5" customHeight="1" x14ac:dyDescent="0.25">
      <c r="A6" s="271" t="str">
        <f>"Pasport seriyasi "&amp;umumiy_malumot!B16&amp;" "&amp;umumiy_malumot!B20&amp;", amal qilish muddati - "&amp;umumiy_malumot!B21&amp;""</f>
        <v>Pasport seriyasi AE 5547691 IIV 27256 tomonidan 22.12.2025 yilda berilgan, amal qilish muddati - 21.12.2035 y.</v>
      </c>
      <c r="B6" s="271"/>
      <c r="C6" s="271"/>
      <c r="D6" s="271"/>
      <c r="E6" s="271"/>
    </row>
    <row r="7" spans="1:5" ht="48" customHeight="1" x14ac:dyDescent="0.25">
      <c r="A7" s="271" t="str">
        <f>"Ro‘yxatdan o‘tgan manzili: "&amp;umumiy_malumot!B22&amp;", mo'ljal: "&amp;umumiy_malumot!B26&amp;""</f>
        <v>Ro‘yxatdan o‘tgan manzili: TOSHKENT VILOYATI CHINOZ TUMANI ALISHER NAVOIY MFY SOBIR RAHIMOV KO'CHASI 36 UY, mo'ljal: 1 MAKTAB BALNITSA CHINOZ</v>
      </c>
      <c r="B7" s="271"/>
      <c r="C7" s="271"/>
      <c r="D7" s="271"/>
      <c r="E7" s="271"/>
    </row>
    <row r="8" spans="1:5" ht="23.25" customHeight="1" x14ac:dyDescent="0.25">
      <c r="A8" s="271" t="str">
        <f>"Ish joyi: "&amp;umumiy_malumot!B52&amp;" lavozimi "&amp;umumiy_malumot!B49&amp;"da "&amp;umumiy_malumot!B44&amp;""</f>
        <v>Ish joyi:  lavozimi BOLALAR O'YINCHOGINI ISHLAB CHIQARISH (UY SHAROITIDA)da O'Z O'ZINI BAND QILGAN FUQARO</v>
      </c>
      <c r="B8" s="271"/>
      <c r="C8" s="271"/>
      <c r="D8" s="271"/>
      <c r="E8" s="271"/>
    </row>
    <row r="9" spans="1:5" x14ac:dyDescent="0.25">
      <c r="A9" s="271"/>
      <c r="B9" s="271"/>
      <c r="C9" s="271"/>
      <c r="D9" s="271"/>
      <c r="E9" s="271"/>
    </row>
    <row r="10" spans="1:5" x14ac:dyDescent="0.25">
      <c r="A10" s="312" t="str">
        <f>"Mijoz tomonidan so’ralgan "&amp;umumiy_malumot!B65&amp;" shartlari:"</f>
        <v>Mijoz tomonidan so’ralgan mikrokredit shartlari:</v>
      </c>
      <c r="B10" s="312"/>
      <c r="C10" s="312"/>
      <c r="D10" s="312"/>
      <c r="E10" s="312"/>
    </row>
    <row r="11" spans="1:5" x14ac:dyDescent="0.25">
      <c r="A11" s="271" t="str">
        <f>kredit_ariza!A13:D13</f>
        <v>Mikrokredit summasi: 175 000 000,00 (yuz yetmish besh million so'm) so'm.</v>
      </c>
      <c r="B11" s="271"/>
      <c r="C11" s="271"/>
      <c r="D11" s="271"/>
      <c r="E11" s="271"/>
    </row>
    <row r="12" spans="1:5" x14ac:dyDescent="0.25">
      <c r="A12" s="271" t="str">
        <f>kredit_ariza!A14:D14</f>
        <v>Mikrokredit muddati: 36 (O'ttiz olti  ) oy.</v>
      </c>
      <c r="B12" s="271"/>
      <c r="C12" s="271"/>
      <c r="D12" s="271"/>
      <c r="E12" s="271"/>
    </row>
    <row r="13" spans="1:5" x14ac:dyDescent="0.25">
      <c r="A13" s="271" t="str">
        <f>kredit_ariza!A15:D15</f>
        <v>Mikrokreditdan foydalanganlik uchun foiz stavkasi: yillik  55% (Ellik besh  ) foiz</v>
      </c>
      <c r="B13" s="271"/>
      <c r="C13" s="271"/>
      <c r="D13" s="271"/>
      <c r="E13" s="271"/>
    </row>
    <row r="14" spans="1:5" x14ac:dyDescent="0.25">
      <c r="A14" s="271" t="str">
        <f>kredit_ariza!A16:D16</f>
        <v>Mikrokredit bo'yicha asosiy qarz va foizlarni to'lash:</v>
      </c>
      <c r="B14" s="271"/>
      <c r="C14" s="271"/>
      <c r="D14" s="271"/>
      <c r="E14" s="271"/>
    </row>
    <row r="15" spans="1:5" ht="18.75" customHeight="1" x14ac:dyDescent="0.25">
      <c r="A15" s="271" t="str">
        <f>kredit_ariza!A19:D19</f>
        <v xml:space="preserve"> - mikrokredit shartnomasi bo'yicha har oy differensial to'lovlari amalga oshiriladi</v>
      </c>
      <c r="B15" s="271"/>
      <c r="C15" s="271"/>
      <c r="D15" s="271"/>
      <c r="E15" s="271"/>
    </row>
    <row r="16" spans="1:5" ht="14.25" customHeight="1" x14ac:dyDescent="0.25">
      <c r="A16" s="269" t="str">
        <f>kredit_ariza!A20:D20</f>
        <v xml:space="preserve">  Oxirgi yakuniy to'lov mikrokredit shartnomasi tuzilgan kundan boshlab oxirgi oyning oxirgi kunida amalga oshiriladi</v>
      </c>
      <c r="B16" s="269"/>
      <c r="C16" s="269"/>
      <c r="D16" s="269"/>
      <c r="E16" s="269"/>
    </row>
    <row r="17" spans="1:5" x14ac:dyDescent="0.25">
      <c r="A17" s="271" t="str">
        <f>kredit_ariza!A21:D21</f>
        <v>Mikrokredit ta’minoti::</v>
      </c>
      <c r="B17" s="271"/>
      <c r="C17" s="271"/>
      <c r="D17" s="271"/>
      <c r="E17" s="271"/>
    </row>
    <row r="18" spans="1:5" ht="67.5" customHeight="1" x14ac:dyDescent="0.25">
      <c r="A18" s="271" t="str">
        <f>kredit_ariza!A22:D22</f>
        <v xml:space="preserve">1.  Egalik huquqi NORINBAYEVA SAPURA MAMADALIYEVNAga tegishli bo'lgan umumiy yer maydoni - 700,qurilish osti maydoni-340.11, umumiy foydali maydoni-114.59,  yashash maydoni - 163.19 Yakka tartibdagi uy-joy, TOSHKENT VILOYATI CHINOZ TUMANI ALISHER NAVOIY MFY SOBIR RAHIMOV KO'CHASI 36 UY </v>
      </c>
      <c r="B18" s="271"/>
      <c r="C18" s="271"/>
      <c r="D18" s="271"/>
      <c r="E18" s="271"/>
    </row>
    <row r="19" spans="1:5" x14ac:dyDescent="0.25">
      <c r="A19" s="312" t="s">
        <v>196</v>
      </c>
      <c r="B19" s="312"/>
      <c r="C19" s="312"/>
      <c r="D19" s="312"/>
      <c r="E19" s="312"/>
    </row>
    <row r="20" spans="1:5" ht="21" customHeight="1" x14ac:dyDescent="0.25">
      <c r="A20" s="271" t="str">
        <f>"Anketaga muvofiq "&amp;umumiy_malumot!B9&amp;"ning o‘rtacha oylik daromadi  "&amp;FIXED(mijoz_anketasi!B27)&amp;" so‘mni tashkil etdi."</f>
        <v>Anketaga muvofiq NORINBOYEVA S.I.ning o‘rtacha oylik daromadi  30 000 000,00 so‘mni tashkil etdi.</v>
      </c>
      <c r="B20" s="271"/>
      <c r="C20" s="271"/>
      <c r="D20" s="271"/>
      <c r="E20" s="271"/>
    </row>
    <row r="21" spans="1:5" ht="21" customHeight="1" x14ac:dyDescent="0.25">
      <c r="A21" s="271" t="str">
        <f>"Mijozning o'rtacha oylik xarajatlari "&amp;FIXED(mijoz_anketasi!F27)&amp;" so'mni tashkil etdi"</f>
        <v>Mijozning o'rtacha oylik xarajatlari 1 800 000,00 so'mni tashkil etdi</v>
      </c>
      <c r="B21" s="271"/>
      <c r="C21" s="271"/>
      <c r="D21" s="271"/>
      <c r="E21" s="271"/>
    </row>
    <row r="22" spans="1:5" ht="18" hidden="1" customHeight="1" x14ac:dyDescent="0.25">
      <c r="A22" s="271" t="str">
        <f>IF(umumiy_malumot!B78=umumiy_malumot!C78,xulosa!A23:E23,xulosa!A24:E24)</f>
        <v>Mikrokredit shartnomasi bo'yicha birinchi oy uchun to'lov 12 808 694,88 so'mni tashkil etadi.</v>
      </c>
      <c r="B22" s="271"/>
      <c r="C22" s="271"/>
      <c r="D22" s="271"/>
      <c r="E22" s="271"/>
    </row>
    <row r="23" spans="1:5" ht="21" hidden="1" customHeight="1" x14ac:dyDescent="0.25">
      <c r="A23" s="271" t="str">
        <f>""&amp;umumiy_malumot!C64&amp;" shartnomasi bo'yicha birinchi oy uchun to'lov "&amp;FIXED(umumiy_malumot!B91)&amp;" so'mni tashkil etadi."</f>
        <v>Mikrokredit shartnomasi bo'yicha birinchi oy uchun to'lov 12 808 694,88 so'mni tashkil etadi.</v>
      </c>
      <c r="B23" s="271"/>
      <c r="C23" s="271"/>
      <c r="D23" s="271"/>
      <c r="E23" s="271"/>
    </row>
    <row r="24" spans="1:5" x14ac:dyDescent="0.25">
      <c r="A24" s="271" t="str">
        <f>""&amp;umumiy_malumot!C64&amp;" bo‘yicha oylik "&amp;umumiy_malumot!B78&amp;" to‘lovi miqdori "&amp;FIXED(umumiy_malumot!B91)&amp;" so‘mni tashkil etadi."</f>
        <v>Mikrokredit bo‘yicha oylik differensial to‘lovi miqdori 12 808 694,88 so‘mni tashkil etadi.</v>
      </c>
      <c r="B24" s="271"/>
      <c r="C24" s="271"/>
      <c r="D24" s="271"/>
      <c r="E24" s="271"/>
    </row>
    <row r="25" spans="1:5" ht="53.25" hidden="1" customHeight="1" x14ac:dyDescent="0.25">
      <c r="A25" s="269" t="s">
        <v>449</v>
      </c>
      <c r="B25" s="269"/>
      <c r="C25" s="269"/>
      <c r="D25" s="269"/>
      <c r="E25" s="269"/>
    </row>
    <row r="26" spans="1:5" x14ac:dyDescent="0.25">
      <c r="A26" s="312" t="str">
        <f>""&amp;umumiy_malumot!C64&amp;" bo’yicha ta’minot:"</f>
        <v>Mikrokredit bo’yicha ta’minot:</v>
      </c>
      <c r="B26" s="312"/>
      <c r="C26" s="312"/>
      <c r="D26" s="312"/>
      <c r="E26" s="312"/>
    </row>
    <row r="27" spans="1:5" ht="31.5" hidden="1" customHeight="1" x14ac:dyDescent="0.25">
      <c r="A27" s="271" t="str">
        <f>" - "&amp;umumiy_malumot!B124&amp;" ga mulk huquqi asosida tegishli avtotransport vositasi "&amp;umumiy_malumot!B132&amp;" , quyidagi tafsilotlarga muvofiq:"</f>
        <v xml:space="preserve"> - NORINBAYEVA SAPURA MAMADALIYEVNA ga mulk huquqi asosida tegishli avtotransport vositasi CHEVROLET COBALT , quyidagi tafsilotlarga muvofiq:</v>
      </c>
      <c r="B27" s="271"/>
      <c r="C27" s="271"/>
      <c r="D27" s="271"/>
      <c r="E27" s="271"/>
    </row>
    <row r="28" spans="1:5" ht="67.5" hidden="1" customHeight="1" x14ac:dyDescent="0.25">
      <c r="A28" s="271" t="str">
        <f>" -   "&amp;umumiy_malumot!C124&amp;" ga mulk huquqi asosida tegishli ko'chmas mulk shaklida "&amp;umumiy_malumot!C133&amp;", manzili: "&amp;umumiy_malumot!C130&amp;", quyidagi tafsilotlarga muvofiq:"</f>
        <v xml:space="preserve"> -   NORINBAYEVA SAPURA MAMADALIYEVNA ga mulk huquqi asosida tegishli ko'chmas mulk shaklida Yakka tartibdagi uy-joy, manzili: TOSHKENT VILOYATI CHINOZ TUMANI ALISHER NAVOIY MFY SOBIR RAHIMOV KO'CHASI 36 UY, quyidagi tafsilotlarga muvofiq:</v>
      </c>
      <c r="B28" s="271"/>
      <c r="C28" s="271"/>
      <c r="D28" s="271"/>
      <c r="E28" s="271"/>
    </row>
    <row r="29" spans="1:5" ht="44.25" customHeight="1" x14ac:dyDescent="0.25">
      <c r="A29" s="271" t="str">
        <f>IF(umumiy_malumot!B110="Avtotransport",xulosa!A27:E27,xulosa!A28:E28)</f>
        <v xml:space="preserve"> -   NORINBAYEVA SAPURA MAMADALIYEVNA ga mulk huquqi asosida tegishli ko'chmas mulk shaklida Yakka tartibdagi uy-joy, manzili: TOSHKENT VILOYATI CHINOZ TUMANI ALISHER NAVOIY MFY SOBIR RAHIMOV KO'CHASI 36 UY, quyidagi tafsilotlarga muvofiq:</v>
      </c>
      <c r="B29" s="271"/>
      <c r="C29" s="271"/>
      <c r="D29" s="271"/>
      <c r="E29" s="271"/>
    </row>
    <row r="30" spans="1:5" s="14" customFormat="1" ht="47.25" customHeight="1" outlineLevel="1" x14ac:dyDescent="0.25">
      <c r="A30" s="36" t="str">
        <f>dalolatnoma!A29</f>
        <v>Nomi</v>
      </c>
      <c r="B30" s="36" t="str">
        <f>dalolatnoma!C29</f>
        <v>Qurilish osti maydoni, (m2)</v>
      </c>
      <c r="C30" s="36" t="str">
        <f>dalolatnoma!D29</f>
        <v>Umumiy foydali maydoni, (m2)</v>
      </c>
      <c r="D30" s="36" t="str">
        <f>dalolatnoma!E29</f>
        <v>Yashash maydoni, (m2)</v>
      </c>
      <c r="E30" s="36" t="str">
        <f>dalolatnoma!F29</f>
        <v>Kelishilgan garov qiymati, so'm</v>
      </c>
    </row>
    <row r="31" spans="1:5" s="18" customFormat="1" ht="102.75" customHeight="1" outlineLevel="1" x14ac:dyDescent="0.25">
      <c r="A31" s="15" t="str">
        <f>dalolatnoma!A30</f>
        <v>Yakka tartibdagi uy-joy</v>
      </c>
      <c r="B31" s="15" t="str">
        <f>dalolatnoma!C30</f>
        <v>340.11</v>
      </c>
      <c r="C31" s="15" t="str">
        <f>dalolatnoma!D30</f>
        <v>163.19</v>
      </c>
      <c r="D31" s="15" t="str">
        <f>dalolatnoma!E30</f>
        <v>114.59</v>
      </c>
      <c r="E31" s="15" t="str">
        <f>dalolatnoma!F30</f>
        <v>210 000 000,00 
(ikki yuz o'n million so'm)</v>
      </c>
    </row>
    <row r="32" spans="1:5" ht="15.75" customHeight="1" outlineLevel="1" x14ac:dyDescent="0.25">
      <c r="A32" s="271" t="str">
        <f>dalolatnoma!A22</f>
        <v>-* ko'chmas mulk egasi: NORINBAYEVA SAPURA MAMADALIYEVNA</v>
      </c>
      <c r="B32" s="271"/>
      <c r="C32" s="271"/>
      <c r="D32" s="271"/>
      <c r="E32" s="271"/>
    </row>
    <row r="33" spans="1:5" ht="15" customHeight="1" outlineLevel="1" x14ac:dyDescent="0.25">
      <c r="A33" s="271" t="str">
        <f>dalolatnoma!A23</f>
        <v>-* reest raqami: №1727256/Y-25006342</v>
      </c>
      <c r="B33" s="271"/>
      <c r="C33" s="271"/>
      <c r="D33" s="271"/>
      <c r="E33" s="271"/>
    </row>
    <row r="34" spans="1:5" ht="33" customHeight="1" outlineLevel="1" x14ac:dyDescent="0.25">
      <c r="A34" s="271" t="str">
        <f>dalolatnoma!A24</f>
        <v>-*  kadastr raqami: 13.08.2025 y. №11:13:42:02:01:1840</v>
      </c>
      <c r="B34" s="271"/>
      <c r="C34" s="271"/>
      <c r="D34" s="271"/>
      <c r="E34" s="271"/>
    </row>
    <row r="35" spans="1:5" ht="44.25" customHeight="1" outlineLevel="1" x14ac:dyDescent="0.25">
      <c r="A35" s="271" t="str">
        <f>dalolatnoma!A25</f>
        <v>-* manzili: TOSHKENT VILOYATI CHINOZ TUMANI ALISHER NAVOIY MFY SOBIR RAHIMOV KO'CHASI 36 UY</v>
      </c>
      <c r="B35" s="271"/>
      <c r="C35" s="271"/>
      <c r="D35" s="271"/>
      <c r="E35" s="271"/>
    </row>
    <row r="36" spans="1:5" ht="39" customHeight="1" x14ac:dyDescent="0.25">
      <c r="A36" s="312" t="str">
        <f>""&amp;umumiy_malumot!B158&amp;"
mikromoliya tashkilotining Xulosasi"</f>
        <v>«PULLOL BUSINESS MIKROMOLIYA TASHKILOTI»  MChJ
mikromoliya tashkilotining Xulosasi</v>
      </c>
      <c r="B36" s="312"/>
      <c r="C36" s="312"/>
      <c r="D36" s="312"/>
      <c r="E36" s="312"/>
    </row>
    <row r="37" spans="1:5" ht="33.75" customHeight="1" x14ac:dyDescent="0.25">
      <c r="A37" s="271" t="str">
        <f>""&amp;umumiy_malumot!B158&amp;" kredit qo‘mitasining xulosasiga quyidagi shartlarda "&amp;umumiy_malumot!B10&amp;"ga "&amp;umumiy_malumot!B65&amp;" berish masalasi kiritiladi:"</f>
        <v>«PULLOL BUSINESS MIKROMOLIYA TASHKILOTI»  MChJ kredit qo‘mitasining xulosasiga quyidagi shartlarda NORINBOYEVA SOXIBA IZZATILLAYEVNAga mikrokredit berish masalasi kiritiladi:</v>
      </c>
      <c r="B37" s="271"/>
      <c r="C37" s="271"/>
      <c r="D37" s="271"/>
      <c r="E37" s="271"/>
    </row>
    <row r="38" spans="1:5" x14ac:dyDescent="0.25">
      <c r="A38" s="271" t="str">
        <f>A11</f>
        <v>Mikrokredit summasi: 175 000 000,00 (yuz yetmish besh million so'm) so'm.</v>
      </c>
      <c r="B38" s="271"/>
      <c r="C38" s="271"/>
      <c r="D38" s="271"/>
      <c r="E38" s="271"/>
    </row>
    <row r="39" spans="1:5" x14ac:dyDescent="0.25">
      <c r="A39" s="271" t="str">
        <f t="shared" ref="A39:A44" si="0">A12</f>
        <v>Mikrokredit muddati: 36 (O'ttiz olti  ) oy.</v>
      </c>
      <c r="B39" s="271"/>
      <c r="C39" s="271"/>
      <c r="D39" s="271"/>
      <c r="E39" s="271"/>
    </row>
    <row r="40" spans="1:5" x14ac:dyDescent="0.25">
      <c r="A40" s="271" t="str">
        <f t="shared" si="0"/>
        <v>Mikrokreditdan foydalanganlik uchun foiz stavkasi: yillik  55% (Ellik besh  ) foiz</v>
      </c>
      <c r="B40" s="271"/>
      <c r="C40" s="271"/>
      <c r="D40" s="271"/>
      <c r="E40" s="271"/>
    </row>
    <row r="41" spans="1:5" x14ac:dyDescent="0.25">
      <c r="A41" s="271" t="str">
        <f t="shared" si="0"/>
        <v>Mikrokredit bo'yicha asosiy qarz va foizlarni to'lash:</v>
      </c>
      <c r="B41" s="271"/>
      <c r="C41" s="271"/>
      <c r="D41" s="271"/>
      <c r="E41" s="271"/>
    </row>
    <row r="42" spans="1:5" ht="20.25" customHeight="1" x14ac:dyDescent="0.25">
      <c r="A42" s="271" t="str">
        <f t="shared" si="0"/>
        <v xml:space="preserve"> - mikrokredit shartnomasi bo'yicha har oy differensial to'lovlari amalga oshiriladi</v>
      </c>
      <c r="B42" s="271"/>
      <c r="C42" s="271"/>
      <c r="D42" s="271"/>
      <c r="E42" s="271"/>
    </row>
    <row r="43" spans="1:5" ht="35.25" customHeight="1" x14ac:dyDescent="0.25">
      <c r="A43" s="271" t="str">
        <f t="shared" si="0"/>
        <v xml:space="preserve">  Oxirgi yakuniy to'lov mikrokredit shartnomasi tuzilgan kundan boshlab oxirgi oyning oxirgi kunida amalga oshiriladi</v>
      </c>
      <c r="B43" s="271"/>
      <c r="C43" s="271"/>
      <c r="D43" s="271"/>
      <c r="E43" s="271"/>
    </row>
    <row r="44" spans="1:5" ht="22.5" customHeight="1" x14ac:dyDescent="0.25">
      <c r="A44" s="271" t="str">
        <f t="shared" si="0"/>
        <v>Mikrokredit ta’minoti::</v>
      </c>
      <c r="B44" s="271"/>
      <c r="C44" s="271"/>
      <c r="D44" s="271"/>
      <c r="E44" s="271"/>
    </row>
    <row r="45" spans="1:5" ht="69" customHeight="1" x14ac:dyDescent="0.25">
      <c r="A45" s="271" t="str">
        <f>A18</f>
        <v xml:space="preserve">1.  Egalik huquqi NORINBAYEVA SAPURA MAMADALIYEVNAga tegishli bo'lgan umumiy yer maydoni - 700,qurilish osti maydoni-340.11, umumiy foydali maydoni-114.59,  yashash maydoni - 163.19 Yakka tartibdagi uy-joy, TOSHKENT VILOYATI CHINOZ TUMANI ALISHER NAVOIY MFY SOBIR RAHIMOV KO'CHASI 36 UY </v>
      </c>
      <c r="B45" s="271"/>
      <c r="C45" s="271"/>
      <c r="D45" s="271"/>
      <c r="E45" s="271"/>
    </row>
    <row r="46" spans="1:5" x14ac:dyDescent="0.25">
      <c r="A46" s="271"/>
      <c r="B46" s="271"/>
      <c r="C46" s="271"/>
      <c r="D46" s="271"/>
      <c r="E46" s="271"/>
    </row>
    <row r="47" spans="1:5" ht="32.25" customHeight="1" x14ac:dyDescent="0.25">
      <c r="A47" s="271" t="str">
        <f>""&amp;umumiy_malumot!B158&amp;" mikromoliya tashkilotining xulosasi  "&amp;TEXT(umumiy_malumot!B2,"ДД.ММ.ГГГГ")&amp;" y. tayyorlangan"</f>
        <v>«PULLOL BUSINESS MIKROMOLIYA TASHKILOTI»  MChJ mikromoliya tashkilotining xulosasi  16.02.2026 y. tayyorlangan</v>
      </c>
      <c r="B47" s="271"/>
      <c r="C47" s="271"/>
      <c r="D47" s="271"/>
      <c r="E47" s="271"/>
    </row>
    <row r="48" spans="1:5" hidden="1" x14ac:dyDescent="0.25">
      <c r="A48" s="271"/>
      <c r="B48" s="271"/>
      <c r="C48" s="271"/>
      <c r="D48" s="271"/>
      <c r="E48" s="271"/>
    </row>
    <row r="49" spans="1:5" ht="15.75" hidden="1" customHeight="1" x14ac:dyDescent="0.25">
      <c r="A49" s="269"/>
      <c r="B49" s="269"/>
      <c r="C49" s="269"/>
      <c r="D49" s="19"/>
      <c r="E49" s="20"/>
    </row>
    <row r="50" spans="1:5" ht="35.25" hidden="1" customHeight="1" x14ac:dyDescent="0.25">
      <c r="A50" s="269"/>
      <c r="B50" s="269"/>
      <c r="C50" s="269"/>
      <c r="D50" s="20"/>
      <c r="E50" s="20"/>
    </row>
    <row r="51" spans="1:5" hidden="1" x14ac:dyDescent="0.25">
      <c r="A51" s="271"/>
      <c r="B51" s="271"/>
      <c r="C51" s="271"/>
      <c r="D51" s="271"/>
      <c r="E51" s="271"/>
    </row>
    <row r="52" spans="1:5" ht="59.25" customHeight="1" x14ac:dyDescent="0.25">
      <c r="A52" s="271" t="str">
        <f>""&amp;umumiy_malumot!B158&amp;" mikromoliya tashkilotining Kredit qo‘mitasi a’zolari "&amp;umumiy_malumot!B158&amp;" mikromoliya tashkilotining xulosasi va Mijoz tomonidan taqdim etilgan ma’lumotlar bilan tanishdilar:"</f>
        <v>«PULLOL BUSINESS MIKROMOLIYA TASHKILOTI»  MChJ mikromoliya tashkilotining Kredit qo‘mitasi a’zolari «PULLOL BUSINESS MIKROMOLIYA TASHKILOTI»  MChJ mikromoliya tashkilotining xulosasi va Mijoz tomonidan taqdim etilgan ma’lumotlar bilan tanishdilar:</v>
      </c>
      <c r="B52" s="271"/>
      <c r="C52" s="271"/>
      <c r="D52" s="271"/>
      <c r="E52" s="271"/>
    </row>
    <row r="53" spans="1:5" x14ac:dyDescent="0.25">
      <c r="A53" s="17" t="s">
        <v>382</v>
      </c>
      <c r="B53" s="313"/>
      <c r="C53" s="313"/>
      <c r="D53" s="17"/>
      <c r="E53" s="17"/>
    </row>
    <row r="54" spans="1:5" x14ac:dyDescent="0.25">
      <c r="C54" s="34"/>
    </row>
    <row r="55" spans="1:5" ht="33" customHeight="1" x14ac:dyDescent="0.25">
      <c r="A55" s="190" t="str">
        <f>umumiy_malumot!A172</f>
        <v>Kredit bo'limi menejeri</v>
      </c>
      <c r="B55" s="34"/>
      <c r="C55" s="34"/>
      <c r="D55" s="34" t="str">
        <f>umumiy_malumot!B172</f>
        <v>Eshbekov S. O.</v>
      </c>
    </row>
    <row r="56" spans="1:5" x14ac:dyDescent="0.25">
      <c r="A56" s="190"/>
      <c r="B56" s="34"/>
      <c r="C56" s="34"/>
      <c r="D56" s="34"/>
    </row>
    <row r="57" spans="1:5" x14ac:dyDescent="0.25">
      <c r="A57" s="190"/>
      <c r="B57" s="121"/>
      <c r="C57" s="34"/>
      <c r="D57" s="34"/>
    </row>
    <row r="58" spans="1:5" x14ac:dyDescent="0.25">
      <c r="A58" s="190"/>
      <c r="B58" s="34"/>
      <c r="C58" s="34"/>
      <c r="D58" s="34"/>
    </row>
    <row r="59" spans="1:5" ht="29.25" x14ac:dyDescent="0.25">
      <c r="A59" s="190" t="str">
        <f>umumiy_malumot!A170</f>
        <v xml:space="preserve">Kreditlash bo’limi boshlig’i </v>
      </c>
      <c r="B59" s="34"/>
      <c r="C59" s="34"/>
      <c r="D59" s="34" t="str">
        <f>umumiy_malumot!B170</f>
        <v>Akramov R.N.</v>
      </c>
    </row>
    <row r="60" spans="1:5" x14ac:dyDescent="0.25">
      <c r="A60" s="190"/>
      <c r="B60" s="34"/>
      <c r="C60" s="34"/>
      <c r="D60" s="34"/>
    </row>
    <row r="61" spans="1:5" x14ac:dyDescent="0.25">
      <c r="A61" s="190"/>
      <c r="B61" s="34"/>
      <c r="C61" s="34"/>
      <c r="D61" s="34"/>
    </row>
    <row r="62" spans="1:5" hidden="1" x14ac:dyDescent="0.25">
      <c r="A62" s="190"/>
      <c r="B62" s="34"/>
      <c r="C62" s="34"/>
      <c r="D62" s="34"/>
    </row>
    <row r="63" spans="1:5" ht="29.25" hidden="1" x14ac:dyDescent="0.25">
      <c r="A63" s="190" t="str">
        <f>umumiy_malumot!A171</f>
        <v>Monitoring bo’limi boshlig’i</v>
      </c>
      <c r="B63" s="34"/>
      <c r="C63" s="34"/>
      <c r="D63" s="34" t="str">
        <f>umumiy_malumot!B171</f>
        <v>Omanlikov  O.O.</v>
      </c>
    </row>
    <row r="64" spans="1:5" hidden="1" x14ac:dyDescent="0.25">
      <c r="A64" s="190"/>
      <c r="B64" s="34"/>
      <c r="C64" s="34"/>
      <c r="D64" s="34"/>
    </row>
    <row r="65" spans="1:4" x14ac:dyDescent="0.25">
      <c r="A65" s="190"/>
      <c r="B65" s="34"/>
      <c r="C65" s="34"/>
      <c r="D65" s="34"/>
    </row>
    <row r="66" spans="1:4" x14ac:dyDescent="0.25">
      <c r="A66" s="190"/>
      <c r="B66" s="34"/>
      <c r="C66" s="34"/>
      <c r="D66" s="34"/>
    </row>
    <row r="67" spans="1:4" x14ac:dyDescent="0.25">
      <c r="A67" s="121" t="s">
        <v>409</v>
      </c>
      <c r="B67" s="34"/>
      <c r="C67" s="34"/>
      <c r="D67" s="34" t="s">
        <v>408</v>
      </c>
    </row>
  </sheetData>
  <mergeCells count="51">
    <mergeCell ref="B53:C53"/>
    <mergeCell ref="A52:E52"/>
    <mergeCell ref="A37:E37"/>
    <mergeCell ref="A38:E38"/>
    <mergeCell ref="A39:E39"/>
    <mergeCell ref="A40:E40"/>
    <mergeCell ref="A41:E41"/>
    <mergeCell ref="A42:E42"/>
    <mergeCell ref="A43:E43"/>
    <mergeCell ref="A44:E44"/>
    <mergeCell ref="A45:E45"/>
    <mergeCell ref="A46:E46"/>
    <mergeCell ref="A47:E47"/>
    <mergeCell ref="A48:E48"/>
    <mergeCell ref="A51:E51"/>
    <mergeCell ref="A50:C50"/>
    <mergeCell ref="A33:E33"/>
    <mergeCell ref="A34:E34"/>
    <mergeCell ref="A35:E35"/>
    <mergeCell ref="A36:E36"/>
    <mergeCell ref="A49:C49"/>
    <mergeCell ref="A32:E32"/>
    <mergeCell ref="A14:E14"/>
    <mergeCell ref="A15:E15"/>
    <mergeCell ref="A16:E16"/>
    <mergeCell ref="A17:E17"/>
    <mergeCell ref="A18:E18"/>
    <mergeCell ref="A27:E27"/>
    <mergeCell ref="A19:E19"/>
    <mergeCell ref="A20:E20"/>
    <mergeCell ref="A24:E24"/>
    <mergeCell ref="A25:E25"/>
    <mergeCell ref="A28:E28"/>
    <mergeCell ref="A29:E29"/>
    <mergeCell ref="A7:E7"/>
    <mergeCell ref="A8:E8"/>
    <mergeCell ref="A9:E9"/>
    <mergeCell ref="A26:E26"/>
    <mergeCell ref="A10:E10"/>
    <mergeCell ref="A11:E11"/>
    <mergeCell ref="A12:E12"/>
    <mergeCell ref="A13:E13"/>
    <mergeCell ref="A23:E23"/>
    <mergeCell ref="A22:E22"/>
    <mergeCell ref="A21:E21"/>
    <mergeCell ref="A6:E6"/>
    <mergeCell ref="A1:E1"/>
    <mergeCell ref="A2:E2"/>
    <mergeCell ref="A3:E3"/>
    <mergeCell ref="A4:E4"/>
    <mergeCell ref="A5:E5"/>
  </mergeCells>
  <pageMargins left="0.7" right="0.7" top="0.75" bottom="0.75" header="0.3" footer="0.3"/>
  <pageSetup paperSize="9" scale="84" orientation="portrait" r:id="rId1"/>
  <rowBreaks count="1" manualBreakCount="1">
    <brk id="35"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3">
    <tabColor rgb="FF00B050"/>
  </sheetPr>
  <dimension ref="A1:K132"/>
  <sheetViews>
    <sheetView view="pageBreakPreview" zoomScaleNormal="55" zoomScaleSheetLayoutView="100" workbookViewId="0">
      <selection activeCell="A15" sqref="A15:B15"/>
    </sheetView>
  </sheetViews>
  <sheetFormatPr defaultColWidth="9.140625" defaultRowHeight="15.75" x14ac:dyDescent="0.25"/>
  <cols>
    <col min="1" max="1" width="50.42578125" style="6" customWidth="1"/>
    <col min="2" max="2" width="57.4257812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x14ac:dyDescent="0.25">
      <c r="A1" s="314" t="str">
        <f>""&amp;umumiy_malumot!C64&amp;" shartnoma "&amp;umumiy_malumot!B66&amp;""</f>
        <v>Mikrokredit shartnoma № 110</v>
      </c>
      <c r="B1" s="314"/>
    </row>
    <row r="3" spans="1:3" x14ac:dyDescent="0.25">
      <c r="A3" s="314" t="str">
        <f>"Toshkent shahri                                                                               "&amp;umumiy_malumot!B70&amp;""</f>
        <v>Toshkent shahri                                                                               16 fevral 2026 y.</v>
      </c>
      <c r="B3" s="314"/>
    </row>
    <row r="4" spans="1:3" x14ac:dyDescent="0.25">
      <c r="A4" s="61"/>
    </row>
    <row r="5" spans="1:3" ht="118.5" customHeight="1" x14ac:dyDescent="0.25">
      <c r="A5" s="308" t="str">
        <f>""&amp;umumiy_malumot!B158&amp;", bundan buyon «Mikromoliya tashkiloti» deb nomlanuvchi, Ustav va 14.08.2023 yildagi 27-13/968-sonli Litsenziya asosida faoliyat yurituvchi "&amp;umumiy_malumot!A161&amp;" "&amp;umumiy_malumot!B161&amp;"  bir tomondan va o‘z manfaati yo‘lida hamda o‘z nomidan harakat qiluvchi O‘zbekiston Respublikasi fuqarosi "&amp;umumiy_malumot!B5&amp;"  (pasport raqami "&amp;umumiy_malumot!B16&amp;", "&amp;umumiy_malumot!C20&amp;" ), bundan buyon «Qarz oluvchi» deb nomlanuvchi, boshqa tomondan, birgalikda “Tomonlar” yoki alohida “Tomon” deb nomlanuvchilar, Qarz oluvchi tomonidan "&amp;TEXT(umumiy_malumot!B2,"ДД.ММ.ГГГГ")&amp;" yil,"&amp;umumiy_malumot!B65&amp;" olish uchun ariza berilganligini hisobga olib, ushbu "&amp;umumiy_malumot!C64&amp;" shartnomasini (bundan keyin – «Shartnoma») quyidagilar haqida tuzdilar:"</f>
        <v>«PULLOL BUSINESS MIKROMOLIYA TASHKILOTI»  MChJ, bundan buyon «Mikromoliya tashkiloti» deb nomlanuvchi, Ustav va 14.08.2023 yildagi 27-13/968-sonli Litsenziya asosida faoliyat yurituvchi Direktor Obidov A.Sh.  bir tomondan va o‘z manfaati yo‘lida hamda o‘z nomidan harakat qiluvchi O‘zbekiston Respublikasi fuqarosi NORINBOYEVA SOXIBA IZZATILLAYEVNA  (pasport raqami AE 5547691, IIV 27256 tomonidan 22.12.2025 yilda berilgan ), bundan buyon «Qarz oluvchi» deb nomlanuvchi, boshqa tomondan, birgalikda “Tomonlar” yoki alohida “Tomon” deb nomlanuvchilar, Qarz oluvchi tomonidan 16.02.2026 yil,mikrokredit olish uchun ariza berilganligini hisobga olib, ushbu Mikrokredit shartnomasini (bundan keyin – «Shartnoma») quyidagilar haqida tuzdilar:</v>
      </c>
      <c r="B5" s="308"/>
    </row>
    <row r="6" spans="1:3" hidden="1" x14ac:dyDescent="0.25"/>
    <row r="7" spans="1:3" x14ac:dyDescent="0.25">
      <c r="A7" s="314" t="s">
        <v>253</v>
      </c>
      <c r="B7" s="314"/>
    </row>
    <row r="8" spans="1:3" ht="36" customHeight="1" x14ac:dyDescent="0.25">
      <c r="A8" s="308" t="str">
        <f>"1.1. Mikromoliya tashkiloti Qarz oluvchiga umumiy miqdori "&amp;FIXED(umumiy_malumot!B76,2)&amp;" ("&amp;umumiy_malumot!C77&amp;") bo‘lgan "&amp;umumiy_malumot!B65&amp;"ni "&amp;umumiy_malumot!B71&amp;" dan "&amp;umumiy_malumot!B73&amp;" gacha bo'lgan muddatga naqd pul va/yoki o'tkazmasi shaklida ajratadi."</f>
        <v>1.1. Mikromoliya tashkiloti Qarz oluvchiga umumiy miqdori 175 000 000,00 (Yuz yetmish besh million so'm) bo‘lgan mikrokreditni 16 fevral 2026 y. dan 16 fevral 2029 y. gacha bo'lgan muddatga naqd pul va/yoki o'tkazmasi shaklida ajratadi.</v>
      </c>
      <c r="B8" s="308"/>
    </row>
    <row r="9" spans="1:3" ht="36" customHeight="1" x14ac:dyDescent="0.25">
      <c r="A9" s="308" t="str">
        <f>"1.2. Qarz oluvchi to‘lovlilik, muddatlilik va ta’minlanganlik tamoyillariga amal qilgan holda "&amp;umumiy_malumot!B65&amp;"dan foydalanish majburiyatini o‘z zimmasiga oladi."</f>
        <v>1.2. Qarz oluvchi to‘lovlilik, muddatlilik va ta’minlanganlik tamoyillariga amal qilgan holda mikrokreditdan foydalanish majburiyatini o‘z zimmasiga oladi.</v>
      </c>
      <c r="B9" s="308"/>
    </row>
    <row r="10" spans="1:3" hidden="1" x14ac:dyDescent="0.25">
      <c r="A10" s="29"/>
    </row>
    <row r="11" spans="1:3" x14ac:dyDescent="0.25">
      <c r="A11" s="318" t="str">
        <f>"2. "&amp;umumiy_malumot!D64&amp;" BERISH VA QAYTARISH TARTIBI"</f>
        <v>2. MIKROKREDIT BERISH VA QAYTARISH TARTIBI</v>
      </c>
      <c r="B11" s="318"/>
      <c r="C11" s="59"/>
    </row>
    <row r="12" spans="1:3" ht="36" customHeight="1" x14ac:dyDescent="0.25">
      <c r="A12" s="308" t="str">
        <f>"2.1. Ushbu Shartnomaning 1.1.-bandida ko‘rsatilgan summa miqdoridagi "&amp;umumiy_malumot!B65&amp;" Mikromoliya tashkiloti kassasidan naqd pul shaklida va/yoki plastik kartaga o‘tkazish yuli bilan beriladi."</f>
        <v>2.1. Ushbu Shartnomaning 1.1.-bandida ko‘rsatilgan summa miqdoridagi mikrokredit Mikromoliya tashkiloti kassasidan naqd pul shaklida va/yoki plastik kartaga o‘tkazish yuli bilan beriladi.</v>
      </c>
      <c r="B12" s="308"/>
    </row>
    <row r="13" spans="1:3" ht="35.25" customHeight="1" x14ac:dyDescent="0.25">
      <c r="A13" s="308" t="str">
        <f>"2.2. "&amp;umumiy_malumot!C64&amp;" berish ushbu Shartnoma tuzilgan va Qarz oluvchi tomonidan ushbu shartnomaning 3-bo‘limiga muvofiq garov ta'minoti ta'minlangandan so‘ng 10 kalendar kundan kechiktirmay amalga oshiriladi."</f>
        <v>2.2. Mikrokredit berish ushbu Shartnoma tuzilgan va Qarz oluvchi tomonidan ushbu shartnomaning 3-bo‘limiga muvofiq garov ta'minoti ta'minlangandan so‘ng 10 kalendar kundan kechiktirmay amalga oshiriladi.</v>
      </c>
      <c r="B13" s="308"/>
    </row>
    <row r="14" spans="1:3" ht="35.25" customHeight="1" x14ac:dyDescent="0.25">
      <c r="A14" s="308" t="str">
        <f>"2.3. "&amp;umumiy_malumot!C64&amp;" Qarz oluvchi tomonidan ushbu Shartnomaning ajralmas qismi hisoblanadigan 1-ilovasida ko‘rsatilgan to‘lov jadvalida (bundan keyin - To‘lov jadvali) belgilangan miqdor, tartib va muddatlarda qaytariladi."</f>
        <v>2.3. Mikrokredit Qarz oluvchi tomonidan ushbu Shartnomaning ajralmas qismi hisoblanadigan 1-ilovasida ko‘rsatilgan to‘lov jadvalida (bundan keyin - To‘lov jadvali) belgilangan miqdor, tartib va muddatlarda qaytariladi.</v>
      </c>
      <c r="B14" s="308"/>
    </row>
    <row r="15" spans="1:3" ht="66" customHeight="1" x14ac:dyDescent="0.25">
      <c r="A15" s="308" t="str">
        <f>"2.4. Mikromoliya tashkiloti, "&amp;umumiy_malumot!B65&amp;" berilgan vaqtdan boshlab, "&amp;umumiy_malumot!B65&amp;" miqdorining qoldiq summasiga "&amp;umumiy_malumot!B86&amp;"% ("&amp;umumiy_malumot!C87&amp;") foiz yillik va yiliga 365/366 kunlik hisobidan foizlar hisoblaydi. To'lov jadvaliga muvofiq asosiy qarz bo'yicha navbatdagi to'lov buzilgan hollarda, "&amp;"foiz stavkasi oshiriladi va  Mikromoliya tashkiloti "&amp;umumiy_malumot!B65&amp;"ning muddati o'tgan asosiy qarz summasiga yillik "&amp;umumiy_malumot!B89&amp;"% ("&amp;umumiy_malumot!B90&amp;") foiz miqdorida foizlar hisoblaydi."</f>
        <v>2.4. Mikromoliya tashkiloti, mikrokredit berilgan vaqtdan boshlab, mikrokredit miqdorining qoldiq summasiga 55% (Ellik besh  ) foiz yillik va yiliga 365/366 kunlik hisobidan foizlar hisoblaydi. To'lov jadvaliga muvofiq asosiy qarz bo'yicha navbatdagi to'lov buzilgan hollarda, foiz stavkasi oshiriladi va  Mikromoliya tashkiloti mikrokreditning muddati o'tgan asosiy qarz summasiga yillik 155% (bir yuz ellik besh) foiz miqdorida foizlar hisoblaydi.</v>
      </c>
      <c r="B15" s="308"/>
    </row>
    <row r="16" spans="1:3" ht="161.25" customHeight="1" x14ac:dyDescent="0.25">
      <c r="A16" s="308" t="s">
        <v>318</v>
      </c>
      <c r="B16" s="308"/>
    </row>
    <row r="17" spans="1:11" ht="148.5" customHeight="1" x14ac:dyDescent="0.25">
      <c r="A17" s="308"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mikrokreditni va undan foydalanganlik uchun foizlarni qaytarish bo‘yicha muddati o‘tgan qarzdorlik hosil bo‘lganda Qarz oluvchi tomonidan ko‘rsatilgan qarzdorlikni to‘lash hisobiga to‘lanadigan summalar quyidagi tartibda hisobga olinadi:</v>
      </c>
      <c r="B17" s="308"/>
      <c r="C17" s="143" t="s">
        <v>321</v>
      </c>
      <c r="H17" s="6" t="str">
        <f>umumiy_malumot!B65</f>
        <v>mikrokredit</v>
      </c>
      <c r="I17" s="6" t="s">
        <v>322</v>
      </c>
    </row>
    <row r="18" spans="1:11" ht="100.5" customHeight="1" x14ac:dyDescent="0.25">
      <c r="A18" s="317" t="s">
        <v>359</v>
      </c>
      <c r="B18" s="317"/>
    </row>
    <row r="19" spans="1:11" ht="36" customHeight="1" x14ac:dyDescent="0.25">
      <c r="A19" s="308" t="str">
        <f>"2.7. Qarz oluvchi Mikromoliya tashkilotining "&amp;umumiy_malumot!B65&amp;" bo‘yicha asosiy summasi, hisoblangan foizlarni, penya va boshqa moliyaviy talablarini ham naqd pul shaklida, ham naqdsiz shaklda qaytarib beradi."</f>
        <v>2.7. Qarz oluvchi Mikromoliya tashkilotining mikrokredit bo‘yicha asosiy summasi, hisoblangan foizlarni, penya va boshqa moliyaviy talablarini ham naqd pul shaklida, ham naqdsiz shaklda qaytarib beradi.</v>
      </c>
      <c r="B19" s="308"/>
    </row>
    <row r="20" spans="1:11" ht="39.75" customHeight="1" x14ac:dyDescent="0.25">
      <c r="A20" s="308" t="str">
        <f>"2.8. Qarz oluvchi "&amp;umumiy_malumot!B65&amp;" miqdorini muddatidan oldin qaytarish, shuningdek, bu haqida Mikromoliya tashkilotini albatta ogohlantirgan holda ulardan aniq foydalangan muddat uchun hisoblangan foizlarni to‘lash huquqiga ega."</f>
        <v>2.8. Qarz oluvchi mikrokredit miqdorini muddatidan oldin qaytarish, shuningdek, bu haqida Mikromoliya tashkilotini albatta ogohlantirgan holda ulardan aniq foydalangan muddat uchun hisoblangan foizlarni to‘lash huquqiga ega.</v>
      </c>
      <c r="B20" s="308"/>
    </row>
    <row r="21" spans="1:11" ht="102" customHeight="1" x14ac:dyDescent="0.25">
      <c r="A21" s="308" t="str">
        <f>CONCATENATE(C21,H21,I21)</f>
        <v>2.9. Qarz oluvchi jismoniy shaxslarning kreditlar (mikrokreditlar)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mikrokredit ajratishda uning summasi va qarz oluvchining amaldagi kredit (mikrokredit) shartnomalari bo‘yicha asosiy qarz qoldig‘i yig‘indisi bazaviy hisoblash miqdorining 50 baravaridan oshganda hisoblanadi.</v>
      </c>
      <c r="B21" s="308"/>
      <c r="C21" s="6" t="str">
        <f>"2.9. Qarz oluvchi jismoniy shaxslarning kreditlar ("&amp;umumiy_malumot!B65&amp;"lar)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(mikrokreditlar)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"&amp;umumiy_malumot!B65&amp;" ajratishda uning summasi va "</f>
        <v xml:space="preserve">olingan Markaziy bank Boshqaruvining 28.09.2019 y. 24/5-son qarori bilan tasdiqlangan), qarz yuki ko‘rsatkichi har bir qarz oluvchiga qarz beruvchi tomonidan mikrokredit ajratishda uning summasi va </v>
      </c>
      <c r="I21" s="6" t="str">
        <f>"qarz oluvchining amaldagi kredit ("&amp;umumiy_malumot!B65&amp;") shartnomalari bo‘yicha asosiy qarz qoldig‘i yig‘indisi bazaviy hisoblash miqdorining 50 baravaridan oshganda hisoblanadi."</f>
        <v>qarz oluvchining amaldagi kredit (mikrokredit) shartnomalari bo‘yicha asosiy qarz qoldig‘i yig‘indisi bazaviy hisoblash miqdorining 50 baravaridan oshganda hisoblanadi.</v>
      </c>
    </row>
    <row r="22" spans="1:11" x14ac:dyDescent="0.25">
      <c r="A22" s="318" t="str">
        <f>"3. "&amp;umumiy_malumot!D64&amp;" TA'MINOTI BO‘YICHA "</f>
        <v xml:space="preserve">3. MIKROKREDIT TA'MINOTI BO‘YICHA </v>
      </c>
      <c r="B22" s="318"/>
    </row>
    <row r="23" spans="1:11" ht="54" customHeight="1" x14ac:dyDescent="0.25">
      <c r="A23" s="308" t="str">
        <f>"3.1. Ushbu Shartnoma bo‘yicha taqdim etilgan "&amp;umumiy_malumot!C64&amp;" quyidagi "&amp;umumiy_malumot!C64&amp;"  summasiga nisbatan 140% dan kam bo'lmagan, yani birgalikdagi jami qiymati "&amp;FIXED(umumiy_malumot!C75,2)&amp;" ("&amp;umumiy_malumot!D75&amp;") so'm miqdorida bo'lgan garov va "&amp;umumiy_malumot!C64&amp;"  to'lamaslik xavfini sug'urta polisi  bilan ta'minlanadi:"</f>
        <v>3.1. Ushbu Shartnoma bo‘yicha taqdim etilgan Mikrokredit quyidagi Mikrokredit  summasiga nisbatan 140% dan kam bo'lmagan, yani birgalikdagi jami qiymati 245 000 000,00 (ikki yuz qirq besh million so'm) so'm miqdorida bo'lgan garov va Mikrokredit  to'lamaslik xavfini sug'urta polisi  bilan ta'minlanadi:</v>
      </c>
      <c r="B23" s="308"/>
    </row>
    <row r="24" spans="1:11" s="188" customFormat="1" ht="144.75" customHeight="1" x14ac:dyDescent="0.25">
      <c r="A24" s="316" t="str">
        <f>IF(umumiy_malumot!B110=umumiy_malumot!C110,shartnoma!A28,IF(umumiy_malumot!B110=umumiy_malumot!D110,shartnoma!A25,0))</f>
        <v>3.1.1. Mikromoliya tashkiloti, Qarz oluvchi va NORINBAYEVA SAPURA MAMADALIYEVNA tomonidan 2026 yil 16 fevralda imzolangan 1-sonli Garov predmeti qiymatini tasdiqlash dalolatnomasiga muvofiq TOSHKENT VILOYATI CHINOZ TUMANI ALISHER NAVOIY MFY SOBIR RAHIMOV KO'CHASI 36 UY manzilida joylashgan,  umumiy yer maydoni - 700, qurilish osti maydoni- 340.11, umumiy foydali maydoni - 163.19 yashash maydoni - 114.59 bo'lgan, Ko'p qavatli uydagi  - xonali xonadon ko'rinishidagi ko'chmas mulk (bundan keyin “Garov predmeti”), egalik huquqiga ko'ra  NORINBAYEVA SAPURA MAMADALIYEVNAga tegishli va kelishilgan garov qiymati 2026 yil 16 fevralda imzolangan 1-sonli Garov predmeti qiymatini tasdiqlash dalolatnomasiga muvofiq 210 000 000,00 (ikki yuz o'n million so'm) so'mni tashkil qiladi. Garovning aniq shartlari tegishli tarzda notarial tasdiqlangan garov shartnomasi bilan belgilangan.</v>
      </c>
      <c r="B24" s="316"/>
    </row>
    <row r="25" spans="1:11" s="188" customFormat="1" ht="114" hidden="1" customHeight="1" x14ac:dyDescent="0.25">
      <c r="A25" s="315" t="str">
        <f>IF(umumiy_malumot!B99=umumiy_malumot!C99,shartnoma!A27,IF(umumiy_malumot!B99=umumiy_malumot!D99,shartnoma!A26,0))</f>
        <v>3.1.1. Mikromoliya tashkiloti, Qarz oluvchi va NORINBAYEVA SAPURA MAMADALIYEVNA tomonidan 2026 yil 16 fevralda imzolangan 1-sonli Garov predmeti qiymatini tasdiqlash dalolatnomasiga muvofiq TOSHKENT VILOYATI CHINOZ TUMANI ALISHER NAVOIY MFY SOBIR RAHIMOV KO'CHASI 36 UY manzilida joylashgan,  umumiy yer maydoni - 700, qurilish osti maydoni- 340.11, umumiy foydali maydoni - 163.19 yashash maydoni - 114.59 bo'lgan, Ko'p qavatli uydagi  - xonali xonadon ko'rinishidagi ko'chmas mulk (bundan keyin “Garov predmeti”), egalik huquqiga ko'ra  NORINBAYEVA SAPURA MAMADALIYEVNAga tegishli va kelishilgan garov qiymati 2026 yil 16 fevralda imzolangan 1-sonli Garov predmeti qiymatini tasdiqlash dalolatnomasiga muvofiq 210 000 000,00 (ikki yuz o'n million so'm) so'mni tashkil qiladi. Garovning aniq shartlari tegishli tarzda notarial tasdiqlangan garov shartnomasi bilan belgilangan.</v>
      </c>
      <c r="B25" s="315"/>
    </row>
    <row r="26" spans="1:11" s="188" customFormat="1" ht="114" hidden="1" customHeight="1" x14ac:dyDescent="0.25">
      <c r="A26" s="316" t="str">
        <f>"3.1.1. "&amp;umumiy_malumot!N133&amp;" tomonidan "&amp;umumiy_malumot!B150&amp;" yil "&amp;umumiy_malumot!B152&amp;" "&amp;umumiy_malumot!B151&amp;"da imzolangan 1-sonli navbatdagi garov predmeti qiymatini tasdiqlash dalolatnomasiga muvofiq "&amp;umumiy_malumot!C130&amp;" manzilida joylashgan, "&amp;umumiy_malumot!E133&amp;" bo'lgan, "&amp;umumiy_malumot!E132&amp;" ko'rinishidagi ko'chmas mulk (bundan keyin “navbatdagi garov predmeti”), egalik huquqiga ko'ra  "&amp;umumiy_malumot!C124&amp;"ga tegishli va kelishilgan garov qiymati "&amp;umumiy_malumot!B150&amp;" yil "&amp;umumiy_malumot!B152&amp;" "&amp;umumiy_malumot!B151&amp;"da imzolangan 1-sonli Garov predmeti qiymatini tasdiqlash dalolatnomasiga muvofiq "&amp;FIXED(umumiy_malumot!B143,2)&amp;" ("&amp;umumiy_malumot!B145&amp;") so'mni tashkil qiladi. Garovning aniq shartlari tegishli tarzda notarial tasdiqlangan garov shartnomasi bilan belgilangan."</f>
        <v>3.1.1. Mikromoliya tashkiloti, Qarz oluvchi va NORINBAYEVA SAPURA MAMADALIYEVNA tomonidan 2026 yil 16 fevralda imzolangan 1-sonli navbatdagi garov predmeti qiymatini tasdiqlash dalolatnomasiga muvofiq TOSHKENT VILOYATI CHINOZ TUMANI ALISHER NAVOIY MFY SOBIR RAHIMOV KO'CHASI 36 UY manzilida joylashgan,  umumiy yer maydoni - 700, qurilish osti maydoni- 340.11, umumiy foydali maydoni - 163.19 yashash maydoni - 114.59 bo'lgan, Ko'p qavatli uydagi  - xonali xonadon ko'rinishidagi ko'chmas mulk (bundan keyin “navbatdagi garov predmeti”), egalik huquqiga ko'ra  NORINBAYEVA SAPURA MAMADALIYEVNAga tegishli va kelishilgan garov qiymati 2026 yil 16 fevralda imzolangan 1-sonli Garov predmeti qiymatini tasdiqlash dalolatnomasiga muvofiq 210 000 000,00 (ikki yuz o'n million so'm) so'mni tashkil qiladi. Garovning aniq shartlari tegishli tarzda notarial tasdiqlangan garov shartnomasi bilan belgilangan.</v>
      </c>
      <c r="B26" s="316"/>
    </row>
    <row r="27" spans="1:11" s="188" customFormat="1" ht="114" hidden="1" customHeight="1" x14ac:dyDescent="0.25">
      <c r="A27" s="315" t="str">
        <f>"3.1.1. "&amp;umumiy_malumot!N133&amp;" tomonidan "&amp;umumiy_malumot!B150&amp;" yil "&amp;umumiy_malumot!B152&amp;" "&amp;umumiy_malumot!B151&amp;"da imzolangan 1-sonli Garov predmeti qiymatini tasdiqlash dalolatnomasiga muvofiq "&amp;umumiy_malumot!C130&amp;" manzilida joylashgan, "&amp;umumiy_malumot!E133&amp;" bo'lgan, "&amp;umumiy_malumot!E132&amp;" ko'rinishidagi ko'chmas mulk (bundan keyin “Garov predmeti”), egalik huquqiga ko'ra  "&amp;umumiy_malumot!C124&amp;"ga tegishli va kelishilgan garov qiymati "&amp;umumiy_malumot!B150&amp;" yil "&amp;umumiy_malumot!B152&amp;" "&amp;umumiy_malumot!B151&amp;"da imzolangan 1-sonli Garov predmeti qiymatini tasdiqlash dalolatnomasiga muvofiq "&amp;FIXED(umumiy_malumot!B143,2)&amp;" ("&amp;umumiy_malumot!B145&amp;") so'mni tashkil qiladi. Garovning aniq shartlari tegishli tarzda notarial tasdiqlangan garov shartnomasi bilan belgilangan."</f>
        <v>3.1.1. Mikromoliya tashkiloti, Qarz oluvchi va NORINBAYEVA SAPURA MAMADALIYEVNA tomonidan 2026 yil 16 fevralda imzolangan 1-sonli Garov predmeti qiymatini tasdiqlash dalolatnomasiga muvofiq TOSHKENT VILOYATI CHINOZ TUMANI ALISHER NAVOIY MFY SOBIR RAHIMOV KO'CHASI 36 UY manzilida joylashgan,  umumiy yer maydoni - 700, qurilish osti maydoni- 340.11, umumiy foydali maydoni - 163.19 yashash maydoni - 114.59 bo'lgan, Ko'p qavatli uydagi  - xonali xonadon ko'rinishidagi ko'chmas mulk (bundan keyin “Garov predmeti”), egalik huquqiga ko'ra  NORINBAYEVA SAPURA MAMADALIYEVNAga tegishli va kelishilgan garov qiymati 2026 yil 16 fevralda imzolangan 1-sonli Garov predmeti qiymatini tasdiqlash dalolatnomasiga muvofiq 210 000 000,00 (ikki yuz o'n million so'm) so'mni tashkil qiladi. Garovning aniq shartlari tegishli tarzda notarial tasdiqlangan garov shartnomasi bilan belgilangan.</v>
      </c>
      <c r="B27" s="315"/>
    </row>
    <row r="28" spans="1:11" s="188" customFormat="1" ht="114" hidden="1" customHeight="1" x14ac:dyDescent="0.25">
      <c r="A28" s="316" t="str">
        <f>IF(umumiy_malumot!B99=umumiy_malumot!C99,A29,IF(umumiy_malumot!B99=umumiy_malumot!D99,A30,0))</f>
        <v>3.1.1. Mikromoliya tashkiloti, Qarz oluvchi va NORINBAYEVA SAPURA MAMADALIYEVNA tomonidan 2026 yil 16 fevralda imzolangan 1-sonli garov predmeti qiymatini tasdiqlash dalolatnomasiga muvofiq OQ SUMMIT WHITE rangli, ishlab chiqarilgan yili – 2024 yil,  dvigatel raqami B15D213241352MTAX0118, shassi - RAQAMSIZ,  kuzov turi - YENGIL SEDAN, kuzov raqami №XWBJA69VERA108471, davlat raqam belgisi 01Z067RC bo'lgan CHEVROLET COBALT rusumli avtomashinasi (bundan keyin “Garov predmeti”), egalik huquqiga ega  NORINBAYEVA SAPURA MAMADALIYEVNAga tegishli va kelishilgan garov qiymati 2026 yil 16 fevralda imzolangan 1-sonli Garov predmeti qiymatini tasdiqlash dalolatnomasiga muvifiq 210 000 000,00 (ikki yuz o'n million so'm) so'mni tashkil qiladi. Garov garovining aniq shartlari tegishli notarial rasmiylashtirilgan garov shartnomasi bilan belgilanadi.</v>
      </c>
      <c r="B28" s="316"/>
      <c r="K28" s="188" t="s">
        <v>315</v>
      </c>
    </row>
    <row r="29" spans="1:11" s="188" customFormat="1" ht="114" hidden="1" customHeight="1" x14ac:dyDescent="0.25">
      <c r="A29" s="316" t="str">
        <f>"3.1.1. "&amp;umumiy_malumot!N133&amp;" tomonidan "&amp;umumiy_malumot!B150&amp;" yil "&amp;umumiy_malumot!B152&amp;" "&amp;umumiy_malumot!B151&amp;"da imzolangan 1-sonli garov predmeti qiymatini tasdiqlash dalolatnomasiga muvofiq "&amp;umumiy_malumot!B141&amp;" rangli, ishlab chiqarilgan yili – "&amp;umumiy_malumot!B142&amp;" yil,  dvigatel raqami "&amp;umumiy_malumot!B138&amp;", shassi - "&amp;umumiy_malumot!B139&amp;",  kuzov turi - "&amp;umumiy_malumot!B135&amp;", kuzov raqami №"&amp;umumiy_malumot!B136&amp;", davlat raqam belgisi "&amp;umumiy_malumot!B133&amp;" bo'lgan "&amp;umumiy_malumot!B132&amp;" rusumli avtomashinasi (bundan keyin “Garov predmeti”), egalik huquqiga ega  "&amp;umumiy_malumot!B124&amp;"ga tegishli va kelishilgan garov qiymati "&amp;umumiy_malumot!B150&amp;" yil "&amp;umumiy_malumot!B152&amp;" "&amp;umumiy_malumot!B151&amp;"da imzolangan 1-sonli Garov predmeti qiymatini tasdiqlash dalolatnomasiga muvifiq "&amp;FIXED(umumiy_malumot!B143,2)&amp;" ("&amp;umumiy_malumot!B145&amp;") so'mni tashkil qiladi. Garov garovining aniq shartlari tegishli notarial rasmiylashtirilgan garov shartnomasi bilan belgilanadi."</f>
        <v>3.1.1. Mikromoliya tashkiloti, Qarz oluvchi va NORINBAYEVA SAPURA MAMADALIYEVNA tomonidan 2026 yil 16 fevralda imzolangan 1-sonli garov predmeti qiymatini tasdiqlash dalolatnomasiga muvofiq OQ SUMMIT WHITE rangli, ishlab chiqarilgan yili – 2024 yil,  dvigatel raqami B15D213241352MTAX0118, shassi - RAQAMSIZ,  kuzov turi - YENGIL SEDAN, kuzov raqami №XWBJA69VERA108471, davlat raqam belgisi 01Z067RC bo'lgan CHEVROLET COBALT rusumli avtomashinasi (bundan keyin “Garov predmeti”), egalik huquqiga ega  NORINBAYEVA SAPURA MAMADALIYEVNAga tegishli va kelishilgan garov qiymati 2026 yil 16 fevralda imzolangan 1-sonli Garov predmeti qiymatini tasdiqlash dalolatnomasiga muvifiq 210 000 000,00 (ikki yuz o'n million so'm) so'mni tashkil qiladi. Garov garovining aniq shartlari tegishli notarial rasmiylashtirilgan garov shartnomasi bilan belgilanadi.</v>
      </c>
      <c r="B29" s="316"/>
    </row>
    <row r="30" spans="1:11" s="188" customFormat="1" ht="114" hidden="1" customHeight="1" x14ac:dyDescent="0.25">
      <c r="A30" s="316" t="str">
        <f>"3.1.1. "&amp;umumiy_malumot!N133&amp;" tomonidan "&amp;umumiy_malumot!B150&amp;" yil "&amp;umumiy_malumot!B152&amp;" "&amp;umumiy_malumot!B151&amp;"da imzolangan 1-sonli navbatdagi garov predmeti qiymatini tasdiqlash dalolatnomasiga muvofiq "&amp;umumiy_malumot!B141&amp;" rangli, ishlab chiqarilgan yili – "&amp;umumiy_malumot!B142&amp;" yil,  dvigatel raqami "&amp;umumiy_malumot!B138&amp;", shassi - "&amp;umumiy_malumot!B139&amp;",  kuzov turi - "&amp;umumiy_malumot!B135&amp;", kuzov raqami №"&amp;umumiy_malumot!B136&amp;", davlat raqam belgisi "&amp;umumiy_malumot!B133&amp;" bo'lgan "&amp;umumiy_malumot!B132&amp;" rusumli avtomashinasi (bundan keyin “navbatdagi garov predmeti”), egalik huquqiga ega  "&amp;umumiy_malumot!B124&amp;"ga tegishli va kelishilgan garov qiymati "&amp;umumiy_malumot!B150&amp;" yil "&amp;umumiy_malumot!B152&amp;" "&amp;umumiy_malumot!B151&amp;"da imzolangan 1-sonli Garov predmeti qiymatini tasdiqlash dalolatnomasiga muvifiq "&amp;FIXED(umumiy_malumot!B143,2)&amp;" ("&amp;umumiy_malumot!B145&amp;") so'mni tashkil qiladi. Garov garovining aniq shartlari tegishli notarial rasmiylashtirilgan garov shartnomasi bilan belgilanadi."</f>
        <v>3.1.1. Mikromoliya tashkiloti, Qarz oluvchi va NORINBAYEVA SAPURA MAMADALIYEVNA tomonidan 2026 yil 16 fevralda imzolangan 1-sonli navbatdagi garov predmeti qiymatini tasdiqlash dalolatnomasiga muvofiq OQ SUMMIT WHITE rangli, ishlab chiqarilgan yili – 2024 yil,  dvigatel raqami B15D213241352MTAX0118, shassi - RAQAMSIZ,  kuzov turi - YENGIL SEDAN, kuzov raqami №XWBJA69VERA108471, davlat raqam belgisi 01Z067RC bo'lgan CHEVROLET COBALT rusumli avtomashinasi (bundan keyin “navbatdagi garov predmeti”), egalik huquqiga ega  NORINBAYEVA SAPURA MAMADALIYEVNAga tegishli va kelishilgan garov qiymati 2026 yil 16 fevralda imzolangan 1-sonli Garov predmeti qiymatini tasdiqlash dalolatnomasiga muvifiq 210 000 000,00 (ikki yuz o'n million so'm) so'mni tashkil qiladi. Garov garovining aniq shartlari tegishli notarial rasmiylashtirilgan garov shartnomasi bilan belgilanadi.</v>
      </c>
      <c r="B30" s="316"/>
    </row>
    <row r="31" spans="1:11" s="188" customFormat="1" ht="113.45" customHeight="1" x14ac:dyDescent="0.25">
      <c r="A31" s="316" t="str">
        <f>CONCATENATE(C31,D31)</f>
        <v>3.1.2. «АО СК "IMPEX INSURANCE"» АJ sug‘urta kompaniyasi (keyingi o'rinlarda-Sug‘urtalovchi) tomonidan Mikrokredit to'lamaslik xavfini Mikrokredit  summasiga nisbatan 140% dan hisoblab 35 000 000,00(o'ttiz besh million so'm) so ' m miqdoriga sug’urta qilish. Ushbu shartnoma bo‘yicha Mikrokredit berilgunga qadar Mikromoliya tashkiloti Sug‘urtalovchi 35 000 000,00(o'ttiz besh million so'm) so ' m miqdoridagi Mikrokreditni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v>
      </c>
      <c r="B31" s="316"/>
      <c r="C31" s="188" t="str">
        <f>"3.1.2. «"&amp;umumiy_malumot!B154&amp;"» АJ sug‘urta kompaniyasi (keyingi o'rinlarda-Sug‘urtalovchi) tomonidan "&amp;umumiy_malumot!C64&amp;" to'lamaslik xavfini "&amp;umumiy_malumot!C64&amp;"  summasiga nisbatan 140% dan hisoblab "&amp;FIXED(umumiy_malumot!B155,2)&amp;"("&amp;umumiy_malumot!B156&amp;") so ' m miqdoriga sug’urta qilish."</f>
        <v>3.1.2. «АО СК "IMPEX INSURANCE"» АJ sug‘urta kompaniyasi (keyingi o'rinlarda-Sug‘urtalovchi) tomonidan Mikrokredit to'lamaslik xavfini Mikrokredit  summasiga nisbatan 140% dan hisoblab 35 000 000,00(o'ttiz besh million so'm) so ' m miqdoriga sug’urta qilish.</v>
      </c>
      <c r="D31" s="188" t="str">
        <f>CONCATENATE(E31,F31)</f>
        <v xml:space="preserve"> Ushbu shartnoma bo‘yicha Mikrokredit berilgunga qadar Mikromoliya tashkiloti Sug‘urtalovchi 35 000 000,00(o'ttiz besh million so'm) so ' m miqdoridagi Mikrokreditni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v>
      </c>
      <c r="E31" s="188" t="str">
        <f>" Ushbu shartnoma bo‘yicha "&amp;umumiy_malumot!C64&amp;" berilgunga qadar Mikromoliya tashkiloti Sug‘urtalovchi "&amp;FIXED(umumiy_malumot!B155,2)&amp;"("&amp;umumiy_malumot!B156&amp;") so ' m miqdoridagi "&amp;umumiy_malumot!C64&amp;""</f>
        <v xml:space="preserve"> Ushbu shartnoma bo‘yicha Mikrokredit berilgunga qadar Mikromoliya tashkiloti Sug‘urtalovchi 35 000 000,00(o'ttiz besh million so'm) so ' m miqdoridagi Mikrokredit</v>
      </c>
      <c r="F31" s="188" t="s">
        <v>369</v>
      </c>
    </row>
    <row r="32" spans="1:11" ht="117" customHeight="1" x14ac:dyDescent="0.25">
      <c r="A32" s="319" t="str">
        <f>CONCATENATE(A33,B33)</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mikrokredit berishni rad etish va / yoki ushbu shartnomani bir tomonlama bekor qilish huquqiga egadir. Bunda ushbu shartnoma Qarz oluvchi tomonidan talabnoma olingan vaqtda yoki talabnoma pochta  xizmati orqali yuborilgandan keyin uchinchi kuni bekor qilingan hisoblanadi.</v>
      </c>
      <c r="B32" s="319"/>
    </row>
    <row r="33" spans="1:8" ht="94.5" hidden="1" x14ac:dyDescent="0.25">
      <c r="A33" s="146" t="s">
        <v>341</v>
      </c>
      <c r="B33" s="29" t="str">
        <f>CONCATENATE(A34,B34)</f>
        <v xml:space="preserve"> Mikromoliya tashkilotiga taqdim etilishi lozim. Garov shartnomasi belgilangan muddatda taqdim etilmagan hollarda, Mikromoliya tashkiloti Qarz oluvchining manziliga yozma bildirishnoma yuborish orqali mikrokredit berishni rad etish va / yoki ushbu shartnomani bir tomonlama bekor qilish huquqiga egadir. Bunda ushbu shartnoma Qarz oluvchi tomonidan talabnoma olingan vaqtda yoki talabnoma pochta  xizmati orqali yuborilgandan keyin uchinchi kuni bekor qilingan hisoblanadi.</v>
      </c>
    </row>
    <row r="34" spans="1:8" ht="78.75" hidden="1" x14ac:dyDescent="0.25">
      <c r="A34" s="146" t="str">
        <f>" Mikromoliya tashkilotiga taqdim etilishi lozim. Garov shartnomasi belgilangan muddatda taqdim etilmagan hollarda, Mikromoliya tashkiloti Qarz oluvchining manziliga yozma bildirishnoma yuborish orqali "&amp;umumiy_malumot!B65&amp;""</f>
        <v xml:space="preserve"> Mikromoliya tashkilotiga taqdim etilishi lozim. Garov shartnomasi belgilangan muddatda taqdim etilmagan hollarda, Mikromoliya tashkiloti Qarz oluvchining manziliga yozma bildirishnoma yuborish orqali mikrokredit</v>
      </c>
      <c r="B34" s="29" t="s">
        <v>324</v>
      </c>
    </row>
    <row r="35" spans="1:8" ht="71.25" customHeight="1" x14ac:dyDescent="0.25">
      <c r="A35" s="319" t="s">
        <v>254</v>
      </c>
      <c r="B35" s="319"/>
    </row>
    <row r="36" spans="1:8" ht="84" customHeight="1" x14ac:dyDescent="0.25">
      <c r="A36" s="319" t="s">
        <v>303</v>
      </c>
      <c r="B36" s="319"/>
    </row>
    <row r="37" spans="1:8" ht="114.6" customHeight="1" x14ac:dyDescent="0.25">
      <c r="A37" s="308" t="s">
        <v>370</v>
      </c>
      <c r="B37" s="308"/>
    </row>
    <row r="38" spans="1:8" hidden="1" x14ac:dyDescent="0.25"/>
    <row r="39" spans="1:8" x14ac:dyDescent="0.25">
      <c r="A39" s="321" t="s">
        <v>302</v>
      </c>
      <c r="B39" s="321"/>
      <c r="C39" s="66"/>
    </row>
    <row r="40" spans="1:8" x14ac:dyDescent="0.25">
      <c r="A40" s="320" t="s">
        <v>301</v>
      </c>
      <c r="B40" s="320"/>
    </row>
    <row r="41" spans="1:8" ht="116.25" customHeight="1" x14ac:dyDescent="0.25">
      <c r="A41" s="319" t="str">
        <f>CONCATENATE(C41,H41)</f>
        <v>4.1.1. Ushbu Shartnomada ko‘rsatilgan asoslar bo‘yicha Qarz oluvchiga Shartnomada ko‘zda tutilgan mikrokredit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41" s="319"/>
      <c r="C41" s="6" t="str">
        <f>"4.1.1. Ushbu Shartnomada ko‘rsatilgan asoslar bo‘yicha Qarz oluvchiga Shartnomada ko‘zda tutilgan "&amp;umumiy_malumot!B65&amp;""</f>
        <v>4.1.1. Ushbu Shartnomada ko‘rsatilgan asoslar bo‘yicha Qarz oluvchiga Shartnomada ko‘zda tutilgan mikrokredit</v>
      </c>
      <c r="H41" s="143" t="s">
        <v>365</v>
      </c>
    </row>
    <row r="42" spans="1:8" ht="39" customHeight="1" x14ac:dyDescent="0.25">
      <c r="A42" s="319" t="str">
        <f>"4.1.2.1. "&amp;umumiy_malumot!C64&amp;" bo‘yicha qolgan barcha qarzdorlik, foiz to‘lovlarining muddatidan oldin qaytarilishini talab qilish, shuningdek, quyidagi holatlardan biri yuzaga kelganda undirishni garov ta'minotiga qaratish:"</f>
        <v>4.1.2.1. Mikrokredit bo‘yicha qolgan barcha qarzdorlik, foiz to‘lovlarining muddatidan oldin qaytarilishini talab qilish, shuningdek, quyidagi holatlardan biri yuzaga kelganda undirishni garov ta'minotiga qaratish:</v>
      </c>
      <c r="B42" s="319"/>
    </row>
    <row r="43" spans="1:8" x14ac:dyDescent="0.25">
      <c r="A43" s="319" t="s">
        <v>304</v>
      </c>
      <c r="B43" s="319"/>
    </row>
    <row r="44" spans="1:8" ht="30" customHeight="1" x14ac:dyDescent="0.25">
      <c r="A44" s="319" t="str">
        <f>"b) "&amp;umumiy_malumot!B65&amp;" summasiga hisoblanadigan asosiy qarz bo‘yicha muddati o‘tgan qarzdorlik va/yoki foizlarning yuzaga kelishi;"</f>
        <v>b) mikrokredit summasiga hisoblanadigan asosiy qarz bo‘yicha muddati o‘tgan qarzdorlik va/yoki foizlarning yuzaga kelishi;</v>
      </c>
      <c r="B44" s="319"/>
    </row>
    <row r="45" spans="1:8" ht="37.5" customHeight="1" x14ac:dyDescent="0.25">
      <c r="A45" s="319" t="s">
        <v>305</v>
      </c>
      <c r="B45" s="319"/>
    </row>
    <row r="46" spans="1:8" ht="52.5" customHeight="1" x14ac:dyDescent="0.25">
      <c r="A46" s="319" t="s">
        <v>306</v>
      </c>
      <c r="B46" s="319"/>
    </row>
    <row r="47" spans="1:8" ht="19.5" customHeight="1" x14ac:dyDescent="0.25">
      <c r="A47" s="319" t="s">
        <v>307</v>
      </c>
      <c r="B47" s="319"/>
    </row>
    <row r="48" spans="1:8" ht="51.75" customHeight="1" x14ac:dyDescent="0.25">
      <c r="A48" s="319" t="str">
        <f>"f) Qarz oluvchi "&amp;umumiy_malumot!B65&amp;" summasini olish uchun Mikromoliya tashkilotiga "&amp;umumiy_malumot!B65&amp;" taqdim etilishi to‘g‘risida ijobiy qaror qabul qilinishi uchun muhim hisoblangan masalalar bo‘yicha yolg‘on yoki to‘liq bo‘lmagan ma'lumotlarni taqdim etganligi aniqlanganda."</f>
        <v>f) Qarz oluvchi mikrokredit summasini olish uchun Mikromoliya tashkilotiga mikrokredit taqdim etilishi to‘g‘risida ijobiy qaror qabul qilinishi uchun muhim hisoblangan masalalar bo‘yicha yolg‘on yoki to‘liq bo‘lmagan ma'lumotlarni taqdim etganligi aniqlanganda.</v>
      </c>
      <c r="B48" s="319"/>
    </row>
    <row r="49" spans="1:8" ht="33.75" customHeight="1" x14ac:dyDescent="0.25">
      <c r="A49" s="319" t="s">
        <v>300</v>
      </c>
      <c r="B49" s="319"/>
    </row>
    <row r="50" spans="1:8" ht="36.75" customHeight="1" x14ac:dyDescent="0.25">
      <c r="A50" s="319" t="s">
        <v>299</v>
      </c>
      <c r="B50" s="319"/>
      <c r="C50" s="146"/>
    </row>
    <row r="51" spans="1:8" ht="90" customHeight="1" x14ac:dyDescent="0.25">
      <c r="A51" s="308" t="s">
        <v>298</v>
      </c>
      <c r="B51" s="308"/>
      <c r="C51" s="146"/>
    </row>
    <row r="52" spans="1:8" ht="70.5" customHeight="1" x14ac:dyDescent="0.25">
      <c r="A52" s="308" t="s">
        <v>297</v>
      </c>
      <c r="B52" s="308"/>
      <c r="C52" s="146"/>
    </row>
    <row r="53" spans="1:8" ht="39.75" customHeight="1" x14ac:dyDescent="0.25">
      <c r="A53" s="308" t="str">
        <f>"4.1.7. Qarz oluvchini oldindan ogohlantirmasdan "&amp;umumiy_malumot!B65&amp;"ni qaytarish uchun haqiqatdan ham garov ta'minoti mavjudligini tekshirishni amalga oshirish."</f>
        <v>4.1.7. Qarz oluvchini oldindan ogohlantirmasdan mikrokreditni qaytarish uchun haqiqatdan ham garov ta'minoti mavjudligini tekshirishni amalga oshirish.</v>
      </c>
      <c r="B53" s="308"/>
      <c r="C53" s="146"/>
    </row>
    <row r="54" spans="1:8" ht="33" customHeight="1" x14ac:dyDescent="0.25">
      <c r="A54" s="308" t="s">
        <v>308</v>
      </c>
      <c r="B54" s="308"/>
      <c r="C54" s="146"/>
    </row>
    <row r="55" spans="1:8" ht="39.75" customHeight="1" x14ac:dyDescent="0.25">
      <c r="A55" s="308" t="s">
        <v>296</v>
      </c>
      <c r="B55" s="308"/>
      <c r="C55" s="146"/>
    </row>
    <row r="56" spans="1:8" ht="50.25" customHeight="1" x14ac:dyDescent="0.25">
      <c r="A56" s="308" t="str">
        <f>CONCATENATE(C56,H56)</f>
        <v>4.1.10. Qarz oluvchi taqdim etilgan mikrokreditdan Shartnoma tuzilgan kundan boshlab 1 (bir) oy davomida foydalanmagan holatlarda, bu haqda Qarz oluvchini yozma ravishda xabardor qilib, Shartnoma bir tomonlama bekor qilish. Yozma xabarni jo‘natish sanasi uni taqdim etish yoki pochta orqali jo‘natish sanasi hisoblanadi.</v>
      </c>
      <c r="B56" s="308"/>
      <c r="C56" s="146" t="str">
        <f>"4.1.10. Qarz oluvchi taqdim etilgan "&amp;umumiy_malumot!B65&amp;"dan Shartnoma tuzilgan kundan boshlab 1 (bir) oy davomida foydalanmagan"</f>
        <v>4.1.10. Qarz oluvchi taqdim etilgan mikrokreditdan Shartnoma tuzilgan kundan boshlab 1 (bir) oy davomida foydalanmagan</v>
      </c>
      <c r="H56" s="6" t="s">
        <v>325</v>
      </c>
    </row>
    <row r="57" spans="1:8" ht="19.5" customHeight="1" x14ac:dyDescent="0.25">
      <c r="A57" s="308" t="str">
        <f>"4.1.11. Oldingi "&amp;umumiy_malumot!B65&amp;" to‘liq to‘lanmagunga qadar yangi "&amp;umumiy_malumot!B65&amp;" berishni rad etish."</f>
        <v>4.1.11. Oldingi mikrokredit to‘liq to‘lanmagunga qadar yangi mikrokredit berishni rad etish.</v>
      </c>
      <c r="B57" s="308"/>
      <c r="C57" s="146"/>
    </row>
    <row r="58" spans="1:8" hidden="1" x14ac:dyDescent="0.25"/>
    <row r="59" spans="1:8" x14ac:dyDescent="0.25">
      <c r="A59" s="318" t="s">
        <v>295</v>
      </c>
      <c r="B59" s="318"/>
      <c r="C59" s="145"/>
    </row>
    <row r="60" spans="1:8" x14ac:dyDescent="0.25">
      <c r="A60" s="322" t="s">
        <v>294</v>
      </c>
      <c r="B60" s="322"/>
      <c r="C60" s="147"/>
    </row>
    <row r="61" spans="1:8" ht="36" customHeight="1" x14ac:dyDescent="0.25">
      <c r="A61" s="308" t="str">
        <f>"5.1.1. Ushbu shartnomada nazarda tutilgan shartlar bo‘yicha "&amp;umumiy_malumot!B65&amp;" olish, shuningdek, Mikromoliya tashkiloti tomonidan ko‘rsatiladigan pullik xizmatlardan foydalanish."</f>
        <v>5.1.1. Ushbu shartnomada nazarda tutilgan shartlar bo‘yicha mikrokredit olish, shuningdek, Mikromoliya tashkiloti tomonidan ko‘rsatiladigan pullik xizmatlardan foydalanish.</v>
      </c>
      <c r="B61" s="308"/>
      <c r="C61" s="146"/>
    </row>
    <row r="62" spans="1:8" ht="36.75" customHeight="1" x14ac:dyDescent="0.25">
      <c r="A62" s="308" t="str">
        <f>"5.1.2. Shartnoma tuzilgan kundan boshlab 2 (ikki) hafta mobaynida Mikromoliya tashkilotiga bu haqda yozma xabarnoma yo‘llash orqali "&amp;umumiy_malumot!B65&amp;"ning foydalanilmagan summasidan voz kechish."</f>
        <v>5.1.2. Shartnoma tuzilgan kundan boshlab 2 (ikki) hafta mobaynida Mikromoliya tashkilotiga bu haqda yozma xabarnoma yo‘llash orqali mikrokreditning foydalanilmagan summasidan voz kechish.</v>
      </c>
      <c r="B62" s="308"/>
      <c r="C62" s="146"/>
    </row>
    <row r="63" spans="1:8" ht="17.25" customHeight="1" x14ac:dyDescent="0.25">
      <c r="A63" s="308" t="str">
        <f>"5.1.3. "&amp;umumiy_malumot!C64&amp;" xizmatlari ko‘rsatish qoidalari bilan tanishish."</f>
        <v>5.1.3. Mikrokredit xizmatlari ko‘rsatish qoidalari bilan tanishish.</v>
      </c>
      <c r="B63" s="308"/>
      <c r="C63" s="146"/>
    </row>
    <row r="64" spans="1:8" ht="36" customHeight="1" x14ac:dyDescent="0.25">
      <c r="A64" s="308" t="str">
        <f>"5.1.4. O‘z huquq va majburiyatlari, shu jumladan "&amp;umumiy_malumot!B65&amp;" xizmatlari ko‘rsatish bilan bog‘liq barcha xarajatlar haqida aniq va to‘liq ma'lumot olish."</f>
        <v>5.1.4. O‘z huquq va majburiyatlari, shu jumladan mikrokredit xizmatlari ko‘rsatish bilan bog‘liq barcha xarajatlar haqida aniq va to‘liq ma'lumot olish.</v>
      </c>
      <c r="B64" s="308"/>
      <c r="C64" s="146"/>
    </row>
    <row r="65" spans="1:8" ht="33.75" customHeight="1" x14ac:dyDescent="0.25">
      <c r="A65" s="308" t="s">
        <v>309</v>
      </c>
      <c r="B65" s="308"/>
      <c r="C65" s="146"/>
    </row>
    <row r="66" spans="1:8" x14ac:dyDescent="0.25">
      <c r="A66" s="322" t="s">
        <v>293</v>
      </c>
      <c r="B66" s="322"/>
      <c r="C66" s="147"/>
    </row>
    <row r="67" spans="1:8" ht="37.5" customHeight="1" x14ac:dyDescent="0.25">
      <c r="A67" s="308" t="str">
        <f>"5.2.1. Mikromoliya tashkilotining birinchi talabi bilan zarur hujjatlar, shuningdek "&amp;umumiy_malumot!B65&amp;"dan foydalanishning butun davri davomida uning moliyaviy holati va to‘lash qobiliyatiga tegishli bo‘lgan ma'lumotlarni taqdim etish."</f>
        <v>5.2.1. Mikromoliya tashkilotining birinchi talabi bilan zarur hujjatlar, shuningdek mikrokreditdan foydalanishning butun davri davomida uning moliyaviy holati va to‘lash qobiliyatiga tegishli bo‘lgan ma'lumotlarni taqdim etish.</v>
      </c>
      <c r="B67" s="308"/>
      <c r="C67" s="146"/>
    </row>
    <row r="68" spans="1:8" ht="39.75" customHeight="1" x14ac:dyDescent="0.25">
      <c r="A68" s="308" t="s">
        <v>310</v>
      </c>
      <c r="B68" s="308"/>
      <c r="C68" s="146"/>
    </row>
    <row r="69" spans="1:8" ht="27" customHeight="1" x14ac:dyDescent="0.25">
      <c r="A69" s="308" t="str">
        <f>"5.2.3. To‘lov jadvaliga muvofiq "&amp;umumiy_malumot!B65&amp;", shuningdek hisoblangan foizlar to‘lovlarini amalga oshirish."</f>
        <v>5.2.3. To‘lov jadvaliga muvofiq mikrokredit, shuningdek hisoblangan foizlar to‘lovlarini amalga oshirish.</v>
      </c>
      <c r="B69" s="308"/>
      <c r="C69" s="146"/>
    </row>
    <row r="70" spans="1:8" ht="84" customHeight="1" x14ac:dyDescent="0.25">
      <c r="A70" s="308" t="str">
        <f>CONCATENATE(C70,H70)</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mikrokredit mablag‘lari hisobiga moliyalashtirilgan hujjatlarni ko‘zdan kechirish va Mikromoliya tashkiloti tomonidan ushbu huquqni amalga oshirishga to‘sqinlik qilmaslik majburiyatini oladi.</v>
      </c>
      <c r="B70" s="308"/>
      <c r="C70" s="146" t="s">
        <v>326</v>
      </c>
      <c r="H70" s="6" t="str">
        <f>" "&amp;umumiy_malumot!B65&amp;" mablag‘lari hisobiga moliyalashtirilgan hujjatlarni ko‘zdan kechirish va Mikromoliya tashkiloti tomonidan ushbu huquqni amalga oshirishga to‘sqinlik qilmaslik majburiyatini oladi."</f>
        <v xml:space="preserve"> mikrokredit mablag‘lari hisobiga moliyalashtirilgan hujjatlarni ko‘zdan kechirish va Mikromoliya tashkiloti tomonidan ushbu huquqni amalga oshirishga to‘sqinlik qilmaslik majburiyatini oladi.</v>
      </c>
    </row>
    <row r="71" spans="1:8" ht="49.5" customHeight="1" x14ac:dyDescent="0.25">
      <c r="A71" s="308" t="s">
        <v>311</v>
      </c>
      <c r="B71" s="308"/>
      <c r="C71" s="146"/>
    </row>
    <row r="72" spans="1:8" ht="36" customHeight="1" x14ac:dyDescent="0.25">
      <c r="A72" s="308" t="str">
        <f>"5.2.6. Quyidagi holatlarda Mikromoliya tashkilotning birinchi talabi bilan "&amp;umumiy_malumot!B65&amp;" qaytarilishi bo‘yicha qo‘shimcha garov ta'minotini taqdim etish: "</f>
        <v xml:space="preserve">5.2.6. Quyidagi holatlarda Mikromoliya tashkilotning birinchi talabi bilan mikrokredit qaytarilishi bo‘yicha qo‘shimcha garov ta'minotini taqdim etish: </v>
      </c>
      <c r="B72" s="308"/>
      <c r="C72" s="146"/>
    </row>
    <row r="73" spans="1:8" ht="51.75" customHeight="1" x14ac:dyDescent="0.25">
      <c r="A73" s="317" t="s">
        <v>327</v>
      </c>
      <c r="B73" s="317"/>
      <c r="C73" s="149"/>
    </row>
    <row r="74" spans="1:8" ht="57" customHeight="1" x14ac:dyDescent="0.25">
      <c r="A74" s="308" t="str">
        <f>"5.2.7. Sud qarori asosida Qarz oluvchi – jismoniy shaxsning muomalaga layoqatsizligi yoki muomalaga layoqati cheklangan yoxud to‘lash qobiliyatiga ega emasligi (bankrotligi) tan olinganda, uning vasiysi yoki homiysi "&amp;umumiy_malumot!B65&amp;"ning asosiy summa bo‘yicha qarzdorlikni "&amp;umumiy_malumot!B65&amp;"dan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mikrokreditning asosiy summa bo‘yicha qarzdorlikni mikrokreditdan aniq foydalanish muddati uchun foizlar bilan kechiktirmasdan to‘liq to‘lashi shart.</v>
      </c>
      <c r="B74" s="308"/>
      <c r="C74" s="146"/>
    </row>
    <row r="75" spans="1:8" ht="33.75" customHeight="1" x14ac:dyDescent="0.25">
      <c r="A75" s="308" t="str">
        <f>"5.2.8. Mikromoliya tashkilotining "&amp;umumiy_malumot!B65&amp;" umumiy summasi va hisoblangan foizlarni muddatidan oldin qaytarish to‘g‘risidagi talabini kechiktirmasdan bajarish."</f>
        <v>5.2.8. Mikromoliya tashkilotining mikrokredit umumiy summasi va hisoblangan foizlarni muddatidan oldin qaytarish to‘g‘risidagi talabini kechiktirmasdan bajarish.</v>
      </c>
      <c r="B75" s="308"/>
      <c r="C75" s="146"/>
      <c r="H75" s="6" t="s">
        <v>323</v>
      </c>
    </row>
    <row r="76" spans="1:8" ht="68.25" customHeight="1" x14ac:dyDescent="0.25">
      <c r="A76" s="308" t="str">
        <f>CONCATENATE(C76,H76)</f>
        <v>5.2.9. Mikromoliya tashkilotining talabi bo‘yicha Mikromoliya tashkiloti ko‘rgan, shu jumladan mikrokredit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6" s="308"/>
      <c r="C76" s="146" t="str">
        <f>"5.2.9. Mikromoliya tashkilotining talabi bo‘yicha Mikromoliya tashkiloti ko‘rgan, shu jumladan "&amp;umumiy_malumot!B65&amp;" bo‘yicha (asosiy qarz, foizlar va boshqalar)"</f>
        <v>5.2.9. Mikromoliya tashkilotining talabi bo‘yicha Mikromoliya tashkiloti ko‘rgan, shu jumladan mikrokredit bo‘yicha (asosiy qarz, foizlar va boshqalar)</v>
      </c>
      <c r="H76" s="6" t="s">
        <v>328</v>
      </c>
    </row>
    <row r="77" spans="1:8" hidden="1" x14ac:dyDescent="0.25">
      <c r="A77" s="64"/>
    </row>
    <row r="78" spans="1:8" x14ac:dyDescent="0.25">
      <c r="A78" s="321" t="s">
        <v>292</v>
      </c>
      <c r="B78" s="321"/>
      <c r="C78" s="148"/>
    </row>
    <row r="79" spans="1:8" ht="84" customHeight="1" x14ac:dyDescent="0.25">
      <c r="A79" s="308" t="str">
        <f>CONCATENATE(C79,H79)</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mikrokredit miqdori umumiy summasining 50% dan ko‘p bo‘lmagan miqdorda penya ko‘rinishidagi neustoyka to‘lash majburiyatini o‘z zimmasiga oladi.</v>
      </c>
      <c r="B79" s="308"/>
      <c r="C79" s="146" t="s">
        <v>329</v>
      </c>
      <c r="H79" s="6" t="str">
        <f>""&amp;umumiy_malumot!B65&amp;" miqdori umumiy summasining 50% dan ko‘p bo‘lmagan miqdorda penya ko‘rinishidagi neustoyka to‘lash majburiyatini o‘z zimmasiga oladi."</f>
        <v>mikrokredit miqdori umumiy summasining 50% dan ko‘p bo‘lmagan miqdorda penya ko‘rinishidagi neustoyka to‘lash majburiyatini o‘z zimmasiga oladi.</v>
      </c>
    </row>
    <row r="80" spans="1:8" ht="37.5" customHeight="1" x14ac:dyDescent="0.25">
      <c r="A80" s="308" t="s">
        <v>291</v>
      </c>
      <c r="B80" s="308"/>
      <c r="C80" s="146"/>
    </row>
    <row r="81" spans="1:3" ht="35.25" customHeight="1" x14ac:dyDescent="0.25">
      <c r="A81" s="308" t="s">
        <v>290</v>
      </c>
      <c r="B81" s="308"/>
      <c r="C81" s="146"/>
    </row>
    <row r="82" spans="1:3" ht="33" customHeight="1" x14ac:dyDescent="0.25">
      <c r="A82" s="308" t="s">
        <v>289</v>
      </c>
      <c r="B82" s="308"/>
      <c r="C82" s="146"/>
    </row>
    <row r="83" spans="1:3" hidden="1" x14ac:dyDescent="0.25"/>
    <row r="84" spans="1:3" x14ac:dyDescent="0.25">
      <c r="A84" s="303" t="s">
        <v>288</v>
      </c>
      <c r="B84" s="303"/>
      <c r="C84" s="60"/>
    </row>
    <row r="85" spans="1:3" ht="147.75" customHeight="1" x14ac:dyDescent="0.25">
      <c r="A85" s="308" t="s">
        <v>287</v>
      </c>
      <c r="B85" s="308"/>
      <c r="C85" s="146"/>
    </row>
    <row r="86" spans="1:3" ht="33.75" customHeight="1" x14ac:dyDescent="0.25">
      <c r="A86" s="308" t="s">
        <v>330</v>
      </c>
      <c r="B86" s="308"/>
      <c r="C86" s="146"/>
    </row>
    <row r="87" spans="1:3" ht="41.25" customHeight="1" x14ac:dyDescent="0.25">
      <c r="A87" s="308" t="s">
        <v>286</v>
      </c>
      <c r="B87" s="308"/>
      <c r="C87" s="146"/>
    </row>
    <row r="88" spans="1:3" ht="36" customHeight="1" x14ac:dyDescent="0.25">
      <c r="A88" s="308" t="s">
        <v>285</v>
      </c>
      <c r="B88" s="308"/>
      <c r="C88" s="146"/>
    </row>
    <row r="89" spans="1:3" hidden="1" x14ac:dyDescent="0.25"/>
    <row r="90" spans="1:3" x14ac:dyDescent="0.25">
      <c r="A90" s="303" t="s">
        <v>284</v>
      </c>
      <c r="B90" s="303"/>
      <c r="C90" s="60"/>
    </row>
    <row r="91" spans="1:3" ht="101.25" customHeight="1" x14ac:dyDescent="0.25">
      <c r="A91" s="308" t="s">
        <v>342</v>
      </c>
      <c r="B91" s="308"/>
      <c r="C91" s="146"/>
    </row>
    <row r="92" spans="1:3" ht="36" customHeight="1" x14ac:dyDescent="0.25">
      <c r="A92" s="308" t="s">
        <v>312</v>
      </c>
      <c r="B92" s="308"/>
      <c r="C92" s="146"/>
    </row>
    <row r="93" spans="1:3" ht="54" customHeight="1" x14ac:dyDescent="0.25">
      <c r="A93" s="308" t="str">
        <f>"8.2. Mikromoliya tashkiloti sud organlariga murojaat qilganidan keyin Qarz oluvchi tomonidan "&amp;umumiy_malumot!B65&amp;" bo‘yicha muddati o‘tgan qarzdorlikning to‘lanishi Mikromoliya tashkilotning "&amp;umumiy_malumot!B65&amp;" bo‘yicha qarzdorlikni muddatidan avval undirish, shu jumladan undiruvni garovdagi mol-mulkka qaratish yo‘li bilan undirish huquqidan mahrum qilmaydi."</f>
        <v>8.2. Mikromoliya tashkiloti sud organlariga murojaat qilganidan keyin Qarz oluvchi tomonidan mikrokredit bo‘yicha muddati o‘tgan qarzdorlikning to‘lanishi Mikromoliya tashkilotning mikrokredit bo‘yicha qarzdorlikni muddatidan avval undirish, shu jumladan undiruvni garovdagi mol-mulkka qaratish yo‘li bilan undirish huquqidan mahrum qilmaydi.</v>
      </c>
      <c r="B93" s="308"/>
      <c r="C93" s="146"/>
    </row>
    <row r="94" spans="1:3" hidden="1" x14ac:dyDescent="0.25"/>
    <row r="95" spans="1:3" x14ac:dyDescent="0.25">
      <c r="A95" s="323" t="s">
        <v>283</v>
      </c>
      <c r="B95" s="323"/>
      <c r="C95" s="65"/>
    </row>
    <row r="96" spans="1:3" ht="20.25" customHeight="1" x14ac:dyDescent="0.25">
      <c r="A96" s="308" t="s">
        <v>282</v>
      </c>
      <c r="B96" s="308"/>
      <c r="C96" s="146"/>
    </row>
    <row r="97" spans="1:3" ht="33.75" customHeight="1" x14ac:dyDescent="0.25">
      <c r="A97" s="308" t="str">
        <f>"9.2. Shartnomaning amal qilish muddati Qarz oluvchi "&amp;umumiy_malumot!B65&amp;"ni to‘liq qaytargan, hisoblangan foizlar, penya va boshqa pul majburiyatlarini to‘lagan kunda yakunlanadi."</f>
        <v>9.2. Shartnomaning amal qilish muddati Qarz oluvchi mikrokreditni to‘liq qaytargan, hisoblangan foizlar, penya va boshqa pul majburiyatlarini to‘lagan kunda yakunlanadi.</v>
      </c>
      <c r="B97" s="308"/>
      <c r="C97" s="146"/>
    </row>
    <row r="98" spans="1:3" ht="40.5" customHeight="1" x14ac:dyDescent="0.25">
      <c r="A98" s="308" t="s">
        <v>281</v>
      </c>
      <c r="B98" s="308"/>
      <c r="C98" s="146"/>
    </row>
    <row r="99" spans="1:3" hidden="1" x14ac:dyDescent="0.25"/>
    <row r="100" spans="1:3" x14ac:dyDescent="0.25">
      <c r="A100" s="318" t="s">
        <v>280</v>
      </c>
      <c r="B100" s="318"/>
      <c r="C100" s="59"/>
    </row>
    <row r="101" spans="1:3" ht="66.75" customHeight="1" x14ac:dyDescent="0.25">
      <c r="A101" s="308" t="s">
        <v>279</v>
      </c>
      <c r="B101" s="308"/>
      <c r="C101" s="146"/>
    </row>
    <row r="102" spans="1:3" ht="66" customHeight="1" x14ac:dyDescent="0.25">
      <c r="A102" s="308" t="s">
        <v>278</v>
      </c>
      <c r="B102" s="308"/>
      <c r="C102" s="146"/>
    </row>
    <row r="103" spans="1:3" ht="48" customHeight="1" x14ac:dyDescent="0.25">
      <c r="A103" s="308" t="s">
        <v>277</v>
      </c>
      <c r="B103" s="308"/>
      <c r="C103" s="146"/>
    </row>
    <row r="105" spans="1:3" x14ac:dyDescent="0.25">
      <c r="A105" s="303" t="s">
        <v>276</v>
      </c>
      <c r="B105" s="303"/>
      <c r="C105" s="133"/>
    </row>
    <row r="106" spans="1:3" ht="37.5" customHeight="1" x14ac:dyDescent="0.25">
      <c r="A106" s="308" t="s">
        <v>275</v>
      </c>
      <c r="B106" s="308"/>
      <c r="C106" s="146"/>
    </row>
    <row r="107" spans="1:3" ht="34.5" customHeight="1" x14ac:dyDescent="0.25">
      <c r="A107" s="308" t="s">
        <v>274</v>
      </c>
      <c r="B107" s="308"/>
      <c r="C107" s="146"/>
    </row>
    <row r="108" spans="1:3" ht="66.75" customHeight="1" x14ac:dyDescent="0.25">
      <c r="A108" s="308" t="s">
        <v>273</v>
      </c>
      <c r="B108" s="308"/>
      <c r="C108" s="146"/>
    </row>
    <row r="109" spans="1:3" ht="51" customHeight="1" x14ac:dyDescent="0.25">
      <c r="A109" s="308" t="s">
        <v>272</v>
      </c>
      <c r="B109" s="308"/>
      <c r="C109" s="146"/>
    </row>
    <row r="110" spans="1:3" ht="37.5" customHeight="1" x14ac:dyDescent="0.25">
      <c r="A110" s="308" t="s">
        <v>271</v>
      </c>
      <c r="B110" s="308"/>
      <c r="C110" s="146"/>
    </row>
    <row r="111" spans="1:3" ht="38.25" customHeight="1" x14ac:dyDescent="0.25">
      <c r="A111" s="308" t="s">
        <v>270</v>
      </c>
      <c r="B111" s="308"/>
      <c r="C111" s="146"/>
    </row>
    <row r="112" spans="1:3" ht="21" customHeight="1" x14ac:dyDescent="0.25">
      <c r="A112" s="308" t="s">
        <v>269</v>
      </c>
      <c r="B112" s="308"/>
      <c r="C112" s="146"/>
    </row>
    <row r="113" spans="1:3" ht="26.25" customHeight="1" x14ac:dyDescent="0.25">
      <c r="A113" s="318" t="s">
        <v>313</v>
      </c>
      <c r="B113" s="318"/>
      <c r="C113" s="65"/>
    </row>
    <row r="114" spans="1:3" hidden="1" x14ac:dyDescent="0.25"/>
    <row r="115" spans="1:3" x14ac:dyDescent="0.25">
      <c r="A115" s="178" t="s">
        <v>268</v>
      </c>
      <c r="B115" s="178" t="s">
        <v>267</v>
      </c>
    </row>
    <row r="117" spans="1:3" ht="31.5" x14ac:dyDescent="0.25">
      <c r="A117" s="65" t="str">
        <f>umumiy_malumot!B159</f>
        <v>«PULLOL BUSINESS MIKROMOLIYA TASHKILOTI»  MChJ</v>
      </c>
      <c r="B117" s="195" t="str">
        <f>umumiy_malumot!B5</f>
        <v>NORINBOYEVA SOXIBA IZZATILLAYEVNA</v>
      </c>
    </row>
    <row r="119" spans="1:3" ht="40.5" customHeight="1" x14ac:dyDescent="0.25">
      <c r="A119" s="179" t="str">
        <f>"Manzil: "&amp;umumiy_malumot!B164&amp;""</f>
        <v>Manzil: Toshkent shahri, Yakkasaroy tumani, Rakat ko'chasi, 10 uy, 18 xonadon</v>
      </c>
      <c r="B119" s="179" t="str">
        <f>"Manzil: "&amp;umumiy_malumot!B27&amp;""</f>
        <v>Manzil: TOSHKENT VILOYATI CHINOZ TUMANI ALISHER NAVOIY MFY SOBIR RAHIMOV KO'CHASI 36 UY</v>
      </c>
    </row>
    <row r="120" spans="1:3" ht="17.25" customHeight="1" x14ac:dyDescent="0.25">
      <c r="A120" s="200" t="str">
        <f>"h/r: "&amp;umumiy_malumot!B165&amp;""</f>
        <v>h/r: №20208000405643889001</v>
      </c>
    </row>
    <row r="121" spans="1:3" ht="31.5" x14ac:dyDescent="0.25">
      <c r="A121" s="179" t="str">
        <f>"MFO: "&amp;umumiy_malumot!B166&amp;" в "&amp;umumiy_malumot!B167&amp;""</f>
        <v>MFO: №01088 в ATB “Kapitalbank” Markaziy amaliyotlar bo'limi</v>
      </c>
      <c r="B121" s="179" t="str">
        <f>"Pasport: "&amp;umumiy_malumot!B16&amp;", "&amp;umumiy_malumot!B20&amp;""</f>
        <v>Pasport: AE 5547691, IIV 27256 tomonidan 22.12.2025 yilda berilgan</v>
      </c>
    </row>
    <row r="122" spans="1:3" x14ac:dyDescent="0.25">
      <c r="A122" s="179" t="str">
        <f>"STIR: "&amp;umumiy_malumot!B168&amp;""</f>
        <v>STIR: 310430149</v>
      </c>
      <c r="B122" s="61" t="str">
        <f>"Tel: "&amp;umumiy_malumot!B40&amp;""</f>
        <v>Tel: 33 730 30 31 MIJOZ</v>
      </c>
    </row>
    <row r="123" spans="1:3" x14ac:dyDescent="0.25">
      <c r="A123" s="219" t="str">
        <f>"Tel: 555 100 217"</f>
        <v>Tel: 555 100 217</v>
      </c>
      <c r="B123" s="61" t="str">
        <f>umumiy_malumot!B41</f>
        <v>99 407 50 08 UY EGASI</v>
      </c>
    </row>
    <row r="124" spans="1:3" x14ac:dyDescent="0.25">
      <c r="A124" s="219" t="str">
        <f>"Tel: (97) 714 14 17"</f>
        <v>Tel: (97) 714 14 17</v>
      </c>
      <c r="B124" s="61" t="str">
        <f>umumiy_malumot!B42</f>
        <v>94 659 57 51 ADASI</v>
      </c>
    </row>
    <row r="125" spans="1:3" x14ac:dyDescent="0.25">
      <c r="A125" s="29"/>
    </row>
    <row r="126" spans="1:3" x14ac:dyDescent="0.25">
      <c r="A126" s="219" t="str">
        <f>"Tel: (97) 706 96 65"</f>
        <v>Tel: (97) 706 96 65</v>
      </c>
      <c r="B126" s="314"/>
    </row>
    <row r="127" spans="1:3" x14ac:dyDescent="0.25">
      <c r="B127" s="314"/>
    </row>
    <row r="128" spans="1:3" x14ac:dyDescent="0.25">
      <c r="A128" s="309" t="str">
        <f>umumiy_malumot!A161</f>
        <v>Direktor</v>
      </c>
      <c r="B128" s="6" t="str">
        <f>""&amp;umumiy_malumot!B7&amp;"     __________________"</f>
        <v>NORINBOYEVA S.I.     __________________</v>
      </c>
    </row>
    <row r="129" spans="1:2" x14ac:dyDescent="0.25">
      <c r="A129" s="309"/>
      <c r="B129" s="180"/>
    </row>
    <row r="130" spans="1:2" x14ac:dyDescent="0.25">
      <c r="A130" s="29" t="str">
        <f>umumiy_malumot!B161</f>
        <v>Obidov A.Sh.</v>
      </c>
      <c r="B130" s="6" t="str">
        <f>""&amp;umumiy_malumot!C64&amp;" shartnomasining bir nusxasini oldim ______________"</f>
        <v>Mikrokredit shartnomasining bir nusxasini oldim ______________</v>
      </c>
    </row>
    <row r="132" spans="1:2" hidden="1" x14ac:dyDescent="0.25">
      <c r="A132" s="6" t="str">
        <f>"менеджер :   "&amp;umumiy_malumot!B172&amp;"______________"</f>
        <v>менеджер :   Eshbekov S. O.______________</v>
      </c>
    </row>
  </sheetData>
  <mergeCells count="101">
    <mergeCell ref="A108:B108"/>
    <mergeCell ref="A128:A129"/>
    <mergeCell ref="A113:B113"/>
    <mergeCell ref="A109:B109"/>
    <mergeCell ref="A110:B110"/>
    <mergeCell ref="A111:B111"/>
    <mergeCell ref="A112:B112"/>
    <mergeCell ref="A97:B97"/>
    <mergeCell ref="A98:B98"/>
    <mergeCell ref="A100:B100"/>
    <mergeCell ref="A101:B101"/>
    <mergeCell ref="A102:B102"/>
    <mergeCell ref="A103:B103"/>
    <mergeCell ref="A105:B105"/>
    <mergeCell ref="A106:B106"/>
    <mergeCell ref="A107:B107"/>
    <mergeCell ref="B126:B127"/>
    <mergeCell ref="A84:B84"/>
    <mergeCell ref="A85:B85"/>
    <mergeCell ref="A92:B92"/>
    <mergeCell ref="A93:B93"/>
    <mergeCell ref="A95:B95"/>
    <mergeCell ref="A96:B96"/>
    <mergeCell ref="A86:B86"/>
    <mergeCell ref="A87:B87"/>
    <mergeCell ref="A88:B88"/>
    <mergeCell ref="A90:B90"/>
    <mergeCell ref="A91:B91"/>
    <mergeCell ref="A79:B79"/>
    <mergeCell ref="A70:B70"/>
    <mergeCell ref="A71:B71"/>
    <mergeCell ref="A72:B72"/>
    <mergeCell ref="A73:B73"/>
    <mergeCell ref="A74:B74"/>
    <mergeCell ref="A80:B80"/>
    <mergeCell ref="A81:B81"/>
    <mergeCell ref="A82:B82"/>
    <mergeCell ref="A64:B64"/>
    <mergeCell ref="A65:B65"/>
    <mergeCell ref="A66:B66"/>
    <mergeCell ref="A67:B67"/>
    <mergeCell ref="A68:B68"/>
    <mergeCell ref="A69:B69"/>
    <mergeCell ref="A75:B75"/>
    <mergeCell ref="A76:B76"/>
    <mergeCell ref="A78:B78"/>
    <mergeCell ref="A54:B54"/>
    <mergeCell ref="A55:B55"/>
    <mergeCell ref="A56:B56"/>
    <mergeCell ref="A57:B57"/>
    <mergeCell ref="A59:B59"/>
    <mergeCell ref="A60:B60"/>
    <mergeCell ref="A61:B61"/>
    <mergeCell ref="A62:B62"/>
    <mergeCell ref="A63:B63"/>
    <mergeCell ref="A52:B52"/>
    <mergeCell ref="A53:B53"/>
    <mergeCell ref="A49:B49"/>
    <mergeCell ref="A48:B48"/>
    <mergeCell ref="A47:B47"/>
    <mergeCell ref="A46:B46"/>
    <mergeCell ref="A45:B45"/>
    <mergeCell ref="A44:B44"/>
    <mergeCell ref="A43:B43"/>
    <mergeCell ref="A32:B32"/>
    <mergeCell ref="A24:B24"/>
    <mergeCell ref="A28:B28"/>
    <mergeCell ref="A29:B29"/>
    <mergeCell ref="A30:B30"/>
    <mergeCell ref="A31:B31"/>
    <mergeCell ref="A11:B11"/>
    <mergeCell ref="A50:B50"/>
    <mergeCell ref="A51:B51"/>
    <mergeCell ref="A42:B42"/>
    <mergeCell ref="A41:B41"/>
    <mergeCell ref="A40:B40"/>
    <mergeCell ref="A39:B39"/>
    <mergeCell ref="A37:B37"/>
    <mergeCell ref="A36:B36"/>
    <mergeCell ref="A35:B35"/>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 ref="A23:B23"/>
    <mergeCell ref="A22:B22"/>
    <mergeCell ref="A21:B21"/>
    <mergeCell ref="A20:B20"/>
    <mergeCell ref="A19:B19"/>
  </mergeCells>
  <printOptions horizontalCentered="1"/>
  <pageMargins left="0.70866141732283472" right="0.70866141732283472" top="0.51181102362204722" bottom="0.43307086614173229" header="0.31496062992125984" footer="0.31496062992125984"/>
  <pageSetup paperSize="9" scale="72" orientation="portrait" r:id="rId1"/>
  <rowBreaks count="1" manualBreakCount="1">
    <brk id="20" max="1"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12">
    <tabColor rgb="FF00B050"/>
    <pageSetUpPr fitToPage="1"/>
  </sheetPr>
  <dimension ref="A2:P76"/>
  <sheetViews>
    <sheetView view="pageBreakPreview" topLeftCell="A2" zoomScaleNormal="100" zoomScaleSheetLayoutView="100" workbookViewId="0">
      <selection activeCell="J32" sqref="J31:J32"/>
    </sheetView>
  </sheetViews>
  <sheetFormatPr defaultColWidth="9.140625" defaultRowHeight="15" outlineLevelCol="1" x14ac:dyDescent="0.25"/>
  <cols>
    <col min="1" max="1" width="9.140625" style="13"/>
    <col min="2" max="2" width="13.7109375" style="13" customWidth="1"/>
    <col min="3" max="3" width="20.140625" style="13" customWidth="1"/>
    <col min="4" max="4" width="20.28515625" style="13" customWidth="1"/>
    <col min="5" max="5" width="19.5703125" style="13" customWidth="1"/>
    <col min="6" max="6" width="18.28515625" style="13" customWidth="1"/>
    <col min="7" max="7" width="10.140625" style="13" customWidth="1" outlineLevel="1"/>
    <col min="8" max="8" width="19.7109375" style="13" customWidth="1"/>
    <col min="9" max="10" width="9.140625" style="13" customWidth="1"/>
    <col min="11" max="16384" width="9.140625" style="13"/>
  </cols>
  <sheetData>
    <row r="2" spans="1:16" x14ac:dyDescent="0.25">
      <c r="A2" s="34"/>
      <c r="B2" s="34"/>
      <c r="C2" s="34"/>
      <c r="D2" s="34"/>
      <c r="E2" s="332"/>
      <c r="F2" s="332"/>
      <c r="G2" s="18"/>
    </row>
    <row r="3" spans="1:16" ht="75" customHeight="1" x14ac:dyDescent="0.25">
      <c r="A3" s="34"/>
      <c r="B3" s="34"/>
      <c r="C3" s="34"/>
      <c r="D3" s="34"/>
      <c r="E3" s="337" t="str">
        <f>""&amp;umumiy_malumot!B74&amp;" 
"&amp;umumiy_malumot!B65&amp;" shartnomasiga 
1 sonli ilova"</f>
        <v>16 fevral 2026 y.dan № 110 
mikrokredit shartnomasiga 
1 sonli ilova</v>
      </c>
      <c r="F3" s="337"/>
      <c r="G3" s="18"/>
    </row>
    <row r="4" spans="1:16" x14ac:dyDescent="0.25">
      <c r="A4" s="34"/>
      <c r="B4" s="34"/>
      <c r="C4" s="34"/>
      <c r="D4" s="34"/>
      <c r="E4" s="34"/>
      <c r="F4" s="34"/>
    </row>
    <row r="5" spans="1:16" x14ac:dyDescent="0.25">
      <c r="A5" s="333" t="s">
        <v>255</v>
      </c>
      <c r="B5" s="333"/>
      <c r="C5" s="333"/>
      <c r="D5" s="333"/>
      <c r="E5" s="333"/>
      <c r="F5" s="333"/>
    </row>
    <row r="7" spans="1:16" ht="15" customHeight="1" x14ac:dyDescent="0.25">
      <c r="A7" s="334" t="s">
        <v>13</v>
      </c>
      <c r="B7" s="335" t="s">
        <v>256</v>
      </c>
      <c r="C7" s="335" t="s">
        <v>257</v>
      </c>
      <c r="D7" s="336" t="s">
        <v>258</v>
      </c>
      <c r="E7" s="336"/>
      <c r="F7" s="336"/>
    </row>
    <row r="8" spans="1:16" s="14" customFormat="1" x14ac:dyDescent="0.25">
      <c r="A8" s="334"/>
      <c r="B8" s="335"/>
      <c r="C8" s="335"/>
      <c r="D8" s="15" t="s">
        <v>259</v>
      </c>
      <c r="E8" s="15" t="s">
        <v>260</v>
      </c>
      <c r="F8" s="15" t="s">
        <v>261</v>
      </c>
    </row>
    <row r="9" spans="1:16" x14ac:dyDescent="0.25">
      <c r="A9" s="16">
        <v>1</v>
      </c>
      <c r="B9" s="30">
        <f>'График аннуитет.'!B8</f>
        <v>46091</v>
      </c>
      <c r="C9" s="31">
        <f>IF(umumiy_malumot!$B$78=umumiy_malumot!$C$78,'График дифференц'!C8,IF(umumiy_malumot!$B$78=umumiy_malumot!$D$78,'График аннуитет.'!C8))</f>
        <v>175000000</v>
      </c>
      <c r="D9" s="31">
        <f>IF(umumiy_malumot!$B$78=umumiy_malumot!$C$78,'График дифференц'!D8,IF(umumiy_malumot!$B$78=umumiy_malumot!$D$78,'График аннуитет.'!D8))</f>
        <v>4861111.1100000003</v>
      </c>
      <c r="E9" s="31">
        <f>IF(umumiy_malumot!$B$78=umumiy_malumot!$C$78,'График дифференц'!E8,IF(umumiy_malumot!$B$78=umumiy_malumot!$D$78,'График аннуитет.'!E8))</f>
        <v>5801369.8600000003</v>
      </c>
      <c r="F9" s="31">
        <f>IF(umumiy_malumot!$B$78=umumiy_malumot!$C$78,'График дифференц'!F8,IF(umumiy_malumot!$B$78=umumiy_malumot!$D$78,'График аннуитет.'!F8))</f>
        <v>10662480.970000001</v>
      </c>
    </row>
    <row r="10" spans="1:16" x14ac:dyDescent="0.25">
      <c r="A10" s="16">
        <v>2</v>
      </c>
      <c r="B10" s="30">
        <f>'График аннуитет.'!B9</f>
        <v>46122</v>
      </c>
      <c r="C10" s="31">
        <f>IF(umumiy_malumot!$B$78=umumiy_malumot!$C$78,'График дифференц'!C9,IF(umumiy_malumot!$B$78=umumiy_malumot!$D$78,'График аннуитет.'!C9))</f>
        <v>170138888.88999999</v>
      </c>
      <c r="D10" s="31">
        <f>IF(umumiy_malumot!$B$78=umumiy_malumot!$C$78,'График дифференц'!D9,IF(umumiy_malumot!$B$78=umumiy_malumot!$D$78,'График аннуитет.'!D9))</f>
        <v>4861111.1100000003</v>
      </c>
      <c r="E10" s="31">
        <f>IF(umumiy_malumot!$B$78=umumiy_malumot!$C$78,'График дифференц'!E9,IF(umumiy_malumot!$B$78=umumiy_malumot!$D$78,'График аннуитет.'!E9))</f>
        <v>7947583.7700000005</v>
      </c>
      <c r="F10" s="31">
        <f>IF(umumiy_malumot!$B$78=umumiy_malumot!$C$78,'График дифференц'!F9,IF(umumiy_malumot!$B$78=umumiy_malumot!$D$78,'График аннуитет.'!F9))</f>
        <v>12808694.880000001</v>
      </c>
    </row>
    <row r="11" spans="1:16" x14ac:dyDescent="0.25">
      <c r="A11" s="16">
        <v>3</v>
      </c>
      <c r="B11" s="30">
        <f>'График аннуитет.'!B10</f>
        <v>46153</v>
      </c>
      <c r="C11" s="31">
        <f>IF(umumiy_malumot!$B$78=umumiy_malumot!$C$78,'График дифференц'!C10,IF(umumiy_malumot!$B$78=umumiy_malumot!$D$78,'График аннуитет.'!C10))</f>
        <v>165277777.77999997</v>
      </c>
      <c r="D11" s="31">
        <f>IF(umumiy_malumot!$B$78=umumiy_malumot!$C$78,'График дифференц'!D10,IF(umumiy_malumot!$B$78=umumiy_malumot!$D$78,'График аннуитет.'!D10))</f>
        <v>4861111.1100000003</v>
      </c>
      <c r="E11" s="31">
        <f>IF(umumiy_malumot!$B$78=umumiy_malumot!$C$78,'График дифференц'!E10,IF(umumiy_malumot!$B$78=umumiy_malumot!$D$78,'График аннуитет.'!E10))</f>
        <v>7720510.0099999998</v>
      </c>
      <c r="F11" s="31">
        <f>IF(umumiy_malumot!$B$78=umumiy_malumot!$C$78,'График дифференц'!F10,IF(umumiy_malumot!$B$78=umumiy_malumot!$D$78,'График аннуитет.'!F10))</f>
        <v>12581621.120000001</v>
      </c>
    </row>
    <row r="12" spans="1:16" x14ac:dyDescent="0.25">
      <c r="A12" s="16">
        <v>4</v>
      </c>
      <c r="B12" s="30">
        <f>'График аннуитет.'!B11</f>
        <v>46183</v>
      </c>
      <c r="C12" s="31">
        <f>IF(umumiy_malumot!$B$78=umumiy_malumot!$C$78,'График дифференц'!C11,IF(umumiy_malumot!$B$78=umumiy_malumot!$D$78,'График аннуитет.'!C11))</f>
        <v>160416666.66999996</v>
      </c>
      <c r="D12" s="31">
        <f>IF(umumiy_malumot!$B$78=umumiy_malumot!$C$78,'График дифференц'!D11,IF(umumiy_malumot!$B$78=umumiy_malumot!$D$78,'График аннуитет.'!D11))</f>
        <v>4861111.1100000003</v>
      </c>
      <c r="E12" s="31">
        <f>IF(umumiy_malumot!$B$78=umumiy_malumot!$C$78,'График дифференц'!E11,IF(umumiy_malumot!$B$78=umumiy_malumot!$D$78,'График аннуитет.'!E11))</f>
        <v>7251712.1999999993</v>
      </c>
      <c r="F12" s="31">
        <f>IF(umumiy_malumot!$B$78=umumiy_malumot!$C$78,'График дифференц'!F11,IF(umumiy_malumot!$B$78=umumiy_malumot!$D$78,'График аннуитет.'!F11))</f>
        <v>12112823.309999999</v>
      </c>
      <c r="H12" s="324" t="s">
        <v>360</v>
      </c>
      <c r="I12" s="324"/>
      <c r="J12" s="324"/>
      <c r="K12" s="324"/>
      <c r="L12" s="324"/>
      <c r="M12" s="324"/>
      <c r="N12" s="324"/>
      <c r="O12" s="324"/>
      <c r="P12" s="324"/>
    </row>
    <row r="13" spans="1:16" x14ac:dyDescent="0.25">
      <c r="A13" s="16">
        <v>5</v>
      </c>
      <c r="B13" s="30">
        <f>'График аннуитет.'!B12</f>
        <v>46213</v>
      </c>
      <c r="C13" s="31">
        <f>IF(umumiy_malumot!$B$78=umumiy_malumot!$C$78,'График дифференц'!C12,IF(umumiy_malumot!$B$78=umumiy_malumot!$D$78,'График аннуитет.'!C12))</f>
        <v>155555555.55999994</v>
      </c>
      <c r="D13" s="31">
        <f>IF(umumiy_malumot!$B$78=umumiy_malumot!$C$78,'График дифференц'!D12,IF(umumiy_malumot!$B$78=umumiy_malumot!$D$78,'График аннуитет.'!D12))</f>
        <v>4861111.1100000003</v>
      </c>
      <c r="E13" s="31">
        <f>IF(umumiy_malumot!$B$78=umumiy_malumot!$C$78,'График дифференц'!E12,IF(umumiy_malumot!$B$78=umumiy_malumot!$D$78,'График аннуитет.'!E12))</f>
        <v>7031963.4000000004</v>
      </c>
      <c r="F13" s="31">
        <f>IF(umumiy_malumot!$B$78=umumiy_malumot!$C$78,'График дифференц'!F12,IF(umumiy_malumot!$B$78=umumiy_malumot!$D$78,'График аннуитет.'!F12))</f>
        <v>11893074.510000002</v>
      </c>
      <c r="H13" s="324"/>
      <c r="I13" s="324"/>
      <c r="J13" s="324"/>
      <c r="K13" s="324"/>
      <c r="L13" s="324"/>
      <c r="M13" s="324"/>
      <c r="N13" s="324"/>
      <c r="O13" s="324"/>
      <c r="P13" s="324"/>
    </row>
    <row r="14" spans="1:16" x14ac:dyDescent="0.25">
      <c r="A14" s="16">
        <v>6</v>
      </c>
      <c r="B14" s="30">
        <f>'График аннуитет.'!B13</f>
        <v>46244</v>
      </c>
      <c r="C14" s="31">
        <f>IF(umumiy_malumot!$B$78=umumiy_malumot!$C$78,'График дифференц'!C13,IF(umumiy_malumot!$B$78=umumiy_malumot!$D$78,'График аннуитет.'!C13))</f>
        <v>150694444.44999993</v>
      </c>
      <c r="D14" s="31">
        <f>IF(umumiy_malumot!$B$78=umumiy_malumot!$C$78,'График дифференц'!D13,IF(umumiy_malumot!$B$78=umumiy_malumot!$D$78,'График аннуитет.'!D13))</f>
        <v>4861111.1100000003</v>
      </c>
      <c r="E14" s="31">
        <f>IF(umumiy_malumot!$B$78=umumiy_malumot!$C$78,'График дифференц'!E13,IF(umumiy_malumot!$B$78=umumiy_malumot!$D$78,'График аннуитет.'!E13))</f>
        <v>7039288.4199999999</v>
      </c>
      <c r="F14" s="31">
        <f>IF(umumiy_malumot!$B$78=umumiy_malumot!$C$78,'График дифференц'!F13,IF(umumiy_malumot!$B$78=umumiy_malumot!$D$78,'График аннуитет.'!F13))</f>
        <v>11900399.530000001</v>
      </c>
      <c r="H14" s="324"/>
      <c r="I14" s="324"/>
      <c r="J14" s="324"/>
      <c r="K14" s="324"/>
      <c r="L14" s="324"/>
      <c r="M14" s="324"/>
      <c r="N14" s="324"/>
      <c r="O14" s="324"/>
      <c r="P14" s="324"/>
    </row>
    <row r="15" spans="1:16" x14ac:dyDescent="0.25">
      <c r="A15" s="16">
        <v>7</v>
      </c>
      <c r="B15" s="30">
        <f>'График аннуитет.'!B14</f>
        <v>46275</v>
      </c>
      <c r="C15" s="31">
        <f>IF(umumiy_malumot!$B$78=umumiy_malumot!$C$78,'График дифференц'!C14,IF(umumiy_malumot!$B$78=umumiy_malumot!$D$78,'График аннуитет.'!C14))</f>
        <v>145833333.33999991</v>
      </c>
      <c r="D15" s="31">
        <f>IF(umumiy_malumot!$B$78=umumiy_malumot!$C$78,'График дифференц'!D14,IF(umumiy_malumot!$B$78=umumiy_malumot!$D$78,'График аннуитет.'!D14))</f>
        <v>4861111.1100000003</v>
      </c>
      <c r="E15" s="31">
        <f>IF(umumiy_malumot!$B$78=umumiy_malumot!$C$78,'График дифференц'!E14,IF(umumiy_malumot!$B$78=umumiy_malumot!$D$78,'График аннуитет.'!E14))</f>
        <v>6812214.6599999992</v>
      </c>
      <c r="F15" s="31">
        <f>IF(umumiy_malumot!$B$78=umumiy_malumot!$C$78,'График дифференц'!F14,IF(umumiy_malumot!$B$78=umumiy_malumot!$D$78,'График аннуитет.'!F14))</f>
        <v>11673325.77</v>
      </c>
      <c r="H15" s="324"/>
      <c r="I15" s="324"/>
      <c r="J15" s="324"/>
      <c r="K15" s="324"/>
      <c r="L15" s="324"/>
      <c r="M15" s="324"/>
      <c r="N15" s="324"/>
      <c r="O15" s="324"/>
      <c r="P15" s="324"/>
    </row>
    <row r="16" spans="1:16" x14ac:dyDescent="0.25">
      <c r="A16" s="16">
        <v>8</v>
      </c>
      <c r="B16" s="30">
        <f>'График аннуитет.'!B15</f>
        <v>46307</v>
      </c>
      <c r="C16" s="31">
        <f>IF(umumiy_malumot!$B$78=umumiy_malumot!$C$78,'График дифференц'!C15,IF(umumiy_malumot!$B$78=umumiy_malumot!$D$78,'График аннуитет.'!C15))</f>
        <v>140972222.2299999</v>
      </c>
      <c r="D16" s="31">
        <f>IF(umumiy_malumot!$B$78=umumiy_malumot!$C$78,'График дифференц'!D15,IF(umumiy_malumot!$B$78=umumiy_malumot!$D$78,'График аннуитет.'!D15))</f>
        <v>4861111.1100000003</v>
      </c>
      <c r="E16" s="31">
        <f>IF(umumiy_malumot!$B$78=umumiy_malumot!$C$78,'График дифференц'!E15,IF(umumiy_malumot!$B$78=umumiy_malumot!$D$78,'График аннуитет.'!E15))</f>
        <v>6797564.7999999998</v>
      </c>
      <c r="F16" s="31">
        <f>IF(umumiy_malumot!$B$78=umumiy_malumot!$C$78,'График дифференц'!F15,IF(umumiy_malumot!$B$78=umumiy_malumot!$D$78,'График аннуитет.'!F15))</f>
        <v>11658675.91</v>
      </c>
      <c r="H16" s="324"/>
      <c r="I16" s="324"/>
      <c r="J16" s="324"/>
      <c r="K16" s="324"/>
      <c r="L16" s="324"/>
      <c r="M16" s="324"/>
      <c r="N16" s="324"/>
      <c r="O16" s="324"/>
      <c r="P16" s="324"/>
    </row>
    <row r="17" spans="1:16" x14ac:dyDescent="0.25">
      <c r="A17" s="16">
        <v>9</v>
      </c>
      <c r="B17" s="30">
        <f>'График аннуитет.'!B16</f>
        <v>46336</v>
      </c>
      <c r="C17" s="31">
        <f>IF(umumiy_malumot!$B$78=umumiy_malumot!$C$78,'График дифференц'!C16,IF(umumiy_malumot!$B$78=umumiy_malumot!$D$78,'График аннуитет.'!C16))</f>
        <v>136111111.11999989</v>
      </c>
      <c r="D17" s="31">
        <f>IF(umumiy_malumot!$B$78=umumiy_malumot!$C$78,'График дифференц'!D16,IF(umumiy_malumot!$B$78=umumiy_malumot!$D$78,'График аннуитет.'!D16))</f>
        <v>4861111.1100000003</v>
      </c>
      <c r="E17" s="31">
        <f>IF(umumiy_malumot!$B$78=umumiy_malumot!$C$78,'График дифференц'!E16,IF(umumiy_malumot!$B$78=umumiy_malumot!$D$78,'График аннуитет.'!E16))</f>
        <v>5947868.9699999997</v>
      </c>
      <c r="F17" s="31">
        <f>IF(umumiy_malumot!$B$78=umumiy_malumot!$C$78,'График дифференц'!F16,IF(umumiy_malumot!$B$78=umumiy_malumot!$D$78,'График аннуитет.'!F16))</f>
        <v>10808980.08</v>
      </c>
      <c r="H17" s="324"/>
      <c r="I17" s="324"/>
      <c r="J17" s="324"/>
      <c r="K17" s="324"/>
      <c r="L17" s="324"/>
      <c r="M17" s="324"/>
      <c r="N17" s="324"/>
      <c r="O17" s="324"/>
      <c r="P17" s="324"/>
    </row>
    <row r="18" spans="1:16" x14ac:dyDescent="0.25">
      <c r="A18" s="16">
        <v>10</v>
      </c>
      <c r="B18" s="30">
        <f>'График аннуитет.'!B17</f>
        <v>46366</v>
      </c>
      <c r="C18" s="31">
        <f>IF(umumiy_malumot!$B$78=umumiy_malumot!$C$78,'График дифференц'!C17,IF(umumiy_malumot!$B$78=umumiy_malumot!$D$78,'График аннуитет.'!C17))</f>
        <v>131250000.00999989</v>
      </c>
      <c r="D18" s="31">
        <f>IF(umumiy_malumot!$B$78=umumiy_malumot!$C$78,'График дифференц'!D17,IF(umumiy_malumot!$B$78=umumiy_malumot!$D$78,'График аннуитет.'!D17))</f>
        <v>4861111.1100000003</v>
      </c>
      <c r="E18" s="31">
        <f>IF(umumiy_malumot!$B$78=umumiy_malumot!$C$78,'График дифференц'!E17,IF(umumiy_malumot!$B$78=umumiy_malumot!$D$78,'График аннуитет.'!E17))</f>
        <v>5933219.0999999996</v>
      </c>
      <c r="F18" s="31">
        <f>IF(umumiy_malumot!$B$78=umumiy_malumot!$C$78,'График дифференц'!F17,IF(umumiy_malumot!$B$78=umumiy_malumot!$D$78,'График аннуитет.'!F17))</f>
        <v>10794330.210000001</v>
      </c>
      <c r="H18" s="324"/>
      <c r="I18" s="324"/>
      <c r="J18" s="324"/>
      <c r="K18" s="324"/>
      <c r="L18" s="324"/>
      <c r="M18" s="324"/>
      <c r="N18" s="324"/>
      <c r="O18" s="324"/>
      <c r="P18" s="324"/>
    </row>
    <row r="19" spans="1:16" x14ac:dyDescent="0.25">
      <c r="A19" s="16">
        <v>11</v>
      </c>
      <c r="B19" s="30">
        <f>'График аннуитет.'!B18</f>
        <v>46398</v>
      </c>
      <c r="C19" s="31">
        <f>IF(umumiy_malumot!$B$78=umumiy_malumot!$C$78,'График дифференц'!C18,IF(umumiy_malumot!$B$78=umumiy_malumot!$D$78,'График аннуитет.'!C18))</f>
        <v>126388888.89999989</v>
      </c>
      <c r="D19" s="31">
        <f>IF(umumiy_malumot!$B$78=umumiy_malumot!$C$78,'График дифференц'!D18,IF(umumiy_malumot!$B$78=umumiy_malumot!$D$78,'График аннуитет.'!D18))</f>
        <v>4861111.1100000003</v>
      </c>
      <c r="E19" s="31">
        <f>IF(umumiy_malumot!$B$78=umumiy_malumot!$C$78,'График дифференц'!E18,IF(umumiy_malumot!$B$78=umumiy_malumot!$D$78,'График аннуитет.'!E18))</f>
        <v>6094368.3200000003</v>
      </c>
      <c r="F19" s="31">
        <f>IF(umumiy_malumot!$B$78=umumiy_malumot!$C$78,'График дифференц'!F18,IF(umumiy_malumot!$B$78=umumiy_malumot!$D$78,'График аннуитет.'!F18))</f>
        <v>10955479.43</v>
      </c>
      <c r="H19" s="324"/>
      <c r="I19" s="324"/>
      <c r="J19" s="324"/>
      <c r="K19" s="324"/>
      <c r="L19" s="324"/>
      <c r="M19" s="324"/>
      <c r="N19" s="324"/>
      <c r="O19" s="324"/>
      <c r="P19" s="324"/>
    </row>
    <row r="20" spans="1:16" x14ac:dyDescent="0.25">
      <c r="A20" s="16">
        <v>12</v>
      </c>
      <c r="B20" s="30">
        <f>'График аннуитет.'!B19</f>
        <v>46428</v>
      </c>
      <c r="C20" s="31">
        <f>IF(umumiy_malumot!$B$78=umumiy_malumot!$C$78,'График дифференц'!C19,IF(umumiy_malumot!$B$78=umumiy_malumot!$D$78,'График аннуитет.'!C19))</f>
        <v>121527777.78999989</v>
      </c>
      <c r="D20" s="31">
        <f>IF(umumiy_malumot!$B$78=umumiy_malumot!$C$78,'График дифференц'!D19,IF(umumiy_malumot!$B$78=umumiy_malumot!$D$78,'График аннуитет.'!D19))</f>
        <v>4861111.1100000003</v>
      </c>
      <c r="E20" s="31">
        <f>IF(umumiy_malumot!$B$78=umumiy_malumot!$C$78,'График дифференц'!E19,IF(umumiy_malumot!$B$78=umumiy_malumot!$D$78,'График аннуитет.'!E19))</f>
        <v>5493721.5</v>
      </c>
      <c r="F20" s="31">
        <f>IF(umumiy_malumot!$B$78=umumiy_malumot!$C$78,'График дифференц'!F19,IF(umumiy_malumot!$B$78=umumiy_malumot!$D$78,'График аннуитет.'!F19))</f>
        <v>10354832.609999999</v>
      </c>
      <c r="H20" s="324"/>
      <c r="I20" s="324"/>
      <c r="J20" s="324"/>
      <c r="K20" s="324"/>
      <c r="L20" s="324"/>
      <c r="M20" s="324"/>
      <c r="N20" s="324"/>
      <c r="O20" s="324"/>
      <c r="P20" s="324"/>
    </row>
    <row r="21" spans="1:16" x14ac:dyDescent="0.25">
      <c r="A21" s="16">
        <v>13</v>
      </c>
      <c r="B21" s="30">
        <f>'График аннуитет.'!B20</f>
        <v>46456</v>
      </c>
      <c r="C21" s="31">
        <f>IF(umumiy_malumot!$B$78=umumiy_malumot!$C$78,'График дифференц'!C20,IF(umumiy_malumot!$B$78=umumiy_malumot!$D$78,'График аннуитет.'!C20))</f>
        <v>116666666.67999989</v>
      </c>
      <c r="D21" s="31">
        <f>IF(umumiy_malumot!$B$78=umumiy_malumot!$C$78,'График дифференц'!D20,IF(umumiy_malumot!$B$78=umumiy_malumot!$D$78,'График аннуитет.'!D20))</f>
        <v>4861111.1100000003</v>
      </c>
      <c r="E21" s="31">
        <f>IF(umumiy_malumot!$B$78=umumiy_malumot!$C$78,'График дифференц'!E20,IF(umumiy_malumot!$B$78=umumiy_malumot!$D$78,'График аннуитет.'!E20))</f>
        <v>4922374.5199999996</v>
      </c>
      <c r="F21" s="31">
        <f>IF(umumiy_malumot!$B$78=umumiy_malumot!$C$78,'График дифференц'!F20,IF(umumiy_malumot!$B$78=umumiy_malumot!$D$78,'График аннуитет.'!F20))</f>
        <v>9783485.629999999</v>
      </c>
      <c r="H21" s="324"/>
      <c r="I21" s="324"/>
      <c r="J21" s="324"/>
      <c r="K21" s="324"/>
      <c r="L21" s="324"/>
      <c r="M21" s="324"/>
      <c r="N21" s="324"/>
      <c r="O21" s="324"/>
      <c r="P21" s="324"/>
    </row>
    <row r="22" spans="1:16" x14ac:dyDescent="0.25">
      <c r="A22" s="16">
        <v>14</v>
      </c>
      <c r="B22" s="30">
        <f>'График аннуитет.'!B21</f>
        <v>46489</v>
      </c>
      <c r="C22" s="31">
        <f>IF(umumiy_malumot!$B$78=umumiy_malumot!$C$78,'График дифференц'!C21,IF(umumiy_malumot!$B$78=umumiy_malumot!$D$78,'График аннуитет.'!C21))</f>
        <v>111805555.56999989</v>
      </c>
      <c r="D22" s="31">
        <f>IF(umumiy_malumot!$B$78=umumiy_malumot!$C$78,'График дифференц'!D21,IF(umumiy_malumot!$B$78=umumiy_malumot!$D$78,'График аннуитет.'!D21))</f>
        <v>4861111.1100000003</v>
      </c>
      <c r="E22" s="31">
        <f>IF(umumiy_malumot!$B$78=umumiy_malumot!$C$78,'График дифференц'!E21,IF(umumiy_malumot!$B$78=umumiy_malumot!$D$78,'График аннуитет.'!E21))</f>
        <v>5559645.96</v>
      </c>
      <c r="F22" s="31">
        <f>IF(umumiy_malumot!$B$78=umumiy_malumot!$C$78,'График дифференц'!F21,IF(umumiy_malumot!$B$78=umumiy_malumot!$D$78,'График аннуитет.'!F21))</f>
        <v>10420757.07</v>
      </c>
      <c r="H22" s="324"/>
      <c r="I22" s="324"/>
      <c r="J22" s="324"/>
      <c r="K22" s="324"/>
      <c r="L22" s="324"/>
      <c r="M22" s="324"/>
      <c r="N22" s="324"/>
      <c r="O22" s="324"/>
      <c r="P22" s="324"/>
    </row>
    <row r="23" spans="1:16" x14ac:dyDescent="0.25">
      <c r="A23" s="16">
        <v>15</v>
      </c>
      <c r="B23" s="30">
        <f>'График аннуитет.'!B22</f>
        <v>46517</v>
      </c>
      <c r="C23" s="31">
        <f>IF(umumiy_malumot!$B$78=umumiy_malumot!$C$78,'График дифференц'!C22,IF(umumiy_malumot!$B$78=umumiy_malumot!$D$78,'График аннуитет.'!C22))</f>
        <v>106944444.45999989</v>
      </c>
      <c r="D23" s="31">
        <f>IF(umumiy_malumot!$B$78=umumiy_malumot!$C$78,'График дифференц'!D22,IF(umumiy_malumot!$B$78=umumiy_malumot!$D$78,'График аннуитет.'!D22))</f>
        <v>4861111.1100000003</v>
      </c>
      <c r="E23" s="31">
        <f>IF(umumiy_malumot!$B$78=umumiy_malumot!$C$78,'График дифференц'!E22,IF(umumiy_malumot!$B$78=umumiy_malumot!$D$78,'График аннуитет.'!E22))</f>
        <v>4512176.4800000004</v>
      </c>
      <c r="F23" s="31">
        <f>IF(umumiy_malumot!$B$78=umumiy_malumot!$C$78,'График дифференц'!F22,IF(umumiy_malumot!$B$78=umumiy_malumot!$D$78,'График аннуитет.'!F22))</f>
        <v>9373287.5899999999</v>
      </c>
      <c r="H23" s="324"/>
      <c r="I23" s="324"/>
      <c r="J23" s="324"/>
      <c r="K23" s="324"/>
      <c r="L23" s="324"/>
      <c r="M23" s="324"/>
      <c r="N23" s="324"/>
      <c r="O23" s="324"/>
      <c r="P23" s="324"/>
    </row>
    <row r="24" spans="1:16" x14ac:dyDescent="0.25">
      <c r="A24" s="16">
        <v>16</v>
      </c>
      <c r="B24" s="30">
        <f>'График аннуитет.'!B23</f>
        <v>46548</v>
      </c>
      <c r="C24" s="31">
        <f>IF(umumiy_malumot!$B$78=umumiy_malumot!$C$78,'График дифференц'!C23,IF(umumiy_malumot!$B$78=umumiy_malumot!$D$78,'График аннуитет.'!C23))</f>
        <v>102083333.34999989</v>
      </c>
      <c r="D24" s="31">
        <f>IF(umumiy_malumot!$B$78=umumiy_malumot!$C$78,'График дифференц'!D23,IF(umumiy_malumot!$B$78=umumiy_malumot!$D$78,'График аннуитет.'!D23))</f>
        <v>4861111.1100000003</v>
      </c>
      <c r="E24" s="31">
        <f>IF(umumiy_malumot!$B$78=umumiy_malumot!$C$78,'График дифференц'!E23,IF(umumiy_malumot!$B$78=umumiy_malumot!$D$78,'График аннуитет.'!E23))</f>
        <v>4768550.2</v>
      </c>
      <c r="F24" s="31">
        <f>IF(umumiy_malumot!$B$78=umumiy_malumot!$C$78,'График дифференц'!F23,IF(umumiy_malumot!$B$78=umumiy_malumot!$D$78,'График аннуитет.'!F23))</f>
        <v>9629661.3100000005</v>
      </c>
      <c r="H24" s="324"/>
      <c r="I24" s="324"/>
      <c r="J24" s="324"/>
      <c r="K24" s="324"/>
      <c r="L24" s="324"/>
      <c r="M24" s="324"/>
      <c r="N24" s="324"/>
      <c r="O24" s="324"/>
      <c r="P24" s="324"/>
    </row>
    <row r="25" spans="1:16" x14ac:dyDescent="0.25">
      <c r="A25" s="16">
        <v>17</v>
      </c>
      <c r="B25" s="30">
        <f>'График аннуитет.'!B24</f>
        <v>46580</v>
      </c>
      <c r="C25" s="31">
        <f>IF(umumiy_malumot!$B$78=umumiy_malumot!$C$78,'График дифференц'!C24,IF(umumiy_malumot!$B$78=umumiy_malumot!$D$78,'График аннуитет.'!C24))</f>
        <v>97222222.23999989</v>
      </c>
      <c r="D25" s="31">
        <f>IF(umumiy_malumot!$B$78=umumiy_malumot!$C$78,'График дифференц'!D24,IF(umumiy_malumot!$B$78=umumiy_malumot!$D$78,'График аннуитет.'!D24))</f>
        <v>4861111.1100000003</v>
      </c>
      <c r="E25" s="31">
        <f>IF(umumiy_malumot!$B$78=umumiy_malumot!$C$78,'График дифференц'!E24,IF(umumiy_malumot!$B$78=umumiy_malumot!$D$78,'График аннуитет.'!E24))</f>
        <v>4687975.68</v>
      </c>
      <c r="F25" s="31">
        <f>IF(umumiy_malumot!$B$78=umumiy_malumot!$C$78,'График дифференц'!F24,IF(umumiy_malumot!$B$78=umumiy_malumot!$D$78,'График аннуитет.'!F24))</f>
        <v>9549086.7899999991</v>
      </c>
    </row>
    <row r="26" spans="1:16" x14ac:dyDescent="0.25">
      <c r="A26" s="16">
        <v>18</v>
      </c>
      <c r="B26" s="30">
        <f>'График аннуитет.'!B25</f>
        <v>46609</v>
      </c>
      <c r="C26" s="31">
        <f>IF(umumiy_malumot!$B$78=umumiy_malumot!$C$78,'График дифференц'!C25,IF(umumiy_malumot!$B$78=umumiy_malumot!$D$78,'График аннуитет.'!C25))</f>
        <v>92361111.129999891</v>
      </c>
      <c r="D26" s="31">
        <f>IF(umumiy_malumot!$B$78=umumiy_malumot!$C$78,'График дифференц'!D25,IF(umumiy_malumot!$B$78=umumiy_malumot!$D$78,'График аннуитет.'!D25))</f>
        <v>4861111.1100000003</v>
      </c>
      <c r="E26" s="31">
        <f>IF(umumiy_malumot!$B$78=umumiy_malumot!$C$78,'График дифференц'!E25,IF(umumiy_malumot!$B$78=umumiy_malumot!$D$78,'График аннуитет.'!E25))</f>
        <v>4036054.12</v>
      </c>
      <c r="F26" s="31">
        <f>IF(umumiy_malumot!$B$78=umumiy_malumot!$C$78,'График дифференц'!F25,IF(umumiy_malumot!$B$78=umumiy_malumot!$D$78,'График аннуитет.'!F25))</f>
        <v>8897165.2300000004</v>
      </c>
    </row>
    <row r="27" spans="1:16" x14ac:dyDescent="0.25">
      <c r="A27" s="16">
        <f>1+A26</f>
        <v>19</v>
      </c>
      <c r="B27" s="30">
        <f>'График аннуитет.'!B26</f>
        <v>46640</v>
      </c>
      <c r="C27" s="31">
        <f>IF(umumiy_malumot!$B$78=umumiy_malumot!$C$78,'График дифференц'!C26,IF(umumiy_malumot!$B$78=umumiy_malumot!$D$78,'График аннуитет.'!C26))</f>
        <v>87500000.019999892</v>
      </c>
      <c r="D27" s="31">
        <f>IF(umumiy_malumot!$B$78=umumiy_malumot!$C$78,'График дифференц'!D26,IF(umumiy_malumot!$B$78=umumiy_malumot!$D$78,'График аннуитет.'!D26))</f>
        <v>4861111.1100000003</v>
      </c>
      <c r="E27" s="31">
        <f>IF(umumiy_malumot!$B$78=umumiy_malumot!$C$78,'График дифференц'!E26,IF(umumiy_malumot!$B$78=umumiy_malumot!$D$78,'График аннуитет.'!E26))</f>
        <v>4087328.9200000004</v>
      </c>
      <c r="F27" s="31">
        <f>IF(umumiy_malumot!$B$78=umumiy_malumot!$C$78,'График дифференц'!F26,IF(umumiy_malumot!$B$78=umumiy_malumot!$D$78,'График аннуитет.'!F26))</f>
        <v>8948440.0300000012</v>
      </c>
    </row>
    <row r="28" spans="1:16" x14ac:dyDescent="0.25">
      <c r="A28" s="16">
        <f t="shared" ref="A28:A43" si="0">1+A27</f>
        <v>20</v>
      </c>
      <c r="B28" s="30">
        <f>'График аннуитет.'!B27</f>
        <v>46671</v>
      </c>
      <c r="C28" s="31">
        <f>IF(umumiy_malumot!$B$78=umumiy_malumot!$C$78,'График дифференц'!C27,IF(umumiy_malumot!$B$78=umumiy_malumot!$D$78,'График аннуитет.'!C27))</f>
        <v>82638888.909999892</v>
      </c>
      <c r="D28" s="31">
        <f>IF(umumiy_malumot!$B$78=umumiy_malumot!$C$78,'График дифференц'!D27,IF(umumiy_malumot!$B$78=umumiy_malumot!$D$78,'График аннуитет.'!D27))</f>
        <v>4861111.1100000003</v>
      </c>
      <c r="E28" s="31">
        <f>IF(umumiy_malumot!$B$78=umumiy_malumot!$C$78,'График дифференц'!E27,IF(umumiy_malumot!$B$78=umumiy_malumot!$D$78,'График аннуитет.'!E27))</f>
        <v>3860254.85</v>
      </c>
      <c r="F28" s="31">
        <f>IF(umumiy_malumot!$B$78=umumiy_malumot!$C$78,'График дифференц'!F27,IF(umumiy_malumot!$B$78=umumiy_malumot!$D$78,'График аннуитет.'!F27))</f>
        <v>8721365.9600000009</v>
      </c>
    </row>
    <row r="29" spans="1:16" x14ac:dyDescent="0.25">
      <c r="A29" s="16">
        <f t="shared" si="0"/>
        <v>21</v>
      </c>
      <c r="B29" s="30">
        <f>'График аннуитет.'!B28</f>
        <v>46701</v>
      </c>
      <c r="C29" s="31">
        <f>IF(umumiy_malumot!$B$78=umumiy_malumot!$C$78,'График дифференц'!C28,IF(umumiy_malumot!$B$78=umumiy_malumot!$D$78,'График аннуитет.'!C28))</f>
        <v>77777777.799999893</v>
      </c>
      <c r="D29" s="31">
        <f>IF(umumiy_malumot!$B$78=umumiy_malumot!$C$78,'График дифференц'!D28,IF(umumiy_malumot!$B$78=umumiy_malumot!$D$78,'График аннуитет.'!D28))</f>
        <v>4861111.1100000003</v>
      </c>
      <c r="E29" s="31">
        <f>IF(umumiy_malumot!$B$78=umumiy_malumot!$C$78,'График дифференц'!E28,IF(umumiy_malumot!$B$78=umumiy_malumot!$D$78,'График аннуитет.'!E28))</f>
        <v>3515981.7</v>
      </c>
      <c r="F29" s="31">
        <f>IF(umumiy_malumot!$B$78=umumiy_malumot!$C$78,'График дифференц'!F28,IF(umumiy_malumot!$B$78=umumiy_malumot!$D$78,'График аннуитет.'!F28))</f>
        <v>8377092.8100000005</v>
      </c>
    </row>
    <row r="30" spans="1:16" x14ac:dyDescent="0.25">
      <c r="A30" s="16">
        <f t="shared" si="0"/>
        <v>22</v>
      </c>
      <c r="B30" s="30">
        <f>'График аннуитет.'!B29</f>
        <v>46731</v>
      </c>
      <c r="C30" s="31">
        <f>IF(umumiy_malumot!$B$78=umumiy_malumot!$C$78,'График дифференц'!C29,IF(umumiy_malumot!$B$78=umumiy_malumot!$D$78,'График аннуитет.'!C29))</f>
        <v>72916666.689999893</v>
      </c>
      <c r="D30" s="31">
        <f>IF(umumiy_malumot!$B$78=umumiy_malumot!$C$78,'График дифференц'!D29,IF(umumiy_malumot!$B$78=umumiy_malumot!$D$78,'График аннуитет.'!D29))</f>
        <v>4861111.1100000003</v>
      </c>
      <c r="E30" s="31">
        <f>IF(umumiy_malumot!$B$78=umumiy_malumot!$C$78,'График дифференц'!E29,IF(umumiy_malumot!$B$78=umumiy_malumot!$D$78,'График аннуитет.'!E29))</f>
        <v>3296232.9</v>
      </c>
      <c r="F30" s="31">
        <f>IF(umumiy_malumot!$B$78=umumiy_malumot!$C$78,'График дифференц'!F29,IF(umumiy_malumot!$B$78=umumiy_malumot!$D$78,'График аннуитет.'!F29))</f>
        <v>8157344.0099999998</v>
      </c>
    </row>
    <row r="31" spans="1:16" x14ac:dyDescent="0.25">
      <c r="A31" s="16">
        <f t="shared" si="0"/>
        <v>23</v>
      </c>
      <c r="B31" s="30">
        <f>'График аннуитет.'!B30</f>
        <v>46762</v>
      </c>
      <c r="C31" s="31">
        <f>IF(umumiy_malumot!$B$78=umumiy_malumot!$C$78,'График дифференц'!C30,IF(umumiy_malumot!$B$78=umumiy_malumot!$D$78,'График аннуитет.'!C30))</f>
        <v>68055555.579999894</v>
      </c>
      <c r="D31" s="31">
        <f>IF(umumiy_malumot!$B$78=umumiy_malumot!$C$78,'График дифференц'!D30,IF(umumiy_malumot!$B$78=umumiy_malumot!$D$78,'График аннуитет.'!D30))</f>
        <v>4861111.1100000003</v>
      </c>
      <c r="E31" s="31">
        <f>IF(umumiy_malumot!$B$78=umumiy_malumot!$C$78,'График дифференц'!E30,IF(umumiy_malumot!$B$78=umumiy_malumot!$D$78,'График аннуитет.'!E30))</f>
        <v>3170347.68</v>
      </c>
      <c r="F31" s="31">
        <f>IF(umumiy_malumot!$B$78=umumiy_malumot!$C$78,'График дифференц'!F30,IF(umumiy_malumot!$B$78=umumiy_malumot!$D$78,'График аннуитет.'!F30))</f>
        <v>8031458.790000001</v>
      </c>
    </row>
    <row r="32" spans="1:16" x14ac:dyDescent="0.25">
      <c r="A32" s="16">
        <f t="shared" si="0"/>
        <v>24</v>
      </c>
      <c r="B32" s="30">
        <f>'График аннуитет.'!B31</f>
        <v>46793</v>
      </c>
      <c r="C32" s="31">
        <f>IF(umumiy_malumot!$B$78=umumiy_malumot!$C$78,'График дифференц'!C31,IF(umumiy_malumot!$B$78=umumiy_malumot!$D$78,'График аннуитет.'!C31))</f>
        <v>63194444.469999894</v>
      </c>
      <c r="D32" s="31">
        <f>IF(umumiy_malumot!$B$78=umumiy_malumot!$C$78,'График дифференц'!D31,IF(umumiy_malumot!$B$78=umumiy_malumot!$D$78,'График аннуитет.'!D31))</f>
        <v>4861111.1100000003</v>
      </c>
      <c r="E32" s="31">
        <f>IF(umumiy_malumot!$B$78=umumiy_malumot!$C$78,'График дифференц'!E31,IF(umumiy_malumot!$B$78=umumiy_malumot!$D$78,'График аннуитет.'!E31))</f>
        <v>2943894.23</v>
      </c>
      <c r="F32" s="31">
        <f>IF(umumiy_malumot!$B$78=umumiy_malumot!$C$78,'График дифференц'!F31,IF(umumiy_malumot!$B$78=umumiy_malumot!$D$78,'График аннуитет.'!F31))</f>
        <v>7805005.3399999999</v>
      </c>
    </row>
    <row r="33" spans="1:6" x14ac:dyDescent="0.25">
      <c r="A33" s="16">
        <f t="shared" si="0"/>
        <v>25</v>
      </c>
      <c r="B33" s="30">
        <f>IF('График аннуитет.'!B32=FALSE,"",'График аннуитет.'!B32)</f>
        <v>46822</v>
      </c>
      <c r="C33" s="31">
        <f>IF(umumiy_malumot!$B$78=umumiy_malumot!$C$78,'График дифференц'!C32,IF(umumiy_malumot!$B$78=umumiy_malumot!$D$78,'График аннуитет.'!C32))</f>
        <v>58333333.359999895</v>
      </c>
      <c r="D33" s="31">
        <f>IF(umumiy_malumot!$B$78=umumiy_malumot!$C$78,'График дифференц'!D32,IF(umumiy_malumot!$B$78=umumiy_malumot!$D$78,'График аннуитет.'!D32))</f>
        <v>4861111.1100000003</v>
      </c>
      <c r="E33" s="31">
        <f>IF(umumiy_malumot!$B$78=umumiy_malumot!$C$78,'График дифференц'!E32,IF(umumiy_malumot!$B$78=umumiy_malumot!$D$78,'График аннуитет.'!E32))</f>
        <v>2542122.02</v>
      </c>
      <c r="F33" s="31">
        <f>IF(umumiy_malumot!$B$78=umumiy_malumot!$C$78,'График дифференц'!F32,IF(umumiy_malumot!$B$78=umumiy_malumot!$D$78,'График аннуитет.'!F32))</f>
        <v>7403233.1300000008</v>
      </c>
    </row>
    <row r="34" spans="1:6" x14ac:dyDescent="0.25">
      <c r="A34" s="16">
        <f t="shared" si="0"/>
        <v>26</v>
      </c>
      <c r="B34" s="30">
        <f>IF('График аннуитет.'!B33=FALSE,"",'График аннуитет.'!B33)</f>
        <v>46853</v>
      </c>
      <c r="C34" s="31">
        <f>IF(umumiy_malumot!$B$78=umumiy_malumot!$C$78,'График дифференц'!C33,IF(umumiy_malumot!$B$78=umumiy_malumot!$D$78,'График аннуитет.'!C33))</f>
        <v>53472222.249999896</v>
      </c>
      <c r="D34" s="31">
        <f>IF(umumiy_malumot!$B$78=umumiy_malumot!$C$78,'График дифференц'!D33,IF(umumiy_malumot!$B$78=umumiy_malumot!$D$78,'График аннуитет.'!D33))</f>
        <v>4861111.1100000003</v>
      </c>
      <c r="E34" s="31">
        <f>IF(umumiy_malumot!$B$78=umumiy_malumot!$C$78,'График дифференц'!E33,IF(umumiy_malumot!$B$78=umumiy_malumot!$D$78,'График аннуитет.'!E33))</f>
        <v>2490987.3299999996</v>
      </c>
      <c r="F34" s="31">
        <f>IF(umumiy_malumot!$B$78=umumiy_malumot!$C$78,'График дифференц'!F33,IF(umumiy_malumot!$B$78=umumiy_malumot!$D$78,'График аннуитет.'!F33))</f>
        <v>7352098.4399999995</v>
      </c>
    </row>
    <row r="35" spans="1:6" x14ac:dyDescent="0.25">
      <c r="A35" s="16">
        <f t="shared" si="0"/>
        <v>27</v>
      </c>
      <c r="B35" s="30">
        <f>IF('График аннуитет.'!B34=FALSE,"",'График аннуитет.'!B34)</f>
        <v>46883</v>
      </c>
      <c r="C35" s="31">
        <f>IF(umumiy_malumot!$B$78=umumiy_malumot!$C$78,'График дифференц'!C34,IF(umumiy_malumot!$B$78=umumiy_malumot!$D$78,'График аннуитет.'!C34))</f>
        <v>48611111.139999896</v>
      </c>
      <c r="D35" s="31">
        <f>IF(umumiy_malumot!$B$78=umumiy_malumot!$C$78,'График дифференц'!D34,IF(umumiy_malumot!$B$78=umumiy_malumot!$D$78,'График аннуитет.'!D34))</f>
        <v>4861111.1100000003</v>
      </c>
      <c r="E35" s="31">
        <f>IF(umumiy_malumot!$B$78=umumiy_malumot!$C$78,'График дифференц'!E34,IF(umumiy_malumot!$B$78=umumiy_malumot!$D$78,'График аннуитет.'!E34))</f>
        <v>2191484.4</v>
      </c>
      <c r="F35" s="31">
        <f>IF(umumiy_malumot!$B$78=umumiy_malumot!$C$78,'График дифференц'!F34,IF(umumiy_malumot!$B$78=umumiy_malumot!$D$78,'График аннуитет.'!F34))</f>
        <v>7052595.5099999998</v>
      </c>
    </row>
    <row r="36" spans="1:6" x14ac:dyDescent="0.25">
      <c r="A36" s="16">
        <f t="shared" si="0"/>
        <v>28</v>
      </c>
      <c r="B36" s="30">
        <f>IF('График аннуитет.'!B35=FALSE,"",'График аннуитет.'!B35)</f>
        <v>46916</v>
      </c>
      <c r="C36" s="31">
        <f>IF(umumiy_malumot!$B$78=umumiy_malumot!$C$78,'График дифференц'!C35,IF(umumiy_malumot!$B$78=umumiy_malumot!$D$78,'График аннуитет.'!C35))</f>
        <v>43750000.029999897</v>
      </c>
      <c r="D36" s="31">
        <f>IF(umumiy_malumot!$B$78=umumiy_malumot!$C$78,'График дифференц'!D35,IF(umumiy_malumot!$B$78=umumiy_malumot!$D$78,'График аннуитет.'!D35))</f>
        <v>4861111.1100000003</v>
      </c>
      <c r="E36" s="31">
        <f>IF(umumiy_malumot!$B$78=umumiy_malumot!$C$78,'График дифференц'!E35,IF(umumiy_malumot!$B$78=umumiy_malumot!$D$78,'График аннуитет.'!E35))</f>
        <v>2169569.8199999998</v>
      </c>
      <c r="F36" s="31">
        <f>IF(umumiy_malumot!$B$78=umumiy_malumot!$C$78,'График дифференц'!F35,IF(umumiy_malumot!$B$78=umumiy_malumot!$D$78,'График аннуитет.'!F35))</f>
        <v>7030680.9299999997</v>
      </c>
    </row>
    <row r="37" spans="1:6" x14ac:dyDescent="0.25">
      <c r="A37" s="16">
        <f t="shared" si="0"/>
        <v>29</v>
      </c>
      <c r="B37" s="30">
        <f>IF('График аннуитет.'!B36=FALSE,"",'График аннуитет.'!B36)</f>
        <v>46944</v>
      </c>
      <c r="C37" s="31">
        <f>IF(umumiy_malumot!$B$78=umumiy_malumot!$C$78,'График дифференц'!C36,IF(umumiy_malumot!$B$78=umumiy_malumot!$D$78,'График аннуитет.'!C36))</f>
        <v>38888888.919999897</v>
      </c>
      <c r="D37" s="31">
        <f>IF(umumiy_malumot!$B$78=umumiy_malumot!$C$78,'График дифференц'!D36,IF(umumiy_malumot!$B$78=umumiy_malumot!$D$78,'График аннуитет.'!D36))</f>
        <v>4861111.1100000003</v>
      </c>
      <c r="E37" s="31">
        <f>IF(umumiy_malumot!$B$78=umumiy_malumot!$C$78,'График дифференц'!E36,IF(umumiy_malumot!$B$78=umumiy_malumot!$D$78,'График аннуитет.'!E36))</f>
        <v>1636308.52</v>
      </c>
      <c r="F37" s="31">
        <f>IF(umumiy_malumot!$B$78=umumiy_malumot!$C$78,'График дифференц'!F36,IF(umumiy_malumot!$B$78=umumiy_malumot!$D$78,'График аннуитет.'!F36))</f>
        <v>6497419.6300000008</v>
      </c>
    </row>
    <row r="38" spans="1:6" x14ac:dyDescent="0.25">
      <c r="A38" s="16">
        <f t="shared" si="0"/>
        <v>30</v>
      </c>
      <c r="B38" s="30">
        <f>IF('График аннуитет.'!B37=FALSE,"",'График аннуитет.'!B37)</f>
        <v>46975</v>
      </c>
      <c r="C38" s="31">
        <f>IF(umumiy_malumot!$B$78=umumiy_malumot!$C$78,'График дифференц'!C37,IF(umumiy_malumot!$B$78=umumiy_malumot!$D$78,'График аннуитет.'!C37))</f>
        <v>34027777.809999898</v>
      </c>
      <c r="D38" s="31">
        <f>IF(umumiy_malumot!$B$78=umumiy_malumot!$C$78,'График дифференц'!D37,IF(umumiy_malumot!$B$78=umumiy_malumot!$D$78,'График аннуитет.'!D37))</f>
        <v>4861111.1100000003</v>
      </c>
      <c r="E38" s="31">
        <f>IF(umumiy_malumot!$B$78=umumiy_malumot!$C$78,'График дифференц'!E37,IF(umumiy_malumot!$B$78=umumiy_malumot!$D$78,'График аннуитет.'!E37))</f>
        <v>1585173.84</v>
      </c>
      <c r="F38" s="31">
        <f>IF(umumiy_malumot!$B$78=umumiy_malumot!$C$78,'График дифференц'!F37,IF(umumiy_malumot!$B$78=umumiy_malumot!$D$78,'График аннуитет.'!F37))</f>
        <v>6446284.9500000002</v>
      </c>
    </row>
    <row r="39" spans="1:6" x14ac:dyDescent="0.25">
      <c r="A39" s="16">
        <f t="shared" si="0"/>
        <v>31</v>
      </c>
      <c r="B39" s="30">
        <f>IF('График аннуитет.'!B38=FALSE,"",'График аннуитет.'!B38)</f>
        <v>47007</v>
      </c>
      <c r="C39" s="31">
        <f>IF(umumiy_malumot!$B$78=umumiy_malumot!$C$78,'График дифференц'!C38,IF(umumiy_malumot!$B$78=umumiy_malumot!$D$78,'График аннуитет.'!C38))</f>
        <v>29166666.699999899</v>
      </c>
      <c r="D39" s="31">
        <f>IF(umumiy_malumot!$B$78=umumiy_malumot!$C$78,'График дифференц'!D38,IF(umumiy_malumot!$B$78=umumiy_malumot!$D$78,'График аннуитет.'!D38))</f>
        <v>4861111.1100000003</v>
      </c>
      <c r="E39" s="31">
        <f>IF(umumiy_malumot!$B$78=umumiy_malumot!$C$78,'График дифференц'!E38,IF(umumiy_malumot!$B$78=umumiy_malumot!$D$78,'График аннуитет.'!E38))</f>
        <v>1402550.08</v>
      </c>
      <c r="F39" s="31">
        <f>IF(umumiy_malumot!$B$78=umumiy_malumot!$C$78,'График дифференц'!F38,IF(umumiy_malumot!$B$78=umumiy_malumot!$D$78,'График аннуитет.'!F38))</f>
        <v>6263661.1900000004</v>
      </c>
    </row>
    <row r="40" spans="1:6" x14ac:dyDescent="0.25">
      <c r="A40" s="16">
        <f t="shared" si="0"/>
        <v>32</v>
      </c>
      <c r="B40" s="30">
        <f>IF('График аннуитет.'!B39=FALSE,"",'График аннуитет.'!B39)</f>
        <v>47036</v>
      </c>
      <c r="C40" s="31">
        <f>IF(umumiy_malumot!$B$78=umumiy_malumot!$C$78,'График дифференц'!C39,IF(umumiy_malumot!$B$78=umumiy_malumot!$D$78,'График аннуитет.'!C39))</f>
        <v>24305555.589999899</v>
      </c>
      <c r="D40" s="31">
        <f>IF(umumiy_malumot!$B$78=umumiy_malumot!$C$78,'График дифференц'!D39,IF(umumiy_malumot!$B$78=umumiy_malumot!$D$78,'График аннуитет.'!D39))</f>
        <v>4861111.1100000003</v>
      </c>
      <c r="E40" s="31">
        <f>IF(umumiy_malumot!$B$78=umumiy_malumot!$C$78,'График дифференц'!E39,IF(umumiy_malumot!$B$78=umumiy_malumot!$D$78,'График аннуитет.'!E39))</f>
        <v>1059217.46</v>
      </c>
      <c r="F40" s="31">
        <f>IF(umumiy_malumot!$B$78=umumiy_malumot!$C$78,'График дифференц'!F39,IF(umumiy_malumot!$B$78=umumiy_malumot!$D$78,'График аннуитет.'!F39))</f>
        <v>5920328.5700000003</v>
      </c>
    </row>
    <row r="41" spans="1:6" x14ac:dyDescent="0.25">
      <c r="A41" s="16">
        <f t="shared" si="0"/>
        <v>33</v>
      </c>
      <c r="B41" s="30">
        <f>IF('График аннуитет.'!B40=FALSE,"",'График аннуитет.'!B40)</f>
        <v>47067</v>
      </c>
      <c r="C41" s="31">
        <f>IF(umumiy_malumot!$B$78=umumiy_malumot!$C$78,'График дифференц'!C40,IF(umumiy_malumot!$B$78=umumiy_malumot!$D$78,'График аннуитет.'!C40))</f>
        <v>19444444.4799999</v>
      </c>
      <c r="D41" s="31">
        <f>IF(umumiy_malumot!$B$78=umumiy_malumot!$C$78,'График дифференц'!D40,IF(umumiy_malumot!$B$78=umumiy_malumot!$D$78,'График аннуитет.'!D40))</f>
        <v>4861111.1100000003</v>
      </c>
      <c r="E41" s="31">
        <f>IF(umumiy_malumot!$B$78=umumiy_malumot!$C$78,'График дифференц'!E40,IF(umumiy_malumot!$B$78=umumiy_malumot!$D$78,'График аннуитет.'!E40))</f>
        <v>905813.49</v>
      </c>
      <c r="F41" s="31">
        <f>IF(umumiy_malumot!$B$78=umumiy_malumot!$C$78,'График дифференц'!F40,IF(umumiy_malumot!$B$78=umumiy_malumot!$D$78,'График аннуитет.'!F40))</f>
        <v>5766924.6000000006</v>
      </c>
    </row>
    <row r="42" spans="1:6" x14ac:dyDescent="0.25">
      <c r="A42" s="16">
        <f t="shared" si="0"/>
        <v>34</v>
      </c>
      <c r="B42" s="30">
        <f>IF('График аннуитет.'!B41=FALSE,"",'График аннуитет.'!B41)</f>
        <v>47098</v>
      </c>
      <c r="C42" s="31">
        <f>IF(umumiy_malumot!$B$78=umumiy_malumot!$C$78,'График дифференц'!C41,IF(umumiy_malumot!$B$78=umumiy_malumot!$D$78,'График аннуитет.'!C41))</f>
        <v>14583333.3699999</v>
      </c>
      <c r="D42" s="31">
        <f>IF(umumiy_malumot!$B$78=umumiy_malumot!$C$78,'График дифференц'!D41,IF(umumiy_malumot!$B$78=umumiy_malumot!$D$78,'График аннуитет.'!D41))</f>
        <v>4861111.1100000003</v>
      </c>
      <c r="E42" s="31">
        <f>IF(umumiy_malumot!$B$78=umumiy_malumot!$C$78,'График дифференц'!E41,IF(umumiy_malumot!$B$78=umumiy_malumot!$D$78,'График аннуитет.'!E41))</f>
        <v>679360.35</v>
      </c>
      <c r="F42" s="31">
        <f>IF(umumiy_malumot!$B$78=umumiy_malumot!$C$78,'График дифференц'!F41,IF(umumiy_malumot!$B$78=umumiy_malumot!$D$78,'График аннуитет.'!F41))</f>
        <v>5540471.46</v>
      </c>
    </row>
    <row r="43" spans="1:6" x14ac:dyDescent="0.25">
      <c r="A43" s="16">
        <f t="shared" si="0"/>
        <v>35</v>
      </c>
      <c r="B43" s="30">
        <f>IF('График аннуитет.'!B42=FALSE,"",'График аннуитет.'!B42)</f>
        <v>47128</v>
      </c>
      <c r="C43" s="31">
        <f>IF(umumiy_malumot!$B$78=umumiy_malumot!$C$78,'График дифференц'!C42,IF(umumiy_malumot!$B$78=umumiy_malumot!$D$78,'График аннуитет.'!C42))</f>
        <v>9722222.2599999011</v>
      </c>
      <c r="D43" s="31">
        <f>IF(umumiy_malumot!$B$78=umumiy_malumot!$C$78,'График дифференц'!D42,IF(umumiy_malumot!$B$78=umumiy_malumot!$D$78,'График аннуитет.'!D42))</f>
        <v>4861111.1100000003</v>
      </c>
      <c r="E43" s="31">
        <f>IF(umumiy_malumot!$B$78=umumiy_malumot!$C$78,'График дифференц'!E42,IF(umumiy_malumot!$B$78=umumiy_malumot!$D$78,'График аннуитет.'!E42))</f>
        <v>439497.6</v>
      </c>
      <c r="F43" s="31">
        <f>IF(umumiy_malumot!$B$78=umumiy_malumot!$C$78,'График дифференц'!F42,IF(umumiy_malumot!$B$78=umumiy_malumot!$D$78,'График аннуитет.'!F42))</f>
        <v>5300608.71</v>
      </c>
    </row>
    <row r="44" spans="1:6" x14ac:dyDescent="0.25">
      <c r="A44" s="16">
        <f>1+A43</f>
        <v>36</v>
      </c>
      <c r="B44" s="30">
        <f>IF('График аннуитет.'!B43=FALSE,"",'График аннуитет.'!B43)</f>
        <v>47165</v>
      </c>
      <c r="C44" s="31">
        <f>IF(umumiy_malumot!$B$78=umumiy_malumot!$C$78,'График дифференц'!C43,IF(umumiy_malumot!$B$78=umumiy_malumot!$D$78,'График аннуитет.'!C43))</f>
        <v>4861111.1499999007</v>
      </c>
      <c r="D44" s="31">
        <f>IF(umumiy_malumot!$B$78=umumiy_malumot!$C$78,'График дифференц'!D43,IF(umumiy_malumot!$B$78=umumiy_malumot!$D$78,'График аннуитет.'!D43))</f>
        <v>4861111.1499998868</v>
      </c>
      <c r="E44" s="31">
        <f>IF(umumiy_malumot!$B$78=umumiy_malumot!$C$78,'График дифференц'!E43,IF(umumiy_malumot!$B$78=umumiy_malumot!$D$78,'График аннуитет.'!E43))</f>
        <v>271023.52</v>
      </c>
      <c r="F44" s="31">
        <f>IF(umumiy_malumot!$B$78=umumiy_malumot!$C$78,'График дифференц'!F43,IF(umumiy_malumot!$B$78=umumiy_malumot!$D$78,'График аннуитет.'!F43))</f>
        <v>5132134.6699998863</v>
      </c>
    </row>
    <row r="45" spans="1:6" hidden="1" x14ac:dyDescent="0.25">
      <c r="A45" s="16">
        <f t="shared" ref="A45:A56" si="1">1+A44</f>
        <v>37</v>
      </c>
      <c r="B45" s="30" t="str">
        <f>IF('График аннуитет.'!B44=FALSE,"",'График аннуитет.'!B44)</f>
        <v/>
      </c>
      <c r="C45" s="31">
        <f>IF(umumiy_malumot!$B$78=umumiy_malumot!$C$78,'График дифференц'!C44,IF(umumiy_malumot!$B$78=umumiy_malumot!$D$78,'График аннуитет.'!C44))</f>
        <v>1.3969838619232178E-8</v>
      </c>
      <c r="D45" s="31" t="b">
        <f>IF(umumiy_malumot!$B$78=umumiy_malumot!$C$78,'График дифференц'!D44,IF(umumiy_malumot!$B$78=umumiy_malumot!$D$78,'График аннуитет.'!D44))</f>
        <v>0</v>
      </c>
      <c r="E45" s="31" t="b">
        <f>IF(umumiy_malumot!$B$78=umumiy_malumot!$C$78,'График дифференц'!E44,IF(umumiy_malumot!$B$78=umumiy_malumot!$D$78,'График аннуитет.'!E44))</f>
        <v>0</v>
      </c>
      <c r="F45" s="31" t="b">
        <f>IF(umumiy_malumot!$B$78=umumiy_malumot!$C$78,'График дифференц'!F44,IF(umumiy_malumot!$B$78=umumiy_malumot!$D$78,'График аннуитет.'!F44))</f>
        <v>0</v>
      </c>
    </row>
    <row r="46" spans="1:6" hidden="1" x14ac:dyDescent="0.25">
      <c r="A46" s="16">
        <f t="shared" si="1"/>
        <v>38</v>
      </c>
      <c r="B46" s="30" t="str">
        <f>IF('График аннуитет.'!B45=FALSE,"",'График аннуитет.'!B45)</f>
        <v/>
      </c>
      <c r="C46" s="31">
        <f>IF(umumiy_malumot!$B$78=umumiy_malumot!$C$78,'График дифференц'!C45,IF(umumiy_malumot!$B$78=umumiy_malumot!$D$78,'График аннуитет.'!C45))</f>
        <v>1.3969838619232178E-8</v>
      </c>
      <c r="D46" s="31" t="b">
        <f>IF(umumiy_malumot!$B$78=umumiy_malumot!$C$78,'График дифференц'!D45,IF(umumiy_malumot!$B$78=umumiy_malumot!$D$78,'График аннуитет.'!D45))</f>
        <v>0</v>
      </c>
      <c r="E46" s="31" t="b">
        <f>IF(umumiy_malumot!$B$78=umumiy_malumot!$C$78,'График дифференц'!E45,IF(umumiy_malumot!$B$78=umumiy_malumot!$D$78,'График аннуитет.'!E45))</f>
        <v>0</v>
      </c>
      <c r="F46" s="31" t="b">
        <f>IF(umumiy_malumot!$B$78=umumiy_malumot!$C$78,'График дифференц'!F45,IF(umumiy_malumot!$B$78=umumiy_malumot!$D$78,'График аннуитет.'!F45))</f>
        <v>0</v>
      </c>
    </row>
    <row r="47" spans="1:6" hidden="1" x14ac:dyDescent="0.25">
      <c r="A47" s="16">
        <f t="shared" si="1"/>
        <v>39</v>
      </c>
      <c r="B47" s="30" t="str">
        <f>IF('График аннуитет.'!B46=FALSE,"",'График аннуитет.'!B46)</f>
        <v/>
      </c>
      <c r="C47" s="31">
        <f>IF(umumiy_malumot!$B$78=umumiy_malumot!$C$78,'График дифференц'!C46,IF(umumiy_malumot!$B$78=umumiy_malumot!$D$78,'График аннуитет.'!C46))</f>
        <v>1.3969838619232178E-8</v>
      </c>
      <c r="D47" s="31" t="b">
        <f>IF(umumiy_malumot!$B$78=umumiy_malumot!$C$78,'График дифференц'!D46,IF(umumiy_malumot!$B$78=umumiy_malumot!$D$78,'График аннуитет.'!D46))</f>
        <v>0</v>
      </c>
      <c r="E47" s="31" t="b">
        <f>IF(umumiy_malumot!$B$78=umumiy_malumot!$C$78,'График дифференц'!E46,IF(umumiy_malumot!$B$78=umumiy_malumot!$D$78,'График аннуитет.'!E46))</f>
        <v>0</v>
      </c>
      <c r="F47" s="31" t="b">
        <f>IF(umumiy_malumot!$B$78=umumiy_malumot!$C$78,'График дифференц'!F46,IF(umumiy_malumot!$B$78=umumiy_malumot!$D$78,'График аннуитет.'!F46))</f>
        <v>0</v>
      </c>
    </row>
    <row r="48" spans="1:6" hidden="1" x14ac:dyDescent="0.25">
      <c r="A48" s="16">
        <f t="shared" si="1"/>
        <v>40</v>
      </c>
      <c r="B48" s="30" t="str">
        <f>IF('График аннуитет.'!B47=FALSE,"",'График аннуитет.'!B47)</f>
        <v/>
      </c>
      <c r="C48" s="31">
        <f>IF(umumiy_malumot!$B$78=umumiy_malumot!$C$78,'График дифференц'!C47,IF(umumiy_malumot!$B$78=umumiy_malumot!$D$78,'График аннуитет.'!C47))</f>
        <v>1.3969838619232178E-8</v>
      </c>
      <c r="D48" s="31" t="b">
        <f>IF(umumiy_malumot!$B$78=umumiy_malumot!$C$78,'График дифференц'!D47,IF(umumiy_malumot!$B$78=umumiy_malumot!$D$78,'График аннуитет.'!D47))</f>
        <v>0</v>
      </c>
      <c r="E48" s="31" t="b">
        <f>IF(umumiy_malumot!$B$78=umumiy_malumot!$C$78,'График дифференц'!E47,IF(umumiy_malumot!$B$78=umumiy_malumot!$D$78,'График аннуитет.'!E47))</f>
        <v>0</v>
      </c>
      <c r="F48" s="31" t="b">
        <f>IF(umumiy_malumot!$B$78=umumiy_malumot!$C$78,'График дифференц'!F47,IF(umumiy_malumot!$B$78=umumiy_malumot!$D$78,'График аннуитет.'!F47))</f>
        <v>0</v>
      </c>
    </row>
    <row r="49" spans="1:6" hidden="1" x14ac:dyDescent="0.25">
      <c r="A49" s="16">
        <f t="shared" si="1"/>
        <v>41</v>
      </c>
      <c r="B49" s="30" t="str">
        <f>IF('График аннуитет.'!B48=FALSE,"",'График аннуитет.'!B48)</f>
        <v/>
      </c>
      <c r="C49" s="31">
        <f>IF(umumiy_malumot!$B$78=umumiy_malumot!$C$78,'График дифференц'!C48,IF(umumiy_malumot!$B$78=umumiy_malumot!$D$78,'График аннуитет.'!C48))</f>
        <v>1.3969838619232178E-8</v>
      </c>
      <c r="D49" s="31" t="b">
        <f>IF(umumiy_malumot!$B$78=umumiy_malumot!$C$78,'График дифференц'!D48,IF(umumiy_malumot!$B$78=umumiy_malumot!$D$78,'График аннуитет.'!D48))</f>
        <v>0</v>
      </c>
      <c r="E49" s="31" t="b">
        <f>IF(umumiy_malumot!$B$78=umumiy_malumot!$C$78,'График дифференц'!E48,IF(umumiy_malumot!$B$78=umumiy_malumot!$D$78,'График аннуитет.'!E48))</f>
        <v>0</v>
      </c>
      <c r="F49" s="31" t="b">
        <f>IF(umumiy_malumot!$B$78=umumiy_malumot!$C$78,'График дифференц'!F48,IF(umumiy_malumot!$B$78=umumiy_malumot!$D$78,'График аннуитет.'!F48))</f>
        <v>0</v>
      </c>
    </row>
    <row r="50" spans="1:6" hidden="1" x14ac:dyDescent="0.25">
      <c r="A50" s="16">
        <f t="shared" si="1"/>
        <v>42</v>
      </c>
      <c r="B50" s="30" t="str">
        <f>IF('График аннуитет.'!B49=FALSE,"",'График аннуитет.'!B49)</f>
        <v/>
      </c>
      <c r="C50" s="31">
        <f>IF(umumiy_malumot!$B$78=umumiy_malumot!$C$78,'График дифференц'!C49,IF(umumiy_malumot!$B$78=umumiy_malumot!$D$78,'График аннуитет.'!C49))</f>
        <v>1.3969838619232178E-8</v>
      </c>
      <c r="D50" s="31" t="b">
        <f>IF(umumiy_malumot!$B$78=umumiy_malumot!$C$78,'График дифференц'!D49,IF(umumiy_malumot!$B$78=umumiy_malumot!$D$78,'График аннуитет.'!D49))</f>
        <v>0</v>
      </c>
      <c r="E50" s="31" t="b">
        <f>IF(umumiy_malumot!$B$78=umumiy_malumot!$C$78,'График дифференц'!E49,IF(umumiy_malumot!$B$78=umumiy_malumot!$D$78,'График аннуитет.'!E49))</f>
        <v>0</v>
      </c>
      <c r="F50" s="31" t="b">
        <f>IF(umumiy_malumot!$B$78=umumiy_malumot!$C$78,'График дифференц'!F49,IF(umumiy_malumot!$B$78=umumiy_malumot!$D$78,'График аннуитет.'!F49))</f>
        <v>0</v>
      </c>
    </row>
    <row r="51" spans="1:6" hidden="1" x14ac:dyDescent="0.25">
      <c r="A51" s="16">
        <f t="shared" si="1"/>
        <v>43</v>
      </c>
      <c r="B51" s="30" t="str">
        <f>IF('График аннуитет.'!B50=FALSE,"",'График аннуитет.'!B50)</f>
        <v/>
      </c>
      <c r="C51" s="31">
        <f>IF(umumiy_malumot!$B$78=umumiy_malumot!$C$78,'График дифференц'!C50,IF(umumiy_malumot!$B$78=umumiy_malumot!$D$78,'График аннуитет.'!C50))</f>
        <v>1.3969838619232178E-8</v>
      </c>
      <c r="D51" s="31" t="b">
        <f>IF(umumiy_malumot!$B$78=umumiy_malumot!$C$78,'График дифференц'!D50,IF(umumiy_malumot!$B$78=umumiy_malumot!$D$78,'График аннуитет.'!D50))</f>
        <v>0</v>
      </c>
      <c r="E51" s="31" t="b">
        <f>IF(umumiy_malumot!$B$78=umumiy_malumot!$C$78,'График дифференц'!E50,IF(umumiy_malumot!$B$78=umumiy_malumot!$D$78,'График аннуитет.'!E50))</f>
        <v>0</v>
      </c>
      <c r="F51" s="31" t="b">
        <f>IF(umumiy_malumot!$B$78=umumiy_malumot!$C$78,'График дифференц'!F50,IF(umumiy_malumot!$B$78=umumiy_malumot!$D$78,'График аннуитет.'!F50))</f>
        <v>0</v>
      </c>
    </row>
    <row r="52" spans="1:6" hidden="1" x14ac:dyDescent="0.25">
      <c r="A52" s="16">
        <f t="shared" si="1"/>
        <v>44</v>
      </c>
      <c r="B52" s="30" t="str">
        <f>IF('График аннуитет.'!B51=FALSE,"",'График аннуитет.'!B51)</f>
        <v/>
      </c>
      <c r="C52" s="31">
        <f>IF(umumiy_malumot!$B$78=umumiy_malumot!$C$78,'График дифференц'!C51,IF(umumiy_malumot!$B$78=umumiy_malumot!$D$78,'График аннуитет.'!C51))</f>
        <v>1.3969838619232178E-8</v>
      </c>
      <c r="D52" s="31" t="b">
        <f>IF(umumiy_malumot!$B$78=umumiy_malumot!$C$78,'График дифференц'!D51,IF(umumiy_malumot!$B$78=umumiy_malumot!$D$78,'График аннуитет.'!D51))</f>
        <v>0</v>
      </c>
      <c r="E52" s="31" t="b">
        <f>IF(umumiy_malumot!$B$78=umumiy_malumot!$C$78,'График дифференц'!E51,IF(umumiy_malumot!$B$78=umumiy_malumot!$D$78,'График аннуитет.'!E51))</f>
        <v>0</v>
      </c>
      <c r="F52" s="31" t="b">
        <f>IF(umumiy_malumot!$B$78=umumiy_malumot!$C$78,'График дифференц'!F51,IF(umumiy_malumot!$B$78=umumiy_malumot!$D$78,'График аннуитет.'!F51))</f>
        <v>0</v>
      </c>
    </row>
    <row r="53" spans="1:6" hidden="1" x14ac:dyDescent="0.25">
      <c r="A53" s="16">
        <f t="shared" si="1"/>
        <v>45</v>
      </c>
      <c r="B53" s="30" t="str">
        <f>IF('График аннуитет.'!B52=FALSE,"",'График аннуитет.'!B52)</f>
        <v/>
      </c>
      <c r="C53" s="31">
        <f>IF(umumiy_malumot!$B$78=umumiy_malumot!$C$78,'График дифференц'!C52,IF(umumiy_malumot!$B$78=umumiy_malumot!$D$78,'График аннуитет.'!C52))</f>
        <v>1.3969838619232178E-8</v>
      </c>
      <c r="D53" s="31" t="b">
        <f>IF(umumiy_malumot!$B$78=umumiy_malumot!$C$78,'График дифференц'!D52,IF(umumiy_malumot!$B$78=umumiy_malumot!$D$78,'График аннуитет.'!D52))</f>
        <v>0</v>
      </c>
      <c r="E53" s="31" t="b">
        <f>IF(umumiy_malumot!$B$78=umumiy_malumot!$C$78,'График дифференц'!E52,IF(umumiy_malumot!$B$78=umumiy_malumot!$D$78,'График аннуитет.'!E52))</f>
        <v>0</v>
      </c>
      <c r="F53" s="31" t="b">
        <f>IF(umumiy_malumot!$B$78=umumiy_malumot!$C$78,'График дифференц'!F52,IF(umumiy_malumot!$B$78=umumiy_malumot!$D$78,'График аннуитет.'!F52))</f>
        <v>0</v>
      </c>
    </row>
    <row r="54" spans="1:6" hidden="1" x14ac:dyDescent="0.25">
      <c r="A54" s="16">
        <f t="shared" si="1"/>
        <v>46</v>
      </c>
      <c r="B54" s="30" t="str">
        <f>IF('График аннуитет.'!B53=FALSE,"",'График аннуитет.'!B53)</f>
        <v/>
      </c>
      <c r="C54" s="31">
        <f>IF(umumiy_malumot!$B$78=umumiy_malumot!$C$78,'График дифференц'!C53,IF(umumiy_malumot!$B$78=umumiy_malumot!$D$78,'График аннуитет.'!C53))</f>
        <v>1.3969838619232178E-8</v>
      </c>
      <c r="D54" s="31" t="b">
        <f>IF(umumiy_malumot!$B$78=umumiy_malumot!$C$78,'График дифференц'!D53,IF(umumiy_malumot!$B$78=umumiy_malumot!$D$78,'График аннуитет.'!D53))</f>
        <v>0</v>
      </c>
      <c r="E54" s="31" t="b">
        <f>IF(umumiy_malumot!$B$78=umumiy_malumot!$C$78,'График дифференц'!E53,IF(umumiy_malumot!$B$78=umumiy_malumot!$D$78,'График аннуитет.'!E53))</f>
        <v>0</v>
      </c>
      <c r="F54" s="31" t="b">
        <f>IF(umumiy_malumot!$B$78=umumiy_malumot!$C$78,'График дифференц'!F53,IF(umumiy_malumot!$B$78=umumiy_malumot!$D$78,'График аннуитет.'!F53))</f>
        <v>0</v>
      </c>
    </row>
    <row r="55" spans="1:6" hidden="1" x14ac:dyDescent="0.25">
      <c r="A55" s="16">
        <f t="shared" si="1"/>
        <v>47</v>
      </c>
      <c r="B55" s="30" t="str">
        <f>IF('График аннуитет.'!B54=FALSE,"",'График аннуитет.'!B54)</f>
        <v/>
      </c>
      <c r="C55" s="31">
        <f>IF(umumiy_malumot!$B$78=umumiy_malumot!$C$78,'График дифференц'!C54,IF(umumiy_malumot!$B$78=umumiy_malumot!$D$78,'График аннуитет.'!C54))</f>
        <v>1.3969838619232178E-8</v>
      </c>
      <c r="D55" s="31" t="b">
        <f>IF(umumiy_malumot!$B$78=umumiy_malumot!$C$78,'График дифференц'!D54,IF(umumiy_malumot!$B$78=umumiy_malumot!$D$78,'График аннуитет.'!D54))</f>
        <v>0</v>
      </c>
      <c r="E55" s="31" t="b">
        <f>IF(umumiy_malumot!$B$78=umumiy_malumot!$C$78,'График дифференц'!E54,IF(umumiy_malumot!$B$78=umumiy_malumot!$D$78,'График аннуитет.'!E54))</f>
        <v>0</v>
      </c>
      <c r="F55" s="31" t="b">
        <f>IF(umumiy_malumot!$B$78=umumiy_malumot!$C$78,'График дифференц'!F54,IF(umumiy_malumot!$B$78=umumiy_malumot!$D$78,'График аннуитет.'!F54))</f>
        <v>0</v>
      </c>
    </row>
    <row r="56" spans="1:6" hidden="1" x14ac:dyDescent="0.25">
      <c r="A56" s="16">
        <f t="shared" si="1"/>
        <v>48</v>
      </c>
      <c r="B56" s="30" t="str">
        <f>IF('График аннуитет.'!B55=FALSE,"",'График аннуитет.'!B55)</f>
        <v/>
      </c>
      <c r="C56" s="31">
        <f>IF(umumiy_malumot!$B$78=umumiy_malumot!$C$78,'График дифференц'!C55,IF(umumiy_malumot!$B$78=umumiy_malumot!$D$78,'График аннуитет.'!C55))</f>
        <v>1.3969838619232178E-8</v>
      </c>
      <c r="D56" s="31" t="b">
        <f>IF(umumiy_malumot!$B$78=umumiy_malumot!$C$78,'График дифференц'!D55,IF(umumiy_malumot!$B$78=umumiy_malumot!$D$78,'График аннуитет.'!D55))</f>
        <v>0</v>
      </c>
      <c r="E56" s="31" t="b">
        <f>IF(umumiy_malumot!$B$78=umumiy_malumot!$C$78,'График дифференц'!E55,IF(umumiy_malumot!$B$78=umumiy_malumot!$D$78,'График аннуитет.'!E55))</f>
        <v>0</v>
      </c>
      <c r="F56" s="31" t="b">
        <f>IF(umumiy_malumot!$B$78=umumiy_malumot!$C$78,'График дифференц'!F55,IF(umumiy_malumot!$B$78=umumiy_malumot!$D$78,'График аннуитет.'!F55))</f>
        <v>0</v>
      </c>
    </row>
    <row r="57" spans="1:6" ht="15" customHeight="1" x14ac:dyDescent="0.25">
      <c r="A57" s="43"/>
      <c r="B57" s="44" t="s">
        <v>200</v>
      </c>
      <c r="C57" s="45"/>
      <c r="D57" s="45">
        <f>SUM(D9:D56)</f>
        <v>175000000</v>
      </c>
      <c r="E57" s="45">
        <f t="shared" ref="E57:F57" si="2">SUM(E9:E56)</f>
        <v>146605310.68000007</v>
      </c>
      <c r="F57" s="45">
        <f t="shared" si="2"/>
        <v>321605310.67999977</v>
      </c>
    </row>
    <row r="58" spans="1:6" ht="15" customHeight="1" x14ac:dyDescent="0.25">
      <c r="B58" s="32"/>
      <c r="C58" s="33"/>
      <c r="D58" s="33"/>
      <c r="E58" s="33"/>
      <c r="F58" s="33"/>
    </row>
    <row r="59" spans="1:6" ht="39.75" customHeight="1" x14ac:dyDescent="0.25">
      <c r="A59" s="271" t="str">
        <f>"*"&amp;umumiy_malumot!C64&amp;" bo‘yicha to‘lovlar to‘lov jadvalida ko‘rsatilmagan sanalarda to‘langan taqdirda, to‘lov summasi mikroqarz shartnomasining 2.2.-bandiga muvofiq "&amp;umumiy_malumot!B65&amp;" qoldig‘iga hisoblangan foizlar summasiga o‘zgartiriladi."</f>
        <v>*Mikrokredit bo‘yicha to‘lovlar to‘lov jadvalida ko‘rsatilmagan sanalarda to‘langan taqdirda, to‘lov summasi mikroqarz shartnomasining 2.2.-bandiga muvofiq mikrokredit qoldig‘iga hisoblangan foizlar summasiga o‘zgartiriladi.</v>
      </c>
      <c r="B59" s="271"/>
      <c r="C59" s="271"/>
      <c r="D59" s="271"/>
      <c r="E59" s="271"/>
      <c r="F59" s="271"/>
    </row>
    <row r="60" spans="1:6" ht="13.5" customHeight="1" x14ac:dyDescent="0.25"/>
    <row r="61" spans="1:6" ht="15" customHeight="1" x14ac:dyDescent="0.25">
      <c r="A61" s="330" t="s">
        <v>262</v>
      </c>
      <c r="B61" s="330"/>
      <c r="C61" s="330"/>
      <c r="D61" s="330" t="s">
        <v>267</v>
      </c>
      <c r="E61" s="330"/>
      <c r="F61" s="330"/>
    </row>
    <row r="62" spans="1:6" ht="11.25" customHeight="1" x14ac:dyDescent="0.25">
      <c r="A62" s="331"/>
      <c r="B62" s="331"/>
      <c r="C62" s="331"/>
      <c r="D62" s="331"/>
      <c r="E62" s="331"/>
      <c r="F62" s="331"/>
    </row>
    <row r="63" spans="1:6" ht="30" customHeight="1" x14ac:dyDescent="0.25">
      <c r="A63" s="313" t="str">
        <f>shartnoma!A117</f>
        <v>«PULLOL BUSINESS MIKROMOLIYA TASHKILOTI»  MChJ</v>
      </c>
      <c r="B63" s="313"/>
      <c r="C63" s="313"/>
      <c r="D63" s="312" t="str">
        <f>shartnoma!B117</f>
        <v>NORINBOYEVA SOXIBA IZZATILLAYEVNA</v>
      </c>
      <c r="E63" s="312"/>
      <c r="F63" s="312"/>
    </row>
    <row r="64" spans="1:6" ht="47.25" customHeight="1" x14ac:dyDescent="0.25">
      <c r="A64" s="269" t="str">
        <f>shartnoma!A119</f>
        <v>Manzil: Toshkent shahri, Yakkasaroy tumani, Rakat ko'chasi, 10 uy, 18 xonadon</v>
      </c>
      <c r="B64" s="269"/>
      <c r="C64" s="269"/>
      <c r="D64" s="269" t="str">
        <f>shartnoma!B119</f>
        <v>Manzil: TOSHKENT VILOYATI CHINOZ TUMANI ALISHER NAVOIY MFY SOBIR RAHIMOV KO'CHASI 36 UY</v>
      </c>
      <c r="E64" s="269"/>
      <c r="F64" s="269"/>
    </row>
    <row r="65" spans="1:6" ht="15" customHeight="1" x14ac:dyDescent="0.25">
      <c r="A65" s="269" t="str">
        <f>shartnoma!A120</f>
        <v>h/r: №20208000405643889001</v>
      </c>
      <c r="B65" s="269"/>
      <c r="C65" s="269"/>
      <c r="D65" s="269" t="str">
        <f>shartnoma!B121</f>
        <v>Pasport: AE 5547691, IIV 27256 tomonidan 22.12.2025 yilda berilgan</v>
      </c>
      <c r="E65" s="269"/>
      <c r="F65" s="269"/>
    </row>
    <row r="66" spans="1:6" ht="32.25" customHeight="1" x14ac:dyDescent="0.25">
      <c r="A66" s="269" t="str">
        <f>shartnoma!A121</f>
        <v>MFO: №01088 в ATB “Kapitalbank” Markaziy amaliyotlar bo'limi</v>
      </c>
      <c r="B66" s="269"/>
      <c r="C66" s="269"/>
      <c r="D66" s="269"/>
      <c r="E66" s="269"/>
      <c r="F66" s="269"/>
    </row>
    <row r="67" spans="1:6" ht="15" customHeight="1" x14ac:dyDescent="0.25">
      <c r="A67" s="269" t="str">
        <f>shartnoma!A122</f>
        <v>STIR: 310430149</v>
      </c>
      <c r="B67" s="269"/>
      <c r="C67" s="269"/>
      <c r="D67" s="269" t="str">
        <f>shartnoma!B122</f>
        <v>Tel: 33 730 30 31 MIJOZ</v>
      </c>
      <c r="E67" s="269"/>
      <c r="F67" s="269"/>
    </row>
    <row r="68" spans="1:6" ht="15" customHeight="1" x14ac:dyDescent="0.25">
      <c r="A68" s="269" t="str">
        <f>shartnoma!A123</f>
        <v>Tel: 555 100 217</v>
      </c>
      <c r="B68" s="269"/>
      <c r="C68" s="269"/>
      <c r="D68" s="269" t="str">
        <f>shartnoma!B123</f>
        <v>99 407 50 08 UY EGASI</v>
      </c>
      <c r="E68" s="269"/>
      <c r="F68" s="269"/>
    </row>
    <row r="69" spans="1:6" ht="15" customHeight="1" x14ac:dyDescent="0.25">
      <c r="A69" s="269" t="str">
        <f>shartnoma!A124</f>
        <v>Tel: (97) 714 14 17</v>
      </c>
      <c r="B69" s="269"/>
      <c r="C69" s="269"/>
      <c r="D69" s="269" t="str">
        <f>shartnoma!B124</f>
        <v>94 659 57 51 ADASI</v>
      </c>
      <c r="E69" s="269"/>
      <c r="F69" s="269"/>
    </row>
    <row r="70" spans="1:6" ht="23.25" customHeight="1" x14ac:dyDescent="0.25">
      <c r="A70" s="269" t="str">
        <f>shartnoma!A126</f>
        <v>Tel: (97) 706 96 65</v>
      </c>
      <c r="B70" s="269"/>
      <c r="C70" s="269"/>
      <c r="D70" s="326" t="str">
        <f>IF(shartnoma!B125=0,"",shartnoma!B125)</f>
        <v/>
      </c>
      <c r="E70" s="326"/>
      <c r="F70" s="326"/>
    </row>
    <row r="71" spans="1:6" ht="22.5" customHeight="1" x14ac:dyDescent="0.25">
      <c r="A71" s="313" t="str">
        <f>umumiy_malumot!A161</f>
        <v>Direktor</v>
      </c>
      <c r="B71" s="313"/>
      <c r="C71" s="313"/>
      <c r="D71" s="312" t="str">
        <f>shartnoma!B128</f>
        <v>NORINBOYEVA S.I.     __________________</v>
      </c>
      <c r="E71" s="312"/>
      <c r="F71" s="312"/>
    </row>
    <row r="72" spans="1:6" ht="15" customHeight="1" x14ac:dyDescent="0.25">
      <c r="A72" s="313" t="str">
        <f>umumiy_malumot!B161</f>
        <v>Obidov A.Sh.</v>
      </c>
      <c r="B72" s="313"/>
      <c r="C72" s="313"/>
      <c r="D72" s="312"/>
      <c r="E72" s="312"/>
      <c r="F72" s="312"/>
    </row>
    <row r="73" spans="1:6" ht="24" customHeight="1" x14ac:dyDescent="0.25">
      <c r="A73" s="326"/>
      <c r="B73" s="326"/>
      <c r="C73" s="326"/>
      <c r="D73" s="326"/>
      <c r="E73" s="326"/>
      <c r="F73" s="326"/>
    </row>
    <row r="74" spans="1:6" ht="30" customHeight="1" x14ac:dyDescent="0.25">
      <c r="A74" s="327"/>
      <c r="B74" s="327"/>
      <c r="C74" s="327"/>
      <c r="D74" s="328"/>
      <c r="E74" s="328"/>
      <c r="F74" s="328"/>
    </row>
    <row r="75" spans="1:6" x14ac:dyDescent="0.25">
      <c r="A75" s="329"/>
      <c r="B75" s="329"/>
      <c r="C75" s="329"/>
      <c r="D75" s="329"/>
      <c r="E75" s="329"/>
      <c r="F75" s="329"/>
    </row>
    <row r="76" spans="1:6" x14ac:dyDescent="0.25">
      <c r="A76" s="325"/>
      <c r="B76" s="325"/>
      <c r="C76" s="325"/>
      <c r="D76" s="325"/>
      <c r="E76" s="325"/>
      <c r="F76" s="325"/>
    </row>
  </sheetData>
  <mergeCells count="40">
    <mergeCell ref="E2:F2"/>
    <mergeCell ref="A5:F5"/>
    <mergeCell ref="A7:A8"/>
    <mergeCell ref="B7:B8"/>
    <mergeCell ref="C7:C8"/>
    <mergeCell ref="D7:F7"/>
    <mergeCell ref="E3:F3"/>
    <mergeCell ref="A63:C63"/>
    <mergeCell ref="D63:F63"/>
    <mergeCell ref="A64:C64"/>
    <mergeCell ref="D64:F64"/>
    <mergeCell ref="A65:C65"/>
    <mergeCell ref="D65:F66"/>
    <mergeCell ref="A66:C66"/>
    <mergeCell ref="A59:F59"/>
    <mergeCell ref="A61:C61"/>
    <mergeCell ref="D61:F61"/>
    <mergeCell ref="A62:C62"/>
    <mergeCell ref="D62:F62"/>
    <mergeCell ref="D69:F69"/>
    <mergeCell ref="A70:C70"/>
    <mergeCell ref="D70:F70"/>
    <mergeCell ref="A67:C67"/>
    <mergeCell ref="D67:F67"/>
    <mergeCell ref="H12:P24"/>
    <mergeCell ref="A76:C76"/>
    <mergeCell ref="D76:F76"/>
    <mergeCell ref="A73:C73"/>
    <mergeCell ref="D73:F73"/>
    <mergeCell ref="A74:C74"/>
    <mergeCell ref="D74:F74"/>
    <mergeCell ref="A75:C75"/>
    <mergeCell ref="D75:F75"/>
    <mergeCell ref="A71:C71"/>
    <mergeCell ref="D71:F71"/>
    <mergeCell ref="A72:C72"/>
    <mergeCell ref="D72:F72"/>
    <mergeCell ref="A68:C68"/>
    <mergeCell ref="D68:F68"/>
    <mergeCell ref="A69:C69"/>
  </mergeCells>
  <conditionalFormatting sqref="B9:B56">
    <cfRule type="cellIs" dxfId="7" priority="2" operator="lessThan">
      <formula>22105</formula>
    </cfRule>
  </conditionalFormatting>
  <conditionalFormatting sqref="C9:F56">
    <cfRule type="cellIs" dxfId="6"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C32"/>
  <sheetViews>
    <sheetView view="pageBreakPreview" topLeftCell="A5" zoomScale="115" zoomScaleNormal="175" zoomScaleSheetLayoutView="115" workbookViewId="0">
      <selection activeCell="A14" sqref="A14:XFD15"/>
    </sheetView>
  </sheetViews>
  <sheetFormatPr defaultColWidth="0" defaultRowHeight="15.75" x14ac:dyDescent="0.25"/>
  <cols>
    <col min="1" max="1" width="26" style="6" customWidth="1"/>
    <col min="2" max="2" width="15.28515625" style="6" customWidth="1"/>
    <col min="3" max="3" width="34.5703125" style="6" customWidth="1"/>
    <col min="4" max="16384" width="9.140625" style="6" hidden="1"/>
  </cols>
  <sheetData>
    <row r="1" spans="1:3" hidden="1" x14ac:dyDescent="0.25"/>
    <row r="2" spans="1:3" hidden="1" x14ac:dyDescent="0.25"/>
    <row r="3" spans="1:3" hidden="1" x14ac:dyDescent="0.25"/>
    <row r="4" spans="1:3" hidden="1" x14ac:dyDescent="0.25"/>
    <row r="6" spans="1:3" ht="17.25" customHeight="1" x14ac:dyDescent="0.25">
      <c r="C6" s="12" t="str">
        <f>umumiy_malumot!B158</f>
        <v>«PULLOL BUSINESS MIKROMOLIYA TASHKILOTI»  MChJ</v>
      </c>
    </row>
    <row r="7" spans="1:3" ht="33" customHeight="1" x14ac:dyDescent="0.25">
      <c r="A7" s="192"/>
      <c r="B7" s="192"/>
      <c r="C7" s="196" t="str">
        <f>umumiy_malumot!A161&amp;" "&amp;umumiy_malumot!B161 &amp;"ga"</f>
        <v>Direktor Obidov A.Sh.ga</v>
      </c>
    </row>
    <row r="8" spans="1:3" x14ac:dyDescent="0.25">
      <c r="A8" s="197"/>
      <c r="B8" s="197"/>
      <c r="C8" s="196" t="str">
        <f>umumiy_malumot!B113 &amp; "dan"</f>
        <v>NORINBAYEVA S.M.dan</v>
      </c>
    </row>
    <row r="9" spans="1:3" ht="15.75" hidden="1" customHeight="1" x14ac:dyDescent="0.25">
      <c r="C9" s="198" t="str">
        <f>[3]malumot!B119</f>
        <v>FAYZIYEV JAMSHID KURBONOVICH</v>
      </c>
    </row>
    <row r="10" spans="1:3" ht="15.75" hidden="1" customHeight="1" x14ac:dyDescent="0.25">
      <c r="C10" s="198">
        <f>[3]malumot!C119</f>
        <v>0</v>
      </c>
    </row>
    <row r="11" spans="1:3" ht="15.75" hidden="1" customHeight="1" x14ac:dyDescent="0.25">
      <c r="C11" s="197" t="s">
        <v>384</v>
      </c>
    </row>
    <row r="12" spans="1:3" x14ac:dyDescent="0.25">
      <c r="B12" s="6" t="s">
        <v>371</v>
      </c>
    </row>
    <row r="13" spans="1:3" ht="129" customHeight="1" x14ac:dyDescent="0.25">
      <c r="A13" s="305" t="str">
        <f>IF(umumiy_malumot!B103="Avtotransport",A14,A15)</f>
        <v>NORINBOYEVA SOXIBA IZZATILLAYEVNA tomonidan so’ralayotgan 36 (O'ttiz olti  ) oy muddatga, 175 000 000 (yuz yetmish besh million so'm) miqdoridagi mikrokreditning ta’minoti sifatida menga mulk huquqi asosida tegishli bo’lgan  , umumiy yer maydoni-700,qurilish osti maydoni- 340.11  umumiy foydali maydoni- 163.19 va yashash maydoni 114.59  TOSHKENT VILOYATI CHINOZ TUMANI ALISHER NAVOIY MFY SOBIR RAHIMOV KO'CHASI 36 UY manzilda joylashgan ko'chmas mulkni qabul qilishingizni so’rayman:</v>
      </c>
      <c r="B13" s="305"/>
      <c r="C13" s="305"/>
    </row>
    <row r="14" spans="1:3" ht="124.5" hidden="1" customHeight="1" x14ac:dyDescent="0.25">
      <c r="A14" s="338" t="str">
        <f>""&amp;umumiy_malumot!B12&amp;" tomonidan so’ralayotgan "&amp;umumiy_malumot!B81&amp;" ("&amp;umumiy_malumot!B82&amp;") oy muddatga, "&amp;FIXED(umumiy_malumot!B75,0)&amp;" ("&amp;umumiy_malumot!B76&amp;") miqdoridagi "&amp;umumiy_malumot!B65&amp;"ning ta’minoti sifatida menga mulk huquqi asosida tegishli bo’lgan  "&amp;umumiy_malumot!B125&amp;", "&amp;umumiy_malumot!B127&amp;", "&amp;umumiy_malumot!B130&amp;", "&amp;umumiy_malumot!B133&amp;", avtotransport vositasini qabul qilishingizni so’rayman:"</f>
        <v>NORINBOYEVA SOXIBA IZZATILLAYEVNA tomonidan so’ralayotgan 46091 (36) oy muddatga, 150 000 000 (175000000) miqdoridagi mikrokreditning ta’minoti sifatida menga mulk huquqi asosida tegishli bo’lgan  NORINBAYEVA S.M., AE 4754225, 7- TRO' VA IOB (YANGIHAYOT), 01Z067RC, avtotransport vositasini qabul qilishingizni so’rayman:</v>
      </c>
      <c r="B14" s="338"/>
      <c r="C14" s="338"/>
    </row>
    <row r="15" spans="1:3" ht="147.75" hidden="1" customHeight="1" x14ac:dyDescent="0.25">
      <c r="A15" s="338" t="str">
        <f>""&amp;umumiy_malumot!B12&amp;" tomonidan so’ralayotgan "&amp;umumiy_malumot!B82&amp;" ("&amp;umumiy_malumot!B83&amp;") oy muddatga, "&amp;FIXED(umumiy_malumot!B76,0)&amp;" ("&amp;umumiy_malumot!B77&amp;") miqdoridagi "&amp;umumiy_malumot!B65&amp;"ning ta’minoti sifatida menga mulk huquqi asosida tegishli bo’lgan  "&amp;umumiy_malumot!C1232&amp;", umumiy yer maydoni-"&amp;umumiy_malumot!C140&amp;",qurilish osti maydoni- "&amp;umumiy_malumot!C139&amp;"  umumiy foydali maydoni- "&amp;umumiy_malumot!C137&amp;" va yashash maydoni "&amp;umumiy_malumot!C138&amp;"  "&amp;umumiy_malumot!C123&amp;" manzilda joylashgan ko'chmas mulkni qabul qilishingizni so’rayman:"</f>
        <v>NORINBOYEVA SOXIBA IZZATILLAYEVNA tomonidan so’ralayotgan 36 (O'ttiz olti  ) oy muddatga, 175 000 000 (yuz yetmish besh million so'm) miqdoridagi mikrokreditning ta’minoti sifatida menga mulk huquqi asosida tegishli bo’lgan  , umumiy yer maydoni-700,qurilish osti maydoni- 340.11  umumiy foydali maydoni- 163.19 va yashash maydoni 114.59  TOSHKENT VILOYATI CHINOZ TUMANI ALISHER NAVOIY MFY SOBIR RAHIMOV KO'CHASI 36 UY manzilda joylashgan ko'chmas mulkni qabul qilishingizni so’rayman:</v>
      </c>
      <c r="B15" s="338"/>
      <c r="C15" s="338"/>
    </row>
    <row r="18" spans="1:3" x14ac:dyDescent="0.25">
      <c r="C18" s="198" t="s">
        <v>385</v>
      </c>
    </row>
    <row r="19" spans="1:3" ht="18.75" customHeight="1" x14ac:dyDescent="0.25">
      <c r="A19" s="11" t="str">
        <f>+IF(umumiy_malumot!B100="ha",umumiy_malumot!B7,umumiy_malumot!B113)</f>
        <v>NORINBAYEVA S.M.</v>
      </c>
      <c r="C19" s="199" t="str">
        <f>umumiy_malumot!B2</f>
        <v>16.02.2026</v>
      </c>
    </row>
    <row r="20" spans="1:3" s="339" customFormat="1" ht="48" hidden="1" customHeight="1" x14ac:dyDescent="0.25">
      <c r="A20" s="339" t="str">
        <f>IF(umumiy_malumot!B100=umumiy_malumot!D100,CONCATENATE(A28," ",A32,A26),"")</f>
        <v xml:space="preserve">№ 00.01.1900sanasidan xususiy faoliyat ko'rsatuvchi notarius tomonidan   berilgan ishonchnomaga asosan </v>
      </c>
    </row>
    <row r="21" spans="1:3" x14ac:dyDescent="0.25">
      <c r="A21" s="179"/>
      <c r="B21" s="179"/>
      <c r="C21" s="179"/>
    </row>
    <row r="22" spans="1:3" x14ac:dyDescent="0.25">
      <c r="A22" s="179"/>
      <c r="B22" s="179"/>
      <c r="C22" s="179"/>
    </row>
    <row r="23" spans="1:3" x14ac:dyDescent="0.25">
      <c r="A23" s="145" t="str">
        <f>umumiy_malumot!A161</f>
        <v>Direktor</v>
      </c>
      <c r="B23" s="145"/>
      <c r="C23" s="196" t="str">
        <f>umumiy_malumot!B161</f>
        <v>Obidov A.Sh.</v>
      </c>
    </row>
    <row r="24" spans="1:3" x14ac:dyDescent="0.25">
      <c r="A24" s="145"/>
      <c r="B24" s="145"/>
      <c r="C24" s="196"/>
    </row>
    <row r="25" spans="1:3" x14ac:dyDescent="0.25">
      <c r="A25" s="145"/>
      <c r="B25" s="145"/>
      <c r="C25" s="196"/>
    </row>
    <row r="26" spans="1:3" hidden="1" x14ac:dyDescent="0.25">
      <c r="A26" s="6" t="str">
        <f>" xususiy faoliyat ko'rsatuvchi notarius tomonidan "&amp;umumiy_malumot!B104&amp;" "&amp;umumiy_malumot!B105&amp;" berilgan ishonchnomaga asosan "</f>
        <v xml:space="preserve"> xususiy faoliyat ko'rsatuvchi notarius tomonidan   berilgan ishonchnomaga asosan </v>
      </c>
    </row>
    <row r="27" spans="1:3" hidden="1" x14ac:dyDescent="0.25"/>
    <row r="28" spans="1:3" hidden="1" x14ac:dyDescent="0.25">
      <c r="A28" s="6" t="str">
        <f>"№"&amp;umumiy_malumot!B107&amp; ""</f>
        <v>№</v>
      </c>
    </row>
    <row r="29" spans="1:3" hidden="1" x14ac:dyDescent="0.25">
      <c r="A29" s="210">
        <f>umumiy_malumot!B108</f>
        <v>0</v>
      </c>
    </row>
    <row r="30" spans="1:3" hidden="1" x14ac:dyDescent="0.25">
      <c r="A30" s="6" t="str">
        <f>TEXT(A29,"ДД.ММ.ГГГГ")</f>
        <v>00.01.1900</v>
      </c>
    </row>
    <row r="31" spans="1:3" hidden="1" x14ac:dyDescent="0.25">
      <c r="A31" s="6" t="s">
        <v>399</v>
      </c>
    </row>
    <row r="32" spans="1:3" hidden="1" x14ac:dyDescent="0.25">
      <c r="A32" s="6" t="str">
        <f>CONCATENATE(A30,A31)</f>
        <v>00.01.1900sanasidan</v>
      </c>
    </row>
  </sheetData>
  <mergeCells count="4">
    <mergeCell ref="A13:C13"/>
    <mergeCell ref="A14:C14"/>
    <mergeCell ref="A15:C15"/>
    <mergeCell ref="A20:XFD20"/>
  </mergeCells>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13">
    <tabColor rgb="FF00B050"/>
  </sheetPr>
  <dimension ref="A2:G72"/>
  <sheetViews>
    <sheetView view="pageBreakPreview" zoomScaleNormal="100" zoomScaleSheetLayoutView="100" workbookViewId="0">
      <selection activeCell="D30" sqref="D30"/>
    </sheetView>
  </sheetViews>
  <sheetFormatPr defaultColWidth="9.140625" defaultRowHeight="15" outlineLevelRow="1" x14ac:dyDescent="0.25"/>
  <cols>
    <col min="1" max="1" width="29.7109375" style="13" customWidth="1"/>
    <col min="2" max="2" width="17.5703125" style="13" customWidth="1"/>
    <col min="3" max="3" width="17.85546875" style="13" customWidth="1"/>
    <col min="4" max="4" width="18.85546875" style="13" customWidth="1"/>
    <col min="5" max="5" width="21.42578125" style="13" customWidth="1"/>
    <col min="6" max="6" width="21.5703125" style="13" customWidth="1"/>
    <col min="7" max="16384" width="9.140625" style="13"/>
  </cols>
  <sheetData>
    <row r="2" spans="1:6" ht="37.5" customHeight="1" x14ac:dyDescent="0.25">
      <c r="A2" s="333" t="str">
        <f>"GAROV PREDMETI QIYMATINI KELISHISH 
№"&amp;umumiy_malumot!B148&amp;" SONLI DALOLATNOMASI
 "</f>
        <v xml:space="preserve">GAROV PREDMETI QIYMATINI KELISHISH 
№1 SONLI DALOLATNOMASI
 </v>
      </c>
      <c r="B2" s="333"/>
      <c r="C2" s="333"/>
      <c r="D2" s="333"/>
      <c r="E2" s="333"/>
      <c r="F2" s="333"/>
    </row>
    <row r="3" spans="1:6" x14ac:dyDescent="0.25">
      <c r="A3" s="37"/>
      <c r="B3" s="37"/>
      <c r="C3" s="37"/>
      <c r="D3" s="37"/>
      <c r="E3" s="37"/>
      <c r="F3" s="37"/>
    </row>
    <row r="4" spans="1:6" x14ac:dyDescent="0.25">
      <c r="A4" s="34" t="s">
        <v>199</v>
      </c>
      <c r="B4" s="34"/>
      <c r="C4" s="34"/>
      <c r="D4" s="34"/>
      <c r="E4" s="34"/>
      <c r="F4" s="34" t="str">
        <f>umumiy_malumot!B149</f>
        <v>16 fevral 2026 y.</v>
      </c>
    </row>
    <row r="5" spans="1:6" ht="9" customHeight="1" x14ac:dyDescent="0.25">
      <c r="A5" s="271"/>
      <c r="B5" s="271"/>
      <c r="C5" s="271"/>
      <c r="D5" s="271"/>
      <c r="E5" s="271"/>
      <c r="F5" s="271"/>
    </row>
    <row r="6" spans="1:6" ht="77.25" customHeight="1" x14ac:dyDescent="0.25">
      <c r="A6" s="271" t="str">
        <f>IF(umumiy_malumot!B110="avtotransport",dalolatnoma!A10:F10,dalolatnoma!A7:F7)</f>
        <v xml:space="preserve">«PULLOL BUSINESS MIKROMOLIYA TASHKILOTI»  MChJning (1-tomon) vakili bo‘lgan  Direktor Obidov A.Sh., va O‘zbekiston Respublikasi fuqarosi  NORINBOYEVA SOXIBA IZZATILLAYEVNA (2-tomon) va garov egasi NORINBAYEVA SAPURA MAMADALIYEVNA (3-tomon) 16 fevral 2026 y.dan № 110 Mikrokredit shartnomasiga muvofiq 1-tomon 2-tomonga berilgan mikrokredit bo‘yicha ta’minot sifatida taqdim etilgan, 2-tomonga mulk huquqi asosida tegishli bo‘lgan mulkning garov qiymatini kelishish muzokaralari o’tkazildi. </v>
      </c>
      <c r="B6" s="271"/>
      <c r="C6" s="271"/>
      <c r="D6" s="271"/>
      <c r="E6" s="271"/>
      <c r="F6" s="271"/>
    </row>
    <row r="7" spans="1:6" ht="88.5" hidden="1" customHeight="1" x14ac:dyDescent="0.25">
      <c r="A7" s="271" t="str">
        <f>IF(umumiy_malumot!B100="ha",dalolatnoma!A9:F9,dalolatnoma!A8:F8)</f>
        <v xml:space="preserve">«PULLOL BUSINESS MIKROMOLIYA TASHKILOTI»  MChJning (1-tomon) vakili bo‘lgan  Direktor Obidov A.Sh., va O‘zbekiston Respublikasi fuqarosi  NORINBOYEVA SOXIBA IZZATILLAYEVNA (2-tomon) va garov egasi NORINBAYEVA SAPURA MAMADALIYEVNA (3-tomon) 16 fevral 2026 y.dan № 110 Mikrokredit shartnomasiga muvofiq 1-tomon 2-tomonga berilgan mikrokredit bo‘yicha ta’minot sifatida taqdim etilgan, 2-tomonga mulk huquqi asosida tegishli bo‘lgan mulkning garov qiymatini kelishish muzokaralari o’tkazildi. </v>
      </c>
      <c r="B7" s="271"/>
      <c r="C7" s="271"/>
      <c r="D7" s="271"/>
      <c r="E7" s="271"/>
      <c r="F7" s="271"/>
    </row>
    <row r="8" spans="1:6" ht="88.5" hidden="1" customHeight="1" x14ac:dyDescent="0.25">
      <c r="A8" s="271" t="str">
        <f>""&amp;umumiy_malumot!B158&amp;"ning (1-tomon) vakili bo‘lgan  "&amp;umumiy_malumot!A161&amp;" "&amp;umumiy_malumot!B161&amp;", va O‘zbekiston Respublikasi fuqarosi  "&amp;umumiy_malumot!B5&amp;" (2-tomon) va garov egasi "&amp;umumiy_malumot!C124&amp;" (3-tomon) "&amp;umumiy_malumot!B74&amp;" "&amp;umumiy_malumot!C64&amp;" shartnomasiga muvofiq 1-tomon 2-tomonga berilgan "&amp;umumiy_malumot!B65&amp;" bo‘yicha ta’minot sifatida taqdim etilgan, 2-tomonga mulk huquqi asosida tegishli bo‘lgan mulkning garov qiymatini kelishish muzokaralari o’tkazildi. "</f>
        <v xml:space="preserve">«PULLOL BUSINESS MIKROMOLIYA TASHKILOTI»  MChJning (1-tomon) vakili bo‘lgan  Direktor Obidov A.Sh., va O‘zbekiston Respublikasi fuqarosi  NORINBOYEVA SOXIBA IZZATILLAYEVNA (2-tomon) va garov egasi NORINBAYEVA SAPURA MAMADALIYEVNA (3-tomon) 16 fevral 2026 y.dan № 110 Mikrokredit shartnomasiga muvofiq 1-tomon 2-tomonga berilgan mikrokredit bo‘yicha ta’minot sifatida taqdim etilgan, 2-tomonga mulk huquqi asosida tegishli bo‘lgan mulkning garov qiymatini kelishish muzokaralari o’tkazildi. </v>
      </c>
      <c r="B8" s="271"/>
      <c r="C8" s="271"/>
      <c r="D8" s="271"/>
      <c r="E8" s="271"/>
      <c r="F8" s="271"/>
    </row>
    <row r="9" spans="1:6" ht="88.5" hidden="1" customHeight="1" x14ac:dyDescent="0.25">
      <c r="A9" s="271" t="str">
        <f>""&amp;umumiy_malumot!B158&amp;"ning (1-tomon) vakili bo‘lgan  "&amp;umumiy_malumot!A161&amp;" "&amp;umumiy_malumot!B161&amp;", va O‘zbekiston Respublikasi fuqarosi  "&amp;umumiy_malumot!B5&amp;" (2-tomon) va garov egasi "&amp;umumiy_malumot!C124&amp;" (3-tomon) "&amp;umumiy_malumot!B74&amp;" "&amp;umumiy_malumot!C64&amp;" shartnomasiga muvofiq 1-tomon 2-tomonga berilgan "&amp;umumiy_malumot!B65&amp;" bo‘yicha ta’minot sifatida taqdim etilgan, 2-tomonga mulk huquqi asosida tegishli bo‘lgan mulkning garov qiymatini kelishish muzokaralari o’tkazildi. "</f>
        <v xml:space="preserve">«PULLOL BUSINESS MIKROMOLIYA TASHKILOTI»  MChJning (1-tomon) vakili bo‘lgan  Direktor Obidov A.Sh., va O‘zbekiston Respublikasi fuqarosi  NORINBOYEVA SOXIBA IZZATILLAYEVNA (2-tomon) va garov egasi NORINBAYEVA SAPURA MAMADALIYEVNA (3-tomon) 16 fevral 2026 y.dan № 110 Mikrokredit shartnomasiga muvofiq 1-tomon 2-tomonga berilgan mikrokredit bo‘yicha ta’minot sifatida taqdim etilgan, 2-tomonga mulk huquqi asosida tegishli bo‘lgan mulkning garov qiymatini kelishish muzokaralari o’tkazildi. </v>
      </c>
      <c r="B9" s="271"/>
      <c r="C9" s="271"/>
      <c r="D9" s="271"/>
      <c r="E9" s="271"/>
      <c r="F9" s="271"/>
    </row>
    <row r="10" spans="1:6" ht="88.5" hidden="1" customHeight="1" x14ac:dyDescent="0.25">
      <c r="A10" s="271" t="str">
        <f>IF(umumiy_malumot!B100="ha",dalolatnoma!A12:F12,dalolatnoma!A11:F11)</f>
        <v>«PULLOL BUSINESS MIKROMOLIYA TASHKILOTI»  MChJning (1-tomon) vakili bo‘lgan  Direktor Obidov A.Sh., O‘zbekiston Respublikasi fuqarosi NORINBOYEVA SOXIBA IZZATILLAYEVNA (2-tomon) va garovga beruvchi O‘zbekiston Respublikasi fuqarosi NORINBAYEVA SAPURA MAMADALIYEVNA (3-tomon) o’rtalarida, 16 fevral 2026 y.dan № 110-sonli Mikrokredit shartnomasiga muvofiq 1-tomon 2-tomonga berilgan mikrokredit bo‘yicha ta’minot sifatida taqdim etilgan, 3-tomonga mulk huquqi asosida tegishli bo‘lgan mulkning garov qiymatini kelishish muzokaralari o’tkazildi.</v>
      </c>
      <c r="B10" s="271"/>
      <c r="C10" s="271"/>
      <c r="D10" s="271"/>
      <c r="E10" s="271"/>
      <c r="F10" s="271"/>
    </row>
    <row r="11" spans="1:6" ht="88.5" hidden="1" customHeight="1" x14ac:dyDescent="0.25">
      <c r="A11" s="271" t="str">
        <f>""&amp;umumiy_malumot!B158&amp;"ning (1-tomon) vakili bo‘lgan  "&amp;umumiy_malumot!A161&amp;" "&amp;umumiy_malumot!B161&amp;", O‘zbekiston Respublikasi fuqarosi "&amp;umumiy_malumot!B5&amp;" (2-tomon) va garovga beruvchi O‘zbekiston Respublikasi fuqarosi "&amp;umumiy_malumot!B124&amp;" (3-tomon) o’rtalarida, "&amp;umumiy_malumot!B74&amp;"-sonli "&amp;umumiy_malumot!C64&amp;" shartnomasiga muvofiq 1-tomon 2-tomonga berilgan "&amp;umumiy_malumot!B65&amp;" bo‘yicha ta’minot sifatida taqdim etilgan, 3-tomonga mulk huquqi asosida tegishli bo‘lgan mulkning garov qiymatini kelishish muzokaralari o’tkazildi."</f>
        <v>«PULLOL BUSINESS MIKROMOLIYA TASHKILOTI»  MChJning (1-tomon) vakili bo‘lgan  Direktor Obidov A.Sh., O‘zbekiston Respublikasi fuqarosi NORINBOYEVA SOXIBA IZZATILLAYEVNA (2-tomon) va garovga beruvchi O‘zbekiston Respublikasi fuqarosi NORINBAYEVA SAPURA MAMADALIYEVNA (3-tomon) o’rtalarida, 16 fevral 2026 y.dan № 110-sonli Mikrokredit shartnomasiga muvofiq 1-tomon 2-tomonga berilgan mikrokredit bo‘yicha ta’minot sifatida taqdim etilgan, 3-tomonga mulk huquqi asosida tegishli bo‘lgan mulkning garov qiymatini kelishish muzokaralari o’tkazildi.</v>
      </c>
      <c r="B11" s="271"/>
      <c r="C11" s="271"/>
      <c r="D11" s="271"/>
      <c r="E11" s="271"/>
      <c r="F11" s="271"/>
    </row>
    <row r="12" spans="1:6" ht="88.5" hidden="1" customHeight="1" x14ac:dyDescent="0.25">
      <c r="A12" s="271" t="str">
        <f>""&amp;umumiy_malumot!B158&amp;"ning (1-tomon) vakili bo‘lgan  "&amp;umumiy_malumot!A161&amp;" "&amp;umumiy_malumot!B161&amp;", O‘zbekiston Respublikasi fuqarosi va garovga beruvchi "&amp;umumiy_malumot!B5&amp;" (2-tomon) o’rtalarida, "&amp;umumiy_malumot!B74&amp;"-sonli "&amp;umumiy_malumot!C64&amp;" shartnomasiga muvofiq 1-tomon 2-tomonga berilgan "&amp;umumiy_malumot!B65&amp;" bo‘yicha ta’minot sifatida taqdim etilgan, 2-tomonga mulk huquqi asosida tegishli bo‘lgan mulkning garov qiymatini kelishish muzokaralari o’tkazildi."</f>
        <v>«PULLOL BUSINESS MIKROMOLIYA TASHKILOTI»  MChJning (1-tomon) vakili bo‘lgan  Direktor Obidov A.Sh., O‘zbekiston Respublikasi fuqarosi va garovga beruvchi NORINBOYEVA SOXIBA IZZATILLAYEVNA (2-tomon) o’rtalarida, 16 fevral 2026 y.dan № 110-sonli Mikrokredit shartnomasiga muvofiq 1-tomon 2-tomonga berilgan mikrokredit bo‘yicha ta’minot sifatida taqdim etilgan, 2-tomonga mulk huquqi asosida tegishli bo‘lgan mulkning garov qiymatini kelishish muzokaralari o’tkazildi.</v>
      </c>
      <c r="B12" s="271"/>
      <c r="C12" s="271"/>
      <c r="D12" s="271"/>
      <c r="E12" s="271"/>
      <c r="F12" s="271"/>
    </row>
    <row r="13" spans="1:6" ht="88.5" hidden="1" customHeight="1" x14ac:dyDescent="0.25">
      <c r="A13" s="271" t="str">
        <f>"Garov predmeti sifatida "&amp;umumiy_malumot!B132&amp;", 3-tomonga egalik huquqi tegishli bo'lgan, quyidagi tafsilotlarga ega avtotransport vositasi taqdim etiladi:"</f>
        <v>Garov predmeti sifatida CHEVROLET COBALT, 3-tomonga egalik huquqi tegishli bo'lgan, quyidagi tafsilotlarga ega avtotransport vositasi taqdim etiladi:</v>
      </c>
      <c r="B13" s="271"/>
      <c r="C13" s="271"/>
      <c r="D13" s="271"/>
      <c r="E13" s="271"/>
      <c r="F13" s="271"/>
    </row>
    <row r="14" spans="1:6" ht="88.5" hidden="1" customHeight="1" x14ac:dyDescent="0.25">
      <c r="A14" s="271" t="str">
        <f>"Garov predmeti sifatida "&amp;umumiy_malumot!B132&amp;", 2-tomonga egalik huquqi tegishli bo'lgan, quyidagi tafsilotlarga ega avtotransport vositasi taqdim etiladi:"</f>
        <v>Garov predmeti sifatida CHEVROLET COBALT, 2-tomonga egalik huquqi tegishli bo'lgan, quyidagi tafsilotlarga ega avtotransport vositasi taqdim etiladi:</v>
      </c>
      <c r="B14" s="271"/>
      <c r="C14" s="271"/>
      <c r="D14" s="271"/>
      <c r="E14" s="271"/>
      <c r="F14" s="271"/>
    </row>
    <row r="15" spans="1:6" ht="88.5" hidden="1" customHeight="1" x14ac:dyDescent="0.25">
      <c r="A15" s="271" t="str">
        <f>IF(umumiy_malumot!B100="ha",dalolatnoma!A14:F14,dalolatnoma!A13:F13)</f>
        <v>Garov predmeti sifatida CHEVROLET COBALT, 3-tomonga egalik huquqi tegishli bo'lgan, quyidagi tafsilotlarga ega avtotransport vositasi taqdim etiladi:</v>
      </c>
      <c r="B15" s="271"/>
      <c r="C15" s="271"/>
      <c r="D15" s="271"/>
      <c r="E15" s="271"/>
      <c r="F15" s="271"/>
    </row>
    <row r="16" spans="1:6" ht="88.5" hidden="1" customHeight="1" x14ac:dyDescent="0.25">
      <c r="A16" s="271" t="str">
        <f>"Garov predmeti sifatida "&amp;umumiy_malumot!C133&amp;", 2-tomonga egalik huquqi tegishli bo'lgan, quyidagi tafsilotlarga ega ko'chmas mulk taqdim etiladi:"</f>
        <v>Garov predmeti sifatida Yakka tartibdagi uy-joy, 2-tomonga egalik huquqi tegishli bo'lgan, quyidagi tafsilotlarga ega ko'chmas mulk taqdim etiladi:</v>
      </c>
      <c r="B16" s="271"/>
      <c r="C16" s="271"/>
      <c r="D16" s="271"/>
      <c r="E16" s="271"/>
      <c r="F16" s="271"/>
    </row>
    <row r="17" spans="1:6" ht="13.5" hidden="1" customHeight="1" x14ac:dyDescent="0.25">
      <c r="A17" s="271" t="str">
        <f>"Garov predmeti sifatida "&amp;umumiy_malumot!C133&amp;", 3-tomonga egalik huquqi tegishli bo'lgan, quyidagi tafsilotlarga ega ko'chmas mulk taqdim etiladi:"</f>
        <v>Garov predmeti sifatida Yakka tartibdagi uy-joy, 3-tomonga egalik huquqi tegishli bo'lgan, quyidagi tafsilotlarga ega ko'chmas mulk taqdim etiladi:</v>
      </c>
      <c r="B17" s="271"/>
      <c r="C17" s="271"/>
      <c r="D17" s="271"/>
      <c r="E17" s="271"/>
      <c r="F17" s="271"/>
    </row>
    <row r="18" spans="1:6" ht="11.25" hidden="1" customHeight="1" x14ac:dyDescent="0.25">
      <c r="A18" s="271" t="str">
        <f>IF(umumiy_malumot!B100="ha",dalolatnoma!A16:F16,dalolatnoma!A17:F17)</f>
        <v>Garov predmeti sifatida Yakka tartibdagi uy-joy, 3-tomonga egalik huquqi tegishli bo'lgan, quyidagi tafsilotlarga ega ko'chmas mulk taqdim etiladi:</v>
      </c>
      <c r="B18" s="271"/>
      <c r="C18" s="271"/>
      <c r="D18" s="271"/>
      <c r="E18" s="271"/>
      <c r="F18" s="271"/>
    </row>
    <row r="19" spans="1:6" ht="36.75" customHeight="1" x14ac:dyDescent="0.25">
      <c r="A19" s="271" t="str">
        <f>IF(umumiy_malumot!B110="Avtotransport",dalolatnoma!A15:F15,dalolatnoma!A18:F18)</f>
        <v>Garov predmeti sifatida Yakka tartibdagi uy-joy, 3-tomonga egalik huquqi tegishli bo'lgan, quyidagi tafsilotlarga ega ko'chmas mulk taqdim etiladi:</v>
      </c>
      <c r="B19" s="271"/>
      <c r="C19" s="271"/>
      <c r="D19" s="271"/>
      <c r="E19" s="271"/>
      <c r="F19" s="271"/>
    </row>
    <row r="20" spans="1:6" ht="48" customHeight="1" outlineLevel="1" x14ac:dyDescent="0.25">
      <c r="A20" s="36" t="s">
        <v>197</v>
      </c>
      <c r="B20" s="346" t="s">
        <v>483</v>
      </c>
      <c r="C20" s="347"/>
      <c r="D20" s="266" t="s">
        <v>484</v>
      </c>
      <c r="E20" s="36" t="s">
        <v>485</v>
      </c>
      <c r="F20" s="36" t="s">
        <v>486</v>
      </c>
    </row>
    <row r="21" spans="1:6" ht="83.25" customHeight="1" outlineLevel="1" x14ac:dyDescent="0.25">
      <c r="A21" s="15" t="str">
        <f>IF(umumiy_malumot!B110=umumiy_malumot!C110,umumiy_malumot!B132,umumiy_malumot!C132)</f>
        <v>Yakka tartibdagi uy-joy</v>
      </c>
      <c r="B21" s="348" t="str">
        <f>umumiy_malumot!C140</f>
        <v>700</v>
      </c>
      <c r="C21" s="349"/>
      <c r="D21" s="15" t="str">
        <f>umumiy_malumot!C139</f>
        <v>340.11</v>
      </c>
      <c r="E21" s="15" t="str">
        <f>umumiy_malumot!C137</f>
        <v>163.19</v>
      </c>
      <c r="F21" s="15" t="str">
        <f>umumiy_malumot!C138</f>
        <v>114.59</v>
      </c>
    </row>
    <row r="22" spans="1:6" ht="17.25" customHeight="1" outlineLevel="1" x14ac:dyDescent="0.25">
      <c r="A22" s="271" t="str">
        <f>"-* "&amp;IF(umumiy_malumot!B110=umumiy_malumot!C110,"avtotransport "&amp;"egasi: "&amp;umumiy_malumot!B124&amp;"","ko'chmas mulk"&amp;" egasi: "&amp;umumiy_malumot!B124&amp;"")</f>
        <v>-* ko'chmas mulk egasi: NORINBAYEVA SAPURA MAMADALIYEVNA</v>
      </c>
      <c r="B22" s="271"/>
      <c r="C22" s="271"/>
      <c r="D22" s="271"/>
      <c r="E22" s="271"/>
      <c r="F22" s="271"/>
    </row>
    <row r="23" spans="1:6" outlineLevel="1" x14ac:dyDescent="0.25">
      <c r="A23" s="271" t="str">
        <f>IF(umumiy_malumot!B110=umumiy_malumot!C110,"-* texnik pasport: "&amp;umumiy_malumot!B131&amp;"","-* reest raqami: "&amp;umumiy_malumot!C131&amp;"")</f>
        <v>-* reest raqami: №1727256/Y-25006342</v>
      </c>
      <c r="B23" s="271"/>
      <c r="C23" s="271"/>
      <c r="D23" s="271"/>
      <c r="E23" s="271"/>
      <c r="F23" s="271"/>
    </row>
    <row r="24" spans="1:6" s="161" customFormat="1" outlineLevel="1" x14ac:dyDescent="0.25">
      <c r="A24" s="271" t="str">
        <f>IF(umumiy_malumot!B110=umumiy_malumot!C110,"-* roʻyxatdan oʻtgan manzili/garaj manzili: "&amp;umumiy_malumot!B129&amp;"","-*  kadastr raqami: "&amp;umumiy_malumot!C134&amp;"")</f>
        <v>-*  kadastr raqami: 13.08.2025 y. №11:13:42:02:01:1840</v>
      </c>
      <c r="B24" s="271"/>
      <c r="C24" s="271"/>
      <c r="D24" s="271"/>
      <c r="E24" s="271"/>
      <c r="F24" s="271"/>
    </row>
    <row r="25" spans="1:6" ht="33" customHeight="1" outlineLevel="1" x14ac:dyDescent="0.25">
      <c r="A25" s="271" t="str">
        <f>IF(umumiy_malumot!B110=umumiy_malumot!C110,"-* davlat raqami: "&amp;umumiy_malumot!B133&amp;"","-* manzili: "&amp;umumiy_malumot!C130&amp;"")</f>
        <v>-* manzili: TOSHKENT VILOYATI CHINOZ TUMANI ALISHER NAVOIY MFY SOBIR RAHIMOV KO'CHASI 36 UY</v>
      </c>
      <c r="B25" s="271"/>
      <c r="C25" s="271"/>
      <c r="D25" s="271"/>
      <c r="E25" s="271"/>
      <c r="F25" s="271"/>
    </row>
    <row r="26" spans="1:6" ht="65.25" hidden="1" customHeight="1" x14ac:dyDescent="0.25">
      <c r="A26" s="271" t="str">
        <f>IF(umumiy_malumot!B100="ha",dalolatnoma!A28:F28,dalolatnoma!A27:F27)</f>
        <v>Tomonlar o’rtasida o’tkazilgan muzokaralar natijalariga ko‘ra, 2-tomon ta’minot sifatida quyidagi tafsilotlarga ega bo’lgan garov predmetini taqdim etadi, 1-tomon esa ushbu garov predmetini  16 fevral 2026 y.dan № 110 mikrokredit shartnomasi bo‘yicha berilgan mikrokredit bo‘yicha  
210 000 000,00 (ikki yuz o'n million so'm) so’m bo‘lgan kelishilgan garov qiymatida qabul qiladi::</v>
      </c>
      <c r="B26" s="271"/>
      <c r="C26" s="271"/>
      <c r="D26" s="271"/>
      <c r="E26" s="271"/>
      <c r="F26" s="271"/>
    </row>
    <row r="27" spans="1:6" ht="66" hidden="1" customHeight="1" x14ac:dyDescent="0.25">
      <c r="A27" s="271" t="str">
        <f>"Tomonlar o’rtasida o’tkazilgan muzokaralar natijalariga ko‘ra, 2-tomon ta’minot sifatida quyidagi tafsilotlarga ega bo’lgan garov predmetini taqdim etadi, 1-tomon esa ushbu garov predmetini  "&amp;umumiy_malumot!B74&amp;" "&amp;umumiy_malumot!B65&amp;" shartnomasi bo‘yicha berilgan "&amp;umumiy_malumot!B65&amp;" bo‘yicha  
"&amp;FIXED(umumiy_malumot!B143,2)&amp;" ("&amp;umumiy_malumot!B144&amp;") so’m bo‘lgan kelishilgan garov qiymatida qabul qiladi::"</f>
        <v>Tomonlar o’rtasida o’tkazilgan muzokaralar natijalariga ko‘ra, 2-tomon ta’minot sifatida quyidagi tafsilotlarga ega bo’lgan garov predmetini taqdim etadi, 1-tomon esa ushbu garov predmetini  16 fevral 2026 y.dan № 110 mikrokredit shartnomasi bo‘yicha berilgan mikrokredit bo‘yicha  
210 000 000,00 (ikki yuz o'n million so'm) so’m bo‘lgan kelishilgan garov qiymatida qabul qiladi::</v>
      </c>
      <c r="B27" s="271"/>
      <c r="C27" s="271"/>
      <c r="D27" s="271"/>
      <c r="E27" s="271"/>
      <c r="F27" s="271"/>
    </row>
    <row r="28" spans="1:6" ht="60.75" customHeight="1" x14ac:dyDescent="0.25">
      <c r="A28" s="271" t="str">
        <f>"Tomonlar o’rtasida o’tkazilgan muzokaralar natijalariga ko‘ra, 2-tomon ta’minot sifatida quyidagi tafsilotlarga ega bo’lgan garov predmetini taqdim etadi, 1-tomon esa ushbu garov predmetini  "&amp;umumiy_malumot!B74&amp;" "&amp;umumiy_malumot!C64&amp;" shartnomasi bo‘yicha berilgan "&amp;umumiy_malumot!B65&amp;" bo‘yicha  
"&amp;FIXED(umumiy_malumot!B143,2)&amp;" ("&amp;umumiy_malumot!B144&amp;") so’m bo‘lgan kelishilgan garov qiymatida qabul qiladi::"</f>
        <v>Tomonlar o’rtasida o’tkazilgan muzokaralar natijalariga ko‘ra, 2-tomon ta’minot sifatida quyidagi tafsilotlarga ega bo’lgan garov predmetini taqdim etadi, 1-tomon esa ushbu garov predmetini  16 fevral 2026 y.dan № 110 Mikrokredit shartnomasi bo‘yicha berilgan mikrokredit bo‘yicha  
210 000 000,00 (ikki yuz o'n million so'm) so’m bo‘lgan kelishilgan garov qiymatida qabul qiladi::</v>
      </c>
      <c r="B28" s="271"/>
      <c r="C28" s="271"/>
      <c r="D28" s="271"/>
      <c r="E28" s="271"/>
      <c r="F28" s="271"/>
    </row>
    <row r="29" spans="1:6" ht="51.75" customHeight="1" outlineLevel="1" x14ac:dyDescent="0.25">
      <c r="A29" s="36" t="s">
        <v>197</v>
      </c>
      <c r="B29" s="36" t="str">
        <f>B20</f>
        <v>Umumiy yer maydoni, (m2)</v>
      </c>
      <c r="C29" s="36" t="str">
        <f t="shared" ref="C29:E30" si="0">D20</f>
        <v>Qurilish osti maydoni, (m2)</v>
      </c>
      <c r="D29" s="36" t="str">
        <f t="shared" si="0"/>
        <v>Umumiy foydali maydoni, (m2)</v>
      </c>
      <c r="E29" s="36" t="str">
        <f t="shared" si="0"/>
        <v>Yashash maydoni, (m2)</v>
      </c>
      <c r="F29" s="36" t="s">
        <v>198</v>
      </c>
    </row>
    <row r="30" spans="1:6" ht="76.5" customHeight="1" outlineLevel="1" x14ac:dyDescent="0.25">
      <c r="A30" s="15" t="str">
        <f>A21</f>
        <v>Yakka tartibdagi uy-joy</v>
      </c>
      <c r="B30" s="36" t="str">
        <f>B21</f>
        <v>700</v>
      </c>
      <c r="C30" s="15" t="str">
        <f t="shared" si="0"/>
        <v>340.11</v>
      </c>
      <c r="D30" s="15" t="str">
        <f t="shared" si="0"/>
        <v>163.19</v>
      </c>
      <c r="E30" s="15" t="str">
        <f t="shared" si="0"/>
        <v>114.59</v>
      </c>
      <c r="F30" s="15" t="str">
        <f>""&amp;FIXED(umumiy_malumot!B143,2)&amp;" 
("&amp;umumiy_malumot!B144&amp;")"</f>
        <v>210 000 000,00 
(ikki yuz o'n million so'm)</v>
      </c>
    </row>
    <row r="31" spans="1:6" ht="16.5" customHeight="1" x14ac:dyDescent="0.25">
      <c r="A31" s="14"/>
      <c r="B31" s="14"/>
      <c r="C31" s="14"/>
      <c r="D31" s="14"/>
      <c r="E31" s="14"/>
      <c r="F31" s="14"/>
    </row>
    <row r="32" spans="1:6" ht="56.25" hidden="1" customHeight="1" outlineLevel="1" x14ac:dyDescent="0.25">
      <c r="A32" s="36" t="s">
        <v>4</v>
      </c>
      <c r="B32" s="36"/>
      <c r="C32" s="36" t="s">
        <v>17</v>
      </c>
      <c r="D32" s="36" t="s">
        <v>18</v>
      </c>
      <c r="E32" s="36" t="s">
        <v>19</v>
      </c>
      <c r="F32" s="36" t="s">
        <v>5</v>
      </c>
    </row>
    <row r="33" spans="1:6" ht="15.75" hidden="1" customHeight="1" outlineLevel="1" x14ac:dyDescent="0.25">
      <c r="A33" s="15" t="e">
        <f>#REF!</f>
        <v>#REF!</v>
      </c>
      <c r="B33" s="15"/>
      <c r="C33" s="101" t="e">
        <f>#REF!</f>
        <v>#REF!</v>
      </c>
      <c r="D33" s="101" t="e">
        <f>#REF!</f>
        <v>#REF!</v>
      </c>
      <c r="E33" s="101" t="e">
        <f>#REF!</f>
        <v>#REF!</v>
      </c>
      <c r="F33" s="343" t="str">
        <f>""&amp;FIXED(umumiy_malumot!C143,2)&amp;" ("&amp;umumiy_malumot!B144&amp;")"</f>
        <v>210 000 000,00 (ikki yuz o'n million so'm)</v>
      </c>
    </row>
    <row r="34" spans="1:6" ht="15.75" hidden="1" customHeight="1" outlineLevel="1" x14ac:dyDescent="0.25">
      <c r="A34" s="15"/>
      <c r="B34" s="15"/>
      <c r="C34" s="101"/>
      <c r="D34" s="101"/>
      <c r="E34" s="101"/>
      <c r="F34" s="344"/>
    </row>
    <row r="35" spans="1:6" ht="15.75" hidden="1" customHeight="1" outlineLevel="1" x14ac:dyDescent="0.25">
      <c r="A35" s="15" t="e">
        <f>#REF!</f>
        <v>#REF!</v>
      </c>
      <c r="B35" s="15"/>
      <c r="C35" s="101" t="e">
        <f>#REF!</f>
        <v>#REF!</v>
      </c>
      <c r="D35" s="101" t="e">
        <f>#REF!</f>
        <v>#REF!</v>
      </c>
      <c r="E35" s="101" t="e">
        <f>#REF!</f>
        <v>#REF!</v>
      </c>
      <c r="F35" s="344"/>
    </row>
    <row r="36" spans="1:6" ht="15.75" hidden="1" customHeight="1" outlineLevel="1" x14ac:dyDescent="0.25">
      <c r="A36" s="15" t="e">
        <f>#REF!</f>
        <v>#REF!</v>
      </c>
      <c r="B36" s="15"/>
      <c r="C36" s="101" t="e">
        <f>#REF!</f>
        <v>#REF!</v>
      </c>
      <c r="D36" s="101" t="e">
        <f>#REF!</f>
        <v>#REF!</v>
      </c>
      <c r="E36" s="101" t="e">
        <f>#REF!</f>
        <v>#REF!</v>
      </c>
      <c r="F36" s="344"/>
    </row>
    <row r="37" spans="1:6" ht="15.75" hidden="1" customHeight="1" outlineLevel="1" x14ac:dyDescent="0.25">
      <c r="A37" s="15" t="e">
        <f>#REF!</f>
        <v>#REF!</v>
      </c>
      <c r="B37" s="15"/>
      <c r="C37" s="101" t="e">
        <f>#REF!</f>
        <v>#REF!</v>
      </c>
      <c r="D37" s="101" t="e">
        <f>#REF!</f>
        <v>#REF!</v>
      </c>
      <c r="E37" s="101" t="e">
        <f>#REF!</f>
        <v>#REF!</v>
      </c>
      <c r="F37" s="344"/>
    </row>
    <row r="38" spans="1:6" ht="15.75" hidden="1" customHeight="1" outlineLevel="1" x14ac:dyDescent="0.25">
      <c r="A38" s="15" t="e">
        <f>#REF!</f>
        <v>#REF!</v>
      </c>
      <c r="B38" s="15"/>
      <c r="C38" s="101" t="e">
        <f>#REF!</f>
        <v>#REF!</v>
      </c>
      <c r="D38" s="101" t="e">
        <f>#REF!</f>
        <v>#REF!</v>
      </c>
      <c r="E38" s="101" t="e">
        <f>#REF!</f>
        <v>#REF!</v>
      </c>
      <c r="F38" s="344"/>
    </row>
    <row r="39" spans="1:6" ht="15.75" hidden="1" customHeight="1" outlineLevel="1" x14ac:dyDescent="0.25">
      <c r="A39" s="15" t="e">
        <f>#REF!</f>
        <v>#REF!</v>
      </c>
      <c r="B39" s="15"/>
      <c r="C39" s="101" t="e">
        <f>#REF!</f>
        <v>#REF!</v>
      </c>
      <c r="D39" s="101" t="e">
        <f>#REF!</f>
        <v>#REF!</v>
      </c>
      <c r="E39" s="101" t="e">
        <f>#REF!</f>
        <v>#REF!</v>
      </c>
      <c r="F39" s="344"/>
    </row>
    <row r="40" spans="1:6" ht="15.75" hidden="1" customHeight="1" outlineLevel="1" x14ac:dyDescent="0.25">
      <c r="A40" s="15" t="e">
        <f>#REF!</f>
        <v>#REF!</v>
      </c>
      <c r="B40" s="15"/>
      <c r="C40" s="101" t="e">
        <f>#REF!</f>
        <v>#REF!</v>
      </c>
      <c r="D40" s="101" t="e">
        <f>#REF!</f>
        <v>#REF!</v>
      </c>
      <c r="E40" s="101" t="e">
        <f>#REF!</f>
        <v>#REF!</v>
      </c>
      <c r="F40" s="344"/>
    </row>
    <row r="41" spans="1:6" ht="15.75" hidden="1" customHeight="1" outlineLevel="1" x14ac:dyDescent="0.25">
      <c r="A41" s="15" t="e">
        <f>#REF!</f>
        <v>#REF!</v>
      </c>
      <c r="B41" s="15"/>
      <c r="C41" s="101" t="e">
        <f>#REF!</f>
        <v>#REF!</v>
      </c>
      <c r="D41" s="101" t="e">
        <f>#REF!</f>
        <v>#REF!</v>
      </c>
      <c r="E41" s="101" t="e">
        <f>#REF!</f>
        <v>#REF!</v>
      </c>
      <c r="F41" s="344"/>
    </row>
    <row r="42" spans="1:6" ht="15.75" hidden="1" customHeight="1" outlineLevel="1" x14ac:dyDescent="0.25">
      <c r="A42" s="15" t="e">
        <f>#REF!</f>
        <v>#REF!</v>
      </c>
      <c r="B42" s="15"/>
      <c r="C42" s="101" t="e">
        <f>#REF!</f>
        <v>#REF!</v>
      </c>
      <c r="D42" s="101" t="e">
        <f>#REF!</f>
        <v>#REF!</v>
      </c>
      <c r="E42" s="101" t="e">
        <f>#REF!</f>
        <v>#REF!</v>
      </c>
      <c r="F42" s="344"/>
    </row>
    <row r="43" spans="1:6" ht="15.75" hidden="1" customHeight="1" outlineLevel="1" x14ac:dyDescent="0.25">
      <c r="A43" s="15" t="e">
        <f>#REF!</f>
        <v>#REF!</v>
      </c>
      <c r="B43" s="15"/>
      <c r="C43" s="15" t="e">
        <f>#REF!</f>
        <v>#REF!</v>
      </c>
      <c r="D43" s="15" t="e">
        <f>#REF!</f>
        <v>#REF!</v>
      </c>
      <c r="E43" s="15" t="e">
        <f>#REF!</f>
        <v>#REF!</v>
      </c>
      <c r="F43" s="345"/>
    </row>
    <row r="44" spans="1:6" s="34" customFormat="1" ht="15.75" hidden="1" customHeight="1" outlineLevel="1" x14ac:dyDescent="0.2">
      <c r="A44" s="36" t="e">
        <f>#REF!</f>
        <v>#REF!</v>
      </c>
      <c r="B44" s="36"/>
      <c r="C44" s="36" t="e">
        <f>#REF!</f>
        <v>#REF!</v>
      </c>
      <c r="D44" s="36" t="e">
        <f>#REF!</f>
        <v>#REF!</v>
      </c>
      <c r="E44" s="36" t="e">
        <f>#REF!</f>
        <v>#REF!</v>
      </c>
      <c r="F44" s="36" t="str">
        <f>FIXED(umumiy_malumot!C143,2)</f>
        <v>210 000 000,00</v>
      </c>
    </row>
    <row r="45" spans="1:6" ht="12.75" customHeight="1" collapsed="1" x14ac:dyDescent="0.25">
      <c r="A45" s="14"/>
      <c r="B45" s="14"/>
      <c r="C45" s="14"/>
      <c r="D45" s="14"/>
      <c r="E45" s="14"/>
      <c r="F45" s="14"/>
    </row>
    <row r="46" spans="1:6" ht="93.75" hidden="1" customHeight="1" x14ac:dyDescent="0.25">
      <c r="A46" s="271"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71"/>
      <c r="C46" s="271"/>
      <c r="D46" s="271"/>
      <c r="E46" s="271"/>
      <c r="F46" s="271"/>
    </row>
    <row r="47" spans="1:6" ht="42" customHeight="1" x14ac:dyDescent="0.25">
      <c r="A47" s="271" t="s">
        <v>201</v>
      </c>
      <c r="B47" s="271"/>
      <c r="C47" s="271"/>
      <c r="D47" s="271"/>
      <c r="E47" s="271"/>
      <c r="F47" s="271"/>
    </row>
    <row r="48" spans="1:6" ht="35.25" customHeight="1" x14ac:dyDescent="0.25">
      <c r="A48" s="271" t="str">
        <f>"Shunday qilib, garov predmetining kelishilgan garov qiymati  "&amp;FIXED(umumiy_malumot!B143)&amp;" ("&amp;umumiy_malumot!B144&amp;") so‘mni tashkil etadi."</f>
        <v>Shunday qilib, garov predmetining kelishilgan garov qiymati  210 000 000,00 (ikki yuz o'n million so'm) so‘mni tashkil etadi.</v>
      </c>
      <c r="B48" s="271"/>
      <c r="C48" s="271"/>
      <c r="D48" s="271"/>
      <c r="E48" s="271"/>
      <c r="F48" s="271"/>
    </row>
    <row r="49" spans="1:7" ht="35.25" hidden="1" customHeight="1" x14ac:dyDescent="0.25">
      <c r="A49" s="17"/>
      <c r="B49" s="17"/>
      <c r="C49" s="17"/>
      <c r="D49" s="17"/>
      <c r="E49" s="17">
        <f>IF(umumiy_malumot!B99=umumiy_malumot!C99,umumiy_malumot!C143,IF(umumiy_malumot!B99=umumiy_malumot!D99,'Данные для послед. Залога'!M22,0))</f>
        <v>210000000</v>
      </c>
      <c r="F49" s="17" t="str">
        <f>IF(umumiy_malumot!B99=umumiy_malumot!C99,umumiy_malumot!B144,IF(umumiy_malumot!B99=umumiy_malumot!D99,'Данные для послед. Залога'!Q22,0))</f>
        <v>ikki yuz o'n million so'm</v>
      </c>
    </row>
    <row r="50" spans="1:7" x14ac:dyDescent="0.25">
      <c r="A50" s="313" t="s">
        <v>202</v>
      </c>
      <c r="B50" s="313"/>
      <c r="C50" s="313"/>
      <c r="D50" s="313"/>
      <c r="E50" s="19"/>
      <c r="F50" s="19"/>
    </row>
    <row r="51" spans="1:7" x14ac:dyDescent="0.25">
      <c r="A51" s="313" t="str">
        <f>umumiy_malumot!B159</f>
        <v>«PULLOL BUSINESS MIKROMOLIYA TASHKILOTI»  MChJ</v>
      </c>
      <c r="B51" s="313"/>
      <c r="C51" s="313"/>
      <c r="D51" s="313"/>
      <c r="E51" s="151"/>
      <c r="F51" s="151"/>
    </row>
    <row r="52" spans="1:7" ht="15" customHeight="1" x14ac:dyDescent="0.25">
      <c r="A52" s="313" t="str">
        <f>""&amp;umumiy_malumot!A161&amp;""</f>
        <v>Direktor</v>
      </c>
      <c r="B52" s="313"/>
      <c r="C52" s="313"/>
      <c r="D52" s="313"/>
      <c r="E52" s="191"/>
      <c r="F52" s="191" t="str">
        <f>umumiy_malumot!B161</f>
        <v>Obidov A.Sh.</v>
      </c>
    </row>
    <row r="53" spans="1:7" x14ac:dyDescent="0.25">
      <c r="A53" s="50"/>
      <c r="B53" s="50"/>
      <c r="C53" s="50"/>
      <c r="D53" s="50"/>
      <c r="E53" s="50"/>
      <c r="F53" s="50"/>
    </row>
    <row r="54" spans="1:7" x14ac:dyDescent="0.25">
      <c r="A54" s="313"/>
      <c r="B54" s="313"/>
      <c r="C54" s="313"/>
      <c r="D54" s="313"/>
      <c r="E54" s="50"/>
      <c r="F54" s="50"/>
    </row>
    <row r="55" spans="1:7" hidden="1" x14ac:dyDescent="0.25">
      <c r="A55" s="269" t="s">
        <v>42</v>
      </c>
      <c r="B55" s="269"/>
      <c r="C55" s="269"/>
      <c r="D55" s="269"/>
      <c r="E55" s="50"/>
      <c r="F55" s="50"/>
    </row>
    <row r="56" spans="1:7" hidden="1" x14ac:dyDescent="0.25">
      <c r="A56" s="269" t="str">
        <f>umumiy_malumot!B159</f>
        <v>«PULLOL BUSINESS MIKROMOLIYA TASHKILOTI»  MChJ</v>
      </c>
      <c r="B56" s="269"/>
      <c r="C56" s="269"/>
      <c r="D56" s="269"/>
      <c r="E56" s="269" t="str">
        <f>"_______________   "&amp;umumiy_malumot!B170&amp;""</f>
        <v>_______________   Akramov R.N.</v>
      </c>
      <c r="F56" s="269"/>
    </row>
    <row r="57" spans="1:7" ht="12.75" customHeight="1" x14ac:dyDescent="0.25">
      <c r="A57" s="269"/>
      <c r="B57" s="269"/>
      <c r="C57" s="269"/>
      <c r="D57" s="269"/>
      <c r="E57" s="269"/>
      <c r="F57" s="269"/>
    </row>
    <row r="58" spans="1:7" x14ac:dyDescent="0.25">
      <c r="A58" s="313" t="s">
        <v>203</v>
      </c>
      <c r="B58" s="313"/>
      <c r="C58" s="313"/>
      <c r="D58" s="313"/>
      <c r="E58" s="269"/>
      <c r="F58" s="269"/>
    </row>
    <row r="59" spans="1:7" ht="31.5" customHeight="1" x14ac:dyDescent="0.25">
      <c r="A59" s="269" t="s">
        <v>204</v>
      </c>
      <c r="B59" s="269"/>
      <c r="C59" s="269"/>
      <c r="D59" s="269"/>
      <c r="E59" s="313" t="str">
        <f>"_____________ "&amp;umumiy_malumot!B7&amp;""</f>
        <v>_____________ NORINBOYEVA S.I.</v>
      </c>
      <c r="F59" s="313"/>
    </row>
    <row r="60" spans="1:7" x14ac:dyDescent="0.25">
      <c r="A60" s="269"/>
      <c r="B60" s="269"/>
      <c r="C60" s="269"/>
      <c r="D60" s="269"/>
      <c r="E60" s="342" t="str">
        <f>IF(umumiy_malumot!B100="да","",umumiy_malumot!B125)</f>
        <v>NORINBAYEVA S.M.</v>
      </c>
      <c r="F60" s="342"/>
    </row>
    <row r="61" spans="1:7" x14ac:dyDescent="0.25">
      <c r="A61" s="313" t="str">
        <f>+IF(umumiy_malumot!B100="ha"," ","3-tomondan:")</f>
        <v>3-tomondan:</v>
      </c>
      <c r="B61" s="313"/>
      <c r="C61" s="313"/>
      <c r="D61" s="313"/>
      <c r="E61" s="313"/>
      <c r="F61" s="313"/>
      <c r="G61" s="13" t="str">
        <f>IF(umumiy_malumot!B101=umumiy_malumot!D101,C7,"")</f>
        <v/>
      </c>
    </row>
    <row r="62" spans="1:7" x14ac:dyDescent="0.25">
      <c r="A62" s="269" t="str">
        <f>+IF(umumiy_malumot!B100="ha"," ","O'zbekiston Respublikasi fuqarosi")</f>
        <v>O'zbekiston Respublikasi fuqarosi</v>
      </c>
      <c r="B62" s="269"/>
      <c r="C62" s="269"/>
      <c r="D62" s="269"/>
      <c r="E62" s="313" t="str">
        <f>"_______________ "&amp;umumiy_malumot!B113</f>
        <v>_______________ NORINBAYEVA S.M.</v>
      </c>
      <c r="F62" s="313"/>
    </row>
    <row r="63" spans="1:7" hidden="1" x14ac:dyDescent="0.25">
      <c r="A63" s="13" t="str">
        <f>+IF(umumiy_malumot!B100="ha"," ","O'zbekiston Respublikasi fuqarosi")</f>
        <v>O'zbekiston Respublikasi fuqarosi</v>
      </c>
      <c r="E63" s="340" t="str">
        <f>+IF(umumiy_malumot!B100="ha"," ","_______________  "&amp;umumiy_malumot!B113&amp;"")</f>
        <v>_______________  NORINBAYEVA S.M.</v>
      </c>
      <c r="F63" s="340"/>
    </row>
    <row r="64" spans="1:7" hidden="1" x14ac:dyDescent="0.25">
      <c r="C64" s="341" t="str">
        <f>garov_ariza!A20</f>
        <v xml:space="preserve">№ 00.01.1900sanasidan xususiy faoliyat ko'rsatuvchi notarius tomonidan   berilgan ishonchnomaga asosan </v>
      </c>
      <c r="D64" s="341"/>
      <c r="E64" s="341"/>
      <c r="F64" s="341"/>
    </row>
    <row r="65" spans="1:6" hidden="1" x14ac:dyDescent="0.25">
      <c r="C65" s="341"/>
      <c r="D65" s="341"/>
      <c r="E65" s="341"/>
      <c r="F65" s="341"/>
    </row>
    <row r="66" spans="1:6" hidden="1" x14ac:dyDescent="0.25">
      <c r="C66" s="341"/>
      <c r="D66" s="341"/>
      <c r="E66" s="341"/>
      <c r="F66" s="341"/>
    </row>
    <row r="67" spans="1:6" hidden="1" x14ac:dyDescent="0.25">
      <c r="C67" s="341"/>
      <c r="D67" s="341"/>
      <c r="E67" s="341"/>
      <c r="F67" s="341"/>
    </row>
    <row r="68" spans="1:6" hidden="1" x14ac:dyDescent="0.25"/>
    <row r="69" spans="1:6" hidden="1" x14ac:dyDescent="0.25">
      <c r="A69" s="13" t="s">
        <v>204</v>
      </c>
    </row>
    <row r="70" spans="1:6" hidden="1" x14ac:dyDescent="0.25"/>
    <row r="71" spans="1:6" hidden="1" x14ac:dyDescent="0.25"/>
    <row r="72" spans="1:6" hidden="1" x14ac:dyDescent="0.25"/>
  </sheetData>
  <mergeCells count="50">
    <mergeCell ref="A2:F2"/>
    <mergeCell ref="A11:F11"/>
    <mergeCell ref="A12:F12"/>
    <mergeCell ref="A13:F13"/>
    <mergeCell ref="A10:F10"/>
    <mergeCell ref="A5:F5"/>
    <mergeCell ref="A6:F6"/>
    <mergeCell ref="A7:F7"/>
    <mergeCell ref="A8:F8"/>
    <mergeCell ref="A9:F9"/>
    <mergeCell ref="A19:F19"/>
    <mergeCell ref="A24:F24"/>
    <mergeCell ref="A50:D50"/>
    <mergeCell ref="A51:D51"/>
    <mergeCell ref="A52:D52"/>
    <mergeCell ref="A46:F46"/>
    <mergeCell ref="A47:F47"/>
    <mergeCell ref="B20:C20"/>
    <mergeCell ref="B21:C21"/>
    <mergeCell ref="A28:F28"/>
    <mergeCell ref="A48:F48"/>
    <mergeCell ref="A26:F26"/>
    <mergeCell ref="A25:F25"/>
    <mergeCell ref="A54:D54"/>
    <mergeCell ref="A55:D55"/>
    <mergeCell ref="A57:D57"/>
    <mergeCell ref="E57:F57"/>
    <mergeCell ref="A56:D56"/>
    <mergeCell ref="E56:F56"/>
    <mergeCell ref="C64:F67"/>
    <mergeCell ref="A22:F22"/>
    <mergeCell ref="A23:F23"/>
    <mergeCell ref="A14:F14"/>
    <mergeCell ref="A15:F15"/>
    <mergeCell ref="A16:F16"/>
    <mergeCell ref="A17:F17"/>
    <mergeCell ref="A18:F18"/>
    <mergeCell ref="A58:D58"/>
    <mergeCell ref="E58:F58"/>
    <mergeCell ref="A59:D59"/>
    <mergeCell ref="E59:F59"/>
    <mergeCell ref="A60:D60"/>
    <mergeCell ref="E60:F60"/>
    <mergeCell ref="A27:F27"/>
    <mergeCell ref="F33:F43"/>
    <mergeCell ref="A61:D61"/>
    <mergeCell ref="E61:F61"/>
    <mergeCell ref="A62:D62"/>
    <mergeCell ref="E62:F62"/>
    <mergeCell ref="E63:F63"/>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4">
    <tabColor rgb="FF00B050"/>
  </sheetPr>
  <dimension ref="A1:F27"/>
  <sheetViews>
    <sheetView view="pageBreakPreview" zoomScaleSheetLayoutView="100" workbookViewId="0">
      <selection activeCell="B18" sqref="B18"/>
    </sheetView>
  </sheetViews>
  <sheetFormatPr defaultColWidth="9.140625" defaultRowHeight="15" outlineLevelRow="1" x14ac:dyDescent="0.25"/>
  <cols>
    <col min="1" max="2" width="23.85546875" style="13" customWidth="1"/>
    <col min="3" max="3" width="23.28515625" style="13" customWidth="1"/>
    <col min="4" max="4" width="17" style="13" customWidth="1"/>
    <col min="5" max="5" width="17.5703125" style="13" customWidth="1"/>
    <col min="6" max="6" width="19.7109375" style="13" customWidth="1"/>
    <col min="7" max="16384" width="9.140625" style="13"/>
  </cols>
  <sheetData>
    <row r="1" spans="1:6" ht="16.5" customHeight="1" x14ac:dyDescent="0.25"/>
    <row r="2" spans="1:6" ht="17.25" customHeight="1" x14ac:dyDescent="0.25">
      <c r="A2" s="312" t="str">
        <f>""&amp;umumiy_malumot!B158&amp;" direktorining
"&amp;umumiy_malumot!B176&amp;"dagi "&amp;umumiy_malumot!B175&amp;"-sonli buyrug‘i"</f>
        <v>«PULLOL BUSINESS MIKROMOLIYA TASHKILOTI»  MChJ direktorining
16 fevral 2026 y.dagi № 110-sonli buyrug‘i</v>
      </c>
      <c r="B2" s="312"/>
      <c r="C2" s="312"/>
      <c r="D2" s="312"/>
      <c r="E2" s="312"/>
      <c r="F2" s="312"/>
    </row>
    <row r="3" spans="1:6" x14ac:dyDescent="0.25">
      <c r="A3" s="312"/>
      <c r="B3" s="312"/>
      <c r="C3" s="312"/>
      <c r="D3" s="312"/>
      <c r="E3" s="312"/>
      <c r="F3" s="312"/>
    </row>
    <row r="4" spans="1:6" x14ac:dyDescent="0.25">
      <c r="A4" s="312"/>
      <c r="B4" s="312"/>
      <c r="C4" s="312"/>
      <c r="D4" s="312"/>
      <c r="E4" s="312"/>
      <c r="F4" s="312"/>
    </row>
    <row r="5" spans="1:6" x14ac:dyDescent="0.25">
      <c r="A5" s="271"/>
      <c r="B5" s="271"/>
      <c r="C5" s="271"/>
      <c r="D5" s="271"/>
      <c r="E5" s="271"/>
      <c r="F5" s="271"/>
    </row>
    <row r="6" spans="1:6" ht="53.25" customHeight="1" x14ac:dyDescent="0.25">
      <c r="A6" s="271" t="str">
        <f>"Men, Obidov Abdullo Shokir o'g'li "&amp;umumiy_malumot!B158&amp;" direktori, jismoniy shaxs "&amp;umumiy_malumot!B10&amp;"ga quyidagi shartlarda "&amp;umumiy_malumot!B65&amp;" berishni buyuraman:"</f>
        <v>Men, Obidov Abdullo Shokir o'g'li «PULLOL BUSINESS MIKROMOLIYA TASHKILOTI»  MChJ direktori, jismoniy shaxs NORINBOYEVA SOXIBA IZZATILLAYEVNAga quyidagi shartlarda mikrokredit berishni buyuraman:</v>
      </c>
      <c r="B6" s="271"/>
      <c r="C6" s="271"/>
      <c r="D6" s="271"/>
      <c r="E6" s="271"/>
      <c r="F6" s="271"/>
    </row>
    <row r="7" spans="1:6" ht="26.25" customHeight="1" x14ac:dyDescent="0.25">
      <c r="A7" s="271" t="str">
        <f>kredit_ariza!A13:D13</f>
        <v>Mikrokredit summasi: 175 000 000,00 (yuz yetmish besh million so'm) so'm.</v>
      </c>
      <c r="B7" s="271"/>
      <c r="C7" s="271"/>
      <c r="D7" s="271"/>
      <c r="E7" s="271"/>
      <c r="F7" s="271"/>
    </row>
    <row r="8" spans="1:6" ht="21" customHeight="1" x14ac:dyDescent="0.25">
      <c r="A8" s="271" t="str">
        <f>kredit_ariza!A14:D14</f>
        <v>Mikrokredit muddati: 36 (O'ttiz olti  ) oy.</v>
      </c>
      <c r="B8" s="271"/>
      <c r="C8" s="271"/>
      <c r="D8" s="271"/>
      <c r="E8" s="271"/>
      <c r="F8" s="271"/>
    </row>
    <row r="9" spans="1:6" ht="27" customHeight="1" x14ac:dyDescent="0.25">
      <c r="A9" s="271" t="str">
        <f>kredit_ariza!A15:D15</f>
        <v>Mikrokreditdan foydalanganlik uchun foiz stavkasi: yillik  55% (Ellik besh  ) foiz</v>
      </c>
      <c r="B9" s="271"/>
      <c r="C9" s="271"/>
      <c r="D9" s="271"/>
      <c r="E9" s="271"/>
      <c r="F9" s="271"/>
    </row>
    <row r="10" spans="1:6" ht="26.25" customHeight="1" x14ac:dyDescent="0.25">
      <c r="A10" s="271" t="str">
        <f>kredit_ariza!A16:D16</f>
        <v>Mikrokredit bo'yicha asosiy qarz va foizlarni to'lash:</v>
      </c>
      <c r="B10" s="271"/>
      <c r="C10" s="271"/>
      <c r="D10" s="271"/>
      <c r="E10" s="271"/>
      <c r="F10" s="271"/>
    </row>
    <row r="11" spans="1:6" ht="21.75" hidden="1" customHeight="1" x14ac:dyDescent="0.25">
      <c r="A11" s="271" t="str">
        <f>kredit_ariza!A17:D17</f>
        <v xml:space="preserve"> - mikrokredit shartnomasi bo'yicha har oy differensial to'lovlari amalga oshiriladi</v>
      </c>
      <c r="B11" s="271"/>
      <c r="C11" s="271"/>
      <c r="D11" s="271"/>
      <c r="E11" s="271"/>
      <c r="F11" s="271"/>
    </row>
    <row r="12" spans="1:6" hidden="1" x14ac:dyDescent="0.25">
      <c r="A12" s="271" t="str">
        <f>kredit_ariza!A19:D19</f>
        <v xml:space="preserve"> - mikrokredit shartnomasi bo'yicha har oy differensial to'lovlari amalga oshiriladi</v>
      </c>
      <c r="B12" s="271"/>
      <c r="C12" s="271"/>
      <c r="D12" s="271"/>
      <c r="E12" s="271"/>
      <c r="F12" s="271"/>
    </row>
    <row r="13" spans="1:6" ht="23.25" customHeight="1" x14ac:dyDescent="0.25">
      <c r="A13" s="271" t="str">
        <f>IF(umumiy_malumot!B110="Avtotransport",buyruq!A12:F12,buyruq!A11:F11)</f>
        <v xml:space="preserve"> - mikrokredit shartnomasi bo'yicha har oy differensial to'lovlari amalga oshiriladi</v>
      </c>
      <c r="B13" s="271"/>
      <c r="C13" s="271"/>
      <c r="D13" s="271"/>
      <c r="E13" s="271"/>
      <c r="F13" s="271"/>
    </row>
    <row r="14" spans="1:6" ht="45.75" customHeight="1" x14ac:dyDescent="0.25">
      <c r="A14" s="269" t="str">
        <f>IF(umumiy_malumot!B110=umumiy_malumot!D110,""&amp;umumiy_malumot!C124&amp;"ga tegishli "&amp;umumiy_malumot!C133&amp;" ko'rinishidagi ko'chmas mulkni quyidagi ma'lumotlarga muvofiq  garovga qabul qilinsin:",""&amp;umumiy_malumot!B124&amp;"ga tegishli "&amp;umumiy_malumot!B132&amp;" ko'rinishidagi transport vositasini quyidagi ma'lumotlarga muvofiq garovga qabul qilinsin:")</f>
        <v>NORINBAYEVA SAPURA MAMADALIYEVNAga tegishli Yakka tartibdagi uy-joy ko'rinishidagi ko'chmas mulkni quyidagi ma'lumotlarga muvofiq  garovga qabul qilinsin:</v>
      </c>
      <c r="B14" s="269"/>
      <c r="C14" s="269"/>
      <c r="D14" s="269"/>
      <c r="E14" s="269"/>
      <c r="F14" s="269"/>
    </row>
    <row r="15" spans="1:6" ht="50.25" hidden="1" customHeight="1" x14ac:dyDescent="0.25">
      <c r="A15" s="271" t="str">
        <f>""&amp;umumiy_malumot!C124&amp;"ga tegishli "&amp;umumiy_malumot!C133&amp;" ko'rinishidagi ko'chmas mulkni quyidagi ma'lumotlarga muvofiq  garovga qabul qilinsin:"</f>
        <v>NORINBAYEVA SAPURA MAMADALIYEVNAga tegishli Yakka tartibdagi uy-joy ko'rinishidagi ko'chmas mulkni quyidagi ma'lumotlarga muvofiq  garovga qabul qilinsin:</v>
      </c>
      <c r="B15" s="271"/>
      <c r="C15" s="271"/>
      <c r="D15" s="271"/>
      <c r="E15" s="271"/>
      <c r="F15" s="271"/>
    </row>
    <row r="16" spans="1:6" ht="47.25" hidden="1" customHeight="1" x14ac:dyDescent="0.25">
      <c r="A16" s="271" t="str">
        <f>""&amp;umumiy_malumot!B124&amp;"ga tegishli "&amp;umumiy_malumot!B132&amp;" ko'rinishidagi transport vositasini quyidagi ma'lumotlarga muvofiq garovga qabul qilinsin:"</f>
        <v>NORINBAYEVA SAPURA MAMADALIYEVNAga tegishli CHEVROLET COBALT ko'rinishidagi transport vositasini quyidagi ma'lumotlarga muvofiq garovga qabul qilinsin:</v>
      </c>
      <c r="B16" s="271"/>
      <c r="C16" s="271"/>
      <c r="D16" s="271"/>
      <c r="E16" s="271"/>
      <c r="F16" s="271"/>
    </row>
    <row r="17" spans="1:6" s="34" customFormat="1" ht="60" customHeight="1" outlineLevel="1" x14ac:dyDescent="0.2">
      <c r="A17" s="36" t="str">
        <f>dalolatnoma!A29</f>
        <v>Nomi</v>
      </c>
      <c r="B17" s="36" t="str">
        <f>dalolatnoma!B29</f>
        <v>Umumiy yer maydoni, (m2)</v>
      </c>
      <c r="C17" s="36" t="str">
        <f>dalolatnoma!C29</f>
        <v>Qurilish osti maydoni, (m2)</v>
      </c>
      <c r="D17" s="36" t="str">
        <f>dalolatnoma!D29</f>
        <v>Umumiy foydali maydoni, (m2)</v>
      </c>
      <c r="E17" s="36" t="str">
        <f>dalolatnoma!E29</f>
        <v>Yashash maydoni, (m2)</v>
      </c>
      <c r="F17" s="36" t="str">
        <f>dalolatnoma!F29</f>
        <v>Kelishilgan garov qiymati, so'm</v>
      </c>
    </row>
    <row r="18" spans="1:6" ht="80.25" customHeight="1" outlineLevel="1" x14ac:dyDescent="0.25">
      <c r="A18" s="15" t="str">
        <f>dalolatnoma!A30</f>
        <v>Yakka tartibdagi uy-joy</v>
      </c>
      <c r="B18" s="15" t="str">
        <f>dalolatnoma!B30</f>
        <v>700</v>
      </c>
      <c r="C18" s="15" t="str">
        <f>dalolatnoma!C30</f>
        <v>340.11</v>
      </c>
      <c r="D18" s="15" t="str">
        <f>dalolatnoma!D30</f>
        <v>163.19</v>
      </c>
      <c r="E18" s="15" t="str">
        <f>dalolatnoma!E30</f>
        <v>114.59</v>
      </c>
      <c r="F18" s="15" t="str">
        <f>dalolatnoma!F30</f>
        <v>210 000 000,00 
(ikki yuz o'n million so'm)</v>
      </c>
    </row>
    <row r="19" spans="1:6" ht="20.25" customHeight="1" outlineLevel="1" x14ac:dyDescent="0.25">
      <c r="A19" s="271" t="str">
        <f>dalolatnoma!A22:F22</f>
        <v>-* ko'chmas mulk egasi: NORINBAYEVA SAPURA MAMADALIYEVNA</v>
      </c>
      <c r="B19" s="271"/>
      <c r="C19" s="271"/>
      <c r="D19" s="271"/>
      <c r="E19" s="271"/>
      <c r="F19" s="271"/>
    </row>
    <row r="20" spans="1:6" ht="20.25" customHeight="1" outlineLevel="1" x14ac:dyDescent="0.25">
      <c r="A20" s="271" t="str">
        <f>dalolatnoma!A23:F23</f>
        <v>-* reest raqami: №1727256/Y-25006342</v>
      </c>
      <c r="B20" s="271"/>
      <c r="C20" s="271"/>
      <c r="D20" s="271"/>
      <c r="E20" s="271"/>
      <c r="F20" s="271"/>
    </row>
    <row r="21" spans="1:6" ht="36" customHeight="1" outlineLevel="1" x14ac:dyDescent="0.25">
      <c r="A21" s="271" t="str">
        <f>dalolatnoma!A24:F24</f>
        <v>-*  kadastr raqami: 13.08.2025 y. №11:13:42:02:01:1840</v>
      </c>
      <c r="B21" s="271"/>
      <c r="C21" s="271"/>
      <c r="D21" s="271"/>
      <c r="E21" s="271"/>
      <c r="F21" s="271"/>
    </row>
    <row r="22" spans="1:6" ht="19.5" customHeight="1" outlineLevel="1" x14ac:dyDescent="0.25">
      <c r="A22" s="271" t="str">
        <f>dalolatnoma!A25:F25</f>
        <v>-* manzili: TOSHKENT VILOYATI CHINOZ TUMANI ALISHER NAVOIY MFY SOBIR RAHIMOV KO'CHASI 36 UY</v>
      </c>
      <c r="B22" s="271"/>
      <c r="C22" s="271"/>
      <c r="D22" s="271"/>
      <c r="E22" s="271"/>
      <c r="F22" s="271"/>
    </row>
    <row r="23" spans="1:6" ht="31.15" customHeight="1" x14ac:dyDescent="0.25">
      <c r="A23" s="269" t="str">
        <f>"	«"&amp;umumiy_malumot!B154&amp;"» АJ sug‘urta kompaniyasi bilan "&amp;umumiy_malumot!C64&amp;"  to'lamaslik xavfini "&amp;FIXED(umumiy_malumot!B155,2)&amp;"("&amp;umumiy_malumot!B156&amp;") so'm miqdoriga sug’urta qilish shartnomasi tuzilsin"</f>
        <v xml:space="preserve">	«АО СК "IMPEX INSURANCE"» АJ sug‘urta kompaniyasi bilan Mikrokredit  to'lamaslik xavfini 35 000 000,00(o'ttiz besh million so'm) so'm miqdoriga sug’urta qilish shartnomasi tuzilsin</v>
      </c>
      <c r="B23" s="269"/>
      <c r="C23" s="269"/>
      <c r="D23" s="269"/>
      <c r="E23" s="269"/>
      <c r="F23" s="269"/>
    </row>
    <row r="24" spans="1:6" s="34" customFormat="1" x14ac:dyDescent="0.2">
      <c r="A24" s="271"/>
      <c r="B24" s="271"/>
      <c r="C24" s="271"/>
      <c r="D24" s="271"/>
      <c r="E24" s="271"/>
      <c r="F24" s="271"/>
    </row>
    <row r="25" spans="1:6" x14ac:dyDescent="0.25">
      <c r="C25" s="34"/>
    </row>
    <row r="26" spans="1:6" x14ac:dyDescent="0.25">
      <c r="C26" s="34"/>
    </row>
    <row r="27" spans="1:6" ht="67.5" customHeight="1" x14ac:dyDescent="0.25">
      <c r="A27" s="121" t="s">
        <v>439</v>
      </c>
      <c r="B27" s="121"/>
      <c r="C27" s="34"/>
      <c r="E27" s="34" t="s">
        <v>408</v>
      </c>
    </row>
  </sheetData>
  <mergeCells count="19">
    <mergeCell ref="A15:F15"/>
    <mergeCell ref="A14:F14"/>
    <mergeCell ref="A21:F21"/>
    <mergeCell ref="A22:F22"/>
    <mergeCell ref="A23:F23"/>
    <mergeCell ref="A2:F4"/>
    <mergeCell ref="A24:F24"/>
    <mergeCell ref="A20:F20"/>
    <mergeCell ref="A12:F12"/>
    <mergeCell ref="A16:F16"/>
    <mergeCell ref="A5:F5"/>
    <mergeCell ref="A6:F6"/>
    <mergeCell ref="A11:F11"/>
    <mergeCell ref="A7:F7"/>
    <mergeCell ref="A8:F8"/>
    <mergeCell ref="A9:F9"/>
    <mergeCell ref="A10:F10"/>
    <mergeCell ref="A19:F19"/>
    <mergeCell ref="A13:F13"/>
  </mergeCells>
  <pageMargins left="0.70866141732283472" right="0.70866141732283472" top="0.74803149606299213" bottom="0.74803149606299213" header="0.31496062992125984" footer="0.31496062992125984"/>
  <pageSetup paperSize="9" scale="6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19">
    <tabColor theme="1"/>
  </sheetPr>
  <dimension ref="A1:V76"/>
  <sheetViews>
    <sheetView topLeftCell="A16" zoomScale="70" zoomScaleNormal="70" zoomScaleSheetLayoutView="70" workbookViewId="0">
      <selection activeCell="D56" sqref="D56:F56"/>
    </sheetView>
  </sheetViews>
  <sheetFormatPr defaultColWidth="9.140625" defaultRowHeight="15" outlineLevelCol="1" x14ac:dyDescent="0.25"/>
  <cols>
    <col min="1" max="1" width="9.140625" style="77"/>
    <col min="2" max="2" width="12.28515625" style="77" customWidth="1"/>
    <col min="3" max="3" width="16.5703125" style="77" customWidth="1"/>
    <col min="4" max="4" width="16.7109375" style="77" customWidth="1"/>
    <col min="5" max="5" width="16.5703125" style="77" customWidth="1"/>
    <col min="6" max="6" width="20.85546875" style="77" customWidth="1"/>
    <col min="7" max="7" width="10.140625" style="77" customWidth="1" outlineLevel="1"/>
    <col min="8" max="8" width="19.140625" style="77" customWidth="1"/>
    <col min="9" max="9" width="21.42578125" style="77" customWidth="1"/>
    <col min="10" max="10" width="20.85546875" style="77" customWidth="1"/>
    <col min="11" max="11" width="20.140625" style="77" customWidth="1"/>
    <col min="12" max="12" width="21.42578125" style="77" customWidth="1"/>
    <col min="13" max="13" width="25.42578125" style="77" customWidth="1"/>
    <col min="14" max="14" width="18.28515625" style="77" customWidth="1"/>
    <col min="15" max="17" width="9.140625" style="13"/>
    <col min="18" max="18" width="24.42578125" style="13" customWidth="1"/>
    <col min="19" max="16384" width="9.140625" style="13"/>
  </cols>
  <sheetData>
    <row r="1" spans="1:22" x14ac:dyDescent="0.25">
      <c r="A1" s="76"/>
      <c r="B1" s="76"/>
      <c r="C1" s="76"/>
      <c r="D1" s="76"/>
      <c r="E1" s="358" t="s">
        <v>14</v>
      </c>
      <c r="F1" s="358"/>
    </row>
    <row r="2" spans="1:22" x14ac:dyDescent="0.25">
      <c r="A2" s="76"/>
      <c r="B2" s="76"/>
      <c r="C2" s="76"/>
      <c r="D2" s="76"/>
      <c r="E2" s="76"/>
      <c r="F2" s="78" t="str">
        <f>"к договору микрозайма "&amp;umumiy_malumot!B74&amp;""</f>
        <v>к договору микрозайма 16 fevral 2026 y.dan № 110</v>
      </c>
    </row>
    <row r="3" spans="1:22" ht="19.5" customHeight="1" x14ac:dyDescent="0.25">
      <c r="A3" s="76"/>
      <c r="B3" s="76"/>
      <c r="C3" s="76"/>
      <c r="D3" s="76"/>
      <c r="E3" s="76"/>
      <c r="F3" s="76"/>
      <c r="H3" s="79"/>
      <c r="I3" s="79"/>
      <c r="J3" s="80"/>
      <c r="K3" s="80"/>
    </row>
    <row r="4" spans="1:22" ht="19.5" customHeight="1" x14ac:dyDescent="0.25">
      <c r="A4" s="359" t="s">
        <v>15</v>
      </c>
      <c r="B4" s="359"/>
      <c r="C4" s="359"/>
      <c r="D4" s="359"/>
      <c r="E4" s="359"/>
      <c r="F4" s="359"/>
      <c r="H4" s="79"/>
      <c r="I4" s="79"/>
      <c r="J4" s="79"/>
      <c r="K4" s="79"/>
    </row>
    <row r="5" spans="1:22" ht="19.5" customHeight="1" x14ac:dyDescent="0.25">
      <c r="L5" s="77">
        <f>umumiy_malumot!B82</f>
        <v>36</v>
      </c>
    </row>
    <row r="6" spans="1:22" x14ac:dyDescent="0.25">
      <c r="A6" s="360" t="s">
        <v>13</v>
      </c>
      <c r="B6" s="361" t="s">
        <v>7</v>
      </c>
      <c r="C6" s="361" t="s">
        <v>8</v>
      </c>
      <c r="D6" s="362" t="s">
        <v>9</v>
      </c>
      <c r="E6" s="362"/>
      <c r="F6" s="362"/>
    </row>
    <row r="7" spans="1:22" s="14" customFormat="1" x14ac:dyDescent="0.25">
      <c r="A7" s="360"/>
      <c r="B7" s="361"/>
      <c r="C7" s="361"/>
      <c r="D7" s="81" t="s">
        <v>10</v>
      </c>
      <c r="E7" s="81" t="s">
        <v>11</v>
      </c>
      <c r="F7" s="81" t="s">
        <v>12</v>
      </c>
      <c r="G7" s="82"/>
      <c r="H7" s="82"/>
      <c r="I7" s="82"/>
      <c r="J7" s="82"/>
      <c r="K7" s="82"/>
      <c r="L7" s="82"/>
      <c r="M7" s="82"/>
      <c r="N7" s="82"/>
    </row>
    <row r="8" spans="1:22" x14ac:dyDescent="0.25">
      <c r="A8" s="83">
        <v>1</v>
      </c>
      <c r="B8" s="84">
        <f>umumiy_malumot!B80</f>
        <v>46091</v>
      </c>
      <c r="C8" s="48">
        <f>umumiy_malumot!B76</f>
        <v>175000000</v>
      </c>
      <c r="D8" s="48">
        <f>IF(IF(C8=0,L8,IF(C8&gt;1,I8))="",0,(IF(C8=0,L8,IF(C8&gt;1,I8))))</f>
        <v>4861111.1100000003</v>
      </c>
      <c r="E8" s="48">
        <f>IF(C8=0,N6,IF(C8&gt;1,L8))</f>
        <v>5801369.8600000003</v>
      </c>
      <c r="F8" s="48">
        <f>IF(C8=0,O6,IF(C8&gt;1,M8))</f>
        <v>10662480.970000001</v>
      </c>
      <c r="G8" s="97">
        <f>B8-umumiy_malumot!B67</f>
        <v>22</v>
      </c>
      <c r="H8" s="77">
        <f>DATE(YEAR(B8),12,31)-DATE(YEAR(B8),1,1)+1</f>
        <v>365</v>
      </c>
      <c r="I8" s="85">
        <f>IF(umumiy_malumot!B84=0,ROUND(C8/L5,2),"")</f>
        <v>4861111.1100000003</v>
      </c>
      <c r="J8" s="85"/>
      <c r="K8" s="85"/>
      <c r="L8" s="79">
        <f>ROUND(C8*umumiy_malumot!$B$85/H8,2)*G8</f>
        <v>5801369.8600000003</v>
      </c>
      <c r="M8" s="79">
        <f t="shared" ref="M8:M31" si="0">D8+E8</f>
        <v>10662480.970000001</v>
      </c>
      <c r="N8" s="79"/>
      <c r="O8" s="94" t="str">
        <f>TEXT(B8,"ддд")</f>
        <v>Вт</v>
      </c>
      <c r="P8" s="96">
        <f>IF(O8=$U$8,2,IF(O8=$V$8,1,0))</f>
        <v>0</v>
      </c>
      <c r="Q8" s="96">
        <f>DAY(umumiy_malumot!$B$79)+P8</f>
        <v>10</v>
      </c>
      <c r="R8" s="91"/>
      <c r="S8" s="92" t="s">
        <v>27</v>
      </c>
      <c r="T8" s="92" t="s">
        <v>28</v>
      </c>
      <c r="U8" s="92" t="s">
        <v>29</v>
      </c>
      <c r="V8" s="93" t="s">
        <v>30</v>
      </c>
    </row>
    <row r="9" spans="1:22" x14ac:dyDescent="0.25">
      <c r="A9" s="83">
        <v>2</v>
      </c>
      <c r="B9" s="84">
        <f>IF(A9&lt;=umumiy_malumot!$B$82,DATE(YEAR(R9),MONTH(R9),DAY(IF(A9=umumiy_malumot!$B$82,umumiy_malumot!$B$67,IF(A9&lt;umumiy_malumot!$B$82,(Q9),IF(A9&gt;umumiy_malumot!$B$82,$H$56,0))))))</f>
        <v>46122</v>
      </c>
      <c r="C9" s="48">
        <f t="shared" ref="C9:C30" si="1">C8-D8</f>
        <v>170138888.88999999</v>
      </c>
      <c r="D9" s="48">
        <f t="shared" ref="D9:D30" si="2">IF(C9=0,L9,IF(C9&gt;1,I9))</f>
        <v>4861111.1100000003</v>
      </c>
      <c r="E9" s="48">
        <f t="shared" ref="E9:E30" si="3">IF(C9=0,N8,IF(C9&gt;1,L9))</f>
        <v>7947583.7700000005</v>
      </c>
      <c r="F9" s="48">
        <f t="shared" ref="F9:F30" si="4">IF(C9=0,N8,IF(C9&gt;1,M9))</f>
        <v>12808694.880000001</v>
      </c>
      <c r="G9" s="77">
        <f>B9-B8</f>
        <v>31</v>
      </c>
      <c r="H9" s="77">
        <f t="shared" ref="H9:H31" si="5">DATE(YEAR(B9),12,31)-DATE(YEAR(B9),1,1)+1</f>
        <v>365</v>
      </c>
      <c r="I9" s="85">
        <f>IF(I8="",ROUND(C8/(L5-1),2),I8)</f>
        <v>4861111.1100000003</v>
      </c>
      <c r="J9" s="85"/>
      <c r="K9" s="85"/>
      <c r="L9" s="79">
        <f>ROUND(C9*umumiy_malumot!$B$85/H9,2)*G9</f>
        <v>7947583.7700000005</v>
      </c>
      <c r="M9" s="79">
        <f t="shared" si="0"/>
        <v>12808694.880000001</v>
      </c>
      <c r="N9" s="79"/>
      <c r="O9" s="94" t="str">
        <f>TEXT(R9,"ддд")</f>
        <v>Пт</v>
      </c>
      <c r="P9" s="96">
        <f t="shared" ref="P9:P31" si="6">IF(O9=$U$8,2,IF(O9=$V$8,1,0))</f>
        <v>0</v>
      </c>
      <c r="Q9" s="96">
        <f>DAY(umumiy_malumot!$B$79)+P9</f>
        <v>10</v>
      </c>
      <c r="R9" s="91">
        <f>IF(A9&lt;=umumiy_malumot!$B$82,DATE(YEAR($B$8),MONTH($B$8)+A8,DAY(umumiy_malumot!$B$79)),0)</f>
        <v>46122</v>
      </c>
      <c r="S9" s="77"/>
      <c r="T9" s="77"/>
      <c r="U9" s="77"/>
      <c r="V9" s="77"/>
    </row>
    <row r="10" spans="1:22" x14ac:dyDescent="0.25">
      <c r="A10" s="83">
        <v>3</v>
      </c>
      <c r="B10" s="84">
        <f>IF(A10&lt;=umumiy_malumot!$B$82,DATE(YEAR(R10),MONTH(R10),DAY(IF(A10=umumiy_malumot!$B$82,umumiy_malumot!$B$67,IF(A10&lt;umumiy_malumot!$B$82,(Q10),IF(A10&gt;umumiy_malumot!$B$82,$H$56,0))))))</f>
        <v>46153</v>
      </c>
      <c r="C10" s="48">
        <f t="shared" si="1"/>
        <v>165277777.77999997</v>
      </c>
      <c r="D10" s="48">
        <f t="shared" si="2"/>
        <v>4861111.1100000003</v>
      </c>
      <c r="E10" s="48">
        <f t="shared" si="3"/>
        <v>7720510.0099999998</v>
      </c>
      <c r="F10" s="48">
        <f t="shared" si="4"/>
        <v>12581621.120000001</v>
      </c>
      <c r="G10" s="77">
        <f t="shared" ref="G10:G31" si="7">B10-B9</f>
        <v>31</v>
      </c>
      <c r="H10" s="77">
        <f t="shared" si="5"/>
        <v>365</v>
      </c>
      <c r="I10" s="85">
        <f>I9</f>
        <v>4861111.1100000003</v>
      </c>
      <c r="J10" s="85"/>
      <c r="K10" s="85"/>
      <c r="L10" s="79">
        <f>ROUND(C10*umumiy_malumot!$B$85/H10,2)*G10</f>
        <v>7720510.0099999998</v>
      </c>
      <c r="M10" s="79">
        <f t="shared" si="0"/>
        <v>12581621.120000001</v>
      </c>
      <c r="N10" s="79"/>
      <c r="O10" s="94" t="str">
        <f t="shared" ref="O10:O31" si="8">TEXT(R10,"ддд")</f>
        <v>Вс</v>
      </c>
      <c r="P10" s="96">
        <f t="shared" si="6"/>
        <v>1</v>
      </c>
      <c r="Q10" s="96">
        <f>DAY(umumiy_malumot!$B$79)+P10</f>
        <v>11</v>
      </c>
      <c r="R10" s="91">
        <f>IF(A10&lt;=umumiy_malumot!$B$82,DATE(YEAR($B$8),MONTH($B$8)+A9,DAY(umumiy_malumot!$B$79)),0)</f>
        <v>46152</v>
      </c>
      <c r="S10" s="77"/>
      <c r="T10" s="77"/>
      <c r="U10" s="77"/>
      <c r="V10" s="77"/>
    </row>
    <row r="11" spans="1:22" x14ac:dyDescent="0.25">
      <c r="A11" s="83">
        <v>4</v>
      </c>
      <c r="B11" s="84">
        <f>IF(A11&lt;=umumiy_malumot!$B$82,DATE(YEAR(R11),MONTH(R11),DAY(IF(A11=umumiy_malumot!$B$82,umumiy_malumot!$B$67,IF(A11&lt;umumiy_malumot!$B$82,(Q11),IF(A11&gt;umumiy_malumot!$B$82,$H$56,0))))))</f>
        <v>46183</v>
      </c>
      <c r="C11" s="48">
        <f t="shared" si="1"/>
        <v>160416666.66999996</v>
      </c>
      <c r="D11" s="48">
        <f t="shared" si="2"/>
        <v>4861111.1100000003</v>
      </c>
      <c r="E11" s="48">
        <f t="shared" si="3"/>
        <v>7251712.1999999993</v>
      </c>
      <c r="F11" s="48">
        <f t="shared" si="4"/>
        <v>12112823.309999999</v>
      </c>
      <c r="G11" s="77">
        <f t="shared" si="7"/>
        <v>30</v>
      </c>
      <c r="H11" s="77">
        <f t="shared" si="5"/>
        <v>365</v>
      </c>
      <c r="I11" s="85">
        <f>I10</f>
        <v>4861111.1100000003</v>
      </c>
      <c r="J11" s="85"/>
      <c r="K11" s="85"/>
      <c r="L11" s="79">
        <f>ROUND(C11*umumiy_malumot!$B$85/H11,2)*G11</f>
        <v>7251712.1999999993</v>
      </c>
      <c r="M11" s="79">
        <f t="shared" si="0"/>
        <v>12112823.309999999</v>
      </c>
      <c r="N11" s="79"/>
      <c r="O11" s="94" t="str">
        <f t="shared" si="8"/>
        <v>Ср</v>
      </c>
      <c r="P11" s="96">
        <f t="shared" si="6"/>
        <v>0</v>
      </c>
      <c r="Q11" s="96">
        <f>DAY(umumiy_malumot!$B$79)+P11</f>
        <v>10</v>
      </c>
      <c r="R11" s="91">
        <f>IF(A11&lt;=umumiy_malumot!$B$82,DATE(YEAR($B$8),MONTH($B$8)+A10,DAY(umumiy_malumot!$B$79)),0)</f>
        <v>46183</v>
      </c>
      <c r="S11" s="77"/>
      <c r="T11" s="77"/>
      <c r="U11" s="77"/>
      <c r="V11" s="77"/>
    </row>
    <row r="12" spans="1:22" x14ac:dyDescent="0.25">
      <c r="A12" s="83">
        <v>5</v>
      </c>
      <c r="B12" s="84">
        <f>IF(A12&lt;=umumiy_malumot!$B$82,DATE(YEAR(R12),MONTH(R12),DAY(IF(A12=umumiy_malumot!$B$82,umumiy_malumot!$B$67,IF(A12&lt;umumiy_malumot!$B$82,(Q12),IF(A12&gt;umumiy_malumot!$B$82,$H$56,0))))))</f>
        <v>46213</v>
      </c>
      <c r="C12" s="48">
        <f t="shared" si="1"/>
        <v>155555555.55999994</v>
      </c>
      <c r="D12" s="48">
        <f t="shared" si="2"/>
        <v>4861111.1100000003</v>
      </c>
      <c r="E12" s="48">
        <f t="shared" si="3"/>
        <v>7031963.4000000004</v>
      </c>
      <c r="F12" s="48">
        <f t="shared" si="4"/>
        <v>11893074.510000002</v>
      </c>
      <c r="G12" s="77">
        <f t="shared" si="7"/>
        <v>30</v>
      </c>
      <c r="H12" s="77">
        <f t="shared" si="5"/>
        <v>365</v>
      </c>
      <c r="I12" s="85">
        <f>I11</f>
        <v>4861111.1100000003</v>
      </c>
      <c r="J12" s="85">
        <f>umumiy_malumot!B76</f>
        <v>175000000</v>
      </c>
      <c r="K12" s="85"/>
      <c r="L12" s="79">
        <f>ROUND(C12*umumiy_malumot!$B$85/H12,2)*G12</f>
        <v>7031963.4000000004</v>
      </c>
      <c r="M12" s="79">
        <f t="shared" si="0"/>
        <v>11893074.510000002</v>
      </c>
      <c r="N12" s="79"/>
      <c r="O12" s="94" t="str">
        <f t="shared" si="8"/>
        <v>Пт</v>
      </c>
      <c r="P12" s="96">
        <f t="shared" si="6"/>
        <v>0</v>
      </c>
      <c r="Q12" s="96">
        <f>DAY(umumiy_malumot!$B$79)+P12</f>
        <v>10</v>
      </c>
      <c r="R12" s="91">
        <f>IF(A12&lt;=umumiy_malumot!$B$82,DATE(YEAR($B$8),MONTH($B$8)+A11,DAY(umumiy_malumot!$B$79)),0)</f>
        <v>46213</v>
      </c>
      <c r="S12" s="77"/>
      <c r="T12" s="77"/>
      <c r="U12" s="77"/>
      <c r="V12" s="77"/>
    </row>
    <row r="13" spans="1:22" x14ac:dyDescent="0.25">
      <c r="A13" s="83">
        <v>6</v>
      </c>
      <c r="B13" s="84">
        <f>IF(A13&lt;=umumiy_malumot!$B$82,DATE(YEAR(R13),MONTH(R13),DAY(IF(A13=umumiy_malumot!$B$82,umumiy_malumot!$B$67,IF(A13&lt;umumiy_malumot!$B$82,(Q13),IF(A13&gt;umumiy_malumot!$B$82,$H$56,0))))))</f>
        <v>46244</v>
      </c>
      <c r="C13" s="48">
        <f t="shared" si="1"/>
        <v>150694444.44999993</v>
      </c>
      <c r="D13" s="48">
        <f t="shared" si="2"/>
        <v>4861111.1100000003</v>
      </c>
      <c r="E13" s="48">
        <f t="shared" si="3"/>
        <v>7039288.4199999999</v>
      </c>
      <c r="F13" s="48">
        <f t="shared" si="4"/>
        <v>11900399.530000001</v>
      </c>
      <c r="G13" s="77">
        <f t="shared" si="7"/>
        <v>31</v>
      </c>
      <c r="H13" s="77">
        <f t="shared" si="5"/>
        <v>365</v>
      </c>
      <c r="I13" s="85">
        <f>IF(L5=H1,K13,IF(L5&gt;H1,I12))</f>
        <v>4861111.1100000003</v>
      </c>
      <c r="J13" s="85">
        <f>SUM($I$8:I12)</f>
        <v>24305555.550000001</v>
      </c>
      <c r="K13" s="85">
        <f>$J$12-J13</f>
        <v>150694444.44999999</v>
      </c>
      <c r="L13" s="79">
        <f>ROUND(C13*umumiy_malumot!$B$85/H13,2)*G13</f>
        <v>7039288.4199999999</v>
      </c>
      <c r="M13" s="79">
        <f t="shared" si="0"/>
        <v>11900399.530000001</v>
      </c>
      <c r="N13" s="79"/>
      <c r="O13" s="94" t="str">
        <f t="shared" si="8"/>
        <v>Пн</v>
      </c>
      <c r="P13" s="96">
        <f t="shared" si="6"/>
        <v>0</v>
      </c>
      <c r="Q13" s="96">
        <f>DAY(umumiy_malumot!$B$79)+P13</f>
        <v>10</v>
      </c>
      <c r="R13" s="91">
        <f>IF(A13&lt;=umumiy_malumot!$B$82,DATE(YEAR($B$8),MONTH($B$8)+A12,DAY(umumiy_malumot!$B$79)),0)</f>
        <v>46244</v>
      </c>
      <c r="S13" s="77"/>
      <c r="T13" s="77"/>
      <c r="U13" s="77"/>
      <c r="V13" s="77"/>
    </row>
    <row r="14" spans="1:22" x14ac:dyDescent="0.25">
      <c r="A14" s="83">
        <v>7</v>
      </c>
      <c r="B14" s="84">
        <f>IF(A14&lt;=umumiy_malumot!$B$82,DATE(YEAR(R14),MONTH(R14),DAY(IF(A14=umumiy_malumot!$B$82,umumiy_malumot!$B$67,IF(A14&lt;umumiy_malumot!$B$82,(Q14),IF(A14&gt;umumiy_malumot!$B$82,$H$56,0))))))</f>
        <v>46275</v>
      </c>
      <c r="C14" s="48">
        <f t="shared" si="1"/>
        <v>145833333.33999991</v>
      </c>
      <c r="D14" s="48">
        <f t="shared" si="2"/>
        <v>4861111.1100000003</v>
      </c>
      <c r="E14" s="48">
        <f t="shared" si="3"/>
        <v>6812214.6599999992</v>
      </c>
      <c r="F14" s="48">
        <f t="shared" si="4"/>
        <v>11673325.77</v>
      </c>
      <c r="G14" s="77">
        <f t="shared" si="7"/>
        <v>31</v>
      </c>
      <c r="H14" s="77">
        <f t="shared" si="5"/>
        <v>365</v>
      </c>
      <c r="I14" s="85">
        <f>IF($L$5=A14,K14,IF($L$5&gt;A14,I13))</f>
        <v>4861111.1100000003</v>
      </c>
      <c r="J14" s="85">
        <f>SUM($I$8:I13)</f>
        <v>29166666.66</v>
      </c>
      <c r="K14" s="85">
        <f t="shared" ref="K14:K31" si="9">$J$12-J14</f>
        <v>145833333.34</v>
      </c>
      <c r="L14" s="79">
        <f>ROUND(C14*umumiy_malumot!$B$85/H14,2)*G14</f>
        <v>6812214.6599999992</v>
      </c>
      <c r="M14" s="79">
        <f t="shared" si="0"/>
        <v>11673325.77</v>
      </c>
      <c r="N14" s="79"/>
      <c r="O14" s="94" t="str">
        <f t="shared" si="8"/>
        <v>Чт</v>
      </c>
      <c r="P14" s="96">
        <f t="shared" si="6"/>
        <v>0</v>
      </c>
      <c r="Q14" s="96">
        <f>DAY(umumiy_malumot!$B$79)+P14</f>
        <v>10</v>
      </c>
      <c r="R14" s="91">
        <f>IF(A14&lt;=umumiy_malumot!$B$82,DATE(YEAR($B$8),MONTH($B$8)+A13,DAY(umumiy_malumot!$B$79)),0)</f>
        <v>46275</v>
      </c>
      <c r="S14" s="77"/>
      <c r="T14" s="77"/>
      <c r="U14" s="77"/>
      <c r="V14" s="77"/>
    </row>
    <row r="15" spans="1:22" x14ac:dyDescent="0.25">
      <c r="A15" s="83">
        <v>8</v>
      </c>
      <c r="B15" s="84">
        <f>IF(A15&lt;=umumiy_malumot!$B$82,DATE(YEAR(R15),MONTH(R15),DAY(IF(A15=umumiy_malumot!$B$82,umumiy_malumot!$B$67,IF(A15&lt;umumiy_malumot!$B$82,(Q15),IF(A15&gt;umumiy_malumot!$B$82,$H$56,0))))))</f>
        <v>46307</v>
      </c>
      <c r="C15" s="48">
        <f t="shared" si="1"/>
        <v>140972222.2299999</v>
      </c>
      <c r="D15" s="48">
        <f t="shared" si="2"/>
        <v>4861111.1100000003</v>
      </c>
      <c r="E15" s="48">
        <f t="shared" si="3"/>
        <v>6797564.7999999998</v>
      </c>
      <c r="F15" s="48">
        <f t="shared" si="4"/>
        <v>11658675.91</v>
      </c>
      <c r="G15" s="77">
        <f t="shared" si="7"/>
        <v>32</v>
      </c>
      <c r="H15" s="77">
        <f t="shared" si="5"/>
        <v>365</v>
      </c>
      <c r="I15" s="85">
        <f t="shared" ref="I15:I31" si="10">IF($L$5=A15,K15,IF($L$5&gt;A15,I14))</f>
        <v>4861111.1100000003</v>
      </c>
      <c r="J15" s="85">
        <f>SUM($I$8:I14)</f>
        <v>34027777.770000003</v>
      </c>
      <c r="K15" s="85">
        <f t="shared" si="9"/>
        <v>140972222.22999999</v>
      </c>
      <c r="L15" s="79">
        <f>ROUND(C15*umumiy_malumot!$B$85/H15,2)*G15</f>
        <v>6797564.7999999998</v>
      </c>
      <c r="M15" s="79">
        <f t="shared" si="0"/>
        <v>11658675.91</v>
      </c>
      <c r="N15" s="79"/>
      <c r="O15" s="94" t="str">
        <f t="shared" si="8"/>
        <v>Сб</v>
      </c>
      <c r="P15" s="96">
        <f t="shared" si="6"/>
        <v>2</v>
      </c>
      <c r="Q15" s="96">
        <f>DAY(umumiy_malumot!$B$79)+P15</f>
        <v>12</v>
      </c>
      <c r="R15" s="91">
        <f>IF(A15&lt;=umumiy_malumot!$B$82,DATE(YEAR($B$8),MONTH($B$8)+A14,DAY(umumiy_malumot!$B$79)),0)</f>
        <v>46305</v>
      </c>
      <c r="S15" s="77"/>
      <c r="T15" s="77"/>
      <c r="U15" s="77"/>
      <c r="V15" s="77"/>
    </row>
    <row r="16" spans="1:22" x14ac:dyDescent="0.25">
      <c r="A16" s="83">
        <v>9</v>
      </c>
      <c r="B16" s="84">
        <f>IF(A16&lt;=umumiy_malumot!$B$82,DATE(YEAR(R16),MONTH(R16),DAY(IF(A16=umumiy_malumot!$B$82,umumiy_malumot!$B$67,IF(A16&lt;umumiy_malumot!$B$82,(Q16),IF(A16&gt;umumiy_malumot!$B$82,$H$56,0))))))</f>
        <v>46336</v>
      </c>
      <c r="C16" s="48">
        <f t="shared" si="1"/>
        <v>136111111.11999989</v>
      </c>
      <c r="D16" s="48">
        <f t="shared" si="2"/>
        <v>4861111.1100000003</v>
      </c>
      <c r="E16" s="48">
        <f t="shared" si="3"/>
        <v>5947868.9699999997</v>
      </c>
      <c r="F16" s="48">
        <f t="shared" si="4"/>
        <v>10808980.08</v>
      </c>
      <c r="G16" s="77">
        <f t="shared" si="7"/>
        <v>29</v>
      </c>
      <c r="H16" s="77">
        <f t="shared" si="5"/>
        <v>365</v>
      </c>
      <c r="I16" s="85">
        <f t="shared" si="10"/>
        <v>4861111.1100000003</v>
      </c>
      <c r="J16" s="85">
        <f>SUM($I$8:I15)</f>
        <v>38888888.880000003</v>
      </c>
      <c r="K16" s="85">
        <f t="shared" si="9"/>
        <v>136111111.12</v>
      </c>
      <c r="L16" s="79">
        <f>ROUND(C16*umumiy_malumot!$B$85/H16,2)*G16</f>
        <v>5947868.9699999997</v>
      </c>
      <c r="M16" s="79">
        <f t="shared" si="0"/>
        <v>10808980.08</v>
      </c>
      <c r="N16" s="79"/>
      <c r="O16" s="94" t="str">
        <f t="shared" si="8"/>
        <v>Вт</v>
      </c>
      <c r="P16" s="96">
        <f t="shared" si="6"/>
        <v>0</v>
      </c>
      <c r="Q16" s="96">
        <f>DAY(umumiy_malumot!$B$79)+P16</f>
        <v>10</v>
      </c>
      <c r="R16" s="91">
        <f>IF(A16&lt;=umumiy_malumot!$B$82,DATE(YEAR($B$8),MONTH($B$8)+A15,DAY(umumiy_malumot!$B$79)),0)</f>
        <v>46336</v>
      </c>
      <c r="S16" s="77"/>
      <c r="T16" s="77"/>
      <c r="U16" s="77"/>
      <c r="V16" s="77"/>
    </row>
    <row r="17" spans="1:22" x14ac:dyDescent="0.25">
      <c r="A17" s="83">
        <v>10</v>
      </c>
      <c r="B17" s="84">
        <f>IF(A17&lt;=umumiy_malumot!$B$82,DATE(YEAR(R17),MONTH(R17),DAY(IF(A17=umumiy_malumot!$B$82,umumiy_malumot!$B$67,IF(A17&lt;umumiy_malumot!$B$82,(Q17),IF(A17&gt;umumiy_malumot!$B$82,$H$56,0))))))</f>
        <v>46366</v>
      </c>
      <c r="C17" s="48">
        <f t="shared" si="1"/>
        <v>131250000.00999989</v>
      </c>
      <c r="D17" s="48">
        <f t="shared" si="2"/>
        <v>4861111.1100000003</v>
      </c>
      <c r="E17" s="48">
        <f t="shared" si="3"/>
        <v>5933219.0999999996</v>
      </c>
      <c r="F17" s="48">
        <f t="shared" si="4"/>
        <v>10794330.210000001</v>
      </c>
      <c r="G17" s="77">
        <f t="shared" si="7"/>
        <v>30</v>
      </c>
      <c r="H17" s="77">
        <f t="shared" si="5"/>
        <v>365</v>
      </c>
      <c r="I17" s="85">
        <f t="shared" si="10"/>
        <v>4861111.1100000003</v>
      </c>
      <c r="J17" s="85">
        <f>SUM($I$8:I16)</f>
        <v>43749999.990000002</v>
      </c>
      <c r="K17" s="85">
        <f>$J$12-J17</f>
        <v>131250000.00999999</v>
      </c>
      <c r="L17" s="79">
        <f>ROUND(C17*umumiy_malumot!$B$85/H17,2)*G17</f>
        <v>5933219.0999999996</v>
      </c>
      <c r="M17" s="79">
        <f t="shared" si="0"/>
        <v>10794330.210000001</v>
      </c>
      <c r="N17" s="79"/>
      <c r="O17" s="94" t="str">
        <f t="shared" si="8"/>
        <v>Чт</v>
      </c>
      <c r="P17" s="96">
        <f t="shared" si="6"/>
        <v>0</v>
      </c>
      <c r="Q17" s="96">
        <f>DAY(umumiy_malumot!$B$79)+P17</f>
        <v>10</v>
      </c>
      <c r="R17" s="91">
        <f>IF(A17&lt;=umumiy_malumot!$B$82,DATE(YEAR($B$8),MONTH($B$8)+A16,DAY(umumiy_malumot!$B$79)),0)</f>
        <v>46366</v>
      </c>
      <c r="S17" s="77"/>
      <c r="T17" s="77"/>
      <c r="U17" s="77"/>
      <c r="V17" s="77"/>
    </row>
    <row r="18" spans="1:22" x14ac:dyDescent="0.25">
      <c r="A18" s="83">
        <v>11</v>
      </c>
      <c r="B18" s="84">
        <f>IF(A18&lt;=umumiy_malumot!$B$82,DATE(YEAR(R18),MONTH(R18),DAY(IF(A18=umumiy_malumot!$B$82,umumiy_malumot!$B$67,IF(A18&lt;umumiy_malumot!$B$82,(Q18),IF(A18&gt;umumiy_malumot!$B$82,$H$56,0))))))</f>
        <v>46398</v>
      </c>
      <c r="C18" s="48">
        <f t="shared" si="1"/>
        <v>126388888.89999989</v>
      </c>
      <c r="D18" s="48">
        <f t="shared" si="2"/>
        <v>4861111.1100000003</v>
      </c>
      <c r="E18" s="48">
        <f t="shared" si="3"/>
        <v>6094368.3200000003</v>
      </c>
      <c r="F18" s="48">
        <f t="shared" si="4"/>
        <v>10955479.43</v>
      </c>
      <c r="G18" s="77">
        <f t="shared" si="7"/>
        <v>32</v>
      </c>
      <c r="H18" s="77">
        <f t="shared" si="5"/>
        <v>365</v>
      </c>
      <c r="I18" s="85">
        <f t="shared" si="10"/>
        <v>4861111.1100000003</v>
      </c>
      <c r="J18" s="85">
        <f>SUM($I$8:I17)</f>
        <v>48611111.100000001</v>
      </c>
      <c r="K18" s="85">
        <f t="shared" si="9"/>
        <v>126388888.90000001</v>
      </c>
      <c r="L18" s="79">
        <f>ROUND(C18*umumiy_malumot!$B$85/H18,2)*G18</f>
        <v>6094368.3200000003</v>
      </c>
      <c r="M18" s="79">
        <f t="shared" si="0"/>
        <v>10955479.43</v>
      </c>
      <c r="N18" s="79"/>
      <c r="O18" s="94" t="str">
        <f t="shared" si="8"/>
        <v>Вс</v>
      </c>
      <c r="P18" s="96">
        <f t="shared" si="6"/>
        <v>1</v>
      </c>
      <c r="Q18" s="96">
        <f>DAY(umumiy_malumot!$B$79)+P18</f>
        <v>11</v>
      </c>
      <c r="R18" s="91">
        <f>IF(A18&lt;=umumiy_malumot!$B$82,DATE(YEAR($B$8),MONTH($B$8)+A17,DAY(umumiy_malumot!$B$79)),0)</f>
        <v>46397</v>
      </c>
      <c r="S18" s="77"/>
      <c r="T18" s="77"/>
      <c r="U18" s="77"/>
      <c r="V18" s="77"/>
    </row>
    <row r="19" spans="1:22" x14ac:dyDescent="0.25">
      <c r="A19" s="83">
        <v>12</v>
      </c>
      <c r="B19" s="84">
        <f>IF(A19&lt;=umumiy_malumot!$B$82,DATE(YEAR(R19),MONTH(R19),DAY(IF(A19=umumiy_malumot!$B$82,umumiy_malumot!$B$67,IF(A19&lt;umumiy_malumot!$B$82,(Q19),IF(A19&gt;umumiy_malumot!$B$82,$H$56,0))))))</f>
        <v>46428</v>
      </c>
      <c r="C19" s="48">
        <f t="shared" si="1"/>
        <v>121527777.78999989</v>
      </c>
      <c r="D19" s="48">
        <f t="shared" si="2"/>
        <v>4861111.1100000003</v>
      </c>
      <c r="E19" s="48">
        <f t="shared" si="3"/>
        <v>5493721.5</v>
      </c>
      <c r="F19" s="48">
        <f t="shared" si="4"/>
        <v>10354832.609999999</v>
      </c>
      <c r="G19" s="77">
        <f t="shared" si="7"/>
        <v>30</v>
      </c>
      <c r="H19" s="77">
        <f t="shared" si="5"/>
        <v>365</v>
      </c>
      <c r="I19" s="85">
        <f t="shared" si="10"/>
        <v>4861111.1100000003</v>
      </c>
      <c r="J19" s="85">
        <f>SUM($I$8:I18)</f>
        <v>53472222.210000001</v>
      </c>
      <c r="K19" s="85">
        <f t="shared" si="9"/>
        <v>121527777.78999999</v>
      </c>
      <c r="L19" s="79">
        <f>ROUND(C19*umumiy_malumot!$B$85/H19,2)*G19</f>
        <v>5493721.5</v>
      </c>
      <c r="M19" s="79">
        <f t="shared" si="0"/>
        <v>10354832.609999999</v>
      </c>
      <c r="N19" s="79"/>
      <c r="O19" s="94" t="str">
        <f t="shared" si="8"/>
        <v>Ср</v>
      </c>
      <c r="P19" s="96">
        <f t="shared" si="6"/>
        <v>0</v>
      </c>
      <c r="Q19" s="96">
        <f>DAY(umumiy_malumot!$B$79)+P19</f>
        <v>10</v>
      </c>
      <c r="R19" s="91">
        <f>IF(A19&lt;=umumiy_malumot!$B$82,DATE(YEAR($B$8),MONTH($B$8)+A18,DAY(umumiy_malumot!$B$79)),0)</f>
        <v>46428</v>
      </c>
      <c r="S19" s="77"/>
      <c r="T19" s="77"/>
      <c r="U19" s="77"/>
      <c r="V19" s="77"/>
    </row>
    <row r="20" spans="1:22" x14ac:dyDescent="0.25">
      <c r="A20" s="83">
        <v>13</v>
      </c>
      <c r="B20" s="84">
        <f>IF(A20&lt;=umumiy_malumot!$B$82,DATE(YEAR(R20),MONTH(R20),DAY(IF(A20=umumiy_malumot!$B$82,umumiy_malumot!$B$67,IF(A20&lt;umumiy_malumot!$B$82,(Q20),IF(A20&gt;umumiy_malumot!$B$82,$H$56,0))))))</f>
        <v>46456</v>
      </c>
      <c r="C20" s="48">
        <f t="shared" si="1"/>
        <v>116666666.67999989</v>
      </c>
      <c r="D20" s="48">
        <f t="shared" si="2"/>
        <v>4861111.1100000003</v>
      </c>
      <c r="E20" s="48">
        <f t="shared" si="3"/>
        <v>4922374.5199999996</v>
      </c>
      <c r="F20" s="48">
        <f t="shared" si="4"/>
        <v>9783485.629999999</v>
      </c>
      <c r="G20" s="77">
        <f t="shared" si="7"/>
        <v>28</v>
      </c>
      <c r="H20" s="77">
        <f t="shared" si="5"/>
        <v>365</v>
      </c>
      <c r="I20" s="85">
        <f t="shared" si="10"/>
        <v>4861111.1100000003</v>
      </c>
      <c r="J20" s="85">
        <f>SUM($I$8:I19)</f>
        <v>58333333.32</v>
      </c>
      <c r="K20" s="85">
        <f>$J$12-J20</f>
        <v>116666666.68000001</v>
      </c>
      <c r="L20" s="79">
        <f>ROUND(C20*umumiy_malumot!$B$85/H20,2)*G20</f>
        <v>4922374.5199999996</v>
      </c>
      <c r="M20" s="79">
        <f t="shared" si="0"/>
        <v>9783485.629999999</v>
      </c>
      <c r="N20" s="79"/>
      <c r="O20" s="94" t="str">
        <f t="shared" si="8"/>
        <v>Ср</v>
      </c>
      <c r="P20" s="96">
        <f t="shared" si="6"/>
        <v>0</v>
      </c>
      <c r="Q20" s="96">
        <f>DAY(umumiy_malumot!$B$79)+P20</f>
        <v>10</v>
      </c>
      <c r="R20" s="91">
        <f>IF(A20&lt;=umumiy_malumot!$B$82,DATE(YEAR($B$8),MONTH($B$8)+A19,DAY(umumiy_malumot!$B$79)),0)</f>
        <v>46456</v>
      </c>
      <c r="S20" s="77"/>
      <c r="T20" s="77"/>
      <c r="U20" s="77"/>
      <c r="V20" s="77"/>
    </row>
    <row r="21" spans="1:22" x14ac:dyDescent="0.25">
      <c r="A21" s="83">
        <v>14</v>
      </c>
      <c r="B21" s="84">
        <f>IF(A21&lt;=umumiy_malumot!$B$82,DATE(YEAR(R21),MONTH(R21),DAY(IF(A21=umumiy_malumot!$B$82,umumiy_malumot!$B$67,IF(A21&lt;umumiy_malumot!$B$82,(Q21),IF(A21&gt;umumiy_malumot!$B$82,$H$56,0))))))</f>
        <v>46489</v>
      </c>
      <c r="C21" s="48">
        <f t="shared" si="1"/>
        <v>111805555.56999989</v>
      </c>
      <c r="D21" s="48">
        <f t="shared" si="2"/>
        <v>4861111.1100000003</v>
      </c>
      <c r="E21" s="48">
        <f t="shared" si="3"/>
        <v>5559645.96</v>
      </c>
      <c r="F21" s="48">
        <f t="shared" si="4"/>
        <v>10420757.07</v>
      </c>
      <c r="G21" s="77">
        <f t="shared" si="7"/>
        <v>33</v>
      </c>
      <c r="H21" s="77">
        <f t="shared" si="5"/>
        <v>365</v>
      </c>
      <c r="I21" s="85">
        <f t="shared" si="10"/>
        <v>4861111.1100000003</v>
      </c>
      <c r="J21" s="85">
        <f>SUM($I$8:I20)</f>
        <v>63194444.43</v>
      </c>
      <c r="K21" s="85">
        <f t="shared" si="9"/>
        <v>111805555.56999999</v>
      </c>
      <c r="L21" s="79">
        <f>ROUND(C21*umumiy_malumot!$B$85/H21,2)*G21</f>
        <v>5559645.96</v>
      </c>
      <c r="M21" s="79">
        <f t="shared" si="0"/>
        <v>10420757.07</v>
      </c>
      <c r="N21" s="79"/>
      <c r="O21" s="94" t="str">
        <f t="shared" si="8"/>
        <v>Сб</v>
      </c>
      <c r="P21" s="96">
        <f t="shared" si="6"/>
        <v>2</v>
      </c>
      <c r="Q21" s="96">
        <f>DAY(umumiy_malumot!$B$79)+P21</f>
        <v>12</v>
      </c>
      <c r="R21" s="91">
        <f>IF(A21&lt;=umumiy_malumot!$B$82,DATE(YEAR($B$8),MONTH($B$8)+A20,DAY(umumiy_malumot!$B$79)),0)</f>
        <v>46487</v>
      </c>
      <c r="S21" s="77"/>
      <c r="T21" s="77"/>
      <c r="U21" s="77"/>
      <c r="V21" s="77"/>
    </row>
    <row r="22" spans="1:22" x14ac:dyDescent="0.25">
      <c r="A22" s="83">
        <v>15</v>
      </c>
      <c r="B22" s="84">
        <f>IF(A22&lt;=umumiy_malumot!$B$82,DATE(YEAR(R22),MONTH(R22),DAY(IF(A22=umumiy_malumot!$B$82,umumiy_malumot!$B$67,IF(A22&lt;umumiy_malumot!$B$82,(Q22),IF(A22&gt;umumiy_malumot!$B$82,$H$56,0))))))</f>
        <v>46517</v>
      </c>
      <c r="C22" s="48">
        <f t="shared" si="1"/>
        <v>106944444.45999989</v>
      </c>
      <c r="D22" s="48">
        <f t="shared" si="2"/>
        <v>4861111.1100000003</v>
      </c>
      <c r="E22" s="48">
        <f t="shared" si="3"/>
        <v>4512176.4800000004</v>
      </c>
      <c r="F22" s="48">
        <f t="shared" si="4"/>
        <v>9373287.5899999999</v>
      </c>
      <c r="G22" s="77">
        <f t="shared" si="7"/>
        <v>28</v>
      </c>
      <c r="H22" s="77">
        <f t="shared" si="5"/>
        <v>365</v>
      </c>
      <c r="I22" s="85">
        <f t="shared" si="10"/>
        <v>4861111.1100000003</v>
      </c>
      <c r="J22" s="85">
        <f>SUM($I$8:I21)</f>
        <v>68055555.540000007</v>
      </c>
      <c r="K22" s="85">
        <f t="shared" si="9"/>
        <v>106944444.45999999</v>
      </c>
      <c r="L22" s="79">
        <f>ROUND(C22*umumiy_malumot!$B$85/H22,2)*G22</f>
        <v>4512176.4800000004</v>
      </c>
      <c r="M22" s="79">
        <f t="shared" si="0"/>
        <v>9373287.5899999999</v>
      </c>
      <c r="N22" s="79"/>
      <c r="O22" s="94" t="str">
        <f t="shared" si="8"/>
        <v>Пн</v>
      </c>
      <c r="P22" s="96">
        <f t="shared" si="6"/>
        <v>0</v>
      </c>
      <c r="Q22" s="96">
        <f>DAY(umumiy_malumot!$B$79)+P22</f>
        <v>10</v>
      </c>
      <c r="R22" s="91">
        <f>IF(A22&lt;=umumiy_malumot!$B$82,DATE(YEAR($B$8),MONTH($B$8)+A21,DAY(umumiy_malumot!$B$79)),0)</f>
        <v>46517</v>
      </c>
      <c r="S22" s="77"/>
      <c r="T22" s="77"/>
      <c r="U22" s="77"/>
      <c r="V22" s="77"/>
    </row>
    <row r="23" spans="1:22" x14ac:dyDescent="0.25">
      <c r="A23" s="83">
        <v>16</v>
      </c>
      <c r="B23" s="84">
        <f>IF(A23&lt;=umumiy_malumot!$B$82,DATE(YEAR(R23),MONTH(R23),DAY(IF(A23=umumiy_malumot!$B$82,umumiy_malumot!$B$67,IF(A23&lt;umumiy_malumot!$B$82,(Q23),IF(A23&gt;umumiy_malumot!$B$82,$H$56,0))))))</f>
        <v>46548</v>
      </c>
      <c r="C23" s="48">
        <f t="shared" si="1"/>
        <v>102083333.34999989</v>
      </c>
      <c r="D23" s="48">
        <f t="shared" si="2"/>
        <v>4861111.1100000003</v>
      </c>
      <c r="E23" s="48">
        <f t="shared" si="3"/>
        <v>4768550.2</v>
      </c>
      <c r="F23" s="48">
        <f t="shared" si="4"/>
        <v>9629661.3100000005</v>
      </c>
      <c r="G23" s="77">
        <f t="shared" si="7"/>
        <v>31</v>
      </c>
      <c r="H23" s="77">
        <f t="shared" si="5"/>
        <v>365</v>
      </c>
      <c r="I23" s="85">
        <f t="shared" si="10"/>
        <v>4861111.1100000003</v>
      </c>
      <c r="J23" s="85">
        <f>SUM($I$8:I22)</f>
        <v>72916666.650000006</v>
      </c>
      <c r="K23" s="85">
        <f t="shared" si="9"/>
        <v>102083333.34999999</v>
      </c>
      <c r="L23" s="79">
        <f>ROUND(C23*umumiy_malumot!$B$85/H23,2)*G23</f>
        <v>4768550.2</v>
      </c>
      <c r="M23" s="79">
        <f t="shared" si="0"/>
        <v>9629661.3100000005</v>
      </c>
      <c r="N23" s="79"/>
      <c r="O23" s="94" t="str">
        <f t="shared" si="8"/>
        <v>Чт</v>
      </c>
      <c r="P23" s="96">
        <f t="shared" si="6"/>
        <v>0</v>
      </c>
      <c r="Q23" s="96">
        <f>DAY(umumiy_malumot!$B$79)+P23</f>
        <v>10</v>
      </c>
      <c r="R23" s="91">
        <f>IF(A23&lt;=umumiy_malumot!$B$82,DATE(YEAR($B$8),MONTH($B$8)+A22,DAY(umumiy_malumot!$B$79)),0)</f>
        <v>46548</v>
      </c>
      <c r="S23" s="77"/>
      <c r="T23" s="77"/>
      <c r="U23" s="77"/>
      <c r="V23" s="77"/>
    </row>
    <row r="24" spans="1:22" x14ac:dyDescent="0.25">
      <c r="A24" s="83">
        <v>17</v>
      </c>
      <c r="B24" s="84">
        <f>IF(A24&lt;=umumiy_malumot!$B$82,DATE(YEAR(R24),MONTH(R24),DAY(IF(A24=umumiy_malumot!$B$82,umumiy_malumot!$B$67,IF(A24&lt;umumiy_malumot!$B$82,(Q24),IF(A24&gt;umumiy_malumot!$B$82,$H$56,0))))))</f>
        <v>46580</v>
      </c>
      <c r="C24" s="48">
        <f t="shared" si="1"/>
        <v>97222222.23999989</v>
      </c>
      <c r="D24" s="48">
        <f t="shared" si="2"/>
        <v>4861111.1100000003</v>
      </c>
      <c r="E24" s="48">
        <f t="shared" si="3"/>
        <v>4687975.68</v>
      </c>
      <c r="F24" s="48">
        <f t="shared" si="4"/>
        <v>9549086.7899999991</v>
      </c>
      <c r="G24" s="77">
        <f t="shared" si="7"/>
        <v>32</v>
      </c>
      <c r="H24" s="77">
        <f t="shared" si="5"/>
        <v>365</v>
      </c>
      <c r="I24" s="85">
        <f t="shared" si="10"/>
        <v>4861111.1100000003</v>
      </c>
      <c r="J24" s="85">
        <f>SUM($I$8:I23)</f>
        <v>77777777.760000005</v>
      </c>
      <c r="K24" s="85">
        <f t="shared" si="9"/>
        <v>97222222.239999995</v>
      </c>
      <c r="L24" s="79">
        <f>ROUND(C24*umumiy_malumot!$B$85/H24,2)*G24</f>
        <v>4687975.68</v>
      </c>
      <c r="M24" s="79">
        <f t="shared" si="0"/>
        <v>9549086.7899999991</v>
      </c>
      <c r="N24" s="79"/>
      <c r="O24" s="94" t="str">
        <f t="shared" si="8"/>
        <v>Сб</v>
      </c>
      <c r="P24" s="96">
        <f t="shared" si="6"/>
        <v>2</v>
      </c>
      <c r="Q24" s="96">
        <f>DAY(umumiy_malumot!$B$79)+P24</f>
        <v>12</v>
      </c>
      <c r="R24" s="91">
        <f>IF(A24&lt;=umumiy_malumot!$B$82,DATE(YEAR($B$8),MONTH($B$8)+A23,DAY(umumiy_malumot!$B$79)),0)</f>
        <v>46578</v>
      </c>
      <c r="S24" s="77"/>
      <c r="T24" s="77"/>
      <c r="U24" s="77"/>
      <c r="V24" s="77"/>
    </row>
    <row r="25" spans="1:22" x14ac:dyDescent="0.25">
      <c r="A25" s="83">
        <v>18</v>
      </c>
      <c r="B25" s="84">
        <f>IF(A25&lt;=umumiy_malumot!$B$82,DATE(YEAR(R25),MONTH(R25),DAY(IF(A25=umumiy_malumot!$B$82,umumiy_malumot!$B$67,IF(A25&lt;umumiy_malumot!$B$82,(Q25),IF(A25&gt;umumiy_malumot!$B$82,$H$56,0))))))</f>
        <v>46609</v>
      </c>
      <c r="C25" s="48">
        <f t="shared" si="1"/>
        <v>92361111.129999891</v>
      </c>
      <c r="D25" s="48">
        <f t="shared" si="2"/>
        <v>4861111.1100000003</v>
      </c>
      <c r="E25" s="48">
        <f t="shared" si="3"/>
        <v>4036054.12</v>
      </c>
      <c r="F25" s="48">
        <f t="shared" si="4"/>
        <v>8897165.2300000004</v>
      </c>
      <c r="G25" s="77">
        <f t="shared" si="7"/>
        <v>29</v>
      </c>
      <c r="H25" s="77">
        <f t="shared" si="5"/>
        <v>365</v>
      </c>
      <c r="I25" s="85">
        <f t="shared" si="10"/>
        <v>4861111.1100000003</v>
      </c>
      <c r="J25" s="85">
        <f>SUM($I$8:I24)</f>
        <v>82638888.870000005</v>
      </c>
      <c r="K25" s="85">
        <f t="shared" si="9"/>
        <v>92361111.129999995</v>
      </c>
      <c r="L25" s="79">
        <f>ROUND(C25*umumiy_malumot!$B$85/H25,2)*G25</f>
        <v>4036054.12</v>
      </c>
      <c r="M25" s="79">
        <f t="shared" si="0"/>
        <v>8897165.2300000004</v>
      </c>
      <c r="N25" s="79"/>
      <c r="O25" s="94" t="str">
        <f t="shared" si="8"/>
        <v>Вт</v>
      </c>
      <c r="P25" s="96">
        <f t="shared" si="6"/>
        <v>0</v>
      </c>
      <c r="Q25" s="96">
        <f>DAY(umumiy_malumot!$B$79)+P25</f>
        <v>10</v>
      </c>
      <c r="R25" s="91">
        <f>IF(A25&lt;=umumiy_malumot!$B$82,DATE(YEAR($B$8),MONTH($B$8)+A24,DAY(umumiy_malumot!$B$79)),0)</f>
        <v>46609</v>
      </c>
      <c r="S25" s="77"/>
      <c r="T25" s="77"/>
      <c r="U25" s="77"/>
      <c r="V25" s="77"/>
    </row>
    <row r="26" spans="1:22" x14ac:dyDescent="0.25">
      <c r="A26" s="83">
        <v>19</v>
      </c>
      <c r="B26" s="84">
        <f>IF(A26&lt;=umumiy_malumot!$B$82,DATE(YEAR(R26),MONTH(R26),DAY(IF(A26=umumiy_malumot!$B$82,umumiy_malumot!$B$67,IF(A26&lt;umumiy_malumot!$B$82,(Q26),IF(A26&gt;umumiy_malumot!$B$82,$H$56,0))))))</f>
        <v>46640</v>
      </c>
      <c r="C26" s="48">
        <f t="shared" si="1"/>
        <v>87500000.019999892</v>
      </c>
      <c r="D26" s="48">
        <f t="shared" si="2"/>
        <v>4861111.1100000003</v>
      </c>
      <c r="E26" s="48">
        <f t="shared" si="3"/>
        <v>4087328.9200000004</v>
      </c>
      <c r="F26" s="48">
        <f t="shared" si="4"/>
        <v>8948440.0300000012</v>
      </c>
      <c r="G26" s="77">
        <f t="shared" si="7"/>
        <v>31</v>
      </c>
      <c r="H26" s="77">
        <f t="shared" si="5"/>
        <v>365</v>
      </c>
      <c r="I26" s="85">
        <f t="shared" si="10"/>
        <v>4861111.1100000003</v>
      </c>
      <c r="J26" s="85">
        <f>SUM($I$8:I25)</f>
        <v>87499999.980000004</v>
      </c>
      <c r="K26" s="85">
        <f t="shared" si="9"/>
        <v>87500000.019999996</v>
      </c>
      <c r="L26" s="79">
        <f>ROUND(C26*umumiy_malumot!$B$85/H26,2)*G26</f>
        <v>4087328.9200000004</v>
      </c>
      <c r="M26" s="79">
        <f t="shared" si="0"/>
        <v>8948440.0300000012</v>
      </c>
      <c r="N26" s="79"/>
      <c r="O26" s="94" t="str">
        <f t="shared" si="8"/>
        <v>Пт</v>
      </c>
      <c r="P26" s="96">
        <f t="shared" si="6"/>
        <v>0</v>
      </c>
      <c r="Q26" s="96">
        <f>DAY(umumiy_malumot!$B$79)+P26</f>
        <v>10</v>
      </c>
      <c r="R26" s="91">
        <f>IF(A26&lt;=umumiy_malumot!$B$82,DATE(YEAR($B$8),MONTH($B$8)+A25,DAY(umumiy_malumot!$B$79)),0)</f>
        <v>46640</v>
      </c>
      <c r="S26" s="77"/>
      <c r="T26" s="77"/>
      <c r="U26" s="77"/>
      <c r="V26" s="77"/>
    </row>
    <row r="27" spans="1:22" x14ac:dyDescent="0.25">
      <c r="A27" s="83">
        <v>20</v>
      </c>
      <c r="B27" s="84">
        <f>IF(A27&lt;=umumiy_malumot!$B$82,DATE(YEAR(R27),MONTH(R27),DAY(IF(A27=umumiy_malumot!$B$82,umumiy_malumot!$B$67,IF(A27&lt;umumiy_malumot!$B$82,(Q27),IF(A27&gt;umumiy_malumot!$B$82,$H$56,0))))))</f>
        <v>46671</v>
      </c>
      <c r="C27" s="48">
        <f t="shared" si="1"/>
        <v>82638888.909999892</v>
      </c>
      <c r="D27" s="48">
        <f t="shared" si="2"/>
        <v>4861111.1100000003</v>
      </c>
      <c r="E27" s="48">
        <f t="shared" si="3"/>
        <v>3860254.85</v>
      </c>
      <c r="F27" s="48">
        <f t="shared" si="4"/>
        <v>8721365.9600000009</v>
      </c>
      <c r="G27" s="77">
        <f t="shared" si="7"/>
        <v>31</v>
      </c>
      <c r="H27" s="77">
        <f t="shared" si="5"/>
        <v>365</v>
      </c>
      <c r="I27" s="85">
        <f t="shared" si="10"/>
        <v>4861111.1100000003</v>
      </c>
      <c r="J27" s="85">
        <f>SUM($I$8:I26)</f>
        <v>92361111.090000004</v>
      </c>
      <c r="K27" s="85">
        <f t="shared" si="9"/>
        <v>82638888.909999996</v>
      </c>
      <c r="L27" s="79">
        <f>ROUND(C27*umumiy_malumot!$B$85/H27,2)*G27</f>
        <v>3860254.85</v>
      </c>
      <c r="M27" s="79">
        <f t="shared" si="0"/>
        <v>8721365.9600000009</v>
      </c>
      <c r="N27" s="79"/>
      <c r="O27" s="94" t="str">
        <f t="shared" si="8"/>
        <v>Вс</v>
      </c>
      <c r="P27" s="96">
        <f t="shared" si="6"/>
        <v>1</v>
      </c>
      <c r="Q27" s="96">
        <f>DAY(umumiy_malumot!$B$79)+P27</f>
        <v>11</v>
      </c>
      <c r="R27" s="91">
        <f>IF(A27&lt;=umumiy_malumot!$B$82,DATE(YEAR($B$8),MONTH($B$8)+A26,DAY(umumiy_malumot!$B$79)),0)</f>
        <v>46670</v>
      </c>
      <c r="S27" s="77"/>
      <c r="T27" s="77"/>
      <c r="U27" s="77"/>
      <c r="V27" s="77"/>
    </row>
    <row r="28" spans="1:22" x14ac:dyDescent="0.25">
      <c r="A28" s="83">
        <v>21</v>
      </c>
      <c r="B28" s="84">
        <f>IF(A28&lt;=umumiy_malumot!$B$82,DATE(YEAR(R28),MONTH(R28),DAY(IF(A28=umumiy_malumot!$B$82,umumiy_malumot!$B$67,IF(A28&lt;umumiy_malumot!$B$82,(Q28),IF(A28&gt;umumiy_malumot!$B$82,$H$56,0))))))</f>
        <v>46701</v>
      </c>
      <c r="C28" s="48">
        <f t="shared" si="1"/>
        <v>77777777.799999893</v>
      </c>
      <c r="D28" s="48">
        <f t="shared" si="2"/>
        <v>4861111.1100000003</v>
      </c>
      <c r="E28" s="48">
        <f t="shared" si="3"/>
        <v>3515981.7</v>
      </c>
      <c r="F28" s="48">
        <f t="shared" si="4"/>
        <v>8377092.8100000005</v>
      </c>
      <c r="G28" s="77">
        <f t="shared" si="7"/>
        <v>30</v>
      </c>
      <c r="H28" s="77">
        <f t="shared" si="5"/>
        <v>365</v>
      </c>
      <c r="I28" s="85">
        <f t="shared" si="10"/>
        <v>4861111.1100000003</v>
      </c>
      <c r="J28" s="85">
        <f>SUM($I$8:I27)</f>
        <v>97222222.200000003</v>
      </c>
      <c r="K28" s="85">
        <f t="shared" si="9"/>
        <v>77777777.799999997</v>
      </c>
      <c r="L28" s="79">
        <f>ROUND(C28*umumiy_malumot!$B$85/H28,2)*G28</f>
        <v>3515981.7</v>
      </c>
      <c r="M28" s="79">
        <f t="shared" si="0"/>
        <v>8377092.8100000005</v>
      </c>
      <c r="N28" s="79"/>
      <c r="O28" s="94" t="str">
        <f t="shared" si="8"/>
        <v>Ср</v>
      </c>
      <c r="P28" s="96">
        <f t="shared" si="6"/>
        <v>0</v>
      </c>
      <c r="Q28" s="96">
        <f>DAY(umumiy_malumot!$B$79)+P28</f>
        <v>10</v>
      </c>
      <c r="R28" s="91">
        <f>IF(A28&lt;=umumiy_malumot!$B$82,DATE(YEAR($B$8),MONTH($B$8)+A27,DAY(umumiy_malumot!$B$79)),0)</f>
        <v>46701</v>
      </c>
      <c r="S28" s="77"/>
      <c r="T28" s="77"/>
      <c r="U28" s="77"/>
      <c r="V28" s="77"/>
    </row>
    <row r="29" spans="1:22" x14ac:dyDescent="0.25">
      <c r="A29" s="83">
        <v>22</v>
      </c>
      <c r="B29" s="84">
        <f>IF(A29&lt;=umumiy_malumot!$B$82,DATE(YEAR(R29),MONTH(R29),DAY(IF(A29=umumiy_malumot!$B$82,umumiy_malumot!$B$67,IF(A29&lt;umumiy_malumot!$B$82,(Q29),IF(A29&gt;umumiy_malumot!$B$82,$H$56,0))))))</f>
        <v>46731</v>
      </c>
      <c r="C29" s="48">
        <f t="shared" si="1"/>
        <v>72916666.689999893</v>
      </c>
      <c r="D29" s="48">
        <f t="shared" si="2"/>
        <v>4861111.1100000003</v>
      </c>
      <c r="E29" s="48">
        <f t="shared" si="3"/>
        <v>3296232.9</v>
      </c>
      <c r="F29" s="48">
        <f t="shared" si="4"/>
        <v>8157344.0099999998</v>
      </c>
      <c r="G29" s="77">
        <f t="shared" si="7"/>
        <v>30</v>
      </c>
      <c r="H29" s="77">
        <f t="shared" si="5"/>
        <v>365</v>
      </c>
      <c r="I29" s="85">
        <f t="shared" si="10"/>
        <v>4861111.1100000003</v>
      </c>
      <c r="J29" s="85">
        <f>SUM($I$8:I28)</f>
        <v>102083333.31</v>
      </c>
      <c r="K29" s="85">
        <f t="shared" si="9"/>
        <v>72916666.689999998</v>
      </c>
      <c r="L29" s="79">
        <f>ROUND(C29*umumiy_malumot!$B$85/H29,2)*G29</f>
        <v>3296232.9</v>
      </c>
      <c r="M29" s="79">
        <f t="shared" si="0"/>
        <v>8157344.0099999998</v>
      </c>
      <c r="N29" s="79"/>
      <c r="O29" s="94" t="str">
        <f t="shared" si="8"/>
        <v>Пт</v>
      </c>
      <c r="P29" s="96">
        <f t="shared" si="6"/>
        <v>0</v>
      </c>
      <c r="Q29" s="96">
        <f>DAY(umumiy_malumot!$B$79)+P29</f>
        <v>10</v>
      </c>
      <c r="R29" s="91">
        <f>IF(A29&lt;=umumiy_malumot!$B$82,DATE(YEAR($B$8),MONTH($B$8)+A28,DAY(umumiy_malumot!$B$79)),0)</f>
        <v>46731</v>
      </c>
      <c r="S29" s="77"/>
      <c r="T29" s="77"/>
      <c r="U29" s="77"/>
      <c r="V29" s="77"/>
    </row>
    <row r="30" spans="1:22" x14ac:dyDescent="0.25">
      <c r="A30" s="83">
        <v>23</v>
      </c>
      <c r="B30" s="84">
        <f>IF(A30&lt;=umumiy_malumot!$B$82,DATE(YEAR(R30),MONTH(R30),DAY(IF(A30=umumiy_malumot!$B$82,umumiy_malumot!$B$67,IF(A30&lt;umumiy_malumot!$B$82,(Q30),IF(A30&gt;umumiy_malumot!$B$82,$H$56,0))))))</f>
        <v>46762</v>
      </c>
      <c r="C30" s="48">
        <f t="shared" si="1"/>
        <v>68055555.579999894</v>
      </c>
      <c r="D30" s="48">
        <f t="shared" si="2"/>
        <v>4861111.1100000003</v>
      </c>
      <c r="E30" s="48">
        <f t="shared" si="3"/>
        <v>3170347.68</v>
      </c>
      <c r="F30" s="48">
        <f t="shared" si="4"/>
        <v>8031458.790000001</v>
      </c>
      <c r="G30" s="77">
        <f t="shared" si="7"/>
        <v>31</v>
      </c>
      <c r="H30" s="77">
        <f t="shared" si="5"/>
        <v>366</v>
      </c>
      <c r="I30" s="85">
        <f t="shared" si="10"/>
        <v>4861111.1100000003</v>
      </c>
      <c r="J30" s="85">
        <f>SUM($I$8:I29)</f>
        <v>106944444.42</v>
      </c>
      <c r="K30" s="85">
        <f t="shared" si="9"/>
        <v>68055555.579999998</v>
      </c>
      <c r="L30" s="79">
        <f>ROUND(C30*umumiy_malumot!$B$85/H30,2)*G30</f>
        <v>3170347.68</v>
      </c>
      <c r="M30" s="79">
        <f t="shared" si="0"/>
        <v>8031458.790000001</v>
      </c>
      <c r="N30" s="79"/>
      <c r="O30" s="94" t="str">
        <f t="shared" si="8"/>
        <v>Пн</v>
      </c>
      <c r="P30" s="96">
        <f t="shared" si="6"/>
        <v>0</v>
      </c>
      <c r="Q30" s="96">
        <f>DAY(umumiy_malumot!$B$79)+P30</f>
        <v>10</v>
      </c>
      <c r="R30" s="91">
        <f>IF(A30&lt;=umumiy_malumot!$B$82,DATE(YEAR($B$8),MONTH($B$8)+A29,DAY(umumiy_malumot!$B$79)),0)</f>
        <v>46762</v>
      </c>
      <c r="S30" s="77"/>
      <c r="T30" s="77"/>
      <c r="U30" s="77"/>
      <c r="V30" s="77"/>
    </row>
    <row r="31" spans="1:22" x14ac:dyDescent="0.25">
      <c r="A31" s="83">
        <v>24</v>
      </c>
      <c r="B31" s="84">
        <f>IF(A31&lt;=umumiy_malumot!$B$82,DATE(YEAR(R31),MONTH(R31),DAY(IF(A31=umumiy_malumot!$B$82,umumiy_malumot!$B$67,IF(A31&lt;umumiy_malumot!$B$82,(Q31),IF(A31&gt;umumiy_malumot!$B$82,$H$56,0))))))</f>
        <v>46793</v>
      </c>
      <c r="C31" s="48">
        <f t="shared" ref="C31" si="11">C30-D30</f>
        <v>63194444.469999894</v>
      </c>
      <c r="D31" s="48">
        <f t="shared" ref="D31" si="12">IF(C31=0,L31,IF(C31&gt;1,I31))</f>
        <v>4861111.1100000003</v>
      </c>
      <c r="E31" s="48">
        <f t="shared" ref="E31" si="13">IF(C31=0,N30,IF(C31&gt;1,L31))</f>
        <v>2943894.23</v>
      </c>
      <c r="F31" s="48">
        <f t="shared" ref="F31" si="14">IF(C31=0,N30,IF(C31&gt;1,M31))</f>
        <v>7805005.3399999999</v>
      </c>
      <c r="G31" s="77">
        <f t="shared" si="7"/>
        <v>31</v>
      </c>
      <c r="H31" s="77">
        <f t="shared" si="5"/>
        <v>366</v>
      </c>
      <c r="I31" s="85">
        <f t="shared" si="10"/>
        <v>4861111.1100000003</v>
      </c>
      <c r="J31" s="85">
        <f>SUM($I$8:I30)</f>
        <v>111805555.53</v>
      </c>
      <c r="K31" s="85">
        <f t="shared" si="9"/>
        <v>63194444.469999999</v>
      </c>
      <c r="L31" s="79">
        <f>ROUND(C31*umumiy_malumot!$B$85/H31,2)*G31</f>
        <v>2943894.23</v>
      </c>
      <c r="M31" s="79">
        <f t="shared" si="0"/>
        <v>7805005.3399999999</v>
      </c>
      <c r="N31" s="79"/>
      <c r="O31" s="94" t="str">
        <f t="shared" si="8"/>
        <v>Чт</v>
      </c>
      <c r="P31" s="96">
        <f t="shared" si="6"/>
        <v>0</v>
      </c>
      <c r="Q31" s="96">
        <f>DAY(umumiy_malumot!$B$79)+P31</f>
        <v>10</v>
      </c>
      <c r="R31" s="91">
        <f>IF(A31&lt;=umumiy_malumot!$B$82,DATE(YEAR($B$8),MONTH($B$8)+A30,DAY(umumiy_malumot!$B$79)),0)</f>
        <v>46793</v>
      </c>
      <c r="S31" s="77"/>
      <c r="T31" s="77"/>
      <c r="U31" s="77"/>
      <c r="V31" s="77"/>
    </row>
    <row r="32" spans="1:22" x14ac:dyDescent="0.25">
      <c r="A32" s="83">
        <f>1+A31</f>
        <v>25</v>
      </c>
      <c r="B32" s="84">
        <f>IF(A32&lt;=umumiy_malumot!$B$82,DATE(YEAR(R32),MONTH(R32),DAY(IF(A32=umumiy_malumot!$B$82,umumiy_malumot!$B$67,IF(A32&lt;umumiy_malumot!$B$82,(Q32),IF(A32&gt;umumiy_malumot!$B$82,$H$56,0))))))</f>
        <v>46822</v>
      </c>
      <c r="C32" s="48">
        <f t="shared" ref="C32:C42" si="15">C31-D31</f>
        <v>58333333.359999895</v>
      </c>
      <c r="D32" s="48">
        <f t="shared" ref="D32:D42" si="16">IF(C32=0,L32,IF(C32&gt;1,I32))</f>
        <v>4861111.1100000003</v>
      </c>
      <c r="E32" s="48">
        <f t="shared" ref="E32:E42" si="17">IF(C32=0,N31,IF(C32&gt;1,L32))</f>
        <v>2542122.02</v>
      </c>
      <c r="F32" s="48">
        <f t="shared" ref="F32:F42" si="18">IF(C32=0,N31,IF(C32&gt;1,M32))</f>
        <v>7403233.1300000008</v>
      </c>
      <c r="G32" s="77">
        <f t="shared" ref="G32:G42" si="19">B32-B31</f>
        <v>29</v>
      </c>
      <c r="H32" s="77">
        <f t="shared" ref="H32:H42" si="20">DATE(YEAR(B32),12,31)-DATE(YEAR(B32),1,1)+1</f>
        <v>366</v>
      </c>
      <c r="I32" s="85">
        <f t="shared" ref="I32:I42" si="21">IF($L$5=A32,K32,IF($L$5&gt;A32,I31))</f>
        <v>4861111.1100000003</v>
      </c>
      <c r="J32" s="85">
        <f>SUM($I$8:I31)</f>
        <v>116666666.64</v>
      </c>
      <c r="K32" s="85">
        <f t="shared" ref="K32:K42" si="22">$J$12-J32</f>
        <v>58333333.359999999</v>
      </c>
      <c r="L32" s="79">
        <f>ROUND(C32*umumiy_malumot!$B$85/H32,2)*G32</f>
        <v>2542122.02</v>
      </c>
      <c r="M32" s="79">
        <f t="shared" ref="M32:M42" si="23">D32+E32</f>
        <v>7403233.1300000008</v>
      </c>
      <c r="N32" s="79"/>
      <c r="O32" s="94" t="str">
        <f t="shared" ref="O32:O42" si="24">TEXT(R32,"ддд")</f>
        <v>Пт</v>
      </c>
      <c r="P32" s="96">
        <f t="shared" ref="P32:P42" si="25">IF(O32=$U$8,2,IF(O32=$V$8,1,0))</f>
        <v>0</v>
      </c>
      <c r="Q32" s="96">
        <f>DAY(umumiy_malumot!$B$79)+P32</f>
        <v>10</v>
      </c>
      <c r="R32" s="91">
        <f>IF(A32&lt;=umumiy_malumot!$B$82,DATE(YEAR($B$8),MONTH($B$8)+A31,DAY(umumiy_malumot!$B$79)),0)</f>
        <v>46822</v>
      </c>
      <c r="S32" s="77"/>
      <c r="T32" s="77"/>
      <c r="U32" s="77"/>
      <c r="V32" s="77"/>
    </row>
    <row r="33" spans="1:22" x14ac:dyDescent="0.25">
      <c r="A33" s="83">
        <f t="shared" ref="A33:A42" si="26">1+A32</f>
        <v>26</v>
      </c>
      <c r="B33" s="84">
        <f>IF(A33&lt;=umumiy_malumot!$B$82,DATE(YEAR(R33),MONTH(R33),DAY(IF(A33=umumiy_malumot!$B$82,umumiy_malumot!$B$67,IF(A33&lt;umumiy_malumot!$B$82,(Q33),IF(A33&gt;umumiy_malumot!$B$82,$H$56,0))))))</f>
        <v>46853</v>
      </c>
      <c r="C33" s="48">
        <f t="shared" si="15"/>
        <v>53472222.249999896</v>
      </c>
      <c r="D33" s="48">
        <f t="shared" si="16"/>
        <v>4861111.1100000003</v>
      </c>
      <c r="E33" s="48">
        <f t="shared" si="17"/>
        <v>2490987.3299999996</v>
      </c>
      <c r="F33" s="48">
        <f t="shared" si="18"/>
        <v>7352098.4399999995</v>
      </c>
      <c r="G33" s="77">
        <f t="shared" si="19"/>
        <v>31</v>
      </c>
      <c r="H33" s="77">
        <f t="shared" si="20"/>
        <v>366</v>
      </c>
      <c r="I33" s="85">
        <f t="shared" si="21"/>
        <v>4861111.1100000003</v>
      </c>
      <c r="J33" s="85">
        <f>SUM($I$8:I32)</f>
        <v>121527777.75</v>
      </c>
      <c r="K33" s="85">
        <f t="shared" si="22"/>
        <v>53472222.25</v>
      </c>
      <c r="L33" s="79">
        <f>ROUND(C33*umumiy_malumot!$B$85/H33,2)*G33</f>
        <v>2490987.3299999996</v>
      </c>
      <c r="M33" s="79">
        <f t="shared" si="23"/>
        <v>7352098.4399999995</v>
      </c>
      <c r="N33" s="79"/>
      <c r="O33" s="94" t="str">
        <f t="shared" si="24"/>
        <v>Пн</v>
      </c>
      <c r="P33" s="96">
        <f t="shared" si="25"/>
        <v>0</v>
      </c>
      <c r="Q33" s="96">
        <f>DAY(umumiy_malumot!$B$79)+P33</f>
        <v>10</v>
      </c>
      <c r="R33" s="91">
        <f>IF(A33&lt;=umumiy_malumot!$B$82,DATE(YEAR($B$8),MONTH($B$8)+A32,DAY(umumiy_malumot!$B$79)),0)</f>
        <v>46853</v>
      </c>
      <c r="S33" s="77"/>
      <c r="T33" s="77"/>
      <c r="U33" s="77"/>
      <c r="V33" s="77"/>
    </row>
    <row r="34" spans="1:22" x14ac:dyDescent="0.25">
      <c r="A34" s="83">
        <f t="shared" si="26"/>
        <v>27</v>
      </c>
      <c r="B34" s="84">
        <f>IF(A34&lt;=umumiy_malumot!$B$82,DATE(YEAR(R34),MONTH(R34),DAY(IF(A34=umumiy_malumot!$B$82,umumiy_malumot!$B$67,IF(A34&lt;umumiy_malumot!$B$82,(Q34),IF(A34&gt;umumiy_malumot!$B$82,$H$56,0))))))</f>
        <v>46883</v>
      </c>
      <c r="C34" s="48">
        <f t="shared" si="15"/>
        <v>48611111.139999896</v>
      </c>
      <c r="D34" s="48">
        <f t="shared" si="16"/>
        <v>4861111.1100000003</v>
      </c>
      <c r="E34" s="48">
        <f t="shared" si="17"/>
        <v>2191484.4</v>
      </c>
      <c r="F34" s="48">
        <f t="shared" si="18"/>
        <v>7052595.5099999998</v>
      </c>
      <c r="G34" s="77">
        <f t="shared" si="19"/>
        <v>30</v>
      </c>
      <c r="H34" s="77">
        <f t="shared" si="20"/>
        <v>366</v>
      </c>
      <c r="I34" s="85">
        <f t="shared" si="21"/>
        <v>4861111.1100000003</v>
      </c>
      <c r="J34" s="85">
        <f>SUM($I$8:I33)</f>
        <v>126388888.86</v>
      </c>
      <c r="K34" s="85">
        <f t="shared" si="22"/>
        <v>48611111.140000001</v>
      </c>
      <c r="L34" s="79">
        <f>ROUND(C34*umumiy_malumot!$B$85/H34,2)*G34</f>
        <v>2191484.4</v>
      </c>
      <c r="M34" s="79">
        <f t="shared" si="23"/>
        <v>7052595.5099999998</v>
      </c>
      <c r="N34" s="79"/>
      <c r="O34" s="94" t="str">
        <f t="shared" si="24"/>
        <v>Ср</v>
      </c>
      <c r="P34" s="96">
        <f t="shared" si="25"/>
        <v>0</v>
      </c>
      <c r="Q34" s="96">
        <f>DAY(umumiy_malumot!$B$79)+P34</f>
        <v>10</v>
      </c>
      <c r="R34" s="91">
        <f>IF(A34&lt;=umumiy_malumot!$B$82,DATE(YEAR($B$8),MONTH($B$8)+A33,DAY(umumiy_malumot!$B$79)),0)</f>
        <v>46883</v>
      </c>
      <c r="S34" s="77"/>
      <c r="T34" s="77"/>
      <c r="U34" s="77"/>
      <c r="V34" s="77"/>
    </row>
    <row r="35" spans="1:22" x14ac:dyDescent="0.25">
      <c r="A35" s="83">
        <f t="shared" si="26"/>
        <v>28</v>
      </c>
      <c r="B35" s="84">
        <f>IF(A35&lt;=umumiy_malumot!$B$82,DATE(YEAR(R35),MONTH(R35),DAY(IF(A35=umumiy_malumot!$B$82,umumiy_malumot!$B$67,IF(A35&lt;umumiy_malumot!$B$82,(Q35),IF(A35&gt;umumiy_malumot!$B$82,$H$56,0))))))</f>
        <v>46916</v>
      </c>
      <c r="C35" s="48">
        <f t="shared" si="15"/>
        <v>43750000.029999897</v>
      </c>
      <c r="D35" s="48">
        <f t="shared" si="16"/>
        <v>4861111.1100000003</v>
      </c>
      <c r="E35" s="48">
        <f t="shared" si="17"/>
        <v>2169569.8199999998</v>
      </c>
      <c r="F35" s="48">
        <f t="shared" si="18"/>
        <v>7030680.9299999997</v>
      </c>
      <c r="G35" s="77">
        <f t="shared" si="19"/>
        <v>33</v>
      </c>
      <c r="H35" s="77">
        <f t="shared" si="20"/>
        <v>366</v>
      </c>
      <c r="I35" s="85">
        <f t="shared" si="21"/>
        <v>4861111.1100000003</v>
      </c>
      <c r="J35" s="85">
        <f>SUM($I$8:I34)</f>
        <v>131249999.97</v>
      </c>
      <c r="K35" s="85">
        <f t="shared" si="22"/>
        <v>43750000.030000001</v>
      </c>
      <c r="L35" s="79">
        <f>ROUND(C35*umumiy_malumot!$B$85/H35,2)*G35</f>
        <v>2169569.8199999998</v>
      </c>
      <c r="M35" s="79">
        <f t="shared" si="23"/>
        <v>7030680.9299999997</v>
      </c>
      <c r="N35" s="79"/>
      <c r="O35" s="94" t="str">
        <f t="shared" si="24"/>
        <v>Сб</v>
      </c>
      <c r="P35" s="96">
        <f t="shared" si="25"/>
        <v>2</v>
      </c>
      <c r="Q35" s="96">
        <f>DAY(umumiy_malumot!$B$79)+P35</f>
        <v>12</v>
      </c>
      <c r="R35" s="91">
        <f>IF(A35&lt;=umumiy_malumot!$B$82,DATE(YEAR($B$8),MONTH($B$8)+A34,DAY(umumiy_malumot!$B$79)),0)</f>
        <v>46914</v>
      </c>
      <c r="S35" s="77"/>
      <c r="T35" s="77"/>
      <c r="U35" s="77"/>
      <c r="V35" s="77"/>
    </row>
    <row r="36" spans="1:22" x14ac:dyDescent="0.25">
      <c r="A36" s="83">
        <f t="shared" si="26"/>
        <v>29</v>
      </c>
      <c r="B36" s="84">
        <f>IF(A36&lt;=umumiy_malumot!$B$82,DATE(YEAR(R36),MONTH(R36),DAY(IF(A36=umumiy_malumot!$B$82,umumiy_malumot!$B$67,IF(A36&lt;umumiy_malumot!$B$82,(Q36),IF(A36&gt;umumiy_malumot!$B$82,$H$56,0))))))</f>
        <v>46944</v>
      </c>
      <c r="C36" s="48">
        <f t="shared" si="15"/>
        <v>38888888.919999897</v>
      </c>
      <c r="D36" s="48">
        <f t="shared" si="16"/>
        <v>4861111.1100000003</v>
      </c>
      <c r="E36" s="48">
        <f t="shared" si="17"/>
        <v>1636308.52</v>
      </c>
      <c r="F36" s="48">
        <f t="shared" si="18"/>
        <v>6497419.6300000008</v>
      </c>
      <c r="G36" s="77">
        <f t="shared" si="19"/>
        <v>28</v>
      </c>
      <c r="H36" s="77">
        <f t="shared" si="20"/>
        <v>366</v>
      </c>
      <c r="I36" s="85">
        <f t="shared" si="21"/>
        <v>4861111.1100000003</v>
      </c>
      <c r="J36" s="85">
        <f>SUM($I$8:I35)</f>
        <v>136111111.08000001</v>
      </c>
      <c r="K36" s="85">
        <f t="shared" si="22"/>
        <v>38888888.919999987</v>
      </c>
      <c r="L36" s="79">
        <f>ROUND(C36*umumiy_malumot!$B$85/H36,2)*G36</f>
        <v>1636308.52</v>
      </c>
      <c r="M36" s="79">
        <f t="shared" si="23"/>
        <v>6497419.6300000008</v>
      </c>
      <c r="N36" s="79"/>
      <c r="O36" s="94" t="str">
        <f t="shared" si="24"/>
        <v>Пн</v>
      </c>
      <c r="P36" s="96">
        <f t="shared" si="25"/>
        <v>0</v>
      </c>
      <c r="Q36" s="96">
        <f>DAY(umumiy_malumot!$B$79)+P36</f>
        <v>10</v>
      </c>
      <c r="R36" s="91">
        <f>IF(A36&lt;=umumiy_malumot!$B$82,DATE(YEAR($B$8),MONTH($B$8)+A35,DAY(umumiy_malumot!$B$79)),0)</f>
        <v>46944</v>
      </c>
      <c r="S36" s="77"/>
      <c r="T36" s="77"/>
      <c r="U36" s="77"/>
      <c r="V36" s="77"/>
    </row>
    <row r="37" spans="1:22" x14ac:dyDescent="0.25">
      <c r="A37" s="83">
        <f t="shared" si="26"/>
        <v>30</v>
      </c>
      <c r="B37" s="84">
        <f>IF(A37&lt;=umumiy_malumot!$B$82,DATE(YEAR(R37),MONTH(R37),DAY(IF(A37=umumiy_malumot!$B$82,umumiy_malumot!$B$67,IF(A37&lt;umumiy_malumot!$B$82,(Q37),IF(A37&gt;umumiy_malumot!$B$82,$H$56,0))))))</f>
        <v>46975</v>
      </c>
      <c r="C37" s="48">
        <f t="shared" si="15"/>
        <v>34027777.809999898</v>
      </c>
      <c r="D37" s="48">
        <f t="shared" si="16"/>
        <v>4861111.1100000003</v>
      </c>
      <c r="E37" s="48">
        <f t="shared" si="17"/>
        <v>1585173.84</v>
      </c>
      <c r="F37" s="48">
        <f t="shared" si="18"/>
        <v>6446284.9500000002</v>
      </c>
      <c r="G37" s="77">
        <f t="shared" si="19"/>
        <v>31</v>
      </c>
      <c r="H37" s="77">
        <f t="shared" si="20"/>
        <v>366</v>
      </c>
      <c r="I37" s="85">
        <f t="shared" si="21"/>
        <v>4861111.1100000003</v>
      </c>
      <c r="J37" s="85">
        <f>SUM($I$8:I36)</f>
        <v>140972222.19000003</v>
      </c>
      <c r="K37" s="85">
        <f t="shared" si="22"/>
        <v>34027777.809999973</v>
      </c>
      <c r="L37" s="79">
        <f>ROUND(C37*umumiy_malumot!$B$85/H37,2)*G37</f>
        <v>1585173.84</v>
      </c>
      <c r="M37" s="79">
        <f t="shared" si="23"/>
        <v>6446284.9500000002</v>
      </c>
      <c r="N37" s="79"/>
      <c r="O37" s="94" t="str">
        <f t="shared" si="24"/>
        <v>Чт</v>
      </c>
      <c r="P37" s="96">
        <f t="shared" si="25"/>
        <v>0</v>
      </c>
      <c r="Q37" s="96">
        <f>DAY(umumiy_malumot!$B$79)+P37</f>
        <v>10</v>
      </c>
      <c r="R37" s="91">
        <f>IF(A37&lt;=umumiy_malumot!$B$82,DATE(YEAR($B$8),MONTH($B$8)+A36,DAY(umumiy_malumot!$B$79)),0)</f>
        <v>46975</v>
      </c>
      <c r="S37" s="77"/>
      <c r="T37" s="77"/>
      <c r="U37" s="77"/>
      <c r="V37" s="77"/>
    </row>
    <row r="38" spans="1:22" x14ac:dyDescent="0.25">
      <c r="A38" s="83">
        <f t="shared" si="26"/>
        <v>31</v>
      </c>
      <c r="B38" s="84">
        <f>IF(A38&lt;=umumiy_malumot!$B$82,DATE(YEAR(R38),MONTH(R38),DAY(IF(A38=umumiy_malumot!$B$82,umumiy_malumot!$B$67,IF(A38&lt;umumiy_malumot!$B$82,(Q38),IF(A38&gt;umumiy_malumot!$B$82,$H$56,0))))))</f>
        <v>47007</v>
      </c>
      <c r="C38" s="48">
        <f t="shared" si="15"/>
        <v>29166666.699999899</v>
      </c>
      <c r="D38" s="48">
        <f t="shared" si="16"/>
        <v>4861111.1100000003</v>
      </c>
      <c r="E38" s="48">
        <f t="shared" si="17"/>
        <v>1402550.08</v>
      </c>
      <c r="F38" s="48">
        <f t="shared" si="18"/>
        <v>6263661.1900000004</v>
      </c>
      <c r="G38" s="77">
        <f t="shared" si="19"/>
        <v>32</v>
      </c>
      <c r="H38" s="77">
        <f t="shared" si="20"/>
        <v>366</v>
      </c>
      <c r="I38" s="85">
        <f t="shared" si="21"/>
        <v>4861111.1100000003</v>
      </c>
      <c r="J38" s="85">
        <f>SUM($I$8:I37)</f>
        <v>145833333.30000004</v>
      </c>
      <c r="K38" s="85">
        <f t="shared" si="22"/>
        <v>29166666.699999958</v>
      </c>
      <c r="L38" s="79">
        <f>ROUND(C38*umumiy_malumot!$B$85/H38,2)*G38</f>
        <v>1402550.08</v>
      </c>
      <c r="M38" s="79">
        <f t="shared" si="23"/>
        <v>6263661.1900000004</v>
      </c>
      <c r="N38" s="79"/>
      <c r="O38" s="94" t="str">
        <f t="shared" si="24"/>
        <v>Вс</v>
      </c>
      <c r="P38" s="96">
        <f t="shared" si="25"/>
        <v>1</v>
      </c>
      <c r="Q38" s="96">
        <f>DAY(umumiy_malumot!$B$79)+P38</f>
        <v>11</v>
      </c>
      <c r="R38" s="91">
        <f>IF(A38&lt;=umumiy_malumot!$B$82,DATE(YEAR($B$8),MONTH($B$8)+A37,DAY(umumiy_malumot!$B$79)),0)</f>
        <v>47006</v>
      </c>
      <c r="S38" s="77"/>
      <c r="T38" s="77"/>
      <c r="U38" s="77"/>
      <c r="V38" s="77"/>
    </row>
    <row r="39" spans="1:22" x14ac:dyDescent="0.25">
      <c r="A39" s="83">
        <f t="shared" si="26"/>
        <v>32</v>
      </c>
      <c r="B39" s="84">
        <f>IF(A39&lt;=umumiy_malumot!$B$82,DATE(YEAR(R39),MONTH(R39),DAY(IF(A39=umumiy_malumot!$B$82,umumiy_malumot!$B$67,IF(A39&lt;umumiy_malumot!$B$82,(Q39),IF(A39&gt;umumiy_malumot!$B$82,$H$56,0))))))</f>
        <v>47036</v>
      </c>
      <c r="C39" s="48">
        <f t="shared" si="15"/>
        <v>24305555.589999899</v>
      </c>
      <c r="D39" s="48">
        <f t="shared" si="16"/>
        <v>4861111.1100000003</v>
      </c>
      <c r="E39" s="48">
        <f t="shared" si="17"/>
        <v>1059217.46</v>
      </c>
      <c r="F39" s="48">
        <f t="shared" si="18"/>
        <v>5920328.5700000003</v>
      </c>
      <c r="G39" s="77">
        <f t="shared" si="19"/>
        <v>29</v>
      </c>
      <c r="H39" s="77">
        <f t="shared" si="20"/>
        <v>366</v>
      </c>
      <c r="I39" s="85">
        <f t="shared" si="21"/>
        <v>4861111.1100000003</v>
      </c>
      <c r="J39" s="85">
        <f>SUM($I$8:I38)</f>
        <v>150694444.41000006</v>
      </c>
      <c r="K39" s="85">
        <f t="shared" si="22"/>
        <v>24305555.589999944</v>
      </c>
      <c r="L39" s="79">
        <f>ROUND(C39*umumiy_malumot!$B$85/H39,2)*G39</f>
        <v>1059217.46</v>
      </c>
      <c r="M39" s="79">
        <f t="shared" si="23"/>
        <v>5920328.5700000003</v>
      </c>
      <c r="N39" s="79"/>
      <c r="O39" s="94" t="str">
        <f t="shared" si="24"/>
        <v>Вт</v>
      </c>
      <c r="P39" s="96">
        <f t="shared" si="25"/>
        <v>0</v>
      </c>
      <c r="Q39" s="96">
        <f>DAY(umumiy_malumot!$B$79)+P39</f>
        <v>10</v>
      </c>
      <c r="R39" s="91">
        <f>IF(A39&lt;=umumiy_malumot!$B$82,DATE(YEAR($B$8),MONTH($B$8)+A38,DAY(umumiy_malumot!$B$79)),0)</f>
        <v>47036</v>
      </c>
      <c r="S39" s="77"/>
      <c r="T39" s="77"/>
      <c r="U39" s="77"/>
      <c r="V39" s="77"/>
    </row>
    <row r="40" spans="1:22" x14ac:dyDescent="0.25">
      <c r="A40" s="83">
        <f t="shared" si="26"/>
        <v>33</v>
      </c>
      <c r="B40" s="84">
        <f>IF(A40&lt;=umumiy_malumot!$B$82,DATE(YEAR(R40),MONTH(R40),DAY(IF(A40=umumiy_malumot!$B$82,umumiy_malumot!$B$67,IF(A40&lt;umumiy_malumot!$B$82,(Q40),IF(A40&gt;umumiy_malumot!$B$82,$H$56,0))))))</f>
        <v>47067</v>
      </c>
      <c r="C40" s="48">
        <f t="shared" si="15"/>
        <v>19444444.4799999</v>
      </c>
      <c r="D40" s="48">
        <f t="shared" si="16"/>
        <v>4861111.1100000003</v>
      </c>
      <c r="E40" s="48">
        <f t="shared" si="17"/>
        <v>905813.49</v>
      </c>
      <c r="F40" s="48">
        <f t="shared" si="18"/>
        <v>5766924.6000000006</v>
      </c>
      <c r="G40" s="77">
        <f t="shared" si="19"/>
        <v>31</v>
      </c>
      <c r="H40" s="77">
        <f t="shared" si="20"/>
        <v>366</v>
      </c>
      <c r="I40" s="85">
        <f t="shared" si="21"/>
        <v>4861111.1100000003</v>
      </c>
      <c r="J40" s="85">
        <f>SUM($I$8:I39)</f>
        <v>155555555.52000007</v>
      </c>
      <c r="K40" s="85">
        <f t="shared" si="22"/>
        <v>19444444.47999993</v>
      </c>
      <c r="L40" s="79">
        <f>ROUND(C40*umumiy_malumot!$B$85/H40,2)*G40</f>
        <v>905813.49</v>
      </c>
      <c r="M40" s="79">
        <f t="shared" si="23"/>
        <v>5766924.6000000006</v>
      </c>
      <c r="N40" s="79"/>
      <c r="O40" s="94" t="str">
        <f t="shared" si="24"/>
        <v>Пт</v>
      </c>
      <c r="P40" s="96">
        <f t="shared" si="25"/>
        <v>0</v>
      </c>
      <c r="Q40" s="96">
        <f>DAY(umumiy_malumot!$B$79)+P40</f>
        <v>10</v>
      </c>
      <c r="R40" s="91">
        <f>IF(A40&lt;=umumiy_malumot!$B$82,DATE(YEAR($B$8),MONTH($B$8)+A39,DAY(umumiy_malumot!$B$79)),0)</f>
        <v>47067</v>
      </c>
      <c r="S40" s="77"/>
      <c r="T40" s="77"/>
      <c r="U40" s="77"/>
      <c r="V40" s="77"/>
    </row>
    <row r="41" spans="1:22" x14ac:dyDescent="0.25">
      <c r="A41" s="83">
        <f t="shared" si="26"/>
        <v>34</v>
      </c>
      <c r="B41" s="84">
        <f>IF(A41&lt;=umumiy_malumot!$B$82,DATE(YEAR(R41),MONTH(R41),DAY(IF(A41=umumiy_malumot!$B$82,umumiy_malumot!$B$67,IF(A41&lt;umumiy_malumot!$B$82,(Q41),IF(A41&gt;umumiy_malumot!$B$82,$H$56,0))))))</f>
        <v>47098</v>
      </c>
      <c r="C41" s="48">
        <f t="shared" si="15"/>
        <v>14583333.3699999</v>
      </c>
      <c r="D41" s="48">
        <f t="shared" si="16"/>
        <v>4861111.1100000003</v>
      </c>
      <c r="E41" s="48">
        <f t="shared" si="17"/>
        <v>679360.35</v>
      </c>
      <c r="F41" s="48">
        <f t="shared" si="18"/>
        <v>5540471.46</v>
      </c>
      <c r="G41" s="77">
        <f t="shared" si="19"/>
        <v>31</v>
      </c>
      <c r="H41" s="77">
        <f t="shared" si="20"/>
        <v>366</v>
      </c>
      <c r="I41" s="85">
        <f t="shared" si="21"/>
        <v>4861111.1100000003</v>
      </c>
      <c r="J41" s="85">
        <f>SUM($I$8:I40)</f>
        <v>160416666.63000008</v>
      </c>
      <c r="K41" s="85">
        <f t="shared" si="22"/>
        <v>14583333.369999915</v>
      </c>
      <c r="L41" s="79">
        <f>ROUND(C41*umumiy_malumot!$B$85/H41,2)*G41</f>
        <v>679360.35</v>
      </c>
      <c r="M41" s="79">
        <f t="shared" si="23"/>
        <v>5540471.46</v>
      </c>
      <c r="N41" s="79"/>
      <c r="O41" s="94" t="str">
        <f t="shared" si="24"/>
        <v>Вс</v>
      </c>
      <c r="P41" s="96">
        <f t="shared" si="25"/>
        <v>1</v>
      </c>
      <c r="Q41" s="96">
        <f>DAY(umumiy_malumot!$B$79)+P41</f>
        <v>11</v>
      </c>
      <c r="R41" s="91">
        <f>IF(A41&lt;=umumiy_malumot!$B$82,DATE(YEAR($B$8),MONTH($B$8)+A40,DAY(umumiy_malumot!$B$79)),0)</f>
        <v>47097</v>
      </c>
      <c r="S41" s="77"/>
      <c r="T41" s="77"/>
      <c r="U41" s="77"/>
      <c r="V41" s="77"/>
    </row>
    <row r="42" spans="1:22" x14ac:dyDescent="0.25">
      <c r="A42" s="83">
        <f t="shared" si="26"/>
        <v>35</v>
      </c>
      <c r="B42" s="84">
        <f>IF(A42&lt;=umumiy_malumot!$B$82,DATE(YEAR(R42),MONTH(R42),DAY(IF(A42=umumiy_malumot!$B$82,umumiy_malumot!$B$67,IF(A42&lt;umumiy_malumot!$B$82,(Q42),IF(A42&gt;umumiy_malumot!$B$82,$H$56,0))))))</f>
        <v>47128</v>
      </c>
      <c r="C42" s="48">
        <f t="shared" si="15"/>
        <v>9722222.2599999011</v>
      </c>
      <c r="D42" s="48">
        <f t="shared" si="16"/>
        <v>4861111.1100000003</v>
      </c>
      <c r="E42" s="48">
        <f t="shared" si="17"/>
        <v>439497.6</v>
      </c>
      <c r="F42" s="48">
        <f t="shared" si="18"/>
        <v>5300608.71</v>
      </c>
      <c r="G42" s="77">
        <f t="shared" si="19"/>
        <v>30</v>
      </c>
      <c r="H42" s="77">
        <f t="shared" si="20"/>
        <v>365</v>
      </c>
      <c r="I42" s="85">
        <f t="shared" si="21"/>
        <v>4861111.1100000003</v>
      </c>
      <c r="J42" s="85">
        <f>SUM($I$8:I41)</f>
        <v>165277777.7400001</v>
      </c>
      <c r="K42" s="85">
        <f t="shared" si="22"/>
        <v>9722222.2599999011</v>
      </c>
      <c r="L42" s="79">
        <f>ROUND(C42*umumiy_malumot!$B$85/H42,2)*G42</f>
        <v>439497.6</v>
      </c>
      <c r="M42" s="79">
        <f t="shared" si="23"/>
        <v>5300608.71</v>
      </c>
      <c r="N42" s="79"/>
      <c r="O42" s="94" t="str">
        <f t="shared" si="24"/>
        <v>Ср</v>
      </c>
      <c r="P42" s="96">
        <f t="shared" si="25"/>
        <v>0</v>
      </c>
      <c r="Q42" s="96">
        <f>DAY(umumiy_malumot!$B$79)+P42</f>
        <v>10</v>
      </c>
      <c r="R42" s="91">
        <f>IF(A42&lt;=umumiy_malumot!$B$82,DATE(YEAR($B$8),MONTH($B$8)+A41,DAY(umumiy_malumot!$B$79)),0)</f>
        <v>47128</v>
      </c>
      <c r="S42" s="77"/>
      <c r="T42" s="77"/>
      <c r="U42" s="77"/>
      <c r="V42" s="77"/>
    </row>
    <row r="43" spans="1:22" x14ac:dyDescent="0.25">
      <c r="A43" s="83">
        <f t="shared" ref="A43:A55" si="27">1+A42</f>
        <v>36</v>
      </c>
      <c r="B43" s="84">
        <f>IF(A43&lt;=umumiy_malumot!$B$82,DATE(YEAR(R43),MONTH(R43),DAY(IF(A43=umumiy_malumot!$B$82,umumiy_malumot!$B$67,IF(A43&lt;umumiy_malumot!$B$82,(Q43),IF(A43&gt;umumiy_malumot!$B$82,$H$56,0))))))</f>
        <v>47165</v>
      </c>
      <c r="C43" s="48">
        <f t="shared" ref="C43" si="28">C42-D42</f>
        <v>4861111.1499999007</v>
      </c>
      <c r="D43" s="48">
        <f t="shared" ref="D43" si="29">IF(C43=0,L43,IF(C43&gt;1,I43))</f>
        <v>4861111.1499998868</v>
      </c>
      <c r="E43" s="48">
        <f t="shared" ref="E43" si="30">IF(C43=0,N42,IF(C43&gt;1,L43))</f>
        <v>271023.52</v>
      </c>
      <c r="F43" s="48">
        <f t="shared" ref="F43" si="31">IF(C43=0,N42,IF(C43&gt;1,M43))</f>
        <v>5132134.6699998863</v>
      </c>
      <c r="G43" s="77">
        <f t="shared" ref="G43" si="32">B43-B42</f>
        <v>37</v>
      </c>
      <c r="H43" s="77">
        <f t="shared" ref="H43" si="33">DATE(YEAR(B43),12,31)-DATE(YEAR(B43),1,1)+1</f>
        <v>365</v>
      </c>
      <c r="I43" s="85">
        <f t="shared" ref="I43" si="34">IF($L$5=A43,K43,IF($L$5&gt;A43,I42))</f>
        <v>4861111.1499998868</v>
      </c>
      <c r="J43" s="85">
        <f>SUM($I$8:I42)</f>
        <v>170138888.85000011</v>
      </c>
      <c r="K43" s="85">
        <f t="shared" ref="K43" si="35">$J$12-J43</f>
        <v>4861111.1499998868</v>
      </c>
      <c r="L43" s="79">
        <f>ROUND(C43*umumiy_malumot!$B$85/H43,2)*G43</f>
        <v>271023.52</v>
      </c>
      <c r="M43" s="79">
        <f t="shared" ref="M43" si="36">D43+E43</f>
        <v>5132134.6699998863</v>
      </c>
      <c r="N43" s="79"/>
      <c r="O43" s="94" t="str">
        <f t="shared" ref="O43" si="37">TEXT(R43,"ддд")</f>
        <v>Сб</v>
      </c>
      <c r="P43" s="96">
        <f t="shared" ref="P43" si="38">IF(O43=$U$8,2,IF(O43=$V$8,1,0))</f>
        <v>2</v>
      </c>
      <c r="Q43" s="96">
        <f>DAY(umumiy_malumot!$B$79)+P43</f>
        <v>12</v>
      </c>
      <c r="R43" s="91">
        <f>IF(A43&lt;=umumiy_malumot!$B$82,DATE(YEAR($B$8),MONTH($B$8)+A42,DAY(umumiy_malumot!$B$79)),0)</f>
        <v>47159</v>
      </c>
      <c r="S43" s="77"/>
      <c r="T43" s="77"/>
      <c r="U43" s="77"/>
      <c r="V43" s="77"/>
    </row>
    <row r="44" spans="1:22" x14ac:dyDescent="0.25">
      <c r="A44" s="83">
        <f t="shared" si="27"/>
        <v>37</v>
      </c>
      <c r="B44" s="84" t="b">
        <f>IF(A44&lt;=umumiy_malumot!$B$82,DATE(YEAR(R44),MONTH(R44),DAY(IF(A44=umumiy_malumot!$B$82,umumiy_malumot!$B$67,IF(A44&lt;umumiy_malumot!$B$82,(Q44),IF(A44&gt;umumiy_malumot!$B$82,$H$56,0))))))</f>
        <v>0</v>
      </c>
      <c r="C44" s="48">
        <f t="shared" ref="C44:C55" si="39">C43-D43</f>
        <v>1.3969838619232178E-8</v>
      </c>
      <c r="D44" s="48" t="b">
        <f t="shared" ref="D44:D55" si="40">IF(C44=0,L44,IF(C44&gt;1,I44))</f>
        <v>0</v>
      </c>
      <c r="E44" s="48" t="b">
        <f t="shared" ref="E44:E55" si="41">IF(C44=0,N43,IF(C44&gt;1,L44))</f>
        <v>0</v>
      </c>
      <c r="F44" s="48" t="b">
        <f t="shared" ref="F44:F55" si="42">IF(C44=0,N43,IF(C44&gt;1,M44))</f>
        <v>0</v>
      </c>
      <c r="G44" s="77">
        <f t="shared" ref="G44:G55" si="43">B44-B43</f>
        <v>-47165</v>
      </c>
      <c r="H44" s="77">
        <f t="shared" ref="H44:H55" si="44">DATE(YEAR(B44),12,31)-DATE(YEAR(B44),1,1)+1</f>
        <v>366</v>
      </c>
      <c r="I44" s="85" t="b">
        <f t="shared" ref="I44:I55" si="45">IF($L$5=A44,K44,IF($L$5&gt;A44,I43))</f>
        <v>0</v>
      </c>
      <c r="J44" s="85">
        <f>SUM($I$8:I43)</f>
        <v>175000000</v>
      </c>
      <c r="K44" s="85">
        <f t="shared" ref="K44:K55" si="46">$J$12-J44</f>
        <v>0</v>
      </c>
      <c r="L44" s="79">
        <f>ROUND(C44*umumiy_malumot!$B$85/H44,2)*G44</f>
        <v>0</v>
      </c>
      <c r="M44" s="79">
        <f t="shared" ref="M44:M55" si="47">D44+E44</f>
        <v>0</v>
      </c>
      <c r="N44" s="79"/>
      <c r="O44" s="94" t="str">
        <f t="shared" ref="O44:O55" si="48">TEXT(R44,"ддд")</f>
        <v>Сб</v>
      </c>
      <c r="P44" s="96">
        <f t="shared" ref="P44:P55" si="49">IF(O44=$U$8,2,IF(O44=$V$8,1,0))</f>
        <v>2</v>
      </c>
      <c r="Q44" s="96">
        <f>DAY(umumiy_malumot!$B$79)+P44</f>
        <v>12</v>
      </c>
      <c r="R44" s="91">
        <f>IF(A44&lt;=umumiy_malumot!$B$82,DATE(YEAR($B$8),MONTH($B$8)+A43,DAY(umumiy_malumot!$B$79)),0)</f>
        <v>0</v>
      </c>
      <c r="S44" s="77"/>
      <c r="T44" s="77"/>
      <c r="U44" s="77"/>
      <c r="V44" s="77"/>
    </row>
    <row r="45" spans="1:22" x14ac:dyDescent="0.25">
      <c r="A45" s="83">
        <f t="shared" si="27"/>
        <v>38</v>
      </c>
      <c r="B45" s="84" t="b">
        <f>IF(A45&lt;=umumiy_malumot!$B$82,DATE(YEAR(R45),MONTH(R45),DAY(IF(A45=umumiy_malumot!$B$82,umumiy_malumot!$B$67,IF(A45&lt;umumiy_malumot!$B$82,(Q45),IF(A45&gt;umumiy_malumot!$B$82,$H$56,0))))))</f>
        <v>0</v>
      </c>
      <c r="C45" s="48">
        <f t="shared" si="39"/>
        <v>1.3969838619232178E-8</v>
      </c>
      <c r="D45" s="48" t="b">
        <f t="shared" si="40"/>
        <v>0</v>
      </c>
      <c r="E45" s="48" t="b">
        <f t="shared" si="41"/>
        <v>0</v>
      </c>
      <c r="F45" s="48" t="b">
        <f t="shared" si="42"/>
        <v>0</v>
      </c>
      <c r="G45" s="77">
        <f t="shared" si="43"/>
        <v>0</v>
      </c>
      <c r="H45" s="77">
        <f t="shared" si="44"/>
        <v>366</v>
      </c>
      <c r="I45" s="85" t="b">
        <f t="shared" si="45"/>
        <v>0</v>
      </c>
      <c r="J45" s="85">
        <f>SUM($I$8:I44)</f>
        <v>175000000</v>
      </c>
      <c r="K45" s="85">
        <f t="shared" si="46"/>
        <v>0</v>
      </c>
      <c r="L45" s="79">
        <f>ROUND(C45*umumiy_malumot!$B$85/H45,2)*G45</f>
        <v>0</v>
      </c>
      <c r="M45" s="79">
        <f t="shared" si="47"/>
        <v>0</v>
      </c>
      <c r="N45" s="79"/>
      <c r="O45" s="94" t="str">
        <f t="shared" si="48"/>
        <v>Сб</v>
      </c>
      <c r="P45" s="96">
        <f t="shared" si="49"/>
        <v>2</v>
      </c>
      <c r="Q45" s="96">
        <f>DAY(umumiy_malumot!$B$79)+P45</f>
        <v>12</v>
      </c>
      <c r="R45" s="91">
        <f>IF(A45&lt;=umumiy_malumot!$B$82,DATE(YEAR($B$8),MONTH($B$8)+A44,DAY(umumiy_malumot!$B$79)),0)</f>
        <v>0</v>
      </c>
      <c r="S45" s="77"/>
      <c r="T45" s="77"/>
      <c r="U45" s="77"/>
      <c r="V45" s="77"/>
    </row>
    <row r="46" spans="1:22" x14ac:dyDescent="0.25">
      <c r="A46" s="83">
        <f t="shared" si="27"/>
        <v>39</v>
      </c>
      <c r="B46" s="84" t="b">
        <f>IF(A46&lt;=umumiy_malumot!$B$82,DATE(YEAR(R46),MONTH(R46),DAY(IF(A46=umumiy_malumot!$B$82,umumiy_malumot!$B$67,IF(A46&lt;umumiy_malumot!$B$82,(Q46),IF(A46&gt;umumiy_malumot!$B$82,$H$56,0))))))</f>
        <v>0</v>
      </c>
      <c r="C46" s="48">
        <f t="shared" si="39"/>
        <v>1.3969838619232178E-8</v>
      </c>
      <c r="D46" s="48" t="b">
        <f t="shared" si="40"/>
        <v>0</v>
      </c>
      <c r="E46" s="48" t="b">
        <f t="shared" si="41"/>
        <v>0</v>
      </c>
      <c r="F46" s="48" t="b">
        <f t="shared" si="42"/>
        <v>0</v>
      </c>
      <c r="G46" s="77">
        <f t="shared" si="43"/>
        <v>0</v>
      </c>
      <c r="H46" s="77">
        <f t="shared" si="44"/>
        <v>366</v>
      </c>
      <c r="I46" s="85" t="b">
        <f t="shared" si="45"/>
        <v>0</v>
      </c>
      <c r="J46" s="85">
        <f>SUM($I$8:I45)</f>
        <v>175000000</v>
      </c>
      <c r="K46" s="85">
        <f t="shared" si="46"/>
        <v>0</v>
      </c>
      <c r="L46" s="79">
        <f>ROUND(C46*umumiy_malumot!$B$85/H46,2)*G46</f>
        <v>0</v>
      </c>
      <c r="M46" s="79">
        <f t="shared" si="47"/>
        <v>0</v>
      </c>
      <c r="N46" s="79"/>
      <c r="O46" s="94" t="str">
        <f t="shared" si="48"/>
        <v>Сб</v>
      </c>
      <c r="P46" s="96">
        <f t="shared" si="49"/>
        <v>2</v>
      </c>
      <c r="Q46" s="96">
        <f>DAY(umumiy_malumot!$B$79)+P46</f>
        <v>12</v>
      </c>
      <c r="R46" s="91">
        <f>IF(A46&lt;=umumiy_malumot!$B$82,DATE(YEAR($B$8),MONTH($B$8)+A45,DAY(umumiy_malumot!$B$79)),0)</f>
        <v>0</v>
      </c>
      <c r="S46" s="77"/>
      <c r="T46" s="77"/>
      <c r="U46" s="77"/>
      <c r="V46" s="77"/>
    </row>
    <row r="47" spans="1:22" x14ac:dyDescent="0.25">
      <c r="A47" s="83">
        <f t="shared" si="27"/>
        <v>40</v>
      </c>
      <c r="B47" s="84" t="b">
        <f>IF(A47&lt;=umumiy_malumot!$B$82,DATE(YEAR(R47),MONTH(R47),DAY(IF(A47=umumiy_malumot!$B$82,umumiy_malumot!$B$67,IF(A47&lt;umumiy_malumot!$B$82,(Q47),IF(A47&gt;umumiy_malumot!$B$82,$H$56,0))))))</f>
        <v>0</v>
      </c>
      <c r="C47" s="48">
        <f t="shared" si="39"/>
        <v>1.3969838619232178E-8</v>
      </c>
      <c r="D47" s="48" t="b">
        <f t="shared" si="40"/>
        <v>0</v>
      </c>
      <c r="E47" s="48" t="b">
        <f t="shared" si="41"/>
        <v>0</v>
      </c>
      <c r="F47" s="48" t="b">
        <f t="shared" si="42"/>
        <v>0</v>
      </c>
      <c r="G47" s="77">
        <f t="shared" si="43"/>
        <v>0</v>
      </c>
      <c r="H47" s="77">
        <f t="shared" si="44"/>
        <v>366</v>
      </c>
      <c r="I47" s="85" t="b">
        <f t="shared" si="45"/>
        <v>0</v>
      </c>
      <c r="J47" s="85">
        <f>SUM($I$8:I46)</f>
        <v>175000000</v>
      </c>
      <c r="K47" s="85">
        <f t="shared" si="46"/>
        <v>0</v>
      </c>
      <c r="L47" s="79">
        <f>ROUND(C47*umumiy_malumot!$B$85/H47,2)*G47</f>
        <v>0</v>
      </c>
      <c r="M47" s="79">
        <f t="shared" si="47"/>
        <v>0</v>
      </c>
      <c r="N47" s="79"/>
      <c r="O47" s="94" t="str">
        <f t="shared" si="48"/>
        <v>Сб</v>
      </c>
      <c r="P47" s="96">
        <f t="shared" si="49"/>
        <v>2</v>
      </c>
      <c r="Q47" s="96">
        <f>DAY(umumiy_malumot!$B$79)+P47</f>
        <v>12</v>
      </c>
      <c r="R47" s="91">
        <f>IF(A47&lt;=umumiy_malumot!$B$82,DATE(YEAR($B$8),MONTH($B$8)+A46,DAY(umumiy_malumot!$B$79)),0)</f>
        <v>0</v>
      </c>
      <c r="S47" s="77"/>
      <c r="T47" s="77"/>
      <c r="U47" s="77"/>
      <c r="V47" s="77"/>
    </row>
    <row r="48" spans="1:22" x14ac:dyDescent="0.25">
      <c r="A48" s="83">
        <f t="shared" si="27"/>
        <v>41</v>
      </c>
      <c r="B48" s="84" t="b">
        <f>IF(A48&lt;=umumiy_malumot!$B$82,DATE(YEAR(R48),MONTH(R48),DAY(IF(A48=umumiy_malumot!$B$82,umumiy_malumot!$B$67,IF(A48&lt;umumiy_malumot!$B$82,(Q48),IF(A48&gt;umumiy_malumot!$B$82,$H$56,0))))))</f>
        <v>0</v>
      </c>
      <c r="C48" s="48">
        <f t="shared" si="39"/>
        <v>1.3969838619232178E-8</v>
      </c>
      <c r="D48" s="48" t="b">
        <f t="shared" si="40"/>
        <v>0</v>
      </c>
      <c r="E48" s="48" t="b">
        <f t="shared" si="41"/>
        <v>0</v>
      </c>
      <c r="F48" s="48" t="b">
        <f t="shared" si="42"/>
        <v>0</v>
      </c>
      <c r="G48" s="77">
        <f t="shared" si="43"/>
        <v>0</v>
      </c>
      <c r="H48" s="77">
        <f t="shared" si="44"/>
        <v>366</v>
      </c>
      <c r="I48" s="85" t="b">
        <f t="shared" si="45"/>
        <v>0</v>
      </c>
      <c r="J48" s="85">
        <f>SUM($I$8:I47)</f>
        <v>175000000</v>
      </c>
      <c r="K48" s="85">
        <f t="shared" si="46"/>
        <v>0</v>
      </c>
      <c r="L48" s="79">
        <f>ROUND(C48*umumiy_malumot!$B$85/H48,2)*G48</f>
        <v>0</v>
      </c>
      <c r="M48" s="79">
        <f t="shared" si="47"/>
        <v>0</v>
      </c>
      <c r="N48" s="79"/>
      <c r="O48" s="94" t="str">
        <f t="shared" si="48"/>
        <v>Сб</v>
      </c>
      <c r="P48" s="96">
        <f t="shared" si="49"/>
        <v>2</v>
      </c>
      <c r="Q48" s="96">
        <f>DAY(umumiy_malumot!$B$79)+P48</f>
        <v>12</v>
      </c>
      <c r="R48" s="91">
        <f>IF(A48&lt;=umumiy_malumot!$B$82,DATE(YEAR($B$8),MONTH($B$8)+A47,DAY(umumiy_malumot!$B$79)),0)</f>
        <v>0</v>
      </c>
      <c r="S48" s="77"/>
      <c r="T48" s="77"/>
      <c r="U48" s="77"/>
      <c r="V48" s="77"/>
    </row>
    <row r="49" spans="1:22" x14ac:dyDescent="0.25">
      <c r="A49" s="83">
        <f t="shared" si="27"/>
        <v>42</v>
      </c>
      <c r="B49" s="84" t="b">
        <f>IF(A49&lt;=umumiy_malumot!$B$82,DATE(YEAR(R49),MONTH(R49),DAY(IF(A49=umumiy_malumot!$B$82,umumiy_malumot!$B$67,IF(A49&lt;umumiy_malumot!$B$82,(Q49),IF(A49&gt;umumiy_malumot!$B$82,$H$56,0))))))</f>
        <v>0</v>
      </c>
      <c r="C49" s="48">
        <f t="shared" si="39"/>
        <v>1.3969838619232178E-8</v>
      </c>
      <c r="D49" s="48" t="b">
        <f t="shared" si="40"/>
        <v>0</v>
      </c>
      <c r="E49" s="48" t="b">
        <f t="shared" si="41"/>
        <v>0</v>
      </c>
      <c r="F49" s="48" t="b">
        <f t="shared" si="42"/>
        <v>0</v>
      </c>
      <c r="G49" s="77">
        <f t="shared" si="43"/>
        <v>0</v>
      </c>
      <c r="H49" s="77">
        <f t="shared" si="44"/>
        <v>366</v>
      </c>
      <c r="I49" s="85" t="b">
        <f t="shared" si="45"/>
        <v>0</v>
      </c>
      <c r="J49" s="85">
        <f>SUM($I$8:I48)</f>
        <v>175000000</v>
      </c>
      <c r="K49" s="85">
        <f t="shared" si="46"/>
        <v>0</v>
      </c>
      <c r="L49" s="79">
        <f>ROUND(C49*umumiy_malumot!$B$85/H49,2)*G49</f>
        <v>0</v>
      </c>
      <c r="M49" s="79">
        <f t="shared" si="47"/>
        <v>0</v>
      </c>
      <c r="N49" s="79"/>
      <c r="O49" s="94" t="str">
        <f t="shared" si="48"/>
        <v>Сб</v>
      </c>
      <c r="P49" s="96">
        <f t="shared" si="49"/>
        <v>2</v>
      </c>
      <c r="Q49" s="96">
        <f>DAY(umumiy_malumot!$B$79)+P49</f>
        <v>12</v>
      </c>
      <c r="R49" s="91">
        <f>IF(A49&lt;=umumiy_malumot!$B$82,DATE(YEAR($B$8),MONTH($B$8)+A48,DAY(umumiy_malumot!$B$79)),0)</f>
        <v>0</v>
      </c>
      <c r="S49" s="77"/>
      <c r="T49" s="77"/>
      <c r="U49" s="77"/>
      <c r="V49" s="77"/>
    </row>
    <row r="50" spans="1:22" x14ac:dyDescent="0.25">
      <c r="A50" s="83">
        <f t="shared" si="27"/>
        <v>43</v>
      </c>
      <c r="B50" s="84" t="b">
        <f>IF(A50&lt;=umumiy_malumot!$B$82,DATE(YEAR(R50),MONTH(R50),DAY(IF(A50=umumiy_malumot!$B$82,umumiy_malumot!$B$67,IF(A50&lt;umumiy_malumot!$B$82,(Q50),IF(A50&gt;umumiy_malumot!$B$82,$H$56,0))))))</f>
        <v>0</v>
      </c>
      <c r="C50" s="48">
        <f t="shared" si="39"/>
        <v>1.3969838619232178E-8</v>
      </c>
      <c r="D50" s="48" t="b">
        <f t="shared" si="40"/>
        <v>0</v>
      </c>
      <c r="E50" s="48" t="b">
        <f t="shared" si="41"/>
        <v>0</v>
      </c>
      <c r="F50" s="48" t="b">
        <f t="shared" si="42"/>
        <v>0</v>
      </c>
      <c r="G50" s="77">
        <f t="shared" si="43"/>
        <v>0</v>
      </c>
      <c r="H50" s="77">
        <f t="shared" si="44"/>
        <v>366</v>
      </c>
      <c r="I50" s="85" t="b">
        <f t="shared" si="45"/>
        <v>0</v>
      </c>
      <c r="J50" s="85">
        <f>SUM($I$8:I49)</f>
        <v>175000000</v>
      </c>
      <c r="K50" s="85">
        <f t="shared" si="46"/>
        <v>0</v>
      </c>
      <c r="L50" s="79">
        <f>ROUND(C50*umumiy_malumot!$B$85/H50,2)*G50</f>
        <v>0</v>
      </c>
      <c r="M50" s="79">
        <f t="shared" si="47"/>
        <v>0</v>
      </c>
      <c r="N50" s="79"/>
      <c r="O50" s="94" t="str">
        <f t="shared" si="48"/>
        <v>Сб</v>
      </c>
      <c r="P50" s="96">
        <f t="shared" si="49"/>
        <v>2</v>
      </c>
      <c r="Q50" s="96">
        <f>DAY(umumiy_malumot!$B$79)+P50</f>
        <v>12</v>
      </c>
      <c r="R50" s="91">
        <f>IF(A50&lt;=umumiy_malumot!$B$82,DATE(YEAR($B$8),MONTH($B$8)+A49,DAY(umumiy_malumot!$B$79)),0)</f>
        <v>0</v>
      </c>
      <c r="S50" s="77"/>
      <c r="T50" s="77"/>
      <c r="U50" s="77"/>
      <c r="V50" s="77"/>
    </row>
    <row r="51" spans="1:22" x14ac:dyDescent="0.25">
      <c r="A51" s="83">
        <f t="shared" si="27"/>
        <v>44</v>
      </c>
      <c r="B51" s="84" t="b">
        <f>IF(A51&lt;=umumiy_malumot!$B$82,DATE(YEAR(R51),MONTH(R51),DAY(IF(A51=umumiy_malumot!$B$82,umumiy_malumot!$B$67,IF(A51&lt;umumiy_malumot!$B$82,(Q51),IF(A51&gt;umumiy_malumot!$B$82,$H$56,0))))))</f>
        <v>0</v>
      </c>
      <c r="C51" s="48">
        <f t="shared" si="39"/>
        <v>1.3969838619232178E-8</v>
      </c>
      <c r="D51" s="48" t="b">
        <f t="shared" si="40"/>
        <v>0</v>
      </c>
      <c r="E51" s="48" t="b">
        <f t="shared" si="41"/>
        <v>0</v>
      </c>
      <c r="F51" s="48" t="b">
        <f t="shared" si="42"/>
        <v>0</v>
      </c>
      <c r="G51" s="77">
        <f t="shared" si="43"/>
        <v>0</v>
      </c>
      <c r="H51" s="77">
        <f t="shared" si="44"/>
        <v>366</v>
      </c>
      <c r="I51" s="85" t="b">
        <f t="shared" si="45"/>
        <v>0</v>
      </c>
      <c r="J51" s="85">
        <f>SUM($I$8:I50)</f>
        <v>175000000</v>
      </c>
      <c r="K51" s="85">
        <f t="shared" si="46"/>
        <v>0</v>
      </c>
      <c r="L51" s="79">
        <f>ROUND(C51*umumiy_malumot!$B$85/H51,2)*G51</f>
        <v>0</v>
      </c>
      <c r="M51" s="79">
        <f t="shared" si="47"/>
        <v>0</v>
      </c>
      <c r="N51" s="79"/>
      <c r="O51" s="94" t="str">
        <f t="shared" si="48"/>
        <v>Сб</v>
      </c>
      <c r="P51" s="96">
        <f t="shared" si="49"/>
        <v>2</v>
      </c>
      <c r="Q51" s="96">
        <f>DAY(umumiy_malumot!$B$79)+P51</f>
        <v>12</v>
      </c>
      <c r="R51" s="91">
        <f>IF(A51&lt;=umumiy_malumot!$B$82,DATE(YEAR($B$8),MONTH($B$8)+A50,DAY(umumiy_malumot!$B$79)),0)</f>
        <v>0</v>
      </c>
      <c r="S51" s="77"/>
      <c r="T51" s="77"/>
      <c r="U51" s="77"/>
      <c r="V51" s="77"/>
    </row>
    <row r="52" spans="1:22" x14ac:dyDescent="0.25">
      <c r="A52" s="83">
        <f t="shared" si="27"/>
        <v>45</v>
      </c>
      <c r="B52" s="84" t="b">
        <f>IF(A52&lt;=umumiy_malumot!$B$82,DATE(YEAR(R52),MONTH(R52),DAY(IF(A52=umumiy_malumot!$B$82,umumiy_malumot!$B$67,IF(A52&lt;umumiy_malumot!$B$82,(Q52),IF(A52&gt;umumiy_malumot!$B$82,$H$56,0))))))</f>
        <v>0</v>
      </c>
      <c r="C52" s="48">
        <f t="shared" si="39"/>
        <v>1.3969838619232178E-8</v>
      </c>
      <c r="D52" s="48" t="b">
        <f t="shared" si="40"/>
        <v>0</v>
      </c>
      <c r="E52" s="48" t="b">
        <f t="shared" si="41"/>
        <v>0</v>
      </c>
      <c r="F52" s="48" t="b">
        <f t="shared" si="42"/>
        <v>0</v>
      </c>
      <c r="G52" s="77">
        <f t="shared" si="43"/>
        <v>0</v>
      </c>
      <c r="H52" s="77">
        <f t="shared" si="44"/>
        <v>366</v>
      </c>
      <c r="I52" s="85" t="b">
        <f t="shared" si="45"/>
        <v>0</v>
      </c>
      <c r="J52" s="85">
        <f>SUM($I$8:I51)</f>
        <v>175000000</v>
      </c>
      <c r="K52" s="85">
        <f t="shared" si="46"/>
        <v>0</v>
      </c>
      <c r="L52" s="79">
        <f>ROUND(C52*umumiy_malumot!$B$85/H52,2)*G52</f>
        <v>0</v>
      </c>
      <c r="M52" s="79">
        <f t="shared" si="47"/>
        <v>0</v>
      </c>
      <c r="N52" s="79"/>
      <c r="O52" s="94" t="str">
        <f t="shared" si="48"/>
        <v>Сб</v>
      </c>
      <c r="P52" s="96">
        <f t="shared" si="49"/>
        <v>2</v>
      </c>
      <c r="Q52" s="96">
        <f>DAY(umumiy_malumot!$B$79)+P52</f>
        <v>12</v>
      </c>
      <c r="R52" s="91">
        <f>IF(A52&lt;=umumiy_malumot!$B$82,DATE(YEAR($B$8),MONTH($B$8)+A51,DAY(umumiy_malumot!$B$79)),0)</f>
        <v>0</v>
      </c>
      <c r="S52" s="77"/>
      <c r="T52" s="77"/>
      <c r="U52" s="77"/>
      <c r="V52" s="77"/>
    </row>
    <row r="53" spans="1:22" x14ac:dyDescent="0.25">
      <c r="A53" s="83">
        <f t="shared" si="27"/>
        <v>46</v>
      </c>
      <c r="B53" s="84" t="b">
        <f>IF(A53&lt;=umumiy_malumot!$B$82,DATE(YEAR(R53),MONTH(R53),DAY(IF(A53=umumiy_malumot!$B$82,umumiy_malumot!$B$67,IF(A53&lt;umumiy_malumot!$B$82,(Q53),IF(A53&gt;umumiy_malumot!$B$82,$H$56,0))))))</f>
        <v>0</v>
      </c>
      <c r="C53" s="48">
        <f t="shared" si="39"/>
        <v>1.3969838619232178E-8</v>
      </c>
      <c r="D53" s="48" t="b">
        <f t="shared" si="40"/>
        <v>0</v>
      </c>
      <c r="E53" s="48" t="b">
        <f t="shared" si="41"/>
        <v>0</v>
      </c>
      <c r="F53" s="48" t="b">
        <f t="shared" si="42"/>
        <v>0</v>
      </c>
      <c r="G53" s="77">
        <f t="shared" si="43"/>
        <v>0</v>
      </c>
      <c r="H53" s="77">
        <f t="shared" si="44"/>
        <v>366</v>
      </c>
      <c r="I53" s="85" t="b">
        <f t="shared" si="45"/>
        <v>0</v>
      </c>
      <c r="J53" s="85">
        <f>SUM($I$8:I52)</f>
        <v>175000000</v>
      </c>
      <c r="K53" s="85">
        <f t="shared" si="46"/>
        <v>0</v>
      </c>
      <c r="L53" s="79">
        <f>ROUND(C53*umumiy_malumot!$B$85/H53,2)*G53</f>
        <v>0</v>
      </c>
      <c r="M53" s="79">
        <f t="shared" si="47"/>
        <v>0</v>
      </c>
      <c r="N53" s="79"/>
      <c r="O53" s="94" t="str">
        <f t="shared" si="48"/>
        <v>Сб</v>
      </c>
      <c r="P53" s="96">
        <f t="shared" si="49"/>
        <v>2</v>
      </c>
      <c r="Q53" s="96">
        <f>DAY(umumiy_malumot!$B$79)+P53</f>
        <v>12</v>
      </c>
      <c r="R53" s="91">
        <f>IF(A53&lt;=umumiy_malumot!$B$82,DATE(YEAR($B$8),MONTH($B$8)+A52,DAY(umumiy_malumot!$B$79)),0)</f>
        <v>0</v>
      </c>
      <c r="S53" s="77"/>
      <c r="T53" s="77"/>
      <c r="U53" s="77"/>
      <c r="V53" s="77"/>
    </row>
    <row r="54" spans="1:22" x14ac:dyDescent="0.25">
      <c r="A54" s="83">
        <f t="shared" si="27"/>
        <v>47</v>
      </c>
      <c r="B54" s="84" t="b">
        <f>IF(A54&lt;=umumiy_malumot!$B$82,DATE(YEAR(R54),MONTH(R54),DAY(IF(A54=umumiy_malumot!$B$82,umumiy_malumot!$B$67,IF(A54&lt;umumiy_malumot!$B$82,(Q54),IF(A54&gt;umumiy_malumot!$B$82,$H$56,0))))))</f>
        <v>0</v>
      </c>
      <c r="C54" s="48">
        <f t="shared" si="39"/>
        <v>1.3969838619232178E-8</v>
      </c>
      <c r="D54" s="48" t="b">
        <f t="shared" si="40"/>
        <v>0</v>
      </c>
      <c r="E54" s="48" t="b">
        <f t="shared" si="41"/>
        <v>0</v>
      </c>
      <c r="F54" s="48" t="b">
        <f t="shared" si="42"/>
        <v>0</v>
      </c>
      <c r="G54" s="77">
        <f t="shared" si="43"/>
        <v>0</v>
      </c>
      <c r="H54" s="77">
        <f t="shared" si="44"/>
        <v>366</v>
      </c>
      <c r="I54" s="85" t="b">
        <f t="shared" si="45"/>
        <v>0</v>
      </c>
      <c r="J54" s="85">
        <f>SUM($I$8:I53)</f>
        <v>175000000</v>
      </c>
      <c r="K54" s="85">
        <f t="shared" si="46"/>
        <v>0</v>
      </c>
      <c r="L54" s="79">
        <f>ROUND(C54*umumiy_malumot!$B$85/H54,2)*G54</f>
        <v>0</v>
      </c>
      <c r="M54" s="79">
        <f t="shared" si="47"/>
        <v>0</v>
      </c>
      <c r="N54" s="79"/>
      <c r="O54" s="94" t="str">
        <f t="shared" si="48"/>
        <v>Сб</v>
      </c>
      <c r="P54" s="96">
        <f t="shared" si="49"/>
        <v>2</v>
      </c>
      <c r="Q54" s="96">
        <f>DAY(umumiy_malumot!$B$79)+P54</f>
        <v>12</v>
      </c>
      <c r="R54" s="91">
        <f>IF(A54&lt;=umumiy_malumot!$B$82,DATE(YEAR($B$8),MONTH($B$8)+A53,DAY(umumiy_malumot!$B$79)),0)</f>
        <v>0</v>
      </c>
      <c r="S54" s="77"/>
      <c r="T54" s="77"/>
      <c r="U54" s="77"/>
      <c r="V54" s="77"/>
    </row>
    <row r="55" spans="1:22" x14ac:dyDescent="0.25">
      <c r="A55" s="83">
        <f t="shared" si="27"/>
        <v>48</v>
      </c>
      <c r="B55" s="84" t="b">
        <f>IF(A55&lt;=umumiy_malumot!$B$82,DATE(YEAR(R55),MONTH(R55),DAY(IF(A55=umumiy_malumot!$B$82,umumiy_malumot!$B$67,IF(A55&lt;umumiy_malumot!$B$82,(Q55),IF(A55&gt;umumiy_malumot!$B$82,$H$56,0))))))</f>
        <v>0</v>
      </c>
      <c r="C55" s="48">
        <f t="shared" si="39"/>
        <v>1.3969838619232178E-8</v>
      </c>
      <c r="D55" s="48" t="b">
        <f t="shared" si="40"/>
        <v>0</v>
      </c>
      <c r="E55" s="48" t="b">
        <f t="shared" si="41"/>
        <v>0</v>
      </c>
      <c r="F55" s="48" t="b">
        <f t="shared" si="42"/>
        <v>0</v>
      </c>
      <c r="G55" s="77">
        <f t="shared" si="43"/>
        <v>0</v>
      </c>
      <c r="H55" s="77">
        <f t="shared" si="44"/>
        <v>366</v>
      </c>
      <c r="I55" s="85" t="b">
        <f t="shared" si="45"/>
        <v>0</v>
      </c>
      <c r="J55" s="85">
        <f>SUM($I$8:I54)</f>
        <v>175000000</v>
      </c>
      <c r="K55" s="85">
        <f t="shared" si="46"/>
        <v>0</v>
      </c>
      <c r="L55" s="79">
        <f>ROUND(C55*umumiy_malumot!$B$85/H55,2)*G55</f>
        <v>0</v>
      </c>
      <c r="M55" s="79">
        <f t="shared" si="47"/>
        <v>0</v>
      </c>
      <c r="N55" s="79"/>
      <c r="O55" s="94" t="str">
        <f t="shared" si="48"/>
        <v>Сб</v>
      </c>
      <c r="P55" s="96">
        <f t="shared" si="49"/>
        <v>2</v>
      </c>
      <c r="Q55" s="96">
        <f>DAY(umumiy_malumot!$B$79)+P55</f>
        <v>12</v>
      </c>
      <c r="R55" s="91">
        <f>IF(A55&lt;=umumiy_malumot!$B$82,DATE(YEAR($B$8),MONTH($B$8)+A54,DAY(umumiy_malumot!$B$79)),0)</f>
        <v>0</v>
      </c>
      <c r="S55" s="77"/>
      <c r="T55" s="77"/>
      <c r="U55" s="77"/>
      <c r="V55" s="77"/>
    </row>
    <row r="56" spans="1:22" x14ac:dyDescent="0.25">
      <c r="A56" s="86"/>
      <c r="B56" s="87" t="s">
        <v>6</v>
      </c>
      <c r="C56" s="88"/>
      <c r="D56" s="88">
        <f>SUM(D8:D55)</f>
        <v>175000000</v>
      </c>
      <c r="E56" s="88">
        <f t="shared" ref="E56:F56" si="50">SUM(E8:E55)</f>
        <v>146605310.68000007</v>
      </c>
      <c r="F56" s="88">
        <f t="shared" si="50"/>
        <v>321605310.67999977</v>
      </c>
    </row>
    <row r="57" spans="1:22" ht="9" customHeight="1" x14ac:dyDescent="0.25">
      <c r="B57" s="89"/>
      <c r="C57" s="90"/>
      <c r="D57" s="90"/>
      <c r="E57" s="90"/>
      <c r="F57" s="90"/>
    </row>
    <row r="58" spans="1:22" ht="47.25" customHeight="1" x14ac:dyDescent="0.25">
      <c r="A58" s="355" t="s">
        <v>16</v>
      </c>
      <c r="B58" s="355"/>
      <c r="C58" s="355"/>
      <c r="D58" s="355"/>
      <c r="E58" s="355"/>
      <c r="F58" s="355"/>
    </row>
    <row r="59" spans="1:22" ht="7.5" customHeight="1" x14ac:dyDescent="0.25"/>
    <row r="60" spans="1:22" x14ac:dyDescent="0.25">
      <c r="A60" s="356" t="e">
        <f>#REF!</f>
        <v>#REF!</v>
      </c>
      <c r="B60" s="356"/>
      <c r="C60" s="356"/>
      <c r="D60" s="356" t="e">
        <f>#REF!</f>
        <v>#REF!</v>
      </c>
      <c r="E60" s="356"/>
      <c r="F60" s="356"/>
    </row>
    <row r="61" spans="1:22" ht="11.25" customHeight="1" x14ac:dyDescent="0.25">
      <c r="A61" s="357"/>
      <c r="B61" s="357"/>
      <c r="C61" s="357"/>
      <c r="D61" s="357"/>
      <c r="E61" s="357"/>
      <c r="F61" s="357"/>
    </row>
    <row r="62" spans="1:22" ht="30" customHeight="1" x14ac:dyDescent="0.25">
      <c r="A62" s="341" t="e">
        <f>#REF!</f>
        <v>#REF!</v>
      </c>
      <c r="B62" s="341"/>
      <c r="C62" s="341"/>
      <c r="D62" s="341" t="e">
        <f>#REF!</f>
        <v>#REF!</v>
      </c>
      <c r="E62" s="341"/>
      <c r="F62" s="341"/>
    </row>
    <row r="63" spans="1:22" ht="32.25" customHeight="1" x14ac:dyDescent="0.25">
      <c r="A63" s="351" t="e">
        <f>#REF!</f>
        <v>#REF!</v>
      </c>
      <c r="B63" s="351"/>
      <c r="C63" s="351"/>
      <c r="D63" s="351" t="e">
        <f>#REF!</f>
        <v>#REF!</v>
      </c>
      <c r="E63" s="351"/>
      <c r="F63" s="351"/>
    </row>
    <row r="64" spans="1:22" x14ac:dyDescent="0.25">
      <c r="A64" s="351" t="e">
        <f>#REF!</f>
        <v>#REF!</v>
      </c>
      <c r="B64" s="351"/>
      <c r="C64" s="351"/>
      <c r="D64" s="351" t="str">
        <f>"паспорт серии "&amp;umumiy_malumot!B16&amp;", "&amp;umumiy_malumot!B20&amp;""</f>
        <v>паспорт серии AE 5547691, IIV 27256 tomonidan 22.12.2025 yilda berilgan</v>
      </c>
      <c r="E64" s="351"/>
      <c r="F64" s="351"/>
    </row>
    <row r="65" spans="1:6" ht="32.25" customHeight="1" x14ac:dyDescent="0.25">
      <c r="A65" s="351" t="e">
        <f>#REF!</f>
        <v>#REF!</v>
      </c>
      <c r="B65" s="351"/>
      <c r="C65" s="351"/>
      <c r="D65" s="351"/>
      <c r="E65" s="351"/>
      <c r="F65" s="351"/>
    </row>
    <row r="66" spans="1:6" x14ac:dyDescent="0.25">
      <c r="A66" s="351" t="e">
        <f>#REF!</f>
        <v>#REF!</v>
      </c>
      <c r="B66" s="351"/>
      <c r="C66" s="351"/>
      <c r="D66" s="351" t="e">
        <f>#REF!</f>
        <v>#REF!</v>
      </c>
      <c r="E66" s="351"/>
      <c r="F66" s="351"/>
    </row>
    <row r="67" spans="1:6" x14ac:dyDescent="0.25">
      <c r="A67" s="351" t="e">
        <f>#REF!</f>
        <v>#REF!</v>
      </c>
      <c r="B67" s="351"/>
      <c r="C67" s="351"/>
      <c r="D67" s="351" t="e">
        <f>#REF!</f>
        <v>#REF!</v>
      </c>
      <c r="E67" s="351"/>
      <c r="F67" s="351"/>
    </row>
    <row r="68" spans="1:6" x14ac:dyDescent="0.25">
      <c r="A68" s="351" t="e">
        <f>#REF!</f>
        <v>#REF!</v>
      </c>
      <c r="B68" s="351"/>
      <c r="C68" s="351"/>
      <c r="D68" s="351" t="e">
        <f>#REF!</f>
        <v>#REF!</v>
      </c>
      <c r="E68" s="351"/>
      <c r="F68" s="351"/>
    </row>
    <row r="69" spans="1:6" ht="8.25" customHeight="1" x14ac:dyDescent="0.25">
      <c r="A69" s="351"/>
      <c r="B69" s="351"/>
      <c r="C69" s="351"/>
      <c r="D69" s="351"/>
      <c r="E69" s="351"/>
      <c r="F69" s="351"/>
    </row>
    <row r="70" spans="1:6" x14ac:dyDescent="0.25">
      <c r="A70" s="341" t="e">
        <f>#REF!</f>
        <v>#REF!</v>
      </c>
      <c r="B70" s="341"/>
      <c r="C70" s="341"/>
      <c r="D70" s="341" t="e">
        <f>#REF!</f>
        <v>#REF!</v>
      </c>
      <c r="E70" s="341"/>
      <c r="F70" s="341"/>
    </row>
    <row r="71" spans="1:6" ht="7.5" customHeight="1" x14ac:dyDescent="0.25">
      <c r="A71" s="341"/>
      <c r="B71" s="341"/>
      <c r="C71" s="341"/>
      <c r="D71" s="341"/>
      <c r="E71" s="341"/>
      <c r="F71" s="341"/>
    </row>
    <row r="72" spans="1:6" x14ac:dyDescent="0.25">
      <c r="A72" s="341" t="e">
        <f>#REF!</f>
        <v>#REF!</v>
      </c>
      <c r="B72" s="341"/>
      <c r="C72" s="341"/>
      <c r="D72" s="341" t="e">
        <f>#REF!</f>
        <v>#REF!</v>
      </c>
      <c r="E72" s="341"/>
      <c r="F72" s="341"/>
    </row>
    <row r="73" spans="1:6" ht="8.25" customHeight="1" x14ac:dyDescent="0.25">
      <c r="A73" s="351"/>
      <c r="B73" s="351"/>
      <c r="C73" s="351"/>
      <c r="D73" s="351"/>
      <c r="E73" s="351"/>
      <c r="F73" s="351"/>
    </row>
    <row r="74" spans="1:6" ht="30" customHeight="1" x14ac:dyDescent="0.25">
      <c r="A74" s="352"/>
      <c r="B74" s="352"/>
      <c r="C74" s="352"/>
      <c r="D74" s="353" t="e">
        <f>#REF!</f>
        <v>#REF!</v>
      </c>
      <c r="E74" s="353"/>
      <c r="F74" s="353"/>
    </row>
    <row r="75" spans="1:6" x14ac:dyDescent="0.25">
      <c r="A75" s="354"/>
      <c r="B75" s="354"/>
      <c r="C75" s="354"/>
      <c r="D75" s="354"/>
      <c r="E75" s="354"/>
      <c r="F75" s="354"/>
    </row>
    <row r="76" spans="1:6" x14ac:dyDescent="0.25">
      <c r="A76" s="350"/>
      <c r="B76" s="350"/>
      <c r="C76" s="350"/>
      <c r="D76" s="350"/>
      <c r="E76" s="350"/>
      <c r="F76" s="350"/>
    </row>
  </sheetData>
  <mergeCells count="40">
    <mergeCell ref="E1:F1"/>
    <mergeCell ref="A4:F4"/>
    <mergeCell ref="A6:A7"/>
    <mergeCell ref="B6:B7"/>
    <mergeCell ref="C6:C7"/>
    <mergeCell ref="D6:F6"/>
    <mergeCell ref="A66:C66"/>
    <mergeCell ref="D66:F66"/>
    <mergeCell ref="A58:F58"/>
    <mergeCell ref="A60:C60"/>
    <mergeCell ref="D60:F60"/>
    <mergeCell ref="A61:C61"/>
    <mergeCell ref="D61:F61"/>
    <mergeCell ref="A62:C62"/>
    <mergeCell ref="D62:F62"/>
    <mergeCell ref="A63:C63"/>
    <mergeCell ref="D63:F63"/>
    <mergeCell ref="A64:C64"/>
    <mergeCell ref="D64:F65"/>
    <mergeCell ref="A65:C65"/>
    <mergeCell ref="A67:C67"/>
    <mergeCell ref="D67:F67"/>
    <mergeCell ref="A68:C68"/>
    <mergeCell ref="D68:F68"/>
    <mergeCell ref="A69:C69"/>
    <mergeCell ref="D69:F69"/>
    <mergeCell ref="A70:C70"/>
    <mergeCell ref="D70:F70"/>
    <mergeCell ref="A71:C71"/>
    <mergeCell ref="D71:F71"/>
    <mergeCell ref="A72:C72"/>
    <mergeCell ref="D72:F72"/>
    <mergeCell ref="A76:C76"/>
    <mergeCell ref="D76:F76"/>
    <mergeCell ref="A73:C73"/>
    <mergeCell ref="D73:F73"/>
    <mergeCell ref="A74:C74"/>
    <mergeCell ref="D74:F74"/>
    <mergeCell ref="A75:C75"/>
    <mergeCell ref="D75:F75"/>
  </mergeCells>
  <conditionalFormatting sqref="B8:B55">
    <cfRule type="cellIs" dxfId="5" priority="3" operator="lessThan">
      <formula>22105</formula>
    </cfRule>
  </conditionalFormatting>
  <conditionalFormatting sqref="C8:C55">
    <cfRule type="cellIs" dxfId="4" priority="2" operator="lessThan">
      <formula>1</formula>
    </cfRule>
  </conditionalFormatting>
  <conditionalFormatting sqref="C8:F55">
    <cfRule type="cellIs" dxfId="3"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x14ac:dyDescent="0.25"/>
  <cols>
    <col min="1" max="1" width="16.7109375" style="10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09" customFormat="1" ht="36.75" customHeight="1" x14ac:dyDescent="0.25">
      <c r="A1" s="108" t="s">
        <v>13</v>
      </c>
      <c r="B1" s="109" t="s">
        <v>3</v>
      </c>
      <c r="D1" s="108"/>
      <c r="E1" s="108" t="s">
        <v>35</v>
      </c>
      <c r="F1" s="108" t="s">
        <v>36</v>
      </c>
      <c r="G1" s="108"/>
      <c r="H1" s="108"/>
      <c r="I1" s="108"/>
      <c r="J1" s="108"/>
      <c r="K1" s="108"/>
      <c r="L1" s="108" t="s">
        <v>37</v>
      </c>
      <c r="M1" s="108" t="s">
        <v>39</v>
      </c>
      <c r="N1" s="108" t="s">
        <v>38</v>
      </c>
    </row>
    <row r="2" spans="1:23" ht="15" customHeight="1" x14ac:dyDescent="0.25">
      <c r="A2" s="102">
        <v>1</v>
      </c>
      <c r="B2" t="s">
        <v>247</v>
      </c>
      <c r="C2" t="s">
        <v>61</v>
      </c>
      <c r="D2" s="104" t="s">
        <v>247</v>
      </c>
      <c r="E2" s="104" t="s">
        <v>41</v>
      </c>
      <c r="F2" s="105">
        <v>44207</v>
      </c>
      <c r="G2" s="95">
        <f>MONTH(F2)</f>
        <v>1</v>
      </c>
      <c r="H2" s="105" t="str">
        <f>IF(G2=$A$26,$A$28,IF(G2=$B$26,$B$28,IF(G2=$C$26,$C$28,IF(G2=$D$26,$D$28,IF(G2=$E$26,$E$28,IF(G2=$F$26,$F$28,IF(G2=$K$26,$K$28,IF(G2=$L$26,$L$28,IF(G2=$M$26,$M$28,IF(G2=$N$26,$N$28,IF(G2=$O$26,$O$28,IF(G2=$P$26,$P$28,0))))))))))))</f>
        <v>yanvar</v>
      </c>
      <c r="I2" s="95">
        <f>DAY(F2)</f>
        <v>11</v>
      </c>
      <c r="J2" s="107">
        <f>YEAR(F2)</f>
        <v>2021</v>
      </c>
      <c r="K2" s="105" t="str">
        <f>""&amp;I2&amp;" "&amp;H2&amp;" "&amp;J2&amp;" г."</f>
        <v>11 yanvar 2021 г.</v>
      </c>
      <c r="L2" s="104">
        <v>5</v>
      </c>
      <c r="M2" s="106">
        <v>15000000</v>
      </c>
      <c r="N2" s="104" t="s">
        <v>124</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56"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x14ac:dyDescent="0.25">
      <c r="A3" s="102">
        <v>2</v>
      </c>
      <c r="D3" s="104" t="s">
        <v>247</v>
      </c>
      <c r="E3" s="104" t="s">
        <v>40</v>
      </c>
      <c r="F3" s="105">
        <v>43775</v>
      </c>
      <c r="G3" s="95">
        <f>MONTH(F3)</f>
        <v>11</v>
      </c>
      <c r="H3" s="105" t="str">
        <f>IF(G3=$A$26,$A$28,IF(G3=$B$26,$B$28,IF(G3=$C$26,$C$28,IF(G3=$D$26,$D$28,IF(G3=$E$26,$E$28,IF(G3=$F$26,$F$28,IF(G3=$K$26,$K$28,IF(G3=$L$26,$L$28,IF(G3=$M$26,$M$28,IF(G3=$N$26,$N$28,IF(G3=$O$26,$O$28,IF(G3=$P$26,$P$28,0))))))))))))</f>
        <v>noyabr</v>
      </c>
      <c r="I3" s="95">
        <f>DAY(F3)</f>
        <v>6</v>
      </c>
      <c r="J3" s="107">
        <f>YEAR(F3)</f>
        <v>2019</v>
      </c>
      <c r="K3" s="105" t="str">
        <f>""&amp;I3&amp;" "&amp;H3&amp;" "&amp;J3&amp;" г."</f>
        <v>6 noyabr 2019 г.</v>
      </c>
      <c r="L3" s="104">
        <v>386</v>
      </c>
      <c r="M3" s="106">
        <v>15000000</v>
      </c>
      <c r="N3" s="104" t="s">
        <v>124</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x14ac:dyDescent="0.25">
      <c r="A4" s="102">
        <v>3</v>
      </c>
      <c r="D4" s="104" t="s">
        <v>247</v>
      </c>
      <c r="E4" s="104" t="s">
        <v>40</v>
      </c>
      <c r="F4" s="105">
        <v>44217</v>
      </c>
      <c r="G4" s="95">
        <f>MONTH(F4)</f>
        <v>1</v>
      </c>
      <c r="H4" s="105" t="str">
        <f>IF(G4=$A$26,$A$28,IF(G4=$B$26,$B$28,IF(G4=$C$26,$C$28,IF(G4=$D$26,$D$28,IF(G4=$E$26,$E$28,IF(G4=$F$26,$F$28,IF(G4=$K$26,$K$28,IF(G4=$L$26,$L$28,IF(G4=$M$26,$M$28,IF(G4=$N$26,$N$28,IF(G4=$O$26,$O$28,IF(G4=$P$26,$P$28,0))))))))))))</f>
        <v>yanvar</v>
      </c>
      <c r="I4" s="95">
        <f>DAY(F4)</f>
        <v>21</v>
      </c>
      <c r="J4" s="107">
        <f>YEAR(F4)</f>
        <v>2021</v>
      </c>
      <c r="K4" s="105" t="str">
        <f>""&amp;I4&amp;" "&amp;H4&amp;" "&amp;J4&amp;" г."</f>
        <v>21 yanvar 2021 г.</v>
      </c>
      <c r="L4" s="104">
        <v>33</v>
      </c>
      <c r="M4" s="106">
        <v>15000000</v>
      </c>
      <c r="N4" s="104" t="s">
        <v>124</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x14ac:dyDescent="0.25">
      <c r="A5" s="102">
        <v>4</v>
      </c>
      <c r="D5" s="104" t="s">
        <v>247</v>
      </c>
      <c r="E5" s="104"/>
      <c r="F5" s="105"/>
      <c r="G5" s="95">
        <f t="shared" ref="G5:G21" si="2">MONTH(F5)</f>
        <v>1</v>
      </c>
      <c r="H5" s="105" t="str">
        <f t="shared" ref="H5:H21" si="3">IF(G5=$A$26,$A$28,IF(G5=$B$26,$B$28,IF(G5=$C$26,$C$28,IF(G5=$D$26,$D$28,IF(G5=$E$26,$E$28,IF(G5=$F$26,$F$28,IF(G5=$K$26,$K$28,IF(G5=$L$26,$L$28,IF(G5=$M$26,$M$28,IF(G5=$N$26,$N$28,IF(G5=$O$26,$O$28,IF(G5=$P$26,$P$28,0))))))))))))</f>
        <v>yanvar</v>
      </c>
      <c r="I5" s="95">
        <f t="shared" ref="I5:I21" si="4">DAY(F5)</f>
        <v>0</v>
      </c>
      <c r="J5" s="107">
        <f t="shared" ref="J5:J21" si="5">YEAR(F5)</f>
        <v>1900</v>
      </c>
      <c r="K5" s="105" t="str">
        <f t="shared" ref="K5:K21" si="6">""&amp;I5&amp;" "&amp;H5&amp;" "&amp;J5&amp;" г."</f>
        <v>0 yanvar 1900 г.</v>
      </c>
      <c r="L5" s="104"/>
      <c r="M5" s="106"/>
      <c r="N5" s="104"/>
      <c r="P5">
        <f t="shared" si="1"/>
        <v>0</v>
      </c>
    </row>
    <row r="6" spans="1:23" ht="15" customHeight="1" x14ac:dyDescent="0.25">
      <c r="A6" s="102">
        <v>5</v>
      </c>
      <c r="D6" s="104" t="s">
        <v>247</v>
      </c>
      <c r="E6" s="104"/>
      <c r="F6" s="105"/>
      <c r="G6" s="95">
        <f t="shared" si="2"/>
        <v>1</v>
      </c>
      <c r="H6" s="105" t="str">
        <f t="shared" si="3"/>
        <v>yanvar</v>
      </c>
      <c r="I6" s="95">
        <f t="shared" si="4"/>
        <v>0</v>
      </c>
      <c r="J6" s="107">
        <f t="shared" si="5"/>
        <v>1900</v>
      </c>
      <c r="K6" s="105" t="str">
        <f t="shared" si="6"/>
        <v>0 yanvar 1900 г.</v>
      </c>
      <c r="L6" s="104"/>
      <c r="M6" s="106"/>
      <c r="N6" s="104"/>
      <c r="P6">
        <f t="shared" si="1"/>
        <v>0</v>
      </c>
    </row>
    <row r="7" spans="1:23" ht="15" customHeight="1" x14ac:dyDescent="0.25">
      <c r="A7" s="102">
        <v>6</v>
      </c>
      <c r="D7" s="104" t="s">
        <v>247</v>
      </c>
      <c r="E7" s="104"/>
      <c r="F7" s="105"/>
      <c r="G7" s="95">
        <f t="shared" si="2"/>
        <v>1</v>
      </c>
      <c r="H7" s="105" t="str">
        <f t="shared" si="3"/>
        <v>yanvar</v>
      </c>
      <c r="I7" s="95">
        <f t="shared" si="4"/>
        <v>0</v>
      </c>
      <c r="J7" s="107">
        <f t="shared" si="5"/>
        <v>1900</v>
      </c>
      <c r="K7" s="105" t="str">
        <f t="shared" si="6"/>
        <v>0 yanvar 1900 г.</v>
      </c>
      <c r="L7" s="104"/>
      <c r="M7" s="106"/>
      <c r="N7" s="104"/>
      <c r="P7">
        <f t="shared" si="1"/>
        <v>0</v>
      </c>
    </row>
    <row r="8" spans="1:23" ht="15" customHeight="1" x14ac:dyDescent="0.25">
      <c r="A8" s="102">
        <v>7</v>
      </c>
      <c r="D8" s="104" t="s">
        <v>247</v>
      </c>
      <c r="E8" s="104"/>
      <c r="F8" s="105"/>
      <c r="G8" s="95">
        <f t="shared" si="2"/>
        <v>1</v>
      </c>
      <c r="H8" s="105" t="str">
        <f t="shared" si="3"/>
        <v>yanvar</v>
      </c>
      <c r="I8" s="95">
        <f t="shared" si="4"/>
        <v>0</v>
      </c>
      <c r="J8" s="107">
        <f t="shared" si="5"/>
        <v>1900</v>
      </c>
      <c r="K8" s="105" t="str">
        <f t="shared" si="6"/>
        <v>0 yanvar 1900 г.</v>
      </c>
      <c r="L8" s="104"/>
      <c r="M8" s="106"/>
      <c r="N8" s="104"/>
      <c r="P8">
        <f t="shared" si="1"/>
        <v>0</v>
      </c>
    </row>
    <row r="9" spans="1:23" ht="15" customHeight="1" x14ac:dyDescent="0.25">
      <c r="A9" s="102">
        <v>8</v>
      </c>
      <c r="D9" s="104" t="s">
        <v>247</v>
      </c>
      <c r="E9" s="104"/>
      <c r="F9" s="105"/>
      <c r="G9" s="95">
        <f t="shared" si="2"/>
        <v>1</v>
      </c>
      <c r="H9" s="105" t="str">
        <f t="shared" si="3"/>
        <v>yanvar</v>
      </c>
      <c r="I9" s="95">
        <f t="shared" si="4"/>
        <v>0</v>
      </c>
      <c r="J9" s="107">
        <f t="shared" si="5"/>
        <v>1900</v>
      </c>
      <c r="K9" s="105" t="str">
        <f t="shared" si="6"/>
        <v>0 yanvar 1900 г.</v>
      </c>
      <c r="L9" s="104"/>
      <c r="M9" s="106"/>
      <c r="N9" s="104"/>
      <c r="P9">
        <f t="shared" si="1"/>
        <v>0</v>
      </c>
    </row>
    <row r="10" spans="1:23" ht="15" customHeight="1" x14ac:dyDescent="0.25">
      <c r="A10" s="102">
        <v>9</v>
      </c>
      <c r="D10" s="104" t="s">
        <v>247</v>
      </c>
      <c r="E10" s="104"/>
      <c r="F10" s="105"/>
      <c r="G10" s="95">
        <f t="shared" si="2"/>
        <v>1</v>
      </c>
      <c r="H10" s="105" t="str">
        <f t="shared" si="3"/>
        <v>yanvar</v>
      </c>
      <c r="I10" s="95">
        <f t="shared" si="4"/>
        <v>0</v>
      </c>
      <c r="J10" s="107">
        <f t="shared" si="5"/>
        <v>1900</v>
      </c>
      <c r="K10" s="105" t="str">
        <f t="shared" si="6"/>
        <v>0 yanvar 1900 г.</v>
      </c>
      <c r="L10" s="104"/>
      <c r="M10" s="106"/>
      <c r="N10" s="104"/>
      <c r="P10">
        <f t="shared" si="1"/>
        <v>0</v>
      </c>
    </row>
    <row r="11" spans="1:23" ht="15" customHeight="1" x14ac:dyDescent="0.25">
      <c r="A11" s="102">
        <v>10</v>
      </c>
      <c r="D11" s="104" t="s">
        <v>247</v>
      </c>
      <c r="E11" s="104"/>
      <c r="F11" s="105"/>
      <c r="G11" s="95">
        <f t="shared" si="2"/>
        <v>1</v>
      </c>
      <c r="H11" s="105" t="str">
        <f t="shared" si="3"/>
        <v>yanvar</v>
      </c>
      <c r="I11" s="95">
        <f t="shared" si="4"/>
        <v>0</v>
      </c>
      <c r="J11" s="107">
        <f t="shared" si="5"/>
        <v>1900</v>
      </c>
      <c r="K11" s="105" t="str">
        <f t="shared" si="6"/>
        <v>0 yanvar 1900 г.</v>
      </c>
      <c r="L11" s="104"/>
      <c r="M11" s="106"/>
      <c r="N11" s="104"/>
      <c r="P11">
        <f t="shared" si="1"/>
        <v>0</v>
      </c>
    </row>
    <row r="12" spans="1:23" ht="15" customHeight="1" x14ac:dyDescent="0.25">
      <c r="A12" s="102">
        <v>11</v>
      </c>
      <c r="D12" s="104" t="s">
        <v>247</v>
      </c>
      <c r="E12" s="104"/>
      <c r="F12" s="105"/>
      <c r="G12" s="95">
        <f t="shared" si="2"/>
        <v>1</v>
      </c>
      <c r="H12" s="105" t="str">
        <f t="shared" si="3"/>
        <v>yanvar</v>
      </c>
      <c r="I12" s="95">
        <f t="shared" si="4"/>
        <v>0</v>
      </c>
      <c r="J12" s="107">
        <f t="shared" si="5"/>
        <v>1900</v>
      </c>
      <c r="K12" s="105" t="str">
        <f t="shared" si="6"/>
        <v>0 yanvar 1900 г.</v>
      </c>
      <c r="L12" s="104"/>
      <c r="M12" s="106"/>
      <c r="N12" s="104"/>
      <c r="P12">
        <f t="shared" si="1"/>
        <v>0</v>
      </c>
    </row>
    <row r="13" spans="1:23" ht="15" customHeight="1" x14ac:dyDescent="0.25">
      <c r="A13" s="102">
        <v>12</v>
      </c>
      <c r="D13" s="104" t="s">
        <v>247</v>
      </c>
      <c r="E13" s="104"/>
      <c r="F13" s="105"/>
      <c r="G13" s="95">
        <f t="shared" si="2"/>
        <v>1</v>
      </c>
      <c r="H13" s="105" t="str">
        <f t="shared" si="3"/>
        <v>yanvar</v>
      </c>
      <c r="I13" s="95">
        <f t="shared" si="4"/>
        <v>0</v>
      </c>
      <c r="J13" s="107">
        <f t="shared" si="5"/>
        <v>1900</v>
      </c>
      <c r="K13" s="105" t="str">
        <f t="shared" si="6"/>
        <v>0 yanvar 1900 г.</v>
      </c>
      <c r="L13" s="104"/>
      <c r="M13" s="106"/>
      <c r="N13" s="104"/>
      <c r="P13">
        <f t="shared" si="1"/>
        <v>0</v>
      </c>
    </row>
    <row r="14" spans="1:23" ht="15" customHeight="1" x14ac:dyDescent="0.25">
      <c r="A14" s="102">
        <v>13</v>
      </c>
      <c r="D14" s="104" t="s">
        <v>247</v>
      </c>
      <c r="E14" s="104"/>
      <c r="F14" s="105"/>
      <c r="G14" s="95">
        <f t="shared" si="2"/>
        <v>1</v>
      </c>
      <c r="H14" s="105" t="str">
        <f t="shared" si="3"/>
        <v>yanvar</v>
      </c>
      <c r="I14" s="95">
        <f t="shared" si="4"/>
        <v>0</v>
      </c>
      <c r="J14" s="107">
        <f t="shared" si="5"/>
        <v>1900</v>
      </c>
      <c r="K14" s="105" t="str">
        <f t="shared" si="6"/>
        <v>0 yanvar 1900 г.</v>
      </c>
      <c r="L14" s="104"/>
      <c r="M14" s="106"/>
      <c r="N14" s="104"/>
      <c r="P14">
        <f t="shared" si="1"/>
        <v>0</v>
      </c>
    </row>
    <row r="15" spans="1:23" ht="15" customHeight="1" x14ac:dyDescent="0.25">
      <c r="A15" s="102">
        <v>14</v>
      </c>
      <c r="D15" s="104" t="s">
        <v>247</v>
      </c>
      <c r="E15" s="104"/>
      <c r="F15" s="105"/>
      <c r="G15" s="95">
        <f t="shared" si="2"/>
        <v>1</v>
      </c>
      <c r="H15" s="105" t="str">
        <f t="shared" si="3"/>
        <v>yanvar</v>
      </c>
      <c r="I15" s="95">
        <f t="shared" si="4"/>
        <v>0</v>
      </c>
      <c r="J15" s="107">
        <f t="shared" si="5"/>
        <v>1900</v>
      </c>
      <c r="K15" s="105" t="str">
        <f t="shared" si="6"/>
        <v>0 yanvar 1900 г.</v>
      </c>
      <c r="L15" s="104"/>
      <c r="M15" s="106"/>
      <c r="N15" s="104"/>
      <c r="P15">
        <f t="shared" si="1"/>
        <v>0</v>
      </c>
    </row>
    <row r="16" spans="1:23" ht="15" customHeight="1" x14ac:dyDescent="0.25">
      <c r="A16" s="102">
        <v>15</v>
      </c>
      <c r="D16" s="104" t="s">
        <v>247</v>
      </c>
      <c r="E16" s="104"/>
      <c r="F16" s="105"/>
      <c r="G16" s="95">
        <f t="shared" si="2"/>
        <v>1</v>
      </c>
      <c r="H16" s="105" t="str">
        <f t="shared" si="3"/>
        <v>yanvar</v>
      </c>
      <c r="I16" s="95">
        <f t="shared" si="4"/>
        <v>0</v>
      </c>
      <c r="J16" s="107">
        <f t="shared" si="5"/>
        <v>1900</v>
      </c>
      <c r="K16" s="105" t="str">
        <f t="shared" si="6"/>
        <v>0 yanvar 1900 г.</v>
      </c>
      <c r="L16" s="104"/>
      <c r="M16" s="106"/>
      <c r="N16" s="104"/>
      <c r="P16">
        <f t="shared" si="1"/>
        <v>0</v>
      </c>
    </row>
    <row r="17" spans="1:17" ht="15" customHeight="1" x14ac:dyDescent="0.25">
      <c r="A17" s="102">
        <v>16</v>
      </c>
      <c r="D17" s="104" t="s">
        <v>247</v>
      </c>
      <c r="E17" s="104"/>
      <c r="F17" s="105"/>
      <c r="G17" s="95">
        <f t="shared" si="2"/>
        <v>1</v>
      </c>
      <c r="H17" s="105" t="str">
        <f t="shared" si="3"/>
        <v>yanvar</v>
      </c>
      <c r="I17" s="95">
        <f t="shared" si="4"/>
        <v>0</v>
      </c>
      <c r="J17" s="107">
        <f t="shared" si="5"/>
        <v>1900</v>
      </c>
      <c r="K17" s="105" t="str">
        <f t="shared" si="6"/>
        <v>0 yanvar 1900 г.</v>
      </c>
      <c r="L17" s="104"/>
      <c r="M17" s="106"/>
      <c r="N17" s="104"/>
      <c r="P17">
        <f t="shared" si="1"/>
        <v>0</v>
      </c>
    </row>
    <row r="18" spans="1:17" ht="15" customHeight="1" x14ac:dyDescent="0.25">
      <c r="A18" s="102">
        <v>17</v>
      </c>
      <c r="D18" s="104" t="s">
        <v>247</v>
      </c>
      <c r="E18" s="104"/>
      <c r="F18" s="105"/>
      <c r="G18" s="95">
        <f t="shared" si="2"/>
        <v>1</v>
      </c>
      <c r="H18" s="105" t="str">
        <f t="shared" si="3"/>
        <v>yanvar</v>
      </c>
      <c r="I18" s="95">
        <f t="shared" si="4"/>
        <v>0</v>
      </c>
      <c r="J18" s="107">
        <f t="shared" si="5"/>
        <v>1900</v>
      </c>
      <c r="K18" s="105" t="str">
        <f t="shared" si="6"/>
        <v>0 yanvar 1900 г.</v>
      </c>
      <c r="L18" s="104"/>
      <c r="M18" s="106"/>
      <c r="N18" s="104"/>
      <c r="P18">
        <f t="shared" si="1"/>
        <v>0</v>
      </c>
    </row>
    <row r="19" spans="1:17" ht="15" customHeight="1" x14ac:dyDescent="0.25">
      <c r="A19" s="102">
        <v>18</v>
      </c>
      <c r="D19" s="104" t="s">
        <v>247</v>
      </c>
      <c r="E19" s="104"/>
      <c r="F19" s="105"/>
      <c r="G19" s="95">
        <f t="shared" si="2"/>
        <v>1</v>
      </c>
      <c r="H19" s="105" t="str">
        <f t="shared" si="3"/>
        <v>yanvar</v>
      </c>
      <c r="I19" s="95">
        <f t="shared" si="4"/>
        <v>0</v>
      </c>
      <c r="J19" s="107">
        <f t="shared" si="5"/>
        <v>1900</v>
      </c>
      <c r="K19" s="105" t="str">
        <f t="shared" si="6"/>
        <v>0 yanvar 1900 г.</v>
      </c>
      <c r="L19" s="104"/>
      <c r="M19" s="106"/>
      <c r="N19" s="104"/>
      <c r="P19">
        <f t="shared" si="1"/>
        <v>0</v>
      </c>
    </row>
    <row r="20" spans="1:17" ht="15" customHeight="1" x14ac:dyDescent="0.25">
      <c r="A20" s="102">
        <v>19</v>
      </c>
      <c r="D20" s="104" t="s">
        <v>247</v>
      </c>
      <c r="E20" s="104"/>
      <c r="F20" s="105"/>
      <c r="G20" s="95">
        <f t="shared" si="2"/>
        <v>1</v>
      </c>
      <c r="H20" s="105" t="str">
        <f t="shared" si="3"/>
        <v>yanvar</v>
      </c>
      <c r="I20" s="95">
        <f t="shared" si="4"/>
        <v>0</v>
      </c>
      <c r="J20" s="107">
        <f t="shared" si="5"/>
        <v>1900</v>
      </c>
      <c r="K20" s="105" t="str">
        <f t="shared" si="6"/>
        <v>0 yanvar 1900 г.</v>
      </c>
      <c r="L20" s="104"/>
      <c r="M20" s="106"/>
      <c r="N20" s="104"/>
      <c r="P20">
        <f t="shared" si="1"/>
        <v>0</v>
      </c>
    </row>
    <row r="21" spans="1:17" ht="15" customHeight="1" x14ac:dyDescent="0.25">
      <c r="A21" s="102">
        <v>20</v>
      </c>
      <c r="D21" s="104" t="s">
        <v>247</v>
      </c>
      <c r="E21" s="104"/>
      <c r="F21" s="105"/>
      <c r="G21" s="95">
        <f t="shared" si="2"/>
        <v>1</v>
      </c>
      <c r="H21" s="105" t="str">
        <f t="shared" si="3"/>
        <v>yanvar</v>
      </c>
      <c r="I21" s="95">
        <f t="shared" si="4"/>
        <v>0</v>
      </c>
      <c r="J21" s="107">
        <f t="shared" si="5"/>
        <v>1900</v>
      </c>
      <c r="K21" s="105" t="str">
        <f t="shared" si="6"/>
        <v>0 yanvar 1900 г.</v>
      </c>
      <c r="L21" s="104"/>
      <c r="M21" s="106"/>
      <c r="N21" s="104"/>
      <c r="P21">
        <f t="shared" si="1"/>
        <v>0</v>
      </c>
    </row>
    <row r="22" spans="1:17" x14ac:dyDescent="0.25">
      <c r="M22" s="110">
        <f>SUM(M2:M21)+umumiy_malumot!B143</f>
        <v>255000000</v>
      </c>
      <c r="Q22" t="s">
        <v>246</v>
      </c>
    </row>
    <row r="23" spans="1:17" x14ac:dyDescent="0.25">
      <c r="A23" s="91"/>
      <c r="B23" s="92"/>
      <c r="C23" s="92"/>
      <c r="D23" s="92"/>
      <c r="E23" s="92"/>
      <c r="F23" s="92"/>
      <c r="G23" s="92"/>
      <c r="H23" s="92"/>
      <c r="I23" s="92"/>
      <c r="J23" s="92"/>
      <c r="K23" s="92"/>
      <c r="L23" s="92"/>
      <c r="M23" s="92"/>
      <c r="N23" s="92"/>
      <c r="O23" s="92"/>
    </row>
    <row r="24" spans="1:17" x14ac:dyDescent="0.25">
      <c r="A24" s="92"/>
      <c r="B24" s="92"/>
      <c r="C24" s="92"/>
      <c r="D24" s="92"/>
      <c r="E24" s="92"/>
      <c r="F24" s="92"/>
      <c r="G24" s="92"/>
      <c r="H24" s="92"/>
      <c r="I24" s="92"/>
      <c r="J24" s="92"/>
      <c r="K24" s="92"/>
      <c r="L24" s="92"/>
      <c r="M24" s="92"/>
      <c r="N24" s="92"/>
      <c r="O24" s="92"/>
    </row>
    <row r="25" spans="1:17" x14ac:dyDescent="0.25">
      <c r="A25" s="92">
        <f>MONTH(F2)</f>
        <v>1</v>
      </c>
      <c r="B25" s="92" t="str">
        <f>IF(A25=A26,A28,IF(A25=B26,B28,IF(A25=C26,C28,IF(A25=D26,D28,IF(A25=E26,E28,IF(A25=F26,F28,IF(A25=K26,K28,IF(A25=L26,L28,IF(A25=M26,M28,IF(A25=N26,N28,IF(A25=O26,O28,IF(A25=#REF!,#REF!,))))))))))))</f>
        <v>yanvar</v>
      </c>
      <c r="C25" s="92">
        <f>DAY(F2)</f>
        <v>11</v>
      </c>
      <c r="D25" s="92">
        <f>YEAR(F2)</f>
        <v>2021</v>
      </c>
      <c r="E25" s="92"/>
      <c r="F25" s="92"/>
      <c r="G25" s="92"/>
      <c r="H25" s="92"/>
      <c r="I25" s="92"/>
      <c r="J25" s="92"/>
      <c r="K25" s="92"/>
      <c r="L25" s="92"/>
      <c r="M25" s="92"/>
      <c r="N25" s="92"/>
      <c r="O25" s="92"/>
    </row>
    <row r="26" spans="1:17" x14ac:dyDescent="0.25">
      <c r="A26" s="92">
        <v>1</v>
      </c>
      <c r="B26" s="92">
        <v>2</v>
      </c>
      <c r="C26" s="92">
        <v>3</v>
      </c>
      <c r="D26" s="92">
        <v>4</v>
      </c>
      <c r="E26" s="92">
        <v>5</v>
      </c>
      <c r="F26" s="92">
        <v>6</v>
      </c>
      <c r="G26" s="92"/>
      <c r="H26" s="92"/>
      <c r="I26" s="92"/>
      <c r="J26" s="92"/>
      <c r="K26" s="92">
        <v>7</v>
      </c>
      <c r="L26" s="92">
        <v>8</v>
      </c>
      <c r="M26" s="92">
        <v>9</v>
      </c>
      <c r="N26" s="92">
        <v>10</v>
      </c>
      <c r="O26" s="92">
        <v>11</v>
      </c>
      <c r="P26" s="92">
        <v>12</v>
      </c>
    </row>
    <row r="27" spans="1:17" x14ac:dyDescent="0.25">
      <c r="A27" s="92"/>
      <c r="B27" s="92"/>
      <c r="C27" s="92"/>
      <c r="D27" s="92"/>
      <c r="E27" s="92"/>
      <c r="F27" s="92"/>
      <c r="G27" s="92"/>
      <c r="H27" s="92"/>
      <c r="I27" s="92"/>
      <c r="J27" s="92"/>
      <c r="K27" s="92"/>
      <c r="L27" s="92"/>
      <c r="M27" s="92"/>
      <c r="N27" s="92"/>
      <c r="O27" s="92"/>
    </row>
    <row r="28" spans="1:17" x14ac:dyDescent="0.25">
      <c r="A28" s="92" t="s">
        <v>113</v>
      </c>
      <c r="B28" s="92" t="s">
        <v>114</v>
      </c>
      <c r="C28" s="92" t="s">
        <v>103</v>
      </c>
      <c r="D28" s="92" t="s">
        <v>104</v>
      </c>
      <c r="E28" s="92" t="s">
        <v>105</v>
      </c>
      <c r="F28" s="92" t="s">
        <v>106</v>
      </c>
      <c r="G28" s="92"/>
      <c r="H28" s="92"/>
      <c r="I28" s="92"/>
      <c r="J28" s="92"/>
      <c r="K28" s="92" t="s">
        <v>21</v>
      </c>
      <c r="L28" s="92" t="s">
        <v>108</v>
      </c>
      <c r="M28" s="92" t="s">
        <v>245</v>
      </c>
      <c r="N28" s="92" t="s">
        <v>244</v>
      </c>
      <c r="O28" s="92" t="s">
        <v>111</v>
      </c>
      <c r="P28" s="92" t="s">
        <v>112</v>
      </c>
    </row>
    <row r="29" spans="1:17" x14ac:dyDescent="0.25">
      <c r="A29" s="92" t="s">
        <v>113</v>
      </c>
      <c r="B29" s="92" t="s">
        <v>114</v>
      </c>
      <c r="C29" s="92" t="s">
        <v>103</v>
      </c>
      <c r="D29" s="92" t="s">
        <v>104</v>
      </c>
      <c r="E29" s="92" t="s">
        <v>105</v>
      </c>
      <c r="F29" s="92" t="s">
        <v>106</v>
      </c>
      <c r="G29" s="92"/>
      <c r="H29" s="92"/>
      <c r="I29" s="92"/>
      <c r="J29" s="92"/>
      <c r="K29" s="92" t="s">
        <v>23</v>
      </c>
      <c r="L29" s="92" t="s">
        <v>108</v>
      </c>
      <c r="M29" s="92" t="s">
        <v>245</v>
      </c>
      <c r="N29" s="92" t="s">
        <v>244</v>
      </c>
      <c r="O29" s="92" t="s">
        <v>111</v>
      </c>
      <c r="P29" s="92" t="s">
        <v>112</v>
      </c>
    </row>
    <row r="30" spans="1:17" x14ac:dyDescent="0.25">
      <c r="A30" s="92"/>
      <c r="B30" s="92"/>
      <c r="C30" s="92"/>
      <c r="D30" s="92"/>
      <c r="E30" s="92"/>
      <c r="F30" s="92"/>
      <c r="G30" s="92"/>
      <c r="H30" s="92"/>
      <c r="I30" s="92"/>
      <c r="J30" s="92"/>
      <c r="K30" s="92"/>
      <c r="L30" s="93"/>
      <c r="M30" s="93"/>
      <c r="N30" s="93"/>
      <c r="O30" s="93"/>
    </row>
  </sheetData>
  <dataValidations count="1">
    <dataValidation type="list" allowBlank="1" showInputMessage="1" showErrorMessage="1" sqref="D2:D21" xr:uid="{00000000-0002-0000-0D00-000000000000}">
      <formula1>$B$2:$C$2</formula1>
    </dataValidation>
  </dataValidations>
  <pageMargins left="0.7" right="0.7" top="0.75" bottom="0.75" header="0.3" footer="0.3"/>
  <pageSetup paperSize="9" scale="6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8">
    <tabColor theme="1"/>
  </sheetPr>
  <dimension ref="A1:H76"/>
  <sheetViews>
    <sheetView view="pageBreakPreview" topLeftCell="A30" zoomScaleSheetLayoutView="100" workbookViewId="0">
      <selection activeCell="D56" sqref="D56:F56"/>
    </sheetView>
  </sheetViews>
  <sheetFormatPr defaultColWidth="9.140625" defaultRowHeight="15" outlineLevelCol="1" x14ac:dyDescent="0.25"/>
  <cols>
    <col min="1" max="1" width="9.140625" style="13"/>
    <col min="2" max="2" width="10.140625" style="13" bestFit="1" customWidth="1"/>
    <col min="3" max="3" width="16.5703125" style="13" customWidth="1"/>
    <col min="4" max="4" width="17.140625" style="13" customWidth="1"/>
    <col min="5" max="5" width="17.85546875" style="13" customWidth="1"/>
    <col min="6" max="6" width="20.85546875" style="13" customWidth="1"/>
    <col min="7" max="7" width="10.140625" style="13" customWidth="1" outlineLevel="1"/>
    <col min="8" max="16384" width="9.140625" style="13"/>
  </cols>
  <sheetData>
    <row r="1" spans="1:8" x14ac:dyDescent="0.25">
      <c r="A1" s="34"/>
      <c r="B1" s="34"/>
      <c r="C1" s="34"/>
      <c r="D1" s="34"/>
      <c r="E1" s="332" t="s">
        <v>14</v>
      </c>
      <c r="F1" s="332"/>
    </row>
    <row r="2" spans="1:8" x14ac:dyDescent="0.25">
      <c r="A2" s="34"/>
      <c r="B2" s="34"/>
      <c r="C2" s="34"/>
      <c r="D2" s="34"/>
      <c r="E2" s="34"/>
      <c r="F2" s="35" t="str">
        <f>"к договору микрозайма "&amp;umumiy_malumot!B74&amp;""</f>
        <v>к договору микрозайма 16 fevral 2026 y.dan № 110</v>
      </c>
    </row>
    <row r="3" spans="1:8" ht="6.75" customHeight="1" x14ac:dyDescent="0.25">
      <c r="A3" s="34"/>
      <c r="B3" s="34"/>
      <c r="C3" s="34"/>
      <c r="D3" s="34"/>
      <c r="E3" s="34"/>
      <c r="F3" s="34"/>
    </row>
    <row r="4" spans="1:8" x14ac:dyDescent="0.25">
      <c r="A4" s="333" t="s">
        <v>15</v>
      </c>
      <c r="B4" s="333"/>
      <c r="C4" s="333"/>
      <c r="D4" s="333"/>
      <c r="E4" s="333"/>
      <c r="F4" s="333"/>
    </row>
    <row r="5" spans="1:8" ht="7.5" customHeight="1" x14ac:dyDescent="0.25"/>
    <row r="6" spans="1:8" x14ac:dyDescent="0.25">
      <c r="A6" s="334" t="s">
        <v>13</v>
      </c>
      <c r="B6" s="335" t="s">
        <v>7</v>
      </c>
      <c r="C6" s="335" t="s">
        <v>8</v>
      </c>
      <c r="D6" s="336" t="s">
        <v>9</v>
      </c>
      <c r="E6" s="336"/>
      <c r="F6" s="336"/>
    </row>
    <row r="7" spans="1:8" s="14" customFormat="1" x14ac:dyDescent="0.25">
      <c r="A7" s="334"/>
      <c r="B7" s="335"/>
      <c r="C7" s="335"/>
      <c r="D7" s="15" t="s">
        <v>10</v>
      </c>
      <c r="E7" s="15" t="s">
        <v>11</v>
      </c>
      <c r="F7" s="15" t="s">
        <v>12</v>
      </c>
    </row>
    <row r="8" spans="1:8" x14ac:dyDescent="0.25">
      <c r="A8" s="16">
        <v>1</v>
      </c>
      <c r="B8" s="30">
        <f>'График дифференц'!B8</f>
        <v>46091</v>
      </c>
      <c r="C8" s="31">
        <f>umumiy_malumot!B76</f>
        <v>175000000</v>
      </c>
      <c r="D8" s="31">
        <f>IF(A8&lt;umumiy_malumot!$B$82,'График аннуитет.'!F8-'График аннуитет.'!E8,'График аннуитет.'!C8)</f>
        <v>7007325.0200000005</v>
      </c>
      <c r="E8" s="31">
        <f>ROUND(C8*umumiy_malumot!$B$85/H8,2)*'График аннуитет.'!G8</f>
        <v>5801369.8600000003</v>
      </c>
      <c r="F8" s="31">
        <f>umumiy_malumot!B91</f>
        <v>12808694.880000001</v>
      </c>
      <c r="G8" s="13">
        <f>B8-umumiy_malumot!B67</f>
        <v>22</v>
      </c>
      <c r="H8" s="13">
        <f>DATE(YEAR(B8),12,31)-DATE(YEAR(B8),1,1)+1</f>
        <v>365</v>
      </c>
    </row>
    <row r="9" spans="1:8" x14ac:dyDescent="0.25">
      <c r="A9" s="16">
        <v>2</v>
      </c>
      <c r="B9" s="30">
        <f>'График дифференц'!B9</f>
        <v>46122</v>
      </c>
      <c r="C9" s="31">
        <f t="shared" ref="C9:C30" si="0">C8-D8</f>
        <v>167992674.97999999</v>
      </c>
      <c r="D9" s="31">
        <f>IF(A9&lt;umumiy_malumot!$B$82,'График аннуитет.'!F9-'График аннуитет.'!E9,'График аннуитет.'!C9)</f>
        <v>4961365.7300000014</v>
      </c>
      <c r="E9" s="31">
        <f>ROUND(C9*umumiy_malumot!$B$85/H9,2)*'График аннуитет.'!G9</f>
        <v>7847329.1499999994</v>
      </c>
      <c r="F9" s="31">
        <f>IF(A9&lt;umumiy_malumot!$B$82,'График аннуитет.'!F8,'График аннуитет.'!D9+'График аннуитет.'!E9)</f>
        <v>12808694.880000001</v>
      </c>
      <c r="G9" s="13">
        <f>B9-B8</f>
        <v>31</v>
      </c>
      <c r="H9" s="13">
        <f t="shared" ref="H9:H31" si="1">DATE(YEAR(B9),12,31)-DATE(YEAR(B9),1,1)+1</f>
        <v>365</v>
      </c>
    </row>
    <row r="10" spans="1:8" x14ac:dyDescent="0.25">
      <c r="A10" s="16">
        <v>3</v>
      </c>
      <c r="B10" s="30">
        <f>'График дифференц'!B10</f>
        <v>46153</v>
      </c>
      <c r="C10" s="31">
        <f t="shared" si="0"/>
        <v>163031309.25</v>
      </c>
      <c r="D10" s="31">
        <f>IF(A10&lt;umumiy_malumot!$B$82,'График аннуитет.'!F10-'График аннуитет.'!E10,'График аннуитет.'!C10)</f>
        <v>5193122.6600000011</v>
      </c>
      <c r="E10" s="31">
        <f>ROUND(C10*umumiy_malumot!$B$85/H10,2)*'График аннуитет.'!G10</f>
        <v>7615572.2199999997</v>
      </c>
      <c r="F10" s="31">
        <f>IF(A10&lt;umumiy_malumot!$B$82,'График аннуитет.'!F9,'График аннуитет.'!D10+'График аннуитет.'!E10)</f>
        <v>12808694.880000001</v>
      </c>
      <c r="G10" s="13">
        <f t="shared" ref="G10:G24" si="2">B10-B9</f>
        <v>31</v>
      </c>
      <c r="H10" s="13">
        <f t="shared" si="1"/>
        <v>365</v>
      </c>
    </row>
    <row r="11" spans="1:8" x14ac:dyDescent="0.25">
      <c r="A11" s="16">
        <v>4</v>
      </c>
      <c r="B11" s="30">
        <f>'График дифференц'!B11</f>
        <v>46183</v>
      </c>
      <c r="C11" s="31">
        <f t="shared" si="0"/>
        <v>157838186.59</v>
      </c>
      <c r="D11" s="31">
        <f>IF(A11&lt;umumiy_malumot!$B$82,'График аннуитет.'!F11-'График аннуитет.'!E11,'График аннуитет.'!C11)</f>
        <v>5673544.080000001</v>
      </c>
      <c r="E11" s="31">
        <f>ROUND(C11*umumiy_malumot!$B$85/H11,2)*'График аннуитет.'!G11</f>
        <v>7135150.7999999998</v>
      </c>
      <c r="F11" s="31">
        <f>IF(A11&lt;umumiy_malumot!$B$82,'График аннуитет.'!F10,'График аннуитет.'!D11+'График аннуитет.'!E11)</f>
        <v>12808694.880000001</v>
      </c>
      <c r="G11" s="13">
        <f t="shared" si="2"/>
        <v>30</v>
      </c>
      <c r="H11" s="13">
        <f t="shared" si="1"/>
        <v>365</v>
      </c>
    </row>
    <row r="12" spans="1:8" x14ac:dyDescent="0.25">
      <c r="A12" s="16">
        <v>5</v>
      </c>
      <c r="B12" s="30">
        <f>'График дифференц'!B12</f>
        <v>46213</v>
      </c>
      <c r="C12" s="31">
        <f t="shared" si="0"/>
        <v>152164642.50999999</v>
      </c>
      <c r="D12" s="31">
        <f>IF(A12&lt;umumiy_malumot!$B$82,'График аннуитет.'!F12-'График аннуитет.'!E12,'График аннуитет.'!C12)</f>
        <v>5930019.1800000006</v>
      </c>
      <c r="E12" s="31">
        <f>ROUND(C12*umumiy_malumot!$B$85/H12,2)*'График аннуитет.'!G12</f>
        <v>6878675.7000000002</v>
      </c>
      <c r="F12" s="31">
        <f>IF(A12&lt;umumiy_malumot!$B$82,'График аннуитет.'!F11,'График аннуитет.'!D12+'График аннуитет.'!E12)</f>
        <v>12808694.880000001</v>
      </c>
      <c r="G12" s="13">
        <f t="shared" si="2"/>
        <v>30</v>
      </c>
      <c r="H12" s="13">
        <f t="shared" si="1"/>
        <v>365</v>
      </c>
    </row>
    <row r="13" spans="1:8" x14ac:dyDescent="0.25">
      <c r="A13" s="16">
        <v>6</v>
      </c>
      <c r="B13" s="30">
        <f>'График дифференц'!B13</f>
        <v>46244</v>
      </c>
      <c r="C13" s="31">
        <f t="shared" si="0"/>
        <v>146234623.32999998</v>
      </c>
      <c r="D13" s="31">
        <f>IF(A13&lt;umumiy_malumot!$B$82,'График аннуитет.'!F13-'График аннуитет.'!E13,'График аннуитет.'!C13)</f>
        <v>5977735.1400000006</v>
      </c>
      <c r="E13" s="31">
        <f>ROUND(C13*umumiy_malumot!$B$85/H13,2)*'График аннуитет.'!G13</f>
        <v>6830959.7400000002</v>
      </c>
      <c r="F13" s="31">
        <f>IF(A13&lt;umumiy_malumot!$B$82,'График аннуитет.'!F12,'График аннуитет.'!D13+'График аннуитет.'!E13)</f>
        <v>12808694.880000001</v>
      </c>
      <c r="G13" s="13">
        <f t="shared" si="2"/>
        <v>31</v>
      </c>
      <c r="H13" s="13">
        <f t="shared" si="1"/>
        <v>365</v>
      </c>
    </row>
    <row r="14" spans="1:8" x14ac:dyDescent="0.25">
      <c r="A14" s="16">
        <v>7</v>
      </c>
      <c r="B14" s="30">
        <f>'График дифференц'!B14</f>
        <v>46275</v>
      </c>
      <c r="C14" s="31">
        <f t="shared" si="0"/>
        <v>140256888.19</v>
      </c>
      <c r="D14" s="31">
        <f>IF(A14&lt;umumiy_malumot!$B$82,'График аннуитет.'!F14-'График аннуитет.'!E14,'График аннуитет.'!C14)</f>
        <v>6256968.8800000008</v>
      </c>
      <c r="E14" s="31">
        <f>ROUND(C14*umumiy_malumot!$B$85/H14,2)*'График аннуитет.'!G14</f>
        <v>6551726</v>
      </c>
      <c r="F14" s="31">
        <f>IF(A14&lt;umumiy_malumot!$B$82,'График аннуитет.'!F13,'График аннуитет.'!D14+'График аннуитет.'!E14)</f>
        <v>12808694.880000001</v>
      </c>
      <c r="G14" s="13">
        <f t="shared" si="2"/>
        <v>31</v>
      </c>
      <c r="H14" s="13">
        <f t="shared" si="1"/>
        <v>365</v>
      </c>
    </row>
    <row r="15" spans="1:8" x14ac:dyDescent="0.25">
      <c r="A15" s="16">
        <v>8</v>
      </c>
      <c r="B15" s="30">
        <f>'График дифференц'!B15</f>
        <v>46307</v>
      </c>
      <c r="C15" s="31">
        <f t="shared" si="0"/>
        <v>133999919.31</v>
      </c>
      <c r="D15" s="31">
        <f>IF(A15&lt;umumiy_malumot!$B$82,'График аннуитет.'!F15-'График аннуитет.'!E15,'График аннуитет.'!C15)</f>
        <v>6347328.8000000007</v>
      </c>
      <c r="E15" s="31">
        <f>ROUND(C15*umumiy_malumot!$B$85/H15,2)*'График аннуитет.'!G15</f>
        <v>6461366.0800000001</v>
      </c>
      <c r="F15" s="31">
        <f>IF(A15&lt;umumiy_malumot!$B$82,'График аннуитет.'!F14,'График аннуитет.'!D15+'График аннуитет.'!E15)</f>
        <v>12808694.880000001</v>
      </c>
      <c r="G15" s="13">
        <f t="shared" si="2"/>
        <v>32</v>
      </c>
      <c r="H15" s="13">
        <f t="shared" si="1"/>
        <v>365</v>
      </c>
    </row>
    <row r="16" spans="1:8" x14ac:dyDescent="0.25">
      <c r="A16" s="16">
        <v>9</v>
      </c>
      <c r="B16" s="30">
        <f>'График дифференц'!B16</f>
        <v>46336</v>
      </c>
      <c r="C16" s="31">
        <f t="shared" si="0"/>
        <v>127652590.51000001</v>
      </c>
      <c r="D16" s="31">
        <f>IF(A16&lt;umumiy_malumot!$B$82,'График аннуитет.'!F16-'График аннуитет.'!E16,'График аннуитет.'!C16)</f>
        <v>7230451.5000000009</v>
      </c>
      <c r="E16" s="31">
        <f>ROUND(C16*umumiy_malumot!$B$85/H16,2)*'График аннуитет.'!G16</f>
        <v>5578243.3799999999</v>
      </c>
      <c r="F16" s="31">
        <f>IF(A16&lt;umumiy_malumot!$B$82,'График аннуитет.'!F15,'График аннуитет.'!D16+'График аннуитет.'!E16)</f>
        <v>12808694.880000001</v>
      </c>
      <c r="G16" s="13">
        <f t="shared" si="2"/>
        <v>29</v>
      </c>
      <c r="H16" s="13">
        <f t="shared" si="1"/>
        <v>365</v>
      </c>
    </row>
    <row r="17" spans="1:8" x14ac:dyDescent="0.25">
      <c r="A17" s="16">
        <v>10</v>
      </c>
      <c r="B17" s="30">
        <f>'График дифференц'!B17</f>
        <v>46366</v>
      </c>
      <c r="C17" s="31">
        <f t="shared" si="0"/>
        <v>120422139.01000001</v>
      </c>
      <c r="D17" s="31">
        <f>IF(A17&lt;umumiy_malumot!$B$82,'График аннуитет.'!F17-'График аннуитет.'!E17,'График аннуитет.'!C17)</f>
        <v>7364954.2800000012</v>
      </c>
      <c r="E17" s="31">
        <f>ROUND(C17*umumiy_malumot!$B$85/H17,2)*'График аннуитет.'!G17</f>
        <v>5443740.5999999996</v>
      </c>
      <c r="F17" s="31">
        <f>IF(A17&lt;umumiy_malumot!$B$82,'График аннуитет.'!F16,'График аннуитет.'!D17+'График аннуитет.'!E17)</f>
        <v>12808694.880000001</v>
      </c>
      <c r="G17" s="13">
        <f t="shared" si="2"/>
        <v>30</v>
      </c>
      <c r="H17" s="13">
        <f t="shared" si="1"/>
        <v>365</v>
      </c>
    </row>
    <row r="18" spans="1:8" x14ac:dyDescent="0.25">
      <c r="A18" s="16">
        <v>11</v>
      </c>
      <c r="B18" s="30">
        <f>'График дифференц'!B18</f>
        <v>46398</v>
      </c>
      <c r="C18" s="31">
        <f t="shared" si="0"/>
        <v>113057184.73</v>
      </c>
      <c r="D18" s="31">
        <f>IF(A18&lt;umumiy_malumot!$B$82,'График аннуитет.'!F18-'График аннуитет.'!E18,'График аннуитет.'!C18)</f>
        <v>7357170.4000000004</v>
      </c>
      <c r="E18" s="31">
        <f>ROUND(C18*umumiy_malumot!$B$85/H18,2)*'График аннуитет.'!G18</f>
        <v>5451524.4800000004</v>
      </c>
      <c r="F18" s="31">
        <f>IF(A18&lt;umumiy_malumot!$B$82,'График аннуитет.'!F17,'График аннуитет.'!D18+'График аннуитет.'!E18)</f>
        <v>12808694.880000001</v>
      </c>
      <c r="G18" s="13">
        <f t="shared" si="2"/>
        <v>32</v>
      </c>
      <c r="H18" s="13">
        <f t="shared" si="1"/>
        <v>365</v>
      </c>
    </row>
    <row r="19" spans="1:8" x14ac:dyDescent="0.25">
      <c r="A19" s="16">
        <v>12</v>
      </c>
      <c r="B19" s="30">
        <f>'График дифференц'!B19</f>
        <v>46428</v>
      </c>
      <c r="C19" s="31">
        <f t="shared" si="0"/>
        <v>105700014.33</v>
      </c>
      <c r="D19" s="31">
        <f>IF(A19&lt;umumiy_malumot!$B$82,'График аннуитет.'!F19-'График аннуитет.'!E19,'График аннуитет.'!C19)</f>
        <v>8030475.1800000016</v>
      </c>
      <c r="E19" s="31">
        <f>ROUND(C19*umumiy_malumot!$B$85/H19,2)*'График аннуитет.'!G19</f>
        <v>4778219.6999999993</v>
      </c>
      <c r="F19" s="31">
        <f>IF(A19&lt;umumiy_malumot!$B$82,'График аннуитет.'!F18,'График аннуитет.'!D19+'График аннуитет.'!E19)</f>
        <v>12808694.880000001</v>
      </c>
      <c r="G19" s="13">
        <f>B19-B18</f>
        <v>30</v>
      </c>
      <c r="H19" s="13">
        <f t="shared" si="1"/>
        <v>365</v>
      </c>
    </row>
    <row r="20" spans="1:8" x14ac:dyDescent="0.25">
      <c r="A20" s="16">
        <v>13</v>
      </c>
      <c r="B20" s="30">
        <f>'График дифференц'!B20</f>
        <v>46456</v>
      </c>
      <c r="C20" s="31">
        <f t="shared" si="0"/>
        <v>97669539.149999991</v>
      </c>
      <c r="D20" s="31">
        <f>IF(A20&lt;umumiy_malumot!$B$82,'График аннуитет.'!F20-'График аннуитет.'!E20,'График аннуитет.'!C20)</f>
        <v>8687843.040000001</v>
      </c>
      <c r="E20" s="31">
        <f>ROUND(C20*umumiy_malumot!$B$85/H20,2)*'График аннуитет.'!G20</f>
        <v>4120851.84</v>
      </c>
      <c r="F20" s="31">
        <f>IF(A20&lt;umumiy_malumot!$B$82,'График аннуитет.'!F19,'График аннуитет.'!D20+'График аннуитет.'!E20)</f>
        <v>12808694.880000001</v>
      </c>
      <c r="G20" s="13">
        <f t="shared" si="2"/>
        <v>28</v>
      </c>
      <c r="H20" s="13">
        <f t="shared" si="1"/>
        <v>365</v>
      </c>
    </row>
    <row r="21" spans="1:8" x14ac:dyDescent="0.25">
      <c r="A21" s="16">
        <v>14</v>
      </c>
      <c r="B21" s="30">
        <f>'График дифференц'!B21</f>
        <v>46489</v>
      </c>
      <c r="C21" s="31">
        <f t="shared" si="0"/>
        <v>88981696.109999985</v>
      </c>
      <c r="D21" s="31">
        <f>IF(A21&lt;umumiy_malumot!$B$82,'График аннуитет.'!F21-'График аннуитет.'!E21,'График аннуитет.'!C21)</f>
        <v>8383988.5500000007</v>
      </c>
      <c r="E21" s="31">
        <f>ROUND(C21*umumiy_malumot!$B$85/H21,2)*'График аннуитет.'!G21</f>
        <v>4424706.33</v>
      </c>
      <c r="F21" s="31">
        <f>IF(A21&lt;umumiy_malumot!$B$82,'График аннуитет.'!F20,'График аннуитет.'!D21+'График аннуитет.'!E21)</f>
        <v>12808694.880000001</v>
      </c>
      <c r="G21" s="13">
        <f t="shared" si="2"/>
        <v>33</v>
      </c>
      <c r="H21" s="13">
        <f t="shared" si="1"/>
        <v>365</v>
      </c>
    </row>
    <row r="22" spans="1:8" x14ac:dyDescent="0.25">
      <c r="A22" s="16">
        <v>15</v>
      </c>
      <c r="B22" s="30">
        <f>'График дифференц'!B22</f>
        <v>46517</v>
      </c>
      <c r="C22" s="31">
        <f t="shared" si="0"/>
        <v>80597707.559999987</v>
      </c>
      <c r="D22" s="31">
        <f>IF(A22&lt;umumiy_malumot!$B$82,'График аннуитет.'!F22-'График аннуитет.'!E22,'График аннуитет.'!C22)</f>
        <v>9408134.0800000001</v>
      </c>
      <c r="E22" s="31">
        <f>ROUND(C22*umumiy_malumot!$B$85/H22,2)*'График аннуитет.'!G22</f>
        <v>3400560.8000000003</v>
      </c>
      <c r="F22" s="31">
        <f>IF(A22&lt;umumiy_malumot!$B$82,'График аннуитет.'!F21,'График аннуитет.'!D22+'График аннуитет.'!E22)</f>
        <v>12808694.880000001</v>
      </c>
      <c r="G22" s="13">
        <f t="shared" si="2"/>
        <v>28</v>
      </c>
      <c r="H22" s="13">
        <f t="shared" si="1"/>
        <v>365</v>
      </c>
    </row>
    <row r="23" spans="1:8" x14ac:dyDescent="0.25">
      <c r="A23" s="16">
        <v>16</v>
      </c>
      <c r="B23" s="30">
        <f>'График дифференц'!B23</f>
        <v>46548</v>
      </c>
      <c r="C23" s="31">
        <f t="shared" si="0"/>
        <v>71189573.479999989</v>
      </c>
      <c r="D23" s="31">
        <f>IF(A23&lt;umumiy_malumot!$B$82,'График аннуитет.'!F23-'График аннуитет.'!E23,'График аннуитет.'!C23)</f>
        <v>9483264.120000001</v>
      </c>
      <c r="E23" s="31">
        <f>ROUND(C23*umumiy_malumot!$B$85/H23,2)*'График аннуитет.'!G23</f>
        <v>3325430.7600000002</v>
      </c>
      <c r="F23" s="31">
        <f>IF(A23&lt;umumiy_malumot!$B$82,'График аннуитет.'!F22,'График аннуитет.'!D23+'График аннуитет.'!E23)</f>
        <v>12808694.880000001</v>
      </c>
      <c r="G23" s="13">
        <f t="shared" si="2"/>
        <v>31</v>
      </c>
      <c r="H23" s="13">
        <f t="shared" si="1"/>
        <v>365</v>
      </c>
    </row>
    <row r="24" spans="1:8" x14ac:dyDescent="0.25">
      <c r="A24" s="16">
        <v>17</v>
      </c>
      <c r="B24" s="30">
        <f>'График дифференц'!B24</f>
        <v>46580</v>
      </c>
      <c r="C24" s="31">
        <f t="shared" si="0"/>
        <v>61706309.359999985</v>
      </c>
      <c r="D24" s="31">
        <f>IF(A24&lt;umumiy_malumot!$B$82,'График аннуитет.'!F24-'График аннуитет.'!E24,'График аннуитет.'!C24)</f>
        <v>9833267.3600000013</v>
      </c>
      <c r="E24" s="31">
        <f>ROUND(C24*umumiy_malumot!$B$85/H24,2)*'График аннуитет.'!G24</f>
        <v>2975427.52</v>
      </c>
      <c r="F24" s="31">
        <f>IF(A24&lt;umumiy_malumot!$B$82,'График аннуитет.'!F23,'График аннуитет.'!D24+'График аннуитет.'!E24)</f>
        <v>12808694.880000001</v>
      </c>
      <c r="G24" s="13">
        <f t="shared" si="2"/>
        <v>32</v>
      </c>
      <c r="H24" s="13">
        <f t="shared" si="1"/>
        <v>365</v>
      </c>
    </row>
    <row r="25" spans="1:8" x14ac:dyDescent="0.25">
      <c r="A25" s="16">
        <v>18</v>
      </c>
      <c r="B25" s="30">
        <f>'График дифференц'!B25</f>
        <v>46609</v>
      </c>
      <c r="C25" s="31">
        <f t="shared" si="0"/>
        <v>51873041.999999985</v>
      </c>
      <c r="D25" s="31">
        <f>IF(A25&lt;umumiy_malumot!$B$82,'График аннуитет.'!F25-'График аннуитет.'!E25,'График аннуитет.'!C25)</f>
        <v>10541913.940000001</v>
      </c>
      <c r="E25" s="31">
        <f>ROUND(C25*umumiy_malumot!$B$85/H25,2)*'График аннуитет.'!G25</f>
        <v>2266780.94</v>
      </c>
      <c r="F25" s="31">
        <f>IF(A25&lt;umumiy_malumot!$B$82,'График аннуитет.'!F24,'График аннуитет.'!D25+'График аннуитет.'!E25)</f>
        <v>12808694.880000001</v>
      </c>
      <c r="G25" s="13">
        <f>B25-B24</f>
        <v>29</v>
      </c>
      <c r="H25" s="13">
        <f t="shared" si="1"/>
        <v>365</v>
      </c>
    </row>
    <row r="26" spans="1:8" x14ac:dyDescent="0.25">
      <c r="A26" s="16">
        <v>19</v>
      </c>
      <c r="B26" s="30">
        <f>'График дифференц'!B26</f>
        <v>46640</v>
      </c>
      <c r="C26" s="31">
        <f t="shared" si="0"/>
        <v>41331128.059999987</v>
      </c>
      <c r="D26" s="31">
        <f>IF(A26&lt;umumiy_malumot!$B$82,'График аннуитет.'!F26-'График аннуитет.'!E26,'График аннуитет.'!C26)</f>
        <v>10878021.700000001</v>
      </c>
      <c r="E26" s="31">
        <f>ROUND(C26*umumiy_malumot!$B$85/H26,2)*'График аннуитет.'!G26</f>
        <v>1930673.18</v>
      </c>
      <c r="F26" s="31">
        <f>IF(A26&lt;umumiy_malumot!$B$82,'График аннуитет.'!F25,'График аннуитет.'!D26+'График аннуитет.'!E26)</f>
        <v>12808694.880000001</v>
      </c>
      <c r="G26" s="13">
        <f t="shared" ref="G26:G30" si="3">B26-B25</f>
        <v>31</v>
      </c>
      <c r="H26" s="13">
        <f t="shared" si="1"/>
        <v>365</v>
      </c>
    </row>
    <row r="27" spans="1:8" x14ac:dyDescent="0.25">
      <c r="A27" s="16">
        <v>20</v>
      </c>
      <c r="B27" s="30">
        <f>'График дифференц'!B27</f>
        <v>46671</v>
      </c>
      <c r="C27" s="31">
        <f t="shared" si="0"/>
        <v>30453106.359999985</v>
      </c>
      <c r="D27" s="31">
        <f>IF(A27&lt;umumiy_malumot!$B$82,'График аннуитет.'!F27-'График аннуитет.'!E27,'График аннуитет.'!C27)</f>
        <v>11386159.440000001</v>
      </c>
      <c r="E27" s="31">
        <f>ROUND(C27*umumiy_malumot!$B$85/H27,2)*'График аннуитет.'!G27</f>
        <v>1422535.44</v>
      </c>
      <c r="F27" s="31">
        <f>IF(A27&lt;umumiy_malumot!$B$82,'График аннуитет.'!F26,'График аннуитет.'!D27+'График аннуитет.'!E27)</f>
        <v>12808694.880000001</v>
      </c>
      <c r="G27" s="13">
        <f t="shared" si="3"/>
        <v>31</v>
      </c>
      <c r="H27" s="13">
        <f t="shared" si="1"/>
        <v>365</v>
      </c>
    </row>
    <row r="28" spans="1:8" x14ac:dyDescent="0.25">
      <c r="A28" s="16">
        <v>21</v>
      </c>
      <c r="B28" s="30">
        <f>'График дифференц'!B28</f>
        <v>46701</v>
      </c>
      <c r="C28" s="31">
        <f t="shared" si="0"/>
        <v>19066946.919999983</v>
      </c>
      <c r="D28" s="31">
        <f>IF(A28&lt;umumiy_malumot!$B$82,'График аннуитет.'!F28-'График аннуитет.'!E28,'График аннуитет.'!C28)</f>
        <v>11946764.280000001</v>
      </c>
      <c r="E28" s="31">
        <f>ROUND(C28*umumiy_malumot!$B$85/H28,2)*'График аннуитет.'!G28</f>
        <v>861930.6</v>
      </c>
      <c r="F28" s="31">
        <f>IF(A28&lt;umumiy_malumot!$B$82,'График аннуитет.'!F27,'График аннуитет.'!D28+'График аннуитет.'!E28)</f>
        <v>12808694.880000001</v>
      </c>
      <c r="G28" s="13">
        <f t="shared" si="3"/>
        <v>30</v>
      </c>
      <c r="H28" s="13">
        <f t="shared" si="1"/>
        <v>365</v>
      </c>
    </row>
    <row r="29" spans="1:8" x14ac:dyDescent="0.25">
      <c r="A29" s="16">
        <v>22</v>
      </c>
      <c r="B29" s="30">
        <f>'График дифференц'!B29</f>
        <v>46731</v>
      </c>
      <c r="C29" s="31">
        <f t="shared" si="0"/>
        <v>7120182.639999982</v>
      </c>
      <c r="D29" s="31">
        <f>IF(A29&lt;umumiy_malumot!$B$82,'График аннуитет.'!F29-'График аннуитет.'!E29,'График аннуитет.'!C29)</f>
        <v>12486823.680000002</v>
      </c>
      <c r="E29" s="31">
        <f>ROUND(C29*umumiy_malumot!$B$85/H29,2)*'График аннуитет.'!G29</f>
        <v>321871.2</v>
      </c>
      <c r="F29" s="31">
        <f>IF(A29&lt;umumiy_malumot!$B$82,'График аннуитет.'!F28,'График аннуитет.'!D29+'График аннуитет.'!E29)</f>
        <v>12808694.880000001</v>
      </c>
      <c r="G29" s="13">
        <f t="shared" si="3"/>
        <v>30</v>
      </c>
      <c r="H29" s="13">
        <f t="shared" si="1"/>
        <v>365</v>
      </c>
    </row>
    <row r="30" spans="1:8" x14ac:dyDescent="0.25">
      <c r="A30" s="16">
        <v>23</v>
      </c>
      <c r="B30" s="30">
        <f>'График дифференц'!B30</f>
        <v>46762</v>
      </c>
      <c r="C30" s="31">
        <f t="shared" si="0"/>
        <v>-5366641.0400000196</v>
      </c>
      <c r="D30" s="31">
        <f>IF(A30&lt;umumiy_malumot!$B$82,'График аннуитет.'!F30-'График аннуитет.'!E30,'График аннуитет.'!C30)</f>
        <v>13058698.100000001</v>
      </c>
      <c r="E30" s="31">
        <f>ROUND(C30*umumiy_malumot!$B$85/H30,2)*'График аннуитет.'!G30</f>
        <v>-250003.22</v>
      </c>
      <c r="F30" s="31">
        <f>IF(A30&lt;umumiy_malumot!$B$82,'График аннуитет.'!F29,'График аннуитет.'!D30+'График аннуитет.'!E30)</f>
        <v>12808694.880000001</v>
      </c>
      <c r="G30" s="13">
        <f t="shared" si="3"/>
        <v>31</v>
      </c>
      <c r="H30" s="13">
        <f t="shared" si="1"/>
        <v>366</v>
      </c>
    </row>
    <row r="31" spans="1:8" x14ac:dyDescent="0.25">
      <c r="A31" s="16">
        <v>24</v>
      </c>
      <c r="B31" s="30">
        <f>'График дифференц'!B31</f>
        <v>46793</v>
      </c>
      <c r="C31" s="31">
        <f t="shared" ref="C31" si="4">C30-D30</f>
        <v>-18425339.140000023</v>
      </c>
      <c r="D31" s="31">
        <f>IF(A31&lt;umumiy_malumot!$B$82,'График аннуитет.'!F31-'График аннуитет.'!E31,'График аннуитет.'!C31)</f>
        <v>13667033.73</v>
      </c>
      <c r="E31" s="31">
        <f>ROUND(C31*umumiy_malumot!$B$85/H31,2)*'График аннуитет.'!G31</f>
        <v>-858338.85</v>
      </c>
      <c r="F31" s="31">
        <f>IF(A31&lt;umumiy_malumot!$B$82,'График аннуитет.'!F30,'График аннуитет.'!D31+'График аннуитет.'!E31)</f>
        <v>12808694.880000001</v>
      </c>
      <c r="G31" s="13">
        <f>B31-B30</f>
        <v>31</v>
      </c>
      <c r="H31" s="13">
        <f t="shared" si="1"/>
        <v>366</v>
      </c>
    </row>
    <row r="32" spans="1:8" x14ac:dyDescent="0.25">
      <c r="A32" s="16">
        <f>1+A31</f>
        <v>25</v>
      </c>
      <c r="B32" s="30">
        <f>'График дифференц'!B32</f>
        <v>46822</v>
      </c>
      <c r="C32" s="31">
        <f t="shared" ref="C32:C43" si="5">C31-D31</f>
        <v>-32092372.870000023</v>
      </c>
      <c r="D32" s="31">
        <f>IF(A32&lt;umumiy_malumot!$B$82,'График аннуитет.'!F32-'График аннуитет.'!E32,'График аннуитет.'!C32)</f>
        <v>14207255.84</v>
      </c>
      <c r="E32" s="31">
        <f>ROUND(C32*umumiy_malumot!$B$85/H32,2)*'График аннуитет.'!G32</f>
        <v>-1398560.96</v>
      </c>
      <c r="F32" s="31">
        <f>IF(A32&lt;umumiy_malumot!$B$82,'График аннуитет.'!F31,'График аннуитет.'!D32+'График аннуитет.'!E32)</f>
        <v>12808694.880000001</v>
      </c>
      <c r="G32" s="13">
        <f t="shared" ref="G32:G43" si="6">B32-B31</f>
        <v>29</v>
      </c>
      <c r="H32" s="13">
        <f t="shared" ref="H32:H43" si="7">DATE(YEAR(B32),12,31)-DATE(YEAR(B32),1,1)+1</f>
        <v>366</v>
      </c>
    </row>
    <row r="33" spans="1:8" x14ac:dyDescent="0.25">
      <c r="A33" s="16">
        <f t="shared" ref="A33:A55" si="8">1+A32</f>
        <v>26</v>
      </c>
      <c r="B33" s="30">
        <f>'График дифференц'!B33</f>
        <v>46853</v>
      </c>
      <c r="C33" s="31">
        <f t="shared" si="5"/>
        <v>-46299628.710000023</v>
      </c>
      <c r="D33" s="31">
        <f>IF(A33&lt;umumiy_malumot!$B$82,'График аннуитет.'!F33-'График аннуитет.'!E33,'График аннуитет.'!C33)</f>
        <v>14965549.020000001</v>
      </c>
      <c r="E33" s="31">
        <f>ROUND(C33*umumiy_malumot!$B$85/H33,2)*'График аннуитет.'!G33</f>
        <v>-2156854.14</v>
      </c>
      <c r="F33" s="31">
        <f>IF(A33&lt;umumiy_malumot!$B$82,'График аннуитет.'!F32,'График аннуитет.'!D33+'График аннуитет.'!E33)</f>
        <v>12808694.880000001</v>
      </c>
      <c r="G33" s="13">
        <f t="shared" si="6"/>
        <v>31</v>
      </c>
      <c r="H33" s="13">
        <f t="shared" si="7"/>
        <v>366</v>
      </c>
    </row>
    <row r="34" spans="1:8" x14ac:dyDescent="0.25">
      <c r="A34" s="16">
        <f t="shared" si="8"/>
        <v>27</v>
      </c>
      <c r="B34" s="30">
        <f>'График дифференц'!B34</f>
        <v>46883</v>
      </c>
      <c r="C34" s="31">
        <f t="shared" si="5"/>
        <v>-61265177.730000027</v>
      </c>
      <c r="D34" s="31">
        <f>IF(A34&lt;umumiy_malumot!$B$82,'График аннуитет.'!F34-'График аннуитет.'!E34,'График аннуитет.'!C34)</f>
        <v>15570649.680000002</v>
      </c>
      <c r="E34" s="31">
        <f>ROUND(C34*umumiy_malumot!$B$85/H34,2)*'График аннуитет.'!G34</f>
        <v>-2761954.8000000003</v>
      </c>
      <c r="F34" s="31">
        <f>IF(A34&lt;umumiy_malumot!$B$82,'График аннуитет.'!F33,'График аннуитет.'!D34+'График аннуитет.'!E34)</f>
        <v>12808694.880000001</v>
      </c>
      <c r="G34" s="13">
        <f t="shared" si="6"/>
        <v>30</v>
      </c>
      <c r="H34" s="13">
        <f t="shared" si="7"/>
        <v>366</v>
      </c>
    </row>
    <row r="35" spans="1:8" x14ac:dyDescent="0.25">
      <c r="A35" s="16">
        <f t="shared" si="8"/>
        <v>28</v>
      </c>
      <c r="B35" s="30">
        <f>'График дифференц'!B35</f>
        <v>46916</v>
      </c>
      <c r="C35" s="31">
        <f t="shared" si="5"/>
        <v>-76835827.410000026</v>
      </c>
      <c r="D35" s="31">
        <f>IF(A35&lt;umumiy_malumot!$B$82,'График аннуитет.'!F35-'График аннуитет.'!E35,'График аннуитет.'!C35)</f>
        <v>16618996.32</v>
      </c>
      <c r="E35" s="31">
        <f>ROUND(C35*umumiy_malumot!$B$85/H35,2)*'График аннуитет.'!G35</f>
        <v>-3810301.44</v>
      </c>
      <c r="F35" s="31">
        <f>IF(A35&lt;umumiy_malumot!$B$82,'График аннуитет.'!F34,'График аннуитет.'!D35+'График аннуитет.'!E35)</f>
        <v>12808694.880000001</v>
      </c>
      <c r="G35" s="13">
        <f t="shared" si="6"/>
        <v>33</v>
      </c>
      <c r="H35" s="13">
        <f t="shared" si="7"/>
        <v>366</v>
      </c>
    </row>
    <row r="36" spans="1:8" x14ac:dyDescent="0.25">
      <c r="A36" s="16">
        <f t="shared" si="8"/>
        <v>29</v>
      </c>
      <c r="B36" s="30">
        <f>'График дифференц'!B36</f>
        <v>46944</v>
      </c>
      <c r="C36" s="31">
        <f t="shared" si="5"/>
        <v>-93454823.730000019</v>
      </c>
      <c r="D36" s="31">
        <f>IF(A36&lt;umumiy_malumot!$B$82,'График аннуитет.'!F36-'График аннуитет.'!E36,'График аннуитет.'!C36)</f>
        <v>16740947.120000001</v>
      </c>
      <c r="E36" s="31">
        <f>ROUND(C36*umumiy_malumot!$B$85/H36,2)*'График аннуитет.'!G36</f>
        <v>-3932252.2399999998</v>
      </c>
      <c r="F36" s="31">
        <f>IF(A36&lt;umumiy_malumot!$B$82,'График аннуитет.'!F35,'График аннуитет.'!D36+'График аннуитет.'!E36)</f>
        <v>12808694.880000001</v>
      </c>
      <c r="G36" s="13">
        <f t="shared" si="6"/>
        <v>28</v>
      </c>
      <c r="H36" s="13">
        <f t="shared" si="7"/>
        <v>366</v>
      </c>
    </row>
    <row r="37" spans="1:8" x14ac:dyDescent="0.25">
      <c r="A37" s="16">
        <f t="shared" si="8"/>
        <v>30</v>
      </c>
      <c r="B37" s="30">
        <f>'График дифференц'!B37</f>
        <v>46975</v>
      </c>
      <c r="C37" s="31">
        <f t="shared" si="5"/>
        <v>-110195770.85000002</v>
      </c>
      <c r="D37" s="31">
        <f>IF(A37&lt;umumiy_malumot!$B$82,'График аннуитет.'!F37-'График аннуитет.'!E37,'График аннуитет.'!C37)</f>
        <v>17942131.82</v>
      </c>
      <c r="E37" s="31">
        <f>ROUND(C37*umumiy_malumot!$B$85/H37,2)*'График аннуитет.'!G37</f>
        <v>-5133436.9399999995</v>
      </c>
      <c r="F37" s="31">
        <f>IF(A37&lt;umumiy_malumot!$B$82,'График аннуитет.'!F36,'График аннуитет.'!D37+'График аннуитет.'!E37)</f>
        <v>12808694.880000001</v>
      </c>
      <c r="G37" s="13">
        <f t="shared" si="6"/>
        <v>31</v>
      </c>
      <c r="H37" s="13">
        <f t="shared" si="7"/>
        <v>366</v>
      </c>
    </row>
    <row r="38" spans="1:8" x14ac:dyDescent="0.25">
      <c r="A38" s="16">
        <f t="shared" si="8"/>
        <v>31</v>
      </c>
      <c r="B38" s="30">
        <f>'График дифференц'!B38</f>
        <v>47007</v>
      </c>
      <c r="C38" s="31">
        <f t="shared" si="5"/>
        <v>-128137902.67000002</v>
      </c>
      <c r="D38" s="31">
        <f>IF(A38&lt;umumiy_malumot!$B$82,'График аннуитет.'!F38-'График аннуитет.'!E38,'График аннуитет.'!C38)</f>
        <v>18970517.600000001</v>
      </c>
      <c r="E38" s="31">
        <f>ROUND(C38*umumiy_malumot!$B$85/H38,2)*'График аннуитет.'!G38</f>
        <v>-6161822.7199999997</v>
      </c>
      <c r="F38" s="31">
        <f>IF(A38&lt;umumiy_malumot!$B$82,'График аннуитет.'!F37,'График аннуитет.'!D38+'График аннуитет.'!E38)</f>
        <v>12808694.880000001</v>
      </c>
      <c r="G38" s="13">
        <f t="shared" si="6"/>
        <v>32</v>
      </c>
      <c r="H38" s="13">
        <f t="shared" si="7"/>
        <v>366</v>
      </c>
    </row>
    <row r="39" spans="1:8" x14ac:dyDescent="0.25">
      <c r="A39" s="16">
        <f t="shared" si="8"/>
        <v>32</v>
      </c>
      <c r="B39" s="30">
        <f>'График дифференц'!B39</f>
        <v>47036</v>
      </c>
      <c r="C39" s="31">
        <f t="shared" si="5"/>
        <v>-147108420.27000001</v>
      </c>
      <c r="D39" s="31">
        <f>IF(A39&lt;umumiy_malumot!$B$82,'График аннуитет.'!F39-'График аннуитет.'!E39,'График аннуитет.'!C39)</f>
        <v>19219567.41</v>
      </c>
      <c r="E39" s="31">
        <f>ROUND(C39*umumiy_malumot!$B$85/H39,2)*'График аннуитет.'!G39</f>
        <v>-6410872.5300000003</v>
      </c>
      <c r="F39" s="31">
        <f>IF(A39&lt;umumiy_malumot!$B$82,'График аннуитет.'!F38,'График аннуитет.'!D39+'График аннуитет.'!E39)</f>
        <v>12808694.880000001</v>
      </c>
      <c r="G39" s="13">
        <f t="shared" si="6"/>
        <v>29</v>
      </c>
      <c r="H39" s="13">
        <f t="shared" si="7"/>
        <v>366</v>
      </c>
    </row>
    <row r="40" spans="1:8" x14ac:dyDescent="0.25">
      <c r="A40" s="16">
        <f t="shared" si="8"/>
        <v>33</v>
      </c>
      <c r="B40" s="30">
        <f>'График дифференц'!B40</f>
        <v>47067</v>
      </c>
      <c r="C40" s="31">
        <f t="shared" si="5"/>
        <v>-166327987.68000001</v>
      </c>
      <c r="D40" s="31">
        <f>IF(A40&lt;umumiy_malumot!$B$82,'График аннуитет.'!F40-'График аннуитет.'!E40,'График аннуитет.'!C40)</f>
        <v>20557034.210000001</v>
      </c>
      <c r="E40" s="31">
        <f>ROUND(C40*umumiy_malumot!$B$85/H40,2)*'График аннуитет.'!G40</f>
        <v>-7748339.3300000001</v>
      </c>
      <c r="F40" s="31">
        <f>IF(A40&lt;umumiy_malumot!$B$82,'График аннуитет.'!F39,'График аннуитет.'!D40+'График аннуитет.'!E40)</f>
        <v>12808694.880000001</v>
      </c>
      <c r="G40" s="13">
        <f t="shared" si="6"/>
        <v>31</v>
      </c>
      <c r="H40" s="13">
        <f t="shared" si="7"/>
        <v>366</v>
      </c>
    </row>
    <row r="41" spans="1:8" x14ac:dyDescent="0.25">
      <c r="A41" s="16">
        <f t="shared" si="8"/>
        <v>34</v>
      </c>
      <c r="B41" s="30">
        <f>'График дифференц'!B41</f>
        <v>47098</v>
      </c>
      <c r="C41" s="31">
        <f t="shared" si="5"/>
        <v>-186885021.89000002</v>
      </c>
      <c r="D41" s="31">
        <f>IF(A41&lt;umumiy_malumot!$B$82,'График аннуитет.'!F41-'График аннуитет.'!E41,'График аннуитет.'!C41)</f>
        <v>21514677.530000001</v>
      </c>
      <c r="E41" s="31">
        <f>ROUND(C41*umumiy_malumot!$B$85/H41,2)*'График аннуитет.'!G41</f>
        <v>-8705982.6500000004</v>
      </c>
      <c r="F41" s="31">
        <f>IF(A41&lt;umumiy_malumot!$B$82,'График аннуитет.'!F40,'График аннуитет.'!D41+'График аннуитет.'!E41)</f>
        <v>12808694.880000001</v>
      </c>
      <c r="G41" s="13">
        <f t="shared" si="6"/>
        <v>31</v>
      </c>
      <c r="H41" s="13">
        <f t="shared" si="7"/>
        <v>366</v>
      </c>
    </row>
    <row r="42" spans="1:8" x14ac:dyDescent="0.25">
      <c r="A42" s="16">
        <f t="shared" si="8"/>
        <v>35</v>
      </c>
      <c r="B42" s="30">
        <f>'График дифференц'!B42</f>
        <v>47128</v>
      </c>
      <c r="C42" s="31">
        <f t="shared" si="5"/>
        <v>-208399699.42000002</v>
      </c>
      <c r="D42" s="31">
        <f>IF(A42&lt;umumiy_malumot!$B$82,'График аннуитет.'!F42-'График аннуитет.'!E42,'График аннуитет.'!C42)</f>
        <v>22229503.079999998</v>
      </c>
      <c r="E42" s="31">
        <f>ROUND(C42*umumiy_malumot!$B$85/H42,2)*'График аннуитет.'!G42</f>
        <v>-9420808.1999999993</v>
      </c>
      <c r="F42" s="31">
        <f>IF(A42&lt;umumiy_malumot!$B$82,'График аннуитет.'!F41,'График аннуитет.'!D42+'График аннуитет.'!E42)</f>
        <v>12808694.880000001</v>
      </c>
      <c r="G42" s="13">
        <f t="shared" si="6"/>
        <v>30</v>
      </c>
      <c r="H42" s="13">
        <f t="shared" si="7"/>
        <v>365</v>
      </c>
    </row>
    <row r="43" spans="1:8" x14ac:dyDescent="0.25">
      <c r="A43" s="16">
        <f t="shared" si="8"/>
        <v>36</v>
      </c>
      <c r="B43" s="30">
        <f>'График дифференц'!B43</f>
        <v>47165</v>
      </c>
      <c r="C43" s="31">
        <f t="shared" si="5"/>
        <v>-230629202.5</v>
      </c>
      <c r="D43" s="31">
        <f>IF(A43&lt;umumiy_malumot!$B$82,'График аннуитет.'!F43-'График аннуитет.'!E43,'График аннуитет.'!C43)</f>
        <v>-230629202.5</v>
      </c>
      <c r="E43" s="31">
        <f>ROUND(C43*umumiy_malumot!$B$85/H43,2)*'График аннуитет.'!G43</f>
        <v>-12858368.020000001</v>
      </c>
      <c r="F43" s="31">
        <f>IF(A43&lt;umumiy_malumot!$B$82,'График аннуитет.'!F42,'График аннуитет.'!D43+'График аннуитет.'!E43)</f>
        <v>-243487570.52000001</v>
      </c>
      <c r="G43" s="13">
        <f t="shared" si="6"/>
        <v>37</v>
      </c>
      <c r="H43" s="13">
        <f t="shared" si="7"/>
        <v>365</v>
      </c>
    </row>
    <row r="44" spans="1:8" x14ac:dyDescent="0.25">
      <c r="A44" s="16">
        <f t="shared" si="8"/>
        <v>37</v>
      </c>
      <c r="B44" s="30" t="b">
        <f>'График дифференц'!B44</f>
        <v>0</v>
      </c>
      <c r="C44" s="31">
        <f t="shared" ref="C44:C55" si="9">C43-D43</f>
        <v>0</v>
      </c>
      <c r="D44" s="31">
        <f>IF(A44&lt;umumiy_malumot!$B$82,'График аннуитет.'!F44-'График аннуитет.'!E44,'График аннуитет.'!C44)</f>
        <v>0</v>
      </c>
      <c r="E44" s="31">
        <f>ROUND(C44*umumiy_malumot!$B$85/H44,2)*'График аннуитет.'!G44</f>
        <v>0</v>
      </c>
      <c r="F44" s="31">
        <f>IF(A44&lt;umumiy_malumot!$B$82,'График аннуитет.'!F43,'График аннуитет.'!D44+'График аннуитет.'!E44)</f>
        <v>0</v>
      </c>
      <c r="G44" s="13">
        <f t="shared" ref="G44:G55" si="10">B44-B43</f>
        <v>-47165</v>
      </c>
      <c r="H44" s="13">
        <f t="shared" ref="H44:H55" si="11">DATE(YEAR(B44),12,31)-DATE(YEAR(B44),1,1)+1</f>
        <v>366</v>
      </c>
    </row>
    <row r="45" spans="1:8" x14ac:dyDescent="0.25">
      <c r="A45" s="16">
        <f t="shared" si="8"/>
        <v>38</v>
      </c>
      <c r="B45" s="30" t="b">
        <f>'График дифференц'!B45</f>
        <v>0</v>
      </c>
      <c r="C45" s="31">
        <f t="shared" si="9"/>
        <v>0</v>
      </c>
      <c r="D45" s="31">
        <f>IF(A45&lt;umumiy_malumot!$B$82,'График аннуитет.'!F45-'График аннуитет.'!E45,'График аннуитет.'!C45)</f>
        <v>0</v>
      </c>
      <c r="E45" s="31">
        <f>ROUND(C45*umumiy_malumot!$B$85/H45,2)*'График аннуитет.'!G45</f>
        <v>0</v>
      </c>
      <c r="F45" s="31">
        <f>IF(A45&lt;umumiy_malumot!$B$82,'График аннуитет.'!F44,'График аннуитет.'!D45+'График аннуитет.'!E45)</f>
        <v>0</v>
      </c>
      <c r="G45" s="13">
        <f t="shared" si="10"/>
        <v>0</v>
      </c>
      <c r="H45" s="13">
        <f t="shared" si="11"/>
        <v>366</v>
      </c>
    </row>
    <row r="46" spans="1:8" x14ac:dyDescent="0.25">
      <c r="A46" s="16">
        <f t="shared" si="8"/>
        <v>39</v>
      </c>
      <c r="B46" s="30" t="b">
        <f>'График дифференц'!B46</f>
        <v>0</v>
      </c>
      <c r="C46" s="31">
        <f t="shared" si="9"/>
        <v>0</v>
      </c>
      <c r="D46" s="31">
        <f>IF(A46&lt;umumiy_malumot!$B$82,'График аннуитет.'!F46-'График аннуитет.'!E46,'График аннуитет.'!C46)</f>
        <v>0</v>
      </c>
      <c r="E46" s="31">
        <f>ROUND(C46*umumiy_malumot!$B$85/H46,2)*'График аннуитет.'!G46</f>
        <v>0</v>
      </c>
      <c r="F46" s="31">
        <f>IF(A46&lt;umumiy_malumot!$B$82,'График аннуитет.'!F45,'График аннуитет.'!D46+'График аннуитет.'!E46)</f>
        <v>0</v>
      </c>
      <c r="G46" s="13">
        <f t="shared" si="10"/>
        <v>0</v>
      </c>
      <c r="H46" s="13">
        <f t="shared" si="11"/>
        <v>366</v>
      </c>
    </row>
    <row r="47" spans="1:8" x14ac:dyDescent="0.25">
      <c r="A47" s="16">
        <f t="shared" si="8"/>
        <v>40</v>
      </c>
      <c r="B47" s="30" t="b">
        <f>'График дифференц'!B47</f>
        <v>0</v>
      </c>
      <c r="C47" s="31">
        <f t="shared" si="9"/>
        <v>0</v>
      </c>
      <c r="D47" s="31">
        <f>IF(A47&lt;umumiy_malumot!$B$82,'График аннуитет.'!F47-'График аннуитет.'!E47,'График аннуитет.'!C47)</f>
        <v>0</v>
      </c>
      <c r="E47" s="31">
        <f>ROUND(C47*umumiy_malumot!$B$85/H47,2)*'График аннуитет.'!G47</f>
        <v>0</v>
      </c>
      <c r="F47" s="31">
        <f>IF(A47&lt;umumiy_malumot!$B$82,'График аннуитет.'!F46,'График аннуитет.'!D47+'График аннуитет.'!E47)</f>
        <v>0</v>
      </c>
      <c r="G47" s="13">
        <f t="shared" si="10"/>
        <v>0</v>
      </c>
      <c r="H47" s="13">
        <f t="shared" si="11"/>
        <v>366</v>
      </c>
    </row>
    <row r="48" spans="1:8" x14ac:dyDescent="0.25">
      <c r="A48" s="16">
        <f t="shared" si="8"/>
        <v>41</v>
      </c>
      <c r="B48" s="30" t="b">
        <f>'График дифференц'!B48</f>
        <v>0</v>
      </c>
      <c r="C48" s="31">
        <f t="shared" si="9"/>
        <v>0</v>
      </c>
      <c r="D48" s="31">
        <f>IF(A48&lt;umumiy_malumot!$B$82,'График аннуитет.'!F48-'График аннуитет.'!E48,'График аннуитет.'!C48)</f>
        <v>0</v>
      </c>
      <c r="E48" s="31">
        <f>ROUND(C48*umumiy_malumot!$B$85/H48,2)*'График аннуитет.'!G48</f>
        <v>0</v>
      </c>
      <c r="F48" s="31">
        <f>IF(A48&lt;umumiy_malumot!$B$82,'График аннуитет.'!F47,'График аннуитет.'!D48+'График аннуитет.'!E48)</f>
        <v>0</v>
      </c>
      <c r="G48" s="13">
        <f t="shared" si="10"/>
        <v>0</v>
      </c>
      <c r="H48" s="13">
        <f t="shared" si="11"/>
        <v>366</v>
      </c>
    </row>
    <row r="49" spans="1:8" x14ac:dyDescent="0.25">
      <c r="A49" s="16">
        <f t="shared" si="8"/>
        <v>42</v>
      </c>
      <c r="B49" s="30" t="b">
        <f>'График дифференц'!B49</f>
        <v>0</v>
      </c>
      <c r="C49" s="31">
        <f t="shared" si="9"/>
        <v>0</v>
      </c>
      <c r="D49" s="31">
        <f>IF(A49&lt;umumiy_malumot!$B$82,'График аннуитет.'!F49-'График аннуитет.'!E49,'График аннуитет.'!C49)</f>
        <v>0</v>
      </c>
      <c r="E49" s="31">
        <f>ROUND(C49*umumiy_malumot!$B$85/H49,2)*'График аннуитет.'!G49</f>
        <v>0</v>
      </c>
      <c r="F49" s="31">
        <f>IF(A49&lt;umumiy_malumot!$B$82,'График аннуитет.'!F48,'График аннуитет.'!D49+'График аннуитет.'!E49)</f>
        <v>0</v>
      </c>
      <c r="G49" s="13">
        <f t="shared" si="10"/>
        <v>0</v>
      </c>
      <c r="H49" s="13">
        <f t="shared" si="11"/>
        <v>366</v>
      </c>
    </row>
    <row r="50" spans="1:8" x14ac:dyDescent="0.25">
      <c r="A50" s="16">
        <f t="shared" si="8"/>
        <v>43</v>
      </c>
      <c r="B50" s="30" t="b">
        <f>'График дифференц'!B50</f>
        <v>0</v>
      </c>
      <c r="C50" s="31">
        <f t="shared" si="9"/>
        <v>0</v>
      </c>
      <c r="D50" s="31">
        <f>IF(A50&lt;umumiy_malumot!$B$82,'График аннуитет.'!F50-'График аннуитет.'!E50,'График аннуитет.'!C50)</f>
        <v>0</v>
      </c>
      <c r="E50" s="31">
        <f>ROUND(C50*umumiy_malumot!$B$85/H50,2)*'График аннуитет.'!G50</f>
        <v>0</v>
      </c>
      <c r="F50" s="31">
        <f>IF(A50&lt;umumiy_malumot!$B$82,'График аннуитет.'!F49,'График аннуитет.'!D50+'График аннуитет.'!E50)</f>
        <v>0</v>
      </c>
      <c r="G50" s="13">
        <f t="shared" si="10"/>
        <v>0</v>
      </c>
      <c r="H50" s="13">
        <f t="shared" si="11"/>
        <v>366</v>
      </c>
    </row>
    <row r="51" spans="1:8" x14ac:dyDescent="0.25">
      <c r="A51" s="16">
        <f t="shared" si="8"/>
        <v>44</v>
      </c>
      <c r="B51" s="30" t="b">
        <f>'График дифференц'!B51</f>
        <v>0</v>
      </c>
      <c r="C51" s="31">
        <f t="shared" si="9"/>
        <v>0</v>
      </c>
      <c r="D51" s="31">
        <f>IF(A51&lt;umumiy_malumot!$B$82,'График аннуитет.'!F51-'График аннуитет.'!E51,'График аннуитет.'!C51)</f>
        <v>0</v>
      </c>
      <c r="E51" s="31">
        <f>ROUND(C51*umumiy_malumot!$B$85/H51,2)*'График аннуитет.'!G51</f>
        <v>0</v>
      </c>
      <c r="F51" s="31">
        <f>IF(A51&lt;umumiy_malumot!$B$82,'График аннуитет.'!F50,'График аннуитет.'!D51+'График аннуитет.'!E51)</f>
        <v>0</v>
      </c>
      <c r="G51" s="13">
        <f t="shared" si="10"/>
        <v>0</v>
      </c>
      <c r="H51" s="13">
        <f t="shared" si="11"/>
        <v>366</v>
      </c>
    </row>
    <row r="52" spans="1:8" x14ac:dyDescent="0.25">
      <c r="A52" s="16">
        <f t="shared" si="8"/>
        <v>45</v>
      </c>
      <c r="B52" s="30" t="b">
        <f>'График дифференц'!B52</f>
        <v>0</v>
      </c>
      <c r="C52" s="31">
        <f t="shared" si="9"/>
        <v>0</v>
      </c>
      <c r="D52" s="31">
        <f>IF(A52&lt;umumiy_malumot!$B$82,'График аннуитет.'!F52-'График аннуитет.'!E52,'График аннуитет.'!C52)</f>
        <v>0</v>
      </c>
      <c r="E52" s="31">
        <f>ROUND(C52*umumiy_malumot!$B$85/H52,2)*'График аннуитет.'!G52</f>
        <v>0</v>
      </c>
      <c r="F52" s="31">
        <f>IF(A52&lt;umumiy_malumot!$B$82,'График аннуитет.'!F51,'График аннуитет.'!D52+'График аннуитет.'!E52)</f>
        <v>0</v>
      </c>
      <c r="G52" s="13">
        <f t="shared" si="10"/>
        <v>0</v>
      </c>
      <c r="H52" s="13">
        <f t="shared" si="11"/>
        <v>366</v>
      </c>
    </row>
    <row r="53" spans="1:8" x14ac:dyDescent="0.25">
      <c r="A53" s="16">
        <f t="shared" si="8"/>
        <v>46</v>
      </c>
      <c r="B53" s="30" t="b">
        <f>'График дифференц'!B53</f>
        <v>0</v>
      </c>
      <c r="C53" s="31">
        <f t="shared" si="9"/>
        <v>0</v>
      </c>
      <c r="D53" s="31">
        <f>IF(A53&lt;umumiy_malumot!$B$82,'График аннуитет.'!F53-'График аннуитет.'!E53,'График аннуитет.'!C53)</f>
        <v>0</v>
      </c>
      <c r="E53" s="31">
        <f>ROUND(C53*umumiy_malumot!$B$85/H53,2)*'График аннуитет.'!G53</f>
        <v>0</v>
      </c>
      <c r="F53" s="31">
        <f>IF(A53&lt;umumiy_malumot!$B$82,'График аннуитет.'!F52,'График аннуитет.'!D53+'График аннуитет.'!E53)</f>
        <v>0</v>
      </c>
      <c r="G53" s="13">
        <f t="shared" si="10"/>
        <v>0</v>
      </c>
      <c r="H53" s="13">
        <f t="shared" si="11"/>
        <v>366</v>
      </c>
    </row>
    <row r="54" spans="1:8" x14ac:dyDescent="0.25">
      <c r="A54" s="16">
        <f t="shared" si="8"/>
        <v>47</v>
      </c>
      <c r="B54" s="30" t="b">
        <f>'График дифференц'!B54</f>
        <v>0</v>
      </c>
      <c r="C54" s="31">
        <f t="shared" si="9"/>
        <v>0</v>
      </c>
      <c r="D54" s="31">
        <f>IF(A54&lt;umumiy_malumot!$B$82,'График аннуитет.'!F54-'График аннуитет.'!E54,'График аннуитет.'!C54)</f>
        <v>0</v>
      </c>
      <c r="E54" s="31">
        <f>ROUND(C54*umumiy_malumot!$B$85/H54,2)*'График аннуитет.'!G54</f>
        <v>0</v>
      </c>
      <c r="F54" s="31">
        <f>IF(A54&lt;umumiy_malumot!$B$82,'График аннуитет.'!F53,'График аннуитет.'!D54+'График аннуитет.'!E54)</f>
        <v>0</v>
      </c>
      <c r="G54" s="13">
        <f t="shared" si="10"/>
        <v>0</v>
      </c>
      <c r="H54" s="13">
        <f t="shared" si="11"/>
        <v>366</v>
      </c>
    </row>
    <row r="55" spans="1:8" x14ac:dyDescent="0.25">
      <c r="A55" s="16">
        <f t="shared" si="8"/>
        <v>48</v>
      </c>
      <c r="B55" s="30" t="b">
        <f>'График дифференц'!B55</f>
        <v>0</v>
      </c>
      <c r="C55" s="31">
        <f t="shared" si="9"/>
        <v>0</v>
      </c>
      <c r="D55" s="31">
        <f>IF(A55&lt;umumiy_malumot!$B$82,'График аннуитет.'!F55-'График аннуитет.'!E55,'График аннуитет.'!C55)</f>
        <v>0</v>
      </c>
      <c r="E55" s="31">
        <f>ROUND(C55*umumiy_malumot!$B$85/H55,2)*'График аннуитет.'!G55</f>
        <v>0</v>
      </c>
      <c r="F55" s="31">
        <f>IF(A55&lt;umumiy_malumot!$B$82,'График аннуитет.'!F54,'График аннуитет.'!D55+'График аннуитет.'!E55)</f>
        <v>0</v>
      </c>
      <c r="G55" s="13">
        <f t="shared" si="10"/>
        <v>0</v>
      </c>
      <c r="H55" s="13">
        <f t="shared" si="11"/>
        <v>366</v>
      </c>
    </row>
    <row r="56" spans="1:8" x14ac:dyDescent="0.25">
      <c r="A56" s="43"/>
      <c r="B56" s="44" t="s">
        <v>6</v>
      </c>
      <c r="C56" s="45"/>
      <c r="D56" s="45">
        <f>SUM(D8:D55)</f>
        <v>175000000.00000006</v>
      </c>
      <c r="E56" s="45">
        <f t="shared" ref="E56:F56" si="12">SUM(E8:E55)</f>
        <v>29816750.280000038</v>
      </c>
      <c r="F56" s="45">
        <f t="shared" si="12"/>
        <v>204816750.27999988</v>
      </c>
    </row>
    <row r="57" spans="1:8" ht="9" customHeight="1" x14ac:dyDescent="0.25">
      <c r="B57" s="32"/>
      <c r="C57" s="33"/>
      <c r="D57" s="33"/>
      <c r="E57" s="33"/>
      <c r="F57" s="33"/>
    </row>
    <row r="58" spans="1:8" ht="47.25" customHeight="1" x14ac:dyDescent="0.25">
      <c r="A58" s="271" t="s">
        <v>16</v>
      </c>
      <c r="B58" s="271"/>
      <c r="C58" s="271"/>
      <c r="D58" s="271"/>
      <c r="E58" s="271"/>
      <c r="F58" s="271"/>
    </row>
    <row r="59" spans="1:8" ht="7.5" customHeight="1" x14ac:dyDescent="0.25"/>
    <row r="60" spans="1:8" x14ac:dyDescent="0.25">
      <c r="A60" s="330" t="e">
        <f>#REF!</f>
        <v>#REF!</v>
      </c>
      <c r="B60" s="330"/>
      <c r="C60" s="330"/>
      <c r="D60" s="330" t="e">
        <f>#REF!</f>
        <v>#REF!</v>
      </c>
      <c r="E60" s="330"/>
      <c r="F60" s="330"/>
    </row>
    <row r="61" spans="1:8" ht="11.25" customHeight="1" x14ac:dyDescent="0.25">
      <c r="A61" s="331"/>
      <c r="B61" s="331"/>
      <c r="C61" s="331"/>
      <c r="D61" s="331"/>
      <c r="E61" s="331"/>
      <c r="F61" s="331"/>
    </row>
    <row r="62" spans="1:8" ht="30" customHeight="1" x14ac:dyDescent="0.25">
      <c r="A62" s="312" t="e">
        <f>#REF!</f>
        <v>#REF!</v>
      </c>
      <c r="B62" s="312"/>
      <c r="C62" s="312"/>
      <c r="D62" s="312" t="e">
        <f>#REF!</f>
        <v>#REF!</v>
      </c>
      <c r="E62" s="312"/>
      <c r="F62" s="312"/>
    </row>
    <row r="63" spans="1:8" ht="32.25" customHeight="1" x14ac:dyDescent="0.25">
      <c r="A63" s="326" t="e">
        <f>#REF!</f>
        <v>#REF!</v>
      </c>
      <c r="B63" s="326"/>
      <c r="C63" s="326"/>
      <c r="D63" s="326" t="e">
        <f>#REF!</f>
        <v>#REF!</v>
      </c>
      <c r="E63" s="326"/>
      <c r="F63" s="326"/>
    </row>
    <row r="64" spans="1:8" x14ac:dyDescent="0.25">
      <c r="A64" s="326" t="e">
        <f>#REF!</f>
        <v>#REF!</v>
      </c>
      <c r="B64" s="326"/>
      <c r="C64" s="326"/>
      <c r="D64" s="326" t="str">
        <f>"паспорт серии "&amp;umumiy_malumot!B16&amp;", "&amp;umumiy_malumot!B20&amp;""</f>
        <v>паспорт серии AE 5547691, IIV 27256 tomonidan 22.12.2025 yilda berilgan</v>
      </c>
      <c r="E64" s="326"/>
      <c r="F64" s="326"/>
    </row>
    <row r="65" spans="1:6" ht="32.25" customHeight="1" x14ac:dyDescent="0.25">
      <c r="A65" s="326" t="e">
        <f>#REF!</f>
        <v>#REF!</v>
      </c>
      <c r="B65" s="326"/>
      <c r="C65" s="326"/>
      <c r="D65" s="326"/>
      <c r="E65" s="326"/>
      <c r="F65" s="326"/>
    </row>
    <row r="66" spans="1:6" x14ac:dyDescent="0.25">
      <c r="A66" s="326" t="e">
        <f>#REF!</f>
        <v>#REF!</v>
      </c>
      <c r="B66" s="326"/>
      <c r="C66" s="326"/>
      <c r="D66" s="326" t="e">
        <f>#REF!</f>
        <v>#REF!</v>
      </c>
      <c r="E66" s="326"/>
      <c r="F66" s="326"/>
    </row>
    <row r="67" spans="1:6" x14ac:dyDescent="0.25">
      <c r="A67" s="326" t="e">
        <f>#REF!</f>
        <v>#REF!</v>
      </c>
      <c r="B67" s="326"/>
      <c r="C67" s="326"/>
      <c r="D67" s="326" t="e">
        <f>#REF!</f>
        <v>#REF!</v>
      </c>
      <c r="E67" s="326"/>
      <c r="F67" s="326"/>
    </row>
    <row r="68" spans="1:6" x14ac:dyDescent="0.25">
      <c r="A68" s="326" t="e">
        <f>#REF!</f>
        <v>#REF!</v>
      </c>
      <c r="B68" s="326"/>
      <c r="C68" s="326"/>
      <c r="D68" s="326" t="e">
        <f>#REF!</f>
        <v>#REF!</v>
      </c>
      <c r="E68" s="326"/>
      <c r="F68" s="326"/>
    </row>
    <row r="69" spans="1:6" ht="8.25" customHeight="1" x14ac:dyDescent="0.25">
      <c r="A69" s="326"/>
      <c r="B69" s="326"/>
      <c r="C69" s="326"/>
      <c r="D69" s="326"/>
      <c r="E69" s="326"/>
      <c r="F69" s="326"/>
    </row>
    <row r="70" spans="1:6" x14ac:dyDescent="0.25">
      <c r="A70" s="312" t="e">
        <f>#REF!</f>
        <v>#REF!</v>
      </c>
      <c r="B70" s="312"/>
      <c r="C70" s="312"/>
      <c r="D70" s="312" t="e">
        <f>#REF!</f>
        <v>#REF!</v>
      </c>
      <c r="E70" s="312"/>
      <c r="F70" s="312"/>
    </row>
    <row r="71" spans="1:6" ht="7.5" customHeight="1" x14ac:dyDescent="0.25">
      <c r="A71" s="312"/>
      <c r="B71" s="312"/>
      <c r="C71" s="312"/>
      <c r="D71" s="312"/>
      <c r="E71" s="312"/>
      <c r="F71" s="312"/>
    </row>
    <row r="72" spans="1:6" x14ac:dyDescent="0.25">
      <c r="A72" s="312" t="e">
        <f>#REF!</f>
        <v>#REF!</v>
      </c>
      <c r="B72" s="312"/>
      <c r="C72" s="312"/>
      <c r="D72" s="312" t="e">
        <f>#REF!</f>
        <v>#REF!</v>
      </c>
      <c r="E72" s="312"/>
      <c r="F72" s="312"/>
    </row>
    <row r="73" spans="1:6" ht="8.25" customHeight="1" x14ac:dyDescent="0.25">
      <c r="A73" s="326"/>
      <c r="B73" s="326"/>
      <c r="C73" s="326"/>
      <c r="D73" s="326"/>
      <c r="E73" s="326"/>
      <c r="F73" s="326"/>
    </row>
    <row r="74" spans="1:6" ht="30" customHeight="1" x14ac:dyDescent="0.25">
      <c r="A74" s="327"/>
      <c r="B74" s="327"/>
      <c r="C74" s="327"/>
      <c r="D74" s="328"/>
      <c r="E74" s="328"/>
      <c r="F74" s="328"/>
    </row>
    <row r="75" spans="1:6" x14ac:dyDescent="0.25">
      <c r="A75" s="329"/>
      <c r="B75" s="329"/>
      <c r="C75" s="329"/>
      <c r="D75" s="329"/>
      <c r="E75" s="329"/>
      <c r="F75" s="329"/>
    </row>
    <row r="76" spans="1:6" x14ac:dyDescent="0.25">
      <c r="A76" s="325"/>
      <c r="B76" s="325"/>
      <c r="C76" s="325"/>
      <c r="D76" s="325"/>
      <c r="E76" s="325"/>
      <c r="F76" s="325"/>
    </row>
  </sheetData>
  <mergeCells count="40">
    <mergeCell ref="E1:F1"/>
    <mergeCell ref="A4:F4"/>
    <mergeCell ref="A6:A7"/>
    <mergeCell ref="B6:B7"/>
    <mergeCell ref="C6:C7"/>
    <mergeCell ref="D6:F6"/>
    <mergeCell ref="A66:C66"/>
    <mergeCell ref="D66:F66"/>
    <mergeCell ref="A58:F58"/>
    <mergeCell ref="A60:C60"/>
    <mergeCell ref="D60:F60"/>
    <mergeCell ref="A61:C61"/>
    <mergeCell ref="D61:F61"/>
    <mergeCell ref="A62:C62"/>
    <mergeCell ref="D62:F62"/>
    <mergeCell ref="A63:C63"/>
    <mergeCell ref="D63:F63"/>
    <mergeCell ref="A64:C64"/>
    <mergeCell ref="D64:F65"/>
    <mergeCell ref="A65:C65"/>
    <mergeCell ref="A67:C67"/>
    <mergeCell ref="D67:F67"/>
    <mergeCell ref="A68:C68"/>
    <mergeCell ref="D68:F68"/>
    <mergeCell ref="A69:C69"/>
    <mergeCell ref="D69:F69"/>
    <mergeCell ref="A70:C70"/>
    <mergeCell ref="D70:F70"/>
    <mergeCell ref="A71:C71"/>
    <mergeCell ref="D71:F71"/>
    <mergeCell ref="A72:C72"/>
    <mergeCell ref="D72:F72"/>
    <mergeCell ref="A76:C76"/>
    <mergeCell ref="D76:F76"/>
    <mergeCell ref="A73:C73"/>
    <mergeCell ref="D73:F73"/>
    <mergeCell ref="A74:C74"/>
    <mergeCell ref="D74:F74"/>
    <mergeCell ref="A75:C75"/>
    <mergeCell ref="D75:F75"/>
  </mergeCells>
  <conditionalFormatting sqref="B8:B55">
    <cfRule type="cellIs" dxfId="2" priority="3" operator="lessThan">
      <formula>22105</formula>
    </cfRule>
  </conditionalFormatting>
  <conditionalFormatting sqref="C8:C55">
    <cfRule type="cellIs" dxfId="1" priority="2" operator="lessThan">
      <formula>1</formula>
    </cfRule>
  </conditionalFormatting>
  <conditionalFormatting sqref="C8:F55">
    <cfRule type="cellIs" dxfId="0" priority="1" operator="lessThan">
      <formula>0.1</formula>
    </cfRule>
  </conditionalFormatting>
  <pageMargins left="0.7" right="0.7" top="0.75" bottom="0.75" header="0.3" footer="0.3"/>
  <pageSetup paperSize="9" scale="92"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7" zoomScaleSheetLayoutView="100" workbookViewId="0">
      <selection activeCell="B17" sqref="B17"/>
    </sheetView>
  </sheetViews>
  <sheetFormatPr defaultColWidth="9.140625" defaultRowHeight="15" x14ac:dyDescent="0.25"/>
  <cols>
    <col min="1" max="1" width="3.42578125" style="13" customWidth="1"/>
    <col min="2" max="3" width="17.85546875" style="18" customWidth="1"/>
    <col min="4" max="4" width="15" style="18" customWidth="1"/>
    <col min="5" max="5" width="17.85546875" style="18" customWidth="1"/>
    <col min="6" max="6" width="9" style="18" customWidth="1"/>
    <col min="7" max="7" width="4.7109375" style="18" customWidth="1"/>
    <col min="8" max="16384" width="9.140625" style="13"/>
  </cols>
  <sheetData>
    <row r="1" spans="2:7" ht="15.75" thickBot="1" x14ac:dyDescent="0.3"/>
    <row r="2" spans="2:7" ht="62.25" customHeight="1" x14ac:dyDescent="0.35">
      <c r="B2" s="374" t="str">
        <f>umumiy_malumot!B159</f>
        <v>«PULLOL BUSINESS MIKROMOLIYA TASHKILOTI»  MChJ</v>
      </c>
      <c r="C2" s="375"/>
      <c r="D2" s="375"/>
      <c r="E2" s="375"/>
      <c r="F2" s="376"/>
      <c r="G2" s="38"/>
    </row>
    <row r="3" spans="2:7" x14ac:dyDescent="0.25">
      <c r="B3" s="366"/>
      <c r="C3" s="329"/>
      <c r="D3" s="329"/>
      <c r="E3" s="329"/>
      <c r="F3" s="367"/>
      <c r="G3" s="39"/>
    </row>
    <row r="4" spans="2:7" ht="8.25" customHeight="1" x14ac:dyDescent="0.25">
      <c r="B4" s="51"/>
      <c r="F4" s="52"/>
      <c r="G4" s="39"/>
    </row>
    <row r="5" spans="2:7" ht="12" customHeight="1" x14ac:dyDescent="0.25">
      <c r="B5" s="41"/>
      <c r="C5" s="39"/>
      <c r="D5" s="39"/>
      <c r="E5" s="39"/>
      <c r="F5" s="42"/>
      <c r="G5" s="39"/>
    </row>
    <row r="6" spans="2:7" ht="6.75" customHeight="1" x14ac:dyDescent="0.25">
      <c r="B6" s="41"/>
      <c r="C6" s="39"/>
      <c r="D6" s="39"/>
      <c r="E6" s="39"/>
      <c r="F6" s="42"/>
      <c r="G6" s="39"/>
    </row>
    <row r="7" spans="2:7" ht="6.75" customHeight="1" x14ac:dyDescent="0.25">
      <c r="B7" s="41"/>
      <c r="C7" s="39"/>
      <c r="D7" s="39"/>
      <c r="E7" s="39"/>
      <c r="F7" s="42"/>
      <c r="G7" s="39"/>
    </row>
    <row r="8" spans="2:7" x14ac:dyDescent="0.25">
      <c r="B8" s="41"/>
      <c r="C8" s="39"/>
      <c r="D8" s="39"/>
      <c r="E8" s="39"/>
      <c r="F8" s="42"/>
      <c r="G8" s="39"/>
    </row>
    <row r="9" spans="2:7" x14ac:dyDescent="0.25">
      <c r="B9" s="41"/>
      <c r="C9" s="39"/>
      <c r="D9" s="39"/>
      <c r="E9" s="39"/>
      <c r="F9" s="42"/>
      <c r="G9" s="39"/>
    </row>
    <row r="10" spans="2:7" x14ac:dyDescent="0.25">
      <c r="B10" s="366" t="s">
        <v>22</v>
      </c>
      <c r="C10" s="329"/>
      <c r="D10" s="329"/>
      <c r="E10" s="329"/>
      <c r="F10" s="367"/>
      <c r="G10" s="39"/>
    </row>
    <row r="11" spans="2:7" x14ac:dyDescent="0.25">
      <c r="B11" s="366" t="s">
        <v>22</v>
      </c>
      <c r="C11" s="329"/>
      <c r="D11" s="329"/>
      <c r="E11" s="329"/>
      <c r="F11" s="367"/>
      <c r="G11" s="39"/>
    </row>
    <row r="12" spans="2:7" ht="135" customHeight="1" x14ac:dyDescent="0.8">
      <c r="B12" s="377" t="str">
        <f>umumiy_malumot!B5</f>
        <v>NORINBOYEVA SOXIBA IZZATILLAYEVNA</v>
      </c>
      <c r="C12" s="378"/>
      <c r="D12" s="378"/>
      <c r="E12" s="378"/>
      <c r="F12" s="379"/>
      <c r="G12" s="40"/>
    </row>
    <row r="13" spans="2:7" x14ac:dyDescent="0.25">
      <c r="B13" s="366"/>
      <c r="C13" s="329"/>
      <c r="D13" s="329"/>
      <c r="E13" s="329"/>
      <c r="F13" s="367"/>
      <c r="G13" s="39"/>
    </row>
    <row r="14" spans="2:7" x14ac:dyDescent="0.25">
      <c r="B14" s="41"/>
      <c r="C14" s="39"/>
      <c r="D14" s="39"/>
      <c r="E14" s="39"/>
      <c r="F14" s="42"/>
      <c r="G14" s="39"/>
    </row>
    <row r="15" spans="2:7" x14ac:dyDescent="0.25">
      <c r="B15" s="41"/>
      <c r="C15" s="39"/>
      <c r="D15" s="39"/>
      <c r="E15" s="39"/>
      <c r="F15" s="42"/>
      <c r="G15" s="39"/>
    </row>
    <row r="16" spans="2:7" x14ac:dyDescent="0.25">
      <c r="B16" s="41"/>
      <c r="C16" s="39"/>
      <c r="D16" s="39"/>
      <c r="E16" s="39"/>
      <c r="F16" s="42"/>
      <c r="G16" s="39"/>
    </row>
    <row r="17" spans="2:7" x14ac:dyDescent="0.25">
      <c r="B17" s="41"/>
      <c r="C17" s="39"/>
      <c r="D17" s="39"/>
      <c r="E17" s="39"/>
      <c r="F17" s="42"/>
      <c r="G17" s="39"/>
    </row>
    <row r="18" spans="2:7" x14ac:dyDescent="0.25">
      <c r="B18" s="366"/>
      <c r="C18" s="329"/>
      <c r="D18" s="329"/>
      <c r="E18" s="329"/>
      <c r="F18" s="367"/>
      <c r="G18" s="39"/>
    </row>
    <row r="19" spans="2:7" ht="20.25" x14ac:dyDescent="0.3">
      <c r="B19" s="371" t="str">
        <f>""&amp;umumiy_malumot!C64&amp;" shartnoma "&amp;umumiy_malumot!B74&amp;""</f>
        <v>Mikrokredit shartnoma 16 fevral 2026 y.dan № 110</v>
      </c>
      <c r="C19" s="372"/>
      <c r="D19" s="372"/>
      <c r="E19" s="372"/>
      <c r="F19" s="373"/>
      <c r="G19" s="39"/>
    </row>
    <row r="20" spans="2:7" x14ac:dyDescent="0.25">
      <c r="B20" s="366"/>
      <c r="C20" s="329"/>
      <c r="D20" s="329"/>
      <c r="E20" s="329"/>
      <c r="F20" s="367"/>
      <c r="G20" s="39"/>
    </row>
    <row r="21" spans="2:7" x14ac:dyDescent="0.25">
      <c r="B21" s="366"/>
      <c r="C21" s="329"/>
      <c r="D21" s="329"/>
      <c r="E21" s="329"/>
      <c r="F21" s="367"/>
      <c r="G21" s="39"/>
    </row>
    <row r="22" spans="2:7" x14ac:dyDescent="0.25">
      <c r="B22" s="366"/>
      <c r="C22" s="329"/>
      <c r="D22" s="329"/>
      <c r="E22" s="329"/>
      <c r="F22" s="367"/>
      <c r="G22" s="39"/>
    </row>
    <row r="23" spans="2:7" x14ac:dyDescent="0.25">
      <c r="B23" s="366"/>
      <c r="C23" s="329"/>
      <c r="D23" s="329"/>
      <c r="E23" s="329"/>
      <c r="F23" s="367"/>
      <c r="G23" s="39"/>
    </row>
    <row r="24" spans="2:7" x14ac:dyDescent="0.25">
      <c r="B24" s="368" t="str">
        <f>" Foiz stavkasi: "&amp;umumiy_malumot!B86&amp;"%"</f>
        <v xml:space="preserve"> Foiz stavkasi: 55%</v>
      </c>
      <c r="C24" s="369"/>
      <c r="D24" s="369"/>
      <c r="E24" s="369"/>
      <c r="F24" s="370"/>
      <c r="G24" s="39"/>
    </row>
    <row r="25" spans="2:7" ht="15" customHeight="1" x14ac:dyDescent="0.25">
      <c r="B25" s="368" t="str">
        <f>" "&amp;umumiy_malumot!C64&amp;" muddati: "&amp;umumiy_malumot!B82&amp;" oy"</f>
        <v xml:space="preserve"> Mikrokredit muddati: 36 oy</v>
      </c>
      <c r="C25" s="369"/>
      <c r="D25" s="369"/>
      <c r="E25" s="369"/>
      <c r="F25" s="370"/>
      <c r="G25" s="39"/>
    </row>
    <row r="26" spans="2:7" x14ac:dyDescent="0.25">
      <c r="B26" s="368" t="str">
        <f>" "&amp;umumiy_malumot!C64&amp;" miqdori: "&amp;FIXED(umumiy_malumot!B76,2)&amp;" so'm"</f>
        <v xml:space="preserve"> Mikrokredit miqdori: 175 000 000,00 so'm</v>
      </c>
      <c r="C26" s="369"/>
      <c r="D26" s="369"/>
      <c r="E26" s="369"/>
      <c r="F26" s="370"/>
      <c r="G26" s="39"/>
    </row>
    <row r="27" spans="2:7" x14ac:dyDescent="0.25">
      <c r="B27" s="366"/>
      <c r="C27" s="329"/>
      <c r="D27" s="329"/>
      <c r="E27" s="329"/>
      <c r="F27" s="367"/>
      <c r="G27" s="39"/>
    </row>
    <row r="28" spans="2:7" hidden="1" x14ac:dyDescent="0.25">
      <c r="G28" s="39"/>
    </row>
    <row r="29" spans="2:7" x14ac:dyDescent="0.25">
      <c r="B29" s="366"/>
      <c r="C29" s="329"/>
      <c r="D29" s="329"/>
      <c r="E29" s="329"/>
      <c r="F29" s="367"/>
      <c r="G29" s="39"/>
    </row>
    <row r="30" spans="2:7" ht="12.75" customHeight="1" x14ac:dyDescent="0.25">
      <c r="B30" s="41"/>
      <c r="C30" s="39"/>
      <c r="D30" s="39"/>
      <c r="E30" s="39"/>
      <c r="F30" s="42"/>
      <c r="G30" s="39"/>
    </row>
    <row r="31" spans="2:7" x14ac:dyDescent="0.25">
      <c r="B31" s="41"/>
      <c r="C31" s="39"/>
      <c r="D31" s="39"/>
      <c r="E31" s="39"/>
      <c r="F31" s="42"/>
      <c r="G31" s="39"/>
    </row>
    <row r="32" spans="2:7" ht="2.25" customHeight="1" x14ac:dyDescent="0.25">
      <c r="B32" s="41"/>
      <c r="C32" s="39"/>
      <c r="D32" s="39"/>
      <c r="E32" s="39"/>
      <c r="F32" s="42"/>
      <c r="G32" s="39"/>
    </row>
    <row r="33" spans="2:7" x14ac:dyDescent="0.25">
      <c r="B33" s="41"/>
      <c r="C33" s="39"/>
      <c r="D33" s="39"/>
      <c r="E33" s="39"/>
      <c r="F33" s="42"/>
      <c r="G33" s="39"/>
    </row>
    <row r="34" spans="2:7" x14ac:dyDescent="0.25">
      <c r="B34" s="41"/>
      <c r="C34" s="39"/>
      <c r="D34" s="39"/>
      <c r="E34" s="39"/>
      <c r="F34" s="42"/>
      <c r="G34" s="39"/>
    </row>
    <row r="35" spans="2:7" x14ac:dyDescent="0.25">
      <c r="B35" s="41"/>
      <c r="C35" s="39"/>
      <c r="D35" s="39"/>
      <c r="E35" s="39"/>
      <c r="F35" s="42"/>
      <c r="G35" s="39"/>
    </row>
    <row r="36" spans="2:7" x14ac:dyDescent="0.25">
      <c r="B36" s="41"/>
      <c r="C36" s="39"/>
      <c r="D36" s="39"/>
      <c r="E36" s="39"/>
      <c r="F36" s="42"/>
      <c r="G36" s="39"/>
    </row>
    <row r="37" spans="2:7" x14ac:dyDescent="0.25">
      <c r="B37" s="41"/>
      <c r="C37" s="39"/>
      <c r="D37" s="39"/>
      <c r="E37" s="39"/>
      <c r="F37" s="42"/>
      <c r="G37" s="39"/>
    </row>
    <row r="38" spans="2:7" x14ac:dyDescent="0.25">
      <c r="B38" s="41"/>
      <c r="C38" s="39"/>
      <c r="D38" s="39"/>
      <c r="E38" s="39"/>
      <c r="F38" s="42"/>
      <c r="G38" s="39"/>
    </row>
    <row r="39" spans="2:7" x14ac:dyDescent="0.25">
      <c r="B39" s="41"/>
      <c r="C39" s="39"/>
      <c r="D39" s="39"/>
      <c r="E39" s="39"/>
      <c r="F39" s="42"/>
      <c r="G39" s="39"/>
    </row>
    <row r="40" spans="2:7" ht="15.75" thickBot="1" x14ac:dyDescent="0.3">
      <c r="B40" s="363" t="str">
        <f>"Toshkent sh., "&amp;umumiy_malumot!B70&amp;""</f>
        <v>Toshkent sh., 16 fevral 2026 y.</v>
      </c>
      <c r="C40" s="364"/>
      <c r="D40" s="364"/>
      <c r="E40" s="364"/>
      <c r="F40" s="365"/>
      <c r="G40" s="39"/>
    </row>
    <row r="41" spans="2:7" x14ac:dyDescent="0.25">
      <c r="B41" s="329"/>
      <c r="C41" s="329"/>
      <c r="D41" s="329"/>
      <c r="E41" s="329"/>
      <c r="F41" s="329"/>
      <c r="G41" s="39"/>
    </row>
    <row r="42" spans="2:7" x14ac:dyDescent="0.25">
      <c r="B42" s="329"/>
      <c r="C42" s="329"/>
      <c r="D42" s="329"/>
      <c r="E42" s="329"/>
      <c r="F42" s="329"/>
      <c r="G42" s="39"/>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8"/>
  <sheetViews>
    <sheetView view="pageBreakPreview" zoomScale="115" zoomScaleNormal="115" zoomScaleSheetLayoutView="115" workbookViewId="0">
      <selection activeCell="B12" sqref="B12:C12"/>
    </sheetView>
  </sheetViews>
  <sheetFormatPr defaultColWidth="8" defaultRowHeight="12.75" x14ac:dyDescent="0.25"/>
  <cols>
    <col min="1" max="1" width="49.140625" style="221" customWidth="1"/>
    <col min="2" max="2" width="45.85546875" style="221" customWidth="1"/>
    <col min="3" max="3" width="2.7109375" style="221" customWidth="1"/>
    <col min="4" max="4" width="1.85546875" style="221" customWidth="1"/>
    <col min="5" max="16384" width="8" style="221"/>
  </cols>
  <sheetData>
    <row r="1" spans="1:3" ht="65.25" customHeight="1" x14ac:dyDescent="0.25">
      <c r="A1" s="385" t="s">
        <v>419</v>
      </c>
      <c r="B1" s="386"/>
    </row>
    <row r="2" spans="1:3" ht="30" customHeight="1" x14ac:dyDescent="0.25">
      <c r="A2" s="387" t="s">
        <v>420</v>
      </c>
      <c r="B2" s="387"/>
    </row>
    <row r="3" spans="1:3" ht="17.100000000000001" customHeight="1" x14ac:dyDescent="0.25">
      <c r="A3" s="222"/>
      <c r="B3" s="223" t="str">
        <f>"                       "&amp;umumiy_malumot!B70&amp;""</f>
        <v xml:space="preserve">                       16 fevral 2026 y.</v>
      </c>
    </row>
    <row r="4" spans="1:3" ht="17.100000000000001" customHeight="1" x14ac:dyDescent="0.25">
      <c r="A4" s="388" t="str">
        <f>"To'lovchi: "&amp;umumiy_malumot!B5&amp;""</f>
        <v>To'lovchi: NORINBOYEVA SOXIBA IZZATILLAYEVNA</v>
      </c>
      <c r="B4" s="388"/>
    </row>
    <row r="5" spans="1:3" ht="17.100000000000001" customHeight="1" x14ac:dyDescent="0.25">
      <c r="A5" s="221" t="s">
        <v>421</v>
      </c>
    </row>
    <row r="6" spans="1:3" ht="49.5" customHeight="1" x14ac:dyDescent="0.25">
      <c r="A6" s="389" t="str">
        <f>"muvofiq, "&amp;umumiy_malumot!B70&amp;""&amp;umumiy_malumot!B1&amp;"-sonli Mikroqarz shartnomasi bo‘yicha Qarz oluvchi sifatida menga nisbatan Mikromoliya tashkiloti «PULLOL BUSINESS MIKROMOLIYA TASHKILOTI» MChJ va AО CK «IMPEX INSURANCE» sug’urta kompaniyasi o‘rtasida tuzilgan garov yoki boshqa turdagi "</f>
        <v xml:space="preserve">muvofiq, 16 fevral 2026 y.№ 110-sonli Mikroqarz shartnomasi bo‘yicha Qarz oluvchi sifatida menga nisbatan Mikromoliya tashkiloti «PULLOL BUSINESS MIKROMOLIYA TASHKILOTI» MChJ va AО CK «IMPEX INSURANCE» sug’urta kompaniyasi o‘rtasida tuzilgan garov yoki boshqa turdagi </v>
      </c>
      <c r="B6" s="389"/>
    </row>
    <row r="7" spans="1:3" ht="51.75" customHeight="1" x14ac:dyDescent="0.25">
      <c r="A7" s="390" t="s">
        <v>422</v>
      </c>
      <c r="B7" s="391"/>
    </row>
    <row r="8" spans="1:3" ht="36.75" customHeight="1" x14ac:dyDescent="0.25">
      <c r="A8" s="224" t="s">
        <v>423</v>
      </c>
      <c r="B8" s="380" t="s">
        <v>424</v>
      </c>
      <c r="C8" s="381"/>
    </row>
    <row r="9" spans="1:3" ht="30" customHeight="1" x14ac:dyDescent="0.25">
      <c r="A9" s="224" t="s">
        <v>425</v>
      </c>
      <c r="B9" s="380" t="s">
        <v>426</v>
      </c>
      <c r="C9" s="381"/>
    </row>
    <row r="10" spans="1:3" ht="21" customHeight="1" x14ac:dyDescent="0.25">
      <c r="A10" s="225" t="s">
        <v>427</v>
      </c>
      <c r="B10" s="380" t="s">
        <v>428</v>
      </c>
      <c r="C10" s="381"/>
    </row>
    <row r="11" spans="1:3" ht="21" customHeight="1" x14ac:dyDescent="0.25">
      <c r="A11" s="224" t="s">
        <v>429</v>
      </c>
      <c r="B11" s="382">
        <v>0.04</v>
      </c>
      <c r="C11" s="383"/>
    </row>
    <row r="12" spans="1:3" ht="21" customHeight="1" x14ac:dyDescent="0.25">
      <c r="A12" s="224" t="s">
        <v>430</v>
      </c>
      <c r="B12" s="380"/>
      <c r="C12" s="381"/>
    </row>
    <row r="13" spans="1:3" ht="35.25" customHeight="1" x14ac:dyDescent="0.25">
      <c r="A13" s="226" t="s">
        <v>431</v>
      </c>
    </row>
    <row r="14" spans="1:3" ht="18" customHeight="1" x14ac:dyDescent="0.25">
      <c r="A14" s="221" t="s">
        <v>432</v>
      </c>
    </row>
    <row r="15" spans="1:3" ht="18" customHeight="1" x14ac:dyDescent="0.25">
      <c r="A15" s="221" t="s">
        <v>433</v>
      </c>
    </row>
    <row r="16" spans="1:3" ht="146.25" customHeight="1" x14ac:dyDescent="0.25">
      <c r="A16" s="384" t="s">
        <v>434</v>
      </c>
      <c r="B16" s="384"/>
    </row>
    <row r="17" spans="1:2" ht="24.75" customHeight="1" x14ac:dyDescent="0.25">
      <c r="A17" s="227" t="s">
        <v>435</v>
      </c>
    </row>
    <row r="18" spans="1:2" x14ac:dyDescent="0.25">
      <c r="A18" s="221" t="s">
        <v>436</v>
      </c>
      <c r="B18" s="221" t="s">
        <v>437</v>
      </c>
    </row>
  </sheetData>
  <mergeCells count="11">
    <mergeCell ref="B8:C8"/>
    <mergeCell ref="A1:B1"/>
    <mergeCell ref="A2:B2"/>
    <mergeCell ref="A4:B4"/>
    <mergeCell ref="A6:B6"/>
    <mergeCell ref="A7:B7"/>
    <mergeCell ref="B9:C9"/>
    <mergeCell ref="B10:C10"/>
    <mergeCell ref="B11:C11"/>
    <mergeCell ref="B12:C12"/>
    <mergeCell ref="A16:B16"/>
  </mergeCells>
  <pageMargins left="0.78740157480314965" right="0" top="0" bottom="0" header="0.31496062992125984" footer="0.31496062992125984"/>
  <pageSetup paperSize="9" scale="9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sheetPr>
  <dimension ref="A1:D23"/>
  <sheetViews>
    <sheetView view="pageBreakPreview" zoomScale="115" zoomScaleNormal="130" zoomScaleSheetLayoutView="115" workbookViewId="0">
      <selection activeCell="N17" sqref="N17"/>
    </sheetView>
  </sheetViews>
  <sheetFormatPr defaultColWidth="9.140625" defaultRowHeight="15.75" x14ac:dyDescent="0.25"/>
  <cols>
    <col min="1" max="1" width="16.42578125" style="6" customWidth="1"/>
    <col min="2" max="2" width="18.42578125" style="6" customWidth="1"/>
    <col min="3" max="3" width="17.5703125" style="6" customWidth="1"/>
    <col min="4" max="4" width="28.5703125" style="6" customWidth="1"/>
    <col min="5" max="16384" width="9.140625" style="6"/>
  </cols>
  <sheetData>
    <row r="1" spans="1:4" ht="33.75" customHeight="1" x14ac:dyDescent="0.25">
      <c r="C1" s="393" t="str">
        <f>umumiy_malumot!B158&amp;" direktori"</f>
        <v>«PULLOL BUSINESS MIKROMOLIYA TASHKILOTI»  MChJ direktori</v>
      </c>
      <c r="D1" s="393"/>
    </row>
    <row r="2" spans="1:4" x14ac:dyDescent="0.25">
      <c r="C2" s="394" t="s">
        <v>410</v>
      </c>
      <c r="D2" s="394"/>
    </row>
    <row r="3" spans="1:4" x14ac:dyDescent="0.25">
      <c r="C3" s="11"/>
      <c r="D3" s="11"/>
    </row>
    <row r="4" spans="1:4" ht="57.75" customHeight="1" x14ac:dyDescent="0.25">
      <c r="C4" s="309" t="str">
        <f>umumiy_malumot!B22&amp;" manzilida istiqomat qiluvchi"</f>
        <v>TOSHKENT VILOYATI CHINOZ TUMANI ALISHER NAVOIY MFY SOBIR RAHIMOV KO'CHASI 36 UY manzilida istiqomat qiluvchi</v>
      </c>
      <c r="D4" s="309"/>
    </row>
    <row r="5" spans="1:4" ht="36" customHeight="1" x14ac:dyDescent="0.25">
      <c r="C5" s="309" t="str">
        <f>umumiy_malumot!B5&amp;" tomonidan"</f>
        <v>NORINBOYEVA SOXIBA IZZATILLAYEVNA tomonidan</v>
      </c>
      <c r="D5" s="309"/>
    </row>
    <row r="6" spans="1:4" ht="56.25" customHeight="1" x14ac:dyDescent="0.25">
      <c r="C6" s="392" t="str">
        <f>"Pasport: "&amp;umumiy_malumot!B16&amp;", "&amp;umumiy_malumot!B20</f>
        <v>Pasport: AE 5547691, IIV 27256 tomonidan 22.12.2025 yilda berilgan</v>
      </c>
      <c r="D6" s="392"/>
    </row>
    <row r="8" spans="1:4" x14ac:dyDescent="0.25">
      <c r="A8" s="303" t="s">
        <v>371</v>
      </c>
      <c r="B8" s="303"/>
      <c r="C8" s="303"/>
      <c r="D8" s="303"/>
    </row>
    <row r="9" spans="1:4" ht="66" customHeight="1" x14ac:dyDescent="0.25">
      <c r="A9" s="392" t="str">
        <f>"       Men, " &amp; umumiy_malumot!B5 &amp; " sizdan " &amp; umumiy_malumot!B2 &amp; " yildagi " &amp; umumiy_malumot!B1 &amp; "-sonli kredit shartnomasiga asosan " &amp; umumiy_malumot!B76  &amp; "(" &amp; umumiy_malumot!B77 &amp; ")"  &amp; "so'm pul mablag'larini quyidagi rekvizitlar asosida o'tkazib berishingizni so'rayman: "</f>
        <v xml:space="preserve">       Men, NORINBOYEVA SOXIBA IZZATILLAYEVNA sizdan 16.02.2026 yildagi № 110-sonli kredit shartnomasiga asosan 175000000(yuz yetmish besh million so'm)so'm pul mablag'larini quyidagi rekvizitlar asosida o'tkazib berishingizni so'rayman: </v>
      </c>
      <c r="B9" s="392"/>
      <c r="C9" s="392"/>
      <c r="D9" s="392"/>
    </row>
    <row r="10" spans="1:4" x14ac:dyDescent="0.25">
      <c r="A10" s="174" t="str">
        <f>umumiy_malumot!A93</f>
        <v>Bank nomi:</v>
      </c>
      <c r="B10" s="392">
        <f>umumiy_malumot!B93</f>
        <v>0</v>
      </c>
      <c r="C10" s="392"/>
      <c r="D10" s="174"/>
    </row>
    <row r="11" spans="1:4" x14ac:dyDescent="0.25">
      <c r="A11" s="174" t="str">
        <f>umumiy_malumot!A94</f>
        <v>H/r:</v>
      </c>
      <c r="B11" s="392">
        <f>umumiy_malumot!B94</f>
        <v>0</v>
      </c>
      <c r="C11" s="392"/>
      <c r="D11" s="174"/>
    </row>
    <row r="12" spans="1:4" x14ac:dyDescent="0.25">
      <c r="A12" s="174" t="str">
        <f>umumiy_malumot!A95</f>
        <v>MFO:</v>
      </c>
      <c r="B12" s="392">
        <f>umumiy_malumot!B95</f>
        <v>0</v>
      </c>
      <c r="C12" s="392"/>
      <c r="D12" s="174"/>
    </row>
    <row r="13" spans="1:4" x14ac:dyDescent="0.25">
      <c r="A13" s="174" t="str">
        <f>umumiy_malumot!A96</f>
        <v>STIR:</v>
      </c>
      <c r="B13" s="392">
        <f>umumiy_malumot!B96</f>
        <v>0</v>
      </c>
      <c r="C13" s="392"/>
      <c r="D13" s="174"/>
    </row>
    <row r="14" spans="1:4" x14ac:dyDescent="0.25">
      <c r="A14" s="174" t="str">
        <f>umumiy_malumot!A97</f>
        <v>Karta raqami:</v>
      </c>
      <c r="B14" s="392">
        <f>umumiy_malumot!B97</f>
        <v>0</v>
      </c>
      <c r="C14" s="392"/>
      <c r="D14" s="174"/>
    </row>
    <row r="15" spans="1:4" x14ac:dyDescent="0.25">
      <c r="A15" s="174"/>
      <c r="B15" s="174"/>
      <c r="C15" s="174"/>
      <c r="D15" s="174"/>
    </row>
    <row r="16" spans="1:4" x14ac:dyDescent="0.25">
      <c r="A16" s="309" t="str">
        <f>umumiy_malumot!B5</f>
        <v>NORINBOYEVA SOXIBA IZZATILLAYEVNA</v>
      </c>
      <c r="B16" s="309"/>
      <c r="C16" s="309"/>
      <c r="D16" s="176" t="s">
        <v>378</v>
      </c>
    </row>
    <row r="17" spans="1:4" x14ac:dyDescent="0.25">
      <c r="A17" s="11"/>
      <c r="B17" s="11"/>
      <c r="C17" s="11"/>
      <c r="D17" s="177" t="s">
        <v>319</v>
      </c>
    </row>
    <row r="18" spans="1:4" x14ac:dyDescent="0.25">
      <c r="A18" s="11"/>
      <c r="B18" s="11"/>
      <c r="C18" s="11"/>
      <c r="D18" s="11"/>
    </row>
    <row r="19" spans="1:4" x14ac:dyDescent="0.25">
      <c r="A19" s="11"/>
      <c r="B19" s="11"/>
      <c r="C19" s="11"/>
      <c r="D19" s="11"/>
    </row>
    <row r="20" spans="1:4" ht="48.75" customHeight="1" x14ac:dyDescent="0.25">
      <c r="A20" s="393" t="str">
        <f>umumiy_malumot!B158&amp;" direktori"</f>
        <v>«PULLOL BUSINESS MIKROMOLIYA TASHKILOTI»  MChJ direktori</v>
      </c>
      <c r="B20" s="393"/>
      <c r="C20" s="11"/>
      <c r="D20" s="60" t="s">
        <v>408</v>
      </c>
    </row>
    <row r="23" spans="1:4" x14ac:dyDescent="0.25">
      <c r="A23" s="6" t="s">
        <v>380</v>
      </c>
      <c r="B23" s="6" t="s">
        <v>381</v>
      </c>
    </row>
  </sheetData>
  <mergeCells count="14">
    <mergeCell ref="B14:C14"/>
    <mergeCell ref="A16:C16"/>
    <mergeCell ref="A20:B20"/>
    <mergeCell ref="C1:D1"/>
    <mergeCell ref="C2:D2"/>
    <mergeCell ref="A8:D8"/>
    <mergeCell ref="C4:D4"/>
    <mergeCell ref="C5:D5"/>
    <mergeCell ref="C6:D6"/>
    <mergeCell ref="A9:D9"/>
    <mergeCell ref="B10:C10"/>
    <mergeCell ref="B11:C11"/>
    <mergeCell ref="B12:C12"/>
    <mergeCell ref="B13:C13"/>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4"/>
  <dimension ref="A2:E44"/>
  <sheetViews>
    <sheetView view="pageBreakPreview" zoomScaleNormal="100" zoomScaleSheetLayoutView="100" workbookViewId="0">
      <selection activeCell="E8" sqref="E8"/>
    </sheetView>
  </sheetViews>
  <sheetFormatPr defaultColWidth="9.140625" defaultRowHeight="15" x14ac:dyDescent="0.25"/>
  <cols>
    <col min="1" max="1" width="33.85546875" style="13" customWidth="1"/>
    <col min="2" max="2" width="21.28515625" style="13" customWidth="1"/>
    <col min="3" max="3" width="19.140625" style="13" customWidth="1"/>
    <col min="4" max="5" width="21.28515625" style="13" customWidth="1"/>
    <col min="6" max="16384" width="9.140625" style="13"/>
  </cols>
  <sheetData>
    <row r="2" spans="1:5" x14ac:dyDescent="0.25">
      <c r="A2" s="98" t="s">
        <v>43</v>
      </c>
    </row>
    <row r="3" spans="1:5" x14ac:dyDescent="0.25">
      <c r="A3" s="98" t="s">
        <v>44</v>
      </c>
    </row>
    <row r="6" spans="1:5" ht="20.25" customHeight="1" x14ac:dyDescent="0.25">
      <c r="E6" s="99" t="s">
        <v>31</v>
      </c>
    </row>
    <row r="7" spans="1:5" x14ac:dyDescent="0.25">
      <c r="E7" s="99" t="s">
        <v>45</v>
      </c>
    </row>
    <row r="9" spans="1:5" ht="107.25" customHeight="1" x14ac:dyDescent="0.25">
      <c r="A9" s="396" t="str">
        <f>"          Между ООО «Clever Mikrokredit Tashkiloti» и "&amp;umumiy_malumot!B5&amp;"  (паспорт: "&amp;umumiy_malumot!B16&amp;" "&amp;umumiy_malumot!B20&amp;") заключен договор микрозайма "&amp;umumiy_malumot!B74&amp;", на сумму "&amp;FIXED(umumiy_malumot!B76)&amp;" ("&amp;umumiy_malumot!B77&amp;") сум, сроком на "&amp;umumiy_malumot!B82&amp;" ("&amp;umumiy_malumot!B83&amp;") месяцев. В качестве своевременного исполнения обязательств по договору Микрозайма "&amp;umumiy_malumot!B74&amp;" планирует предоставить нижеследующее "&amp;IF(umumiy_malumot!B110=umumiy_malumot!C110,"автотранспортного средство марки "&amp;umumiy_malumot!B132&amp;" принадлежащее на правах собственности "&amp;umumiy_malumot!B124&amp;"","недвижимого имущества в виде "&amp;umumiy_malumot!C133&amp;", общей площадью - "&amp;umumiy_malumot!C137&amp;" и жилой площадью - "&amp;umumiy_malumot!C140&amp;", расположенного по адресу: "&amp;umumiy_malumot!C130&amp;", принадлежащее на правах собственности "&amp;umumiy_malumot!C124&amp;".")</f>
        <v xml:space="preserve">          Между ООО «Clever Mikrokredit Tashkiloti» и NORINBOYEVA SOXIBA IZZATILLAYEVNA  (паспорт: AE 5547691 IIV 27256 tomonidan 22.12.2025 yilda berilgan) заключен договор микрозайма 16 fevral 2026 y.dan № 110, на сумму 175 000 000,00 (yuz yetmish besh million so'm) сум, сроком на 36 (O'ttiz olti  ) месяцев. В качестве своевременного исполнения обязательств по договору Микрозайма 16 fevral 2026 y.dan № 110 планирует предоставить нижеследующее недвижимого имущества в виде Yakka tartibdagi uy-joy, общей площадью - 163.19 и жилой площадью - 700, расположенного по адресу: TOSHKENT VILOYATI CHINOZ TUMANI ALISHER NAVOIY MFY SOBIR RAHIMOV KO'CHASI 36 UY, принадлежащее на правах собственности NORINBAYEVA SAPURA MAMADALIYEVNA.</v>
      </c>
      <c r="B9" s="396"/>
      <c r="C9" s="396"/>
      <c r="D9" s="396"/>
      <c r="E9" s="396"/>
    </row>
    <row r="11" spans="1:5" ht="28.5" x14ac:dyDescent="0.25">
      <c r="A11" s="36" t="str">
        <f>buyruq!A17</f>
        <v>Nomi</v>
      </c>
      <c r="B11" s="36" t="str">
        <f>buyruq!C17</f>
        <v>Qurilish osti maydoni, (m2)</v>
      </c>
      <c r="C11" s="36" t="str">
        <f>buyruq!D17</f>
        <v>Umumiy foydali maydoni, (m2)</v>
      </c>
      <c r="D11" s="36" t="str">
        <f>buyruq!E17</f>
        <v>Yashash maydoni, (m2)</v>
      </c>
      <c r="E11" s="36" t="str">
        <f>buyruq!F17</f>
        <v>Kelishilgan garov qiymati, so'm</v>
      </c>
    </row>
    <row r="12" spans="1:5" ht="73.5" customHeight="1" x14ac:dyDescent="0.25">
      <c r="A12" s="36" t="str">
        <f>buyruq!A18</f>
        <v>Yakka tartibdagi uy-joy</v>
      </c>
      <c r="B12" s="36" t="str">
        <f>buyruq!C18</f>
        <v>340.11</v>
      </c>
      <c r="C12" s="36" t="str">
        <f>buyruq!D18</f>
        <v>163.19</v>
      </c>
      <c r="D12" s="36" t="str">
        <f>buyruq!E18</f>
        <v>114.59</v>
      </c>
      <c r="E12" s="36" t="str">
        <f>buyruq!F18</f>
        <v>210 000 000,00 
(ikki yuz o'n million so'm)</v>
      </c>
    </row>
    <row r="13" spans="1:5" x14ac:dyDescent="0.25">
      <c r="A13" s="400" t="str">
        <f>buyruq!A19:F19</f>
        <v>-* ko'chmas mulk egasi: NORINBAYEVA SAPURA MAMADALIYEVNA</v>
      </c>
      <c r="B13" s="400"/>
      <c r="C13" s="400"/>
      <c r="D13" s="400"/>
      <c r="E13" s="400"/>
    </row>
    <row r="14" spans="1:5" x14ac:dyDescent="0.25">
      <c r="A14" s="400" t="str">
        <f>buyruq!A20:F20</f>
        <v>-* reest raqami: №1727256/Y-25006342</v>
      </c>
      <c r="B14" s="400"/>
      <c r="C14" s="400"/>
      <c r="D14" s="400"/>
      <c r="E14" s="400"/>
    </row>
    <row r="15" spans="1:5" x14ac:dyDescent="0.25">
      <c r="A15" s="400" t="str">
        <f>buyruq!A21:F21</f>
        <v>-*  kadastr raqami: 13.08.2025 y. №11:13:42:02:01:1840</v>
      </c>
      <c r="B15" s="400"/>
      <c r="C15" s="400"/>
      <c r="D15" s="400"/>
      <c r="E15" s="400"/>
    </row>
    <row r="16" spans="1:5" x14ac:dyDescent="0.25">
      <c r="A16" s="400" t="str">
        <f>buyruq!A22:F22</f>
        <v>-* manzili: TOSHKENT VILOYATI CHINOZ TUMANI ALISHER NAVOIY MFY SOBIR RAHIMOV KO'CHASI 36 UY</v>
      </c>
      <c r="B16" s="400"/>
      <c r="C16" s="400"/>
      <c r="D16" s="400"/>
      <c r="E16" s="400"/>
    </row>
    <row r="17" spans="1:5" ht="3" customHeight="1" x14ac:dyDescent="0.25"/>
    <row r="19" spans="1:5" ht="59.25" hidden="1" customHeight="1" x14ac:dyDescent="0.25">
      <c r="A19" s="36" t="str">
        <f>dalolatnoma!A32</f>
        <v>Наименование</v>
      </c>
      <c r="B19" s="36" t="str">
        <f>dalolatnoma!C32</f>
        <v>Полезная площадь</v>
      </c>
      <c r="C19" s="36" t="str">
        <f>dalolatnoma!D32</f>
        <v>Жилая площадь</v>
      </c>
      <c r="D19" s="36" t="str">
        <f>dalolatnoma!E32</f>
        <v>Общая площадь</v>
      </c>
      <c r="E19" s="36" t="str">
        <f>dalolatnoma!F32</f>
        <v>Согласованная залоговая стоимость, сум</v>
      </c>
    </row>
    <row r="20" spans="1:5" ht="17.25" hidden="1" customHeight="1" x14ac:dyDescent="0.25">
      <c r="A20" s="15" t="e">
        <f>dalolatnoma!A33</f>
        <v>#REF!</v>
      </c>
      <c r="B20" s="15" t="e">
        <f>dalolatnoma!C33</f>
        <v>#REF!</v>
      </c>
      <c r="C20" s="15" t="e">
        <f>dalolatnoma!D33</f>
        <v>#REF!</v>
      </c>
      <c r="D20" s="15" t="e">
        <f>dalolatnoma!E33</f>
        <v>#REF!</v>
      </c>
      <c r="E20" s="343" t="str">
        <f>""&amp;FIXED(umumiy_malumot!C143,2)&amp;" ("&amp;umumiy_malumot!C144&amp;")"</f>
        <v>210 000 000,00 (ikki yuz o'n million so'm)</v>
      </c>
    </row>
    <row r="21" spans="1:5" ht="17.25" hidden="1" customHeight="1" x14ac:dyDescent="0.25">
      <c r="A21" s="15">
        <f>dalolatnoma!A34</f>
        <v>0</v>
      </c>
      <c r="B21" s="15">
        <f>dalolatnoma!C34</f>
        <v>0</v>
      </c>
      <c r="C21" s="15">
        <f>dalolatnoma!D34</f>
        <v>0</v>
      </c>
      <c r="D21" s="15">
        <f>dalolatnoma!E34</f>
        <v>0</v>
      </c>
      <c r="E21" s="344"/>
    </row>
    <row r="22" spans="1:5" ht="17.25" hidden="1" customHeight="1" x14ac:dyDescent="0.25">
      <c r="A22" s="15" t="e">
        <f>dalolatnoma!A35</f>
        <v>#REF!</v>
      </c>
      <c r="B22" s="15" t="e">
        <f>dalolatnoma!C35</f>
        <v>#REF!</v>
      </c>
      <c r="C22" s="15" t="e">
        <f>dalolatnoma!D35</f>
        <v>#REF!</v>
      </c>
      <c r="D22" s="15" t="e">
        <f>dalolatnoma!E35</f>
        <v>#REF!</v>
      </c>
      <c r="E22" s="344"/>
    </row>
    <row r="23" spans="1:5" ht="17.25" hidden="1" customHeight="1" x14ac:dyDescent="0.25">
      <c r="A23" s="15" t="e">
        <f>dalolatnoma!A36</f>
        <v>#REF!</v>
      </c>
      <c r="B23" s="15" t="e">
        <f>dalolatnoma!C36</f>
        <v>#REF!</v>
      </c>
      <c r="C23" s="15" t="e">
        <f>dalolatnoma!D36</f>
        <v>#REF!</v>
      </c>
      <c r="D23" s="15" t="e">
        <f>dalolatnoma!E36</f>
        <v>#REF!</v>
      </c>
      <c r="E23" s="344"/>
    </row>
    <row r="24" spans="1:5" ht="17.25" hidden="1" customHeight="1" x14ac:dyDescent="0.25">
      <c r="A24" s="15" t="e">
        <f>dalolatnoma!A37</f>
        <v>#REF!</v>
      </c>
      <c r="B24" s="15" t="e">
        <f>dalolatnoma!C37</f>
        <v>#REF!</v>
      </c>
      <c r="C24" s="15" t="e">
        <f>dalolatnoma!D37</f>
        <v>#REF!</v>
      </c>
      <c r="D24" s="15" t="e">
        <f>dalolatnoma!E37</f>
        <v>#REF!</v>
      </c>
      <c r="E24" s="344"/>
    </row>
    <row r="25" spans="1:5" ht="15.75" hidden="1" customHeight="1" x14ac:dyDescent="0.25">
      <c r="A25" s="15" t="e">
        <f>dalolatnoma!A38</f>
        <v>#REF!</v>
      </c>
      <c r="B25" s="15" t="e">
        <f>dalolatnoma!C38</f>
        <v>#REF!</v>
      </c>
      <c r="C25" s="15" t="e">
        <f>dalolatnoma!D38</f>
        <v>#REF!</v>
      </c>
      <c r="D25" s="15" t="e">
        <f>dalolatnoma!E38</f>
        <v>#REF!</v>
      </c>
      <c r="E25" s="344"/>
    </row>
    <row r="26" spans="1:5" ht="17.25" hidden="1" customHeight="1" x14ac:dyDescent="0.25">
      <c r="A26" s="15" t="e">
        <f>dalolatnoma!A39</f>
        <v>#REF!</v>
      </c>
      <c r="B26" s="15" t="e">
        <f>dalolatnoma!C39</f>
        <v>#REF!</v>
      </c>
      <c r="C26" s="15" t="e">
        <f>dalolatnoma!D39</f>
        <v>#REF!</v>
      </c>
      <c r="D26" s="15" t="e">
        <f>dalolatnoma!E39</f>
        <v>#REF!</v>
      </c>
      <c r="E26" s="344"/>
    </row>
    <row r="27" spans="1:5" ht="17.25" hidden="1" customHeight="1" x14ac:dyDescent="0.25">
      <c r="A27" s="15" t="e">
        <f>dalolatnoma!A40</f>
        <v>#REF!</v>
      </c>
      <c r="B27" s="15" t="e">
        <f>dalolatnoma!C40</f>
        <v>#REF!</v>
      </c>
      <c r="C27" s="15" t="e">
        <f>dalolatnoma!D40</f>
        <v>#REF!</v>
      </c>
      <c r="D27" s="15" t="e">
        <f>dalolatnoma!E40</f>
        <v>#REF!</v>
      </c>
      <c r="E27" s="344"/>
    </row>
    <row r="28" spans="1:5" ht="17.25" hidden="1" customHeight="1" x14ac:dyDescent="0.25">
      <c r="A28" s="15" t="e">
        <f>dalolatnoma!A41</f>
        <v>#REF!</v>
      </c>
      <c r="B28" s="15" t="e">
        <f>dalolatnoma!C41</f>
        <v>#REF!</v>
      </c>
      <c r="C28" s="15" t="e">
        <f>dalolatnoma!D41</f>
        <v>#REF!</v>
      </c>
      <c r="D28" s="15" t="e">
        <f>dalolatnoma!E41</f>
        <v>#REF!</v>
      </c>
      <c r="E28" s="344"/>
    </row>
    <row r="29" spans="1:5" ht="17.25" hidden="1" customHeight="1" x14ac:dyDescent="0.25">
      <c r="A29" s="15" t="e">
        <f>dalolatnoma!A42</f>
        <v>#REF!</v>
      </c>
      <c r="B29" s="15" t="e">
        <f>dalolatnoma!C42</f>
        <v>#REF!</v>
      </c>
      <c r="C29" s="15" t="e">
        <f>dalolatnoma!D42</f>
        <v>#REF!</v>
      </c>
      <c r="D29" s="15" t="e">
        <f>dalolatnoma!E42</f>
        <v>#REF!</v>
      </c>
      <c r="E29" s="344"/>
    </row>
    <row r="30" spans="1:5" ht="17.25" hidden="1" customHeight="1" x14ac:dyDescent="0.25">
      <c r="A30" s="15" t="e">
        <f>dalolatnoma!A43</f>
        <v>#REF!</v>
      </c>
      <c r="B30" s="15" t="e">
        <f>dalolatnoma!C43</f>
        <v>#REF!</v>
      </c>
      <c r="C30" s="15" t="e">
        <f>dalolatnoma!D43</f>
        <v>#REF!</v>
      </c>
      <c r="D30" s="15" t="e">
        <f>dalolatnoma!E43</f>
        <v>#REF!</v>
      </c>
      <c r="E30" s="345"/>
    </row>
    <row r="31" spans="1:5" ht="17.25" hidden="1" customHeight="1" x14ac:dyDescent="0.25">
      <c r="A31" s="15" t="e">
        <f>dalolatnoma!A44</f>
        <v>#REF!</v>
      </c>
      <c r="B31" s="15" t="e">
        <f>dalolatnoma!C44</f>
        <v>#REF!</v>
      </c>
      <c r="C31" s="15" t="e">
        <f>dalolatnoma!D44</f>
        <v>#REF!</v>
      </c>
      <c r="D31" s="15" t="e">
        <f>dalolatnoma!E44</f>
        <v>#REF!</v>
      </c>
      <c r="E31" s="15" t="str">
        <f>dalolatnoma!F44</f>
        <v>210 000 000,00</v>
      </c>
    </row>
    <row r="32" spans="1:5" ht="18.75" hidden="1" customHeight="1" x14ac:dyDescent="0.25">
      <c r="A32" s="396" t="e">
        <f>_xlfn.SINGLE(dalolatnoma!#REF!)</f>
        <v>#REF!</v>
      </c>
      <c r="B32" s="396"/>
      <c r="C32" s="396"/>
      <c r="D32" s="396"/>
      <c r="E32" s="396"/>
    </row>
    <row r="33" spans="1:5" ht="24.75" hidden="1" customHeight="1" x14ac:dyDescent="0.25">
      <c r="A33" s="396" t="e">
        <f>_xlfn.SINGLE(dalolatnoma!#REF!)</f>
        <v>#REF!</v>
      </c>
      <c r="B33" s="396"/>
      <c r="C33" s="396"/>
      <c r="D33" s="396"/>
      <c r="E33" s="396"/>
    </row>
    <row r="34" spans="1:5" ht="30.75" hidden="1" customHeight="1" x14ac:dyDescent="0.25">
      <c r="A34" s="396" t="e">
        <f>_xlfn.SINGLE(dalolatnoma!#REF!)</f>
        <v>#REF!</v>
      </c>
      <c r="B34" s="396"/>
      <c r="C34" s="396"/>
      <c r="D34" s="396"/>
      <c r="E34" s="396"/>
    </row>
    <row r="35" spans="1:5" ht="15" hidden="1" customHeight="1" x14ac:dyDescent="0.25">
      <c r="A35" s="396" t="e">
        <f>_xlfn.SINGLE(dalolatnoma!#REF!)</f>
        <v>#REF!</v>
      </c>
      <c r="B35" s="396"/>
      <c r="C35" s="396"/>
      <c r="D35" s="396"/>
      <c r="E35" s="396"/>
    </row>
    <row r="36" spans="1:5" x14ac:dyDescent="0.25">
      <c r="A36" s="19"/>
      <c r="B36" s="19"/>
      <c r="C36" s="19"/>
      <c r="D36" s="19"/>
      <c r="E36" s="19"/>
    </row>
    <row r="37" spans="1:5" s="120" customFormat="1" ht="51" customHeight="1" x14ac:dyDescent="0.25">
      <c r="A37" s="399" t="str">
        <f>dalolatnoma!A46:F46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99"/>
      <c r="C37" s="399"/>
      <c r="D37" s="399"/>
      <c r="E37" s="399"/>
    </row>
    <row r="38" spans="1:5" ht="40.5" customHeight="1" x14ac:dyDescent="0.25">
      <c r="A38" s="396" t="str">
        <f>dalolatnoma!A47:F47</f>
        <v>Shu bilan birga, garov predmetining kelishilgan garov qiymati deganda ushbu mulk garov sifatida taqdim etilgan/qabul qilingan qiymati tushuniladi.</v>
      </c>
      <c r="B38" s="396"/>
      <c r="C38" s="396"/>
      <c r="D38" s="396"/>
      <c r="E38" s="396"/>
    </row>
    <row r="39" spans="1:5" ht="39" customHeight="1" x14ac:dyDescent="0.25">
      <c r="A39" s="396"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"&amp;umumiy_malumot!B74&amp;",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16 fevral 2026 y.dan № 110, при сохранении запрета.</v>
      </c>
      <c r="B39" s="396"/>
      <c r="C39" s="396"/>
      <c r="D39" s="396"/>
      <c r="E39" s="396"/>
    </row>
    <row r="40" spans="1:5" x14ac:dyDescent="0.25">
      <c r="A40" s="397"/>
      <c r="B40" s="397"/>
      <c r="C40" s="397"/>
      <c r="D40" s="397"/>
      <c r="E40" s="397"/>
    </row>
    <row r="41" spans="1:5" x14ac:dyDescent="0.25">
      <c r="A41" s="398" t="s">
        <v>32</v>
      </c>
      <c r="B41" s="398"/>
      <c r="C41" s="398"/>
      <c r="D41" s="398"/>
      <c r="E41" s="398"/>
    </row>
    <row r="42" spans="1:5" x14ac:dyDescent="0.25">
      <c r="A42" s="397"/>
      <c r="B42" s="397"/>
      <c r="C42" s="397"/>
      <c r="D42" s="397"/>
      <c r="E42" s="397"/>
    </row>
    <row r="43" spans="1:5" x14ac:dyDescent="0.25">
      <c r="A43" s="398" t="s">
        <v>33</v>
      </c>
      <c r="B43" s="398"/>
      <c r="C43" s="398"/>
      <c r="D43" s="398"/>
      <c r="E43" s="398"/>
    </row>
    <row r="44" spans="1:5" ht="28.5" customHeight="1" x14ac:dyDescent="0.25">
      <c r="A44" s="395" t="s">
        <v>34</v>
      </c>
      <c r="B44" s="395"/>
      <c r="C44" s="395"/>
      <c r="D44" s="395"/>
      <c r="E44" s="100"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6">
    <tabColor rgb="FF00B050"/>
  </sheetPr>
  <dimension ref="A1:I31"/>
  <sheetViews>
    <sheetView view="pageBreakPreview" zoomScaleNormal="100" zoomScaleSheetLayoutView="100" workbookViewId="0">
      <selection activeCell="A7" sqref="A7:H7"/>
    </sheetView>
  </sheetViews>
  <sheetFormatPr defaultColWidth="9.140625" defaultRowHeight="12.75" x14ac:dyDescent="0.2"/>
  <cols>
    <col min="1" max="2" width="11" style="21" customWidth="1"/>
    <col min="3" max="4" width="14.42578125" style="21" customWidth="1"/>
    <col min="5" max="6" width="13.5703125" style="21" customWidth="1"/>
    <col min="7" max="7" width="9.140625" style="21"/>
    <col min="8" max="8" width="20.5703125" style="21" customWidth="1"/>
    <col min="9" max="16384" width="9.140625" style="21"/>
  </cols>
  <sheetData>
    <row r="1" spans="1:9" x14ac:dyDescent="0.2">
      <c r="A1" s="28"/>
      <c r="B1" s="28"/>
      <c r="C1" s="28"/>
      <c r="D1" s="28"/>
      <c r="E1" s="28"/>
      <c r="F1" s="28"/>
      <c r="G1" s="28"/>
      <c r="H1" s="28"/>
      <c r="I1" s="28"/>
    </row>
    <row r="2" spans="1:9" x14ac:dyDescent="0.2">
      <c r="A2" s="403" t="str">
        <f>""&amp;" "&amp;umumiy_malumot!B74&amp;"-sonli "&amp;" "&amp;umumiy_malumot!C64&amp;" shartnomasi bo‘yicha
 garovga qo‘yilgan mol-mulkni tekshirish bo’yicha "&amp;umumiy_malumot!B5&amp;" bilan tuzilgan dalolatnomasi"</f>
        <v xml:space="preserve"> 16 fevral 2026 y.dan № 110-sonli  Mikrokredit shartnomasi bo‘yicha
 garovga qo‘yilgan mol-mulkni tekshirish bo’yicha NORINBOYEVA SOXIBA IZZATILLAYEVNA bilan tuzilgan dalolatnomasi</v>
      </c>
      <c r="B2" s="403"/>
      <c r="C2" s="403"/>
      <c r="D2" s="403"/>
      <c r="E2" s="403"/>
      <c r="F2" s="403"/>
      <c r="G2" s="403"/>
      <c r="H2" s="403"/>
      <c r="I2" s="28"/>
    </row>
    <row r="3" spans="1:9" x14ac:dyDescent="0.2">
      <c r="A3" s="403"/>
      <c r="B3" s="403"/>
      <c r="C3" s="403"/>
      <c r="D3" s="403"/>
      <c r="E3" s="403"/>
      <c r="F3" s="403"/>
      <c r="G3" s="403"/>
      <c r="H3" s="403"/>
      <c r="I3" s="28"/>
    </row>
    <row r="5" spans="1:9" x14ac:dyDescent="0.2">
      <c r="A5" s="21" t="s">
        <v>194</v>
      </c>
      <c r="H5" s="130" t="str">
        <f>TEXT(+umumiy_malumot!B2+360,"ДД.ММ.ГГГГ")</f>
        <v>11.02.2027</v>
      </c>
    </row>
    <row r="7" spans="1:9" ht="45" customHeight="1" x14ac:dyDescent="0.2">
      <c r="A7" s="406" t="str">
        <f>"      Men, "&amp;umumiy_malumot!B158&amp;" "&amp;umumiy_malumot!A161&amp;"i "&amp;umumiy_malumot!B161&amp;", jismoniy shaxs "&amp;" "&amp;umumiy_malumot!B5&amp;" "&amp;" "&amp;umumiy_malumot!B74&amp;"-sonli "&amp;umumiy_malumot!C64&amp;" shartnomasi bo‘yicha garovga qo‘yilgan mol-mulkni ko‘zdan kechirdim"</f>
        <v xml:space="preserve">      Men, «PULLOL BUSINESS MIKROMOLIYA TASHKILOTI»  MChJ Direktori Obidov A.Sh., jismoniy shaxs  NORINBOYEVA SOXIBA IZZATILLAYEVNA  16 fevral 2026 y.dan № 110-sonli Mikrokredit shartnomasi bo‘yicha garovga qo‘yilgan mol-mulkni ko‘zdan kechirdim</v>
      </c>
      <c r="B7" s="406"/>
      <c r="C7" s="406"/>
      <c r="D7" s="406"/>
      <c r="E7" s="406"/>
      <c r="F7" s="406"/>
      <c r="G7" s="406"/>
      <c r="H7" s="406"/>
    </row>
    <row r="8" spans="1:9" ht="19.5" customHeight="1" x14ac:dyDescent="0.2">
      <c r="A8" s="407" t="s">
        <v>263</v>
      </c>
      <c r="B8" s="407"/>
      <c r="C8" s="407"/>
      <c r="D8" s="407"/>
      <c r="E8" s="407"/>
      <c r="F8" s="407"/>
      <c r="G8" s="407"/>
      <c r="H8" s="407"/>
    </row>
    <row r="9" spans="1:9" s="131" customFormat="1" ht="32.25" customHeight="1" x14ac:dyDescent="0.25">
      <c r="A9" s="401" t="str">
        <f>monitoring_2!A9</f>
        <v>Nomi</v>
      </c>
      <c r="B9" s="402"/>
      <c r="C9" s="401">
        <f>monitoring_2!C9</f>
        <v>0</v>
      </c>
      <c r="D9" s="402"/>
      <c r="E9" s="401" t="str">
        <f>monitoring_2!E9</f>
        <v>Umumiy foydali maydoni, (m2)</v>
      </c>
      <c r="F9" s="402"/>
      <c r="G9" s="401" t="str">
        <f>monitoring_2!G9</f>
        <v>Yashash maydoni, (m2)</v>
      </c>
      <c r="H9" s="402"/>
    </row>
    <row r="10" spans="1:9" s="129" customFormat="1" ht="58.5" customHeight="1" x14ac:dyDescent="0.2">
      <c r="A10" s="409" t="str">
        <f>monitoring_2!A10</f>
        <v>Yakka tartibdagi uy-joy</v>
      </c>
      <c r="B10" s="409"/>
      <c r="C10" s="409" t="str">
        <f>monitoring_2!C10</f>
        <v>700</v>
      </c>
      <c r="D10" s="409"/>
      <c r="E10" s="409" t="str">
        <f>monitoring_2!E10</f>
        <v>163.19</v>
      </c>
      <c r="F10" s="409"/>
      <c r="G10" s="409" t="str">
        <f>monitoring_2!G10</f>
        <v>114.59</v>
      </c>
      <c r="H10" s="409"/>
    </row>
    <row r="11" spans="1:9" ht="19.5" customHeight="1" x14ac:dyDescent="0.2">
      <c r="A11" s="404" t="str">
        <f>dalolatnoma!A22:F22</f>
        <v>-* ko'chmas mulk egasi: NORINBAYEVA SAPURA MAMADALIYEVNA</v>
      </c>
      <c r="B11" s="404"/>
      <c r="C11" s="404"/>
      <c r="D11" s="404"/>
      <c r="E11" s="404"/>
      <c r="F11" s="404"/>
      <c r="G11" s="404"/>
      <c r="H11" s="404"/>
    </row>
    <row r="12" spans="1:9" ht="19.5" customHeight="1" x14ac:dyDescent="0.2">
      <c r="A12" s="404" t="str">
        <f>dalolatnoma!A23:F23</f>
        <v>-* reest raqami: №1727256/Y-25006342</v>
      </c>
      <c r="B12" s="404"/>
      <c r="C12" s="404"/>
      <c r="D12" s="404"/>
      <c r="E12" s="404"/>
      <c r="F12" s="404"/>
      <c r="G12" s="404"/>
      <c r="H12" s="404"/>
    </row>
    <row r="13" spans="1:9" ht="19.5" customHeight="1" x14ac:dyDescent="0.2">
      <c r="A13" s="404" t="str">
        <f>dalolatnoma!A24:F24</f>
        <v>-*  kadastr raqami: 13.08.2025 y. №11:13:42:02:01:1840</v>
      </c>
      <c r="B13" s="404"/>
      <c r="C13" s="404"/>
      <c r="D13" s="404"/>
      <c r="E13" s="404"/>
      <c r="F13" s="404"/>
      <c r="G13" s="404"/>
      <c r="H13" s="404"/>
    </row>
    <row r="14" spans="1:9" ht="19.5" customHeight="1" x14ac:dyDescent="0.2">
      <c r="A14" s="404" t="str">
        <f>dalolatnoma!A25:F25</f>
        <v>-* manzili: TOSHKENT VILOYATI CHINOZ TUMANI ALISHER NAVOIY MFY SOBIR RAHIMOV KO'CHASI 36 UY</v>
      </c>
      <c r="B14" s="404"/>
      <c r="C14" s="404"/>
      <c r="D14" s="404"/>
      <c r="E14" s="404"/>
      <c r="F14" s="404"/>
      <c r="G14" s="404"/>
      <c r="H14" s="404"/>
    </row>
    <row r="15" spans="1:9" ht="33.75" customHeight="1" x14ac:dyDescent="0.2">
      <c r="A15" s="405" t="str">
        <f>+"Shu bilan birga, yuqoridagi mulkning kelishilgan garov qiymati "&amp;dalolatnoma!F30</f>
        <v>Shu bilan birga, yuqoridagi mulkning kelishilgan garov qiymati 210 000 000,00 
(ikki yuz o'n million so'm)</v>
      </c>
      <c r="B15" s="405"/>
      <c r="C15" s="405"/>
      <c r="D15" s="405"/>
      <c r="E15" s="405"/>
      <c r="F15" s="405"/>
      <c r="G15" s="405"/>
      <c r="H15" s="405"/>
    </row>
    <row r="17" spans="1:8" ht="35.25" customHeight="1" x14ac:dyDescent="0.2">
      <c r="A17" s="408" t="s">
        <v>264</v>
      </c>
      <c r="B17" s="408"/>
      <c r="C17" s="408"/>
      <c r="D17" s="408"/>
      <c r="E17" s="408"/>
      <c r="F17" s="408"/>
      <c r="G17" s="408"/>
      <c r="H17" s="408"/>
    </row>
    <row r="21" spans="1:8" s="28" customFormat="1" x14ac:dyDescent="0.2"/>
    <row r="22" spans="1:8" s="28" customFormat="1" x14ac:dyDescent="0.2">
      <c r="A22" s="193" t="str">
        <f>umumiy_malumot!A161</f>
        <v>Direktor</v>
      </c>
      <c r="H22" s="132" t="str">
        <f>umumiy_malumot!B161</f>
        <v>Obidov A.Sh.</v>
      </c>
    </row>
    <row r="23" spans="1:8" s="28" customFormat="1" x14ac:dyDescent="0.2">
      <c r="H23" s="132"/>
    </row>
    <row r="24" spans="1:8" s="28" customFormat="1" x14ac:dyDescent="0.2"/>
    <row r="25" spans="1:8" s="28" customFormat="1" hidden="1" x14ac:dyDescent="0.2"/>
    <row r="26" spans="1:8" s="28" customFormat="1" hidden="1" x14ac:dyDescent="0.2">
      <c r="H26" s="132"/>
    </row>
    <row r="27" spans="1:8" s="28" customFormat="1" hidden="1" x14ac:dyDescent="0.2">
      <c r="A27" s="28" t="str">
        <f>umumiy_malumot!A171</f>
        <v>Monitoring bo’limi boshlig’i</v>
      </c>
      <c r="H27" s="28" t="str">
        <f>umumiy_malumot!B171</f>
        <v>Omanlikov  O.O.</v>
      </c>
    </row>
    <row r="28" spans="1:8" s="28" customFormat="1" hidden="1" x14ac:dyDescent="0.2"/>
    <row r="29" spans="1:8" s="28" customFormat="1" x14ac:dyDescent="0.2"/>
    <row r="31" spans="1:8" x14ac:dyDescent="0.2">
      <c r="A31" s="28" t="s">
        <v>266</v>
      </c>
      <c r="H31" s="28" t="str">
        <f>umumiy_malumot!B7</f>
        <v>NORINBOYEVA S.I.</v>
      </c>
    </row>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74"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5">
    <tabColor rgb="FF00B050"/>
  </sheetPr>
  <dimension ref="A1:I35"/>
  <sheetViews>
    <sheetView view="pageBreakPreview" zoomScaleNormal="100" zoomScaleSheetLayoutView="100" workbookViewId="0">
      <selection activeCell="A8" sqref="A8:H8"/>
    </sheetView>
  </sheetViews>
  <sheetFormatPr defaultColWidth="9.140625" defaultRowHeight="12.75" x14ac:dyDescent="0.2"/>
  <cols>
    <col min="1" max="2" width="11" style="21" customWidth="1"/>
    <col min="3" max="4" width="14.42578125" style="21" customWidth="1"/>
    <col min="5" max="6" width="13.5703125" style="21" customWidth="1"/>
    <col min="7" max="7" width="9.140625" style="21"/>
    <col min="8" max="8" width="19" style="21" bestFit="1" customWidth="1"/>
    <col min="9" max="9" width="9.140625" style="21" hidden="1" customWidth="1"/>
    <col min="10" max="10" width="9.140625" style="21" customWidth="1"/>
    <col min="11" max="11" width="0.5703125" style="21" customWidth="1"/>
    <col min="12" max="16384" width="9.140625" style="21"/>
  </cols>
  <sheetData>
    <row r="1" spans="1:9" x14ac:dyDescent="0.2">
      <c r="A1" s="28"/>
      <c r="B1" s="28"/>
      <c r="C1" s="28"/>
      <c r="D1" s="28"/>
      <c r="E1" s="28"/>
      <c r="F1" s="28"/>
      <c r="G1" s="28"/>
      <c r="H1" s="28"/>
      <c r="I1" s="28"/>
    </row>
    <row r="2" spans="1:9" x14ac:dyDescent="0.2">
      <c r="A2" s="403" t="str">
        <f>""&amp;" "&amp;umumiy_malumot!B74&amp;"-sonli "&amp;" "&amp;umumiy_malumot!C64&amp;" shartnomasi bo‘yicha
 garovga qo‘yilgan mol-mulkni tekshirish bo’yicha "&amp;umumiy_malumot!B5&amp;" bilan tuzilgan dalolatnomasi"</f>
        <v xml:space="preserve"> 16 fevral 2026 y.dan № 110-sonli  Mikrokredit shartnomasi bo‘yicha
 garovga qo‘yilgan mol-mulkni tekshirish bo’yicha NORINBOYEVA SOXIBA IZZATILLAYEVNA bilan tuzilgan dalolatnomasi</v>
      </c>
      <c r="B2" s="403"/>
      <c r="C2" s="403"/>
      <c r="D2" s="403"/>
      <c r="E2" s="403"/>
      <c r="F2" s="403"/>
      <c r="G2" s="403"/>
      <c r="H2" s="403"/>
      <c r="I2" s="28"/>
    </row>
    <row r="3" spans="1:9" x14ac:dyDescent="0.2">
      <c r="A3" s="403"/>
      <c r="B3" s="403"/>
      <c r="C3" s="403"/>
      <c r="D3" s="403"/>
      <c r="E3" s="403"/>
      <c r="F3" s="403"/>
      <c r="G3" s="403"/>
      <c r="H3" s="403"/>
      <c r="I3" s="28"/>
    </row>
    <row r="5" spans="1:9" x14ac:dyDescent="0.2">
      <c r="A5" s="21" t="s">
        <v>194</v>
      </c>
      <c r="F5" s="144"/>
      <c r="H5" s="130" t="str">
        <f>TEXT(umumiy_malumot!D2,"ДД.ММ.ГГГГ")</f>
        <v>15.08.2026</v>
      </c>
    </row>
    <row r="7" spans="1:9" ht="45" customHeight="1" x14ac:dyDescent="0.2">
      <c r="A7" s="406" t="str">
        <f>"      Men, "&amp;umumiy_malumot!B158&amp;" "&amp;umumiy_malumot!A161&amp;"i "&amp;umumiy_malumot!B161&amp;", jismoniy shaxs "&amp;" "&amp;umumiy_malumot!B5&amp;" "&amp;" "&amp;umumiy_malumot!B74&amp;"-sonli "&amp;umumiy_malumot!B65&amp;" shartnomasi bo‘yicha garovga qo‘yilgan mol-mulkni ko‘zdan kechirdim"</f>
        <v xml:space="preserve">      Men, «PULLOL BUSINESS MIKROMOLIYA TASHKILOTI»  MChJ Direktori Obidov A.Sh., jismoniy shaxs  NORINBOYEVA SOXIBA IZZATILLAYEVNA  16 fevral 2026 y.dan № 110-sonli mikrokredit shartnomasi bo‘yicha garovga qo‘yilgan mol-mulkni ko‘zdan kechirdim</v>
      </c>
      <c r="B7" s="406"/>
      <c r="C7" s="406"/>
      <c r="D7" s="406"/>
      <c r="E7" s="406"/>
      <c r="F7" s="406"/>
      <c r="G7" s="406"/>
      <c r="H7" s="406"/>
    </row>
    <row r="8" spans="1:9" ht="19.5" customHeight="1" x14ac:dyDescent="0.2">
      <c r="A8" s="407" t="s">
        <v>263</v>
      </c>
      <c r="B8" s="407"/>
      <c r="C8" s="407"/>
      <c r="D8" s="407"/>
      <c r="E8" s="407"/>
      <c r="F8" s="407"/>
      <c r="G8" s="407"/>
      <c r="H8" s="407"/>
    </row>
    <row r="9" spans="1:9" s="131" customFormat="1" ht="32.25" customHeight="1" x14ac:dyDescent="0.25">
      <c r="A9" s="401" t="str">
        <f>dalolatnoma!A20</f>
        <v>Nomi</v>
      </c>
      <c r="B9" s="402"/>
      <c r="C9" s="401">
        <f>dalolatnoma!C20</f>
        <v>0</v>
      </c>
      <c r="D9" s="402"/>
      <c r="E9" s="401" t="str">
        <f>dalolatnoma!E20</f>
        <v>Umumiy foydali maydoni, (m2)</v>
      </c>
      <c r="F9" s="402"/>
      <c r="G9" s="401" t="str">
        <f>dalolatnoma!F20</f>
        <v>Yashash maydoni, (m2)</v>
      </c>
      <c r="H9" s="402"/>
    </row>
    <row r="10" spans="1:9" s="129" customFormat="1" ht="58.5" customHeight="1" x14ac:dyDescent="0.2">
      <c r="A10" s="409" t="str">
        <f>dalolatnoma!A21</f>
        <v>Yakka tartibdagi uy-joy</v>
      </c>
      <c r="B10" s="409"/>
      <c r="C10" s="409" t="str">
        <f>dalolatnoma!B21</f>
        <v>700</v>
      </c>
      <c r="D10" s="409"/>
      <c r="E10" s="409" t="str">
        <f>dalolatnoma!E21</f>
        <v>163.19</v>
      </c>
      <c r="F10" s="409"/>
      <c r="G10" s="409" t="str">
        <f>dalolatnoma!F21</f>
        <v>114.59</v>
      </c>
      <c r="H10" s="409"/>
    </row>
    <row r="11" spans="1:9" ht="19.5" customHeight="1" x14ac:dyDescent="0.2">
      <c r="A11" s="404" t="str">
        <f>dalolatnoma!A22:F22</f>
        <v>-* ko'chmas mulk egasi: NORINBAYEVA SAPURA MAMADALIYEVNA</v>
      </c>
      <c r="B11" s="404"/>
      <c r="C11" s="404"/>
      <c r="D11" s="404"/>
      <c r="E11" s="404"/>
      <c r="F11" s="404"/>
      <c r="G11" s="404"/>
      <c r="H11" s="404"/>
    </row>
    <row r="12" spans="1:9" ht="19.5" customHeight="1" x14ac:dyDescent="0.2">
      <c r="A12" s="404" t="str">
        <f>dalolatnoma!A23:F23</f>
        <v>-* reest raqami: №1727256/Y-25006342</v>
      </c>
      <c r="B12" s="404"/>
      <c r="C12" s="404"/>
      <c r="D12" s="404"/>
      <c r="E12" s="404"/>
      <c r="F12" s="404"/>
      <c r="G12" s="404"/>
      <c r="H12" s="404"/>
    </row>
    <row r="13" spans="1:9" ht="19.5" customHeight="1" x14ac:dyDescent="0.2">
      <c r="A13" s="404" t="str">
        <f>dalolatnoma!A24:F24</f>
        <v>-*  kadastr raqami: 13.08.2025 y. №11:13:42:02:01:1840</v>
      </c>
      <c r="B13" s="404"/>
      <c r="C13" s="404"/>
      <c r="D13" s="404"/>
      <c r="E13" s="404"/>
      <c r="F13" s="404"/>
      <c r="G13" s="404"/>
      <c r="H13" s="404"/>
    </row>
    <row r="14" spans="1:9" ht="19.5" customHeight="1" x14ac:dyDescent="0.2">
      <c r="A14" s="404" t="str">
        <f>dalolatnoma!A25:F25</f>
        <v>-* manzili: TOSHKENT VILOYATI CHINOZ TUMANI ALISHER NAVOIY MFY SOBIR RAHIMOV KO'CHASI 36 UY</v>
      </c>
      <c r="B14" s="404"/>
      <c r="C14" s="404"/>
      <c r="D14" s="404"/>
      <c r="E14" s="404"/>
      <c r="F14" s="404"/>
      <c r="G14" s="404"/>
      <c r="H14" s="404"/>
    </row>
    <row r="15" spans="1:9" ht="33.75" customHeight="1" x14ac:dyDescent="0.2">
      <c r="A15" s="405" t="str">
        <f>+"Shu bilan birga, yuqoridagi mulkning kelishilgan garov qiymati "&amp;dalolatnoma!F30</f>
        <v>Shu bilan birga, yuqoridagi mulkning kelishilgan garov qiymati 210 000 000,00 
(ikki yuz o'n million so'm)</v>
      </c>
      <c r="B15" s="405"/>
      <c r="C15" s="405"/>
      <c r="D15" s="405"/>
      <c r="E15" s="405"/>
      <c r="F15" s="405"/>
      <c r="G15" s="405"/>
      <c r="H15" s="405"/>
    </row>
    <row r="17" spans="1:8" ht="27" customHeight="1" x14ac:dyDescent="0.2">
      <c r="A17" s="408" t="s">
        <v>264</v>
      </c>
      <c r="B17" s="408"/>
      <c r="C17" s="408"/>
      <c r="D17" s="408"/>
      <c r="E17" s="408"/>
      <c r="F17" s="408"/>
      <c r="G17" s="408"/>
      <c r="H17" s="408"/>
    </row>
    <row r="21" spans="1:8" s="28" customFormat="1" x14ac:dyDescent="0.2"/>
    <row r="22" spans="1:8" s="28" customFormat="1" x14ac:dyDescent="0.2">
      <c r="A22" s="28" t="str">
        <f>umumiy_malumot!A161</f>
        <v>Direktor</v>
      </c>
      <c r="H22" s="132" t="str">
        <f>umumiy_malumot!B161</f>
        <v>Obidov A.Sh.</v>
      </c>
    </row>
    <row r="23" spans="1:8" s="28" customFormat="1" x14ac:dyDescent="0.2">
      <c r="H23" s="132"/>
    </row>
    <row r="24" spans="1:8" s="28" customFormat="1" x14ac:dyDescent="0.2">
      <c r="H24" s="132"/>
    </row>
    <row r="25" spans="1:8" s="28" customFormat="1" hidden="1" x14ac:dyDescent="0.2">
      <c r="H25" s="132"/>
    </row>
    <row r="26" spans="1:8" s="28" customFormat="1" hidden="1" x14ac:dyDescent="0.2">
      <c r="H26" s="132"/>
    </row>
    <row r="27" spans="1:8" s="28" customFormat="1" ht="16.5" hidden="1" customHeight="1" x14ac:dyDescent="0.2">
      <c r="A27" s="28" t="s">
        <v>265</v>
      </c>
      <c r="H27" s="28" t="str">
        <f>umumiy_malumot!B171</f>
        <v>Omanlikov  O.O.</v>
      </c>
    </row>
    <row r="28" spans="1:8" s="28" customFormat="1" ht="16.5" hidden="1" customHeight="1" x14ac:dyDescent="0.2"/>
    <row r="29" spans="1:8" s="28" customFormat="1" ht="16.5" customHeight="1" x14ac:dyDescent="0.2"/>
    <row r="30" spans="1:8" s="28" customFormat="1" x14ac:dyDescent="0.2"/>
    <row r="31" spans="1:8" s="28" customFormat="1" x14ac:dyDescent="0.2">
      <c r="A31" s="28" t="s">
        <v>266</v>
      </c>
      <c r="H31" s="132" t="str">
        <f>umumiy_malumot!B7</f>
        <v>NORINBOYEVA S.I.</v>
      </c>
    </row>
    <row r="32" spans="1:8" s="28" customFormat="1" x14ac:dyDescent="0.2"/>
    <row r="33" s="28" customFormat="1" x14ac:dyDescent="0.2"/>
    <row r="34" s="28" customFormat="1" x14ac:dyDescent="0.2"/>
    <row r="35" s="28" customFormat="1" x14ac:dyDescent="0.2"/>
  </sheetData>
  <mergeCells count="17">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Лист27">
    <tabColor rgb="FF00B050"/>
  </sheetPr>
  <dimension ref="A1:I34"/>
  <sheetViews>
    <sheetView view="pageBreakPreview" zoomScaleNormal="100" zoomScaleSheetLayoutView="100" workbookViewId="0">
      <selection activeCell="I39" sqref="I39"/>
    </sheetView>
  </sheetViews>
  <sheetFormatPr defaultColWidth="9.140625" defaultRowHeight="12.75" x14ac:dyDescent="0.2"/>
  <cols>
    <col min="1" max="2" width="11" style="21" customWidth="1"/>
    <col min="3" max="4" width="14.42578125" style="21" customWidth="1"/>
    <col min="5" max="6" width="13.5703125" style="21" customWidth="1"/>
    <col min="7" max="7" width="9.140625" style="21"/>
    <col min="8" max="8" width="19" style="21" bestFit="1" customWidth="1"/>
    <col min="9" max="16384" width="9.140625" style="21"/>
  </cols>
  <sheetData>
    <row r="1" spans="1:9" x14ac:dyDescent="0.2">
      <c r="A1" s="28"/>
      <c r="B1" s="28"/>
      <c r="C1" s="28"/>
      <c r="D1" s="28"/>
      <c r="E1" s="28"/>
      <c r="F1" s="28"/>
      <c r="G1" s="28"/>
      <c r="H1" s="28"/>
      <c r="I1" s="28"/>
    </row>
    <row r="2" spans="1:9" x14ac:dyDescent="0.2">
      <c r="A2" s="403" t="str">
        <f>""&amp;" "&amp;umumiy_malumot!B74&amp;"-sonli "&amp;" "&amp;umumiy_malumot!C64&amp;" shartnomasi bo‘yicha
 garovga qo‘yilgan mol-mulkni tekshirish bo’yicha "&amp;umumiy_malumot!B5&amp;" bilan tuzilgan dalolatnomasi"</f>
        <v xml:space="preserve"> 16 fevral 2026 y.dan № 110-sonli  Mikrokredit shartnomasi bo‘yicha
 garovga qo‘yilgan mol-mulkni tekshirish bo’yicha NORINBOYEVA SOXIBA IZZATILLAYEVNA bilan tuzilgan dalolatnomasi</v>
      </c>
      <c r="B2" s="403"/>
      <c r="C2" s="403"/>
      <c r="D2" s="403"/>
      <c r="E2" s="403"/>
      <c r="F2" s="403"/>
      <c r="G2" s="403"/>
      <c r="H2" s="403"/>
      <c r="I2" s="28"/>
    </row>
    <row r="3" spans="1:9" x14ac:dyDescent="0.2">
      <c r="A3" s="403"/>
      <c r="B3" s="403"/>
      <c r="C3" s="403"/>
      <c r="D3" s="403"/>
      <c r="E3" s="403"/>
      <c r="F3" s="403"/>
      <c r="G3" s="403"/>
      <c r="H3" s="403"/>
      <c r="I3" s="28"/>
    </row>
    <row r="5" spans="1:9" x14ac:dyDescent="0.2">
      <c r="A5" s="21" t="s">
        <v>194</v>
      </c>
      <c r="H5" s="130" t="str">
        <f>TEXT(+umumiy_malumot!B2+540,"ДД.ММ.ГГГГ")</f>
        <v>10.08.2027</v>
      </c>
    </row>
    <row r="7" spans="1:9" ht="45" customHeight="1" x14ac:dyDescent="0.2">
      <c r="A7" s="406" t="str">
        <f>"      Men, "&amp;umumiy_malumot!B158&amp;" "&amp;umumiy_malumot!A161&amp;"i "&amp;umumiy_malumot!B161&amp;", jismoniy shaxs "&amp;" "&amp;umumiy_malumot!B5&amp;" "&amp;" "&amp;umumiy_malumot!B74&amp;"-sonli "&amp;umumiy_malumot!C64&amp;" shartnomasi bo‘yicha garovga qo‘yilgan mol-mulkni ko‘zdan kechirdim"</f>
        <v xml:space="preserve">      Men, «PULLOL BUSINESS MIKROMOLIYA TASHKILOTI»  MChJ Direktori Obidov A.Sh., jismoniy shaxs  NORINBOYEVA SOXIBA IZZATILLAYEVNA  16 fevral 2026 y.dan № 110-sonli Mikrokredit shartnomasi bo‘yicha garovga qo‘yilgan mol-mulkni ko‘zdan kechirdim</v>
      </c>
      <c r="B7" s="406"/>
      <c r="C7" s="406"/>
      <c r="D7" s="406"/>
      <c r="E7" s="406"/>
      <c r="F7" s="406"/>
      <c r="G7" s="406"/>
      <c r="H7" s="406"/>
    </row>
    <row r="8" spans="1:9" ht="19.5" customHeight="1" x14ac:dyDescent="0.2">
      <c r="A8" s="407" t="s">
        <v>263</v>
      </c>
      <c r="B8" s="407"/>
      <c r="C8" s="407"/>
      <c r="D8" s="407"/>
      <c r="E8" s="407"/>
      <c r="F8" s="407"/>
      <c r="G8" s="407"/>
      <c r="H8" s="407"/>
    </row>
    <row r="9" spans="1:9" s="131" customFormat="1" ht="32.25" customHeight="1" x14ac:dyDescent="0.25">
      <c r="A9" s="401" t="str">
        <f>monitoring_2!A9</f>
        <v>Nomi</v>
      </c>
      <c r="B9" s="402"/>
      <c r="C9" s="401">
        <f>monitoring_2!C9</f>
        <v>0</v>
      </c>
      <c r="D9" s="402"/>
      <c r="E9" s="401" t="str">
        <f>monitoring_2!E9</f>
        <v>Umumiy foydali maydoni, (m2)</v>
      </c>
      <c r="F9" s="402"/>
      <c r="G9" s="401" t="str">
        <f>monitoring_2!G9</f>
        <v>Yashash maydoni, (m2)</v>
      </c>
      <c r="H9" s="402"/>
    </row>
    <row r="10" spans="1:9" s="129" customFormat="1" ht="58.5" customHeight="1" x14ac:dyDescent="0.2">
      <c r="A10" s="410" t="str">
        <f>monitoring_2!A10</f>
        <v>Yakka tartibdagi uy-joy</v>
      </c>
      <c r="B10" s="411"/>
      <c r="C10" s="410" t="str">
        <f>monitoring_2!C10</f>
        <v>700</v>
      </c>
      <c r="D10" s="411"/>
      <c r="E10" s="410" t="str">
        <f>monitoring_2!E10</f>
        <v>163.19</v>
      </c>
      <c r="F10" s="411"/>
      <c r="G10" s="410" t="str">
        <f>monitoring_2!G10</f>
        <v>114.59</v>
      </c>
      <c r="H10" s="411"/>
    </row>
    <row r="11" spans="1:9" ht="19.5" customHeight="1" x14ac:dyDescent="0.2">
      <c r="A11" s="404" t="str">
        <f>dalolatnoma!A22:F22</f>
        <v>-* ko'chmas mulk egasi: NORINBAYEVA SAPURA MAMADALIYEVNA</v>
      </c>
      <c r="B11" s="404"/>
      <c r="C11" s="404"/>
      <c r="D11" s="404"/>
      <c r="E11" s="404"/>
      <c r="F11" s="404"/>
      <c r="G11" s="404"/>
      <c r="H11" s="404"/>
    </row>
    <row r="12" spans="1:9" ht="19.5" customHeight="1" x14ac:dyDescent="0.2">
      <c r="A12" s="404" t="str">
        <f>dalolatnoma!A23:F23</f>
        <v>-* reest raqami: №1727256/Y-25006342</v>
      </c>
      <c r="B12" s="404"/>
      <c r="C12" s="404"/>
      <c r="D12" s="404"/>
      <c r="E12" s="404"/>
      <c r="F12" s="404"/>
      <c r="G12" s="404"/>
      <c r="H12" s="404"/>
    </row>
    <row r="13" spans="1:9" ht="19.5" customHeight="1" x14ac:dyDescent="0.2">
      <c r="A13" s="404" t="str">
        <f>dalolatnoma!A24:F24</f>
        <v>-*  kadastr raqami: 13.08.2025 y. №11:13:42:02:01:1840</v>
      </c>
      <c r="B13" s="404"/>
      <c r="C13" s="404"/>
      <c r="D13" s="404"/>
      <c r="E13" s="404"/>
      <c r="F13" s="404"/>
      <c r="G13" s="404"/>
      <c r="H13" s="404"/>
    </row>
    <row r="14" spans="1:9" ht="19.5" customHeight="1" x14ac:dyDescent="0.2">
      <c r="A14" s="404" t="str">
        <f>dalolatnoma!A25:F25</f>
        <v>-* manzili: TOSHKENT VILOYATI CHINOZ TUMANI ALISHER NAVOIY MFY SOBIR RAHIMOV KO'CHASI 36 UY</v>
      </c>
      <c r="B14" s="404"/>
      <c r="C14" s="404"/>
      <c r="D14" s="404"/>
      <c r="E14" s="404"/>
      <c r="F14" s="404"/>
      <c r="G14" s="404"/>
      <c r="H14" s="404"/>
    </row>
    <row r="15" spans="1:9" ht="33.75" customHeight="1" x14ac:dyDescent="0.2">
      <c r="A15" s="405" t="str">
        <f>+"Shu bilan birga, yuqoridagi mulkning kelishilgan garov qiymati "&amp;dalolatnoma!F30</f>
        <v>Shu bilan birga, yuqoridagi mulkning kelishilgan garov qiymati 210 000 000,00 
(ikki yuz o'n million so'm)</v>
      </c>
      <c r="B15" s="405"/>
      <c r="C15" s="405"/>
      <c r="D15" s="405"/>
      <c r="E15" s="405"/>
      <c r="F15" s="405"/>
      <c r="G15" s="405"/>
      <c r="H15" s="405"/>
    </row>
    <row r="17" spans="1:8" s="129" customFormat="1" ht="32.25" customHeight="1" x14ac:dyDescent="0.2">
      <c r="A17" s="408" t="s">
        <v>264</v>
      </c>
      <c r="B17" s="408"/>
      <c r="C17" s="408"/>
      <c r="D17" s="408"/>
      <c r="E17" s="408"/>
      <c r="F17" s="408"/>
      <c r="G17" s="408"/>
      <c r="H17" s="408"/>
    </row>
    <row r="21" spans="1:8" s="28" customFormat="1" x14ac:dyDescent="0.2"/>
    <row r="22" spans="1:8" s="28" customFormat="1" x14ac:dyDescent="0.2">
      <c r="A22" s="28" t="str">
        <f>umumiy_malumot!A161</f>
        <v>Direktor</v>
      </c>
      <c r="H22" s="132" t="str">
        <f>umumiy_malumot!B161</f>
        <v>Obidov A.Sh.</v>
      </c>
    </row>
    <row r="23" spans="1:8" s="28" customFormat="1" x14ac:dyDescent="0.2">
      <c r="H23" s="132"/>
    </row>
    <row r="24" spans="1:8" s="28" customFormat="1" x14ac:dyDescent="0.2">
      <c r="H24" s="132"/>
    </row>
    <row r="25" spans="1:8" s="28" customFormat="1" hidden="1" x14ac:dyDescent="0.2">
      <c r="H25" s="132"/>
    </row>
    <row r="26" spans="1:8" s="28" customFormat="1" hidden="1" x14ac:dyDescent="0.2">
      <c r="H26" s="132"/>
    </row>
    <row r="27" spans="1:8" s="28" customFormat="1" ht="16.5" hidden="1" customHeight="1" x14ac:dyDescent="0.2">
      <c r="A27" s="28" t="s">
        <v>265</v>
      </c>
      <c r="H27" s="28" t="str">
        <f>umumiy_malumot!B171</f>
        <v>Omanlikov  O.O.</v>
      </c>
    </row>
    <row r="28" spans="1:8" s="28" customFormat="1" ht="16.5" hidden="1" customHeight="1" x14ac:dyDescent="0.2"/>
    <row r="29" spans="1:8" s="28" customFormat="1" ht="16.5" hidden="1" customHeight="1" x14ac:dyDescent="0.2"/>
    <row r="30" spans="1:8" s="28" customFormat="1" x14ac:dyDescent="0.2"/>
    <row r="31" spans="1:8" s="28" customFormat="1" x14ac:dyDescent="0.2">
      <c r="A31" s="28" t="s">
        <v>266</v>
      </c>
      <c r="H31" s="132" t="str">
        <f>umumiy_malumot!B7</f>
        <v>NORINBOYEVA S.I.</v>
      </c>
    </row>
    <row r="32" spans="1:8" s="28" customFormat="1" x14ac:dyDescent="0.2"/>
    <row r="33" s="28" customFormat="1" x14ac:dyDescent="0.2"/>
    <row r="34" s="28" customFormat="1" x14ac:dyDescent="0.2"/>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Лист28">
    <tabColor rgb="FF00B050"/>
  </sheetPr>
  <dimension ref="A1:I34"/>
  <sheetViews>
    <sheetView tabSelected="1" view="pageBreakPreview" zoomScaleNormal="100" zoomScaleSheetLayoutView="100" workbookViewId="0">
      <selection activeCell="C36" sqref="C36"/>
    </sheetView>
  </sheetViews>
  <sheetFormatPr defaultColWidth="9.140625" defaultRowHeight="12.75" x14ac:dyDescent="0.2"/>
  <cols>
    <col min="1" max="2" width="11" style="21" customWidth="1"/>
    <col min="3" max="4" width="14.42578125" style="21" customWidth="1"/>
    <col min="5" max="6" width="13.5703125" style="21" customWidth="1"/>
    <col min="7" max="7" width="9.140625" style="21"/>
    <col min="8" max="8" width="19" style="21" bestFit="1" customWidth="1"/>
    <col min="9" max="16384" width="9.140625" style="21"/>
  </cols>
  <sheetData>
    <row r="1" spans="1:9" x14ac:dyDescent="0.2">
      <c r="A1" s="28"/>
      <c r="B1" s="28"/>
      <c r="C1" s="28"/>
      <c r="D1" s="28"/>
      <c r="E1" s="28"/>
      <c r="F1" s="28"/>
      <c r="G1" s="28"/>
      <c r="H1" s="28"/>
      <c r="I1" s="28"/>
    </row>
    <row r="2" spans="1:9" x14ac:dyDescent="0.2">
      <c r="A2" s="403" t="str">
        <f>""&amp;" "&amp;umumiy_malumot!B74&amp;"-sonli "&amp;" "&amp;umumiy_malumot!C64&amp;" shartnomasi bo‘yicha
 garovga qo‘yilgan mol-mulkni tekshirish bo’yicha "&amp;umumiy_malumot!B5&amp;" bilan tuzilgan dalolatnomasi"</f>
        <v xml:space="preserve"> 16 fevral 2026 y.dan № 110-sonli  Mikrokredit shartnomasi bo‘yicha
 garovga qo‘yilgan mol-mulkni tekshirish bo’yicha NORINBOYEVA SOXIBA IZZATILLAYEVNA bilan tuzilgan dalolatnomasi</v>
      </c>
      <c r="B2" s="403"/>
      <c r="C2" s="403"/>
      <c r="D2" s="403"/>
      <c r="E2" s="403"/>
      <c r="F2" s="403"/>
      <c r="G2" s="403"/>
      <c r="H2" s="403"/>
      <c r="I2" s="28"/>
    </row>
    <row r="3" spans="1:9" x14ac:dyDescent="0.2">
      <c r="A3" s="403"/>
      <c r="B3" s="403"/>
      <c r="C3" s="403"/>
      <c r="D3" s="403"/>
      <c r="E3" s="403"/>
      <c r="F3" s="403"/>
      <c r="G3" s="403"/>
      <c r="H3" s="403"/>
      <c r="I3" s="28"/>
    </row>
    <row r="5" spans="1:9" x14ac:dyDescent="0.2">
      <c r="A5" s="21" t="s">
        <v>194</v>
      </c>
      <c r="H5" s="130" t="str">
        <f>TEXT(+umumiy_malumot!B2+720,"ДД.ММ.ГГГГ")</f>
        <v>06.02.2028</v>
      </c>
    </row>
    <row r="7" spans="1:9" ht="45" customHeight="1" x14ac:dyDescent="0.2">
      <c r="A7" s="406" t="str">
        <f>"      Men, "&amp;umumiy_malumot!B158&amp;" "&amp;umumiy_malumot!A161&amp;"i "&amp;umumiy_malumot!B161&amp;", jismoniy shaxs "&amp;" "&amp;umumiy_malumot!B5&amp;" "&amp;" "&amp;umumiy_malumot!B74&amp;"-sonli "&amp;umumiy_malumot!C64&amp;" shartnomasi bo‘yicha garovga qo‘yilgan mol-mulkni ko‘zdan kechirdim"</f>
        <v xml:space="preserve">      Men, «PULLOL BUSINESS MIKROMOLIYA TASHKILOTI»  MChJ Direktori Obidov A.Sh., jismoniy shaxs  NORINBOYEVA SOXIBA IZZATILLAYEVNA  16 fevral 2026 y.dan № 110-sonli Mikrokredit shartnomasi bo‘yicha garovga qo‘yilgan mol-mulkni ko‘zdan kechirdim</v>
      </c>
      <c r="B7" s="406"/>
      <c r="C7" s="406"/>
      <c r="D7" s="406"/>
      <c r="E7" s="406"/>
      <c r="F7" s="406"/>
      <c r="G7" s="406"/>
      <c r="H7" s="406"/>
    </row>
    <row r="8" spans="1:9" ht="19.5" customHeight="1" x14ac:dyDescent="0.2">
      <c r="A8" s="407" t="s">
        <v>263</v>
      </c>
      <c r="B8" s="407"/>
      <c r="C8" s="407"/>
      <c r="D8" s="407"/>
      <c r="E8" s="407"/>
      <c r="F8" s="407"/>
      <c r="G8" s="407"/>
      <c r="H8" s="407"/>
    </row>
    <row r="9" spans="1:9" s="131" customFormat="1" ht="32.25" customHeight="1" x14ac:dyDescent="0.25">
      <c r="A9" s="401" t="str">
        <f>monitoring_2!A9</f>
        <v>Nomi</v>
      </c>
      <c r="B9" s="402"/>
      <c r="C9" s="401">
        <f>monitoring_2!C9</f>
        <v>0</v>
      </c>
      <c r="D9" s="402"/>
      <c r="E9" s="401" t="str">
        <f>monitoring_2!E9</f>
        <v>Umumiy foydali maydoni, (m2)</v>
      </c>
      <c r="F9" s="402"/>
      <c r="G9" s="401" t="str">
        <f>monitoring_2!G9</f>
        <v>Yashash maydoni, (m2)</v>
      </c>
      <c r="H9" s="402"/>
    </row>
    <row r="10" spans="1:9" s="129" customFormat="1" ht="58.5" customHeight="1" x14ac:dyDescent="0.2">
      <c r="A10" s="409" t="str">
        <f>monitoring_2!A10</f>
        <v>Yakka tartibdagi uy-joy</v>
      </c>
      <c r="B10" s="409"/>
      <c r="C10" s="409" t="str">
        <f>monitoring_2!C10</f>
        <v>700</v>
      </c>
      <c r="D10" s="409"/>
      <c r="E10" s="409" t="str">
        <f>monitoring_2!E10</f>
        <v>163.19</v>
      </c>
      <c r="F10" s="409"/>
      <c r="G10" s="409" t="str">
        <f>monitoring_2!G10</f>
        <v>114.59</v>
      </c>
      <c r="H10" s="409"/>
    </row>
    <row r="11" spans="1:9" ht="19.5" customHeight="1" x14ac:dyDescent="0.2">
      <c r="A11" s="404" t="str">
        <f>dalolatnoma!A22:F22</f>
        <v>-* ko'chmas mulk egasi: NORINBAYEVA SAPURA MAMADALIYEVNA</v>
      </c>
      <c r="B11" s="404"/>
      <c r="C11" s="404"/>
      <c r="D11" s="404"/>
      <c r="E11" s="404"/>
      <c r="F11" s="404"/>
      <c r="G11" s="404"/>
      <c r="H11" s="404"/>
    </row>
    <row r="12" spans="1:9" ht="19.5" customHeight="1" x14ac:dyDescent="0.2">
      <c r="A12" s="404" t="str">
        <f>dalolatnoma!A23:F23</f>
        <v>-* reest raqami: №1727256/Y-25006342</v>
      </c>
      <c r="B12" s="404"/>
      <c r="C12" s="404"/>
      <c r="D12" s="404"/>
      <c r="E12" s="404"/>
      <c r="F12" s="404"/>
      <c r="G12" s="404"/>
      <c r="H12" s="404"/>
    </row>
    <row r="13" spans="1:9" ht="19.5" customHeight="1" x14ac:dyDescent="0.2">
      <c r="A13" s="404" t="str">
        <f>dalolatnoma!A24:F24</f>
        <v>-*  kadastr raqami: 13.08.2025 y. №11:13:42:02:01:1840</v>
      </c>
      <c r="B13" s="404"/>
      <c r="C13" s="404"/>
      <c r="D13" s="404"/>
      <c r="E13" s="404"/>
      <c r="F13" s="404"/>
      <c r="G13" s="404"/>
      <c r="H13" s="404"/>
    </row>
    <row r="14" spans="1:9" ht="19.5" customHeight="1" x14ac:dyDescent="0.2">
      <c r="A14" s="404" t="str">
        <f>dalolatnoma!A25:F25</f>
        <v>-* manzili: TOSHKENT VILOYATI CHINOZ TUMANI ALISHER NAVOIY MFY SOBIR RAHIMOV KO'CHASI 36 UY</v>
      </c>
      <c r="B14" s="404"/>
      <c r="C14" s="404"/>
      <c r="D14" s="404"/>
      <c r="E14" s="404"/>
      <c r="F14" s="404"/>
      <c r="G14" s="404"/>
      <c r="H14" s="404"/>
    </row>
    <row r="15" spans="1:9" ht="33.75" customHeight="1" x14ac:dyDescent="0.2">
      <c r="A15" s="405" t="str">
        <f>+"Shu bilan birga, yuqoridagi mulkning kelishilgan garov qiymati "&amp;dalolatnoma!F30</f>
        <v>Shu bilan birga, yuqoridagi mulkning kelishilgan garov qiymati 210 000 000,00 
(ikki yuz o'n million so'm)</v>
      </c>
      <c r="B15" s="405"/>
      <c r="C15" s="405"/>
      <c r="D15" s="405"/>
      <c r="E15" s="405"/>
      <c r="F15" s="405"/>
      <c r="G15" s="405"/>
      <c r="H15" s="405"/>
    </row>
    <row r="17" spans="1:8" ht="28.5" customHeight="1" x14ac:dyDescent="0.2">
      <c r="A17" s="408" t="s">
        <v>264</v>
      </c>
      <c r="B17" s="408"/>
      <c r="C17" s="408"/>
      <c r="D17" s="408"/>
      <c r="E17" s="408"/>
      <c r="F17" s="408"/>
      <c r="G17" s="408"/>
      <c r="H17" s="408"/>
    </row>
    <row r="21" spans="1:8" s="28" customFormat="1" x14ac:dyDescent="0.2"/>
    <row r="22" spans="1:8" s="28" customFormat="1" x14ac:dyDescent="0.2">
      <c r="A22" s="28" t="str">
        <f>umumiy_malumot!A161</f>
        <v>Direktor</v>
      </c>
      <c r="H22" s="132" t="str">
        <f>umumiy_malumot!B161</f>
        <v>Obidov A.Sh.</v>
      </c>
    </row>
    <row r="23" spans="1:8" s="28" customFormat="1" x14ac:dyDescent="0.2">
      <c r="H23" s="132"/>
    </row>
    <row r="24" spans="1:8" s="28" customFormat="1" ht="13.5" hidden="1" customHeight="1" x14ac:dyDescent="0.2">
      <c r="H24" s="132"/>
    </row>
    <row r="25" spans="1:8" s="28" customFormat="1" hidden="1" x14ac:dyDescent="0.2">
      <c r="H25" s="132"/>
    </row>
    <row r="26" spans="1:8" s="28" customFormat="1" hidden="1" x14ac:dyDescent="0.2">
      <c r="H26" s="132"/>
    </row>
    <row r="27" spans="1:8" s="28" customFormat="1" ht="16.5" hidden="1" customHeight="1" x14ac:dyDescent="0.2">
      <c r="A27" s="28" t="s">
        <v>265</v>
      </c>
      <c r="H27" s="28" t="str">
        <f>umumiy_malumot!B171</f>
        <v>Omanlikov  O.O.</v>
      </c>
    </row>
    <row r="28" spans="1:8" s="28" customFormat="1" hidden="1" x14ac:dyDescent="0.2"/>
    <row r="29" spans="1:8" s="28" customFormat="1" x14ac:dyDescent="0.2"/>
    <row r="30" spans="1:8" s="28" customFormat="1" x14ac:dyDescent="0.2"/>
    <row r="31" spans="1:8" s="28" customFormat="1" x14ac:dyDescent="0.2">
      <c r="A31" s="28" t="s">
        <v>266</v>
      </c>
      <c r="H31" s="132" t="str">
        <f>umumiy_malumot!B7</f>
        <v>NORINBOYEVA S.I.</v>
      </c>
    </row>
    <row r="32" spans="1:8" s="28" customFormat="1" x14ac:dyDescent="0.2"/>
    <row r="33" s="28" customFormat="1" x14ac:dyDescent="0.2"/>
    <row r="34" s="28" customFormat="1" x14ac:dyDescent="0.2"/>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A1:D29"/>
  <sheetViews>
    <sheetView view="pageBreakPreview" zoomScaleNormal="100" zoomScaleSheetLayoutView="100" workbookViewId="0">
      <selection activeCell="A14" sqref="A14:D14"/>
    </sheetView>
  </sheetViews>
  <sheetFormatPr defaultColWidth="16.85546875" defaultRowHeight="15" x14ac:dyDescent="0.25"/>
  <cols>
    <col min="1" max="1" width="16" style="13" customWidth="1"/>
    <col min="2" max="2" width="21.140625" style="13" customWidth="1"/>
    <col min="3" max="3" width="23.85546875" style="13" customWidth="1"/>
    <col min="4" max="4" width="26" style="13" customWidth="1"/>
    <col min="5" max="16384" width="16.85546875" style="13"/>
  </cols>
  <sheetData>
    <row r="1" spans="1:4" x14ac:dyDescent="0.25">
      <c r="B1" s="204" t="s">
        <v>386</v>
      </c>
    </row>
    <row r="2" spans="1:4" x14ac:dyDescent="0.25">
      <c r="B2" s="205" t="s">
        <v>387</v>
      </c>
      <c r="C2" s="201"/>
      <c r="D2" s="201"/>
    </row>
    <row r="3" spans="1:4" x14ac:dyDescent="0.25">
      <c r="B3" s="205" t="s">
        <v>388</v>
      </c>
      <c r="C3" s="201"/>
      <c r="D3" s="201"/>
    </row>
    <row r="4" spans="1:4" x14ac:dyDescent="0.25">
      <c r="B4" s="205" t="s">
        <v>389</v>
      </c>
      <c r="C4" s="201"/>
      <c r="D4" s="201"/>
    </row>
    <row r="6" spans="1:4" x14ac:dyDescent="0.25">
      <c r="A6" s="32" t="str">
        <f>[3]malumot!B109</f>
        <v>05.04.2025 yildagi</v>
      </c>
      <c r="D6" s="34" t="s">
        <v>390</v>
      </c>
    </row>
    <row r="7" spans="1:4" x14ac:dyDescent="0.25">
      <c r="A7" s="13" t="str">
        <f>[3]malumot!B110</f>
        <v>№ 02/04-001</v>
      </c>
      <c r="D7" s="34" t="s">
        <v>391</v>
      </c>
    </row>
    <row r="9" spans="1:4" x14ac:dyDescent="0.25">
      <c r="A9" s="268" t="str">
        <f>"      “CLEVER mikromoliya tashkiloti” MCHJ va " &amp; [3]malumot!B5 &amp; " (pasport: " &amp;[3]malumot!B16 &amp; ", " &amp;[3]malumot!B20 &amp;")" &amp; " o‘rtasida " &amp;[3]malumot!B2 &amp; " yildagi " &amp;[3]malumot!B1 &amp; "-sonli" &amp; [3]notarius!B78 &amp; ", "&amp; [3]malumot!B75 &amp; " (" &amp;[3]malumot!B76 &amp;")" &amp; "miqdorida mikroqarz shartnomasi imzolangan. Mikroqarz shartnomasi bo‘yicha majburiyatlarni o‘z vaqtida bajarish uchun Qarz oluvchi quyidagi mulkni taqdim etdi, xususan:"</f>
        <v xml:space="preserve">      “CLEVER mikromoliya tashkiloti” MCHJ va XAYATOV OTABEK KURBANOVICH (pasport: AB 7858443, BUXORO VILOYATI KOGON TUMAN IIB tomonidan 06.10.2017 yilda berilgan) o‘rtasida 01.04.2025 yildagi № 687-BR-sonli, 26000000 (yigirma olti million so'm)miqdorida mikroqarz shartnomasi imzolangan. Mikroqarz shartnomasi bo‘yicha majburiyatlarni o‘z vaqtida bajarish uchun Qarz oluvchi quyidagi mulkni taqdim etdi, xususan:</v>
      </c>
      <c r="B9" s="268"/>
      <c r="C9" s="268"/>
      <c r="D9" s="268"/>
    </row>
    <row r="11" spans="1:4" ht="28.5" x14ac:dyDescent="0.25">
      <c r="A11" s="36" t="s">
        <v>197</v>
      </c>
      <c r="B11" s="36" t="str">
        <f>IF([3]malumot!B111=[3]malumot!C111,"Kuzov turi  va kuzov raqami*","Foydali maydoni")</f>
        <v>Kuzov turi  va kuzov raqami*</v>
      </c>
      <c r="C11" s="36" t="str">
        <f>IF([3]malumot!B111=[3]malumot!C111,"Dvigatel va shassi raqami*","Yashash maydoni")</f>
        <v>Dvigatel va shassi raqami*</v>
      </c>
      <c r="D11" s="36" t="str">
        <f>IF([3]malumot!B111=[3]malumot!C111,"Ishlab chiqarilgan yili va rangi**","Umumiy maydoni")</f>
        <v>Ishlab chiqarilgan yili va rangi**</v>
      </c>
    </row>
    <row r="12" spans="1:4" ht="60" x14ac:dyDescent="0.25">
      <c r="A12" s="15" t="str">
        <f>IF([3]malumot!B111=[3]malumot!C111,[3]malumot!B133,[3]malumot!C133)</f>
        <v>SPARK</v>
      </c>
      <c r="B12" s="15" t="str">
        <f>IF([3]malumot!B111=[3]malumot!C111,[3]malumot!B135,CONCATENATE([3]malumot!F138," ","kv.m"))</f>
        <v>kuzov turi - YENGIL SEDAN, kuzov raqami XWBMF481EBA580791</v>
      </c>
      <c r="C12" s="15" t="str">
        <f>IF([3]malumot!B111=[3]malumot!C111,[3]malumot!B138,[3]malumot!E141)</f>
        <v>dvigatel raqami B10D1606437KC3, shassi raqami - RAKAMSIZ</v>
      </c>
      <c r="D12" s="15" t="str">
        <f>IF([3]malumot!B111=[3]malumot!C111,[3]malumot!B141,[3]malumot!E138)</f>
        <v>rangi -  OQ BELAYA "KASABLANKA", ishlab chiqarilgan yili - 2011</v>
      </c>
    </row>
    <row r="13" spans="1:4" x14ac:dyDescent="0.25">
      <c r="A13" s="412" t="str">
        <f>"-* "&amp;IF([3]malumot!B111=[3]malumot!C111,"avtotransport "&amp;"egasi: "&amp;[3]malumot!B125&amp;"","ko'chmas mulk"&amp;" egasi: "&amp;[3]malumot!B125&amp;"")</f>
        <v>-* avtotransport egasi: FAYZIYEV JAMSHID KURBONOVICH</v>
      </c>
      <c r="B13" s="412"/>
      <c r="C13" s="412"/>
      <c r="D13" s="412"/>
    </row>
    <row r="14" spans="1:4" x14ac:dyDescent="0.25">
      <c r="A14" s="413" t="str">
        <f>IF([3]malumot!B111=[3]malumot!C111,"-* texnik pasport: "&amp;[3]malumot!B132&amp;"","-* reest raqami: "&amp;[3]malumot!C132&amp;"")</f>
        <v>-* texnik pasport: AAG   4517617  20.08.2024y</v>
      </c>
      <c r="B14" s="413"/>
      <c r="C14" s="413"/>
      <c r="D14" s="413"/>
    </row>
    <row r="15" spans="1:4" x14ac:dyDescent="0.25">
      <c r="A15" s="413" t="str">
        <f>IF([3]malumot!B111=[3]malumot!C111,"-* davlat raqami: "&amp;[3]malumot!B134&amp;"","-* manzili: "&amp;[3]malumot!C131&amp;"")</f>
        <v>-* davlat raqami: 80Y320AB</v>
      </c>
      <c r="B15" s="413"/>
      <c r="C15" s="413"/>
      <c r="D15" s="413"/>
    </row>
    <row r="16" spans="1:4" x14ac:dyDescent="0.25">
      <c r="A16" s="151" t="str">
        <f>"-* garov shartnomasi bo'yicha (reestr № " &amp;[3]malumot!B106&amp; " , " &amp;[3]malumot!B107&amp; " yil)"</f>
        <v>-* garov shartnomasi bo'yicha (reestr № 202502386001856 , 01.04.2025 yil)</v>
      </c>
      <c r="B16" s="39"/>
      <c r="C16" s="39"/>
      <c r="D16" s="39"/>
    </row>
    <row r="17" spans="1:4" x14ac:dyDescent="0.25">
      <c r="A17" s="39"/>
      <c r="B17" s="39"/>
      <c r="C17" s="39"/>
      <c r="D17" s="39"/>
    </row>
    <row r="18" spans="1:4" x14ac:dyDescent="0.25">
      <c r="A18" s="268" t="s">
        <v>392</v>
      </c>
      <c r="B18" s="268"/>
      <c r="C18" s="268"/>
      <c r="D18" s="268"/>
    </row>
    <row r="20" spans="1:4" x14ac:dyDescent="0.25">
      <c r="C20" s="202"/>
    </row>
    <row r="21" spans="1:4" x14ac:dyDescent="0.25">
      <c r="A21" s="203" t="s">
        <v>393</v>
      </c>
    </row>
    <row r="22" spans="1:4" x14ac:dyDescent="0.25">
      <c r="A22" s="203" t="s">
        <v>394</v>
      </c>
      <c r="D22" s="37" t="s">
        <v>379</v>
      </c>
    </row>
    <row r="26" spans="1:4" x14ac:dyDescent="0.25">
      <c r="A26" s="13" t="s">
        <v>395</v>
      </c>
    </row>
    <row r="27" spans="1:4" ht="16.5" customHeight="1" x14ac:dyDescent="0.25">
      <c r="A27" s="13" t="s">
        <v>396</v>
      </c>
    </row>
    <row r="29" spans="1:4" ht="48" customHeight="1" x14ac:dyDescent="0.25">
      <c r="A29" s="268" t="s">
        <v>397</v>
      </c>
      <c r="B29" s="268"/>
      <c r="C29" s="268"/>
      <c r="D29" s="268"/>
    </row>
  </sheetData>
  <mergeCells count="6">
    <mergeCell ref="A29:D29"/>
    <mergeCell ref="A9:D9"/>
    <mergeCell ref="A13:D13"/>
    <mergeCell ref="A14:D14"/>
    <mergeCell ref="A15:D15"/>
    <mergeCell ref="A18:D18"/>
  </mergeCells>
  <printOptions horizontalCentered="1"/>
  <pageMargins left="0.70866141732283472" right="0.70866141732283472" top="0.74803149606299213" bottom="0.74803149606299213" header="0.31496062992125984" footer="0.31496062992125984"/>
  <pageSetup paperSize="9" scale="8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24</vt:i4>
      </vt:variant>
      <vt:variant>
        <vt:lpstr>Именованные диапазоны</vt:lpstr>
      </vt:variant>
      <vt:variant>
        <vt:i4>18</vt:i4>
      </vt:variant>
    </vt:vector>
  </HeadingPairs>
  <TitlesOfParts>
    <vt:vector size="42" baseType="lpstr">
      <vt:lpstr>protokol</vt:lpstr>
      <vt:lpstr>umumiy_malumot</vt:lpstr>
      <vt:lpstr>mijoz_anketasi</vt:lpstr>
      <vt:lpstr>anketa</vt:lpstr>
      <vt:lpstr>kredit_ariza</vt:lpstr>
      <vt:lpstr>majburiyatnoma</vt:lpstr>
      <vt:lpstr>xulosa</vt:lpstr>
      <vt:lpstr>shartnoma</vt:lpstr>
      <vt:lpstr>grafik</vt:lpstr>
      <vt:lpstr>garov_ariza</vt:lpstr>
      <vt:lpstr>dalolatnoma</vt:lpstr>
      <vt:lpstr>buyruq</vt:lpstr>
      <vt:lpstr>График дифференц</vt:lpstr>
      <vt:lpstr>Данные для послед. Залога</vt:lpstr>
      <vt:lpstr>График аннуитет.</vt:lpstr>
      <vt:lpstr>muqova</vt:lpstr>
      <vt:lpstr>mijoz_ariza</vt:lpstr>
      <vt:lpstr>ariza HR</vt:lpstr>
      <vt:lpstr>Письмо</vt:lpstr>
      <vt:lpstr>monitoring_1</vt:lpstr>
      <vt:lpstr>monitoring_2</vt:lpstr>
      <vt:lpstr>monitoring_3</vt:lpstr>
      <vt:lpstr>monitoring_4</vt:lpstr>
      <vt:lpstr>notarius</vt:lpstr>
      <vt:lpstr>'ariza HR'!Область_печати</vt:lpstr>
      <vt:lpstr>buyruq!Область_печати</vt:lpstr>
      <vt:lpstr>dalolatnoma!Область_печати</vt:lpstr>
      <vt:lpstr>garov_ariza!Область_печати</vt:lpstr>
      <vt:lpstr>grafik!Область_печати</vt:lpstr>
      <vt:lpstr>kredit_ariza!Область_печати</vt:lpstr>
      <vt:lpstr>mijoz_anketasi!Область_печати</vt:lpstr>
      <vt:lpstr>mijoz_ariza!Область_печати</vt:lpstr>
      <vt:lpstr>monitoring_1!Область_печати</vt:lpstr>
      <vt:lpstr>monitoring_2!Область_печати</vt:lpstr>
      <vt:lpstr>monitoring_3!Область_печати</vt:lpstr>
      <vt:lpstr>monitoring_4!Область_печати</vt:lpstr>
      <vt:lpstr>muqova!Область_печати</vt:lpstr>
      <vt:lpstr>notarius!Область_печати</vt:lpstr>
      <vt:lpstr>protokol!Область_печати</vt:lpstr>
      <vt:lpstr>shartnoma!Область_печати</vt:lpstr>
      <vt:lpstr>xulosa!Область_печати</vt:lpstr>
      <vt:lpstr>'График аннуитет.'!Область_печати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r.saipova</dc:creator>
  <cp:lastModifiedBy>Taylakov Ulug'bek Norbekovich</cp:lastModifiedBy>
  <cp:lastPrinted>2026-02-16T12:08:03Z</cp:lastPrinted>
  <dcterms:created xsi:type="dcterms:W3CDTF">2015-06-05T18:19:34Z</dcterms:created>
  <dcterms:modified xsi:type="dcterms:W3CDTF">2026-02-17T13:02:26Z</dcterms:modified>
</cp:coreProperties>
</file>