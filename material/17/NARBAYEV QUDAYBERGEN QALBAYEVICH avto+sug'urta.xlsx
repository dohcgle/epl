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ЭтаКнига"/>
  <mc:AlternateContent xmlns:mc="http://schemas.openxmlformats.org/markup-compatibility/2006">
    <mc:Choice Requires="x15">
      <x15ac:absPath xmlns:x15ac="http://schemas.microsoft.com/office/spreadsheetml/2010/11/ac" url="G:\Мой диск\StartUP\EPL\Excel\17.02.2026\"/>
    </mc:Choice>
  </mc:AlternateContent>
  <xr:revisionPtr revIDLastSave="0" documentId="13_ncr:1_{0097A72F-2ED6-4998-B131-5278D5A5C990}" xr6:coauthVersionLast="47" xr6:coauthVersionMax="47" xr10:uidLastSave="{00000000-0000-0000-0000-000000000000}"/>
  <bookViews>
    <workbookView xWindow="14295" yWindow="0" windowWidth="14610" windowHeight="15585" tabRatio="915" xr2:uid="{00000000-000D-0000-FFFF-FFFF00000000}"/>
  </bookViews>
  <sheets>
    <sheet name="protokol" sheetId="23" r:id="rId1"/>
    <sheet name="umumiy_malumot" sheetId="1" r:id="rId2"/>
    <sheet name="mijoz_anketasi" sheetId="4" r:id="rId3"/>
    <sheet name="anketa" sheetId="22" r:id="rId4"/>
    <sheet name="kredit_ariza" sheetId="2" r:id="rId5"/>
    <sheet name="majburiyatnoma" sheetId="24" r:id="rId6"/>
    <sheet name="xulosa" sheetId="3" r:id="rId7"/>
    <sheet name="shartnoma" sheetId="19" r:id="rId8"/>
    <sheet name="grafik" sheetId="16" r:id="rId9"/>
    <sheet name="garov_ariza" sheetId="31" r:id="rId10"/>
    <sheet name="dalolatnoma" sheetId="7" r:id="rId11"/>
    <sheet name="buyruq" sheetId="8" r:id="rId12"/>
    <sheet name="График дифференц" sheetId="15" state="hidden" r:id="rId13"/>
    <sheet name="Данные для послед. Залога" sheetId="21" state="hidden" r:id="rId14"/>
    <sheet name="График аннуитет." sheetId="12" state="hidden" r:id="rId15"/>
    <sheet name="muqova" sheetId="9" r:id="rId16"/>
    <sheet name="mijoz_ariza" sheetId="34" r:id="rId17"/>
    <sheet name="ariza_hr" sheetId="32" r:id="rId18"/>
    <sheet name="Письмо" sheetId="20" state="hidden" r:id="rId19"/>
    <sheet name="monitoring_1" sheetId="27" r:id="rId20"/>
    <sheet name="monitoring_2" sheetId="26" r:id="rId21"/>
    <sheet name="monitoring_3" sheetId="28" r:id="rId22"/>
    <sheet name="monitoring_4" sheetId="29" r:id="rId23"/>
    <sheet name="notarius" sheetId="33" r:id="rId24"/>
  </sheets>
  <externalReferences>
    <externalReference r:id="rId25"/>
    <externalReference r:id="rId26"/>
    <externalReference r:id="rId27"/>
  </externalReferences>
  <definedNames>
    <definedName name="mos" localSheetId="16">'[1]Общие данные'!$C$23:$D$23</definedName>
    <definedName name="mos">'[2]Общие данные'!$C$23:$D$23</definedName>
    <definedName name="mulk" localSheetId="16">'[1]Общие данные'!$C$24:$W$24</definedName>
    <definedName name="mulk">'[2]Общие данные'!$C$24:$W$24</definedName>
    <definedName name="_xlnm.Print_Area" localSheetId="17">ariza_hr!$A$1:$D$24</definedName>
    <definedName name="_xlnm.Print_Area" localSheetId="11">buyruq!$A$1:$E$29</definedName>
    <definedName name="_xlnm.Print_Area" localSheetId="10">dalolatnoma!$A$2:$E$61</definedName>
    <definedName name="_xlnm.Print_Area" localSheetId="9">garov_ariza!$A$5:$C$26</definedName>
    <definedName name="_xlnm.Print_Area" localSheetId="8">grafik!$A$1:$F$74</definedName>
    <definedName name="_xlnm.Print_Area" localSheetId="4">kredit_ariza!$A$1:$D$46</definedName>
    <definedName name="_xlnm.Print_Area" localSheetId="2">mijoz_anketasi!$A$1:$F$36</definedName>
    <definedName name="_xlnm.Print_Area" localSheetId="16">mijoz_ariza!$A$1:$C$18</definedName>
    <definedName name="_xlnm.Print_Area" localSheetId="19">monitoring_1!$A$1:$H$34</definedName>
    <definedName name="_xlnm.Print_Area" localSheetId="20">monitoring_2!$A$1:$H$33</definedName>
    <definedName name="_xlnm.Print_Area" localSheetId="21">monitoring_3!$A$1:$H$33</definedName>
    <definedName name="_xlnm.Print_Area" localSheetId="22">monitoring_4!$A$1:$H$33</definedName>
    <definedName name="_xlnm.Print_Area" localSheetId="15">muqova!$A$1:$G$41</definedName>
    <definedName name="_xlnm.Print_Area" localSheetId="23">notarius!$A$1:$D$31</definedName>
    <definedName name="_xlnm.Print_Area" localSheetId="0">protokol!$A$1:$E$50</definedName>
    <definedName name="_xlnm.Print_Area" localSheetId="7">shartnoma!$A$1:$B$133</definedName>
    <definedName name="_xlnm.Print_Area" localSheetId="6">xulosa!$A$1:$E$70</definedName>
    <definedName name="_xlnm.Print_Area" localSheetId="14">'График аннуитет.'!$A$1:$F$75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5" i="3" l="1"/>
  <c r="A55" i="3"/>
  <c r="A49" i="23"/>
  <c r="D49" i="23"/>
  <c r="A15" i="19"/>
  <c r="A5" i="19"/>
  <c r="A20" i="4" l="1"/>
  <c r="A48" i="23" l="1"/>
  <c r="D48" i="23"/>
  <c r="D59" i="7" l="1"/>
  <c r="A9" i="24"/>
  <c r="A7" i="24"/>
  <c r="A4" i="34" l="1"/>
  <c r="B40" i="1" l="1"/>
  <c r="B33" i="1"/>
  <c r="A126" i="19"/>
  <c r="A70" i="16" s="1"/>
  <c r="B128" i="19"/>
  <c r="D71" i="16" s="1"/>
  <c r="A124" i="19"/>
  <c r="A123" i="19"/>
  <c r="C7" i="31" l="1"/>
  <c r="C1" i="32"/>
  <c r="A20" i="32"/>
  <c r="A41" i="23"/>
  <c r="B155" i="1" l="1"/>
  <c r="B76" i="1"/>
  <c r="B143" i="1"/>
  <c r="B144" i="1" l="1"/>
  <c r="E30" i="7" s="1"/>
  <c r="B77" i="1"/>
  <c r="C75" i="1"/>
  <c r="D75" i="1" s="1"/>
  <c r="B19" i="1"/>
  <c r="A48" i="7" l="1"/>
  <c r="D62" i="7"/>
  <c r="C23" i="31"/>
  <c r="A23" i="31"/>
  <c r="C8" i="31"/>
  <c r="A7" i="3"/>
  <c r="A71" i="16"/>
  <c r="A130" i="19"/>
  <c r="A128" i="19"/>
  <c r="A28" i="31" l="1"/>
  <c r="A29" i="31"/>
  <c r="A30" i="31" s="1"/>
  <c r="A32" i="31" s="1"/>
  <c r="A26" i="31"/>
  <c r="A20" i="31" l="1"/>
  <c r="B64" i="7" s="1"/>
  <c r="A19" i="31" l="1"/>
  <c r="A63" i="7"/>
  <c r="D63" i="7"/>
  <c r="A16" i="33" l="1"/>
  <c r="A15" i="33"/>
  <c r="A14" i="33"/>
  <c r="A13" i="33"/>
  <c r="D12" i="33"/>
  <c r="C12" i="33"/>
  <c r="B12" i="33"/>
  <c r="A12" i="33"/>
  <c r="D11" i="33"/>
  <c r="C11" i="33"/>
  <c r="B11" i="33"/>
  <c r="A9" i="33"/>
  <c r="A7" i="33"/>
  <c r="A6" i="33"/>
  <c r="C19" i="31" l="1"/>
  <c r="C6" i="31" l="1"/>
  <c r="A15" i="31"/>
  <c r="C10" i="31"/>
  <c r="C9" i="31"/>
  <c r="C87" i="1" l="1"/>
  <c r="B87" i="1"/>
  <c r="A7" i="23" s="1"/>
  <c r="B83" i="1"/>
  <c r="H31" i="26" l="1"/>
  <c r="H31" i="27"/>
  <c r="H27" i="27"/>
  <c r="A27" i="27"/>
  <c r="D43" i="2"/>
  <c r="A43" i="2"/>
  <c r="E52" i="7"/>
  <c r="D59" i="3"/>
  <c r="D63" i="3"/>
  <c r="A63" i="3"/>
  <c r="A59" i="3"/>
  <c r="D45" i="23"/>
  <c r="A45" i="23"/>
  <c r="B34" i="1" l="1"/>
  <c r="B27" i="1"/>
  <c r="B9" i="1"/>
  <c r="B8" i="1"/>
  <c r="B10" i="1" s="1"/>
  <c r="B12" i="1" s="1"/>
  <c r="B11" i="1" l="1"/>
  <c r="B13" i="1" s="1"/>
  <c r="A72" i="16"/>
  <c r="H9" i="23"/>
  <c r="A122" i="19"/>
  <c r="A16" i="32"/>
  <c r="B11" i="32"/>
  <c r="B12" i="32"/>
  <c r="B13" i="32"/>
  <c r="B14" i="32"/>
  <c r="B10" i="32"/>
  <c r="A11" i="32"/>
  <c r="A12" i="32"/>
  <c r="A13" i="32"/>
  <c r="A14" i="32"/>
  <c r="A10" i="32"/>
  <c r="C5" i="32"/>
  <c r="C4" i="32"/>
  <c r="B134" i="1" l="1"/>
  <c r="B156" i="1" l="1"/>
  <c r="B145" i="1" l="1"/>
  <c r="A14" i="23"/>
  <c r="A9" i="32" l="1"/>
  <c r="B65" i="1"/>
  <c r="A52" i="7"/>
  <c r="C1" i="2"/>
  <c r="A27" i="16"/>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32" i="15"/>
  <c r="A33" i="15" s="1"/>
  <c r="A34" i="15" s="1"/>
  <c r="A35" i="15" s="1"/>
  <c r="A36" i="15" s="1"/>
  <c r="A37" i="15" s="1"/>
  <c r="A38" i="15" s="1"/>
  <c r="A39" i="15" s="1"/>
  <c r="A40" i="15" s="1"/>
  <c r="A41" i="15" s="1"/>
  <c r="A42" i="15" s="1"/>
  <c r="A43" i="15" s="1"/>
  <c r="A44" i="15" s="1"/>
  <c r="A32" i="12"/>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C123" i="1"/>
  <c r="C129" i="1" s="1"/>
  <c r="C121" i="1"/>
  <c r="C127" i="1" s="1"/>
  <c r="C120" i="1"/>
  <c r="C126" i="1" s="1"/>
  <c r="C119" i="1"/>
  <c r="C125" i="1" s="1"/>
  <c r="C118" i="1"/>
  <c r="C124" i="1" s="1"/>
  <c r="A62" i="7"/>
  <c r="A61" i="7"/>
  <c r="F61" i="7"/>
  <c r="A25" i="7"/>
  <c r="A23" i="7"/>
  <c r="A6" i="8" l="1"/>
  <c r="A31" i="4"/>
  <c r="A14" i="31"/>
  <c r="A45" i="15"/>
  <c r="A54" i="12"/>
  <c r="A75" i="1"/>
  <c r="A34" i="23"/>
  <c r="A9" i="26"/>
  <c r="A9" i="29" s="1"/>
  <c r="A46" i="15" l="1"/>
  <c r="A55" i="12"/>
  <c r="A9" i="27"/>
  <c r="A9" i="28"/>
  <c r="I133" i="1"/>
  <c r="A47" i="3"/>
  <c r="A35" i="3"/>
  <c r="E30" i="3"/>
  <c r="A30" i="3"/>
  <c r="A33" i="3"/>
  <c r="A47" i="15" l="1"/>
  <c r="D29" i="7"/>
  <c r="D30" i="3" s="1"/>
  <c r="F137" i="1"/>
  <c r="E140" i="1"/>
  <c r="E137" i="1"/>
  <c r="D20" i="7"/>
  <c r="E20" i="7"/>
  <c r="G9" i="26" s="1"/>
  <c r="B20" i="7"/>
  <c r="A48" i="15" l="1"/>
  <c r="G9" i="28"/>
  <c r="G9" i="27"/>
  <c r="G9" i="29"/>
  <c r="B29" i="7"/>
  <c r="B30" i="3" s="1"/>
  <c r="C9" i="26"/>
  <c r="C29" i="7"/>
  <c r="C30" i="3" s="1"/>
  <c r="E9" i="26"/>
  <c r="A49" i="15" l="1"/>
  <c r="E9" i="29"/>
  <c r="E9" i="28"/>
  <c r="E9" i="27"/>
  <c r="C9" i="29"/>
  <c r="C9" i="28"/>
  <c r="C9" i="27"/>
  <c r="A50" i="15" l="1"/>
  <c r="H27" i="29"/>
  <c r="H27" i="28"/>
  <c r="A22" i="26"/>
  <c r="H27" i="26"/>
  <c r="A52" i="3"/>
  <c r="A36" i="3"/>
  <c r="A1" i="3"/>
  <c r="D15" i="23"/>
  <c r="E15" i="23" s="1"/>
  <c r="A1" i="23"/>
  <c r="D70" i="16"/>
  <c r="A51" i="15" l="1"/>
  <c r="A117" i="1"/>
  <c r="A116" i="1"/>
  <c r="A115" i="1"/>
  <c r="A114" i="1"/>
  <c r="C22" i="1"/>
  <c r="A16" i="23"/>
  <c r="A69" i="16"/>
  <c r="A52" i="15" l="1"/>
  <c r="B49" i="1"/>
  <c r="B59" i="1" s="1"/>
  <c r="A53" i="15" l="1"/>
  <c r="A16" i="4"/>
  <c r="A17" i="4"/>
  <c r="B119" i="19"/>
  <c r="B123" i="1"/>
  <c r="B129" i="1" s="1"/>
  <c r="A24" i="7" s="1"/>
  <c r="A34" i="3" s="1"/>
  <c r="B121" i="1"/>
  <c r="B120" i="1"/>
  <c r="B119" i="1"/>
  <c r="B118" i="1"/>
  <c r="A54" i="15" l="1"/>
  <c r="B45" i="1"/>
  <c r="B58" i="1"/>
  <c r="A51" i="7"/>
  <c r="D2" i="2"/>
  <c r="C77" i="1"/>
  <c r="A9" i="2" l="1"/>
  <c r="A19" i="4"/>
  <c r="A55" i="15"/>
  <c r="A31" i="2"/>
  <c r="H79" i="19"/>
  <c r="A79" i="19" s="1"/>
  <c r="H21" i="19"/>
  <c r="A74" i="19"/>
  <c r="H70" i="19"/>
  <c r="A70" i="19" s="1"/>
  <c r="A57" i="19"/>
  <c r="A5" i="23"/>
  <c r="A12" i="19"/>
  <c r="A34" i="19"/>
  <c r="B33" i="19" s="1"/>
  <c r="A32" i="19" s="1"/>
  <c r="A88" i="1"/>
  <c r="A10" i="3"/>
  <c r="A17" i="2"/>
  <c r="A18" i="2"/>
  <c r="A9" i="19"/>
  <c r="A19" i="19"/>
  <c r="A48" i="19"/>
  <c r="A72" i="19"/>
  <c r="A97" i="19"/>
  <c r="C64" i="1"/>
  <c r="C21" i="19"/>
  <c r="A53" i="19"/>
  <c r="A64" i="19"/>
  <c r="A75" i="19"/>
  <c r="C41" i="19"/>
  <c r="A41" i="19" s="1"/>
  <c r="A67" i="19"/>
  <c r="C76" i="19"/>
  <c r="A76" i="19" s="1"/>
  <c r="H17" i="19"/>
  <c r="A17" i="19" s="1"/>
  <c r="I21" i="19"/>
  <c r="A44" i="19"/>
  <c r="A61" i="19"/>
  <c r="A93" i="19"/>
  <c r="A20" i="19"/>
  <c r="C56" i="19"/>
  <c r="A56" i="19" s="1"/>
  <c r="A62" i="19"/>
  <c r="A69" i="19"/>
  <c r="A18" i="23"/>
  <c r="D64" i="1"/>
  <c r="A22" i="19" s="1"/>
  <c r="A1" i="1"/>
  <c r="A80" i="1"/>
  <c r="A86" i="1"/>
  <c r="A2" i="1"/>
  <c r="A82" i="1"/>
  <c r="A87" i="1"/>
  <c r="A76" i="1"/>
  <c r="A83" i="1"/>
  <c r="A90" i="1"/>
  <c r="A79" i="1"/>
  <c r="A85" i="1"/>
  <c r="A33" i="23" l="1"/>
  <c r="A29" i="2"/>
  <c r="A23" i="8"/>
  <c r="A23" i="19"/>
  <c r="C31" i="19"/>
  <c r="B130" i="19"/>
  <c r="A24" i="23"/>
  <c r="E31" i="19"/>
  <c r="D31" i="19" s="1"/>
  <c r="A59" i="16"/>
  <c r="A13" i="2"/>
  <c r="A16" i="2"/>
  <c r="A21" i="2"/>
  <c r="A11" i="23"/>
  <c r="A4" i="2"/>
  <c r="B26" i="9"/>
  <c r="A20" i="23"/>
  <c r="A14" i="19"/>
  <c r="A15" i="2"/>
  <c r="A22" i="23"/>
  <c r="A19" i="23"/>
  <c r="A42" i="19"/>
  <c r="A21" i="23"/>
  <c r="B25" i="9"/>
  <c r="A21" i="19"/>
  <c r="A13" i="19"/>
  <c r="A14" i="2"/>
  <c r="A26" i="3"/>
  <c r="A63" i="19"/>
  <c r="A11" i="19"/>
  <c r="B124" i="1"/>
  <c r="A22" i="7" s="1"/>
  <c r="B125" i="1"/>
  <c r="A31" i="19" l="1"/>
  <c r="A16" i="8"/>
  <c r="A32" i="3"/>
  <c r="H7" i="23"/>
  <c r="A2" i="23" s="1"/>
  <c r="B127" i="1" l="1"/>
  <c r="B126" i="1"/>
  <c r="A120" i="19" l="1"/>
  <c r="A65" i="16" s="1"/>
  <c r="A30" i="4"/>
  <c r="B122" i="19"/>
  <c r="D67" i="16" s="1"/>
  <c r="A15" i="4"/>
  <c r="A14" i="4"/>
  <c r="A13" i="4"/>
  <c r="C8" i="15"/>
  <c r="J12" i="15"/>
  <c r="A10" i="4" l="1"/>
  <c r="A9" i="4" s="1"/>
  <c r="B124" i="19"/>
  <c r="D69" i="16" s="1"/>
  <c r="B123" i="19"/>
  <c r="D68" i="16" s="1"/>
  <c r="D64" i="16"/>
  <c r="B117" i="19"/>
  <c r="D63" i="16" s="1"/>
  <c r="A68" i="16" l="1"/>
  <c r="A67" i="16"/>
  <c r="A121" i="19"/>
  <c r="A66" i="16" s="1"/>
  <c r="A119" i="19"/>
  <c r="A64" i="16" s="1"/>
  <c r="B24" i="9" l="1"/>
  <c r="B2" i="9"/>
  <c r="A22" i="29"/>
  <c r="A22" i="28"/>
  <c r="H5" i="29"/>
  <c r="H5" i="28"/>
  <c r="H5" i="27"/>
  <c r="A22" i="27"/>
  <c r="H22" i="26"/>
  <c r="D2" i="1"/>
  <c r="H5" i="26" s="1"/>
  <c r="A35" i="2"/>
  <c r="A29" i="4"/>
  <c r="A28" i="4"/>
  <c r="A7" i="4"/>
  <c r="A11" i="24"/>
  <c r="A14" i="7"/>
  <c r="A13" i="7"/>
  <c r="A2" i="7"/>
  <c r="A8" i="3"/>
  <c r="A5" i="3"/>
  <c r="A4" i="3"/>
  <c r="A9" i="8"/>
  <c r="A8" i="8"/>
  <c r="A7" i="8"/>
  <c r="A12" i="2"/>
  <c r="A7" i="2"/>
  <c r="B175" i="1"/>
  <c r="H133" i="1"/>
  <c r="I132" i="1"/>
  <c r="F132" i="1" s="1"/>
  <c r="H132" i="1"/>
  <c r="C132" i="1"/>
  <c r="B140" i="1"/>
  <c r="E21" i="7" s="1"/>
  <c r="B137" i="1"/>
  <c r="D21" i="7" s="1"/>
  <c r="E10" i="26" s="1"/>
  <c r="B21" i="7"/>
  <c r="C10" i="26" s="1"/>
  <c r="G10" i="26" l="1"/>
  <c r="D30" i="7"/>
  <c r="D31" i="3" s="1"/>
  <c r="E10" i="28"/>
  <c r="E10" i="27"/>
  <c r="E10" i="29"/>
  <c r="C10" i="28"/>
  <c r="C10" i="27"/>
  <c r="C10" i="29"/>
  <c r="C133" i="1"/>
  <c r="A17" i="7" s="1"/>
  <c r="A21" i="7"/>
  <c r="A10" i="26" s="1"/>
  <c r="C144" i="1"/>
  <c r="A6" i="2"/>
  <c r="E31" i="3"/>
  <c r="A15" i="7"/>
  <c r="E132" i="1"/>
  <c r="A27" i="3"/>
  <c r="A27" i="2"/>
  <c r="A28" i="2"/>
  <c r="F133" i="1"/>
  <c r="E133" i="1"/>
  <c r="A24" i="2" l="1"/>
  <c r="A28" i="3"/>
  <c r="A15" i="8"/>
  <c r="G10" i="28"/>
  <c r="G10" i="29"/>
  <c r="G10" i="27"/>
  <c r="A14" i="8"/>
  <c r="A25" i="2"/>
  <c r="A16" i="7"/>
  <c r="A18" i="7" s="1"/>
  <c r="A19" i="7" s="1"/>
  <c r="A29" i="3"/>
  <c r="A25" i="23" s="1"/>
  <c r="A37" i="3"/>
  <c r="A21" i="4" l="1"/>
  <c r="A10" i="2"/>
  <c r="B66" i="1" l="1"/>
  <c r="A1" i="19" s="1"/>
  <c r="H31" i="29"/>
  <c r="H31" i="28"/>
  <c r="H22" i="29"/>
  <c r="H22" i="28"/>
  <c r="H22" i="27"/>
  <c r="D56" i="7" l="1"/>
  <c r="A56" i="7"/>
  <c r="A132" i="19"/>
  <c r="B109" i="1"/>
  <c r="R131" i="1" l="1"/>
  <c r="R132" i="1" s="1"/>
  <c r="N133" i="1" s="1"/>
  <c r="Q131" i="1"/>
  <c r="Q132" i="1" s="1"/>
  <c r="N132" i="1" s="1"/>
  <c r="B24" i="4" l="1"/>
  <c r="B67" i="1" l="1"/>
  <c r="C79" i="1" s="1"/>
  <c r="C80" i="1" s="1"/>
  <c r="C81" i="1" s="1"/>
  <c r="B80" i="1" s="1"/>
  <c r="B81" i="1" s="1"/>
  <c r="A13" i="31" s="1"/>
  <c r="B152" i="1" l="1"/>
  <c r="B150" i="1"/>
  <c r="C18" i="1" l="1"/>
  <c r="B20" i="1" l="1"/>
  <c r="B121" i="19" s="1"/>
  <c r="C20" i="1"/>
  <c r="C122" i="1" l="1"/>
  <c r="C128" i="1" s="1"/>
  <c r="C6" i="32"/>
  <c r="B122" i="1"/>
  <c r="B128" i="1" s="1"/>
  <c r="D65" i="16"/>
  <c r="A8" i="2"/>
  <c r="B26" i="23"/>
  <c r="C26" i="23"/>
  <c r="D26" i="23"/>
  <c r="E26" i="23"/>
  <c r="A26"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F27" i="4" l="1"/>
  <c r="A21" i="3" s="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43" i="1"/>
  <c r="D49" i="7" l="1"/>
  <c r="E33" i="7"/>
  <c r="A38" i="20"/>
  <c r="A37" i="20"/>
  <c r="B19" i="20"/>
  <c r="C19" i="20"/>
  <c r="D19" i="20"/>
  <c r="E19" i="20"/>
  <c r="A19" i="20"/>
  <c r="L5" i="15" l="1"/>
  <c r="I8" i="15" l="1"/>
  <c r="E20" i="20"/>
  <c r="B26" i="4"/>
  <c r="B27" i="4" s="1"/>
  <c r="A11" i="2" l="1"/>
  <c r="A20" i="3"/>
  <c r="C19" i="1"/>
  <c r="A33" i="20"/>
  <c r="B21" i="1" l="1"/>
  <c r="A6" i="3" s="1"/>
  <c r="C21" i="1"/>
  <c r="B8" i="15"/>
  <c r="C5" i="22"/>
  <c r="A33" i="22" s="1"/>
  <c r="R43" i="15" l="1"/>
  <c r="O43" i="15" s="1"/>
  <c r="P43" i="15" s="1"/>
  <c r="Q43" i="15" s="1"/>
  <c r="B43" i="15" s="1"/>
  <c r="R44" i="15"/>
  <c r="R45" i="15"/>
  <c r="R46" i="15"/>
  <c r="R47" i="15"/>
  <c r="O47" i="15" s="1"/>
  <c r="P47" i="15" s="1"/>
  <c r="Q47" i="15" s="1"/>
  <c r="B47" i="15" s="1"/>
  <c r="R48" i="15"/>
  <c r="O48" i="15" s="1"/>
  <c r="P48" i="15" s="1"/>
  <c r="Q48" i="15" s="1"/>
  <c r="B48" i="15" s="1"/>
  <c r="R49" i="15"/>
  <c r="R50" i="15"/>
  <c r="R51" i="15"/>
  <c r="R52" i="15"/>
  <c r="R53" i="15"/>
  <c r="R54" i="15"/>
  <c r="R55" i="15"/>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O55" i="15" l="1"/>
  <c r="P55" i="15" s="1"/>
  <c r="Q55" i="15" s="1"/>
  <c r="B55" i="15"/>
  <c r="O54" i="15"/>
  <c r="P54" i="15" s="1"/>
  <c r="Q54" i="15" s="1"/>
  <c r="B54" i="15" s="1"/>
  <c r="O53" i="15"/>
  <c r="P53" i="15" s="1"/>
  <c r="Q53" i="15" s="1"/>
  <c r="B53" i="15" s="1"/>
  <c r="O52" i="15"/>
  <c r="P52" i="15" s="1"/>
  <c r="Q52" i="15" s="1"/>
  <c r="B52" i="15" s="1"/>
  <c r="O51" i="15"/>
  <c r="P51" i="15" s="1"/>
  <c r="Q51" i="15" s="1"/>
  <c r="B51" i="15" s="1"/>
  <c r="O50" i="15"/>
  <c r="P50" i="15" s="1"/>
  <c r="Q50" i="15" s="1"/>
  <c r="B50" i="15" s="1"/>
  <c r="O49" i="15"/>
  <c r="P49" i="15" s="1"/>
  <c r="Q49" i="15" s="1"/>
  <c r="B49" i="15" s="1"/>
  <c r="B48" i="12"/>
  <c r="G48" i="15"/>
  <c r="H48" i="15"/>
  <c r="B47" i="12"/>
  <c r="H47" i="15"/>
  <c r="O46" i="15"/>
  <c r="P46" i="15" s="1"/>
  <c r="Q46" i="15" s="1"/>
  <c r="B46" i="15" s="1"/>
  <c r="O45" i="15"/>
  <c r="P45" i="15" s="1"/>
  <c r="Q45" i="15" s="1"/>
  <c r="B45" i="15" s="1"/>
  <c r="O44" i="15"/>
  <c r="P44" i="15" s="1"/>
  <c r="Q44" i="15" s="1"/>
  <c r="B44" i="15" s="1"/>
  <c r="H42" i="12"/>
  <c r="H37" i="12"/>
  <c r="H38" i="12"/>
  <c r="G38" i="12"/>
  <c r="H32" i="15"/>
  <c r="B32" i="12"/>
  <c r="B33" i="16" s="1"/>
  <c r="G39" i="12"/>
  <c r="H39" i="12"/>
  <c r="H40" i="12"/>
  <c r="G40" i="12"/>
  <c r="H43" i="15"/>
  <c r="B43" i="12"/>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B49" i="12" l="1"/>
  <c r="H49" i="15"/>
  <c r="G49" i="15"/>
  <c r="B50" i="12"/>
  <c r="H50" i="15"/>
  <c r="G50" i="15"/>
  <c r="B45" i="12"/>
  <c r="H45" i="15"/>
  <c r="G45" i="15"/>
  <c r="B53" i="12"/>
  <c r="G53" i="15"/>
  <c r="H53" i="15"/>
  <c r="B46" i="12"/>
  <c r="H46" i="15"/>
  <c r="G46" i="15"/>
  <c r="G47" i="15"/>
  <c r="B52" i="12"/>
  <c r="H52" i="15"/>
  <c r="G52" i="15"/>
  <c r="B44" i="12"/>
  <c r="G44" i="12" s="1"/>
  <c r="H44" i="15"/>
  <c r="G44" i="15"/>
  <c r="B49" i="16"/>
  <c r="G48" i="12"/>
  <c r="H48" i="12"/>
  <c r="B51" i="12"/>
  <c r="H51" i="15"/>
  <c r="G51" i="15"/>
  <c r="B54" i="12"/>
  <c r="G54" i="15"/>
  <c r="H54" i="15"/>
  <c r="H47" i="12"/>
  <c r="B48" i="16"/>
  <c r="B55" i="12"/>
  <c r="H55" i="15"/>
  <c r="G55" i="15"/>
  <c r="B44" i="16"/>
  <c r="H32" i="12"/>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H31" i="15"/>
  <c r="H25" i="15"/>
  <c r="H16" i="15"/>
  <c r="G16" i="15"/>
  <c r="G17" i="15"/>
  <c r="H17" i="15"/>
  <c r="H15" i="15"/>
  <c r="H18" i="15"/>
  <c r="G18" i="15"/>
  <c r="H13" i="15"/>
  <c r="H20" i="15"/>
  <c r="H21" i="15"/>
  <c r="G21" i="15"/>
  <c r="G23" i="15"/>
  <c r="H23" i="15"/>
  <c r="H22" i="15"/>
  <c r="G22" i="15"/>
  <c r="G14" i="15"/>
  <c r="H14" i="15"/>
  <c r="G15" i="15"/>
  <c r="G9" i="15"/>
  <c r="H19" i="15"/>
  <c r="G20" i="15"/>
  <c r="G19" i="15"/>
  <c r="D17" i="1"/>
  <c r="B55" i="16" l="1"/>
  <c r="H54" i="12"/>
  <c r="G54" i="12"/>
  <c r="H46" i="12"/>
  <c r="G46" i="12"/>
  <c r="B47" i="16"/>
  <c r="B52" i="16"/>
  <c r="G51" i="12"/>
  <c r="H51" i="12"/>
  <c r="H53" i="12"/>
  <c r="G53" i="12"/>
  <c r="B54" i="16"/>
  <c r="B45" i="16"/>
  <c r="H44" i="12"/>
  <c r="H50" i="12"/>
  <c r="B51" i="16"/>
  <c r="G50" i="12"/>
  <c r="B46" i="16"/>
  <c r="G45" i="12"/>
  <c r="H45" i="12"/>
  <c r="G55" i="12"/>
  <c r="B56" i="16"/>
  <c r="H55" i="12"/>
  <c r="G47" i="12"/>
  <c r="G52" i="12"/>
  <c r="B53" i="16"/>
  <c r="H52" i="12"/>
  <c r="B50" i="16"/>
  <c r="H49" i="12"/>
  <c r="G49" i="12"/>
  <c r="G32" i="12"/>
  <c r="B32" i="16"/>
  <c r="H41" i="12"/>
  <c r="G41" i="12"/>
  <c r="G42" i="12"/>
  <c r="G10" i="15"/>
  <c r="H10" i="15"/>
  <c r="H9" i="15"/>
  <c r="G13" i="15"/>
  <c r="G12" i="15"/>
  <c r="H12" i="15"/>
  <c r="H11" i="15"/>
  <c r="G11" i="15"/>
  <c r="I67" i="1"/>
  <c r="G67" i="1"/>
  <c r="A117" i="19" l="1"/>
  <c r="A63" i="16" s="1"/>
  <c r="F67" i="1" l="1"/>
  <c r="E67" i="1"/>
  <c r="A20" i="2" s="1"/>
  <c r="C67" i="1"/>
  <c r="C65" i="1"/>
  <c r="C66" i="1" l="1"/>
  <c r="I66" i="1"/>
  <c r="G66" i="1"/>
  <c r="D67" i="1"/>
  <c r="B151" i="1" s="1"/>
  <c r="A26" i="19" s="1"/>
  <c r="H67" i="1"/>
  <c r="B69" i="1" s="1"/>
  <c r="A4" i="24" s="1"/>
  <c r="E66" i="1"/>
  <c r="F66" i="1"/>
  <c r="A30" i="19" l="1"/>
  <c r="A29" i="19"/>
  <c r="A28" i="19" s="1"/>
  <c r="A27" i="19"/>
  <c r="B68" i="1"/>
  <c r="D66" i="1"/>
  <c r="B72" i="1" s="1"/>
  <c r="H66" i="1"/>
  <c r="B73" i="1" s="1"/>
  <c r="E3" i="23" l="1"/>
  <c r="B74" i="1"/>
  <c r="B70" i="1"/>
  <c r="E3" i="22"/>
  <c r="B71" i="1"/>
  <c r="A8" i="19" s="1"/>
  <c r="A6" i="34" l="1"/>
  <c r="B3" i="34"/>
  <c r="E3" i="16"/>
  <c r="A7" i="26"/>
  <c r="A3" i="19"/>
  <c r="B176" i="1"/>
  <c r="A2" i="8" s="1"/>
  <c r="A28" i="7"/>
  <c r="A27" i="7"/>
  <c r="A7" i="28"/>
  <c r="A7" i="27"/>
  <c r="A12" i="7"/>
  <c r="A7" i="29"/>
  <c r="A11" i="7"/>
  <c r="A9" i="7"/>
  <c r="A8" i="7"/>
  <c r="B19" i="9"/>
  <c r="A2" i="27"/>
  <c r="A2" i="28"/>
  <c r="A2" i="29"/>
  <c r="A2" i="26"/>
  <c r="B149" i="1"/>
  <c r="E4" i="7" s="1"/>
  <c r="A39" i="20"/>
  <c r="B40" i="9"/>
  <c r="A19" i="2"/>
  <c r="D72" i="15"/>
  <c r="A70" i="15"/>
  <c r="A68" i="15"/>
  <c r="D64" i="15"/>
  <c r="D60" i="15"/>
  <c r="A60" i="15"/>
  <c r="A23" i="23" l="1"/>
  <c r="A12" i="8"/>
  <c r="A7" i="7"/>
  <c r="A10" i="7"/>
  <c r="A26" i="7"/>
  <c r="A15" i="3"/>
  <c r="H27" i="15"/>
  <c r="G27" i="15"/>
  <c r="G28" i="15"/>
  <c r="H28" i="15"/>
  <c r="G30" i="15"/>
  <c r="G31" i="15"/>
  <c r="H30" i="15"/>
  <c r="G29" i="15"/>
  <c r="H29" i="15"/>
  <c r="G26" i="15"/>
  <c r="H26" i="15"/>
  <c r="H24" i="15"/>
  <c r="G24" i="15"/>
  <c r="G25" i="15"/>
  <c r="A6" i="7" l="1"/>
  <c r="F2" i="15"/>
  <c r="B62" i="1" l="1"/>
  <c r="D67" i="15" l="1"/>
  <c r="D68" i="15" l="1"/>
  <c r="D66"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C149" i="1"/>
  <c r="A35" i="20"/>
  <c r="A34" i="20"/>
  <c r="A9" i="20" l="1"/>
  <c r="N130" i="1"/>
  <c r="E44" i="7"/>
  <c r="E31" i="20" s="1"/>
  <c r="A23" i="2" l="1"/>
  <c r="D72" i="12"/>
  <c r="A70" i="12"/>
  <c r="A68" i="12"/>
  <c r="D64" i="12"/>
  <c r="D60" i="12"/>
  <c r="A60" i="12"/>
  <c r="C8" i="12"/>
  <c r="C9" i="16" s="1"/>
  <c r="A32" i="20"/>
  <c r="A25" i="19" l="1"/>
  <c r="A24" i="19" l="1"/>
  <c r="B12" i="9"/>
  <c r="A10" i="8"/>
  <c r="E17" i="8"/>
  <c r="E11" i="20" s="1"/>
  <c r="D17" i="8"/>
  <c r="D11" i="20" s="1"/>
  <c r="C17" i="8"/>
  <c r="C11" i="20" s="1"/>
  <c r="B17" i="8"/>
  <c r="B11" i="20" s="1"/>
  <c r="A17" i="8"/>
  <c r="A11" i="20" s="1"/>
  <c r="D60" i="7"/>
  <c r="D27" i="23"/>
  <c r="C30" i="7"/>
  <c r="B30" i="7"/>
  <c r="A30" i="7"/>
  <c r="C27" i="23" l="1"/>
  <c r="C31" i="3"/>
  <c r="A27" i="23"/>
  <c r="A31" i="3"/>
  <c r="B27" i="23"/>
  <c r="B31" i="3"/>
  <c r="A31" i="23"/>
  <c r="A14" i="26"/>
  <c r="A14" i="29"/>
  <c r="A14" i="28"/>
  <c r="A14" i="27"/>
  <c r="A29" i="23"/>
  <c r="A12" i="27"/>
  <c r="A12" i="29"/>
  <c r="A12" i="28"/>
  <c r="A12" i="26"/>
  <c r="D18" i="8"/>
  <c r="D12" i="20" s="1"/>
  <c r="C18" i="8"/>
  <c r="C12" i="20" s="1"/>
  <c r="B18" i="8"/>
  <c r="B12" i="20" s="1"/>
  <c r="A22" i="8"/>
  <c r="A16" i="20" s="1"/>
  <c r="A18" i="8"/>
  <c r="A12" i="20" s="1"/>
  <c r="A20" i="8"/>
  <c r="A14" i="20" s="1"/>
  <c r="D35" i="4"/>
  <c r="D27" i="4"/>
  <c r="C27" i="4"/>
  <c r="A14" i="3"/>
  <c r="A41" i="3" s="1"/>
  <c r="A11" i="4"/>
  <c r="A8" i="4"/>
  <c r="A6" i="4"/>
  <c r="A5" i="4"/>
  <c r="A4" i="4"/>
  <c r="A40" i="2"/>
  <c r="A17" i="3"/>
  <c r="A44" i="3" s="1"/>
  <c r="A12" i="3"/>
  <c r="A63" i="15" l="1"/>
  <c r="A67" i="15"/>
  <c r="A72" i="15"/>
  <c r="D74" i="15"/>
  <c r="A62" i="15"/>
  <c r="A66" i="15"/>
  <c r="A65" i="15"/>
  <c r="A64" i="15"/>
  <c r="D63" i="15"/>
  <c r="D70" i="15"/>
  <c r="D62" i="15"/>
  <c r="A72" i="12"/>
  <c r="A66" i="12"/>
  <c r="A63" i="12"/>
  <c r="A67" i="12"/>
  <c r="A64" i="12"/>
  <c r="A13" i="3"/>
  <c r="A40" i="3" s="1"/>
  <c r="A65" i="12"/>
  <c r="D68" i="12"/>
  <c r="D66" i="12"/>
  <c r="D67" i="12"/>
  <c r="D63" i="12"/>
  <c r="D70" i="12"/>
  <c r="D62" i="12"/>
  <c r="A62" i="12"/>
  <c r="A39" i="3"/>
  <c r="A42" i="3"/>
  <c r="A11" i="8"/>
  <c r="A16" i="3"/>
  <c r="A43" i="3" s="1"/>
  <c r="A13" i="8"/>
  <c r="A11" i="3"/>
  <c r="A38" i="3" s="1"/>
  <c r="A26" i="2"/>
  <c r="A22" i="2" s="1"/>
  <c r="A15" i="27" l="1"/>
  <c r="A15" i="26"/>
  <c r="A15" i="29"/>
  <c r="A15" i="28"/>
  <c r="A30" i="23"/>
  <c r="A13" i="27"/>
  <c r="A13" i="28"/>
  <c r="A13" i="29"/>
  <c r="A13" i="26"/>
  <c r="A28" i="23"/>
  <c r="A11" i="29"/>
  <c r="A11" i="28"/>
  <c r="A11" i="27"/>
  <c r="A11" i="26"/>
  <c r="E27" i="23"/>
  <c r="A21" i="8"/>
  <c r="A15" i="20" s="1"/>
  <c r="A19" i="8"/>
  <c r="A13" i="20" s="1"/>
  <c r="E18" i="8"/>
  <c r="E12" i="20" s="1"/>
  <c r="A18" i="3"/>
  <c r="A13" i="23" s="1"/>
  <c r="F2" i="12"/>
  <c r="A45"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D9" i="15" s="1"/>
  <c r="C10" i="15" s="1"/>
  <c r="M8" i="15"/>
  <c r="F8" i="15" s="1"/>
  <c r="I10" i="15"/>
  <c r="I11" i="15" s="1"/>
  <c r="I12" i="15" s="1"/>
  <c r="L9" i="15" l="1"/>
  <c r="E9" i="15" s="1"/>
  <c r="D10" i="15"/>
  <c r="J13" i="15"/>
  <c r="K13" i="15" s="1"/>
  <c r="I13" i="15" s="1"/>
  <c r="I14" i="15" s="1"/>
  <c r="I15" i="15" s="1"/>
  <c r="I16" i="15" s="1"/>
  <c r="I17" i="15" s="1"/>
  <c r="I18" i="15" s="1"/>
  <c r="L10" i="15"/>
  <c r="E10" i="15" s="1"/>
  <c r="J15" i="15" l="1"/>
  <c r="K15" i="15" s="1"/>
  <c r="J19" i="15"/>
  <c r="K19" i="15" s="1"/>
  <c r="I19" i="15" s="1"/>
  <c r="J20" i="15" s="1"/>
  <c r="K20" i="15" s="1"/>
  <c r="J18" i="15"/>
  <c r="K18" i="15" s="1"/>
  <c r="J17" i="15"/>
  <c r="K17" i="15" s="1"/>
  <c r="J16" i="15"/>
  <c r="K16" i="15" s="1"/>
  <c r="J14" i="15"/>
  <c r="K14" i="15" s="1"/>
  <c r="M9" i="15"/>
  <c r="F9" i="15" s="1"/>
  <c r="C11" i="15"/>
  <c r="D11" i="15" s="1"/>
  <c r="I20" i="15"/>
  <c r="I21" i="15" s="1"/>
  <c r="M10" i="15"/>
  <c r="F10" i="15" s="1"/>
  <c r="C12" i="15" l="1"/>
  <c r="D12" i="15" s="1"/>
  <c r="C13" i="15" s="1"/>
  <c r="D13" i="15" s="1"/>
  <c r="C14" i="15" s="1"/>
  <c r="L11" i="15"/>
  <c r="E11" i="15" s="1"/>
  <c r="J21" i="15"/>
  <c r="K21" i="15" s="1"/>
  <c r="J22" i="15"/>
  <c r="K22" i="15" s="1"/>
  <c r="I22" i="15" s="1"/>
  <c r="I23" i="15" l="1"/>
  <c r="I24" i="15" s="1"/>
  <c r="J25" i="15" s="1"/>
  <c r="K25" i="15" s="1"/>
  <c r="I25" i="15" s="1"/>
  <c r="I26" i="15" s="1"/>
  <c r="J23" i="15"/>
  <c r="K23" i="15" s="1"/>
  <c r="L12" i="15"/>
  <c r="E12" i="15" s="1"/>
  <c r="M11" i="15"/>
  <c r="F11" i="15" s="1"/>
  <c r="J24" i="15" l="1"/>
  <c r="K24" i="15" s="1"/>
  <c r="J26" i="15"/>
  <c r="K26" i="15" s="1"/>
  <c r="J27" i="15"/>
  <c r="K27" i="15" s="1"/>
  <c r="I27" i="15" s="1"/>
  <c r="M12" i="15"/>
  <c r="F12" i="15" s="1"/>
  <c r="L13" i="15"/>
  <c r="E13" i="15" s="1"/>
  <c r="I28" i="15" l="1"/>
  <c r="J29" i="15" s="1"/>
  <c r="K29" i="15" s="1"/>
  <c r="I29" i="15" s="1"/>
  <c r="J30" i="15" s="1"/>
  <c r="K30" i="15" s="1"/>
  <c r="I30" i="15" s="1"/>
  <c r="J31" i="15" s="1"/>
  <c r="K31" i="15" s="1"/>
  <c r="I31" i="15" s="1"/>
  <c r="J32" i="15" s="1"/>
  <c r="K32" i="15" s="1"/>
  <c r="J28" i="15"/>
  <c r="K28" i="15" s="1"/>
  <c r="L14" i="15"/>
  <c r="I32" i="15" l="1"/>
  <c r="I33" i="15" s="1"/>
  <c r="I34" i="15" s="1"/>
  <c r="E14" i="15"/>
  <c r="D14" i="15"/>
  <c r="C15" i="15" s="1"/>
  <c r="L15" i="15" s="1"/>
  <c r="E15" i="15" s="1"/>
  <c r="M13" i="15"/>
  <c r="F13" i="15" s="1"/>
  <c r="J34" i="15" l="1"/>
  <c r="K34" i="15" s="1"/>
  <c r="J33" i="15"/>
  <c r="K33" i="15" s="1"/>
  <c r="M14" i="15"/>
  <c r="F14" i="15" s="1"/>
  <c r="D15" i="15"/>
  <c r="C16" i="15" s="1"/>
  <c r="L16" i="15" s="1"/>
  <c r="E16" i="15" s="1"/>
  <c r="I35" i="15"/>
  <c r="J35" i="15"/>
  <c r="K35" i="15" s="1"/>
  <c r="M15" i="15" l="1"/>
  <c r="F15" i="15" s="1"/>
  <c r="D16" i="15"/>
  <c r="C17" i="15" s="1"/>
  <c r="L17" i="15" s="1"/>
  <c r="E17" i="15" s="1"/>
  <c r="I36" i="15"/>
  <c r="J36" i="15"/>
  <c r="K36" i="15" s="1"/>
  <c r="M16" i="15" l="1"/>
  <c r="F16" i="15" s="1"/>
  <c r="D17" i="15"/>
  <c r="C18" i="15" s="1"/>
  <c r="L18" i="15" s="1"/>
  <c r="E18" i="15" s="1"/>
  <c r="J37" i="15"/>
  <c r="K37" i="15" s="1"/>
  <c r="I37" i="15" s="1"/>
  <c r="M17" i="15" l="1"/>
  <c r="F17" i="15" s="1"/>
  <c r="D18" i="15"/>
  <c r="C19" i="15" s="1"/>
  <c r="L19" i="15" s="1"/>
  <c r="E19" i="15" s="1"/>
  <c r="I38" i="15"/>
  <c r="J38" i="15"/>
  <c r="K38" i="15" s="1"/>
  <c r="M18" i="15" l="1"/>
  <c r="F18" i="15" s="1"/>
  <c r="D19" i="15"/>
  <c r="C20" i="15" s="1"/>
  <c r="L20" i="15" s="1"/>
  <c r="I39" i="15"/>
  <c r="J39" i="15"/>
  <c r="K39" i="15" s="1"/>
  <c r="M19" i="15" l="1"/>
  <c r="F19" i="15" s="1"/>
  <c r="I40" i="15"/>
  <c r="J40" i="15"/>
  <c r="K40" i="15" s="1"/>
  <c r="E20" i="15"/>
  <c r="D20" i="15"/>
  <c r="C21" i="15" l="1"/>
  <c r="L21" i="15" s="1"/>
  <c r="E21" i="15" s="1"/>
  <c r="I41" i="15"/>
  <c r="J41" i="15"/>
  <c r="K41" i="15" s="1"/>
  <c r="M20" i="15"/>
  <c r="F20" i="15" s="1"/>
  <c r="D21" i="15" l="1"/>
  <c r="C22" i="15" s="1"/>
  <c r="L22" i="15" s="1"/>
  <c r="E22" i="15" s="1"/>
  <c r="I42" i="15"/>
  <c r="J43" i="15" s="1"/>
  <c r="K43" i="15" s="1"/>
  <c r="I43" i="15" s="1"/>
  <c r="J42" i="15"/>
  <c r="K42" i="15" s="1"/>
  <c r="I44" i="15" l="1"/>
  <c r="J44" i="15"/>
  <c r="K44" i="15" s="1"/>
  <c r="D22" i="15"/>
  <c r="C23" i="15" s="1"/>
  <c r="L23" i="15" s="1"/>
  <c r="E23" i="15" s="1"/>
  <c r="M21" i="15"/>
  <c r="F21" i="15" s="1"/>
  <c r="I45" i="15" l="1"/>
  <c r="J45" i="15"/>
  <c r="K45" i="15" s="1"/>
  <c r="M22" i="15"/>
  <c r="F22" i="15" s="1"/>
  <c r="D23" i="15"/>
  <c r="C24" i="15" s="1"/>
  <c r="L24" i="15" s="1"/>
  <c r="E24" i="15" s="1"/>
  <c r="I46" i="15" l="1"/>
  <c r="J46" i="15"/>
  <c r="K46" i="15" s="1"/>
  <c r="M23" i="15"/>
  <c r="F23" i="15" s="1"/>
  <c r="D24" i="15"/>
  <c r="J47" i="15" l="1"/>
  <c r="K47" i="15" s="1"/>
  <c r="I47" i="15" s="1"/>
  <c r="C25" i="15"/>
  <c r="M24" i="15"/>
  <c r="F24" i="15" s="1"/>
  <c r="I48" i="15" l="1"/>
  <c r="J48" i="15"/>
  <c r="K48" i="15" s="1"/>
  <c r="L25" i="15"/>
  <c r="E25" i="15" s="1"/>
  <c r="I49" i="15" l="1"/>
  <c r="J49" i="15"/>
  <c r="K49" i="15" s="1"/>
  <c r="D25" i="15"/>
  <c r="I50" i="15" l="1"/>
  <c r="J50" i="15"/>
  <c r="K50" i="15" s="1"/>
  <c r="C26" i="15"/>
  <c r="M25" i="15"/>
  <c r="F25" i="15" s="1"/>
  <c r="I51" i="15" l="1"/>
  <c r="J51" i="15"/>
  <c r="K51" i="15" s="1"/>
  <c r="L26" i="15"/>
  <c r="D26" i="15" s="1"/>
  <c r="I52" i="15" l="1"/>
  <c r="J52" i="15"/>
  <c r="K52" i="15" s="1"/>
  <c r="E26" i="15"/>
  <c r="M26" i="15" s="1"/>
  <c r="F26" i="15" s="1"/>
  <c r="C27" i="15"/>
  <c r="I53" i="15" l="1"/>
  <c r="J53" i="15"/>
  <c r="K53" i="15" s="1"/>
  <c r="L27" i="15"/>
  <c r="D27" i="15" s="1"/>
  <c r="J54" i="15" l="1"/>
  <c r="K54" i="15" s="1"/>
  <c r="I54" i="15"/>
  <c r="J55" i="15" s="1"/>
  <c r="K55" i="15" s="1"/>
  <c r="I55" i="15" s="1"/>
  <c r="E27" i="15"/>
  <c r="M27" i="15" s="1"/>
  <c r="F27" i="15" s="1"/>
  <c r="C28" i="15"/>
  <c r="L28" i="15" l="1"/>
  <c r="D28" i="15" s="1"/>
  <c r="E28" i="15" l="1"/>
  <c r="M28" i="15" s="1"/>
  <c r="F28" i="15" s="1"/>
  <c r="C29" i="15"/>
  <c r="L29" i="15" l="1"/>
  <c r="D29" i="15" s="1"/>
  <c r="E29" i="15" l="1"/>
  <c r="M29" i="15" s="1"/>
  <c r="F29" i="15" s="1"/>
  <c r="C30" i="15"/>
  <c r="L30" i="15" l="1"/>
  <c r="D30" i="15" s="1"/>
  <c r="E30" i="15" l="1"/>
  <c r="M30" i="15" s="1"/>
  <c r="F30" i="15" s="1"/>
  <c r="C31" i="15"/>
  <c r="L31" i="15" l="1"/>
  <c r="D31" i="15" s="1"/>
  <c r="C32" i="15" s="1"/>
  <c r="E31" i="15" l="1"/>
  <c r="M31" i="15" s="1"/>
  <c r="F31" i="15" s="1"/>
  <c r="L32" i="15"/>
  <c r="E32" i="15" s="1"/>
  <c r="D32" i="15" l="1"/>
  <c r="C33" i="15" s="1"/>
  <c r="L33" i="15" s="1"/>
  <c r="E33" i="15" s="1"/>
  <c r="M32" i="15" l="1"/>
  <c r="F32" i="15" s="1"/>
  <c r="D33" i="15"/>
  <c r="C34" i="15" s="1"/>
  <c r="L34" i="15" s="1"/>
  <c r="E34" i="15" s="1"/>
  <c r="M33" i="15" l="1"/>
  <c r="F33" i="15" s="1"/>
  <c r="D34" i="15"/>
  <c r="C35" i="15" s="1"/>
  <c r="L35" i="15" s="1"/>
  <c r="E35" i="15" s="1"/>
  <c r="M34" i="15" l="1"/>
  <c r="F34" i="15" s="1"/>
  <c r="D35" i="15"/>
  <c r="C36" i="15" s="1"/>
  <c r="L36" i="15" s="1"/>
  <c r="E36" i="15" s="1"/>
  <c r="M35" i="15" l="1"/>
  <c r="F35" i="15" s="1"/>
  <c r="D36" i="15"/>
  <c r="C37" i="15" s="1"/>
  <c r="L37" i="15" s="1"/>
  <c r="E37" i="15" s="1"/>
  <c r="M36" i="15" l="1"/>
  <c r="F36" i="15" s="1"/>
  <c r="D37" i="15"/>
  <c r="M37" i="15" s="1"/>
  <c r="F37" i="15" s="1"/>
  <c r="C38" i="15" l="1"/>
  <c r="L38" i="15" l="1"/>
  <c r="E38" i="15" s="1"/>
  <c r="D38" i="15" l="1"/>
  <c r="C39" i="15" s="1"/>
  <c r="L39" i="15" l="1"/>
  <c r="E39" i="15" s="1"/>
  <c r="M38" i="15"/>
  <c r="F38" i="15" s="1"/>
  <c r="D39" i="15" l="1"/>
  <c r="C40" i="15" l="1"/>
  <c r="M39" i="15"/>
  <c r="F39" i="15" s="1"/>
  <c r="L40" i="15" l="1"/>
  <c r="E40" i="15" s="1"/>
  <c r="D40" i="15" l="1"/>
  <c r="M40" i="15" s="1"/>
  <c r="F40" i="15" s="1"/>
  <c r="C41" i="15" l="1"/>
  <c r="L41" i="15" s="1"/>
  <c r="E41" i="15" s="1"/>
  <c r="D41" i="15" l="1"/>
  <c r="M41" i="15" s="1"/>
  <c r="F41" i="15" s="1"/>
  <c r="C42" i="15" l="1"/>
  <c r="L42" i="15" s="1"/>
  <c r="E42" i="15" s="1"/>
  <c r="D42" i="15" l="1"/>
  <c r="C43" i="15" s="1"/>
  <c r="L43" i="15" l="1"/>
  <c r="E43" i="15" s="1"/>
  <c r="M42" i="15"/>
  <c r="F42" i="15" s="1"/>
  <c r="D43" i="15" l="1"/>
  <c r="M43" i="15" s="1"/>
  <c r="F43" i="15" s="1"/>
  <c r="C44" i="15" l="1"/>
  <c r="L44" i="15" s="1"/>
  <c r="D44" i="15" s="1"/>
  <c r="C45" i="15" l="1"/>
  <c r="E44" i="15"/>
  <c r="L45" i="15" l="1"/>
  <c r="D45" i="15" s="1"/>
  <c r="M44" i="15"/>
  <c r="F44" i="15" s="1"/>
  <c r="C46" i="15" l="1"/>
  <c r="E45" i="15"/>
  <c r="L46" i="15" l="1"/>
  <c r="D46" i="15" s="1"/>
  <c r="C47" i="15" s="1"/>
  <c r="M45" i="15"/>
  <c r="F45" i="15" s="1"/>
  <c r="L47" i="15" l="1"/>
  <c r="D47" i="15" s="1"/>
  <c r="C48" i="15" s="1"/>
  <c r="E46" i="15"/>
  <c r="M46" i="15" l="1"/>
  <c r="F46" i="15" s="1"/>
  <c r="L48" i="15"/>
  <c r="D48" i="15" s="1"/>
  <c r="C49" i="15" s="1"/>
  <c r="E47" i="15"/>
  <c r="M47" i="15" l="1"/>
  <c r="F47" i="15" s="1"/>
  <c r="E48" i="15"/>
  <c r="M48" i="15" s="1"/>
  <c r="F48" i="15" s="1"/>
  <c r="L49" i="15"/>
  <c r="D49" i="15" s="1"/>
  <c r="C50" i="15" s="1"/>
  <c r="L50" i="15" l="1"/>
  <c r="D50" i="15" s="1"/>
  <c r="C51" i="15" s="1"/>
  <c r="E49" i="15"/>
  <c r="E50" i="15" l="1"/>
  <c r="M50" i="15" s="1"/>
  <c r="F50" i="15" s="1"/>
  <c r="M49" i="15"/>
  <c r="F49" i="15" s="1"/>
  <c r="L51" i="15"/>
  <c r="E51" i="15" s="1"/>
  <c r="D51" i="15" l="1"/>
  <c r="C52" i="15" s="1"/>
  <c r="L52" i="15" s="1"/>
  <c r="D52" i="15" s="1"/>
  <c r="C53" i="15" s="1"/>
  <c r="M51" i="15" l="1"/>
  <c r="F51" i="15" s="1"/>
  <c r="E52" i="15"/>
  <c r="M52" i="15" s="1"/>
  <c r="F52" i="15" s="1"/>
  <c r="L53" i="15"/>
  <c r="E53" i="15" s="1"/>
  <c r="D53" i="15" l="1"/>
  <c r="M53" i="15" s="1"/>
  <c r="F53" i="15" s="1"/>
  <c r="C54" i="15" l="1"/>
  <c r="L54" i="15" s="1"/>
  <c r="D54" i="15" s="1"/>
  <c r="C55" i="15" s="1"/>
  <c r="L55" i="15" l="1"/>
  <c r="E55" i="15" s="1"/>
  <c r="E54" i="15"/>
  <c r="D55" i="15" l="1"/>
  <c r="M55" i="15" s="1"/>
  <c r="F55" i="15" s="1"/>
  <c r="E56" i="15"/>
  <c r="M54" i="15"/>
  <c r="F54" i="15" s="1"/>
  <c r="D56" i="15" l="1"/>
  <c r="F56" i="15"/>
  <c r="A10" i="27" l="1"/>
  <c r="A10" i="28"/>
  <c r="A10" i="29"/>
  <c r="D14" i="16" l="1"/>
  <c r="E15" i="16" l="1"/>
  <c r="D15" i="16" l="1"/>
  <c r="C16" i="16" l="1"/>
  <c r="E16" i="16" l="1"/>
  <c r="D16" i="16" l="1"/>
  <c r="C17" i="16" l="1"/>
  <c r="E17" i="16" l="1"/>
  <c r="D17" i="16" l="1"/>
  <c r="C18" i="16" l="1"/>
  <c r="E18" i="16" l="1"/>
  <c r="D18" i="16" l="1"/>
  <c r="C19" i="16" l="1"/>
  <c r="E19" i="16" l="1"/>
  <c r="D19" i="16" l="1"/>
  <c r="C20" i="16" l="1"/>
  <c r="E20" i="16" l="1"/>
  <c r="D20" i="16" l="1"/>
  <c r="C21" i="16" l="1"/>
  <c r="E21" i="16" l="1"/>
  <c r="D21" i="16" l="1"/>
  <c r="C22" i="16" l="1"/>
  <c r="E22" i="16" l="1"/>
  <c r="D22" i="16" l="1"/>
  <c r="C23" i="16" l="1"/>
  <c r="E23" i="16" l="1"/>
  <c r="D23" i="16" l="1"/>
  <c r="C24" i="16" l="1"/>
  <c r="E24" i="16" l="1"/>
  <c r="D24" i="16" l="1"/>
  <c r="C25" i="16" l="1"/>
  <c r="E25" i="16" l="1"/>
  <c r="D25" i="16" l="1"/>
  <c r="C26" i="16" l="1"/>
  <c r="C27" i="16" l="1"/>
  <c r="D26" i="16"/>
  <c r="F26" i="16" l="1"/>
  <c r="C28" i="16"/>
  <c r="D27" i="16"/>
  <c r="C29" i="16" l="1"/>
  <c r="D28" i="16"/>
  <c r="D29" i="16" l="1"/>
  <c r="C30" i="16" l="1"/>
  <c r="D30" i="16" l="1"/>
  <c r="C31" i="16"/>
  <c r="C32" i="16" l="1"/>
  <c r="D31" i="16"/>
  <c r="C33" i="16" l="1"/>
  <c r="D32" i="16"/>
  <c r="D33" i="16" l="1"/>
  <c r="C34" i="16"/>
  <c r="C35" i="16" l="1"/>
  <c r="D34" i="16"/>
  <c r="D35" i="16" l="1"/>
  <c r="C36" i="16" l="1"/>
  <c r="D36" i="16" l="1"/>
  <c r="C37" i="16" l="1"/>
  <c r="D37" i="16" l="1"/>
  <c r="C38" i="16" l="1"/>
  <c r="D38" i="16" l="1"/>
  <c r="C39" i="16" l="1"/>
  <c r="C40" i="16" l="1"/>
  <c r="D39" i="16"/>
  <c r="D40" i="16" l="1"/>
  <c r="C41" i="16"/>
  <c r="D41" i="16" l="1"/>
  <c r="C42" i="16" l="1"/>
  <c r="C43" i="16" l="1"/>
  <c r="D42" i="16"/>
  <c r="C44" i="16" l="1"/>
  <c r="D43" i="16"/>
  <c r="C45" i="16" l="1"/>
  <c r="D44" i="16"/>
  <c r="D45" i="16" l="1"/>
  <c r="C46" i="16"/>
  <c r="C47" i="16" l="1"/>
  <c r="D46" i="16"/>
  <c r="D47" i="16" l="1"/>
  <c r="C48" i="16" l="1"/>
  <c r="D48" i="16" l="1"/>
  <c r="C49" i="16"/>
  <c r="C50" i="16" l="1"/>
  <c r="D49" i="16"/>
  <c r="D50" i="16" l="1"/>
  <c r="C51" i="16" l="1"/>
  <c r="D51" i="16" l="1"/>
  <c r="C52" i="16" l="1"/>
  <c r="C53" i="16" l="1"/>
  <c r="D52" i="16"/>
  <c r="C54" i="16" l="1"/>
  <c r="D53" i="16"/>
  <c r="D54" i="16" l="1"/>
  <c r="C55" i="16"/>
  <c r="C56" i="16" l="1"/>
  <c r="D55" i="16"/>
  <c r="E56" i="16" l="1"/>
  <c r="D56" i="16"/>
  <c r="F56" i="16" l="1"/>
  <c r="D9" i="16"/>
  <c r="D10" i="16"/>
  <c r="D11" i="16"/>
  <c r="D12" i="16"/>
  <c r="D13" i="16"/>
  <c r="F9" i="16"/>
  <c r="F10" i="16"/>
  <c r="F11" i="16"/>
  <c r="F12" i="16"/>
  <c r="F13" i="16"/>
  <c r="F14" i="16"/>
  <c r="F15" i="16"/>
  <c r="F16" i="16"/>
  <c r="F17" i="16"/>
  <c r="F18" i="16"/>
  <c r="F19" i="16"/>
  <c r="F20" i="16"/>
  <c r="F21" i="16"/>
  <c r="F22" i="16"/>
  <c r="F23" i="16"/>
  <c r="F24" i="16"/>
  <c r="F25" i="16"/>
  <c r="E10" i="16"/>
  <c r="F55" i="16"/>
  <c r="E55" i="16"/>
  <c r="F54" i="16"/>
  <c r="F53" i="16"/>
  <c r="E54" i="16"/>
  <c r="F52" i="16"/>
  <c r="E53" i="16"/>
  <c r="E52" i="16"/>
  <c r="F51" i="16"/>
  <c r="E51" i="16"/>
  <c r="F50" i="16"/>
  <c r="F49" i="16"/>
  <c r="E50" i="16"/>
  <c r="F48" i="16"/>
  <c r="E49" i="16"/>
  <c r="E48" i="16"/>
  <c r="F47" i="16"/>
  <c r="F46" i="16"/>
  <c r="E47" i="16"/>
  <c r="F45" i="16"/>
  <c r="E46" i="16"/>
  <c r="F44" i="16"/>
  <c r="E45" i="16"/>
  <c r="F43" i="16"/>
  <c r="E44" i="16"/>
  <c r="F42" i="16"/>
  <c r="E43" i="16"/>
  <c r="E42" i="16"/>
  <c r="F41" i="16"/>
  <c r="F40" i="16"/>
  <c r="E41" i="16"/>
  <c r="F39" i="16"/>
  <c r="E40" i="16"/>
  <c r="E39" i="16"/>
  <c r="F38" i="16"/>
  <c r="E38" i="16"/>
  <c r="F37" i="16"/>
  <c r="E37" i="16"/>
  <c r="F36" i="16"/>
  <c r="E36" i="16"/>
  <c r="F35" i="16"/>
  <c r="F34" i="16"/>
  <c r="E35" i="16"/>
  <c r="F33" i="16"/>
  <c r="E34" i="16"/>
  <c r="F32" i="16"/>
  <c r="E33" i="16"/>
  <c r="F31" i="16"/>
  <c r="E32" i="16"/>
  <c r="F30" i="16"/>
  <c r="E31" i="16"/>
  <c r="E30" i="16"/>
  <c r="F29" i="16"/>
  <c r="F28" i="16"/>
  <c r="E29" i="16"/>
  <c r="F27" i="16"/>
  <c r="E28" i="16"/>
  <c r="E27" i="16"/>
  <c r="E26" i="16"/>
  <c r="E11" i="16"/>
  <c r="E12" i="16"/>
  <c r="E13" i="16"/>
  <c r="E14" i="16"/>
  <c r="C15" i="16"/>
  <c r="C14" i="16"/>
  <c r="C13" i="16"/>
  <c r="C12" i="16"/>
  <c r="C11" i="16"/>
  <c r="C10" i="16"/>
  <c r="D57" i="16" l="1"/>
  <c r="F57" i="16"/>
  <c r="E57" i="16"/>
  <c r="B91" i="1"/>
  <c r="F8" i="12" s="1"/>
  <c r="C63" i="1"/>
  <c r="C60" i="1" s="1"/>
  <c r="D8" i="12" l="1"/>
  <c r="C9" i="12" s="1"/>
  <c r="F9" i="12"/>
  <c r="A23" i="3"/>
  <c r="A22" i="3" s="1"/>
  <c r="A24" i="3"/>
  <c r="E9" i="12" l="1"/>
  <c r="D9" i="12" s="1"/>
  <c r="C10" i="12" s="1"/>
  <c r="E10" i="12" l="1"/>
  <c r="F10" i="12"/>
  <c r="D10" i="12" s="1"/>
  <c r="C11" i="12" s="1"/>
  <c r="E11" i="12" s="1"/>
  <c r="D11" i="12" s="1"/>
  <c r="F11" i="12"/>
  <c r="F12" i="12" s="1"/>
  <c r="F13" i="12" s="1"/>
  <c r="F14" i="12" l="1"/>
  <c r="C12" i="12"/>
  <c r="E12" i="12" l="1"/>
  <c r="F15" i="12"/>
  <c r="F16" i="12" l="1"/>
  <c r="D12" i="12"/>
  <c r="C13" i="12" l="1"/>
  <c r="F17" i="12"/>
  <c r="F18" i="12" l="1"/>
  <c r="E13" i="12"/>
  <c r="D13" i="12" l="1"/>
  <c r="F19" i="12"/>
  <c r="F20" i="12" l="1"/>
  <c r="C14" i="12"/>
  <c r="F21" i="12" l="1"/>
  <c r="E14" i="12"/>
  <c r="D14" i="12" l="1"/>
  <c r="F22" i="12"/>
  <c r="F23" i="12" l="1"/>
  <c r="C15" i="12"/>
  <c r="E15" i="12" l="1"/>
  <c r="F24" i="12"/>
  <c r="F25" i="12" l="1"/>
  <c r="D15" i="12"/>
  <c r="C16" i="12" l="1"/>
  <c r="F26" i="12"/>
  <c r="F27" i="12" l="1"/>
  <c r="E16" i="12"/>
  <c r="D16" i="12" l="1"/>
  <c r="C17" i="12" s="1"/>
  <c r="F28" i="12"/>
  <c r="F29" i="12" l="1"/>
  <c r="E17" i="12"/>
  <c r="D17" i="12" s="1"/>
  <c r="C18" i="12" s="1"/>
  <c r="E18" i="12" l="1"/>
  <c r="D18" i="12" s="1"/>
  <c r="C19" i="12" s="1"/>
  <c r="F30" i="12"/>
  <c r="E19" i="12" l="1"/>
  <c r="D19" i="12" s="1"/>
  <c r="C20" i="12" s="1"/>
  <c r="F31" i="12"/>
  <c r="E20" i="12" l="1"/>
  <c r="D20" i="12" s="1"/>
  <c r="C21" i="12" s="1"/>
  <c r="F32" i="12"/>
  <c r="E21" i="12" l="1"/>
  <c r="D21" i="12" s="1"/>
  <c r="C22" i="12" s="1"/>
  <c r="F33" i="12"/>
  <c r="E22" i="12" l="1"/>
  <c r="D22" i="12" s="1"/>
  <c r="C23" i="12" s="1"/>
  <c r="F34" i="12"/>
  <c r="E23" i="12" l="1"/>
  <c r="D23" i="12" s="1"/>
  <c r="C24" i="12" s="1"/>
  <c r="F35" i="12"/>
  <c r="E24" i="12" l="1"/>
  <c r="D24" i="12" s="1"/>
  <c r="C25" i="12" s="1"/>
  <c r="F36" i="12"/>
  <c r="E25" i="12" l="1"/>
  <c r="D25" i="12" s="1"/>
  <c r="C26" i="12" s="1"/>
  <c r="F37" i="12"/>
  <c r="E26" i="12" l="1"/>
  <c r="D26" i="12" s="1"/>
  <c r="C27" i="12" s="1"/>
  <c r="F38" i="12"/>
  <c r="E27" i="12" l="1"/>
  <c r="D27" i="12" s="1"/>
  <c r="C28" i="12" s="1"/>
  <c r="F39" i="12"/>
  <c r="E28" i="12" l="1"/>
  <c r="D28" i="12" s="1"/>
  <c r="C29" i="12" s="1"/>
  <c r="F40" i="12"/>
  <c r="E29" i="12" l="1"/>
  <c r="D29" i="12" s="1"/>
  <c r="C30" i="12" s="1"/>
  <c r="F41" i="12"/>
  <c r="E30" i="12" l="1"/>
  <c r="D30" i="12" s="1"/>
  <c r="C31" i="12" s="1"/>
  <c r="F42" i="12"/>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D40" i="12" s="1"/>
  <c r="C41" i="12" s="1"/>
  <c r="E41" i="12" l="1"/>
  <c r="D41" i="12" s="1"/>
  <c r="C42" i="12" s="1"/>
  <c r="E42" i="12" l="1"/>
  <c r="D42" i="12" s="1"/>
  <c r="C43" i="12" s="1"/>
  <c r="D43" i="12" l="1"/>
  <c r="C44" i="12"/>
  <c r="E43" i="12"/>
  <c r="D44" i="12" l="1"/>
  <c r="C45" i="12"/>
  <c r="E44" i="12"/>
  <c r="F43" i="12"/>
  <c r="D45" i="12" l="1"/>
  <c r="C46" i="12"/>
  <c r="E45" i="12"/>
  <c r="F44" i="12"/>
  <c r="D46" i="12" l="1"/>
  <c r="E46" i="12"/>
  <c r="C47" i="12"/>
  <c r="F45" i="12"/>
  <c r="D47" i="12" l="1"/>
  <c r="E47" i="12"/>
  <c r="C48" i="12"/>
  <c r="F46" i="12"/>
  <c r="D48" i="12" l="1"/>
  <c r="E48" i="12"/>
  <c r="C49" i="12"/>
  <c r="F47" i="12"/>
  <c r="D49" i="12" l="1"/>
  <c r="C50" i="12"/>
  <c r="E49" i="12"/>
  <c r="F48" i="12"/>
  <c r="D50" i="12" l="1"/>
  <c r="C51" i="12"/>
  <c r="E50" i="12"/>
  <c r="F49" i="12"/>
  <c r="D51" i="12" l="1"/>
  <c r="C52" i="12"/>
  <c r="E51" i="12"/>
  <c r="F50" i="12"/>
  <c r="E52" i="12" l="1"/>
  <c r="D52" i="12"/>
  <c r="F52" i="12" s="1"/>
  <c r="F51" i="12"/>
  <c r="C53" i="12" l="1"/>
  <c r="E53" i="12" l="1"/>
  <c r="D53" i="12"/>
  <c r="F53" i="12" s="1"/>
  <c r="C54" i="12" l="1"/>
  <c r="E54" i="12" l="1"/>
  <c r="D54" i="12"/>
  <c r="F54" i="12" s="1"/>
  <c r="C55" i="12" l="1"/>
  <c r="D55" i="12"/>
  <c r="E55" i="12"/>
  <c r="E56" i="12" s="1"/>
  <c r="F55" i="12" l="1"/>
  <c r="F56" i="12" s="1"/>
  <c r="D56" i="12"/>
</calcChain>
</file>

<file path=xl/sharedStrings.xml><?xml version="1.0" encoding="utf-8"?>
<sst xmlns="http://schemas.openxmlformats.org/spreadsheetml/2006/main" count="626" uniqueCount="467">
  <si>
    <t>служебная</t>
  </si>
  <si>
    <t>другое</t>
  </si>
  <si>
    <t>Г.В. Тян</t>
  </si>
  <si>
    <t>-</t>
  </si>
  <si>
    <t>Наименование</t>
  </si>
  <si>
    <t>Согласованная залоговая стоимость, сум</t>
  </si>
  <si>
    <t>ИТОГО</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</si>
  <si>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</si>
  <si>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</si>
  <si>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</si>
  <si>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</si>
  <si>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</si>
  <si>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</si>
  <si>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</si>
  <si>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</si>
  <si>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</si>
  <si>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</si>
  <si>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</si>
  <si>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</si>
  <si>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</si>
  <si>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</si>
  <si>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июля</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</si>
  <si>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</si>
  <si>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</si>
  <si>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</si>
  <si>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</si>
  <si>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</si>
  <si>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</si>
  <si>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</si>
  <si>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</si>
  <si>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</si>
  <si>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</si>
  <si>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</si>
  <si>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</si>
  <si>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</si>
  <si>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</si>
  <si>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</si>
  <si>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</si>
  <si>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</si>
  <si>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</si>
  <si>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</si>
  <si>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</si>
  <si>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</si>
  <si>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</si>
  <si>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</si>
  <si>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</si>
  <si>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</si>
  <si>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</si>
  <si>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</si>
  <si>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</si>
  <si>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</si>
  <si>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</si>
  <si>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</si>
  <si>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</si>
  <si>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</si>
  <si>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</si>
  <si>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</si>
  <si>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</si>
  <si>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</si>
  <si>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</si>
  <si>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</si>
  <si>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</si>
  <si>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</si>
  <si>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</si>
  <si>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</si>
  <si>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</si>
  <si>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</si>
  <si>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</si>
  <si>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</si>
  <si>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</si>
  <si>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</si>
  <si>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</si>
  <si>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</si>
  <si>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</si>
  <si>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</si>
  <si>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</si>
  <si>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</si>
  <si>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</si>
  <si>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</si>
  <si>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</si>
  <si>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</si>
  <si>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</si>
  <si>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</si>
  <si>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</si>
  <si>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</si>
  <si>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</si>
  <si>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</si>
  <si>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</si>
  <si>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</si>
  <si>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</si>
  <si>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</si>
  <si>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</si>
  <si>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</si>
  <si>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</si>
  <si>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</si>
  <si>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</si>
  <si>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</si>
  <si>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</si>
  <si>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</si>
  <si>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</si>
  <si>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</si>
  <si>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</si>
  <si>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</si>
  <si>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</si>
  <si>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</si>
  <si>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</si>
  <si>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</si>
  <si>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</si>
  <si>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</si>
  <si>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</si>
  <si>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</si>
  <si>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</si>
  <si>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</si>
  <si>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</si>
  <si>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</si>
  <si>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</si>
  <si>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</si>
  <si>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</si>
  <si>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</si>
  <si>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</si>
  <si>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</si>
  <si>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</si>
  <si>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</si>
  <si>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</si>
  <si>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</si>
  <si>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</si>
  <si>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</si>
  <si>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</si>
  <si>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</si>
  <si>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</si>
  <si>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</si>
  <si>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</si>
  <si>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</si>
  <si>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</si>
  <si>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</si>
  <si>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ISHONCHNOMA BO’YICHA MA’LUMOTLAR</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</si>
  <si>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</si>
  <si>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</si>
  <si>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</si>
  <si>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</si>
  <si>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</si>
  <si>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</si>
  <si>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</si>
  <si>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</si>
  <si>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</si>
  <si>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</si>
  <si>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</si>
  <si>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</si>
  <si>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</si>
  <si>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</si>
  <si>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</si>
  <si>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</si>
  <si>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</si>
  <si>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</si>
  <si>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</si>
  <si>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</si>
  <si>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</si>
  <si>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</si>
  <si>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</si>
  <si>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</si>
  <si>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</si>
  <si>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</si>
  <si>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</si>
  <si>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</si>
  <si>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</si>
  <si>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</si>
  <si>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</si>
  <si>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</si>
  <si>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</si>
  <si>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</si>
  <si>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</si>
  <si>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</si>
  <si>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</si>
  <si>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</si>
  <si>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</si>
  <si>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</si>
  <si>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</si>
  <si>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</si>
  <si>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</si>
  <si>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</si>
  <si>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</si>
  <si>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</si>
  <si>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</si>
  <si>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</si>
  <si>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</si>
  <si>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</si>
  <si>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</si>
  <si>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</si>
  <si>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</si>
  <si>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</si>
  <si>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</si>
  <si>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</si>
  <si>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</si>
  <si>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</si>
  <si>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</si>
  <si>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</si>
  <si>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</si>
  <si>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</si>
  <si>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</si>
  <si>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</si>
  <si>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</si>
  <si>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</si>
  <si>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</si>
  <si>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</si>
  <si>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</si>
  <si>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</si>
  <si>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</si>
  <si>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</si>
  <si>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</si>
  <si>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</si>
  <si>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</si>
  <si>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</si>
  <si>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</si>
  <si>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</si>
  <si>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</si>
  <si>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</si>
  <si>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</si>
  <si>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</si>
  <si>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</si>
  <si>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</si>
  <si>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</si>
  <si>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</si>
  <si>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</si>
  <si>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</si>
  <si>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</si>
  <si>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</si>
  <si>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</si>
  <si>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</si>
  <si>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</si>
  <si>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</si>
  <si>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</si>
  <si>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</si>
  <si>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</si>
  <si>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</si>
  <si>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</si>
  <si>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</si>
  <si>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</si>
  <si>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</si>
  <si>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</si>
  <si>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</si>
  <si>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</si>
  <si>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</si>
  <si>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</si>
  <si>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</si>
  <si>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</si>
  <si>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</si>
  <si>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</si>
  <si>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</si>
  <si>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</si>
  <si>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</si>
  <si>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</si>
  <si>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</si>
  <si>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</si>
  <si>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</si>
  <si>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</si>
  <si>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</si>
  <si>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</si>
  <si>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</si>
  <si>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</si>
  <si>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</si>
  <si>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</si>
  <si>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</si>
  <si>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</si>
  <si>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</si>
  <si>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</si>
  <si>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</si>
  <si>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</si>
  <si>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</si>
  <si>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</si>
  <si>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</si>
  <si>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</si>
  <si>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</si>
  <si>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</si>
  <si>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</si>
  <si>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</si>
  <si>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</si>
  <si>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</si>
  <si>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</si>
  <si>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</si>
  <si>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</si>
  <si>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</si>
  <si>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</si>
  <si>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</si>
  <si>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</si>
  <si>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</si>
  <si>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</si>
  <si>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</si>
  <si>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</si>
  <si>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</si>
  <si>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</si>
  <si>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</si>
  <si>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</si>
  <si>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</si>
  <si>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</si>
  <si>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</si>
  <si>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</si>
  <si>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</si>
  <si>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</si>
  <si>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</si>
  <si>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</si>
  <si>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</si>
  <si>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</si>
  <si>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</si>
  <si>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</si>
  <si>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</si>
  <si>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</si>
  <si>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</si>
  <si>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</si>
  <si>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</si>
  <si>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</si>
  <si>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</si>
  <si>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</si>
  <si>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</si>
  <si>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</si>
  <si>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</si>
  <si>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</si>
  <si>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</si>
  <si>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</si>
  <si>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</si>
  <si>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</si>
  <si>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</si>
  <si>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</si>
  <si>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</si>
  <si>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</si>
  <si>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</si>
  <si>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</si>
  <si>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</si>
  <si>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</si>
  <si>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</si>
  <si>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</si>
  <si>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</si>
  <si>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</si>
  <si>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</si>
  <si>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</si>
  <si>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</si>
  <si>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</si>
  <si>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</si>
  <si>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</si>
  <si>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</si>
  <si>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</si>
  <si>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</si>
  <si>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</si>
  <si>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</si>
  <si>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</si>
  <si>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</si>
  <si>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</si>
  <si>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</si>
  <si>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</si>
  <si>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</si>
  <si>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</si>
  <si>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</si>
  <si>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</si>
  <si>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</si>
  <si>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</si>
  <si>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</si>
  <si>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</si>
  <si>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</si>
  <si>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</si>
  <si>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</si>
  <si>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</si>
  <si>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</si>
  <si>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</si>
  <si>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</si>
  <si>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</si>
  <si>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 kadastr raqami</t>
  </si>
  <si>
    <t>Foydalanishga topshirilgan yili</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</si>
  <si>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</si>
  <si>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Процент годовой</t>
  </si>
  <si>
    <t>Sug'urta kompaniyasi nomi</t>
  </si>
  <si>
    <t>Summa</t>
  </si>
  <si>
    <t>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t>
  </si>
  <si>
    <t>3.5. Undiruvni Garov narsasiga (predmetlariga) va/yoki uning (ularning) bir qismiga (qismlariga) qaratishda va/yoki Qarz oluvchining Kafildan qarzini undirishda Mikromoliya tashkiloti undiruvning birinchi navbatdagi obyektini o‘z xohishiga ko‘ra bir tomonlama tanlash yoki bir vaqtning o‘zida undiruvni Garov narsasiga (predmetlariga) qaratish va Kafilga talab qo‘yish huquqini o‘zida saqlab qoladi. Undiruvni garov narsasining bir obyektiga va/yoki uning (ularning) bir qismiga qaratish va/yoki Mikroqarzni Kafildan undirish Mikromoliya tashkilotini undiruvni garov narsasining boshqa obyektiga (obyektlariga) va/yoki uning (ularning) bir qismiga qaratish va/yoki Mikroqarzni Kafildan undirishda cheklamaydi. Qarz oluvchining Mikroqarzni Sug‘urtalovchidan undirish tartibi tegishli sug‘urta shartnomasida belgilanadi.</t>
  </si>
  <si>
    <t>ARIZA</t>
  </si>
  <si>
    <t>Mijoz plastik kartasi parametrlari</t>
  </si>
  <si>
    <t>Bank nomi:</t>
  </si>
  <si>
    <t>H/r:</t>
  </si>
  <si>
    <t>MFO:</t>
  </si>
  <si>
    <t>STIR:</t>
  </si>
  <si>
    <t>Karta raqami:</t>
  </si>
  <si>
    <t>________________</t>
  </si>
  <si>
    <t>N. Abduraximov</t>
  </si>
  <si>
    <t>sana</t>
  </si>
  <si>
    <t>_______________</t>
  </si>
  <si>
    <t>Imzolaganlar ro'yxati:</t>
  </si>
  <si>
    <t>55</t>
  </si>
  <si>
    <t>dan</t>
  </si>
  <si>
    <t>Sana:</t>
  </si>
  <si>
    <t>“CLEVER MIKROMOLIYA TASHKILOTI” MChJ</t>
  </si>
  <si>
    <t>Toshkent sh, Olmazor tumani, Sag’bon ko’chasi 30-tup., 6-uy</t>
  </si>
  <si>
    <t>h/r: 2021 6000 7050 6838 0001, STIR: 306 365 847, MFO: 01042,</t>
  </si>
  <si>
    <t>“Kapitalbank” AKB Sergeli filiali</t>
  </si>
  <si>
    <t>O‘zbekiston Respublikasi</t>
  </si>
  <si>
    <t>Notarial idoralariga</t>
  </si>
  <si>
    <r>
      <t xml:space="preserve">“CLEVER mikromoliya tashkiloti” MChJ </t>
    </r>
    <r>
      <rPr>
        <sz val="11"/>
        <color rgb="FF8C0101"/>
        <rFont val="Times New Roman"/>
        <family val="1"/>
        <charset val="204"/>
      </rPr>
      <t xml:space="preserve">20.03.2025 </t>
    </r>
    <r>
      <rPr>
        <sz val="11"/>
        <color theme="1"/>
        <rFont val="Times New Roman"/>
        <family val="1"/>
        <charset val="204"/>
      </rPr>
      <t xml:space="preserve">yildagi № </t>
    </r>
    <r>
      <rPr>
        <sz val="11"/>
        <color rgb="FF8C0101"/>
        <rFont val="Times New Roman"/>
        <family val="1"/>
        <charset val="204"/>
      </rPr>
      <t>647</t>
    </r>
    <r>
      <rPr>
        <sz val="11"/>
        <color theme="1"/>
        <rFont val="Times New Roman"/>
        <family val="1"/>
        <charset val="204"/>
      </rPr>
      <t>-son mikrokredit shartnomasi bo‘yicha Qarz oluvchi tomonidan majburiyatlarini to‘liq to‘laganligini hisobga olib, yuqorida ko‘rsatilgan mol-mulkni garov ta’minotidan ozod qilishga roziligini beradi.</t>
    </r>
  </si>
  <si>
    <t xml:space="preserve">          «CLEVER MIKROMOLIYA</t>
  </si>
  <si>
    <t xml:space="preserve">          TASHKILOTI» MChJ rahbari</t>
  </si>
  <si>
    <t xml:space="preserve">     Ijrochi: B.T.Jumanazarov </t>
  </si>
  <si>
    <t xml:space="preserve">     Tel: (78) 113 31 33</t>
  </si>
  <si>
    <t xml:space="preserve">     Hujjat elektron raqamli imzo bilan tasdiqlangan. "Elektron raqamli imzo to‘g‘risida"gi Qonunning 7-moddasiga asosan elektron raqamli imzo va qo‘lda qo‘yilgan imzo bir xil ahamiyatga ega. Hujjatning haqqoniyligini tekshirish uchun QR-kodni skanerlang.</t>
  </si>
  <si>
    <t>АО СК "IMPEX INSURANCE"</t>
  </si>
  <si>
    <t>sanasidan</t>
  </si>
  <si>
    <t>Kredit bo'limi menejeri</t>
  </si>
  <si>
    <t xml:space="preserve">Kreditlash bo’limi boshlig’i </t>
  </si>
  <si>
    <t>Ajratilayotgan qarzning sug'urta hisobidan qoplanadigan taminot qismi</t>
  </si>
  <si>
    <t>«PULLOL BUSINESS MIKROMOLIYA TASHKILOTI»  MChJ</t>
  </si>
  <si>
    <t>Obidov A.Sh.</t>
  </si>
  <si>
    <t>Direktor</t>
  </si>
  <si>
    <t>Obidov Abdullo Shokir o'g'li</t>
  </si>
  <si>
    <t>27-13/968</t>
  </si>
  <si>
    <t>A.Obidov</t>
  </si>
  <si>
    <t>direktor</t>
  </si>
  <si>
    <t>A.Obidovga</t>
  </si>
  <si>
    <t>Toshkent shahri, Yakkasaroy tumani, Rakat ko'chasi, 10 uy, 18 xonadon</t>
  </si>
  <si>
    <t>№20208000405643889001</t>
  </si>
  <si>
    <t>№01088</t>
  </si>
  <si>
    <t>ATB “Kapitalbank” Markaziy amaliyotlar bo'limi</t>
  </si>
  <si>
    <t>310430149</t>
  </si>
  <si>
    <t>Abduraximova T.N.</t>
  </si>
  <si>
    <t>Akramov R.N.</t>
  </si>
  <si>
    <t>14.08.2023 y.</t>
  </si>
  <si>
    <t>PUL O'TKAZISH UCHUN ARIZA AО CK «IMPEX INSURANCE»</t>
  </si>
  <si>
    <r>
      <rPr>
        <b/>
        <i/>
        <sz val="12"/>
        <color rgb="FF0D0D0D"/>
        <rFont val="Times New Roman"/>
        <family val="1"/>
      </rPr>
      <t>sug'urta mukofotini to'lash uchun</t>
    </r>
  </si>
  <si>
    <r>
      <rPr>
        <sz val="12"/>
        <rFont val="Times New Roman"/>
        <family val="1"/>
      </rPr>
      <t>Men ixtiyoriy ravishda ish yuritib, shu bilan menga №01/18-22/2505178-sonli bosh kelishuv shartlariga</t>
    </r>
  </si>
  <si>
    <t>ta’minot bilan ta’minlanmagan qismidagi mikroqarz qaytarilmasligi xavfini sug‘urta qilish uchun sug‘urta polisi tuzilayotganligi to‘g‘risida xabar berilganligini tasdiqlayman, hamda ushbu sug‘urta bo’yicha sug'urta mukofoti to‘lovini qabul qilishingizni so‘rayman:</t>
  </si>
  <si>
    <r>
      <rPr>
        <b/>
        <sz val="12"/>
        <color rgb="FF0D0D0D"/>
        <rFont val="Times New Roman"/>
        <family val="1"/>
      </rPr>
      <t>Qabul qiluvchi</t>
    </r>
  </si>
  <si>
    <r>
      <rPr>
        <b/>
        <sz val="12"/>
        <rFont val="Times New Roman"/>
        <family val="1"/>
      </rPr>
      <t>«PULLOL     BUSINESS      MIKROMOLIYA TASHKILOTI</t>
    </r>
    <r>
      <rPr>
        <b/>
        <sz val="10"/>
        <rFont val="Times New Roman"/>
        <family val="1"/>
      </rPr>
      <t xml:space="preserve">» </t>
    </r>
    <r>
      <rPr>
        <b/>
        <sz val="12"/>
        <rFont val="Times New Roman"/>
        <family val="1"/>
      </rPr>
      <t>MChJ</t>
    </r>
  </si>
  <si>
    <r>
      <rPr>
        <b/>
        <sz val="12"/>
        <color rgb="FF0D0D0D"/>
        <rFont val="Times New Roman"/>
        <family val="1"/>
      </rPr>
      <t>Hisob raqam</t>
    </r>
  </si>
  <si>
    <r>
      <rPr>
        <sz val="12"/>
        <rFont val="Times New Roman"/>
        <family val="1"/>
      </rPr>
      <t xml:space="preserve">h/s </t>
    </r>
    <r>
      <rPr>
        <sz val="11"/>
        <rFont val="Times New Roman"/>
        <family val="1"/>
      </rPr>
      <t xml:space="preserve">20208000405643889001   </t>
    </r>
    <r>
      <rPr>
        <sz val="12"/>
        <rFont val="Times New Roman"/>
        <family val="1"/>
      </rPr>
      <t xml:space="preserve">MFO </t>
    </r>
    <r>
      <rPr>
        <sz val="11"/>
        <rFont val="Times New Roman"/>
        <family val="1"/>
      </rPr>
      <t xml:space="preserve">01088
</t>
    </r>
    <r>
      <rPr>
        <sz val="12"/>
        <rFont val="Times New Roman"/>
        <family val="1"/>
      </rPr>
      <t xml:space="preserve">STIR </t>
    </r>
    <r>
      <rPr>
        <sz val="11"/>
        <rFont val="Times New Roman"/>
        <family val="1"/>
      </rPr>
      <t>310430149</t>
    </r>
  </si>
  <si>
    <r>
      <rPr>
        <b/>
        <sz val="12"/>
        <color rgb="FF0D0D0D"/>
        <rFont val="Times New Roman"/>
        <family val="1"/>
      </rPr>
      <t>To’lov maqsadi</t>
    </r>
  </si>
  <si>
    <r>
      <rPr>
        <sz val="12"/>
        <rFont val="Times New Roman"/>
        <family val="1"/>
      </rPr>
      <t>Sug’urta mukofotini to’lash</t>
    </r>
  </si>
  <si>
    <r>
      <rPr>
        <b/>
        <sz val="12"/>
        <color rgb="FF0D0D0D"/>
        <rFont val="Times New Roman"/>
        <family val="1"/>
      </rPr>
      <t>Yillik tarif</t>
    </r>
  </si>
  <si>
    <r>
      <rPr>
        <b/>
        <sz val="12"/>
        <color rgb="FF0D0D0D"/>
        <rFont val="Times New Roman"/>
        <family val="1"/>
      </rPr>
      <t>Polis raqami</t>
    </r>
  </si>
  <si>
    <r>
      <rPr>
        <sz val="12"/>
        <rFont val="Times New Roman"/>
        <family val="1"/>
      </rPr>
      <t>Men quyidagilar bilan roziman:</t>
    </r>
  </si>
  <si>
    <r>
      <rPr>
        <sz val="12"/>
        <rFont val="Symbol"/>
        <family val="1"/>
      </rPr>
      <t xml:space="preserve">  </t>
    </r>
    <r>
      <rPr>
        <sz val="12"/>
        <rFont val="Times New Roman"/>
        <family val="1"/>
      </rPr>
      <t xml:space="preserve"> sug‘urta shartnomasini (sug‘urta polisini) tuzish (ro‘yxatdan o‘tkazish) uchun mening hisobimdan</t>
    </r>
  </si>
  <si>
    <r>
      <rPr>
        <sz val="12"/>
        <rFont val="Times New Roman"/>
        <family val="1"/>
      </rPr>
      <t>yechib olingan to‘lov summasi bilan;</t>
    </r>
  </si>
  <si>
    <r>
      <rPr>
        <sz val="12"/>
        <rFont val="Symbol"/>
        <family val="1"/>
      </rPr>
      <t></t>
    </r>
    <r>
      <rPr>
        <sz val="12"/>
        <rFont val="Times New Roman"/>
        <family val="1"/>
      </rPr>
      <t xml:space="preserve"> Sug'urtalovchiga "Kafolatsiz garov yoki boshqa turdagi garov bilan ta'minlanmagan qismi bo'yicha mikrokredit/mikrokredit to'lanmaganlik" xavfi bo'yicha to'langan sug'urta tovoni summasini to'liq undirib olinmaguncha, summalarni O'zbekiston Respublikasining mening nomimga ochilgan har qanday bank hisobvaraqlari va bank kartasidan akseptsiz va tortishuvsiz tartibda yechib olishni topshiraman va ushbu ariza mening hisobimdan sug'urtalovchi tomonidan to'langan sug'urta tovoni summasini to'liq undirib olinmaguncha, mening nomimga ochilgan O'zbekiston Respublikasining har qanday bankining hisobvaraqlari va bank kartamdan akseptsiz tartibda pul mablag'larini yechib olish bo'yicha mening farmoyishim hisoblanadi.</t>
    </r>
  </si>
  <si>
    <t>                                                                                                                                                </t>
  </si>
  <si>
    <t>  Imzo   </t>
  </si>
  <si>
    <t>F.I.O.</t>
  </si>
  <si>
    <t>Omanlikov  O.O.</t>
  </si>
  <si>
    <t>«PULLOL BUSINESS MIKROMOLIYA TASHKILOTI»  MChJ direktori</t>
  </si>
  <si>
    <t>№ 53</t>
  </si>
  <si>
    <t>10.06.1967 yil</t>
  </si>
  <si>
    <t>AD 1654245</t>
  </si>
  <si>
    <t>IIV 26264</t>
  </si>
  <si>
    <t>NARBAYEV QUDAYBERGEN QALBAYEVICH</t>
  </si>
  <si>
    <t>NARBAYEV Q. Q.</t>
  </si>
  <si>
    <t>TOSHKENT SHAHAR BEKTEMIR TUMANI MAJNUNTOL MFY MAJNUNTOL MAXALLA SHONIGOR KO'CHASI  113 UY</t>
  </si>
  <si>
    <t>CHEVROLET COBALT</t>
  </si>
  <si>
    <t>01Z067RC</t>
  </si>
  <si>
    <t>OQ SUMMIT WHITE</t>
  </si>
  <si>
    <t>2024</t>
  </si>
  <si>
    <t>YENGIL SEDAN</t>
  </si>
  <si>
    <t>AAG       4174202      15.06.2024 yilda</t>
  </si>
  <si>
    <t>RAQAMSIZ</t>
  </si>
  <si>
    <t>XWBJA69VERA108471</t>
  </si>
  <si>
    <t>B15D213241352MTAX0118</t>
  </si>
  <si>
    <t>Mijoz quyidagi majburiyatlarga ega: "TOShKENT Sh., "ANOR BANK" АKTSIYADORLIK JАMIYATI 106 139 813.00 so'm, Ayni paytda muddati o'tgan qarzdorligi mavjud emas. O‘rtacha oylik to‘lov 5 353 870.46 so‘mni tashkil qiladi</t>
  </si>
  <si>
    <t>90 093 33 23 MIJOZ</t>
  </si>
  <si>
    <t>SAM MOYKA KARZINKA MAHALLA</t>
  </si>
  <si>
    <t>94 687 11 22 MIJOZ</t>
  </si>
  <si>
    <t>7- TRO' VA IOB (YANGIHAYOT)</t>
  </si>
  <si>
    <t>XOJELI TUMANI</t>
  </si>
  <si>
    <t>02.02.2026</t>
  </si>
  <si>
    <t>bir yuz ellik besh</t>
  </si>
  <si>
    <t>155</t>
  </si>
  <si>
    <t>Eshbekov S. 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</si>
</sst>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 _₽_-;\-* #\ ##0.00\ _₽_-;_-* &quot;-&quot;??\ _₽_-;_-@_-"/>
    <numFmt numFmtId="171" formatCode="_-* #\ ##0.00_-;\-* #\ ##0.00_-;_-* &quot;-&quot;??_-;_-@_-"/>
  </numFmts>
  <fonts count="78" x14ac:knownFonts="1">
    <font>
      <sz val="11"/>
      <color theme="1"/>
      <name val="Calibri"/>
      <family val="2"/>
      <scheme val="minor"/>
    </font>
    <font>
      <sz val="11"/>
      <color theme="1"/>
      <name val="Calibri"/>
      <family val="2"/>
      <charset val="204"/>
      <scheme val="minor"/>
    </font>
    <font>
      <sz val="11"/>
      <color theme="1"/>
      <name val="Arial"/>
      <family val="2"/>
      <charset val="204"/>
    </font>
    <font>
      <sz val="11"/>
      <color theme="1"/>
      <name val="Calibri"/>
      <family val="2"/>
      <charset val="204"/>
      <scheme val="minor"/>
    </font>
    <font>
      <sz val="11"/>
      <color theme="1"/>
      <name val="Calibri"/>
      <family val="2"/>
      <charset val="204"/>
      <scheme val="minor"/>
    </font>
    <font>
      <sz val="11"/>
      <color theme="1"/>
      <name val="Arial"/>
      <family val="2"/>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b/>
      <u/>
      <sz val="12"/>
      <name val="Times New Roman"/>
      <family val="1"/>
      <charset val="204"/>
    </font>
    <font>
      <b/>
      <sz val="12"/>
      <name val="Times New Roman"/>
      <family val="1"/>
      <charset val="204"/>
    </font>
    <font>
      <sz val="11"/>
      <color theme="1"/>
      <name val="Arial"/>
      <family val="2"/>
      <charset val="204"/>
    </font>
    <font>
      <sz val="22"/>
      <color rgb="FFFF0000"/>
      <name val="Arial"/>
      <family val="2"/>
      <charset val="204"/>
    </font>
    <font>
      <sz val="12"/>
      <color theme="0"/>
      <name val="Times New Roman"/>
      <family val="1"/>
      <charset val="204"/>
    </font>
    <font>
      <sz val="9"/>
      <color theme="1"/>
      <name val="Times New Roman"/>
      <family val="1"/>
      <charset val="204"/>
    </font>
    <font>
      <sz val="11"/>
      <color rgb="FF8C0101"/>
      <name val="Times New Roman"/>
      <family val="1"/>
      <charset val="204"/>
    </font>
    <font>
      <sz val="11"/>
      <color theme="1"/>
      <name val="Calibri"/>
      <family val="2"/>
      <charset val="204"/>
      <scheme val="minor"/>
    </font>
    <font>
      <sz val="11"/>
      <color theme="1"/>
      <name val="Calibri"/>
      <family val="2"/>
      <charset val="204"/>
      <scheme val="minor"/>
    </font>
    <font>
      <sz val="11"/>
      <name val="Calibri"/>
      <family val="2"/>
      <charset val="204"/>
    </font>
    <font>
      <sz val="12"/>
      <name val="Arial"/>
      <family val="2"/>
      <charset val="204"/>
    </font>
    <font>
      <sz val="10"/>
      <color rgb="FF000000"/>
      <name val="Times New Roman"/>
      <family val="1"/>
      <charset val="204"/>
    </font>
    <font>
      <b/>
      <sz val="12"/>
      <color rgb="FF0D0D0D"/>
      <name val="Times New Roman"/>
      <family val="1"/>
    </font>
    <font>
      <b/>
      <i/>
      <sz val="12"/>
      <name val="Times New Roman"/>
      <family val="1"/>
      <charset val="204"/>
    </font>
    <font>
      <b/>
      <i/>
      <sz val="12"/>
      <color rgb="FF0D0D0D"/>
      <name val="Times New Roman"/>
      <family val="1"/>
    </font>
    <font>
      <sz val="12"/>
      <name val="Times New Roman"/>
      <family val="1"/>
    </font>
    <font>
      <sz val="12"/>
      <color rgb="FF000000"/>
      <name val="Times New Roman"/>
      <family val="1"/>
      <charset val="204"/>
    </font>
    <font>
      <b/>
      <sz val="12"/>
      <name val="Times New Roman"/>
      <family val="1"/>
    </font>
    <font>
      <b/>
      <sz val="10"/>
      <name val="Times New Roman"/>
      <family val="1"/>
    </font>
    <font>
      <sz val="11"/>
      <name val="Times New Roman"/>
      <family val="1"/>
    </font>
    <font>
      <sz val="12"/>
      <name val="Symbol"/>
      <family val="1"/>
    </font>
    <font>
      <b/>
      <u/>
      <sz val="12"/>
      <color rgb="FF0D0D0D"/>
      <name val="Times New Roman"/>
      <family val="1"/>
    </font>
  </fonts>
  <fills count="14">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
      <patternFill patternType="solid">
        <fgColor rgb="FF00B050"/>
        <bgColor indexed="64"/>
      </patternFill>
    </fill>
    <fill>
      <patternFill patternType="solid">
        <fgColor theme="2" tint="-0.249977111117893"/>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6045">
    <xf numFmtId="0" fontId="0"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55" fillId="0" borderId="0">
      <alignment vertical="center"/>
    </xf>
    <xf numFmtId="0" fontId="55" fillId="0" borderId="0">
      <alignment vertical="center"/>
    </xf>
    <xf numFmtId="43" fontId="10"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1"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3" fillId="0" borderId="0"/>
    <xf numFmtId="0" fontId="64" fillId="0" borderId="0"/>
    <xf numFmtId="171" fontId="63" fillId="0" borderId="0" applyFont="0" applyFill="0" applyBorder="0" applyAlignment="0" applyProtection="0"/>
    <xf numFmtId="171" fontId="63" fillId="0" borderId="0" applyFont="0" applyFill="0" applyBorder="0" applyAlignment="0" applyProtection="0"/>
    <xf numFmtId="0" fontId="64" fillId="0" borderId="0"/>
    <xf numFmtId="171" fontId="63" fillId="0" borderId="0" applyFont="0" applyFill="0" applyBorder="0" applyAlignment="0" applyProtection="0"/>
    <xf numFmtId="171" fontId="63" fillId="0" borderId="0" applyFont="0" applyFill="0" applyBorder="0" applyAlignment="0" applyProtection="0"/>
    <xf numFmtId="0" fontId="65" fillId="0" borderId="0">
      <alignment vertical="center"/>
    </xf>
    <xf numFmtId="0" fontId="64" fillId="0" borderId="0"/>
    <xf numFmtId="171" fontId="63" fillId="0" borderId="0" applyFont="0" applyFill="0" applyBorder="0" applyAlignment="0" applyProtection="0"/>
    <xf numFmtId="0" fontId="64" fillId="0" borderId="0"/>
    <xf numFmtId="0" fontId="64" fillId="0" borderId="0"/>
    <xf numFmtId="0" fontId="64" fillId="0" borderId="0"/>
    <xf numFmtId="0" fontId="64" fillId="0" borderId="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0" fontId="65" fillId="0" borderId="0">
      <alignment vertical="center"/>
    </xf>
    <xf numFmtId="171" fontId="63" fillId="0" borderId="0" applyFont="0" applyFill="0" applyBorder="0" applyAlignment="0" applyProtection="0"/>
    <xf numFmtId="0" fontId="64" fillId="0" borderId="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171" fontId="63" fillId="0" borderId="0" applyFont="0" applyFill="0" applyBorder="0" applyAlignment="0" applyProtection="0"/>
    <xf numFmtId="9" fontId="63"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1"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1" fontId="1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0" fontId="55" fillId="0" borderId="0">
      <alignment vertical="center"/>
    </xf>
    <xf numFmtId="0" fontId="1" fillId="0" borderId="0"/>
    <xf numFmtId="171" fontId="1" fillId="0" borderId="0" applyFont="0" applyFill="0" applyBorder="0" applyAlignment="0" applyProtection="0"/>
    <xf numFmtId="0" fontId="1" fillId="0" borderId="0"/>
    <xf numFmtId="0" fontId="1" fillId="0" borderId="0"/>
    <xf numFmtId="0" fontId="1" fillId="0" borderId="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55" fillId="0" borderId="0">
      <alignment vertical="center"/>
    </xf>
    <xf numFmtId="171" fontId="1" fillId="0" borderId="0" applyFont="0" applyFill="0" applyBorder="0" applyAlignment="0" applyProtection="0"/>
    <xf numFmtId="0" fontId="1" fillId="0" borderId="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9" fontId="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67" fillId="0" borderId="0"/>
  </cellStyleXfs>
  <cellXfs count="411">
    <xf numFmtId="0" fontId="0" fillId="0" borderId="0" xfId="0"/>
    <xf numFmtId="0" fontId="11" fillId="0" borderId="1" xfId="0" applyFont="1" applyBorder="1" applyAlignment="1">
      <alignment vertical="center" wrapText="1"/>
    </xf>
    <xf numFmtId="49" fontId="11" fillId="0" borderId="1" xfId="0" applyNumberFormat="1" applyFont="1" applyBorder="1" applyAlignment="1">
      <alignment vertical="center" wrapText="1"/>
    </xf>
    <xf numFmtId="0" fontId="12" fillId="2" borderId="1" xfId="0" applyFont="1" applyFill="1" applyBorder="1" applyAlignment="1">
      <alignment vertical="center" wrapText="1"/>
    </xf>
    <xf numFmtId="165" fontId="11" fillId="0" borderId="1" xfId="0" applyNumberFormat="1" applyFont="1" applyBorder="1" applyAlignment="1">
      <alignment vertical="center" wrapText="1"/>
    </xf>
    <xf numFmtId="43" fontId="11" fillId="0" borderId="1" xfId="1" applyFont="1" applyBorder="1" applyAlignment="1">
      <alignment vertical="center" wrapText="1"/>
    </xf>
    <xf numFmtId="0" fontId="13" fillId="0" borderId="0" xfId="0" applyFont="1"/>
    <xf numFmtId="0" fontId="15" fillId="2" borderId="1" xfId="0" applyFont="1" applyFill="1" applyBorder="1" applyAlignment="1">
      <alignment horizontal="left" vertical="center" wrapText="1"/>
    </xf>
    <xf numFmtId="0" fontId="15" fillId="2" borderId="1" xfId="0" applyFont="1" applyFill="1" applyBorder="1" applyAlignment="1">
      <alignment horizontal="center" vertical="center" wrapText="1"/>
    </xf>
    <xf numFmtId="0" fontId="17" fillId="0" borderId="0" xfId="0" applyFont="1" applyAlignment="1" applyProtection="1">
      <alignment horizontal="center" vertical="top"/>
      <protection hidden="1"/>
    </xf>
    <xf numFmtId="0" fontId="17" fillId="0" borderId="0" xfId="0" applyFont="1" applyAlignment="1" applyProtection="1">
      <alignment horizontal="center" vertical="center"/>
      <protection hidden="1"/>
    </xf>
    <xf numFmtId="0" fontId="14" fillId="0" borderId="0" xfId="0" applyFont="1"/>
    <xf numFmtId="0" fontId="14" fillId="0" borderId="0" xfId="0" applyFont="1" applyAlignment="1">
      <alignment horizontal="right"/>
    </xf>
    <xf numFmtId="0" fontId="18" fillId="0" borderId="0" xfId="0" applyFont="1"/>
    <xf numFmtId="0" fontId="18" fillId="0" borderId="0" xfId="0" applyFont="1" applyAlignment="1">
      <alignment horizontal="center" vertical="center" wrapText="1"/>
    </xf>
    <xf numFmtId="0" fontId="18" fillId="0" borderId="1" xfId="0" applyFont="1" applyBorder="1" applyAlignment="1">
      <alignment horizontal="center" vertical="center" wrapText="1"/>
    </xf>
    <xf numFmtId="0" fontId="18" fillId="0" borderId="1" xfId="0" applyFont="1" applyBorder="1"/>
    <xf numFmtId="0" fontId="18" fillId="0" borderId="0" xfId="0" applyFont="1" applyAlignment="1">
      <alignment horizontal="justify" vertical="top" wrapText="1"/>
    </xf>
    <xf numFmtId="0" fontId="18" fillId="0" borderId="0" xfId="0" applyFont="1" applyAlignment="1">
      <alignment wrapText="1"/>
    </xf>
    <xf numFmtId="0" fontId="18" fillId="0" borderId="0" xfId="0" applyFont="1" applyAlignment="1">
      <alignment vertical="top" wrapText="1"/>
    </xf>
    <xf numFmtId="0" fontId="18" fillId="0" borderId="0" xfId="0" applyFont="1" applyAlignment="1">
      <alignment vertical="center" wrapText="1"/>
    </xf>
    <xf numFmtId="0" fontId="21" fillId="0" borderId="0" xfId="0" applyFont="1"/>
    <xf numFmtId="0" fontId="20" fillId="0" borderId="1" xfId="0" applyFont="1" applyBorder="1" applyAlignment="1">
      <alignment horizontal="center" vertical="center" wrapText="1"/>
    </xf>
    <xf numFmtId="0" fontId="20" fillId="0" borderId="0" xfId="0" applyFont="1" applyAlignment="1">
      <alignment horizontal="center" vertical="center" wrapText="1"/>
    </xf>
    <xf numFmtId="0" fontId="21" fillId="0" borderId="1" xfId="0" applyFont="1" applyBorder="1" applyAlignment="1">
      <alignment horizontal="center" vertical="top" wrapText="1"/>
    </xf>
    <xf numFmtId="43" fontId="21" fillId="0" borderId="1" xfId="1" applyFont="1" applyBorder="1" applyAlignment="1">
      <alignment horizontal="center" vertical="top" wrapText="1"/>
    </xf>
    <xf numFmtId="0" fontId="20" fillId="0" borderId="1" xfId="0" applyFont="1" applyBorder="1" applyAlignment="1">
      <alignment horizontal="center" vertical="top" wrapText="1"/>
    </xf>
    <xf numFmtId="43" fontId="20" fillId="0" borderId="1" xfId="0" applyNumberFormat="1" applyFont="1" applyBorder="1" applyAlignment="1">
      <alignment horizontal="center" vertical="top" wrapText="1"/>
    </xf>
    <xf numFmtId="0" fontId="20" fillId="0" borderId="0" xfId="0" applyFont="1"/>
    <xf numFmtId="0" fontId="13" fillId="0" borderId="0" xfId="0" applyFont="1" applyAlignment="1">
      <alignment horizontal="left"/>
    </xf>
    <xf numFmtId="14" fontId="18" fillId="0" borderId="1" xfId="0" applyNumberFormat="1" applyFont="1" applyBorder="1"/>
    <xf numFmtId="43" fontId="18" fillId="0" borderId="1" xfId="1" applyFont="1" applyBorder="1"/>
    <xf numFmtId="14" fontId="18" fillId="0" borderId="0" xfId="0" applyNumberFormat="1" applyFont="1"/>
    <xf numFmtId="43" fontId="18" fillId="0" borderId="0" xfId="1" applyFont="1" applyBorder="1"/>
    <xf numFmtId="0" fontId="19" fillId="0" borderId="0" xfId="0" applyFont="1"/>
    <xf numFmtId="0" fontId="19" fillId="0" borderId="0" xfId="0" applyFont="1" applyAlignment="1">
      <alignment horizontal="right"/>
    </xf>
    <xf numFmtId="0" fontId="19" fillId="0" borderId="1" xfId="0" applyFont="1" applyBorder="1" applyAlignment="1">
      <alignment horizontal="center" vertical="center" wrapText="1"/>
    </xf>
    <xf numFmtId="0" fontId="19" fillId="0" borderId="0" xfId="0" applyFont="1" applyAlignment="1">
      <alignment horizontal="center"/>
    </xf>
    <xf numFmtId="0" fontId="26" fillId="0" borderId="0" xfId="0" applyFont="1" applyAlignment="1">
      <alignment horizontal="center" wrapText="1"/>
    </xf>
    <xf numFmtId="0" fontId="18" fillId="0" borderId="0" xfId="0" applyFont="1" applyAlignment="1">
      <alignment horizontal="center" wrapText="1"/>
    </xf>
    <xf numFmtId="0" fontId="25" fillId="0" borderId="0" xfId="0" applyFont="1" applyAlignment="1">
      <alignment horizontal="center" wrapText="1"/>
    </xf>
    <xf numFmtId="0" fontId="18" fillId="0" borderId="8" xfId="0" applyFont="1" applyBorder="1" applyAlignment="1">
      <alignment horizontal="center" wrapText="1"/>
    </xf>
    <xf numFmtId="0" fontId="18" fillId="0" borderId="9" xfId="0" applyFont="1" applyBorder="1" applyAlignment="1">
      <alignment horizontal="center" wrapText="1"/>
    </xf>
    <xf numFmtId="0" fontId="19" fillId="0" borderId="1" xfId="0" applyFont="1" applyBorder="1"/>
    <xf numFmtId="14" fontId="19" fillId="0" borderId="1" xfId="0" applyNumberFormat="1" applyFont="1" applyBorder="1"/>
    <xf numFmtId="43" fontId="19" fillId="0" borderId="1" xfId="1" applyFont="1" applyBorder="1"/>
    <xf numFmtId="0" fontId="11" fillId="4" borderId="1" xfId="0" applyFont="1" applyFill="1" applyBorder="1" applyAlignment="1">
      <alignment vertical="center" wrapText="1"/>
    </xf>
    <xf numFmtId="0" fontId="19" fillId="0" borderId="0" xfId="0" applyFont="1" applyAlignment="1">
      <alignment horizontal="center" vertical="center" wrapText="1"/>
    </xf>
    <xf numFmtId="43" fontId="31" fillId="0" borderId="1" xfId="1" applyFont="1" applyBorder="1"/>
    <xf numFmtId="43" fontId="11" fillId="4" borderId="1" xfId="1" applyFont="1" applyFill="1" applyBorder="1" applyAlignment="1">
      <alignment vertical="center" wrapText="1"/>
    </xf>
    <xf numFmtId="0" fontId="18" fillId="0" borderId="0" xfId="0" applyFont="1" applyAlignment="1">
      <alignment horizontal="left" vertical="top" wrapText="1"/>
    </xf>
    <xf numFmtId="0" fontId="18" fillId="0" borderId="8" xfId="0" applyFont="1" applyBorder="1" applyAlignment="1">
      <alignment wrapText="1"/>
    </xf>
    <xf numFmtId="0" fontId="18" fillId="0" borderId="9" xfId="0" applyFont="1" applyBorder="1" applyAlignment="1">
      <alignment wrapText="1"/>
    </xf>
    <xf numFmtId="165" fontId="30" fillId="2" borderId="1" xfId="0" applyNumberFormat="1" applyFont="1" applyFill="1" applyBorder="1" applyAlignment="1">
      <alignment vertical="center" wrapText="1"/>
    </xf>
    <xf numFmtId="165" fontId="11" fillId="2" borderId="1" xfId="0" applyNumberFormat="1" applyFont="1" applyFill="1" applyBorder="1" applyAlignment="1">
      <alignment vertical="center" wrapText="1"/>
    </xf>
    <xf numFmtId="0" fontId="11"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4" fillId="4" borderId="1" xfId="0" applyFont="1" applyFill="1" applyBorder="1"/>
    <xf numFmtId="0" fontId="14" fillId="0" borderId="0" xfId="0" applyFont="1" applyAlignment="1">
      <alignment horizontal="center" vertical="center" wrapText="1"/>
    </xf>
    <xf numFmtId="0" fontId="14" fillId="0" borderId="0" xfId="0" applyFont="1" applyAlignment="1">
      <alignment horizontal="center"/>
    </xf>
    <xf numFmtId="0" fontId="13" fillId="0" borderId="0" xfId="0" applyFont="1" applyAlignment="1">
      <alignment horizontal="center" vertical="center"/>
    </xf>
    <xf numFmtId="43" fontId="11" fillId="4" borderId="3" xfId="1" applyFont="1" applyFill="1" applyBorder="1" applyAlignment="1">
      <alignment vertical="center" wrapText="1"/>
    </xf>
    <xf numFmtId="0" fontId="12" fillId="2" borderId="1" xfId="0" applyFont="1" applyFill="1" applyBorder="1" applyAlignment="1">
      <alignment horizontal="right" vertical="center" wrapText="1"/>
    </xf>
    <xf numFmtId="0" fontId="13" fillId="0" borderId="0" xfId="0" applyFont="1" applyAlignment="1">
      <alignment vertical="top" wrapText="1"/>
    </xf>
    <xf numFmtId="0" fontId="14" fillId="0" borderId="0" xfId="0" applyFont="1" applyAlignment="1">
      <alignment horizontal="center" wrapText="1"/>
    </xf>
    <xf numFmtId="0" fontId="13" fillId="0" borderId="0" xfId="0" applyFont="1" applyAlignment="1">
      <alignment vertical="top"/>
    </xf>
    <xf numFmtId="0" fontId="11" fillId="6" borderId="1" xfId="0" applyFont="1" applyFill="1" applyBorder="1" applyAlignment="1">
      <alignment vertical="center" wrapText="1"/>
    </xf>
    <xf numFmtId="165" fontId="11" fillId="2" borderId="1" xfId="0" applyNumberFormat="1" applyFont="1" applyFill="1" applyBorder="1" applyAlignment="1">
      <alignment horizontal="left" vertical="center" wrapText="1"/>
    </xf>
    <xf numFmtId="14" fontId="11" fillId="6" borderId="1" xfId="0" applyNumberFormat="1" applyFont="1" applyFill="1" applyBorder="1" applyAlignment="1">
      <alignment vertical="center" wrapText="1"/>
    </xf>
    <xf numFmtId="165" fontId="11" fillId="6" borderId="1" xfId="0" applyNumberFormat="1" applyFont="1" applyFill="1" applyBorder="1" applyAlignment="1">
      <alignment vertical="center" wrapText="1"/>
    </xf>
    <xf numFmtId="9" fontId="11" fillId="7" borderId="1" xfId="0" applyNumberFormat="1" applyFont="1" applyFill="1" applyBorder="1" applyAlignment="1">
      <alignment vertical="center" wrapText="1"/>
    </xf>
    <xf numFmtId="49" fontId="11" fillId="7" borderId="1" xfId="1" applyNumberFormat="1" applyFont="1" applyFill="1" applyBorder="1" applyAlignment="1">
      <alignment vertical="center" wrapText="1"/>
    </xf>
    <xf numFmtId="40" fontId="11" fillId="7" borderId="1" xfId="1" applyNumberFormat="1" applyFont="1" applyFill="1" applyBorder="1" applyAlignment="1">
      <alignment vertical="center" wrapText="1"/>
    </xf>
    <xf numFmtId="0" fontId="12" fillId="2" borderId="1" xfId="0" applyFont="1" applyFill="1" applyBorder="1" applyAlignment="1">
      <alignment horizontal="center" vertical="center" wrapText="1"/>
    </xf>
    <xf numFmtId="49" fontId="11" fillId="4" borderId="1" xfId="0" applyNumberFormat="1" applyFont="1" applyFill="1" applyBorder="1" applyAlignment="1">
      <alignment horizontal="left" vertical="center" wrapText="1"/>
    </xf>
    <xf numFmtId="0" fontId="37" fillId="0" borderId="0" xfId="0" applyFont="1"/>
    <xf numFmtId="0" fontId="31" fillId="0" borderId="0" xfId="0" applyFont="1"/>
    <xf numFmtId="0" fontId="37" fillId="0" borderId="0" xfId="0" applyFont="1" applyAlignment="1">
      <alignment horizontal="right"/>
    </xf>
    <xf numFmtId="164" fontId="31" fillId="0" borderId="0" xfId="0" applyNumberFormat="1" applyFont="1"/>
    <xf numFmtId="166" fontId="31" fillId="0" borderId="0" xfId="0" applyNumberFormat="1" applyFont="1"/>
    <xf numFmtId="0" fontId="31" fillId="0" borderId="1" xfId="0" applyFont="1" applyBorder="1" applyAlignment="1">
      <alignment horizontal="center" vertical="center" wrapText="1"/>
    </xf>
    <xf numFmtId="0" fontId="31" fillId="0" borderId="0" xfId="0" applyFont="1" applyAlignment="1">
      <alignment horizontal="center" vertical="center" wrapText="1"/>
    </xf>
    <xf numFmtId="0" fontId="31" fillId="0" borderId="1" xfId="0" applyFont="1" applyBorder="1"/>
    <xf numFmtId="14" fontId="31" fillId="0" borderId="1" xfId="0" applyNumberFormat="1" applyFont="1" applyBorder="1"/>
    <xf numFmtId="167" fontId="31" fillId="0" borderId="0" xfId="0" applyNumberFormat="1" applyFont="1"/>
    <xf numFmtId="0" fontId="37" fillId="0" borderId="1" xfId="0" applyFont="1" applyBorder="1"/>
    <xf numFmtId="14" fontId="37" fillId="0" borderId="1" xfId="0" applyNumberFormat="1" applyFont="1" applyBorder="1"/>
    <xf numFmtId="43" fontId="37" fillId="0" borderId="1" xfId="1" applyFont="1" applyBorder="1"/>
    <xf numFmtId="14" fontId="31" fillId="0" borderId="0" xfId="0" applyNumberFormat="1" applyFont="1"/>
    <xf numFmtId="43" fontId="31" fillId="0" borderId="0" xfId="1" applyFont="1" applyBorder="1"/>
    <xf numFmtId="14" fontId="30" fillId="5" borderId="0" xfId="0" applyNumberFormat="1" applyFont="1" applyFill="1"/>
    <xf numFmtId="0" fontId="30" fillId="5" borderId="0" xfId="0" applyFont="1" applyFill="1"/>
    <xf numFmtId="0" fontId="30" fillId="0" borderId="0" xfId="0" applyFont="1"/>
    <xf numFmtId="168" fontId="40" fillId="5" borderId="0" xfId="0" applyNumberFormat="1" applyFont="1" applyFill="1"/>
    <xf numFmtId="0" fontId="30" fillId="4" borderId="0" xfId="0" applyFont="1" applyFill="1"/>
    <xf numFmtId="1" fontId="30" fillId="5" borderId="0" xfId="0" applyNumberFormat="1" applyFont="1" applyFill="1"/>
    <xf numFmtId="49" fontId="31" fillId="0" borderId="0" xfId="0" applyNumberFormat="1" applyFont="1" applyAlignment="1">
      <alignment horizontal="right"/>
    </xf>
    <xf numFmtId="0" fontId="41" fillId="0" borderId="0" xfId="0" applyFont="1" applyAlignment="1">
      <alignment vertical="center"/>
    </xf>
    <xf numFmtId="0" fontId="42" fillId="0" borderId="0" xfId="0" applyFont="1" applyAlignment="1">
      <alignment horizontal="right" vertical="center"/>
    </xf>
    <xf numFmtId="0" fontId="42" fillId="0" borderId="0" xfId="0" applyFont="1" applyAlignment="1">
      <alignment horizontal="right" vertical="center" wrapText="1"/>
    </xf>
    <xf numFmtId="43" fontId="18" fillId="0" borderId="1" xfId="1" applyFont="1" applyBorder="1" applyAlignment="1">
      <alignment horizontal="center" vertical="top" wrapText="1"/>
    </xf>
    <xf numFmtId="0" fontId="43" fillId="7" borderId="1" xfId="0" applyFont="1" applyFill="1" applyBorder="1"/>
    <xf numFmtId="0" fontId="43"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30" fillId="4" borderId="1" xfId="0" applyFont="1" applyFill="1" applyBorder="1"/>
    <xf numFmtId="0" fontId="43"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32" fillId="0" borderId="0" xfId="0" applyFont="1" applyAlignment="1">
      <alignment horizontal="right"/>
    </xf>
    <xf numFmtId="0" fontId="32" fillId="0" borderId="0" xfId="0" applyFont="1" applyAlignment="1">
      <alignment horizontal="justify"/>
    </xf>
    <xf numFmtId="0" fontId="32" fillId="0" borderId="0" xfId="0" applyFont="1" applyAlignment="1">
      <alignment horizontal="justify" vertical="center"/>
    </xf>
    <xf numFmtId="0" fontId="32" fillId="0" borderId="1" xfId="0" applyFont="1" applyBorder="1" applyAlignment="1">
      <alignment horizontal="justify"/>
    </xf>
    <xf numFmtId="0" fontId="32" fillId="0" borderId="0" xfId="0" applyFont="1" applyAlignment="1">
      <alignment horizontal="justify" vertical="center" wrapText="1"/>
    </xf>
    <xf numFmtId="0" fontId="32" fillId="0" borderId="0" xfId="0" applyFont="1" applyAlignment="1">
      <alignment horizontal="left"/>
    </xf>
    <xf numFmtId="0" fontId="32" fillId="0" borderId="11" xfId="0" applyFont="1" applyBorder="1" applyAlignment="1">
      <alignment horizontal="center"/>
    </xf>
    <xf numFmtId="0" fontId="32" fillId="0" borderId="0" xfId="0" applyFont="1" applyAlignment="1">
      <alignment horizontal="center"/>
    </xf>
    <xf numFmtId="0" fontId="11" fillId="3" borderId="1" xfId="0" applyFont="1" applyFill="1" applyBorder="1" applyAlignment="1">
      <alignment horizontal="center" vertical="center" wrapText="1"/>
    </xf>
    <xf numFmtId="0" fontId="18" fillId="0" borderId="0" xfId="0" applyFont="1" applyAlignment="1">
      <alignment vertical="top"/>
    </xf>
    <xf numFmtId="0" fontId="19" fillId="0" borderId="0" xfId="0" applyFont="1" applyAlignment="1">
      <alignment horizontal="left" vertical="center" wrapText="1"/>
    </xf>
    <xf numFmtId="0" fontId="19" fillId="0" borderId="0" xfId="0" applyFont="1" applyAlignment="1">
      <alignment horizontal="right" vertical="center" wrapText="1"/>
    </xf>
    <xf numFmtId="0" fontId="0" fillId="0" borderId="0" xfId="0" applyAlignment="1">
      <alignment horizontal="left" vertical="center"/>
    </xf>
    <xf numFmtId="0" fontId="18" fillId="0" borderId="0" xfId="0" applyFont="1" applyAlignment="1">
      <alignment horizontal="left" vertical="center" wrapText="1"/>
    </xf>
    <xf numFmtId="0" fontId="18" fillId="0" borderId="0" xfId="0" applyFont="1" applyAlignment="1">
      <alignment horizontal="right"/>
    </xf>
    <xf numFmtId="0" fontId="12" fillId="6" borderId="1" xfId="0" applyFont="1" applyFill="1" applyBorder="1" applyAlignment="1">
      <alignment horizontal="left" vertical="center" wrapText="1"/>
    </xf>
    <xf numFmtId="0" fontId="12" fillId="6" borderId="1" xfId="0" applyFont="1" applyFill="1" applyBorder="1" applyAlignment="1">
      <alignment vertical="center" wrapText="1"/>
    </xf>
    <xf numFmtId="0" fontId="15" fillId="4" borderId="1" xfId="0" applyFont="1" applyFill="1" applyBorder="1" applyAlignment="1">
      <alignment horizontal="center" vertical="center" wrapText="1"/>
    </xf>
    <xf numFmtId="0" fontId="21" fillId="0" borderId="0" xfId="0" applyFont="1" applyAlignment="1">
      <alignment wrapText="1"/>
    </xf>
    <xf numFmtId="165" fontId="21" fillId="0" borderId="0" xfId="0" applyNumberFormat="1" applyFont="1"/>
    <xf numFmtId="0" fontId="20" fillId="0" borderId="0" xfId="0" applyFont="1" applyAlignment="1">
      <alignment vertical="center" wrapText="1"/>
    </xf>
    <xf numFmtId="0" fontId="20" fillId="0" borderId="0" xfId="0" applyFont="1" applyAlignment="1">
      <alignment horizontal="left"/>
    </xf>
    <xf numFmtId="0" fontId="14" fillId="0" borderId="0" xfId="0" applyFont="1" applyAlignment="1">
      <alignment horizontal="left"/>
    </xf>
    <xf numFmtId="14" fontId="15" fillId="4" borderId="1" xfId="0" applyNumberFormat="1" applyFont="1" applyFill="1" applyBorder="1" applyAlignment="1">
      <alignment horizontal="center" vertical="center" wrapText="1"/>
    </xf>
    <xf numFmtId="0" fontId="11" fillId="4" borderId="3" xfId="0" applyFont="1" applyFill="1" applyBorder="1" applyAlignment="1">
      <alignment vertical="center" wrapText="1"/>
    </xf>
    <xf numFmtId="49" fontId="15" fillId="4" borderId="1" xfId="0" applyNumberFormat="1" applyFont="1" applyFill="1" applyBorder="1" applyAlignment="1">
      <alignment horizontal="center" vertical="center" wrapText="1"/>
    </xf>
    <xf numFmtId="0" fontId="21" fillId="0" borderId="0" xfId="0" applyFont="1" applyAlignment="1">
      <alignment horizontal="center" vertical="top" wrapText="1"/>
    </xf>
    <xf numFmtId="0" fontId="45" fillId="2" borderId="1" xfId="0" applyFont="1" applyFill="1" applyBorder="1" applyAlignment="1">
      <alignment vertical="center" wrapText="1"/>
    </xf>
    <xf numFmtId="0" fontId="11" fillId="9" borderId="1" xfId="0" applyFont="1" applyFill="1" applyBorder="1" applyAlignment="1">
      <alignment vertical="center" wrapText="1"/>
    </xf>
    <xf numFmtId="0" fontId="9" fillId="0" borderId="0" xfId="0" applyFont="1"/>
    <xf numFmtId="0" fontId="46" fillId="0" borderId="0" xfId="0" applyFont="1" applyAlignment="1">
      <alignment vertical="center"/>
    </xf>
    <xf numFmtId="0" fontId="47" fillId="0" borderId="0" xfId="0" applyFont="1" applyAlignment="1">
      <alignment wrapText="1"/>
    </xf>
    <xf numFmtId="0" fontId="13" fillId="0" borderId="0" xfId="0" applyFont="1" applyAlignment="1">
      <alignment wrapText="1"/>
    </xf>
    <xf numFmtId="0" fontId="49" fillId="0" borderId="0" xfId="0" applyFont="1"/>
    <xf numFmtId="0" fontId="14" fillId="0" borderId="0" xfId="0" applyFont="1" applyAlignment="1">
      <alignment horizontal="left" vertical="center" wrapText="1"/>
    </xf>
    <xf numFmtId="0" fontId="13" fillId="0" borderId="0" xfId="0" applyFont="1" applyAlignment="1">
      <alignment horizontal="left" vertical="top" wrapText="1"/>
    </xf>
    <xf numFmtId="0" fontId="35" fillId="0" borderId="0" xfId="0" applyFont="1" applyAlignment="1">
      <alignment horizontal="left"/>
    </xf>
    <xf numFmtId="0" fontId="14" fillId="0" borderId="0" xfId="0" applyFont="1" applyAlignment="1">
      <alignment horizontal="left" vertical="top" wrapText="1"/>
    </xf>
    <xf numFmtId="49" fontId="13" fillId="0" borderId="0" xfId="0" applyNumberFormat="1" applyFont="1" applyAlignment="1">
      <alignment horizontal="left" vertical="top" wrapText="1"/>
    </xf>
    <xf numFmtId="0" fontId="11" fillId="5" borderId="1" xfId="0" applyFont="1" applyFill="1" applyBorder="1" applyAlignment="1">
      <alignment vertical="center" wrapText="1"/>
    </xf>
    <xf numFmtId="0" fontId="18" fillId="0" borderId="0" xfId="0" applyFont="1" applyAlignment="1">
      <alignment horizontal="left"/>
    </xf>
    <xf numFmtId="14" fontId="11" fillId="3" borderId="1" xfId="0" applyNumberFormat="1" applyFont="1" applyFill="1" applyBorder="1" applyAlignment="1">
      <alignment horizontal="center" vertical="center" wrapText="1"/>
    </xf>
    <xf numFmtId="0" fontId="51" fillId="2" borderId="1" xfId="0" applyFont="1" applyFill="1" applyBorder="1" applyAlignment="1">
      <alignment horizontal="left" vertical="center" wrapText="1"/>
    </xf>
    <xf numFmtId="0" fontId="51" fillId="2" borderId="1" xfId="0" applyFont="1" applyFill="1" applyBorder="1" applyAlignment="1">
      <alignment vertical="center" wrapText="1"/>
    </xf>
    <xf numFmtId="0" fontId="33" fillId="4" borderId="1" xfId="0" applyFont="1" applyFill="1" applyBorder="1" applyAlignment="1">
      <alignment vertical="center" wrapText="1"/>
    </xf>
    <xf numFmtId="0" fontId="53" fillId="4" borderId="1" xfId="0" applyFont="1" applyFill="1" applyBorder="1" applyAlignment="1">
      <alignment vertical="center" wrapText="1"/>
    </xf>
    <xf numFmtId="0" fontId="52" fillId="2" borderId="1" xfId="0" applyFont="1" applyFill="1" applyBorder="1" applyAlignment="1">
      <alignment vertical="center" wrapText="1"/>
    </xf>
    <xf numFmtId="0" fontId="51" fillId="10" borderId="2" xfId="0" applyFont="1" applyFill="1" applyBorder="1" applyAlignment="1">
      <alignment horizontal="left" vertical="center" wrapText="1"/>
    </xf>
    <xf numFmtId="0" fontId="51" fillId="10" borderId="24" xfId="0" applyFont="1" applyFill="1" applyBorder="1" applyAlignment="1">
      <alignment horizontal="left" vertical="center" wrapText="1"/>
    </xf>
    <xf numFmtId="43" fontId="53" fillId="4" borderId="1" xfId="1" applyFont="1" applyFill="1" applyBorder="1" applyAlignment="1">
      <alignment vertical="center" wrapText="1"/>
    </xf>
    <xf numFmtId="0" fontId="18" fillId="11" borderId="0" xfId="0" applyFont="1" applyFill="1"/>
    <xf numFmtId="0" fontId="11" fillId="10" borderId="0" xfId="0" applyFont="1" applyFill="1"/>
    <xf numFmtId="0" fontId="12" fillId="10" borderId="0" xfId="0" applyFont="1" applyFill="1" applyAlignment="1">
      <alignment vertical="center" wrapText="1"/>
    </xf>
    <xf numFmtId="49" fontId="11" fillId="10" borderId="0" xfId="0" applyNumberFormat="1" applyFont="1" applyFill="1"/>
    <xf numFmtId="0" fontId="11" fillId="10" borderId="0" xfId="0" applyFont="1" applyFill="1" applyAlignment="1">
      <alignment vertical="center" wrapText="1"/>
    </xf>
    <xf numFmtId="49" fontId="33" fillId="4" borderId="1" xfId="0" applyNumberFormat="1" applyFont="1" applyFill="1" applyBorder="1" applyAlignment="1">
      <alignment vertical="center" wrapText="1"/>
    </xf>
    <xf numFmtId="0" fontId="12" fillId="2" borderId="13" xfId="0" applyFont="1" applyFill="1" applyBorder="1" applyAlignment="1">
      <alignment vertical="center" wrapText="1"/>
    </xf>
    <xf numFmtId="0" fontId="11" fillId="0" borderId="13" xfId="0" applyFont="1" applyBorder="1" applyAlignment="1">
      <alignment vertical="center" wrapText="1"/>
    </xf>
    <xf numFmtId="0" fontId="50" fillId="12" borderId="25" xfId="0" applyFont="1" applyFill="1" applyBorder="1" applyAlignment="1">
      <alignment vertical="center" wrapText="1"/>
    </xf>
    <xf numFmtId="0" fontId="50" fillId="12" borderId="27" xfId="0" applyFont="1" applyFill="1" applyBorder="1" applyAlignment="1">
      <alignment vertical="center" wrapText="1"/>
    </xf>
    <xf numFmtId="43" fontId="11" fillId="12" borderId="28" xfId="1" applyFont="1" applyFill="1" applyBorder="1" applyAlignment="1">
      <alignment vertical="center" wrapText="1"/>
    </xf>
    <xf numFmtId="0" fontId="12" fillId="12" borderId="29" xfId="0" applyFont="1" applyFill="1" applyBorder="1" applyAlignment="1">
      <alignment vertical="center" wrapText="1"/>
    </xf>
    <xf numFmtId="43" fontId="11" fillId="12" borderId="30" xfId="1" applyFont="1" applyFill="1" applyBorder="1" applyAlignment="1">
      <alignment vertical="center" wrapText="1"/>
    </xf>
    <xf numFmtId="0" fontId="19" fillId="0" borderId="0" xfId="0" applyFont="1" applyAlignment="1">
      <alignment horizontal="left" wrapText="1"/>
    </xf>
    <xf numFmtId="0" fontId="13" fillId="0" borderId="0" xfId="0" applyFont="1" applyAlignment="1">
      <alignment vertical="center" wrapText="1"/>
    </xf>
    <xf numFmtId="0" fontId="12" fillId="2" borderId="1" xfId="0" applyFont="1" applyFill="1" applyBorder="1" applyAlignment="1">
      <alignment horizontal="left" vertical="center" wrapText="1"/>
    </xf>
    <xf numFmtId="0" fontId="56" fillId="0" borderId="0" xfId="0" applyFont="1" applyAlignment="1" applyProtection="1">
      <alignment horizontal="center" vertical="center"/>
      <protection hidden="1"/>
    </xf>
    <xf numFmtId="0" fontId="57" fillId="0" borderId="0" xfId="0" applyFont="1" applyAlignment="1" applyProtection="1">
      <alignment horizontal="center" vertical="center"/>
      <protection hidden="1"/>
    </xf>
    <xf numFmtId="0" fontId="22" fillId="0" borderId="0" xfId="0" applyFont="1" applyAlignment="1">
      <alignment horizontal="center"/>
    </xf>
    <xf numFmtId="0" fontId="13" fillId="0" borderId="0" xfId="0" applyFont="1" applyAlignment="1">
      <alignment horizontal="left" vertical="center" wrapText="1"/>
    </xf>
    <xf numFmtId="0" fontId="13" fillId="0" borderId="0" xfId="0" applyFont="1" applyAlignment="1">
      <alignment horizontal="center"/>
    </xf>
    <xf numFmtId="0" fontId="58" fillId="4" borderId="1" xfId="0" applyFont="1" applyFill="1" applyBorder="1" applyAlignment="1">
      <alignment vertical="center" wrapText="1"/>
    </xf>
    <xf numFmtId="0" fontId="58" fillId="6" borderId="1" xfId="0" applyFont="1" applyFill="1" applyBorder="1" applyAlignment="1">
      <alignment vertical="center" wrapText="1"/>
    </xf>
    <xf numFmtId="169" fontId="58" fillId="4" borderId="1" xfId="0" applyNumberFormat="1" applyFont="1" applyFill="1" applyBorder="1" applyAlignment="1">
      <alignment vertical="center" wrapText="1"/>
    </xf>
    <xf numFmtId="0" fontId="59" fillId="4" borderId="1" xfId="0" applyFont="1" applyFill="1" applyBorder="1" applyAlignment="1">
      <alignment vertical="center" wrapText="1"/>
    </xf>
    <xf numFmtId="0" fontId="58" fillId="0" borderId="1" xfId="0" applyFont="1" applyBorder="1" applyAlignment="1">
      <alignment vertical="center" wrapText="1"/>
    </xf>
    <xf numFmtId="43" fontId="58" fillId="4" borderId="1" xfId="1" applyFont="1" applyFill="1" applyBorder="1" applyAlignment="1">
      <alignment vertical="center" wrapText="1"/>
    </xf>
    <xf numFmtId="170" fontId="58" fillId="4" borderId="1" xfId="0" applyNumberFormat="1" applyFont="1" applyFill="1" applyBorder="1" applyAlignment="1">
      <alignment vertical="center" wrapText="1"/>
    </xf>
    <xf numFmtId="0" fontId="13" fillId="5" borderId="0" xfId="0" applyFont="1" applyFill="1"/>
    <xf numFmtId="0" fontId="19" fillId="0" borderId="0" xfId="0" applyFont="1" applyAlignment="1">
      <alignment horizontal="left"/>
    </xf>
    <xf numFmtId="0" fontId="19" fillId="0" borderId="0" xfId="0" applyFont="1" applyAlignment="1">
      <alignment wrapText="1"/>
    </xf>
    <xf numFmtId="0" fontId="19" fillId="0" borderId="0" xfId="0" applyFont="1" applyAlignment="1">
      <alignment vertical="top" wrapText="1"/>
    </xf>
    <xf numFmtId="0" fontId="14" fillId="0" borderId="0" xfId="0" applyFont="1" applyAlignment="1">
      <alignment wrapText="1"/>
    </xf>
    <xf numFmtId="0" fontId="20" fillId="0" borderId="0" xfId="0" applyFont="1" applyAlignment="1">
      <alignment vertical="center"/>
    </xf>
    <xf numFmtId="0" fontId="16" fillId="0" borderId="0" xfId="0" applyFont="1" applyAlignment="1" applyProtection="1">
      <alignment horizontal="center" vertical="center"/>
      <protection hidden="1"/>
    </xf>
    <xf numFmtId="0" fontId="14" fillId="0" borderId="0" xfId="0" applyFont="1" applyAlignment="1">
      <alignment horizontal="center" vertical="center"/>
    </xf>
    <xf numFmtId="0" fontId="14" fillId="0" borderId="0" xfId="0" applyFont="1" applyAlignment="1">
      <alignment horizontal="right" wrapText="1"/>
    </xf>
    <xf numFmtId="0" fontId="60" fillId="0" borderId="0" xfId="0" applyFont="1"/>
    <xf numFmtId="0" fontId="13" fillId="0" borderId="0" xfId="0" applyFont="1" applyAlignment="1">
      <alignment horizontal="right"/>
    </xf>
    <xf numFmtId="49" fontId="13" fillId="0" borderId="0" xfId="0" applyNumberFormat="1" applyFont="1" applyAlignment="1">
      <alignment horizontal="right"/>
    </xf>
    <xf numFmtId="0" fontId="13" fillId="0" borderId="0" xfId="0" applyFont="1" applyAlignment="1">
      <alignment horizontal="left" wrapText="1"/>
    </xf>
    <xf numFmtId="0" fontId="11" fillId="10" borderId="1" xfId="0" applyFont="1" applyFill="1" applyBorder="1"/>
    <xf numFmtId="0" fontId="11" fillId="10" borderId="1" xfId="0" applyFont="1" applyFill="1" applyBorder="1" applyAlignment="1">
      <alignment wrapText="1"/>
    </xf>
    <xf numFmtId="10" fontId="33" fillId="10" borderId="0" xfId="287" applyNumberFormat="1" applyFont="1" applyFill="1" applyAlignment="1">
      <alignment horizontal="center"/>
    </xf>
    <xf numFmtId="0" fontId="33" fillId="10" borderId="0" xfId="0" applyFont="1" applyFill="1" applyAlignment="1">
      <alignment horizontal="center"/>
    </xf>
    <xf numFmtId="0" fontId="33" fillId="10" borderId="0" xfId="0" applyFont="1" applyFill="1"/>
    <xf numFmtId="14" fontId="11" fillId="10" borderId="0" xfId="0" applyNumberFormat="1" applyFont="1" applyFill="1"/>
    <xf numFmtId="168" fontId="12" fillId="10" borderId="0" xfId="0" applyNumberFormat="1" applyFont="1" applyFill="1"/>
    <xf numFmtId="0" fontId="11" fillId="10" borderId="19" xfId="0" applyFont="1" applyFill="1" applyBorder="1"/>
    <xf numFmtId="0" fontId="11" fillId="10" borderId="20" xfId="0" applyFont="1" applyFill="1" applyBorder="1"/>
    <xf numFmtId="0" fontId="15" fillId="10" borderId="1" xfId="0" applyFont="1" applyFill="1" applyBorder="1" applyAlignment="1">
      <alignment horizontal="center" vertical="center" wrapText="1"/>
    </xf>
    <xf numFmtId="0" fontId="11" fillId="10" borderId="1" xfId="0" applyFont="1" applyFill="1" applyBorder="1" applyAlignment="1">
      <alignment horizontal="center" vertical="center"/>
    </xf>
    <xf numFmtId="0" fontId="11" fillId="10" borderId="1" xfId="0" applyFont="1" applyFill="1" applyBorder="1" applyAlignment="1">
      <alignment horizontal="center" vertical="center" wrapText="1"/>
    </xf>
    <xf numFmtId="0" fontId="11" fillId="10" borderId="1" xfId="0" applyFont="1" applyFill="1" applyBorder="1" applyAlignment="1">
      <alignment horizontal="left" vertical="center"/>
    </xf>
    <xf numFmtId="0" fontId="11" fillId="10" borderId="1" xfId="0" applyFont="1" applyFill="1" applyBorder="1" applyAlignment="1">
      <alignment horizontal="left" vertical="center" wrapText="1"/>
    </xf>
    <xf numFmtId="0" fontId="11" fillId="10" borderId="1" xfId="0" applyFont="1" applyFill="1" applyBorder="1" applyAlignment="1">
      <alignment vertical="center" wrapText="1"/>
    </xf>
    <xf numFmtId="0" fontId="12" fillId="10" borderId="0" xfId="0" applyFont="1" applyFill="1" applyAlignment="1">
      <alignment vertical="center"/>
    </xf>
    <xf numFmtId="0" fontId="11" fillId="10" borderId="13" xfId="0" applyFont="1" applyFill="1" applyBorder="1" applyAlignment="1">
      <alignment vertical="center"/>
    </xf>
    <xf numFmtId="0" fontId="11" fillId="10" borderId="15" xfId="0" applyFont="1" applyFill="1" applyBorder="1" applyAlignment="1">
      <alignment vertical="center"/>
    </xf>
    <xf numFmtId="14" fontId="11" fillId="10" borderId="1" xfId="0" applyNumberFormat="1" applyFont="1" applyFill="1" applyBorder="1"/>
    <xf numFmtId="0" fontId="12" fillId="10" borderId="0" xfId="0" applyFont="1" applyFill="1"/>
    <xf numFmtId="49" fontId="11" fillId="10" borderId="1" xfId="0" applyNumberFormat="1" applyFont="1" applyFill="1" applyBorder="1"/>
    <xf numFmtId="0" fontId="12" fillId="10" borderId="0" xfId="0" applyFont="1" applyFill="1" applyAlignment="1">
      <alignment wrapText="1"/>
    </xf>
    <xf numFmtId="164" fontId="11" fillId="10" borderId="1" xfId="0" applyNumberFormat="1" applyFont="1" applyFill="1" applyBorder="1" applyAlignment="1">
      <alignment vertical="center" wrapText="1"/>
    </xf>
    <xf numFmtId="164" fontId="11" fillId="10" borderId="0" xfId="0" applyNumberFormat="1" applyFont="1" applyFill="1" applyAlignment="1">
      <alignment vertical="center" wrapText="1"/>
    </xf>
    <xf numFmtId="0" fontId="18" fillId="0" borderId="0" xfId="0" applyFont="1" applyAlignment="1">
      <alignment vertical="center"/>
    </xf>
    <xf numFmtId="0" fontId="18" fillId="0" borderId="0" xfId="0" applyFont="1" applyAlignment="1">
      <alignment horizontal="right" vertical="center"/>
    </xf>
    <xf numFmtId="0" fontId="19" fillId="0" borderId="0" xfId="0" applyFont="1" applyAlignment="1">
      <alignment vertical="center"/>
    </xf>
    <xf numFmtId="0" fontId="61" fillId="4" borderId="0" xfId="0" applyFont="1" applyFill="1"/>
    <xf numFmtId="0" fontId="61" fillId="4" borderId="0" xfId="0" applyFont="1" applyFill="1" applyAlignment="1">
      <alignment vertical="center"/>
    </xf>
    <xf numFmtId="0" fontId="5" fillId="12" borderId="26" xfId="0" applyFont="1" applyFill="1" applyBorder="1" applyAlignment="1">
      <alignment vertical="center" wrapText="1"/>
    </xf>
    <xf numFmtId="49" fontId="5" fillId="4" borderId="1" xfId="0" applyNumberFormat="1" applyFont="1" applyFill="1" applyBorder="1" applyAlignment="1">
      <alignment vertical="center" wrapText="1"/>
    </xf>
    <xf numFmtId="0" fontId="5" fillId="4" borderId="1" xfId="0" applyFont="1" applyFill="1" applyBorder="1" applyAlignment="1">
      <alignment horizontal="left" vertical="center" wrapText="1"/>
    </xf>
    <xf numFmtId="49" fontId="5" fillId="4" borderId="1" xfId="0" applyNumberFormat="1" applyFont="1" applyFill="1" applyBorder="1" applyAlignment="1">
      <alignment horizontal="left" vertical="center" wrapText="1"/>
    </xf>
    <xf numFmtId="14" fontId="13" fillId="0" borderId="0" xfId="0" applyNumberFormat="1" applyFont="1"/>
    <xf numFmtId="0" fontId="33" fillId="6" borderId="1" xfId="0" applyFont="1" applyFill="1" applyBorder="1" applyAlignment="1">
      <alignment vertical="center" wrapText="1"/>
    </xf>
    <xf numFmtId="0" fontId="2" fillId="4" borderId="1" xfId="0" applyFont="1" applyFill="1" applyBorder="1" applyAlignment="1">
      <alignment vertical="center" wrapText="1"/>
    </xf>
    <xf numFmtId="49" fontId="2" fillId="4" borderId="1" xfId="0" applyNumberFormat="1" applyFont="1" applyFill="1" applyBorder="1" applyAlignment="1">
      <alignment vertical="center" wrapText="1"/>
    </xf>
    <xf numFmtId="0" fontId="2" fillId="0" borderId="1" xfId="0" applyFont="1" applyBorder="1" applyAlignment="1">
      <alignment vertical="center" wrapText="1"/>
    </xf>
    <xf numFmtId="0" fontId="12" fillId="3" borderId="31" xfId="0" applyFont="1" applyFill="1" applyBorder="1" applyAlignment="1">
      <alignment vertical="center" wrapText="1"/>
    </xf>
    <xf numFmtId="4" fontId="11" fillId="3" borderId="19" xfId="0" applyNumberFormat="1" applyFont="1" applyFill="1" applyBorder="1" applyAlignment="1">
      <alignment vertical="center" wrapText="1"/>
    </xf>
    <xf numFmtId="0" fontId="30" fillId="10" borderId="0" xfId="0" applyFont="1" applyFill="1"/>
    <xf numFmtId="4" fontId="58" fillId="0" borderId="1" xfId="0" applyNumberFormat="1" applyFont="1" applyBorder="1" applyAlignment="1">
      <alignment vertical="center" wrapText="1"/>
    </xf>
    <xf numFmtId="43" fontId="30" fillId="10" borderId="0" xfId="0" applyNumberFormat="1" applyFont="1" applyFill="1"/>
    <xf numFmtId="14" fontId="30" fillId="10" borderId="0" xfId="0" applyNumberFormat="1" applyFont="1" applyFill="1"/>
    <xf numFmtId="4" fontId="30" fillId="10" borderId="0" xfId="0" applyNumberFormat="1" applyFont="1" applyFill="1"/>
    <xf numFmtId="0" fontId="66" fillId="10" borderId="16" xfId="0" applyFont="1" applyFill="1" applyBorder="1"/>
    <xf numFmtId="164" fontId="30" fillId="10" borderId="3" xfId="0" applyNumberFormat="1" applyFont="1" applyFill="1" applyBorder="1" applyAlignment="1">
      <alignment horizontal="left" vertical="top" wrapText="1"/>
    </xf>
    <xf numFmtId="0" fontId="12" fillId="13" borderId="1" xfId="0" applyFont="1" applyFill="1" applyBorder="1" applyAlignment="1">
      <alignment horizontal="center" vertical="center" wrapText="1"/>
    </xf>
    <xf numFmtId="14" fontId="12" fillId="13" borderId="1"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0" fontId="13" fillId="5" borderId="0" xfId="0" applyFont="1" applyFill="1" applyAlignment="1">
      <alignment horizontal="center" wrapText="1"/>
    </xf>
    <xf numFmtId="11" fontId="2" fillId="4" borderId="1" xfId="0" applyNumberFormat="1" applyFont="1" applyFill="1" applyBorder="1" applyAlignment="1">
      <alignment vertical="center" wrapText="1"/>
    </xf>
    <xf numFmtId="0" fontId="67" fillId="0" borderId="0" xfId="6044" applyAlignment="1">
      <alignment horizontal="left" vertical="top"/>
    </xf>
    <xf numFmtId="0" fontId="32" fillId="0" borderId="0" xfId="6044" applyFont="1" applyAlignment="1">
      <alignment vertical="top"/>
    </xf>
    <xf numFmtId="0" fontId="32" fillId="0" borderId="0" xfId="6044" applyFont="1" applyAlignment="1">
      <alignment horizontal="right" vertical="top"/>
    </xf>
    <xf numFmtId="0" fontId="57" fillId="0" borderId="33" xfId="6044" applyFont="1" applyBorder="1" applyAlignment="1">
      <alignment horizontal="left" vertical="top" wrapText="1"/>
    </xf>
    <xf numFmtId="0" fontId="67" fillId="0" borderId="33" xfId="6044" applyBorder="1" applyAlignment="1">
      <alignment horizontal="left" vertical="top" wrapText="1"/>
    </xf>
    <xf numFmtId="0" fontId="32" fillId="0" borderId="0" xfId="6044" applyFont="1" applyAlignment="1">
      <alignment horizontal="left" vertical="center"/>
    </xf>
    <xf numFmtId="0" fontId="77" fillId="0" borderId="0" xfId="6044" applyFont="1" applyAlignment="1">
      <alignment horizontal="left" vertical="top"/>
    </xf>
    <xf numFmtId="43" fontId="58" fillId="9" borderId="1" xfId="1" applyFont="1" applyFill="1" applyBorder="1" applyAlignment="1">
      <alignment vertical="center" wrapText="1"/>
    </xf>
    <xf numFmtId="14" fontId="2" fillId="4" borderId="1" xfId="0" applyNumberFormat="1" applyFont="1" applyFill="1" applyBorder="1" applyAlignment="1">
      <alignment vertical="center" wrapText="1"/>
    </xf>
    <xf numFmtId="49" fontId="2" fillId="4" borderId="1" xfId="0" applyNumberFormat="1" applyFont="1" applyFill="1" applyBorder="1" applyAlignment="1">
      <alignment horizontal="left" vertical="center" wrapText="1"/>
    </xf>
    <xf numFmtId="0" fontId="2" fillId="9" borderId="1" xfId="0" applyFont="1" applyFill="1" applyBorder="1" applyAlignment="1">
      <alignment vertical="center" wrapText="1"/>
    </xf>
    <xf numFmtId="0" fontId="2" fillId="7" borderId="1" xfId="0" applyFont="1" applyFill="1" applyBorder="1" applyAlignment="1">
      <alignment vertical="center" wrapText="1"/>
    </xf>
    <xf numFmtId="0" fontId="2" fillId="10" borderId="0" xfId="0" applyFont="1" applyFill="1"/>
    <xf numFmtId="49" fontId="2" fillId="7" borderId="1" xfId="1" applyNumberFormat="1" applyFont="1" applyFill="1" applyBorder="1" applyAlignment="1">
      <alignment vertical="center" wrapText="1"/>
    </xf>
    <xf numFmtId="0" fontId="19" fillId="0" borderId="0" xfId="0" applyFont="1" applyAlignment="1">
      <alignment horizontal="left" vertical="center" wrapText="1"/>
    </xf>
    <xf numFmtId="0" fontId="18" fillId="0" borderId="0" xfId="0" applyFont="1" applyAlignment="1">
      <alignment horizontal="left" vertical="center" wrapText="1"/>
    </xf>
    <xf numFmtId="0" fontId="19" fillId="0" borderId="0" xfId="0" applyFont="1" applyAlignment="1">
      <alignment horizontal="center" vertical="center" wrapText="1"/>
    </xf>
    <xf numFmtId="0" fontId="18" fillId="0" borderId="0" xfId="0" applyFont="1" applyAlignment="1">
      <alignment horizontal="justify" vertical="top" wrapText="1"/>
    </xf>
    <xf numFmtId="0" fontId="18" fillId="0" borderId="0" xfId="0" applyFont="1" applyAlignment="1">
      <alignment horizontal="left" vertical="top" wrapText="1"/>
    </xf>
    <xf numFmtId="0" fontId="37" fillId="0" borderId="0" xfId="0" applyFont="1" applyAlignment="1">
      <alignment horizontal="center" vertical="center" wrapText="1"/>
    </xf>
    <xf numFmtId="0" fontId="48" fillId="0" borderId="0" xfId="0" applyFont="1" applyAlignment="1">
      <alignment horizontal="justify" vertical="top" wrapText="1"/>
    </xf>
    <xf numFmtId="0" fontId="2" fillId="0" borderId="19" xfId="0" applyFont="1" applyBorder="1" applyAlignment="1">
      <alignment vertical="center" wrapText="1"/>
    </xf>
    <xf numFmtId="0" fontId="2" fillId="0" borderId="0" xfId="0" applyFont="1" applyAlignment="1">
      <alignment vertical="center"/>
    </xf>
    <xf numFmtId="0" fontId="12" fillId="2" borderId="15"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21" fillId="0" borderId="0" xfId="0" applyFont="1" applyAlignment="1">
      <alignment horizontal="justify" vertical="top" wrapText="1"/>
    </xf>
    <xf numFmtId="0" fontId="21" fillId="0" borderId="0" xfId="0" applyFont="1" applyAlignment="1">
      <alignment horizontal="center" vertical="top" wrapText="1"/>
    </xf>
    <xf numFmtId="0" fontId="21" fillId="0" borderId="4" xfId="0" applyFont="1" applyBorder="1" applyAlignment="1">
      <alignment horizontal="center" vertical="top" wrapText="1"/>
    </xf>
    <xf numFmtId="49" fontId="21" fillId="0" borderId="0" xfId="0" applyNumberFormat="1" applyFont="1" applyAlignment="1">
      <alignment horizontal="center" vertical="center" wrapText="1"/>
    </xf>
    <xf numFmtId="0" fontId="20" fillId="0" borderId="0" xfId="0" applyFont="1" applyAlignment="1">
      <alignment horizontal="center" vertical="top" wrapText="1"/>
    </xf>
    <xf numFmtId="0" fontId="21" fillId="0" borderId="0" xfId="0" applyFont="1" applyAlignment="1">
      <alignment horizontal="left" vertical="top" wrapText="1"/>
    </xf>
    <xf numFmtId="0" fontId="32" fillId="0" borderId="0" xfId="0" applyFont="1" applyAlignment="1">
      <alignment horizontal="center"/>
    </xf>
    <xf numFmtId="0" fontId="32" fillId="0" borderId="3" xfId="0" applyFont="1" applyBorder="1" applyAlignment="1">
      <alignment horizontal="justify" vertical="center" wrapText="1"/>
    </xf>
    <xf numFmtId="0" fontId="32" fillId="0" borderId="18" xfId="0" applyFont="1" applyBorder="1" applyAlignment="1">
      <alignment horizontal="justify" vertical="center" wrapText="1"/>
    </xf>
    <xf numFmtId="0" fontId="32" fillId="0" borderId="2" xfId="0" applyFont="1" applyBorder="1" applyAlignment="1">
      <alignment horizontal="justify" vertical="center" wrapText="1"/>
    </xf>
    <xf numFmtId="0" fontId="32" fillId="0" borderId="3" xfId="0" applyFont="1" applyBorder="1" applyAlignment="1">
      <alignment horizontal="justify" vertical="center"/>
    </xf>
    <xf numFmtId="0" fontId="32" fillId="0" borderId="2" xfId="0" applyFont="1" applyBorder="1" applyAlignment="1">
      <alignment horizontal="justify" vertical="center"/>
    </xf>
    <xf numFmtId="0" fontId="32" fillId="0" borderId="21" xfId="0" applyFont="1" applyBorder="1" applyAlignment="1">
      <alignment horizontal="justify" vertical="center"/>
    </xf>
    <xf numFmtId="0" fontId="32" fillId="0" borderId="17" xfId="0" applyFont="1" applyBorder="1" applyAlignment="1">
      <alignment horizontal="justify" vertical="center"/>
    </xf>
    <xf numFmtId="0" fontId="32" fillId="0" borderId="22" xfId="0" applyFont="1" applyBorder="1" applyAlignment="1">
      <alignment horizontal="justify" vertical="center"/>
    </xf>
    <xf numFmtId="0" fontId="32" fillId="0" borderId="20" xfId="0" applyFont="1" applyBorder="1" applyAlignment="1">
      <alignment horizontal="justify" vertical="center"/>
    </xf>
    <xf numFmtId="0" fontId="32" fillId="0" borderId="4" xfId="0" applyFont="1" applyBorder="1" applyAlignment="1">
      <alignment horizontal="justify" vertical="center"/>
    </xf>
    <xf numFmtId="0" fontId="32" fillId="0" borderId="23" xfId="0" applyFont="1" applyBorder="1" applyAlignment="1">
      <alignment horizontal="justify" vertical="center"/>
    </xf>
    <xf numFmtId="0" fontId="32" fillId="0" borderId="1" xfId="0" applyFont="1" applyBorder="1" applyAlignment="1">
      <alignment horizontal="justify" vertical="center" wrapText="1"/>
    </xf>
    <xf numFmtId="0" fontId="32" fillId="0" borderId="17" xfId="0" applyFont="1" applyBorder="1" applyAlignment="1">
      <alignment horizontal="justify" vertical="center" wrapText="1"/>
    </xf>
    <xf numFmtId="0" fontId="32" fillId="0" borderId="11" xfId="0" applyFont="1" applyBorder="1" applyAlignment="1">
      <alignment horizontal="justify"/>
    </xf>
    <xf numFmtId="0" fontId="32" fillId="0" borderId="0" xfId="0" applyFont="1" applyAlignment="1">
      <alignment horizontal="justify" vertical="center" wrapText="1"/>
    </xf>
    <xf numFmtId="0" fontId="13" fillId="0" borderId="0" xfId="0" applyFont="1" applyAlignment="1">
      <alignment horizontal="justify" wrapText="1"/>
    </xf>
    <xf numFmtId="0" fontId="14" fillId="0" borderId="0" xfId="0" applyFont="1" applyAlignment="1">
      <alignment horizontal="left" vertical="center" wrapText="1"/>
    </xf>
    <xf numFmtId="0" fontId="13" fillId="0" borderId="0" xfId="0" applyFont="1" applyAlignment="1">
      <alignment horizontal="justify" vertical="top" wrapText="1"/>
    </xf>
    <xf numFmtId="0" fontId="13" fillId="0" borderId="0" xfId="0" applyFont="1" applyAlignment="1">
      <alignment horizontal="left" vertical="top" wrapText="1"/>
    </xf>
    <xf numFmtId="0" fontId="14" fillId="0" borderId="0" xfId="0" applyFont="1" applyAlignment="1">
      <alignment horizontal="center"/>
    </xf>
    <xf numFmtId="0" fontId="14" fillId="0" borderId="0" xfId="0" applyFont="1" applyAlignment="1">
      <alignment horizontal="right" vertical="top" wrapText="1"/>
    </xf>
    <xf numFmtId="0" fontId="18" fillId="0" borderId="0" xfId="0" applyFont="1" applyAlignment="1">
      <alignment horizontal="center" vertical="center"/>
    </xf>
    <xf numFmtId="49" fontId="18" fillId="0" borderId="0" xfId="0" applyNumberFormat="1" applyFont="1" applyAlignment="1">
      <alignment horizontal="justify" vertical="top" wrapText="1"/>
    </xf>
    <xf numFmtId="0" fontId="19" fillId="0" borderId="0" xfId="0" applyFont="1" applyAlignment="1">
      <alignment horizontal="left" vertical="top" wrapText="1"/>
    </xf>
    <xf numFmtId="0" fontId="19" fillId="0" borderId="0" xfId="0" applyFont="1" applyAlignment="1">
      <alignment horizontal="center" vertical="top" wrapText="1"/>
    </xf>
    <xf numFmtId="0" fontId="14" fillId="0" borderId="0" xfId="0" applyFont="1" applyAlignment="1">
      <alignment horizontal="center" vertical="center" wrapText="1"/>
    </xf>
    <xf numFmtId="0" fontId="14" fillId="0" borderId="0" xfId="0" applyFont="1" applyAlignment="1">
      <alignment horizontal="center" vertical="center"/>
    </xf>
    <xf numFmtId="0" fontId="14" fillId="0" borderId="0" xfId="0" applyFont="1" applyAlignment="1">
      <alignment horizontal="center" wrapText="1"/>
    </xf>
    <xf numFmtId="49" fontId="13" fillId="0" borderId="0" xfId="0" applyNumberFormat="1" applyFont="1" applyAlignment="1">
      <alignment horizontal="left" vertical="top" wrapText="1"/>
    </xf>
    <xf numFmtId="0" fontId="35" fillId="0" borderId="0" xfId="0" applyFont="1" applyAlignment="1">
      <alignment horizontal="left"/>
    </xf>
    <xf numFmtId="0" fontId="14" fillId="0" borderId="0" xfId="0" applyFont="1" applyAlignment="1">
      <alignment horizontal="center" vertical="top" wrapText="1"/>
    </xf>
    <xf numFmtId="0" fontId="13" fillId="0" borderId="0" xfId="0" applyFont="1" applyAlignment="1">
      <alignment vertical="top" wrapText="1"/>
    </xf>
    <xf numFmtId="0" fontId="32" fillId="5" borderId="0" xfId="0" applyFont="1" applyFill="1" applyAlignment="1">
      <alignment horizontal="left" vertical="top" wrapText="1"/>
    </xf>
    <xf numFmtId="0" fontId="35" fillId="0" borderId="0" xfId="0" applyFont="1" applyAlignment="1">
      <alignment horizontal="center" vertical="top" wrapText="1"/>
    </xf>
    <xf numFmtId="0" fontId="13" fillId="5" borderId="0" xfId="0" applyFont="1" applyFill="1" applyAlignment="1">
      <alignment horizontal="left" vertical="top" wrapText="1"/>
    </xf>
    <xf numFmtId="0" fontId="19" fillId="0" borderId="0" xfId="0" applyFont="1" applyAlignment="1">
      <alignment horizontal="right"/>
    </xf>
    <xf numFmtId="0" fontId="19" fillId="0" borderId="0" xfId="0" applyFont="1" applyAlignment="1">
      <alignment horizontal="center"/>
    </xf>
    <xf numFmtId="0" fontId="18" fillId="0" borderId="1" xfId="0" applyFont="1" applyBorder="1" applyAlignment="1">
      <alignment horizontal="center" vertical="center"/>
    </xf>
    <xf numFmtId="0" fontId="18" fillId="0" borderId="1" xfId="0" applyFont="1" applyBorder="1" applyAlignment="1">
      <alignment horizontal="center" vertical="center" wrapText="1"/>
    </xf>
    <xf numFmtId="0" fontId="18" fillId="0" borderId="1" xfId="0" applyFont="1" applyBorder="1" applyAlignment="1">
      <alignment horizontal="center"/>
    </xf>
    <xf numFmtId="0" fontId="19" fillId="0" borderId="0" xfId="0" applyFont="1" applyAlignment="1">
      <alignment horizontal="right" vertical="center" wrapText="1"/>
    </xf>
    <xf numFmtId="0" fontId="24" fillId="0" borderId="0" xfId="0" applyFont="1" applyAlignment="1">
      <alignment horizontal="center" vertical="center" wrapText="1"/>
    </xf>
    <xf numFmtId="0" fontId="19" fillId="0" borderId="0" xfId="0" applyFont="1" applyAlignment="1">
      <alignment horizontal="center" wrapText="1"/>
    </xf>
    <xf numFmtId="0" fontId="18" fillId="0" borderId="0" xfId="0" applyFont="1" applyAlignment="1">
      <alignment horizontal="center" vertical="top" wrapText="1"/>
    </xf>
    <xf numFmtId="0" fontId="54" fillId="0" borderId="0" xfId="0" applyFont="1" applyAlignment="1">
      <alignment horizontal="center" wrapText="1"/>
    </xf>
    <xf numFmtId="0" fontId="18" fillId="0" borderId="0" xfId="0" applyFont="1" applyAlignment="1">
      <alignment horizontal="center"/>
    </xf>
    <xf numFmtId="0" fontId="18" fillId="0" borderId="0" xfId="0" applyFont="1" applyAlignment="1">
      <alignment horizontal="left" wrapText="1"/>
    </xf>
    <xf numFmtId="0" fontId="23" fillId="0" borderId="0" xfId="0" applyFont="1" applyAlignment="1">
      <alignment horizontal="center" vertical="top" wrapText="1"/>
    </xf>
    <xf numFmtId="0" fontId="18" fillId="0" borderId="0" xfId="0" applyFont="1" applyAlignment="1">
      <alignment horizontal="center" wrapText="1"/>
    </xf>
    <xf numFmtId="0" fontId="13" fillId="8" borderId="0" xfId="0" applyFont="1" applyFill="1" applyAlignment="1">
      <alignment horizontal="justify" vertical="top" wrapText="1"/>
    </xf>
    <xf numFmtId="0" fontId="13" fillId="0" borderId="0" xfId="0" applyFont="1" applyAlignment="1">
      <alignment horizontal="center" vertical="center" wrapText="1"/>
    </xf>
    <xf numFmtId="0" fontId="19" fillId="0" borderId="3" xfId="0" applyFont="1" applyBorder="1" applyAlignment="1">
      <alignment horizontal="center" vertical="center" wrapText="1"/>
    </xf>
    <xf numFmtId="0" fontId="19" fillId="0" borderId="2" xfId="0" applyFont="1" applyBorder="1" applyAlignment="1">
      <alignment horizontal="center" vertical="center" wrapText="1"/>
    </xf>
    <xf numFmtId="0" fontId="37" fillId="0" borderId="0" xfId="0" applyFont="1" applyAlignment="1">
      <alignment horizontal="center" vertical="top" wrapText="1"/>
    </xf>
    <xf numFmtId="0" fontId="29" fillId="0" borderId="0" xfId="0" applyFont="1" applyAlignment="1">
      <alignment horizontal="right" vertical="top" wrapText="1"/>
    </xf>
    <xf numFmtId="0" fontId="18" fillId="0" borderId="13"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15" xfId="0" applyFont="1" applyBorder="1" applyAlignment="1">
      <alignment horizontal="center" vertical="center" wrapText="1"/>
    </xf>
    <xf numFmtId="0" fontId="37" fillId="0" borderId="0" xfId="0" applyFont="1" applyAlignment="1">
      <alignment horizontal="left" vertical="center" wrapText="1"/>
    </xf>
    <xf numFmtId="0" fontId="37" fillId="0" borderId="0" xfId="0" applyFont="1" applyAlignment="1">
      <alignment horizontal="right"/>
    </xf>
    <xf numFmtId="0" fontId="37" fillId="0" borderId="0" xfId="0" applyFont="1" applyAlignment="1">
      <alignment horizontal="center"/>
    </xf>
    <xf numFmtId="0" fontId="31" fillId="0" borderId="1" xfId="0" applyFont="1" applyBorder="1" applyAlignment="1">
      <alignment horizontal="center" vertical="center"/>
    </xf>
    <xf numFmtId="0" fontId="31" fillId="0" borderId="1" xfId="0" applyFont="1" applyBorder="1" applyAlignment="1">
      <alignment horizontal="center" vertical="center" wrapText="1"/>
    </xf>
    <xf numFmtId="0" fontId="31" fillId="0" borderId="1" xfId="0" applyFont="1" applyBorder="1" applyAlignment="1">
      <alignment horizontal="center"/>
    </xf>
    <xf numFmtId="0" fontId="31" fillId="0" borderId="0" xfId="0" applyFont="1" applyAlignment="1">
      <alignment horizontal="center" vertical="top" wrapText="1"/>
    </xf>
    <xf numFmtId="0" fontId="31" fillId="0" borderId="0" xfId="0" applyFont="1" applyAlignment="1">
      <alignment horizontal="justify" vertical="top" wrapText="1"/>
    </xf>
    <xf numFmtId="0" fontId="38" fillId="0" borderId="0" xfId="0" applyFont="1" applyAlignment="1">
      <alignment horizontal="center" vertical="center" wrapText="1"/>
    </xf>
    <xf numFmtId="0" fontId="37" fillId="0" borderId="0" xfId="0" applyFont="1" applyAlignment="1">
      <alignment horizontal="center" wrapText="1"/>
    </xf>
    <xf numFmtId="0" fontId="31" fillId="0" borderId="0" xfId="0" applyFont="1" applyAlignment="1">
      <alignment horizontal="center"/>
    </xf>
    <xf numFmtId="0" fontId="31" fillId="0" borderId="0" xfId="0" applyFont="1" applyAlignment="1">
      <alignment horizontal="left" wrapText="1"/>
    </xf>
    <xf numFmtId="0" fontId="39" fillId="0" borderId="0" xfId="0" applyFont="1" applyAlignment="1">
      <alignment horizontal="center" vertical="top" wrapText="1"/>
    </xf>
    <xf numFmtId="0" fontId="31" fillId="0" borderId="0" xfId="0" applyFont="1" applyAlignment="1">
      <alignment horizontal="center" wrapText="1"/>
    </xf>
    <xf numFmtId="0" fontId="18" fillId="0" borderId="8" xfId="0" applyFont="1" applyBorder="1" applyAlignment="1">
      <alignment horizontal="center" wrapText="1"/>
    </xf>
    <xf numFmtId="0" fontId="18" fillId="0" borderId="9" xfId="0" applyFont="1" applyBorder="1" applyAlignment="1">
      <alignment horizontal="center" wrapText="1"/>
    </xf>
    <xf numFmtId="0" fontId="27" fillId="0" borderId="8" xfId="0" applyFont="1" applyBorder="1" applyAlignment="1">
      <alignment horizontal="center" wrapText="1"/>
    </xf>
    <xf numFmtId="0" fontId="27" fillId="0" borderId="0" xfId="0" applyFont="1" applyAlignment="1">
      <alignment horizontal="center" wrapText="1"/>
    </xf>
    <xf numFmtId="0" fontId="27" fillId="0" borderId="9" xfId="0" applyFont="1" applyBorder="1" applyAlignment="1">
      <alignment horizontal="center" wrapText="1"/>
    </xf>
    <xf numFmtId="0" fontId="28" fillId="0" borderId="5" xfId="0" applyFont="1" applyBorder="1" applyAlignment="1">
      <alignment horizontal="center" wrapText="1"/>
    </xf>
    <xf numFmtId="0" fontId="28" fillId="0" borderId="6" xfId="0" applyFont="1" applyBorder="1" applyAlignment="1">
      <alignment horizontal="center" wrapText="1"/>
    </xf>
    <xf numFmtId="0" fontId="28" fillId="0" borderId="7" xfId="0" applyFont="1" applyBorder="1" applyAlignment="1">
      <alignment horizontal="center" wrapText="1"/>
    </xf>
    <xf numFmtId="0" fontId="36" fillId="0" borderId="8" xfId="0" applyFont="1" applyBorder="1" applyAlignment="1">
      <alignment horizontal="center" wrapText="1"/>
    </xf>
    <xf numFmtId="0" fontId="36" fillId="0" borderId="0" xfId="0" applyFont="1" applyAlignment="1">
      <alignment horizontal="center" wrapText="1"/>
    </xf>
    <xf numFmtId="0" fontId="36" fillId="0" borderId="9" xfId="0" applyFont="1" applyBorder="1" applyAlignment="1">
      <alignment horizontal="center" wrapText="1"/>
    </xf>
    <xf numFmtId="0" fontId="19" fillId="0" borderId="10" xfId="0" applyFont="1" applyBorder="1" applyAlignment="1">
      <alignment horizontal="center" wrapText="1"/>
    </xf>
    <xf numFmtId="0" fontId="19" fillId="0" borderId="11" xfId="0" applyFont="1" applyBorder="1" applyAlignment="1">
      <alignment horizontal="center" wrapText="1"/>
    </xf>
    <xf numFmtId="0" fontId="19" fillId="0" borderId="12" xfId="0" applyFont="1" applyBorder="1" applyAlignment="1">
      <alignment horizontal="center" wrapText="1"/>
    </xf>
    <xf numFmtId="0" fontId="19" fillId="0" borderId="8" xfId="0" applyFont="1" applyBorder="1" applyAlignment="1">
      <alignment horizontal="left" wrapText="1"/>
    </xf>
    <xf numFmtId="0" fontId="19" fillId="0" borderId="0" xfId="0" applyFont="1" applyAlignment="1">
      <alignment horizontal="left" wrapText="1"/>
    </xf>
    <xf numFmtId="0" fontId="19" fillId="0" borderId="9" xfId="0" applyFont="1" applyBorder="1" applyAlignment="1">
      <alignment horizontal="left" wrapText="1"/>
    </xf>
    <xf numFmtId="0" fontId="67" fillId="0" borderId="34" xfId="6044" applyBorder="1" applyAlignment="1">
      <alignment horizontal="left" vertical="top" wrapText="1"/>
    </xf>
    <xf numFmtId="0" fontId="67" fillId="0" borderId="35" xfId="6044" applyBorder="1" applyAlignment="1">
      <alignment horizontal="left" vertical="top" wrapText="1"/>
    </xf>
    <xf numFmtId="0" fontId="68" fillId="0" borderId="0" xfId="6044" applyFont="1" applyAlignment="1">
      <alignment horizontal="center"/>
    </xf>
    <xf numFmtId="0" fontId="67" fillId="0" borderId="0" xfId="6044" applyAlignment="1">
      <alignment horizontal="center"/>
    </xf>
    <xf numFmtId="0" fontId="69" fillId="0" borderId="0" xfId="6044" applyFont="1" applyAlignment="1">
      <alignment horizontal="center" vertical="top"/>
    </xf>
    <xf numFmtId="0" fontId="57" fillId="0" borderId="0" xfId="6044" applyFont="1" applyAlignment="1">
      <alignment horizontal="left" vertical="top"/>
    </xf>
    <xf numFmtId="0" fontId="72" fillId="0" borderId="0" xfId="6044" applyFont="1" applyAlignment="1">
      <alignment horizontal="left" vertical="top" wrapText="1"/>
    </xf>
    <xf numFmtId="0" fontId="71" fillId="0" borderId="32" xfId="6044" applyFont="1" applyBorder="1" applyAlignment="1">
      <alignment horizontal="left" vertical="top" wrapText="1"/>
    </xf>
    <xf numFmtId="0" fontId="67" fillId="0" borderId="32" xfId="6044" applyBorder="1" applyAlignment="1">
      <alignment horizontal="left" vertical="top" wrapText="1"/>
    </xf>
    <xf numFmtId="9" fontId="32" fillId="0" borderId="34" xfId="6044" applyNumberFormat="1" applyFont="1" applyBorder="1" applyAlignment="1">
      <alignment horizontal="left" vertical="top" wrapText="1"/>
    </xf>
    <xf numFmtId="0" fontId="32" fillId="0" borderId="35" xfId="6044" applyFont="1" applyBorder="1" applyAlignment="1">
      <alignment horizontal="left" vertical="top" wrapText="1"/>
    </xf>
    <xf numFmtId="0" fontId="67" fillId="0" borderId="0" xfId="6044" applyAlignment="1">
      <alignment horizontal="left" vertical="top" wrapText="1"/>
    </xf>
    <xf numFmtId="0" fontId="13" fillId="0" borderId="0" xfId="0" applyFont="1" applyAlignment="1">
      <alignment horizontal="left" vertical="center" wrapText="1"/>
    </xf>
    <xf numFmtId="0" fontId="14" fillId="0" borderId="0" xfId="0" applyFont="1" applyAlignment="1">
      <alignment horizontal="left" vertical="top" wrapText="1"/>
    </xf>
    <xf numFmtId="0" fontId="14" fillId="0" borderId="0" xfId="0" applyFont="1" applyAlignment="1">
      <alignment horizontal="right" vertical="center"/>
    </xf>
    <xf numFmtId="0" fontId="41" fillId="0" borderId="0" xfId="0" applyFont="1" applyAlignment="1">
      <alignment horizontal="justify" vertical="top" wrapText="1"/>
    </xf>
    <xf numFmtId="0" fontId="41" fillId="0" borderId="0" xfId="0" applyFont="1" applyAlignment="1">
      <alignment horizontal="justify" vertical="center" wrapText="1"/>
    </xf>
    <xf numFmtId="0" fontId="18" fillId="0" borderId="0" xfId="0" applyFont="1" applyAlignment="1">
      <alignment horizontal="left"/>
    </xf>
    <xf numFmtId="0" fontId="42" fillId="0" borderId="0" xfId="0" applyFont="1" applyAlignment="1">
      <alignment vertical="center" wrapText="1"/>
    </xf>
    <xf numFmtId="0" fontId="18" fillId="0" borderId="0" xfId="0" applyFont="1" applyAlignment="1">
      <alignment vertical="top" wrapText="1"/>
    </xf>
    <xf numFmtId="0" fontId="42" fillId="0" borderId="0" xfId="0" applyFont="1" applyAlignment="1">
      <alignment horizontal="justify" vertical="center" wrapText="1"/>
    </xf>
    <xf numFmtId="0" fontId="21" fillId="0" borderId="0" xfId="0" applyFont="1" applyAlignment="1">
      <alignment horizontal="left" wrapText="1"/>
    </xf>
    <xf numFmtId="0" fontId="21" fillId="0" borderId="1" xfId="0" applyFont="1" applyBorder="1" applyAlignment="1">
      <alignment horizontal="center" vertical="center" wrapText="1"/>
    </xf>
    <xf numFmtId="0" fontId="21" fillId="0" borderId="0" xfId="0" applyFont="1" applyAlignment="1">
      <alignment horizontal="left"/>
    </xf>
    <xf numFmtId="0" fontId="20" fillId="8" borderId="3" xfId="0" applyFont="1" applyFill="1" applyBorder="1" applyAlignment="1">
      <alignment horizontal="center" vertical="center" wrapText="1"/>
    </xf>
    <xf numFmtId="0" fontId="20" fillId="8" borderId="2" xfId="0" applyFont="1" applyFill="1" applyBorder="1" applyAlignment="1">
      <alignment horizontal="center" vertical="center" wrapText="1"/>
    </xf>
    <xf numFmtId="0" fontId="20" fillId="0" borderId="0" xfId="0" applyFont="1" applyAlignment="1">
      <alignment horizontal="center" wrapText="1"/>
    </xf>
    <xf numFmtId="0" fontId="44" fillId="0" borderId="0" xfId="0" applyFont="1" applyAlignment="1">
      <alignment horizontal="left" vertical="center" wrapText="1" readingOrder="1"/>
    </xf>
    <xf numFmtId="0" fontId="21" fillId="0" borderId="0" xfId="0" applyFont="1" applyAlignment="1">
      <alignment horizontal="justify" vertical="top" wrapText="1" readingOrder="1"/>
    </xf>
    <xf numFmtId="0" fontId="20" fillId="0" borderId="4" xfId="0" applyFont="1" applyBorder="1" applyAlignment="1">
      <alignment horizontal="left" vertical="top"/>
    </xf>
    <xf numFmtId="0" fontId="21" fillId="0" borderId="3" xfId="0" applyFont="1" applyBorder="1" applyAlignment="1">
      <alignment horizontal="center" vertical="center" wrapText="1"/>
    </xf>
    <xf numFmtId="0" fontId="21" fillId="0" borderId="2" xfId="0" applyFont="1" applyBorder="1" applyAlignment="1">
      <alignment horizontal="center" vertical="center" wrapText="1"/>
    </xf>
    <xf numFmtId="0" fontId="18" fillId="0" borderId="17" xfId="0" applyFont="1" applyBorder="1" applyAlignment="1">
      <alignment horizontal="left" vertical="center"/>
    </xf>
    <xf numFmtId="0" fontId="18" fillId="0" borderId="0" xfId="0" applyFont="1" applyAlignment="1">
      <alignment horizontal="left" vertical="center"/>
    </xf>
  </cellXfs>
  <cellStyles count="6045">
    <cellStyle name="Обычный" xfId="0" builtinId="0"/>
    <cellStyle name="Обычный 10" xfId="72" xr:uid="{00000000-0005-0000-0000-000001000000}"/>
    <cellStyle name="Обычный 10 10" xfId="4326" xr:uid="{00000000-0005-0000-0000-000002000000}"/>
    <cellStyle name="Обычный 10 2" xfId="208" xr:uid="{00000000-0005-0000-0000-000003000000}"/>
    <cellStyle name="Обычный 10 2 2" xfId="1306" xr:uid="{00000000-0005-0000-0000-000004000000}"/>
    <cellStyle name="Обычный 10 2 2 2" xfId="1416" xr:uid="{00000000-0005-0000-0000-000005000000}"/>
    <cellStyle name="Обычный 10 2 2 2 2" xfId="3200" xr:uid="{00000000-0005-0000-0000-000006000000}"/>
    <cellStyle name="Обычный 10 2 2 2 3" xfId="4844" xr:uid="{00000000-0005-0000-0000-000007000000}"/>
    <cellStyle name="Обычный 10 2 2 3" xfId="3090" xr:uid="{00000000-0005-0000-0000-000008000000}"/>
    <cellStyle name="Обычный 10 2 2 4" xfId="4734" xr:uid="{00000000-0005-0000-0000-000009000000}"/>
    <cellStyle name="Обычный 10 2 3" xfId="1400" xr:uid="{00000000-0005-0000-0000-00000A000000}"/>
    <cellStyle name="Обычный 10 2 3 2" xfId="3184" xr:uid="{00000000-0005-0000-0000-00000B000000}"/>
    <cellStyle name="Обычный 10 2 3 3" xfId="4828" xr:uid="{00000000-0005-0000-0000-00000C000000}"/>
    <cellStyle name="Обычный 10 2 4" xfId="2537" xr:uid="{00000000-0005-0000-0000-00000D000000}"/>
    <cellStyle name="Обычный 10 2 4 2" xfId="4182" xr:uid="{00000000-0005-0000-0000-00000E000000}"/>
    <cellStyle name="Обычный 10 2 4 3" xfId="5965" xr:uid="{00000000-0005-0000-0000-00000F000000}"/>
    <cellStyle name="Обычный 10 2 5" xfId="1041" xr:uid="{00000000-0005-0000-0000-000010000000}"/>
    <cellStyle name="Обычный 10 2 6" xfId="629" xr:uid="{00000000-0005-0000-0000-000011000000}"/>
    <cellStyle name="Обычный 10 2 7" xfId="2818" xr:uid="{00000000-0005-0000-0000-000012000000}"/>
    <cellStyle name="Обычный 10 2 8" xfId="4462" xr:uid="{00000000-0005-0000-0000-000013000000}"/>
    <cellStyle name="Обычный 10 3" xfId="357" xr:uid="{00000000-0005-0000-0000-000014000000}"/>
    <cellStyle name="Обычный 10 3 2" xfId="1408" xr:uid="{00000000-0005-0000-0000-000015000000}"/>
    <cellStyle name="Обычный 10 3 2 2" xfId="3192" xr:uid="{00000000-0005-0000-0000-000016000000}"/>
    <cellStyle name="Обычный 10 3 2 3" xfId="4836" xr:uid="{00000000-0005-0000-0000-000017000000}"/>
    <cellStyle name="Обычный 10 3 3" xfId="777" xr:uid="{00000000-0005-0000-0000-000018000000}"/>
    <cellStyle name="Обычный 10 3 4" xfId="2954" xr:uid="{00000000-0005-0000-0000-000019000000}"/>
    <cellStyle name="Обычный 10 3 5" xfId="4598" xr:uid="{00000000-0005-0000-0000-00001A000000}"/>
    <cellStyle name="Обычный 10 4" xfId="1426" xr:uid="{00000000-0005-0000-0000-00001B000000}"/>
    <cellStyle name="Обычный 10 4 2" xfId="1880" xr:uid="{00000000-0005-0000-0000-00001C000000}"/>
    <cellStyle name="Обычный 10 4 2 2" xfId="3525" xr:uid="{00000000-0005-0000-0000-00001D000000}"/>
    <cellStyle name="Обычный 10 4 2 3" xfId="5308" xr:uid="{00000000-0005-0000-0000-00001E000000}"/>
    <cellStyle name="Обычный 10 4 3" xfId="4854" xr:uid="{00000000-0005-0000-0000-00001F000000}"/>
    <cellStyle name="Обычный 10 5" xfId="1392" xr:uid="{00000000-0005-0000-0000-000020000000}"/>
    <cellStyle name="Обычный 10 5 2" xfId="3176" xr:uid="{00000000-0005-0000-0000-000021000000}"/>
    <cellStyle name="Обычный 10 5 3" xfId="4820" xr:uid="{00000000-0005-0000-0000-000022000000}"/>
    <cellStyle name="Обычный 10 6" xfId="2401" xr:uid="{00000000-0005-0000-0000-000023000000}"/>
    <cellStyle name="Обычный 10 6 2" xfId="4046" xr:uid="{00000000-0005-0000-0000-000024000000}"/>
    <cellStyle name="Обычный 10 6 3" xfId="5829" xr:uid="{00000000-0005-0000-0000-000025000000}"/>
    <cellStyle name="Обычный 10 7" xfId="1628" xr:uid="{00000000-0005-0000-0000-000026000000}"/>
    <cellStyle name="Обычный 10 7 2" xfId="3273" xr:uid="{00000000-0005-0000-0000-000027000000}"/>
    <cellStyle name="Обычный 10 7 3" xfId="5056" xr:uid="{00000000-0005-0000-0000-000028000000}"/>
    <cellStyle name="Обычный 10 8" xfId="493" xr:uid="{00000000-0005-0000-0000-000029000000}"/>
    <cellStyle name="Обычный 10 9" xfId="2682" xr:uid="{00000000-0005-0000-0000-00002A000000}"/>
    <cellStyle name="Обычный 11" xfId="73" xr:uid="{00000000-0005-0000-0000-00002B000000}"/>
    <cellStyle name="Обычный 11 10" xfId="4327" xr:uid="{00000000-0005-0000-0000-00002C000000}"/>
    <cellStyle name="Обычный 11 2" xfId="209" xr:uid="{00000000-0005-0000-0000-00002D000000}"/>
    <cellStyle name="Обычный 11 2 2" xfId="1307" xr:uid="{00000000-0005-0000-0000-00002E000000}"/>
    <cellStyle name="Обычный 11 2 2 2" xfId="1417" xr:uid="{00000000-0005-0000-0000-00002F000000}"/>
    <cellStyle name="Обычный 11 2 2 2 2" xfId="3201" xr:uid="{00000000-0005-0000-0000-000030000000}"/>
    <cellStyle name="Обычный 11 2 2 2 3" xfId="4845" xr:uid="{00000000-0005-0000-0000-000031000000}"/>
    <cellStyle name="Обычный 11 2 2 3" xfId="3091" xr:uid="{00000000-0005-0000-0000-000032000000}"/>
    <cellStyle name="Обычный 11 2 2 4" xfId="4735" xr:uid="{00000000-0005-0000-0000-000033000000}"/>
    <cellStyle name="Обычный 11 2 3" xfId="1401" xr:uid="{00000000-0005-0000-0000-000034000000}"/>
    <cellStyle name="Обычный 11 2 3 2" xfId="3185" xr:uid="{00000000-0005-0000-0000-000035000000}"/>
    <cellStyle name="Обычный 11 2 3 3" xfId="4829" xr:uid="{00000000-0005-0000-0000-000036000000}"/>
    <cellStyle name="Обычный 11 2 4" xfId="2538" xr:uid="{00000000-0005-0000-0000-000037000000}"/>
    <cellStyle name="Обычный 11 2 4 2" xfId="4183" xr:uid="{00000000-0005-0000-0000-000038000000}"/>
    <cellStyle name="Обычный 11 2 4 3" xfId="5966" xr:uid="{00000000-0005-0000-0000-000039000000}"/>
    <cellStyle name="Обычный 11 2 5" xfId="1042" xr:uid="{00000000-0005-0000-0000-00003A000000}"/>
    <cellStyle name="Обычный 11 2 6" xfId="630" xr:uid="{00000000-0005-0000-0000-00003B000000}"/>
    <cellStyle name="Обычный 11 2 7" xfId="2819" xr:uid="{00000000-0005-0000-0000-00003C000000}"/>
    <cellStyle name="Обычный 11 2 8" xfId="4463" xr:uid="{00000000-0005-0000-0000-00003D000000}"/>
    <cellStyle name="Обычный 11 3" xfId="358" xr:uid="{00000000-0005-0000-0000-00003E000000}"/>
    <cellStyle name="Обычный 11 3 2" xfId="1409" xr:uid="{00000000-0005-0000-0000-00003F000000}"/>
    <cellStyle name="Обычный 11 3 2 2" xfId="3193" xr:uid="{00000000-0005-0000-0000-000040000000}"/>
    <cellStyle name="Обычный 11 3 2 3" xfId="4837" xr:uid="{00000000-0005-0000-0000-000041000000}"/>
    <cellStyle name="Обычный 11 3 3" xfId="778" xr:uid="{00000000-0005-0000-0000-000042000000}"/>
    <cellStyle name="Обычный 11 3 4" xfId="2955" xr:uid="{00000000-0005-0000-0000-000043000000}"/>
    <cellStyle name="Обычный 11 3 5" xfId="4599" xr:uid="{00000000-0005-0000-0000-000044000000}"/>
    <cellStyle name="Обычный 11 4" xfId="1442" xr:uid="{00000000-0005-0000-0000-000045000000}"/>
    <cellStyle name="Обычный 11 4 2" xfId="1881" xr:uid="{00000000-0005-0000-0000-000046000000}"/>
    <cellStyle name="Обычный 11 4 2 2" xfId="3526" xr:uid="{00000000-0005-0000-0000-000047000000}"/>
    <cellStyle name="Обычный 11 4 2 3" xfId="5309" xr:uid="{00000000-0005-0000-0000-000048000000}"/>
    <cellStyle name="Обычный 11 4 3" xfId="4870" xr:uid="{00000000-0005-0000-0000-000049000000}"/>
    <cellStyle name="Обычный 11 5" xfId="1393" xr:uid="{00000000-0005-0000-0000-00004A000000}"/>
    <cellStyle name="Обычный 11 5 2" xfId="3177" xr:uid="{00000000-0005-0000-0000-00004B000000}"/>
    <cellStyle name="Обычный 11 5 3" xfId="4821" xr:uid="{00000000-0005-0000-0000-00004C000000}"/>
    <cellStyle name="Обычный 11 6" xfId="2402" xr:uid="{00000000-0005-0000-0000-00004D000000}"/>
    <cellStyle name="Обычный 11 6 2" xfId="4047" xr:uid="{00000000-0005-0000-0000-00004E000000}"/>
    <cellStyle name="Обычный 11 6 3" xfId="5830" xr:uid="{00000000-0005-0000-0000-00004F000000}"/>
    <cellStyle name="Обычный 11 7" xfId="1629" xr:uid="{00000000-0005-0000-0000-000050000000}"/>
    <cellStyle name="Обычный 11 7 2" xfId="3274" xr:uid="{00000000-0005-0000-0000-000051000000}"/>
    <cellStyle name="Обычный 11 7 3" xfId="5057" xr:uid="{00000000-0005-0000-0000-000052000000}"/>
    <cellStyle name="Обычный 11 8" xfId="494" xr:uid="{00000000-0005-0000-0000-000053000000}"/>
    <cellStyle name="Обычный 11 9" xfId="2683" xr:uid="{00000000-0005-0000-0000-000054000000}"/>
    <cellStyle name="Обычный 12" xfId="1418" xr:uid="{00000000-0005-0000-0000-000055000000}"/>
    <cellStyle name="Обычный 12 2" xfId="4846" xr:uid="{00000000-0005-0000-0000-000056000000}"/>
    <cellStyle name="Обычный 2" xfId="63" xr:uid="{00000000-0005-0000-0000-000057000000}"/>
    <cellStyle name="Обычный 2 2" xfId="1440" xr:uid="{00000000-0005-0000-0000-000058000000}"/>
    <cellStyle name="Обычный 2 2 2" xfId="4868" xr:uid="{00000000-0005-0000-0000-000059000000}"/>
    <cellStyle name="Обычный 2 2 3" xfId="6044" xr:uid="{00000000-0005-0000-0000-00005A000000}"/>
    <cellStyle name="Обычный 3" xfId="64" xr:uid="{00000000-0005-0000-0000-00005B000000}"/>
    <cellStyle name="Обычный 3 2" xfId="1425" xr:uid="{00000000-0005-0000-0000-00005C000000}"/>
    <cellStyle name="Обычный 3 2 2" xfId="4853" xr:uid="{00000000-0005-0000-0000-00005D000000}"/>
    <cellStyle name="Обычный 4" xfId="66" xr:uid="{00000000-0005-0000-0000-00005E000000}"/>
    <cellStyle name="Обычный 4 10" xfId="4320" xr:uid="{00000000-0005-0000-0000-00005F000000}"/>
    <cellStyle name="Обычный 4 2" xfId="202" xr:uid="{00000000-0005-0000-0000-000060000000}"/>
    <cellStyle name="Обычный 4 2 2" xfId="1300" xr:uid="{00000000-0005-0000-0000-000061000000}"/>
    <cellStyle name="Обычный 4 2 2 2" xfId="1410" xr:uid="{00000000-0005-0000-0000-000062000000}"/>
    <cellStyle name="Обычный 4 2 2 2 2" xfId="3194" xr:uid="{00000000-0005-0000-0000-000063000000}"/>
    <cellStyle name="Обычный 4 2 2 2 3" xfId="4838" xr:uid="{00000000-0005-0000-0000-000064000000}"/>
    <cellStyle name="Обычный 4 2 2 3" xfId="3084" xr:uid="{00000000-0005-0000-0000-000065000000}"/>
    <cellStyle name="Обычный 4 2 2 4" xfId="4728" xr:uid="{00000000-0005-0000-0000-000066000000}"/>
    <cellStyle name="Обычный 4 2 3" xfId="1394" xr:uid="{00000000-0005-0000-0000-000067000000}"/>
    <cellStyle name="Обычный 4 2 3 2" xfId="3178" xr:uid="{00000000-0005-0000-0000-000068000000}"/>
    <cellStyle name="Обычный 4 2 3 3" xfId="4822" xr:uid="{00000000-0005-0000-0000-000069000000}"/>
    <cellStyle name="Обычный 4 2 4" xfId="2531" xr:uid="{00000000-0005-0000-0000-00006A000000}"/>
    <cellStyle name="Обычный 4 2 4 2" xfId="4176" xr:uid="{00000000-0005-0000-0000-00006B000000}"/>
    <cellStyle name="Обычный 4 2 4 3" xfId="5959" xr:uid="{00000000-0005-0000-0000-00006C000000}"/>
    <cellStyle name="Обычный 4 2 5" xfId="1035" xr:uid="{00000000-0005-0000-0000-00006D000000}"/>
    <cellStyle name="Обычный 4 2 6" xfId="623" xr:uid="{00000000-0005-0000-0000-00006E000000}"/>
    <cellStyle name="Обычный 4 2 7" xfId="2812" xr:uid="{00000000-0005-0000-0000-00006F000000}"/>
    <cellStyle name="Обычный 4 2 8" xfId="4456" xr:uid="{00000000-0005-0000-0000-000070000000}"/>
    <cellStyle name="Обычный 4 3" xfId="351" xr:uid="{00000000-0005-0000-0000-000071000000}"/>
    <cellStyle name="Обычный 4 3 2" xfId="1402" xr:uid="{00000000-0005-0000-0000-000072000000}"/>
    <cellStyle name="Обычный 4 3 2 2" xfId="3186" xr:uid="{00000000-0005-0000-0000-000073000000}"/>
    <cellStyle name="Обычный 4 3 2 3" xfId="4830" xr:uid="{00000000-0005-0000-0000-000074000000}"/>
    <cellStyle name="Обычный 4 3 3" xfId="771" xr:uid="{00000000-0005-0000-0000-000075000000}"/>
    <cellStyle name="Обычный 4 3 4" xfId="2948" xr:uid="{00000000-0005-0000-0000-000076000000}"/>
    <cellStyle name="Обычный 4 3 5" xfId="4592" xr:uid="{00000000-0005-0000-0000-000077000000}"/>
    <cellStyle name="Обычный 4 4" xfId="1419" xr:uid="{00000000-0005-0000-0000-000078000000}"/>
    <cellStyle name="Обычный 4 4 2" xfId="1874" xr:uid="{00000000-0005-0000-0000-000079000000}"/>
    <cellStyle name="Обычный 4 4 2 2" xfId="3519" xr:uid="{00000000-0005-0000-0000-00007A000000}"/>
    <cellStyle name="Обычный 4 4 2 3" xfId="5302" xr:uid="{00000000-0005-0000-0000-00007B000000}"/>
    <cellStyle name="Обычный 4 4 3" xfId="4847" xr:uid="{00000000-0005-0000-0000-00007C000000}"/>
    <cellStyle name="Обычный 4 5" xfId="1386" xr:uid="{00000000-0005-0000-0000-00007D000000}"/>
    <cellStyle name="Обычный 4 5 2" xfId="3170" xr:uid="{00000000-0005-0000-0000-00007E000000}"/>
    <cellStyle name="Обычный 4 5 3" xfId="4814" xr:uid="{00000000-0005-0000-0000-00007F000000}"/>
    <cellStyle name="Обычный 4 6" xfId="2395" xr:uid="{00000000-0005-0000-0000-000080000000}"/>
    <cellStyle name="Обычный 4 6 2" xfId="4040" xr:uid="{00000000-0005-0000-0000-000081000000}"/>
    <cellStyle name="Обычный 4 6 3" xfId="5823" xr:uid="{00000000-0005-0000-0000-000082000000}"/>
    <cellStyle name="Обычный 4 7" xfId="1622" xr:uid="{00000000-0005-0000-0000-000083000000}"/>
    <cellStyle name="Обычный 4 7 2" xfId="3267" xr:uid="{00000000-0005-0000-0000-000084000000}"/>
    <cellStyle name="Обычный 4 7 3" xfId="5050" xr:uid="{00000000-0005-0000-0000-000085000000}"/>
    <cellStyle name="Обычный 4 8" xfId="487" xr:uid="{00000000-0005-0000-0000-000086000000}"/>
    <cellStyle name="Обычный 4 9" xfId="2676" xr:uid="{00000000-0005-0000-0000-000087000000}"/>
    <cellStyle name="Обычный 5" xfId="67" xr:uid="{00000000-0005-0000-0000-000088000000}"/>
    <cellStyle name="Обычный 5 10" xfId="4321" xr:uid="{00000000-0005-0000-0000-000089000000}"/>
    <cellStyle name="Обычный 5 2" xfId="203" xr:uid="{00000000-0005-0000-0000-00008A000000}"/>
    <cellStyle name="Обычный 5 2 2" xfId="1301" xr:uid="{00000000-0005-0000-0000-00008B000000}"/>
    <cellStyle name="Обычный 5 2 2 2" xfId="1411" xr:uid="{00000000-0005-0000-0000-00008C000000}"/>
    <cellStyle name="Обычный 5 2 2 2 2" xfId="3195" xr:uid="{00000000-0005-0000-0000-00008D000000}"/>
    <cellStyle name="Обычный 5 2 2 2 3" xfId="4839" xr:uid="{00000000-0005-0000-0000-00008E000000}"/>
    <cellStyle name="Обычный 5 2 2 3" xfId="3085" xr:uid="{00000000-0005-0000-0000-00008F000000}"/>
    <cellStyle name="Обычный 5 2 2 4" xfId="4729" xr:uid="{00000000-0005-0000-0000-000090000000}"/>
    <cellStyle name="Обычный 5 2 3" xfId="1395" xr:uid="{00000000-0005-0000-0000-000091000000}"/>
    <cellStyle name="Обычный 5 2 3 2" xfId="3179" xr:uid="{00000000-0005-0000-0000-000092000000}"/>
    <cellStyle name="Обычный 5 2 3 3" xfId="4823" xr:uid="{00000000-0005-0000-0000-000093000000}"/>
    <cellStyle name="Обычный 5 2 4" xfId="2532" xr:uid="{00000000-0005-0000-0000-000094000000}"/>
    <cellStyle name="Обычный 5 2 4 2" xfId="4177" xr:uid="{00000000-0005-0000-0000-000095000000}"/>
    <cellStyle name="Обычный 5 2 4 3" xfId="5960" xr:uid="{00000000-0005-0000-0000-000096000000}"/>
    <cellStyle name="Обычный 5 2 5" xfId="1036" xr:uid="{00000000-0005-0000-0000-000097000000}"/>
    <cellStyle name="Обычный 5 2 6" xfId="624" xr:uid="{00000000-0005-0000-0000-000098000000}"/>
    <cellStyle name="Обычный 5 2 7" xfId="2813" xr:uid="{00000000-0005-0000-0000-000099000000}"/>
    <cellStyle name="Обычный 5 2 8" xfId="4457" xr:uid="{00000000-0005-0000-0000-00009A000000}"/>
    <cellStyle name="Обычный 5 3" xfId="352" xr:uid="{00000000-0005-0000-0000-00009B000000}"/>
    <cellStyle name="Обычный 5 3 2" xfId="1403" xr:uid="{00000000-0005-0000-0000-00009C000000}"/>
    <cellStyle name="Обычный 5 3 2 2" xfId="3187" xr:uid="{00000000-0005-0000-0000-00009D000000}"/>
    <cellStyle name="Обычный 5 3 2 3" xfId="4831" xr:uid="{00000000-0005-0000-0000-00009E000000}"/>
    <cellStyle name="Обычный 5 3 3" xfId="772" xr:uid="{00000000-0005-0000-0000-00009F000000}"/>
    <cellStyle name="Обычный 5 3 4" xfId="2949" xr:uid="{00000000-0005-0000-0000-0000A0000000}"/>
    <cellStyle name="Обычный 5 3 5" xfId="4593" xr:uid="{00000000-0005-0000-0000-0000A1000000}"/>
    <cellStyle name="Обычный 5 4" xfId="1422" xr:uid="{00000000-0005-0000-0000-0000A2000000}"/>
    <cellStyle name="Обычный 5 4 2" xfId="1875" xr:uid="{00000000-0005-0000-0000-0000A3000000}"/>
    <cellStyle name="Обычный 5 4 2 2" xfId="3520" xr:uid="{00000000-0005-0000-0000-0000A4000000}"/>
    <cellStyle name="Обычный 5 4 2 3" xfId="5303" xr:uid="{00000000-0005-0000-0000-0000A5000000}"/>
    <cellStyle name="Обычный 5 4 3" xfId="4850" xr:uid="{00000000-0005-0000-0000-0000A6000000}"/>
    <cellStyle name="Обычный 5 5" xfId="1387" xr:uid="{00000000-0005-0000-0000-0000A7000000}"/>
    <cellStyle name="Обычный 5 5 2" xfId="3171" xr:uid="{00000000-0005-0000-0000-0000A8000000}"/>
    <cellStyle name="Обычный 5 5 3" xfId="4815" xr:uid="{00000000-0005-0000-0000-0000A9000000}"/>
    <cellStyle name="Обычный 5 6" xfId="2396" xr:uid="{00000000-0005-0000-0000-0000AA000000}"/>
    <cellStyle name="Обычный 5 6 2" xfId="4041" xr:uid="{00000000-0005-0000-0000-0000AB000000}"/>
    <cellStyle name="Обычный 5 6 3" xfId="5824" xr:uid="{00000000-0005-0000-0000-0000AC000000}"/>
    <cellStyle name="Обычный 5 7" xfId="1623" xr:uid="{00000000-0005-0000-0000-0000AD000000}"/>
    <cellStyle name="Обычный 5 7 2" xfId="3268" xr:uid="{00000000-0005-0000-0000-0000AE000000}"/>
    <cellStyle name="Обычный 5 7 3" xfId="5051" xr:uid="{00000000-0005-0000-0000-0000AF000000}"/>
    <cellStyle name="Обычный 5 8" xfId="488" xr:uid="{00000000-0005-0000-0000-0000B0000000}"/>
    <cellStyle name="Обычный 5 9" xfId="2677" xr:uid="{00000000-0005-0000-0000-0000B1000000}"/>
    <cellStyle name="Обычный 6" xfId="68" xr:uid="{00000000-0005-0000-0000-0000B2000000}"/>
    <cellStyle name="Обычный 6 10" xfId="4322" xr:uid="{00000000-0005-0000-0000-0000B3000000}"/>
    <cellStyle name="Обычный 6 2" xfId="204" xr:uid="{00000000-0005-0000-0000-0000B4000000}"/>
    <cellStyle name="Обычный 6 2 2" xfId="1302" xr:uid="{00000000-0005-0000-0000-0000B5000000}"/>
    <cellStyle name="Обычный 6 2 2 2" xfId="1412" xr:uid="{00000000-0005-0000-0000-0000B6000000}"/>
    <cellStyle name="Обычный 6 2 2 2 2" xfId="3196" xr:uid="{00000000-0005-0000-0000-0000B7000000}"/>
    <cellStyle name="Обычный 6 2 2 2 3" xfId="4840" xr:uid="{00000000-0005-0000-0000-0000B8000000}"/>
    <cellStyle name="Обычный 6 2 2 3" xfId="3086" xr:uid="{00000000-0005-0000-0000-0000B9000000}"/>
    <cellStyle name="Обычный 6 2 2 4" xfId="4730" xr:uid="{00000000-0005-0000-0000-0000BA000000}"/>
    <cellStyle name="Обычный 6 2 3" xfId="1396" xr:uid="{00000000-0005-0000-0000-0000BB000000}"/>
    <cellStyle name="Обычный 6 2 3 2" xfId="3180" xr:uid="{00000000-0005-0000-0000-0000BC000000}"/>
    <cellStyle name="Обычный 6 2 3 3" xfId="4824" xr:uid="{00000000-0005-0000-0000-0000BD000000}"/>
    <cellStyle name="Обычный 6 2 4" xfId="2533" xr:uid="{00000000-0005-0000-0000-0000BE000000}"/>
    <cellStyle name="Обычный 6 2 4 2" xfId="4178" xr:uid="{00000000-0005-0000-0000-0000BF000000}"/>
    <cellStyle name="Обычный 6 2 4 3" xfId="5961" xr:uid="{00000000-0005-0000-0000-0000C0000000}"/>
    <cellStyle name="Обычный 6 2 5" xfId="1037" xr:uid="{00000000-0005-0000-0000-0000C1000000}"/>
    <cellStyle name="Обычный 6 2 6" xfId="625" xr:uid="{00000000-0005-0000-0000-0000C2000000}"/>
    <cellStyle name="Обычный 6 2 7" xfId="2814" xr:uid="{00000000-0005-0000-0000-0000C3000000}"/>
    <cellStyle name="Обычный 6 2 8" xfId="4458" xr:uid="{00000000-0005-0000-0000-0000C4000000}"/>
    <cellStyle name="Обычный 6 3" xfId="353" xr:uid="{00000000-0005-0000-0000-0000C5000000}"/>
    <cellStyle name="Обычный 6 3 2" xfId="1404" xr:uid="{00000000-0005-0000-0000-0000C6000000}"/>
    <cellStyle name="Обычный 6 3 2 2" xfId="3188" xr:uid="{00000000-0005-0000-0000-0000C7000000}"/>
    <cellStyle name="Обычный 6 3 2 3" xfId="4832" xr:uid="{00000000-0005-0000-0000-0000C8000000}"/>
    <cellStyle name="Обычный 6 3 3" xfId="773" xr:uid="{00000000-0005-0000-0000-0000C9000000}"/>
    <cellStyle name="Обычный 6 3 4" xfId="2950" xr:uid="{00000000-0005-0000-0000-0000CA000000}"/>
    <cellStyle name="Обычный 6 3 5" xfId="4594" xr:uid="{00000000-0005-0000-0000-0000CB000000}"/>
    <cellStyle name="Обычный 6 4" xfId="1428" xr:uid="{00000000-0005-0000-0000-0000CC000000}"/>
    <cellStyle name="Обычный 6 4 2" xfId="1876" xr:uid="{00000000-0005-0000-0000-0000CD000000}"/>
    <cellStyle name="Обычный 6 4 2 2" xfId="3521" xr:uid="{00000000-0005-0000-0000-0000CE000000}"/>
    <cellStyle name="Обычный 6 4 2 3" xfId="5304" xr:uid="{00000000-0005-0000-0000-0000CF000000}"/>
    <cellStyle name="Обычный 6 4 3" xfId="4856" xr:uid="{00000000-0005-0000-0000-0000D0000000}"/>
    <cellStyle name="Обычный 6 5" xfId="1388" xr:uid="{00000000-0005-0000-0000-0000D1000000}"/>
    <cellStyle name="Обычный 6 5 2" xfId="3172" xr:uid="{00000000-0005-0000-0000-0000D2000000}"/>
    <cellStyle name="Обычный 6 5 3" xfId="4816" xr:uid="{00000000-0005-0000-0000-0000D3000000}"/>
    <cellStyle name="Обычный 6 6" xfId="2397" xr:uid="{00000000-0005-0000-0000-0000D4000000}"/>
    <cellStyle name="Обычный 6 6 2" xfId="4042" xr:uid="{00000000-0005-0000-0000-0000D5000000}"/>
    <cellStyle name="Обычный 6 6 3" xfId="5825" xr:uid="{00000000-0005-0000-0000-0000D6000000}"/>
    <cellStyle name="Обычный 6 7" xfId="1624" xr:uid="{00000000-0005-0000-0000-0000D7000000}"/>
    <cellStyle name="Обычный 6 7 2" xfId="3269" xr:uid="{00000000-0005-0000-0000-0000D8000000}"/>
    <cellStyle name="Обычный 6 7 3" xfId="5052" xr:uid="{00000000-0005-0000-0000-0000D9000000}"/>
    <cellStyle name="Обычный 6 8" xfId="489" xr:uid="{00000000-0005-0000-0000-0000DA000000}"/>
    <cellStyle name="Обычный 6 9" xfId="2678" xr:uid="{00000000-0005-0000-0000-0000DB000000}"/>
    <cellStyle name="Обычный 7" xfId="69" xr:uid="{00000000-0005-0000-0000-0000DC000000}"/>
    <cellStyle name="Обычный 7 10" xfId="4323" xr:uid="{00000000-0005-0000-0000-0000DD000000}"/>
    <cellStyle name="Обычный 7 2" xfId="205" xr:uid="{00000000-0005-0000-0000-0000DE000000}"/>
    <cellStyle name="Обычный 7 2 2" xfId="1303" xr:uid="{00000000-0005-0000-0000-0000DF000000}"/>
    <cellStyle name="Обычный 7 2 2 2" xfId="1413" xr:uid="{00000000-0005-0000-0000-0000E0000000}"/>
    <cellStyle name="Обычный 7 2 2 2 2" xfId="3197" xr:uid="{00000000-0005-0000-0000-0000E1000000}"/>
    <cellStyle name="Обычный 7 2 2 2 3" xfId="4841" xr:uid="{00000000-0005-0000-0000-0000E2000000}"/>
    <cellStyle name="Обычный 7 2 2 3" xfId="3087" xr:uid="{00000000-0005-0000-0000-0000E3000000}"/>
    <cellStyle name="Обычный 7 2 2 4" xfId="4731" xr:uid="{00000000-0005-0000-0000-0000E4000000}"/>
    <cellStyle name="Обычный 7 2 3" xfId="1397" xr:uid="{00000000-0005-0000-0000-0000E5000000}"/>
    <cellStyle name="Обычный 7 2 3 2" xfId="3181" xr:uid="{00000000-0005-0000-0000-0000E6000000}"/>
    <cellStyle name="Обычный 7 2 3 3" xfId="4825" xr:uid="{00000000-0005-0000-0000-0000E7000000}"/>
    <cellStyle name="Обычный 7 2 4" xfId="2534" xr:uid="{00000000-0005-0000-0000-0000E8000000}"/>
    <cellStyle name="Обычный 7 2 4 2" xfId="4179" xr:uid="{00000000-0005-0000-0000-0000E9000000}"/>
    <cellStyle name="Обычный 7 2 4 3" xfId="5962" xr:uid="{00000000-0005-0000-0000-0000EA000000}"/>
    <cellStyle name="Обычный 7 2 5" xfId="1038" xr:uid="{00000000-0005-0000-0000-0000EB000000}"/>
    <cellStyle name="Обычный 7 2 6" xfId="626" xr:uid="{00000000-0005-0000-0000-0000EC000000}"/>
    <cellStyle name="Обычный 7 2 7" xfId="2815" xr:uid="{00000000-0005-0000-0000-0000ED000000}"/>
    <cellStyle name="Обычный 7 2 8" xfId="4459" xr:uid="{00000000-0005-0000-0000-0000EE000000}"/>
    <cellStyle name="Обычный 7 3" xfId="354" xr:uid="{00000000-0005-0000-0000-0000EF000000}"/>
    <cellStyle name="Обычный 7 3 2" xfId="1405" xr:uid="{00000000-0005-0000-0000-0000F0000000}"/>
    <cellStyle name="Обычный 7 3 2 2" xfId="3189" xr:uid="{00000000-0005-0000-0000-0000F1000000}"/>
    <cellStyle name="Обычный 7 3 2 3" xfId="4833" xr:uid="{00000000-0005-0000-0000-0000F2000000}"/>
    <cellStyle name="Обычный 7 3 3" xfId="774" xr:uid="{00000000-0005-0000-0000-0000F3000000}"/>
    <cellStyle name="Обычный 7 3 4" xfId="2951" xr:uid="{00000000-0005-0000-0000-0000F4000000}"/>
    <cellStyle name="Обычный 7 3 5" xfId="4595" xr:uid="{00000000-0005-0000-0000-0000F5000000}"/>
    <cellStyle name="Обычный 7 4" xfId="1429" xr:uid="{00000000-0005-0000-0000-0000F6000000}"/>
    <cellStyle name="Обычный 7 4 2" xfId="1877" xr:uid="{00000000-0005-0000-0000-0000F7000000}"/>
    <cellStyle name="Обычный 7 4 2 2" xfId="3522" xr:uid="{00000000-0005-0000-0000-0000F8000000}"/>
    <cellStyle name="Обычный 7 4 2 3" xfId="5305" xr:uid="{00000000-0005-0000-0000-0000F9000000}"/>
    <cellStyle name="Обычный 7 4 3" xfId="4857" xr:uid="{00000000-0005-0000-0000-0000FA000000}"/>
    <cellStyle name="Обычный 7 5" xfId="1389" xr:uid="{00000000-0005-0000-0000-0000FB000000}"/>
    <cellStyle name="Обычный 7 5 2" xfId="3173" xr:uid="{00000000-0005-0000-0000-0000FC000000}"/>
    <cellStyle name="Обычный 7 5 3" xfId="4817" xr:uid="{00000000-0005-0000-0000-0000FD000000}"/>
    <cellStyle name="Обычный 7 6" xfId="2398" xr:uid="{00000000-0005-0000-0000-0000FE000000}"/>
    <cellStyle name="Обычный 7 6 2" xfId="4043" xr:uid="{00000000-0005-0000-0000-0000FF000000}"/>
    <cellStyle name="Обычный 7 6 3" xfId="5826" xr:uid="{00000000-0005-0000-0000-000000010000}"/>
    <cellStyle name="Обычный 7 7" xfId="1625" xr:uid="{00000000-0005-0000-0000-000001010000}"/>
    <cellStyle name="Обычный 7 7 2" xfId="3270" xr:uid="{00000000-0005-0000-0000-000002010000}"/>
    <cellStyle name="Обычный 7 7 3" xfId="5053" xr:uid="{00000000-0005-0000-0000-000003010000}"/>
    <cellStyle name="Обычный 7 8" xfId="490" xr:uid="{00000000-0005-0000-0000-000004010000}"/>
    <cellStyle name="Обычный 7 9" xfId="2679" xr:uid="{00000000-0005-0000-0000-000005010000}"/>
    <cellStyle name="Обычный 8" xfId="70" xr:uid="{00000000-0005-0000-0000-000006010000}"/>
    <cellStyle name="Обычный 8 10" xfId="4324" xr:uid="{00000000-0005-0000-0000-000007010000}"/>
    <cellStyle name="Обычный 8 2" xfId="206" xr:uid="{00000000-0005-0000-0000-000008010000}"/>
    <cellStyle name="Обычный 8 2 2" xfId="1304" xr:uid="{00000000-0005-0000-0000-000009010000}"/>
    <cellStyle name="Обычный 8 2 2 2" xfId="1414" xr:uid="{00000000-0005-0000-0000-00000A010000}"/>
    <cellStyle name="Обычный 8 2 2 2 2" xfId="3198" xr:uid="{00000000-0005-0000-0000-00000B010000}"/>
    <cellStyle name="Обычный 8 2 2 2 3" xfId="4842" xr:uid="{00000000-0005-0000-0000-00000C010000}"/>
    <cellStyle name="Обычный 8 2 2 3" xfId="3088" xr:uid="{00000000-0005-0000-0000-00000D010000}"/>
    <cellStyle name="Обычный 8 2 2 4" xfId="4732" xr:uid="{00000000-0005-0000-0000-00000E010000}"/>
    <cellStyle name="Обычный 8 2 3" xfId="1398" xr:uid="{00000000-0005-0000-0000-00000F010000}"/>
    <cellStyle name="Обычный 8 2 3 2" xfId="3182" xr:uid="{00000000-0005-0000-0000-000010010000}"/>
    <cellStyle name="Обычный 8 2 3 3" xfId="4826" xr:uid="{00000000-0005-0000-0000-000011010000}"/>
    <cellStyle name="Обычный 8 2 4" xfId="2535" xr:uid="{00000000-0005-0000-0000-000012010000}"/>
    <cellStyle name="Обычный 8 2 4 2" xfId="4180" xr:uid="{00000000-0005-0000-0000-000013010000}"/>
    <cellStyle name="Обычный 8 2 4 3" xfId="5963" xr:uid="{00000000-0005-0000-0000-000014010000}"/>
    <cellStyle name="Обычный 8 2 5" xfId="1039" xr:uid="{00000000-0005-0000-0000-000015010000}"/>
    <cellStyle name="Обычный 8 2 6" xfId="627" xr:uid="{00000000-0005-0000-0000-000016010000}"/>
    <cellStyle name="Обычный 8 2 7" xfId="2816" xr:uid="{00000000-0005-0000-0000-000017010000}"/>
    <cellStyle name="Обычный 8 2 8" xfId="4460" xr:uid="{00000000-0005-0000-0000-000018010000}"/>
    <cellStyle name="Обычный 8 3" xfId="355" xr:uid="{00000000-0005-0000-0000-000019010000}"/>
    <cellStyle name="Обычный 8 3 2" xfId="1406" xr:uid="{00000000-0005-0000-0000-00001A010000}"/>
    <cellStyle name="Обычный 8 3 2 2" xfId="3190" xr:uid="{00000000-0005-0000-0000-00001B010000}"/>
    <cellStyle name="Обычный 8 3 2 3" xfId="4834" xr:uid="{00000000-0005-0000-0000-00001C010000}"/>
    <cellStyle name="Обычный 8 3 3" xfId="775" xr:uid="{00000000-0005-0000-0000-00001D010000}"/>
    <cellStyle name="Обычный 8 3 4" xfId="2952" xr:uid="{00000000-0005-0000-0000-00001E010000}"/>
    <cellStyle name="Обычный 8 3 5" xfId="4596" xr:uid="{00000000-0005-0000-0000-00001F010000}"/>
    <cellStyle name="Обычный 8 4" xfId="1430" xr:uid="{00000000-0005-0000-0000-000020010000}"/>
    <cellStyle name="Обычный 8 4 2" xfId="1878" xr:uid="{00000000-0005-0000-0000-000021010000}"/>
    <cellStyle name="Обычный 8 4 2 2" xfId="3523" xr:uid="{00000000-0005-0000-0000-000022010000}"/>
    <cellStyle name="Обычный 8 4 2 3" xfId="5306" xr:uid="{00000000-0005-0000-0000-000023010000}"/>
    <cellStyle name="Обычный 8 4 3" xfId="4858" xr:uid="{00000000-0005-0000-0000-000024010000}"/>
    <cellStyle name="Обычный 8 5" xfId="1390" xr:uid="{00000000-0005-0000-0000-000025010000}"/>
    <cellStyle name="Обычный 8 5 2" xfId="3174" xr:uid="{00000000-0005-0000-0000-000026010000}"/>
    <cellStyle name="Обычный 8 5 3" xfId="4818" xr:uid="{00000000-0005-0000-0000-000027010000}"/>
    <cellStyle name="Обычный 8 6" xfId="2399" xr:uid="{00000000-0005-0000-0000-000028010000}"/>
    <cellStyle name="Обычный 8 6 2" xfId="4044" xr:uid="{00000000-0005-0000-0000-000029010000}"/>
    <cellStyle name="Обычный 8 6 3" xfId="5827" xr:uid="{00000000-0005-0000-0000-00002A010000}"/>
    <cellStyle name="Обычный 8 7" xfId="1626" xr:uid="{00000000-0005-0000-0000-00002B010000}"/>
    <cellStyle name="Обычный 8 7 2" xfId="3271" xr:uid="{00000000-0005-0000-0000-00002C010000}"/>
    <cellStyle name="Обычный 8 7 3" xfId="5054" xr:uid="{00000000-0005-0000-0000-00002D010000}"/>
    <cellStyle name="Обычный 8 8" xfId="491" xr:uid="{00000000-0005-0000-0000-00002E010000}"/>
    <cellStyle name="Обычный 8 9" xfId="2680" xr:uid="{00000000-0005-0000-0000-00002F010000}"/>
    <cellStyle name="Обычный 9" xfId="71" xr:uid="{00000000-0005-0000-0000-000030010000}"/>
    <cellStyle name="Обычный 9 10" xfId="4325" xr:uid="{00000000-0005-0000-0000-000031010000}"/>
    <cellStyle name="Обычный 9 2" xfId="207" xr:uid="{00000000-0005-0000-0000-000032010000}"/>
    <cellStyle name="Обычный 9 2 2" xfId="1305" xr:uid="{00000000-0005-0000-0000-000033010000}"/>
    <cellStyle name="Обычный 9 2 2 2" xfId="1415" xr:uid="{00000000-0005-0000-0000-000034010000}"/>
    <cellStyle name="Обычный 9 2 2 2 2" xfId="3199" xr:uid="{00000000-0005-0000-0000-000035010000}"/>
    <cellStyle name="Обычный 9 2 2 2 3" xfId="4843" xr:uid="{00000000-0005-0000-0000-000036010000}"/>
    <cellStyle name="Обычный 9 2 2 3" xfId="3089" xr:uid="{00000000-0005-0000-0000-000037010000}"/>
    <cellStyle name="Обычный 9 2 2 4" xfId="4733" xr:uid="{00000000-0005-0000-0000-000038010000}"/>
    <cellStyle name="Обычный 9 2 3" xfId="1399" xr:uid="{00000000-0005-0000-0000-000039010000}"/>
    <cellStyle name="Обычный 9 2 3 2" xfId="3183" xr:uid="{00000000-0005-0000-0000-00003A010000}"/>
    <cellStyle name="Обычный 9 2 3 3" xfId="4827" xr:uid="{00000000-0005-0000-0000-00003B010000}"/>
    <cellStyle name="Обычный 9 2 4" xfId="2536" xr:uid="{00000000-0005-0000-0000-00003C010000}"/>
    <cellStyle name="Обычный 9 2 4 2" xfId="4181" xr:uid="{00000000-0005-0000-0000-00003D010000}"/>
    <cellStyle name="Обычный 9 2 4 3" xfId="5964" xr:uid="{00000000-0005-0000-0000-00003E010000}"/>
    <cellStyle name="Обычный 9 2 5" xfId="1040" xr:uid="{00000000-0005-0000-0000-00003F010000}"/>
    <cellStyle name="Обычный 9 2 6" xfId="628" xr:uid="{00000000-0005-0000-0000-000040010000}"/>
    <cellStyle name="Обычный 9 2 7" xfId="2817" xr:uid="{00000000-0005-0000-0000-000041010000}"/>
    <cellStyle name="Обычный 9 2 8" xfId="4461" xr:uid="{00000000-0005-0000-0000-000042010000}"/>
    <cellStyle name="Обычный 9 3" xfId="356" xr:uid="{00000000-0005-0000-0000-000043010000}"/>
    <cellStyle name="Обычный 9 3 2" xfId="1407" xr:uid="{00000000-0005-0000-0000-000044010000}"/>
    <cellStyle name="Обычный 9 3 2 2" xfId="3191" xr:uid="{00000000-0005-0000-0000-000045010000}"/>
    <cellStyle name="Обычный 9 3 2 3" xfId="4835" xr:uid="{00000000-0005-0000-0000-000046010000}"/>
    <cellStyle name="Обычный 9 3 3" xfId="776" xr:uid="{00000000-0005-0000-0000-000047010000}"/>
    <cellStyle name="Обычный 9 3 4" xfId="2953" xr:uid="{00000000-0005-0000-0000-000048010000}"/>
    <cellStyle name="Обычный 9 3 5" xfId="4597" xr:uid="{00000000-0005-0000-0000-000049010000}"/>
    <cellStyle name="Обычный 9 4" xfId="1431" xr:uid="{00000000-0005-0000-0000-00004A010000}"/>
    <cellStyle name="Обычный 9 4 2" xfId="1879" xr:uid="{00000000-0005-0000-0000-00004B010000}"/>
    <cellStyle name="Обычный 9 4 2 2" xfId="3524" xr:uid="{00000000-0005-0000-0000-00004C010000}"/>
    <cellStyle name="Обычный 9 4 2 3" xfId="5307" xr:uid="{00000000-0005-0000-0000-00004D010000}"/>
    <cellStyle name="Обычный 9 4 3" xfId="4859" xr:uid="{00000000-0005-0000-0000-00004E010000}"/>
    <cellStyle name="Обычный 9 5" xfId="1391" xr:uid="{00000000-0005-0000-0000-00004F010000}"/>
    <cellStyle name="Обычный 9 5 2" xfId="3175" xr:uid="{00000000-0005-0000-0000-000050010000}"/>
    <cellStyle name="Обычный 9 5 3" xfId="4819" xr:uid="{00000000-0005-0000-0000-000051010000}"/>
    <cellStyle name="Обычный 9 6" xfId="2400" xr:uid="{00000000-0005-0000-0000-000052010000}"/>
    <cellStyle name="Обычный 9 6 2" xfId="4045" xr:uid="{00000000-0005-0000-0000-000053010000}"/>
    <cellStyle name="Обычный 9 6 3" xfId="5828" xr:uid="{00000000-0005-0000-0000-000054010000}"/>
    <cellStyle name="Обычный 9 7" xfId="1627" xr:uid="{00000000-0005-0000-0000-000055010000}"/>
    <cellStyle name="Обычный 9 7 2" xfId="3272" xr:uid="{00000000-0005-0000-0000-000056010000}"/>
    <cellStyle name="Обычный 9 7 3" xfId="5055" xr:uid="{00000000-0005-0000-0000-000057010000}"/>
    <cellStyle name="Обычный 9 8" xfId="492" xr:uid="{00000000-0005-0000-0000-000058010000}"/>
    <cellStyle name="Обычный 9 9" xfId="2681" xr:uid="{00000000-0005-0000-0000-000059010000}"/>
    <cellStyle name="Процентный" xfId="287" builtinId="5"/>
    <cellStyle name="Процентный 2" xfId="1557" xr:uid="{00000000-0005-0000-0000-00005B010000}"/>
    <cellStyle name="Процентный 2 2" xfId="4985" xr:uid="{00000000-0005-0000-0000-00005C010000}"/>
    <cellStyle name="Финансовый" xfId="1" builtinId="3"/>
    <cellStyle name="Финансовый [0] 2" xfId="1385" xr:uid="{00000000-0005-0000-0000-00005E010000}"/>
    <cellStyle name="Финансовый [0] 2 2" xfId="3169" xr:uid="{00000000-0005-0000-0000-00005F010000}"/>
    <cellStyle name="Финансовый [0] 2 3" xfId="4813" xr:uid="{00000000-0005-0000-0000-000060010000}"/>
    <cellStyle name="Финансовый 10" xfId="125" xr:uid="{00000000-0005-0000-0000-000061010000}"/>
    <cellStyle name="Финансовый 10 10" xfId="2735" xr:uid="{00000000-0005-0000-0000-000062010000}"/>
    <cellStyle name="Финансовый 10 11" xfId="4379" xr:uid="{00000000-0005-0000-0000-000063010000}"/>
    <cellStyle name="Финансовый 10 2" xfId="261" xr:uid="{00000000-0005-0000-0000-000064010000}"/>
    <cellStyle name="Финансовый 10 2 2" xfId="1359" xr:uid="{00000000-0005-0000-0000-000065010000}"/>
    <cellStyle name="Финансовый 10 2 2 2" xfId="2317" xr:uid="{00000000-0005-0000-0000-000066010000}"/>
    <cellStyle name="Финансовый 10 2 2 2 2" xfId="3962" xr:uid="{00000000-0005-0000-0000-000067010000}"/>
    <cellStyle name="Финансовый 10 2 2 2 3" xfId="5745" xr:uid="{00000000-0005-0000-0000-000068010000}"/>
    <cellStyle name="Финансовый 10 2 2 3" xfId="3143" xr:uid="{00000000-0005-0000-0000-000069010000}"/>
    <cellStyle name="Финансовый 10 2 2 4" xfId="4787" xr:uid="{00000000-0005-0000-0000-00006A010000}"/>
    <cellStyle name="Финансовый 10 2 3" xfId="2061" xr:uid="{00000000-0005-0000-0000-00006B010000}"/>
    <cellStyle name="Финансовый 10 2 3 2" xfId="3706" xr:uid="{00000000-0005-0000-0000-00006C010000}"/>
    <cellStyle name="Финансовый 10 2 3 3" xfId="5489" xr:uid="{00000000-0005-0000-0000-00006D010000}"/>
    <cellStyle name="Финансовый 10 2 4" xfId="2590" xr:uid="{00000000-0005-0000-0000-00006E010000}"/>
    <cellStyle name="Финансовый 10 2 4 2" xfId="4235" xr:uid="{00000000-0005-0000-0000-00006F010000}"/>
    <cellStyle name="Финансовый 10 2 4 3" xfId="6018" xr:uid="{00000000-0005-0000-0000-000070010000}"/>
    <cellStyle name="Финансовый 10 2 5" xfId="1094" xr:uid="{00000000-0005-0000-0000-000071010000}"/>
    <cellStyle name="Финансовый 10 2 6" xfId="682" xr:uid="{00000000-0005-0000-0000-000072010000}"/>
    <cellStyle name="Финансовый 10 2 7" xfId="2871" xr:uid="{00000000-0005-0000-0000-000073010000}"/>
    <cellStyle name="Финансовый 10 2 8" xfId="4515" xr:uid="{00000000-0005-0000-0000-000074010000}"/>
    <cellStyle name="Финансовый 10 3" xfId="410" xr:uid="{00000000-0005-0000-0000-000075010000}"/>
    <cellStyle name="Финансовый 10 3 2" xfId="2189" xr:uid="{00000000-0005-0000-0000-000076010000}"/>
    <cellStyle name="Финансовый 10 3 2 2" xfId="3834" xr:uid="{00000000-0005-0000-0000-000077010000}"/>
    <cellStyle name="Финансовый 10 3 2 3" xfId="5617" xr:uid="{00000000-0005-0000-0000-000078010000}"/>
    <cellStyle name="Финансовый 10 3 3" xfId="1223" xr:uid="{00000000-0005-0000-0000-000079010000}"/>
    <cellStyle name="Финансовый 10 3 4" xfId="830" xr:uid="{00000000-0005-0000-0000-00007A010000}"/>
    <cellStyle name="Финансовый 10 3 5" xfId="3007" xr:uid="{00000000-0005-0000-0000-00007B010000}"/>
    <cellStyle name="Финансовый 10 3 6" xfId="4651" xr:uid="{00000000-0005-0000-0000-00007C010000}"/>
    <cellStyle name="Финансовый 10 4" xfId="1444" xr:uid="{00000000-0005-0000-0000-00007D010000}"/>
    <cellStyle name="Финансовый 10 4 2" xfId="1933" xr:uid="{00000000-0005-0000-0000-00007E010000}"/>
    <cellStyle name="Финансовый 10 4 2 2" xfId="3578" xr:uid="{00000000-0005-0000-0000-00007F010000}"/>
    <cellStyle name="Финансовый 10 4 2 3" xfId="5361" xr:uid="{00000000-0005-0000-0000-000080010000}"/>
    <cellStyle name="Финансовый 10 4 3" xfId="4872" xr:uid="{00000000-0005-0000-0000-000081010000}"/>
    <cellStyle name="Финансовый 10 5" xfId="1809" xr:uid="{00000000-0005-0000-0000-000082010000}"/>
    <cellStyle name="Финансовый 10 5 2" xfId="3454" xr:uid="{00000000-0005-0000-0000-000083010000}"/>
    <cellStyle name="Финансовый 10 5 3" xfId="5237" xr:uid="{00000000-0005-0000-0000-000084010000}"/>
    <cellStyle name="Финансовый 10 6" xfId="2454" xr:uid="{00000000-0005-0000-0000-000085010000}"/>
    <cellStyle name="Финансовый 10 6 2" xfId="4099" xr:uid="{00000000-0005-0000-0000-000086010000}"/>
    <cellStyle name="Финансовый 10 6 3" xfId="5882" xr:uid="{00000000-0005-0000-0000-000087010000}"/>
    <cellStyle name="Финансовый 10 7" xfId="1681" xr:uid="{00000000-0005-0000-0000-000088010000}"/>
    <cellStyle name="Финансовый 10 7 2" xfId="3326" xr:uid="{00000000-0005-0000-0000-000089010000}"/>
    <cellStyle name="Финансовый 10 7 3" xfId="5109" xr:uid="{00000000-0005-0000-0000-00008A010000}"/>
    <cellStyle name="Финансовый 10 8" xfId="958" xr:uid="{00000000-0005-0000-0000-00008B010000}"/>
    <cellStyle name="Финансовый 10 9" xfId="546" xr:uid="{00000000-0005-0000-0000-00008C010000}"/>
    <cellStyle name="Финансовый 11" xfId="61" xr:uid="{00000000-0005-0000-0000-00008D010000}"/>
    <cellStyle name="Финансовый 11 10" xfId="2673" xr:uid="{00000000-0005-0000-0000-00008E010000}"/>
    <cellStyle name="Финансовый 11 11" xfId="4316" xr:uid="{00000000-0005-0000-0000-00008F010000}"/>
    <cellStyle name="Финансовый 11 2" xfId="199" xr:uid="{00000000-0005-0000-0000-000090010000}"/>
    <cellStyle name="Финансовый 11 2 2" xfId="1297" xr:uid="{00000000-0005-0000-0000-000091010000}"/>
    <cellStyle name="Финансовый 11 2 2 2" xfId="2263" xr:uid="{00000000-0005-0000-0000-000092010000}"/>
    <cellStyle name="Финансовый 11 2 2 2 2" xfId="3908" xr:uid="{00000000-0005-0000-0000-000093010000}"/>
    <cellStyle name="Финансовый 11 2 2 2 3" xfId="5691" xr:uid="{00000000-0005-0000-0000-000094010000}"/>
    <cellStyle name="Финансовый 11 2 2 3" xfId="3081" xr:uid="{00000000-0005-0000-0000-000095010000}"/>
    <cellStyle name="Финансовый 11 2 2 4" xfId="4725" xr:uid="{00000000-0005-0000-0000-000096010000}"/>
    <cellStyle name="Финансовый 11 2 3" xfId="2007" xr:uid="{00000000-0005-0000-0000-000097010000}"/>
    <cellStyle name="Финансовый 11 2 3 2" xfId="3652" xr:uid="{00000000-0005-0000-0000-000098010000}"/>
    <cellStyle name="Финансовый 11 2 3 3" xfId="5435" xr:uid="{00000000-0005-0000-0000-000099010000}"/>
    <cellStyle name="Финансовый 11 2 4" xfId="2528" xr:uid="{00000000-0005-0000-0000-00009A010000}"/>
    <cellStyle name="Финансовый 11 2 4 2" xfId="4173" xr:uid="{00000000-0005-0000-0000-00009B010000}"/>
    <cellStyle name="Финансовый 11 2 4 3" xfId="5956" xr:uid="{00000000-0005-0000-0000-00009C010000}"/>
    <cellStyle name="Финансовый 11 2 5" xfId="1032" xr:uid="{00000000-0005-0000-0000-00009D010000}"/>
    <cellStyle name="Финансовый 11 2 6" xfId="620" xr:uid="{00000000-0005-0000-0000-00009E010000}"/>
    <cellStyle name="Финансовый 11 2 7" xfId="2809" xr:uid="{00000000-0005-0000-0000-00009F010000}"/>
    <cellStyle name="Финансовый 11 2 8" xfId="4453" xr:uid="{00000000-0005-0000-0000-0000A0010000}"/>
    <cellStyle name="Финансовый 11 3" xfId="348" xr:uid="{00000000-0005-0000-0000-0000A1010000}"/>
    <cellStyle name="Финансовый 11 3 2" xfId="2135" xr:uid="{00000000-0005-0000-0000-0000A2010000}"/>
    <cellStyle name="Финансовый 11 3 2 2" xfId="3780" xr:uid="{00000000-0005-0000-0000-0000A3010000}"/>
    <cellStyle name="Финансовый 11 3 2 3" xfId="5563" xr:uid="{00000000-0005-0000-0000-0000A4010000}"/>
    <cellStyle name="Финансовый 11 3 3" xfId="1168" xr:uid="{00000000-0005-0000-0000-0000A5010000}"/>
    <cellStyle name="Финансовый 11 3 4" xfId="768" xr:uid="{00000000-0005-0000-0000-0000A6010000}"/>
    <cellStyle name="Финансовый 11 3 5" xfId="2945" xr:uid="{00000000-0005-0000-0000-0000A7010000}"/>
    <cellStyle name="Финансовый 11 3 6" xfId="4589" xr:uid="{00000000-0005-0000-0000-0000A8010000}"/>
    <cellStyle name="Финансовый 11 4" xfId="1436" xr:uid="{00000000-0005-0000-0000-0000A9010000}"/>
    <cellStyle name="Финансовый 11 4 2" xfId="1871" xr:uid="{00000000-0005-0000-0000-0000AA010000}"/>
    <cellStyle name="Финансовый 11 4 2 2" xfId="3516" xr:uid="{00000000-0005-0000-0000-0000AB010000}"/>
    <cellStyle name="Финансовый 11 4 2 3" xfId="5299" xr:uid="{00000000-0005-0000-0000-0000AC010000}"/>
    <cellStyle name="Финансовый 11 4 3" xfId="4864" xr:uid="{00000000-0005-0000-0000-0000AD010000}"/>
    <cellStyle name="Финансовый 11 5" xfId="1755" xr:uid="{00000000-0005-0000-0000-0000AE010000}"/>
    <cellStyle name="Финансовый 11 5 2" xfId="3400" xr:uid="{00000000-0005-0000-0000-0000AF010000}"/>
    <cellStyle name="Финансовый 11 5 3" xfId="5183" xr:uid="{00000000-0005-0000-0000-0000B0010000}"/>
    <cellStyle name="Финансовый 11 6" xfId="2391" xr:uid="{00000000-0005-0000-0000-0000B1010000}"/>
    <cellStyle name="Финансовый 11 6 2" xfId="4036" xr:uid="{00000000-0005-0000-0000-0000B2010000}"/>
    <cellStyle name="Финансовый 11 6 3" xfId="5819" xr:uid="{00000000-0005-0000-0000-0000B3010000}"/>
    <cellStyle name="Финансовый 11 7" xfId="1618" xr:uid="{00000000-0005-0000-0000-0000B4010000}"/>
    <cellStyle name="Финансовый 11 7 2" xfId="3263" xr:uid="{00000000-0005-0000-0000-0000B5010000}"/>
    <cellStyle name="Финансовый 11 7 3" xfId="5046" xr:uid="{00000000-0005-0000-0000-0000B6010000}"/>
    <cellStyle name="Финансовый 11 8" xfId="904" xr:uid="{00000000-0005-0000-0000-0000B7010000}"/>
    <cellStyle name="Финансовый 11 9" xfId="484" xr:uid="{00000000-0005-0000-0000-0000B8010000}"/>
    <cellStyle name="Финансовый 12" xfId="49" xr:uid="{00000000-0005-0000-0000-0000B9010000}"/>
    <cellStyle name="Финансовый 12 10" xfId="2661" xr:uid="{00000000-0005-0000-0000-0000BA010000}"/>
    <cellStyle name="Финансовый 12 11" xfId="4304" xr:uid="{00000000-0005-0000-0000-0000BB010000}"/>
    <cellStyle name="Финансовый 12 2" xfId="187" xr:uid="{00000000-0005-0000-0000-0000BC010000}"/>
    <cellStyle name="Финансовый 12 2 2" xfId="1285" xr:uid="{00000000-0005-0000-0000-0000BD010000}"/>
    <cellStyle name="Финансовый 12 2 2 2" xfId="2251" xr:uid="{00000000-0005-0000-0000-0000BE010000}"/>
    <cellStyle name="Финансовый 12 2 2 2 2" xfId="3896" xr:uid="{00000000-0005-0000-0000-0000BF010000}"/>
    <cellStyle name="Финансовый 12 2 2 2 3" xfId="5679" xr:uid="{00000000-0005-0000-0000-0000C0010000}"/>
    <cellStyle name="Финансовый 12 2 2 3" xfId="3069" xr:uid="{00000000-0005-0000-0000-0000C1010000}"/>
    <cellStyle name="Финансовый 12 2 2 4" xfId="4713" xr:uid="{00000000-0005-0000-0000-0000C2010000}"/>
    <cellStyle name="Финансовый 12 2 3" xfId="1995" xr:uid="{00000000-0005-0000-0000-0000C3010000}"/>
    <cellStyle name="Финансовый 12 2 3 2" xfId="3640" xr:uid="{00000000-0005-0000-0000-0000C4010000}"/>
    <cellStyle name="Финансовый 12 2 3 3" xfId="5423" xr:uid="{00000000-0005-0000-0000-0000C5010000}"/>
    <cellStyle name="Финансовый 12 2 4" xfId="2516" xr:uid="{00000000-0005-0000-0000-0000C6010000}"/>
    <cellStyle name="Финансовый 12 2 4 2" xfId="4161" xr:uid="{00000000-0005-0000-0000-0000C7010000}"/>
    <cellStyle name="Финансовый 12 2 4 3" xfId="5944" xr:uid="{00000000-0005-0000-0000-0000C8010000}"/>
    <cellStyle name="Финансовый 12 2 5" xfId="1020" xr:uid="{00000000-0005-0000-0000-0000C9010000}"/>
    <cellStyle name="Финансовый 12 2 6" xfId="608" xr:uid="{00000000-0005-0000-0000-0000CA010000}"/>
    <cellStyle name="Финансовый 12 2 7" xfId="2797" xr:uid="{00000000-0005-0000-0000-0000CB010000}"/>
    <cellStyle name="Финансовый 12 2 8" xfId="4441" xr:uid="{00000000-0005-0000-0000-0000CC010000}"/>
    <cellStyle name="Финансовый 12 3" xfId="336" xr:uid="{00000000-0005-0000-0000-0000CD010000}"/>
    <cellStyle name="Финансовый 12 3 2" xfId="2123" xr:uid="{00000000-0005-0000-0000-0000CE010000}"/>
    <cellStyle name="Финансовый 12 3 2 2" xfId="3768" xr:uid="{00000000-0005-0000-0000-0000CF010000}"/>
    <cellStyle name="Финансовый 12 3 2 3" xfId="5551" xr:uid="{00000000-0005-0000-0000-0000D0010000}"/>
    <cellStyle name="Финансовый 12 3 3" xfId="1156" xr:uid="{00000000-0005-0000-0000-0000D1010000}"/>
    <cellStyle name="Финансовый 12 3 4" xfId="756" xr:uid="{00000000-0005-0000-0000-0000D2010000}"/>
    <cellStyle name="Финансовый 12 3 5" xfId="2933" xr:uid="{00000000-0005-0000-0000-0000D3010000}"/>
    <cellStyle name="Финансовый 12 3 6" xfId="4577" xr:uid="{00000000-0005-0000-0000-0000D4010000}"/>
    <cellStyle name="Финансовый 12 4" xfId="1438" xr:uid="{00000000-0005-0000-0000-0000D5010000}"/>
    <cellStyle name="Финансовый 12 4 2" xfId="1859" xr:uid="{00000000-0005-0000-0000-0000D6010000}"/>
    <cellStyle name="Финансовый 12 4 2 2" xfId="3504" xr:uid="{00000000-0005-0000-0000-0000D7010000}"/>
    <cellStyle name="Финансовый 12 4 2 3" xfId="5287" xr:uid="{00000000-0005-0000-0000-0000D8010000}"/>
    <cellStyle name="Финансовый 12 4 3" xfId="4866" xr:uid="{00000000-0005-0000-0000-0000D9010000}"/>
    <cellStyle name="Финансовый 12 5" xfId="1743" xr:uid="{00000000-0005-0000-0000-0000DA010000}"/>
    <cellStyle name="Финансовый 12 5 2" xfId="3388" xr:uid="{00000000-0005-0000-0000-0000DB010000}"/>
    <cellStyle name="Финансовый 12 5 3" xfId="5171" xr:uid="{00000000-0005-0000-0000-0000DC010000}"/>
    <cellStyle name="Финансовый 12 6" xfId="2379" xr:uid="{00000000-0005-0000-0000-0000DD010000}"/>
    <cellStyle name="Финансовый 12 6 2" xfId="4024" xr:uid="{00000000-0005-0000-0000-0000DE010000}"/>
    <cellStyle name="Финансовый 12 6 3" xfId="5807" xr:uid="{00000000-0005-0000-0000-0000DF010000}"/>
    <cellStyle name="Финансовый 12 7" xfId="1606" xr:uid="{00000000-0005-0000-0000-0000E0010000}"/>
    <cellStyle name="Финансовый 12 7 2" xfId="3251" xr:uid="{00000000-0005-0000-0000-0000E1010000}"/>
    <cellStyle name="Финансовый 12 7 3" xfId="5034" xr:uid="{00000000-0005-0000-0000-0000E2010000}"/>
    <cellStyle name="Финансовый 12 8" xfId="892" xr:uid="{00000000-0005-0000-0000-0000E3010000}"/>
    <cellStyle name="Финансовый 12 9" xfId="472" xr:uid="{00000000-0005-0000-0000-0000E4010000}"/>
    <cellStyle name="Финансовый 13" xfId="127" xr:uid="{00000000-0005-0000-0000-0000E5010000}"/>
    <cellStyle name="Финансовый 13 10" xfId="2737" xr:uid="{00000000-0005-0000-0000-0000E6010000}"/>
    <cellStyle name="Финансовый 13 11" xfId="4381" xr:uid="{00000000-0005-0000-0000-0000E7010000}"/>
    <cellStyle name="Финансовый 13 2" xfId="263" xr:uid="{00000000-0005-0000-0000-0000E8010000}"/>
    <cellStyle name="Финансовый 13 2 2" xfId="1361" xr:uid="{00000000-0005-0000-0000-0000E9010000}"/>
    <cellStyle name="Финансовый 13 2 2 2" xfId="2319" xr:uid="{00000000-0005-0000-0000-0000EA010000}"/>
    <cellStyle name="Финансовый 13 2 2 2 2" xfId="3964" xr:uid="{00000000-0005-0000-0000-0000EB010000}"/>
    <cellStyle name="Финансовый 13 2 2 2 3" xfId="5747" xr:uid="{00000000-0005-0000-0000-0000EC010000}"/>
    <cellStyle name="Финансовый 13 2 2 3" xfId="3145" xr:uid="{00000000-0005-0000-0000-0000ED010000}"/>
    <cellStyle name="Финансовый 13 2 2 4" xfId="4789" xr:uid="{00000000-0005-0000-0000-0000EE010000}"/>
    <cellStyle name="Финансовый 13 2 3" xfId="2063" xr:uid="{00000000-0005-0000-0000-0000EF010000}"/>
    <cellStyle name="Финансовый 13 2 3 2" xfId="3708" xr:uid="{00000000-0005-0000-0000-0000F0010000}"/>
    <cellStyle name="Финансовый 13 2 3 3" xfId="5491" xr:uid="{00000000-0005-0000-0000-0000F1010000}"/>
    <cellStyle name="Финансовый 13 2 4" xfId="2592" xr:uid="{00000000-0005-0000-0000-0000F2010000}"/>
    <cellStyle name="Финансовый 13 2 4 2" xfId="4237" xr:uid="{00000000-0005-0000-0000-0000F3010000}"/>
    <cellStyle name="Финансовый 13 2 4 3" xfId="6020" xr:uid="{00000000-0005-0000-0000-0000F4010000}"/>
    <cellStyle name="Финансовый 13 2 5" xfId="1096" xr:uid="{00000000-0005-0000-0000-0000F5010000}"/>
    <cellStyle name="Финансовый 13 2 6" xfId="684" xr:uid="{00000000-0005-0000-0000-0000F6010000}"/>
    <cellStyle name="Финансовый 13 2 7" xfId="2873" xr:uid="{00000000-0005-0000-0000-0000F7010000}"/>
    <cellStyle name="Финансовый 13 2 8" xfId="4517" xr:uid="{00000000-0005-0000-0000-0000F8010000}"/>
    <cellStyle name="Финансовый 13 3" xfId="412" xr:uid="{00000000-0005-0000-0000-0000F9010000}"/>
    <cellStyle name="Финансовый 13 3 2" xfId="2191" xr:uid="{00000000-0005-0000-0000-0000FA010000}"/>
    <cellStyle name="Финансовый 13 3 2 2" xfId="3836" xr:uid="{00000000-0005-0000-0000-0000FB010000}"/>
    <cellStyle name="Финансовый 13 3 2 3" xfId="5619" xr:uid="{00000000-0005-0000-0000-0000FC010000}"/>
    <cellStyle name="Финансовый 13 3 3" xfId="1225" xr:uid="{00000000-0005-0000-0000-0000FD010000}"/>
    <cellStyle name="Финансовый 13 3 4" xfId="832" xr:uid="{00000000-0005-0000-0000-0000FE010000}"/>
    <cellStyle name="Финансовый 13 3 5" xfId="3009" xr:uid="{00000000-0005-0000-0000-0000FF010000}"/>
    <cellStyle name="Финансовый 13 3 6" xfId="4653" xr:uid="{00000000-0005-0000-0000-000000020000}"/>
    <cellStyle name="Финансовый 13 4" xfId="1439" xr:uid="{00000000-0005-0000-0000-000001020000}"/>
    <cellStyle name="Финансовый 13 4 2" xfId="1935" xr:uid="{00000000-0005-0000-0000-000002020000}"/>
    <cellStyle name="Финансовый 13 4 2 2" xfId="3580" xr:uid="{00000000-0005-0000-0000-000003020000}"/>
    <cellStyle name="Финансовый 13 4 2 3" xfId="5363" xr:uid="{00000000-0005-0000-0000-000004020000}"/>
    <cellStyle name="Финансовый 13 4 3" xfId="4867" xr:uid="{00000000-0005-0000-0000-000005020000}"/>
    <cellStyle name="Финансовый 13 5" xfId="1811" xr:uid="{00000000-0005-0000-0000-000006020000}"/>
    <cellStyle name="Финансовый 13 5 2" xfId="3456" xr:uid="{00000000-0005-0000-0000-000007020000}"/>
    <cellStyle name="Финансовый 13 5 3" xfId="5239" xr:uid="{00000000-0005-0000-0000-000008020000}"/>
    <cellStyle name="Финансовый 13 6" xfId="2456" xr:uid="{00000000-0005-0000-0000-000009020000}"/>
    <cellStyle name="Финансовый 13 6 2" xfId="4101" xr:uid="{00000000-0005-0000-0000-00000A020000}"/>
    <cellStyle name="Финансовый 13 6 3" xfId="5884" xr:uid="{00000000-0005-0000-0000-00000B020000}"/>
    <cellStyle name="Финансовый 13 7" xfId="1683" xr:uid="{00000000-0005-0000-0000-00000C020000}"/>
    <cellStyle name="Финансовый 13 7 2" xfId="3328" xr:uid="{00000000-0005-0000-0000-00000D020000}"/>
    <cellStyle name="Финансовый 13 7 3" xfId="5111" xr:uid="{00000000-0005-0000-0000-00000E020000}"/>
    <cellStyle name="Финансовый 13 8" xfId="960" xr:uid="{00000000-0005-0000-0000-00000F020000}"/>
    <cellStyle name="Финансовый 13 9" xfId="548" xr:uid="{00000000-0005-0000-0000-000010020000}"/>
    <cellStyle name="Финансовый 14" xfId="25" xr:uid="{00000000-0005-0000-0000-000011020000}"/>
    <cellStyle name="Финансовый 14 10" xfId="2637" xr:uid="{00000000-0005-0000-0000-000012020000}"/>
    <cellStyle name="Финансовый 14 11" xfId="4280" xr:uid="{00000000-0005-0000-0000-000013020000}"/>
    <cellStyle name="Финансовый 14 2" xfId="163" xr:uid="{00000000-0005-0000-0000-000014020000}"/>
    <cellStyle name="Финансовый 14 2 2" xfId="1261" xr:uid="{00000000-0005-0000-0000-000015020000}"/>
    <cellStyle name="Финансовый 14 2 2 2" xfId="2227" xr:uid="{00000000-0005-0000-0000-000016020000}"/>
    <cellStyle name="Финансовый 14 2 2 2 2" xfId="3872" xr:uid="{00000000-0005-0000-0000-000017020000}"/>
    <cellStyle name="Финансовый 14 2 2 2 3" xfId="5655" xr:uid="{00000000-0005-0000-0000-000018020000}"/>
    <cellStyle name="Финансовый 14 2 2 3" xfId="3045" xr:uid="{00000000-0005-0000-0000-000019020000}"/>
    <cellStyle name="Финансовый 14 2 2 4" xfId="4689" xr:uid="{00000000-0005-0000-0000-00001A020000}"/>
    <cellStyle name="Финансовый 14 2 3" xfId="1971" xr:uid="{00000000-0005-0000-0000-00001B020000}"/>
    <cellStyle name="Финансовый 14 2 3 2" xfId="3616" xr:uid="{00000000-0005-0000-0000-00001C020000}"/>
    <cellStyle name="Финансовый 14 2 3 3" xfId="5399" xr:uid="{00000000-0005-0000-0000-00001D020000}"/>
    <cellStyle name="Финансовый 14 2 4" xfId="2492" xr:uid="{00000000-0005-0000-0000-00001E020000}"/>
    <cellStyle name="Финансовый 14 2 4 2" xfId="4137" xr:uid="{00000000-0005-0000-0000-00001F020000}"/>
    <cellStyle name="Финансовый 14 2 4 3" xfId="5920" xr:uid="{00000000-0005-0000-0000-000020020000}"/>
    <cellStyle name="Финансовый 14 2 5" xfId="996" xr:uid="{00000000-0005-0000-0000-000021020000}"/>
    <cellStyle name="Финансовый 14 2 6" xfId="584" xr:uid="{00000000-0005-0000-0000-000022020000}"/>
    <cellStyle name="Финансовый 14 2 7" xfId="2773" xr:uid="{00000000-0005-0000-0000-000023020000}"/>
    <cellStyle name="Финансовый 14 2 8" xfId="4417" xr:uid="{00000000-0005-0000-0000-000024020000}"/>
    <cellStyle name="Финансовый 14 3" xfId="312" xr:uid="{00000000-0005-0000-0000-000025020000}"/>
    <cellStyle name="Финансовый 14 3 2" xfId="2099" xr:uid="{00000000-0005-0000-0000-000026020000}"/>
    <cellStyle name="Финансовый 14 3 2 2" xfId="3744" xr:uid="{00000000-0005-0000-0000-000027020000}"/>
    <cellStyle name="Финансовый 14 3 2 3" xfId="5527" xr:uid="{00000000-0005-0000-0000-000028020000}"/>
    <cellStyle name="Финансовый 14 3 3" xfId="1132" xr:uid="{00000000-0005-0000-0000-000029020000}"/>
    <cellStyle name="Финансовый 14 3 4" xfId="732" xr:uid="{00000000-0005-0000-0000-00002A020000}"/>
    <cellStyle name="Финансовый 14 3 5" xfId="2909" xr:uid="{00000000-0005-0000-0000-00002B020000}"/>
    <cellStyle name="Финансовый 14 3 6" xfId="4553" xr:uid="{00000000-0005-0000-0000-00002C020000}"/>
    <cellStyle name="Финансовый 14 4" xfId="1441" xr:uid="{00000000-0005-0000-0000-00002D020000}"/>
    <cellStyle name="Финансовый 14 4 2" xfId="1835" xr:uid="{00000000-0005-0000-0000-00002E020000}"/>
    <cellStyle name="Финансовый 14 4 2 2" xfId="3480" xr:uid="{00000000-0005-0000-0000-00002F020000}"/>
    <cellStyle name="Финансовый 14 4 2 3" xfId="5263" xr:uid="{00000000-0005-0000-0000-000030020000}"/>
    <cellStyle name="Финансовый 14 4 3" xfId="4869" xr:uid="{00000000-0005-0000-0000-000031020000}"/>
    <cellStyle name="Финансовый 14 5" xfId="1719" xr:uid="{00000000-0005-0000-0000-000032020000}"/>
    <cellStyle name="Финансовый 14 5 2" xfId="3364" xr:uid="{00000000-0005-0000-0000-000033020000}"/>
    <cellStyle name="Финансовый 14 5 3" xfId="5147" xr:uid="{00000000-0005-0000-0000-000034020000}"/>
    <cellStyle name="Финансовый 14 6" xfId="2355" xr:uid="{00000000-0005-0000-0000-000035020000}"/>
    <cellStyle name="Финансовый 14 6 2" xfId="4000" xr:uid="{00000000-0005-0000-0000-000036020000}"/>
    <cellStyle name="Финансовый 14 6 3" xfId="5783" xr:uid="{00000000-0005-0000-0000-000037020000}"/>
    <cellStyle name="Финансовый 14 7" xfId="1582" xr:uid="{00000000-0005-0000-0000-000038020000}"/>
    <cellStyle name="Финансовый 14 7 2" xfId="3227" xr:uid="{00000000-0005-0000-0000-000039020000}"/>
    <cellStyle name="Финансовый 14 7 3" xfId="5010" xr:uid="{00000000-0005-0000-0000-00003A020000}"/>
    <cellStyle name="Финансовый 14 8" xfId="868" xr:uid="{00000000-0005-0000-0000-00003B020000}"/>
    <cellStyle name="Финансовый 14 9" xfId="448" xr:uid="{00000000-0005-0000-0000-00003C020000}"/>
    <cellStyle name="Финансовый 15" xfId="13" xr:uid="{00000000-0005-0000-0000-00003D020000}"/>
    <cellStyle name="Финансовый 15 10" xfId="2625" xr:uid="{00000000-0005-0000-0000-00003E020000}"/>
    <cellStyle name="Финансовый 15 11" xfId="4268" xr:uid="{00000000-0005-0000-0000-00003F020000}"/>
    <cellStyle name="Финансовый 15 2" xfId="151" xr:uid="{00000000-0005-0000-0000-000040020000}"/>
    <cellStyle name="Финансовый 15 2 2" xfId="1249" xr:uid="{00000000-0005-0000-0000-000041020000}"/>
    <cellStyle name="Финансовый 15 2 2 2" xfId="2215" xr:uid="{00000000-0005-0000-0000-000042020000}"/>
    <cellStyle name="Финансовый 15 2 2 2 2" xfId="3860" xr:uid="{00000000-0005-0000-0000-000043020000}"/>
    <cellStyle name="Финансовый 15 2 2 2 3" xfId="5643" xr:uid="{00000000-0005-0000-0000-000044020000}"/>
    <cellStyle name="Финансовый 15 2 2 3" xfId="3033" xr:uid="{00000000-0005-0000-0000-000045020000}"/>
    <cellStyle name="Финансовый 15 2 2 4" xfId="4677" xr:uid="{00000000-0005-0000-0000-000046020000}"/>
    <cellStyle name="Финансовый 15 2 3" xfId="1959" xr:uid="{00000000-0005-0000-0000-000047020000}"/>
    <cellStyle name="Финансовый 15 2 3 2" xfId="3604" xr:uid="{00000000-0005-0000-0000-000048020000}"/>
    <cellStyle name="Финансовый 15 2 3 3" xfId="5387" xr:uid="{00000000-0005-0000-0000-000049020000}"/>
    <cellStyle name="Финансовый 15 2 4" xfId="2480" xr:uid="{00000000-0005-0000-0000-00004A020000}"/>
    <cellStyle name="Финансовый 15 2 4 2" xfId="4125" xr:uid="{00000000-0005-0000-0000-00004B020000}"/>
    <cellStyle name="Финансовый 15 2 4 3" xfId="5908" xr:uid="{00000000-0005-0000-0000-00004C020000}"/>
    <cellStyle name="Финансовый 15 2 5" xfId="984" xr:uid="{00000000-0005-0000-0000-00004D020000}"/>
    <cellStyle name="Финансовый 15 2 6" xfId="572" xr:uid="{00000000-0005-0000-0000-00004E020000}"/>
    <cellStyle name="Финансовый 15 2 7" xfId="2761" xr:uid="{00000000-0005-0000-0000-00004F020000}"/>
    <cellStyle name="Финансовый 15 2 8" xfId="4405" xr:uid="{00000000-0005-0000-0000-000050020000}"/>
    <cellStyle name="Финансовый 15 3" xfId="300" xr:uid="{00000000-0005-0000-0000-000051020000}"/>
    <cellStyle name="Финансовый 15 3 2" xfId="2087" xr:uid="{00000000-0005-0000-0000-000052020000}"/>
    <cellStyle name="Финансовый 15 3 2 2" xfId="3732" xr:uid="{00000000-0005-0000-0000-000053020000}"/>
    <cellStyle name="Финансовый 15 3 2 3" xfId="5515" xr:uid="{00000000-0005-0000-0000-000054020000}"/>
    <cellStyle name="Финансовый 15 3 3" xfId="1120" xr:uid="{00000000-0005-0000-0000-000055020000}"/>
    <cellStyle name="Финансовый 15 3 4" xfId="720" xr:uid="{00000000-0005-0000-0000-000056020000}"/>
    <cellStyle name="Финансовый 15 3 5" xfId="2897" xr:uid="{00000000-0005-0000-0000-000057020000}"/>
    <cellStyle name="Финансовый 15 3 6" xfId="4541" xr:uid="{00000000-0005-0000-0000-000058020000}"/>
    <cellStyle name="Финансовый 15 4" xfId="1435" xr:uid="{00000000-0005-0000-0000-000059020000}"/>
    <cellStyle name="Финансовый 15 4 2" xfId="1823" xr:uid="{00000000-0005-0000-0000-00005A020000}"/>
    <cellStyle name="Финансовый 15 4 2 2" xfId="3468" xr:uid="{00000000-0005-0000-0000-00005B020000}"/>
    <cellStyle name="Финансовый 15 4 2 3" xfId="5251" xr:uid="{00000000-0005-0000-0000-00005C020000}"/>
    <cellStyle name="Финансовый 15 4 3" xfId="4863" xr:uid="{00000000-0005-0000-0000-00005D020000}"/>
    <cellStyle name="Финансовый 15 5" xfId="1707" xr:uid="{00000000-0005-0000-0000-00005E020000}"/>
    <cellStyle name="Финансовый 15 5 2" xfId="3352" xr:uid="{00000000-0005-0000-0000-00005F020000}"/>
    <cellStyle name="Финансовый 15 5 3" xfId="5135" xr:uid="{00000000-0005-0000-0000-000060020000}"/>
    <cellStyle name="Финансовый 15 6" xfId="2343" xr:uid="{00000000-0005-0000-0000-000061020000}"/>
    <cellStyle name="Финансовый 15 6 2" xfId="3988" xr:uid="{00000000-0005-0000-0000-000062020000}"/>
    <cellStyle name="Финансовый 15 6 3" xfId="5771" xr:uid="{00000000-0005-0000-0000-000063020000}"/>
    <cellStyle name="Финансовый 15 7" xfId="1570" xr:uid="{00000000-0005-0000-0000-000064020000}"/>
    <cellStyle name="Финансовый 15 7 2" xfId="3215" xr:uid="{00000000-0005-0000-0000-000065020000}"/>
    <cellStyle name="Финансовый 15 7 3" xfId="4998" xr:uid="{00000000-0005-0000-0000-000066020000}"/>
    <cellStyle name="Финансовый 15 8" xfId="856" xr:uid="{00000000-0005-0000-0000-000067020000}"/>
    <cellStyle name="Финансовый 15 9" xfId="436" xr:uid="{00000000-0005-0000-0000-000068020000}"/>
    <cellStyle name="Финансовый 16" xfId="139" xr:uid="{00000000-0005-0000-0000-000069020000}"/>
    <cellStyle name="Финансовый 16 2" xfId="1237" xr:uid="{00000000-0005-0000-0000-00006A020000}"/>
    <cellStyle name="Финансовый 16 2 2" xfId="2203" xr:uid="{00000000-0005-0000-0000-00006B020000}"/>
    <cellStyle name="Финансовый 16 2 2 2" xfId="3848" xr:uid="{00000000-0005-0000-0000-00006C020000}"/>
    <cellStyle name="Финансовый 16 2 2 3" xfId="5631" xr:uid="{00000000-0005-0000-0000-00006D020000}"/>
    <cellStyle name="Финансовый 16 2 3" xfId="3021" xr:uid="{00000000-0005-0000-0000-00006E020000}"/>
    <cellStyle name="Финансовый 16 2 4" xfId="4665" xr:uid="{00000000-0005-0000-0000-00006F020000}"/>
    <cellStyle name="Финансовый 16 3" xfId="1947" xr:uid="{00000000-0005-0000-0000-000070020000}"/>
    <cellStyle name="Финансовый 16 3 2" xfId="3592" xr:uid="{00000000-0005-0000-0000-000071020000}"/>
    <cellStyle name="Финансовый 16 3 3" xfId="5375" xr:uid="{00000000-0005-0000-0000-000072020000}"/>
    <cellStyle name="Финансовый 16 4" xfId="2468" xr:uid="{00000000-0005-0000-0000-000073020000}"/>
    <cellStyle name="Финансовый 16 4 2" xfId="4113" xr:uid="{00000000-0005-0000-0000-000074020000}"/>
    <cellStyle name="Финансовый 16 4 3" xfId="5896" xr:uid="{00000000-0005-0000-0000-000075020000}"/>
    <cellStyle name="Финансовый 16 5" xfId="972" xr:uid="{00000000-0005-0000-0000-000076020000}"/>
    <cellStyle name="Финансовый 16 6" xfId="560" xr:uid="{00000000-0005-0000-0000-000077020000}"/>
    <cellStyle name="Финансовый 16 7" xfId="2749" xr:uid="{00000000-0005-0000-0000-000078020000}"/>
    <cellStyle name="Финансовый 16 8" xfId="4393" xr:uid="{00000000-0005-0000-0000-000079020000}"/>
    <cellStyle name="Финансовый 17" xfId="275" xr:uid="{00000000-0005-0000-0000-00007A020000}"/>
    <cellStyle name="Финансовый 17 2" xfId="2075" xr:uid="{00000000-0005-0000-0000-00007B020000}"/>
    <cellStyle name="Финансовый 17 2 2" xfId="3720" xr:uid="{00000000-0005-0000-0000-00007C020000}"/>
    <cellStyle name="Финансовый 17 2 3" xfId="5503" xr:uid="{00000000-0005-0000-0000-00007D020000}"/>
    <cellStyle name="Финансовый 17 3" xfId="1373" xr:uid="{00000000-0005-0000-0000-00007E020000}"/>
    <cellStyle name="Финансовый 17 4" xfId="696" xr:uid="{00000000-0005-0000-0000-00007F020000}"/>
    <cellStyle name="Финансовый 17 5" xfId="3157" xr:uid="{00000000-0005-0000-0000-000080020000}"/>
    <cellStyle name="Финансовый 17 6" xfId="4801" xr:uid="{00000000-0005-0000-0000-000081020000}"/>
    <cellStyle name="Финансовый 18" xfId="288" xr:uid="{00000000-0005-0000-0000-000082020000}"/>
    <cellStyle name="Финансовый 18 2" xfId="1108" xr:uid="{00000000-0005-0000-0000-000083020000}"/>
    <cellStyle name="Финансовый 18 3" xfId="708" xr:uid="{00000000-0005-0000-0000-000084020000}"/>
    <cellStyle name="Финансовый 18 4" xfId="2885" xr:uid="{00000000-0005-0000-0000-000085020000}"/>
    <cellStyle name="Финансовый 18 5" xfId="4529" xr:uid="{00000000-0005-0000-0000-000086020000}"/>
    <cellStyle name="Финансовый 19" xfId="1421" xr:uid="{00000000-0005-0000-0000-000087020000}"/>
    <cellStyle name="Финансовый 19 2" xfId="1695" xr:uid="{00000000-0005-0000-0000-000088020000}"/>
    <cellStyle name="Финансовый 19 2 2" xfId="3340" xr:uid="{00000000-0005-0000-0000-000089020000}"/>
    <cellStyle name="Финансовый 19 2 3" xfId="5123" xr:uid="{00000000-0005-0000-0000-00008A020000}"/>
    <cellStyle name="Финансовый 19 3" xfId="4849" xr:uid="{00000000-0005-0000-0000-00008B020000}"/>
    <cellStyle name="Финансовый 2" xfId="2" xr:uid="{00000000-0005-0000-0000-00008C020000}"/>
    <cellStyle name="Финансовый 2 10" xfId="62" xr:uid="{00000000-0005-0000-0000-00008D020000}"/>
    <cellStyle name="Финансовый 2 10 10" xfId="2674" xr:uid="{00000000-0005-0000-0000-00008E020000}"/>
    <cellStyle name="Финансовый 2 10 11" xfId="4317" xr:uid="{00000000-0005-0000-0000-00008F020000}"/>
    <cellStyle name="Финансовый 2 10 2" xfId="200" xr:uid="{00000000-0005-0000-0000-000090020000}"/>
    <cellStyle name="Финансовый 2 10 2 2" xfId="1298" xr:uid="{00000000-0005-0000-0000-000091020000}"/>
    <cellStyle name="Финансовый 2 10 2 2 2" xfId="2264" xr:uid="{00000000-0005-0000-0000-000092020000}"/>
    <cellStyle name="Финансовый 2 10 2 2 2 2" xfId="3909" xr:uid="{00000000-0005-0000-0000-000093020000}"/>
    <cellStyle name="Финансовый 2 10 2 2 2 3" xfId="5692" xr:uid="{00000000-0005-0000-0000-000094020000}"/>
    <cellStyle name="Финансовый 2 10 2 2 3" xfId="3082" xr:uid="{00000000-0005-0000-0000-000095020000}"/>
    <cellStyle name="Финансовый 2 10 2 2 4" xfId="4726" xr:uid="{00000000-0005-0000-0000-000096020000}"/>
    <cellStyle name="Финансовый 2 10 2 3" xfId="2008" xr:uid="{00000000-0005-0000-0000-000097020000}"/>
    <cellStyle name="Финансовый 2 10 2 3 2" xfId="3653" xr:uid="{00000000-0005-0000-0000-000098020000}"/>
    <cellStyle name="Финансовый 2 10 2 3 3" xfId="5436" xr:uid="{00000000-0005-0000-0000-000099020000}"/>
    <cellStyle name="Финансовый 2 10 2 4" xfId="2529" xr:uid="{00000000-0005-0000-0000-00009A020000}"/>
    <cellStyle name="Финансовый 2 10 2 4 2" xfId="4174" xr:uid="{00000000-0005-0000-0000-00009B020000}"/>
    <cellStyle name="Финансовый 2 10 2 4 3" xfId="5957" xr:uid="{00000000-0005-0000-0000-00009C020000}"/>
    <cellStyle name="Финансовый 2 10 2 5" xfId="1033" xr:uid="{00000000-0005-0000-0000-00009D020000}"/>
    <cellStyle name="Финансовый 2 10 2 6" xfId="621" xr:uid="{00000000-0005-0000-0000-00009E020000}"/>
    <cellStyle name="Финансовый 2 10 2 7" xfId="2810" xr:uid="{00000000-0005-0000-0000-00009F020000}"/>
    <cellStyle name="Финансовый 2 10 2 8" xfId="4454" xr:uid="{00000000-0005-0000-0000-0000A0020000}"/>
    <cellStyle name="Финансовый 2 10 3" xfId="349" xr:uid="{00000000-0005-0000-0000-0000A1020000}"/>
    <cellStyle name="Финансовый 2 10 3 2" xfId="2136" xr:uid="{00000000-0005-0000-0000-0000A2020000}"/>
    <cellStyle name="Финансовый 2 10 3 2 2" xfId="3781" xr:uid="{00000000-0005-0000-0000-0000A3020000}"/>
    <cellStyle name="Финансовый 2 10 3 2 3" xfId="5564" xr:uid="{00000000-0005-0000-0000-0000A4020000}"/>
    <cellStyle name="Финансовый 2 10 3 3" xfId="1169" xr:uid="{00000000-0005-0000-0000-0000A5020000}"/>
    <cellStyle name="Финансовый 2 10 3 4" xfId="769" xr:uid="{00000000-0005-0000-0000-0000A6020000}"/>
    <cellStyle name="Финансовый 2 10 3 5" xfId="2946" xr:uid="{00000000-0005-0000-0000-0000A7020000}"/>
    <cellStyle name="Финансовый 2 10 3 6" xfId="4590" xr:uid="{00000000-0005-0000-0000-0000A8020000}"/>
    <cellStyle name="Финансовый 2 10 4" xfId="1448" xr:uid="{00000000-0005-0000-0000-0000A9020000}"/>
    <cellStyle name="Финансовый 2 10 4 2" xfId="1872" xr:uid="{00000000-0005-0000-0000-0000AA020000}"/>
    <cellStyle name="Финансовый 2 10 4 2 2" xfId="3517" xr:uid="{00000000-0005-0000-0000-0000AB020000}"/>
    <cellStyle name="Финансовый 2 10 4 2 3" xfId="5300" xr:uid="{00000000-0005-0000-0000-0000AC020000}"/>
    <cellStyle name="Финансовый 2 10 4 3" xfId="4876" xr:uid="{00000000-0005-0000-0000-0000AD020000}"/>
    <cellStyle name="Финансовый 2 10 5" xfId="1756" xr:uid="{00000000-0005-0000-0000-0000AE020000}"/>
    <cellStyle name="Финансовый 2 10 5 2" xfId="3401" xr:uid="{00000000-0005-0000-0000-0000AF020000}"/>
    <cellStyle name="Финансовый 2 10 5 3" xfId="5184" xr:uid="{00000000-0005-0000-0000-0000B0020000}"/>
    <cellStyle name="Финансовый 2 10 6" xfId="2392" xr:uid="{00000000-0005-0000-0000-0000B1020000}"/>
    <cellStyle name="Финансовый 2 10 6 2" xfId="4037" xr:uid="{00000000-0005-0000-0000-0000B2020000}"/>
    <cellStyle name="Финансовый 2 10 6 3" xfId="5820" xr:uid="{00000000-0005-0000-0000-0000B3020000}"/>
    <cellStyle name="Финансовый 2 10 7" xfId="1619" xr:uid="{00000000-0005-0000-0000-0000B4020000}"/>
    <cellStyle name="Финансовый 2 10 7 2" xfId="3264" xr:uid="{00000000-0005-0000-0000-0000B5020000}"/>
    <cellStyle name="Финансовый 2 10 7 3" xfId="5047" xr:uid="{00000000-0005-0000-0000-0000B6020000}"/>
    <cellStyle name="Финансовый 2 10 8" xfId="905" xr:uid="{00000000-0005-0000-0000-0000B7020000}"/>
    <cellStyle name="Финансовый 2 10 9" xfId="485" xr:uid="{00000000-0005-0000-0000-0000B8020000}"/>
    <cellStyle name="Финансовый 2 11" xfId="50" xr:uid="{00000000-0005-0000-0000-0000B9020000}"/>
    <cellStyle name="Финансовый 2 11 10" xfId="2662" xr:uid="{00000000-0005-0000-0000-0000BA020000}"/>
    <cellStyle name="Финансовый 2 11 11" xfId="4305" xr:uid="{00000000-0005-0000-0000-0000BB020000}"/>
    <cellStyle name="Финансовый 2 11 2" xfId="188" xr:uid="{00000000-0005-0000-0000-0000BC020000}"/>
    <cellStyle name="Финансовый 2 11 2 2" xfId="1286" xr:uid="{00000000-0005-0000-0000-0000BD020000}"/>
    <cellStyle name="Финансовый 2 11 2 2 2" xfId="2252" xr:uid="{00000000-0005-0000-0000-0000BE020000}"/>
    <cellStyle name="Финансовый 2 11 2 2 2 2" xfId="3897" xr:uid="{00000000-0005-0000-0000-0000BF020000}"/>
    <cellStyle name="Финансовый 2 11 2 2 2 3" xfId="5680" xr:uid="{00000000-0005-0000-0000-0000C0020000}"/>
    <cellStyle name="Финансовый 2 11 2 2 3" xfId="3070" xr:uid="{00000000-0005-0000-0000-0000C1020000}"/>
    <cellStyle name="Финансовый 2 11 2 2 4" xfId="4714" xr:uid="{00000000-0005-0000-0000-0000C2020000}"/>
    <cellStyle name="Финансовый 2 11 2 3" xfId="1996" xr:uid="{00000000-0005-0000-0000-0000C3020000}"/>
    <cellStyle name="Финансовый 2 11 2 3 2" xfId="3641" xr:uid="{00000000-0005-0000-0000-0000C4020000}"/>
    <cellStyle name="Финансовый 2 11 2 3 3" xfId="5424" xr:uid="{00000000-0005-0000-0000-0000C5020000}"/>
    <cellStyle name="Финансовый 2 11 2 4" xfId="2517" xr:uid="{00000000-0005-0000-0000-0000C6020000}"/>
    <cellStyle name="Финансовый 2 11 2 4 2" xfId="4162" xr:uid="{00000000-0005-0000-0000-0000C7020000}"/>
    <cellStyle name="Финансовый 2 11 2 4 3" xfId="5945" xr:uid="{00000000-0005-0000-0000-0000C8020000}"/>
    <cellStyle name="Финансовый 2 11 2 5" xfId="1021" xr:uid="{00000000-0005-0000-0000-0000C9020000}"/>
    <cellStyle name="Финансовый 2 11 2 6" xfId="609" xr:uid="{00000000-0005-0000-0000-0000CA020000}"/>
    <cellStyle name="Финансовый 2 11 2 7" xfId="2798" xr:uid="{00000000-0005-0000-0000-0000CB020000}"/>
    <cellStyle name="Финансовый 2 11 2 8" xfId="4442" xr:uid="{00000000-0005-0000-0000-0000CC020000}"/>
    <cellStyle name="Финансовый 2 11 3" xfId="337" xr:uid="{00000000-0005-0000-0000-0000CD020000}"/>
    <cellStyle name="Финансовый 2 11 3 2" xfId="2124" xr:uid="{00000000-0005-0000-0000-0000CE020000}"/>
    <cellStyle name="Финансовый 2 11 3 2 2" xfId="3769" xr:uid="{00000000-0005-0000-0000-0000CF020000}"/>
    <cellStyle name="Финансовый 2 11 3 2 3" xfId="5552" xr:uid="{00000000-0005-0000-0000-0000D0020000}"/>
    <cellStyle name="Финансовый 2 11 3 3" xfId="1157" xr:uid="{00000000-0005-0000-0000-0000D1020000}"/>
    <cellStyle name="Финансовый 2 11 3 4" xfId="757" xr:uid="{00000000-0005-0000-0000-0000D2020000}"/>
    <cellStyle name="Финансовый 2 11 3 5" xfId="2934" xr:uid="{00000000-0005-0000-0000-0000D3020000}"/>
    <cellStyle name="Финансовый 2 11 3 6" xfId="4578" xr:uid="{00000000-0005-0000-0000-0000D4020000}"/>
    <cellStyle name="Финансовый 2 11 4" xfId="1434" xr:uid="{00000000-0005-0000-0000-0000D5020000}"/>
    <cellStyle name="Финансовый 2 11 4 2" xfId="1860" xr:uid="{00000000-0005-0000-0000-0000D6020000}"/>
    <cellStyle name="Финансовый 2 11 4 2 2" xfId="3505" xr:uid="{00000000-0005-0000-0000-0000D7020000}"/>
    <cellStyle name="Финансовый 2 11 4 2 3" xfId="5288" xr:uid="{00000000-0005-0000-0000-0000D8020000}"/>
    <cellStyle name="Финансовый 2 11 4 3" xfId="4862" xr:uid="{00000000-0005-0000-0000-0000D9020000}"/>
    <cellStyle name="Финансовый 2 11 5" xfId="1744" xr:uid="{00000000-0005-0000-0000-0000DA020000}"/>
    <cellStyle name="Финансовый 2 11 5 2" xfId="3389" xr:uid="{00000000-0005-0000-0000-0000DB020000}"/>
    <cellStyle name="Финансовый 2 11 5 3" xfId="5172" xr:uid="{00000000-0005-0000-0000-0000DC020000}"/>
    <cellStyle name="Финансовый 2 11 6" xfId="2380" xr:uid="{00000000-0005-0000-0000-0000DD020000}"/>
    <cellStyle name="Финансовый 2 11 6 2" xfId="4025" xr:uid="{00000000-0005-0000-0000-0000DE020000}"/>
    <cellStyle name="Финансовый 2 11 6 3" xfId="5808" xr:uid="{00000000-0005-0000-0000-0000DF020000}"/>
    <cellStyle name="Финансовый 2 11 7" xfId="1607" xr:uid="{00000000-0005-0000-0000-0000E0020000}"/>
    <cellStyle name="Финансовый 2 11 7 2" xfId="3252" xr:uid="{00000000-0005-0000-0000-0000E1020000}"/>
    <cellStyle name="Финансовый 2 11 7 3" xfId="5035" xr:uid="{00000000-0005-0000-0000-0000E2020000}"/>
    <cellStyle name="Финансовый 2 11 8" xfId="893" xr:uid="{00000000-0005-0000-0000-0000E3020000}"/>
    <cellStyle name="Финансовый 2 11 9" xfId="473" xr:uid="{00000000-0005-0000-0000-0000E4020000}"/>
    <cellStyle name="Финансовый 2 12" xfId="128" xr:uid="{00000000-0005-0000-0000-0000E5020000}"/>
    <cellStyle name="Финансовый 2 12 10" xfId="2738" xr:uid="{00000000-0005-0000-0000-0000E6020000}"/>
    <cellStyle name="Финансовый 2 12 11" xfId="4382" xr:uid="{00000000-0005-0000-0000-0000E7020000}"/>
    <cellStyle name="Финансовый 2 12 2" xfId="264" xr:uid="{00000000-0005-0000-0000-0000E8020000}"/>
    <cellStyle name="Финансовый 2 12 2 2" xfId="1362" xr:uid="{00000000-0005-0000-0000-0000E9020000}"/>
    <cellStyle name="Финансовый 2 12 2 2 2" xfId="2320" xr:uid="{00000000-0005-0000-0000-0000EA020000}"/>
    <cellStyle name="Финансовый 2 12 2 2 2 2" xfId="3965" xr:uid="{00000000-0005-0000-0000-0000EB020000}"/>
    <cellStyle name="Финансовый 2 12 2 2 2 3" xfId="5748" xr:uid="{00000000-0005-0000-0000-0000EC020000}"/>
    <cellStyle name="Финансовый 2 12 2 2 3" xfId="3146" xr:uid="{00000000-0005-0000-0000-0000ED020000}"/>
    <cellStyle name="Финансовый 2 12 2 2 4" xfId="4790" xr:uid="{00000000-0005-0000-0000-0000EE020000}"/>
    <cellStyle name="Финансовый 2 12 2 3" xfId="2064" xr:uid="{00000000-0005-0000-0000-0000EF020000}"/>
    <cellStyle name="Финансовый 2 12 2 3 2" xfId="3709" xr:uid="{00000000-0005-0000-0000-0000F0020000}"/>
    <cellStyle name="Финансовый 2 12 2 3 3" xfId="5492" xr:uid="{00000000-0005-0000-0000-0000F1020000}"/>
    <cellStyle name="Финансовый 2 12 2 4" xfId="2593" xr:uid="{00000000-0005-0000-0000-0000F2020000}"/>
    <cellStyle name="Финансовый 2 12 2 4 2" xfId="4238" xr:uid="{00000000-0005-0000-0000-0000F3020000}"/>
    <cellStyle name="Финансовый 2 12 2 4 3" xfId="6021" xr:uid="{00000000-0005-0000-0000-0000F4020000}"/>
    <cellStyle name="Финансовый 2 12 2 5" xfId="1097" xr:uid="{00000000-0005-0000-0000-0000F5020000}"/>
    <cellStyle name="Финансовый 2 12 2 6" xfId="685" xr:uid="{00000000-0005-0000-0000-0000F6020000}"/>
    <cellStyle name="Финансовый 2 12 2 7" xfId="2874" xr:uid="{00000000-0005-0000-0000-0000F7020000}"/>
    <cellStyle name="Финансовый 2 12 2 8" xfId="4518" xr:uid="{00000000-0005-0000-0000-0000F8020000}"/>
    <cellStyle name="Финансовый 2 12 3" xfId="413" xr:uid="{00000000-0005-0000-0000-0000F9020000}"/>
    <cellStyle name="Финансовый 2 12 3 2" xfId="2192" xr:uid="{00000000-0005-0000-0000-0000FA020000}"/>
    <cellStyle name="Финансовый 2 12 3 2 2" xfId="3837" xr:uid="{00000000-0005-0000-0000-0000FB020000}"/>
    <cellStyle name="Финансовый 2 12 3 2 3" xfId="5620" xr:uid="{00000000-0005-0000-0000-0000FC020000}"/>
    <cellStyle name="Финансовый 2 12 3 3" xfId="1226" xr:uid="{00000000-0005-0000-0000-0000FD020000}"/>
    <cellStyle name="Финансовый 2 12 3 4" xfId="833" xr:uid="{00000000-0005-0000-0000-0000FE020000}"/>
    <cellStyle name="Финансовый 2 12 3 5" xfId="3010" xr:uid="{00000000-0005-0000-0000-0000FF020000}"/>
    <cellStyle name="Финансовый 2 12 3 6" xfId="4654" xr:uid="{00000000-0005-0000-0000-000000030000}"/>
    <cellStyle name="Финансовый 2 12 4" xfId="1450" xr:uid="{00000000-0005-0000-0000-000001030000}"/>
    <cellStyle name="Финансовый 2 12 4 2" xfId="1936" xr:uid="{00000000-0005-0000-0000-000002030000}"/>
    <cellStyle name="Финансовый 2 12 4 2 2" xfId="3581" xr:uid="{00000000-0005-0000-0000-000003030000}"/>
    <cellStyle name="Финансовый 2 12 4 2 3" xfId="5364" xr:uid="{00000000-0005-0000-0000-000004030000}"/>
    <cellStyle name="Финансовый 2 12 4 3" xfId="4878" xr:uid="{00000000-0005-0000-0000-000005030000}"/>
    <cellStyle name="Финансовый 2 12 5" xfId="1812" xr:uid="{00000000-0005-0000-0000-000006030000}"/>
    <cellStyle name="Финансовый 2 12 5 2" xfId="3457" xr:uid="{00000000-0005-0000-0000-000007030000}"/>
    <cellStyle name="Финансовый 2 12 5 3" xfId="5240" xr:uid="{00000000-0005-0000-0000-000008030000}"/>
    <cellStyle name="Финансовый 2 12 6" xfId="2457" xr:uid="{00000000-0005-0000-0000-000009030000}"/>
    <cellStyle name="Финансовый 2 12 6 2" xfId="4102" xr:uid="{00000000-0005-0000-0000-00000A030000}"/>
    <cellStyle name="Финансовый 2 12 6 3" xfId="5885" xr:uid="{00000000-0005-0000-0000-00000B030000}"/>
    <cellStyle name="Финансовый 2 12 7" xfId="1684" xr:uid="{00000000-0005-0000-0000-00000C030000}"/>
    <cellStyle name="Финансовый 2 12 7 2" xfId="3329" xr:uid="{00000000-0005-0000-0000-00000D030000}"/>
    <cellStyle name="Финансовый 2 12 7 3" xfId="5112" xr:uid="{00000000-0005-0000-0000-00000E030000}"/>
    <cellStyle name="Финансовый 2 12 8" xfId="961" xr:uid="{00000000-0005-0000-0000-00000F030000}"/>
    <cellStyle name="Финансовый 2 12 9" xfId="549" xr:uid="{00000000-0005-0000-0000-000010030000}"/>
    <cellStyle name="Финансовый 2 13" xfId="26" xr:uid="{00000000-0005-0000-0000-000011030000}"/>
    <cellStyle name="Финансовый 2 13 10" xfId="2638" xr:uid="{00000000-0005-0000-0000-000012030000}"/>
    <cellStyle name="Финансовый 2 13 11" xfId="4281" xr:uid="{00000000-0005-0000-0000-000013030000}"/>
    <cellStyle name="Финансовый 2 13 2" xfId="164" xr:uid="{00000000-0005-0000-0000-000014030000}"/>
    <cellStyle name="Финансовый 2 13 2 2" xfId="1262" xr:uid="{00000000-0005-0000-0000-000015030000}"/>
    <cellStyle name="Финансовый 2 13 2 2 2" xfId="2228" xr:uid="{00000000-0005-0000-0000-000016030000}"/>
    <cellStyle name="Финансовый 2 13 2 2 2 2" xfId="3873" xr:uid="{00000000-0005-0000-0000-000017030000}"/>
    <cellStyle name="Финансовый 2 13 2 2 2 3" xfId="5656" xr:uid="{00000000-0005-0000-0000-000018030000}"/>
    <cellStyle name="Финансовый 2 13 2 2 3" xfId="3046" xr:uid="{00000000-0005-0000-0000-000019030000}"/>
    <cellStyle name="Финансовый 2 13 2 2 4" xfId="4690" xr:uid="{00000000-0005-0000-0000-00001A030000}"/>
    <cellStyle name="Финансовый 2 13 2 3" xfId="1972" xr:uid="{00000000-0005-0000-0000-00001B030000}"/>
    <cellStyle name="Финансовый 2 13 2 3 2" xfId="3617" xr:uid="{00000000-0005-0000-0000-00001C030000}"/>
    <cellStyle name="Финансовый 2 13 2 3 3" xfId="5400" xr:uid="{00000000-0005-0000-0000-00001D030000}"/>
    <cellStyle name="Финансовый 2 13 2 4" xfId="2493" xr:uid="{00000000-0005-0000-0000-00001E030000}"/>
    <cellStyle name="Финансовый 2 13 2 4 2" xfId="4138" xr:uid="{00000000-0005-0000-0000-00001F030000}"/>
    <cellStyle name="Финансовый 2 13 2 4 3" xfId="5921" xr:uid="{00000000-0005-0000-0000-000020030000}"/>
    <cellStyle name="Финансовый 2 13 2 5" xfId="997" xr:uid="{00000000-0005-0000-0000-000021030000}"/>
    <cellStyle name="Финансовый 2 13 2 6" xfId="585" xr:uid="{00000000-0005-0000-0000-000022030000}"/>
    <cellStyle name="Финансовый 2 13 2 7" xfId="2774" xr:uid="{00000000-0005-0000-0000-000023030000}"/>
    <cellStyle name="Финансовый 2 13 2 8" xfId="4418" xr:uid="{00000000-0005-0000-0000-000024030000}"/>
    <cellStyle name="Финансовый 2 13 3" xfId="313" xr:uid="{00000000-0005-0000-0000-000025030000}"/>
    <cellStyle name="Финансовый 2 13 3 2" xfId="2100" xr:uid="{00000000-0005-0000-0000-000026030000}"/>
    <cellStyle name="Финансовый 2 13 3 2 2" xfId="3745" xr:uid="{00000000-0005-0000-0000-000027030000}"/>
    <cellStyle name="Финансовый 2 13 3 2 3" xfId="5528" xr:uid="{00000000-0005-0000-0000-000028030000}"/>
    <cellStyle name="Финансовый 2 13 3 3" xfId="1133" xr:uid="{00000000-0005-0000-0000-000029030000}"/>
    <cellStyle name="Финансовый 2 13 3 4" xfId="733" xr:uid="{00000000-0005-0000-0000-00002A030000}"/>
    <cellStyle name="Финансовый 2 13 3 5" xfId="2910" xr:uid="{00000000-0005-0000-0000-00002B030000}"/>
    <cellStyle name="Финансовый 2 13 3 6" xfId="4554" xr:uid="{00000000-0005-0000-0000-00002C030000}"/>
    <cellStyle name="Финансовый 2 13 4" xfId="1451" xr:uid="{00000000-0005-0000-0000-00002D030000}"/>
    <cellStyle name="Финансовый 2 13 4 2" xfId="1836" xr:uid="{00000000-0005-0000-0000-00002E030000}"/>
    <cellStyle name="Финансовый 2 13 4 2 2" xfId="3481" xr:uid="{00000000-0005-0000-0000-00002F030000}"/>
    <cellStyle name="Финансовый 2 13 4 2 3" xfId="5264" xr:uid="{00000000-0005-0000-0000-000030030000}"/>
    <cellStyle name="Финансовый 2 13 4 3" xfId="4879" xr:uid="{00000000-0005-0000-0000-000031030000}"/>
    <cellStyle name="Финансовый 2 13 5" xfId="1720" xr:uid="{00000000-0005-0000-0000-000032030000}"/>
    <cellStyle name="Финансовый 2 13 5 2" xfId="3365" xr:uid="{00000000-0005-0000-0000-000033030000}"/>
    <cellStyle name="Финансовый 2 13 5 3" xfId="5148" xr:uid="{00000000-0005-0000-0000-000034030000}"/>
    <cellStyle name="Финансовый 2 13 6" xfId="2356" xr:uid="{00000000-0005-0000-0000-000035030000}"/>
    <cellStyle name="Финансовый 2 13 6 2" xfId="4001" xr:uid="{00000000-0005-0000-0000-000036030000}"/>
    <cellStyle name="Финансовый 2 13 6 3" xfId="5784" xr:uid="{00000000-0005-0000-0000-000037030000}"/>
    <cellStyle name="Финансовый 2 13 7" xfId="1583" xr:uid="{00000000-0005-0000-0000-000038030000}"/>
    <cellStyle name="Финансовый 2 13 7 2" xfId="3228" xr:uid="{00000000-0005-0000-0000-000039030000}"/>
    <cellStyle name="Финансовый 2 13 7 3" xfId="5011" xr:uid="{00000000-0005-0000-0000-00003A030000}"/>
    <cellStyle name="Финансовый 2 13 8" xfId="869" xr:uid="{00000000-0005-0000-0000-00003B030000}"/>
    <cellStyle name="Финансовый 2 13 9" xfId="449" xr:uid="{00000000-0005-0000-0000-00003C030000}"/>
    <cellStyle name="Финансовый 2 14" xfId="14" xr:uid="{00000000-0005-0000-0000-00003D030000}"/>
    <cellStyle name="Финансовый 2 14 10" xfId="2626" xr:uid="{00000000-0005-0000-0000-00003E030000}"/>
    <cellStyle name="Финансовый 2 14 11" xfId="4269" xr:uid="{00000000-0005-0000-0000-00003F030000}"/>
    <cellStyle name="Финансовый 2 14 2" xfId="152" xr:uid="{00000000-0005-0000-0000-000040030000}"/>
    <cellStyle name="Финансовый 2 14 2 2" xfId="1250" xr:uid="{00000000-0005-0000-0000-000041030000}"/>
    <cellStyle name="Финансовый 2 14 2 2 2" xfId="2216" xr:uid="{00000000-0005-0000-0000-000042030000}"/>
    <cellStyle name="Финансовый 2 14 2 2 2 2" xfId="3861" xr:uid="{00000000-0005-0000-0000-000043030000}"/>
    <cellStyle name="Финансовый 2 14 2 2 2 3" xfId="5644" xr:uid="{00000000-0005-0000-0000-000044030000}"/>
    <cellStyle name="Финансовый 2 14 2 2 3" xfId="3034" xr:uid="{00000000-0005-0000-0000-000045030000}"/>
    <cellStyle name="Финансовый 2 14 2 2 4" xfId="4678" xr:uid="{00000000-0005-0000-0000-000046030000}"/>
    <cellStyle name="Финансовый 2 14 2 3" xfId="1960" xr:uid="{00000000-0005-0000-0000-000047030000}"/>
    <cellStyle name="Финансовый 2 14 2 3 2" xfId="3605" xr:uid="{00000000-0005-0000-0000-000048030000}"/>
    <cellStyle name="Финансовый 2 14 2 3 3" xfId="5388" xr:uid="{00000000-0005-0000-0000-000049030000}"/>
    <cellStyle name="Финансовый 2 14 2 4" xfId="2481" xr:uid="{00000000-0005-0000-0000-00004A030000}"/>
    <cellStyle name="Финансовый 2 14 2 4 2" xfId="4126" xr:uid="{00000000-0005-0000-0000-00004B030000}"/>
    <cellStyle name="Финансовый 2 14 2 4 3" xfId="5909" xr:uid="{00000000-0005-0000-0000-00004C030000}"/>
    <cellStyle name="Финансовый 2 14 2 5" xfId="985" xr:uid="{00000000-0005-0000-0000-00004D030000}"/>
    <cellStyle name="Финансовый 2 14 2 6" xfId="573" xr:uid="{00000000-0005-0000-0000-00004E030000}"/>
    <cellStyle name="Финансовый 2 14 2 7" xfId="2762" xr:uid="{00000000-0005-0000-0000-00004F030000}"/>
    <cellStyle name="Финансовый 2 14 2 8" xfId="4406" xr:uid="{00000000-0005-0000-0000-000050030000}"/>
    <cellStyle name="Финансовый 2 14 3" xfId="301" xr:uid="{00000000-0005-0000-0000-000051030000}"/>
    <cellStyle name="Финансовый 2 14 3 2" xfId="2088" xr:uid="{00000000-0005-0000-0000-000052030000}"/>
    <cellStyle name="Финансовый 2 14 3 2 2" xfId="3733" xr:uid="{00000000-0005-0000-0000-000053030000}"/>
    <cellStyle name="Финансовый 2 14 3 2 3" xfId="5516" xr:uid="{00000000-0005-0000-0000-000054030000}"/>
    <cellStyle name="Финансовый 2 14 3 3" xfId="1121" xr:uid="{00000000-0005-0000-0000-000055030000}"/>
    <cellStyle name="Финансовый 2 14 3 4" xfId="721" xr:uid="{00000000-0005-0000-0000-000056030000}"/>
    <cellStyle name="Финансовый 2 14 3 5" xfId="2898" xr:uid="{00000000-0005-0000-0000-000057030000}"/>
    <cellStyle name="Финансовый 2 14 3 6" xfId="4542" xr:uid="{00000000-0005-0000-0000-000058030000}"/>
    <cellStyle name="Финансовый 2 14 4" xfId="1452" xr:uid="{00000000-0005-0000-0000-000059030000}"/>
    <cellStyle name="Финансовый 2 14 4 2" xfId="1824" xr:uid="{00000000-0005-0000-0000-00005A030000}"/>
    <cellStyle name="Финансовый 2 14 4 2 2" xfId="3469" xr:uid="{00000000-0005-0000-0000-00005B030000}"/>
    <cellStyle name="Финансовый 2 14 4 2 3" xfId="5252" xr:uid="{00000000-0005-0000-0000-00005C030000}"/>
    <cellStyle name="Финансовый 2 14 4 3" xfId="4880" xr:uid="{00000000-0005-0000-0000-00005D030000}"/>
    <cellStyle name="Финансовый 2 14 5" xfId="1708" xr:uid="{00000000-0005-0000-0000-00005E030000}"/>
    <cellStyle name="Финансовый 2 14 5 2" xfId="3353" xr:uid="{00000000-0005-0000-0000-00005F030000}"/>
    <cellStyle name="Финансовый 2 14 5 3" xfId="5136" xr:uid="{00000000-0005-0000-0000-000060030000}"/>
    <cellStyle name="Финансовый 2 14 6" xfId="2344" xr:uid="{00000000-0005-0000-0000-000061030000}"/>
    <cellStyle name="Финансовый 2 14 6 2" xfId="3989" xr:uid="{00000000-0005-0000-0000-000062030000}"/>
    <cellStyle name="Финансовый 2 14 6 3" xfId="5772" xr:uid="{00000000-0005-0000-0000-000063030000}"/>
    <cellStyle name="Финансовый 2 14 7" xfId="1571" xr:uid="{00000000-0005-0000-0000-000064030000}"/>
    <cellStyle name="Финансовый 2 14 7 2" xfId="3216" xr:uid="{00000000-0005-0000-0000-000065030000}"/>
    <cellStyle name="Финансовый 2 14 7 3" xfId="4999" xr:uid="{00000000-0005-0000-0000-000066030000}"/>
    <cellStyle name="Финансовый 2 14 8" xfId="857" xr:uid="{00000000-0005-0000-0000-000067030000}"/>
    <cellStyle name="Финансовый 2 14 9" xfId="437" xr:uid="{00000000-0005-0000-0000-000068030000}"/>
    <cellStyle name="Финансовый 2 15" xfId="140" xr:uid="{00000000-0005-0000-0000-000069030000}"/>
    <cellStyle name="Финансовый 2 15 2" xfId="1238" xr:uid="{00000000-0005-0000-0000-00006A030000}"/>
    <cellStyle name="Финансовый 2 15 2 2" xfId="2204" xr:uid="{00000000-0005-0000-0000-00006B030000}"/>
    <cellStyle name="Финансовый 2 15 2 2 2" xfId="3849" xr:uid="{00000000-0005-0000-0000-00006C030000}"/>
    <cellStyle name="Финансовый 2 15 2 2 3" xfId="5632" xr:uid="{00000000-0005-0000-0000-00006D030000}"/>
    <cellStyle name="Финансовый 2 15 2 3" xfId="3022" xr:uid="{00000000-0005-0000-0000-00006E030000}"/>
    <cellStyle name="Финансовый 2 15 2 4" xfId="4666" xr:uid="{00000000-0005-0000-0000-00006F030000}"/>
    <cellStyle name="Финансовый 2 15 3" xfId="1948" xr:uid="{00000000-0005-0000-0000-000070030000}"/>
    <cellStyle name="Финансовый 2 15 3 2" xfId="3593" xr:uid="{00000000-0005-0000-0000-000071030000}"/>
    <cellStyle name="Финансовый 2 15 3 3" xfId="5376" xr:uid="{00000000-0005-0000-0000-000072030000}"/>
    <cellStyle name="Финансовый 2 15 4" xfId="2469" xr:uid="{00000000-0005-0000-0000-000073030000}"/>
    <cellStyle name="Финансовый 2 15 4 2" xfId="4114" xr:uid="{00000000-0005-0000-0000-000074030000}"/>
    <cellStyle name="Финансовый 2 15 4 3" xfId="5897" xr:uid="{00000000-0005-0000-0000-000075030000}"/>
    <cellStyle name="Финансовый 2 15 5" xfId="973" xr:uid="{00000000-0005-0000-0000-000076030000}"/>
    <cellStyle name="Финансовый 2 15 6" xfId="561" xr:uid="{00000000-0005-0000-0000-000077030000}"/>
    <cellStyle name="Финансовый 2 15 7" xfId="2750" xr:uid="{00000000-0005-0000-0000-000078030000}"/>
    <cellStyle name="Финансовый 2 15 8" xfId="4394" xr:uid="{00000000-0005-0000-0000-000079030000}"/>
    <cellStyle name="Финансовый 2 16" xfId="276" xr:uid="{00000000-0005-0000-0000-00007A030000}"/>
    <cellStyle name="Финансовый 2 16 2" xfId="2076" xr:uid="{00000000-0005-0000-0000-00007B030000}"/>
    <cellStyle name="Финансовый 2 16 2 2" xfId="3721" xr:uid="{00000000-0005-0000-0000-00007C030000}"/>
    <cellStyle name="Финансовый 2 16 2 3" xfId="5504" xr:uid="{00000000-0005-0000-0000-00007D030000}"/>
    <cellStyle name="Финансовый 2 16 3" xfId="1374" xr:uid="{00000000-0005-0000-0000-00007E030000}"/>
    <cellStyle name="Финансовый 2 16 4" xfId="697" xr:uid="{00000000-0005-0000-0000-00007F030000}"/>
    <cellStyle name="Финансовый 2 16 5" xfId="3158" xr:uid="{00000000-0005-0000-0000-000080030000}"/>
    <cellStyle name="Финансовый 2 16 6" xfId="4802" xr:uid="{00000000-0005-0000-0000-000081030000}"/>
    <cellStyle name="Финансовый 2 17" xfId="289" xr:uid="{00000000-0005-0000-0000-000082030000}"/>
    <cellStyle name="Финансовый 2 17 2" xfId="1109" xr:uid="{00000000-0005-0000-0000-000083030000}"/>
    <cellStyle name="Финансовый 2 17 3" xfId="709" xr:uid="{00000000-0005-0000-0000-000084030000}"/>
    <cellStyle name="Финансовый 2 17 4" xfId="2886" xr:uid="{00000000-0005-0000-0000-000085030000}"/>
    <cellStyle name="Финансовый 2 17 5" xfId="4530" xr:uid="{00000000-0005-0000-0000-000086030000}"/>
    <cellStyle name="Финансовый 2 18" xfId="1445" xr:uid="{00000000-0005-0000-0000-000087030000}"/>
    <cellStyle name="Финансовый 2 18 2" xfId="1696" xr:uid="{00000000-0005-0000-0000-000088030000}"/>
    <cellStyle name="Финансовый 2 18 2 2" xfId="3341" xr:uid="{00000000-0005-0000-0000-000089030000}"/>
    <cellStyle name="Финансовый 2 18 2 3" xfId="5124" xr:uid="{00000000-0005-0000-0000-00008A030000}"/>
    <cellStyle name="Финансовый 2 18 3" xfId="4873" xr:uid="{00000000-0005-0000-0000-00008B030000}"/>
    <cellStyle name="Финансовый 2 19" xfId="2332" xr:uid="{00000000-0005-0000-0000-00008C030000}"/>
    <cellStyle name="Финансовый 2 19 2" xfId="3977" xr:uid="{00000000-0005-0000-0000-00008D030000}"/>
    <cellStyle name="Финансовый 2 19 3" xfId="5760" xr:uid="{00000000-0005-0000-0000-00008E030000}"/>
    <cellStyle name="Финансовый 2 2" xfId="4" xr:uid="{00000000-0005-0000-0000-00008F030000}"/>
    <cellStyle name="Финансовый 2 2 10" xfId="28" xr:uid="{00000000-0005-0000-0000-000090030000}"/>
    <cellStyle name="Финансовый 2 2 10 10" xfId="2640" xr:uid="{00000000-0005-0000-0000-000091030000}"/>
    <cellStyle name="Финансовый 2 2 10 11" xfId="4283" xr:uid="{00000000-0005-0000-0000-000092030000}"/>
    <cellStyle name="Финансовый 2 2 10 2" xfId="166" xr:uid="{00000000-0005-0000-0000-000093030000}"/>
    <cellStyle name="Финансовый 2 2 10 2 2" xfId="1264" xr:uid="{00000000-0005-0000-0000-000094030000}"/>
    <cellStyle name="Финансовый 2 2 10 2 2 2" xfId="2230" xr:uid="{00000000-0005-0000-0000-000095030000}"/>
    <cellStyle name="Финансовый 2 2 10 2 2 2 2" xfId="3875" xr:uid="{00000000-0005-0000-0000-000096030000}"/>
    <cellStyle name="Финансовый 2 2 10 2 2 2 3" xfId="5658" xr:uid="{00000000-0005-0000-0000-000097030000}"/>
    <cellStyle name="Финансовый 2 2 10 2 2 3" xfId="3048" xr:uid="{00000000-0005-0000-0000-000098030000}"/>
    <cellStyle name="Финансовый 2 2 10 2 2 4" xfId="4692" xr:uid="{00000000-0005-0000-0000-000099030000}"/>
    <cellStyle name="Финансовый 2 2 10 2 3" xfId="1974" xr:uid="{00000000-0005-0000-0000-00009A030000}"/>
    <cellStyle name="Финансовый 2 2 10 2 3 2" xfId="3619" xr:uid="{00000000-0005-0000-0000-00009B030000}"/>
    <cellStyle name="Финансовый 2 2 10 2 3 3" xfId="5402" xr:uid="{00000000-0005-0000-0000-00009C030000}"/>
    <cellStyle name="Финансовый 2 2 10 2 4" xfId="2495" xr:uid="{00000000-0005-0000-0000-00009D030000}"/>
    <cellStyle name="Финансовый 2 2 10 2 4 2" xfId="4140" xr:uid="{00000000-0005-0000-0000-00009E030000}"/>
    <cellStyle name="Финансовый 2 2 10 2 4 3" xfId="5923" xr:uid="{00000000-0005-0000-0000-00009F030000}"/>
    <cellStyle name="Финансовый 2 2 10 2 5" xfId="999" xr:uid="{00000000-0005-0000-0000-0000A0030000}"/>
    <cellStyle name="Финансовый 2 2 10 2 6" xfId="587" xr:uid="{00000000-0005-0000-0000-0000A1030000}"/>
    <cellStyle name="Финансовый 2 2 10 2 7" xfId="2776" xr:uid="{00000000-0005-0000-0000-0000A2030000}"/>
    <cellStyle name="Финансовый 2 2 10 2 8" xfId="4420" xr:uid="{00000000-0005-0000-0000-0000A3030000}"/>
    <cellStyle name="Финансовый 2 2 10 3" xfId="315" xr:uid="{00000000-0005-0000-0000-0000A4030000}"/>
    <cellStyle name="Финансовый 2 2 10 3 2" xfId="2102" xr:uid="{00000000-0005-0000-0000-0000A5030000}"/>
    <cellStyle name="Финансовый 2 2 10 3 2 2" xfId="3747" xr:uid="{00000000-0005-0000-0000-0000A6030000}"/>
    <cellStyle name="Финансовый 2 2 10 3 2 3" xfId="5530" xr:uid="{00000000-0005-0000-0000-0000A7030000}"/>
    <cellStyle name="Финансовый 2 2 10 3 3" xfId="1135" xr:uid="{00000000-0005-0000-0000-0000A8030000}"/>
    <cellStyle name="Финансовый 2 2 10 3 4" xfId="735" xr:uid="{00000000-0005-0000-0000-0000A9030000}"/>
    <cellStyle name="Финансовый 2 2 10 3 5" xfId="2912" xr:uid="{00000000-0005-0000-0000-0000AA030000}"/>
    <cellStyle name="Финансовый 2 2 10 3 6" xfId="4556" xr:uid="{00000000-0005-0000-0000-0000AB030000}"/>
    <cellStyle name="Финансовый 2 2 10 4" xfId="1455" xr:uid="{00000000-0005-0000-0000-0000AC030000}"/>
    <cellStyle name="Финансовый 2 2 10 4 2" xfId="1838" xr:uid="{00000000-0005-0000-0000-0000AD030000}"/>
    <cellStyle name="Финансовый 2 2 10 4 2 2" xfId="3483" xr:uid="{00000000-0005-0000-0000-0000AE030000}"/>
    <cellStyle name="Финансовый 2 2 10 4 2 3" xfId="5266" xr:uid="{00000000-0005-0000-0000-0000AF030000}"/>
    <cellStyle name="Финансовый 2 2 10 4 3" xfId="4883" xr:uid="{00000000-0005-0000-0000-0000B0030000}"/>
    <cellStyle name="Финансовый 2 2 10 5" xfId="1722" xr:uid="{00000000-0005-0000-0000-0000B1030000}"/>
    <cellStyle name="Финансовый 2 2 10 5 2" xfId="3367" xr:uid="{00000000-0005-0000-0000-0000B2030000}"/>
    <cellStyle name="Финансовый 2 2 10 5 3" xfId="5150" xr:uid="{00000000-0005-0000-0000-0000B3030000}"/>
    <cellStyle name="Финансовый 2 2 10 6" xfId="2358" xr:uid="{00000000-0005-0000-0000-0000B4030000}"/>
    <cellStyle name="Финансовый 2 2 10 6 2" xfId="4003" xr:uid="{00000000-0005-0000-0000-0000B5030000}"/>
    <cellStyle name="Финансовый 2 2 10 6 3" xfId="5786" xr:uid="{00000000-0005-0000-0000-0000B6030000}"/>
    <cellStyle name="Финансовый 2 2 10 7" xfId="1585" xr:uid="{00000000-0005-0000-0000-0000B7030000}"/>
    <cellStyle name="Финансовый 2 2 10 7 2" xfId="3230" xr:uid="{00000000-0005-0000-0000-0000B8030000}"/>
    <cellStyle name="Финансовый 2 2 10 7 3" xfId="5013" xr:uid="{00000000-0005-0000-0000-0000B9030000}"/>
    <cellStyle name="Финансовый 2 2 10 8" xfId="871" xr:uid="{00000000-0005-0000-0000-0000BA030000}"/>
    <cellStyle name="Финансовый 2 2 10 9" xfId="451" xr:uid="{00000000-0005-0000-0000-0000BB030000}"/>
    <cellStyle name="Финансовый 2 2 11" xfId="16" xr:uid="{00000000-0005-0000-0000-0000BC030000}"/>
    <cellStyle name="Финансовый 2 2 11 10" xfId="2628" xr:uid="{00000000-0005-0000-0000-0000BD030000}"/>
    <cellStyle name="Финансовый 2 2 11 11" xfId="4271" xr:uid="{00000000-0005-0000-0000-0000BE030000}"/>
    <cellStyle name="Финансовый 2 2 11 2" xfId="154" xr:uid="{00000000-0005-0000-0000-0000BF030000}"/>
    <cellStyle name="Финансовый 2 2 11 2 2" xfId="1252" xr:uid="{00000000-0005-0000-0000-0000C0030000}"/>
    <cellStyle name="Финансовый 2 2 11 2 2 2" xfId="2218" xr:uid="{00000000-0005-0000-0000-0000C1030000}"/>
    <cellStyle name="Финансовый 2 2 11 2 2 2 2" xfId="3863" xr:uid="{00000000-0005-0000-0000-0000C2030000}"/>
    <cellStyle name="Финансовый 2 2 11 2 2 2 3" xfId="5646" xr:uid="{00000000-0005-0000-0000-0000C3030000}"/>
    <cellStyle name="Финансовый 2 2 11 2 2 3" xfId="3036" xr:uid="{00000000-0005-0000-0000-0000C4030000}"/>
    <cellStyle name="Финансовый 2 2 11 2 2 4" xfId="4680" xr:uid="{00000000-0005-0000-0000-0000C5030000}"/>
    <cellStyle name="Финансовый 2 2 11 2 3" xfId="1962" xr:uid="{00000000-0005-0000-0000-0000C6030000}"/>
    <cellStyle name="Финансовый 2 2 11 2 3 2" xfId="3607" xr:uid="{00000000-0005-0000-0000-0000C7030000}"/>
    <cellStyle name="Финансовый 2 2 11 2 3 3" xfId="5390" xr:uid="{00000000-0005-0000-0000-0000C8030000}"/>
    <cellStyle name="Финансовый 2 2 11 2 4" xfId="2483" xr:uid="{00000000-0005-0000-0000-0000C9030000}"/>
    <cellStyle name="Финансовый 2 2 11 2 4 2" xfId="4128" xr:uid="{00000000-0005-0000-0000-0000CA030000}"/>
    <cellStyle name="Финансовый 2 2 11 2 4 3" xfId="5911" xr:uid="{00000000-0005-0000-0000-0000CB030000}"/>
    <cellStyle name="Финансовый 2 2 11 2 5" xfId="987" xr:uid="{00000000-0005-0000-0000-0000CC030000}"/>
    <cellStyle name="Финансовый 2 2 11 2 6" xfId="575" xr:uid="{00000000-0005-0000-0000-0000CD030000}"/>
    <cellStyle name="Финансовый 2 2 11 2 7" xfId="2764" xr:uid="{00000000-0005-0000-0000-0000CE030000}"/>
    <cellStyle name="Финансовый 2 2 11 2 8" xfId="4408" xr:uid="{00000000-0005-0000-0000-0000CF030000}"/>
    <cellStyle name="Финансовый 2 2 11 3" xfId="303" xr:uid="{00000000-0005-0000-0000-0000D0030000}"/>
    <cellStyle name="Финансовый 2 2 11 3 2" xfId="2090" xr:uid="{00000000-0005-0000-0000-0000D1030000}"/>
    <cellStyle name="Финансовый 2 2 11 3 2 2" xfId="3735" xr:uid="{00000000-0005-0000-0000-0000D2030000}"/>
    <cellStyle name="Финансовый 2 2 11 3 2 3" xfId="5518" xr:uid="{00000000-0005-0000-0000-0000D3030000}"/>
    <cellStyle name="Финансовый 2 2 11 3 3" xfId="1123" xr:uid="{00000000-0005-0000-0000-0000D4030000}"/>
    <cellStyle name="Финансовый 2 2 11 3 4" xfId="723" xr:uid="{00000000-0005-0000-0000-0000D5030000}"/>
    <cellStyle name="Финансовый 2 2 11 3 5" xfId="2900" xr:uid="{00000000-0005-0000-0000-0000D6030000}"/>
    <cellStyle name="Финансовый 2 2 11 3 6" xfId="4544" xr:uid="{00000000-0005-0000-0000-0000D7030000}"/>
    <cellStyle name="Финансовый 2 2 11 4" xfId="1424" xr:uid="{00000000-0005-0000-0000-0000D8030000}"/>
    <cellStyle name="Финансовый 2 2 11 4 2" xfId="1826" xr:uid="{00000000-0005-0000-0000-0000D9030000}"/>
    <cellStyle name="Финансовый 2 2 11 4 2 2" xfId="3471" xr:uid="{00000000-0005-0000-0000-0000DA030000}"/>
    <cellStyle name="Финансовый 2 2 11 4 2 3" xfId="5254" xr:uid="{00000000-0005-0000-0000-0000DB030000}"/>
    <cellStyle name="Финансовый 2 2 11 4 3" xfId="4852" xr:uid="{00000000-0005-0000-0000-0000DC030000}"/>
    <cellStyle name="Финансовый 2 2 11 5" xfId="1710" xr:uid="{00000000-0005-0000-0000-0000DD030000}"/>
    <cellStyle name="Финансовый 2 2 11 5 2" xfId="3355" xr:uid="{00000000-0005-0000-0000-0000DE030000}"/>
    <cellStyle name="Финансовый 2 2 11 5 3" xfId="5138" xr:uid="{00000000-0005-0000-0000-0000DF030000}"/>
    <cellStyle name="Финансовый 2 2 11 6" xfId="2346" xr:uid="{00000000-0005-0000-0000-0000E0030000}"/>
    <cellStyle name="Финансовый 2 2 11 6 2" xfId="3991" xr:uid="{00000000-0005-0000-0000-0000E1030000}"/>
    <cellStyle name="Финансовый 2 2 11 6 3" xfId="5774" xr:uid="{00000000-0005-0000-0000-0000E2030000}"/>
    <cellStyle name="Финансовый 2 2 11 7" xfId="1573" xr:uid="{00000000-0005-0000-0000-0000E3030000}"/>
    <cellStyle name="Финансовый 2 2 11 7 2" xfId="3218" xr:uid="{00000000-0005-0000-0000-0000E4030000}"/>
    <cellStyle name="Финансовый 2 2 11 7 3" xfId="5001" xr:uid="{00000000-0005-0000-0000-0000E5030000}"/>
    <cellStyle name="Финансовый 2 2 11 8" xfId="859" xr:uid="{00000000-0005-0000-0000-0000E6030000}"/>
    <cellStyle name="Финансовый 2 2 11 9" xfId="439" xr:uid="{00000000-0005-0000-0000-0000E7030000}"/>
    <cellStyle name="Финансовый 2 2 12" xfId="142" xr:uid="{00000000-0005-0000-0000-0000E8030000}"/>
    <cellStyle name="Финансовый 2 2 12 2" xfId="1240" xr:uid="{00000000-0005-0000-0000-0000E9030000}"/>
    <cellStyle name="Финансовый 2 2 12 2 2" xfId="2206" xr:uid="{00000000-0005-0000-0000-0000EA030000}"/>
    <cellStyle name="Финансовый 2 2 12 2 2 2" xfId="3851" xr:uid="{00000000-0005-0000-0000-0000EB030000}"/>
    <cellStyle name="Финансовый 2 2 12 2 2 3" xfId="5634" xr:uid="{00000000-0005-0000-0000-0000EC030000}"/>
    <cellStyle name="Финансовый 2 2 12 2 3" xfId="3024" xr:uid="{00000000-0005-0000-0000-0000ED030000}"/>
    <cellStyle name="Финансовый 2 2 12 2 4" xfId="4668" xr:uid="{00000000-0005-0000-0000-0000EE030000}"/>
    <cellStyle name="Финансовый 2 2 12 3" xfId="1950" xr:uid="{00000000-0005-0000-0000-0000EF030000}"/>
    <cellStyle name="Финансовый 2 2 12 3 2" xfId="3595" xr:uid="{00000000-0005-0000-0000-0000F0030000}"/>
    <cellStyle name="Финансовый 2 2 12 3 3" xfId="5378" xr:uid="{00000000-0005-0000-0000-0000F1030000}"/>
    <cellStyle name="Финансовый 2 2 12 4" xfId="2471" xr:uid="{00000000-0005-0000-0000-0000F2030000}"/>
    <cellStyle name="Финансовый 2 2 12 4 2" xfId="4116" xr:uid="{00000000-0005-0000-0000-0000F3030000}"/>
    <cellStyle name="Финансовый 2 2 12 4 3" xfId="5899" xr:uid="{00000000-0005-0000-0000-0000F4030000}"/>
    <cellStyle name="Финансовый 2 2 12 5" xfId="975" xr:uid="{00000000-0005-0000-0000-0000F5030000}"/>
    <cellStyle name="Финансовый 2 2 12 6" xfId="563" xr:uid="{00000000-0005-0000-0000-0000F6030000}"/>
    <cellStyle name="Финансовый 2 2 12 7" xfId="2752" xr:uid="{00000000-0005-0000-0000-0000F7030000}"/>
    <cellStyle name="Финансовый 2 2 12 8" xfId="4396" xr:uid="{00000000-0005-0000-0000-0000F8030000}"/>
    <cellStyle name="Финансовый 2 2 13" xfId="278" xr:uid="{00000000-0005-0000-0000-0000F9030000}"/>
    <cellStyle name="Финансовый 2 2 13 2" xfId="2078" xr:uid="{00000000-0005-0000-0000-0000FA030000}"/>
    <cellStyle name="Финансовый 2 2 13 2 2" xfId="3723" xr:uid="{00000000-0005-0000-0000-0000FB030000}"/>
    <cellStyle name="Финансовый 2 2 13 2 3" xfId="5506" xr:uid="{00000000-0005-0000-0000-0000FC030000}"/>
    <cellStyle name="Финансовый 2 2 13 3" xfId="1376" xr:uid="{00000000-0005-0000-0000-0000FD030000}"/>
    <cellStyle name="Финансовый 2 2 13 4" xfId="699" xr:uid="{00000000-0005-0000-0000-0000FE030000}"/>
    <cellStyle name="Финансовый 2 2 13 5" xfId="3160" xr:uid="{00000000-0005-0000-0000-0000FF030000}"/>
    <cellStyle name="Финансовый 2 2 13 6" xfId="4804" xr:uid="{00000000-0005-0000-0000-000000040000}"/>
    <cellStyle name="Финансовый 2 2 14" xfId="291" xr:uid="{00000000-0005-0000-0000-000001040000}"/>
    <cellStyle name="Финансовый 2 2 14 2" xfId="1111" xr:uid="{00000000-0005-0000-0000-000002040000}"/>
    <cellStyle name="Финансовый 2 2 14 3" xfId="711" xr:uid="{00000000-0005-0000-0000-000003040000}"/>
    <cellStyle name="Финансовый 2 2 14 4" xfId="2888" xr:uid="{00000000-0005-0000-0000-000004040000}"/>
    <cellStyle name="Финансовый 2 2 14 5" xfId="4532" xr:uid="{00000000-0005-0000-0000-000005040000}"/>
    <cellStyle name="Финансовый 2 2 15" xfId="1454" xr:uid="{00000000-0005-0000-0000-000006040000}"/>
    <cellStyle name="Финансовый 2 2 15 2" xfId="1698" xr:uid="{00000000-0005-0000-0000-000007040000}"/>
    <cellStyle name="Финансовый 2 2 15 2 2" xfId="3343" xr:uid="{00000000-0005-0000-0000-000008040000}"/>
    <cellStyle name="Финансовый 2 2 15 2 3" xfId="5126" xr:uid="{00000000-0005-0000-0000-000009040000}"/>
    <cellStyle name="Финансовый 2 2 15 3" xfId="4882" xr:uid="{00000000-0005-0000-0000-00000A040000}"/>
    <cellStyle name="Финансовый 2 2 16" xfId="2334" xr:uid="{00000000-0005-0000-0000-00000B040000}"/>
    <cellStyle name="Финансовый 2 2 16 2" xfId="3979" xr:uid="{00000000-0005-0000-0000-00000C040000}"/>
    <cellStyle name="Финансовый 2 2 16 3" xfId="5762" xr:uid="{00000000-0005-0000-0000-00000D040000}"/>
    <cellStyle name="Финансовый 2 2 17" xfId="1561" xr:uid="{00000000-0005-0000-0000-00000E040000}"/>
    <cellStyle name="Финансовый 2 2 17 2" xfId="3206" xr:uid="{00000000-0005-0000-0000-00000F040000}"/>
    <cellStyle name="Финансовый 2 2 17 3" xfId="4989" xr:uid="{00000000-0005-0000-0000-000010040000}"/>
    <cellStyle name="Финансовый 2 2 18" xfId="847" xr:uid="{00000000-0005-0000-0000-000011040000}"/>
    <cellStyle name="Финансовый 2 2 19" xfId="427" xr:uid="{00000000-0005-0000-0000-000012040000}"/>
    <cellStyle name="Финансовый 2 2 2" xfId="10" xr:uid="{00000000-0005-0000-0000-000013040000}"/>
    <cellStyle name="Финансовый 2 2 2 10" xfId="284" xr:uid="{00000000-0005-0000-0000-000014040000}"/>
    <cellStyle name="Финансовый 2 2 2 10 2" xfId="2084" xr:uid="{00000000-0005-0000-0000-000015040000}"/>
    <cellStyle name="Финансовый 2 2 2 10 2 2" xfId="3729" xr:uid="{00000000-0005-0000-0000-000016040000}"/>
    <cellStyle name="Финансовый 2 2 2 10 2 3" xfId="5512" xr:uid="{00000000-0005-0000-0000-000017040000}"/>
    <cellStyle name="Финансовый 2 2 2 10 3" xfId="1382" xr:uid="{00000000-0005-0000-0000-000018040000}"/>
    <cellStyle name="Финансовый 2 2 2 10 4" xfId="705" xr:uid="{00000000-0005-0000-0000-000019040000}"/>
    <cellStyle name="Финансовый 2 2 2 10 5" xfId="3166" xr:uid="{00000000-0005-0000-0000-00001A040000}"/>
    <cellStyle name="Финансовый 2 2 2 10 6" xfId="4810" xr:uid="{00000000-0005-0000-0000-00001B040000}"/>
    <cellStyle name="Финансовый 2 2 2 11" xfId="297" xr:uid="{00000000-0005-0000-0000-00001C040000}"/>
    <cellStyle name="Финансовый 2 2 2 11 2" xfId="1117" xr:uid="{00000000-0005-0000-0000-00001D040000}"/>
    <cellStyle name="Финансовый 2 2 2 11 3" xfId="717" xr:uid="{00000000-0005-0000-0000-00001E040000}"/>
    <cellStyle name="Финансовый 2 2 2 11 4" xfId="2894" xr:uid="{00000000-0005-0000-0000-00001F040000}"/>
    <cellStyle name="Финансовый 2 2 2 11 5" xfId="4538" xr:uid="{00000000-0005-0000-0000-000020040000}"/>
    <cellStyle name="Финансовый 2 2 2 12" xfId="1457" xr:uid="{00000000-0005-0000-0000-000021040000}"/>
    <cellStyle name="Финансовый 2 2 2 12 2" xfId="1704" xr:uid="{00000000-0005-0000-0000-000022040000}"/>
    <cellStyle name="Финансовый 2 2 2 12 2 2" xfId="3349" xr:uid="{00000000-0005-0000-0000-000023040000}"/>
    <cellStyle name="Финансовый 2 2 2 12 2 3" xfId="5132" xr:uid="{00000000-0005-0000-0000-000024040000}"/>
    <cellStyle name="Финансовый 2 2 2 12 3" xfId="4885" xr:uid="{00000000-0005-0000-0000-000025040000}"/>
    <cellStyle name="Финансовый 2 2 2 13" xfId="2340" xr:uid="{00000000-0005-0000-0000-000026040000}"/>
    <cellStyle name="Финансовый 2 2 2 13 2" xfId="3985" xr:uid="{00000000-0005-0000-0000-000027040000}"/>
    <cellStyle name="Финансовый 2 2 2 13 3" xfId="5768" xr:uid="{00000000-0005-0000-0000-000028040000}"/>
    <cellStyle name="Финансовый 2 2 2 14" xfId="1567" xr:uid="{00000000-0005-0000-0000-000029040000}"/>
    <cellStyle name="Финансовый 2 2 2 14 2" xfId="3212" xr:uid="{00000000-0005-0000-0000-00002A040000}"/>
    <cellStyle name="Финансовый 2 2 2 14 3" xfId="4995" xr:uid="{00000000-0005-0000-0000-00002B040000}"/>
    <cellStyle name="Финансовый 2 2 2 15" xfId="853" xr:uid="{00000000-0005-0000-0000-00002C040000}"/>
    <cellStyle name="Финансовый 2 2 2 16" xfId="433" xr:uid="{00000000-0005-0000-0000-00002D040000}"/>
    <cellStyle name="Финансовый 2 2 2 17" xfId="2622" xr:uid="{00000000-0005-0000-0000-00002E040000}"/>
    <cellStyle name="Финансовый 2 2 2 18" xfId="4265" xr:uid="{00000000-0005-0000-0000-00002F040000}"/>
    <cellStyle name="Финансовый 2 2 2 2" xfId="46" xr:uid="{00000000-0005-0000-0000-000030040000}"/>
    <cellStyle name="Финансовый 2 2 2 2 10" xfId="469" xr:uid="{00000000-0005-0000-0000-000031040000}"/>
    <cellStyle name="Финансовый 2 2 2 2 11" xfId="2658" xr:uid="{00000000-0005-0000-0000-000032040000}"/>
    <cellStyle name="Финансовый 2 2 2 2 12" xfId="4301" xr:uid="{00000000-0005-0000-0000-000033040000}"/>
    <cellStyle name="Финансовый 2 2 2 2 2" xfId="104" xr:uid="{00000000-0005-0000-0000-000034040000}"/>
    <cellStyle name="Финансовый 2 2 2 2 2 10" xfId="2714" xr:uid="{00000000-0005-0000-0000-000035040000}"/>
    <cellStyle name="Финансовый 2 2 2 2 2 11" xfId="4358" xr:uid="{00000000-0005-0000-0000-000036040000}"/>
    <cellStyle name="Финансовый 2 2 2 2 2 2" xfId="240" xr:uid="{00000000-0005-0000-0000-000037040000}"/>
    <cellStyle name="Финансовый 2 2 2 2 2 2 2" xfId="1338" xr:uid="{00000000-0005-0000-0000-000038040000}"/>
    <cellStyle name="Финансовый 2 2 2 2 2 2 2 2" xfId="2296" xr:uid="{00000000-0005-0000-0000-000039040000}"/>
    <cellStyle name="Финансовый 2 2 2 2 2 2 2 2 2" xfId="3941" xr:uid="{00000000-0005-0000-0000-00003A040000}"/>
    <cellStyle name="Финансовый 2 2 2 2 2 2 2 2 3" xfId="5724" xr:uid="{00000000-0005-0000-0000-00003B040000}"/>
    <cellStyle name="Финансовый 2 2 2 2 2 2 2 3" xfId="3122" xr:uid="{00000000-0005-0000-0000-00003C040000}"/>
    <cellStyle name="Финансовый 2 2 2 2 2 2 2 4" xfId="4766" xr:uid="{00000000-0005-0000-0000-00003D040000}"/>
    <cellStyle name="Финансовый 2 2 2 2 2 2 3" xfId="2040" xr:uid="{00000000-0005-0000-0000-00003E040000}"/>
    <cellStyle name="Финансовый 2 2 2 2 2 2 3 2" xfId="3685" xr:uid="{00000000-0005-0000-0000-00003F040000}"/>
    <cellStyle name="Финансовый 2 2 2 2 2 2 3 3" xfId="5468" xr:uid="{00000000-0005-0000-0000-000040040000}"/>
    <cellStyle name="Финансовый 2 2 2 2 2 2 4" xfId="2569" xr:uid="{00000000-0005-0000-0000-000041040000}"/>
    <cellStyle name="Финансовый 2 2 2 2 2 2 4 2" xfId="4214" xr:uid="{00000000-0005-0000-0000-000042040000}"/>
    <cellStyle name="Финансовый 2 2 2 2 2 2 4 3" xfId="5997" xr:uid="{00000000-0005-0000-0000-000043040000}"/>
    <cellStyle name="Финансовый 2 2 2 2 2 2 5" xfId="1073" xr:uid="{00000000-0005-0000-0000-000044040000}"/>
    <cellStyle name="Финансовый 2 2 2 2 2 2 6" xfId="661" xr:uid="{00000000-0005-0000-0000-000045040000}"/>
    <cellStyle name="Финансовый 2 2 2 2 2 2 7" xfId="2850" xr:uid="{00000000-0005-0000-0000-000046040000}"/>
    <cellStyle name="Финансовый 2 2 2 2 2 2 8" xfId="4494" xr:uid="{00000000-0005-0000-0000-000047040000}"/>
    <cellStyle name="Финансовый 2 2 2 2 2 3" xfId="389" xr:uid="{00000000-0005-0000-0000-000048040000}"/>
    <cellStyle name="Финансовый 2 2 2 2 2 3 2" xfId="2168" xr:uid="{00000000-0005-0000-0000-000049040000}"/>
    <cellStyle name="Финансовый 2 2 2 2 2 3 2 2" xfId="3813" xr:uid="{00000000-0005-0000-0000-00004A040000}"/>
    <cellStyle name="Финансовый 2 2 2 2 2 3 2 3" xfId="5596" xr:uid="{00000000-0005-0000-0000-00004B040000}"/>
    <cellStyle name="Финансовый 2 2 2 2 2 3 3" xfId="1202" xr:uid="{00000000-0005-0000-0000-00004C040000}"/>
    <cellStyle name="Финансовый 2 2 2 2 2 3 4" xfId="809" xr:uid="{00000000-0005-0000-0000-00004D040000}"/>
    <cellStyle name="Финансовый 2 2 2 2 2 3 5" xfId="2986" xr:uid="{00000000-0005-0000-0000-00004E040000}"/>
    <cellStyle name="Финансовый 2 2 2 2 2 3 6" xfId="4630" xr:uid="{00000000-0005-0000-0000-00004F040000}"/>
    <cellStyle name="Финансовый 2 2 2 2 2 4" xfId="1460" xr:uid="{00000000-0005-0000-0000-000050040000}"/>
    <cellStyle name="Финансовый 2 2 2 2 2 4 2" xfId="1912" xr:uid="{00000000-0005-0000-0000-000051040000}"/>
    <cellStyle name="Финансовый 2 2 2 2 2 4 2 2" xfId="3557" xr:uid="{00000000-0005-0000-0000-000052040000}"/>
    <cellStyle name="Финансовый 2 2 2 2 2 4 2 3" xfId="5340" xr:uid="{00000000-0005-0000-0000-000053040000}"/>
    <cellStyle name="Финансовый 2 2 2 2 2 4 3" xfId="4888" xr:uid="{00000000-0005-0000-0000-000054040000}"/>
    <cellStyle name="Финансовый 2 2 2 2 2 5" xfId="1788" xr:uid="{00000000-0005-0000-0000-000055040000}"/>
    <cellStyle name="Финансовый 2 2 2 2 2 5 2" xfId="3433" xr:uid="{00000000-0005-0000-0000-000056040000}"/>
    <cellStyle name="Финансовый 2 2 2 2 2 5 3" xfId="5216" xr:uid="{00000000-0005-0000-0000-000057040000}"/>
    <cellStyle name="Финансовый 2 2 2 2 2 6" xfId="2433" xr:uid="{00000000-0005-0000-0000-000058040000}"/>
    <cellStyle name="Финансовый 2 2 2 2 2 6 2" xfId="4078" xr:uid="{00000000-0005-0000-0000-000059040000}"/>
    <cellStyle name="Финансовый 2 2 2 2 2 6 3" xfId="5861" xr:uid="{00000000-0005-0000-0000-00005A040000}"/>
    <cellStyle name="Финансовый 2 2 2 2 2 7" xfId="1660" xr:uid="{00000000-0005-0000-0000-00005B040000}"/>
    <cellStyle name="Финансовый 2 2 2 2 2 7 2" xfId="3305" xr:uid="{00000000-0005-0000-0000-00005C040000}"/>
    <cellStyle name="Финансовый 2 2 2 2 2 7 3" xfId="5088" xr:uid="{00000000-0005-0000-0000-00005D040000}"/>
    <cellStyle name="Финансовый 2 2 2 2 2 8" xfId="937" xr:uid="{00000000-0005-0000-0000-00005E040000}"/>
    <cellStyle name="Финансовый 2 2 2 2 2 9" xfId="525" xr:uid="{00000000-0005-0000-0000-00005F040000}"/>
    <cellStyle name="Финансовый 2 2 2 2 3" xfId="184" xr:uid="{00000000-0005-0000-0000-000060040000}"/>
    <cellStyle name="Финансовый 2 2 2 2 3 2" xfId="1282" xr:uid="{00000000-0005-0000-0000-000061040000}"/>
    <cellStyle name="Финансовый 2 2 2 2 3 2 2" xfId="2248" xr:uid="{00000000-0005-0000-0000-000062040000}"/>
    <cellStyle name="Финансовый 2 2 2 2 3 2 2 2" xfId="3893" xr:uid="{00000000-0005-0000-0000-000063040000}"/>
    <cellStyle name="Финансовый 2 2 2 2 3 2 2 3" xfId="5676" xr:uid="{00000000-0005-0000-0000-000064040000}"/>
    <cellStyle name="Финансовый 2 2 2 2 3 2 3" xfId="3066" xr:uid="{00000000-0005-0000-0000-000065040000}"/>
    <cellStyle name="Финансовый 2 2 2 2 3 2 4" xfId="4710" xr:uid="{00000000-0005-0000-0000-000066040000}"/>
    <cellStyle name="Финансовый 2 2 2 2 3 3" xfId="1992" xr:uid="{00000000-0005-0000-0000-000067040000}"/>
    <cellStyle name="Финансовый 2 2 2 2 3 3 2" xfId="3637" xr:uid="{00000000-0005-0000-0000-000068040000}"/>
    <cellStyle name="Финансовый 2 2 2 2 3 3 3" xfId="5420" xr:uid="{00000000-0005-0000-0000-000069040000}"/>
    <cellStyle name="Финансовый 2 2 2 2 3 4" xfId="2513" xr:uid="{00000000-0005-0000-0000-00006A040000}"/>
    <cellStyle name="Финансовый 2 2 2 2 3 4 2" xfId="4158" xr:uid="{00000000-0005-0000-0000-00006B040000}"/>
    <cellStyle name="Финансовый 2 2 2 2 3 4 3" xfId="5941" xr:uid="{00000000-0005-0000-0000-00006C040000}"/>
    <cellStyle name="Финансовый 2 2 2 2 3 5" xfId="1017" xr:uid="{00000000-0005-0000-0000-00006D040000}"/>
    <cellStyle name="Финансовый 2 2 2 2 3 6" xfId="605" xr:uid="{00000000-0005-0000-0000-00006E040000}"/>
    <cellStyle name="Финансовый 2 2 2 2 3 7" xfId="2794" xr:uid="{00000000-0005-0000-0000-00006F040000}"/>
    <cellStyle name="Финансовый 2 2 2 2 3 8" xfId="4438" xr:uid="{00000000-0005-0000-0000-000070040000}"/>
    <cellStyle name="Финансовый 2 2 2 2 4" xfId="333" xr:uid="{00000000-0005-0000-0000-000071040000}"/>
    <cellStyle name="Финансовый 2 2 2 2 4 2" xfId="2120" xr:uid="{00000000-0005-0000-0000-000072040000}"/>
    <cellStyle name="Финансовый 2 2 2 2 4 2 2" xfId="3765" xr:uid="{00000000-0005-0000-0000-000073040000}"/>
    <cellStyle name="Финансовый 2 2 2 2 4 2 3" xfId="5548" xr:uid="{00000000-0005-0000-0000-000074040000}"/>
    <cellStyle name="Финансовый 2 2 2 2 4 3" xfId="1153" xr:uid="{00000000-0005-0000-0000-000075040000}"/>
    <cellStyle name="Финансовый 2 2 2 2 4 4" xfId="753" xr:uid="{00000000-0005-0000-0000-000076040000}"/>
    <cellStyle name="Финансовый 2 2 2 2 4 5" xfId="2930" xr:uid="{00000000-0005-0000-0000-000077040000}"/>
    <cellStyle name="Финансовый 2 2 2 2 4 6" xfId="4574" xr:uid="{00000000-0005-0000-0000-000078040000}"/>
    <cellStyle name="Финансовый 2 2 2 2 5" xfId="1458" xr:uid="{00000000-0005-0000-0000-000079040000}"/>
    <cellStyle name="Финансовый 2 2 2 2 5 2" xfId="1856" xr:uid="{00000000-0005-0000-0000-00007A040000}"/>
    <cellStyle name="Финансовый 2 2 2 2 5 2 2" xfId="3501" xr:uid="{00000000-0005-0000-0000-00007B040000}"/>
    <cellStyle name="Финансовый 2 2 2 2 5 2 3" xfId="5284" xr:uid="{00000000-0005-0000-0000-00007C040000}"/>
    <cellStyle name="Финансовый 2 2 2 2 5 3" xfId="4886" xr:uid="{00000000-0005-0000-0000-00007D040000}"/>
    <cellStyle name="Финансовый 2 2 2 2 6" xfId="1740" xr:uid="{00000000-0005-0000-0000-00007E040000}"/>
    <cellStyle name="Финансовый 2 2 2 2 6 2" xfId="3385" xr:uid="{00000000-0005-0000-0000-00007F040000}"/>
    <cellStyle name="Финансовый 2 2 2 2 6 3" xfId="5168" xr:uid="{00000000-0005-0000-0000-000080040000}"/>
    <cellStyle name="Финансовый 2 2 2 2 7" xfId="2376" xr:uid="{00000000-0005-0000-0000-000081040000}"/>
    <cellStyle name="Финансовый 2 2 2 2 7 2" xfId="4021" xr:uid="{00000000-0005-0000-0000-000082040000}"/>
    <cellStyle name="Финансовый 2 2 2 2 7 3" xfId="5804" xr:uid="{00000000-0005-0000-0000-000083040000}"/>
    <cellStyle name="Финансовый 2 2 2 2 8" xfId="1603" xr:uid="{00000000-0005-0000-0000-000084040000}"/>
    <cellStyle name="Финансовый 2 2 2 2 8 2" xfId="3248" xr:uid="{00000000-0005-0000-0000-000085040000}"/>
    <cellStyle name="Финансовый 2 2 2 2 8 3" xfId="5031" xr:uid="{00000000-0005-0000-0000-000086040000}"/>
    <cellStyle name="Финансовый 2 2 2 2 9" xfId="889" xr:uid="{00000000-0005-0000-0000-000087040000}"/>
    <cellStyle name="Финансовый 2 2 2 3" xfId="116" xr:uid="{00000000-0005-0000-0000-000088040000}"/>
    <cellStyle name="Финансовый 2 2 2 3 10" xfId="2726" xr:uid="{00000000-0005-0000-0000-000089040000}"/>
    <cellStyle name="Финансовый 2 2 2 3 11" xfId="4370" xr:uid="{00000000-0005-0000-0000-00008A040000}"/>
    <cellStyle name="Финансовый 2 2 2 3 2" xfId="252" xr:uid="{00000000-0005-0000-0000-00008B040000}"/>
    <cellStyle name="Финансовый 2 2 2 3 2 2" xfId="1350" xr:uid="{00000000-0005-0000-0000-00008C040000}"/>
    <cellStyle name="Финансовый 2 2 2 3 2 2 2" xfId="2308" xr:uid="{00000000-0005-0000-0000-00008D040000}"/>
    <cellStyle name="Финансовый 2 2 2 3 2 2 2 2" xfId="3953" xr:uid="{00000000-0005-0000-0000-00008E040000}"/>
    <cellStyle name="Финансовый 2 2 2 3 2 2 2 3" xfId="5736" xr:uid="{00000000-0005-0000-0000-00008F040000}"/>
    <cellStyle name="Финансовый 2 2 2 3 2 2 3" xfId="3134" xr:uid="{00000000-0005-0000-0000-000090040000}"/>
    <cellStyle name="Финансовый 2 2 2 3 2 2 4" xfId="4778" xr:uid="{00000000-0005-0000-0000-000091040000}"/>
    <cellStyle name="Финансовый 2 2 2 3 2 3" xfId="2052" xr:uid="{00000000-0005-0000-0000-000092040000}"/>
    <cellStyle name="Финансовый 2 2 2 3 2 3 2" xfId="3697" xr:uid="{00000000-0005-0000-0000-000093040000}"/>
    <cellStyle name="Финансовый 2 2 2 3 2 3 3" xfId="5480" xr:uid="{00000000-0005-0000-0000-000094040000}"/>
    <cellStyle name="Финансовый 2 2 2 3 2 4" xfId="2581" xr:uid="{00000000-0005-0000-0000-000095040000}"/>
    <cellStyle name="Финансовый 2 2 2 3 2 4 2" xfId="4226" xr:uid="{00000000-0005-0000-0000-000096040000}"/>
    <cellStyle name="Финансовый 2 2 2 3 2 4 3" xfId="6009" xr:uid="{00000000-0005-0000-0000-000097040000}"/>
    <cellStyle name="Финансовый 2 2 2 3 2 5" xfId="1085" xr:uid="{00000000-0005-0000-0000-000098040000}"/>
    <cellStyle name="Финансовый 2 2 2 3 2 6" xfId="673" xr:uid="{00000000-0005-0000-0000-000099040000}"/>
    <cellStyle name="Финансовый 2 2 2 3 2 7" xfId="2862" xr:uid="{00000000-0005-0000-0000-00009A040000}"/>
    <cellStyle name="Финансовый 2 2 2 3 2 8" xfId="4506" xr:uid="{00000000-0005-0000-0000-00009B040000}"/>
    <cellStyle name="Финансовый 2 2 2 3 3" xfId="401" xr:uid="{00000000-0005-0000-0000-00009C040000}"/>
    <cellStyle name="Финансовый 2 2 2 3 3 2" xfId="2180" xr:uid="{00000000-0005-0000-0000-00009D040000}"/>
    <cellStyle name="Финансовый 2 2 2 3 3 2 2" xfId="3825" xr:uid="{00000000-0005-0000-0000-00009E040000}"/>
    <cellStyle name="Финансовый 2 2 2 3 3 2 3" xfId="5608" xr:uid="{00000000-0005-0000-0000-00009F040000}"/>
    <cellStyle name="Финансовый 2 2 2 3 3 3" xfId="1214" xr:uid="{00000000-0005-0000-0000-0000A0040000}"/>
    <cellStyle name="Финансовый 2 2 2 3 3 4" xfId="821" xr:uid="{00000000-0005-0000-0000-0000A1040000}"/>
    <cellStyle name="Финансовый 2 2 2 3 3 5" xfId="2998" xr:uid="{00000000-0005-0000-0000-0000A2040000}"/>
    <cellStyle name="Финансовый 2 2 2 3 3 6" xfId="4642" xr:uid="{00000000-0005-0000-0000-0000A3040000}"/>
    <cellStyle name="Финансовый 2 2 2 3 4" xfId="1461" xr:uid="{00000000-0005-0000-0000-0000A4040000}"/>
    <cellStyle name="Финансовый 2 2 2 3 4 2" xfId="1924" xr:uid="{00000000-0005-0000-0000-0000A5040000}"/>
    <cellStyle name="Финансовый 2 2 2 3 4 2 2" xfId="3569" xr:uid="{00000000-0005-0000-0000-0000A6040000}"/>
    <cellStyle name="Финансовый 2 2 2 3 4 2 3" xfId="5352" xr:uid="{00000000-0005-0000-0000-0000A7040000}"/>
    <cellStyle name="Финансовый 2 2 2 3 4 3" xfId="4889" xr:uid="{00000000-0005-0000-0000-0000A8040000}"/>
    <cellStyle name="Финансовый 2 2 2 3 5" xfId="1800" xr:uid="{00000000-0005-0000-0000-0000A9040000}"/>
    <cellStyle name="Финансовый 2 2 2 3 5 2" xfId="3445" xr:uid="{00000000-0005-0000-0000-0000AA040000}"/>
    <cellStyle name="Финансовый 2 2 2 3 5 3" xfId="5228" xr:uid="{00000000-0005-0000-0000-0000AB040000}"/>
    <cellStyle name="Финансовый 2 2 2 3 6" xfId="2445" xr:uid="{00000000-0005-0000-0000-0000AC040000}"/>
    <cellStyle name="Финансовый 2 2 2 3 6 2" xfId="4090" xr:uid="{00000000-0005-0000-0000-0000AD040000}"/>
    <cellStyle name="Финансовый 2 2 2 3 6 3" xfId="5873" xr:uid="{00000000-0005-0000-0000-0000AE040000}"/>
    <cellStyle name="Финансовый 2 2 2 3 7" xfId="1672" xr:uid="{00000000-0005-0000-0000-0000AF040000}"/>
    <cellStyle name="Финансовый 2 2 2 3 7 2" xfId="3317" xr:uid="{00000000-0005-0000-0000-0000B0040000}"/>
    <cellStyle name="Финансовый 2 2 2 3 7 3" xfId="5100" xr:uid="{00000000-0005-0000-0000-0000B1040000}"/>
    <cellStyle name="Финансовый 2 2 2 3 8" xfId="949" xr:uid="{00000000-0005-0000-0000-0000B2040000}"/>
    <cellStyle name="Финансовый 2 2 2 3 9" xfId="537" xr:uid="{00000000-0005-0000-0000-0000B3040000}"/>
    <cellStyle name="Финансовый 2 2 2 4" xfId="80" xr:uid="{00000000-0005-0000-0000-0000B4040000}"/>
    <cellStyle name="Финансовый 2 2 2 4 10" xfId="2690" xr:uid="{00000000-0005-0000-0000-0000B5040000}"/>
    <cellStyle name="Финансовый 2 2 2 4 11" xfId="4334" xr:uid="{00000000-0005-0000-0000-0000B6040000}"/>
    <cellStyle name="Финансовый 2 2 2 4 2" xfId="216" xr:uid="{00000000-0005-0000-0000-0000B7040000}"/>
    <cellStyle name="Финансовый 2 2 2 4 2 2" xfId="1314" xr:uid="{00000000-0005-0000-0000-0000B8040000}"/>
    <cellStyle name="Финансовый 2 2 2 4 2 2 2" xfId="2272" xr:uid="{00000000-0005-0000-0000-0000B9040000}"/>
    <cellStyle name="Финансовый 2 2 2 4 2 2 2 2" xfId="3917" xr:uid="{00000000-0005-0000-0000-0000BA040000}"/>
    <cellStyle name="Финансовый 2 2 2 4 2 2 2 3" xfId="5700" xr:uid="{00000000-0005-0000-0000-0000BB040000}"/>
    <cellStyle name="Финансовый 2 2 2 4 2 2 3" xfId="3098" xr:uid="{00000000-0005-0000-0000-0000BC040000}"/>
    <cellStyle name="Финансовый 2 2 2 4 2 2 4" xfId="4742" xr:uid="{00000000-0005-0000-0000-0000BD040000}"/>
    <cellStyle name="Финансовый 2 2 2 4 2 3" xfId="2016" xr:uid="{00000000-0005-0000-0000-0000BE040000}"/>
    <cellStyle name="Финансовый 2 2 2 4 2 3 2" xfId="3661" xr:uid="{00000000-0005-0000-0000-0000BF040000}"/>
    <cellStyle name="Финансовый 2 2 2 4 2 3 3" xfId="5444" xr:uid="{00000000-0005-0000-0000-0000C0040000}"/>
    <cellStyle name="Финансовый 2 2 2 4 2 4" xfId="2545" xr:uid="{00000000-0005-0000-0000-0000C1040000}"/>
    <cellStyle name="Финансовый 2 2 2 4 2 4 2" xfId="4190" xr:uid="{00000000-0005-0000-0000-0000C2040000}"/>
    <cellStyle name="Финансовый 2 2 2 4 2 4 3" xfId="5973" xr:uid="{00000000-0005-0000-0000-0000C3040000}"/>
    <cellStyle name="Финансовый 2 2 2 4 2 5" xfId="1049" xr:uid="{00000000-0005-0000-0000-0000C4040000}"/>
    <cellStyle name="Финансовый 2 2 2 4 2 6" xfId="637" xr:uid="{00000000-0005-0000-0000-0000C5040000}"/>
    <cellStyle name="Финансовый 2 2 2 4 2 7" xfId="2826" xr:uid="{00000000-0005-0000-0000-0000C6040000}"/>
    <cellStyle name="Финансовый 2 2 2 4 2 8" xfId="4470" xr:uid="{00000000-0005-0000-0000-0000C7040000}"/>
    <cellStyle name="Финансовый 2 2 2 4 3" xfId="365" xr:uid="{00000000-0005-0000-0000-0000C8040000}"/>
    <cellStyle name="Финансовый 2 2 2 4 3 2" xfId="2144" xr:uid="{00000000-0005-0000-0000-0000C9040000}"/>
    <cellStyle name="Финансовый 2 2 2 4 3 2 2" xfId="3789" xr:uid="{00000000-0005-0000-0000-0000CA040000}"/>
    <cellStyle name="Финансовый 2 2 2 4 3 2 3" xfId="5572" xr:uid="{00000000-0005-0000-0000-0000CB040000}"/>
    <cellStyle name="Финансовый 2 2 2 4 3 3" xfId="1178" xr:uid="{00000000-0005-0000-0000-0000CC040000}"/>
    <cellStyle name="Финансовый 2 2 2 4 3 4" xfId="785" xr:uid="{00000000-0005-0000-0000-0000CD040000}"/>
    <cellStyle name="Финансовый 2 2 2 4 3 5" xfId="2962" xr:uid="{00000000-0005-0000-0000-0000CE040000}"/>
    <cellStyle name="Финансовый 2 2 2 4 3 6" xfId="4606" xr:uid="{00000000-0005-0000-0000-0000CF040000}"/>
    <cellStyle name="Финансовый 2 2 2 4 4" xfId="1462" xr:uid="{00000000-0005-0000-0000-0000D0040000}"/>
    <cellStyle name="Финансовый 2 2 2 4 4 2" xfId="1888" xr:uid="{00000000-0005-0000-0000-0000D1040000}"/>
    <cellStyle name="Финансовый 2 2 2 4 4 2 2" xfId="3533" xr:uid="{00000000-0005-0000-0000-0000D2040000}"/>
    <cellStyle name="Финансовый 2 2 2 4 4 2 3" xfId="5316" xr:uid="{00000000-0005-0000-0000-0000D3040000}"/>
    <cellStyle name="Финансовый 2 2 2 4 4 3" xfId="4890" xr:uid="{00000000-0005-0000-0000-0000D4040000}"/>
    <cellStyle name="Финансовый 2 2 2 4 5" xfId="1764" xr:uid="{00000000-0005-0000-0000-0000D5040000}"/>
    <cellStyle name="Финансовый 2 2 2 4 5 2" xfId="3409" xr:uid="{00000000-0005-0000-0000-0000D6040000}"/>
    <cellStyle name="Финансовый 2 2 2 4 5 3" xfId="5192" xr:uid="{00000000-0005-0000-0000-0000D7040000}"/>
    <cellStyle name="Финансовый 2 2 2 4 6" xfId="2409" xr:uid="{00000000-0005-0000-0000-0000D8040000}"/>
    <cellStyle name="Финансовый 2 2 2 4 6 2" xfId="4054" xr:uid="{00000000-0005-0000-0000-0000D9040000}"/>
    <cellStyle name="Финансовый 2 2 2 4 6 3" xfId="5837" xr:uid="{00000000-0005-0000-0000-0000DA040000}"/>
    <cellStyle name="Финансовый 2 2 2 4 7" xfId="1636" xr:uid="{00000000-0005-0000-0000-0000DB040000}"/>
    <cellStyle name="Финансовый 2 2 2 4 7 2" xfId="3281" xr:uid="{00000000-0005-0000-0000-0000DC040000}"/>
    <cellStyle name="Финансовый 2 2 2 4 7 3" xfId="5064" xr:uid="{00000000-0005-0000-0000-0000DD040000}"/>
    <cellStyle name="Финансовый 2 2 2 4 8" xfId="913" xr:uid="{00000000-0005-0000-0000-0000DE040000}"/>
    <cellStyle name="Финансовый 2 2 2 4 9" xfId="501" xr:uid="{00000000-0005-0000-0000-0000DF040000}"/>
    <cellStyle name="Финансовый 2 2 2 5" xfId="58" xr:uid="{00000000-0005-0000-0000-0000E0040000}"/>
    <cellStyle name="Финансовый 2 2 2 5 10" xfId="2670" xr:uid="{00000000-0005-0000-0000-0000E1040000}"/>
    <cellStyle name="Финансовый 2 2 2 5 11" xfId="4313" xr:uid="{00000000-0005-0000-0000-0000E2040000}"/>
    <cellStyle name="Финансовый 2 2 2 5 2" xfId="196" xr:uid="{00000000-0005-0000-0000-0000E3040000}"/>
    <cellStyle name="Финансовый 2 2 2 5 2 2" xfId="1294" xr:uid="{00000000-0005-0000-0000-0000E4040000}"/>
    <cellStyle name="Финансовый 2 2 2 5 2 2 2" xfId="2260" xr:uid="{00000000-0005-0000-0000-0000E5040000}"/>
    <cellStyle name="Финансовый 2 2 2 5 2 2 2 2" xfId="3905" xr:uid="{00000000-0005-0000-0000-0000E6040000}"/>
    <cellStyle name="Финансовый 2 2 2 5 2 2 2 3" xfId="5688" xr:uid="{00000000-0005-0000-0000-0000E7040000}"/>
    <cellStyle name="Финансовый 2 2 2 5 2 2 3" xfId="3078" xr:uid="{00000000-0005-0000-0000-0000E8040000}"/>
    <cellStyle name="Финансовый 2 2 2 5 2 2 4" xfId="4722" xr:uid="{00000000-0005-0000-0000-0000E9040000}"/>
    <cellStyle name="Финансовый 2 2 2 5 2 3" xfId="2004" xr:uid="{00000000-0005-0000-0000-0000EA040000}"/>
    <cellStyle name="Финансовый 2 2 2 5 2 3 2" xfId="3649" xr:uid="{00000000-0005-0000-0000-0000EB040000}"/>
    <cellStyle name="Финансовый 2 2 2 5 2 3 3" xfId="5432" xr:uid="{00000000-0005-0000-0000-0000EC040000}"/>
    <cellStyle name="Финансовый 2 2 2 5 2 4" xfId="2525" xr:uid="{00000000-0005-0000-0000-0000ED040000}"/>
    <cellStyle name="Финансовый 2 2 2 5 2 4 2" xfId="4170" xr:uid="{00000000-0005-0000-0000-0000EE040000}"/>
    <cellStyle name="Финансовый 2 2 2 5 2 4 3" xfId="5953" xr:uid="{00000000-0005-0000-0000-0000EF040000}"/>
    <cellStyle name="Финансовый 2 2 2 5 2 5" xfId="1029" xr:uid="{00000000-0005-0000-0000-0000F0040000}"/>
    <cellStyle name="Финансовый 2 2 2 5 2 6" xfId="617" xr:uid="{00000000-0005-0000-0000-0000F1040000}"/>
    <cellStyle name="Финансовый 2 2 2 5 2 7" xfId="2806" xr:uid="{00000000-0005-0000-0000-0000F2040000}"/>
    <cellStyle name="Финансовый 2 2 2 5 2 8" xfId="4450" xr:uid="{00000000-0005-0000-0000-0000F3040000}"/>
    <cellStyle name="Финансовый 2 2 2 5 3" xfId="345" xr:uid="{00000000-0005-0000-0000-0000F4040000}"/>
    <cellStyle name="Финансовый 2 2 2 5 3 2" xfId="2132" xr:uid="{00000000-0005-0000-0000-0000F5040000}"/>
    <cellStyle name="Финансовый 2 2 2 5 3 2 2" xfId="3777" xr:uid="{00000000-0005-0000-0000-0000F6040000}"/>
    <cellStyle name="Финансовый 2 2 2 5 3 2 3" xfId="5560" xr:uid="{00000000-0005-0000-0000-0000F7040000}"/>
    <cellStyle name="Финансовый 2 2 2 5 3 3" xfId="1165" xr:uid="{00000000-0005-0000-0000-0000F8040000}"/>
    <cellStyle name="Финансовый 2 2 2 5 3 4" xfId="765" xr:uid="{00000000-0005-0000-0000-0000F9040000}"/>
    <cellStyle name="Финансовый 2 2 2 5 3 5" xfId="2942" xr:uid="{00000000-0005-0000-0000-0000FA040000}"/>
    <cellStyle name="Финансовый 2 2 2 5 3 6" xfId="4586" xr:uid="{00000000-0005-0000-0000-0000FB040000}"/>
    <cellStyle name="Финансовый 2 2 2 5 4" xfId="1463" xr:uid="{00000000-0005-0000-0000-0000FC040000}"/>
    <cellStyle name="Финансовый 2 2 2 5 4 2" xfId="1868" xr:uid="{00000000-0005-0000-0000-0000FD040000}"/>
    <cellStyle name="Финансовый 2 2 2 5 4 2 2" xfId="3513" xr:uid="{00000000-0005-0000-0000-0000FE040000}"/>
    <cellStyle name="Финансовый 2 2 2 5 4 2 3" xfId="5296" xr:uid="{00000000-0005-0000-0000-0000FF040000}"/>
    <cellStyle name="Финансовый 2 2 2 5 4 3" xfId="4891" xr:uid="{00000000-0005-0000-0000-000000050000}"/>
    <cellStyle name="Финансовый 2 2 2 5 5" xfId="1752" xr:uid="{00000000-0005-0000-0000-000001050000}"/>
    <cellStyle name="Финансовый 2 2 2 5 5 2" xfId="3397" xr:uid="{00000000-0005-0000-0000-000002050000}"/>
    <cellStyle name="Финансовый 2 2 2 5 5 3" xfId="5180" xr:uid="{00000000-0005-0000-0000-000003050000}"/>
    <cellStyle name="Финансовый 2 2 2 5 6" xfId="2388" xr:uid="{00000000-0005-0000-0000-000004050000}"/>
    <cellStyle name="Финансовый 2 2 2 5 6 2" xfId="4033" xr:uid="{00000000-0005-0000-0000-000005050000}"/>
    <cellStyle name="Финансовый 2 2 2 5 6 3" xfId="5816" xr:uid="{00000000-0005-0000-0000-000006050000}"/>
    <cellStyle name="Финансовый 2 2 2 5 7" xfId="1615" xr:uid="{00000000-0005-0000-0000-000007050000}"/>
    <cellStyle name="Финансовый 2 2 2 5 7 2" xfId="3260" xr:uid="{00000000-0005-0000-0000-000008050000}"/>
    <cellStyle name="Финансовый 2 2 2 5 7 3" xfId="5043" xr:uid="{00000000-0005-0000-0000-000009050000}"/>
    <cellStyle name="Финансовый 2 2 2 5 8" xfId="901" xr:uid="{00000000-0005-0000-0000-00000A050000}"/>
    <cellStyle name="Финансовый 2 2 2 5 9" xfId="481" xr:uid="{00000000-0005-0000-0000-00000B050000}"/>
    <cellStyle name="Финансовый 2 2 2 6" xfId="136" xr:uid="{00000000-0005-0000-0000-00000C050000}"/>
    <cellStyle name="Финансовый 2 2 2 6 10" xfId="2746" xr:uid="{00000000-0005-0000-0000-00000D050000}"/>
    <cellStyle name="Финансовый 2 2 2 6 11" xfId="4390" xr:uid="{00000000-0005-0000-0000-00000E050000}"/>
    <cellStyle name="Финансовый 2 2 2 6 2" xfId="272" xr:uid="{00000000-0005-0000-0000-00000F050000}"/>
    <cellStyle name="Финансовый 2 2 2 6 2 2" xfId="1370" xr:uid="{00000000-0005-0000-0000-000010050000}"/>
    <cellStyle name="Финансовый 2 2 2 6 2 2 2" xfId="2328" xr:uid="{00000000-0005-0000-0000-000011050000}"/>
    <cellStyle name="Финансовый 2 2 2 6 2 2 2 2" xfId="3973" xr:uid="{00000000-0005-0000-0000-000012050000}"/>
    <cellStyle name="Финансовый 2 2 2 6 2 2 2 3" xfId="5756" xr:uid="{00000000-0005-0000-0000-000013050000}"/>
    <cellStyle name="Финансовый 2 2 2 6 2 2 3" xfId="3154" xr:uid="{00000000-0005-0000-0000-000014050000}"/>
    <cellStyle name="Финансовый 2 2 2 6 2 2 4" xfId="4798" xr:uid="{00000000-0005-0000-0000-000015050000}"/>
    <cellStyle name="Финансовый 2 2 2 6 2 3" xfId="2072" xr:uid="{00000000-0005-0000-0000-000016050000}"/>
    <cellStyle name="Финансовый 2 2 2 6 2 3 2" xfId="3717" xr:uid="{00000000-0005-0000-0000-000017050000}"/>
    <cellStyle name="Финансовый 2 2 2 6 2 3 3" xfId="5500" xr:uid="{00000000-0005-0000-0000-000018050000}"/>
    <cellStyle name="Финансовый 2 2 2 6 2 4" xfId="2601" xr:uid="{00000000-0005-0000-0000-000019050000}"/>
    <cellStyle name="Финансовый 2 2 2 6 2 4 2" xfId="4246" xr:uid="{00000000-0005-0000-0000-00001A050000}"/>
    <cellStyle name="Финансовый 2 2 2 6 2 4 3" xfId="6029" xr:uid="{00000000-0005-0000-0000-00001B050000}"/>
    <cellStyle name="Финансовый 2 2 2 6 2 5" xfId="1105" xr:uid="{00000000-0005-0000-0000-00001C050000}"/>
    <cellStyle name="Финансовый 2 2 2 6 2 6" xfId="693" xr:uid="{00000000-0005-0000-0000-00001D050000}"/>
    <cellStyle name="Финансовый 2 2 2 6 2 7" xfId="2882" xr:uid="{00000000-0005-0000-0000-00001E050000}"/>
    <cellStyle name="Финансовый 2 2 2 6 2 8" xfId="4526" xr:uid="{00000000-0005-0000-0000-00001F050000}"/>
    <cellStyle name="Финансовый 2 2 2 6 3" xfId="421" xr:uid="{00000000-0005-0000-0000-000020050000}"/>
    <cellStyle name="Финансовый 2 2 2 6 3 2" xfId="2200" xr:uid="{00000000-0005-0000-0000-000021050000}"/>
    <cellStyle name="Финансовый 2 2 2 6 3 2 2" xfId="3845" xr:uid="{00000000-0005-0000-0000-000022050000}"/>
    <cellStyle name="Финансовый 2 2 2 6 3 2 3" xfId="5628" xr:uid="{00000000-0005-0000-0000-000023050000}"/>
    <cellStyle name="Финансовый 2 2 2 6 3 3" xfId="1234" xr:uid="{00000000-0005-0000-0000-000024050000}"/>
    <cellStyle name="Финансовый 2 2 2 6 3 4" xfId="841" xr:uid="{00000000-0005-0000-0000-000025050000}"/>
    <cellStyle name="Финансовый 2 2 2 6 3 5" xfId="3018" xr:uid="{00000000-0005-0000-0000-000026050000}"/>
    <cellStyle name="Финансовый 2 2 2 6 3 6" xfId="4662" xr:uid="{00000000-0005-0000-0000-000027050000}"/>
    <cellStyle name="Финансовый 2 2 2 6 4" xfId="1464" xr:uid="{00000000-0005-0000-0000-000028050000}"/>
    <cellStyle name="Финансовый 2 2 2 6 4 2" xfId="1944" xr:uid="{00000000-0005-0000-0000-000029050000}"/>
    <cellStyle name="Финансовый 2 2 2 6 4 2 2" xfId="3589" xr:uid="{00000000-0005-0000-0000-00002A050000}"/>
    <cellStyle name="Финансовый 2 2 2 6 4 2 3" xfId="5372" xr:uid="{00000000-0005-0000-0000-00002B050000}"/>
    <cellStyle name="Финансовый 2 2 2 6 4 3" xfId="4892" xr:uid="{00000000-0005-0000-0000-00002C050000}"/>
    <cellStyle name="Финансовый 2 2 2 6 5" xfId="1820" xr:uid="{00000000-0005-0000-0000-00002D050000}"/>
    <cellStyle name="Финансовый 2 2 2 6 5 2" xfId="3465" xr:uid="{00000000-0005-0000-0000-00002E050000}"/>
    <cellStyle name="Финансовый 2 2 2 6 5 3" xfId="5248" xr:uid="{00000000-0005-0000-0000-00002F050000}"/>
    <cellStyle name="Финансовый 2 2 2 6 6" xfId="2465" xr:uid="{00000000-0005-0000-0000-000030050000}"/>
    <cellStyle name="Финансовый 2 2 2 6 6 2" xfId="4110" xr:uid="{00000000-0005-0000-0000-000031050000}"/>
    <cellStyle name="Финансовый 2 2 2 6 6 3" xfId="5893" xr:uid="{00000000-0005-0000-0000-000032050000}"/>
    <cellStyle name="Финансовый 2 2 2 6 7" xfId="1692" xr:uid="{00000000-0005-0000-0000-000033050000}"/>
    <cellStyle name="Финансовый 2 2 2 6 7 2" xfId="3337" xr:uid="{00000000-0005-0000-0000-000034050000}"/>
    <cellStyle name="Финансовый 2 2 2 6 7 3" xfId="5120" xr:uid="{00000000-0005-0000-0000-000035050000}"/>
    <cellStyle name="Финансовый 2 2 2 6 8" xfId="969" xr:uid="{00000000-0005-0000-0000-000036050000}"/>
    <cellStyle name="Финансовый 2 2 2 6 9" xfId="557" xr:uid="{00000000-0005-0000-0000-000037050000}"/>
    <cellStyle name="Финансовый 2 2 2 7" xfId="34" xr:uid="{00000000-0005-0000-0000-000038050000}"/>
    <cellStyle name="Финансовый 2 2 2 7 10" xfId="2646" xr:uid="{00000000-0005-0000-0000-000039050000}"/>
    <cellStyle name="Финансовый 2 2 2 7 11" xfId="4289" xr:uid="{00000000-0005-0000-0000-00003A050000}"/>
    <cellStyle name="Финансовый 2 2 2 7 2" xfId="172" xr:uid="{00000000-0005-0000-0000-00003B050000}"/>
    <cellStyle name="Финансовый 2 2 2 7 2 2" xfId="1270" xr:uid="{00000000-0005-0000-0000-00003C050000}"/>
    <cellStyle name="Финансовый 2 2 2 7 2 2 2" xfId="2236" xr:uid="{00000000-0005-0000-0000-00003D050000}"/>
    <cellStyle name="Финансовый 2 2 2 7 2 2 2 2" xfId="3881" xr:uid="{00000000-0005-0000-0000-00003E050000}"/>
    <cellStyle name="Финансовый 2 2 2 7 2 2 2 3" xfId="5664" xr:uid="{00000000-0005-0000-0000-00003F050000}"/>
    <cellStyle name="Финансовый 2 2 2 7 2 2 3" xfId="3054" xr:uid="{00000000-0005-0000-0000-000040050000}"/>
    <cellStyle name="Финансовый 2 2 2 7 2 2 4" xfId="4698" xr:uid="{00000000-0005-0000-0000-000041050000}"/>
    <cellStyle name="Финансовый 2 2 2 7 2 3" xfId="1980" xr:uid="{00000000-0005-0000-0000-000042050000}"/>
    <cellStyle name="Финансовый 2 2 2 7 2 3 2" xfId="3625" xr:uid="{00000000-0005-0000-0000-000043050000}"/>
    <cellStyle name="Финансовый 2 2 2 7 2 3 3" xfId="5408" xr:uid="{00000000-0005-0000-0000-000044050000}"/>
    <cellStyle name="Финансовый 2 2 2 7 2 4" xfId="2501" xr:uid="{00000000-0005-0000-0000-000045050000}"/>
    <cellStyle name="Финансовый 2 2 2 7 2 4 2" xfId="4146" xr:uid="{00000000-0005-0000-0000-000046050000}"/>
    <cellStyle name="Финансовый 2 2 2 7 2 4 3" xfId="5929" xr:uid="{00000000-0005-0000-0000-000047050000}"/>
    <cellStyle name="Финансовый 2 2 2 7 2 5" xfId="1005" xr:uid="{00000000-0005-0000-0000-000048050000}"/>
    <cellStyle name="Финансовый 2 2 2 7 2 6" xfId="593" xr:uid="{00000000-0005-0000-0000-000049050000}"/>
    <cellStyle name="Финансовый 2 2 2 7 2 7" xfId="2782" xr:uid="{00000000-0005-0000-0000-00004A050000}"/>
    <cellStyle name="Финансовый 2 2 2 7 2 8" xfId="4426" xr:uid="{00000000-0005-0000-0000-00004B050000}"/>
    <cellStyle name="Финансовый 2 2 2 7 3" xfId="321" xr:uid="{00000000-0005-0000-0000-00004C050000}"/>
    <cellStyle name="Финансовый 2 2 2 7 3 2" xfId="2108" xr:uid="{00000000-0005-0000-0000-00004D050000}"/>
    <cellStyle name="Финансовый 2 2 2 7 3 2 2" xfId="3753" xr:uid="{00000000-0005-0000-0000-00004E050000}"/>
    <cellStyle name="Финансовый 2 2 2 7 3 2 3" xfId="5536" xr:uid="{00000000-0005-0000-0000-00004F050000}"/>
    <cellStyle name="Финансовый 2 2 2 7 3 3" xfId="1141" xr:uid="{00000000-0005-0000-0000-000050050000}"/>
    <cellStyle name="Финансовый 2 2 2 7 3 4" xfId="741" xr:uid="{00000000-0005-0000-0000-000051050000}"/>
    <cellStyle name="Финансовый 2 2 2 7 3 5" xfId="2918" xr:uid="{00000000-0005-0000-0000-000052050000}"/>
    <cellStyle name="Финансовый 2 2 2 7 3 6" xfId="4562" xr:uid="{00000000-0005-0000-0000-000053050000}"/>
    <cellStyle name="Финансовый 2 2 2 7 4" xfId="1465" xr:uid="{00000000-0005-0000-0000-000054050000}"/>
    <cellStyle name="Финансовый 2 2 2 7 4 2" xfId="1844" xr:uid="{00000000-0005-0000-0000-000055050000}"/>
    <cellStyle name="Финансовый 2 2 2 7 4 2 2" xfId="3489" xr:uid="{00000000-0005-0000-0000-000056050000}"/>
    <cellStyle name="Финансовый 2 2 2 7 4 2 3" xfId="5272" xr:uid="{00000000-0005-0000-0000-000057050000}"/>
    <cellStyle name="Финансовый 2 2 2 7 4 3" xfId="4893" xr:uid="{00000000-0005-0000-0000-000058050000}"/>
    <cellStyle name="Финансовый 2 2 2 7 5" xfId="1728" xr:uid="{00000000-0005-0000-0000-000059050000}"/>
    <cellStyle name="Финансовый 2 2 2 7 5 2" xfId="3373" xr:uid="{00000000-0005-0000-0000-00005A050000}"/>
    <cellStyle name="Финансовый 2 2 2 7 5 3" xfId="5156" xr:uid="{00000000-0005-0000-0000-00005B050000}"/>
    <cellStyle name="Финансовый 2 2 2 7 6" xfId="2364" xr:uid="{00000000-0005-0000-0000-00005C050000}"/>
    <cellStyle name="Финансовый 2 2 2 7 6 2" xfId="4009" xr:uid="{00000000-0005-0000-0000-00005D050000}"/>
    <cellStyle name="Финансовый 2 2 2 7 6 3" xfId="5792" xr:uid="{00000000-0005-0000-0000-00005E050000}"/>
    <cellStyle name="Финансовый 2 2 2 7 7" xfId="1591" xr:uid="{00000000-0005-0000-0000-00005F050000}"/>
    <cellStyle name="Финансовый 2 2 2 7 7 2" xfId="3236" xr:uid="{00000000-0005-0000-0000-000060050000}"/>
    <cellStyle name="Финансовый 2 2 2 7 7 3" xfId="5019" xr:uid="{00000000-0005-0000-0000-000061050000}"/>
    <cellStyle name="Финансовый 2 2 2 7 8" xfId="877" xr:uid="{00000000-0005-0000-0000-000062050000}"/>
    <cellStyle name="Финансовый 2 2 2 7 9" xfId="457" xr:uid="{00000000-0005-0000-0000-000063050000}"/>
    <cellStyle name="Финансовый 2 2 2 8" xfId="22" xr:uid="{00000000-0005-0000-0000-000064050000}"/>
    <cellStyle name="Финансовый 2 2 2 8 10" xfId="2634" xr:uid="{00000000-0005-0000-0000-000065050000}"/>
    <cellStyle name="Финансовый 2 2 2 8 11" xfId="4277" xr:uid="{00000000-0005-0000-0000-000066050000}"/>
    <cellStyle name="Финансовый 2 2 2 8 2" xfId="160" xr:uid="{00000000-0005-0000-0000-000067050000}"/>
    <cellStyle name="Финансовый 2 2 2 8 2 2" xfId="1258" xr:uid="{00000000-0005-0000-0000-000068050000}"/>
    <cellStyle name="Финансовый 2 2 2 8 2 2 2" xfId="2224" xr:uid="{00000000-0005-0000-0000-000069050000}"/>
    <cellStyle name="Финансовый 2 2 2 8 2 2 2 2" xfId="3869" xr:uid="{00000000-0005-0000-0000-00006A050000}"/>
    <cellStyle name="Финансовый 2 2 2 8 2 2 2 3" xfId="5652" xr:uid="{00000000-0005-0000-0000-00006B050000}"/>
    <cellStyle name="Финансовый 2 2 2 8 2 2 3" xfId="3042" xr:uid="{00000000-0005-0000-0000-00006C050000}"/>
    <cellStyle name="Финансовый 2 2 2 8 2 2 4" xfId="4686" xr:uid="{00000000-0005-0000-0000-00006D050000}"/>
    <cellStyle name="Финансовый 2 2 2 8 2 3" xfId="1968" xr:uid="{00000000-0005-0000-0000-00006E050000}"/>
    <cellStyle name="Финансовый 2 2 2 8 2 3 2" xfId="3613" xr:uid="{00000000-0005-0000-0000-00006F050000}"/>
    <cellStyle name="Финансовый 2 2 2 8 2 3 3" xfId="5396" xr:uid="{00000000-0005-0000-0000-000070050000}"/>
    <cellStyle name="Финансовый 2 2 2 8 2 4" xfId="2489" xr:uid="{00000000-0005-0000-0000-000071050000}"/>
    <cellStyle name="Финансовый 2 2 2 8 2 4 2" xfId="4134" xr:uid="{00000000-0005-0000-0000-000072050000}"/>
    <cellStyle name="Финансовый 2 2 2 8 2 4 3" xfId="5917" xr:uid="{00000000-0005-0000-0000-000073050000}"/>
    <cellStyle name="Финансовый 2 2 2 8 2 5" xfId="993" xr:uid="{00000000-0005-0000-0000-000074050000}"/>
    <cellStyle name="Финансовый 2 2 2 8 2 6" xfId="581" xr:uid="{00000000-0005-0000-0000-000075050000}"/>
    <cellStyle name="Финансовый 2 2 2 8 2 7" xfId="2770" xr:uid="{00000000-0005-0000-0000-000076050000}"/>
    <cellStyle name="Финансовый 2 2 2 8 2 8" xfId="4414" xr:uid="{00000000-0005-0000-0000-000077050000}"/>
    <cellStyle name="Финансовый 2 2 2 8 3" xfId="309" xr:uid="{00000000-0005-0000-0000-000078050000}"/>
    <cellStyle name="Финансовый 2 2 2 8 3 2" xfId="2096" xr:uid="{00000000-0005-0000-0000-000079050000}"/>
    <cellStyle name="Финансовый 2 2 2 8 3 2 2" xfId="3741" xr:uid="{00000000-0005-0000-0000-00007A050000}"/>
    <cellStyle name="Финансовый 2 2 2 8 3 2 3" xfId="5524" xr:uid="{00000000-0005-0000-0000-00007B050000}"/>
    <cellStyle name="Финансовый 2 2 2 8 3 3" xfId="1129" xr:uid="{00000000-0005-0000-0000-00007C050000}"/>
    <cellStyle name="Финансовый 2 2 2 8 3 4" xfId="729" xr:uid="{00000000-0005-0000-0000-00007D050000}"/>
    <cellStyle name="Финансовый 2 2 2 8 3 5" xfId="2906" xr:uid="{00000000-0005-0000-0000-00007E050000}"/>
    <cellStyle name="Финансовый 2 2 2 8 3 6" xfId="4550" xr:uid="{00000000-0005-0000-0000-00007F050000}"/>
    <cellStyle name="Финансовый 2 2 2 8 4" xfId="1466" xr:uid="{00000000-0005-0000-0000-000080050000}"/>
    <cellStyle name="Финансовый 2 2 2 8 4 2" xfId="1832" xr:uid="{00000000-0005-0000-0000-000081050000}"/>
    <cellStyle name="Финансовый 2 2 2 8 4 2 2" xfId="3477" xr:uid="{00000000-0005-0000-0000-000082050000}"/>
    <cellStyle name="Финансовый 2 2 2 8 4 2 3" xfId="5260" xr:uid="{00000000-0005-0000-0000-000083050000}"/>
    <cellStyle name="Финансовый 2 2 2 8 4 3" xfId="4894" xr:uid="{00000000-0005-0000-0000-000084050000}"/>
    <cellStyle name="Финансовый 2 2 2 8 5" xfId="1716" xr:uid="{00000000-0005-0000-0000-000085050000}"/>
    <cellStyle name="Финансовый 2 2 2 8 5 2" xfId="3361" xr:uid="{00000000-0005-0000-0000-000086050000}"/>
    <cellStyle name="Финансовый 2 2 2 8 5 3" xfId="5144" xr:uid="{00000000-0005-0000-0000-000087050000}"/>
    <cellStyle name="Финансовый 2 2 2 8 6" xfId="2352" xr:uid="{00000000-0005-0000-0000-000088050000}"/>
    <cellStyle name="Финансовый 2 2 2 8 6 2" xfId="3997" xr:uid="{00000000-0005-0000-0000-000089050000}"/>
    <cellStyle name="Финансовый 2 2 2 8 6 3" xfId="5780" xr:uid="{00000000-0005-0000-0000-00008A050000}"/>
    <cellStyle name="Финансовый 2 2 2 8 7" xfId="1579" xr:uid="{00000000-0005-0000-0000-00008B050000}"/>
    <cellStyle name="Финансовый 2 2 2 8 7 2" xfId="3224" xr:uid="{00000000-0005-0000-0000-00008C050000}"/>
    <cellStyle name="Финансовый 2 2 2 8 7 3" xfId="5007" xr:uid="{00000000-0005-0000-0000-00008D050000}"/>
    <cellStyle name="Финансовый 2 2 2 8 8" xfId="865" xr:uid="{00000000-0005-0000-0000-00008E050000}"/>
    <cellStyle name="Финансовый 2 2 2 8 9" xfId="445" xr:uid="{00000000-0005-0000-0000-00008F050000}"/>
    <cellStyle name="Финансовый 2 2 2 9" xfId="148" xr:uid="{00000000-0005-0000-0000-000090050000}"/>
    <cellStyle name="Финансовый 2 2 2 9 2" xfId="1246" xr:uid="{00000000-0005-0000-0000-000091050000}"/>
    <cellStyle name="Финансовый 2 2 2 9 2 2" xfId="2212" xr:uid="{00000000-0005-0000-0000-000092050000}"/>
    <cellStyle name="Финансовый 2 2 2 9 2 2 2" xfId="3857" xr:uid="{00000000-0005-0000-0000-000093050000}"/>
    <cellStyle name="Финансовый 2 2 2 9 2 2 3" xfId="5640" xr:uid="{00000000-0005-0000-0000-000094050000}"/>
    <cellStyle name="Финансовый 2 2 2 9 2 3" xfId="3030" xr:uid="{00000000-0005-0000-0000-000095050000}"/>
    <cellStyle name="Финансовый 2 2 2 9 2 4" xfId="4674" xr:uid="{00000000-0005-0000-0000-000096050000}"/>
    <cellStyle name="Финансовый 2 2 2 9 3" xfId="1956" xr:uid="{00000000-0005-0000-0000-000097050000}"/>
    <cellStyle name="Финансовый 2 2 2 9 3 2" xfId="3601" xr:uid="{00000000-0005-0000-0000-000098050000}"/>
    <cellStyle name="Финансовый 2 2 2 9 3 3" xfId="5384" xr:uid="{00000000-0005-0000-0000-000099050000}"/>
    <cellStyle name="Финансовый 2 2 2 9 4" xfId="2477" xr:uid="{00000000-0005-0000-0000-00009A050000}"/>
    <cellStyle name="Финансовый 2 2 2 9 4 2" xfId="4122" xr:uid="{00000000-0005-0000-0000-00009B050000}"/>
    <cellStyle name="Финансовый 2 2 2 9 4 3" xfId="5905" xr:uid="{00000000-0005-0000-0000-00009C050000}"/>
    <cellStyle name="Финансовый 2 2 2 9 5" xfId="981" xr:uid="{00000000-0005-0000-0000-00009D050000}"/>
    <cellStyle name="Финансовый 2 2 2 9 6" xfId="569" xr:uid="{00000000-0005-0000-0000-00009E050000}"/>
    <cellStyle name="Финансовый 2 2 2 9 7" xfId="2758" xr:uid="{00000000-0005-0000-0000-00009F050000}"/>
    <cellStyle name="Финансовый 2 2 2 9 8" xfId="4402" xr:uid="{00000000-0005-0000-0000-0000A0050000}"/>
    <cellStyle name="Финансовый 2 2 20" xfId="2616" xr:uid="{00000000-0005-0000-0000-0000A1050000}"/>
    <cellStyle name="Финансовый 2 2 21" xfId="4259" xr:uid="{00000000-0005-0000-0000-0000A2050000}"/>
    <cellStyle name="Финансовый 2 2 3" xfId="40" xr:uid="{00000000-0005-0000-0000-0000A3050000}"/>
    <cellStyle name="Финансовый 2 2 3 10" xfId="883" xr:uid="{00000000-0005-0000-0000-0000A4050000}"/>
    <cellStyle name="Финансовый 2 2 3 11" xfId="463" xr:uid="{00000000-0005-0000-0000-0000A5050000}"/>
    <cellStyle name="Финансовый 2 2 3 12" xfId="2652" xr:uid="{00000000-0005-0000-0000-0000A6050000}"/>
    <cellStyle name="Финансовый 2 2 3 13" xfId="4295" xr:uid="{00000000-0005-0000-0000-0000A7050000}"/>
    <cellStyle name="Финансовый 2 2 3 2" xfId="122" xr:uid="{00000000-0005-0000-0000-0000A8050000}"/>
    <cellStyle name="Финансовый 2 2 3 2 10" xfId="2732" xr:uid="{00000000-0005-0000-0000-0000A9050000}"/>
    <cellStyle name="Финансовый 2 2 3 2 11" xfId="4376" xr:uid="{00000000-0005-0000-0000-0000AA050000}"/>
    <cellStyle name="Финансовый 2 2 3 2 2" xfId="258" xr:uid="{00000000-0005-0000-0000-0000AB050000}"/>
    <cellStyle name="Финансовый 2 2 3 2 2 2" xfId="1356" xr:uid="{00000000-0005-0000-0000-0000AC050000}"/>
    <cellStyle name="Финансовый 2 2 3 2 2 2 2" xfId="2314" xr:uid="{00000000-0005-0000-0000-0000AD050000}"/>
    <cellStyle name="Финансовый 2 2 3 2 2 2 2 2" xfId="3959" xr:uid="{00000000-0005-0000-0000-0000AE050000}"/>
    <cellStyle name="Финансовый 2 2 3 2 2 2 2 3" xfId="5742" xr:uid="{00000000-0005-0000-0000-0000AF050000}"/>
    <cellStyle name="Финансовый 2 2 3 2 2 2 3" xfId="3140" xr:uid="{00000000-0005-0000-0000-0000B0050000}"/>
    <cellStyle name="Финансовый 2 2 3 2 2 2 4" xfId="4784" xr:uid="{00000000-0005-0000-0000-0000B1050000}"/>
    <cellStyle name="Финансовый 2 2 3 2 2 3" xfId="2058" xr:uid="{00000000-0005-0000-0000-0000B2050000}"/>
    <cellStyle name="Финансовый 2 2 3 2 2 3 2" xfId="3703" xr:uid="{00000000-0005-0000-0000-0000B3050000}"/>
    <cellStyle name="Финансовый 2 2 3 2 2 3 3" xfId="5486" xr:uid="{00000000-0005-0000-0000-0000B4050000}"/>
    <cellStyle name="Финансовый 2 2 3 2 2 4" xfId="2587" xr:uid="{00000000-0005-0000-0000-0000B5050000}"/>
    <cellStyle name="Финансовый 2 2 3 2 2 4 2" xfId="4232" xr:uid="{00000000-0005-0000-0000-0000B6050000}"/>
    <cellStyle name="Финансовый 2 2 3 2 2 4 3" xfId="6015" xr:uid="{00000000-0005-0000-0000-0000B7050000}"/>
    <cellStyle name="Финансовый 2 2 3 2 2 5" xfId="1091" xr:uid="{00000000-0005-0000-0000-0000B8050000}"/>
    <cellStyle name="Финансовый 2 2 3 2 2 6" xfId="679" xr:uid="{00000000-0005-0000-0000-0000B9050000}"/>
    <cellStyle name="Финансовый 2 2 3 2 2 7" xfId="2868" xr:uid="{00000000-0005-0000-0000-0000BA050000}"/>
    <cellStyle name="Финансовый 2 2 3 2 2 8" xfId="4512" xr:uid="{00000000-0005-0000-0000-0000BB050000}"/>
    <cellStyle name="Финансовый 2 2 3 2 3" xfId="407" xr:uid="{00000000-0005-0000-0000-0000BC050000}"/>
    <cellStyle name="Финансовый 2 2 3 2 3 2" xfId="2186" xr:uid="{00000000-0005-0000-0000-0000BD050000}"/>
    <cellStyle name="Финансовый 2 2 3 2 3 2 2" xfId="3831" xr:uid="{00000000-0005-0000-0000-0000BE050000}"/>
    <cellStyle name="Финансовый 2 2 3 2 3 2 3" xfId="5614" xr:uid="{00000000-0005-0000-0000-0000BF050000}"/>
    <cellStyle name="Финансовый 2 2 3 2 3 3" xfId="1220" xr:uid="{00000000-0005-0000-0000-0000C0050000}"/>
    <cellStyle name="Финансовый 2 2 3 2 3 4" xfId="827" xr:uid="{00000000-0005-0000-0000-0000C1050000}"/>
    <cellStyle name="Финансовый 2 2 3 2 3 5" xfId="3004" xr:uid="{00000000-0005-0000-0000-0000C2050000}"/>
    <cellStyle name="Финансовый 2 2 3 2 3 6" xfId="4648" xr:uid="{00000000-0005-0000-0000-0000C3050000}"/>
    <cellStyle name="Финансовый 2 2 3 2 4" xfId="1469" xr:uid="{00000000-0005-0000-0000-0000C4050000}"/>
    <cellStyle name="Финансовый 2 2 3 2 4 2" xfId="1930" xr:uid="{00000000-0005-0000-0000-0000C5050000}"/>
    <cellStyle name="Финансовый 2 2 3 2 4 2 2" xfId="3575" xr:uid="{00000000-0005-0000-0000-0000C6050000}"/>
    <cellStyle name="Финансовый 2 2 3 2 4 2 3" xfId="5358" xr:uid="{00000000-0005-0000-0000-0000C7050000}"/>
    <cellStyle name="Финансовый 2 2 3 2 4 3" xfId="4897" xr:uid="{00000000-0005-0000-0000-0000C8050000}"/>
    <cellStyle name="Финансовый 2 2 3 2 5" xfId="1806" xr:uid="{00000000-0005-0000-0000-0000C9050000}"/>
    <cellStyle name="Финансовый 2 2 3 2 5 2" xfId="3451" xr:uid="{00000000-0005-0000-0000-0000CA050000}"/>
    <cellStyle name="Финансовый 2 2 3 2 5 3" xfId="5234" xr:uid="{00000000-0005-0000-0000-0000CB050000}"/>
    <cellStyle name="Финансовый 2 2 3 2 6" xfId="2451" xr:uid="{00000000-0005-0000-0000-0000CC050000}"/>
    <cellStyle name="Финансовый 2 2 3 2 6 2" xfId="4096" xr:uid="{00000000-0005-0000-0000-0000CD050000}"/>
    <cellStyle name="Финансовый 2 2 3 2 6 3" xfId="5879" xr:uid="{00000000-0005-0000-0000-0000CE050000}"/>
    <cellStyle name="Финансовый 2 2 3 2 7" xfId="1678" xr:uid="{00000000-0005-0000-0000-0000CF050000}"/>
    <cellStyle name="Финансовый 2 2 3 2 7 2" xfId="3323" xr:uid="{00000000-0005-0000-0000-0000D0050000}"/>
    <cellStyle name="Финансовый 2 2 3 2 7 3" xfId="5106" xr:uid="{00000000-0005-0000-0000-0000D1050000}"/>
    <cellStyle name="Финансовый 2 2 3 2 8" xfId="955" xr:uid="{00000000-0005-0000-0000-0000D2050000}"/>
    <cellStyle name="Финансовый 2 2 3 2 9" xfId="543" xr:uid="{00000000-0005-0000-0000-0000D3050000}"/>
    <cellStyle name="Финансовый 2 2 3 3" xfId="86" xr:uid="{00000000-0005-0000-0000-0000D4050000}"/>
    <cellStyle name="Финансовый 2 2 3 3 10" xfId="2696" xr:uid="{00000000-0005-0000-0000-0000D5050000}"/>
    <cellStyle name="Финансовый 2 2 3 3 11" xfId="4340" xr:uid="{00000000-0005-0000-0000-0000D6050000}"/>
    <cellStyle name="Финансовый 2 2 3 3 2" xfId="222" xr:uid="{00000000-0005-0000-0000-0000D7050000}"/>
    <cellStyle name="Финансовый 2 2 3 3 2 2" xfId="1320" xr:uid="{00000000-0005-0000-0000-0000D8050000}"/>
    <cellStyle name="Финансовый 2 2 3 3 2 2 2" xfId="2278" xr:uid="{00000000-0005-0000-0000-0000D9050000}"/>
    <cellStyle name="Финансовый 2 2 3 3 2 2 2 2" xfId="3923" xr:uid="{00000000-0005-0000-0000-0000DA050000}"/>
    <cellStyle name="Финансовый 2 2 3 3 2 2 2 3" xfId="5706" xr:uid="{00000000-0005-0000-0000-0000DB050000}"/>
    <cellStyle name="Финансовый 2 2 3 3 2 2 3" xfId="3104" xr:uid="{00000000-0005-0000-0000-0000DC050000}"/>
    <cellStyle name="Финансовый 2 2 3 3 2 2 4" xfId="4748" xr:uid="{00000000-0005-0000-0000-0000DD050000}"/>
    <cellStyle name="Финансовый 2 2 3 3 2 3" xfId="2022" xr:uid="{00000000-0005-0000-0000-0000DE050000}"/>
    <cellStyle name="Финансовый 2 2 3 3 2 3 2" xfId="3667" xr:uid="{00000000-0005-0000-0000-0000DF050000}"/>
    <cellStyle name="Финансовый 2 2 3 3 2 3 3" xfId="5450" xr:uid="{00000000-0005-0000-0000-0000E0050000}"/>
    <cellStyle name="Финансовый 2 2 3 3 2 4" xfId="2551" xr:uid="{00000000-0005-0000-0000-0000E1050000}"/>
    <cellStyle name="Финансовый 2 2 3 3 2 4 2" xfId="4196" xr:uid="{00000000-0005-0000-0000-0000E2050000}"/>
    <cellStyle name="Финансовый 2 2 3 3 2 4 3" xfId="5979" xr:uid="{00000000-0005-0000-0000-0000E3050000}"/>
    <cellStyle name="Финансовый 2 2 3 3 2 5" xfId="1055" xr:uid="{00000000-0005-0000-0000-0000E4050000}"/>
    <cellStyle name="Финансовый 2 2 3 3 2 6" xfId="643" xr:uid="{00000000-0005-0000-0000-0000E5050000}"/>
    <cellStyle name="Финансовый 2 2 3 3 2 7" xfId="2832" xr:uid="{00000000-0005-0000-0000-0000E6050000}"/>
    <cellStyle name="Финансовый 2 2 3 3 2 8" xfId="4476" xr:uid="{00000000-0005-0000-0000-0000E7050000}"/>
    <cellStyle name="Финансовый 2 2 3 3 3" xfId="371" xr:uid="{00000000-0005-0000-0000-0000E8050000}"/>
    <cellStyle name="Финансовый 2 2 3 3 3 2" xfId="2150" xr:uid="{00000000-0005-0000-0000-0000E9050000}"/>
    <cellStyle name="Финансовый 2 2 3 3 3 2 2" xfId="3795" xr:uid="{00000000-0005-0000-0000-0000EA050000}"/>
    <cellStyle name="Финансовый 2 2 3 3 3 2 3" xfId="5578" xr:uid="{00000000-0005-0000-0000-0000EB050000}"/>
    <cellStyle name="Финансовый 2 2 3 3 3 3" xfId="1184" xr:uid="{00000000-0005-0000-0000-0000EC050000}"/>
    <cellStyle name="Финансовый 2 2 3 3 3 4" xfId="791" xr:uid="{00000000-0005-0000-0000-0000ED050000}"/>
    <cellStyle name="Финансовый 2 2 3 3 3 5" xfId="2968" xr:uid="{00000000-0005-0000-0000-0000EE050000}"/>
    <cellStyle name="Финансовый 2 2 3 3 3 6" xfId="4612" xr:uid="{00000000-0005-0000-0000-0000EF050000}"/>
    <cellStyle name="Финансовый 2 2 3 3 4" xfId="1470" xr:uid="{00000000-0005-0000-0000-0000F0050000}"/>
    <cellStyle name="Финансовый 2 2 3 3 4 2" xfId="1894" xr:uid="{00000000-0005-0000-0000-0000F1050000}"/>
    <cellStyle name="Финансовый 2 2 3 3 4 2 2" xfId="3539" xr:uid="{00000000-0005-0000-0000-0000F2050000}"/>
    <cellStyle name="Финансовый 2 2 3 3 4 2 3" xfId="5322" xr:uid="{00000000-0005-0000-0000-0000F3050000}"/>
    <cellStyle name="Финансовый 2 2 3 3 4 3" xfId="4898" xr:uid="{00000000-0005-0000-0000-0000F4050000}"/>
    <cellStyle name="Финансовый 2 2 3 3 5" xfId="1770" xr:uid="{00000000-0005-0000-0000-0000F5050000}"/>
    <cellStyle name="Финансовый 2 2 3 3 5 2" xfId="3415" xr:uid="{00000000-0005-0000-0000-0000F6050000}"/>
    <cellStyle name="Финансовый 2 2 3 3 5 3" xfId="5198" xr:uid="{00000000-0005-0000-0000-0000F7050000}"/>
    <cellStyle name="Финансовый 2 2 3 3 6" xfId="2415" xr:uid="{00000000-0005-0000-0000-0000F8050000}"/>
    <cellStyle name="Финансовый 2 2 3 3 6 2" xfId="4060" xr:uid="{00000000-0005-0000-0000-0000F9050000}"/>
    <cellStyle name="Финансовый 2 2 3 3 6 3" xfId="5843" xr:uid="{00000000-0005-0000-0000-0000FA050000}"/>
    <cellStyle name="Финансовый 2 2 3 3 7" xfId="1642" xr:uid="{00000000-0005-0000-0000-0000FB050000}"/>
    <cellStyle name="Финансовый 2 2 3 3 7 2" xfId="3287" xr:uid="{00000000-0005-0000-0000-0000FC050000}"/>
    <cellStyle name="Финансовый 2 2 3 3 7 3" xfId="5070" xr:uid="{00000000-0005-0000-0000-0000FD050000}"/>
    <cellStyle name="Финансовый 2 2 3 3 8" xfId="919" xr:uid="{00000000-0005-0000-0000-0000FE050000}"/>
    <cellStyle name="Финансовый 2 2 3 3 9" xfId="507" xr:uid="{00000000-0005-0000-0000-0000FF050000}"/>
    <cellStyle name="Финансовый 2 2 3 4" xfId="178" xr:uid="{00000000-0005-0000-0000-000000060000}"/>
    <cellStyle name="Финансовый 2 2 3 4 2" xfId="1276" xr:uid="{00000000-0005-0000-0000-000001060000}"/>
    <cellStyle name="Финансовый 2 2 3 4 2 2" xfId="2242" xr:uid="{00000000-0005-0000-0000-000002060000}"/>
    <cellStyle name="Финансовый 2 2 3 4 2 2 2" xfId="3887" xr:uid="{00000000-0005-0000-0000-000003060000}"/>
    <cellStyle name="Финансовый 2 2 3 4 2 2 3" xfId="5670" xr:uid="{00000000-0005-0000-0000-000004060000}"/>
    <cellStyle name="Финансовый 2 2 3 4 2 3" xfId="3060" xr:uid="{00000000-0005-0000-0000-000005060000}"/>
    <cellStyle name="Финансовый 2 2 3 4 2 4" xfId="4704" xr:uid="{00000000-0005-0000-0000-000006060000}"/>
    <cellStyle name="Финансовый 2 2 3 4 3" xfId="1986" xr:uid="{00000000-0005-0000-0000-000007060000}"/>
    <cellStyle name="Финансовый 2 2 3 4 3 2" xfId="3631" xr:uid="{00000000-0005-0000-0000-000008060000}"/>
    <cellStyle name="Финансовый 2 2 3 4 3 3" xfId="5414" xr:uid="{00000000-0005-0000-0000-000009060000}"/>
    <cellStyle name="Финансовый 2 2 3 4 4" xfId="2507" xr:uid="{00000000-0005-0000-0000-00000A060000}"/>
    <cellStyle name="Финансовый 2 2 3 4 4 2" xfId="4152" xr:uid="{00000000-0005-0000-0000-00000B060000}"/>
    <cellStyle name="Финансовый 2 2 3 4 4 3" xfId="5935" xr:uid="{00000000-0005-0000-0000-00000C060000}"/>
    <cellStyle name="Финансовый 2 2 3 4 5" xfId="1011" xr:uid="{00000000-0005-0000-0000-00000D060000}"/>
    <cellStyle name="Финансовый 2 2 3 4 6" xfId="599" xr:uid="{00000000-0005-0000-0000-00000E060000}"/>
    <cellStyle name="Финансовый 2 2 3 4 7" xfId="2788" xr:uid="{00000000-0005-0000-0000-00000F060000}"/>
    <cellStyle name="Финансовый 2 2 3 4 8" xfId="4432" xr:uid="{00000000-0005-0000-0000-000010060000}"/>
    <cellStyle name="Финансовый 2 2 3 5" xfId="327" xr:uid="{00000000-0005-0000-0000-000011060000}"/>
    <cellStyle name="Финансовый 2 2 3 5 2" xfId="2114" xr:uid="{00000000-0005-0000-0000-000012060000}"/>
    <cellStyle name="Финансовый 2 2 3 5 2 2" xfId="3759" xr:uid="{00000000-0005-0000-0000-000013060000}"/>
    <cellStyle name="Финансовый 2 2 3 5 2 3" xfId="5542" xr:uid="{00000000-0005-0000-0000-000014060000}"/>
    <cellStyle name="Финансовый 2 2 3 5 3" xfId="1147" xr:uid="{00000000-0005-0000-0000-000015060000}"/>
    <cellStyle name="Финансовый 2 2 3 5 4" xfId="747" xr:uid="{00000000-0005-0000-0000-000016060000}"/>
    <cellStyle name="Финансовый 2 2 3 5 5" xfId="2924" xr:uid="{00000000-0005-0000-0000-000017060000}"/>
    <cellStyle name="Финансовый 2 2 3 5 6" xfId="4568" xr:uid="{00000000-0005-0000-0000-000018060000}"/>
    <cellStyle name="Финансовый 2 2 3 6" xfId="1468" xr:uid="{00000000-0005-0000-0000-000019060000}"/>
    <cellStyle name="Финансовый 2 2 3 6 2" xfId="1850" xr:uid="{00000000-0005-0000-0000-00001A060000}"/>
    <cellStyle name="Финансовый 2 2 3 6 2 2" xfId="3495" xr:uid="{00000000-0005-0000-0000-00001B060000}"/>
    <cellStyle name="Финансовый 2 2 3 6 2 3" xfId="5278" xr:uid="{00000000-0005-0000-0000-00001C060000}"/>
    <cellStyle name="Финансовый 2 2 3 6 3" xfId="4896" xr:uid="{00000000-0005-0000-0000-00001D060000}"/>
    <cellStyle name="Финансовый 2 2 3 7" xfId="1734" xr:uid="{00000000-0005-0000-0000-00001E060000}"/>
    <cellStyle name="Финансовый 2 2 3 7 2" xfId="3379" xr:uid="{00000000-0005-0000-0000-00001F060000}"/>
    <cellStyle name="Финансовый 2 2 3 7 3" xfId="5162" xr:uid="{00000000-0005-0000-0000-000020060000}"/>
    <cellStyle name="Финансовый 2 2 3 8" xfId="2370" xr:uid="{00000000-0005-0000-0000-000021060000}"/>
    <cellStyle name="Финансовый 2 2 3 8 2" xfId="4015" xr:uid="{00000000-0005-0000-0000-000022060000}"/>
    <cellStyle name="Финансовый 2 2 3 8 3" xfId="5798" xr:uid="{00000000-0005-0000-0000-000023060000}"/>
    <cellStyle name="Финансовый 2 2 3 9" xfId="1597" xr:uid="{00000000-0005-0000-0000-000024060000}"/>
    <cellStyle name="Финансовый 2 2 3 9 2" xfId="3242" xr:uid="{00000000-0005-0000-0000-000025060000}"/>
    <cellStyle name="Финансовый 2 2 3 9 3" xfId="5025" xr:uid="{00000000-0005-0000-0000-000026060000}"/>
    <cellStyle name="Финансовый 2 2 4" xfId="92" xr:uid="{00000000-0005-0000-0000-000027060000}"/>
    <cellStyle name="Финансовый 2 2 4 10" xfId="2702" xr:uid="{00000000-0005-0000-0000-000028060000}"/>
    <cellStyle name="Финансовый 2 2 4 11" xfId="4346" xr:uid="{00000000-0005-0000-0000-000029060000}"/>
    <cellStyle name="Финансовый 2 2 4 2" xfId="228" xr:uid="{00000000-0005-0000-0000-00002A060000}"/>
    <cellStyle name="Финансовый 2 2 4 2 2" xfId="1326" xr:uid="{00000000-0005-0000-0000-00002B060000}"/>
    <cellStyle name="Финансовый 2 2 4 2 2 2" xfId="2284" xr:uid="{00000000-0005-0000-0000-00002C060000}"/>
    <cellStyle name="Финансовый 2 2 4 2 2 2 2" xfId="3929" xr:uid="{00000000-0005-0000-0000-00002D060000}"/>
    <cellStyle name="Финансовый 2 2 4 2 2 2 3" xfId="5712" xr:uid="{00000000-0005-0000-0000-00002E060000}"/>
    <cellStyle name="Финансовый 2 2 4 2 2 3" xfId="3110" xr:uid="{00000000-0005-0000-0000-00002F060000}"/>
    <cellStyle name="Финансовый 2 2 4 2 2 4" xfId="4754" xr:uid="{00000000-0005-0000-0000-000030060000}"/>
    <cellStyle name="Финансовый 2 2 4 2 3" xfId="2028" xr:uid="{00000000-0005-0000-0000-000031060000}"/>
    <cellStyle name="Финансовый 2 2 4 2 3 2" xfId="3673" xr:uid="{00000000-0005-0000-0000-000032060000}"/>
    <cellStyle name="Финансовый 2 2 4 2 3 3" xfId="5456" xr:uid="{00000000-0005-0000-0000-000033060000}"/>
    <cellStyle name="Финансовый 2 2 4 2 4" xfId="2557" xr:uid="{00000000-0005-0000-0000-000034060000}"/>
    <cellStyle name="Финансовый 2 2 4 2 4 2" xfId="4202" xr:uid="{00000000-0005-0000-0000-000035060000}"/>
    <cellStyle name="Финансовый 2 2 4 2 4 3" xfId="5985" xr:uid="{00000000-0005-0000-0000-000036060000}"/>
    <cellStyle name="Финансовый 2 2 4 2 5" xfId="1061" xr:uid="{00000000-0005-0000-0000-000037060000}"/>
    <cellStyle name="Финансовый 2 2 4 2 6" xfId="649" xr:uid="{00000000-0005-0000-0000-000038060000}"/>
    <cellStyle name="Финансовый 2 2 4 2 7" xfId="2838" xr:uid="{00000000-0005-0000-0000-000039060000}"/>
    <cellStyle name="Финансовый 2 2 4 2 8" xfId="4482" xr:uid="{00000000-0005-0000-0000-00003A060000}"/>
    <cellStyle name="Финансовый 2 2 4 3" xfId="377" xr:uid="{00000000-0005-0000-0000-00003B060000}"/>
    <cellStyle name="Финансовый 2 2 4 3 2" xfId="2156" xr:uid="{00000000-0005-0000-0000-00003C060000}"/>
    <cellStyle name="Финансовый 2 2 4 3 2 2" xfId="3801" xr:uid="{00000000-0005-0000-0000-00003D060000}"/>
    <cellStyle name="Финансовый 2 2 4 3 2 3" xfId="5584" xr:uid="{00000000-0005-0000-0000-00003E060000}"/>
    <cellStyle name="Финансовый 2 2 4 3 3" xfId="1190" xr:uid="{00000000-0005-0000-0000-00003F060000}"/>
    <cellStyle name="Финансовый 2 2 4 3 4" xfId="797" xr:uid="{00000000-0005-0000-0000-000040060000}"/>
    <cellStyle name="Финансовый 2 2 4 3 5" xfId="2974" xr:uid="{00000000-0005-0000-0000-000041060000}"/>
    <cellStyle name="Финансовый 2 2 4 3 6" xfId="4618" xr:uid="{00000000-0005-0000-0000-000042060000}"/>
    <cellStyle name="Финансовый 2 2 4 4" xfId="1471" xr:uid="{00000000-0005-0000-0000-000043060000}"/>
    <cellStyle name="Финансовый 2 2 4 4 2" xfId="1900" xr:uid="{00000000-0005-0000-0000-000044060000}"/>
    <cellStyle name="Финансовый 2 2 4 4 2 2" xfId="3545" xr:uid="{00000000-0005-0000-0000-000045060000}"/>
    <cellStyle name="Финансовый 2 2 4 4 2 3" xfId="5328" xr:uid="{00000000-0005-0000-0000-000046060000}"/>
    <cellStyle name="Финансовый 2 2 4 4 3" xfId="4899" xr:uid="{00000000-0005-0000-0000-000047060000}"/>
    <cellStyle name="Финансовый 2 2 4 5" xfId="1776" xr:uid="{00000000-0005-0000-0000-000048060000}"/>
    <cellStyle name="Финансовый 2 2 4 5 2" xfId="3421" xr:uid="{00000000-0005-0000-0000-000049060000}"/>
    <cellStyle name="Финансовый 2 2 4 5 3" xfId="5204" xr:uid="{00000000-0005-0000-0000-00004A060000}"/>
    <cellStyle name="Финансовый 2 2 4 6" xfId="2421" xr:uid="{00000000-0005-0000-0000-00004B060000}"/>
    <cellStyle name="Финансовый 2 2 4 6 2" xfId="4066" xr:uid="{00000000-0005-0000-0000-00004C060000}"/>
    <cellStyle name="Финансовый 2 2 4 6 3" xfId="5849" xr:uid="{00000000-0005-0000-0000-00004D060000}"/>
    <cellStyle name="Финансовый 2 2 4 7" xfId="1648" xr:uid="{00000000-0005-0000-0000-00004E060000}"/>
    <cellStyle name="Финансовый 2 2 4 7 2" xfId="3293" xr:uid="{00000000-0005-0000-0000-00004F060000}"/>
    <cellStyle name="Финансовый 2 2 4 7 3" xfId="5076" xr:uid="{00000000-0005-0000-0000-000050060000}"/>
    <cellStyle name="Финансовый 2 2 4 8" xfId="925" xr:uid="{00000000-0005-0000-0000-000051060000}"/>
    <cellStyle name="Финансовый 2 2 4 9" xfId="513" xr:uid="{00000000-0005-0000-0000-000052060000}"/>
    <cellStyle name="Финансовый 2 2 5" xfId="98" xr:uid="{00000000-0005-0000-0000-000053060000}"/>
    <cellStyle name="Финансовый 2 2 5 10" xfId="2708" xr:uid="{00000000-0005-0000-0000-000054060000}"/>
    <cellStyle name="Финансовый 2 2 5 11" xfId="4352" xr:uid="{00000000-0005-0000-0000-000055060000}"/>
    <cellStyle name="Финансовый 2 2 5 2" xfId="234" xr:uid="{00000000-0005-0000-0000-000056060000}"/>
    <cellStyle name="Финансовый 2 2 5 2 2" xfId="1332" xr:uid="{00000000-0005-0000-0000-000057060000}"/>
    <cellStyle name="Финансовый 2 2 5 2 2 2" xfId="2290" xr:uid="{00000000-0005-0000-0000-000058060000}"/>
    <cellStyle name="Финансовый 2 2 5 2 2 2 2" xfId="3935" xr:uid="{00000000-0005-0000-0000-000059060000}"/>
    <cellStyle name="Финансовый 2 2 5 2 2 2 3" xfId="5718" xr:uid="{00000000-0005-0000-0000-00005A060000}"/>
    <cellStyle name="Финансовый 2 2 5 2 2 3" xfId="3116" xr:uid="{00000000-0005-0000-0000-00005B060000}"/>
    <cellStyle name="Финансовый 2 2 5 2 2 4" xfId="4760" xr:uid="{00000000-0005-0000-0000-00005C060000}"/>
    <cellStyle name="Финансовый 2 2 5 2 3" xfId="2034" xr:uid="{00000000-0005-0000-0000-00005D060000}"/>
    <cellStyle name="Финансовый 2 2 5 2 3 2" xfId="3679" xr:uid="{00000000-0005-0000-0000-00005E060000}"/>
    <cellStyle name="Финансовый 2 2 5 2 3 3" xfId="5462" xr:uid="{00000000-0005-0000-0000-00005F060000}"/>
    <cellStyle name="Финансовый 2 2 5 2 4" xfId="2563" xr:uid="{00000000-0005-0000-0000-000060060000}"/>
    <cellStyle name="Финансовый 2 2 5 2 4 2" xfId="4208" xr:uid="{00000000-0005-0000-0000-000061060000}"/>
    <cellStyle name="Финансовый 2 2 5 2 4 3" xfId="5991" xr:uid="{00000000-0005-0000-0000-000062060000}"/>
    <cellStyle name="Финансовый 2 2 5 2 5" xfId="1067" xr:uid="{00000000-0005-0000-0000-000063060000}"/>
    <cellStyle name="Финансовый 2 2 5 2 6" xfId="655" xr:uid="{00000000-0005-0000-0000-000064060000}"/>
    <cellStyle name="Финансовый 2 2 5 2 7" xfId="2844" xr:uid="{00000000-0005-0000-0000-000065060000}"/>
    <cellStyle name="Финансовый 2 2 5 2 8" xfId="4488" xr:uid="{00000000-0005-0000-0000-000066060000}"/>
    <cellStyle name="Финансовый 2 2 5 3" xfId="383" xr:uid="{00000000-0005-0000-0000-000067060000}"/>
    <cellStyle name="Финансовый 2 2 5 3 2" xfId="2162" xr:uid="{00000000-0005-0000-0000-000068060000}"/>
    <cellStyle name="Финансовый 2 2 5 3 2 2" xfId="3807" xr:uid="{00000000-0005-0000-0000-000069060000}"/>
    <cellStyle name="Финансовый 2 2 5 3 2 3" xfId="5590" xr:uid="{00000000-0005-0000-0000-00006A060000}"/>
    <cellStyle name="Финансовый 2 2 5 3 3" xfId="1196" xr:uid="{00000000-0005-0000-0000-00006B060000}"/>
    <cellStyle name="Финансовый 2 2 5 3 4" xfId="803" xr:uid="{00000000-0005-0000-0000-00006C060000}"/>
    <cellStyle name="Финансовый 2 2 5 3 5" xfId="2980" xr:uid="{00000000-0005-0000-0000-00006D060000}"/>
    <cellStyle name="Финансовый 2 2 5 3 6" xfId="4624" xr:uid="{00000000-0005-0000-0000-00006E060000}"/>
    <cellStyle name="Финансовый 2 2 5 4" xfId="1472" xr:uid="{00000000-0005-0000-0000-00006F060000}"/>
    <cellStyle name="Финансовый 2 2 5 4 2" xfId="1906" xr:uid="{00000000-0005-0000-0000-000070060000}"/>
    <cellStyle name="Финансовый 2 2 5 4 2 2" xfId="3551" xr:uid="{00000000-0005-0000-0000-000071060000}"/>
    <cellStyle name="Финансовый 2 2 5 4 2 3" xfId="5334" xr:uid="{00000000-0005-0000-0000-000072060000}"/>
    <cellStyle name="Финансовый 2 2 5 4 3" xfId="4900" xr:uid="{00000000-0005-0000-0000-000073060000}"/>
    <cellStyle name="Финансовый 2 2 5 5" xfId="1782" xr:uid="{00000000-0005-0000-0000-000074060000}"/>
    <cellStyle name="Финансовый 2 2 5 5 2" xfId="3427" xr:uid="{00000000-0005-0000-0000-000075060000}"/>
    <cellStyle name="Финансовый 2 2 5 5 3" xfId="5210" xr:uid="{00000000-0005-0000-0000-000076060000}"/>
    <cellStyle name="Финансовый 2 2 5 6" xfId="2427" xr:uid="{00000000-0005-0000-0000-000077060000}"/>
    <cellStyle name="Финансовый 2 2 5 6 2" xfId="4072" xr:uid="{00000000-0005-0000-0000-000078060000}"/>
    <cellStyle name="Финансовый 2 2 5 6 3" xfId="5855" xr:uid="{00000000-0005-0000-0000-000079060000}"/>
    <cellStyle name="Финансовый 2 2 5 7" xfId="1654" xr:uid="{00000000-0005-0000-0000-00007A060000}"/>
    <cellStyle name="Финансовый 2 2 5 7 2" xfId="3299" xr:uid="{00000000-0005-0000-0000-00007B060000}"/>
    <cellStyle name="Финансовый 2 2 5 7 3" xfId="5082" xr:uid="{00000000-0005-0000-0000-00007C060000}"/>
    <cellStyle name="Финансовый 2 2 5 8" xfId="931" xr:uid="{00000000-0005-0000-0000-00007D060000}"/>
    <cellStyle name="Финансовый 2 2 5 9" xfId="519" xr:uid="{00000000-0005-0000-0000-00007E060000}"/>
    <cellStyle name="Финансовый 2 2 6" xfId="110" xr:uid="{00000000-0005-0000-0000-00007F060000}"/>
    <cellStyle name="Финансовый 2 2 6 10" xfId="2720" xr:uid="{00000000-0005-0000-0000-000080060000}"/>
    <cellStyle name="Финансовый 2 2 6 11" xfId="4364" xr:uid="{00000000-0005-0000-0000-000081060000}"/>
    <cellStyle name="Финансовый 2 2 6 2" xfId="246" xr:uid="{00000000-0005-0000-0000-000082060000}"/>
    <cellStyle name="Финансовый 2 2 6 2 2" xfId="1344" xr:uid="{00000000-0005-0000-0000-000083060000}"/>
    <cellStyle name="Финансовый 2 2 6 2 2 2" xfId="2302" xr:uid="{00000000-0005-0000-0000-000084060000}"/>
    <cellStyle name="Финансовый 2 2 6 2 2 2 2" xfId="3947" xr:uid="{00000000-0005-0000-0000-000085060000}"/>
    <cellStyle name="Финансовый 2 2 6 2 2 2 3" xfId="5730" xr:uid="{00000000-0005-0000-0000-000086060000}"/>
    <cellStyle name="Финансовый 2 2 6 2 2 3" xfId="3128" xr:uid="{00000000-0005-0000-0000-000087060000}"/>
    <cellStyle name="Финансовый 2 2 6 2 2 4" xfId="4772" xr:uid="{00000000-0005-0000-0000-000088060000}"/>
    <cellStyle name="Финансовый 2 2 6 2 3" xfId="2046" xr:uid="{00000000-0005-0000-0000-000089060000}"/>
    <cellStyle name="Финансовый 2 2 6 2 3 2" xfId="3691" xr:uid="{00000000-0005-0000-0000-00008A060000}"/>
    <cellStyle name="Финансовый 2 2 6 2 3 3" xfId="5474" xr:uid="{00000000-0005-0000-0000-00008B060000}"/>
    <cellStyle name="Финансовый 2 2 6 2 4" xfId="2575" xr:uid="{00000000-0005-0000-0000-00008C060000}"/>
    <cellStyle name="Финансовый 2 2 6 2 4 2" xfId="4220" xr:uid="{00000000-0005-0000-0000-00008D060000}"/>
    <cellStyle name="Финансовый 2 2 6 2 4 3" xfId="6003" xr:uid="{00000000-0005-0000-0000-00008E060000}"/>
    <cellStyle name="Финансовый 2 2 6 2 5" xfId="1079" xr:uid="{00000000-0005-0000-0000-00008F060000}"/>
    <cellStyle name="Финансовый 2 2 6 2 6" xfId="667" xr:uid="{00000000-0005-0000-0000-000090060000}"/>
    <cellStyle name="Финансовый 2 2 6 2 7" xfId="2856" xr:uid="{00000000-0005-0000-0000-000091060000}"/>
    <cellStyle name="Финансовый 2 2 6 2 8" xfId="4500" xr:uid="{00000000-0005-0000-0000-000092060000}"/>
    <cellStyle name="Финансовый 2 2 6 3" xfId="395" xr:uid="{00000000-0005-0000-0000-000093060000}"/>
    <cellStyle name="Финансовый 2 2 6 3 2" xfId="2174" xr:uid="{00000000-0005-0000-0000-000094060000}"/>
    <cellStyle name="Финансовый 2 2 6 3 2 2" xfId="3819" xr:uid="{00000000-0005-0000-0000-000095060000}"/>
    <cellStyle name="Финансовый 2 2 6 3 2 3" xfId="5602" xr:uid="{00000000-0005-0000-0000-000096060000}"/>
    <cellStyle name="Финансовый 2 2 6 3 3" xfId="1208" xr:uid="{00000000-0005-0000-0000-000097060000}"/>
    <cellStyle name="Финансовый 2 2 6 3 4" xfId="815" xr:uid="{00000000-0005-0000-0000-000098060000}"/>
    <cellStyle name="Финансовый 2 2 6 3 5" xfId="2992" xr:uid="{00000000-0005-0000-0000-000099060000}"/>
    <cellStyle name="Финансовый 2 2 6 3 6" xfId="4636" xr:uid="{00000000-0005-0000-0000-00009A060000}"/>
    <cellStyle name="Финансовый 2 2 6 4" xfId="1459" xr:uid="{00000000-0005-0000-0000-00009B060000}"/>
    <cellStyle name="Финансовый 2 2 6 4 2" xfId="1918" xr:uid="{00000000-0005-0000-0000-00009C060000}"/>
    <cellStyle name="Финансовый 2 2 6 4 2 2" xfId="3563" xr:uid="{00000000-0005-0000-0000-00009D060000}"/>
    <cellStyle name="Финансовый 2 2 6 4 2 3" xfId="5346" xr:uid="{00000000-0005-0000-0000-00009E060000}"/>
    <cellStyle name="Финансовый 2 2 6 4 3" xfId="4887" xr:uid="{00000000-0005-0000-0000-00009F060000}"/>
    <cellStyle name="Финансовый 2 2 6 5" xfId="1794" xr:uid="{00000000-0005-0000-0000-0000A0060000}"/>
    <cellStyle name="Финансовый 2 2 6 5 2" xfId="3439" xr:uid="{00000000-0005-0000-0000-0000A1060000}"/>
    <cellStyle name="Финансовый 2 2 6 5 3" xfId="5222" xr:uid="{00000000-0005-0000-0000-0000A2060000}"/>
    <cellStyle name="Финансовый 2 2 6 6" xfId="2439" xr:uid="{00000000-0005-0000-0000-0000A3060000}"/>
    <cellStyle name="Финансовый 2 2 6 6 2" xfId="4084" xr:uid="{00000000-0005-0000-0000-0000A4060000}"/>
    <cellStyle name="Финансовый 2 2 6 6 3" xfId="5867" xr:uid="{00000000-0005-0000-0000-0000A5060000}"/>
    <cellStyle name="Финансовый 2 2 6 7" xfId="1666" xr:uid="{00000000-0005-0000-0000-0000A6060000}"/>
    <cellStyle name="Финансовый 2 2 6 7 2" xfId="3311" xr:uid="{00000000-0005-0000-0000-0000A7060000}"/>
    <cellStyle name="Финансовый 2 2 6 7 3" xfId="5094" xr:uid="{00000000-0005-0000-0000-0000A8060000}"/>
    <cellStyle name="Финансовый 2 2 6 8" xfId="943" xr:uid="{00000000-0005-0000-0000-0000A9060000}"/>
    <cellStyle name="Финансовый 2 2 6 9" xfId="531" xr:uid="{00000000-0005-0000-0000-0000AA060000}"/>
    <cellStyle name="Финансовый 2 2 7" xfId="65" xr:uid="{00000000-0005-0000-0000-0000AB060000}"/>
    <cellStyle name="Финансовый 2 2 7 10" xfId="2675" xr:uid="{00000000-0005-0000-0000-0000AC060000}"/>
    <cellStyle name="Финансовый 2 2 7 11" xfId="4319" xr:uid="{00000000-0005-0000-0000-0000AD060000}"/>
    <cellStyle name="Финансовый 2 2 7 2" xfId="201" xr:uid="{00000000-0005-0000-0000-0000AE060000}"/>
    <cellStyle name="Финансовый 2 2 7 2 2" xfId="1299" xr:uid="{00000000-0005-0000-0000-0000AF060000}"/>
    <cellStyle name="Финансовый 2 2 7 2 2 2" xfId="2265" xr:uid="{00000000-0005-0000-0000-0000B0060000}"/>
    <cellStyle name="Финансовый 2 2 7 2 2 2 2" xfId="3910" xr:uid="{00000000-0005-0000-0000-0000B1060000}"/>
    <cellStyle name="Финансовый 2 2 7 2 2 2 3" xfId="5693" xr:uid="{00000000-0005-0000-0000-0000B2060000}"/>
    <cellStyle name="Финансовый 2 2 7 2 2 3" xfId="3083" xr:uid="{00000000-0005-0000-0000-0000B3060000}"/>
    <cellStyle name="Финансовый 2 2 7 2 2 4" xfId="4727" xr:uid="{00000000-0005-0000-0000-0000B4060000}"/>
    <cellStyle name="Финансовый 2 2 7 2 3" xfId="2009" xr:uid="{00000000-0005-0000-0000-0000B5060000}"/>
    <cellStyle name="Финансовый 2 2 7 2 3 2" xfId="3654" xr:uid="{00000000-0005-0000-0000-0000B6060000}"/>
    <cellStyle name="Финансовый 2 2 7 2 3 3" xfId="5437" xr:uid="{00000000-0005-0000-0000-0000B7060000}"/>
    <cellStyle name="Финансовый 2 2 7 2 4" xfId="2530" xr:uid="{00000000-0005-0000-0000-0000B8060000}"/>
    <cellStyle name="Финансовый 2 2 7 2 4 2" xfId="4175" xr:uid="{00000000-0005-0000-0000-0000B9060000}"/>
    <cellStyle name="Финансовый 2 2 7 2 4 3" xfId="5958" xr:uid="{00000000-0005-0000-0000-0000BA060000}"/>
    <cellStyle name="Финансовый 2 2 7 2 5" xfId="1034" xr:uid="{00000000-0005-0000-0000-0000BB060000}"/>
    <cellStyle name="Финансовый 2 2 7 2 6" xfId="622" xr:uid="{00000000-0005-0000-0000-0000BC060000}"/>
    <cellStyle name="Финансовый 2 2 7 2 7" xfId="2811" xr:uid="{00000000-0005-0000-0000-0000BD060000}"/>
    <cellStyle name="Финансовый 2 2 7 2 8" xfId="4455" xr:uid="{00000000-0005-0000-0000-0000BE060000}"/>
    <cellStyle name="Финансовый 2 2 7 3" xfId="350" xr:uid="{00000000-0005-0000-0000-0000BF060000}"/>
    <cellStyle name="Финансовый 2 2 7 3 2" xfId="2137" xr:uid="{00000000-0005-0000-0000-0000C0060000}"/>
    <cellStyle name="Финансовый 2 2 7 3 2 2" xfId="3782" xr:uid="{00000000-0005-0000-0000-0000C1060000}"/>
    <cellStyle name="Финансовый 2 2 7 3 2 3" xfId="5565" xr:uid="{00000000-0005-0000-0000-0000C2060000}"/>
    <cellStyle name="Финансовый 2 2 7 3 3" xfId="1170" xr:uid="{00000000-0005-0000-0000-0000C3060000}"/>
    <cellStyle name="Финансовый 2 2 7 3 4" xfId="770" xr:uid="{00000000-0005-0000-0000-0000C4060000}"/>
    <cellStyle name="Финансовый 2 2 7 3 5" xfId="2947" xr:uid="{00000000-0005-0000-0000-0000C5060000}"/>
    <cellStyle name="Финансовый 2 2 7 3 6" xfId="4591" xr:uid="{00000000-0005-0000-0000-0000C6060000}"/>
    <cellStyle name="Финансовый 2 2 7 4" xfId="1473" xr:uid="{00000000-0005-0000-0000-0000C7060000}"/>
    <cellStyle name="Финансовый 2 2 7 4 2" xfId="1873" xr:uid="{00000000-0005-0000-0000-0000C8060000}"/>
    <cellStyle name="Финансовый 2 2 7 4 2 2" xfId="3518" xr:uid="{00000000-0005-0000-0000-0000C9060000}"/>
    <cellStyle name="Финансовый 2 2 7 4 2 3" xfId="5301" xr:uid="{00000000-0005-0000-0000-0000CA060000}"/>
    <cellStyle name="Финансовый 2 2 7 4 3" xfId="4901" xr:uid="{00000000-0005-0000-0000-0000CB060000}"/>
    <cellStyle name="Финансовый 2 2 7 5" xfId="1757" xr:uid="{00000000-0005-0000-0000-0000CC060000}"/>
    <cellStyle name="Финансовый 2 2 7 5 2" xfId="3402" xr:uid="{00000000-0005-0000-0000-0000CD060000}"/>
    <cellStyle name="Финансовый 2 2 7 5 3" xfId="5185" xr:uid="{00000000-0005-0000-0000-0000CE060000}"/>
    <cellStyle name="Финансовый 2 2 7 6" xfId="2394" xr:uid="{00000000-0005-0000-0000-0000CF060000}"/>
    <cellStyle name="Финансовый 2 2 7 6 2" xfId="4039" xr:uid="{00000000-0005-0000-0000-0000D0060000}"/>
    <cellStyle name="Финансовый 2 2 7 6 3" xfId="5822" xr:uid="{00000000-0005-0000-0000-0000D1060000}"/>
    <cellStyle name="Финансовый 2 2 7 7" xfId="1621" xr:uid="{00000000-0005-0000-0000-0000D2060000}"/>
    <cellStyle name="Финансовый 2 2 7 7 2" xfId="3266" xr:uid="{00000000-0005-0000-0000-0000D3060000}"/>
    <cellStyle name="Финансовый 2 2 7 7 3" xfId="5049" xr:uid="{00000000-0005-0000-0000-0000D4060000}"/>
    <cellStyle name="Финансовый 2 2 7 8" xfId="906" xr:uid="{00000000-0005-0000-0000-0000D5060000}"/>
    <cellStyle name="Финансовый 2 2 7 9" xfId="486" xr:uid="{00000000-0005-0000-0000-0000D6060000}"/>
    <cellStyle name="Финансовый 2 2 8" xfId="52" xr:uid="{00000000-0005-0000-0000-0000D7060000}"/>
    <cellStyle name="Финансовый 2 2 8 10" xfId="2664" xr:uid="{00000000-0005-0000-0000-0000D8060000}"/>
    <cellStyle name="Финансовый 2 2 8 11" xfId="4307" xr:uid="{00000000-0005-0000-0000-0000D9060000}"/>
    <cellStyle name="Финансовый 2 2 8 2" xfId="190" xr:uid="{00000000-0005-0000-0000-0000DA060000}"/>
    <cellStyle name="Финансовый 2 2 8 2 2" xfId="1288" xr:uid="{00000000-0005-0000-0000-0000DB060000}"/>
    <cellStyle name="Финансовый 2 2 8 2 2 2" xfId="2254" xr:uid="{00000000-0005-0000-0000-0000DC060000}"/>
    <cellStyle name="Финансовый 2 2 8 2 2 2 2" xfId="3899" xr:uid="{00000000-0005-0000-0000-0000DD060000}"/>
    <cellStyle name="Финансовый 2 2 8 2 2 2 3" xfId="5682" xr:uid="{00000000-0005-0000-0000-0000DE060000}"/>
    <cellStyle name="Финансовый 2 2 8 2 2 3" xfId="3072" xr:uid="{00000000-0005-0000-0000-0000DF060000}"/>
    <cellStyle name="Финансовый 2 2 8 2 2 4" xfId="4716" xr:uid="{00000000-0005-0000-0000-0000E0060000}"/>
    <cellStyle name="Финансовый 2 2 8 2 3" xfId="1998" xr:uid="{00000000-0005-0000-0000-0000E1060000}"/>
    <cellStyle name="Финансовый 2 2 8 2 3 2" xfId="3643" xr:uid="{00000000-0005-0000-0000-0000E2060000}"/>
    <cellStyle name="Финансовый 2 2 8 2 3 3" xfId="5426" xr:uid="{00000000-0005-0000-0000-0000E3060000}"/>
    <cellStyle name="Финансовый 2 2 8 2 4" xfId="2519" xr:uid="{00000000-0005-0000-0000-0000E4060000}"/>
    <cellStyle name="Финансовый 2 2 8 2 4 2" xfId="4164" xr:uid="{00000000-0005-0000-0000-0000E5060000}"/>
    <cellStyle name="Финансовый 2 2 8 2 4 3" xfId="5947" xr:uid="{00000000-0005-0000-0000-0000E6060000}"/>
    <cellStyle name="Финансовый 2 2 8 2 5" xfId="1023" xr:uid="{00000000-0005-0000-0000-0000E7060000}"/>
    <cellStyle name="Финансовый 2 2 8 2 6" xfId="611" xr:uid="{00000000-0005-0000-0000-0000E8060000}"/>
    <cellStyle name="Финансовый 2 2 8 2 7" xfId="2800" xr:uid="{00000000-0005-0000-0000-0000E9060000}"/>
    <cellStyle name="Финансовый 2 2 8 2 8" xfId="4444" xr:uid="{00000000-0005-0000-0000-0000EA060000}"/>
    <cellStyle name="Финансовый 2 2 8 3" xfId="339" xr:uid="{00000000-0005-0000-0000-0000EB060000}"/>
    <cellStyle name="Финансовый 2 2 8 3 2" xfId="2126" xr:uid="{00000000-0005-0000-0000-0000EC060000}"/>
    <cellStyle name="Финансовый 2 2 8 3 2 2" xfId="3771" xr:uid="{00000000-0005-0000-0000-0000ED060000}"/>
    <cellStyle name="Финансовый 2 2 8 3 2 3" xfId="5554" xr:uid="{00000000-0005-0000-0000-0000EE060000}"/>
    <cellStyle name="Финансовый 2 2 8 3 3" xfId="1159" xr:uid="{00000000-0005-0000-0000-0000EF060000}"/>
    <cellStyle name="Финансовый 2 2 8 3 4" xfId="759" xr:uid="{00000000-0005-0000-0000-0000F0060000}"/>
    <cellStyle name="Финансовый 2 2 8 3 5" xfId="2936" xr:uid="{00000000-0005-0000-0000-0000F1060000}"/>
    <cellStyle name="Финансовый 2 2 8 3 6" xfId="4580" xr:uid="{00000000-0005-0000-0000-0000F2060000}"/>
    <cellStyle name="Финансовый 2 2 8 4" xfId="1474" xr:uid="{00000000-0005-0000-0000-0000F3060000}"/>
    <cellStyle name="Финансовый 2 2 8 4 2" xfId="1862" xr:uid="{00000000-0005-0000-0000-0000F4060000}"/>
    <cellStyle name="Финансовый 2 2 8 4 2 2" xfId="3507" xr:uid="{00000000-0005-0000-0000-0000F5060000}"/>
    <cellStyle name="Финансовый 2 2 8 4 2 3" xfId="5290" xr:uid="{00000000-0005-0000-0000-0000F6060000}"/>
    <cellStyle name="Финансовый 2 2 8 4 3" xfId="4902" xr:uid="{00000000-0005-0000-0000-0000F7060000}"/>
    <cellStyle name="Финансовый 2 2 8 5" xfId="1746" xr:uid="{00000000-0005-0000-0000-0000F8060000}"/>
    <cellStyle name="Финансовый 2 2 8 5 2" xfId="3391" xr:uid="{00000000-0005-0000-0000-0000F9060000}"/>
    <cellStyle name="Финансовый 2 2 8 5 3" xfId="5174" xr:uid="{00000000-0005-0000-0000-0000FA060000}"/>
    <cellStyle name="Финансовый 2 2 8 6" xfId="2382" xr:uid="{00000000-0005-0000-0000-0000FB060000}"/>
    <cellStyle name="Финансовый 2 2 8 6 2" xfId="4027" xr:uid="{00000000-0005-0000-0000-0000FC060000}"/>
    <cellStyle name="Финансовый 2 2 8 6 3" xfId="5810" xr:uid="{00000000-0005-0000-0000-0000FD060000}"/>
    <cellStyle name="Финансовый 2 2 8 7" xfId="1609" xr:uid="{00000000-0005-0000-0000-0000FE060000}"/>
    <cellStyle name="Финансовый 2 2 8 7 2" xfId="3254" xr:uid="{00000000-0005-0000-0000-0000FF060000}"/>
    <cellStyle name="Финансовый 2 2 8 7 3" xfId="5037" xr:uid="{00000000-0005-0000-0000-000000070000}"/>
    <cellStyle name="Финансовый 2 2 8 8" xfId="895" xr:uid="{00000000-0005-0000-0000-000001070000}"/>
    <cellStyle name="Финансовый 2 2 8 9" xfId="475" xr:uid="{00000000-0005-0000-0000-000002070000}"/>
    <cellStyle name="Финансовый 2 2 9" xfId="130" xr:uid="{00000000-0005-0000-0000-000003070000}"/>
    <cellStyle name="Финансовый 2 2 9 10" xfId="2740" xr:uid="{00000000-0005-0000-0000-000004070000}"/>
    <cellStyle name="Финансовый 2 2 9 11" xfId="4384" xr:uid="{00000000-0005-0000-0000-000005070000}"/>
    <cellStyle name="Финансовый 2 2 9 2" xfId="266" xr:uid="{00000000-0005-0000-0000-000006070000}"/>
    <cellStyle name="Финансовый 2 2 9 2 2" xfId="1364" xr:uid="{00000000-0005-0000-0000-000007070000}"/>
    <cellStyle name="Финансовый 2 2 9 2 2 2" xfId="2322" xr:uid="{00000000-0005-0000-0000-000008070000}"/>
    <cellStyle name="Финансовый 2 2 9 2 2 2 2" xfId="3967" xr:uid="{00000000-0005-0000-0000-000009070000}"/>
    <cellStyle name="Финансовый 2 2 9 2 2 2 3" xfId="5750" xr:uid="{00000000-0005-0000-0000-00000A070000}"/>
    <cellStyle name="Финансовый 2 2 9 2 2 3" xfId="3148" xr:uid="{00000000-0005-0000-0000-00000B070000}"/>
    <cellStyle name="Финансовый 2 2 9 2 2 4" xfId="4792" xr:uid="{00000000-0005-0000-0000-00000C070000}"/>
    <cellStyle name="Финансовый 2 2 9 2 3" xfId="2066" xr:uid="{00000000-0005-0000-0000-00000D070000}"/>
    <cellStyle name="Финансовый 2 2 9 2 3 2" xfId="3711" xr:uid="{00000000-0005-0000-0000-00000E070000}"/>
    <cellStyle name="Финансовый 2 2 9 2 3 3" xfId="5494" xr:uid="{00000000-0005-0000-0000-00000F070000}"/>
    <cellStyle name="Финансовый 2 2 9 2 4" xfId="2595" xr:uid="{00000000-0005-0000-0000-000010070000}"/>
    <cellStyle name="Финансовый 2 2 9 2 4 2" xfId="4240" xr:uid="{00000000-0005-0000-0000-000011070000}"/>
    <cellStyle name="Финансовый 2 2 9 2 4 3" xfId="6023" xr:uid="{00000000-0005-0000-0000-000012070000}"/>
    <cellStyle name="Финансовый 2 2 9 2 5" xfId="1099" xr:uid="{00000000-0005-0000-0000-000013070000}"/>
    <cellStyle name="Финансовый 2 2 9 2 6" xfId="687" xr:uid="{00000000-0005-0000-0000-000014070000}"/>
    <cellStyle name="Финансовый 2 2 9 2 7" xfId="2876" xr:uid="{00000000-0005-0000-0000-000015070000}"/>
    <cellStyle name="Финансовый 2 2 9 2 8" xfId="4520" xr:uid="{00000000-0005-0000-0000-000016070000}"/>
    <cellStyle name="Финансовый 2 2 9 3" xfId="415" xr:uid="{00000000-0005-0000-0000-000017070000}"/>
    <cellStyle name="Финансовый 2 2 9 3 2" xfId="2194" xr:uid="{00000000-0005-0000-0000-000018070000}"/>
    <cellStyle name="Финансовый 2 2 9 3 2 2" xfId="3839" xr:uid="{00000000-0005-0000-0000-000019070000}"/>
    <cellStyle name="Финансовый 2 2 9 3 2 3" xfId="5622" xr:uid="{00000000-0005-0000-0000-00001A070000}"/>
    <cellStyle name="Финансовый 2 2 9 3 3" xfId="1228" xr:uid="{00000000-0005-0000-0000-00001B070000}"/>
    <cellStyle name="Финансовый 2 2 9 3 4" xfId="835" xr:uid="{00000000-0005-0000-0000-00001C070000}"/>
    <cellStyle name="Финансовый 2 2 9 3 5" xfId="3012" xr:uid="{00000000-0005-0000-0000-00001D070000}"/>
    <cellStyle name="Финансовый 2 2 9 3 6" xfId="4656" xr:uid="{00000000-0005-0000-0000-00001E070000}"/>
    <cellStyle name="Финансовый 2 2 9 4" xfId="1475" xr:uid="{00000000-0005-0000-0000-00001F070000}"/>
    <cellStyle name="Финансовый 2 2 9 4 2" xfId="1938" xr:uid="{00000000-0005-0000-0000-000020070000}"/>
    <cellStyle name="Финансовый 2 2 9 4 2 2" xfId="3583" xr:uid="{00000000-0005-0000-0000-000021070000}"/>
    <cellStyle name="Финансовый 2 2 9 4 2 3" xfId="5366" xr:uid="{00000000-0005-0000-0000-000022070000}"/>
    <cellStyle name="Финансовый 2 2 9 4 3" xfId="4903" xr:uid="{00000000-0005-0000-0000-000023070000}"/>
    <cellStyle name="Финансовый 2 2 9 5" xfId="1814" xr:uid="{00000000-0005-0000-0000-000024070000}"/>
    <cellStyle name="Финансовый 2 2 9 5 2" xfId="3459" xr:uid="{00000000-0005-0000-0000-000025070000}"/>
    <cellStyle name="Финансовый 2 2 9 5 3" xfId="5242" xr:uid="{00000000-0005-0000-0000-000026070000}"/>
    <cellStyle name="Финансовый 2 2 9 6" xfId="2459" xr:uid="{00000000-0005-0000-0000-000027070000}"/>
    <cellStyle name="Финансовый 2 2 9 6 2" xfId="4104" xr:uid="{00000000-0005-0000-0000-000028070000}"/>
    <cellStyle name="Финансовый 2 2 9 6 3" xfId="5887" xr:uid="{00000000-0005-0000-0000-000029070000}"/>
    <cellStyle name="Финансовый 2 2 9 7" xfId="1686" xr:uid="{00000000-0005-0000-0000-00002A070000}"/>
    <cellStyle name="Финансовый 2 2 9 7 2" xfId="3331" xr:uid="{00000000-0005-0000-0000-00002B070000}"/>
    <cellStyle name="Финансовый 2 2 9 7 3" xfId="5114" xr:uid="{00000000-0005-0000-0000-00002C070000}"/>
    <cellStyle name="Финансовый 2 2 9 8" xfId="963" xr:uid="{00000000-0005-0000-0000-00002D070000}"/>
    <cellStyle name="Финансовый 2 2 9 9" xfId="551" xr:uid="{00000000-0005-0000-0000-00002E070000}"/>
    <cellStyle name="Финансовый 2 20" xfId="1559" xr:uid="{00000000-0005-0000-0000-00002F070000}"/>
    <cellStyle name="Финансовый 2 20 2" xfId="3204" xr:uid="{00000000-0005-0000-0000-000030070000}"/>
    <cellStyle name="Финансовый 2 20 3" xfId="4987" xr:uid="{00000000-0005-0000-0000-000031070000}"/>
    <cellStyle name="Финансовый 2 21" xfId="845" xr:uid="{00000000-0005-0000-0000-000032070000}"/>
    <cellStyle name="Финансовый 2 22" xfId="425" xr:uid="{00000000-0005-0000-0000-000033070000}"/>
    <cellStyle name="Финансовый 2 23" xfId="2614" xr:uid="{00000000-0005-0000-0000-000034070000}"/>
    <cellStyle name="Финансовый 2 24" xfId="4257" xr:uid="{00000000-0005-0000-0000-000035070000}"/>
    <cellStyle name="Финансовый 2 3" xfId="6" xr:uid="{00000000-0005-0000-0000-000036070000}"/>
    <cellStyle name="Финансовый 2 3 10" xfId="30" xr:uid="{00000000-0005-0000-0000-000037070000}"/>
    <cellStyle name="Финансовый 2 3 10 10" xfId="2642" xr:uid="{00000000-0005-0000-0000-000038070000}"/>
    <cellStyle name="Финансовый 2 3 10 11" xfId="4285" xr:uid="{00000000-0005-0000-0000-000039070000}"/>
    <cellStyle name="Финансовый 2 3 10 2" xfId="168" xr:uid="{00000000-0005-0000-0000-00003A070000}"/>
    <cellStyle name="Финансовый 2 3 10 2 2" xfId="1266" xr:uid="{00000000-0005-0000-0000-00003B070000}"/>
    <cellStyle name="Финансовый 2 3 10 2 2 2" xfId="2232" xr:uid="{00000000-0005-0000-0000-00003C070000}"/>
    <cellStyle name="Финансовый 2 3 10 2 2 2 2" xfId="3877" xr:uid="{00000000-0005-0000-0000-00003D070000}"/>
    <cellStyle name="Финансовый 2 3 10 2 2 2 3" xfId="5660" xr:uid="{00000000-0005-0000-0000-00003E070000}"/>
    <cellStyle name="Финансовый 2 3 10 2 2 3" xfId="3050" xr:uid="{00000000-0005-0000-0000-00003F070000}"/>
    <cellStyle name="Финансовый 2 3 10 2 2 4" xfId="4694" xr:uid="{00000000-0005-0000-0000-000040070000}"/>
    <cellStyle name="Финансовый 2 3 10 2 3" xfId="1976" xr:uid="{00000000-0005-0000-0000-000041070000}"/>
    <cellStyle name="Финансовый 2 3 10 2 3 2" xfId="3621" xr:uid="{00000000-0005-0000-0000-000042070000}"/>
    <cellStyle name="Финансовый 2 3 10 2 3 3" xfId="5404" xr:uid="{00000000-0005-0000-0000-000043070000}"/>
    <cellStyle name="Финансовый 2 3 10 2 4" xfId="2497" xr:uid="{00000000-0005-0000-0000-000044070000}"/>
    <cellStyle name="Финансовый 2 3 10 2 4 2" xfId="4142" xr:uid="{00000000-0005-0000-0000-000045070000}"/>
    <cellStyle name="Финансовый 2 3 10 2 4 3" xfId="5925" xr:uid="{00000000-0005-0000-0000-000046070000}"/>
    <cellStyle name="Финансовый 2 3 10 2 5" xfId="1001" xr:uid="{00000000-0005-0000-0000-000047070000}"/>
    <cellStyle name="Финансовый 2 3 10 2 6" xfId="589" xr:uid="{00000000-0005-0000-0000-000048070000}"/>
    <cellStyle name="Финансовый 2 3 10 2 7" xfId="2778" xr:uid="{00000000-0005-0000-0000-000049070000}"/>
    <cellStyle name="Финансовый 2 3 10 2 8" xfId="4422" xr:uid="{00000000-0005-0000-0000-00004A070000}"/>
    <cellStyle name="Финансовый 2 3 10 3" xfId="317" xr:uid="{00000000-0005-0000-0000-00004B070000}"/>
    <cellStyle name="Финансовый 2 3 10 3 2" xfId="2104" xr:uid="{00000000-0005-0000-0000-00004C070000}"/>
    <cellStyle name="Финансовый 2 3 10 3 2 2" xfId="3749" xr:uid="{00000000-0005-0000-0000-00004D070000}"/>
    <cellStyle name="Финансовый 2 3 10 3 2 3" xfId="5532" xr:uid="{00000000-0005-0000-0000-00004E070000}"/>
    <cellStyle name="Финансовый 2 3 10 3 3" xfId="1137" xr:uid="{00000000-0005-0000-0000-00004F070000}"/>
    <cellStyle name="Финансовый 2 3 10 3 4" xfId="737" xr:uid="{00000000-0005-0000-0000-000050070000}"/>
    <cellStyle name="Финансовый 2 3 10 3 5" xfId="2914" xr:uid="{00000000-0005-0000-0000-000051070000}"/>
    <cellStyle name="Финансовый 2 3 10 3 6" xfId="4558" xr:uid="{00000000-0005-0000-0000-000052070000}"/>
    <cellStyle name="Финансовый 2 3 10 4" xfId="1479" xr:uid="{00000000-0005-0000-0000-000053070000}"/>
    <cellStyle name="Финансовый 2 3 10 4 2" xfId="1840" xr:uid="{00000000-0005-0000-0000-000054070000}"/>
    <cellStyle name="Финансовый 2 3 10 4 2 2" xfId="3485" xr:uid="{00000000-0005-0000-0000-000055070000}"/>
    <cellStyle name="Финансовый 2 3 10 4 2 3" xfId="5268" xr:uid="{00000000-0005-0000-0000-000056070000}"/>
    <cellStyle name="Финансовый 2 3 10 4 3" xfId="4907" xr:uid="{00000000-0005-0000-0000-000057070000}"/>
    <cellStyle name="Финансовый 2 3 10 5" xfId="1724" xr:uid="{00000000-0005-0000-0000-000058070000}"/>
    <cellStyle name="Финансовый 2 3 10 5 2" xfId="3369" xr:uid="{00000000-0005-0000-0000-000059070000}"/>
    <cellStyle name="Финансовый 2 3 10 5 3" xfId="5152" xr:uid="{00000000-0005-0000-0000-00005A070000}"/>
    <cellStyle name="Финансовый 2 3 10 6" xfId="2360" xr:uid="{00000000-0005-0000-0000-00005B070000}"/>
    <cellStyle name="Финансовый 2 3 10 6 2" xfId="4005" xr:uid="{00000000-0005-0000-0000-00005C070000}"/>
    <cellStyle name="Финансовый 2 3 10 6 3" xfId="5788" xr:uid="{00000000-0005-0000-0000-00005D070000}"/>
    <cellStyle name="Финансовый 2 3 10 7" xfId="1587" xr:uid="{00000000-0005-0000-0000-00005E070000}"/>
    <cellStyle name="Финансовый 2 3 10 7 2" xfId="3232" xr:uid="{00000000-0005-0000-0000-00005F070000}"/>
    <cellStyle name="Финансовый 2 3 10 7 3" xfId="5015" xr:uid="{00000000-0005-0000-0000-000060070000}"/>
    <cellStyle name="Финансовый 2 3 10 8" xfId="873" xr:uid="{00000000-0005-0000-0000-000061070000}"/>
    <cellStyle name="Финансовый 2 3 10 9" xfId="453" xr:uid="{00000000-0005-0000-0000-000062070000}"/>
    <cellStyle name="Финансовый 2 3 11" xfId="18" xr:uid="{00000000-0005-0000-0000-000063070000}"/>
    <cellStyle name="Финансовый 2 3 11 10" xfId="2630" xr:uid="{00000000-0005-0000-0000-000064070000}"/>
    <cellStyle name="Финансовый 2 3 11 11" xfId="4273" xr:uid="{00000000-0005-0000-0000-000065070000}"/>
    <cellStyle name="Финансовый 2 3 11 2" xfId="156" xr:uid="{00000000-0005-0000-0000-000066070000}"/>
    <cellStyle name="Финансовый 2 3 11 2 2" xfId="1254" xr:uid="{00000000-0005-0000-0000-000067070000}"/>
    <cellStyle name="Финансовый 2 3 11 2 2 2" xfId="2220" xr:uid="{00000000-0005-0000-0000-000068070000}"/>
    <cellStyle name="Финансовый 2 3 11 2 2 2 2" xfId="3865" xr:uid="{00000000-0005-0000-0000-000069070000}"/>
    <cellStyle name="Финансовый 2 3 11 2 2 2 3" xfId="5648" xr:uid="{00000000-0005-0000-0000-00006A070000}"/>
    <cellStyle name="Финансовый 2 3 11 2 2 3" xfId="3038" xr:uid="{00000000-0005-0000-0000-00006B070000}"/>
    <cellStyle name="Финансовый 2 3 11 2 2 4" xfId="4682" xr:uid="{00000000-0005-0000-0000-00006C070000}"/>
    <cellStyle name="Финансовый 2 3 11 2 3" xfId="1964" xr:uid="{00000000-0005-0000-0000-00006D070000}"/>
    <cellStyle name="Финансовый 2 3 11 2 3 2" xfId="3609" xr:uid="{00000000-0005-0000-0000-00006E070000}"/>
    <cellStyle name="Финансовый 2 3 11 2 3 3" xfId="5392" xr:uid="{00000000-0005-0000-0000-00006F070000}"/>
    <cellStyle name="Финансовый 2 3 11 2 4" xfId="2485" xr:uid="{00000000-0005-0000-0000-000070070000}"/>
    <cellStyle name="Финансовый 2 3 11 2 4 2" xfId="4130" xr:uid="{00000000-0005-0000-0000-000071070000}"/>
    <cellStyle name="Финансовый 2 3 11 2 4 3" xfId="5913" xr:uid="{00000000-0005-0000-0000-000072070000}"/>
    <cellStyle name="Финансовый 2 3 11 2 5" xfId="989" xr:uid="{00000000-0005-0000-0000-000073070000}"/>
    <cellStyle name="Финансовый 2 3 11 2 6" xfId="577" xr:uid="{00000000-0005-0000-0000-000074070000}"/>
    <cellStyle name="Финансовый 2 3 11 2 7" xfId="2766" xr:uid="{00000000-0005-0000-0000-000075070000}"/>
    <cellStyle name="Финансовый 2 3 11 2 8" xfId="4410" xr:uid="{00000000-0005-0000-0000-000076070000}"/>
    <cellStyle name="Финансовый 2 3 11 3" xfId="305" xr:uid="{00000000-0005-0000-0000-000077070000}"/>
    <cellStyle name="Финансовый 2 3 11 3 2" xfId="2092" xr:uid="{00000000-0005-0000-0000-000078070000}"/>
    <cellStyle name="Финансовый 2 3 11 3 2 2" xfId="3737" xr:uid="{00000000-0005-0000-0000-000079070000}"/>
    <cellStyle name="Финансовый 2 3 11 3 2 3" xfId="5520" xr:uid="{00000000-0005-0000-0000-00007A070000}"/>
    <cellStyle name="Финансовый 2 3 11 3 3" xfId="1125" xr:uid="{00000000-0005-0000-0000-00007B070000}"/>
    <cellStyle name="Финансовый 2 3 11 3 4" xfId="725" xr:uid="{00000000-0005-0000-0000-00007C070000}"/>
    <cellStyle name="Финансовый 2 3 11 3 5" xfId="2902" xr:uid="{00000000-0005-0000-0000-00007D070000}"/>
    <cellStyle name="Финансовый 2 3 11 3 6" xfId="4546" xr:uid="{00000000-0005-0000-0000-00007E070000}"/>
    <cellStyle name="Финансовый 2 3 11 4" xfId="1447" xr:uid="{00000000-0005-0000-0000-00007F070000}"/>
    <cellStyle name="Финансовый 2 3 11 4 2" xfId="1828" xr:uid="{00000000-0005-0000-0000-000080070000}"/>
    <cellStyle name="Финансовый 2 3 11 4 2 2" xfId="3473" xr:uid="{00000000-0005-0000-0000-000081070000}"/>
    <cellStyle name="Финансовый 2 3 11 4 2 3" xfId="5256" xr:uid="{00000000-0005-0000-0000-000082070000}"/>
    <cellStyle name="Финансовый 2 3 11 4 3" xfId="4875" xr:uid="{00000000-0005-0000-0000-000083070000}"/>
    <cellStyle name="Финансовый 2 3 11 5" xfId="1712" xr:uid="{00000000-0005-0000-0000-000084070000}"/>
    <cellStyle name="Финансовый 2 3 11 5 2" xfId="3357" xr:uid="{00000000-0005-0000-0000-000085070000}"/>
    <cellStyle name="Финансовый 2 3 11 5 3" xfId="5140" xr:uid="{00000000-0005-0000-0000-000086070000}"/>
    <cellStyle name="Финансовый 2 3 11 6" xfId="2348" xr:uid="{00000000-0005-0000-0000-000087070000}"/>
    <cellStyle name="Финансовый 2 3 11 6 2" xfId="3993" xr:uid="{00000000-0005-0000-0000-000088070000}"/>
    <cellStyle name="Финансовый 2 3 11 6 3" xfId="5776" xr:uid="{00000000-0005-0000-0000-000089070000}"/>
    <cellStyle name="Финансовый 2 3 11 7" xfId="1575" xr:uid="{00000000-0005-0000-0000-00008A070000}"/>
    <cellStyle name="Финансовый 2 3 11 7 2" xfId="3220" xr:uid="{00000000-0005-0000-0000-00008B070000}"/>
    <cellStyle name="Финансовый 2 3 11 7 3" xfId="5003" xr:uid="{00000000-0005-0000-0000-00008C070000}"/>
    <cellStyle name="Финансовый 2 3 11 8" xfId="861" xr:uid="{00000000-0005-0000-0000-00008D070000}"/>
    <cellStyle name="Финансовый 2 3 11 9" xfId="441" xr:uid="{00000000-0005-0000-0000-00008E070000}"/>
    <cellStyle name="Финансовый 2 3 12" xfId="144" xr:uid="{00000000-0005-0000-0000-00008F070000}"/>
    <cellStyle name="Финансовый 2 3 12 2" xfId="1242" xr:uid="{00000000-0005-0000-0000-000090070000}"/>
    <cellStyle name="Финансовый 2 3 12 2 2" xfId="2208" xr:uid="{00000000-0005-0000-0000-000091070000}"/>
    <cellStyle name="Финансовый 2 3 12 2 2 2" xfId="3853" xr:uid="{00000000-0005-0000-0000-000092070000}"/>
    <cellStyle name="Финансовый 2 3 12 2 2 3" xfId="5636" xr:uid="{00000000-0005-0000-0000-000093070000}"/>
    <cellStyle name="Финансовый 2 3 12 2 3" xfId="3026" xr:uid="{00000000-0005-0000-0000-000094070000}"/>
    <cellStyle name="Финансовый 2 3 12 2 4" xfId="4670" xr:uid="{00000000-0005-0000-0000-000095070000}"/>
    <cellStyle name="Финансовый 2 3 12 3" xfId="1952" xr:uid="{00000000-0005-0000-0000-000096070000}"/>
    <cellStyle name="Финансовый 2 3 12 3 2" xfId="3597" xr:uid="{00000000-0005-0000-0000-000097070000}"/>
    <cellStyle name="Финансовый 2 3 12 3 3" xfId="5380" xr:uid="{00000000-0005-0000-0000-000098070000}"/>
    <cellStyle name="Финансовый 2 3 12 4" xfId="2473" xr:uid="{00000000-0005-0000-0000-000099070000}"/>
    <cellStyle name="Финансовый 2 3 12 4 2" xfId="4118" xr:uid="{00000000-0005-0000-0000-00009A070000}"/>
    <cellStyle name="Финансовый 2 3 12 4 3" xfId="5901" xr:uid="{00000000-0005-0000-0000-00009B070000}"/>
    <cellStyle name="Финансовый 2 3 12 5" xfId="977" xr:uid="{00000000-0005-0000-0000-00009C070000}"/>
    <cellStyle name="Финансовый 2 3 12 6" xfId="565" xr:uid="{00000000-0005-0000-0000-00009D070000}"/>
    <cellStyle name="Финансовый 2 3 12 7" xfId="2754" xr:uid="{00000000-0005-0000-0000-00009E070000}"/>
    <cellStyle name="Финансовый 2 3 12 8" xfId="4398" xr:uid="{00000000-0005-0000-0000-00009F070000}"/>
    <cellStyle name="Финансовый 2 3 13" xfId="280" xr:uid="{00000000-0005-0000-0000-0000A0070000}"/>
    <cellStyle name="Финансовый 2 3 13 2" xfId="2080" xr:uid="{00000000-0005-0000-0000-0000A1070000}"/>
    <cellStyle name="Финансовый 2 3 13 2 2" xfId="3725" xr:uid="{00000000-0005-0000-0000-0000A2070000}"/>
    <cellStyle name="Финансовый 2 3 13 2 3" xfId="5508" xr:uid="{00000000-0005-0000-0000-0000A3070000}"/>
    <cellStyle name="Финансовый 2 3 13 3" xfId="1378" xr:uid="{00000000-0005-0000-0000-0000A4070000}"/>
    <cellStyle name="Финансовый 2 3 13 4" xfId="701" xr:uid="{00000000-0005-0000-0000-0000A5070000}"/>
    <cellStyle name="Финансовый 2 3 13 5" xfId="3162" xr:uid="{00000000-0005-0000-0000-0000A6070000}"/>
    <cellStyle name="Финансовый 2 3 13 6" xfId="4806" xr:uid="{00000000-0005-0000-0000-0000A7070000}"/>
    <cellStyle name="Финансовый 2 3 14" xfId="293" xr:uid="{00000000-0005-0000-0000-0000A8070000}"/>
    <cellStyle name="Финансовый 2 3 14 2" xfId="1113" xr:uid="{00000000-0005-0000-0000-0000A9070000}"/>
    <cellStyle name="Финансовый 2 3 14 3" xfId="713" xr:uid="{00000000-0005-0000-0000-0000AA070000}"/>
    <cellStyle name="Финансовый 2 3 14 4" xfId="2890" xr:uid="{00000000-0005-0000-0000-0000AB070000}"/>
    <cellStyle name="Финансовый 2 3 14 5" xfId="4534" xr:uid="{00000000-0005-0000-0000-0000AC070000}"/>
    <cellStyle name="Финансовый 2 3 15" xfId="1477" xr:uid="{00000000-0005-0000-0000-0000AD070000}"/>
    <cellStyle name="Финансовый 2 3 15 2" xfId="1700" xr:uid="{00000000-0005-0000-0000-0000AE070000}"/>
    <cellStyle name="Финансовый 2 3 15 2 2" xfId="3345" xr:uid="{00000000-0005-0000-0000-0000AF070000}"/>
    <cellStyle name="Финансовый 2 3 15 2 3" xfId="5128" xr:uid="{00000000-0005-0000-0000-0000B0070000}"/>
    <cellStyle name="Финансовый 2 3 15 3" xfId="4905" xr:uid="{00000000-0005-0000-0000-0000B1070000}"/>
    <cellStyle name="Финансовый 2 3 16" xfId="2336" xr:uid="{00000000-0005-0000-0000-0000B2070000}"/>
    <cellStyle name="Финансовый 2 3 16 2" xfId="3981" xr:uid="{00000000-0005-0000-0000-0000B3070000}"/>
    <cellStyle name="Финансовый 2 3 16 3" xfId="5764" xr:uid="{00000000-0005-0000-0000-0000B4070000}"/>
    <cellStyle name="Финансовый 2 3 17" xfId="1563" xr:uid="{00000000-0005-0000-0000-0000B5070000}"/>
    <cellStyle name="Финансовый 2 3 17 2" xfId="3208" xr:uid="{00000000-0005-0000-0000-0000B6070000}"/>
    <cellStyle name="Финансовый 2 3 17 3" xfId="4991" xr:uid="{00000000-0005-0000-0000-0000B7070000}"/>
    <cellStyle name="Финансовый 2 3 18" xfId="849" xr:uid="{00000000-0005-0000-0000-0000B8070000}"/>
    <cellStyle name="Финансовый 2 3 19" xfId="429" xr:uid="{00000000-0005-0000-0000-0000B9070000}"/>
    <cellStyle name="Финансовый 2 3 2" xfId="12" xr:uid="{00000000-0005-0000-0000-0000BA070000}"/>
    <cellStyle name="Финансовый 2 3 2 10" xfId="286" xr:uid="{00000000-0005-0000-0000-0000BB070000}"/>
    <cellStyle name="Финансовый 2 3 2 10 2" xfId="2086" xr:uid="{00000000-0005-0000-0000-0000BC070000}"/>
    <cellStyle name="Финансовый 2 3 2 10 2 2" xfId="3731" xr:uid="{00000000-0005-0000-0000-0000BD070000}"/>
    <cellStyle name="Финансовый 2 3 2 10 2 3" xfId="5514" xr:uid="{00000000-0005-0000-0000-0000BE070000}"/>
    <cellStyle name="Финансовый 2 3 2 10 3" xfId="1384" xr:uid="{00000000-0005-0000-0000-0000BF070000}"/>
    <cellStyle name="Финансовый 2 3 2 10 4" xfId="707" xr:uid="{00000000-0005-0000-0000-0000C0070000}"/>
    <cellStyle name="Финансовый 2 3 2 10 5" xfId="3168" xr:uid="{00000000-0005-0000-0000-0000C1070000}"/>
    <cellStyle name="Финансовый 2 3 2 10 6" xfId="4812" xr:uid="{00000000-0005-0000-0000-0000C2070000}"/>
    <cellStyle name="Финансовый 2 3 2 11" xfId="299" xr:uid="{00000000-0005-0000-0000-0000C3070000}"/>
    <cellStyle name="Финансовый 2 3 2 11 2" xfId="1119" xr:uid="{00000000-0005-0000-0000-0000C4070000}"/>
    <cellStyle name="Финансовый 2 3 2 11 3" xfId="719" xr:uid="{00000000-0005-0000-0000-0000C5070000}"/>
    <cellStyle name="Финансовый 2 3 2 11 4" xfId="2896" xr:uid="{00000000-0005-0000-0000-0000C6070000}"/>
    <cellStyle name="Финансовый 2 3 2 11 5" xfId="4540" xr:uid="{00000000-0005-0000-0000-0000C7070000}"/>
    <cellStyle name="Финансовый 2 3 2 12" xfId="1480" xr:uid="{00000000-0005-0000-0000-0000C8070000}"/>
    <cellStyle name="Финансовый 2 3 2 12 2" xfId="1706" xr:uid="{00000000-0005-0000-0000-0000C9070000}"/>
    <cellStyle name="Финансовый 2 3 2 12 2 2" xfId="3351" xr:uid="{00000000-0005-0000-0000-0000CA070000}"/>
    <cellStyle name="Финансовый 2 3 2 12 2 3" xfId="5134" xr:uid="{00000000-0005-0000-0000-0000CB070000}"/>
    <cellStyle name="Финансовый 2 3 2 12 3" xfId="4908" xr:uid="{00000000-0005-0000-0000-0000CC070000}"/>
    <cellStyle name="Финансовый 2 3 2 13" xfId="2342" xr:uid="{00000000-0005-0000-0000-0000CD070000}"/>
    <cellStyle name="Финансовый 2 3 2 13 2" xfId="3987" xr:uid="{00000000-0005-0000-0000-0000CE070000}"/>
    <cellStyle name="Финансовый 2 3 2 13 3" xfId="5770" xr:uid="{00000000-0005-0000-0000-0000CF070000}"/>
    <cellStyle name="Финансовый 2 3 2 14" xfId="1569" xr:uid="{00000000-0005-0000-0000-0000D0070000}"/>
    <cellStyle name="Финансовый 2 3 2 14 2" xfId="3214" xr:uid="{00000000-0005-0000-0000-0000D1070000}"/>
    <cellStyle name="Финансовый 2 3 2 14 3" xfId="4997" xr:uid="{00000000-0005-0000-0000-0000D2070000}"/>
    <cellStyle name="Финансовый 2 3 2 15" xfId="855" xr:uid="{00000000-0005-0000-0000-0000D3070000}"/>
    <cellStyle name="Финансовый 2 3 2 16" xfId="435" xr:uid="{00000000-0005-0000-0000-0000D4070000}"/>
    <cellStyle name="Финансовый 2 3 2 17" xfId="2624" xr:uid="{00000000-0005-0000-0000-0000D5070000}"/>
    <cellStyle name="Финансовый 2 3 2 18" xfId="4267" xr:uid="{00000000-0005-0000-0000-0000D6070000}"/>
    <cellStyle name="Финансовый 2 3 2 2" xfId="48" xr:uid="{00000000-0005-0000-0000-0000D7070000}"/>
    <cellStyle name="Финансовый 2 3 2 2 10" xfId="471" xr:uid="{00000000-0005-0000-0000-0000D8070000}"/>
    <cellStyle name="Финансовый 2 3 2 2 11" xfId="2660" xr:uid="{00000000-0005-0000-0000-0000D9070000}"/>
    <cellStyle name="Финансовый 2 3 2 2 12" xfId="4303" xr:uid="{00000000-0005-0000-0000-0000DA070000}"/>
    <cellStyle name="Финансовый 2 3 2 2 2" xfId="106" xr:uid="{00000000-0005-0000-0000-0000DB070000}"/>
    <cellStyle name="Финансовый 2 3 2 2 2 10" xfId="2716" xr:uid="{00000000-0005-0000-0000-0000DC070000}"/>
    <cellStyle name="Финансовый 2 3 2 2 2 11" xfId="4360" xr:uid="{00000000-0005-0000-0000-0000DD070000}"/>
    <cellStyle name="Финансовый 2 3 2 2 2 2" xfId="242" xr:uid="{00000000-0005-0000-0000-0000DE070000}"/>
    <cellStyle name="Финансовый 2 3 2 2 2 2 2" xfId="1340" xr:uid="{00000000-0005-0000-0000-0000DF070000}"/>
    <cellStyle name="Финансовый 2 3 2 2 2 2 2 2" xfId="2298" xr:uid="{00000000-0005-0000-0000-0000E0070000}"/>
    <cellStyle name="Финансовый 2 3 2 2 2 2 2 2 2" xfId="3943" xr:uid="{00000000-0005-0000-0000-0000E1070000}"/>
    <cellStyle name="Финансовый 2 3 2 2 2 2 2 2 3" xfId="5726" xr:uid="{00000000-0005-0000-0000-0000E2070000}"/>
    <cellStyle name="Финансовый 2 3 2 2 2 2 2 3" xfId="3124" xr:uid="{00000000-0005-0000-0000-0000E3070000}"/>
    <cellStyle name="Финансовый 2 3 2 2 2 2 2 4" xfId="4768" xr:uid="{00000000-0005-0000-0000-0000E4070000}"/>
    <cellStyle name="Финансовый 2 3 2 2 2 2 3" xfId="2042" xr:uid="{00000000-0005-0000-0000-0000E5070000}"/>
    <cellStyle name="Финансовый 2 3 2 2 2 2 3 2" xfId="3687" xr:uid="{00000000-0005-0000-0000-0000E6070000}"/>
    <cellStyle name="Финансовый 2 3 2 2 2 2 3 3" xfId="5470" xr:uid="{00000000-0005-0000-0000-0000E7070000}"/>
    <cellStyle name="Финансовый 2 3 2 2 2 2 4" xfId="2571" xr:uid="{00000000-0005-0000-0000-0000E8070000}"/>
    <cellStyle name="Финансовый 2 3 2 2 2 2 4 2" xfId="4216" xr:uid="{00000000-0005-0000-0000-0000E9070000}"/>
    <cellStyle name="Финансовый 2 3 2 2 2 2 4 3" xfId="5999" xr:uid="{00000000-0005-0000-0000-0000EA070000}"/>
    <cellStyle name="Финансовый 2 3 2 2 2 2 5" xfId="1075" xr:uid="{00000000-0005-0000-0000-0000EB070000}"/>
    <cellStyle name="Финансовый 2 3 2 2 2 2 6" xfId="663" xr:uid="{00000000-0005-0000-0000-0000EC070000}"/>
    <cellStyle name="Финансовый 2 3 2 2 2 2 7" xfId="2852" xr:uid="{00000000-0005-0000-0000-0000ED070000}"/>
    <cellStyle name="Финансовый 2 3 2 2 2 2 8" xfId="4496" xr:uid="{00000000-0005-0000-0000-0000EE070000}"/>
    <cellStyle name="Финансовый 2 3 2 2 2 3" xfId="391" xr:uid="{00000000-0005-0000-0000-0000EF070000}"/>
    <cellStyle name="Финансовый 2 3 2 2 2 3 2" xfId="2170" xr:uid="{00000000-0005-0000-0000-0000F0070000}"/>
    <cellStyle name="Финансовый 2 3 2 2 2 3 2 2" xfId="3815" xr:uid="{00000000-0005-0000-0000-0000F1070000}"/>
    <cellStyle name="Финансовый 2 3 2 2 2 3 2 3" xfId="5598" xr:uid="{00000000-0005-0000-0000-0000F2070000}"/>
    <cellStyle name="Финансовый 2 3 2 2 2 3 3" xfId="1204" xr:uid="{00000000-0005-0000-0000-0000F3070000}"/>
    <cellStyle name="Финансовый 2 3 2 2 2 3 4" xfId="811" xr:uid="{00000000-0005-0000-0000-0000F4070000}"/>
    <cellStyle name="Финансовый 2 3 2 2 2 3 5" xfId="2988" xr:uid="{00000000-0005-0000-0000-0000F5070000}"/>
    <cellStyle name="Финансовый 2 3 2 2 2 3 6" xfId="4632" xr:uid="{00000000-0005-0000-0000-0000F6070000}"/>
    <cellStyle name="Финансовый 2 3 2 2 2 4" xfId="1482" xr:uid="{00000000-0005-0000-0000-0000F7070000}"/>
    <cellStyle name="Финансовый 2 3 2 2 2 4 2" xfId="1914" xr:uid="{00000000-0005-0000-0000-0000F8070000}"/>
    <cellStyle name="Финансовый 2 3 2 2 2 4 2 2" xfId="3559" xr:uid="{00000000-0005-0000-0000-0000F9070000}"/>
    <cellStyle name="Финансовый 2 3 2 2 2 4 2 3" xfId="5342" xr:uid="{00000000-0005-0000-0000-0000FA070000}"/>
    <cellStyle name="Финансовый 2 3 2 2 2 4 3" xfId="4910" xr:uid="{00000000-0005-0000-0000-0000FB070000}"/>
    <cellStyle name="Финансовый 2 3 2 2 2 5" xfId="1790" xr:uid="{00000000-0005-0000-0000-0000FC070000}"/>
    <cellStyle name="Финансовый 2 3 2 2 2 5 2" xfId="3435" xr:uid="{00000000-0005-0000-0000-0000FD070000}"/>
    <cellStyle name="Финансовый 2 3 2 2 2 5 3" xfId="5218" xr:uid="{00000000-0005-0000-0000-0000FE070000}"/>
    <cellStyle name="Финансовый 2 3 2 2 2 6" xfId="2435" xr:uid="{00000000-0005-0000-0000-0000FF070000}"/>
    <cellStyle name="Финансовый 2 3 2 2 2 6 2" xfId="4080" xr:uid="{00000000-0005-0000-0000-000000080000}"/>
    <cellStyle name="Финансовый 2 3 2 2 2 6 3" xfId="5863" xr:uid="{00000000-0005-0000-0000-000001080000}"/>
    <cellStyle name="Финансовый 2 3 2 2 2 7" xfId="1662" xr:uid="{00000000-0005-0000-0000-000002080000}"/>
    <cellStyle name="Финансовый 2 3 2 2 2 7 2" xfId="3307" xr:uid="{00000000-0005-0000-0000-000003080000}"/>
    <cellStyle name="Финансовый 2 3 2 2 2 7 3" xfId="5090" xr:uid="{00000000-0005-0000-0000-000004080000}"/>
    <cellStyle name="Финансовый 2 3 2 2 2 8" xfId="939" xr:uid="{00000000-0005-0000-0000-000005080000}"/>
    <cellStyle name="Финансовый 2 3 2 2 2 9" xfId="527" xr:uid="{00000000-0005-0000-0000-000006080000}"/>
    <cellStyle name="Финансовый 2 3 2 2 3" xfId="186" xr:uid="{00000000-0005-0000-0000-000007080000}"/>
    <cellStyle name="Финансовый 2 3 2 2 3 2" xfId="1284" xr:uid="{00000000-0005-0000-0000-000008080000}"/>
    <cellStyle name="Финансовый 2 3 2 2 3 2 2" xfId="2250" xr:uid="{00000000-0005-0000-0000-000009080000}"/>
    <cellStyle name="Финансовый 2 3 2 2 3 2 2 2" xfId="3895" xr:uid="{00000000-0005-0000-0000-00000A080000}"/>
    <cellStyle name="Финансовый 2 3 2 2 3 2 2 3" xfId="5678" xr:uid="{00000000-0005-0000-0000-00000B080000}"/>
    <cellStyle name="Финансовый 2 3 2 2 3 2 3" xfId="3068" xr:uid="{00000000-0005-0000-0000-00000C080000}"/>
    <cellStyle name="Финансовый 2 3 2 2 3 2 4" xfId="4712" xr:uid="{00000000-0005-0000-0000-00000D080000}"/>
    <cellStyle name="Финансовый 2 3 2 2 3 3" xfId="1994" xr:uid="{00000000-0005-0000-0000-00000E080000}"/>
    <cellStyle name="Финансовый 2 3 2 2 3 3 2" xfId="3639" xr:uid="{00000000-0005-0000-0000-00000F080000}"/>
    <cellStyle name="Финансовый 2 3 2 2 3 3 3" xfId="5422" xr:uid="{00000000-0005-0000-0000-000010080000}"/>
    <cellStyle name="Финансовый 2 3 2 2 3 4" xfId="2515" xr:uid="{00000000-0005-0000-0000-000011080000}"/>
    <cellStyle name="Финансовый 2 3 2 2 3 4 2" xfId="4160" xr:uid="{00000000-0005-0000-0000-000012080000}"/>
    <cellStyle name="Финансовый 2 3 2 2 3 4 3" xfId="5943" xr:uid="{00000000-0005-0000-0000-000013080000}"/>
    <cellStyle name="Финансовый 2 3 2 2 3 5" xfId="1019" xr:uid="{00000000-0005-0000-0000-000014080000}"/>
    <cellStyle name="Финансовый 2 3 2 2 3 6" xfId="607" xr:uid="{00000000-0005-0000-0000-000015080000}"/>
    <cellStyle name="Финансовый 2 3 2 2 3 7" xfId="2796" xr:uid="{00000000-0005-0000-0000-000016080000}"/>
    <cellStyle name="Финансовый 2 3 2 2 3 8" xfId="4440" xr:uid="{00000000-0005-0000-0000-000017080000}"/>
    <cellStyle name="Финансовый 2 3 2 2 4" xfId="335" xr:uid="{00000000-0005-0000-0000-000018080000}"/>
    <cellStyle name="Финансовый 2 3 2 2 4 2" xfId="2122" xr:uid="{00000000-0005-0000-0000-000019080000}"/>
    <cellStyle name="Финансовый 2 3 2 2 4 2 2" xfId="3767" xr:uid="{00000000-0005-0000-0000-00001A080000}"/>
    <cellStyle name="Финансовый 2 3 2 2 4 2 3" xfId="5550" xr:uid="{00000000-0005-0000-0000-00001B080000}"/>
    <cellStyle name="Финансовый 2 3 2 2 4 3" xfId="1155" xr:uid="{00000000-0005-0000-0000-00001C080000}"/>
    <cellStyle name="Финансовый 2 3 2 2 4 4" xfId="755" xr:uid="{00000000-0005-0000-0000-00001D080000}"/>
    <cellStyle name="Финансовый 2 3 2 2 4 5" xfId="2932" xr:uid="{00000000-0005-0000-0000-00001E080000}"/>
    <cellStyle name="Финансовый 2 3 2 2 4 6" xfId="4576" xr:uid="{00000000-0005-0000-0000-00001F080000}"/>
    <cellStyle name="Финансовый 2 3 2 2 5" xfId="1481" xr:uid="{00000000-0005-0000-0000-000020080000}"/>
    <cellStyle name="Финансовый 2 3 2 2 5 2" xfId="1858" xr:uid="{00000000-0005-0000-0000-000021080000}"/>
    <cellStyle name="Финансовый 2 3 2 2 5 2 2" xfId="3503" xr:uid="{00000000-0005-0000-0000-000022080000}"/>
    <cellStyle name="Финансовый 2 3 2 2 5 2 3" xfId="5286" xr:uid="{00000000-0005-0000-0000-000023080000}"/>
    <cellStyle name="Финансовый 2 3 2 2 5 3" xfId="4909" xr:uid="{00000000-0005-0000-0000-000024080000}"/>
    <cellStyle name="Финансовый 2 3 2 2 6" xfId="1742" xr:uid="{00000000-0005-0000-0000-000025080000}"/>
    <cellStyle name="Финансовый 2 3 2 2 6 2" xfId="3387" xr:uid="{00000000-0005-0000-0000-000026080000}"/>
    <cellStyle name="Финансовый 2 3 2 2 6 3" xfId="5170" xr:uid="{00000000-0005-0000-0000-000027080000}"/>
    <cellStyle name="Финансовый 2 3 2 2 7" xfId="2378" xr:uid="{00000000-0005-0000-0000-000028080000}"/>
    <cellStyle name="Финансовый 2 3 2 2 7 2" xfId="4023" xr:uid="{00000000-0005-0000-0000-000029080000}"/>
    <cellStyle name="Финансовый 2 3 2 2 7 3" xfId="5806" xr:uid="{00000000-0005-0000-0000-00002A080000}"/>
    <cellStyle name="Финансовый 2 3 2 2 8" xfId="1605" xr:uid="{00000000-0005-0000-0000-00002B080000}"/>
    <cellStyle name="Финансовый 2 3 2 2 8 2" xfId="3250" xr:uid="{00000000-0005-0000-0000-00002C080000}"/>
    <cellStyle name="Финансовый 2 3 2 2 8 3" xfId="5033" xr:uid="{00000000-0005-0000-0000-00002D080000}"/>
    <cellStyle name="Финансовый 2 3 2 2 9" xfId="891" xr:uid="{00000000-0005-0000-0000-00002E080000}"/>
    <cellStyle name="Финансовый 2 3 2 3" xfId="118" xr:uid="{00000000-0005-0000-0000-00002F080000}"/>
    <cellStyle name="Финансовый 2 3 2 3 10" xfId="2728" xr:uid="{00000000-0005-0000-0000-000030080000}"/>
    <cellStyle name="Финансовый 2 3 2 3 11" xfId="4372" xr:uid="{00000000-0005-0000-0000-000031080000}"/>
    <cellStyle name="Финансовый 2 3 2 3 2" xfId="254" xr:uid="{00000000-0005-0000-0000-000032080000}"/>
    <cellStyle name="Финансовый 2 3 2 3 2 2" xfId="1352" xr:uid="{00000000-0005-0000-0000-000033080000}"/>
    <cellStyle name="Финансовый 2 3 2 3 2 2 2" xfId="2310" xr:uid="{00000000-0005-0000-0000-000034080000}"/>
    <cellStyle name="Финансовый 2 3 2 3 2 2 2 2" xfId="3955" xr:uid="{00000000-0005-0000-0000-000035080000}"/>
    <cellStyle name="Финансовый 2 3 2 3 2 2 2 3" xfId="5738" xr:uid="{00000000-0005-0000-0000-000036080000}"/>
    <cellStyle name="Финансовый 2 3 2 3 2 2 3" xfId="3136" xr:uid="{00000000-0005-0000-0000-000037080000}"/>
    <cellStyle name="Финансовый 2 3 2 3 2 2 4" xfId="4780" xr:uid="{00000000-0005-0000-0000-000038080000}"/>
    <cellStyle name="Финансовый 2 3 2 3 2 3" xfId="2054" xr:uid="{00000000-0005-0000-0000-000039080000}"/>
    <cellStyle name="Финансовый 2 3 2 3 2 3 2" xfId="3699" xr:uid="{00000000-0005-0000-0000-00003A080000}"/>
    <cellStyle name="Финансовый 2 3 2 3 2 3 3" xfId="5482" xr:uid="{00000000-0005-0000-0000-00003B080000}"/>
    <cellStyle name="Финансовый 2 3 2 3 2 4" xfId="2583" xr:uid="{00000000-0005-0000-0000-00003C080000}"/>
    <cellStyle name="Финансовый 2 3 2 3 2 4 2" xfId="4228" xr:uid="{00000000-0005-0000-0000-00003D080000}"/>
    <cellStyle name="Финансовый 2 3 2 3 2 4 3" xfId="6011" xr:uid="{00000000-0005-0000-0000-00003E080000}"/>
    <cellStyle name="Финансовый 2 3 2 3 2 5" xfId="1087" xr:uid="{00000000-0005-0000-0000-00003F080000}"/>
    <cellStyle name="Финансовый 2 3 2 3 2 6" xfId="675" xr:uid="{00000000-0005-0000-0000-000040080000}"/>
    <cellStyle name="Финансовый 2 3 2 3 2 7" xfId="2864" xr:uid="{00000000-0005-0000-0000-000041080000}"/>
    <cellStyle name="Финансовый 2 3 2 3 2 8" xfId="4508" xr:uid="{00000000-0005-0000-0000-000042080000}"/>
    <cellStyle name="Финансовый 2 3 2 3 3" xfId="403" xr:uid="{00000000-0005-0000-0000-000043080000}"/>
    <cellStyle name="Финансовый 2 3 2 3 3 2" xfId="2182" xr:uid="{00000000-0005-0000-0000-000044080000}"/>
    <cellStyle name="Финансовый 2 3 2 3 3 2 2" xfId="3827" xr:uid="{00000000-0005-0000-0000-000045080000}"/>
    <cellStyle name="Финансовый 2 3 2 3 3 2 3" xfId="5610" xr:uid="{00000000-0005-0000-0000-000046080000}"/>
    <cellStyle name="Финансовый 2 3 2 3 3 3" xfId="1216" xr:uid="{00000000-0005-0000-0000-000047080000}"/>
    <cellStyle name="Финансовый 2 3 2 3 3 4" xfId="823" xr:uid="{00000000-0005-0000-0000-000048080000}"/>
    <cellStyle name="Финансовый 2 3 2 3 3 5" xfId="3000" xr:uid="{00000000-0005-0000-0000-000049080000}"/>
    <cellStyle name="Финансовый 2 3 2 3 3 6" xfId="4644" xr:uid="{00000000-0005-0000-0000-00004A080000}"/>
    <cellStyle name="Финансовый 2 3 2 3 4" xfId="1483" xr:uid="{00000000-0005-0000-0000-00004B080000}"/>
    <cellStyle name="Финансовый 2 3 2 3 4 2" xfId="1926" xr:uid="{00000000-0005-0000-0000-00004C080000}"/>
    <cellStyle name="Финансовый 2 3 2 3 4 2 2" xfId="3571" xr:uid="{00000000-0005-0000-0000-00004D080000}"/>
    <cellStyle name="Финансовый 2 3 2 3 4 2 3" xfId="5354" xr:uid="{00000000-0005-0000-0000-00004E080000}"/>
    <cellStyle name="Финансовый 2 3 2 3 4 3" xfId="4911" xr:uid="{00000000-0005-0000-0000-00004F080000}"/>
    <cellStyle name="Финансовый 2 3 2 3 5" xfId="1802" xr:uid="{00000000-0005-0000-0000-000050080000}"/>
    <cellStyle name="Финансовый 2 3 2 3 5 2" xfId="3447" xr:uid="{00000000-0005-0000-0000-000051080000}"/>
    <cellStyle name="Финансовый 2 3 2 3 5 3" xfId="5230" xr:uid="{00000000-0005-0000-0000-000052080000}"/>
    <cellStyle name="Финансовый 2 3 2 3 6" xfId="2447" xr:uid="{00000000-0005-0000-0000-000053080000}"/>
    <cellStyle name="Финансовый 2 3 2 3 6 2" xfId="4092" xr:uid="{00000000-0005-0000-0000-000054080000}"/>
    <cellStyle name="Финансовый 2 3 2 3 6 3" xfId="5875" xr:uid="{00000000-0005-0000-0000-000055080000}"/>
    <cellStyle name="Финансовый 2 3 2 3 7" xfId="1674" xr:uid="{00000000-0005-0000-0000-000056080000}"/>
    <cellStyle name="Финансовый 2 3 2 3 7 2" xfId="3319" xr:uid="{00000000-0005-0000-0000-000057080000}"/>
    <cellStyle name="Финансовый 2 3 2 3 7 3" xfId="5102" xr:uid="{00000000-0005-0000-0000-000058080000}"/>
    <cellStyle name="Финансовый 2 3 2 3 8" xfId="951" xr:uid="{00000000-0005-0000-0000-000059080000}"/>
    <cellStyle name="Финансовый 2 3 2 3 9" xfId="539" xr:uid="{00000000-0005-0000-0000-00005A080000}"/>
    <cellStyle name="Финансовый 2 3 2 4" xfId="82" xr:uid="{00000000-0005-0000-0000-00005B080000}"/>
    <cellStyle name="Финансовый 2 3 2 4 10" xfId="2692" xr:uid="{00000000-0005-0000-0000-00005C080000}"/>
    <cellStyle name="Финансовый 2 3 2 4 11" xfId="4336" xr:uid="{00000000-0005-0000-0000-00005D080000}"/>
    <cellStyle name="Финансовый 2 3 2 4 2" xfId="218" xr:uid="{00000000-0005-0000-0000-00005E080000}"/>
    <cellStyle name="Финансовый 2 3 2 4 2 2" xfId="1316" xr:uid="{00000000-0005-0000-0000-00005F080000}"/>
    <cellStyle name="Финансовый 2 3 2 4 2 2 2" xfId="2274" xr:uid="{00000000-0005-0000-0000-000060080000}"/>
    <cellStyle name="Финансовый 2 3 2 4 2 2 2 2" xfId="3919" xr:uid="{00000000-0005-0000-0000-000061080000}"/>
    <cellStyle name="Финансовый 2 3 2 4 2 2 2 3" xfId="5702" xr:uid="{00000000-0005-0000-0000-000062080000}"/>
    <cellStyle name="Финансовый 2 3 2 4 2 2 3" xfId="3100" xr:uid="{00000000-0005-0000-0000-000063080000}"/>
    <cellStyle name="Финансовый 2 3 2 4 2 2 4" xfId="4744" xr:uid="{00000000-0005-0000-0000-000064080000}"/>
    <cellStyle name="Финансовый 2 3 2 4 2 3" xfId="2018" xr:uid="{00000000-0005-0000-0000-000065080000}"/>
    <cellStyle name="Финансовый 2 3 2 4 2 3 2" xfId="3663" xr:uid="{00000000-0005-0000-0000-000066080000}"/>
    <cellStyle name="Финансовый 2 3 2 4 2 3 3" xfId="5446" xr:uid="{00000000-0005-0000-0000-000067080000}"/>
    <cellStyle name="Финансовый 2 3 2 4 2 4" xfId="2547" xr:uid="{00000000-0005-0000-0000-000068080000}"/>
    <cellStyle name="Финансовый 2 3 2 4 2 4 2" xfId="4192" xr:uid="{00000000-0005-0000-0000-000069080000}"/>
    <cellStyle name="Финансовый 2 3 2 4 2 4 3" xfId="5975" xr:uid="{00000000-0005-0000-0000-00006A080000}"/>
    <cellStyle name="Финансовый 2 3 2 4 2 5" xfId="1051" xr:uid="{00000000-0005-0000-0000-00006B080000}"/>
    <cellStyle name="Финансовый 2 3 2 4 2 6" xfId="639" xr:uid="{00000000-0005-0000-0000-00006C080000}"/>
    <cellStyle name="Финансовый 2 3 2 4 2 7" xfId="2828" xr:uid="{00000000-0005-0000-0000-00006D080000}"/>
    <cellStyle name="Финансовый 2 3 2 4 2 8" xfId="4472" xr:uid="{00000000-0005-0000-0000-00006E080000}"/>
    <cellStyle name="Финансовый 2 3 2 4 3" xfId="367" xr:uid="{00000000-0005-0000-0000-00006F080000}"/>
    <cellStyle name="Финансовый 2 3 2 4 3 2" xfId="2146" xr:uid="{00000000-0005-0000-0000-000070080000}"/>
    <cellStyle name="Финансовый 2 3 2 4 3 2 2" xfId="3791" xr:uid="{00000000-0005-0000-0000-000071080000}"/>
    <cellStyle name="Финансовый 2 3 2 4 3 2 3" xfId="5574" xr:uid="{00000000-0005-0000-0000-000072080000}"/>
    <cellStyle name="Финансовый 2 3 2 4 3 3" xfId="1180" xr:uid="{00000000-0005-0000-0000-000073080000}"/>
    <cellStyle name="Финансовый 2 3 2 4 3 4" xfId="787" xr:uid="{00000000-0005-0000-0000-000074080000}"/>
    <cellStyle name="Финансовый 2 3 2 4 3 5" xfId="2964" xr:uid="{00000000-0005-0000-0000-000075080000}"/>
    <cellStyle name="Финансовый 2 3 2 4 3 6" xfId="4608" xr:uid="{00000000-0005-0000-0000-000076080000}"/>
    <cellStyle name="Финансовый 2 3 2 4 4" xfId="1484" xr:uid="{00000000-0005-0000-0000-000077080000}"/>
    <cellStyle name="Финансовый 2 3 2 4 4 2" xfId="1890" xr:uid="{00000000-0005-0000-0000-000078080000}"/>
    <cellStyle name="Финансовый 2 3 2 4 4 2 2" xfId="3535" xr:uid="{00000000-0005-0000-0000-000079080000}"/>
    <cellStyle name="Финансовый 2 3 2 4 4 2 3" xfId="5318" xr:uid="{00000000-0005-0000-0000-00007A080000}"/>
    <cellStyle name="Финансовый 2 3 2 4 4 3" xfId="4912" xr:uid="{00000000-0005-0000-0000-00007B080000}"/>
    <cellStyle name="Финансовый 2 3 2 4 5" xfId="1766" xr:uid="{00000000-0005-0000-0000-00007C080000}"/>
    <cellStyle name="Финансовый 2 3 2 4 5 2" xfId="3411" xr:uid="{00000000-0005-0000-0000-00007D080000}"/>
    <cellStyle name="Финансовый 2 3 2 4 5 3" xfId="5194" xr:uid="{00000000-0005-0000-0000-00007E080000}"/>
    <cellStyle name="Финансовый 2 3 2 4 6" xfId="2411" xr:uid="{00000000-0005-0000-0000-00007F080000}"/>
    <cellStyle name="Финансовый 2 3 2 4 6 2" xfId="4056" xr:uid="{00000000-0005-0000-0000-000080080000}"/>
    <cellStyle name="Финансовый 2 3 2 4 6 3" xfId="5839" xr:uid="{00000000-0005-0000-0000-000081080000}"/>
    <cellStyle name="Финансовый 2 3 2 4 7" xfId="1638" xr:uid="{00000000-0005-0000-0000-000082080000}"/>
    <cellStyle name="Финансовый 2 3 2 4 7 2" xfId="3283" xr:uid="{00000000-0005-0000-0000-000083080000}"/>
    <cellStyle name="Финансовый 2 3 2 4 7 3" xfId="5066" xr:uid="{00000000-0005-0000-0000-000084080000}"/>
    <cellStyle name="Финансовый 2 3 2 4 8" xfId="915" xr:uid="{00000000-0005-0000-0000-000085080000}"/>
    <cellStyle name="Финансовый 2 3 2 4 9" xfId="503" xr:uid="{00000000-0005-0000-0000-000086080000}"/>
    <cellStyle name="Финансовый 2 3 2 5" xfId="60" xr:uid="{00000000-0005-0000-0000-000087080000}"/>
    <cellStyle name="Финансовый 2 3 2 5 10" xfId="2672" xr:uid="{00000000-0005-0000-0000-000088080000}"/>
    <cellStyle name="Финансовый 2 3 2 5 11" xfId="4315" xr:uid="{00000000-0005-0000-0000-000089080000}"/>
    <cellStyle name="Финансовый 2 3 2 5 2" xfId="198" xr:uid="{00000000-0005-0000-0000-00008A080000}"/>
    <cellStyle name="Финансовый 2 3 2 5 2 2" xfId="1296" xr:uid="{00000000-0005-0000-0000-00008B080000}"/>
    <cellStyle name="Финансовый 2 3 2 5 2 2 2" xfId="2262" xr:uid="{00000000-0005-0000-0000-00008C080000}"/>
    <cellStyle name="Финансовый 2 3 2 5 2 2 2 2" xfId="3907" xr:uid="{00000000-0005-0000-0000-00008D080000}"/>
    <cellStyle name="Финансовый 2 3 2 5 2 2 2 3" xfId="5690" xr:uid="{00000000-0005-0000-0000-00008E080000}"/>
    <cellStyle name="Финансовый 2 3 2 5 2 2 3" xfId="3080" xr:uid="{00000000-0005-0000-0000-00008F080000}"/>
    <cellStyle name="Финансовый 2 3 2 5 2 2 4" xfId="4724" xr:uid="{00000000-0005-0000-0000-000090080000}"/>
    <cellStyle name="Финансовый 2 3 2 5 2 3" xfId="2006" xr:uid="{00000000-0005-0000-0000-000091080000}"/>
    <cellStyle name="Финансовый 2 3 2 5 2 3 2" xfId="3651" xr:uid="{00000000-0005-0000-0000-000092080000}"/>
    <cellStyle name="Финансовый 2 3 2 5 2 3 3" xfId="5434" xr:uid="{00000000-0005-0000-0000-000093080000}"/>
    <cellStyle name="Финансовый 2 3 2 5 2 4" xfId="2527" xr:uid="{00000000-0005-0000-0000-000094080000}"/>
    <cellStyle name="Финансовый 2 3 2 5 2 4 2" xfId="4172" xr:uid="{00000000-0005-0000-0000-000095080000}"/>
    <cellStyle name="Финансовый 2 3 2 5 2 4 3" xfId="5955" xr:uid="{00000000-0005-0000-0000-000096080000}"/>
    <cellStyle name="Финансовый 2 3 2 5 2 5" xfId="1031" xr:uid="{00000000-0005-0000-0000-000097080000}"/>
    <cellStyle name="Финансовый 2 3 2 5 2 6" xfId="619" xr:uid="{00000000-0005-0000-0000-000098080000}"/>
    <cellStyle name="Финансовый 2 3 2 5 2 7" xfId="2808" xr:uid="{00000000-0005-0000-0000-000099080000}"/>
    <cellStyle name="Финансовый 2 3 2 5 2 8" xfId="4452" xr:uid="{00000000-0005-0000-0000-00009A080000}"/>
    <cellStyle name="Финансовый 2 3 2 5 3" xfId="347" xr:uid="{00000000-0005-0000-0000-00009B080000}"/>
    <cellStyle name="Финансовый 2 3 2 5 3 2" xfId="2134" xr:uid="{00000000-0005-0000-0000-00009C080000}"/>
    <cellStyle name="Финансовый 2 3 2 5 3 2 2" xfId="3779" xr:uid="{00000000-0005-0000-0000-00009D080000}"/>
    <cellStyle name="Финансовый 2 3 2 5 3 2 3" xfId="5562" xr:uid="{00000000-0005-0000-0000-00009E080000}"/>
    <cellStyle name="Финансовый 2 3 2 5 3 3" xfId="1167" xr:uid="{00000000-0005-0000-0000-00009F080000}"/>
    <cellStyle name="Финансовый 2 3 2 5 3 4" xfId="767" xr:uid="{00000000-0005-0000-0000-0000A0080000}"/>
    <cellStyle name="Финансовый 2 3 2 5 3 5" xfId="2944" xr:uid="{00000000-0005-0000-0000-0000A1080000}"/>
    <cellStyle name="Финансовый 2 3 2 5 3 6" xfId="4588" xr:uid="{00000000-0005-0000-0000-0000A2080000}"/>
    <cellStyle name="Финансовый 2 3 2 5 4" xfId="1485" xr:uid="{00000000-0005-0000-0000-0000A3080000}"/>
    <cellStyle name="Финансовый 2 3 2 5 4 2" xfId="1870" xr:uid="{00000000-0005-0000-0000-0000A4080000}"/>
    <cellStyle name="Финансовый 2 3 2 5 4 2 2" xfId="3515" xr:uid="{00000000-0005-0000-0000-0000A5080000}"/>
    <cellStyle name="Финансовый 2 3 2 5 4 2 3" xfId="5298" xr:uid="{00000000-0005-0000-0000-0000A6080000}"/>
    <cellStyle name="Финансовый 2 3 2 5 4 3" xfId="4913" xr:uid="{00000000-0005-0000-0000-0000A7080000}"/>
    <cellStyle name="Финансовый 2 3 2 5 5" xfId="1754" xr:uid="{00000000-0005-0000-0000-0000A8080000}"/>
    <cellStyle name="Финансовый 2 3 2 5 5 2" xfId="3399" xr:uid="{00000000-0005-0000-0000-0000A9080000}"/>
    <cellStyle name="Финансовый 2 3 2 5 5 3" xfId="5182" xr:uid="{00000000-0005-0000-0000-0000AA080000}"/>
    <cellStyle name="Финансовый 2 3 2 5 6" xfId="2390" xr:uid="{00000000-0005-0000-0000-0000AB080000}"/>
    <cellStyle name="Финансовый 2 3 2 5 6 2" xfId="4035" xr:uid="{00000000-0005-0000-0000-0000AC080000}"/>
    <cellStyle name="Финансовый 2 3 2 5 6 3" xfId="5818" xr:uid="{00000000-0005-0000-0000-0000AD080000}"/>
    <cellStyle name="Финансовый 2 3 2 5 7" xfId="1617" xr:uid="{00000000-0005-0000-0000-0000AE080000}"/>
    <cellStyle name="Финансовый 2 3 2 5 7 2" xfId="3262" xr:uid="{00000000-0005-0000-0000-0000AF080000}"/>
    <cellStyle name="Финансовый 2 3 2 5 7 3" xfId="5045" xr:uid="{00000000-0005-0000-0000-0000B0080000}"/>
    <cellStyle name="Финансовый 2 3 2 5 8" xfId="903" xr:uid="{00000000-0005-0000-0000-0000B1080000}"/>
    <cellStyle name="Финансовый 2 3 2 5 9" xfId="483" xr:uid="{00000000-0005-0000-0000-0000B2080000}"/>
    <cellStyle name="Финансовый 2 3 2 6" xfId="138" xr:uid="{00000000-0005-0000-0000-0000B3080000}"/>
    <cellStyle name="Финансовый 2 3 2 6 10" xfId="2748" xr:uid="{00000000-0005-0000-0000-0000B4080000}"/>
    <cellStyle name="Финансовый 2 3 2 6 11" xfId="4392" xr:uid="{00000000-0005-0000-0000-0000B5080000}"/>
    <cellStyle name="Финансовый 2 3 2 6 2" xfId="274" xr:uid="{00000000-0005-0000-0000-0000B6080000}"/>
    <cellStyle name="Финансовый 2 3 2 6 2 2" xfId="1372" xr:uid="{00000000-0005-0000-0000-0000B7080000}"/>
    <cellStyle name="Финансовый 2 3 2 6 2 2 2" xfId="2330" xr:uid="{00000000-0005-0000-0000-0000B8080000}"/>
    <cellStyle name="Финансовый 2 3 2 6 2 2 2 2" xfId="3975" xr:uid="{00000000-0005-0000-0000-0000B9080000}"/>
    <cellStyle name="Финансовый 2 3 2 6 2 2 2 3" xfId="5758" xr:uid="{00000000-0005-0000-0000-0000BA080000}"/>
    <cellStyle name="Финансовый 2 3 2 6 2 2 3" xfId="3156" xr:uid="{00000000-0005-0000-0000-0000BB080000}"/>
    <cellStyle name="Финансовый 2 3 2 6 2 2 4" xfId="4800" xr:uid="{00000000-0005-0000-0000-0000BC080000}"/>
    <cellStyle name="Финансовый 2 3 2 6 2 3" xfId="2074" xr:uid="{00000000-0005-0000-0000-0000BD080000}"/>
    <cellStyle name="Финансовый 2 3 2 6 2 3 2" xfId="3719" xr:uid="{00000000-0005-0000-0000-0000BE080000}"/>
    <cellStyle name="Финансовый 2 3 2 6 2 3 3" xfId="5502" xr:uid="{00000000-0005-0000-0000-0000BF080000}"/>
    <cellStyle name="Финансовый 2 3 2 6 2 4" xfId="2603" xr:uid="{00000000-0005-0000-0000-0000C0080000}"/>
    <cellStyle name="Финансовый 2 3 2 6 2 4 2" xfId="4248" xr:uid="{00000000-0005-0000-0000-0000C1080000}"/>
    <cellStyle name="Финансовый 2 3 2 6 2 4 3" xfId="6031" xr:uid="{00000000-0005-0000-0000-0000C2080000}"/>
    <cellStyle name="Финансовый 2 3 2 6 2 5" xfId="1107" xr:uid="{00000000-0005-0000-0000-0000C3080000}"/>
    <cellStyle name="Финансовый 2 3 2 6 2 6" xfId="695" xr:uid="{00000000-0005-0000-0000-0000C4080000}"/>
    <cellStyle name="Финансовый 2 3 2 6 2 7" xfId="2884" xr:uid="{00000000-0005-0000-0000-0000C5080000}"/>
    <cellStyle name="Финансовый 2 3 2 6 2 8" xfId="4528" xr:uid="{00000000-0005-0000-0000-0000C6080000}"/>
    <cellStyle name="Финансовый 2 3 2 6 3" xfId="423" xr:uid="{00000000-0005-0000-0000-0000C7080000}"/>
    <cellStyle name="Финансовый 2 3 2 6 3 2" xfId="2202" xr:uid="{00000000-0005-0000-0000-0000C8080000}"/>
    <cellStyle name="Финансовый 2 3 2 6 3 2 2" xfId="3847" xr:uid="{00000000-0005-0000-0000-0000C9080000}"/>
    <cellStyle name="Финансовый 2 3 2 6 3 2 3" xfId="5630" xr:uid="{00000000-0005-0000-0000-0000CA080000}"/>
    <cellStyle name="Финансовый 2 3 2 6 3 3" xfId="1236" xr:uid="{00000000-0005-0000-0000-0000CB080000}"/>
    <cellStyle name="Финансовый 2 3 2 6 3 4" xfId="843" xr:uid="{00000000-0005-0000-0000-0000CC080000}"/>
    <cellStyle name="Финансовый 2 3 2 6 3 5" xfId="3020" xr:uid="{00000000-0005-0000-0000-0000CD080000}"/>
    <cellStyle name="Финансовый 2 3 2 6 3 6" xfId="4664" xr:uid="{00000000-0005-0000-0000-0000CE080000}"/>
    <cellStyle name="Финансовый 2 3 2 6 4" xfId="1486" xr:uid="{00000000-0005-0000-0000-0000CF080000}"/>
    <cellStyle name="Финансовый 2 3 2 6 4 2" xfId="1946" xr:uid="{00000000-0005-0000-0000-0000D0080000}"/>
    <cellStyle name="Финансовый 2 3 2 6 4 2 2" xfId="3591" xr:uid="{00000000-0005-0000-0000-0000D1080000}"/>
    <cellStyle name="Финансовый 2 3 2 6 4 2 3" xfId="5374" xr:uid="{00000000-0005-0000-0000-0000D2080000}"/>
    <cellStyle name="Финансовый 2 3 2 6 4 3" xfId="4914" xr:uid="{00000000-0005-0000-0000-0000D3080000}"/>
    <cellStyle name="Финансовый 2 3 2 6 5" xfId="1822" xr:uid="{00000000-0005-0000-0000-0000D4080000}"/>
    <cellStyle name="Финансовый 2 3 2 6 5 2" xfId="3467" xr:uid="{00000000-0005-0000-0000-0000D5080000}"/>
    <cellStyle name="Финансовый 2 3 2 6 5 3" xfId="5250" xr:uid="{00000000-0005-0000-0000-0000D6080000}"/>
    <cellStyle name="Финансовый 2 3 2 6 6" xfId="2467" xr:uid="{00000000-0005-0000-0000-0000D7080000}"/>
    <cellStyle name="Финансовый 2 3 2 6 6 2" xfId="4112" xr:uid="{00000000-0005-0000-0000-0000D8080000}"/>
    <cellStyle name="Финансовый 2 3 2 6 6 3" xfId="5895" xr:uid="{00000000-0005-0000-0000-0000D9080000}"/>
    <cellStyle name="Финансовый 2 3 2 6 7" xfId="1694" xr:uid="{00000000-0005-0000-0000-0000DA080000}"/>
    <cellStyle name="Финансовый 2 3 2 6 7 2" xfId="3339" xr:uid="{00000000-0005-0000-0000-0000DB080000}"/>
    <cellStyle name="Финансовый 2 3 2 6 7 3" xfId="5122" xr:uid="{00000000-0005-0000-0000-0000DC080000}"/>
    <cellStyle name="Финансовый 2 3 2 6 8" xfId="971" xr:uid="{00000000-0005-0000-0000-0000DD080000}"/>
    <cellStyle name="Финансовый 2 3 2 6 9" xfId="559" xr:uid="{00000000-0005-0000-0000-0000DE080000}"/>
    <cellStyle name="Финансовый 2 3 2 7" xfId="36" xr:uid="{00000000-0005-0000-0000-0000DF080000}"/>
    <cellStyle name="Финансовый 2 3 2 7 10" xfId="2648" xr:uid="{00000000-0005-0000-0000-0000E0080000}"/>
    <cellStyle name="Финансовый 2 3 2 7 11" xfId="4291" xr:uid="{00000000-0005-0000-0000-0000E1080000}"/>
    <cellStyle name="Финансовый 2 3 2 7 2" xfId="174" xr:uid="{00000000-0005-0000-0000-0000E2080000}"/>
    <cellStyle name="Финансовый 2 3 2 7 2 2" xfId="1272" xr:uid="{00000000-0005-0000-0000-0000E3080000}"/>
    <cellStyle name="Финансовый 2 3 2 7 2 2 2" xfId="2238" xr:uid="{00000000-0005-0000-0000-0000E4080000}"/>
    <cellStyle name="Финансовый 2 3 2 7 2 2 2 2" xfId="3883" xr:uid="{00000000-0005-0000-0000-0000E5080000}"/>
    <cellStyle name="Финансовый 2 3 2 7 2 2 2 3" xfId="5666" xr:uid="{00000000-0005-0000-0000-0000E6080000}"/>
    <cellStyle name="Финансовый 2 3 2 7 2 2 3" xfId="3056" xr:uid="{00000000-0005-0000-0000-0000E7080000}"/>
    <cellStyle name="Финансовый 2 3 2 7 2 2 4" xfId="4700" xr:uid="{00000000-0005-0000-0000-0000E8080000}"/>
    <cellStyle name="Финансовый 2 3 2 7 2 3" xfId="1982" xr:uid="{00000000-0005-0000-0000-0000E9080000}"/>
    <cellStyle name="Финансовый 2 3 2 7 2 3 2" xfId="3627" xr:uid="{00000000-0005-0000-0000-0000EA080000}"/>
    <cellStyle name="Финансовый 2 3 2 7 2 3 3" xfId="5410" xr:uid="{00000000-0005-0000-0000-0000EB080000}"/>
    <cellStyle name="Финансовый 2 3 2 7 2 4" xfId="2503" xr:uid="{00000000-0005-0000-0000-0000EC080000}"/>
    <cellStyle name="Финансовый 2 3 2 7 2 4 2" xfId="4148" xr:uid="{00000000-0005-0000-0000-0000ED080000}"/>
    <cellStyle name="Финансовый 2 3 2 7 2 4 3" xfId="5931" xr:uid="{00000000-0005-0000-0000-0000EE080000}"/>
    <cellStyle name="Финансовый 2 3 2 7 2 5" xfId="1007" xr:uid="{00000000-0005-0000-0000-0000EF080000}"/>
    <cellStyle name="Финансовый 2 3 2 7 2 6" xfId="595" xr:uid="{00000000-0005-0000-0000-0000F0080000}"/>
    <cellStyle name="Финансовый 2 3 2 7 2 7" xfId="2784" xr:uid="{00000000-0005-0000-0000-0000F1080000}"/>
    <cellStyle name="Финансовый 2 3 2 7 2 8" xfId="4428" xr:uid="{00000000-0005-0000-0000-0000F2080000}"/>
    <cellStyle name="Финансовый 2 3 2 7 3" xfId="323" xr:uid="{00000000-0005-0000-0000-0000F3080000}"/>
    <cellStyle name="Финансовый 2 3 2 7 3 2" xfId="2110" xr:uid="{00000000-0005-0000-0000-0000F4080000}"/>
    <cellStyle name="Финансовый 2 3 2 7 3 2 2" xfId="3755" xr:uid="{00000000-0005-0000-0000-0000F5080000}"/>
    <cellStyle name="Финансовый 2 3 2 7 3 2 3" xfId="5538" xr:uid="{00000000-0005-0000-0000-0000F6080000}"/>
    <cellStyle name="Финансовый 2 3 2 7 3 3" xfId="1143" xr:uid="{00000000-0005-0000-0000-0000F7080000}"/>
    <cellStyle name="Финансовый 2 3 2 7 3 4" xfId="743" xr:uid="{00000000-0005-0000-0000-0000F8080000}"/>
    <cellStyle name="Финансовый 2 3 2 7 3 5" xfId="2920" xr:uid="{00000000-0005-0000-0000-0000F9080000}"/>
    <cellStyle name="Финансовый 2 3 2 7 3 6" xfId="4564" xr:uid="{00000000-0005-0000-0000-0000FA080000}"/>
    <cellStyle name="Финансовый 2 3 2 7 4" xfId="1456" xr:uid="{00000000-0005-0000-0000-0000FB080000}"/>
    <cellStyle name="Финансовый 2 3 2 7 4 2" xfId="1846" xr:uid="{00000000-0005-0000-0000-0000FC080000}"/>
    <cellStyle name="Финансовый 2 3 2 7 4 2 2" xfId="3491" xr:uid="{00000000-0005-0000-0000-0000FD080000}"/>
    <cellStyle name="Финансовый 2 3 2 7 4 2 3" xfId="5274" xr:uid="{00000000-0005-0000-0000-0000FE080000}"/>
    <cellStyle name="Финансовый 2 3 2 7 4 3" xfId="4884" xr:uid="{00000000-0005-0000-0000-0000FF080000}"/>
    <cellStyle name="Финансовый 2 3 2 7 5" xfId="1730" xr:uid="{00000000-0005-0000-0000-000000090000}"/>
    <cellStyle name="Финансовый 2 3 2 7 5 2" xfId="3375" xr:uid="{00000000-0005-0000-0000-000001090000}"/>
    <cellStyle name="Финансовый 2 3 2 7 5 3" xfId="5158" xr:uid="{00000000-0005-0000-0000-000002090000}"/>
    <cellStyle name="Финансовый 2 3 2 7 6" xfId="2366" xr:uid="{00000000-0005-0000-0000-000003090000}"/>
    <cellStyle name="Финансовый 2 3 2 7 6 2" xfId="4011" xr:uid="{00000000-0005-0000-0000-000004090000}"/>
    <cellStyle name="Финансовый 2 3 2 7 6 3" xfId="5794" xr:uid="{00000000-0005-0000-0000-000005090000}"/>
    <cellStyle name="Финансовый 2 3 2 7 7" xfId="1593" xr:uid="{00000000-0005-0000-0000-000006090000}"/>
    <cellStyle name="Финансовый 2 3 2 7 7 2" xfId="3238" xr:uid="{00000000-0005-0000-0000-000007090000}"/>
    <cellStyle name="Финансовый 2 3 2 7 7 3" xfId="5021" xr:uid="{00000000-0005-0000-0000-000008090000}"/>
    <cellStyle name="Финансовый 2 3 2 7 8" xfId="879" xr:uid="{00000000-0005-0000-0000-000009090000}"/>
    <cellStyle name="Финансовый 2 3 2 7 9" xfId="459" xr:uid="{00000000-0005-0000-0000-00000A090000}"/>
    <cellStyle name="Финансовый 2 3 2 8" xfId="24" xr:uid="{00000000-0005-0000-0000-00000B090000}"/>
    <cellStyle name="Финансовый 2 3 2 8 10" xfId="2636" xr:uid="{00000000-0005-0000-0000-00000C090000}"/>
    <cellStyle name="Финансовый 2 3 2 8 11" xfId="4279" xr:uid="{00000000-0005-0000-0000-00000D090000}"/>
    <cellStyle name="Финансовый 2 3 2 8 2" xfId="162" xr:uid="{00000000-0005-0000-0000-00000E090000}"/>
    <cellStyle name="Финансовый 2 3 2 8 2 2" xfId="1260" xr:uid="{00000000-0005-0000-0000-00000F090000}"/>
    <cellStyle name="Финансовый 2 3 2 8 2 2 2" xfId="2226" xr:uid="{00000000-0005-0000-0000-000010090000}"/>
    <cellStyle name="Финансовый 2 3 2 8 2 2 2 2" xfId="3871" xr:uid="{00000000-0005-0000-0000-000011090000}"/>
    <cellStyle name="Финансовый 2 3 2 8 2 2 2 3" xfId="5654" xr:uid="{00000000-0005-0000-0000-000012090000}"/>
    <cellStyle name="Финансовый 2 3 2 8 2 2 3" xfId="3044" xr:uid="{00000000-0005-0000-0000-000013090000}"/>
    <cellStyle name="Финансовый 2 3 2 8 2 2 4" xfId="4688" xr:uid="{00000000-0005-0000-0000-000014090000}"/>
    <cellStyle name="Финансовый 2 3 2 8 2 3" xfId="1970" xr:uid="{00000000-0005-0000-0000-000015090000}"/>
    <cellStyle name="Финансовый 2 3 2 8 2 3 2" xfId="3615" xr:uid="{00000000-0005-0000-0000-000016090000}"/>
    <cellStyle name="Финансовый 2 3 2 8 2 3 3" xfId="5398" xr:uid="{00000000-0005-0000-0000-000017090000}"/>
    <cellStyle name="Финансовый 2 3 2 8 2 4" xfId="2491" xr:uid="{00000000-0005-0000-0000-000018090000}"/>
    <cellStyle name="Финансовый 2 3 2 8 2 4 2" xfId="4136" xr:uid="{00000000-0005-0000-0000-000019090000}"/>
    <cellStyle name="Финансовый 2 3 2 8 2 4 3" xfId="5919" xr:uid="{00000000-0005-0000-0000-00001A090000}"/>
    <cellStyle name="Финансовый 2 3 2 8 2 5" xfId="995" xr:uid="{00000000-0005-0000-0000-00001B090000}"/>
    <cellStyle name="Финансовый 2 3 2 8 2 6" xfId="583" xr:uid="{00000000-0005-0000-0000-00001C090000}"/>
    <cellStyle name="Финансовый 2 3 2 8 2 7" xfId="2772" xr:uid="{00000000-0005-0000-0000-00001D090000}"/>
    <cellStyle name="Финансовый 2 3 2 8 2 8" xfId="4416" xr:uid="{00000000-0005-0000-0000-00001E090000}"/>
    <cellStyle name="Финансовый 2 3 2 8 3" xfId="311" xr:uid="{00000000-0005-0000-0000-00001F090000}"/>
    <cellStyle name="Финансовый 2 3 2 8 3 2" xfId="2098" xr:uid="{00000000-0005-0000-0000-000020090000}"/>
    <cellStyle name="Финансовый 2 3 2 8 3 2 2" xfId="3743" xr:uid="{00000000-0005-0000-0000-000021090000}"/>
    <cellStyle name="Финансовый 2 3 2 8 3 2 3" xfId="5526" xr:uid="{00000000-0005-0000-0000-000022090000}"/>
    <cellStyle name="Финансовый 2 3 2 8 3 3" xfId="1131" xr:uid="{00000000-0005-0000-0000-000023090000}"/>
    <cellStyle name="Финансовый 2 3 2 8 3 4" xfId="731" xr:uid="{00000000-0005-0000-0000-000024090000}"/>
    <cellStyle name="Финансовый 2 3 2 8 3 5" xfId="2908" xr:uid="{00000000-0005-0000-0000-000025090000}"/>
    <cellStyle name="Финансовый 2 3 2 8 3 6" xfId="4552" xr:uid="{00000000-0005-0000-0000-000026090000}"/>
    <cellStyle name="Финансовый 2 3 2 8 4" xfId="1467" xr:uid="{00000000-0005-0000-0000-000027090000}"/>
    <cellStyle name="Финансовый 2 3 2 8 4 2" xfId="1834" xr:uid="{00000000-0005-0000-0000-000028090000}"/>
    <cellStyle name="Финансовый 2 3 2 8 4 2 2" xfId="3479" xr:uid="{00000000-0005-0000-0000-000029090000}"/>
    <cellStyle name="Финансовый 2 3 2 8 4 2 3" xfId="5262" xr:uid="{00000000-0005-0000-0000-00002A090000}"/>
    <cellStyle name="Финансовый 2 3 2 8 4 3" xfId="4895" xr:uid="{00000000-0005-0000-0000-00002B090000}"/>
    <cellStyle name="Финансовый 2 3 2 8 5" xfId="1718" xr:uid="{00000000-0005-0000-0000-00002C090000}"/>
    <cellStyle name="Финансовый 2 3 2 8 5 2" xfId="3363" xr:uid="{00000000-0005-0000-0000-00002D090000}"/>
    <cellStyle name="Финансовый 2 3 2 8 5 3" xfId="5146" xr:uid="{00000000-0005-0000-0000-00002E090000}"/>
    <cellStyle name="Финансовый 2 3 2 8 6" xfId="2354" xr:uid="{00000000-0005-0000-0000-00002F090000}"/>
    <cellStyle name="Финансовый 2 3 2 8 6 2" xfId="3999" xr:uid="{00000000-0005-0000-0000-000030090000}"/>
    <cellStyle name="Финансовый 2 3 2 8 6 3" xfId="5782" xr:uid="{00000000-0005-0000-0000-000031090000}"/>
    <cellStyle name="Финансовый 2 3 2 8 7" xfId="1581" xr:uid="{00000000-0005-0000-0000-000032090000}"/>
    <cellStyle name="Финансовый 2 3 2 8 7 2" xfId="3226" xr:uid="{00000000-0005-0000-0000-000033090000}"/>
    <cellStyle name="Финансовый 2 3 2 8 7 3" xfId="5009" xr:uid="{00000000-0005-0000-0000-000034090000}"/>
    <cellStyle name="Финансовый 2 3 2 8 8" xfId="867" xr:uid="{00000000-0005-0000-0000-000035090000}"/>
    <cellStyle name="Финансовый 2 3 2 8 9" xfId="447" xr:uid="{00000000-0005-0000-0000-000036090000}"/>
    <cellStyle name="Финансовый 2 3 2 9" xfId="150" xr:uid="{00000000-0005-0000-0000-000037090000}"/>
    <cellStyle name="Финансовый 2 3 2 9 2" xfId="1248" xr:uid="{00000000-0005-0000-0000-000038090000}"/>
    <cellStyle name="Финансовый 2 3 2 9 2 2" xfId="2214" xr:uid="{00000000-0005-0000-0000-000039090000}"/>
    <cellStyle name="Финансовый 2 3 2 9 2 2 2" xfId="3859" xr:uid="{00000000-0005-0000-0000-00003A090000}"/>
    <cellStyle name="Финансовый 2 3 2 9 2 2 3" xfId="5642" xr:uid="{00000000-0005-0000-0000-00003B090000}"/>
    <cellStyle name="Финансовый 2 3 2 9 2 3" xfId="3032" xr:uid="{00000000-0005-0000-0000-00003C090000}"/>
    <cellStyle name="Финансовый 2 3 2 9 2 4" xfId="4676" xr:uid="{00000000-0005-0000-0000-00003D090000}"/>
    <cellStyle name="Финансовый 2 3 2 9 3" xfId="1958" xr:uid="{00000000-0005-0000-0000-00003E090000}"/>
    <cellStyle name="Финансовый 2 3 2 9 3 2" xfId="3603" xr:uid="{00000000-0005-0000-0000-00003F090000}"/>
    <cellStyle name="Финансовый 2 3 2 9 3 3" xfId="5386" xr:uid="{00000000-0005-0000-0000-000040090000}"/>
    <cellStyle name="Финансовый 2 3 2 9 4" xfId="2479" xr:uid="{00000000-0005-0000-0000-000041090000}"/>
    <cellStyle name="Финансовый 2 3 2 9 4 2" xfId="4124" xr:uid="{00000000-0005-0000-0000-000042090000}"/>
    <cellStyle name="Финансовый 2 3 2 9 4 3" xfId="5907" xr:uid="{00000000-0005-0000-0000-000043090000}"/>
    <cellStyle name="Финансовый 2 3 2 9 5" xfId="983" xr:uid="{00000000-0005-0000-0000-000044090000}"/>
    <cellStyle name="Финансовый 2 3 2 9 6" xfId="571" xr:uid="{00000000-0005-0000-0000-000045090000}"/>
    <cellStyle name="Финансовый 2 3 2 9 7" xfId="2760" xr:uid="{00000000-0005-0000-0000-000046090000}"/>
    <cellStyle name="Финансовый 2 3 2 9 8" xfId="4404" xr:uid="{00000000-0005-0000-0000-000047090000}"/>
    <cellStyle name="Финансовый 2 3 20" xfId="2618" xr:uid="{00000000-0005-0000-0000-000048090000}"/>
    <cellStyle name="Финансовый 2 3 21" xfId="4261" xr:uid="{00000000-0005-0000-0000-000049090000}"/>
    <cellStyle name="Финансовый 2 3 3" xfId="42" xr:uid="{00000000-0005-0000-0000-00004A090000}"/>
    <cellStyle name="Финансовый 2 3 3 10" xfId="885" xr:uid="{00000000-0005-0000-0000-00004B090000}"/>
    <cellStyle name="Финансовый 2 3 3 11" xfId="465" xr:uid="{00000000-0005-0000-0000-00004C090000}"/>
    <cellStyle name="Финансовый 2 3 3 12" xfId="2654" xr:uid="{00000000-0005-0000-0000-00004D090000}"/>
    <cellStyle name="Финансовый 2 3 3 13" xfId="4297" xr:uid="{00000000-0005-0000-0000-00004E090000}"/>
    <cellStyle name="Финансовый 2 3 3 2" xfId="124" xr:uid="{00000000-0005-0000-0000-00004F090000}"/>
    <cellStyle name="Финансовый 2 3 3 2 10" xfId="2734" xr:uid="{00000000-0005-0000-0000-000050090000}"/>
    <cellStyle name="Финансовый 2 3 3 2 11" xfId="4378" xr:uid="{00000000-0005-0000-0000-000051090000}"/>
    <cellStyle name="Финансовый 2 3 3 2 2" xfId="260" xr:uid="{00000000-0005-0000-0000-000052090000}"/>
    <cellStyle name="Финансовый 2 3 3 2 2 2" xfId="1358" xr:uid="{00000000-0005-0000-0000-000053090000}"/>
    <cellStyle name="Финансовый 2 3 3 2 2 2 2" xfId="2316" xr:uid="{00000000-0005-0000-0000-000054090000}"/>
    <cellStyle name="Финансовый 2 3 3 2 2 2 2 2" xfId="3961" xr:uid="{00000000-0005-0000-0000-000055090000}"/>
    <cellStyle name="Финансовый 2 3 3 2 2 2 2 3" xfId="5744" xr:uid="{00000000-0005-0000-0000-000056090000}"/>
    <cellStyle name="Финансовый 2 3 3 2 2 2 3" xfId="3142" xr:uid="{00000000-0005-0000-0000-000057090000}"/>
    <cellStyle name="Финансовый 2 3 3 2 2 2 4" xfId="4786" xr:uid="{00000000-0005-0000-0000-000058090000}"/>
    <cellStyle name="Финансовый 2 3 3 2 2 3" xfId="2060" xr:uid="{00000000-0005-0000-0000-000059090000}"/>
    <cellStyle name="Финансовый 2 3 3 2 2 3 2" xfId="3705" xr:uid="{00000000-0005-0000-0000-00005A090000}"/>
    <cellStyle name="Финансовый 2 3 3 2 2 3 3" xfId="5488" xr:uid="{00000000-0005-0000-0000-00005B090000}"/>
    <cellStyle name="Финансовый 2 3 3 2 2 4" xfId="2589" xr:uid="{00000000-0005-0000-0000-00005C090000}"/>
    <cellStyle name="Финансовый 2 3 3 2 2 4 2" xfId="4234" xr:uid="{00000000-0005-0000-0000-00005D090000}"/>
    <cellStyle name="Финансовый 2 3 3 2 2 4 3" xfId="6017" xr:uid="{00000000-0005-0000-0000-00005E090000}"/>
    <cellStyle name="Финансовый 2 3 3 2 2 5" xfId="1093" xr:uid="{00000000-0005-0000-0000-00005F090000}"/>
    <cellStyle name="Финансовый 2 3 3 2 2 6" xfId="681" xr:uid="{00000000-0005-0000-0000-000060090000}"/>
    <cellStyle name="Финансовый 2 3 3 2 2 7" xfId="2870" xr:uid="{00000000-0005-0000-0000-000061090000}"/>
    <cellStyle name="Финансовый 2 3 3 2 2 8" xfId="4514" xr:uid="{00000000-0005-0000-0000-000062090000}"/>
    <cellStyle name="Финансовый 2 3 3 2 3" xfId="409" xr:uid="{00000000-0005-0000-0000-000063090000}"/>
    <cellStyle name="Финансовый 2 3 3 2 3 2" xfId="2188" xr:uid="{00000000-0005-0000-0000-000064090000}"/>
    <cellStyle name="Финансовый 2 3 3 2 3 2 2" xfId="3833" xr:uid="{00000000-0005-0000-0000-000065090000}"/>
    <cellStyle name="Финансовый 2 3 3 2 3 2 3" xfId="5616" xr:uid="{00000000-0005-0000-0000-000066090000}"/>
    <cellStyle name="Финансовый 2 3 3 2 3 3" xfId="1222" xr:uid="{00000000-0005-0000-0000-000067090000}"/>
    <cellStyle name="Финансовый 2 3 3 2 3 4" xfId="829" xr:uid="{00000000-0005-0000-0000-000068090000}"/>
    <cellStyle name="Финансовый 2 3 3 2 3 5" xfId="3006" xr:uid="{00000000-0005-0000-0000-000069090000}"/>
    <cellStyle name="Финансовый 2 3 3 2 3 6" xfId="4650" xr:uid="{00000000-0005-0000-0000-00006A090000}"/>
    <cellStyle name="Финансовый 2 3 3 2 4" xfId="1488" xr:uid="{00000000-0005-0000-0000-00006B090000}"/>
    <cellStyle name="Финансовый 2 3 3 2 4 2" xfId="1932" xr:uid="{00000000-0005-0000-0000-00006C090000}"/>
    <cellStyle name="Финансовый 2 3 3 2 4 2 2" xfId="3577" xr:uid="{00000000-0005-0000-0000-00006D090000}"/>
    <cellStyle name="Финансовый 2 3 3 2 4 2 3" xfId="5360" xr:uid="{00000000-0005-0000-0000-00006E090000}"/>
    <cellStyle name="Финансовый 2 3 3 2 4 3" xfId="4916" xr:uid="{00000000-0005-0000-0000-00006F090000}"/>
    <cellStyle name="Финансовый 2 3 3 2 5" xfId="1808" xr:uid="{00000000-0005-0000-0000-000070090000}"/>
    <cellStyle name="Финансовый 2 3 3 2 5 2" xfId="3453" xr:uid="{00000000-0005-0000-0000-000071090000}"/>
    <cellStyle name="Финансовый 2 3 3 2 5 3" xfId="5236" xr:uid="{00000000-0005-0000-0000-000072090000}"/>
    <cellStyle name="Финансовый 2 3 3 2 6" xfId="2453" xr:uid="{00000000-0005-0000-0000-000073090000}"/>
    <cellStyle name="Финансовый 2 3 3 2 6 2" xfId="4098" xr:uid="{00000000-0005-0000-0000-000074090000}"/>
    <cellStyle name="Финансовый 2 3 3 2 6 3" xfId="5881" xr:uid="{00000000-0005-0000-0000-000075090000}"/>
    <cellStyle name="Финансовый 2 3 3 2 7" xfId="1680" xr:uid="{00000000-0005-0000-0000-000076090000}"/>
    <cellStyle name="Финансовый 2 3 3 2 7 2" xfId="3325" xr:uid="{00000000-0005-0000-0000-000077090000}"/>
    <cellStyle name="Финансовый 2 3 3 2 7 3" xfId="5108" xr:uid="{00000000-0005-0000-0000-000078090000}"/>
    <cellStyle name="Финансовый 2 3 3 2 8" xfId="957" xr:uid="{00000000-0005-0000-0000-000079090000}"/>
    <cellStyle name="Финансовый 2 3 3 2 9" xfId="545" xr:uid="{00000000-0005-0000-0000-00007A090000}"/>
    <cellStyle name="Финансовый 2 3 3 3" xfId="88" xr:uid="{00000000-0005-0000-0000-00007B090000}"/>
    <cellStyle name="Финансовый 2 3 3 3 10" xfId="2698" xr:uid="{00000000-0005-0000-0000-00007C090000}"/>
    <cellStyle name="Финансовый 2 3 3 3 11" xfId="4342" xr:uid="{00000000-0005-0000-0000-00007D090000}"/>
    <cellStyle name="Финансовый 2 3 3 3 2" xfId="224" xr:uid="{00000000-0005-0000-0000-00007E090000}"/>
    <cellStyle name="Финансовый 2 3 3 3 2 2" xfId="1322" xr:uid="{00000000-0005-0000-0000-00007F090000}"/>
    <cellStyle name="Финансовый 2 3 3 3 2 2 2" xfId="2280" xr:uid="{00000000-0005-0000-0000-000080090000}"/>
    <cellStyle name="Финансовый 2 3 3 3 2 2 2 2" xfId="3925" xr:uid="{00000000-0005-0000-0000-000081090000}"/>
    <cellStyle name="Финансовый 2 3 3 3 2 2 2 3" xfId="5708" xr:uid="{00000000-0005-0000-0000-000082090000}"/>
    <cellStyle name="Финансовый 2 3 3 3 2 2 3" xfId="3106" xr:uid="{00000000-0005-0000-0000-000083090000}"/>
    <cellStyle name="Финансовый 2 3 3 3 2 2 4" xfId="4750" xr:uid="{00000000-0005-0000-0000-000084090000}"/>
    <cellStyle name="Финансовый 2 3 3 3 2 3" xfId="2024" xr:uid="{00000000-0005-0000-0000-000085090000}"/>
    <cellStyle name="Финансовый 2 3 3 3 2 3 2" xfId="3669" xr:uid="{00000000-0005-0000-0000-000086090000}"/>
    <cellStyle name="Финансовый 2 3 3 3 2 3 3" xfId="5452" xr:uid="{00000000-0005-0000-0000-000087090000}"/>
    <cellStyle name="Финансовый 2 3 3 3 2 4" xfId="2553" xr:uid="{00000000-0005-0000-0000-000088090000}"/>
    <cellStyle name="Финансовый 2 3 3 3 2 4 2" xfId="4198" xr:uid="{00000000-0005-0000-0000-000089090000}"/>
    <cellStyle name="Финансовый 2 3 3 3 2 4 3" xfId="5981" xr:uid="{00000000-0005-0000-0000-00008A090000}"/>
    <cellStyle name="Финансовый 2 3 3 3 2 5" xfId="1057" xr:uid="{00000000-0005-0000-0000-00008B090000}"/>
    <cellStyle name="Финансовый 2 3 3 3 2 6" xfId="645" xr:uid="{00000000-0005-0000-0000-00008C090000}"/>
    <cellStyle name="Финансовый 2 3 3 3 2 7" xfId="2834" xr:uid="{00000000-0005-0000-0000-00008D090000}"/>
    <cellStyle name="Финансовый 2 3 3 3 2 8" xfId="4478" xr:uid="{00000000-0005-0000-0000-00008E090000}"/>
    <cellStyle name="Финансовый 2 3 3 3 3" xfId="373" xr:uid="{00000000-0005-0000-0000-00008F090000}"/>
    <cellStyle name="Финансовый 2 3 3 3 3 2" xfId="2152" xr:uid="{00000000-0005-0000-0000-000090090000}"/>
    <cellStyle name="Финансовый 2 3 3 3 3 2 2" xfId="3797" xr:uid="{00000000-0005-0000-0000-000091090000}"/>
    <cellStyle name="Финансовый 2 3 3 3 3 2 3" xfId="5580" xr:uid="{00000000-0005-0000-0000-000092090000}"/>
    <cellStyle name="Финансовый 2 3 3 3 3 3" xfId="1186" xr:uid="{00000000-0005-0000-0000-000093090000}"/>
    <cellStyle name="Финансовый 2 3 3 3 3 4" xfId="793" xr:uid="{00000000-0005-0000-0000-000094090000}"/>
    <cellStyle name="Финансовый 2 3 3 3 3 5" xfId="2970" xr:uid="{00000000-0005-0000-0000-000095090000}"/>
    <cellStyle name="Финансовый 2 3 3 3 3 6" xfId="4614" xr:uid="{00000000-0005-0000-0000-000096090000}"/>
    <cellStyle name="Финансовый 2 3 3 3 4" xfId="1489" xr:uid="{00000000-0005-0000-0000-000097090000}"/>
    <cellStyle name="Финансовый 2 3 3 3 4 2" xfId="1896" xr:uid="{00000000-0005-0000-0000-000098090000}"/>
    <cellStyle name="Финансовый 2 3 3 3 4 2 2" xfId="3541" xr:uid="{00000000-0005-0000-0000-000099090000}"/>
    <cellStyle name="Финансовый 2 3 3 3 4 2 3" xfId="5324" xr:uid="{00000000-0005-0000-0000-00009A090000}"/>
    <cellStyle name="Финансовый 2 3 3 3 4 3" xfId="4917" xr:uid="{00000000-0005-0000-0000-00009B090000}"/>
    <cellStyle name="Финансовый 2 3 3 3 5" xfId="1772" xr:uid="{00000000-0005-0000-0000-00009C090000}"/>
    <cellStyle name="Финансовый 2 3 3 3 5 2" xfId="3417" xr:uid="{00000000-0005-0000-0000-00009D090000}"/>
    <cellStyle name="Финансовый 2 3 3 3 5 3" xfId="5200" xr:uid="{00000000-0005-0000-0000-00009E090000}"/>
    <cellStyle name="Финансовый 2 3 3 3 6" xfId="2417" xr:uid="{00000000-0005-0000-0000-00009F090000}"/>
    <cellStyle name="Финансовый 2 3 3 3 6 2" xfId="4062" xr:uid="{00000000-0005-0000-0000-0000A0090000}"/>
    <cellStyle name="Финансовый 2 3 3 3 6 3" xfId="5845" xr:uid="{00000000-0005-0000-0000-0000A1090000}"/>
    <cellStyle name="Финансовый 2 3 3 3 7" xfId="1644" xr:uid="{00000000-0005-0000-0000-0000A2090000}"/>
    <cellStyle name="Финансовый 2 3 3 3 7 2" xfId="3289" xr:uid="{00000000-0005-0000-0000-0000A3090000}"/>
    <cellStyle name="Финансовый 2 3 3 3 7 3" xfId="5072" xr:uid="{00000000-0005-0000-0000-0000A4090000}"/>
    <cellStyle name="Финансовый 2 3 3 3 8" xfId="921" xr:uid="{00000000-0005-0000-0000-0000A5090000}"/>
    <cellStyle name="Финансовый 2 3 3 3 9" xfId="509" xr:uid="{00000000-0005-0000-0000-0000A6090000}"/>
    <cellStyle name="Финансовый 2 3 3 4" xfId="180" xr:uid="{00000000-0005-0000-0000-0000A7090000}"/>
    <cellStyle name="Финансовый 2 3 3 4 2" xfId="1278" xr:uid="{00000000-0005-0000-0000-0000A8090000}"/>
    <cellStyle name="Финансовый 2 3 3 4 2 2" xfId="2244" xr:uid="{00000000-0005-0000-0000-0000A9090000}"/>
    <cellStyle name="Финансовый 2 3 3 4 2 2 2" xfId="3889" xr:uid="{00000000-0005-0000-0000-0000AA090000}"/>
    <cellStyle name="Финансовый 2 3 3 4 2 2 3" xfId="5672" xr:uid="{00000000-0005-0000-0000-0000AB090000}"/>
    <cellStyle name="Финансовый 2 3 3 4 2 3" xfId="3062" xr:uid="{00000000-0005-0000-0000-0000AC090000}"/>
    <cellStyle name="Финансовый 2 3 3 4 2 4" xfId="4706" xr:uid="{00000000-0005-0000-0000-0000AD090000}"/>
    <cellStyle name="Финансовый 2 3 3 4 3" xfId="1988" xr:uid="{00000000-0005-0000-0000-0000AE090000}"/>
    <cellStyle name="Финансовый 2 3 3 4 3 2" xfId="3633" xr:uid="{00000000-0005-0000-0000-0000AF090000}"/>
    <cellStyle name="Финансовый 2 3 3 4 3 3" xfId="5416" xr:uid="{00000000-0005-0000-0000-0000B0090000}"/>
    <cellStyle name="Финансовый 2 3 3 4 4" xfId="2509" xr:uid="{00000000-0005-0000-0000-0000B1090000}"/>
    <cellStyle name="Финансовый 2 3 3 4 4 2" xfId="4154" xr:uid="{00000000-0005-0000-0000-0000B2090000}"/>
    <cellStyle name="Финансовый 2 3 3 4 4 3" xfId="5937" xr:uid="{00000000-0005-0000-0000-0000B3090000}"/>
    <cellStyle name="Финансовый 2 3 3 4 5" xfId="1013" xr:uid="{00000000-0005-0000-0000-0000B4090000}"/>
    <cellStyle name="Финансовый 2 3 3 4 6" xfId="601" xr:uid="{00000000-0005-0000-0000-0000B5090000}"/>
    <cellStyle name="Финансовый 2 3 3 4 7" xfId="2790" xr:uid="{00000000-0005-0000-0000-0000B6090000}"/>
    <cellStyle name="Финансовый 2 3 3 4 8" xfId="4434" xr:uid="{00000000-0005-0000-0000-0000B7090000}"/>
    <cellStyle name="Финансовый 2 3 3 5" xfId="329" xr:uid="{00000000-0005-0000-0000-0000B8090000}"/>
    <cellStyle name="Финансовый 2 3 3 5 2" xfId="2116" xr:uid="{00000000-0005-0000-0000-0000B9090000}"/>
    <cellStyle name="Финансовый 2 3 3 5 2 2" xfId="3761" xr:uid="{00000000-0005-0000-0000-0000BA090000}"/>
    <cellStyle name="Финансовый 2 3 3 5 2 3" xfId="5544" xr:uid="{00000000-0005-0000-0000-0000BB090000}"/>
    <cellStyle name="Финансовый 2 3 3 5 3" xfId="1149" xr:uid="{00000000-0005-0000-0000-0000BC090000}"/>
    <cellStyle name="Финансовый 2 3 3 5 4" xfId="749" xr:uid="{00000000-0005-0000-0000-0000BD090000}"/>
    <cellStyle name="Финансовый 2 3 3 5 5" xfId="2926" xr:uid="{00000000-0005-0000-0000-0000BE090000}"/>
    <cellStyle name="Финансовый 2 3 3 5 6" xfId="4570" xr:uid="{00000000-0005-0000-0000-0000BF090000}"/>
    <cellStyle name="Финансовый 2 3 3 6" xfId="1487" xr:uid="{00000000-0005-0000-0000-0000C0090000}"/>
    <cellStyle name="Финансовый 2 3 3 6 2" xfId="1852" xr:uid="{00000000-0005-0000-0000-0000C1090000}"/>
    <cellStyle name="Финансовый 2 3 3 6 2 2" xfId="3497" xr:uid="{00000000-0005-0000-0000-0000C2090000}"/>
    <cellStyle name="Финансовый 2 3 3 6 2 3" xfId="5280" xr:uid="{00000000-0005-0000-0000-0000C3090000}"/>
    <cellStyle name="Финансовый 2 3 3 6 3" xfId="4915" xr:uid="{00000000-0005-0000-0000-0000C4090000}"/>
    <cellStyle name="Финансовый 2 3 3 7" xfId="1736" xr:uid="{00000000-0005-0000-0000-0000C5090000}"/>
    <cellStyle name="Финансовый 2 3 3 7 2" xfId="3381" xr:uid="{00000000-0005-0000-0000-0000C6090000}"/>
    <cellStyle name="Финансовый 2 3 3 7 3" xfId="5164" xr:uid="{00000000-0005-0000-0000-0000C7090000}"/>
    <cellStyle name="Финансовый 2 3 3 8" xfId="2372" xr:uid="{00000000-0005-0000-0000-0000C8090000}"/>
    <cellStyle name="Финансовый 2 3 3 8 2" xfId="4017" xr:uid="{00000000-0005-0000-0000-0000C9090000}"/>
    <cellStyle name="Финансовый 2 3 3 8 3" xfId="5800" xr:uid="{00000000-0005-0000-0000-0000CA090000}"/>
    <cellStyle name="Финансовый 2 3 3 9" xfId="1599" xr:uid="{00000000-0005-0000-0000-0000CB090000}"/>
    <cellStyle name="Финансовый 2 3 3 9 2" xfId="3244" xr:uid="{00000000-0005-0000-0000-0000CC090000}"/>
    <cellStyle name="Финансовый 2 3 3 9 3" xfId="5027" xr:uid="{00000000-0005-0000-0000-0000CD090000}"/>
    <cellStyle name="Финансовый 2 3 4" xfId="94" xr:uid="{00000000-0005-0000-0000-0000CE090000}"/>
    <cellStyle name="Финансовый 2 3 4 10" xfId="2704" xr:uid="{00000000-0005-0000-0000-0000CF090000}"/>
    <cellStyle name="Финансовый 2 3 4 11" xfId="4348" xr:uid="{00000000-0005-0000-0000-0000D0090000}"/>
    <cellStyle name="Финансовый 2 3 4 2" xfId="230" xr:uid="{00000000-0005-0000-0000-0000D1090000}"/>
    <cellStyle name="Финансовый 2 3 4 2 2" xfId="1328" xr:uid="{00000000-0005-0000-0000-0000D2090000}"/>
    <cellStyle name="Финансовый 2 3 4 2 2 2" xfId="2286" xr:uid="{00000000-0005-0000-0000-0000D3090000}"/>
    <cellStyle name="Финансовый 2 3 4 2 2 2 2" xfId="3931" xr:uid="{00000000-0005-0000-0000-0000D4090000}"/>
    <cellStyle name="Финансовый 2 3 4 2 2 2 3" xfId="5714" xr:uid="{00000000-0005-0000-0000-0000D5090000}"/>
    <cellStyle name="Финансовый 2 3 4 2 2 3" xfId="3112" xr:uid="{00000000-0005-0000-0000-0000D6090000}"/>
    <cellStyle name="Финансовый 2 3 4 2 2 4" xfId="4756" xr:uid="{00000000-0005-0000-0000-0000D7090000}"/>
    <cellStyle name="Финансовый 2 3 4 2 3" xfId="2030" xr:uid="{00000000-0005-0000-0000-0000D8090000}"/>
    <cellStyle name="Финансовый 2 3 4 2 3 2" xfId="3675" xr:uid="{00000000-0005-0000-0000-0000D9090000}"/>
    <cellStyle name="Финансовый 2 3 4 2 3 3" xfId="5458" xr:uid="{00000000-0005-0000-0000-0000DA090000}"/>
    <cellStyle name="Финансовый 2 3 4 2 4" xfId="2559" xr:uid="{00000000-0005-0000-0000-0000DB090000}"/>
    <cellStyle name="Финансовый 2 3 4 2 4 2" xfId="4204" xr:uid="{00000000-0005-0000-0000-0000DC090000}"/>
    <cellStyle name="Финансовый 2 3 4 2 4 3" xfId="5987" xr:uid="{00000000-0005-0000-0000-0000DD090000}"/>
    <cellStyle name="Финансовый 2 3 4 2 5" xfId="1063" xr:uid="{00000000-0005-0000-0000-0000DE090000}"/>
    <cellStyle name="Финансовый 2 3 4 2 6" xfId="651" xr:uid="{00000000-0005-0000-0000-0000DF090000}"/>
    <cellStyle name="Финансовый 2 3 4 2 7" xfId="2840" xr:uid="{00000000-0005-0000-0000-0000E0090000}"/>
    <cellStyle name="Финансовый 2 3 4 2 8" xfId="4484" xr:uid="{00000000-0005-0000-0000-0000E1090000}"/>
    <cellStyle name="Финансовый 2 3 4 3" xfId="379" xr:uid="{00000000-0005-0000-0000-0000E2090000}"/>
    <cellStyle name="Финансовый 2 3 4 3 2" xfId="2158" xr:uid="{00000000-0005-0000-0000-0000E3090000}"/>
    <cellStyle name="Финансовый 2 3 4 3 2 2" xfId="3803" xr:uid="{00000000-0005-0000-0000-0000E4090000}"/>
    <cellStyle name="Финансовый 2 3 4 3 2 3" xfId="5586" xr:uid="{00000000-0005-0000-0000-0000E5090000}"/>
    <cellStyle name="Финансовый 2 3 4 3 3" xfId="1192" xr:uid="{00000000-0005-0000-0000-0000E6090000}"/>
    <cellStyle name="Финансовый 2 3 4 3 4" xfId="799" xr:uid="{00000000-0005-0000-0000-0000E7090000}"/>
    <cellStyle name="Финансовый 2 3 4 3 5" xfId="2976" xr:uid="{00000000-0005-0000-0000-0000E8090000}"/>
    <cellStyle name="Финансовый 2 3 4 3 6" xfId="4620" xr:uid="{00000000-0005-0000-0000-0000E9090000}"/>
    <cellStyle name="Финансовый 2 3 4 4" xfId="1490" xr:uid="{00000000-0005-0000-0000-0000EA090000}"/>
    <cellStyle name="Финансовый 2 3 4 4 2" xfId="1902" xr:uid="{00000000-0005-0000-0000-0000EB090000}"/>
    <cellStyle name="Финансовый 2 3 4 4 2 2" xfId="3547" xr:uid="{00000000-0005-0000-0000-0000EC090000}"/>
    <cellStyle name="Финансовый 2 3 4 4 2 3" xfId="5330" xr:uid="{00000000-0005-0000-0000-0000ED090000}"/>
    <cellStyle name="Финансовый 2 3 4 4 3" xfId="4918" xr:uid="{00000000-0005-0000-0000-0000EE090000}"/>
    <cellStyle name="Финансовый 2 3 4 5" xfId="1778" xr:uid="{00000000-0005-0000-0000-0000EF090000}"/>
    <cellStyle name="Финансовый 2 3 4 5 2" xfId="3423" xr:uid="{00000000-0005-0000-0000-0000F0090000}"/>
    <cellStyle name="Финансовый 2 3 4 5 3" xfId="5206" xr:uid="{00000000-0005-0000-0000-0000F1090000}"/>
    <cellStyle name="Финансовый 2 3 4 6" xfId="2423" xr:uid="{00000000-0005-0000-0000-0000F2090000}"/>
    <cellStyle name="Финансовый 2 3 4 6 2" xfId="4068" xr:uid="{00000000-0005-0000-0000-0000F3090000}"/>
    <cellStyle name="Финансовый 2 3 4 6 3" xfId="5851" xr:uid="{00000000-0005-0000-0000-0000F4090000}"/>
    <cellStyle name="Финансовый 2 3 4 7" xfId="1650" xr:uid="{00000000-0005-0000-0000-0000F5090000}"/>
    <cellStyle name="Финансовый 2 3 4 7 2" xfId="3295" xr:uid="{00000000-0005-0000-0000-0000F6090000}"/>
    <cellStyle name="Финансовый 2 3 4 7 3" xfId="5078" xr:uid="{00000000-0005-0000-0000-0000F7090000}"/>
    <cellStyle name="Финансовый 2 3 4 8" xfId="927" xr:uid="{00000000-0005-0000-0000-0000F8090000}"/>
    <cellStyle name="Финансовый 2 3 4 9" xfId="515" xr:uid="{00000000-0005-0000-0000-0000F9090000}"/>
    <cellStyle name="Финансовый 2 3 5" xfId="100" xr:uid="{00000000-0005-0000-0000-0000FA090000}"/>
    <cellStyle name="Финансовый 2 3 5 10" xfId="2710" xr:uid="{00000000-0005-0000-0000-0000FB090000}"/>
    <cellStyle name="Финансовый 2 3 5 11" xfId="4354" xr:uid="{00000000-0005-0000-0000-0000FC090000}"/>
    <cellStyle name="Финансовый 2 3 5 2" xfId="236" xr:uid="{00000000-0005-0000-0000-0000FD090000}"/>
    <cellStyle name="Финансовый 2 3 5 2 2" xfId="1334" xr:uid="{00000000-0005-0000-0000-0000FE090000}"/>
    <cellStyle name="Финансовый 2 3 5 2 2 2" xfId="2292" xr:uid="{00000000-0005-0000-0000-0000FF090000}"/>
    <cellStyle name="Финансовый 2 3 5 2 2 2 2" xfId="3937" xr:uid="{00000000-0005-0000-0000-0000000A0000}"/>
    <cellStyle name="Финансовый 2 3 5 2 2 2 3" xfId="5720" xr:uid="{00000000-0005-0000-0000-0000010A0000}"/>
    <cellStyle name="Финансовый 2 3 5 2 2 3" xfId="3118" xr:uid="{00000000-0005-0000-0000-0000020A0000}"/>
    <cellStyle name="Финансовый 2 3 5 2 2 4" xfId="4762" xr:uid="{00000000-0005-0000-0000-0000030A0000}"/>
    <cellStyle name="Финансовый 2 3 5 2 3" xfId="2036" xr:uid="{00000000-0005-0000-0000-0000040A0000}"/>
    <cellStyle name="Финансовый 2 3 5 2 3 2" xfId="3681" xr:uid="{00000000-0005-0000-0000-0000050A0000}"/>
    <cellStyle name="Финансовый 2 3 5 2 3 3" xfId="5464" xr:uid="{00000000-0005-0000-0000-0000060A0000}"/>
    <cellStyle name="Финансовый 2 3 5 2 4" xfId="2565" xr:uid="{00000000-0005-0000-0000-0000070A0000}"/>
    <cellStyle name="Финансовый 2 3 5 2 4 2" xfId="4210" xr:uid="{00000000-0005-0000-0000-0000080A0000}"/>
    <cellStyle name="Финансовый 2 3 5 2 4 3" xfId="5993" xr:uid="{00000000-0005-0000-0000-0000090A0000}"/>
    <cellStyle name="Финансовый 2 3 5 2 5" xfId="1069" xr:uid="{00000000-0005-0000-0000-00000A0A0000}"/>
    <cellStyle name="Финансовый 2 3 5 2 6" xfId="657" xr:uid="{00000000-0005-0000-0000-00000B0A0000}"/>
    <cellStyle name="Финансовый 2 3 5 2 7" xfId="2846" xr:uid="{00000000-0005-0000-0000-00000C0A0000}"/>
    <cellStyle name="Финансовый 2 3 5 2 8" xfId="4490" xr:uid="{00000000-0005-0000-0000-00000D0A0000}"/>
    <cellStyle name="Финансовый 2 3 5 3" xfId="385" xr:uid="{00000000-0005-0000-0000-00000E0A0000}"/>
    <cellStyle name="Финансовый 2 3 5 3 2" xfId="2164" xr:uid="{00000000-0005-0000-0000-00000F0A0000}"/>
    <cellStyle name="Финансовый 2 3 5 3 2 2" xfId="3809" xr:uid="{00000000-0005-0000-0000-0000100A0000}"/>
    <cellStyle name="Финансовый 2 3 5 3 2 3" xfId="5592" xr:uid="{00000000-0005-0000-0000-0000110A0000}"/>
    <cellStyle name="Финансовый 2 3 5 3 3" xfId="1198" xr:uid="{00000000-0005-0000-0000-0000120A0000}"/>
    <cellStyle name="Финансовый 2 3 5 3 4" xfId="805" xr:uid="{00000000-0005-0000-0000-0000130A0000}"/>
    <cellStyle name="Финансовый 2 3 5 3 5" xfId="2982" xr:uid="{00000000-0005-0000-0000-0000140A0000}"/>
    <cellStyle name="Финансовый 2 3 5 3 6" xfId="4626" xr:uid="{00000000-0005-0000-0000-0000150A0000}"/>
    <cellStyle name="Финансовый 2 3 5 4" xfId="1491" xr:uid="{00000000-0005-0000-0000-0000160A0000}"/>
    <cellStyle name="Финансовый 2 3 5 4 2" xfId="1908" xr:uid="{00000000-0005-0000-0000-0000170A0000}"/>
    <cellStyle name="Финансовый 2 3 5 4 2 2" xfId="3553" xr:uid="{00000000-0005-0000-0000-0000180A0000}"/>
    <cellStyle name="Финансовый 2 3 5 4 2 3" xfId="5336" xr:uid="{00000000-0005-0000-0000-0000190A0000}"/>
    <cellStyle name="Финансовый 2 3 5 4 3" xfId="4919" xr:uid="{00000000-0005-0000-0000-00001A0A0000}"/>
    <cellStyle name="Финансовый 2 3 5 5" xfId="1784" xr:uid="{00000000-0005-0000-0000-00001B0A0000}"/>
    <cellStyle name="Финансовый 2 3 5 5 2" xfId="3429" xr:uid="{00000000-0005-0000-0000-00001C0A0000}"/>
    <cellStyle name="Финансовый 2 3 5 5 3" xfId="5212" xr:uid="{00000000-0005-0000-0000-00001D0A0000}"/>
    <cellStyle name="Финансовый 2 3 5 6" xfId="2429" xr:uid="{00000000-0005-0000-0000-00001E0A0000}"/>
    <cellStyle name="Финансовый 2 3 5 6 2" xfId="4074" xr:uid="{00000000-0005-0000-0000-00001F0A0000}"/>
    <cellStyle name="Финансовый 2 3 5 6 3" xfId="5857" xr:uid="{00000000-0005-0000-0000-0000200A0000}"/>
    <cellStyle name="Финансовый 2 3 5 7" xfId="1656" xr:uid="{00000000-0005-0000-0000-0000210A0000}"/>
    <cellStyle name="Финансовый 2 3 5 7 2" xfId="3301" xr:uid="{00000000-0005-0000-0000-0000220A0000}"/>
    <cellStyle name="Финансовый 2 3 5 7 3" xfId="5084" xr:uid="{00000000-0005-0000-0000-0000230A0000}"/>
    <cellStyle name="Финансовый 2 3 5 8" xfId="933" xr:uid="{00000000-0005-0000-0000-0000240A0000}"/>
    <cellStyle name="Финансовый 2 3 5 9" xfId="521" xr:uid="{00000000-0005-0000-0000-0000250A0000}"/>
    <cellStyle name="Финансовый 2 3 6" xfId="112" xr:uid="{00000000-0005-0000-0000-0000260A0000}"/>
    <cellStyle name="Финансовый 2 3 6 10" xfId="2722" xr:uid="{00000000-0005-0000-0000-0000270A0000}"/>
    <cellStyle name="Финансовый 2 3 6 11" xfId="4366" xr:uid="{00000000-0005-0000-0000-0000280A0000}"/>
    <cellStyle name="Финансовый 2 3 6 2" xfId="248" xr:uid="{00000000-0005-0000-0000-0000290A0000}"/>
    <cellStyle name="Финансовый 2 3 6 2 2" xfId="1346" xr:uid="{00000000-0005-0000-0000-00002A0A0000}"/>
    <cellStyle name="Финансовый 2 3 6 2 2 2" xfId="2304" xr:uid="{00000000-0005-0000-0000-00002B0A0000}"/>
    <cellStyle name="Финансовый 2 3 6 2 2 2 2" xfId="3949" xr:uid="{00000000-0005-0000-0000-00002C0A0000}"/>
    <cellStyle name="Финансовый 2 3 6 2 2 2 3" xfId="5732" xr:uid="{00000000-0005-0000-0000-00002D0A0000}"/>
    <cellStyle name="Финансовый 2 3 6 2 2 3" xfId="3130" xr:uid="{00000000-0005-0000-0000-00002E0A0000}"/>
    <cellStyle name="Финансовый 2 3 6 2 2 4" xfId="4774" xr:uid="{00000000-0005-0000-0000-00002F0A0000}"/>
    <cellStyle name="Финансовый 2 3 6 2 3" xfId="2048" xr:uid="{00000000-0005-0000-0000-0000300A0000}"/>
    <cellStyle name="Финансовый 2 3 6 2 3 2" xfId="3693" xr:uid="{00000000-0005-0000-0000-0000310A0000}"/>
    <cellStyle name="Финансовый 2 3 6 2 3 3" xfId="5476" xr:uid="{00000000-0005-0000-0000-0000320A0000}"/>
    <cellStyle name="Финансовый 2 3 6 2 4" xfId="2577" xr:uid="{00000000-0005-0000-0000-0000330A0000}"/>
    <cellStyle name="Финансовый 2 3 6 2 4 2" xfId="4222" xr:uid="{00000000-0005-0000-0000-0000340A0000}"/>
    <cellStyle name="Финансовый 2 3 6 2 4 3" xfId="6005" xr:uid="{00000000-0005-0000-0000-0000350A0000}"/>
    <cellStyle name="Финансовый 2 3 6 2 5" xfId="1081" xr:uid="{00000000-0005-0000-0000-0000360A0000}"/>
    <cellStyle name="Финансовый 2 3 6 2 6" xfId="669" xr:uid="{00000000-0005-0000-0000-0000370A0000}"/>
    <cellStyle name="Финансовый 2 3 6 2 7" xfId="2858" xr:uid="{00000000-0005-0000-0000-0000380A0000}"/>
    <cellStyle name="Финансовый 2 3 6 2 8" xfId="4502" xr:uid="{00000000-0005-0000-0000-0000390A0000}"/>
    <cellStyle name="Финансовый 2 3 6 3" xfId="397" xr:uid="{00000000-0005-0000-0000-00003A0A0000}"/>
    <cellStyle name="Финансовый 2 3 6 3 2" xfId="2176" xr:uid="{00000000-0005-0000-0000-00003B0A0000}"/>
    <cellStyle name="Финансовый 2 3 6 3 2 2" xfId="3821" xr:uid="{00000000-0005-0000-0000-00003C0A0000}"/>
    <cellStyle name="Финансовый 2 3 6 3 2 3" xfId="5604" xr:uid="{00000000-0005-0000-0000-00003D0A0000}"/>
    <cellStyle name="Финансовый 2 3 6 3 3" xfId="1210" xr:uid="{00000000-0005-0000-0000-00003E0A0000}"/>
    <cellStyle name="Финансовый 2 3 6 3 4" xfId="817" xr:uid="{00000000-0005-0000-0000-00003F0A0000}"/>
    <cellStyle name="Финансовый 2 3 6 3 5" xfId="2994" xr:uid="{00000000-0005-0000-0000-0000400A0000}"/>
    <cellStyle name="Финансовый 2 3 6 3 6" xfId="4638" xr:uid="{00000000-0005-0000-0000-0000410A0000}"/>
    <cellStyle name="Финансовый 2 3 6 4" xfId="1492" xr:uid="{00000000-0005-0000-0000-0000420A0000}"/>
    <cellStyle name="Финансовый 2 3 6 4 2" xfId="1920" xr:uid="{00000000-0005-0000-0000-0000430A0000}"/>
    <cellStyle name="Финансовый 2 3 6 4 2 2" xfId="3565" xr:uid="{00000000-0005-0000-0000-0000440A0000}"/>
    <cellStyle name="Финансовый 2 3 6 4 2 3" xfId="5348" xr:uid="{00000000-0005-0000-0000-0000450A0000}"/>
    <cellStyle name="Финансовый 2 3 6 4 3" xfId="4920" xr:uid="{00000000-0005-0000-0000-0000460A0000}"/>
    <cellStyle name="Финансовый 2 3 6 5" xfId="1796" xr:uid="{00000000-0005-0000-0000-0000470A0000}"/>
    <cellStyle name="Финансовый 2 3 6 5 2" xfId="3441" xr:uid="{00000000-0005-0000-0000-0000480A0000}"/>
    <cellStyle name="Финансовый 2 3 6 5 3" xfId="5224" xr:uid="{00000000-0005-0000-0000-0000490A0000}"/>
    <cellStyle name="Финансовый 2 3 6 6" xfId="2441" xr:uid="{00000000-0005-0000-0000-00004A0A0000}"/>
    <cellStyle name="Финансовый 2 3 6 6 2" xfId="4086" xr:uid="{00000000-0005-0000-0000-00004B0A0000}"/>
    <cellStyle name="Финансовый 2 3 6 6 3" xfId="5869" xr:uid="{00000000-0005-0000-0000-00004C0A0000}"/>
    <cellStyle name="Финансовый 2 3 6 7" xfId="1668" xr:uid="{00000000-0005-0000-0000-00004D0A0000}"/>
    <cellStyle name="Финансовый 2 3 6 7 2" xfId="3313" xr:uid="{00000000-0005-0000-0000-00004E0A0000}"/>
    <cellStyle name="Финансовый 2 3 6 7 3" xfId="5096" xr:uid="{00000000-0005-0000-0000-00004F0A0000}"/>
    <cellStyle name="Финансовый 2 3 6 8" xfId="945" xr:uid="{00000000-0005-0000-0000-0000500A0000}"/>
    <cellStyle name="Финансовый 2 3 6 9" xfId="533" xr:uid="{00000000-0005-0000-0000-0000510A0000}"/>
    <cellStyle name="Финансовый 2 3 7" xfId="76" xr:uid="{00000000-0005-0000-0000-0000520A0000}"/>
    <cellStyle name="Финансовый 2 3 7 10" xfId="2686" xr:uid="{00000000-0005-0000-0000-0000530A0000}"/>
    <cellStyle name="Финансовый 2 3 7 11" xfId="4330" xr:uid="{00000000-0005-0000-0000-0000540A0000}"/>
    <cellStyle name="Финансовый 2 3 7 2" xfId="212" xr:uid="{00000000-0005-0000-0000-0000550A0000}"/>
    <cellStyle name="Финансовый 2 3 7 2 2" xfId="1310" xr:uid="{00000000-0005-0000-0000-0000560A0000}"/>
    <cellStyle name="Финансовый 2 3 7 2 2 2" xfId="2268" xr:uid="{00000000-0005-0000-0000-0000570A0000}"/>
    <cellStyle name="Финансовый 2 3 7 2 2 2 2" xfId="3913" xr:uid="{00000000-0005-0000-0000-0000580A0000}"/>
    <cellStyle name="Финансовый 2 3 7 2 2 2 3" xfId="5696" xr:uid="{00000000-0005-0000-0000-0000590A0000}"/>
    <cellStyle name="Финансовый 2 3 7 2 2 3" xfId="3094" xr:uid="{00000000-0005-0000-0000-00005A0A0000}"/>
    <cellStyle name="Финансовый 2 3 7 2 2 4" xfId="4738" xr:uid="{00000000-0005-0000-0000-00005B0A0000}"/>
    <cellStyle name="Финансовый 2 3 7 2 3" xfId="2012" xr:uid="{00000000-0005-0000-0000-00005C0A0000}"/>
    <cellStyle name="Финансовый 2 3 7 2 3 2" xfId="3657" xr:uid="{00000000-0005-0000-0000-00005D0A0000}"/>
    <cellStyle name="Финансовый 2 3 7 2 3 3" xfId="5440" xr:uid="{00000000-0005-0000-0000-00005E0A0000}"/>
    <cellStyle name="Финансовый 2 3 7 2 4" xfId="2541" xr:uid="{00000000-0005-0000-0000-00005F0A0000}"/>
    <cellStyle name="Финансовый 2 3 7 2 4 2" xfId="4186" xr:uid="{00000000-0005-0000-0000-0000600A0000}"/>
    <cellStyle name="Финансовый 2 3 7 2 4 3" xfId="5969" xr:uid="{00000000-0005-0000-0000-0000610A0000}"/>
    <cellStyle name="Финансовый 2 3 7 2 5" xfId="1045" xr:uid="{00000000-0005-0000-0000-0000620A0000}"/>
    <cellStyle name="Финансовый 2 3 7 2 6" xfId="633" xr:uid="{00000000-0005-0000-0000-0000630A0000}"/>
    <cellStyle name="Финансовый 2 3 7 2 7" xfId="2822" xr:uid="{00000000-0005-0000-0000-0000640A0000}"/>
    <cellStyle name="Финансовый 2 3 7 2 8" xfId="4466" xr:uid="{00000000-0005-0000-0000-0000650A0000}"/>
    <cellStyle name="Финансовый 2 3 7 3" xfId="361" xr:uid="{00000000-0005-0000-0000-0000660A0000}"/>
    <cellStyle name="Финансовый 2 3 7 3 2" xfId="2140" xr:uid="{00000000-0005-0000-0000-0000670A0000}"/>
    <cellStyle name="Финансовый 2 3 7 3 2 2" xfId="3785" xr:uid="{00000000-0005-0000-0000-0000680A0000}"/>
    <cellStyle name="Финансовый 2 3 7 3 2 3" xfId="5568" xr:uid="{00000000-0005-0000-0000-0000690A0000}"/>
    <cellStyle name="Финансовый 2 3 7 3 3" xfId="1174" xr:uid="{00000000-0005-0000-0000-00006A0A0000}"/>
    <cellStyle name="Финансовый 2 3 7 3 4" xfId="781" xr:uid="{00000000-0005-0000-0000-00006B0A0000}"/>
    <cellStyle name="Финансовый 2 3 7 3 5" xfId="2958" xr:uid="{00000000-0005-0000-0000-00006C0A0000}"/>
    <cellStyle name="Финансовый 2 3 7 3 6" xfId="4602" xr:uid="{00000000-0005-0000-0000-00006D0A0000}"/>
    <cellStyle name="Финансовый 2 3 7 4" xfId="1493" xr:uid="{00000000-0005-0000-0000-00006E0A0000}"/>
    <cellStyle name="Финансовый 2 3 7 4 2" xfId="1884" xr:uid="{00000000-0005-0000-0000-00006F0A0000}"/>
    <cellStyle name="Финансовый 2 3 7 4 2 2" xfId="3529" xr:uid="{00000000-0005-0000-0000-0000700A0000}"/>
    <cellStyle name="Финансовый 2 3 7 4 2 3" xfId="5312" xr:uid="{00000000-0005-0000-0000-0000710A0000}"/>
    <cellStyle name="Финансовый 2 3 7 4 3" xfId="4921" xr:uid="{00000000-0005-0000-0000-0000720A0000}"/>
    <cellStyle name="Финансовый 2 3 7 5" xfId="1760" xr:uid="{00000000-0005-0000-0000-0000730A0000}"/>
    <cellStyle name="Финансовый 2 3 7 5 2" xfId="3405" xr:uid="{00000000-0005-0000-0000-0000740A0000}"/>
    <cellStyle name="Финансовый 2 3 7 5 3" xfId="5188" xr:uid="{00000000-0005-0000-0000-0000750A0000}"/>
    <cellStyle name="Финансовый 2 3 7 6" xfId="2405" xr:uid="{00000000-0005-0000-0000-0000760A0000}"/>
    <cellStyle name="Финансовый 2 3 7 6 2" xfId="4050" xr:uid="{00000000-0005-0000-0000-0000770A0000}"/>
    <cellStyle name="Финансовый 2 3 7 6 3" xfId="5833" xr:uid="{00000000-0005-0000-0000-0000780A0000}"/>
    <cellStyle name="Финансовый 2 3 7 7" xfId="1632" xr:uid="{00000000-0005-0000-0000-0000790A0000}"/>
    <cellStyle name="Финансовый 2 3 7 7 2" xfId="3277" xr:uid="{00000000-0005-0000-0000-00007A0A0000}"/>
    <cellStyle name="Финансовый 2 3 7 7 3" xfId="5060" xr:uid="{00000000-0005-0000-0000-00007B0A0000}"/>
    <cellStyle name="Финансовый 2 3 7 8" xfId="909" xr:uid="{00000000-0005-0000-0000-00007C0A0000}"/>
    <cellStyle name="Финансовый 2 3 7 9" xfId="497" xr:uid="{00000000-0005-0000-0000-00007D0A0000}"/>
    <cellStyle name="Финансовый 2 3 8" xfId="54" xr:uid="{00000000-0005-0000-0000-00007E0A0000}"/>
    <cellStyle name="Финансовый 2 3 8 10" xfId="2666" xr:uid="{00000000-0005-0000-0000-00007F0A0000}"/>
    <cellStyle name="Финансовый 2 3 8 11" xfId="4309" xr:uid="{00000000-0005-0000-0000-0000800A0000}"/>
    <cellStyle name="Финансовый 2 3 8 2" xfId="192" xr:uid="{00000000-0005-0000-0000-0000810A0000}"/>
    <cellStyle name="Финансовый 2 3 8 2 2" xfId="1290" xr:uid="{00000000-0005-0000-0000-0000820A0000}"/>
    <cellStyle name="Финансовый 2 3 8 2 2 2" xfId="2256" xr:uid="{00000000-0005-0000-0000-0000830A0000}"/>
    <cellStyle name="Финансовый 2 3 8 2 2 2 2" xfId="3901" xr:uid="{00000000-0005-0000-0000-0000840A0000}"/>
    <cellStyle name="Финансовый 2 3 8 2 2 2 3" xfId="5684" xr:uid="{00000000-0005-0000-0000-0000850A0000}"/>
    <cellStyle name="Финансовый 2 3 8 2 2 3" xfId="3074" xr:uid="{00000000-0005-0000-0000-0000860A0000}"/>
    <cellStyle name="Финансовый 2 3 8 2 2 4" xfId="4718" xr:uid="{00000000-0005-0000-0000-0000870A0000}"/>
    <cellStyle name="Финансовый 2 3 8 2 3" xfId="2000" xr:uid="{00000000-0005-0000-0000-0000880A0000}"/>
    <cellStyle name="Финансовый 2 3 8 2 3 2" xfId="3645" xr:uid="{00000000-0005-0000-0000-0000890A0000}"/>
    <cellStyle name="Финансовый 2 3 8 2 3 3" xfId="5428" xr:uid="{00000000-0005-0000-0000-00008A0A0000}"/>
    <cellStyle name="Финансовый 2 3 8 2 4" xfId="2521" xr:uid="{00000000-0005-0000-0000-00008B0A0000}"/>
    <cellStyle name="Финансовый 2 3 8 2 4 2" xfId="4166" xr:uid="{00000000-0005-0000-0000-00008C0A0000}"/>
    <cellStyle name="Финансовый 2 3 8 2 4 3" xfId="5949" xr:uid="{00000000-0005-0000-0000-00008D0A0000}"/>
    <cellStyle name="Финансовый 2 3 8 2 5" xfId="1025" xr:uid="{00000000-0005-0000-0000-00008E0A0000}"/>
    <cellStyle name="Финансовый 2 3 8 2 6" xfId="613" xr:uid="{00000000-0005-0000-0000-00008F0A0000}"/>
    <cellStyle name="Финансовый 2 3 8 2 7" xfId="2802" xr:uid="{00000000-0005-0000-0000-0000900A0000}"/>
    <cellStyle name="Финансовый 2 3 8 2 8" xfId="4446" xr:uid="{00000000-0005-0000-0000-0000910A0000}"/>
    <cellStyle name="Финансовый 2 3 8 3" xfId="341" xr:uid="{00000000-0005-0000-0000-0000920A0000}"/>
    <cellStyle name="Финансовый 2 3 8 3 2" xfId="2128" xr:uid="{00000000-0005-0000-0000-0000930A0000}"/>
    <cellStyle name="Финансовый 2 3 8 3 2 2" xfId="3773" xr:uid="{00000000-0005-0000-0000-0000940A0000}"/>
    <cellStyle name="Финансовый 2 3 8 3 2 3" xfId="5556" xr:uid="{00000000-0005-0000-0000-0000950A0000}"/>
    <cellStyle name="Финансовый 2 3 8 3 3" xfId="1161" xr:uid="{00000000-0005-0000-0000-0000960A0000}"/>
    <cellStyle name="Финансовый 2 3 8 3 4" xfId="761" xr:uid="{00000000-0005-0000-0000-0000970A0000}"/>
    <cellStyle name="Финансовый 2 3 8 3 5" xfId="2938" xr:uid="{00000000-0005-0000-0000-0000980A0000}"/>
    <cellStyle name="Финансовый 2 3 8 3 6" xfId="4582" xr:uid="{00000000-0005-0000-0000-0000990A0000}"/>
    <cellStyle name="Финансовый 2 3 8 4" xfId="1494" xr:uid="{00000000-0005-0000-0000-00009A0A0000}"/>
    <cellStyle name="Финансовый 2 3 8 4 2" xfId="1864" xr:uid="{00000000-0005-0000-0000-00009B0A0000}"/>
    <cellStyle name="Финансовый 2 3 8 4 2 2" xfId="3509" xr:uid="{00000000-0005-0000-0000-00009C0A0000}"/>
    <cellStyle name="Финансовый 2 3 8 4 2 3" xfId="5292" xr:uid="{00000000-0005-0000-0000-00009D0A0000}"/>
    <cellStyle name="Финансовый 2 3 8 4 3" xfId="4922" xr:uid="{00000000-0005-0000-0000-00009E0A0000}"/>
    <cellStyle name="Финансовый 2 3 8 5" xfId="1748" xr:uid="{00000000-0005-0000-0000-00009F0A0000}"/>
    <cellStyle name="Финансовый 2 3 8 5 2" xfId="3393" xr:uid="{00000000-0005-0000-0000-0000A00A0000}"/>
    <cellStyle name="Финансовый 2 3 8 5 3" xfId="5176" xr:uid="{00000000-0005-0000-0000-0000A10A0000}"/>
    <cellStyle name="Финансовый 2 3 8 6" xfId="2384" xr:uid="{00000000-0005-0000-0000-0000A20A0000}"/>
    <cellStyle name="Финансовый 2 3 8 6 2" xfId="4029" xr:uid="{00000000-0005-0000-0000-0000A30A0000}"/>
    <cellStyle name="Финансовый 2 3 8 6 3" xfId="5812" xr:uid="{00000000-0005-0000-0000-0000A40A0000}"/>
    <cellStyle name="Финансовый 2 3 8 7" xfId="1611" xr:uid="{00000000-0005-0000-0000-0000A50A0000}"/>
    <cellStyle name="Финансовый 2 3 8 7 2" xfId="3256" xr:uid="{00000000-0005-0000-0000-0000A60A0000}"/>
    <cellStyle name="Финансовый 2 3 8 7 3" xfId="5039" xr:uid="{00000000-0005-0000-0000-0000A70A0000}"/>
    <cellStyle name="Финансовый 2 3 8 8" xfId="897" xr:uid="{00000000-0005-0000-0000-0000A80A0000}"/>
    <cellStyle name="Финансовый 2 3 8 9" xfId="477" xr:uid="{00000000-0005-0000-0000-0000A90A0000}"/>
    <cellStyle name="Финансовый 2 3 9" xfId="132" xr:uid="{00000000-0005-0000-0000-0000AA0A0000}"/>
    <cellStyle name="Финансовый 2 3 9 10" xfId="2742" xr:uid="{00000000-0005-0000-0000-0000AB0A0000}"/>
    <cellStyle name="Финансовый 2 3 9 11" xfId="4386" xr:uid="{00000000-0005-0000-0000-0000AC0A0000}"/>
    <cellStyle name="Финансовый 2 3 9 2" xfId="268" xr:uid="{00000000-0005-0000-0000-0000AD0A0000}"/>
    <cellStyle name="Финансовый 2 3 9 2 2" xfId="1366" xr:uid="{00000000-0005-0000-0000-0000AE0A0000}"/>
    <cellStyle name="Финансовый 2 3 9 2 2 2" xfId="2324" xr:uid="{00000000-0005-0000-0000-0000AF0A0000}"/>
    <cellStyle name="Финансовый 2 3 9 2 2 2 2" xfId="3969" xr:uid="{00000000-0005-0000-0000-0000B00A0000}"/>
    <cellStyle name="Финансовый 2 3 9 2 2 2 3" xfId="5752" xr:uid="{00000000-0005-0000-0000-0000B10A0000}"/>
    <cellStyle name="Финансовый 2 3 9 2 2 3" xfId="3150" xr:uid="{00000000-0005-0000-0000-0000B20A0000}"/>
    <cellStyle name="Финансовый 2 3 9 2 2 4" xfId="4794" xr:uid="{00000000-0005-0000-0000-0000B30A0000}"/>
    <cellStyle name="Финансовый 2 3 9 2 3" xfId="2068" xr:uid="{00000000-0005-0000-0000-0000B40A0000}"/>
    <cellStyle name="Финансовый 2 3 9 2 3 2" xfId="3713" xr:uid="{00000000-0005-0000-0000-0000B50A0000}"/>
    <cellStyle name="Финансовый 2 3 9 2 3 3" xfId="5496" xr:uid="{00000000-0005-0000-0000-0000B60A0000}"/>
    <cellStyle name="Финансовый 2 3 9 2 4" xfId="2597" xr:uid="{00000000-0005-0000-0000-0000B70A0000}"/>
    <cellStyle name="Финансовый 2 3 9 2 4 2" xfId="4242" xr:uid="{00000000-0005-0000-0000-0000B80A0000}"/>
    <cellStyle name="Финансовый 2 3 9 2 4 3" xfId="6025" xr:uid="{00000000-0005-0000-0000-0000B90A0000}"/>
    <cellStyle name="Финансовый 2 3 9 2 5" xfId="1101" xr:uid="{00000000-0005-0000-0000-0000BA0A0000}"/>
    <cellStyle name="Финансовый 2 3 9 2 6" xfId="689" xr:uid="{00000000-0005-0000-0000-0000BB0A0000}"/>
    <cellStyle name="Финансовый 2 3 9 2 7" xfId="2878" xr:uid="{00000000-0005-0000-0000-0000BC0A0000}"/>
    <cellStyle name="Финансовый 2 3 9 2 8" xfId="4522" xr:uid="{00000000-0005-0000-0000-0000BD0A0000}"/>
    <cellStyle name="Финансовый 2 3 9 3" xfId="417" xr:uid="{00000000-0005-0000-0000-0000BE0A0000}"/>
    <cellStyle name="Финансовый 2 3 9 3 2" xfId="2196" xr:uid="{00000000-0005-0000-0000-0000BF0A0000}"/>
    <cellStyle name="Финансовый 2 3 9 3 2 2" xfId="3841" xr:uid="{00000000-0005-0000-0000-0000C00A0000}"/>
    <cellStyle name="Финансовый 2 3 9 3 2 3" xfId="5624" xr:uid="{00000000-0005-0000-0000-0000C10A0000}"/>
    <cellStyle name="Финансовый 2 3 9 3 3" xfId="1230" xr:uid="{00000000-0005-0000-0000-0000C20A0000}"/>
    <cellStyle name="Финансовый 2 3 9 3 4" xfId="837" xr:uid="{00000000-0005-0000-0000-0000C30A0000}"/>
    <cellStyle name="Финансовый 2 3 9 3 5" xfId="3014" xr:uid="{00000000-0005-0000-0000-0000C40A0000}"/>
    <cellStyle name="Финансовый 2 3 9 3 6" xfId="4658" xr:uid="{00000000-0005-0000-0000-0000C50A0000}"/>
    <cellStyle name="Финансовый 2 3 9 4" xfId="1495" xr:uid="{00000000-0005-0000-0000-0000C60A0000}"/>
    <cellStyle name="Финансовый 2 3 9 4 2" xfId="1940" xr:uid="{00000000-0005-0000-0000-0000C70A0000}"/>
    <cellStyle name="Финансовый 2 3 9 4 2 2" xfId="3585" xr:uid="{00000000-0005-0000-0000-0000C80A0000}"/>
    <cellStyle name="Финансовый 2 3 9 4 2 3" xfId="5368" xr:uid="{00000000-0005-0000-0000-0000C90A0000}"/>
    <cellStyle name="Финансовый 2 3 9 4 3" xfId="4923" xr:uid="{00000000-0005-0000-0000-0000CA0A0000}"/>
    <cellStyle name="Финансовый 2 3 9 5" xfId="1816" xr:uid="{00000000-0005-0000-0000-0000CB0A0000}"/>
    <cellStyle name="Финансовый 2 3 9 5 2" xfId="3461" xr:uid="{00000000-0005-0000-0000-0000CC0A0000}"/>
    <cellStyle name="Финансовый 2 3 9 5 3" xfId="5244" xr:uid="{00000000-0005-0000-0000-0000CD0A0000}"/>
    <cellStyle name="Финансовый 2 3 9 6" xfId="2461" xr:uid="{00000000-0005-0000-0000-0000CE0A0000}"/>
    <cellStyle name="Финансовый 2 3 9 6 2" xfId="4106" xr:uid="{00000000-0005-0000-0000-0000CF0A0000}"/>
    <cellStyle name="Финансовый 2 3 9 6 3" xfId="5889" xr:uid="{00000000-0005-0000-0000-0000D00A0000}"/>
    <cellStyle name="Финансовый 2 3 9 7" xfId="1688" xr:uid="{00000000-0005-0000-0000-0000D10A0000}"/>
    <cellStyle name="Финансовый 2 3 9 7 2" xfId="3333" xr:uid="{00000000-0005-0000-0000-0000D20A0000}"/>
    <cellStyle name="Финансовый 2 3 9 7 3" xfId="5116" xr:uid="{00000000-0005-0000-0000-0000D30A0000}"/>
    <cellStyle name="Финансовый 2 3 9 8" xfId="965" xr:uid="{00000000-0005-0000-0000-0000D40A0000}"/>
    <cellStyle name="Финансовый 2 3 9 9" xfId="553" xr:uid="{00000000-0005-0000-0000-0000D50A0000}"/>
    <cellStyle name="Финансовый 2 4" xfId="8" xr:uid="{00000000-0005-0000-0000-0000D60A0000}"/>
    <cellStyle name="Финансовый 2 4 10" xfId="282" xr:uid="{00000000-0005-0000-0000-0000D70A0000}"/>
    <cellStyle name="Финансовый 2 4 10 2" xfId="2082" xr:uid="{00000000-0005-0000-0000-0000D80A0000}"/>
    <cellStyle name="Финансовый 2 4 10 2 2" xfId="3727" xr:uid="{00000000-0005-0000-0000-0000D90A0000}"/>
    <cellStyle name="Финансовый 2 4 10 2 3" xfId="5510" xr:uid="{00000000-0005-0000-0000-0000DA0A0000}"/>
    <cellStyle name="Финансовый 2 4 10 3" xfId="1380" xr:uid="{00000000-0005-0000-0000-0000DB0A0000}"/>
    <cellStyle name="Финансовый 2 4 10 4" xfId="703" xr:uid="{00000000-0005-0000-0000-0000DC0A0000}"/>
    <cellStyle name="Финансовый 2 4 10 5" xfId="3164" xr:uid="{00000000-0005-0000-0000-0000DD0A0000}"/>
    <cellStyle name="Финансовый 2 4 10 6" xfId="4808" xr:uid="{00000000-0005-0000-0000-0000DE0A0000}"/>
    <cellStyle name="Финансовый 2 4 11" xfId="295" xr:uid="{00000000-0005-0000-0000-0000DF0A0000}"/>
    <cellStyle name="Финансовый 2 4 11 2" xfId="1115" xr:uid="{00000000-0005-0000-0000-0000E00A0000}"/>
    <cellStyle name="Финансовый 2 4 11 3" xfId="715" xr:uid="{00000000-0005-0000-0000-0000E10A0000}"/>
    <cellStyle name="Финансовый 2 4 11 4" xfId="2892" xr:uid="{00000000-0005-0000-0000-0000E20A0000}"/>
    <cellStyle name="Финансовый 2 4 11 5" xfId="4536" xr:uid="{00000000-0005-0000-0000-0000E30A0000}"/>
    <cellStyle name="Финансовый 2 4 12" xfId="1497" xr:uid="{00000000-0005-0000-0000-0000E40A0000}"/>
    <cellStyle name="Финансовый 2 4 12 2" xfId="1702" xr:uid="{00000000-0005-0000-0000-0000E50A0000}"/>
    <cellStyle name="Финансовый 2 4 12 2 2" xfId="3347" xr:uid="{00000000-0005-0000-0000-0000E60A0000}"/>
    <cellStyle name="Финансовый 2 4 12 2 3" xfId="5130" xr:uid="{00000000-0005-0000-0000-0000E70A0000}"/>
    <cellStyle name="Финансовый 2 4 12 3" xfId="4925" xr:uid="{00000000-0005-0000-0000-0000E80A0000}"/>
    <cellStyle name="Финансовый 2 4 13" xfId="2338" xr:uid="{00000000-0005-0000-0000-0000E90A0000}"/>
    <cellStyle name="Финансовый 2 4 13 2" xfId="3983" xr:uid="{00000000-0005-0000-0000-0000EA0A0000}"/>
    <cellStyle name="Финансовый 2 4 13 3" xfId="5766" xr:uid="{00000000-0005-0000-0000-0000EB0A0000}"/>
    <cellStyle name="Финансовый 2 4 14" xfId="1565" xr:uid="{00000000-0005-0000-0000-0000EC0A0000}"/>
    <cellStyle name="Финансовый 2 4 14 2" xfId="3210" xr:uid="{00000000-0005-0000-0000-0000ED0A0000}"/>
    <cellStyle name="Финансовый 2 4 14 3" xfId="4993" xr:uid="{00000000-0005-0000-0000-0000EE0A0000}"/>
    <cellStyle name="Финансовый 2 4 15" xfId="851" xr:uid="{00000000-0005-0000-0000-0000EF0A0000}"/>
    <cellStyle name="Финансовый 2 4 16" xfId="431" xr:uid="{00000000-0005-0000-0000-0000F00A0000}"/>
    <cellStyle name="Финансовый 2 4 17" xfId="2620" xr:uid="{00000000-0005-0000-0000-0000F10A0000}"/>
    <cellStyle name="Финансовый 2 4 18" xfId="4263" xr:uid="{00000000-0005-0000-0000-0000F20A0000}"/>
    <cellStyle name="Финансовый 2 4 2" xfId="44" xr:uid="{00000000-0005-0000-0000-0000F30A0000}"/>
    <cellStyle name="Финансовый 2 4 2 10" xfId="467" xr:uid="{00000000-0005-0000-0000-0000F40A0000}"/>
    <cellStyle name="Финансовый 2 4 2 11" xfId="2656" xr:uid="{00000000-0005-0000-0000-0000F50A0000}"/>
    <cellStyle name="Финансовый 2 4 2 12" xfId="4299" xr:uid="{00000000-0005-0000-0000-0000F60A0000}"/>
    <cellStyle name="Финансовый 2 4 2 2" xfId="102" xr:uid="{00000000-0005-0000-0000-0000F70A0000}"/>
    <cellStyle name="Финансовый 2 4 2 2 10" xfId="2712" xr:uid="{00000000-0005-0000-0000-0000F80A0000}"/>
    <cellStyle name="Финансовый 2 4 2 2 11" xfId="4356" xr:uid="{00000000-0005-0000-0000-0000F90A0000}"/>
    <cellStyle name="Финансовый 2 4 2 2 2" xfId="238" xr:uid="{00000000-0005-0000-0000-0000FA0A0000}"/>
    <cellStyle name="Финансовый 2 4 2 2 2 2" xfId="1336" xr:uid="{00000000-0005-0000-0000-0000FB0A0000}"/>
    <cellStyle name="Финансовый 2 4 2 2 2 2 2" xfId="2294" xr:uid="{00000000-0005-0000-0000-0000FC0A0000}"/>
    <cellStyle name="Финансовый 2 4 2 2 2 2 2 2" xfId="3939" xr:uid="{00000000-0005-0000-0000-0000FD0A0000}"/>
    <cellStyle name="Финансовый 2 4 2 2 2 2 2 3" xfId="5722" xr:uid="{00000000-0005-0000-0000-0000FE0A0000}"/>
    <cellStyle name="Финансовый 2 4 2 2 2 2 3" xfId="3120" xr:uid="{00000000-0005-0000-0000-0000FF0A0000}"/>
    <cellStyle name="Финансовый 2 4 2 2 2 2 4" xfId="4764" xr:uid="{00000000-0005-0000-0000-0000000B0000}"/>
    <cellStyle name="Финансовый 2 4 2 2 2 3" xfId="2038" xr:uid="{00000000-0005-0000-0000-0000010B0000}"/>
    <cellStyle name="Финансовый 2 4 2 2 2 3 2" xfId="3683" xr:uid="{00000000-0005-0000-0000-0000020B0000}"/>
    <cellStyle name="Финансовый 2 4 2 2 2 3 3" xfId="5466" xr:uid="{00000000-0005-0000-0000-0000030B0000}"/>
    <cellStyle name="Финансовый 2 4 2 2 2 4" xfId="2567" xr:uid="{00000000-0005-0000-0000-0000040B0000}"/>
    <cellStyle name="Финансовый 2 4 2 2 2 4 2" xfId="4212" xr:uid="{00000000-0005-0000-0000-0000050B0000}"/>
    <cellStyle name="Финансовый 2 4 2 2 2 4 3" xfId="5995" xr:uid="{00000000-0005-0000-0000-0000060B0000}"/>
    <cellStyle name="Финансовый 2 4 2 2 2 5" xfId="1071" xr:uid="{00000000-0005-0000-0000-0000070B0000}"/>
    <cellStyle name="Финансовый 2 4 2 2 2 6" xfId="659" xr:uid="{00000000-0005-0000-0000-0000080B0000}"/>
    <cellStyle name="Финансовый 2 4 2 2 2 7" xfId="2848" xr:uid="{00000000-0005-0000-0000-0000090B0000}"/>
    <cellStyle name="Финансовый 2 4 2 2 2 8" xfId="4492" xr:uid="{00000000-0005-0000-0000-00000A0B0000}"/>
    <cellStyle name="Финансовый 2 4 2 2 3" xfId="387" xr:uid="{00000000-0005-0000-0000-00000B0B0000}"/>
    <cellStyle name="Финансовый 2 4 2 2 3 2" xfId="2166" xr:uid="{00000000-0005-0000-0000-00000C0B0000}"/>
    <cellStyle name="Финансовый 2 4 2 2 3 2 2" xfId="3811" xr:uid="{00000000-0005-0000-0000-00000D0B0000}"/>
    <cellStyle name="Финансовый 2 4 2 2 3 2 3" xfId="5594" xr:uid="{00000000-0005-0000-0000-00000E0B0000}"/>
    <cellStyle name="Финансовый 2 4 2 2 3 3" xfId="1200" xr:uid="{00000000-0005-0000-0000-00000F0B0000}"/>
    <cellStyle name="Финансовый 2 4 2 2 3 4" xfId="807" xr:uid="{00000000-0005-0000-0000-0000100B0000}"/>
    <cellStyle name="Финансовый 2 4 2 2 3 5" xfId="2984" xr:uid="{00000000-0005-0000-0000-0000110B0000}"/>
    <cellStyle name="Финансовый 2 4 2 2 3 6" xfId="4628" xr:uid="{00000000-0005-0000-0000-0000120B0000}"/>
    <cellStyle name="Финансовый 2 4 2 2 4" xfId="1499" xr:uid="{00000000-0005-0000-0000-0000130B0000}"/>
    <cellStyle name="Финансовый 2 4 2 2 4 2" xfId="1910" xr:uid="{00000000-0005-0000-0000-0000140B0000}"/>
    <cellStyle name="Финансовый 2 4 2 2 4 2 2" xfId="3555" xr:uid="{00000000-0005-0000-0000-0000150B0000}"/>
    <cellStyle name="Финансовый 2 4 2 2 4 2 3" xfId="5338" xr:uid="{00000000-0005-0000-0000-0000160B0000}"/>
    <cellStyle name="Финансовый 2 4 2 2 4 3" xfId="4927" xr:uid="{00000000-0005-0000-0000-0000170B0000}"/>
    <cellStyle name="Финансовый 2 4 2 2 5" xfId="1786" xr:uid="{00000000-0005-0000-0000-0000180B0000}"/>
    <cellStyle name="Финансовый 2 4 2 2 5 2" xfId="3431" xr:uid="{00000000-0005-0000-0000-0000190B0000}"/>
    <cellStyle name="Финансовый 2 4 2 2 5 3" xfId="5214" xr:uid="{00000000-0005-0000-0000-00001A0B0000}"/>
    <cellStyle name="Финансовый 2 4 2 2 6" xfId="2431" xr:uid="{00000000-0005-0000-0000-00001B0B0000}"/>
    <cellStyle name="Финансовый 2 4 2 2 6 2" xfId="4076" xr:uid="{00000000-0005-0000-0000-00001C0B0000}"/>
    <cellStyle name="Финансовый 2 4 2 2 6 3" xfId="5859" xr:uid="{00000000-0005-0000-0000-00001D0B0000}"/>
    <cellStyle name="Финансовый 2 4 2 2 7" xfId="1658" xr:uid="{00000000-0005-0000-0000-00001E0B0000}"/>
    <cellStyle name="Финансовый 2 4 2 2 7 2" xfId="3303" xr:uid="{00000000-0005-0000-0000-00001F0B0000}"/>
    <cellStyle name="Финансовый 2 4 2 2 7 3" xfId="5086" xr:uid="{00000000-0005-0000-0000-0000200B0000}"/>
    <cellStyle name="Финансовый 2 4 2 2 8" xfId="935" xr:uid="{00000000-0005-0000-0000-0000210B0000}"/>
    <cellStyle name="Финансовый 2 4 2 2 9" xfId="523" xr:uid="{00000000-0005-0000-0000-0000220B0000}"/>
    <cellStyle name="Финансовый 2 4 2 3" xfId="182" xr:uid="{00000000-0005-0000-0000-0000230B0000}"/>
    <cellStyle name="Финансовый 2 4 2 3 2" xfId="1280" xr:uid="{00000000-0005-0000-0000-0000240B0000}"/>
    <cellStyle name="Финансовый 2 4 2 3 2 2" xfId="2246" xr:uid="{00000000-0005-0000-0000-0000250B0000}"/>
    <cellStyle name="Финансовый 2 4 2 3 2 2 2" xfId="3891" xr:uid="{00000000-0005-0000-0000-0000260B0000}"/>
    <cellStyle name="Финансовый 2 4 2 3 2 2 3" xfId="5674" xr:uid="{00000000-0005-0000-0000-0000270B0000}"/>
    <cellStyle name="Финансовый 2 4 2 3 2 3" xfId="3064" xr:uid="{00000000-0005-0000-0000-0000280B0000}"/>
    <cellStyle name="Финансовый 2 4 2 3 2 4" xfId="4708" xr:uid="{00000000-0005-0000-0000-0000290B0000}"/>
    <cellStyle name="Финансовый 2 4 2 3 3" xfId="1990" xr:uid="{00000000-0005-0000-0000-00002A0B0000}"/>
    <cellStyle name="Финансовый 2 4 2 3 3 2" xfId="3635" xr:uid="{00000000-0005-0000-0000-00002B0B0000}"/>
    <cellStyle name="Финансовый 2 4 2 3 3 3" xfId="5418" xr:uid="{00000000-0005-0000-0000-00002C0B0000}"/>
    <cellStyle name="Финансовый 2 4 2 3 4" xfId="2511" xr:uid="{00000000-0005-0000-0000-00002D0B0000}"/>
    <cellStyle name="Финансовый 2 4 2 3 4 2" xfId="4156" xr:uid="{00000000-0005-0000-0000-00002E0B0000}"/>
    <cellStyle name="Финансовый 2 4 2 3 4 3" xfId="5939" xr:uid="{00000000-0005-0000-0000-00002F0B0000}"/>
    <cellStyle name="Финансовый 2 4 2 3 5" xfId="1015" xr:uid="{00000000-0005-0000-0000-0000300B0000}"/>
    <cellStyle name="Финансовый 2 4 2 3 6" xfId="603" xr:uid="{00000000-0005-0000-0000-0000310B0000}"/>
    <cellStyle name="Финансовый 2 4 2 3 7" xfId="2792" xr:uid="{00000000-0005-0000-0000-0000320B0000}"/>
    <cellStyle name="Финансовый 2 4 2 3 8" xfId="4436" xr:uid="{00000000-0005-0000-0000-0000330B0000}"/>
    <cellStyle name="Финансовый 2 4 2 4" xfId="331" xr:uid="{00000000-0005-0000-0000-0000340B0000}"/>
    <cellStyle name="Финансовый 2 4 2 4 2" xfId="2118" xr:uid="{00000000-0005-0000-0000-0000350B0000}"/>
    <cellStyle name="Финансовый 2 4 2 4 2 2" xfId="3763" xr:uid="{00000000-0005-0000-0000-0000360B0000}"/>
    <cellStyle name="Финансовый 2 4 2 4 2 3" xfId="5546" xr:uid="{00000000-0005-0000-0000-0000370B0000}"/>
    <cellStyle name="Финансовый 2 4 2 4 3" xfId="1151" xr:uid="{00000000-0005-0000-0000-0000380B0000}"/>
    <cellStyle name="Финансовый 2 4 2 4 4" xfId="751" xr:uid="{00000000-0005-0000-0000-0000390B0000}"/>
    <cellStyle name="Финансовый 2 4 2 4 5" xfId="2928" xr:uid="{00000000-0005-0000-0000-00003A0B0000}"/>
    <cellStyle name="Финансовый 2 4 2 4 6" xfId="4572" xr:uid="{00000000-0005-0000-0000-00003B0B0000}"/>
    <cellStyle name="Финансовый 2 4 2 5" xfId="1498" xr:uid="{00000000-0005-0000-0000-00003C0B0000}"/>
    <cellStyle name="Финансовый 2 4 2 5 2" xfId="1854" xr:uid="{00000000-0005-0000-0000-00003D0B0000}"/>
    <cellStyle name="Финансовый 2 4 2 5 2 2" xfId="3499" xr:uid="{00000000-0005-0000-0000-00003E0B0000}"/>
    <cellStyle name="Финансовый 2 4 2 5 2 3" xfId="5282" xr:uid="{00000000-0005-0000-0000-00003F0B0000}"/>
    <cellStyle name="Финансовый 2 4 2 5 3" xfId="4926" xr:uid="{00000000-0005-0000-0000-0000400B0000}"/>
    <cellStyle name="Финансовый 2 4 2 6" xfId="1738" xr:uid="{00000000-0005-0000-0000-0000410B0000}"/>
    <cellStyle name="Финансовый 2 4 2 6 2" xfId="3383" xr:uid="{00000000-0005-0000-0000-0000420B0000}"/>
    <cellStyle name="Финансовый 2 4 2 6 3" xfId="5166" xr:uid="{00000000-0005-0000-0000-0000430B0000}"/>
    <cellStyle name="Финансовый 2 4 2 7" xfId="2374" xr:uid="{00000000-0005-0000-0000-0000440B0000}"/>
    <cellStyle name="Финансовый 2 4 2 7 2" xfId="4019" xr:uid="{00000000-0005-0000-0000-0000450B0000}"/>
    <cellStyle name="Финансовый 2 4 2 7 3" xfId="5802" xr:uid="{00000000-0005-0000-0000-0000460B0000}"/>
    <cellStyle name="Финансовый 2 4 2 8" xfId="1601" xr:uid="{00000000-0005-0000-0000-0000470B0000}"/>
    <cellStyle name="Финансовый 2 4 2 8 2" xfId="3246" xr:uid="{00000000-0005-0000-0000-0000480B0000}"/>
    <cellStyle name="Финансовый 2 4 2 8 3" xfId="5029" xr:uid="{00000000-0005-0000-0000-0000490B0000}"/>
    <cellStyle name="Финансовый 2 4 2 9" xfId="887" xr:uid="{00000000-0005-0000-0000-00004A0B0000}"/>
    <cellStyle name="Финансовый 2 4 3" xfId="114" xr:uid="{00000000-0005-0000-0000-00004B0B0000}"/>
    <cellStyle name="Финансовый 2 4 3 10" xfId="2724" xr:uid="{00000000-0005-0000-0000-00004C0B0000}"/>
    <cellStyle name="Финансовый 2 4 3 11" xfId="4368" xr:uid="{00000000-0005-0000-0000-00004D0B0000}"/>
    <cellStyle name="Финансовый 2 4 3 2" xfId="250" xr:uid="{00000000-0005-0000-0000-00004E0B0000}"/>
    <cellStyle name="Финансовый 2 4 3 2 2" xfId="1348" xr:uid="{00000000-0005-0000-0000-00004F0B0000}"/>
    <cellStyle name="Финансовый 2 4 3 2 2 2" xfId="2306" xr:uid="{00000000-0005-0000-0000-0000500B0000}"/>
    <cellStyle name="Финансовый 2 4 3 2 2 2 2" xfId="3951" xr:uid="{00000000-0005-0000-0000-0000510B0000}"/>
    <cellStyle name="Финансовый 2 4 3 2 2 2 3" xfId="5734" xr:uid="{00000000-0005-0000-0000-0000520B0000}"/>
    <cellStyle name="Финансовый 2 4 3 2 2 3" xfId="3132" xr:uid="{00000000-0005-0000-0000-0000530B0000}"/>
    <cellStyle name="Финансовый 2 4 3 2 2 4" xfId="4776" xr:uid="{00000000-0005-0000-0000-0000540B0000}"/>
    <cellStyle name="Финансовый 2 4 3 2 3" xfId="2050" xr:uid="{00000000-0005-0000-0000-0000550B0000}"/>
    <cellStyle name="Финансовый 2 4 3 2 3 2" xfId="3695" xr:uid="{00000000-0005-0000-0000-0000560B0000}"/>
    <cellStyle name="Финансовый 2 4 3 2 3 3" xfId="5478" xr:uid="{00000000-0005-0000-0000-0000570B0000}"/>
    <cellStyle name="Финансовый 2 4 3 2 4" xfId="2579" xr:uid="{00000000-0005-0000-0000-0000580B0000}"/>
    <cellStyle name="Финансовый 2 4 3 2 4 2" xfId="4224" xr:uid="{00000000-0005-0000-0000-0000590B0000}"/>
    <cellStyle name="Финансовый 2 4 3 2 4 3" xfId="6007" xr:uid="{00000000-0005-0000-0000-00005A0B0000}"/>
    <cellStyle name="Финансовый 2 4 3 2 5" xfId="1083" xr:uid="{00000000-0005-0000-0000-00005B0B0000}"/>
    <cellStyle name="Финансовый 2 4 3 2 6" xfId="671" xr:uid="{00000000-0005-0000-0000-00005C0B0000}"/>
    <cellStyle name="Финансовый 2 4 3 2 7" xfId="2860" xr:uid="{00000000-0005-0000-0000-00005D0B0000}"/>
    <cellStyle name="Финансовый 2 4 3 2 8" xfId="4504" xr:uid="{00000000-0005-0000-0000-00005E0B0000}"/>
    <cellStyle name="Финансовый 2 4 3 3" xfId="399" xr:uid="{00000000-0005-0000-0000-00005F0B0000}"/>
    <cellStyle name="Финансовый 2 4 3 3 2" xfId="2178" xr:uid="{00000000-0005-0000-0000-0000600B0000}"/>
    <cellStyle name="Финансовый 2 4 3 3 2 2" xfId="3823" xr:uid="{00000000-0005-0000-0000-0000610B0000}"/>
    <cellStyle name="Финансовый 2 4 3 3 2 3" xfId="5606" xr:uid="{00000000-0005-0000-0000-0000620B0000}"/>
    <cellStyle name="Финансовый 2 4 3 3 3" xfId="1212" xr:uid="{00000000-0005-0000-0000-0000630B0000}"/>
    <cellStyle name="Финансовый 2 4 3 3 4" xfId="819" xr:uid="{00000000-0005-0000-0000-0000640B0000}"/>
    <cellStyle name="Финансовый 2 4 3 3 5" xfId="2996" xr:uid="{00000000-0005-0000-0000-0000650B0000}"/>
    <cellStyle name="Финансовый 2 4 3 3 6" xfId="4640" xr:uid="{00000000-0005-0000-0000-0000660B0000}"/>
    <cellStyle name="Финансовый 2 4 3 4" xfId="1500" xr:uid="{00000000-0005-0000-0000-0000670B0000}"/>
    <cellStyle name="Финансовый 2 4 3 4 2" xfId="1922" xr:uid="{00000000-0005-0000-0000-0000680B0000}"/>
    <cellStyle name="Финансовый 2 4 3 4 2 2" xfId="3567" xr:uid="{00000000-0005-0000-0000-0000690B0000}"/>
    <cellStyle name="Финансовый 2 4 3 4 2 3" xfId="5350" xr:uid="{00000000-0005-0000-0000-00006A0B0000}"/>
    <cellStyle name="Финансовый 2 4 3 4 3" xfId="4928" xr:uid="{00000000-0005-0000-0000-00006B0B0000}"/>
    <cellStyle name="Финансовый 2 4 3 5" xfId="1798" xr:uid="{00000000-0005-0000-0000-00006C0B0000}"/>
    <cellStyle name="Финансовый 2 4 3 5 2" xfId="3443" xr:uid="{00000000-0005-0000-0000-00006D0B0000}"/>
    <cellStyle name="Финансовый 2 4 3 5 3" xfId="5226" xr:uid="{00000000-0005-0000-0000-00006E0B0000}"/>
    <cellStyle name="Финансовый 2 4 3 6" xfId="2443" xr:uid="{00000000-0005-0000-0000-00006F0B0000}"/>
    <cellStyle name="Финансовый 2 4 3 6 2" xfId="4088" xr:uid="{00000000-0005-0000-0000-0000700B0000}"/>
    <cellStyle name="Финансовый 2 4 3 6 3" xfId="5871" xr:uid="{00000000-0005-0000-0000-0000710B0000}"/>
    <cellStyle name="Финансовый 2 4 3 7" xfId="1670" xr:uid="{00000000-0005-0000-0000-0000720B0000}"/>
    <cellStyle name="Финансовый 2 4 3 7 2" xfId="3315" xr:uid="{00000000-0005-0000-0000-0000730B0000}"/>
    <cellStyle name="Финансовый 2 4 3 7 3" xfId="5098" xr:uid="{00000000-0005-0000-0000-0000740B0000}"/>
    <cellStyle name="Финансовый 2 4 3 8" xfId="947" xr:uid="{00000000-0005-0000-0000-0000750B0000}"/>
    <cellStyle name="Финансовый 2 4 3 9" xfId="535" xr:uid="{00000000-0005-0000-0000-0000760B0000}"/>
    <cellStyle name="Финансовый 2 4 4" xfId="78" xr:uid="{00000000-0005-0000-0000-0000770B0000}"/>
    <cellStyle name="Финансовый 2 4 4 10" xfId="2688" xr:uid="{00000000-0005-0000-0000-0000780B0000}"/>
    <cellStyle name="Финансовый 2 4 4 11" xfId="4332" xr:uid="{00000000-0005-0000-0000-0000790B0000}"/>
    <cellStyle name="Финансовый 2 4 4 2" xfId="214" xr:uid="{00000000-0005-0000-0000-00007A0B0000}"/>
    <cellStyle name="Финансовый 2 4 4 2 2" xfId="1312" xr:uid="{00000000-0005-0000-0000-00007B0B0000}"/>
    <cellStyle name="Финансовый 2 4 4 2 2 2" xfId="2270" xr:uid="{00000000-0005-0000-0000-00007C0B0000}"/>
    <cellStyle name="Финансовый 2 4 4 2 2 2 2" xfId="3915" xr:uid="{00000000-0005-0000-0000-00007D0B0000}"/>
    <cellStyle name="Финансовый 2 4 4 2 2 2 3" xfId="5698" xr:uid="{00000000-0005-0000-0000-00007E0B0000}"/>
    <cellStyle name="Финансовый 2 4 4 2 2 3" xfId="3096" xr:uid="{00000000-0005-0000-0000-00007F0B0000}"/>
    <cellStyle name="Финансовый 2 4 4 2 2 4" xfId="4740" xr:uid="{00000000-0005-0000-0000-0000800B0000}"/>
    <cellStyle name="Финансовый 2 4 4 2 3" xfId="2014" xr:uid="{00000000-0005-0000-0000-0000810B0000}"/>
    <cellStyle name="Финансовый 2 4 4 2 3 2" xfId="3659" xr:uid="{00000000-0005-0000-0000-0000820B0000}"/>
    <cellStyle name="Финансовый 2 4 4 2 3 3" xfId="5442" xr:uid="{00000000-0005-0000-0000-0000830B0000}"/>
    <cellStyle name="Финансовый 2 4 4 2 4" xfId="2543" xr:uid="{00000000-0005-0000-0000-0000840B0000}"/>
    <cellStyle name="Финансовый 2 4 4 2 4 2" xfId="4188" xr:uid="{00000000-0005-0000-0000-0000850B0000}"/>
    <cellStyle name="Финансовый 2 4 4 2 4 3" xfId="5971" xr:uid="{00000000-0005-0000-0000-0000860B0000}"/>
    <cellStyle name="Финансовый 2 4 4 2 5" xfId="1047" xr:uid="{00000000-0005-0000-0000-0000870B0000}"/>
    <cellStyle name="Финансовый 2 4 4 2 6" xfId="635" xr:uid="{00000000-0005-0000-0000-0000880B0000}"/>
    <cellStyle name="Финансовый 2 4 4 2 7" xfId="2824" xr:uid="{00000000-0005-0000-0000-0000890B0000}"/>
    <cellStyle name="Финансовый 2 4 4 2 8" xfId="4468" xr:uid="{00000000-0005-0000-0000-00008A0B0000}"/>
    <cellStyle name="Финансовый 2 4 4 3" xfId="363" xr:uid="{00000000-0005-0000-0000-00008B0B0000}"/>
    <cellStyle name="Финансовый 2 4 4 3 2" xfId="2142" xr:uid="{00000000-0005-0000-0000-00008C0B0000}"/>
    <cellStyle name="Финансовый 2 4 4 3 2 2" xfId="3787" xr:uid="{00000000-0005-0000-0000-00008D0B0000}"/>
    <cellStyle name="Финансовый 2 4 4 3 2 3" xfId="5570" xr:uid="{00000000-0005-0000-0000-00008E0B0000}"/>
    <cellStyle name="Финансовый 2 4 4 3 3" xfId="1176" xr:uid="{00000000-0005-0000-0000-00008F0B0000}"/>
    <cellStyle name="Финансовый 2 4 4 3 4" xfId="783" xr:uid="{00000000-0005-0000-0000-0000900B0000}"/>
    <cellStyle name="Финансовый 2 4 4 3 5" xfId="2960" xr:uid="{00000000-0005-0000-0000-0000910B0000}"/>
    <cellStyle name="Финансовый 2 4 4 3 6" xfId="4604" xr:uid="{00000000-0005-0000-0000-0000920B0000}"/>
    <cellStyle name="Финансовый 2 4 4 4" xfId="1501" xr:uid="{00000000-0005-0000-0000-0000930B0000}"/>
    <cellStyle name="Финансовый 2 4 4 4 2" xfId="1886" xr:uid="{00000000-0005-0000-0000-0000940B0000}"/>
    <cellStyle name="Финансовый 2 4 4 4 2 2" xfId="3531" xr:uid="{00000000-0005-0000-0000-0000950B0000}"/>
    <cellStyle name="Финансовый 2 4 4 4 2 3" xfId="5314" xr:uid="{00000000-0005-0000-0000-0000960B0000}"/>
    <cellStyle name="Финансовый 2 4 4 4 3" xfId="4929" xr:uid="{00000000-0005-0000-0000-0000970B0000}"/>
    <cellStyle name="Финансовый 2 4 4 5" xfId="1762" xr:uid="{00000000-0005-0000-0000-0000980B0000}"/>
    <cellStyle name="Финансовый 2 4 4 5 2" xfId="3407" xr:uid="{00000000-0005-0000-0000-0000990B0000}"/>
    <cellStyle name="Финансовый 2 4 4 5 3" xfId="5190" xr:uid="{00000000-0005-0000-0000-00009A0B0000}"/>
    <cellStyle name="Финансовый 2 4 4 6" xfId="2407" xr:uid="{00000000-0005-0000-0000-00009B0B0000}"/>
    <cellStyle name="Финансовый 2 4 4 6 2" xfId="4052" xr:uid="{00000000-0005-0000-0000-00009C0B0000}"/>
    <cellStyle name="Финансовый 2 4 4 6 3" xfId="5835" xr:uid="{00000000-0005-0000-0000-00009D0B0000}"/>
    <cellStyle name="Финансовый 2 4 4 7" xfId="1634" xr:uid="{00000000-0005-0000-0000-00009E0B0000}"/>
    <cellStyle name="Финансовый 2 4 4 7 2" xfId="3279" xr:uid="{00000000-0005-0000-0000-00009F0B0000}"/>
    <cellStyle name="Финансовый 2 4 4 7 3" xfId="5062" xr:uid="{00000000-0005-0000-0000-0000A00B0000}"/>
    <cellStyle name="Финансовый 2 4 4 8" xfId="911" xr:uid="{00000000-0005-0000-0000-0000A10B0000}"/>
    <cellStyle name="Финансовый 2 4 4 9" xfId="499" xr:uid="{00000000-0005-0000-0000-0000A20B0000}"/>
    <cellStyle name="Финансовый 2 4 5" xfId="56" xr:uid="{00000000-0005-0000-0000-0000A30B0000}"/>
    <cellStyle name="Финансовый 2 4 5 10" xfId="2668" xr:uid="{00000000-0005-0000-0000-0000A40B0000}"/>
    <cellStyle name="Финансовый 2 4 5 11" xfId="4311" xr:uid="{00000000-0005-0000-0000-0000A50B0000}"/>
    <cellStyle name="Финансовый 2 4 5 2" xfId="194" xr:uid="{00000000-0005-0000-0000-0000A60B0000}"/>
    <cellStyle name="Финансовый 2 4 5 2 2" xfId="1292" xr:uid="{00000000-0005-0000-0000-0000A70B0000}"/>
    <cellStyle name="Финансовый 2 4 5 2 2 2" xfId="2258" xr:uid="{00000000-0005-0000-0000-0000A80B0000}"/>
    <cellStyle name="Финансовый 2 4 5 2 2 2 2" xfId="3903" xr:uid="{00000000-0005-0000-0000-0000A90B0000}"/>
    <cellStyle name="Финансовый 2 4 5 2 2 2 3" xfId="5686" xr:uid="{00000000-0005-0000-0000-0000AA0B0000}"/>
    <cellStyle name="Финансовый 2 4 5 2 2 3" xfId="3076" xr:uid="{00000000-0005-0000-0000-0000AB0B0000}"/>
    <cellStyle name="Финансовый 2 4 5 2 2 4" xfId="4720" xr:uid="{00000000-0005-0000-0000-0000AC0B0000}"/>
    <cellStyle name="Финансовый 2 4 5 2 3" xfId="2002" xr:uid="{00000000-0005-0000-0000-0000AD0B0000}"/>
    <cellStyle name="Финансовый 2 4 5 2 3 2" xfId="3647" xr:uid="{00000000-0005-0000-0000-0000AE0B0000}"/>
    <cellStyle name="Финансовый 2 4 5 2 3 3" xfId="5430" xr:uid="{00000000-0005-0000-0000-0000AF0B0000}"/>
    <cellStyle name="Финансовый 2 4 5 2 4" xfId="2523" xr:uid="{00000000-0005-0000-0000-0000B00B0000}"/>
    <cellStyle name="Финансовый 2 4 5 2 4 2" xfId="4168" xr:uid="{00000000-0005-0000-0000-0000B10B0000}"/>
    <cellStyle name="Финансовый 2 4 5 2 4 3" xfId="5951" xr:uid="{00000000-0005-0000-0000-0000B20B0000}"/>
    <cellStyle name="Финансовый 2 4 5 2 5" xfId="1027" xr:uid="{00000000-0005-0000-0000-0000B30B0000}"/>
    <cellStyle name="Финансовый 2 4 5 2 6" xfId="615" xr:uid="{00000000-0005-0000-0000-0000B40B0000}"/>
    <cellStyle name="Финансовый 2 4 5 2 7" xfId="2804" xr:uid="{00000000-0005-0000-0000-0000B50B0000}"/>
    <cellStyle name="Финансовый 2 4 5 2 8" xfId="4448" xr:uid="{00000000-0005-0000-0000-0000B60B0000}"/>
    <cellStyle name="Финансовый 2 4 5 3" xfId="343" xr:uid="{00000000-0005-0000-0000-0000B70B0000}"/>
    <cellStyle name="Финансовый 2 4 5 3 2" xfId="2130" xr:uid="{00000000-0005-0000-0000-0000B80B0000}"/>
    <cellStyle name="Финансовый 2 4 5 3 2 2" xfId="3775" xr:uid="{00000000-0005-0000-0000-0000B90B0000}"/>
    <cellStyle name="Финансовый 2 4 5 3 2 3" xfId="5558" xr:uid="{00000000-0005-0000-0000-0000BA0B0000}"/>
    <cellStyle name="Финансовый 2 4 5 3 3" xfId="1163" xr:uid="{00000000-0005-0000-0000-0000BB0B0000}"/>
    <cellStyle name="Финансовый 2 4 5 3 4" xfId="763" xr:uid="{00000000-0005-0000-0000-0000BC0B0000}"/>
    <cellStyle name="Финансовый 2 4 5 3 5" xfId="2940" xr:uid="{00000000-0005-0000-0000-0000BD0B0000}"/>
    <cellStyle name="Финансовый 2 4 5 3 6" xfId="4584" xr:uid="{00000000-0005-0000-0000-0000BE0B0000}"/>
    <cellStyle name="Финансовый 2 4 5 4" xfId="1502" xr:uid="{00000000-0005-0000-0000-0000BF0B0000}"/>
    <cellStyle name="Финансовый 2 4 5 4 2" xfId="1866" xr:uid="{00000000-0005-0000-0000-0000C00B0000}"/>
    <cellStyle name="Финансовый 2 4 5 4 2 2" xfId="3511" xr:uid="{00000000-0005-0000-0000-0000C10B0000}"/>
    <cellStyle name="Финансовый 2 4 5 4 2 3" xfId="5294" xr:uid="{00000000-0005-0000-0000-0000C20B0000}"/>
    <cellStyle name="Финансовый 2 4 5 4 3" xfId="4930" xr:uid="{00000000-0005-0000-0000-0000C30B0000}"/>
    <cellStyle name="Финансовый 2 4 5 5" xfId="1750" xr:uid="{00000000-0005-0000-0000-0000C40B0000}"/>
    <cellStyle name="Финансовый 2 4 5 5 2" xfId="3395" xr:uid="{00000000-0005-0000-0000-0000C50B0000}"/>
    <cellStyle name="Финансовый 2 4 5 5 3" xfId="5178" xr:uid="{00000000-0005-0000-0000-0000C60B0000}"/>
    <cellStyle name="Финансовый 2 4 5 6" xfId="2386" xr:uid="{00000000-0005-0000-0000-0000C70B0000}"/>
    <cellStyle name="Финансовый 2 4 5 6 2" xfId="4031" xr:uid="{00000000-0005-0000-0000-0000C80B0000}"/>
    <cellStyle name="Финансовый 2 4 5 6 3" xfId="5814" xr:uid="{00000000-0005-0000-0000-0000C90B0000}"/>
    <cellStyle name="Финансовый 2 4 5 7" xfId="1613" xr:uid="{00000000-0005-0000-0000-0000CA0B0000}"/>
    <cellStyle name="Финансовый 2 4 5 7 2" xfId="3258" xr:uid="{00000000-0005-0000-0000-0000CB0B0000}"/>
    <cellStyle name="Финансовый 2 4 5 7 3" xfId="5041" xr:uid="{00000000-0005-0000-0000-0000CC0B0000}"/>
    <cellStyle name="Финансовый 2 4 5 8" xfId="899" xr:uid="{00000000-0005-0000-0000-0000CD0B0000}"/>
    <cellStyle name="Финансовый 2 4 5 9" xfId="479" xr:uid="{00000000-0005-0000-0000-0000CE0B0000}"/>
    <cellStyle name="Финансовый 2 4 6" xfId="134" xr:uid="{00000000-0005-0000-0000-0000CF0B0000}"/>
    <cellStyle name="Финансовый 2 4 6 10" xfId="2744" xr:uid="{00000000-0005-0000-0000-0000D00B0000}"/>
    <cellStyle name="Финансовый 2 4 6 11" xfId="4388" xr:uid="{00000000-0005-0000-0000-0000D10B0000}"/>
    <cellStyle name="Финансовый 2 4 6 2" xfId="270" xr:uid="{00000000-0005-0000-0000-0000D20B0000}"/>
    <cellStyle name="Финансовый 2 4 6 2 2" xfId="1368" xr:uid="{00000000-0005-0000-0000-0000D30B0000}"/>
    <cellStyle name="Финансовый 2 4 6 2 2 2" xfId="2326" xr:uid="{00000000-0005-0000-0000-0000D40B0000}"/>
    <cellStyle name="Финансовый 2 4 6 2 2 2 2" xfId="3971" xr:uid="{00000000-0005-0000-0000-0000D50B0000}"/>
    <cellStyle name="Финансовый 2 4 6 2 2 2 3" xfId="5754" xr:uid="{00000000-0005-0000-0000-0000D60B0000}"/>
    <cellStyle name="Финансовый 2 4 6 2 2 3" xfId="3152" xr:uid="{00000000-0005-0000-0000-0000D70B0000}"/>
    <cellStyle name="Финансовый 2 4 6 2 2 4" xfId="4796" xr:uid="{00000000-0005-0000-0000-0000D80B0000}"/>
    <cellStyle name="Финансовый 2 4 6 2 3" xfId="2070" xr:uid="{00000000-0005-0000-0000-0000D90B0000}"/>
    <cellStyle name="Финансовый 2 4 6 2 3 2" xfId="3715" xr:uid="{00000000-0005-0000-0000-0000DA0B0000}"/>
    <cellStyle name="Финансовый 2 4 6 2 3 3" xfId="5498" xr:uid="{00000000-0005-0000-0000-0000DB0B0000}"/>
    <cellStyle name="Финансовый 2 4 6 2 4" xfId="2599" xr:uid="{00000000-0005-0000-0000-0000DC0B0000}"/>
    <cellStyle name="Финансовый 2 4 6 2 4 2" xfId="4244" xr:uid="{00000000-0005-0000-0000-0000DD0B0000}"/>
    <cellStyle name="Финансовый 2 4 6 2 4 3" xfId="6027" xr:uid="{00000000-0005-0000-0000-0000DE0B0000}"/>
    <cellStyle name="Финансовый 2 4 6 2 5" xfId="1103" xr:uid="{00000000-0005-0000-0000-0000DF0B0000}"/>
    <cellStyle name="Финансовый 2 4 6 2 6" xfId="691" xr:uid="{00000000-0005-0000-0000-0000E00B0000}"/>
    <cellStyle name="Финансовый 2 4 6 2 7" xfId="2880" xr:uid="{00000000-0005-0000-0000-0000E10B0000}"/>
    <cellStyle name="Финансовый 2 4 6 2 8" xfId="4524" xr:uid="{00000000-0005-0000-0000-0000E20B0000}"/>
    <cellStyle name="Финансовый 2 4 6 3" xfId="419" xr:uid="{00000000-0005-0000-0000-0000E30B0000}"/>
    <cellStyle name="Финансовый 2 4 6 3 2" xfId="2198" xr:uid="{00000000-0005-0000-0000-0000E40B0000}"/>
    <cellStyle name="Финансовый 2 4 6 3 2 2" xfId="3843" xr:uid="{00000000-0005-0000-0000-0000E50B0000}"/>
    <cellStyle name="Финансовый 2 4 6 3 2 3" xfId="5626" xr:uid="{00000000-0005-0000-0000-0000E60B0000}"/>
    <cellStyle name="Финансовый 2 4 6 3 3" xfId="1232" xr:uid="{00000000-0005-0000-0000-0000E70B0000}"/>
    <cellStyle name="Финансовый 2 4 6 3 4" xfId="839" xr:uid="{00000000-0005-0000-0000-0000E80B0000}"/>
    <cellStyle name="Финансовый 2 4 6 3 5" xfId="3016" xr:uid="{00000000-0005-0000-0000-0000E90B0000}"/>
    <cellStyle name="Финансовый 2 4 6 3 6" xfId="4660" xr:uid="{00000000-0005-0000-0000-0000EA0B0000}"/>
    <cellStyle name="Финансовый 2 4 6 4" xfId="1503" xr:uid="{00000000-0005-0000-0000-0000EB0B0000}"/>
    <cellStyle name="Финансовый 2 4 6 4 2" xfId="1942" xr:uid="{00000000-0005-0000-0000-0000EC0B0000}"/>
    <cellStyle name="Финансовый 2 4 6 4 2 2" xfId="3587" xr:uid="{00000000-0005-0000-0000-0000ED0B0000}"/>
    <cellStyle name="Финансовый 2 4 6 4 2 3" xfId="5370" xr:uid="{00000000-0005-0000-0000-0000EE0B0000}"/>
    <cellStyle name="Финансовый 2 4 6 4 3" xfId="4931" xr:uid="{00000000-0005-0000-0000-0000EF0B0000}"/>
    <cellStyle name="Финансовый 2 4 6 5" xfId="1818" xr:uid="{00000000-0005-0000-0000-0000F00B0000}"/>
    <cellStyle name="Финансовый 2 4 6 5 2" xfId="3463" xr:uid="{00000000-0005-0000-0000-0000F10B0000}"/>
    <cellStyle name="Финансовый 2 4 6 5 3" xfId="5246" xr:uid="{00000000-0005-0000-0000-0000F20B0000}"/>
    <cellStyle name="Финансовый 2 4 6 6" xfId="2463" xr:uid="{00000000-0005-0000-0000-0000F30B0000}"/>
    <cellStyle name="Финансовый 2 4 6 6 2" xfId="4108" xr:uid="{00000000-0005-0000-0000-0000F40B0000}"/>
    <cellStyle name="Финансовый 2 4 6 6 3" xfId="5891" xr:uid="{00000000-0005-0000-0000-0000F50B0000}"/>
    <cellStyle name="Финансовый 2 4 6 7" xfId="1690" xr:uid="{00000000-0005-0000-0000-0000F60B0000}"/>
    <cellStyle name="Финансовый 2 4 6 7 2" xfId="3335" xr:uid="{00000000-0005-0000-0000-0000F70B0000}"/>
    <cellStyle name="Финансовый 2 4 6 7 3" xfId="5118" xr:uid="{00000000-0005-0000-0000-0000F80B0000}"/>
    <cellStyle name="Финансовый 2 4 6 8" xfId="967" xr:uid="{00000000-0005-0000-0000-0000F90B0000}"/>
    <cellStyle name="Финансовый 2 4 6 9" xfId="555" xr:uid="{00000000-0005-0000-0000-0000FA0B0000}"/>
    <cellStyle name="Финансовый 2 4 7" xfId="32" xr:uid="{00000000-0005-0000-0000-0000FB0B0000}"/>
    <cellStyle name="Финансовый 2 4 7 10" xfId="2644" xr:uid="{00000000-0005-0000-0000-0000FC0B0000}"/>
    <cellStyle name="Финансовый 2 4 7 11" xfId="4287" xr:uid="{00000000-0005-0000-0000-0000FD0B0000}"/>
    <cellStyle name="Финансовый 2 4 7 2" xfId="170" xr:uid="{00000000-0005-0000-0000-0000FE0B0000}"/>
    <cellStyle name="Финансовый 2 4 7 2 2" xfId="1268" xr:uid="{00000000-0005-0000-0000-0000FF0B0000}"/>
    <cellStyle name="Финансовый 2 4 7 2 2 2" xfId="2234" xr:uid="{00000000-0005-0000-0000-0000000C0000}"/>
    <cellStyle name="Финансовый 2 4 7 2 2 2 2" xfId="3879" xr:uid="{00000000-0005-0000-0000-0000010C0000}"/>
    <cellStyle name="Финансовый 2 4 7 2 2 2 3" xfId="5662" xr:uid="{00000000-0005-0000-0000-0000020C0000}"/>
    <cellStyle name="Финансовый 2 4 7 2 2 3" xfId="3052" xr:uid="{00000000-0005-0000-0000-0000030C0000}"/>
    <cellStyle name="Финансовый 2 4 7 2 2 4" xfId="4696" xr:uid="{00000000-0005-0000-0000-0000040C0000}"/>
    <cellStyle name="Финансовый 2 4 7 2 3" xfId="1978" xr:uid="{00000000-0005-0000-0000-0000050C0000}"/>
    <cellStyle name="Финансовый 2 4 7 2 3 2" xfId="3623" xr:uid="{00000000-0005-0000-0000-0000060C0000}"/>
    <cellStyle name="Финансовый 2 4 7 2 3 3" xfId="5406" xr:uid="{00000000-0005-0000-0000-0000070C0000}"/>
    <cellStyle name="Финансовый 2 4 7 2 4" xfId="2499" xr:uid="{00000000-0005-0000-0000-0000080C0000}"/>
    <cellStyle name="Финансовый 2 4 7 2 4 2" xfId="4144" xr:uid="{00000000-0005-0000-0000-0000090C0000}"/>
    <cellStyle name="Финансовый 2 4 7 2 4 3" xfId="5927" xr:uid="{00000000-0005-0000-0000-00000A0C0000}"/>
    <cellStyle name="Финансовый 2 4 7 2 5" xfId="1003" xr:uid="{00000000-0005-0000-0000-00000B0C0000}"/>
    <cellStyle name="Финансовый 2 4 7 2 6" xfId="591" xr:uid="{00000000-0005-0000-0000-00000C0C0000}"/>
    <cellStyle name="Финансовый 2 4 7 2 7" xfId="2780" xr:uid="{00000000-0005-0000-0000-00000D0C0000}"/>
    <cellStyle name="Финансовый 2 4 7 2 8" xfId="4424" xr:uid="{00000000-0005-0000-0000-00000E0C0000}"/>
    <cellStyle name="Финансовый 2 4 7 3" xfId="319" xr:uid="{00000000-0005-0000-0000-00000F0C0000}"/>
    <cellStyle name="Финансовый 2 4 7 3 2" xfId="2106" xr:uid="{00000000-0005-0000-0000-0000100C0000}"/>
    <cellStyle name="Финансовый 2 4 7 3 2 2" xfId="3751" xr:uid="{00000000-0005-0000-0000-0000110C0000}"/>
    <cellStyle name="Финансовый 2 4 7 3 2 3" xfId="5534" xr:uid="{00000000-0005-0000-0000-0000120C0000}"/>
    <cellStyle name="Финансовый 2 4 7 3 3" xfId="1139" xr:uid="{00000000-0005-0000-0000-0000130C0000}"/>
    <cellStyle name="Финансовый 2 4 7 3 4" xfId="739" xr:uid="{00000000-0005-0000-0000-0000140C0000}"/>
    <cellStyle name="Финансовый 2 4 7 3 5" xfId="2916" xr:uid="{00000000-0005-0000-0000-0000150C0000}"/>
    <cellStyle name="Финансовый 2 4 7 3 6" xfId="4560" xr:uid="{00000000-0005-0000-0000-0000160C0000}"/>
    <cellStyle name="Финансовый 2 4 7 4" xfId="1504" xr:uid="{00000000-0005-0000-0000-0000170C0000}"/>
    <cellStyle name="Финансовый 2 4 7 4 2" xfId="1842" xr:uid="{00000000-0005-0000-0000-0000180C0000}"/>
    <cellStyle name="Финансовый 2 4 7 4 2 2" xfId="3487" xr:uid="{00000000-0005-0000-0000-0000190C0000}"/>
    <cellStyle name="Финансовый 2 4 7 4 2 3" xfId="5270" xr:uid="{00000000-0005-0000-0000-00001A0C0000}"/>
    <cellStyle name="Финансовый 2 4 7 4 3" xfId="4932" xr:uid="{00000000-0005-0000-0000-00001B0C0000}"/>
    <cellStyle name="Финансовый 2 4 7 5" xfId="1726" xr:uid="{00000000-0005-0000-0000-00001C0C0000}"/>
    <cellStyle name="Финансовый 2 4 7 5 2" xfId="3371" xr:uid="{00000000-0005-0000-0000-00001D0C0000}"/>
    <cellStyle name="Финансовый 2 4 7 5 3" xfId="5154" xr:uid="{00000000-0005-0000-0000-00001E0C0000}"/>
    <cellStyle name="Финансовый 2 4 7 6" xfId="2362" xr:uid="{00000000-0005-0000-0000-00001F0C0000}"/>
    <cellStyle name="Финансовый 2 4 7 6 2" xfId="4007" xr:uid="{00000000-0005-0000-0000-0000200C0000}"/>
    <cellStyle name="Финансовый 2 4 7 6 3" xfId="5790" xr:uid="{00000000-0005-0000-0000-0000210C0000}"/>
    <cellStyle name="Финансовый 2 4 7 7" xfId="1589" xr:uid="{00000000-0005-0000-0000-0000220C0000}"/>
    <cellStyle name="Финансовый 2 4 7 7 2" xfId="3234" xr:uid="{00000000-0005-0000-0000-0000230C0000}"/>
    <cellStyle name="Финансовый 2 4 7 7 3" xfId="5017" xr:uid="{00000000-0005-0000-0000-0000240C0000}"/>
    <cellStyle name="Финансовый 2 4 7 8" xfId="875" xr:uid="{00000000-0005-0000-0000-0000250C0000}"/>
    <cellStyle name="Финансовый 2 4 7 9" xfId="455" xr:uid="{00000000-0005-0000-0000-0000260C0000}"/>
    <cellStyle name="Финансовый 2 4 8" xfId="20" xr:uid="{00000000-0005-0000-0000-0000270C0000}"/>
    <cellStyle name="Финансовый 2 4 8 10" xfId="2632" xr:uid="{00000000-0005-0000-0000-0000280C0000}"/>
    <cellStyle name="Финансовый 2 4 8 11" xfId="4275" xr:uid="{00000000-0005-0000-0000-0000290C0000}"/>
    <cellStyle name="Финансовый 2 4 8 2" xfId="158" xr:uid="{00000000-0005-0000-0000-00002A0C0000}"/>
    <cellStyle name="Финансовый 2 4 8 2 2" xfId="1256" xr:uid="{00000000-0005-0000-0000-00002B0C0000}"/>
    <cellStyle name="Финансовый 2 4 8 2 2 2" xfId="2222" xr:uid="{00000000-0005-0000-0000-00002C0C0000}"/>
    <cellStyle name="Финансовый 2 4 8 2 2 2 2" xfId="3867" xr:uid="{00000000-0005-0000-0000-00002D0C0000}"/>
    <cellStyle name="Финансовый 2 4 8 2 2 2 3" xfId="5650" xr:uid="{00000000-0005-0000-0000-00002E0C0000}"/>
    <cellStyle name="Финансовый 2 4 8 2 2 3" xfId="3040" xr:uid="{00000000-0005-0000-0000-00002F0C0000}"/>
    <cellStyle name="Финансовый 2 4 8 2 2 4" xfId="4684" xr:uid="{00000000-0005-0000-0000-0000300C0000}"/>
    <cellStyle name="Финансовый 2 4 8 2 3" xfId="1966" xr:uid="{00000000-0005-0000-0000-0000310C0000}"/>
    <cellStyle name="Финансовый 2 4 8 2 3 2" xfId="3611" xr:uid="{00000000-0005-0000-0000-0000320C0000}"/>
    <cellStyle name="Финансовый 2 4 8 2 3 3" xfId="5394" xr:uid="{00000000-0005-0000-0000-0000330C0000}"/>
    <cellStyle name="Финансовый 2 4 8 2 4" xfId="2487" xr:uid="{00000000-0005-0000-0000-0000340C0000}"/>
    <cellStyle name="Финансовый 2 4 8 2 4 2" xfId="4132" xr:uid="{00000000-0005-0000-0000-0000350C0000}"/>
    <cellStyle name="Финансовый 2 4 8 2 4 3" xfId="5915" xr:uid="{00000000-0005-0000-0000-0000360C0000}"/>
    <cellStyle name="Финансовый 2 4 8 2 5" xfId="991" xr:uid="{00000000-0005-0000-0000-0000370C0000}"/>
    <cellStyle name="Финансовый 2 4 8 2 6" xfId="579" xr:uid="{00000000-0005-0000-0000-0000380C0000}"/>
    <cellStyle name="Финансовый 2 4 8 2 7" xfId="2768" xr:uid="{00000000-0005-0000-0000-0000390C0000}"/>
    <cellStyle name="Финансовый 2 4 8 2 8" xfId="4412" xr:uid="{00000000-0005-0000-0000-00003A0C0000}"/>
    <cellStyle name="Финансовый 2 4 8 3" xfId="307" xr:uid="{00000000-0005-0000-0000-00003B0C0000}"/>
    <cellStyle name="Финансовый 2 4 8 3 2" xfId="2094" xr:uid="{00000000-0005-0000-0000-00003C0C0000}"/>
    <cellStyle name="Финансовый 2 4 8 3 2 2" xfId="3739" xr:uid="{00000000-0005-0000-0000-00003D0C0000}"/>
    <cellStyle name="Финансовый 2 4 8 3 2 3" xfId="5522" xr:uid="{00000000-0005-0000-0000-00003E0C0000}"/>
    <cellStyle name="Финансовый 2 4 8 3 3" xfId="1127" xr:uid="{00000000-0005-0000-0000-00003F0C0000}"/>
    <cellStyle name="Финансовый 2 4 8 3 4" xfId="727" xr:uid="{00000000-0005-0000-0000-0000400C0000}"/>
    <cellStyle name="Финансовый 2 4 8 3 5" xfId="2904" xr:uid="{00000000-0005-0000-0000-0000410C0000}"/>
    <cellStyle name="Финансовый 2 4 8 3 6" xfId="4548" xr:uid="{00000000-0005-0000-0000-0000420C0000}"/>
    <cellStyle name="Финансовый 2 4 8 4" xfId="1505" xr:uid="{00000000-0005-0000-0000-0000430C0000}"/>
    <cellStyle name="Финансовый 2 4 8 4 2" xfId="1830" xr:uid="{00000000-0005-0000-0000-0000440C0000}"/>
    <cellStyle name="Финансовый 2 4 8 4 2 2" xfId="3475" xr:uid="{00000000-0005-0000-0000-0000450C0000}"/>
    <cellStyle name="Финансовый 2 4 8 4 2 3" xfId="5258" xr:uid="{00000000-0005-0000-0000-0000460C0000}"/>
    <cellStyle name="Финансовый 2 4 8 4 3" xfId="4933" xr:uid="{00000000-0005-0000-0000-0000470C0000}"/>
    <cellStyle name="Финансовый 2 4 8 5" xfId="1714" xr:uid="{00000000-0005-0000-0000-0000480C0000}"/>
    <cellStyle name="Финансовый 2 4 8 5 2" xfId="3359" xr:uid="{00000000-0005-0000-0000-0000490C0000}"/>
    <cellStyle name="Финансовый 2 4 8 5 3" xfId="5142" xr:uid="{00000000-0005-0000-0000-00004A0C0000}"/>
    <cellStyle name="Финансовый 2 4 8 6" xfId="2350" xr:uid="{00000000-0005-0000-0000-00004B0C0000}"/>
    <cellStyle name="Финансовый 2 4 8 6 2" xfId="3995" xr:uid="{00000000-0005-0000-0000-00004C0C0000}"/>
    <cellStyle name="Финансовый 2 4 8 6 3" xfId="5778" xr:uid="{00000000-0005-0000-0000-00004D0C0000}"/>
    <cellStyle name="Финансовый 2 4 8 7" xfId="1577" xr:uid="{00000000-0005-0000-0000-00004E0C0000}"/>
    <cellStyle name="Финансовый 2 4 8 7 2" xfId="3222" xr:uid="{00000000-0005-0000-0000-00004F0C0000}"/>
    <cellStyle name="Финансовый 2 4 8 7 3" xfId="5005" xr:uid="{00000000-0005-0000-0000-0000500C0000}"/>
    <cellStyle name="Финансовый 2 4 8 8" xfId="863" xr:uid="{00000000-0005-0000-0000-0000510C0000}"/>
    <cellStyle name="Финансовый 2 4 8 9" xfId="443" xr:uid="{00000000-0005-0000-0000-0000520C0000}"/>
    <cellStyle name="Финансовый 2 4 9" xfId="146" xr:uid="{00000000-0005-0000-0000-0000530C0000}"/>
    <cellStyle name="Финансовый 2 4 9 2" xfId="1244" xr:uid="{00000000-0005-0000-0000-0000540C0000}"/>
    <cellStyle name="Финансовый 2 4 9 2 2" xfId="2210" xr:uid="{00000000-0005-0000-0000-0000550C0000}"/>
    <cellStyle name="Финансовый 2 4 9 2 2 2" xfId="3855" xr:uid="{00000000-0005-0000-0000-0000560C0000}"/>
    <cellStyle name="Финансовый 2 4 9 2 2 3" xfId="5638" xr:uid="{00000000-0005-0000-0000-0000570C0000}"/>
    <cellStyle name="Финансовый 2 4 9 2 3" xfId="3028" xr:uid="{00000000-0005-0000-0000-0000580C0000}"/>
    <cellStyle name="Финансовый 2 4 9 2 4" xfId="4672" xr:uid="{00000000-0005-0000-0000-0000590C0000}"/>
    <cellStyle name="Финансовый 2 4 9 3" xfId="1954" xr:uid="{00000000-0005-0000-0000-00005A0C0000}"/>
    <cellStyle name="Финансовый 2 4 9 3 2" xfId="3599" xr:uid="{00000000-0005-0000-0000-00005B0C0000}"/>
    <cellStyle name="Финансовый 2 4 9 3 3" xfId="5382" xr:uid="{00000000-0005-0000-0000-00005C0C0000}"/>
    <cellStyle name="Финансовый 2 4 9 4" xfId="2475" xr:uid="{00000000-0005-0000-0000-00005D0C0000}"/>
    <cellStyle name="Финансовый 2 4 9 4 2" xfId="4120" xr:uid="{00000000-0005-0000-0000-00005E0C0000}"/>
    <cellStyle name="Финансовый 2 4 9 4 3" xfId="5903" xr:uid="{00000000-0005-0000-0000-00005F0C0000}"/>
    <cellStyle name="Финансовый 2 4 9 5" xfId="979" xr:uid="{00000000-0005-0000-0000-0000600C0000}"/>
    <cellStyle name="Финансовый 2 4 9 6" xfId="567" xr:uid="{00000000-0005-0000-0000-0000610C0000}"/>
    <cellStyle name="Финансовый 2 4 9 7" xfId="2756" xr:uid="{00000000-0005-0000-0000-0000620C0000}"/>
    <cellStyle name="Финансовый 2 4 9 8" xfId="4400" xr:uid="{00000000-0005-0000-0000-0000630C0000}"/>
    <cellStyle name="Финансовый 2 5" xfId="38" xr:uid="{00000000-0005-0000-0000-0000640C0000}"/>
    <cellStyle name="Финансовый 2 5 10" xfId="881" xr:uid="{00000000-0005-0000-0000-0000650C0000}"/>
    <cellStyle name="Финансовый 2 5 11" xfId="461" xr:uid="{00000000-0005-0000-0000-0000660C0000}"/>
    <cellStyle name="Финансовый 2 5 12" xfId="2650" xr:uid="{00000000-0005-0000-0000-0000670C0000}"/>
    <cellStyle name="Финансовый 2 5 13" xfId="4293" xr:uid="{00000000-0005-0000-0000-0000680C0000}"/>
    <cellStyle name="Финансовый 2 5 2" xfId="120" xr:uid="{00000000-0005-0000-0000-0000690C0000}"/>
    <cellStyle name="Финансовый 2 5 2 10" xfId="2730" xr:uid="{00000000-0005-0000-0000-00006A0C0000}"/>
    <cellStyle name="Финансовый 2 5 2 11" xfId="4374" xr:uid="{00000000-0005-0000-0000-00006B0C0000}"/>
    <cellStyle name="Финансовый 2 5 2 2" xfId="256" xr:uid="{00000000-0005-0000-0000-00006C0C0000}"/>
    <cellStyle name="Финансовый 2 5 2 2 2" xfId="1354" xr:uid="{00000000-0005-0000-0000-00006D0C0000}"/>
    <cellStyle name="Финансовый 2 5 2 2 2 2" xfId="2312" xr:uid="{00000000-0005-0000-0000-00006E0C0000}"/>
    <cellStyle name="Финансовый 2 5 2 2 2 2 2" xfId="3957" xr:uid="{00000000-0005-0000-0000-00006F0C0000}"/>
    <cellStyle name="Финансовый 2 5 2 2 2 2 3" xfId="5740" xr:uid="{00000000-0005-0000-0000-0000700C0000}"/>
    <cellStyle name="Финансовый 2 5 2 2 2 3" xfId="3138" xr:uid="{00000000-0005-0000-0000-0000710C0000}"/>
    <cellStyle name="Финансовый 2 5 2 2 2 4" xfId="4782" xr:uid="{00000000-0005-0000-0000-0000720C0000}"/>
    <cellStyle name="Финансовый 2 5 2 2 3" xfId="2056" xr:uid="{00000000-0005-0000-0000-0000730C0000}"/>
    <cellStyle name="Финансовый 2 5 2 2 3 2" xfId="3701" xr:uid="{00000000-0005-0000-0000-0000740C0000}"/>
    <cellStyle name="Финансовый 2 5 2 2 3 3" xfId="5484" xr:uid="{00000000-0005-0000-0000-0000750C0000}"/>
    <cellStyle name="Финансовый 2 5 2 2 4" xfId="2585" xr:uid="{00000000-0005-0000-0000-0000760C0000}"/>
    <cellStyle name="Финансовый 2 5 2 2 4 2" xfId="4230" xr:uid="{00000000-0005-0000-0000-0000770C0000}"/>
    <cellStyle name="Финансовый 2 5 2 2 4 3" xfId="6013" xr:uid="{00000000-0005-0000-0000-0000780C0000}"/>
    <cellStyle name="Финансовый 2 5 2 2 5" xfId="1089" xr:uid="{00000000-0005-0000-0000-0000790C0000}"/>
    <cellStyle name="Финансовый 2 5 2 2 6" xfId="677" xr:uid="{00000000-0005-0000-0000-00007A0C0000}"/>
    <cellStyle name="Финансовый 2 5 2 2 7" xfId="2866" xr:uid="{00000000-0005-0000-0000-00007B0C0000}"/>
    <cellStyle name="Финансовый 2 5 2 2 8" xfId="4510" xr:uid="{00000000-0005-0000-0000-00007C0C0000}"/>
    <cellStyle name="Финансовый 2 5 2 3" xfId="405" xr:uid="{00000000-0005-0000-0000-00007D0C0000}"/>
    <cellStyle name="Финансовый 2 5 2 3 2" xfId="2184" xr:uid="{00000000-0005-0000-0000-00007E0C0000}"/>
    <cellStyle name="Финансовый 2 5 2 3 2 2" xfId="3829" xr:uid="{00000000-0005-0000-0000-00007F0C0000}"/>
    <cellStyle name="Финансовый 2 5 2 3 2 3" xfId="5612" xr:uid="{00000000-0005-0000-0000-0000800C0000}"/>
    <cellStyle name="Финансовый 2 5 2 3 3" xfId="1218" xr:uid="{00000000-0005-0000-0000-0000810C0000}"/>
    <cellStyle name="Финансовый 2 5 2 3 4" xfId="825" xr:uid="{00000000-0005-0000-0000-0000820C0000}"/>
    <cellStyle name="Финансовый 2 5 2 3 5" xfId="3002" xr:uid="{00000000-0005-0000-0000-0000830C0000}"/>
    <cellStyle name="Финансовый 2 5 2 3 6" xfId="4646" xr:uid="{00000000-0005-0000-0000-0000840C0000}"/>
    <cellStyle name="Финансовый 2 5 2 4" xfId="1507" xr:uid="{00000000-0005-0000-0000-0000850C0000}"/>
    <cellStyle name="Финансовый 2 5 2 4 2" xfId="1928" xr:uid="{00000000-0005-0000-0000-0000860C0000}"/>
    <cellStyle name="Финансовый 2 5 2 4 2 2" xfId="3573" xr:uid="{00000000-0005-0000-0000-0000870C0000}"/>
    <cellStyle name="Финансовый 2 5 2 4 2 3" xfId="5356" xr:uid="{00000000-0005-0000-0000-0000880C0000}"/>
    <cellStyle name="Финансовый 2 5 2 4 3" xfId="4935" xr:uid="{00000000-0005-0000-0000-0000890C0000}"/>
    <cellStyle name="Финансовый 2 5 2 5" xfId="1804" xr:uid="{00000000-0005-0000-0000-00008A0C0000}"/>
    <cellStyle name="Финансовый 2 5 2 5 2" xfId="3449" xr:uid="{00000000-0005-0000-0000-00008B0C0000}"/>
    <cellStyle name="Финансовый 2 5 2 5 3" xfId="5232" xr:uid="{00000000-0005-0000-0000-00008C0C0000}"/>
    <cellStyle name="Финансовый 2 5 2 6" xfId="2449" xr:uid="{00000000-0005-0000-0000-00008D0C0000}"/>
    <cellStyle name="Финансовый 2 5 2 6 2" xfId="4094" xr:uid="{00000000-0005-0000-0000-00008E0C0000}"/>
    <cellStyle name="Финансовый 2 5 2 6 3" xfId="5877" xr:uid="{00000000-0005-0000-0000-00008F0C0000}"/>
    <cellStyle name="Финансовый 2 5 2 7" xfId="1676" xr:uid="{00000000-0005-0000-0000-0000900C0000}"/>
    <cellStyle name="Финансовый 2 5 2 7 2" xfId="3321" xr:uid="{00000000-0005-0000-0000-0000910C0000}"/>
    <cellStyle name="Финансовый 2 5 2 7 3" xfId="5104" xr:uid="{00000000-0005-0000-0000-0000920C0000}"/>
    <cellStyle name="Финансовый 2 5 2 8" xfId="953" xr:uid="{00000000-0005-0000-0000-0000930C0000}"/>
    <cellStyle name="Финансовый 2 5 2 9" xfId="541" xr:uid="{00000000-0005-0000-0000-0000940C0000}"/>
    <cellStyle name="Финансовый 2 5 3" xfId="84" xr:uid="{00000000-0005-0000-0000-0000950C0000}"/>
    <cellStyle name="Финансовый 2 5 3 10" xfId="2694" xr:uid="{00000000-0005-0000-0000-0000960C0000}"/>
    <cellStyle name="Финансовый 2 5 3 11" xfId="4338" xr:uid="{00000000-0005-0000-0000-0000970C0000}"/>
    <cellStyle name="Финансовый 2 5 3 2" xfId="220" xr:uid="{00000000-0005-0000-0000-0000980C0000}"/>
    <cellStyle name="Финансовый 2 5 3 2 2" xfId="1318" xr:uid="{00000000-0005-0000-0000-0000990C0000}"/>
    <cellStyle name="Финансовый 2 5 3 2 2 2" xfId="2276" xr:uid="{00000000-0005-0000-0000-00009A0C0000}"/>
    <cellStyle name="Финансовый 2 5 3 2 2 2 2" xfId="3921" xr:uid="{00000000-0005-0000-0000-00009B0C0000}"/>
    <cellStyle name="Финансовый 2 5 3 2 2 2 3" xfId="5704" xr:uid="{00000000-0005-0000-0000-00009C0C0000}"/>
    <cellStyle name="Финансовый 2 5 3 2 2 3" xfId="3102" xr:uid="{00000000-0005-0000-0000-00009D0C0000}"/>
    <cellStyle name="Финансовый 2 5 3 2 2 4" xfId="4746" xr:uid="{00000000-0005-0000-0000-00009E0C0000}"/>
    <cellStyle name="Финансовый 2 5 3 2 3" xfId="2020" xr:uid="{00000000-0005-0000-0000-00009F0C0000}"/>
    <cellStyle name="Финансовый 2 5 3 2 3 2" xfId="3665" xr:uid="{00000000-0005-0000-0000-0000A00C0000}"/>
    <cellStyle name="Финансовый 2 5 3 2 3 3" xfId="5448" xr:uid="{00000000-0005-0000-0000-0000A10C0000}"/>
    <cellStyle name="Финансовый 2 5 3 2 4" xfId="2549" xr:uid="{00000000-0005-0000-0000-0000A20C0000}"/>
    <cellStyle name="Финансовый 2 5 3 2 4 2" xfId="4194" xr:uid="{00000000-0005-0000-0000-0000A30C0000}"/>
    <cellStyle name="Финансовый 2 5 3 2 4 3" xfId="5977" xr:uid="{00000000-0005-0000-0000-0000A40C0000}"/>
    <cellStyle name="Финансовый 2 5 3 2 5" xfId="1053" xr:uid="{00000000-0005-0000-0000-0000A50C0000}"/>
    <cellStyle name="Финансовый 2 5 3 2 6" xfId="641" xr:uid="{00000000-0005-0000-0000-0000A60C0000}"/>
    <cellStyle name="Финансовый 2 5 3 2 7" xfId="2830" xr:uid="{00000000-0005-0000-0000-0000A70C0000}"/>
    <cellStyle name="Финансовый 2 5 3 2 8" xfId="4474" xr:uid="{00000000-0005-0000-0000-0000A80C0000}"/>
    <cellStyle name="Финансовый 2 5 3 3" xfId="369" xr:uid="{00000000-0005-0000-0000-0000A90C0000}"/>
    <cellStyle name="Финансовый 2 5 3 3 2" xfId="2148" xr:uid="{00000000-0005-0000-0000-0000AA0C0000}"/>
    <cellStyle name="Финансовый 2 5 3 3 2 2" xfId="3793" xr:uid="{00000000-0005-0000-0000-0000AB0C0000}"/>
    <cellStyle name="Финансовый 2 5 3 3 2 3" xfId="5576" xr:uid="{00000000-0005-0000-0000-0000AC0C0000}"/>
    <cellStyle name="Финансовый 2 5 3 3 3" xfId="1182" xr:uid="{00000000-0005-0000-0000-0000AD0C0000}"/>
    <cellStyle name="Финансовый 2 5 3 3 4" xfId="789" xr:uid="{00000000-0005-0000-0000-0000AE0C0000}"/>
    <cellStyle name="Финансовый 2 5 3 3 5" xfId="2966" xr:uid="{00000000-0005-0000-0000-0000AF0C0000}"/>
    <cellStyle name="Финансовый 2 5 3 3 6" xfId="4610" xr:uid="{00000000-0005-0000-0000-0000B00C0000}"/>
    <cellStyle name="Финансовый 2 5 3 4" xfId="1437" xr:uid="{00000000-0005-0000-0000-0000B10C0000}"/>
    <cellStyle name="Финансовый 2 5 3 4 2" xfId="1892" xr:uid="{00000000-0005-0000-0000-0000B20C0000}"/>
    <cellStyle name="Финансовый 2 5 3 4 2 2" xfId="3537" xr:uid="{00000000-0005-0000-0000-0000B30C0000}"/>
    <cellStyle name="Финансовый 2 5 3 4 2 3" xfId="5320" xr:uid="{00000000-0005-0000-0000-0000B40C0000}"/>
    <cellStyle name="Финансовый 2 5 3 4 3" xfId="4865" xr:uid="{00000000-0005-0000-0000-0000B50C0000}"/>
    <cellStyle name="Финансовый 2 5 3 5" xfId="1768" xr:uid="{00000000-0005-0000-0000-0000B60C0000}"/>
    <cellStyle name="Финансовый 2 5 3 5 2" xfId="3413" xr:uid="{00000000-0005-0000-0000-0000B70C0000}"/>
    <cellStyle name="Финансовый 2 5 3 5 3" xfId="5196" xr:uid="{00000000-0005-0000-0000-0000B80C0000}"/>
    <cellStyle name="Финансовый 2 5 3 6" xfId="2413" xr:uid="{00000000-0005-0000-0000-0000B90C0000}"/>
    <cellStyle name="Финансовый 2 5 3 6 2" xfId="4058" xr:uid="{00000000-0005-0000-0000-0000BA0C0000}"/>
    <cellStyle name="Финансовый 2 5 3 6 3" xfId="5841" xr:uid="{00000000-0005-0000-0000-0000BB0C0000}"/>
    <cellStyle name="Финансовый 2 5 3 7" xfId="1640" xr:uid="{00000000-0005-0000-0000-0000BC0C0000}"/>
    <cellStyle name="Финансовый 2 5 3 7 2" xfId="3285" xr:uid="{00000000-0005-0000-0000-0000BD0C0000}"/>
    <cellStyle name="Финансовый 2 5 3 7 3" xfId="5068" xr:uid="{00000000-0005-0000-0000-0000BE0C0000}"/>
    <cellStyle name="Финансовый 2 5 3 8" xfId="917" xr:uid="{00000000-0005-0000-0000-0000BF0C0000}"/>
    <cellStyle name="Финансовый 2 5 3 9" xfId="505" xr:uid="{00000000-0005-0000-0000-0000C00C0000}"/>
    <cellStyle name="Финансовый 2 5 4" xfId="176" xr:uid="{00000000-0005-0000-0000-0000C10C0000}"/>
    <cellStyle name="Финансовый 2 5 4 2" xfId="1274" xr:uid="{00000000-0005-0000-0000-0000C20C0000}"/>
    <cellStyle name="Финансовый 2 5 4 2 2" xfId="2240" xr:uid="{00000000-0005-0000-0000-0000C30C0000}"/>
    <cellStyle name="Финансовый 2 5 4 2 2 2" xfId="3885" xr:uid="{00000000-0005-0000-0000-0000C40C0000}"/>
    <cellStyle name="Финансовый 2 5 4 2 2 3" xfId="5668" xr:uid="{00000000-0005-0000-0000-0000C50C0000}"/>
    <cellStyle name="Финансовый 2 5 4 2 3" xfId="3058" xr:uid="{00000000-0005-0000-0000-0000C60C0000}"/>
    <cellStyle name="Финансовый 2 5 4 2 4" xfId="4702" xr:uid="{00000000-0005-0000-0000-0000C70C0000}"/>
    <cellStyle name="Финансовый 2 5 4 3" xfId="1984" xr:uid="{00000000-0005-0000-0000-0000C80C0000}"/>
    <cellStyle name="Финансовый 2 5 4 3 2" xfId="3629" xr:uid="{00000000-0005-0000-0000-0000C90C0000}"/>
    <cellStyle name="Финансовый 2 5 4 3 3" xfId="5412" xr:uid="{00000000-0005-0000-0000-0000CA0C0000}"/>
    <cellStyle name="Финансовый 2 5 4 4" xfId="2505" xr:uid="{00000000-0005-0000-0000-0000CB0C0000}"/>
    <cellStyle name="Финансовый 2 5 4 4 2" xfId="4150" xr:uid="{00000000-0005-0000-0000-0000CC0C0000}"/>
    <cellStyle name="Финансовый 2 5 4 4 3" xfId="5933" xr:uid="{00000000-0005-0000-0000-0000CD0C0000}"/>
    <cellStyle name="Финансовый 2 5 4 5" xfId="1009" xr:uid="{00000000-0005-0000-0000-0000CE0C0000}"/>
    <cellStyle name="Финансовый 2 5 4 6" xfId="597" xr:uid="{00000000-0005-0000-0000-0000CF0C0000}"/>
    <cellStyle name="Финансовый 2 5 4 7" xfId="2786" xr:uid="{00000000-0005-0000-0000-0000D00C0000}"/>
    <cellStyle name="Финансовый 2 5 4 8" xfId="4430" xr:uid="{00000000-0005-0000-0000-0000D10C0000}"/>
    <cellStyle name="Финансовый 2 5 5" xfId="325" xr:uid="{00000000-0005-0000-0000-0000D20C0000}"/>
    <cellStyle name="Финансовый 2 5 5 2" xfId="2112" xr:uid="{00000000-0005-0000-0000-0000D30C0000}"/>
    <cellStyle name="Финансовый 2 5 5 2 2" xfId="3757" xr:uid="{00000000-0005-0000-0000-0000D40C0000}"/>
    <cellStyle name="Финансовый 2 5 5 2 3" xfId="5540" xr:uid="{00000000-0005-0000-0000-0000D50C0000}"/>
    <cellStyle name="Финансовый 2 5 5 3" xfId="1145" xr:uid="{00000000-0005-0000-0000-0000D60C0000}"/>
    <cellStyle name="Финансовый 2 5 5 4" xfId="745" xr:uid="{00000000-0005-0000-0000-0000D70C0000}"/>
    <cellStyle name="Финансовый 2 5 5 5" xfId="2922" xr:uid="{00000000-0005-0000-0000-0000D80C0000}"/>
    <cellStyle name="Финансовый 2 5 5 6" xfId="4566" xr:uid="{00000000-0005-0000-0000-0000D90C0000}"/>
    <cellStyle name="Финансовый 2 5 6" xfId="1506" xr:uid="{00000000-0005-0000-0000-0000DA0C0000}"/>
    <cellStyle name="Финансовый 2 5 6 2" xfId="1848" xr:uid="{00000000-0005-0000-0000-0000DB0C0000}"/>
    <cellStyle name="Финансовый 2 5 6 2 2" xfId="3493" xr:uid="{00000000-0005-0000-0000-0000DC0C0000}"/>
    <cellStyle name="Финансовый 2 5 6 2 3" xfId="5276" xr:uid="{00000000-0005-0000-0000-0000DD0C0000}"/>
    <cellStyle name="Финансовый 2 5 6 3" xfId="4934" xr:uid="{00000000-0005-0000-0000-0000DE0C0000}"/>
    <cellStyle name="Финансовый 2 5 7" xfId="1732" xr:uid="{00000000-0005-0000-0000-0000DF0C0000}"/>
    <cellStyle name="Финансовый 2 5 7 2" xfId="3377" xr:uid="{00000000-0005-0000-0000-0000E00C0000}"/>
    <cellStyle name="Финансовый 2 5 7 3" xfId="5160" xr:uid="{00000000-0005-0000-0000-0000E10C0000}"/>
    <cellStyle name="Финансовый 2 5 8" xfId="2368" xr:uid="{00000000-0005-0000-0000-0000E20C0000}"/>
    <cellStyle name="Финансовый 2 5 8 2" xfId="4013" xr:uid="{00000000-0005-0000-0000-0000E30C0000}"/>
    <cellStyle name="Финансовый 2 5 8 3" xfId="5796" xr:uid="{00000000-0005-0000-0000-0000E40C0000}"/>
    <cellStyle name="Финансовый 2 5 9" xfId="1595" xr:uid="{00000000-0005-0000-0000-0000E50C0000}"/>
    <cellStyle name="Финансовый 2 5 9 2" xfId="3240" xr:uid="{00000000-0005-0000-0000-0000E60C0000}"/>
    <cellStyle name="Финансовый 2 5 9 3" xfId="5023" xr:uid="{00000000-0005-0000-0000-0000E70C0000}"/>
    <cellStyle name="Финансовый 2 6" xfId="90" xr:uid="{00000000-0005-0000-0000-0000E80C0000}"/>
    <cellStyle name="Финансовый 2 6 10" xfId="2700" xr:uid="{00000000-0005-0000-0000-0000E90C0000}"/>
    <cellStyle name="Финансовый 2 6 11" xfId="4344" xr:uid="{00000000-0005-0000-0000-0000EA0C0000}"/>
    <cellStyle name="Финансовый 2 6 2" xfId="226" xr:uid="{00000000-0005-0000-0000-0000EB0C0000}"/>
    <cellStyle name="Финансовый 2 6 2 2" xfId="1324" xr:uid="{00000000-0005-0000-0000-0000EC0C0000}"/>
    <cellStyle name="Финансовый 2 6 2 2 2" xfId="2282" xr:uid="{00000000-0005-0000-0000-0000ED0C0000}"/>
    <cellStyle name="Финансовый 2 6 2 2 2 2" xfId="3927" xr:uid="{00000000-0005-0000-0000-0000EE0C0000}"/>
    <cellStyle name="Финансовый 2 6 2 2 2 3" xfId="5710" xr:uid="{00000000-0005-0000-0000-0000EF0C0000}"/>
    <cellStyle name="Финансовый 2 6 2 2 3" xfId="3108" xr:uid="{00000000-0005-0000-0000-0000F00C0000}"/>
    <cellStyle name="Финансовый 2 6 2 2 4" xfId="4752" xr:uid="{00000000-0005-0000-0000-0000F10C0000}"/>
    <cellStyle name="Финансовый 2 6 2 3" xfId="2026" xr:uid="{00000000-0005-0000-0000-0000F20C0000}"/>
    <cellStyle name="Финансовый 2 6 2 3 2" xfId="3671" xr:uid="{00000000-0005-0000-0000-0000F30C0000}"/>
    <cellStyle name="Финансовый 2 6 2 3 3" xfId="5454" xr:uid="{00000000-0005-0000-0000-0000F40C0000}"/>
    <cellStyle name="Финансовый 2 6 2 4" xfId="2555" xr:uid="{00000000-0005-0000-0000-0000F50C0000}"/>
    <cellStyle name="Финансовый 2 6 2 4 2" xfId="4200" xr:uid="{00000000-0005-0000-0000-0000F60C0000}"/>
    <cellStyle name="Финансовый 2 6 2 4 3" xfId="5983" xr:uid="{00000000-0005-0000-0000-0000F70C0000}"/>
    <cellStyle name="Финансовый 2 6 2 5" xfId="1059" xr:uid="{00000000-0005-0000-0000-0000F80C0000}"/>
    <cellStyle name="Финансовый 2 6 2 6" xfId="647" xr:uid="{00000000-0005-0000-0000-0000F90C0000}"/>
    <cellStyle name="Финансовый 2 6 2 7" xfId="2836" xr:uid="{00000000-0005-0000-0000-0000FA0C0000}"/>
    <cellStyle name="Финансовый 2 6 2 8" xfId="4480" xr:uid="{00000000-0005-0000-0000-0000FB0C0000}"/>
    <cellStyle name="Финансовый 2 6 3" xfId="375" xr:uid="{00000000-0005-0000-0000-0000FC0C0000}"/>
    <cellStyle name="Финансовый 2 6 3 2" xfId="2154" xr:uid="{00000000-0005-0000-0000-0000FD0C0000}"/>
    <cellStyle name="Финансовый 2 6 3 2 2" xfId="3799" xr:uid="{00000000-0005-0000-0000-0000FE0C0000}"/>
    <cellStyle name="Финансовый 2 6 3 2 3" xfId="5582" xr:uid="{00000000-0005-0000-0000-0000FF0C0000}"/>
    <cellStyle name="Финансовый 2 6 3 3" xfId="1188" xr:uid="{00000000-0005-0000-0000-0000000D0000}"/>
    <cellStyle name="Финансовый 2 6 3 4" xfId="795" xr:uid="{00000000-0005-0000-0000-0000010D0000}"/>
    <cellStyle name="Финансовый 2 6 3 5" xfId="2972" xr:uid="{00000000-0005-0000-0000-0000020D0000}"/>
    <cellStyle name="Финансовый 2 6 3 6" xfId="4616" xr:uid="{00000000-0005-0000-0000-0000030D0000}"/>
    <cellStyle name="Финансовый 2 6 4" xfId="1508" xr:uid="{00000000-0005-0000-0000-0000040D0000}"/>
    <cellStyle name="Финансовый 2 6 4 2" xfId="1898" xr:uid="{00000000-0005-0000-0000-0000050D0000}"/>
    <cellStyle name="Финансовый 2 6 4 2 2" xfId="3543" xr:uid="{00000000-0005-0000-0000-0000060D0000}"/>
    <cellStyle name="Финансовый 2 6 4 2 3" xfId="5326" xr:uid="{00000000-0005-0000-0000-0000070D0000}"/>
    <cellStyle name="Финансовый 2 6 4 3" xfId="4936" xr:uid="{00000000-0005-0000-0000-0000080D0000}"/>
    <cellStyle name="Финансовый 2 6 5" xfId="1774" xr:uid="{00000000-0005-0000-0000-0000090D0000}"/>
    <cellStyle name="Финансовый 2 6 5 2" xfId="3419" xr:uid="{00000000-0005-0000-0000-00000A0D0000}"/>
    <cellStyle name="Финансовый 2 6 5 3" xfId="5202" xr:uid="{00000000-0005-0000-0000-00000B0D0000}"/>
    <cellStyle name="Финансовый 2 6 6" xfId="2419" xr:uid="{00000000-0005-0000-0000-00000C0D0000}"/>
    <cellStyle name="Финансовый 2 6 6 2" xfId="4064" xr:uid="{00000000-0005-0000-0000-00000D0D0000}"/>
    <cellStyle name="Финансовый 2 6 6 3" xfId="5847" xr:uid="{00000000-0005-0000-0000-00000E0D0000}"/>
    <cellStyle name="Финансовый 2 6 7" xfId="1646" xr:uid="{00000000-0005-0000-0000-00000F0D0000}"/>
    <cellStyle name="Финансовый 2 6 7 2" xfId="3291" xr:uid="{00000000-0005-0000-0000-0000100D0000}"/>
    <cellStyle name="Финансовый 2 6 7 3" xfId="5074" xr:uid="{00000000-0005-0000-0000-0000110D0000}"/>
    <cellStyle name="Финансовый 2 6 8" xfId="923" xr:uid="{00000000-0005-0000-0000-0000120D0000}"/>
    <cellStyle name="Финансовый 2 6 9" xfId="511" xr:uid="{00000000-0005-0000-0000-0000130D0000}"/>
    <cellStyle name="Финансовый 2 7" xfId="96" xr:uid="{00000000-0005-0000-0000-0000140D0000}"/>
    <cellStyle name="Финансовый 2 7 10" xfId="2706" xr:uid="{00000000-0005-0000-0000-0000150D0000}"/>
    <cellStyle name="Финансовый 2 7 11" xfId="4350" xr:uid="{00000000-0005-0000-0000-0000160D0000}"/>
    <cellStyle name="Финансовый 2 7 2" xfId="232" xr:uid="{00000000-0005-0000-0000-0000170D0000}"/>
    <cellStyle name="Финансовый 2 7 2 2" xfId="1330" xr:uid="{00000000-0005-0000-0000-0000180D0000}"/>
    <cellStyle name="Финансовый 2 7 2 2 2" xfId="2288" xr:uid="{00000000-0005-0000-0000-0000190D0000}"/>
    <cellStyle name="Финансовый 2 7 2 2 2 2" xfId="3933" xr:uid="{00000000-0005-0000-0000-00001A0D0000}"/>
    <cellStyle name="Финансовый 2 7 2 2 2 3" xfId="5716" xr:uid="{00000000-0005-0000-0000-00001B0D0000}"/>
    <cellStyle name="Финансовый 2 7 2 2 3" xfId="3114" xr:uid="{00000000-0005-0000-0000-00001C0D0000}"/>
    <cellStyle name="Финансовый 2 7 2 2 4" xfId="4758" xr:uid="{00000000-0005-0000-0000-00001D0D0000}"/>
    <cellStyle name="Финансовый 2 7 2 3" xfId="2032" xr:uid="{00000000-0005-0000-0000-00001E0D0000}"/>
    <cellStyle name="Финансовый 2 7 2 3 2" xfId="3677" xr:uid="{00000000-0005-0000-0000-00001F0D0000}"/>
    <cellStyle name="Финансовый 2 7 2 3 3" xfId="5460" xr:uid="{00000000-0005-0000-0000-0000200D0000}"/>
    <cellStyle name="Финансовый 2 7 2 4" xfId="2561" xr:uid="{00000000-0005-0000-0000-0000210D0000}"/>
    <cellStyle name="Финансовый 2 7 2 4 2" xfId="4206" xr:uid="{00000000-0005-0000-0000-0000220D0000}"/>
    <cellStyle name="Финансовый 2 7 2 4 3" xfId="5989" xr:uid="{00000000-0005-0000-0000-0000230D0000}"/>
    <cellStyle name="Финансовый 2 7 2 5" xfId="1065" xr:uid="{00000000-0005-0000-0000-0000240D0000}"/>
    <cellStyle name="Финансовый 2 7 2 6" xfId="653" xr:uid="{00000000-0005-0000-0000-0000250D0000}"/>
    <cellStyle name="Финансовый 2 7 2 7" xfId="2842" xr:uid="{00000000-0005-0000-0000-0000260D0000}"/>
    <cellStyle name="Финансовый 2 7 2 8" xfId="4486" xr:uid="{00000000-0005-0000-0000-0000270D0000}"/>
    <cellStyle name="Финансовый 2 7 3" xfId="381" xr:uid="{00000000-0005-0000-0000-0000280D0000}"/>
    <cellStyle name="Финансовый 2 7 3 2" xfId="2160" xr:uid="{00000000-0005-0000-0000-0000290D0000}"/>
    <cellStyle name="Финансовый 2 7 3 2 2" xfId="3805" xr:uid="{00000000-0005-0000-0000-00002A0D0000}"/>
    <cellStyle name="Финансовый 2 7 3 2 3" xfId="5588" xr:uid="{00000000-0005-0000-0000-00002B0D0000}"/>
    <cellStyle name="Финансовый 2 7 3 3" xfId="1194" xr:uid="{00000000-0005-0000-0000-00002C0D0000}"/>
    <cellStyle name="Финансовый 2 7 3 4" xfId="801" xr:uid="{00000000-0005-0000-0000-00002D0D0000}"/>
    <cellStyle name="Финансовый 2 7 3 5" xfId="2978" xr:uid="{00000000-0005-0000-0000-00002E0D0000}"/>
    <cellStyle name="Финансовый 2 7 3 6" xfId="4622" xr:uid="{00000000-0005-0000-0000-00002F0D0000}"/>
    <cellStyle name="Финансовый 2 7 4" xfId="1509" xr:uid="{00000000-0005-0000-0000-0000300D0000}"/>
    <cellStyle name="Финансовый 2 7 4 2" xfId="1904" xr:uid="{00000000-0005-0000-0000-0000310D0000}"/>
    <cellStyle name="Финансовый 2 7 4 2 2" xfId="3549" xr:uid="{00000000-0005-0000-0000-0000320D0000}"/>
    <cellStyle name="Финансовый 2 7 4 2 3" xfId="5332" xr:uid="{00000000-0005-0000-0000-0000330D0000}"/>
    <cellStyle name="Финансовый 2 7 4 3" xfId="4937" xr:uid="{00000000-0005-0000-0000-0000340D0000}"/>
    <cellStyle name="Финансовый 2 7 5" xfId="1780" xr:uid="{00000000-0005-0000-0000-0000350D0000}"/>
    <cellStyle name="Финансовый 2 7 5 2" xfId="3425" xr:uid="{00000000-0005-0000-0000-0000360D0000}"/>
    <cellStyle name="Финансовый 2 7 5 3" xfId="5208" xr:uid="{00000000-0005-0000-0000-0000370D0000}"/>
    <cellStyle name="Финансовый 2 7 6" xfId="2425" xr:uid="{00000000-0005-0000-0000-0000380D0000}"/>
    <cellStyle name="Финансовый 2 7 6 2" xfId="4070" xr:uid="{00000000-0005-0000-0000-0000390D0000}"/>
    <cellStyle name="Финансовый 2 7 6 3" xfId="5853" xr:uid="{00000000-0005-0000-0000-00003A0D0000}"/>
    <cellStyle name="Финансовый 2 7 7" xfId="1652" xr:uid="{00000000-0005-0000-0000-00003B0D0000}"/>
    <cellStyle name="Финансовый 2 7 7 2" xfId="3297" xr:uid="{00000000-0005-0000-0000-00003C0D0000}"/>
    <cellStyle name="Финансовый 2 7 7 3" xfId="5080" xr:uid="{00000000-0005-0000-0000-00003D0D0000}"/>
    <cellStyle name="Финансовый 2 7 8" xfId="929" xr:uid="{00000000-0005-0000-0000-00003E0D0000}"/>
    <cellStyle name="Финансовый 2 7 9" xfId="517" xr:uid="{00000000-0005-0000-0000-00003F0D0000}"/>
    <cellStyle name="Финансовый 2 8" xfId="108" xr:uid="{00000000-0005-0000-0000-0000400D0000}"/>
    <cellStyle name="Финансовый 2 8 10" xfId="2718" xr:uid="{00000000-0005-0000-0000-0000410D0000}"/>
    <cellStyle name="Финансовый 2 8 11" xfId="4362" xr:uid="{00000000-0005-0000-0000-0000420D0000}"/>
    <cellStyle name="Финансовый 2 8 2" xfId="244" xr:uid="{00000000-0005-0000-0000-0000430D0000}"/>
    <cellStyle name="Финансовый 2 8 2 2" xfId="1342" xr:uid="{00000000-0005-0000-0000-0000440D0000}"/>
    <cellStyle name="Финансовый 2 8 2 2 2" xfId="2300" xr:uid="{00000000-0005-0000-0000-0000450D0000}"/>
    <cellStyle name="Финансовый 2 8 2 2 2 2" xfId="3945" xr:uid="{00000000-0005-0000-0000-0000460D0000}"/>
    <cellStyle name="Финансовый 2 8 2 2 2 3" xfId="5728" xr:uid="{00000000-0005-0000-0000-0000470D0000}"/>
    <cellStyle name="Финансовый 2 8 2 2 3" xfId="3126" xr:uid="{00000000-0005-0000-0000-0000480D0000}"/>
    <cellStyle name="Финансовый 2 8 2 2 4" xfId="4770" xr:uid="{00000000-0005-0000-0000-0000490D0000}"/>
    <cellStyle name="Финансовый 2 8 2 3" xfId="2044" xr:uid="{00000000-0005-0000-0000-00004A0D0000}"/>
    <cellStyle name="Финансовый 2 8 2 3 2" xfId="3689" xr:uid="{00000000-0005-0000-0000-00004B0D0000}"/>
    <cellStyle name="Финансовый 2 8 2 3 3" xfId="5472" xr:uid="{00000000-0005-0000-0000-00004C0D0000}"/>
    <cellStyle name="Финансовый 2 8 2 4" xfId="2573" xr:uid="{00000000-0005-0000-0000-00004D0D0000}"/>
    <cellStyle name="Финансовый 2 8 2 4 2" xfId="4218" xr:uid="{00000000-0005-0000-0000-00004E0D0000}"/>
    <cellStyle name="Финансовый 2 8 2 4 3" xfId="6001" xr:uid="{00000000-0005-0000-0000-00004F0D0000}"/>
    <cellStyle name="Финансовый 2 8 2 5" xfId="1077" xr:uid="{00000000-0005-0000-0000-0000500D0000}"/>
    <cellStyle name="Финансовый 2 8 2 6" xfId="665" xr:uid="{00000000-0005-0000-0000-0000510D0000}"/>
    <cellStyle name="Финансовый 2 8 2 7" xfId="2854" xr:uid="{00000000-0005-0000-0000-0000520D0000}"/>
    <cellStyle name="Финансовый 2 8 2 8" xfId="4498" xr:uid="{00000000-0005-0000-0000-0000530D0000}"/>
    <cellStyle name="Финансовый 2 8 3" xfId="393" xr:uid="{00000000-0005-0000-0000-0000540D0000}"/>
    <cellStyle name="Финансовый 2 8 3 2" xfId="2172" xr:uid="{00000000-0005-0000-0000-0000550D0000}"/>
    <cellStyle name="Финансовый 2 8 3 2 2" xfId="3817" xr:uid="{00000000-0005-0000-0000-0000560D0000}"/>
    <cellStyle name="Финансовый 2 8 3 2 3" xfId="5600" xr:uid="{00000000-0005-0000-0000-0000570D0000}"/>
    <cellStyle name="Финансовый 2 8 3 3" xfId="1206" xr:uid="{00000000-0005-0000-0000-0000580D0000}"/>
    <cellStyle name="Финансовый 2 8 3 4" xfId="813" xr:uid="{00000000-0005-0000-0000-0000590D0000}"/>
    <cellStyle name="Финансовый 2 8 3 5" xfId="2990" xr:uid="{00000000-0005-0000-0000-00005A0D0000}"/>
    <cellStyle name="Финансовый 2 8 3 6" xfId="4634" xr:uid="{00000000-0005-0000-0000-00005B0D0000}"/>
    <cellStyle name="Финансовый 2 8 4" xfId="1510" xr:uid="{00000000-0005-0000-0000-00005C0D0000}"/>
    <cellStyle name="Финансовый 2 8 4 2" xfId="1916" xr:uid="{00000000-0005-0000-0000-00005D0D0000}"/>
    <cellStyle name="Финансовый 2 8 4 2 2" xfId="3561" xr:uid="{00000000-0005-0000-0000-00005E0D0000}"/>
    <cellStyle name="Финансовый 2 8 4 2 3" xfId="5344" xr:uid="{00000000-0005-0000-0000-00005F0D0000}"/>
    <cellStyle name="Финансовый 2 8 4 3" xfId="4938" xr:uid="{00000000-0005-0000-0000-0000600D0000}"/>
    <cellStyle name="Финансовый 2 8 5" xfId="1792" xr:uid="{00000000-0005-0000-0000-0000610D0000}"/>
    <cellStyle name="Финансовый 2 8 5 2" xfId="3437" xr:uid="{00000000-0005-0000-0000-0000620D0000}"/>
    <cellStyle name="Финансовый 2 8 5 3" xfId="5220" xr:uid="{00000000-0005-0000-0000-0000630D0000}"/>
    <cellStyle name="Финансовый 2 8 6" xfId="2437" xr:uid="{00000000-0005-0000-0000-0000640D0000}"/>
    <cellStyle name="Финансовый 2 8 6 2" xfId="4082" xr:uid="{00000000-0005-0000-0000-0000650D0000}"/>
    <cellStyle name="Финансовый 2 8 6 3" xfId="5865" xr:uid="{00000000-0005-0000-0000-0000660D0000}"/>
    <cellStyle name="Финансовый 2 8 7" xfId="1664" xr:uid="{00000000-0005-0000-0000-0000670D0000}"/>
    <cellStyle name="Финансовый 2 8 7 2" xfId="3309" xr:uid="{00000000-0005-0000-0000-0000680D0000}"/>
    <cellStyle name="Финансовый 2 8 7 3" xfId="5092" xr:uid="{00000000-0005-0000-0000-0000690D0000}"/>
    <cellStyle name="Финансовый 2 8 8" xfId="941" xr:uid="{00000000-0005-0000-0000-00006A0D0000}"/>
    <cellStyle name="Финансовый 2 8 9" xfId="529" xr:uid="{00000000-0005-0000-0000-00006B0D0000}"/>
    <cellStyle name="Финансовый 2 9" xfId="126" xr:uid="{00000000-0005-0000-0000-00006C0D0000}"/>
    <cellStyle name="Финансовый 2 9 10" xfId="2736" xr:uid="{00000000-0005-0000-0000-00006D0D0000}"/>
    <cellStyle name="Финансовый 2 9 11" xfId="4380" xr:uid="{00000000-0005-0000-0000-00006E0D0000}"/>
    <cellStyle name="Финансовый 2 9 2" xfId="262" xr:uid="{00000000-0005-0000-0000-00006F0D0000}"/>
    <cellStyle name="Финансовый 2 9 2 2" xfId="1360" xr:uid="{00000000-0005-0000-0000-0000700D0000}"/>
    <cellStyle name="Финансовый 2 9 2 2 2" xfId="2318" xr:uid="{00000000-0005-0000-0000-0000710D0000}"/>
    <cellStyle name="Финансовый 2 9 2 2 2 2" xfId="3963" xr:uid="{00000000-0005-0000-0000-0000720D0000}"/>
    <cellStyle name="Финансовый 2 9 2 2 2 3" xfId="5746" xr:uid="{00000000-0005-0000-0000-0000730D0000}"/>
    <cellStyle name="Финансовый 2 9 2 2 3" xfId="3144" xr:uid="{00000000-0005-0000-0000-0000740D0000}"/>
    <cellStyle name="Финансовый 2 9 2 2 4" xfId="4788" xr:uid="{00000000-0005-0000-0000-0000750D0000}"/>
    <cellStyle name="Финансовый 2 9 2 3" xfId="2062" xr:uid="{00000000-0005-0000-0000-0000760D0000}"/>
    <cellStyle name="Финансовый 2 9 2 3 2" xfId="3707" xr:uid="{00000000-0005-0000-0000-0000770D0000}"/>
    <cellStyle name="Финансовый 2 9 2 3 3" xfId="5490" xr:uid="{00000000-0005-0000-0000-0000780D0000}"/>
    <cellStyle name="Финансовый 2 9 2 4" xfId="2591" xr:uid="{00000000-0005-0000-0000-0000790D0000}"/>
    <cellStyle name="Финансовый 2 9 2 4 2" xfId="4236" xr:uid="{00000000-0005-0000-0000-00007A0D0000}"/>
    <cellStyle name="Финансовый 2 9 2 4 3" xfId="6019" xr:uid="{00000000-0005-0000-0000-00007B0D0000}"/>
    <cellStyle name="Финансовый 2 9 2 5" xfId="1095" xr:uid="{00000000-0005-0000-0000-00007C0D0000}"/>
    <cellStyle name="Финансовый 2 9 2 6" xfId="683" xr:uid="{00000000-0005-0000-0000-00007D0D0000}"/>
    <cellStyle name="Финансовый 2 9 2 7" xfId="2872" xr:uid="{00000000-0005-0000-0000-00007E0D0000}"/>
    <cellStyle name="Финансовый 2 9 2 8" xfId="4516" xr:uid="{00000000-0005-0000-0000-00007F0D0000}"/>
    <cellStyle name="Финансовый 2 9 3" xfId="411" xr:uid="{00000000-0005-0000-0000-0000800D0000}"/>
    <cellStyle name="Финансовый 2 9 3 2" xfId="2190" xr:uid="{00000000-0005-0000-0000-0000810D0000}"/>
    <cellStyle name="Финансовый 2 9 3 2 2" xfId="3835" xr:uid="{00000000-0005-0000-0000-0000820D0000}"/>
    <cellStyle name="Финансовый 2 9 3 2 3" xfId="5618" xr:uid="{00000000-0005-0000-0000-0000830D0000}"/>
    <cellStyle name="Финансовый 2 9 3 3" xfId="1224" xr:uid="{00000000-0005-0000-0000-0000840D0000}"/>
    <cellStyle name="Финансовый 2 9 3 4" xfId="831" xr:uid="{00000000-0005-0000-0000-0000850D0000}"/>
    <cellStyle name="Финансовый 2 9 3 5" xfId="3008" xr:uid="{00000000-0005-0000-0000-0000860D0000}"/>
    <cellStyle name="Финансовый 2 9 3 6" xfId="4652" xr:uid="{00000000-0005-0000-0000-0000870D0000}"/>
    <cellStyle name="Финансовый 2 9 4" xfId="1511" xr:uid="{00000000-0005-0000-0000-0000880D0000}"/>
    <cellStyle name="Финансовый 2 9 4 2" xfId="1934" xr:uid="{00000000-0005-0000-0000-0000890D0000}"/>
    <cellStyle name="Финансовый 2 9 4 2 2" xfId="3579" xr:uid="{00000000-0005-0000-0000-00008A0D0000}"/>
    <cellStyle name="Финансовый 2 9 4 2 3" xfId="5362" xr:uid="{00000000-0005-0000-0000-00008B0D0000}"/>
    <cellStyle name="Финансовый 2 9 4 3" xfId="4939" xr:uid="{00000000-0005-0000-0000-00008C0D0000}"/>
    <cellStyle name="Финансовый 2 9 5" xfId="1810" xr:uid="{00000000-0005-0000-0000-00008D0D0000}"/>
    <cellStyle name="Финансовый 2 9 5 2" xfId="3455" xr:uid="{00000000-0005-0000-0000-00008E0D0000}"/>
    <cellStyle name="Финансовый 2 9 5 3" xfId="5238" xr:uid="{00000000-0005-0000-0000-00008F0D0000}"/>
    <cellStyle name="Финансовый 2 9 6" xfId="2455" xr:uid="{00000000-0005-0000-0000-0000900D0000}"/>
    <cellStyle name="Финансовый 2 9 6 2" xfId="4100" xr:uid="{00000000-0005-0000-0000-0000910D0000}"/>
    <cellStyle name="Финансовый 2 9 6 3" xfId="5883" xr:uid="{00000000-0005-0000-0000-0000920D0000}"/>
    <cellStyle name="Финансовый 2 9 7" xfId="1682" xr:uid="{00000000-0005-0000-0000-0000930D0000}"/>
    <cellStyle name="Финансовый 2 9 7 2" xfId="3327" xr:uid="{00000000-0005-0000-0000-0000940D0000}"/>
    <cellStyle name="Финансовый 2 9 7 3" xfId="5110" xr:uid="{00000000-0005-0000-0000-0000950D0000}"/>
    <cellStyle name="Финансовый 2 9 8" xfId="959" xr:uid="{00000000-0005-0000-0000-0000960D0000}"/>
    <cellStyle name="Финансовый 2 9 9" xfId="547" xr:uid="{00000000-0005-0000-0000-0000970D0000}"/>
    <cellStyle name="Финансовый 20" xfId="2331" xr:uid="{00000000-0005-0000-0000-0000980D0000}"/>
    <cellStyle name="Финансовый 20 2" xfId="3976" xr:uid="{00000000-0005-0000-0000-0000990D0000}"/>
    <cellStyle name="Финансовый 20 3" xfId="5759" xr:uid="{00000000-0005-0000-0000-00009A0D0000}"/>
    <cellStyle name="Финансовый 21" xfId="2393" xr:uid="{00000000-0005-0000-0000-00009B0D0000}"/>
    <cellStyle name="Финансовый 21 2" xfId="4038" xr:uid="{00000000-0005-0000-0000-00009C0D0000}"/>
    <cellStyle name="Финансовый 21 3" xfId="5821" xr:uid="{00000000-0005-0000-0000-00009D0D0000}"/>
    <cellStyle name="Финансовый 22" xfId="2606" xr:uid="{00000000-0005-0000-0000-00009E0D0000}"/>
    <cellStyle name="Финансовый 22 2" xfId="4251" xr:uid="{00000000-0005-0000-0000-00009F0D0000}"/>
    <cellStyle name="Финансовый 22 3" xfId="6034" xr:uid="{00000000-0005-0000-0000-0000A00D0000}"/>
    <cellStyle name="Финансовый 23" xfId="2604" xr:uid="{00000000-0005-0000-0000-0000A10D0000}"/>
    <cellStyle name="Финансовый 23 2" xfId="4249" xr:uid="{00000000-0005-0000-0000-0000A20D0000}"/>
    <cellStyle name="Финансовый 23 3" xfId="6032" xr:uid="{00000000-0005-0000-0000-0000A30D0000}"/>
    <cellStyle name="Финансовый 24" xfId="2610" xr:uid="{00000000-0005-0000-0000-0000A40D0000}"/>
    <cellStyle name="Финансовый 24 2" xfId="4255" xr:uid="{00000000-0005-0000-0000-0000A50D0000}"/>
    <cellStyle name="Финансовый 24 3" xfId="6038" xr:uid="{00000000-0005-0000-0000-0000A60D0000}"/>
    <cellStyle name="Финансовый 25" xfId="2608" xr:uid="{00000000-0005-0000-0000-0000A70D0000}"/>
    <cellStyle name="Финансовый 25 2" xfId="4253" xr:uid="{00000000-0005-0000-0000-0000A80D0000}"/>
    <cellStyle name="Финансовый 25 3" xfId="6036" xr:uid="{00000000-0005-0000-0000-0000A90D0000}"/>
    <cellStyle name="Финансовый 26" xfId="2607" xr:uid="{00000000-0005-0000-0000-0000AA0D0000}"/>
    <cellStyle name="Финансовый 26 2" xfId="4252" xr:uid="{00000000-0005-0000-0000-0000AB0D0000}"/>
    <cellStyle name="Финансовый 26 3" xfId="6035" xr:uid="{00000000-0005-0000-0000-0000AC0D0000}"/>
    <cellStyle name="Финансовый 27" xfId="2605" xr:uid="{00000000-0005-0000-0000-0000AD0D0000}"/>
    <cellStyle name="Финансовый 27 2" xfId="4250" xr:uid="{00000000-0005-0000-0000-0000AE0D0000}"/>
    <cellStyle name="Финансовый 27 3" xfId="6033" xr:uid="{00000000-0005-0000-0000-0000AF0D0000}"/>
    <cellStyle name="Финансовый 28" xfId="2609" xr:uid="{00000000-0005-0000-0000-0000B00D0000}"/>
    <cellStyle name="Финансовый 28 2" xfId="4254" xr:uid="{00000000-0005-0000-0000-0000B10D0000}"/>
    <cellStyle name="Финансовый 28 3" xfId="6037" xr:uid="{00000000-0005-0000-0000-0000B20D0000}"/>
    <cellStyle name="Финансовый 29" xfId="1558" xr:uid="{00000000-0005-0000-0000-0000B30D0000}"/>
    <cellStyle name="Финансовый 29 2" xfId="3203" xr:uid="{00000000-0005-0000-0000-0000B40D0000}"/>
    <cellStyle name="Финансовый 29 3" xfId="4986" xr:uid="{00000000-0005-0000-0000-0000B50D0000}"/>
    <cellStyle name="Финансовый 3" xfId="3" xr:uid="{00000000-0005-0000-0000-0000B60D0000}"/>
    <cellStyle name="Финансовый 3 10" xfId="27" xr:uid="{00000000-0005-0000-0000-0000B70D0000}"/>
    <cellStyle name="Финансовый 3 10 10" xfId="2639" xr:uid="{00000000-0005-0000-0000-0000B80D0000}"/>
    <cellStyle name="Финансовый 3 10 11" xfId="4282" xr:uid="{00000000-0005-0000-0000-0000B90D0000}"/>
    <cellStyle name="Финансовый 3 10 2" xfId="165" xr:uid="{00000000-0005-0000-0000-0000BA0D0000}"/>
    <cellStyle name="Финансовый 3 10 2 2" xfId="1263" xr:uid="{00000000-0005-0000-0000-0000BB0D0000}"/>
    <cellStyle name="Финансовый 3 10 2 2 2" xfId="2229" xr:uid="{00000000-0005-0000-0000-0000BC0D0000}"/>
    <cellStyle name="Финансовый 3 10 2 2 2 2" xfId="3874" xr:uid="{00000000-0005-0000-0000-0000BD0D0000}"/>
    <cellStyle name="Финансовый 3 10 2 2 2 3" xfId="5657" xr:uid="{00000000-0005-0000-0000-0000BE0D0000}"/>
    <cellStyle name="Финансовый 3 10 2 2 3" xfId="3047" xr:uid="{00000000-0005-0000-0000-0000BF0D0000}"/>
    <cellStyle name="Финансовый 3 10 2 2 4" xfId="4691" xr:uid="{00000000-0005-0000-0000-0000C00D0000}"/>
    <cellStyle name="Финансовый 3 10 2 3" xfId="1973" xr:uid="{00000000-0005-0000-0000-0000C10D0000}"/>
    <cellStyle name="Финансовый 3 10 2 3 2" xfId="3618" xr:uid="{00000000-0005-0000-0000-0000C20D0000}"/>
    <cellStyle name="Финансовый 3 10 2 3 3" xfId="5401" xr:uid="{00000000-0005-0000-0000-0000C30D0000}"/>
    <cellStyle name="Финансовый 3 10 2 4" xfId="2494" xr:uid="{00000000-0005-0000-0000-0000C40D0000}"/>
    <cellStyle name="Финансовый 3 10 2 4 2" xfId="4139" xr:uid="{00000000-0005-0000-0000-0000C50D0000}"/>
    <cellStyle name="Финансовый 3 10 2 4 3" xfId="5922" xr:uid="{00000000-0005-0000-0000-0000C60D0000}"/>
    <cellStyle name="Финансовый 3 10 2 5" xfId="998" xr:uid="{00000000-0005-0000-0000-0000C70D0000}"/>
    <cellStyle name="Финансовый 3 10 2 6" xfId="586" xr:uid="{00000000-0005-0000-0000-0000C80D0000}"/>
    <cellStyle name="Финансовый 3 10 2 7" xfId="2775" xr:uid="{00000000-0005-0000-0000-0000C90D0000}"/>
    <cellStyle name="Финансовый 3 10 2 8" xfId="4419" xr:uid="{00000000-0005-0000-0000-0000CA0D0000}"/>
    <cellStyle name="Финансовый 3 10 3" xfId="314" xr:uid="{00000000-0005-0000-0000-0000CB0D0000}"/>
    <cellStyle name="Финансовый 3 10 3 2" xfId="2101" xr:uid="{00000000-0005-0000-0000-0000CC0D0000}"/>
    <cellStyle name="Финансовый 3 10 3 2 2" xfId="3746" xr:uid="{00000000-0005-0000-0000-0000CD0D0000}"/>
    <cellStyle name="Финансовый 3 10 3 2 3" xfId="5529" xr:uid="{00000000-0005-0000-0000-0000CE0D0000}"/>
    <cellStyle name="Финансовый 3 10 3 3" xfId="1134" xr:uid="{00000000-0005-0000-0000-0000CF0D0000}"/>
    <cellStyle name="Финансовый 3 10 3 4" xfId="734" xr:uid="{00000000-0005-0000-0000-0000D00D0000}"/>
    <cellStyle name="Финансовый 3 10 3 5" xfId="2911" xr:uid="{00000000-0005-0000-0000-0000D10D0000}"/>
    <cellStyle name="Финансовый 3 10 3 6" xfId="4555" xr:uid="{00000000-0005-0000-0000-0000D20D0000}"/>
    <cellStyle name="Финансовый 3 10 4" xfId="1513" xr:uid="{00000000-0005-0000-0000-0000D30D0000}"/>
    <cellStyle name="Финансовый 3 10 4 2" xfId="1837" xr:uid="{00000000-0005-0000-0000-0000D40D0000}"/>
    <cellStyle name="Финансовый 3 10 4 2 2" xfId="3482" xr:uid="{00000000-0005-0000-0000-0000D50D0000}"/>
    <cellStyle name="Финансовый 3 10 4 2 3" xfId="5265" xr:uid="{00000000-0005-0000-0000-0000D60D0000}"/>
    <cellStyle name="Финансовый 3 10 4 3" xfId="4941" xr:uid="{00000000-0005-0000-0000-0000D70D0000}"/>
    <cellStyle name="Финансовый 3 10 5" xfId="1721" xr:uid="{00000000-0005-0000-0000-0000D80D0000}"/>
    <cellStyle name="Финансовый 3 10 5 2" xfId="3366" xr:uid="{00000000-0005-0000-0000-0000D90D0000}"/>
    <cellStyle name="Финансовый 3 10 5 3" xfId="5149" xr:uid="{00000000-0005-0000-0000-0000DA0D0000}"/>
    <cellStyle name="Финансовый 3 10 6" xfId="2357" xr:uid="{00000000-0005-0000-0000-0000DB0D0000}"/>
    <cellStyle name="Финансовый 3 10 6 2" xfId="4002" xr:uid="{00000000-0005-0000-0000-0000DC0D0000}"/>
    <cellStyle name="Финансовый 3 10 6 3" xfId="5785" xr:uid="{00000000-0005-0000-0000-0000DD0D0000}"/>
    <cellStyle name="Финансовый 3 10 7" xfId="1584" xr:uid="{00000000-0005-0000-0000-0000DE0D0000}"/>
    <cellStyle name="Финансовый 3 10 7 2" xfId="3229" xr:uid="{00000000-0005-0000-0000-0000DF0D0000}"/>
    <cellStyle name="Финансовый 3 10 7 3" xfId="5012" xr:uid="{00000000-0005-0000-0000-0000E00D0000}"/>
    <cellStyle name="Финансовый 3 10 8" xfId="870" xr:uid="{00000000-0005-0000-0000-0000E10D0000}"/>
    <cellStyle name="Финансовый 3 10 9" xfId="450" xr:uid="{00000000-0005-0000-0000-0000E20D0000}"/>
    <cellStyle name="Финансовый 3 11" xfId="15" xr:uid="{00000000-0005-0000-0000-0000E30D0000}"/>
    <cellStyle name="Финансовый 3 11 10" xfId="2627" xr:uid="{00000000-0005-0000-0000-0000E40D0000}"/>
    <cellStyle name="Финансовый 3 11 11" xfId="4270" xr:uid="{00000000-0005-0000-0000-0000E50D0000}"/>
    <cellStyle name="Финансовый 3 11 2" xfId="153" xr:uid="{00000000-0005-0000-0000-0000E60D0000}"/>
    <cellStyle name="Финансовый 3 11 2 2" xfId="1251" xr:uid="{00000000-0005-0000-0000-0000E70D0000}"/>
    <cellStyle name="Финансовый 3 11 2 2 2" xfId="2217" xr:uid="{00000000-0005-0000-0000-0000E80D0000}"/>
    <cellStyle name="Финансовый 3 11 2 2 2 2" xfId="3862" xr:uid="{00000000-0005-0000-0000-0000E90D0000}"/>
    <cellStyle name="Финансовый 3 11 2 2 2 3" xfId="5645" xr:uid="{00000000-0005-0000-0000-0000EA0D0000}"/>
    <cellStyle name="Финансовый 3 11 2 2 3" xfId="3035" xr:uid="{00000000-0005-0000-0000-0000EB0D0000}"/>
    <cellStyle name="Финансовый 3 11 2 2 4" xfId="4679" xr:uid="{00000000-0005-0000-0000-0000EC0D0000}"/>
    <cellStyle name="Финансовый 3 11 2 3" xfId="1961" xr:uid="{00000000-0005-0000-0000-0000ED0D0000}"/>
    <cellStyle name="Финансовый 3 11 2 3 2" xfId="3606" xr:uid="{00000000-0005-0000-0000-0000EE0D0000}"/>
    <cellStyle name="Финансовый 3 11 2 3 3" xfId="5389" xr:uid="{00000000-0005-0000-0000-0000EF0D0000}"/>
    <cellStyle name="Финансовый 3 11 2 4" xfId="2482" xr:uid="{00000000-0005-0000-0000-0000F00D0000}"/>
    <cellStyle name="Финансовый 3 11 2 4 2" xfId="4127" xr:uid="{00000000-0005-0000-0000-0000F10D0000}"/>
    <cellStyle name="Финансовый 3 11 2 4 3" xfId="5910" xr:uid="{00000000-0005-0000-0000-0000F20D0000}"/>
    <cellStyle name="Финансовый 3 11 2 5" xfId="986" xr:uid="{00000000-0005-0000-0000-0000F30D0000}"/>
    <cellStyle name="Финансовый 3 11 2 6" xfId="574" xr:uid="{00000000-0005-0000-0000-0000F40D0000}"/>
    <cellStyle name="Финансовый 3 11 2 7" xfId="2763" xr:uid="{00000000-0005-0000-0000-0000F50D0000}"/>
    <cellStyle name="Финансовый 3 11 2 8" xfId="4407" xr:uid="{00000000-0005-0000-0000-0000F60D0000}"/>
    <cellStyle name="Финансовый 3 11 3" xfId="302" xr:uid="{00000000-0005-0000-0000-0000F70D0000}"/>
    <cellStyle name="Финансовый 3 11 3 2" xfId="2089" xr:uid="{00000000-0005-0000-0000-0000F80D0000}"/>
    <cellStyle name="Финансовый 3 11 3 2 2" xfId="3734" xr:uid="{00000000-0005-0000-0000-0000F90D0000}"/>
    <cellStyle name="Финансовый 3 11 3 2 3" xfId="5517" xr:uid="{00000000-0005-0000-0000-0000FA0D0000}"/>
    <cellStyle name="Финансовый 3 11 3 3" xfId="1122" xr:uid="{00000000-0005-0000-0000-0000FB0D0000}"/>
    <cellStyle name="Финансовый 3 11 3 4" xfId="722" xr:uid="{00000000-0005-0000-0000-0000FC0D0000}"/>
    <cellStyle name="Финансовый 3 11 3 5" xfId="2899" xr:uid="{00000000-0005-0000-0000-0000FD0D0000}"/>
    <cellStyle name="Финансовый 3 11 3 6" xfId="4543" xr:uid="{00000000-0005-0000-0000-0000FE0D0000}"/>
    <cellStyle name="Финансовый 3 11 4" xfId="1514" xr:uid="{00000000-0005-0000-0000-0000FF0D0000}"/>
    <cellStyle name="Финансовый 3 11 4 2" xfId="1825" xr:uid="{00000000-0005-0000-0000-0000000E0000}"/>
    <cellStyle name="Финансовый 3 11 4 2 2" xfId="3470" xr:uid="{00000000-0005-0000-0000-0000010E0000}"/>
    <cellStyle name="Финансовый 3 11 4 2 3" xfId="5253" xr:uid="{00000000-0005-0000-0000-0000020E0000}"/>
    <cellStyle name="Финансовый 3 11 4 3" xfId="4942" xr:uid="{00000000-0005-0000-0000-0000030E0000}"/>
    <cellStyle name="Финансовый 3 11 5" xfId="1709" xr:uid="{00000000-0005-0000-0000-0000040E0000}"/>
    <cellStyle name="Финансовый 3 11 5 2" xfId="3354" xr:uid="{00000000-0005-0000-0000-0000050E0000}"/>
    <cellStyle name="Финансовый 3 11 5 3" xfId="5137" xr:uid="{00000000-0005-0000-0000-0000060E0000}"/>
    <cellStyle name="Финансовый 3 11 6" xfId="2345" xr:uid="{00000000-0005-0000-0000-0000070E0000}"/>
    <cellStyle name="Финансовый 3 11 6 2" xfId="3990" xr:uid="{00000000-0005-0000-0000-0000080E0000}"/>
    <cellStyle name="Финансовый 3 11 6 3" xfId="5773" xr:uid="{00000000-0005-0000-0000-0000090E0000}"/>
    <cellStyle name="Финансовый 3 11 7" xfId="1572" xr:uid="{00000000-0005-0000-0000-00000A0E0000}"/>
    <cellStyle name="Финансовый 3 11 7 2" xfId="3217" xr:uid="{00000000-0005-0000-0000-00000B0E0000}"/>
    <cellStyle name="Финансовый 3 11 7 3" xfId="5000" xr:uid="{00000000-0005-0000-0000-00000C0E0000}"/>
    <cellStyle name="Финансовый 3 11 8" xfId="858" xr:uid="{00000000-0005-0000-0000-00000D0E0000}"/>
    <cellStyle name="Финансовый 3 11 9" xfId="438" xr:uid="{00000000-0005-0000-0000-00000E0E0000}"/>
    <cellStyle name="Финансовый 3 12" xfId="141" xr:uid="{00000000-0005-0000-0000-00000F0E0000}"/>
    <cellStyle name="Финансовый 3 12 2" xfId="1239" xr:uid="{00000000-0005-0000-0000-0000100E0000}"/>
    <cellStyle name="Финансовый 3 12 2 2" xfId="2205" xr:uid="{00000000-0005-0000-0000-0000110E0000}"/>
    <cellStyle name="Финансовый 3 12 2 2 2" xfId="3850" xr:uid="{00000000-0005-0000-0000-0000120E0000}"/>
    <cellStyle name="Финансовый 3 12 2 2 3" xfId="5633" xr:uid="{00000000-0005-0000-0000-0000130E0000}"/>
    <cellStyle name="Финансовый 3 12 2 3" xfId="3023" xr:uid="{00000000-0005-0000-0000-0000140E0000}"/>
    <cellStyle name="Финансовый 3 12 2 4" xfId="4667" xr:uid="{00000000-0005-0000-0000-0000150E0000}"/>
    <cellStyle name="Финансовый 3 12 3" xfId="1949" xr:uid="{00000000-0005-0000-0000-0000160E0000}"/>
    <cellStyle name="Финансовый 3 12 3 2" xfId="3594" xr:uid="{00000000-0005-0000-0000-0000170E0000}"/>
    <cellStyle name="Финансовый 3 12 3 3" xfId="5377" xr:uid="{00000000-0005-0000-0000-0000180E0000}"/>
    <cellStyle name="Финансовый 3 12 4" xfId="2470" xr:uid="{00000000-0005-0000-0000-0000190E0000}"/>
    <cellStyle name="Финансовый 3 12 4 2" xfId="4115" xr:uid="{00000000-0005-0000-0000-00001A0E0000}"/>
    <cellStyle name="Финансовый 3 12 4 3" xfId="5898" xr:uid="{00000000-0005-0000-0000-00001B0E0000}"/>
    <cellStyle name="Финансовый 3 12 5" xfId="974" xr:uid="{00000000-0005-0000-0000-00001C0E0000}"/>
    <cellStyle name="Финансовый 3 12 6" xfId="562" xr:uid="{00000000-0005-0000-0000-00001D0E0000}"/>
    <cellStyle name="Финансовый 3 12 7" xfId="2751" xr:uid="{00000000-0005-0000-0000-00001E0E0000}"/>
    <cellStyle name="Финансовый 3 12 8" xfId="4395" xr:uid="{00000000-0005-0000-0000-00001F0E0000}"/>
    <cellStyle name="Финансовый 3 13" xfId="277" xr:uid="{00000000-0005-0000-0000-0000200E0000}"/>
    <cellStyle name="Финансовый 3 13 2" xfId="2077" xr:uid="{00000000-0005-0000-0000-0000210E0000}"/>
    <cellStyle name="Финансовый 3 13 2 2" xfId="3722" xr:uid="{00000000-0005-0000-0000-0000220E0000}"/>
    <cellStyle name="Финансовый 3 13 2 3" xfId="5505" xr:uid="{00000000-0005-0000-0000-0000230E0000}"/>
    <cellStyle name="Финансовый 3 13 3" xfId="1375" xr:uid="{00000000-0005-0000-0000-0000240E0000}"/>
    <cellStyle name="Финансовый 3 13 4" xfId="698" xr:uid="{00000000-0005-0000-0000-0000250E0000}"/>
    <cellStyle name="Финансовый 3 13 5" xfId="3159" xr:uid="{00000000-0005-0000-0000-0000260E0000}"/>
    <cellStyle name="Финансовый 3 13 6" xfId="4803" xr:uid="{00000000-0005-0000-0000-0000270E0000}"/>
    <cellStyle name="Финансовый 3 14" xfId="290" xr:uid="{00000000-0005-0000-0000-0000280E0000}"/>
    <cellStyle name="Финансовый 3 14 2" xfId="1110" xr:uid="{00000000-0005-0000-0000-0000290E0000}"/>
    <cellStyle name="Финансовый 3 14 3" xfId="710" xr:uid="{00000000-0005-0000-0000-00002A0E0000}"/>
    <cellStyle name="Финансовый 3 14 4" xfId="2887" xr:uid="{00000000-0005-0000-0000-00002B0E0000}"/>
    <cellStyle name="Финансовый 3 14 5" xfId="4531" xr:uid="{00000000-0005-0000-0000-00002C0E0000}"/>
    <cellStyle name="Финансовый 3 15" xfId="1512" xr:uid="{00000000-0005-0000-0000-00002D0E0000}"/>
    <cellStyle name="Финансовый 3 15 2" xfId="1697" xr:uid="{00000000-0005-0000-0000-00002E0E0000}"/>
    <cellStyle name="Финансовый 3 15 2 2" xfId="3342" xr:uid="{00000000-0005-0000-0000-00002F0E0000}"/>
    <cellStyle name="Финансовый 3 15 2 3" xfId="5125" xr:uid="{00000000-0005-0000-0000-0000300E0000}"/>
    <cellStyle name="Финансовый 3 15 3" xfId="4940" xr:uid="{00000000-0005-0000-0000-0000310E0000}"/>
    <cellStyle name="Финансовый 3 16" xfId="2333" xr:uid="{00000000-0005-0000-0000-0000320E0000}"/>
    <cellStyle name="Финансовый 3 16 2" xfId="3978" xr:uid="{00000000-0005-0000-0000-0000330E0000}"/>
    <cellStyle name="Финансовый 3 16 3" xfId="5761" xr:uid="{00000000-0005-0000-0000-0000340E0000}"/>
    <cellStyle name="Финансовый 3 17" xfId="1560" xr:uid="{00000000-0005-0000-0000-0000350E0000}"/>
    <cellStyle name="Финансовый 3 17 2" xfId="3205" xr:uid="{00000000-0005-0000-0000-0000360E0000}"/>
    <cellStyle name="Финансовый 3 17 3" xfId="4988" xr:uid="{00000000-0005-0000-0000-0000370E0000}"/>
    <cellStyle name="Финансовый 3 18" xfId="846" xr:uid="{00000000-0005-0000-0000-0000380E0000}"/>
    <cellStyle name="Финансовый 3 19" xfId="426" xr:uid="{00000000-0005-0000-0000-0000390E0000}"/>
    <cellStyle name="Финансовый 3 2" xfId="9" xr:uid="{00000000-0005-0000-0000-00003A0E0000}"/>
    <cellStyle name="Финансовый 3 2 10" xfId="283" xr:uid="{00000000-0005-0000-0000-00003B0E0000}"/>
    <cellStyle name="Финансовый 3 2 10 2" xfId="2083" xr:uid="{00000000-0005-0000-0000-00003C0E0000}"/>
    <cellStyle name="Финансовый 3 2 10 2 2" xfId="3728" xr:uid="{00000000-0005-0000-0000-00003D0E0000}"/>
    <cellStyle name="Финансовый 3 2 10 2 3" xfId="5511" xr:uid="{00000000-0005-0000-0000-00003E0E0000}"/>
    <cellStyle name="Финансовый 3 2 10 3" xfId="1381" xr:uid="{00000000-0005-0000-0000-00003F0E0000}"/>
    <cellStyle name="Финансовый 3 2 10 4" xfId="704" xr:uid="{00000000-0005-0000-0000-0000400E0000}"/>
    <cellStyle name="Финансовый 3 2 10 5" xfId="3165" xr:uid="{00000000-0005-0000-0000-0000410E0000}"/>
    <cellStyle name="Финансовый 3 2 10 6" xfId="4809" xr:uid="{00000000-0005-0000-0000-0000420E0000}"/>
    <cellStyle name="Финансовый 3 2 11" xfId="296" xr:uid="{00000000-0005-0000-0000-0000430E0000}"/>
    <cellStyle name="Финансовый 3 2 11 2" xfId="1116" xr:uid="{00000000-0005-0000-0000-0000440E0000}"/>
    <cellStyle name="Финансовый 3 2 11 3" xfId="716" xr:uid="{00000000-0005-0000-0000-0000450E0000}"/>
    <cellStyle name="Финансовый 3 2 11 4" xfId="2893" xr:uid="{00000000-0005-0000-0000-0000460E0000}"/>
    <cellStyle name="Финансовый 3 2 11 5" xfId="4537" xr:uid="{00000000-0005-0000-0000-0000470E0000}"/>
    <cellStyle name="Финансовый 3 2 12" xfId="1515" xr:uid="{00000000-0005-0000-0000-0000480E0000}"/>
    <cellStyle name="Финансовый 3 2 12 2" xfId="1703" xr:uid="{00000000-0005-0000-0000-0000490E0000}"/>
    <cellStyle name="Финансовый 3 2 12 2 2" xfId="3348" xr:uid="{00000000-0005-0000-0000-00004A0E0000}"/>
    <cellStyle name="Финансовый 3 2 12 2 3" xfId="5131" xr:uid="{00000000-0005-0000-0000-00004B0E0000}"/>
    <cellStyle name="Финансовый 3 2 12 3" xfId="4943" xr:uid="{00000000-0005-0000-0000-00004C0E0000}"/>
    <cellStyle name="Финансовый 3 2 13" xfId="2339" xr:uid="{00000000-0005-0000-0000-00004D0E0000}"/>
    <cellStyle name="Финансовый 3 2 13 2" xfId="3984" xr:uid="{00000000-0005-0000-0000-00004E0E0000}"/>
    <cellStyle name="Финансовый 3 2 13 3" xfId="5767" xr:uid="{00000000-0005-0000-0000-00004F0E0000}"/>
    <cellStyle name="Финансовый 3 2 14" xfId="1566" xr:uid="{00000000-0005-0000-0000-0000500E0000}"/>
    <cellStyle name="Финансовый 3 2 14 2" xfId="3211" xr:uid="{00000000-0005-0000-0000-0000510E0000}"/>
    <cellStyle name="Финансовый 3 2 14 3" xfId="4994" xr:uid="{00000000-0005-0000-0000-0000520E0000}"/>
    <cellStyle name="Финансовый 3 2 15" xfId="852" xr:uid="{00000000-0005-0000-0000-0000530E0000}"/>
    <cellStyle name="Финансовый 3 2 16" xfId="432" xr:uid="{00000000-0005-0000-0000-0000540E0000}"/>
    <cellStyle name="Финансовый 3 2 17" xfId="2621" xr:uid="{00000000-0005-0000-0000-0000550E0000}"/>
    <cellStyle name="Финансовый 3 2 18" xfId="4264" xr:uid="{00000000-0005-0000-0000-0000560E0000}"/>
    <cellStyle name="Финансовый 3 2 2" xfId="45" xr:uid="{00000000-0005-0000-0000-0000570E0000}"/>
    <cellStyle name="Финансовый 3 2 2 10" xfId="468" xr:uid="{00000000-0005-0000-0000-0000580E0000}"/>
    <cellStyle name="Финансовый 3 2 2 11" xfId="2657" xr:uid="{00000000-0005-0000-0000-0000590E0000}"/>
    <cellStyle name="Финансовый 3 2 2 12" xfId="4300" xr:uid="{00000000-0005-0000-0000-00005A0E0000}"/>
    <cellStyle name="Финансовый 3 2 2 2" xfId="103" xr:uid="{00000000-0005-0000-0000-00005B0E0000}"/>
    <cellStyle name="Финансовый 3 2 2 2 10" xfId="2713" xr:uid="{00000000-0005-0000-0000-00005C0E0000}"/>
    <cellStyle name="Финансовый 3 2 2 2 11" xfId="4357" xr:uid="{00000000-0005-0000-0000-00005D0E0000}"/>
    <cellStyle name="Финансовый 3 2 2 2 2" xfId="239" xr:uid="{00000000-0005-0000-0000-00005E0E0000}"/>
    <cellStyle name="Финансовый 3 2 2 2 2 2" xfId="1337" xr:uid="{00000000-0005-0000-0000-00005F0E0000}"/>
    <cellStyle name="Финансовый 3 2 2 2 2 2 2" xfId="2295" xr:uid="{00000000-0005-0000-0000-0000600E0000}"/>
    <cellStyle name="Финансовый 3 2 2 2 2 2 2 2" xfId="3940" xr:uid="{00000000-0005-0000-0000-0000610E0000}"/>
    <cellStyle name="Финансовый 3 2 2 2 2 2 2 3" xfId="5723" xr:uid="{00000000-0005-0000-0000-0000620E0000}"/>
    <cellStyle name="Финансовый 3 2 2 2 2 2 3" xfId="3121" xr:uid="{00000000-0005-0000-0000-0000630E0000}"/>
    <cellStyle name="Финансовый 3 2 2 2 2 2 4" xfId="4765" xr:uid="{00000000-0005-0000-0000-0000640E0000}"/>
    <cellStyle name="Финансовый 3 2 2 2 2 3" xfId="2039" xr:uid="{00000000-0005-0000-0000-0000650E0000}"/>
    <cellStyle name="Финансовый 3 2 2 2 2 3 2" xfId="3684" xr:uid="{00000000-0005-0000-0000-0000660E0000}"/>
    <cellStyle name="Финансовый 3 2 2 2 2 3 3" xfId="5467" xr:uid="{00000000-0005-0000-0000-0000670E0000}"/>
    <cellStyle name="Финансовый 3 2 2 2 2 4" xfId="2568" xr:uid="{00000000-0005-0000-0000-0000680E0000}"/>
    <cellStyle name="Финансовый 3 2 2 2 2 4 2" xfId="4213" xr:uid="{00000000-0005-0000-0000-0000690E0000}"/>
    <cellStyle name="Финансовый 3 2 2 2 2 4 3" xfId="5996" xr:uid="{00000000-0005-0000-0000-00006A0E0000}"/>
    <cellStyle name="Финансовый 3 2 2 2 2 5" xfId="1072" xr:uid="{00000000-0005-0000-0000-00006B0E0000}"/>
    <cellStyle name="Финансовый 3 2 2 2 2 6" xfId="660" xr:uid="{00000000-0005-0000-0000-00006C0E0000}"/>
    <cellStyle name="Финансовый 3 2 2 2 2 7" xfId="2849" xr:uid="{00000000-0005-0000-0000-00006D0E0000}"/>
    <cellStyle name="Финансовый 3 2 2 2 2 8" xfId="4493" xr:uid="{00000000-0005-0000-0000-00006E0E0000}"/>
    <cellStyle name="Финансовый 3 2 2 2 3" xfId="388" xr:uid="{00000000-0005-0000-0000-00006F0E0000}"/>
    <cellStyle name="Финансовый 3 2 2 2 3 2" xfId="2167" xr:uid="{00000000-0005-0000-0000-0000700E0000}"/>
    <cellStyle name="Финансовый 3 2 2 2 3 2 2" xfId="3812" xr:uid="{00000000-0005-0000-0000-0000710E0000}"/>
    <cellStyle name="Финансовый 3 2 2 2 3 2 3" xfId="5595" xr:uid="{00000000-0005-0000-0000-0000720E0000}"/>
    <cellStyle name="Финансовый 3 2 2 2 3 3" xfId="1201" xr:uid="{00000000-0005-0000-0000-0000730E0000}"/>
    <cellStyle name="Финансовый 3 2 2 2 3 4" xfId="808" xr:uid="{00000000-0005-0000-0000-0000740E0000}"/>
    <cellStyle name="Финансовый 3 2 2 2 3 5" xfId="2985" xr:uid="{00000000-0005-0000-0000-0000750E0000}"/>
    <cellStyle name="Финансовый 3 2 2 2 3 6" xfId="4629" xr:uid="{00000000-0005-0000-0000-0000760E0000}"/>
    <cellStyle name="Финансовый 3 2 2 2 4" xfId="1517" xr:uid="{00000000-0005-0000-0000-0000770E0000}"/>
    <cellStyle name="Финансовый 3 2 2 2 4 2" xfId="1911" xr:uid="{00000000-0005-0000-0000-0000780E0000}"/>
    <cellStyle name="Финансовый 3 2 2 2 4 2 2" xfId="3556" xr:uid="{00000000-0005-0000-0000-0000790E0000}"/>
    <cellStyle name="Финансовый 3 2 2 2 4 2 3" xfId="5339" xr:uid="{00000000-0005-0000-0000-00007A0E0000}"/>
    <cellStyle name="Финансовый 3 2 2 2 4 3" xfId="4945" xr:uid="{00000000-0005-0000-0000-00007B0E0000}"/>
    <cellStyle name="Финансовый 3 2 2 2 5" xfId="1787" xr:uid="{00000000-0005-0000-0000-00007C0E0000}"/>
    <cellStyle name="Финансовый 3 2 2 2 5 2" xfId="3432" xr:uid="{00000000-0005-0000-0000-00007D0E0000}"/>
    <cellStyle name="Финансовый 3 2 2 2 5 3" xfId="5215" xr:uid="{00000000-0005-0000-0000-00007E0E0000}"/>
    <cellStyle name="Финансовый 3 2 2 2 6" xfId="2432" xr:uid="{00000000-0005-0000-0000-00007F0E0000}"/>
    <cellStyle name="Финансовый 3 2 2 2 6 2" xfId="4077" xr:uid="{00000000-0005-0000-0000-0000800E0000}"/>
    <cellStyle name="Финансовый 3 2 2 2 6 3" xfId="5860" xr:uid="{00000000-0005-0000-0000-0000810E0000}"/>
    <cellStyle name="Финансовый 3 2 2 2 7" xfId="1659" xr:uid="{00000000-0005-0000-0000-0000820E0000}"/>
    <cellStyle name="Финансовый 3 2 2 2 7 2" xfId="3304" xr:uid="{00000000-0005-0000-0000-0000830E0000}"/>
    <cellStyle name="Финансовый 3 2 2 2 7 3" xfId="5087" xr:uid="{00000000-0005-0000-0000-0000840E0000}"/>
    <cellStyle name="Финансовый 3 2 2 2 8" xfId="936" xr:uid="{00000000-0005-0000-0000-0000850E0000}"/>
    <cellStyle name="Финансовый 3 2 2 2 9" xfId="524" xr:uid="{00000000-0005-0000-0000-0000860E0000}"/>
    <cellStyle name="Финансовый 3 2 2 3" xfId="183" xr:uid="{00000000-0005-0000-0000-0000870E0000}"/>
    <cellStyle name="Финансовый 3 2 2 3 2" xfId="1281" xr:uid="{00000000-0005-0000-0000-0000880E0000}"/>
    <cellStyle name="Финансовый 3 2 2 3 2 2" xfId="2247" xr:uid="{00000000-0005-0000-0000-0000890E0000}"/>
    <cellStyle name="Финансовый 3 2 2 3 2 2 2" xfId="3892" xr:uid="{00000000-0005-0000-0000-00008A0E0000}"/>
    <cellStyle name="Финансовый 3 2 2 3 2 2 3" xfId="5675" xr:uid="{00000000-0005-0000-0000-00008B0E0000}"/>
    <cellStyle name="Финансовый 3 2 2 3 2 3" xfId="3065" xr:uid="{00000000-0005-0000-0000-00008C0E0000}"/>
    <cellStyle name="Финансовый 3 2 2 3 2 4" xfId="4709" xr:uid="{00000000-0005-0000-0000-00008D0E0000}"/>
    <cellStyle name="Финансовый 3 2 2 3 3" xfId="1991" xr:uid="{00000000-0005-0000-0000-00008E0E0000}"/>
    <cellStyle name="Финансовый 3 2 2 3 3 2" xfId="3636" xr:uid="{00000000-0005-0000-0000-00008F0E0000}"/>
    <cellStyle name="Финансовый 3 2 2 3 3 3" xfId="5419" xr:uid="{00000000-0005-0000-0000-0000900E0000}"/>
    <cellStyle name="Финансовый 3 2 2 3 4" xfId="2512" xr:uid="{00000000-0005-0000-0000-0000910E0000}"/>
    <cellStyle name="Финансовый 3 2 2 3 4 2" xfId="4157" xr:uid="{00000000-0005-0000-0000-0000920E0000}"/>
    <cellStyle name="Финансовый 3 2 2 3 4 3" xfId="5940" xr:uid="{00000000-0005-0000-0000-0000930E0000}"/>
    <cellStyle name="Финансовый 3 2 2 3 5" xfId="1016" xr:uid="{00000000-0005-0000-0000-0000940E0000}"/>
    <cellStyle name="Финансовый 3 2 2 3 6" xfId="604" xr:uid="{00000000-0005-0000-0000-0000950E0000}"/>
    <cellStyle name="Финансовый 3 2 2 3 7" xfId="2793" xr:uid="{00000000-0005-0000-0000-0000960E0000}"/>
    <cellStyle name="Финансовый 3 2 2 3 8" xfId="4437" xr:uid="{00000000-0005-0000-0000-0000970E0000}"/>
    <cellStyle name="Финансовый 3 2 2 4" xfId="332" xr:uid="{00000000-0005-0000-0000-0000980E0000}"/>
    <cellStyle name="Финансовый 3 2 2 4 2" xfId="2119" xr:uid="{00000000-0005-0000-0000-0000990E0000}"/>
    <cellStyle name="Финансовый 3 2 2 4 2 2" xfId="3764" xr:uid="{00000000-0005-0000-0000-00009A0E0000}"/>
    <cellStyle name="Финансовый 3 2 2 4 2 3" xfId="5547" xr:uid="{00000000-0005-0000-0000-00009B0E0000}"/>
    <cellStyle name="Финансовый 3 2 2 4 3" xfId="1152" xr:uid="{00000000-0005-0000-0000-00009C0E0000}"/>
    <cellStyle name="Финансовый 3 2 2 4 4" xfId="752" xr:uid="{00000000-0005-0000-0000-00009D0E0000}"/>
    <cellStyle name="Финансовый 3 2 2 4 5" xfId="2929" xr:uid="{00000000-0005-0000-0000-00009E0E0000}"/>
    <cellStyle name="Финансовый 3 2 2 4 6" xfId="4573" xr:uid="{00000000-0005-0000-0000-00009F0E0000}"/>
    <cellStyle name="Финансовый 3 2 2 5" xfId="1516" xr:uid="{00000000-0005-0000-0000-0000A00E0000}"/>
    <cellStyle name="Финансовый 3 2 2 5 2" xfId="1855" xr:uid="{00000000-0005-0000-0000-0000A10E0000}"/>
    <cellStyle name="Финансовый 3 2 2 5 2 2" xfId="3500" xr:uid="{00000000-0005-0000-0000-0000A20E0000}"/>
    <cellStyle name="Финансовый 3 2 2 5 2 3" xfId="5283" xr:uid="{00000000-0005-0000-0000-0000A30E0000}"/>
    <cellStyle name="Финансовый 3 2 2 5 3" xfId="4944" xr:uid="{00000000-0005-0000-0000-0000A40E0000}"/>
    <cellStyle name="Финансовый 3 2 2 6" xfId="1739" xr:uid="{00000000-0005-0000-0000-0000A50E0000}"/>
    <cellStyle name="Финансовый 3 2 2 6 2" xfId="3384" xr:uid="{00000000-0005-0000-0000-0000A60E0000}"/>
    <cellStyle name="Финансовый 3 2 2 6 3" xfId="5167" xr:uid="{00000000-0005-0000-0000-0000A70E0000}"/>
    <cellStyle name="Финансовый 3 2 2 7" xfId="2375" xr:uid="{00000000-0005-0000-0000-0000A80E0000}"/>
    <cellStyle name="Финансовый 3 2 2 7 2" xfId="4020" xr:uid="{00000000-0005-0000-0000-0000A90E0000}"/>
    <cellStyle name="Финансовый 3 2 2 7 3" xfId="5803" xr:uid="{00000000-0005-0000-0000-0000AA0E0000}"/>
    <cellStyle name="Финансовый 3 2 2 8" xfId="1602" xr:uid="{00000000-0005-0000-0000-0000AB0E0000}"/>
    <cellStyle name="Финансовый 3 2 2 8 2" xfId="3247" xr:uid="{00000000-0005-0000-0000-0000AC0E0000}"/>
    <cellStyle name="Финансовый 3 2 2 8 3" xfId="5030" xr:uid="{00000000-0005-0000-0000-0000AD0E0000}"/>
    <cellStyle name="Финансовый 3 2 2 9" xfId="888" xr:uid="{00000000-0005-0000-0000-0000AE0E0000}"/>
    <cellStyle name="Финансовый 3 2 3" xfId="115" xr:uid="{00000000-0005-0000-0000-0000AF0E0000}"/>
    <cellStyle name="Финансовый 3 2 3 10" xfId="2725" xr:uid="{00000000-0005-0000-0000-0000B00E0000}"/>
    <cellStyle name="Финансовый 3 2 3 11" xfId="4369" xr:uid="{00000000-0005-0000-0000-0000B10E0000}"/>
    <cellStyle name="Финансовый 3 2 3 2" xfId="251" xr:uid="{00000000-0005-0000-0000-0000B20E0000}"/>
    <cellStyle name="Финансовый 3 2 3 2 2" xfId="1349" xr:uid="{00000000-0005-0000-0000-0000B30E0000}"/>
    <cellStyle name="Финансовый 3 2 3 2 2 2" xfId="2307" xr:uid="{00000000-0005-0000-0000-0000B40E0000}"/>
    <cellStyle name="Финансовый 3 2 3 2 2 2 2" xfId="3952" xr:uid="{00000000-0005-0000-0000-0000B50E0000}"/>
    <cellStyle name="Финансовый 3 2 3 2 2 2 3" xfId="5735" xr:uid="{00000000-0005-0000-0000-0000B60E0000}"/>
    <cellStyle name="Финансовый 3 2 3 2 2 3" xfId="3133" xr:uid="{00000000-0005-0000-0000-0000B70E0000}"/>
    <cellStyle name="Финансовый 3 2 3 2 2 4" xfId="4777" xr:uid="{00000000-0005-0000-0000-0000B80E0000}"/>
    <cellStyle name="Финансовый 3 2 3 2 3" xfId="2051" xr:uid="{00000000-0005-0000-0000-0000B90E0000}"/>
    <cellStyle name="Финансовый 3 2 3 2 3 2" xfId="3696" xr:uid="{00000000-0005-0000-0000-0000BA0E0000}"/>
    <cellStyle name="Финансовый 3 2 3 2 3 3" xfId="5479" xr:uid="{00000000-0005-0000-0000-0000BB0E0000}"/>
    <cellStyle name="Финансовый 3 2 3 2 4" xfId="2580" xr:uid="{00000000-0005-0000-0000-0000BC0E0000}"/>
    <cellStyle name="Финансовый 3 2 3 2 4 2" xfId="4225" xr:uid="{00000000-0005-0000-0000-0000BD0E0000}"/>
    <cellStyle name="Финансовый 3 2 3 2 4 3" xfId="6008" xr:uid="{00000000-0005-0000-0000-0000BE0E0000}"/>
    <cellStyle name="Финансовый 3 2 3 2 5" xfId="1084" xr:uid="{00000000-0005-0000-0000-0000BF0E0000}"/>
    <cellStyle name="Финансовый 3 2 3 2 6" xfId="672" xr:uid="{00000000-0005-0000-0000-0000C00E0000}"/>
    <cellStyle name="Финансовый 3 2 3 2 7" xfId="2861" xr:uid="{00000000-0005-0000-0000-0000C10E0000}"/>
    <cellStyle name="Финансовый 3 2 3 2 8" xfId="4505" xr:uid="{00000000-0005-0000-0000-0000C20E0000}"/>
    <cellStyle name="Финансовый 3 2 3 3" xfId="400" xr:uid="{00000000-0005-0000-0000-0000C30E0000}"/>
    <cellStyle name="Финансовый 3 2 3 3 2" xfId="2179" xr:uid="{00000000-0005-0000-0000-0000C40E0000}"/>
    <cellStyle name="Финансовый 3 2 3 3 2 2" xfId="3824" xr:uid="{00000000-0005-0000-0000-0000C50E0000}"/>
    <cellStyle name="Финансовый 3 2 3 3 2 3" xfId="5607" xr:uid="{00000000-0005-0000-0000-0000C60E0000}"/>
    <cellStyle name="Финансовый 3 2 3 3 3" xfId="1213" xr:uid="{00000000-0005-0000-0000-0000C70E0000}"/>
    <cellStyle name="Финансовый 3 2 3 3 4" xfId="820" xr:uid="{00000000-0005-0000-0000-0000C80E0000}"/>
    <cellStyle name="Финансовый 3 2 3 3 5" xfId="2997" xr:uid="{00000000-0005-0000-0000-0000C90E0000}"/>
    <cellStyle name="Финансовый 3 2 3 3 6" xfId="4641" xr:uid="{00000000-0005-0000-0000-0000CA0E0000}"/>
    <cellStyle name="Финансовый 3 2 3 4" xfId="1518" xr:uid="{00000000-0005-0000-0000-0000CB0E0000}"/>
    <cellStyle name="Финансовый 3 2 3 4 2" xfId="1923" xr:uid="{00000000-0005-0000-0000-0000CC0E0000}"/>
    <cellStyle name="Финансовый 3 2 3 4 2 2" xfId="3568" xr:uid="{00000000-0005-0000-0000-0000CD0E0000}"/>
    <cellStyle name="Финансовый 3 2 3 4 2 3" xfId="5351" xr:uid="{00000000-0005-0000-0000-0000CE0E0000}"/>
    <cellStyle name="Финансовый 3 2 3 4 3" xfId="4946" xr:uid="{00000000-0005-0000-0000-0000CF0E0000}"/>
    <cellStyle name="Финансовый 3 2 3 5" xfId="1799" xr:uid="{00000000-0005-0000-0000-0000D00E0000}"/>
    <cellStyle name="Финансовый 3 2 3 5 2" xfId="3444" xr:uid="{00000000-0005-0000-0000-0000D10E0000}"/>
    <cellStyle name="Финансовый 3 2 3 5 3" xfId="5227" xr:uid="{00000000-0005-0000-0000-0000D20E0000}"/>
    <cellStyle name="Финансовый 3 2 3 6" xfId="2444" xr:uid="{00000000-0005-0000-0000-0000D30E0000}"/>
    <cellStyle name="Финансовый 3 2 3 6 2" xfId="4089" xr:uid="{00000000-0005-0000-0000-0000D40E0000}"/>
    <cellStyle name="Финансовый 3 2 3 6 3" xfId="5872" xr:uid="{00000000-0005-0000-0000-0000D50E0000}"/>
    <cellStyle name="Финансовый 3 2 3 7" xfId="1671" xr:uid="{00000000-0005-0000-0000-0000D60E0000}"/>
    <cellStyle name="Финансовый 3 2 3 7 2" xfId="3316" xr:uid="{00000000-0005-0000-0000-0000D70E0000}"/>
    <cellStyle name="Финансовый 3 2 3 7 3" xfId="5099" xr:uid="{00000000-0005-0000-0000-0000D80E0000}"/>
    <cellStyle name="Финансовый 3 2 3 8" xfId="948" xr:uid="{00000000-0005-0000-0000-0000D90E0000}"/>
    <cellStyle name="Финансовый 3 2 3 9" xfId="536" xr:uid="{00000000-0005-0000-0000-0000DA0E0000}"/>
    <cellStyle name="Финансовый 3 2 4" xfId="79" xr:uid="{00000000-0005-0000-0000-0000DB0E0000}"/>
    <cellStyle name="Финансовый 3 2 4 10" xfId="2689" xr:uid="{00000000-0005-0000-0000-0000DC0E0000}"/>
    <cellStyle name="Финансовый 3 2 4 11" xfId="4333" xr:uid="{00000000-0005-0000-0000-0000DD0E0000}"/>
    <cellStyle name="Финансовый 3 2 4 2" xfId="215" xr:uid="{00000000-0005-0000-0000-0000DE0E0000}"/>
    <cellStyle name="Финансовый 3 2 4 2 2" xfId="1313" xr:uid="{00000000-0005-0000-0000-0000DF0E0000}"/>
    <cellStyle name="Финансовый 3 2 4 2 2 2" xfId="2271" xr:uid="{00000000-0005-0000-0000-0000E00E0000}"/>
    <cellStyle name="Финансовый 3 2 4 2 2 2 2" xfId="3916" xr:uid="{00000000-0005-0000-0000-0000E10E0000}"/>
    <cellStyle name="Финансовый 3 2 4 2 2 2 3" xfId="5699" xr:uid="{00000000-0005-0000-0000-0000E20E0000}"/>
    <cellStyle name="Финансовый 3 2 4 2 2 3" xfId="3097" xr:uid="{00000000-0005-0000-0000-0000E30E0000}"/>
    <cellStyle name="Финансовый 3 2 4 2 2 4" xfId="4741" xr:uid="{00000000-0005-0000-0000-0000E40E0000}"/>
    <cellStyle name="Финансовый 3 2 4 2 3" xfId="2015" xr:uid="{00000000-0005-0000-0000-0000E50E0000}"/>
    <cellStyle name="Финансовый 3 2 4 2 3 2" xfId="3660" xr:uid="{00000000-0005-0000-0000-0000E60E0000}"/>
    <cellStyle name="Финансовый 3 2 4 2 3 3" xfId="5443" xr:uid="{00000000-0005-0000-0000-0000E70E0000}"/>
    <cellStyle name="Финансовый 3 2 4 2 4" xfId="2544" xr:uid="{00000000-0005-0000-0000-0000E80E0000}"/>
    <cellStyle name="Финансовый 3 2 4 2 4 2" xfId="4189" xr:uid="{00000000-0005-0000-0000-0000E90E0000}"/>
    <cellStyle name="Финансовый 3 2 4 2 4 3" xfId="5972" xr:uid="{00000000-0005-0000-0000-0000EA0E0000}"/>
    <cellStyle name="Финансовый 3 2 4 2 5" xfId="1048" xr:uid="{00000000-0005-0000-0000-0000EB0E0000}"/>
    <cellStyle name="Финансовый 3 2 4 2 6" xfId="636" xr:uid="{00000000-0005-0000-0000-0000EC0E0000}"/>
    <cellStyle name="Финансовый 3 2 4 2 7" xfId="2825" xr:uid="{00000000-0005-0000-0000-0000ED0E0000}"/>
    <cellStyle name="Финансовый 3 2 4 2 8" xfId="4469" xr:uid="{00000000-0005-0000-0000-0000EE0E0000}"/>
    <cellStyle name="Финансовый 3 2 4 3" xfId="364" xr:uid="{00000000-0005-0000-0000-0000EF0E0000}"/>
    <cellStyle name="Финансовый 3 2 4 3 2" xfId="2143" xr:uid="{00000000-0005-0000-0000-0000F00E0000}"/>
    <cellStyle name="Финансовый 3 2 4 3 2 2" xfId="3788" xr:uid="{00000000-0005-0000-0000-0000F10E0000}"/>
    <cellStyle name="Финансовый 3 2 4 3 2 3" xfId="5571" xr:uid="{00000000-0005-0000-0000-0000F20E0000}"/>
    <cellStyle name="Финансовый 3 2 4 3 3" xfId="1177" xr:uid="{00000000-0005-0000-0000-0000F30E0000}"/>
    <cellStyle name="Финансовый 3 2 4 3 4" xfId="784" xr:uid="{00000000-0005-0000-0000-0000F40E0000}"/>
    <cellStyle name="Финансовый 3 2 4 3 5" xfId="2961" xr:uid="{00000000-0005-0000-0000-0000F50E0000}"/>
    <cellStyle name="Финансовый 3 2 4 3 6" xfId="4605" xr:uid="{00000000-0005-0000-0000-0000F60E0000}"/>
    <cellStyle name="Финансовый 3 2 4 4" xfId="1519" xr:uid="{00000000-0005-0000-0000-0000F70E0000}"/>
    <cellStyle name="Финансовый 3 2 4 4 2" xfId="1887" xr:uid="{00000000-0005-0000-0000-0000F80E0000}"/>
    <cellStyle name="Финансовый 3 2 4 4 2 2" xfId="3532" xr:uid="{00000000-0005-0000-0000-0000F90E0000}"/>
    <cellStyle name="Финансовый 3 2 4 4 2 3" xfId="5315" xr:uid="{00000000-0005-0000-0000-0000FA0E0000}"/>
    <cellStyle name="Финансовый 3 2 4 4 3" xfId="4947" xr:uid="{00000000-0005-0000-0000-0000FB0E0000}"/>
    <cellStyle name="Финансовый 3 2 4 5" xfId="1763" xr:uid="{00000000-0005-0000-0000-0000FC0E0000}"/>
    <cellStyle name="Финансовый 3 2 4 5 2" xfId="3408" xr:uid="{00000000-0005-0000-0000-0000FD0E0000}"/>
    <cellStyle name="Финансовый 3 2 4 5 3" xfId="5191" xr:uid="{00000000-0005-0000-0000-0000FE0E0000}"/>
    <cellStyle name="Финансовый 3 2 4 6" xfId="2408" xr:uid="{00000000-0005-0000-0000-0000FF0E0000}"/>
    <cellStyle name="Финансовый 3 2 4 6 2" xfId="4053" xr:uid="{00000000-0005-0000-0000-0000000F0000}"/>
    <cellStyle name="Финансовый 3 2 4 6 3" xfId="5836" xr:uid="{00000000-0005-0000-0000-0000010F0000}"/>
    <cellStyle name="Финансовый 3 2 4 7" xfId="1635" xr:uid="{00000000-0005-0000-0000-0000020F0000}"/>
    <cellStyle name="Финансовый 3 2 4 7 2" xfId="3280" xr:uid="{00000000-0005-0000-0000-0000030F0000}"/>
    <cellStyle name="Финансовый 3 2 4 7 3" xfId="5063" xr:uid="{00000000-0005-0000-0000-0000040F0000}"/>
    <cellStyle name="Финансовый 3 2 4 8" xfId="912" xr:uid="{00000000-0005-0000-0000-0000050F0000}"/>
    <cellStyle name="Финансовый 3 2 4 9" xfId="500" xr:uid="{00000000-0005-0000-0000-0000060F0000}"/>
    <cellStyle name="Финансовый 3 2 5" xfId="57" xr:uid="{00000000-0005-0000-0000-0000070F0000}"/>
    <cellStyle name="Финансовый 3 2 5 10" xfId="2669" xr:uid="{00000000-0005-0000-0000-0000080F0000}"/>
    <cellStyle name="Финансовый 3 2 5 11" xfId="4312" xr:uid="{00000000-0005-0000-0000-0000090F0000}"/>
    <cellStyle name="Финансовый 3 2 5 2" xfId="195" xr:uid="{00000000-0005-0000-0000-00000A0F0000}"/>
    <cellStyle name="Финансовый 3 2 5 2 2" xfId="1293" xr:uid="{00000000-0005-0000-0000-00000B0F0000}"/>
    <cellStyle name="Финансовый 3 2 5 2 2 2" xfId="2259" xr:uid="{00000000-0005-0000-0000-00000C0F0000}"/>
    <cellStyle name="Финансовый 3 2 5 2 2 2 2" xfId="3904" xr:uid="{00000000-0005-0000-0000-00000D0F0000}"/>
    <cellStyle name="Финансовый 3 2 5 2 2 2 3" xfId="5687" xr:uid="{00000000-0005-0000-0000-00000E0F0000}"/>
    <cellStyle name="Финансовый 3 2 5 2 2 3" xfId="3077" xr:uid="{00000000-0005-0000-0000-00000F0F0000}"/>
    <cellStyle name="Финансовый 3 2 5 2 2 4" xfId="4721" xr:uid="{00000000-0005-0000-0000-0000100F0000}"/>
    <cellStyle name="Финансовый 3 2 5 2 3" xfId="2003" xr:uid="{00000000-0005-0000-0000-0000110F0000}"/>
    <cellStyle name="Финансовый 3 2 5 2 3 2" xfId="3648" xr:uid="{00000000-0005-0000-0000-0000120F0000}"/>
    <cellStyle name="Финансовый 3 2 5 2 3 3" xfId="5431" xr:uid="{00000000-0005-0000-0000-0000130F0000}"/>
    <cellStyle name="Финансовый 3 2 5 2 4" xfId="2524" xr:uid="{00000000-0005-0000-0000-0000140F0000}"/>
    <cellStyle name="Финансовый 3 2 5 2 4 2" xfId="4169" xr:uid="{00000000-0005-0000-0000-0000150F0000}"/>
    <cellStyle name="Финансовый 3 2 5 2 4 3" xfId="5952" xr:uid="{00000000-0005-0000-0000-0000160F0000}"/>
    <cellStyle name="Финансовый 3 2 5 2 5" xfId="1028" xr:uid="{00000000-0005-0000-0000-0000170F0000}"/>
    <cellStyle name="Финансовый 3 2 5 2 6" xfId="616" xr:uid="{00000000-0005-0000-0000-0000180F0000}"/>
    <cellStyle name="Финансовый 3 2 5 2 7" xfId="2805" xr:uid="{00000000-0005-0000-0000-0000190F0000}"/>
    <cellStyle name="Финансовый 3 2 5 2 8" xfId="4449" xr:uid="{00000000-0005-0000-0000-00001A0F0000}"/>
    <cellStyle name="Финансовый 3 2 5 3" xfId="344" xr:uid="{00000000-0005-0000-0000-00001B0F0000}"/>
    <cellStyle name="Финансовый 3 2 5 3 2" xfId="2131" xr:uid="{00000000-0005-0000-0000-00001C0F0000}"/>
    <cellStyle name="Финансовый 3 2 5 3 2 2" xfId="3776" xr:uid="{00000000-0005-0000-0000-00001D0F0000}"/>
    <cellStyle name="Финансовый 3 2 5 3 2 3" xfId="5559" xr:uid="{00000000-0005-0000-0000-00001E0F0000}"/>
    <cellStyle name="Финансовый 3 2 5 3 3" xfId="1164" xr:uid="{00000000-0005-0000-0000-00001F0F0000}"/>
    <cellStyle name="Финансовый 3 2 5 3 4" xfId="764" xr:uid="{00000000-0005-0000-0000-0000200F0000}"/>
    <cellStyle name="Финансовый 3 2 5 3 5" xfId="2941" xr:uid="{00000000-0005-0000-0000-0000210F0000}"/>
    <cellStyle name="Финансовый 3 2 5 3 6" xfId="4585" xr:uid="{00000000-0005-0000-0000-0000220F0000}"/>
    <cellStyle name="Финансовый 3 2 5 4" xfId="1520" xr:uid="{00000000-0005-0000-0000-0000230F0000}"/>
    <cellStyle name="Финансовый 3 2 5 4 2" xfId="1867" xr:uid="{00000000-0005-0000-0000-0000240F0000}"/>
    <cellStyle name="Финансовый 3 2 5 4 2 2" xfId="3512" xr:uid="{00000000-0005-0000-0000-0000250F0000}"/>
    <cellStyle name="Финансовый 3 2 5 4 2 3" xfId="5295" xr:uid="{00000000-0005-0000-0000-0000260F0000}"/>
    <cellStyle name="Финансовый 3 2 5 4 3" xfId="4948" xr:uid="{00000000-0005-0000-0000-0000270F0000}"/>
    <cellStyle name="Финансовый 3 2 5 5" xfId="1751" xr:uid="{00000000-0005-0000-0000-0000280F0000}"/>
    <cellStyle name="Финансовый 3 2 5 5 2" xfId="3396" xr:uid="{00000000-0005-0000-0000-0000290F0000}"/>
    <cellStyle name="Финансовый 3 2 5 5 3" xfId="5179" xr:uid="{00000000-0005-0000-0000-00002A0F0000}"/>
    <cellStyle name="Финансовый 3 2 5 6" xfId="2387" xr:uid="{00000000-0005-0000-0000-00002B0F0000}"/>
    <cellStyle name="Финансовый 3 2 5 6 2" xfId="4032" xr:uid="{00000000-0005-0000-0000-00002C0F0000}"/>
    <cellStyle name="Финансовый 3 2 5 6 3" xfId="5815" xr:uid="{00000000-0005-0000-0000-00002D0F0000}"/>
    <cellStyle name="Финансовый 3 2 5 7" xfId="1614" xr:uid="{00000000-0005-0000-0000-00002E0F0000}"/>
    <cellStyle name="Финансовый 3 2 5 7 2" xfId="3259" xr:uid="{00000000-0005-0000-0000-00002F0F0000}"/>
    <cellStyle name="Финансовый 3 2 5 7 3" xfId="5042" xr:uid="{00000000-0005-0000-0000-0000300F0000}"/>
    <cellStyle name="Финансовый 3 2 5 8" xfId="900" xr:uid="{00000000-0005-0000-0000-0000310F0000}"/>
    <cellStyle name="Финансовый 3 2 5 9" xfId="480" xr:uid="{00000000-0005-0000-0000-0000320F0000}"/>
    <cellStyle name="Финансовый 3 2 6" xfId="135" xr:uid="{00000000-0005-0000-0000-0000330F0000}"/>
    <cellStyle name="Финансовый 3 2 6 10" xfId="2745" xr:uid="{00000000-0005-0000-0000-0000340F0000}"/>
    <cellStyle name="Финансовый 3 2 6 11" xfId="4389" xr:uid="{00000000-0005-0000-0000-0000350F0000}"/>
    <cellStyle name="Финансовый 3 2 6 2" xfId="271" xr:uid="{00000000-0005-0000-0000-0000360F0000}"/>
    <cellStyle name="Финансовый 3 2 6 2 2" xfId="1369" xr:uid="{00000000-0005-0000-0000-0000370F0000}"/>
    <cellStyle name="Финансовый 3 2 6 2 2 2" xfId="2327" xr:uid="{00000000-0005-0000-0000-0000380F0000}"/>
    <cellStyle name="Финансовый 3 2 6 2 2 2 2" xfId="3972" xr:uid="{00000000-0005-0000-0000-0000390F0000}"/>
    <cellStyle name="Финансовый 3 2 6 2 2 2 3" xfId="5755" xr:uid="{00000000-0005-0000-0000-00003A0F0000}"/>
    <cellStyle name="Финансовый 3 2 6 2 2 3" xfId="3153" xr:uid="{00000000-0005-0000-0000-00003B0F0000}"/>
    <cellStyle name="Финансовый 3 2 6 2 2 4" xfId="4797" xr:uid="{00000000-0005-0000-0000-00003C0F0000}"/>
    <cellStyle name="Финансовый 3 2 6 2 3" xfId="2071" xr:uid="{00000000-0005-0000-0000-00003D0F0000}"/>
    <cellStyle name="Финансовый 3 2 6 2 3 2" xfId="3716" xr:uid="{00000000-0005-0000-0000-00003E0F0000}"/>
    <cellStyle name="Финансовый 3 2 6 2 3 3" xfId="5499" xr:uid="{00000000-0005-0000-0000-00003F0F0000}"/>
    <cellStyle name="Финансовый 3 2 6 2 4" xfId="2600" xr:uid="{00000000-0005-0000-0000-0000400F0000}"/>
    <cellStyle name="Финансовый 3 2 6 2 4 2" xfId="4245" xr:uid="{00000000-0005-0000-0000-0000410F0000}"/>
    <cellStyle name="Финансовый 3 2 6 2 4 3" xfId="6028" xr:uid="{00000000-0005-0000-0000-0000420F0000}"/>
    <cellStyle name="Финансовый 3 2 6 2 5" xfId="1104" xr:uid="{00000000-0005-0000-0000-0000430F0000}"/>
    <cellStyle name="Финансовый 3 2 6 2 6" xfId="692" xr:uid="{00000000-0005-0000-0000-0000440F0000}"/>
    <cellStyle name="Финансовый 3 2 6 2 7" xfId="2881" xr:uid="{00000000-0005-0000-0000-0000450F0000}"/>
    <cellStyle name="Финансовый 3 2 6 2 8" xfId="4525" xr:uid="{00000000-0005-0000-0000-0000460F0000}"/>
    <cellStyle name="Финансовый 3 2 6 3" xfId="420" xr:uid="{00000000-0005-0000-0000-0000470F0000}"/>
    <cellStyle name="Финансовый 3 2 6 3 2" xfId="2199" xr:uid="{00000000-0005-0000-0000-0000480F0000}"/>
    <cellStyle name="Финансовый 3 2 6 3 2 2" xfId="3844" xr:uid="{00000000-0005-0000-0000-0000490F0000}"/>
    <cellStyle name="Финансовый 3 2 6 3 2 3" xfId="5627" xr:uid="{00000000-0005-0000-0000-00004A0F0000}"/>
    <cellStyle name="Финансовый 3 2 6 3 3" xfId="1233" xr:uid="{00000000-0005-0000-0000-00004B0F0000}"/>
    <cellStyle name="Финансовый 3 2 6 3 4" xfId="840" xr:uid="{00000000-0005-0000-0000-00004C0F0000}"/>
    <cellStyle name="Финансовый 3 2 6 3 5" xfId="3017" xr:uid="{00000000-0005-0000-0000-00004D0F0000}"/>
    <cellStyle name="Финансовый 3 2 6 3 6" xfId="4661" xr:uid="{00000000-0005-0000-0000-00004E0F0000}"/>
    <cellStyle name="Финансовый 3 2 6 4" xfId="1521" xr:uid="{00000000-0005-0000-0000-00004F0F0000}"/>
    <cellStyle name="Финансовый 3 2 6 4 2" xfId="1943" xr:uid="{00000000-0005-0000-0000-0000500F0000}"/>
    <cellStyle name="Финансовый 3 2 6 4 2 2" xfId="3588" xr:uid="{00000000-0005-0000-0000-0000510F0000}"/>
    <cellStyle name="Финансовый 3 2 6 4 2 3" xfId="5371" xr:uid="{00000000-0005-0000-0000-0000520F0000}"/>
    <cellStyle name="Финансовый 3 2 6 4 3" xfId="4949" xr:uid="{00000000-0005-0000-0000-0000530F0000}"/>
    <cellStyle name="Финансовый 3 2 6 5" xfId="1819" xr:uid="{00000000-0005-0000-0000-0000540F0000}"/>
    <cellStyle name="Финансовый 3 2 6 5 2" xfId="3464" xr:uid="{00000000-0005-0000-0000-0000550F0000}"/>
    <cellStyle name="Финансовый 3 2 6 5 3" xfId="5247" xr:uid="{00000000-0005-0000-0000-0000560F0000}"/>
    <cellStyle name="Финансовый 3 2 6 6" xfId="2464" xr:uid="{00000000-0005-0000-0000-0000570F0000}"/>
    <cellStyle name="Финансовый 3 2 6 6 2" xfId="4109" xr:uid="{00000000-0005-0000-0000-0000580F0000}"/>
    <cellStyle name="Финансовый 3 2 6 6 3" xfId="5892" xr:uid="{00000000-0005-0000-0000-0000590F0000}"/>
    <cellStyle name="Финансовый 3 2 6 7" xfId="1691" xr:uid="{00000000-0005-0000-0000-00005A0F0000}"/>
    <cellStyle name="Финансовый 3 2 6 7 2" xfId="3336" xr:uid="{00000000-0005-0000-0000-00005B0F0000}"/>
    <cellStyle name="Финансовый 3 2 6 7 3" xfId="5119" xr:uid="{00000000-0005-0000-0000-00005C0F0000}"/>
    <cellStyle name="Финансовый 3 2 6 8" xfId="968" xr:uid="{00000000-0005-0000-0000-00005D0F0000}"/>
    <cellStyle name="Финансовый 3 2 6 9" xfId="556" xr:uid="{00000000-0005-0000-0000-00005E0F0000}"/>
    <cellStyle name="Финансовый 3 2 7" xfId="33" xr:uid="{00000000-0005-0000-0000-00005F0F0000}"/>
    <cellStyle name="Финансовый 3 2 7 10" xfId="2645" xr:uid="{00000000-0005-0000-0000-0000600F0000}"/>
    <cellStyle name="Финансовый 3 2 7 11" xfId="4288" xr:uid="{00000000-0005-0000-0000-0000610F0000}"/>
    <cellStyle name="Финансовый 3 2 7 2" xfId="171" xr:uid="{00000000-0005-0000-0000-0000620F0000}"/>
    <cellStyle name="Финансовый 3 2 7 2 2" xfId="1269" xr:uid="{00000000-0005-0000-0000-0000630F0000}"/>
    <cellStyle name="Финансовый 3 2 7 2 2 2" xfId="2235" xr:uid="{00000000-0005-0000-0000-0000640F0000}"/>
    <cellStyle name="Финансовый 3 2 7 2 2 2 2" xfId="3880" xr:uid="{00000000-0005-0000-0000-0000650F0000}"/>
    <cellStyle name="Финансовый 3 2 7 2 2 2 3" xfId="5663" xr:uid="{00000000-0005-0000-0000-0000660F0000}"/>
    <cellStyle name="Финансовый 3 2 7 2 2 3" xfId="3053" xr:uid="{00000000-0005-0000-0000-0000670F0000}"/>
    <cellStyle name="Финансовый 3 2 7 2 2 4" xfId="4697" xr:uid="{00000000-0005-0000-0000-0000680F0000}"/>
    <cellStyle name="Финансовый 3 2 7 2 3" xfId="1979" xr:uid="{00000000-0005-0000-0000-0000690F0000}"/>
    <cellStyle name="Финансовый 3 2 7 2 3 2" xfId="3624" xr:uid="{00000000-0005-0000-0000-00006A0F0000}"/>
    <cellStyle name="Финансовый 3 2 7 2 3 3" xfId="5407" xr:uid="{00000000-0005-0000-0000-00006B0F0000}"/>
    <cellStyle name="Финансовый 3 2 7 2 4" xfId="2500" xr:uid="{00000000-0005-0000-0000-00006C0F0000}"/>
    <cellStyle name="Финансовый 3 2 7 2 4 2" xfId="4145" xr:uid="{00000000-0005-0000-0000-00006D0F0000}"/>
    <cellStyle name="Финансовый 3 2 7 2 4 3" xfId="5928" xr:uid="{00000000-0005-0000-0000-00006E0F0000}"/>
    <cellStyle name="Финансовый 3 2 7 2 5" xfId="1004" xr:uid="{00000000-0005-0000-0000-00006F0F0000}"/>
    <cellStyle name="Финансовый 3 2 7 2 6" xfId="592" xr:uid="{00000000-0005-0000-0000-0000700F0000}"/>
    <cellStyle name="Финансовый 3 2 7 2 7" xfId="2781" xr:uid="{00000000-0005-0000-0000-0000710F0000}"/>
    <cellStyle name="Финансовый 3 2 7 2 8" xfId="4425" xr:uid="{00000000-0005-0000-0000-0000720F0000}"/>
    <cellStyle name="Финансовый 3 2 7 3" xfId="320" xr:uid="{00000000-0005-0000-0000-0000730F0000}"/>
    <cellStyle name="Финансовый 3 2 7 3 2" xfId="2107" xr:uid="{00000000-0005-0000-0000-0000740F0000}"/>
    <cellStyle name="Финансовый 3 2 7 3 2 2" xfId="3752" xr:uid="{00000000-0005-0000-0000-0000750F0000}"/>
    <cellStyle name="Финансовый 3 2 7 3 2 3" xfId="5535" xr:uid="{00000000-0005-0000-0000-0000760F0000}"/>
    <cellStyle name="Финансовый 3 2 7 3 3" xfId="1140" xr:uid="{00000000-0005-0000-0000-0000770F0000}"/>
    <cellStyle name="Финансовый 3 2 7 3 4" xfId="740" xr:uid="{00000000-0005-0000-0000-0000780F0000}"/>
    <cellStyle name="Финансовый 3 2 7 3 5" xfId="2917" xr:uid="{00000000-0005-0000-0000-0000790F0000}"/>
    <cellStyle name="Финансовый 3 2 7 3 6" xfId="4561" xr:uid="{00000000-0005-0000-0000-00007A0F0000}"/>
    <cellStyle name="Финансовый 3 2 7 4" xfId="1522" xr:uid="{00000000-0005-0000-0000-00007B0F0000}"/>
    <cellStyle name="Финансовый 3 2 7 4 2" xfId="1843" xr:uid="{00000000-0005-0000-0000-00007C0F0000}"/>
    <cellStyle name="Финансовый 3 2 7 4 2 2" xfId="3488" xr:uid="{00000000-0005-0000-0000-00007D0F0000}"/>
    <cellStyle name="Финансовый 3 2 7 4 2 3" xfId="5271" xr:uid="{00000000-0005-0000-0000-00007E0F0000}"/>
    <cellStyle name="Финансовый 3 2 7 4 3" xfId="4950" xr:uid="{00000000-0005-0000-0000-00007F0F0000}"/>
    <cellStyle name="Финансовый 3 2 7 5" xfId="1727" xr:uid="{00000000-0005-0000-0000-0000800F0000}"/>
    <cellStyle name="Финансовый 3 2 7 5 2" xfId="3372" xr:uid="{00000000-0005-0000-0000-0000810F0000}"/>
    <cellStyle name="Финансовый 3 2 7 5 3" xfId="5155" xr:uid="{00000000-0005-0000-0000-0000820F0000}"/>
    <cellStyle name="Финансовый 3 2 7 6" xfId="2363" xr:uid="{00000000-0005-0000-0000-0000830F0000}"/>
    <cellStyle name="Финансовый 3 2 7 6 2" xfId="4008" xr:uid="{00000000-0005-0000-0000-0000840F0000}"/>
    <cellStyle name="Финансовый 3 2 7 6 3" xfId="5791" xr:uid="{00000000-0005-0000-0000-0000850F0000}"/>
    <cellStyle name="Финансовый 3 2 7 7" xfId="1590" xr:uid="{00000000-0005-0000-0000-0000860F0000}"/>
    <cellStyle name="Финансовый 3 2 7 7 2" xfId="3235" xr:uid="{00000000-0005-0000-0000-0000870F0000}"/>
    <cellStyle name="Финансовый 3 2 7 7 3" xfId="5018" xr:uid="{00000000-0005-0000-0000-0000880F0000}"/>
    <cellStyle name="Финансовый 3 2 7 8" xfId="876" xr:uid="{00000000-0005-0000-0000-0000890F0000}"/>
    <cellStyle name="Финансовый 3 2 7 9" xfId="456" xr:uid="{00000000-0005-0000-0000-00008A0F0000}"/>
    <cellStyle name="Финансовый 3 2 8" xfId="21" xr:uid="{00000000-0005-0000-0000-00008B0F0000}"/>
    <cellStyle name="Финансовый 3 2 8 10" xfId="2633" xr:uid="{00000000-0005-0000-0000-00008C0F0000}"/>
    <cellStyle name="Финансовый 3 2 8 11" xfId="4276" xr:uid="{00000000-0005-0000-0000-00008D0F0000}"/>
    <cellStyle name="Финансовый 3 2 8 2" xfId="159" xr:uid="{00000000-0005-0000-0000-00008E0F0000}"/>
    <cellStyle name="Финансовый 3 2 8 2 2" xfId="1257" xr:uid="{00000000-0005-0000-0000-00008F0F0000}"/>
    <cellStyle name="Финансовый 3 2 8 2 2 2" xfId="2223" xr:uid="{00000000-0005-0000-0000-0000900F0000}"/>
    <cellStyle name="Финансовый 3 2 8 2 2 2 2" xfId="3868" xr:uid="{00000000-0005-0000-0000-0000910F0000}"/>
    <cellStyle name="Финансовый 3 2 8 2 2 2 3" xfId="5651" xr:uid="{00000000-0005-0000-0000-0000920F0000}"/>
    <cellStyle name="Финансовый 3 2 8 2 2 3" xfId="3041" xr:uid="{00000000-0005-0000-0000-0000930F0000}"/>
    <cellStyle name="Финансовый 3 2 8 2 2 4" xfId="4685" xr:uid="{00000000-0005-0000-0000-0000940F0000}"/>
    <cellStyle name="Финансовый 3 2 8 2 3" xfId="1967" xr:uid="{00000000-0005-0000-0000-0000950F0000}"/>
    <cellStyle name="Финансовый 3 2 8 2 3 2" xfId="3612" xr:uid="{00000000-0005-0000-0000-0000960F0000}"/>
    <cellStyle name="Финансовый 3 2 8 2 3 3" xfId="5395" xr:uid="{00000000-0005-0000-0000-0000970F0000}"/>
    <cellStyle name="Финансовый 3 2 8 2 4" xfId="2488" xr:uid="{00000000-0005-0000-0000-0000980F0000}"/>
    <cellStyle name="Финансовый 3 2 8 2 4 2" xfId="4133" xr:uid="{00000000-0005-0000-0000-0000990F0000}"/>
    <cellStyle name="Финансовый 3 2 8 2 4 3" xfId="5916" xr:uid="{00000000-0005-0000-0000-00009A0F0000}"/>
    <cellStyle name="Финансовый 3 2 8 2 5" xfId="992" xr:uid="{00000000-0005-0000-0000-00009B0F0000}"/>
    <cellStyle name="Финансовый 3 2 8 2 6" xfId="580" xr:uid="{00000000-0005-0000-0000-00009C0F0000}"/>
    <cellStyle name="Финансовый 3 2 8 2 7" xfId="2769" xr:uid="{00000000-0005-0000-0000-00009D0F0000}"/>
    <cellStyle name="Финансовый 3 2 8 2 8" xfId="4413" xr:uid="{00000000-0005-0000-0000-00009E0F0000}"/>
    <cellStyle name="Финансовый 3 2 8 3" xfId="308" xr:uid="{00000000-0005-0000-0000-00009F0F0000}"/>
    <cellStyle name="Финансовый 3 2 8 3 2" xfId="2095" xr:uid="{00000000-0005-0000-0000-0000A00F0000}"/>
    <cellStyle name="Финансовый 3 2 8 3 2 2" xfId="3740" xr:uid="{00000000-0005-0000-0000-0000A10F0000}"/>
    <cellStyle name="Финансовый 3 2 8 3 2 3" xfId="5523" xr:uid="{00000000-0005-0000-0000-0000A20F0000}"/>
    <cellStyle name="Финансовый 3 2 8 3 3" xfId="1128" xr:uid="{00000000-0005-0000-0000-0000A30F0000}"/>
    <cellStyle name="Финансовый 3 2 8 3 4" xfId="728" xr:uid="{00000000-0005-0000-0000-0000A40F0000}"/>
    <cellStyle name="Финансовый 3 2 8 3 5" xfId="2905" xr:uid="{00000000-0005-0000-0000-0000A50F0000}"/>
    <cellStyle name="Финансовый 3 2 8 3 6" xfId="4549" xr:uid="{00000000-0005-0000-0000-0000A60F0000}"/>
    <cellStyle name="Финансовый 3 2 8 4" xfId="1523" xr:uid="{00000000-0005-0000-0000-0000A70F0000}"/>
    <cellStyle name="Финансовый 3 2 8 4 2" xfId="1831" xr:uid="{00000000-0005-0000-0000-0000A80F0000}"/>
    <cellStyle name="Финансовый 3 2 8 4 2 2" xfId="3476" xr:uid="{00000000-0005-0000-0000-0000A90F0000}"/>
    <cellStyle name="Финансовый 3 2 8 4 2 3" xfId="5259" xr:uid="{00000000-0005-0000-0000-0000AA0F0000}"/>
    <cellStyle name="Финансовый 3 2 8 4 3" xfId="4951" xr:uid="{00000000-0005-0000-0000-0000AB0F0000}"/>
    <cellStyle name="Финансовый 3 2 8 5" xfId="1715" xr:uid="{00000000-0005-0000-0000-0000AC0F0000}"/>
    <cellStyle name="Финансовый 3 2 8 5 2" xfId="3360" xr:uid="{00000000-0005-0000-0000-0000AD0F0000}"/>
    <cellStyle name="Финансовый 3 2 8 5 3" xfId="5143" xr:uid="{00000000-0005-0000-0000-0000AE0F0000}"/>
    <cellStyle name="Финансовый 3 2 8 6" xfId="2351" xr:uid="{00000000-0005-0000-0000-0000AF0F0000}"/>
    <cellStyle name="Финансовый 3 2 8 6 2" xfId="3996" xr:uid="{00000000-0005-0000-0000-0000B00F0000}"/>
    <cellStyle name="Финансовый 3 2 8 6 3" xfId="5779" xr:uid="{00000000-0005-0000-0000-0000B10F0000}"/>
    <cellStyle name="Финансовый 3 2 8 7" xfId="1578" xr:uid="{00000000-0005-0000-0000-0000B20F0000}"/>
    <cellStyle name="Финансовый 3 2 8 7 2" xfId="3223" xr:uid="{00000000-0005-0000-0000-0000B30F0000}"/>
    <cellStyle name="Финансовый 3 2 8 7 3" xfId="5006" xr:uid="{00000000-0005-0000-0000-0000B40F0000}"/>
    <cellStyle name="Финансовый 3 2 8 8" xfId="864" xr:uid="{00000000-0005-0000-0000-0000B50F0000}"/>
    <cellStyle name="Финансовый 3 2 8 9" xfId="444" xr:uid="{00000000-0005-0000-0000-0000B60F0000}"/>
    <cellStyle name="Финансовый 3 2 9" xfId="147" xr:uid="{00000000-0005-0000-0000-0000B70F0000}"/>
    <cellStyle name="Финансовый 3 2 9 2" xfId="1245" xr:uid="{00000000-0005-0000-0000-0000B80F0000}"/>
    <cellStyle name="Финансовый 3 2 9 2 2" xfId="2211" xr:uid="{00000000-0005-0000-0000-0000B90F0000}"/>
    <cellStyle name="Финансовый 3 2 9 2 2 2" xfId="3856" xr:uid="{00000000-0005-0000-0000-0000BA0F0000}"/>
    <cellStyle name="Финансовый 3 2 9 2 2 3" xfId="5639" xr:uid="{00000000-0005-0000-0000-0000BB0F0000}"/>
    <cellStyle name="Финансовый 3 2 9 2 3" xfId="3029" xr:uid="{00000000-0005-0000-0000-0000BC0F0000}"/>
    <cellStyle name="Финансовый 3 2 9 2 4" xfId="4673" xr:uid="{00000000-0005-0000-0000-0000BD0F0000}"/>
    <cellStyle name="Финансовый 3 2 9 3" xfId="1955" xr:uid="{00000000-0005-0000-0000-0000BE0F0000}"/>
    <cellStyle name="Финансовый 3 2 9 3 2" xfId="3600" xr:uid="{00000000-0005-0000-0000-0000BF0F0000}"/>
    <cellStyle name="Финансовый 3 2 9 3 3" xfId="5383" xr:uid="{00000000-0005-0000-0000-0000C00F0000}"/>
    <cellStyle name="Финансовый 3 2 9 4" xfId="2476" xr:uid="{00000000-0005-0000-0000-0000C10F0000}"/>
    <cellStyle name="Финансовый 3 2 9 4 2" xfId="4121" xr:uid="{00000000-0005-0000-0000-0000C20F0000}"/>
    <cellStyle name="Финансовый 3 2 9 4 3" xfId="5904" xr:uid="{00000000-0005-0000-0000-0000C30F0000}"/>
    <cellStyle name="Финансовый 3 2 9 5" xfId="980" xr:uid="{00000000-0005-0000-0000-0000C40F0000}"/>
    <cellStyle name="Финансовый 3 2 9 6" xfId="568" xr:uid="{00000000-0005-0000-0000-0000C50F0000}"/>
    <cellStyle name="Финансовый 3 2 9 7" xfId="2757" xr:uid="{00000000-0005-0000-0000-0000C60F0000}"/>
    <cellStyle name="Финансовый 3 2 9 8" xfId="4401" xr:uid="{00000000-0005-0000-0000-0000C70F0000}"/>
    <cellStyle name="Финансовый 3 20" xfId="2615" xr:uid="{00000000-0005-0000-0000-0000C80F0000}"/>
    <cellStyle name="Финансовый 3 21" xfId="4258" xr:uid="{00000000-0005-0000-0000-0000C90F0000}"/>
    <cellStyle name="Финансовый 3 3" xfId="39" xr:uid="{00000000-0005-0000-0000-0000CA0F0000}"/>
    <cellStyle name="Финансовый 3 3 10" xfId="882" xr:uid="{00000000-0005-0000-0000-0000CB0F0000}"/>
    <cellStyle name="Финансовый 3 3 11" xfId="462" xr:uid="{00000000-0005-0000-0000-0000CC0F0000}"/>
    <cellStyle name="Финансовый 3 3 12" xfId="2651" xr:uid="{00000000-0005-0000-0000-0000CD0F0000}"/>
    <cellStyle name="Финансовый 3 3 13" xfId="4294" xr:uid="{00000000-0005-0000-0000-0000CE0F0000}"/>
    <cellStyle name="Финансовый 3 3 2" xfId="121" xr:uid="{00000000-0005-0000-0000-0000CF0F0000}"/>
    <cellStyle name="Финансовый 3 3 2 10" xfId="2731" xr:uid="{00000000-0005-0000-0000-0000D00F0000}"/>
    <cellStyle name="Финансовый 3 3 2 11" xfId="4375" xr:uid="{00000000-0005-0000-0000-0000D10F0000}"/>
    <cellStyle name="Финансовый 3 3 2 2" xfId="257" xr:uid="{00000000-0005-0000-0000-0000D20F0000}"/>
    <cellStyle name="Финансовый 3 3 2 2 2" xfId="1355" xr:uid="{00000000-0005-0000-0000-0000D30F0000}"/>
    <cellStyle name="Финансовый 3 3 2 2 2 2" xfId="2313" xr:uid="{00000000-0005-0000-0000-0000D40F0000}"/>
    <cellStyle name="Финансовый 3 3 2 2 2 2 2" xfId="3958" xr:uid="{00000000-0005-0000-0000-0000D50F0000}"/>
    <cellStyle name="Финансовый 3 3 2 2 2 2 3" xfId="5741" xr:uid="{00000000-0005-0000-0000-0000D60F0000}"/>
    <cellStyle name="Финансовый 3 3 2 2 2 3" xfId="3139" xr:uid="{00000000-0005-0000-0000-0000D70F0000}"/>
    <cellStyle name="Финансовый 3 3 2 2 2 4" xfId="4783" xr:uid="{00000000-0005-0000-0000-0000D80F0000}"/>
    <cellStyle name="Финансовый 3 3 2 2 3" xfId="2057" xr:uid="{00000000-0005-0000-0000-0000D90F0000}"/>
    <cellStyle name="Финансовый 3 3 2 2 3 2" xfId="3702" xr:uid="{00000000-0005-0000-0000-0000DA0F0000}"/>
    <cellStyle name="Финансовый 3 3 2 2 3 3" xfId="5485" xr:uid="{00000000-0005-0000-0000-0000DB0F0000}"/>
    <cellStyle name="Финансовый 3 3 2 2 4" xfId="2586" xr:uid="{00000000-0005-0000-0000-0000DC0F0000}"/>
    <cellStyle name="Финансовый 3 3 2 2 4 2" xfId="4231" xr:uid="{00000000-0005-0000-0000-0000DD0F0000}"/>
    <cellStyle name="Финансовый 3 3 2 2 4 3" xfId="6014" xr:uid="{00000000-0005-0000-0000-0000DE0F0000}"/>
    <cellStyle name="Финансовый 3 3 2 2 5" xfId="1090" xr:uid="{00000000-0005-0000-0000-0000DF0F0000}"/>
    <cellStyle name="Финансовый 3 3 2 2 6" xfId="678" xr:uid="{00000000-0005-0000-0000-0000E00F0000}"/>
    <cellStyle name="Финансовый 3 3 2 2 7" xfId="2867" xr:uid="{00000000-0005-0000-0000-0000E10F0000}"/>
    <cellStyle name="Финансовый 3 3 2 2 8" xfId="4511" xr:uid="{00000000-0005-0000-0000-0000E20F0000}"/>
    <cellStyle name="Финансовый 3 3 2 3" xfId="406" xr:uid="{00000000-0005-0000-0000-0000E30F0000}"/>
    <cellStyle name="Финансовый 3 3 2 3 2" xfId="2185" xr:uid="{00000000-0005-0000-0000-0000E40F0000}"/>
    <cellStyle name="Финансовый 3 3 2 3 2 2" xfId="3830" xr:uid="{00000000-0005-0000-0000-0000E50F0000}"/>
    <cellStyle name="Финансовый 3 3 2 3 2 3" xfId="5613" xr:uid="{00000000-0005-0000-0000-0000E60F0000}"/>
    <cellStyle name="Финансовый 3 3 2 3 3" xfId="1219" xr:uid="{00000000-0005-0000-0000-0000E70F0000}"/>
    <cellStyle name="Финансовый 3 3 2 3 4" xfId="826" xr:uid="{00000000-0005-0000-0000-0000E80F0000}"/>
    <cellStyle name="Финансовый 3 3 2 3 5" xfId="3003" xr:uid="{00000000-0005-0000-0000-0000E90F0000}"/>
    <cellStyle name="Финансовый 3 3 2 3 6" xfId="4647" xr:uid="{00000000-0005-0000-0000-0000EA0F0000}"/>
    <cellStyle name="Финансовый 3 3 2 4" xfId="1525" xr:uid="{00000000-0005-0000-0000-0000EB0F0000}"/>
    <cellStyle name="Финансовый 3 3 2 4 2" xfId="1929" xr:uid="{00000000-0005-0000-0000-0000EC0F0000}"/>
    <cellStyle name="Финансовый 3 3 2 4 2 2" xfId="3574" xr:uid="{00000000-0005-0000-0000-0000ED0F0000}"/>
    <cellStyle name="Финансовый 3 3 2 4 2 3" xfId="5357" xr:uid="{00000000-0005-0000-0000-0000EE0F0000}"/>
    <cellStyle name="Финансовый 3 3 2 4 3" xfId="4953" xr:uid="{00000000-0005-0000-0000-0000EF0F0000}"/>
    <cellStyle name="Финансовый 3 3 2 5" xfId="1805" xr:uid="{00000000-0005-0000-0000-0000F00F0000}"/>
    <cellStyle name="Финансовый 3 3 2 5 2" xfId="3450" xr:uid="{00000000-0005-0000-0000-0000F10F0000}"/>
    <cellStyle name="Финансовый 3 3 2 5 3" xfId="5233" xr:uid="{00000000-0005-0000-0000-0000F20F0000}"/>
    <cellStyle name="Финансовый 3 3 2 6" xfId="2450" xr:uid="{00000000-0005-0000-0000-0000F30F0000}"/>
    <cellStyle name="Финансовый 3 3 2 6 2" xfId="4095" xr:uid="{00000000-0005-0000-0000-0000F40F0000}"/>
    <cellStyle name="Финансовый 3 3 2 6 3" xfId="5878" xr:uid="{00000000-0005-0000-0000-0000F50F0000}"/>
    <cellStyle name="Финансовый 3 3 2 7" xfId="1677" xr:uid="{00000000-0005-0000-0000-0000F60F0000}"/>
    <cellStyle name="Финансовый 3 3 2 7 2" xfId="3322" xr:uid="{00000000-0005-0000-0000-0000F70F0000}"/>
    <cellStyle name="Финансовый 3 3 2 7 3" xfId="5105" xr:uid="{00000000-0005-0000-0000-0000F80F0000}"/>
    <cellStyle name="Финансовый 3 3 2 8" xfId="954" xr:uid="{00000000-0005-0000-0000-0000F90F0000}"/>
    <cellStyle name="Финансовый 3 3 2 9" xfId="542" xr:uid="{00000000-0005-0000-0000-0000FA0F0000}"/>
    <cellStyle name="Финансовый 3 3 3" xfId="85" xr:uid="{00000000-0005-0000-0000-0000FB0F0000}"/>
    <cellStyle name="Финансовый 3 3 3 10" xfId="2695" xr:uid="{00000000-0005-0000-0000-0000FC0F0000}"/>
    <cellStyle name="Финансовый 3 3 3 11" xfId="4339" xr:uid="{00000000-0005-0000-0000-0000FD0F0000}"/>
    <cellStyle name="Финансовый 3 3 3 2" xfId="221" xr:uid="{00000000-0005-0000-0000-0000FE0F0000}"/>
    <cellStyle name="Финансовый 3 3 3 2 2" xfId="1319" xr:uid="{00000000-0005-0000-0000-0000FF0F0000}"/>
    <cellStyle name="Финансовый 3 3 3 2 2 2" xfId="2277" xr:uid="{00000000-0005-0000-0000-000000100000}"/>
    <cellStyle name="Финансовый 3 3 3 2 2 2 2" xfId="3922" xr:uid="{00000000-0005-0000-0000-000001100000}"/>
    <cellStyle name="Финансовый 3 3 3 2 2 2 3" xfId="5705" xr:uid="{00000000-0005-0000-0000-000002100000}"/>
    <cellStyle name="Финансовый 3 3 3 2 2 3" xfId="3103" xr:uid="{00000000-0005-0000-0000-000003100000}"/>
    <cellStyle name="Финансовый 3 3 3 2 2 4" xfId="4747" xr:uid="{00000000-0005-0000-0000-000004100000}"/>
    <cellStyle name="Финансовый 3 3 3 2 3" xfId="2021" xr:uid="{00000000-0005-0000-0000-000005100000}"/>
    <cellStyle name="Финансовый 3 3 3 2 3 2" xfId="3666" xr:uid="{00000000-0005-0000-0000-000006100000}"/>
    <cellStyle name="Финансовый 3 3 3 2 3 3" xfId="5449" xr:uid="{00000000-0005-0000-0000-000007100000}"/>
    <cellStyle name="Финансовый 3 3 3 2 4" xfId="2550" xr:uid="{00000000-0005-0000-0000-000008100000}"/>
    <cellStyle name="Финансовый 3 3 3 2 4 2" xfId="4195" xr:uid="{00000000-0005-0000-0000-000009100000}"/>
    <cellStyle name="Финансовый 3 3 3 2 4 3" xfId="5978" xr:uid="{00000000-0005-0000-0000-00000A100000}"/>
    <cellStyle name="Финансовый 3 3 3 2 5" xfId="1054" xr:uid="{00000000-0005-0000-0000-00000B100000}"/>
    <cellStyle name="Финансовый 3 3 3 2 6" xfId="642" xr:uid="{00000000-0005-0000-0000-00000C100000}"/>
    <cellStyle name="Финансовый 3 3 3 2 7" xfId="2831" xr:uid="{00000000-0005-0000-0000-00000D100000}"/>
    <cellStyle name="Финансовый 3 3 3 2 8" xfId="4475" xr:uid="{00000000-0005-0000-0000-00000E100000}"/>
    <cellStyle name="Финансовый 3 3 3 3" xfId="370" xr:uid="{00000000-0005-0000-0000-00000F100000}"/>
    <cellStyle name="Финансовый 3 3 3 3 2" xfId="2149" xr:uid="{00000000-0005-0000-0000-000010100000}"/>
    <cellStyle name="Финансовый 3 3 3 3 2 2" xfId="3794" xr:uid="{00000000-0005-0000-0000-000011100000}"/>
    <cellStyle name="Финансовый 3 3 3 3 2 3" xfId="5577" xr:uid="{00000000-0005-0000-0000-000012100000}"/>
    <cellStyle name="Финансовый 3 3 3 3 3" xfId="1183" xr:uid="{00000000-0005-0000-0000-000013100000}"/>
    <cellStyle name="Финансовый 3 3 3 3 4" xfId="790" xr:uid="{00000000-0005-0000-0000-000014100000}"/>
    <cellStyle name="Финансовый 3 3 3 3 5" xfId="2967" xr:uid="{00000000-0005-0000-0000-000015100000}"/>
    <cellStyle name="Финансовый 3 3 3 3 6" xfId="4611" xr:uid="{00000000-0005-0000-0000-000016100000}"/>
    <cellStyle name="Финансовый 3 3 3 4" xfId="1526" xr:uid="{00000000-0005-0000-0000-000017100000}"/>
    <cellStyle name="Финансовый 3 3 3 4 2" xfId="1893" xr:uid="{00000000-0005-0000-0000-000018100000}"/>
    <cellStyle name="Финансовый 3 3 3 4 2 2" xfId="3538" xr:uid="{00000000-0005-0000-0000-000019100000}"/>
    <cellStyle name="Финансовый 3 3 3 4 2 3" xfId="5321" xr:uid="{00000000-0005-0000-0000-00001A100000}"/>
    <cellStyle name="Финансовый 3 3 3 4 3" xfId="4954" xr:uid="{00000000-0005-0000-0000-00001B100000}"/>
    <cellStyle name="Финансовый 3 3 3 5" xfId="1769" xr:uid="{00000000-0005-0000-0000-00001C100000}"/>
    <cellStyle name="Финансовый 3 3 3 5 2" xfId="3414" xr:uid="{00000000-0005-0000-0000-00001D100000}"/>
    <cellStyle name="Финансовый 3 3 3 5 3" xfId="5197" xr:uid="{00000000-0005-0000-0000-00001E100000}"/>
    <cellStyle name="Финансовый 3 3 3 6" xfId="2414" xr:uid="{00000000-0005-0000-0000-00001F100000}"/>
    <cellStyle name="Финансовый 3 3 3 6 2" xfId="4059" xr:uid="{00000000-0005-0000-0000-000020100000}"/>
    <cellStyle name="Финансовый 3 3 3 6 3" xfId="5842" xr:uid="{00000000-0005-0000-0000-000021100000}"/>
    <cellStyle name="Финансовый 3 3 3 7" xfId="1641" xr:uid="{00000000-0005-0000-0000-000022100000}"/>
    <cellStyle name="Финансовый 3 3 3 7 2" xfId="3286" xr:uid="{00000000-0005-0000-0000-000023100000}"/>
    <cellStyle name="Финансовый 3 3 3 7 3" xfId="5069" xr:uid="{00000000-0005-0000-0000-000024100000}"/>
    <cellStyle name="Финансовый 3 3 3 8" xfId="918" xr:uid="{00000000-0005-0000-0000-000025100000}"/>
    <cellStyle name="Финансовый 3 3 3 9" xfId="506" xr:uid="{00000000-0005-0000-0000-000026100000}"/>
    <cellStyle name="Финансовый 3 3 4" xfId="177" xr:uid="{00000000-0005-0000-0000-000027100000}"/>
    <cellStyle name="Финансовый 3 3 4 2" xfId="1275" xr:uid="{00000000-0005-0000-0000-000028100000}"/>
    <cellStyle name="Финансовый 3 3 4 2 2" xfId="2241" xr:uid="{00000000-0005-0000-0000-000029100000}"/>
    <cellStyle name="Финансовый 3 3 4 2 2 2" xfId="3886" xr:uid="{00000000-0005-0000-0000-00002A100000}"/>
    <cellStyle name="Финансовый 3 3 4 2 2 3" xfId="5669" xr:uid="{00000000-0005-0000-0000-00002B100000}"/>
    <cellStyle name="Финансовый 3 3 4 2 3" xfId="3059" xr:uid="{00000000-0005-0000-0000-00002C100000}"/>
    <cellStyle name="Финансовый 3 3 4 2 4" xfId="4703" xr:uid="{00000000-0005-0000-0000-00002D100000}"/>
    <cellStyle name="Финансовый 3 3 4 3" xfId="1985" xr:uid="{00000000-0005-0000-0000-00002E100000}"/>
    <cellStyle name="Финансовый 3 3 4 3 2" xfId="3630" xr:uid="{00000000-0005-0000-0000-00002F100000}"/>
    <cellStyle name="Финансовый 3 3 4 3 3" xfId="5413" xr:uid="{00000000-0005-0000-0000-000030100000}"/>
    <cellStyle name="Финансовый 3 3 4 4" xfId="2506" xr:uid="{00000000-0005-0000-0000-000031100000}"/>
    <cellStyle name="Финансовый 3 3 4 4 2" xfId="4151" xr:uid="{00000000-0005-0000-0000-000032100000}"/>
    <cellStyle name="Финансовый 3 3 4 4 3" xfId="5934" xr:uid="{00000000-0005-0000-0000-000033100000}"/>
    <cellStyle name="Финансовый 3 3 4 5" xfId="1010" xr:uid="{00000000-0005-0000-0000-000034100000}"/>
    <cellStyle name="Финансовый 3 3 4 6" xfId="598" xr:uid="{00000000-0005-0000-0000-000035100000}"/>
    <cellStyle name="Финансовый 3 3 4 7" xfId="2787" xr:uid="{00000000-0005-0000-0000-000036100000}"/>
    <cellStyle name="Финансовый 3 3 4 8" xfId="4431" xr:uid="{00000000-0005-0000-0000-000037100000}"/>
    <cellStyle name="Финансовый 3 3 5" xfId="326" xr:uid="{00000000-0005-0000-0000-000038100000}"/>
    <cellStyle name="Финансовый 3 3 5 2" xfId="2113" xr:uid="{00000000-0005-0000-0000-000039100000}"/>
    <cellStyle name="Финансовый 3 3 5 2 2" xfId="3758" xr:uid="{00000000-0005-0000-0000-00003A100000}"/>
    <cellStyle name="Финансовый 3 3 5 2 3" xfId="5541" xr:uid="{00000000-0005-0000-0000-00003B100000}"/>
    <cellStyle name="Финансовый 3 3 5 3" xfId="1146" xr:uid="{00000000-0005-0000-0000-00003C100000}"/>
    <cellStyle name="Финансовый 3 3 5 4" xfId="746" xr:uid="{00000000-0005-0000-0000-00003D100000}"/>
    <cellStyle name="Финансовый 3 3 5 5" xfId="2923" xr:uid="{00000000-0005-0000-0000-00003E100000}"/>
    <cellStyle name="Финансовый 3 3 5 6" xfId="4567" xr:uid="{00000000-0005-0000-0000-00003F100000}"/>
    <cellStyle name="Финансовый 3 3 6" xfId="1524" xr:uid="{00000000-0005-0000-0000-000040100000}"/>
    <cellStyle name="Финансовый 3 3 6 2" xfId="1849" xr:uid="{00000000-0005-0000-0000-000041100000}"/>
    <cellStyle name="Финансовый 3 3 6 2 2" xfId="3494" xr:uid="{00000000-0005-0000-0000-000042100000}"/>
    <cellStyle name="Финансовый 3 3 6 2 3" xfId="5277" xr:uid="{00000000-0005-0000-0000-000043100000}"/>
    <cellStyle name="Финансовый 3 3 6 3" xfId="4952" xr:uid="{00000000-0005-0000-0000-000044100000}"/>
    <cellStyle name="Финансовый 3 3 7" xfId="1733" xr:uid="{00000000-0005-0000-0000-000045100000}"/>
    <cellStyle name="Финансовый 3 3 7 2" xfId="3378" xr:uid="{00000000-0005-0000-0000-000046100000}"/>
    <cellStyle name="Финансовый 3 3 7 3" xfId="5161" xr:uid="{00000000-0005-0000-0000-000047100000}"/>
    <cellStyle name="Финансовый 3 3 8" xfId="2369" xr:uid="{00000000-0005-0000-0000-000048100000}"/>
    <cellStyle name="Финансовый 3 3 8 2" xfId="4014" xr:uid="{00000000-0005-0000-0000-000049100000}"/>
    <cellStyle name="Финансовый 3 3 8 3" xfId="5797" xr:uid="{00000000-0005-0000-0000-00004A100000}"/>
    <cellStyle name="Финансовый 3 3 9" xfId="1596" xr:uid="{00000000-0005-0000-0000-00004B100000}"/>
    <cellStyle name="Финансовый 3 3 9 2" xfId="3241" xr:uid="{00000000-0005-0000-0000-00004C100000}"/>
    <cellStyle name="Финансовый 3 3 9 3" xfId="5024" xr:uid="{00000000-0005-0000-0000-00004D100000}"/>
    <cellStyle name="Финансовый 3 4" xfId="91" xr:uid="{00000000-0005-0000-0000-00004E100000}"/>
    <cellStyle name="Финансовый 3 4 10" xfId="2701" xr:uid="{00000000-0005-0000-0000-00004F100000}"/>
    <cellStyle name="Финансовый 3 4 11" xfId="4345" xr:uid="{00000000-0005-0000-0000-000050100000}"/>
    <cellStyle name="Финансовый 3 4 2" xfId="227" xr:uid="{00000000-0005-0000-0000-000051100000}"/>
    <cellStyle name="Финансовый 3 4 2 2" xfId="1325" xr:uid="{00000000-0005-0000-0000-000052100000}"/>
    <cellStyle name="Финансовый 3 4 2 2 2" xfId="2283" xr:uid="{00000000-0005-0000-0000-000053100000}"/>
    <cellStyle name="Финансовый 3 4 2 2 2 2" xfId="3928" xr:uid="{00000000-0005-0000-0000-000054100000}"/>
    <cellStyle name="Финансовый 3 4 2 2 2 3" xfId="5711" xr:uid="{00000000-0005-0000-0000-000055100000}"/>
    <cellStyle name="Финансовый 3 4 2 2 3" xfId="3109" xr:uid="{00000000-0005-0000-0000-000056100000}"/>
    <cellStyle name="Финансовый 3 4 2 2 4" xfId="4753" xr:uid="{00000000-0005-0000-0000-000057100000}"/>
    <cellStyle name="Финансовый 3 4 2 3" xfId="2027" xr:uid="{00000000-0005-0000-0000-000058100000}"/>
    <cellStyle name="Финансовый 3 4 2 3 2" xfId="3672" xr:uid="{00000000-0005-0000-0000-000059100000}"/>
    <cellStyle name="Финансовый 3 4 2 3 3" xfId="5455" xr:uid="{00000000-0005-0000-0000-00005A100000}"/>
    <cellStyle name="Финансовый 3 4 2 4" xfId="2556" xr:uid="{00000000-0005-0000-0000-00005B100000}"/>
    <cellStyle name="Финансовый 3 4 2 4 2" xfId="4201" xr:uid="{00000000-0005-0000-0000-00005C100000}"/>
    <cellStyle name="Финансовый 3 4 2 4 3" xfId="5984" xr:uid="{00000000-0005-0000-0000-00005D100000}"/>
    <cellStyle name="Финансовый 3 4 2 5" xfId="1060" xr:uid="{00000000-0005-0000-0000-00005E100000}"/>
    <cellStyle name="Финансовый 3 4 2 6" xfId="648" xr:uid="{00000000-0005-0000-0000-00005F100000}"/>
    <cellStyle name="Финансовый 3 4 2 7" xfId="2837" xr:uid="{00000000-0005-0000-0000-000060100000}"/>
    <cellStyle name="Финансовый 3 4 2 8" xfId="4481" xr:uid="{00000000-0005-0000-0000-000061100000}"/>
    <cellStyle name="Финансовый 3 4 3" xfId="376" xr:uid="{00000000-0005-0000-0000-000062100000}"/>
    <cellStyle name="Финансовый 3 4 3 2" xfId="2155" xr:uid="{00000000-0005-0000-0000-000063100000}"/>
    <cellStyle name="Финансовый 3 4 3 2 2" xfId="3800" xr:uid="{00000000-0005-0000-0000-000064100000}"/>
    <cellStyle name="Финансовый 3 4 3 2 3" xfId="5583" xr:uid="{00000000-0005-0000-0000-000065100000}"/>
    <cellStyle name="Финансовый 3 4 3 3" xfId="1189" xr:uid="{00000000-0005-0000-0000-000066100000}"/>
    <cellStyle name="Финансовый 3 4 3 4" xfId="796" xr:uid="{00000000-0005-0000-0000-000067100000}"/>
    <cellStyle name="Финансовый 3 4 3 5" xfId="2973" xr:uid="{00000000-0005-0000-0000-000068100000}"/>
    <cellStyle name="Финансовый 3 4 3 6" xfId="4617" xr:uid="{00000000-0005-0000-0000-000069100000}"/>
    <cellStyle name="Финансовый 3 4 4" xfId="1527" xr:uid="{00000000-0005-0000-0000-00006A100000}"/>
    <cellStyle name="Финансовый 3 4 4 2" xfId="1899" xr:uid="{00000000-0005-0000-0000-00006B100000}"/>
    <cellStyle name="Финансовый 3 4 4 2 2" xfId="3544" xr:uid="{00000000-0005-0000-0000-00006C100000}"/>
    <cellStyle name="Финансовый 3 4 4 2 3" xfId="5327" xr:uid="{00000000-0005-0000-0000-00006D100000}"/>
    <cellStyle name="Финансовый 3 4 4 3" xfId="4955" xr:uid="{00000000-0005-0000-0000-00006E100000}"/>
    <cellStyle name="Финансовый 3 4 5" xfId="1775" xr:uid="{00000000-0005-0000-0000-00006F100000}"/>
    <cellStyle name="Финансовый 3 4 5 2" xfId="3420" xr:uid="{00000000-0005-0000-0000-000070100000}"/>
    <cellStyle name="Финансовый 3 4 5 3" xfId="5203" xr:uid="{00000000-0005-0000-0000-000071100000}"/>
    <cellStyle name="Финансовый 3 4 6" xfId="2420" xr:uid="{00000000-0005-0000-0000-000072100000}"/>
    <cellStyle name="Финансовый 3 4 6 2" xfId="4065" xr:uid="{00000000-0005-0000-0000-000073100000}"/>
    <cellStyle name="Финансовый 3 4 6 3" xfId="5848" xr:uid="{00000000-0005-0000-0000-000074100000}"/>
    <cellStyle name="Финансовый 3 4 7" xfId="1647" xr:uid="{00000000-0005-0000-0000-000075100000}"/>
    <cellStyle name="Финансовый 3 4 7 2" xfId="3292" xr:uid="{00000000-0005-0000-0000-000076100000}"/>
    <cellStyle name="Финансовый 3 4 7 3" xfId="5075" xr:uid="{00000000-0005-0000-0000-000077100000}"/>
    <cellStyle name="Финансовый 3 4 8" xfId="924" xr:uid="{00000000-0005-0000-0000-000078100000}"/>
    <cellStyle name="Финансовый 3 4 9" xfId="512" xr:uid="{00000000-0005-0000-0000-000079100000}"/>
    <cellStyle name="Финансовый 3 5" xfId="97" xr:uid="{00000000-0005-0000-0000-00007A100000}"/>
    <cellStyle name="Финансовый 3 5 10" xfId="2707" xr:uid="{00000000-0005-0000-0000-00007B100000}"/>
    <cellStyle name="Финансовый 3 5 11" xfId="4351" xr:uid="{00000000-0005-0000-0000-00007C100000}"/>
    <cellStyle name="Финансовый 3 5 2" xfId="233" xr:uid="{00000000-0005-0000-0000-00007D100000}"/>
    <cellStyle name="Финансовый 3 5 2 2" xfId="1331" xr:uid="{00000000-0005-0000-0000-00007E100000}"/>
    <cellStyle name="Финансовый 3 5 2 2 2" xfId="2289" xr:uid="{00000000-0005-0000-0000-00007F100000}"/>
    <cellStyle name="Финансовый 3 5 2 2 2 2" xfId="3934" xr:uid="{00000000-0005-0000-0000-000080100000}"/>
    <cellStyle name="Финансовый 3 5 2 2 2 3" xfId="5717" xr:uid="{00000000-0005-0000-0000-000081100000}"/>
    <cellStyle name="Финансовый 3 5 2 2 3" xfId="3115" xr:uid="{00000000-0005-0000-0000-000082100000}"/>
    <cellStyle name="Финансовый 3 5 2 2 4" xfId="4759" xr:uid="{00000000-0005-0000-0000-000083100000}"/>
    <cellStyle name="Финансовый 3 5 2 3" xfId="2033" xr:uid="{00000000-0005-0000-0000-000084100000}"/>
    <cellStyle name="Финансовый 3 5 2 3 2" xfId="3678" xr:uid="{00000000-0005-0000-0000-000085100000}"/>
    <cellStyle name="Финансовый 3 5 2 3 3" xfId="5461" xr:uid="{00000000-0005-0000-0000-000086100000}"/>
    <cellStyle name="Финансовый 3 5 2 4" xfId="2562" xr:uid="{00000000-0005-0000-0000-000087100000}"/>
    <cellStyle name="Финансовый 3 5 2 4 2" xfId="4207" xr:uid="{00000000-0005-0000-0000-000088100000}"/>
    <cellStyle name="Финансовый 3 5 2 4 3" xfId="5990" xr:uid="{00000000-0005-0000-0000-000089100000}"/>
    <cellStyle name="Финансовый 3 5 2 5" xfId="1066" xr:uid="{00000000-0005-0000-0000-00008A100000}"/>
    <cellStyle name="Финансовый 3 5 2 6" xfId="654" xr:uid="{00000000-0005-0000-0000-00008B100000}"/>
    <cellStyle name="Финансовый 3 5 2 7" xfId="2843" xr:uid="{00000000-0005-0000-0000-00008C100000}"/>
    <cellStyle name="Финансовый 3 5 2 8" xfId="4487" xr:uid="{00000000-0005-0000-0000-00008D100000}"/>
    <cellStyle name="Финансовый 3 5 3" xfId="382" xr:uid="{00000000-0005-0000-0000-00008E100000}"/>
    <cellStyle name="Финансовый 3 5 3 2" xfId="2161" xr:uid="{00000000-0005-0000-0000-00008F100000}"/>
    <cellStyle name="Финансовый 3 5 3 2 2" xfId="3806" xr:uid="{00000000-0005-0000-0000-000090100000}"/>
    <cellStyle name="Финансовый 3 5 3 2 3" xfId="5589" xr:uid="{00000000-0005-0000-0000-000091100000}"/>
    <cellStyle name="Финансовый 3 5 3 3" xfId="1195" xr:uid="{00000000-0005-0000-0000-000092100000}"/>
    <cellStyle name="Финансовый 3 5 3 4" xfId="802" xr:uid="{00000000-0005-0000-0000-000093100000}"/>
    <cellStyle name="Финансовый 3 5 3 5" xfId="2979" xr:uid="{00000000-0005-0000-0000-000094100000}"/>
    <cellStyle name="Финансовый 3 5 3 6" xfId="4623" xr:uid="{00000000-0005-0000-0000-000095100000}"/>
    <cellStyle name="Финансовый 3 5 4" xfId="1528" xr:uid="{00000000-0005-0000-0000-000096100000}"/>
    <cellStyle name="Финансовый 3 5 4 2" xfId="1905" xr:uid="{00000000-0005-0000-0000-000097100000}"/>
    <cellStyle name="Финансовый 3 5 4 2 2" xfId="3550" xr:uid="{00000000-0005-0000-0000-000098100000}"/>
    <cellStyle name="Финансовый 3 5 4 2 3" xfId="5333" xr:uid="{00000000-0005-0000-0000-000099100000}"/>
    <cellStyle name="Финансовый 3 5 4 3" xfId="4956" xr:uid="{00000000-0005-0000-0000-00009A100000}"/>
    <cellStyle name="Финансовый 3 5 5" xfId="1781" xr:uid="{00000000-0005-0000-0000-00009B100000}"/>
    <cellStyle name="Финансовый 3 5 5 2" xfId="3426" xr:uid="{00000000-0005-0000-0000-00009C100000}"/>
    <cellStyle name="Финансовый 3 5 5 3" xfId="5209" xr:uid="{00000000-0005-0000-0000-00009D100000}"/>
    <cellStyle name="Финансовый 3 5 6" xfId="2426" xr:uid="{00000000-0005-0000-0000-00009E100000}"/>
    <cellStyle name="Финансовый 3 5 6 2" xfId="4071" xr:uid="{00000000-0005-0000-0000-00009F100000}"/>
    <cellStyle name="Финансовый 3 5 6 3" xfId="5854" xr:uid="{00000000-0005-0000-0000-0000A0100000}"/>
    <cellStyle name="Финансовый 3 5 7" xfId="1653" xr:uid="{00000000-0005-0000-0000-0000A1100000}"/>
    <cellStyle name="Финансовый 3 5 7 2" xfId="3298" xr:uid="{00000000-0005-0000-0000-0000A2100000}"/>
    <cellStyle name="Финансовый 3 5 7 3" xfId="5081" xr:uid="{00000000-0005-0000-0000-0000A3100000}"/>
    <cellStyle name="Финансовый 3 5 8" xfId="930" xr:uid="{00000000-0005-0000-0000-0000A4100000}"/>
    <cellStyle name="Финансовый 3 5 9" xfId="518" xr:uid="{00000000-0005-0000-0000-0000A5100000}"/>
    <cellStyle name="Финансовый 3 6" xfId="109" xr:uid="{00000000-0005-0000-0000-0000A6100000}"/>
    <cellStyle name="Финансовый 3 6 10" xfId="2719" xr:uid="{00000000-0005-0000-0000-0000A7100000}"/>
    <cellStyle name="Финансовый 3 6 11" xfId="4363" xr:uid="{00000000-0005-0000-0000-0000A8100000}"/>
    <cellStyle name="Финансовый 3 6 2" xfId="245" xr:uid="{00000000-0005-0000-0000-0000A9100000}"/>
    <cellStyle name="Финансовый 3 6 2 2" xfId="1343" xr:uid="{00000000-0005-0000-0000-0000AA100000}"/>
    <cellStyle name="Финансовый 3 6 2 2 2" xfId="2301" xr:uid="{00000000-0005-0000-0000-0000AB100000}"/>
    <cellStyle name="Финансовый 3 6 2 2 2 2" xfId="3946" xr:uid="{00000000-0005-0000-0000-0000AC100000}"/>
    <cellStyle name="Финансовый 3 6 2 2 2 3" xfId="5729" xr:uid="{00000000-0005-0000-0000-0000AD100000}"/>
    <cellStyle name="Финансовый 3 6 2 2 3" xfId="3127" xr:uid="{00000000-0005-0000-0000-0000AE100000}"/>
    <cellStyle name="Финансовый 3 6 2 2 4" xfId="4771" xr:uid="{00000000-0005-0000-0000-0000AF100000}"/>
    <cellStyle name="Финансовый 3 6 2 3" xfId="2045" xr:uid="{00000000-0005-0000-0000-0000B0100000}"/>
    <cellStyle name="Финансовый 3 6 2 3 2" xfId="3690" xr:uid="{00000000-0005-0000-0000-0000B1100000}"/>
    <cellStyle name="Финансовый 3 6 2 3 3" xfId="5473" xr:uid="{00000000-0005-0000-0000-0000B2100000}"/>
    <cellStyle name="Финансовый 3 6 2 4" xfId="2574" xr:uid="{00000000-0005-0000-0000-0000B3100000}"/>
    <cellStyle name="Финансовый 3 6 2 4 2" xfId="4219" xr:uid="{00000000-0005-0000-0000-0000B4100000}"/>
    <cellStyle name="Финансовый 3 6 2 4 3" xfId="6002" xr:uid="{00000000-0005-0000-0000-0000B5100000}"/>
    <cellStyle name="Финансовый 3 6 2 5" xfId="1078" xr:uid="{00000000-0005-0000-0000-0000B6100000}"/>
    <cellStyle name="Финансовый 3 6 2 6" xfId="666" xr:uid="{00000000-0005-0000-0000-0000B7100000}"/>
    <cellStyle name="Финансовый 3 6 2 7" xfId="2855" xr:uid="{00000000-0005-0000-0000-0000B8100000}"/>
    <cellStyle name="Финансовый 3 6 2 8" xfId="4499" xr:uid="{00000000-0005-0000-0000-0000B9100000}"/>
    <cellStyle name="Финансовый 3 6 3" xfId="394" xr:uid="{00000000-0005-0000-0000-0000BA100000}"/>
    <cellStyle name="Финансовый 3 6 3 2" xfId="2173" xr:uid="{00000000-0005-0000-0000-0000BB100000}"/>
    <cellStyle name="Финансовый 3 6 3 2 2" xfId="3818" xr:uid="{00000000-0005-0000-0000-0000BC100000}"/>
    <cellStyle name="Финансовый 3 6 3 2 3" xfId="5601" xr:uid="{00000000-0005-0000-0000-0000BD100000}"/>
    <cellStyle name="Финансовый 3 6 3 3" xfId="1207" xr:uid="{00000000-0005-0000-0000-0000BE100000}"/>
    <cellStyle name="Финансовый 3 6 3 4" xfId="814" xr:uid="{00000000-0005-0000-0000-0000BF100000}"/>
    <cellStyle name="Финансовый 3 6 3 5" xfId="2991" xr:uid="{00000000-0005-0000-0000-0000C0100000}"/>
    <cellStyle name="Финансовый 3 6 3 6" xfId="4635" xr:uid="{00000000-0005-0000-0000-0000C1100000}"/>
    <cellStyle name="Финансовый 3 6 4" xfId="1529" xr:uid="{00000000-0005-0000-0000-0000C2100000}"/>
    <cellStyle name="Финансовый 3 6 4 2" xfId="1917" xr:uid="{00000000-0005-0000-0000-0000C3100000}"/>
    <cellStyle name="Финансовый 3 6 4 2 2" xfId="3562" xr:uid="{00000000-0005-0000-0000-0000C4100000}"/>
    <cellStyle name="Финансовый 3 6 4 2 3" xfId="5345" xr:uid="{00000000-0005-0000-0000-0000C5100000}"/>
    <cellStyle name="Финансовый 3 6 4 3" xfId="4957" xr:uid="{00000000-0005-0000-0000-0000C6100000}"/>
    <cellStyle name="Финансовый 3 6 5" xfId="1793" xr:uid="{00000000-0005-0000-0000-0000C7100000}"/>
    <cellStyle name="Финансовый 3 6 5 2" xfId="3438" xr:uid="{00000000-0005-0000-0000-0000C8100000}"/>
    <cellStyle name="Финансовый 3 6 5 3" xfId="5221" xr:uid="{00000000-0005-0000-0000-0000C9100000}"/>
    <cellStyle name="Финансовый 3 6 6" xfId="2438" xr:uid="{00000000-0005-0000-0000-0000CA100000}"/>
    <cellStyle name="Финансовый 3 6 6 2" xfId="4083" xr:uid="{00000000-0005-0000-0000-0000CB100000}"/>
    <cellStyle name="Финансовый 3 6 6 3" xfId="5866" xr:uid="{00000000-0005-0000-0000-0000CC100000}"/>
    <cellStyle name="Финансовый 3 6 7" xfId="1665" xr:uid="{00000000-0005-0000-0000-0000CD100000}"/>
    <cellStyle name="Финансовый 3 6 7 2" xfId="3310" xr:uid="{00000000-0005-0000-0000-0000CE100000}"/>
    <cellStyle name="Финансовый 3 6 7 3" xfId="5093" xr:uid="{00000000-0005-0000-0000-0000CF100000}"/>
    <cellStyle name="Финансовый 3 6 8" xfId="942" xr:uid="{00000000-0005-0000-0000-0000D0100000}"/>
    <cellStyle name="Финансовый 3 6 9" xfId="530" xr:uid="{00000000-0005-0000-0000-0000D1100000}"/>
    <cellStyle name="Финансовый 3 7" xfId="74" xr:uid="{00000000-0005-0000-0000-0000D2100000}"/>
    <cellStyle name="Финансовый 3 7 10" xfId="2684" xr:uid="{00000000-0005-0000-0000-0000D3100000}"/>
    <cellStyle name="Финансовый 3 7 11" xfId="4328" xr:uid="{00000000-0005-0000-0000-0000D4100000}"/>
    <cellStyle name="Финансовый 3 7 2" xfId="210" xr:uid="{00000000-0005-0000-0000-0000D5100000}"/>
    <cellStyle name="Финансовый 3 7 2 2" xfId="1308" xr:uid="{00000000-0005-0000-0000-0000D6100000}"/>
    <cellStyle name="Финансовый 3 7 2 2 2" xfId="2266" xr:uid="{00000000-0005-0000-0000-0000D7100000}"/>
    <cellStyle name="Финансовый 3 7 2 2 2 2" xfId="3911" xr:uid="{00000000-0005-0000-0000-0000D8100000}"/>
    <cellStyle name="Финансовый 3 7 2 2 2 3" xfId="5694" xr:uid="{00000000-0005-0000-0000-0000D9100000}"/>
    <cellStyle name="Финансовый 3 7 2 2 3" xfId="3092" xr:uid="{00000000-0005-0000-0000-0000DA100000}"/>
    <cellStyle name="Финансовый 3 7 2 2 4" xfId="4736" xr:uid="{00000000-0005-0000-0000-0000DB100000}"/>
    <cellStyle name="Финансовый 3 7 2 3" xfId="2010" xr:uid="{00000000-0005-0000-0000-0000DC100000}"/>
    <cellStyle name="Финансовый 3 7 2 3 2" xfId="3655" xr:uid="{00000000-0005-0000-0000-0000DD100000}"/>
    <cellStyle name="Финансовый 3 7 2 3 3" xfId="5438" xr:uid="{00000000-0005-0000-0000-0000DE100000}"/>
    <cellStyle name="Финансовый 3 7 2 4" xfId="2539" xr:uid="{00000000-0005-0000-0000-0000DF100000}"/>
    <cellStyle name="Финансовый 3 7 2 4 2" xfId="4184" xr:uid="{00000000-0005-0000-0000-0000E0100000}"/>
    <cellStyle name="Финансовый 3 7 2 4 3" xfId="5967" xr:uid="{00000000-0005-0000-0000-0000E1100000}"/>
    <cellStyle name="Финансовый 3 7 2 5" xfId="1043" xr:uid="{00000000-0005-0000-0000-0000E2100000}"/>
    <cellStyle name="Финансовый 3 7 2 6" xfId="631" xr:uid="{00000000-0005-0000-0000-0000E3100000}"/>
    <cellStyle name="Финансовый 3 7 2 7" xfId="2820" xr:uid="{00000000-0005-0000-0000-0000E4100000}"/>
    <cellStyle name="Финансовый 3 7 2 8" xfId="4464" xr:uid="{00000000-0005-0000-0000-0000E5100000}"/>
    <cellStyle name="Финансовый 3 7 3" xfId="359" xr:uid="{00000000-0005-0000-0000-0000E6100000}"/>
    <cellStyle name="Финансовый 3 7 3 2" xfId="2138" xr:uid="{00000000-0005-0000-0000-0000E7100000}"/>
    <cellStyle name="Финансовый 3 7 3 2 2" xfId="3783" xr:uid="{00000000-0005-0000-0000-0000E8100000}"/>
    <cellStyle name="Финансовый 3 7 3 2 3" xfId="5566" xr:uid="{00000000-0005-0000-0000-0000E9100000}"/>
    <cellStyle name="Финансовый 3 7 3 3" xfId="1172" xr:uid="{00000000-0005-0000-0000-0000EA100000}"/>
    <cellStyle name="Финансовый 3 7 3 4" xfId="779" xr:uid="{00000000-0005-0000-0000-0000EB100000}"/>
    <cellStyle name="Финансовый 3 7 3 5" xfId="2956" xr:uid="{00000000-0005-0000-0000-0000EC100000}"/>
    <cellStyle name="Финансовый 3 7 3 6" xfId="4600" xr:uid="{00000000-0005-0000-0000-0000ED100000}"/>
    <cellStyle name="Финансовый 3 7 4" xfId="1530" xr:uid="{00000000-0005-0000-0000-0000EE100000}"/>
    <cellStyle name="Финансовый 3 7 4 2" xfId="1882" xr:uid="{00000000-0005-0000-0000-0000EF100000}"/>
    <cellStyle name="Финансовый 3 7 4 2 2" xfId="3527" xr:uid="{00000000-0005-0000-0000-0000F0100000}"/>
    <cellStyle name="Финансовый 3 7 4 2 3" xfId="5310" xr:uid="{00000000-0005-0000-0000-0000F1100000}"/>
    <cellStyle name="Финансовый 3 7 4 3" xfId="4958" xr:uid="{00000000-0005-0000-0000-0000F2100000}"/>
    <cellStyle name="Финансовый 3 7 5" xfId="1758" xr:uid="{00000000-0005-0000-0000-0000F3100000}"/>
    <cellStyle name="Финансовый 3 7 5 2" xfId="3403" xr:uid="{00000000-0005-0000-0000-0000F4100000}"/>
    <cellStyle name="Финансовый 3 7 5 3" xfId="5186" xr:uid="{00000000-0005-0000-0000-0000F5100000}"/>
    <cellStyle name="Финансовый 3 7 6" xfId="2403" xr:uid="{00000000-0005-0000-0000-0000F6100000}"/>
    <cellStyle name="Финансовый 3 7 6 2" xfId="4048" xr:uid="{00000000-0005-0000-0000-0000F7100000}"/>
    <cellStyle name="Финансовый 3 7 6 3" xfId="5831" xr:uid="{00000000-0005-0000-0000-0000F8100000}"/>
    <cellStyle name="Финансовый 3 7 7" xfId="1630" xr:uid="{00000000-0005-0000-0000-0000F9100000}"/>
    <cellStyle name="Финансовый 3 7 7 2" xfId="3275" xr:uid="{00000000-0005-0000-0000-0000FA100000}"/>
    <cellStyle name="Финансовый 3 7 7 3" xfId="5058" xr:uid="{00000000-0005-0000-0000-0000FB100000}"/>
    <cellStyle name="Финансовый 3 7 8" xfId="907" xr:uid="{00000000-0005-0000-0000-0000FC100000}"/>
    <cellStyle name="Финансовый 3 7 9" xfId="495" xr:uid="{00000000-0005-0000-0000-0000FD100000}"/>
    <cellStyle name="Финансовый 3 8" xfId="51" xr:uid="{00000000-0005-0000-0000-0000FE100000}"/>
    <cellStyle name="Финансовый 3 8 10" xfId="2663" xr:uid="{00000000-0005-0000-0000-0000FF100000}"/>
    <cellStyle name="Финансовый 3 8 11" xfId="4306" xr:uid="{00000000-0005-0000-0000-000000110000}"/>
    <cellStyle name="Финансовый 3 8 2" xfId="189" xr:uid="{00000000-0005-0000-0000-000001110000}"/>
    <cellStyle name="Финансовый 3 8 2 2" xfId="1287" xr:uid="{00000000-0005-0000-0000-000002110000}"/>
    <cellStyle name="Финансовый 3 8 2 2 2" xfId="2253" xr:uid="{00000000-0005-0000-0000-000003110000}"/>
    <cellStyle name="Финансовый 3 8 2 2 2 2" xfId="3898" xr:uid="{00000000-0005-0000-0000-000004110000}"/>
    <cellStyle name="Финансовый 3 8 2 2 2 3" xfId="5681" xr:uid="{00000000-0005-0000-0000-000005110000}"/>
    <cellStyle name="Финансовый 3 8 2 2 3" xfId="3071" xr:uid="{00000000-0005-0000-0000-000006110000}"/>
    <cellStyle name="Финансовый 3 8 2 2 4" xfId="4715" xr:uid="{00000000-0005-0000-0000-000007110000}"/>
    <cellStyle name="Финансовый 3 8 2 3" xfId="1997" xr:uid="{00000000-0005-0000-0000-000008110000}"/>
    <cellStyle name="Финансовый 3 8 2 3 2" xfId="3642" xr:uid="{00000000-0005-0000-0000-000009110000}"/>
    <cellStyle name="Финансовый 3 8 2 3 3" xfId="5425" xr:uid="{00000000-0005-0000-0000-00000A110000}"/>
    <cellStyle name="Финансовый 3 8 2 4" xfId="2518" xr:uid="{00000000-0005-0000-0000-00000B110000}"/>
    <cellStyle name="Финансовый 3 8 2 4 2" xfId="4163" xr:uid="{00000000-0005-0000-0000-00000C110000}"/>
    <cellStyle name="Финансовый 3 8 2 4 3" xfId="5946" xr:uid="{00000000-0005-0000-0000-00000D110000}"/>
    <cellStyle name="Финансовый 3 8 2 5" xfId="1022" xr:uid="{00000000-0005-0000-0000-00000E110000}"/>
    <cellStyle name="Финансовый 3 8 2 6" xfId="610" xr:uid="{00000000-0005-0000-0000-00000F110000}"/>
    <cellStyle name="Финансовый 3 8 2 7" xfId="2799" xr:uid="{00000000-0005-0000-0000-000010110000}"/>
    <cellStyle name="Финансовый 3 8 2 8" xfId="4443" xr:uid="{00000000-0005-0000-0000-000011110000}"/>
    <cellStyle name="Финансовый 3 8 3" xfId="338" xr:uid="{00000000-0005-0000-0000-000012110000}"/>
    <cellStyle name="Финансовый 3 8 3 2" xfId="2125" xr:uid="{00000000-0005-0000-0000-000013110000}"/>
    <cellStyle name="Финансовый 3 8 3 2 2" xfId="3770" xr:uid="{00000000-0005-0000-0000-000014110000}"/>
    <cellStyle name="Финансовый 3 8 3 2 3" xfId="5553" xr:uid="{00000000-0005-0000-0000-000015110000}"/>
    <cellStyle name="Финансовый 3 8 3 3" xfId="1158" xr:uid="{00000000-0005-0000-0000-000016110000}"/>
    <cellStyle name="Финансовый 3 8 3 4" xfId="758" xr:uid="{00000000-0005-0000-0000-000017110000}"/>
    <cellStyle name="Финансовый 3 8 3 5" xfId="2935" xr:uid="{00000000-0005-0000-0000-000018110000}"/>
    <cellStyle name="Финансовый 3 8 3 6" xfId="4579" xr:uid="{00000000-0005-0000-0000-000019110000}"/>
    <cellStyle name="Финансовый 3 8 4" xfId="1420" xr:uid="{00000000-0005-0000-0000-00001A110000}"/>
    <cellStyle name="Финансовый 3 8 4 2" xfId="1861" xr:uid="{00000000-0005-0000-0000-00001B110000}"/>
    <cellStyle name="Финансовый 3 8 4 2 2" xfId="3506" xr:uid="{00000000-0005-0000-0000-00001C110000}"/>
    <cellStyle name="Финансовый 3 8 4 2 3" xfId="5289" xr:uid="{00000000-0005-0000-0000-00001D110000}"/>
    <cellStyle name="Финансовый 3 8 4 3" xfId="4848" xr:uid="{00000000-0005-0000-0000-00001E110000}"/>
    <cellStyle name="Финансовый 3 8 5" xfId="1745" xr:uid="{00000000-0005-0000-0000-00001F110000}"/>
    <cellStyle name="Финансовый 3 8 5 2" xfId="3390" xr:uid="{00000000-0005-0000-0000-000020110000}"/>
    <cellStyle name="Финансовый 3 8 5 3" xfId="5173" xr:uid="{00000000-0005-0000-0000-000021110000}"/>
    <cellStyle name="Финансовый 3 8 6" xfId="2381" xr:uid="{00000000-0005-0000-0000-000022110000}"/>
    <cellStyle name="Финансовый 3 8 6 2" xfId="4026" xr:uid="{00000000-0005-0000-0000-000023110000}"/>
    <cellStyle name="Финансовый 3 8 6 3" xfId="5809" xr:uid="{00000000-0005-0000-0000-000024110000}"/>
    <cellStyle name="Финансовый 3 8 7" xfId="1608" xr:uid="{00000000-0005-0000-0000-000025110000}"/>
    <cellStyle name="Финансовый 3 8 7 2" xfId="3253" xr:uid="{00000000-0005-0000-0000-000026110000}"/>
    <cellStyle name="Финансовый 3 8 7 3" xfId="5036" xr:uid="{00000000-0005-0000-0000-000027110000}"/>
    <cellStyle name="Финансовый 3 8 8" xfId="894" xr:uid="{00000000-0005-0000-0000-000028110000}"/>
    <cellStyle name="Финансовый 3 8 9" xfId="474" xr:uid="{00000000-0005-0000-0000-000029110000}"/>
    <cellStyle name="Финансовый 3 9" xfId="129" xr:uid="{00000000-0005-0000-0000-00002A110000}"/>
    <cellStyle name="Финансовый 3 9 10" xfId="2739" xr:uid="{00000000-0005-0000-0000-00002B110000}"/>
    <cellStyle name="Финансовый 3 9 11" xfId="4383" xr:uid="{00000000-0005-0000-0000-00002C110000}"/>
    <cellStyle name="Финансовый 3 9 2" xfId="265" xr:uid="{00000000-0005-0000-0000-00002D110000}"/>
    <cellStyle name="Финансовый 3 9 2 2" xfId="1363" xr:uid="{00000000-0005-0000-0000-00002E110000}"/>
    <cellStyle name="Финансовый 3 9 2 2 2" xfId="2321" xr:uid="{00000000-0005-0000-0000-00002F110000}"/>
    <cellStyle name="Финансовый 3 9 2 2 2 2" xfId="3966" xr:uid="{00000000-0005-0000-0000-000030110000}"/>
    <cellStyle name="Финансовый 3 9 2 2 2 3" xfId="5749" xr:uid="{00000000-0005-0000-0000-000031110000}"/>
    <cellStyle name="Финансовый 3 9 2 2 3" xfId="3147" xr:uid="{00000000-0005-0000-0000-000032110000}"/>
    <cellStyle name="Финансовый 3 9 2 2 4" xfId="4791" xr:uid="{00000000-0005-0000-0000-000033110000}"/>
    <cellStyle name="Финансовый 3 9 2 3" xfId="2065" xr:uid="{00000000-0005-0000-0000-000034110000}"/>
    <cellStyle name="Финансовый 3 9 2 3 2" xfId="3710" xr:uid="{00000000-0005-0000-0000-000035110000}"/>
    <cellStyle name="Финансовый 3 9 2 3 3" xfId="5493" xr:uid="{00000000-0005-0000-0000-000036110000}"/>
    <cellStyle name="Финансовый 3 9 2 4" xfId="2594" xr:uid="{00000000-0005-0000-0000-000037110000}"/>
    <cellStyle name="Финансовый 3 9 2 4 2" xfId="4239" xr:uid="{00000000-0005-0000-0000-000038110000}"/>
    <cellStyle name="Финансовый 3 9 2 4 3" xfId="6022" xr:uid="{00000000-0005-0000-0000-000039110000}"/>
    <cellStyle name="Финансовый 3 9 2 5" xfId="1098" xr:uid="{00000000-0005-0000-0000-00003A110000}"/>
    <cellStyle name="Финансовый 3 9 2 6" xfId="686" xr:uid="{00000000-0005-0000-0000-00003B110000}"/>
    <cellStyle name="Финансовый 3 9 2 7" xfId="2875" xr:uid="{00000000-0005-0000-0000-00003C110000}"/>
    <cellStyle name="Финансовый 3 9 2 8" xfId="4519" xr:uid="{00000000-0005-0000-0000-00003D110000}"/>
    <cellStyle name="Финансовый 3 9 3" xfId="414" xr:uid="{00000000-0005-0000-0000-00003E110000}"/>
    <cellStyle name="Финансовый 3 9 3 2" xfId="2193" xr:uid="{00000000-0005-0000-0000-00003F110000}"/>
    <cellStyle name="Финансовый 3 9 3 2 2" xfId="3838" xr:uid="{00000000-0005-0000-0000-000040110000}"/>
    <cellStyle name="Финансовый 3 9 3 2 3" xfId="5621" xr:uid="{00000000-0005-0000-0000-000041110000}"/>
    <cellStyle name="Финансовый 3 9 3 3" xfId="1227" xr:uid="{00000000-0005-0000-0000-000042110000}"/>
    <cellStyle name="Финансовый 3 9 3 4" xfId="834" xr:uid="{00000000-0005-0000-0000-000043110000}"/>
    <cellStyle name="Финансовый 3 9 3 5" xfId="3011" xr:uid="{00000000-0005-0000-0000-000044110000}"/>
    <cellStyle name="Финансовый 3 9 3 6" xfId="4655" xr:uid="{00000000-0005-0000-0000-000045110000}"/>
    <cellStyle name="Финансовый 3 9 4" xfId="1423" xr:uid="{00000000-0005-0000-0000-000046110000}"/>
    <cellStyle name="Финансовый 3 9 4 2" xfId="1937" xr:uid="{00000000-0005-0000-0000-000047110000}"/>
    <cellStyle name="Финансовый 3 9 4 2 2" xfId="3582" xr:uid="{00000000-0005-0000-0000-000048110000}"/>
    <cellStyle name="Финансовый 3 9 4 2 3" xfId="5365" xr:uid="{00000000-0005-0000-0000-000049110000}"/>
    <cellStyle name="Финансовый 3 9 4 3" xfId="4851" xr:uid="{00000000-0005-0000-0000-00004A110000}"/>
    <cellStyle name="Финансовый 3 9 5" xfId="1813" xr:uid="{00000000-0005-0000-0000-00004B110000}"/>
    <cellStyle name="Финансовый 3 9 5 2" xfId="3458" xr:uid="{00000000-0005-0000-0000-00004C110000}"/>
    <cellStyle name="Финансовый 3 9 5 3" xfId="5241" xr:uid="{00000000-0005-0000-0000-00004D110000}"/>
    <cellStyle name="Финансовый 3 9 6" xfId="2458" xr:uid="{00000000-0005-0000-0000-00004E110000}"/>
    <cellStyle name="Финансовый 3 9 6 2" xfId="4103" xr:uid="{00000000-0005-0000-0000-00004F110000}"/>
    <cellStyle name="Финансовый 3 9 6 3" xfId="5886" xr:uid="{00000000-0005-0000-0000-000050110000}"/>
    <cellStyle name="Финансовый 3 9 7" xfId="1685" xr:uid="{00000000-0005-0000-0000-000051110000}"/>
    <cellStyle name="Финансовый 3 9 7 2" xfId="3330" xr:uid="{00000000-0005-0000-0000-000052110000}"/>
    <cellStyle name="Финансовый 3 9 7 3" xfId="5113" xr:uid="{00000000-0005-0000-0000-000053110000}"/>
    <cellStyle name="Финансовый 3 9 8" xfId="962" xr:uid="{00000000-0005-0000-0000-000054110000}"/>
    <cellStyle name="Финансовый 3 9 9" xfId="550" xr:uid="{00000000-0005-0000-0000-000055110000}"/>
    <cellStyle name="Финансовый 30" xfId="1620" xr:uid="{00000000-0005-0000-0000-000056110000}"/>
    <cellStyle name="Финансовый 30 2" xfId="3265" xr:uid="{00000000-0005-0000-0000-000057110000}"/>
    <cellStyle name="Финансовый 30 3" xfId="5048" xr:uid="{00000000-0005-0000-0000-000058110000}"/>
    <cellStyle name="Финансовый 31" xfId="844" xr:uid="{00000000-0005-0000-0000-000059110000}"/>
    <cellStyle name="Финансовый 32" xfId="1171" xr:uid="{00000000-0005-0000-0000-00005A110000}"/>
    <cellStyle name="Финансовый 33" xfId="2612" xr:uid="{00000000-0005-0000-0000-00005B110000}"/>
    <cellStyle name="Финансовый 34" xfId="2611" xr:uid="{00000000-0005-0000-0000-00005C110000}"/>
    <cellStyle name="Финансовый 35" xfId="424" xr:uid="{00000000-0005-0000-0000-00005D110000}"/>
    <cellStyle name="Финансовый 36" xfId="2613" xr:uid="{00000000-0005-0000-0000-00005E110000}"/>
    <cellStyle name="Финансовый 37" xfId="3202" xr:uid="{00000000-0005-0000-0000-00005F110000}"/>
    <cellStyle name="Финансовый 38" xfId="4256" xr:uid="{00000000-0005-0000-0000-000060110000}"/>
    <cellStyle name="Финансовый 39" xfId="4318" xr:uid="{00000000-0005-0000-0000-000061110000}"/>
    <cellStyle name="Финансовый 4" xfId="5" xr:uid="{00000000-0005-0000-0000-000062110000}"/>
    <cellStyle name="Финансовый 4 10" xfId="29" xr:uid="{00000000-0005-0000-0000-000063110000}"/>
    <cellStyle name="Финансовый 4 10 10" xfId="2641" xr:uid="{00000000-0005-0000-0000-000064110000}"/>
    <cellStyle name="Финансовый 4 10 11" xfId="4284" xr:uid="{00000000-0005-0000-0000-000065110000}"/>
    <cellStyle name="Финансовый 4 10 2" xfId="167" xr:uid="{00000000-0005-0000-0000-000066110000}"/>
    <cellStyle name="Финансовый 4 10 2 2" xfId="1265" xr:uid="{00000000-0005-0000-0000-000067110000}"/>
    <cellStyle name="Финансовый 4 10 2 2 2" xfId="2231" xr:uid="{00000000-0005-0000-0000-000068110000}"/>
    <cellStyle name="Финансовый 4 10 2 2 2 2" xfId="3876" xr:uid="{00000000-0005-0000-0000-000069110000}"/>
    <cellStyle name="Финансовый 4 10 2 2 2 3" xfId="5659" xr:uid="{00000000-0005-0000-0000-00006A110000}"/>
    <cellStyle name="Финансовый 4 10 2 2 3" xfId="3049" xr:uid="{00000000-0005-0000-0000-00006B110000}"/>
    <cellStyle name="Финансовый 4 10 2 2 4" xfId="4693" xr:uid="{00000000-0005-0000-0000-00006C110000}"/>
    <cellStyle name="Финансовый 4 10 2 3" xfId="1975" xr:uid="{00000000-0005-0000-0000-00006D110000}"/>
    <cellStyle name="Финансовый 4 10 2 3 2" xfId="3620" xr:uid="{00000000-0005-0000-0000-00006E110000}"/>
    <cellStyle name="Финансовый 4 10 2 3 3" xfId="5403" xr:uid="{00000000-0005-0000-0000-00006F110000}"/>
    <cellStyle name="Финансовый 4 10 2 4" xfId="2496" xr:uid="{00000000-0005-0000-0000-000070110000}"/>
    <cellStyle name="Финансовый 4 10 2 4 2" xfId="4141" xr:uid="{00000000-0005-0000-0000-000071110000}"/>
    <cellStyle name="Финансовый 4 10 2 4 3" xfId="5924" xr:uid="{00000000-0005-0000-0000-000072110000}"/>
    <cellStyle name="Финансовый 4 10 2 5" xfId="1000" xr:uid="{00000000-0005-0000-0000-000073110000}"/>
    <cellStyle name="Финансовый 4 10 2 6" xfId="588" xr:uid="{00000000-0005-0000-0000-000074110000}"/>
    <cellStyle name="Финансовый 4 10 2 7" xfId="2777" xr:uid="{00000000-0005-0000-0000-000075110000}"/>
    <cellStyle name="Финансовый 4 10 2 8" xfId="4421" xr:uid="{00000000-0005-0000-0000-000076110000}"/>
    <cellStyle name="Финансовый 4 10 3" xfId="316" xr:uid="{00000000-0005-0000-0000-000077110000}"/>
    <cellStyle name="Финансовый 4 10 3 2" xfId="2103" xr:uid="{00000000-0005-0000-0000-000078110000}"/>
    <cellStyle name="Финансовый 4 10 3 2 2" xfId="3748" xr:uid="{00000000-0005-0000-0000-000079110000}"/>
    <cellStyle name="Финансовый 4 10 3 2 3" xfId="5531" xr:uid="{00000000-0005-0000-0000-00007A110000}"/>
    <cellStyle name="Финансовый 4 10 3 3" xfId="1136" xr:uid="{00000000-0005-0000-0000-00007B110000}"/>
    <cellStyle name="Финансовый 4 10 3 4" xfId="736" xr:uid="{00000000-0005-0000-0000-00007C110000}"/>
    <cellStyle name="Финансовый 4 10 3 5" xfId="2913" xr:uid="{00000000-0005-0000-0000-00007D110000}"/>
    <cellStyle name="Финансовый 4 10 3 6" xfId="4557" xr:uid="{00000000-0005-0000-0000-00007E110000}"/>
    <cellStyle name="Финансовый 4 10 4" xfId="1532" xr:uid="{00000000-0005-0000-0000-00007F110000}"/>
    <cellStyle name="Финансовый 4 10 4 2" xfId="1839" xr:uid="{00000000-0005-0000-0000-000080110000}"/>
    <cellStyle name="Финансовый 4 10 4 2 2" xfId="3484" xr:uid="{00000000-0005-0000-0000-000081110000}"/>
    <cellStyle name="Финансовый 4 10 4 2 3" xfId="5267" xr:uid="{00000000-0005-0000-0000-000082110000}"/>
    <cellStyle name="Финансовый 4 10 4 3" xfId="4960" xr:uid="{00000000-0005-0000-0000-000083110000}"/>
    <cellStyle name="Финансовый 4 10 5" xfId="1723" xr:uid="{00000000-0005-0000-0000-000084110000}"/>
    <cellStyle name="Финансовый 4 10 5 2" xfId="3368" xr:uid="{00000000-0005-0000-0000-000085110000}"/>
    <cellStyle name="Финансовый 4 10 5 3" xfId="5151" xr:uid="{00000000-0005-0000-0000-000086110000}"/>
    <cellStyle name="Финансовый 4 10 6" xfId="2359" xr:uid="{00000000-0005-0000-0000-000087110000}"/>
    <cellStyle name="Финансовый 4 10 6 2" xfId="4004" xr:uid="{00000000-0005-0000-0000-000088110000}"/>
    <cellStyle name="Финансовый 4 10 6 3" xfId="5787" xr:uid="{00000000-0005-0000-0000-000089110000}"/>
    <cellStyle name="Финансовый 4 10 7" xfId="1586" xr:uid="{00000000-0005-0000-0000-00008A110000}"/>
    <cellStyle name="Финансовый 4 10 7 2" xfId="3231" xr:uid="{00000000-0005-0000-0000-00008B110000}"/>
    <cellStyle name="Финансовый 4 10 7 3" xfId="5014" xr:uid="{00000000-0005-0000-0000-00008C110000}"/>
    <cellStyle name="Финансовый 4 10 8" xfId="872" xr:uid="{00000000-0005-0000-0000-00008D110000}"/>
    <cellStyle name="Финансовый 4 10 9" xfId="452" xr:uid="{00000000-0005-0000-0000-00008E110000}"/>
    <cellStyle name="Финансовый 4 11" xfId="17" xr:uid="{00000000-0005-0000-0000-00008F110000}"/>
    <cellStyle name="Финансовый 4 11 10" xfId="2629" xr:uid="{00000000-0005-0000-0000-000090110000}"/>
    <cellStyle name="Финансовый 4 11 11" xfId="4272" xr:uid="{00000000-0005-0000-0000-000091110000}"/>
    <cellStyle name="Финансовый 4 11 2" xfId="155" xr:uid="{00000000-0005-0000-0000-000092110000}"/>
    <cellStyle name="Финансовый 4 11 2 2" xfId="1253" xr:uid="{00000000-0005-0000-0000-000093110000}"/>
    <cellStyle name="Финансовый 4 11 2 2 2" xfId="2219" xr:uid="{00000000-0005-0000-0000-000094110000}"/>
    <cellStyle name="Финансовый 4 11 2 2 2 2" xfId="3864" xr:uid="{00000000-0005-0000-0000-000095110000}"/>
    <cellStyle name="Финансовый 4 11 2 2 2 3" xfId="5647" xr:uid="{00000000-0005-0000-0000-000096110000}"/>
    <cellStyle name="Финансовый 4 11 2 2 3" xfId="3037" xr:uid="{00000000-0005-0000-0000-000097110000}"/>
    <cellStyle name="Финансовый 4 11 2 2 4" xfId="4681" xr:uid="{00000000-0005-0000-0000-000098110000}"/>
    <cellStyle name="Финансовый 4 11 2 3" xfId="1963" xr:uid="{00000000-0005-0000-0000-000099110000}"/>
    <cellStyle name="Финансовый 4 11 2 3 2" xfId="3608" xr:uid="{00000000-0005-0000-0000-00009A110000}"/>
    <cellStyle name="Финансовый 4 11 2 3 3" xfId="5391" xr:uid="{00000000-0005-0000-0000-00009B110000}"/>
    <cellStyle name="Финансовый 4 11 2 4" xfId="2484" xr:uid="{00000000-0005-0000-0000-00009C110000}"/>
    <cellStyle name="Финансовый 4 11 2 4 2" xfId="4129" xr:uid="{00000000-0005-0000-0000-00009D110000}"/>
    <cellStyle name="Финансовый 4 11 2 4 3" xfId="5912" xr:uid="{00000000-0005-0000-0000-00009E110000}"/>
    <cellStyle name="Финансовый 4 11 2 5" xfId="988" xr:uid="{00000000-0005-0000-0000-00009F110000}"/>
    <cellStyle name="Финансовый 4 11 2 6" xfId="576" xr:uid="{00000000-0005-0000-0000-0000A0110000}"/>
    <cellStyle name="Финансовый 4 11 2 7" xfId="2765" xr:uid="{00000000-0005-0000-0000-0000A1110000}"/>
    <cellStyle name="Финансовый 4 11 2 8" xfId="4409" xr:uid="{00000000-0005-0000-0000-0000A2110000}"/>
    <cellStyle name="Финансовый 4 11 3" xfId="304" xr:uid="{00000000-0005-0000-0000-0000A3110000}"/>
    <cellStyle name="Финансовый 4 11 3 2" xfId="2091" xr:uid="{00000000-0005-0000-0000-0000A4110000}"/>
    <cellStyle name="Финансовый 4 11 3 2 2" xfId="3736" xr:uid="{00000000-0005-0000-0000-0000A5110000}"/>
    <cellStyle name="Финансовый 4 11 3 2 3" xfId="5519" xr:uid="{00000000-0005-0000-0000-0000A6110000}"/>
    <cellStyle name="Финансовый 4 11 3 3" xfId="1124" xr:uid="{00000000-0005-0000-0000-0000A7110000}"/>
    <cellStyle name="Финансовый 4 11 3 4" xfId="724" xr:uid="{00000000-0005-0000-0000-0000A8110000}"/>
    <cellStyle name="Финансовый 4 11 3 5" xfId="2901" xr:uid="{00000000-0005-0000-0000-0000A9110000}"/>
    <cellStyle name="Финансовый 4 11 3 6" xfId="4545" xr:uid="{00000000-0005-0000-0000-0000AA110000}"/>
    <cellStyle name="Финансовый 4 11 4" xfId="1533" xr:uid="{00000000-0005-0000-0000-0000AB110000}"/>
    <cellStyle name="Финансовый 4 11 4 2" xfId="1827" xr:uid="{00000000-0005-0000-0000-0000AC110000}"/>
    <cellStyle name="Финансовый 4 11 4 2 2" xfId="3472" xr:uid="{00000000-0005-0000-0000-0000AD110000}"/>
    <cellStyle name="Финансовый 4 11 4 2 3" xfId="5255" xr:uid="{00000000-0005-0000-0000-0000AE110000}"/>
    <cellStyle name="Финансовый 4 11 4 3" xfId="4961" xr:uid="{00000000-0005-0000-0000-0000AF110000}"/>
    <cellStyle name="Финансовый 4 11 5" xfId="1711" xr:uid="{00000000-0005-0000-0000-0000B0110000}"/>
    <cellStyle name="Финансовый 4 11 5 2" xfId="3356" xr:uid="{00000000-0005-0000-0000-0000B1110000}"/>
    <cellStyle name="Финансовый 4 11 5 3" xfId="5139" xr:uid="{00000000-0005-0000-0000-0000B2110000}"/>
    <cellStyle name="Финансовый 4 11 6" xfId="2347" xr:uid="{00000000-0005-0000-0000-0000B3110000}"/>
    <cellStyle name="Финансовый 4 11 6 2" xfId="3992" xr:uid="{00000000-0005-0000-0000-0000B4110000}"/>
    <cellStyle name="Финансовый 4 11 6 3" xfId="5775" xr:uid="{00000000-0005-0000-0000-0000B5110000}"/>
    <cellStyle name="Финансовый 4 11 7" xfId="1574" xr:uid="{00000000-0005-0000-0000-0000B6110000}"/>
    <cellStyle name="Финансовый 4 11 7 2" xfId="3219" xr:uid="{00000000-0005-0000-0000-0000B7110000}"/>
    <cellStyle name="Финансовый 4 11 7 3" xfId="5002" xr:uid="{00000000-0005-0000-0000-0000B8110000}"/>
    <cellStyle name="Финансовый 4 11 8" xfId="860" xr:uid="{00000000-0005-0000-0000-0000B9110000}"/>
    <cellStyle name="Финансовый 4 11 9" xfId="440" xr:uid="{00000000-0005-0000-0000-0000BA110000}"/>
    <cellStyle name="Финансовый 4 12" xfId="143" xr:uid="{00000000-0005-0000-0000-0000BB110000}"/>
    <cellStyle name="Финансовый 4 12 2" xfId="1241" xr:uid="{00000000-0005-0000-0000-0000BC110000}"/>
    <cellStyle name="Финансовый 4 12 2 2" xfId="2207" xr:uid="{00000000-0005-0000-0000-0000BD110000}"/>
    <cellStyle name="Финансовый 4 12 2 2 2" xfId="3852" xr:uid="{00000000-0005-0000-0000-0000BE110000}"/>
    <cellStyle name="Финансовый 4 12 2 2 3" xfId="5635" xr:uid="{00000000-0005-0000-0000-0000BF110000}"/>
    <cellStyle name="Финансовый 4 12 2 3" xfId="3025" xr:uid="{00000000-0005-0000-0000-0000C0110000}"/>
    <cellStyle name="Финансовый 4 12 2 4" xfId="4669" xr:uid="{00000000-0005-0000-0000-0000C1110000}"/>
    <cellStyle name="Финансовый 4 12 3" xfId="1951" xr:uid="{00000000-0005-0000-0000-0000C2110000}"/>
    <cellStyle name="Финансовый 4 12 3 2" xfId="3596" xr:uid="{00000000-0005-0000-0000-0000C3110000}"/>
    <cellStyle name="Финансовый 4 12 3 3" xfId="5379" xr:uid="{00000000-0005-0000-0000-0000C4110000}"/>
    <cellStyle name="Финансовый 4 12 4" xfId="2472" xr:uid="{00000000-0005-0000-0000-0000C5110000}"/>
    <cellStyle name="Финансовый 4 12 4 2" xfId="4117" xr:uid="{00000000-0005-0000-0000-0000C6110000}"/>
    <cellStyle name="Финансовый 4 12 4 3" xfId="5900" xr:uid="{00000000-0005-0000-0000-0000C7110000}"/>
    <cellStyle name="Финансовый 4 12 5" xfId="976" xr:uid="{00000000-0005-0000-0000-0000C8110000}"/>
    <cellStyle name="Финансовый 4 12 6" xfId="564" xr:uid="{00000000-0005-0000-0000-0000C9110000}"/>
    <cellStyle name="Финансовый 4 12 7" xfId="2753" xr:uid="{00000000-0005-0000-0000-0000CA110000}"/>
    <cellStyle name="Финансовый 4 12 8" xfId="4397" xr:uid="{00000000-0005-0000-0000-0000CB110000}"/>
    <cellStyle name="Финансовый 4 13" xfId="279" xr:uid="{00000000-0005-0000-0000-0000CC110000}"/>
    <cellStyle name="Финансовый 4 13 2" xfId="2079" xr:uid="{00000000-0005-0000-0000-0000CD110000}"/>
    <cellStyle name="Финансовый 4 13 2 2" xfId="3724" xr:uid="{00000000-0005-0000-0000-0000CE110000}"/>
    <cellStyle name="Финансовый 4 13 2 3" xfId="5507" xr:uid="{00000000-0005-0000-0000-0000CF110000}"/>
    <cellStyle name="Финансовый 4 13 3" xfId="1377" xr:uid="{00000000-0005-0000-0000-0000D0110000}"/>
    <cellStyle name="Финансовый 4 13 4" xfId="700" xr:uid="{00000000-0005-0000-0000-0000D1110000}"/>
    <cellStyle name="Финансовый 4 13 5" xfId="3161" xr:uid="{00000000-0005-0000-0000-0000D2110000}"/>
    <cellStyle name="Финансовый 4 13 6" xfId="4805" xr:uid="{00000000-0005-0000-0000-0000D3110000}"/>
    <cellStyle name="Финансовый 4 14" xfId="292" xr:uid="{00000000-0005-0000-0000-0000D4110000}"/>
    <cellStyle name="Финансовый 4 14 2" xfId="1112" xr:uid="{00000000-0005-0000-0000-0000D5110000}"/>
    <cellStyle name="Финансовый 4 14 3" xfId="712" xr:uid="{00000000-0005-0000-0000-0000D6110000}"/>
    <cellStyle name="Финансовый 4 14 4" xfId="2889" xr:uid="{00000000-0005-0000-0000-0000D7110000}"/>
    <cellStyle name="Финансовый 4 14 5" xfId="4533" xr:uid="{00000000-0005-0000-0000-0000D8110000}"/>
    <cellStyle name="Финансовый 4 15" xfId="1531" xr:uid="{00000000-0005-0000-0000-0000D9110000}"/>
    <cellStyle name="Финансовый 4 15 2" xfId="1699" xr:uid="{00000000-0005-0000-0000-0000DA110000}"/>
    <cellStyle name="Финансовый 4 15 2 2" xfId="3344" xr:uid="{00000000-0005-0000-0000-0000DB110000}"/>
    <cellStyle name="Финансовый 4 15 2 3" xfId="5127" xr:uid="{00000000-0005-0000-0000-0000DC110000}"/>
    <cellStyle name="Финансовый 4 15 3" xfId="4959" xr:uid="{00000000-0005-0000-0000-0000DD110000}"/>
    <cellStyle name="Финансовый 4 16" xfId="2335" xr:uid="{00000000-0005-0000-0000-0000DE110000}"/>
    <cellStyle name="Финансовый 4 16 2" xfId="3980" xr:uid="{00000000-0005-0000-0000-0000DF110000}"/>
    <cellStyle name="Финансовый 4 16 3" xfId="5763" xr:uid="{00000000-0005-0000-0000-0000E0110000}"/>
    <cellStyle name="Финансовый 4 17" xfId="1562" xr:uid="{00000000-0005-0000-0000-0000E1110000}"/>
    <cellStyle name="Финансовый 4 17 2" xfId="3207" xr:uid="{00000000-0005-0000-0000-0000E2110000}"/>
    <cellStyle name="Финансовый 4 17 3" xfId="4990" xr:uid="{00000000-0005-0000-0000-0000E3110000}"/>
    <cellStyle name="Финансовый 4 18" xfId="848" xr:uid="{00000000-0005-0000-0000-0000E4110000}"/>
    <cellStyle name="Финансовый 4 19" xfId="428" xr:uid="{00000000-0005-0000-0000-0000E5110000}"/>
    <cellStyle name="Финансовый 4 2" xfId="11" xr:uid="{00000000-0005-0000-0000-0000E6110000}"/>
    <cellStyle name="Финансовый 4 2 10" xfId="285" xr:uid="{00000000-0005-0000-0000-0000E7110000}"/>
    <cellStyle name="Финансовый 4 2 10 2" xfId="2085" xr:uid="{00000000-0005-0000-0000-0000E8110000}"/>
    <cellStyle name="Финансовый 4 2 10 2 2" xfId="3730" xr:uid="{00000000-0005-0000-0000-0000E9110000}"/>
    <cellStyle name="Финансовый 4 2 10 2 3" xfId="5513" xr:uid="{00000000-0005-0000-0000-0000EA110000}"/>
    <cellStyle name="Финансовый 4 2 10 3" xfId="1383" xr:uid="{00000000-0005-0000-0000-0000EB110000}"/>
    <cellStyle name="Финансовый 4 2 10 4" xfId="706" xr:uid="{00000000-0005-0000-0000-0000EC110000}"/>
    <cellStyle name="Финансовый 4 2 10 5" xfId="3167" xr:uid="{00000000-0005-0000-0000-0000ED110000}"/>
    <cellStyle name="Финансовый 4 2 10 6" xfId="4811" xr:uid="{00000000-0005-0000-0000-0000EE110000}"/>
    <cellStyle name="Финансовый 4 2 11" xfId="298" xr:uid="{00000000-0005-0000-0000-0000EF110000}"/>
    <cellStyle name="Финансовый 4 2 11 2" xfId="1118" xr:uid="{00000000-0005-0000-0000-0000F0110000}"/>
    <cellStyle name="Финансовый 4 2 11 3" xfId="718" xr:uid="{00000000-0005-0000-0000-0000F1110000}"/>
    <cellStyle name="Финансовый 4 2 11 4" xfId="2895" xr:uid="{00000000-0005-0000-0000-0000F2110000}"/>
    <cellStyle name="Финансовый 4 2 11 5" xfId="4539" xr:uid="{00000000-0005-0000-0000-0000F3110000}"/>
    <cellStyle name="Финансовый 4 2 12" xfId="1534" xr:uid="{00000000-0005-0000-0000-0000F4110000}"/>
    <cellStyle name="Финансовый 4 2 12 2" xfId="1705" xr:uid="{00000000-0005-0000-0000-0000F5110000}"/>
    <cellStyle name="Финансовый 4 2 12 2 2" xfId="3350" xr:uid="{00000000-0005-0000-0000-0000F6110000}"/>
    <cellStyle name="Финансовый 4 2 12 2 3" xfId="5133" xr:uid="{00000000-0005-0000-0000-0000F7110000}"/>
    <cellStyle name="Финансовый 4 2 12 3" xfId="4962" xr:uid="{00000000-0005-0000-0000-0000F8110000}"/>
    <cellStyle name="Финансовый 4 2 13" xfId="2341" xr:uid="{00000000-0005-0000-0000-0000F9110000}"/>
    <cellStyle name="Финансовый 4 2 13 2" xfId="3986" xr:uid="{00000000-0005-0000-0000-0000FA110000}"/>
    <cellStyle name="Финансовый 4 2 13 3" xfId="5769" xr:uid="{00000000-0005-0000-0000-0000FB110000}"/>
    <cellStyle name="Финансовый 4 2 14" xfId="1568" xr:uid="{00000000-0005-0000-0000-0000FC110000}"/>
    <cellStyle name="Финансовый 4 2 14 2" xfId="3213" xr:uid="{00000000-0005-0000-0000-0000FD110000}"/>
    <cellStyle name="Финансовый 4 2 14 3" xfId="4996" xr:uid="{00000000-0005-0000-0000-0000FE110000}"/>
    <cellStyle name="Финансовый 4 2 15" xfId="854" xr:uid="{00000000-0005-0000-0000-0000FF110000}"/>
    <cellStyle name="Финансовый 4 2 16" xfId="434" xr:uid="{00000000-0005-0000-0000-000000120000}"/>
    <cellStyle name="Финансовый 4 2 17" xfId="2623" xr:uid="{00000000-0005-0000-0000-000001120000}"/>
    <cellStyle name="Финансовый 4 2 18" xfId="4266" xr:uid="{00000000-0005-0000-0000-000002120000}"/>
    <cellStyle name="Финансовый 4 2 2" xfId="47" xr:uid="{00000000-0005-0000-0000-000003120000}"/>
    <cellStyle name="Финансовый 4 2 2 10" xfId="470" xr:uid="{00000000-0005-0000-0000-000004120000}"/>
    <cellStyle name="Финансовый 4 2 2 11" xfId="2659" xr:uid="{00000000-0005-0000-0000-000005120000}"/>
    <cellStyle name="Финансовый 4 2 2 12" xfId="4302" xr:uid="{00000000-0005-0000-0000-000006120000}"/>
    <cellStyle name="Финансовый 4 2 2 2" xfId="105" xr:uid="{00000000-0005-0000-0000-000007120000}"/>
    <cellStyle name="Финансовый 4 2 2 2 10" xfId="2715" xr:uid="{00000000-0005-0000-0000-000008120000}"/>
    <cellStyle name="Финансовый 4 2 2 2 11" xfId="4359" xr:uid="{00000000-0005-0000-0000-000009120000}"/>
    <cellStyle name="Финансовый 4 2 2 2 2" xfId="241" xr:uid="{00000000-0005-0000-0000-00000A120000}"/>
    <cellStyle name="Финансовый 4 2 2 2 2 2" xfId="1339" xr:uid="{00000000-0005-0000-0000-00000B120000}"/>
    <cellStyle name="Финансовый 4 2 2 2 2 2 2" xfId="2297" xr:uid="{00000000-0005-0000-0000-00000C120000}"/>
    <cellStyle name="Финансовый 4 2 2 2 2 2 2 2" xfId="3942" xr:uid="{00000000-0005-0000-0000-00000D120000}"/>
    <cellStyle name="Финансовый 4 2 2 2 2 2 2 3" xfId="5725" xr:uid="{00000000-0005-0000-0000-00000E120000}"/>
    <cellStyle name="Финансовый 4 2 2 2 2 2 3" xfId="3123" xr:uid="{00000000-0005-0000-0000-00000F120000}"/>
    <cellStyle name="Финансовый 4 2 2 2 2 2 4" xfId="4767" xr:uid="{00000000-0005-0000-0000-000010120000}"/>
    <cellStyle name="Финансовый 4 2 2 2 2 3" xfId="2041" xr:uid="{00000000-0005-0000-0000-000011120000}"/>
    <cellStyle name="Финансовый 4 2 2 2 2 3 2" xfId="3686" xr:uid="{00000000-0005-0000-0000-000012120000}"/>
    <cellStyle name="Финансовый 4 2 2 2 2 3 3" xfId="5469" xr:uid="{00000000-0005-0000-0000-000013120000}"/>
    <cellStyle name="Финансовый 4 2 2 2 2 4" xfId="2570" xr:uid="{00000000-0005-0000-0000-000014120000}"/>
    <cellStyle name="Финансовый 4 2 2 2 2 4 2" xfId="4215" xr:uid="{00000000-0005-0000-0000-000015120000}"/>
    <cellStyle name="Финансовый 4 2 2 2 2 4 3" xfId="5998" xr:uid="{00000000-0005-0000-0000-000016120000}"/>
    <cellStyle name="Финансовый 4 2 2 2 2 5" xfId="1074" xr:uid="{00000000-0005-0000-0000-000017120000}"/>
    <cellStyle name="Финансовый 4 2 2 2 2 6" xfId="662" xr:uid="{00000000-0005-0000-0000-000018120000}"/>
    <cellStyle name="Финансовый 4 2 2 2 2 7" xfId="2851" xr:uid="{00000000-0005-0000-0000-000019120000}"/>
    <cellStyle name="Финансовый 4 2 2 2 2 8" xfId="4495" xr:uid="{00000000-0005-0000-0000-00001A120000}"/>
    <cellStyle name="Финансовый 4 2 2 2 3" xfId="390" xr:uid="{00000000-0005-0000-0000-00001B120000}"/>
    <cellStyle name="Финансовый 4 2 2 2 3 2" xfId="2169" xr:uid="{00000000-0005-0000-0000-00001C120000}"/>
    <cellStyle name="Финансовый 4 2 2 2 3 2 2" xfId="3814" xr:uid="{00000000-0005-0000-0000-00001D120000}"/>
    <cellStyle name="Финансовый 4 2 2 2 3 2 3" xfId="5597" xr:uid="{00000000-0005-0000-0000-00001E120000}"/>
    <cellStyle name="Финансовый 4 2 2 2 3 3" xfId="1203" xr:uid="{00000000-0005-0000-0000-00001F120000}"/>
    <cellStyle name="Финансовый 4 2 2 2 3 4" xfId="810" xr:uid="{00000000-0005-0000-0000-000020120000}"/>
    <cellStyle name="Финансовый 4 2 2 2 3 5" xfId="2987" xr:uid="{00000000-0005-0000-0000-000021120000}"/>
    <cellStyle name="Финансовый 4 2 2 2 3 6" xfId="4631" xr:uid="{00000000-0005-0000-0000-000022120000}"/>
    <cellStyle name="Финансовый 4 2 2 2 4" xfId="1427" xr:uid="{00000000-0005-0000-0000-000023120000}"/>
    <cellStyle name="Финансовый 4 2 2 2 4 2" xfId="1913" xr:uid="{00000000-0005-0000-0000-000024120000}"/>
    <cellStyle name="Финансовый 4 2 2 2 4 2 2" xfId="3558" xr:uid="{00000000-0005-0000-0000-000025120000}"/>
    <cellStyle name="Финансовый 4 2 2 2 4 2 3" xfId="5341" xr:uid="{00000000-0005-0000-0000-000026120000}"/>
    <cellStyle name="Финансовый 4 2 2 2 4 3" xfId="4855" xr:uid="{00000000-0005-0000-0000-000027120000}"/>
    <cellStyle name="Финансовый 4 2 2 2 5" xfId="1789" xr:uid="{00000000-0005-0000-0000-000028120000}"/>
    <cellStyle name="Финансовый 4 2 2 2 5 2" xfId="3434" xr:uid="{00000000-0005-0000-0000-000029120000}"/>
    <cellStyle name="Финансовый 4 2 2 2 5 3" xfId="5217" xr:uid="{00000000-0005-0000-0000-00002A120000}"/>
    <cellStyle name="Финансовый 4 2 2 2 6" xfId="2434" xr:uid="{00000000-0005-0000-0000-00002B120000}"/>
    <cellStyle name="Финансовый 4 2 2 2 6 2" xfId="4079" xr:uid="{00000000-0005-0000-0000-00002C120000}"/>
    <cellStyle name="Финансовый 4 2 2 2 6 3" xfId="5862" xr:uid="{00000000-0005-0000-0000-00002D120000}"/>
    <cellStyle name="Финансовый 4 2 2 2 7" xfId="1661" xr:uid="{00000000-0005-0000-0000-00002E120000}"/>
    <cellStyle name="Финансовый 4 2 2 2 7 2" xfId="3306" xr:uid="{00000000-0005-0000-0000-00002F120000}"/>
    <cellStyle name="Финансовый 4 2 2 2 7 3" xfId="5089" xr:uid="{00000000-0005-0000-0000-000030120000}"/>
    <cellStyle name="Финансовый 4 2 2 2 8" xfId="938" xr:uid="{00000000-0005-0000-0000-000031120000}"/>
    <cellStyle name="Финансовый 4 2 2 2 9" xfId="526" xr:uid="{00000000-0005-0000-0000-000032120000}"/>
    <cellStyle name="Финансовый 4 2 2 3" xfId="185" xr:uid="{00000000-0005-0000-0000-000033120000}"/>
    <cellStyle name="Финансовый 4 2 2 3 2" xfId="1283" xr:uid="{00000000-0005-0000-0000-000034120000}"/>
    <cellStyle name="Финансовый 4 2 2 3 2 2" xfId="2249" xr:uid="{00000000-0005-0000-0000-000035120000}"/>
    <cellStyle name="Финансовый 4 2 2 3 2 2 2" xfId="3894" xr:uid="{00000000-0005-0000-0000-000036120000}"/>
    <cellStyle name="Финансовый 4 2 2 3 2 2 3" xfId="5677" xr:uid="{00000000-0005-0000-0000-000037120000}"/>
    <cellStyle name="Финансовый 4 2 2 3 2 3" xfId="3067" xr:uid="{00000000-0005-0000-0000-000038120000}"/>
    <cellStyle name="Финансовый 4 2 2 3 2 4" xfId="4711" xr:uid="{00000000-0005-0000-0000-000039120000}"/>
    <cellStyle name="Финансовый 4 2 2 3 3" xfId="1993" xr:uid="{00000000-0005-0000-0000-00003A120000}"/>
    <cellStyle name="Финансовый 4 2 2 3 3 2" xfId="3638" xr:uid="{00000000-0005-0000-0000-00003B120000}"/>
    <cellStyle name="Финансовый 4 2 2 3 3 3" xfId="5421" xr:uid="{00000000-0005-0000-0000-00003C120000}"/>
    <cellStyle name="Финансовый 4 2 2 3 4" xfId="2514" xr:uid="{00000000-0005-0000-0000-00003D120000}"/>
    <cellStyle name="Финансовый 4 2 2 3 4 2" xfId="4159" xr:uid="{00000000-0005-0000-0000-00003E120000}"/>
    <cellStyle name="Финансовый 4 2 2 3 4 3" xfId="5942" xr:uid="{00000000-0005-0000-0000-00003F120000}"/>
    <cellStyle name="Финансовый 4 2 2 3 5" xfId="1018" xr:uid="{00000000-0005-0000-0000-000040120000}"/>
    <cellStyle name="Финансовый 4 2 2 3 6" xfId="606" xr:uid="{00000000-0005-0000-0000-000041120000}"/>
    <cellStyle name="Финансовый 4 2 2 3 7" xfId="2795" xr:uid="{00000000-0005-0000-0000-000042120000}"/>
    <cellStyle name="Финансовый 4 2 2 3 8" xfId="4439" xr:uid="{00000000-0005-0000-0000-000043120000}"/>
    <cellStyle name="Финансовый 4 2 2 4" xfId="334" xr:uid="{00000000-0005-0000-0000-000044120000}"/>
    <cellStyle name="Финансовый 4 2 2 4 2" xfId="2121" xr:uid="{00000000-0005-0000-0000-000045120000}"/>
    <cellStyle name="Финансовый 4 2 2 4 2 2" xfId="3766" xr:uid="{00000000-0005-0000-0000-000046120000}"/>
    <cellStyle name="Финансовый 4 2 2 4 2 3" xfId="5549" xr:uid="{00000000-0005-0000-0000-000047120000}"/>
    <cellStyle name="Финансовый 4 2 2 4 3" xfId="1154" xr:uid="{00000000-0005-0000-0000-000048120000}"/>
    <cellStyle name="Финансовый 4 2 2 4 4" xfId="754" xr:uid="{00000000-0005-0000-0000-000049120000}"/>
    <cellStyle name="Финансовый 4 2 2 4 5" xfId="2931" xr:uid="{00000000-0005-0000-0000-00004A120000}"/>
    <cellStyle name="Финансовый 4 2 2 4 6" xfId="4575" xr:uid="{00000000-0005-0000-0000-00004B120000}"/>
    <cellStyle name="Финансовый 4 2 2 5" xfId="1535" xr:uid="{00000000-0005-0000-0000-00004C120000}"/>
    <cellStyle name="Финансовый 4 2 2 5 2" xfId="1857" xr:uid="{00000000-0005-0000-0000-00004D120000}"/>
    <cellStyle name="Финансовый 4 2 2 5 2 2" xfId="3502" xr:uid="{00000000-0005-0000-0000-00004E120000}"/>
    <cellStyle name="Финансовый 4 2 2 5 2 3" xfId="5285" xr:uid="{00000000-0005-0000-0000-00004F120000}"/>
    <cellStyle name="Финансовый 4 2 2 5 3" xfId="4963" xr:uid="{00000000-0005-0000-0000-000050120000}"/>
    <cellStyle name="Финансовый 4 2 2 6" xfId="1741" xr:uid="{00000000-0005-0000-0000-000051120000}"/>
    <cellStyle name="Финансовый 4 2 2 6 2" xfId="3386" xr:uid="{00000000-0005-0000-0000-000052120000}"/>
    <cellStyle name="Финансовый 4 2 2 6 3" xfId="5169" xr:uid="{00000000-0005-0000-0000-000053120000}"/>
    <cellStyle name="Финансовый 4 2 2 7" xfId="2377" xr:uid="{00000000-0005-0000-0000-000054120000}"/>
    <cellStyle name="Финансовый 4 2 2 7 2" xfId="4022" xr:uid="{00000000-0005-0000-0000-000055120000}"/>
    <cellStyle name="Финансовый 4 2 2 7 3" xfId="5805" xr:uid="{00000000-0005-0000-0000-000056120000}"/>
    <cellStyle name="Финансовый 4 2 2 8" xfId="1604" xr:uid="{00000000-0005-0000-0000-000057120000}"/>
    <cellStyle name="Финансовый 4 2 2 8 2" xfId="3249" xr:uid="{00000000-0005-0000-0000-000058120000}"/>
    <cellStyle name="Финансовый 4 2 2 8 3" xfId="5032" xr:uid="{00000000-0005-0000-0000-000059120000}"/>
    <cellStyle name="Финансовый 4 2 2 9" xfId="890" xr:uid="{00000000-0005-0000-0000-00005A120000}"/>
    <cellStyle name="Финансовый 4 2 3" xfId="117" xr:uid="{00000000-0005-0000-0000-00005B120000}"/>
    <cellStyle name="Финансовый 4 2 3 10" xfId="2727" xr:uid="{00000000-0005-0000-0000-00005C120000}"/>
    <cellStyle name="Финансовый 4 2 3 11" xfId="4371" xr:uid="{00000000-0005-0000-0000-00005D120000}"/>
    <cellStyle name="Финансовый 4 2 3 2" xfId="253" xr:uid="{00000000-0005-0000-0000-00005E120000}"/>
    <cellStyle name="Финансовый 4 2 3 2 2" xfId="1351" xr:uid="{00000000-0005-0000-0000-00005F120000}"/>
    <cellStyle name="Финансовый 4 2 3 2 2 2" xfId="2309" xr:uid="{00000000-0005-0000-0000-000060120000}"/>
    <cellStyle name="Финансовый 4 2 3 2 2 2 2" xfId="3954" xr:uid="{00000000-0005-0000-0000-000061120000}"/>
    <cellStyle name="Финансовый 4 2 3 2 2 2 3" xfId="5737" xr:uid="{00000000-0005-0000-0000-000062120000}"/>
    <cellStyle name="Финансовый 4 2 3 2 2 3" xfId="3135" xr:uid="{00000000-0005-0000-0000-000063120000}"/>
    <cellStyle name="Финансовый 4 2 3 2 2 4" xfId="4779" xr:uid="{00000000-0005-0000-0000-000064120000}"/>
    <cellStyle name="Финансовый 4 2 3 2 3" xfId="2053" xr:uid="{00000000-0005-0000-0000-000065120000}"/>
    <cellStyle name="Финансовый 4 2 3 2 3 2" xfId="3698" xr:uid="{00000000-0005-0000-0000-000066120000}"/>
    <cellStyle name="Финансовый 4 2 3 2 3 3" xfId="5481" xr:uid="{00000000-0005-0000-0000-000067120000}"/>
    <cellStyle name="Финансовый 4 2 3 2 4" xfId="2582" xr:uid="{00000000-0005-0000-0000-000068120000}"/>
    <cellStyle name="Финансовый 4 2 3 2 4 2" xfId="4227" xr:uid="{00000000-0005-0000-0000-000069120000}"/>
    <cellStyle name="Финансовый 4 2 3 2 4 3" xfId="6010" xr:uid="{00000000-0005-0000-0000-00006A120000}"/>
    <cellStyle name="Финансовый 4 2 3 2 5" xfId="1086" xr:uid="{00000000-0005-0000-0000-00006B120000}"/>
    <cellStyle name="Финансовый 4 2 3 2 6" xfId="674" xr:uid="{00000000-0005-0000-0000-00006C120000}"/>
    <cellStyle name="Финансовый 4 2 3 2 7" xfId="2863" xr:uid="{00000000-0005-0000-0000-00006D120000}"/>
    <cellStyle name="Финансовый 4 2 3 2 8" xfId="4507" xr:uid="{00000000-0005-0000-0000-00006E120000}"/>
    <cellStyle name="Финансовый 4 2 3 3" xfId="402" xr:uid="{00000000-0005-0000-0000-00006F120000}"/>
    <cellStyle name="Финансовый 4 2 3 3 2" xfId="2181" xr:uid="{00000000-0005-0000-0000-000070120000}"/>
    <cellStyle name="Финансовый 4 2 3 3 2 2" xfId="3826" xr:uid="{00000000-0005-0000-0000-000071120000}"/>
    <cellStyle name="Финансовый 4 2 3 3 2 3" xfId="5609" xr:uid="{00000000-0005-0000-0000-000072120000}"/>
    <cellStyle name="Финансовый 4 2 3 3 3" xfId="1215" xr:uid="{00000000-0005-0000-0000-000073120000}"/>
    <cellStyle name="Финансовый 4 2 3 3 4" xfId="822" xr:uid="{00000000-0005-0000-0000-000074120000}"/>
    <cellStyle name="Финансовый 4 2 3 3 5" xfId="2999" xr:uid="{00000000-0005-0000-0000-000075120000}"/>
    <cellStyle name="Финансовый 4 2 3 3 6" xfId="4643" xr:uid="{00000000-0005-0000-0000-000076120000}"/>
    <cellStyle name="Финансовый 4 2 3 4" xfId="1536" xr:uid="{00000000-0005-0000-0000-000077120000}"/>
    <cellStyle name="Финансовый 4 2 3 4 2" xfId="1925" xr:uid="{00000000-0005-0000-0000-000078120000}"/>
    <cellStyle name="Финансовый 4 2 3 4 2 2" xfId="3570" xr:uid="{00000000-0005-0000-0000-000079120000}"/>
    <cellStyle name="Финансовый 4 2 3 4 2 3" xfId="5353" xr:uid="{00000000-0005-0000-0000-00007A120000}"/>
    <cellStyle name="Финансовый 4 2 3 4 3" xfId="4964" xr:uid="{00000000-0005-0000-0000-00007B120000}"/>
    <cellStyle name="Финансовый 4 2 3 5" xfId="1801" xr:uid="{00000000-0005-0000-0000-00007C120000}"/>
    <cellStyle name="Финансовый 4 2 3 5 2" xfId="3446" xr:uid="{00000000-0005-0000-0000-00007D120000}"/>
    <cellStyle name="Финансовый 4 2 3 5 3" xfId="5229" xr:uid="{00000000-0005-0000-0000-00007E120000}"/>
    <cellStyle name="Финансовый 4 2 3 6" xfId="2446" xr:uid="{00000000-0005-0000-0000-00007F120000}"/>
    <cellStyle name="Финансовый 4 2 3 6 2" xfId="4091" xr:uid="{00000000-0005-0000-0000-000080120000}"/>
    <cellStyle name="Финансовый 4 2 3 6 3" xfId="5874" xr:uid="{00000000-0005-0000-0000-000081120000}"/>
    <cellStyle name="Финансовый 4 2 3 7" xfId="1673" xr:uid="{00000000-0005-0000-0000-000082120000}"/>
    <cellStyle name="Финансовый 4 2 3 7 2" xfId="3318" xr:uid="{00000000-0005-0000-0000-000083120000}"/>
    <cellStyle name="Финансовый 4 2 3 7 3" xfId="5101" xr:uid="{00000000-0005-0000-0000-000084120000}"/>
    <cellStyle name="Финансовый 4 2 3 8" xfId="950" xr:uid="{00000000-0005-0000-0000-000085120000}"/>
    <cellStyle name="Финансовый 4 2 3 9" xfId="538" xr:uid="{00000000-0005-0000-0000-000086120000}"/>
    <cellStyle name="Финансовый 4 2 4" xfId="81" xr:uid="{00000000-0005-0000-0000-000087120000}"/>
    <cellStyle name="Финансовый 4 2 4 10" xfId="2691" xr:uid="{00000000-0005-0000-0000-000088120000}"/>
    <cellStyle name="Финансовый 4 2 4 11" xfId="4335" xr:uid="{00000000-0005-0000-0000-000089120000}"/>
    <cellStyle name="Финансовый 4 2 4 2" xfId="217" xr:uid="{00000000-0005-0000-0000-00008A120000}"/>
    <cellStyle name="Финансовый 4 2 4 2 2" xfId="1315" xr:uid="{00000000-0005-0000-0000-00008B120000}"/>
    <cellStyle name="Финансовый 4 2 4 2 2 2" xfId="2273" xr:uid="{00000000-0005-0000-0000-00008C120000}"/>
    <cellStyle name="Финансовый 4 2 4 2 2 2 2" xfId="3918" xr:uid="{00000000-0005-0000-0000-00008D120000}"/>
    <cellStyle name="Финансовый 4 2 4 2 2 2 3" xfId="5701" xr:uid="{00000000-0005-0000-0000-00008E120000}"/>
    <cellStyle name="Финансовый 4 2 4 2 2 3" xfId="3099" xr:uid="{00000000-0005-0000-0000-00008F120000}"/>
    <cellStyle name="Финансовый 4 2 4 2 2 4" xfId="4743" xr:uid="{00000000-0005-0000-0000-000090120000}"/>
    <cellStyle name="Финансовый 4 2 4 2 3" xfId="2017" xr:uid="{00000000-0005-0000-0000-000091120000}"/>
    <cellStyle name="Финансовый 4 2 4 2 3 2" xfId="3662" xr:uid="{00000000-0005-0000-0000-000092120000}"/>
    <cellStyle name="Финансовый 4 2 4 2 3 3" xfId="5445" xr:uid="{00000000-0005-0000-0000-000093120000}"/>
    <cellStyle name="Финансовый 4 2 4 2 4" xfId="2546" xr:uid="{00000000-0005-0000-0000-000094120000}"/>
    <cellStyle name="Финансовый 4 2 4 2 4 2" xfId="4191" xr:uid="{00000000-0005-0000-0000-000095120000}"/>
    <cellStyle name="Финансовый 4 2 4 2 4 3" xfId="5974" xr:uid="{00000000-0005-0000-0000-000096120000}"/>
    <cellStyle name="Финансовый 4 2 4 2 5" xfId="1050" xr:uid="{00000000-0005-0000-0000-000097120000}"/>
    <cellStyle name="Финансовый 4 2 4 2 6" xfId="638" xr:uid="{00000000-0005-0000-0000-000098120000}"/>
    <cellStyle name="Финансовый 4 2 4 2 7" xfId="2827" xr:uid="{00000000-0005-0000-0000-000099120000}"/>
    <cellStyle name="Финансовый 4 2 4 2 8" xfId="4471" xr:uid="{00000000-0005-0000-0000-00009A120000}"/>
    <cellStyle name="Финансовый 4 2 4 3" xfId="366" xr:uid="{00000000-0005-0000-0000-00009B120000}"/>
    <cellStyle name="Финансовый 4 2 4 3 2" xfId="2145" xr:uid="{00000000-0005-0000-0000-00009C120000}"/>
    <cellStyle name="Финансовый 4 2 4 3 2 2" xfId="3790" xr:uid="{00000000-0005-0000-0000-00009D120000}"/>
    <cellStyle name="Финансовый 4 2 4 3 2 3" xfId="5573" xr:uid="{00000000-0005-0000-0000-00009E120000}"/>
    <cellStyle name="Финансовый 4 2 4 3 3" xfId="1179" xr:uid="{00000000-0005-0000-0000-00009F120000}"/>
    <cellStyle name="Финансовый 4 2 4 3 4" xfId="786" xr:uid="{00000000-0005-0000-0000-0000A0120000}"/>
    <cellStyle name="Финансовый 4 2 4 3 5" xfId="2963" xr:uid="{00000000-0005-0000-0000-0000A1120000}"/>
    <cellStyle name="Финансовый 4 2 4 3 6" xfId="4607" xr:uid="{00000000-0005-0000-0000-0000A2120000}"/>
    <cellStyle name="Финансовый 4 2 4 4" xfId="1537" xr:uid="{00000000-0005-0000-0000-0000A3120000}"/>
    <cellStyle name="Финансовый 4 2 4 4 2" xfId="1889" xr:uid="{00000000-0005-0000-0000-0000A4120000}"/>
    <cellStyle name="Финансовый 4 2 4 4 2 2" xfId="3534" xr:uid="{00000000-0005-0000-0000-0000A5120000}"/>
    <cellStyle name="Финансовый 4 2 4 4 2 3" xfId="5317" xr:uid="{00000000-0005-0000-0000-0000A6120000}"/>
    <cellStyle name="Финансовый 4 2 4 4 3" xfId="4965" xr:uid="{00000000-0005-0000-0000-0000A7120000}"/>
    <cellStyle name="Финансовый 4 2 4 5" xfId="1765" xr:uid="{00000000-0005-0000-0000-0000A8120000}"/>
    <cellStyle name="Финансовый 4 2 4 5 2" xfId="3410" xr:uid="{00000000-0005-0000-0000-0000A9120000}"/>
    <cellStyle name="Финансовый 4 2 4 5 3" xfId="5193" xr:uid="{00000000-0005-0000-0000-0000AA120000}"/>
    <cellStyle name="Финансовый 4 2 4 6" xfId="2410" xr:uid="{00000000-0005-0000-0000-0000AB120000}"/>
    <cellStyle name="Финансовый 4 2 4 6 2" xfId="4055" xr:uid="{00000000-0005-0000-0000-0000AC120000}"/>
    <cellStyle name="Финансовый 4 2 4 6 3" xfId="5838" xr:uid="{00000000-0005-0000-0000-0000AD120000}"/>
    <cellStyle name="Финансовый 4 2 4 7" xfId="1637" xr:uid="{00000000-0005-0000-0000-0000AE120000}"/>
    <cellStyle name="Финансовый 4 2 4 7 2" xfId="3282" xr:uid="{00000000-0005-0000-0000-0000AF120000}"/>
    <cellStyle name="Финансовый 4 2 4 7 3" xfId="5065" xr:uid="{00000000-0005-0000-0000-0000B0120000}"/>
    <cellStyle name="Финансовый 4 2 4 8" xfId="914" xr:uid="{00000000-0005-0000-0000-0000B1120000}"/>
    <cellStyle name="Финансовый 4 2 4 9" xfId="502" xr:uid="{00000000-0005-0000-0000-0000B2120000}"/>
    <cellStyle name="Финансовый 4 2 5" xfId="59" xr:uid="{00000000-0005-0000-0000-0000B3120000}"/>
    <cellStyle name="Финансовый 4 2 5 10" xfId="2671" xr:uid="{00000000-0005-0000-0000-0000B4120000}"/>
    <cellStyle name="Финансовый 4 2 5 11" xfId="4314" xr:uid="{00000000-0005-0000-0000-0000B5120000}"/>
    <cellStyle name="Финансовый 4 2 5 2" xfId="197" xr:uid="{00000000-0005-0000-0000-0000B6120000}"/>
    <cellStyle name="Финансовый 4 2 5 2 2" xfId="1295" xr:uid="{00000000-0005-0000-0000-0000B7120000}"/>
    <cellStyle name="Финансовый 4 2 5 2 2 2" xfId="2261" xr:uid="{00000000-0005-0000-0000-0000B8120000}"/>
    <cellStyle name="Финансовый 4 2 5 2 2 2 2" xfId="3906" xr:uid="{00000000-0005-0000-0000-0000B9120000}"/>
    <cellStyle name="Финансовый 4 2 5 2 2 2 3" xfId="5689" xr:uid="{00000000-0005-0000-0000-0000BA120000}"/>
    <cellStyle name="Финансовый 4 2 5 2 2 3" xfId="3079" xr:uid="{00000000-0005-0000-0000-0000BB120000}"/>
    <cellStyle name="Финансовый 4 2 5 2 2 4" xfId="4723" xr:uid="{00000000-0005-0000-0000-0000BC120000}"/>
    <cellStyle name="Финансовый 4 2 5 2 3" xfId="2005" xr:uid="{00000000-0005-0000-0000-0000BD120000}"/>
    <cellStyle name="Финансовый 4 2 5 2 3 2" xfId="3650" xr:uid="{00000000-0005-0000-0000-0000BE120000}"/>
    <cellStyle name="Финансовый 4 2 5 2 3 3" xfId="5433" xr:uid="{00000000-0005-0000-0000-0000BF120000}"/>
    <cellStyle name="Финансовый 4 2 5 2 4" xfId="2526" xr:uid="{00000000-0005-0000-0000-0000C0120000}"/>
    <cellStyle name="Финансовый 4 2 5 2 4 2" xfId="4171" xr:uid="{00000000-0005-0000-0000-0000C1120000}"/>
    <cellStyle name="Финансовый 4 2 5 2 4 3" xfId="5954" xr:uid="{00000000-0005-0000-0000-0000C2120000}"/>
    <cellStyle name="Финансовый 4 2 5 2 5" xfId="1030" xr:uid="{00000000-0005-0000-0000-0000C3120000}"/>
    <cellStyle name="Финансовый 4 2 5 2 6" xfId="618" xr:uid="{00000000-0005-0000-0000-0000C4120000}"/>
    <cellStyle name="Финансовый 4 2 5 2 7" xfId="2807" xr:uid="{00000000-0005-0000-0000-0000C5120000}"/>
    <cellStyle name="Финансовый 4 2 5 2 8" xfId="4451" xr:uid="{00000000-0005-0000-0000-0000C6120000}"/>
    <cellStyle name="Финансовый 4 2 5 3" xfId="346" xr:uid="{00000000-0005-0000-0000-0000C7120000}"/>
    <cellStyle name="Финансовый 4 2 5 3 2" xfId="2133" xr:uid="{00000000-0005-0000-0000-0000C8120000}"/>
    <cellStyle name="Финансовый 4 2 5 3 2 2" xfId="3778" xr:uid="{00000000-0005-0000-0000-0000C9120000}"/>
    <cellStyle name="Финансовый 4 2 5 3 2 3" xfId="5561" xr:uid="{00000000-0005-0000-0000-0000CA120000}"/>
    <cellStyle name="Финансовый 4 2 5 3 3" xfId="1166" xr:uid="{00000000-0005-0000-0000-0000CB120000}"/>
    <cellStyle name="Финансовый 4 2 5 3 4" xfId="766" xr:uid="{00000000-0005-0000-0000-0000CC120000}"/>
    <cellStyle name="Финансовый 4 2 5 3 5" xfId="2943" xr:uid="{00000000-0005-0000-0000-0000CD120000}"/>
    <cellStyle name="Финансовый 4 2 5 3 6" xfId="4587" xr:uid="{00000000-0005-0000-0000-0000CE120000}"/>
    <cellStyle name="Финансовый 4 2 5 4" xfId="1538" xr:uid="{00000000-0005-0000-0000-0000CF120000}"/>
    <cellStyle name="Финансовый 4 2 5 4 2" xfId="1869" xr:uid="{00000000-0005-0000-0000-0000D0120000}"/>
    <cellStyle name="Финансовый 4 2 5 4 2 2" xfId="3514" xr:uid="{00000000-0005-0000-0000-0000D1120000}"/>
    <cellStyle name="Финансовый 4 2 5 4 2 3" xfId="5297" xr:uid="{00000000-0005-0000-0000-0000D2120000}"/>
    <cellStyle name="Финансовый 4 2 5 4 3" xfId="4966" xr:uid="{00000000-0005-0000-0000-0000D3120000}"/>
    <cellStyle name="Финансовый 4 2 5 5" xfId="1753" xr:uid="{00000000-0005-0000-0000-0000D4120000}"/>
    <cellStyle name="Финансовый 4 2 5 5 2" xfId="3398" xr:uid="{00000000-0005-0000-0000-0000D5120000}"/>
    <cellStyle name="Финансовый 4 2 5 5 3" xfId="5181" xr:uid="{00000000-0005-0000-0000-0000D6120000}"/>
    <cellStyle name="Финансовый 4 2 5 6" xfId="2389" xr:uid="{00000000-0005-0000-0000-0000D7120000}"/>
    <cellStyle name="Финансовый 4 2 5 6 2" xfId="4034" xr:uid="{00000000-0005-0000-0000-0000D8120000}"/>
    <cellStyle name="Финансовый 4 2 5 6 3" xfId="5817" xr:uid="{00000000-0005-0000-0000-0000D9120000}"/>
    <cellStyle name="Финансовый 4 2 5 7" xfId="1616" xr:uid="{00000000-0005-0000-0000-0000DA120000}"/>
    <cellStyle name="Финансовый 4 2 5 7 2" xfId="3261" xr:uid="{00000000-0005-0000-0000-0000DB120000}"/>
    <cellStyle name="Финансовый 4 2 5 7 3" xfId="5044" xr:uid="{00000000-0005-0000-0000-0000DC120000}"/>
    <cellStyle name="Финансовый 4 2 5 8" xfId="902" xr:uid="{00000000-0005-0000-0000-0000DD120000}"/>
    <cellStyle name="Финансовый 4 2 5 9" xfId="482" xr:uid="{00000000-0005-0000-0000-0000DE120000}"/>
    <cellStyle name="Финансовый 4 2 6" xfId="137" xr:uid="{00000000-0005-0000-0000-0000DF120000}"/>
    <cellStyle name="Финансовый 4 2 6 10" xfId="2747" xr:uid="{00000000-0005-0000-0000-0000E0120000}"/>
    <cellStyle name="Финансовый 4 2 6 11" xfId="4391" xr:uid="{00000000-0005-0000-0000-0000E1120000}"/>
    <cellStyle name="Финансовый 4 2 6 2" xfId="273" xr:uid="{00000000-0005-0000-0000-0000E2120000}"/>
    <cellStyle name="Финансовый 4 2 6 2 2" xfId="1371" xr:uid="{00000000-0005-0000-0000-0000E3120000}"/>
    <cellStyle name="Финансовый 4 2 6 2 2 2" xfId="2329" xr:uid="{00000000-0005-0000-0000-0000E4120000}"/>
    <cellStyle name="Финансовый 4 2 6 2 2 2 2" xfId="3974" xr:uid="{00000000-0005-0000-0000-0000E5120000}"/>
    <cellStyle name="Финансовый 4 2 6 2 2 2 3" xfId="5757" xr:uid="{00000000-0005-0000-0000-0000E6120000}"/>
    <cellStyle name="Финансовый 4 2 6 2 2 3" xfId="3155" xr:uid="{00000000-0005-0000-0000-0000E7120000}"/>
    <cellStyle name="Финансовый 4 2 6 2 2 4" xfId="4799" xr:uid="{00000000-0005-0000-0000-0000E8120000}"/>
    <cellStyle name="Финансовый 4 2 6 2 3" xfId="2073" xr:uid="{00000000-0005-0000-0000-0000E9120000}"/>
    <cellStyle name="Финансовый 4 2 6 2 3 2" xfId="3718" xr:uid="{00000000-0005-0000-0000-0000EA120000}"/>
    <cellStyle name="Финансовый 4 2 6 2 3 3" xfId="5501" xr:uid="{00000000-0005-0000-0000-0000EB120000}"/>
    <cellStyle name="Финансовый 4 2 6 2 4" xfId="2602" xr:uid="{00000000-0005-0000-0000-0000EC120000}"/>
    <cellStyle name="Финансовый 4 2 6 2 4 2" xfId="4247" xr:uid="{00000000-0005-0000-0000-0000ED120000}"/>
    <cellStyle name="Финансовый 4 2 6 2 4 3" xfId="6030" xr:uid="{00000000-0005-0000-0000-0000EE120000}"/>
    <cellStyle name="Финансовый 4 2 6 2 5" xfId="1106" xr:uid="{00000000-0005-0000-0000-0000EF120000}"/>
    <cellStyle name="Финансовый 4 2 6 2 6" xfId="694" xr:uid="{00000000-0005-0000-0000-0000F0120000}"/>
    <cellStyle name="Финансовый 4 2 6 2 7" xfId="2883" xr:uid="{00000000-0005-0000-0000-0000F1120000}"/>
    <cellStyle name="Финансовый 4 2 6 2 8" xfId="4527" xr:uid="{00000000-0005-0000-0000-0000F2120000}"/>
    <cellStyle name="Финансовый 4 2 6 3" xfId="422" xr:uid="{00000000-0005-0000-0000-0000F3120000}"/>
    <cellStyle name="Финансовый 4 2 6 3 2" xfId="2201" xr:uid="{00000000-0005-0000-0000-0000F4120000}"/>
    <cellStyle name="Финансовый 4 2 6 3 2 2" xfId="3846" xr:uid="{00000000-0005-0000-0000-0000F5120000}"/>
    <cellStyle name="Финансовый 4 2 6 3 2 3" xfId="5629" xr:uid="{00000000-0005-0000-0000-0000F6120000}"/>
    <cellStyle name="Финансовый 4 2 6 3 3" xfId="1235" xr:uid="{00000000-0005-0000-0000-0000F7120000}"/>
    <cellStyle name="Финансовый 4 2 6 3 4" xfId="842" xr:uid="{00000000-0005-0000-0000-0000F8120000}"/>
    <cellStyle name="Финансовый 4 2 6 3 5" xfId="3019" xr:uid="{00000000-0005-0000-0000-0000F9120000}"/>
    <cellStyle name="Финансовый 4 2 6 3 6" xfId="4663" xr:uid="{00000000-0005-0000-0000-0000FA120000}"/>
    <cellStyle name="Финансовый 4 2 6 4" xfId="1453" xr:uid="{00000000-0005-0000-0000-0000FB120000}"/>
    <cellStyle name="Финансовый 4 2 6 4 2" xfId="1945" xr:uid="{00000000-0005-0000-0000-0000FC120000}"/>
    <cellStyle name="Финансовый 4 2 6 4 2 2" xfId="3590" xr:uid="{00000000-0005-0000-0000-0000FD120000}"/>
    <cellStyle name="Финансовый 4 2 6 4 2 3" xfId="5373" xr:uid="{00000000-0005-0000-0000-0000FE120000}"/>
    <cellStyle name="Финансовый 4 2 6 4 3" xfId="4881" xr:uid="{00000000-0005-0000-0000-0000FF120000}"/>
    <cellStyle name="Финансовый 4 2 6 5" xfId="1821" xr:uid="{00000000-0005-0000-0000-000000130000}"/>
    <cellStyle name="Финансовый 4 2 6 5 2" xfId="3466" xr:uid="{00000000-0005-0000-0000-000001130000}"/>
    <cellStyle name="Финансовый 4 2 6 5 3" xfId="5249" xr:uid="{00000000-0005-0000-0000-000002130000}"/>
    <cellStyle name="Финансовый 4 2 6 6" xfId="2466" xr:uid="{00000000-0005-0000-0000-000003130000}"/>
    <cellStyle name="Финансовый 4 2 6 6 2" xfId="4111" xr:uid="{00000000-0005-0000-0000-000004130000}"/>
    <cellStyle name="Финансовый 4 2 6 6 3" xfId="5894" xr:uid="{00000000-0005-0000-0000-000005130000}"/>
    <cellStyle name="Финансовый 4 2 6 7" xfId="1693" xr:uid="{00000000-0005-0000-0000-000006130000}"/>
    <cellStyle name="Финансовый 4 2 6 7 2" xfId="3338" xr:uid="{00000000-0005-0000-0000-000007130000}"/>
    <cellStyle name="Финансовый 4 2 6 7 3" xfId="5121" xr:uid="{00000000-0005-0000-0000-000008130000}"/>
    <cellStyle name="Финансовый 4 2 6 8" xfId="970" xr:uid="{00000000-0005-0000-0000-000009130000}"/>
    <cellStyle name="Финансовый 4 2 6 9" xfId="558" xr:uid="{00000000-0005-0000-0000-00000A130000}"/>
    <cellStyle name="Финансовый 4 2 7" xfId="35" xr:uid="{00000000-0005-0000-0000-00000B130000}"/>
    <cellStyle name="Финансовый 4 2 7 10" xfId="2647" xr:uid="{00000000-0005-0000-0000-00000C130000}"/>
    <cellStyle name="Финансовый 4 2 7 11" xfId="4290" xr:uid="{00000000-0005-0000-0000-00000D130000}"/>
    <cellStyle name="Финансовый 4 2 7 2" xfId="173" xr:uid="{00000000-0005-0000-0000-00000E130000}"/>
    <cellStyle name="Финансовый 4 2 7 2 2" xfId="1271" xr:uid="{00000000-0005-0000-0000-00000F130000}"/>
    <cellStyle name="Финансовый 4 2 7 2 2 2" xfId="2237" xr:uid="{00000000-0005-0000-0000-000010130000}"/>
    <cellStyle name="Финансовый 4 2 7 2 2 2 2" xfId="3882" xr:uid="{00000000-0005-0000-0000-000011130000}"/>
    <cellStyle name="Финансовый 4 2 7 2 2 2 3" xfId="5665" xr:uid="{00000000-0005-0000-0000-000012130000}"/>
    <cellStyle name="Финансовый 4 2 7 2 2 3" xfId="3055" xr:uid="{00000000-0005-0000-0000-000013130000}"/>
    <cellStyle name="Финансовый 4 2 7 2 2 4" xfId="4699" xr:uid="{00000000-0005-0000-0000-000014130000}"/>
    <cellStyle name="Финансовый 4 2 7 2 3" xfId="1981" xr:uid="{00000000-0005-0000-0000-000015130000}"/>
    <cellStyle name="Финансовый 4 2 7 2 3 2" xfId="3626" xr:uid="{00000000-0005-0000-0000-000016130000}"/>
    <cellStyle name="Финансовый 4 2 7 2 3 3" xfId="5409" xr:uid="{00000000-0005-0000-0000-000017130000}"/>
    <cellStyle name="Финансовый 4 2 7 2 4" xfId="2502" xr:uid="{00000000-0005-0000-0000-000018130000}"/>
    <cellStyle name="Финансовый 4 2 7 2 4 2" xfId="4147" xr:uid="{00000000-0005-0000-0000-000019130000}"/>
    <cellStyle name="Финансовый 4 2 7 2 4 3" xfId="5930" xr:uid="{00000000-0005-0000-0000-00001A130000}"/>
    <cellStyle name="Финансовый 4 2 7 2 5" xfId="1006" xr:uid="{00000000-0005-0000-0000-00001B130000}"/>
    <cellStyle name="Финансовый 4 2 7 2 6" xfId="594" xr:uid="{00000000-0005-0000-0000-00001C130000}"/>
    <cellStyle name="Финансовый 4 2 7 2 7" xfId="2783" xr:uid="{00000000-0005-0000-0000-00001D130000}"/>
    <cellStyle name="Финансовый 4 2 7 2 8" xfId="4427" xr:uid="{00000000-0005-0000-0000-00001E130000}"/>
    <cellStyle name="Финансовый 4 2 7 3" xfId="322" xr:uid="{00000000-0005-0000-0000-00001F130000}"/>
    <cellStyle name="Финансовый 4 2 7 3 2" xfId="2109" xr:uid="{00000000-0005-0000-0000-000020130000}"/>
    <cellStyle name="Финансовый 4 2 7 3 2 2" xfId="3754" xr:uid="{00000000-0005-0000-0000-000021130000}"/>
    <cellStyle name="Финансовый 4 2 7 3 2 3" xfId="5537" xr:uid="{00000000-0005-0000-0000-000022130000}"/>
    <cellStyle name="Финансовый 4 2 7 3 3" xfId="1142" xr:uid="{00000000-0005-0000-0000-000023130000}"/>
    <cellStyle name="Финансовый 4 2 7 3 4" xfId="742" xr:uid="{00000000-0005-0000-0000-000024130000}"/>
    <cellStyle name="Финансовый 4 2 7 3 5" xfId="2919" xr:uid="{00000000-0005-0000-0000-000025130000}"/>
    <cellStyle name="Финансовый 4 2 7 3 6" xfId="4563" xr:uid="{00000000-0005-0000-0000-000026130000}"/>
    <cellStyle name="Финансовый 4 2 7 4" xfId="1476" xr:uid="{00000000-0005-0000-0000-000027130000}"/>
    <cellStyle name="Финансовый 4 2 7 4 2" xfId="1845" xr:uid="{00000000-0005-0000-0000-000028130000}"/>
    <cellStyle name="Финансовый 4 2 7 4 2 2" xfId="3490" xr:uid="{00000000-0005-0000-0000-000029130000}"/>
    <cellStyle name="Финансовый 4 2 7 4 2 3" xfId="5273" xr:uid="{00000000-0005-0000-0000-00002A130000}"/>
    <cellStyle name="Финансовый 4 2 7 4 3" xfId="4904" xr:uid="{00000000-0005-0000-0000-00002B130000}"/>
    <cellStyle name="Финансовый 4 2 7 5" xfId="1729" xr:uid="{00000000-0005-0000-0000-00002C130000}"/>
    <cellStyle name="Финансовый 4 2 7 5 2" xfId="3374" xr:uid="{00000000-0005-0000-0000-00002D130000}"/>
    <cellStyle name="Финансовый 4 2 7 5 3" xfId="5157" xr:uid="{00000000-0005-0000-0000-00002E130000}"/>
    <cellStyle name="Финансовый 4 2 7 6" xfId="2365" xr:uid="{00000000-0005-0000-0000-00002F130000}"/>
    <cellStyle name="Финансовый 4 2 7 6 2" xfId="4010" xr:uid="{00000000-0005-0000-0000-000030130000}"/>
    <cellStyle name="Финансовый 4 2 7 6 3" xfId="5793" xr:uid="{00000000-0005-0000-0000-000031130000}"/>
    <cellStyle name="Финансовый 4 2 7 7" xfId="1592" xr:uid="{00000000-0005-0000-0000-000032130000}"/>
    <cellStyle name="Финансовый 4 2 7 7 2" xfId="3237" xr:uid="{00000000-0005-0000-0000-000033130000}"/>
    <cellStyle name="Финансовый 4 2 7 7 3" xfId="5020" xr:uid="{00000000-0005-0000-0000-000034130000}"/>
    <cellStyle name="Финансовый 4 2 7 8" xfId="878" xr:uid="{00000000-0005-0000-0000-000035130000}"/>
    <cellStyle name="Финансовый 4 2 7 9" xfId="458" xr:uid="{00000000-0005-0000-0000-000036130000}"/>
    <cellStyle name="Финансовый 4 2 8" xfId="23" xr:uid="{00000000-0005-0000-0000-000037130000}"/>
    <cellStyle name="Финансовый 4 2 8 10" xfId="2635" xr:uid="{00000000-0005-0000-0000-000038130000}"/>
    <cellStyle name="Финансовый 4 2 8 11" xfId="4278" xr:uid="{00000000-0005-0000-0000-000039130000}"/>
    <cellStyle name="Финансовый 4 2 8 2" xfId="161" xr:uid="{00000000-0005-0000-0000-00003A130000}"/>
    <cellStyle name="Финансовый 4 2 8 2 2" xfId="1259" xr:uid="{00000000-0005-0000-0000-00003B130000}"/>
    <cellStyle name="Финансовый 4 2 8 2 2 2" xfId="2225" xr:uid="{00000000-0005-0000-0000-00003C130000}"/>
    <cellStyle name="Финансовый 4 2 8 2 2 2 2" xfId="3870" xr:uid="{00000000-0005-0000-0000-00003D130000}"/>
    <cellStyle name="Финансовый 4 2 8 2 2 2 3" xfId="5653" xr:uid="{00000000-0005-0000-0000-00003E130000}"/>
    <cellStyle name="Финансовый 4 2 8 2 2 3" xfId="3043" xr:uid="{00000000-0005-0000-0000-00003F130000}"/>
    <cellStyle name="Финансовый 4 2 8 2 2 4" xfId="4687" xr:uid="{00000000-0005-0000-0000-000040130000}"/>
    <cellStyle name="Финансовый 4 2 8 2 3" xfId="1969" xr:uid="{00000000-0005-0000-0000-000041130000}"/>
    <cellStyle name="Финансовый 4 2 8 2 3 2" xfId="3614" xr:uid="{00000000-0005-0000-0000-000042130000}"/>
    <cellStyle name="Финансовый 4 2 8 2 3 3" xfId="5397" xr:uid="{00000000-0005-0000-0000-000043130000}"/>
    <cellStyle name="Финансовый 4 2 8 2 4" xfId="2490" xr:uid="{00000000-0005-0000-0000-000044130000}"/>
    <cellStyle name="Финансовый 4 2 8 2 4 2" xfId="4135" xr:uid="{00000000-0005-0000-0000-000045130000}"/>
    <cellStyle name="Финансовый 4 2 8 2 4 3" xfId="5918" xr:uid="{00000000-0005-0000-0000-000046130000}"/>
    <cellStyle name="Финансовый 4 2 8 2 5" xfId="994" xr:uid="{00000000-0005-0000-0000-000047130000}"/>
    <cellStyle name="Финансовый 4 2 8 2 6" xfId="582" xr:uid="{00000000-0005-0000-0000-000048130000}"/>
    <cellStyle name="Финансовый 4 2 8 2 7" xfId="2771" xr:uid="{00000000-0005-0000-0000-000049130000}"/>
    <cellStyle name="Финансовый 4 2 8 2 8" xfId="4415" xr:uid="{00000000-0005-0000-0000-00004A130000}"/>
    <cellStyle name="Финансовый 4 2 8 3" xfId="310" xr:uid="{00000000-0005-0000-0000-00004B130000}"/>
    <cellStyle name="Финансовый 4 2 8 3 2" xfId="2097" xr:uid="{00000000-0005-0000-0000-00004C130000}"/>
    <cellStyle name="Финансовый 4 2 8 3 2 2" xfId="3742" xr:uid="{00000000-0005-0000-0000-00004D130000}"/>
    <cellStyle name="Финансовый 4 2 8 3 2 3" xfId="5525" xr:uid="{00000000-0005-0000-0000-00004E130000}"/>
    <cellStyle name="Финансовый 4 2 8 3 3" xfId="1130" xr:uid="{00000000-0005-0000-0000-00004F130000}"/>
    <cellStyle name="Финансовый 4 2 8 3 4" xfId="730" xr:uid="{00000000-0005-0000-0000-000050130000}"/>
    <cellStyle name="Финансовый 4 2 8 3 5" xfId="2907" xr:uid="{00000000-0005-0000-0000-000051130000}"/>
    <cellStyle name="Финансовый 4 2 8 3 6" xfId="4551" xr:uid="{00000000-0005-0000-0000-000052130000}"/>
    <cellStyle name="Финансовый 4 2 8 4" xfId="1496" xr:uid="{00000000-0005-0000-0000-000053130000}"/>
    <cellStyle name="Финансовый 4 2 8 4 2" xfId="1833" xr:uid="{00000000-0005-0000-0000-000054130000}"/>
    <cellStyle name="Финансовый 4 2 8 4 2 2" xfId="3478" xr:uid="{00000000-0005-0000-0000-000055130000}"/>
    <cellStyle name="Финансовый 4 2 8 4 2 3" xfId="5261" xr:uid="{00000000-0005-0000-0000-000056130000}"/>
    <cellStyle name="Финансовый 4 2 8 4 3" xfId="4924" xr:uid="{00000000-0005-0000-0000-000057130000}"/>
    <cellStyle name="Финансовый 4 2 8 5" xfId="1717" xr:uid="{00000000-0005-0000-0000-000058130000}"/>
    <cellStyle name="Финансовый 4 2 8 5 2" xfId="3362" xr:uid="{00000000-0005-0000-0000-000059130000}"/>
    <cellStyle name="Финансовый 4 2 8 5 3" xfId="5145" xr:uid="{00000000-0005-0000-0000-00005A130000}"/>
    <cellStyle name="Финансовый 4 2 8 6" xfId="2353" xr:uid="{00000000-0005-0000-0000-00005B130000}"/>
    <cellStyle name="Финансовый 4 2 8 6 2" xfId="3998" xr:uid="{00000000-0005-0000-0000-00005C130000}"/>
    <cellStyle name="Финансовый 4 2 8 6 3" xfId="5781" xr:uid="{00000000-0005-0000-0000-00005D130000}"/>
    <cellStyle name="Финансовый 4 2 8 7" xfId="1580" xr:uid="{00000000-0005-0000-0000-00005E130000}"/>
    <cellStyle name="Финансовый 4 2 8 7 2" xfId="3225" xr:uid="{00000000-0005-0000-0000-00005F130000}"/>
    <cellStyle name="Финансовый 4 2 8 7 3" xfId="5008" xr:uid="{00000000-0005-0000-0000-000060130000}"/>
    <cellStyle name="Финансовый 4 2 8 8" xfId="866" xr:uid="{00000000-0005-0000-0000-000061130000}"/>
    <cellStyle name="Финансовый 4 2 8 9" xfId="446" xr:uid="{00000000-0005-0000-0000-000062130000}"/>
    <cellStyle name="Финансовый 4 2 9" xfId="149" xr:uid="{00000000-0005-0000-0000-000063130000}"/>
    <cellStyle name="Финансовый 4 2 9 2" xfId="1247" xr:uid="{00000000-0005-0000-0000-000064130000}"/>
    <cellStyle name="Финансовый 4 2 9 2 2" xfId="2213" xr:uid="{00000000-0005-0000-0000-000065130000}"/>
    <cellStyle name="Финансовый 4 2 9 2 2 2" xfId="3858" xr:uid="{00000000-0005-0000-0000-000066130000}"/>
    <cellStyle name="Финансовый 4 2 9 2 2 3" xfId="5641" xr:uid="{00000000-0005-0000-0000-000067130000}"/>
    <cellStyle name="Финансовый 4 2 9 2 3" xfId="3031" xr:uid="{00000000-0005-0000-0000-000068130000}"/>
    <cellStyle name="Финансовый 4 2 9 2 4" xfId="4675" xr:uid="{00000000-0005-0000-0000-000069130000}"/>
    <cellStyle name="Финансовый 4 2 9 3" xfId="1957" xr:uid="{00000000-0005-0000-0000-00006A130000}"/>
    <cellStyle name="Финансовый 4 2 9 3 2" xfId="3602" xr:uid="{00000000-0005-0000-0000-00006B130000}"/>
    <cellStyle name="Финансовый 4 2 9 3 3" xfId="5385" xr:uid="{00000000-0005-0000-0000-00006C130000}"/>
    <cellStyle name="Финансовый 4 2 9 4" xfId="2478" xr:uid="{00000000-0005-0000-0000-00006D130000}"/>
    <cellStyle name="Финансовый 4 2 9 4 2" xfId="4123" xr:uid="{00000000-0005-0000-0000-00006E130000}"/>
    <cellStyle name="Финансовый 4 2 9 4 3" xfId="5906" xr:uid="{00000000-0005-0000-0000-00006F130000}"/>
    <cellStyle name="Финансовый 4 2 9 5" xfId="982" xr:uid="{00000000-0005-0000-0000-000070130000}"/>
    <cellStyle name="Финансовый 4 2 9 6" xfId="570" xr:uid="{00000000-0005-0000-0000-000071130000}"/>
    <cellStyle name="Финансовый 4 2 9 7" xfId="2759" xr:uid="{00000000-0005-0000-0000-000072130000}"/>
    <cellStyle name="Финансовый 4 2 9 8" xfId="4403" xr:uid="{00000000-0005-0000-0000-000073130000}"/>
    <cellStyle name="Финансовый 4 20" xfId="2617" xr:uid="{00000000-0005-0000-0000-000074130000}"/>
    <cellStyle name="Финансовый 4 21" xfId="4260" xr:uid="{00000000-0005-0000-0000-000075130000}"/>
    <cellStyle name="Финансовый 4 3" xfId="41" xr:uid="{00000000-0005-0000-0000-000076130000}"/>
    <cellStyle name="Финансовый 4 3 10" xfId="884" xr:uid="{00000000-0005-0000-0000-000077130000}"/>
    <cellStyle name="Финансовый 4 3 11" xfId="464" xr:uid="{00000000-0005-0000-0000-000078130000}"/>
    <cellStyle name="Финансовый 4 3 12" xfId="2653" xr:uid="{00000000-0005-0000-0000-000079130000}"/>
    <cellStyle name="Финансовый 4 3 13" xfId="4296" xr:uid="{00000000-0005-0000-0000-00007A130000}"/>
    <cellStyle name="Финансовый 4 3 2" xfId="123" xr:uid="{00000000-0005-0000-0000-00007B130000}"/>
    <cellStyle name="Финансовый 4 3 2 10" xfId="2733" xr:uid="{00000000-0005-0000-0000-00007C130000}"/>
    <cellStyle name="Финансовый 4 3 2 11" xfId="4377" xr:uid="{00000000-0005-0000-0000-00007D130000}"/>
    <cellStyle name="Финансовый 4 3 2 2" xfId="259" xr:uid="{00000000-0005-0000-0000-00007E130000}"/>
    <cellStyle name="Финансовый 4 3 2 2 2" xfId="1357" xr:uid="{00000000-0005-0000-0000-00007F130000}"/>
    <cellStyle name="Финансовый 4 3 2 2 2 2" xfId="2315" xr:uid="{00000000-0005-0000-0000-000080130000}"/>
    <cellStyle name="Финансовый 4 3 2 2 2 2 2" xfId="3960" xr:uid="{00000000-0005-0000-0000-000081130000}"/>
    <cellStyle name="Финансовый 4 3 2 2 2 2 3" xfId="5743" xr:uid="{00000000-0005-0000-0000-000082130000}"/>
    <cellStyle name="Финансовый 4 3 2 2 2 3" xfId="3141" xr:uid="{00000000-0005-0000-0000-000083130000}"/>
    <cellStyle name="Финансовый 4 3 2 2 2 4" xfId="4785" xr:uid="{00000000-0005-0000-0000-000084130000}"/>
    <cellStyle name="Финансовый 4 3 2 2 3" xfId="2059" xr:uid="{00000000-0005-0000-0000-000085130000}"/>
    <cellStyle name="Финансовый 4 3 2 2 3 2" xfId="3704" xr:uid="{00000000-0005-0000-0000-000086130000}"/>
    <cellStyle name="Финансовый 4 3 2 2 3 3" xfId="5487" xr:uid="{00000000-0005-0000-0000-000087130000}"/>
    <cellStyle name="Финансовый 4 3 2 2 4" xfId="2588" xr:uid="{00000000-0005-0000-0000-000088130000}"/>
    <cellStyle name="Финансовый 4 3 2 2 4 2" xfId="4233" xr:uid="{00000000-0005-0000-0000-000089130000}"/>
    <cellStyle name="Финансовый 4 3 2 2 4 3" xfId="6016" xr:uid="{00000000-0005-0000-0000-00008A130000}"/>
    <cellStyle name="Финансовый 4 3 2 2 5" xfId="1092" xr:uid="{00000000-0005-0000-0000-00008B130000}"/>
    <cellStyle name="Финансовый 4 3 2 2 6" xfId="680" xr:uid="{00000000-0005-0000-0000-00008C130000}"/>
    <cellStyle name="Финансовый 4 3 2 2 7" xfId="2869" xr:uid="{00000000-0005-0000-0000-00008D130000}"/>
    <cellStyle name="Финансовый 4 3 2 2 8" xfId="4513" xr:uid="{00000000-0005-0000-0000-00008E130000}"/>
    <cellStyle name="Финансовый 4 3 2 3" xfId="408" xr:uid="{00000000-0005-0000-0000-00008F130000}"/>
    <cellStyle name="Финансовый 4 3 2 3 2" xfId="2187" xr:uid="{00000000-0005-0000-0000-000090130000}"/>
    <cellStyle name="Финансовый 4 3 2 3 2 2" xfId="3832" xr:uid="{00000000-0005-0000-0000-000091130000}"/>
    <cellStyle name="Финансовый 4 3 2 3 2 3" xfId="5615" xr:uid="{00000000-0005-0000-0000-000092130000}"/>
    <cellStyle name="Финансовый 4 3 2 3 3" xfId="1221" xr:uid="{00000000-0005-0000-0000-000093130000}"/>
    <cellStyle name="Финансовый 4 3 2 3 4" xfId="828" xr:uid="{00000000-0005-0000-0000-000094130000}"/>
    <cellStyle name="Финансовый 4 3 2 3 5" xfId="3005" xr:uid="{00000000-0005-0000-0000-000095130000}"/>
    <cellStyle name="Финансовый 4 3 2 3 6" xfId="4649" xr:uid="{00000000-0005-0000-0000-000096130000}"/>
    <cellStyle name="Финансовый 4 3 2 4" xfId="1539" xr:uid="{00000000-0005-0000-0000-000097130000}"/>
    <cellStyle name="Финансовый 4 3 2 4 2" xfId="1931" xr:uid="{00000000-0005-0000-0000-000098130000}"/>
    <cellStyle name="Финансовый 4 3 2 4 2 2" xfId="3576" xr:uid="{00000000-0005-0000-0000-000099130000}"/>
    <cellStyle name="Финансовый 4 3 2 4 2 3" xfId="5359" xr:uid="{00000000-0005-0000-0000-00009A130000}"/>
    <cellStyle name="Финансовый 4 3 2 4 3" xfId="4967" xr:uid="{00000000-0005-0000-0000-00009B130000}"/>
    <cellStyle name="Финансовый 4 3 2 5" xfId="1807" xr:uid="{00000000-0005-0000-0000-00009C130000}"/>
    <cellStyle name="Финансовый 4 3 2 5 2" xfId="3452" xr:uid="{00000000-0005-0000-0000-00009D130000}"/>
    <cellStyle name="Финансовый 4 3 2 5 3" xfId="5235" xr:uid="{00000000-0005-0000-0000-00009E130000}"/>
    <cellStyle name="Финансовый 4 3 2 6" xfId="2452" xr:uid="{00000000-0005-0000-0000-00009F130000}"/>
    <cellStyle name="Финансовый 4 3 2 6 2" xfId="4097" xr:uid="{00000000-0005-0000-0000-0000A0130000}"/>
    <cellStyle name="Финансовый 4 3 2 6 3" xfId="5880" xr:uid="{00000000-0005-0000-0000-0000A1130000}"/>
    <cellStyle name="Финансовый 4 3 2 7" xfId="1679" xr:uid="{00000000-0005-0000-0000-0000A2130000}"/>
    <cellStyle name="Финансовый 4 3 2 7 2" xfId="3324" xr:uid="{00000000-0005-0000-0000-0000A3130000}"/>
    <cellStyle name="Финансовый 4 3 2 7 3" xfId="5107" xr:uid="{00000000-0005-0000-0000-0000A4130000}"/>
    <cellStyle name="Финансовый 4 3 2 8" xfId="956" xr:uid="{00000000-0005-0000-0000-0000A5130000}"/>
    <cellStyle name="Финансовый 4 3 2 9" xfId="544" xr:uid="{00000000-0005-0000-0000-0000A6130000}"/>
    <cellStyle name="Финансовый 4 3 3" xfId="87" xr:uid="{00000000-0005-0000-0000-0000A7130000}"/>
    <cellStyle name="Финансовый 4 3 3 10" xfId="2697" xr:uid="{00000000-0005-0000-0000-0000A8130000}"/>
    <cellStyle name="Финансовый 4 3 3 11" xfId="4341" xr:uid="{00000000-0005-0000-0000-0000A9130000}"/>
    <cellStyle name="Финансовый 4 3 3 2" xfId="223" xr:uid="{00000000-0005-0000-0000-0000AA130000}"/>
    <cellStyle name="Финансовый 4 3 3 2 2" xfId="1321" xr:uid="{00000000-0005-0000-0000-0000AB130000}"/>
    <cellStyle name="Финансовый 4 3 3 2 2 2" xfId="2279" xr:uid="{00000000-0005-0000-0000-0000AC130000}"/>
    <cellStyle name="Финансовый 4 3 3 2 2 2 2" xfId="3924" xr:uid="{00000000-0005-0000-0000-0000AD130000}"/>
    <cellStyle name="Финансовый 4 3 3 2 2 2 3" xfId="5707" xr:uid="{00000000-0005-0000-0000-0000AE130000}"/>
    <cellStyle name="Финансовый 4 3 3 2 2 3" xfId="3105" xr:uid="{00000000-0005-0000-0000-0000AF130000}"/>
    <cellStyle name="Финансовый 4 3 3 2 2 4" xfId="4749" xr:uid="{00000000-0005-0000-0000-0000B0130000}"/>
    <cellStyle name="Финансовый 4 3 3 2 3" xfId="2023" xr:uid="{00000000-0005-0000-0000-0000B1130000}"/>
    <cellStyle name="Финансовый 4 3 3 2 3 2" xfId="3668" xr:uid="{00000000-0005-0000-0000-0000B2130000}"/>
    <cellStyle name="Финансовый 4 3 3 2 3 3" xfId="5451" xr:uid="{00000000-0005-0000-0000-0000B3130000}"/>
    <cellStyle name="Финансовый 4 3 3 2 4" xfId="2552" xr:uid="{00000000-0005-0000-0000-0000B4130000}"/>
    <cellStyle name="Финансовый 4 3 3 2 4 2" xfId="4197" xr:uid="{00000000-0005-0000-0000-0000B5130000}"/>
    <cellStyle name="Финансовый 4 3 3 2 4 3" xfId="5980" xr:uid="{00000000-0005-0000-0000-0000B6130000}"/>
    <cellStyle name="Финансовый 4 3 3 2 5" xfId="1056" xr:uid="{00000000-0005-0000-0000-0000B7130000}"/>
    <cellStyle name="Финансовый 4 3 3 2 6" xfId="644" xr:uid="{00000000-0005-0000-0000-0000B8130000}"/>
    <cellStyle name="Финансовый 4 3 3 2 7" xfId="2833" xr:uid="{00000000-0005-0000-0000-0000B9130000}"/>
    <cellStyle name="Финансовый 4 3 3 2 8" xfId="4477" xr:uid="{00000000-0005-0000-0000-0000BA130000}"/>
    <cellStyle name="Финансовый 4 3 3 3" xfId="372" xr:uid="{00000000-0005-0000-0000-0000BB130000}"/>
    <cellStyle name="Финансовый 4 3 3 3 2" xfId="2151" xr:uid="{00000000-0005-0000-0000-0000BC130000}"/>
    <cellStyle name="Финансовый 4 3 3 3 2 2" xfId="3796" xr:uid="{00000000-0005-0000-0000-0000BD130000}"/>
    <cellStyle name="Финансовый 4 3 3 3 2 3" xfId="5579" xr:uid="{00000000-0005-0000-0000-0000BE130000}"/>
    <cellStyle name="Финансовый 4 3 3 3 3" xfId="1185" xr:uid="{00000000-0005-0000-0000-0000BF130000}"/>
    <cellStyle name="Финансовый 4 3 3 3 4" xfId="792" xr:uid="{00000000-0005-0000-0000-0000C0130000}"/>
    <cellStyle name="Финансовый 4 3 3 3 5" xfId="2969" xr:uid="{00000000-0005-0000-0000-0000C1130000}"/>
    <cellStyle name="Финансовый 4 3 3 3 6" xfId="4613" xr:uid="{00000000-0005-0000-0000-0000C2130000}"/>
    <cellStyle name="Финансовый 4 3 3 4" xfId="1540" xr:uid="{00000000-0005-0000-0000-0000C3130000}"/>
    <cellStyle name="Финансовый 4 3 3 4 2" xfId="1895" xr:uid="{00000000-0005-0000-0000-0000C4130000}"/>
    <cellStyle name="Финансовый 4 3 3 4 2 2" xfId="3540" xr:uid="{00000000-0005-0000-0000-0000C5130000}"/>
    <cellStyle name="Финансовый 4 3 3 4 2 3" xfId="5323" xr:uid="{00000000-0005-0000-0000-0000C6130000}"/>
    <cellStyle name="Финансовый 4 3 3 4 3" xfId="4968" xr:uid="{00000000-0005-0000-0000-0000C7130000}"/>
    <cellStyle name="Финансовый 4 3 3 5" xfId="1771" xr:uid="{00000000-0005-0000-0000-0000C8130000}"/>
    <cellStyle name="Финансовый 4 3 3 5 2" xfId="3416" xr:uid="{00000000-0005-0000-0000-0000C9130000}"/>
    <cellStyle name="Финансовый 4 3 3 5 3" xfId="5199" xr:uid="{00000000-0005-0000-0000-0000CA130000}"/>
    <cellStyle name="Финансовый 4 3 3 6" xfId="2416" xr:uid="{00000000-0005-0000-0000-0000CB130000}"/>
    <cellStyle name="Финансовый 4 3 3 6 2" xfId="4061" xr:uid="{00000000-0005-0000-0000-0000CC130000}"/>
    <cellStyle name="Финансовый 4 3 3 6 3" xfId="5844" xr:uid="{00000000-0005-0000-0000-0000CD130000}"/>
    <cellStyle name="Финансовый 4 3 3 7" xfId="1643" xr:uid="{00000000-0005-0000-0000-0000CE130000}"/>
    <cellStyle name="Финансовый 4 3 3 7 2" xfId="3288" xr:uid="{00000000-0005-0000-0000-0000CF130000}"/>
    <cellStyle name="Финансовый 4 3 3 7 3" xfId="5071" xr:uid="{00000000-0005-0000-0000-0000D0130000}"/>
    <cellStyle name="Финансовый 4 3 3 8" xfId="920" xr:uid="{00000000-0005-0000-0000-0000D1130000}"/>
    <cellStyle name="Финансовый 4 3 3 9" xfId="508" xr:uid="{00000000-0005-0000-0000-0000D2130000}"/>
    <cellStyle name="Финансовый 4 3 4" xfId="179" xr:uid="{00000000-0005-0000-0000-0000D3130000}"/>
    <cellStyle name="Финансовый 4 3 4 2" xfId="1277" xr:uid="{00000000-0005-0000-0000-0000D4130000}"/>
    <cellStyle name="Финансовый 4 3 4 2 2" xfId="2243" xr:uid="{00000000-0005-0000-0000-0000D5130000}"/>
    <cellStyle name="Финансовый 4 3 4 2 2 2" xfId="3888" xr:uid="{00000000-0005-0000-0000-0000D6130000}"/>
    <cellStyle name="Финансовый 4 3 4 2 2 3" xfId="5671" xr:uid="{00000000-0005-0000-0000-0000D7130000}"/>
    <cellStyle name="Финансовый 4 3 4 2 3" xfId="3061" xr:uid="{00000000-0005-0000-0000-0000D8130000}"/>
    <cellStyle name="Финансовый 4 3 4 2 4" xfId="4705" xr:uid="{00000000-0005-0000-0000-0000D9130000}"/>
    <cellStyle name="Финансовый 4 3 4 3" xfId="1987" xr:uid="{00000000-0005-0000-0000-0000DA130000}"/>
    <cellStyle name="Финансовый 4 3 4 3 2" xfId="3632" xr:uid="{00000000-0005-0000-0000-0000DB130000}"/>
    <cellStyle name="Финансовый 4 3 4 3 3" xfId="5415" xr:uid="{00000000-0005-0000-0000-0000DC130000}"/>
    <cellStyle name="Финансовый 4 3 4 4" xfId="2508" xr:uid="{00000000-0005-0000-0000-0000DD130000}"/>
    <cellStyle name="Финансовый 4 3 4 4 2" xfId="4153" xr:uid="{00000000-0005-0000-0000-0000DE130000}"/>
    <cellStyle name="Финансовый 4 3 4 4 3" xfId="5936" xr:uid="{00000000-0005-0000-0000-0000DF130000}"/>
    <cellStyle name="Финансовый 4 3 4 5" xfId="1012" xr:uid="{00000000-0005-0000-0000-0000E0130000}"/>
    <cellStyle name="Финансовый 4 3 4 6" xfId="600" xr:uid="{00000000-0005-0000-0000-0000E1130000}"/>
    <cellStyle name="Финансовый 4 3 4 7" xfId="2789" xr:uid="{00000000-0005-0000-0000-0000E2130000}"/>
    <cellStyle name="Финансовый 4 3 4 8" xfId="4433" xr:uid="{00000000-0005-0000-0000-0000E3130000}"/>
    <cellStyle name="Финансовый 4 3 5" xfId="328" xr:uid="{00000000-0005-0000-0000-0000E4130000}"/>
    <cellStyle name="Финансовый 4 3 5 2" xfId="2115" xr:uid="{00000000-0005-0000-0000-0000E5130000}"/>
    <cellStyle name="Финансовый 4 3 5 2 2" xfId="3760" xr:uid="{00000000-0005-0000-0000-0000E6130000}"/>
    <cellStyle name="Финансовый 4 3 5 2 3" xfId="5543" xr:uid="{00000000-0005-0000-0000-0000E7130000}"/>
    <cellStyle name="Финансовый 4 3 5 3" xfId="1148" xr:uid="{00000000-0005-0000-0000-0000E8130000}"/>
    <cellStyle name="Финансовый 4 3 5 4" xfId="748" xr:uid="{00000000-0005-0000-0000-0000E9130000}"/>
    <cellStyle name="Финансовый 4 3 5 5" xfId="2925" xr:uid="{00000000-0005-0000-0000-0000EA130000}"/>
    <cellStyle name="Финансовый 4 3 5 6" xfId="4569" xr:uid="{00000000-0005-0000-0000-0000EB130000}"/>
    <cellStyle name="Финансовый 4 3 6" xfId="1432" xr:uid="{00000000-0005-0000-0000-0000EC130000}"/>
    <cellStyle name="Финансовый 4 3 6 2" xfId="1851" xr:uid="{00000000-0005-0000-0000-0000ED130000}"/>
    <cellStyle name="Финансовый 4 3 6 2 2" xfId="3496" xr:uid="{00000000-0005-0000-0000-0000EE130000}"/>
    <cellStyle name="Финансовый 4 3 6 2 3" xfId="5279" xr:uid="{00000000-0005-0000-0000-0000EF130000}"/>
    <cellStyle name="Финансовый 4 3 6 3" xfId="4860" xr:uid="{00000000-0005-0000-0000-0000F0130000}"/>
    <cellStyle name="Финансовый 4 3 7" xfId="1735" xr:uid="{00000000-0005-0000-0000-0000F1130000}"/>
    <cellStyle name="Финансовый 4 3 7 2" xfId="3380" xr:uid="{00000000-0005-0000-0000-0000F2130000}"/>
    <cellStyle name="Финансовый 4 3 7 3" xfId="5163" xr:uid="{00000000-0005-0000-0000-0000F3130000}"/>
    <cellStyle name="Финансовый 4 3 8" xfId="2371" xr:uid="{00000000-0005-0000-0000-0000F4130000}"/>
    <cellStyle name="Финансовый 4 3 8 2" xfId="4016" xr:uid="{00000000-0005-0000-0000-0000F5130000}"/>
    <cellStyle name="Финансовый 4 3 8 3" xfId="5799" xr:uid="{00000000-0005-0000-0000-0000F6130000}"/>
    <cellStyle name="Финансовый 4 3 9" xfId="1598" xr:uid="{00000000-0005-0000-0000-0000F7130000}"/>
    <cellStyle name="Финансовый 4 3 9 2" xfId="3243" xr:uid="{00000000-0005-0000-0000-0000F8130000}"/>
    <cellStyle name="Финансовый 4 3 9 3" xfId="5026" xr:uid="{00000000-0005-0000-0000-0000F9130000}"/>
    <cellStyle name="Финансовый 4 4" xfId="93" xr:uid="{00000000-0005-0000-0000-0000FA130000}"/>
    <cellStyle name="Финансовый 4 4 10" xfId="2703" xr:uid="{00000000-0005-0000-0000-0000FB130000}"/>
    <cellStyle name="Финансовый 4 4 11" xfId="4347" xr:uid="{00000000-0005-0000-0000-0000FC130000}"/>
    <cellStyle name="Финансовый 4 4 2" xfId="229" xr:uid="{00000000-0005-0000-0000-0000FD130000}"/>
    <cellStyle name="Финансовый 4 4 2 2" xfId="1327" xr:uid="{00000000-0005-0000-0000-0000FE130000}"/>
    <cellStyle name="Финансовый 4 4 2 2 2" xfId="2285" xr:uid="{00000000-0005-0000-0000-0000FF130000}"/>
    <cellStyle name="Финансовый 4 4 2 2 2 2" xfId="3930" xr:uid="{00000000-0005-0000-0000-000000140000}"/>
    <cellStyle name="Финансовый 4 4 2 2 2 3" xfId="5713" xr:uid="{00000000-0005-0000-0000-000001140000}"/>
    <cellStyle name="Финансовый 4 4 2 2 3" xfId="3111" xr:uid="{00000000-0005-0000-0000-000002140000}"/>
    <cellStyle name="Финансовый 4 4 2 2 4" xfId="4755" xr:uid="{00000000-0005-0000-0000-000003140000}"/>
    <cellStyle name="Финансовый 4 4 2 3" xfId="2029" xr:uid="{00000000-0005-0000-0000-000004140000}"/>
    <cellStyle name="Финансовый 4 4 2 3 2" xfId="3674" xr:uid="{00000000-0005-0000-0000-000005140000}"/>
    <cellStyle name="Финансовый 4 4 2 3 3" xfId="5457" xr:uid="{00000000-0005-0000-0000-000006140000}"/>
    <cellStyle name="Финансовый 4 4 2 4" xfId="2558" xr:uid="{00000000-0005-0000-0000-000007140000}"/>
    <cellStyle name="Финансовый 4 4 2 4 2" xfId="4203" xr:uid="{00000000-0005-0000-0000-000008140000}"/>
    <cellStyle name="Финансовый 4 4 2 4 3" xfId="5986" xr:uid="{00000000-0005-0000-0000-000009140000}"/>
    <cellStyle name="Финансовый 4 4 2 5" xfId="1062" xr:uid="{00000000-0005-0000-0000-00000A140000}"/>
    <cellStyle name="Финансовый 4 4 2 6" xfId="650" xr:uid="{00000000-0005-0000-0000-00000B140000}"/>
    <cellStyle name="Финансовый 4 4 2 7" xfId="2839" xr:uid="{00000000-0005-0000-0000-00000C140000}"/>
    <cellStyle name="Финансовый 4 4 2 8" xfId="4483" xr:uid="{00000000-0005-0000-0000-00000D140000}"/>
    <cellStyle name="Финансовый 4 4 3" xfId="378" xr:uid="{00000000-0005-0000-0000-00000E140000}"/>
    <cellStyle name="Финансовый 4 4 3 2" xfId="2157" xr:uid="{00000000-0005-0000-0000-00000F140000}"/>
    <cellStyle name="Финансовый 4 4 3 2 2" xfId="3802" xr:uid="{00000000-0005-0000-0000-000010140000}"/>
    <cellStyle name="Финансовый 4 4 3 2 3" xfId="5585" xr:uid="{00000000-0005-0000-0000-000011140000}"/>
    <cellStyle name="Финансовый 4 4 3 3" xfId="1191" xr:uid="{00000000-0005-0000-0000-000012140000}"/>
    <cellStyle name="Финансовый 4 4 3 4" xfId="798" xr:uid="{00000000-0005-0000-0000-000013140000}"/>
    <cellStyle name="Финансовый 4 4 3 5" xfId="2975" xr:uid="{00000000-0005-0000-0000-000014140000}"/>
    <cellStyle name="Финансовый 4 4 3 6" xfId="4619" xr:uid="{00000000-0005-0000-0000-000015140000}"/>
    <cellStyle name="Финансовый 4 4 4" xfId="1541" xr:uid="{00000000-0005-0000-0000-000016140000}"/>
    <cellStyle name="Финансовый 4 4 4 2" xfId="1901" xr:uid="{00000000-0005-0000-0000-000017140000}"/>
    <cellStyle name="Финансовый 4 4 4 2 2" xfId="3546" xr:uid="{00000000-0005-0000-0000-000018140000}"/>
    <cellStyle name="Финансовый 4 4 4 2 3" xfId="5329" xr:uid="{00000000-0005-0000-0000-000019140000}"/>
    <cellStyle name="Финансовый 4 4 4 3" xfId="4969" xr:uid="{00000000-0005-0000-0000-00001A140000}"/>
    <cellStyle name="Финансовый 4 4 5" xfId="1777" xr:uid="{00000000-0005-0000-0000-00001B140000}"/>
    <cellStyle name="Финансовый 4 4 5 2" xfId="3422" xr:uid="{00000000-0005-0000-0000-00001C140000}"/>
    <cellStyle name="Финансовый 4 4 5 3" xfId="5205" xr:uid="{00000000-0005-0000-0000-00001D140000}"/>
    <cellStyle name="Финансовый 4 4 6" xfId="2422" xr:uid="{00000000-0005-0000-0000-00001E140000}"/>
    <cellStyle name="Финансовый 4 4 6 2" xfId="4067" xr:uid="{00000000-0005-0000-0000-00001F140000}"/>
    <cellStyle name="Финансовый 4 4 6 3" xfId="5850" xr:uid="{00000000-0005-0000-0000-000020140000}"/>
    <cellStyle name="Финансовый 4 4 7" xfId="1649" xr:uid="{00000000-0005-0000-0000-000021140000}"/>
    <cellStyle name="Финансовый 4 4 7 2" xfId="3294" xr:uid="{00000000-0005-0000-0000-000022140000}"/>
    <cellStyle name="Финансовый 4 4 7 3" xfId="5077" xr:uid="{00000000-0005-0000-0000-000023140000}"/>
    <cellStyle name="Финансовый 4 4 8" xfId="926" xr:uid="{00000000-0005-0000-0000-000024140000}"/>
    <cellStyle name="Финансовый 4 4 9" xfId="514" xr:uid="{00000000-0005-0000-0000-000025140000}"/>
    <cellStyle name="Финансовый 4 5" xfId="99" xr:uid="{00000000-0005-0000-0000-000026140000}"/>
    <cellStyle name="Финансовый 4 5 10" xfId="2709" xr:uid="{00000000-0005-0000-0000-000027140000}"/>
    <cellStyle name="Финансовый 4 5 11" xfId="4353" xr:uid="{00000000-0005-0000-0000-000028140000}"/>
    <cellStyle name="Финансовый 4 5 2" xfId="235" xr:uid="{00000000-0005-0000-0000-000029140000}"/>
    <cellStyle name="Финансовый 4 5 2 2" xfId="1333" xr:uid="{00000000-0005-0000-0000-00002A140000}"/>
    <cellStyle name="Финансовый 4 5 2 2 2" xfId="2291" xr:uid="{00000000-0005-0000-0000-00002B140000}"/>
    <cellStyle name="Финансовый 4 5 2 2 2 2" xfId="3936" xr:uid="{00000000-0005-0000-0000-00002C140000}"/>
    <cellStyle name="Финансовый 4 5 2 2 2 3" xfId="5719" xr:uid="{00000000-0005-0000-0000-00002D140000}"/>
    <cellStyle name="Финансовый 4 5 2 2 3" xfId="3117" xr:uid="{00000000-0005-0000-0000-00002E140000}"/>
    <cellStyle name="Финансовый 4 5 2 2 4" xfId="4761" xr:uid="{00000000-0005-0000-0000-00002F140000}"/>
    <cellStyle name="Финансовый 4 5 2 3" xfId="2035" xr:uid="{00000000-0005-0000-0000-000030140000}"/>
    <cellStyle name="Финансовый 4 5 2 3 2" xfId="3680" xr:uid="{00000000-0005-0000-0000-000031140000}"/>
    <cellStyle name="Финансовый 4 5 2 3 3" xfId="5463" xr:uid="{00000000-0005-0000-0000-000032140000}"/>
    <cellStyle name="Финансовый 4 5 2 4" xfId="2564" xr:uid="{00000000-0005-0000-0000-000033140000}"/>
    <cellStyle name="Финансовый 4 5 2 4 2" xfId="4209" xr:uid="{00000000-0005-0000-0000-000034140000}"/>
    <cellStyle name="Финансовый 4 5 2 4 3" xfId="5992" xr:uid="{00000000-0005-0000-0000-000035140000}"/>
    <cellStyle name="Финансовый 4 5 2 5" xfId="1068" xr:uid="{00000000-0005-0000-0000-000036140000}"/>
    <cellStyle name="Финансовый 4 5 2 6" xfId="656" xr:uid="{00000000-0005-0000-0000-000037140000}"/>
    <cellStyle name="Финансовый 4 5 2 7" xfId="2845" xr:uid="{00000000-0005-0000-0000-000038140000}"/>
    <cellStyle name="Финансовый 4 5 2 8" xfId="4489" xr:uid="{00000000-0005-0000-0000-000039140000}"/>
    <cellStyle name="Финансовый 4 5 3" xfId="384" xr:uid="{00000000-0005-0000-0000-00003A140000}"/>
    <cellStyle name="Финансовый 4 5 3 2" xfId="2163" xr:uid="{00000000-0005-0000-0000-00003B140000}"/>
    <cellStyle name="Финансовый 4 5 3 2 2" xfId="3808" xr:uid="{00000000-0005-0000-0000-00003C140000}"/>
    <cellStyle name="Финансовый 4 5 3 2 3" xfId="5591" xr:uid="{00000000-0005-0000-0000-00003D140000}"/>
    <cellStyle name="Финансовый 4 5 3 3" xfId="1197" xr:uid="{00000000-0005-0000-0000-00003E140000}"/>
    <cellStyle name="Финансовый 4 5 3 4" xfId="804" xr:uid="{00000000-0005-0000-0000-00003F140000}"/>
    <cellStyle name="Финансовый 4 5 3 5" xfId="2981" xr:uid="{00000000-0005-0000-0000-000040140000}"/>
    <cellStyle name="Финансовый 4 5 3 6" xfId="4625" xr:uid="{00000000-0005-0000-0000-000041140000}"/>
    <cellStyle name="Финансовый 4 5 4" xfId="1542" xr:uid="{00000000-0005-0000-0000-000042140000}"/>
    <cellStyle name="Финансовый 4 5 4 2" xfId="1907" xr:uid="{00000000-0005-0000-0000-000043140000}"/>
    <cellStyle name="Финансовый 4 5 4 2 2" xfId="3552" xr:uid="{00000000-0005-0000-0000-000044140000}"/>
    <cellStyle name="Финансовый 4 5 4 2 3" xfId="5335" xr:uid="{00000000-0005-0000-0000-000045140000}"/>
    <cellStyle name="Финансовый 4 5 4 3" xfId="4970" xr:uid="{00000000-0005-0000-0000-000046140000}"/>
    <cellStyle name="Финансовый 4 5 5" xfId="1783" xr:uid="{00000000-0005-0000-0000-000047140000}"/>
    <cellStyle name="Финансовый 4 5 5 2" xfId="3428" xr:uid="{00000000-0005-0000-0000-000048140000}"/>
    <cellStyle name="Финансовый 4 5 5 3" xfId="5211" xr:uid="{00000000-0005-0000-0000-000049140000}"/>
    <cellStyle name="Финансовый 4 5 6" xfId="2428" xr:uid="{00000000-0005-0000-0000-00004A140000}"/>
    <cellStyle name="Финансовый 4 5 6 2" xfId="4073" xr:uid="{00000000-0005-0000-0000-00004B140000}"/>
    <cellStyle name="Финансовый 4 5 6 3" xfId="5856" xr:uid="{00000000-0005-0000-0000-00004C140000}"/>
    <cellStyle name="Финансовый 4 5 7" xfId="1655" xr:uid="{00000000-0005-0000-0000-00004D140000}"/>
    <cellStyle name="Финансовый 4 5 7 2" xfId="3300" xr:uid="{00000000-0005-0000-0000-00004E140000}"/>
    <cellStyle name="Финансовый 4 5 7 3" xfId="5083" xr:uid="{00000000-0005-0000-0000-00004F140000}"/>
    <cellStyle name="Финансовый 4 5 8" xfId="932" xr:uid="{00000000-0005-0000-0000-000050140000}"/>
    <cellStyle name="Финансовый 4 5 9" xfId="520" xr:uid="{00000000-0005-0000-0000-000051140000}"/>
    <cellStyle name="Финансовый 4 6" xfId="111" xr:uid="{00000000-0005-0000-0000-000052140000}"/>
    <cellStyle name="Финансовый 4 6 10" xfId="2721" xr:uid="{00000000-0005-0000-0000-000053140000}"/>
    <cellStyle name="Финансовый 4 6 11" xfId="4365" xr:uid="{00000000-0005-0000-0000-000054140000}"/>
    <cellStyle name="Финансовый 4 6 2" xfId="247" xr:uid="{00000000-0005-0000-0000-000055140000}"/>
    <cellStyle name="Финансовый 4 6 2 2" xfId="1345" xr:uid="{00000000-0005-0000-0000-000056140000}"/>
    <cellStyle name="Финансовый 4 6 2 2 2" xfId="2303" xr:uid="{00000000-0005-0000-0000-000057140000}"/>
    <cellStyle name="Финансовый 4 6 2 2 2 2" xfId="3948" xr:uid="{00000000-0005-0000-0000-000058140000}"/>
    <cellStyle name="Финансовый 4 6 2 2 2 3" xfId="5731" xr:uid="{00000000-0005-0000-0000-000059140000}"/>
    <cellStyle name="Финансовый 4 6 2 2 3" xfId="3129" xr:uid="{00000000-0005-0000-0000-00005A140000}"/>
    <cellStyle name="Финансовый 4 6 2 2 4" xfId="4773" xr:uid="{00000000-0005-0000-0000-00005B140000}"/>
    <cellStyle name="Финансовый 4 6 2 3" xfId="2047" xr:uid="{00000000-0005-0000-0000-00005C140000}"/>
    <cellStyle name="Финансовый 4 6 2 3 2" xfId="3692" xr:uid="{00000000-0005-0000-0000-00005D140000}"/>
    <cellStyle name="Финансовый 4 6 2 3 3" xfId="5475" xr:uid="{00000000-0005-0000-0000-00005E140000}"/>
    <cellStyle name="Финансовый 4 6 2 4" xfId="2576" xr:uid="{00000000-0005-0000-0000-00005F140000}"/>
    <cellStyle name="Финансовый 4 6 2 4 2" xfId="4221" xr:uid="{00000000-0005-0000-0000-000060140000}"/>
    <cellStyle name="Финансовый 4 6 2 4 3" xfId="6004" xr:uid="{00000000-0005-0000-0000-000061140000}"/>
    <cellStyle name="Финансовый 4 6 2 5" xfId="1080" xr:uid="{00000000-0005-0000-0000-000062140000}"/>
    <cellStyle name="Финансовый 4 6 2 6" xfId="668" xr:uid="{00000000-0005-0000-0000-000063140000}"/>
    <cellStyle name="Финансовый 4 6 2 7" xfId="2857" xr:uid="{00000000-0005-0000-0000-000064140000}"/>
    <cellStyle name="Финансовый 4 6 2 8" xfId="4501" xr:uid="{00000000-0005-0000-0000-000065140000}"/>
    <cellStyle name="Финансовый 4 6 3" xfId="396" xr:uid="{00000000-0005-0000-0000-000066140000}"/>
    <cellStyle name="Финансовый 4 6 3 2" xfId="2175" xr:uid="{00000000-0005-0000-0000-000067140000}"/>
    <cellStyle name="Финансовый 4 6 3 2 2" xfId="3820" xr:uid="{00000000-0005-0000-0000-000068140000}"/>
    <cellStyle name="Финансовый 4 6 3 2 3" xfId="5603" xr:uid="{00000000-0005-0000-0000-000069140000}"/>
    <cellStyle name="Финансовый 4 6 3 3" xfId="1209" xr:uid="{00000000-0005-0000-0000-00006A140000}"/>
    <cellStyle name="Финансовый 4 6 3 4" xfId="816" xr:uid="{00000000-0005-0000-0000-00006B140000}"/>
    <cellStyle name="Финансовый 4 6 3 5" xfId="2993" xr:uid="{00000000-0005-0000-0000-00006C140000}"/>
    <cellStyle name="Финансовый 4 6 3 6" xfId="4637" xr:uid="{00000000-0005-0000-0000-00006D140000}"/>
    <cellStyle name="Финансовый 4 6 4" xfId="1478" xr:uid="{00000000-0005-0000-0000-00006E140000}"/>
    <cellStyle name="Финансовый 4 6 4 2" xfId="1919" xr:uid="{00000000-0005-0000-0000-00006F140000}"/>
    <cellStyle name="Финансовый 4 6 4 2 2" xfId="3564" xr:uid="{00000000-0005-0000-0000-000070140000}"/>
    <cellStyle name="Финансовый 4 6 4 2 3" xfId="5347" xr:uid="{00000000-0005-0000-0000-000071140000}"/>
    <cellStyle name="Финансовый 4 6 4 3" xfId="4906" xr:uid="{00000000-0005-0000-0000-000072140000}"/>
    <cellStyle name="Финансовый 4 6 5" xfId="1795" xr:uid="{00000000-0005-0000-0000-000073140000}"/>
    <cellStyle name="Финансовый 4 6 5 2" xfId="3440" xr:uid="{00000000-0005-0000-0000-000074140000}"/>
    <cellStyle name="Финансовый 4 6 5 3" xfId="5223" xr:uid="{00000000-0005-0000-0000-000075140000}"/>
    <cellStyle name="Финансовый 4 6 6" xfId="2440" xr:uid="{00000000-0005-0000-0000-000076140000}"/>
    <cellStyle name="Финансовый 4 6 6 2" xfId="4085" xr:uid="{00000000-0005-0000-0000-000077140000}"/>
    <cellStyle name="Финансовый 4 6 6 3" xfId="5868" xr:uid="{00000000-0005-0000-0000-000078140000}"/>
    <cellStyle name="Финансовый 4 6 7" xfId="1667" xr:uid="{00000000-0005-0000-0000-000079140000}"/>
    <cellStyle name="Финансовый 4 6 7 2" xfId="3312" xr:uid="{00000000-0005-0000-0000-00007A140000}"/>
    <cellStyle name="Финансовый 4 6 7 3" xfId="5095" xr:uid="{00000000-0005-0000-0000-00007B140000}"/>
    <cellStyle name="Финансовый 4 6 8" xfId="944" xr:uid="{00000000-0005-0000-0000-00007C140000}"/>
    <cellStyle name="Финансовый 4 6 9" xfId="532" xr:uid="{00000000-0005-0000-0000-00007D140000}"/>
    <cellStyle name="Финансовый 4 7" xfId="75" xr:uid="{00000000-0005-0000-0000-00007E140000}"/>
    <cellStyle name="Финансовый 4 7 10" xfId="2685" xr:uid="{00000000-0005-0000-0000-00007F140000}"/>
    <cellStyle name="Финансовый 4 7 11" xfId="4329" xr:uid="{00000000-0005-0000-0000-000080140000}"/>
    <cellStyle name="Финансовый 4 7 2" xfId="211" xr:uid="{00000000-0005-0000-0000-000081140000}"/>
    <cellStyle name="Финансовый 4 7 2 2" xfId="1309" xr:uid="{00000000-0005-0000-0000-000082140000}"/>
    <cellStyle name="Финансовый 4 7 2 2 2" xfId="2267" xr:uid="{00000000-0005-0000-0000-000083140000}"/>
    <cellStyle name="Финансовый 4 7 2 2 2 2" xfId="3912" xr:uid="{00000000-0005-0000-0000-000084140000}"/>
    <cellStyle name="Финансовый 4 7 2 2 2 3" xfId="5695" xr:uid="{00000000-0005-0000-0000-000085140000}"/>
    <cellStyle name="Финансовый 4 7 2 2 3" xfId="3093" xr:uid="{00000000-0005-0000-0000-000086140000}"/>
    <cellStyle name="Финансовый 4 7 2 2 4" xfId="4737" xr:uid="{00000000-0005-0000-0000-000087140000}"/>
    <cellStyle name="Финансовый 4 7 2 3" xfId="2011" xr:uid="{00000000-0005-0000-0000-000088140000}"/>
    <cellStyle name="Финансовый 4 7 2 3 2" xfId="3656" xr:uid="{00000000-0005-0000-0000-000089140000}"/>
    <cellStyle name="Финансовый 4 7 2 3 3" xfId="5439" xr:uid="{00000000-0005-0000-0000-00008A140000}"/>
    <cellStyle name="Финансовый 4 7 2 4" xfId="2540" xr:uid="{00000000-0005-0000-0000-00008B140000}"/>
    <cellStyle name="Финансовый 4 7 2 4 2" xfId="4185" xr:uid="{00000000-0005-0000-0000-00008C140000}"/>
    <cellStyle name="Финансовый 4 7 2 4 3" xfId="5968" xr:uid="{00000000-0005-0000-0000-00008D140000}"/>
    <cellStyle name="Финансовый 4 7 2 5" xfId="1044" xr:uid="{00000000-0005-0000-0000-00008E140000}"/>
    <cellStyle name="Финансовый 4 7 2 6" xfId="632" xr:uid="{00000000-0005-0000-0000-00008F140000}"/>
    <cellStyle name="Финансовый 4 7 2 7" xfId="2821" xr:uid="{00000000-0005-0000-0000-000090140000}"/>
    <cellStyle name="Финансовый 4 7 2 8" xfId="4465" xr:uid="{00000000-0005-0000-0000-000091140000}"/>
    <cellStyle name="Финансовый 4 7 3" xfId="360" xr:uid="{00000000-0005-0000-0000-000092140000}"/>
    <cellStyle name="Финансовый 4 7 3 2" xfId="2139" xr:uid="{00000000-0005-0000-0000-000093140000}"/>
    <cellStyle name="Финансовый 4 7 3 2 2" xfId="3784" xr:uid="{00000000-0005-0000-0000-000094140000}"/>
    <cellStyle name="Финансовый 4 7 3 2 3" xfId="5567" xr:uid="{00000000-0005-0000-0000-000095140000}"/>
    <cellStyle name="Финансовый 4 7 3 3" xfId="1173" xr:uid="{00000000-0005-0000-0000-000096140000}"/>
    <cellStyle name="Финансовый 4 7 3 4" xfId="780" xr:uid="{00000000-0005-0000-0000-000097140000}"/>
    <cellStyle name="Финансовый 4 7 3 5" xfId="2957" xr:uid="{00000000-0005-0000-0000-000098140000}"/>
    <cellStyle name="Финансовый 4 7 3 6" xfId="4601" xr:uid="{00000000-0005-0000-0000-000099140000}"/>
    <cellStyle name="Финансовый 4 7 4" xfId="1446" xr:uid="{00000000-0005-0000-0000-00009A140000}"/>
    <cellStyle name="Финансовый 4 7 4 2" xfId="1883" xr:uid="{00000000-0005-0000-0000-00009B140000}"/>
    <cellStyle name="Финансовый 4 7 4 2 2" xfId="3528" xr:uid="{00000000-0005-0000-0000-00009C140000}"/>
    <cellStyle name="Финансовый 4 7 4 2 3" xfId="5311" xr:uid="{00000000-0005-0000-0000-00009D140000}"/>
    <cellStyle name="Финансовый 4 7 4 3" xfId="4874" xr:uid="{00000000-0005-0000-0000-00009E140000}"/>
    <cellStyle name="Финансовый 4 7 5" xfId="1759" xr:uid="{00000000-0005-0000-0000-00009F140000}"/>
    <cellStyle name="Финансовый 4 7 5 2" xfId="3404" xr:uid="{00000000-0005-0000-0000-0000A0140000}"/>
    <cellStyle name="Финансовый 4 7 5 3" xfId="5187" xr:uid="{00000000-0005-0000-0000-0000A1140000}"/>
    <cellStyle name="Финансовый 4 7 6" xfId="2404" xr:uid="{00000000-0005-0000-0000-0000A2140000}"/>
    <cellStyle name="Финансовый 4 7 6 2" xfId="4049" xr:uid="{00000000-0005-0000-0000-0000A3140000}"/>
    <cellStyle name="Финансовый 4 7 6 3" xfId="5832" xr:uid="{00000000-0005-0000-0000-0000A4140000}"/>
    <cellStyle name="Финансовый 4 7 7" xfId="1631" xr:uid="{00000000-0005-0000-0000-0000A5140000}"/>
    <cellStyle name="Финансовый 4 7 7 2" xfId="3276" xr:uid="{00000000-0005-0000-0000-0000A6140000}"/>
    <cellStyle name="Финансовый 4 7 7 3" xfId="5059" xr:uid="{00000000-0005-0000-0000-0000A7140000}"/>
    <cellStyle name="Финансовый 4 7 8" xfId="908" xr:uid="{00000000-0005-0000-0000-0000A8140000}"/>
    <cellStyle name="Финансовый 4 7 9" xfId="496" xr:uid="{00000000-0005-0000-0000-0000A9140000}"/>
    <cellStyle name="Финансовый 4 8" xfId="53" xr:uid="{00000000-0005-0000-0000-0000AA140000}"/>
    <cellStyle name="Финансовый 4 8 10" xfId="2665" xr:uid="{00000000-0005-0000-0000-0000AB140000}"/>
    <cellStyle name="Финансовый 4 8 11" xfId="4308" xr:uid="{00000000-0005-0000-0000-0000AC140000}"/>
    <cellStyle name="Финансовый 4 8 2" xfId="191" xr:uid="{00000000-0005-0000-0000-0000AD140000}"/>
    <cellStyle name="Финансовый 4 8 2 2" xfId="1289" xr:uid="{00000000-0005-0000-0000-0000AE140000}"/>
    <cellStyle name="Финансовый 4 8 2 2 2" xfId="2255" xr:uid="{00000000-0005-0000-0000-0000AF140000}"/>
    <cellStyle name="Финансовый 4 8 2 2 2 2" xfId="3900" xr:uid="{00000000-0005-0000-0000-0000B0140000}"/>
    <cellStyle name="Финансовый 4 8 2 2 2 3" xfId="5683" xr:uid="{00000000-0005-0000-0000-0000B1140000}"/>
    <cellStyle name="Финансовый 4 8 2 2 3" xfId="3073" xr:uid="{00000000-0005-0000-0000-0000B2140000}"/>
    <cellStyle name="Финансовый 4 8 2 2 4" xfId="4717" xr:uid="{00000000-0005-0000-0000-0000B3140000}"/>
    <cellStyle name="Финансовый 4 8 2 3" xfId="1999" xr:uid="{00000000-0005-0000-0000-0000B4140000}"/>
    <cellStyle name="Финансовый 4 8 2 3 2" xfId="3644" xr:uid="{00000000-0005-0000-0000-0000B5140000}"/>
    <cellStyle name="Финансовый 4 8 2 3 3" xfId="5427" xr:uid="{00000000-0005-0000-0000-0000B6140000}"/>
    <cellStyle name="Финансовый 4 8 2 4" xfId="2520" xr:uid="{00000000-0005-0000-0000-0000B7140000}"/>
    <cellStyle name="Финансовый 4 8 2 4 2" xfId="4165" xr:uid="{00000000-0005-0000-0000-0000B8140000}"/>
    <cellStyle name="Финансовый 4 8 2 4 3" xfId="5948" xr:uid="{00000000-0005-0000-0000-0000B9140000}"/>
    <cellStyle name="Финансовый 4 8 2 5" xfId="1024" xr:uid="{00000000-0005-0000-0000-0000BA140000}"/>
    <cellStyle name="Финансовый 4 8 2 6" xfId="612" xr:uid="{00000000-0005-0000-0000-0000BB140000}"/>
    <cellStyle name="Финансовый 4 8 2 7" xfId="2801" xr:uid="{00000000-0005-0000-0000-0000BC140000}"/>
    <cellStyle name="Финансовый 4 8 2 8" xfId="4445" xr:uid="{00000000-0005-0000-0000-0000BD140000}"/>
    <cellStyle name="Финансовый 4 8 3" xfId="340" xr:uid="{00000000-0005-0000-0000-0000BE140000}"/>
    <cellStyle name="Финансовый 4 8 3 2" xfId="2127" xr:uid="{00000000-0005-0000-0000-0000BF140000}"/>
    <cellStyle name="Финансовый 4 8 3 2 2" xfId="3772" xr:uid="{00000000-0005-0000-0000-0000C0140000}"/>
    <cellStyle name="Финансовый 4 8 3 2 3" xfId="5555" xr:uid="{00000000-0005-0000-0000-0000C1140000}"/>
    <cellStyle name="Финансовый 4 8 3 3" xfId="1160" xr:uid="{00000000-0005-0000-0000-0000C2140000}"/>
    <cellStyle name="Финансовый 4 8 3 4" xfId="760" xr:uid="{00000000-0005-0000-0000-0000C3140000}"/>
    <cellStyle name="Финансовый 4 8 3 5" xfId="2937" xr:uid="{00000000-0005-0000-0000-0000C4140000}"/>
    <cellStyle name="Финансовый 4 8 3 6" xfId="4581" xr:uid="{00000000-0005-0000-0000-0000C5140000}"/>
    <cellStyle name="Финансовый 4 8 4" xfId="1433" xr:uid="{00000000-0005-0000-0000-0000C6140000}"/>
    <cellStyle name="Финансовый 4 8 4 2" xfId="1863" xr:uid="{00000000-0005-0000-0000-0000C7140000}"/>
    <cellStyle name="Финансовый 4 8 4 2 2" xfId="3508" xr:uid="{00000000-0005-0000-0000-0000C8140000}"/>
    <cellStyle name="Финансовый 4 8 4 2 3" xfId="5291" xr:uid="{00000000-0005-0000-0000-0000C9140000}"/>
    <cellStyle name="Финансовый 4 8 4 3" xfId="4861" xr:uid="{00000000-0005-0000-0000-0000CA140000}"/>
    <cellStyle name="Финансовый 4 8 5" xfId="1747" xr:uid="{00000000-0005-0000-0000-0000CB140000}"/>
    <cellStyle name="Финансовый 4 8 5 2" xfId="3392" xr:uid="{00000000-0005-0000-0000-0000CC140000}"/>
    <cellStyle name="Финансовый 4 8 5 3" xfId="5175" xr:uid="{00000000-0005-0000-0000-0000CD140000}"/>
    <cellStyle name="Финансовый 4 8 6" xfId="2383" xr:uid="{00000000-0005-0000-0000-0000CE140000}"/>
    <cellStyle name="Финансовый 4 8 6 2" xfId="4028" xr:uid="{00000000-0005-0000-0000-0000CF140000}"/>
    <cellStyle name="Финансовый 4 8 6 3" xfId="5811" xr:uid="{00000000-0005-0000-0000-0000D0140000}"/>
    <cellStyle name="Финансовый 4 8 7" xfId="1610" xr:uid="{00000000-0005-0000-0000-0000D1140000}"/>
    <cellStyle name="Финансовый 4 8 7 2" xfId="3255" xr:uid="{00000000-0005-0000-0000-0000D2140000}"/>
    <cellStyle name="Финансовый 4 8 7 3" xfId="5038" xr:uid="{00000000-0005-0000-0000-0000D3140000}"/>
    <cellStyle name="Финансовый 4 8 8" xfId="896" xr:uid="{00000000-0005-0000-0000-0000D4140000}"/>
    <cellStyle name="Финансовый 4 8 9" xfId="476" xr:uid="{00000000-0005-0000-0000-0000D5140000}"/>
    <cellStyle name="Финансовый 4 9" xfId="131" xr:uid="{00000000-0005-0000-0000-0000D6140000}"/>
    <cellStyle name="Финансовый 4 9 10" xfId="2741" xr:uid="{00000000-0005-0000-0000-0000D7140000}"/>
    <cellStyle name="Финансовый 4 9 11" xfId="4385" xr:uid="{00000000-0005-0000-0000-0000D8140000}"/>
    <cellStyle name="Финансовый 4 9 2" xfId="267" xr:uid="{00000000-0005-0000-0000-0000D9140000}"/>
    <cellStyle name="Финансовый 4 9 2 2" xfId="1365" xr:uid="{00000000-0005-0000-0000-0000DA140000}"/>
    <cellStyle name="Финансовый 4 9 2 2 2" xfId="2323" xr:uid="{00000000-0005-0000-0000-0000DB140000}"/>
    <cellStyle name="Финансовый 4 9 2 2 2 2" xfId="3968" xr:uid="{00000000-0005-0000-0000-0000DC140000}"/>
    <cellStyle name="Финансовый 4 9 2 2 2 3" xfId="5751" xr:uid="{00000000-0005-0000-0000-0000DD140000}"/>
    <cellStyle name="Финансовый 4 9 2 2 3" xfId="3149" xr:uid="{00000000-0005-0000-0000-0000DE140000}"/>
    <cellStyle name="Финансовый 4 9 2 2 4" xfId="4793" xr:uid="{00000000-0005-0000-0000-0000DF140000}"/>
    <cellStyle name="Финансовый 4 9 2 3" xfId="2067" xr:uid="{00000000-0005-0000-0000-0000E0140000}"/>
    <cellStyle name="Финансовый 4 9 2 3 2" xfId="3712" xr:uid="{00000000-0005-0000-0000-0000E1140000}"/>
    <cellStyle name="Финансовый 4 9 2 3 3" xfId="5495" xr:uid="{00000000-0005-0000-0000-0000E2140000}"/>
    <cellStyle name="Финансовый 4 9 2 4" xfId="2596" xr:uid="{00000000-0005-0000-0000-0000E3140000}"/>
    <cellStyle name="Финансовый 4 9 2 4 2" xfId="4241" xr:uid="{00000000-0005-0000-0000-0000E4140000}"/>
    <cellStyle name="Финансовый 4 9 2 4 3" xfId="6024" xr:uid="{00000000-0005-0000-0000-0000E5140000}"/>
    <cellStyle name="Финансовый 4 9 2 5" xfId="1100" xr:uid="{00000000-0005-0000-0000-0000E6140000}"/>
    <cellStyle name="Финансовый 4 9 2 6" xfId="688" xr:uid="{00000000-0005-0000-0000-0000E7140000}"/>
    <cellStyle name="Финансовый 4 9 2 7" xfId="2877" xr:uid="{00000000-0005-0000-0000-0000E8140000}"/>
    <cellStyle name="Финансовый 4 9 2 8" xfId="4521" xr:uid="{00000000-0005-0000-0000-0000E9140000}"/>
    <cellStyle name="Финансовый 4 9 3" xfId="416" xr:uid="{00000000-0005-0000-0000-0000EA140000}"/>
    <cellStyle name="Финансовый 4 9 3 2" xfId="2195" xr:uid="{00000000-0005-0000-0000-0000EB140000}"/>
    <cellStyle name="Финансовый 4 9 3 2 2" xfId="3840" xr:uid="{00000000-0005-0000-0000-0000EC140000}"/>
    <cellStyle name="Финансовый 4 9 3 2 3" xfId="5623" xr:uid="{00000000-0005-0000-0000-0000ED140000}"/>
    <cellStyle name="Финансовый 4 9 3 3" xfId="1229" xr:uid="{00000000-0005-0000-0000-0000EE140000}"/>
    <cellStyle name="Финансовый 4 9 3 4" xfId="836" xr:uid="{00000000-0005-0000-0000-0000EF140000}"/>
    <cellStyle name="Финансовый 4 9 3 5" xfId="3013" xr:uid="{00000000-0005-0000-0000-0000F0140000}"/>
    <cellStyle name="Финансовый 4 9 3 6" xfId="4657" xr:uid="{00000000-0005-0000-0000-0000F1140000}"/>
    <cellStyle name="Финансовый 4 9 4" xfId="1449" xr:uid="{00000000-0005-0000-0000-0000F2140000}"/>
    <cellStyle name="Финансовый 4 9 4 2" xfId="1939" xr:uid="{00000000-0005-0000-0000-0000F3140000}"/>
    <cellStyle name="Финансовый 4 9 4 2 2" xfId="3584" xr:uid="{00000000-0005-0000-0000-0000F4140000}"/>
    <cellStyle name="Финансовый 4 9 4 2 3" xfId="5367" xr:uid="{00000000-0005-0000-0000-0000F5140000}"/>
    <cellStyle name="Финансовый 4 9 4 3" xfId="4877" xr:uid="{00000000-0005-0000-0000-0000F6140000}"/>
    <cellStyle name="Финансовый 4 9 5" xfId="1815" xr:uid="{00000000-0005-0000-0000-0000F7140000}"/>
    <cellStyle name="Финансовый 4 9 5 2" xfId="3460" xr:uid="{00000000-0005-0000-0000-0000F8140000}"/>
    <cellStyle name="Финансовый 4 9 5 3" xfId="5243" xr:uid="{00000000-0005-0000-0000-0000F9140000}"/>
    <cellStyle name="Финансовый 4 9 6" xfId="2460" xr:uid="{00000000-0005-0000-0000-0000FA140000}"/>
    <cellStyle name="Финансовый 4 9 6 2" xfId="4105" xr:uid="{00000000-0005-0000-0000-0000FB140000}"/>
    <cellStyle name="Финансовый 4 9 6 3" xfId="5888" xr:uid="{00000000-0005-0000-0000-0000FC140000}"/>
    <cellStyle name="Финансовый 4 9 7" xfId="1687" xr:uid="{00000000-0005-0000-0000-0000FD140000}"/>
    <cellStyle name="Финансовый 4 9 7 2" xfId="3332" xr:uid="{00000000-0005-0000-0000-0000FE140000}"/>
    <cellStyle name="Финансовый 4 9 7 3" xfId="5115" xr:uid="{00000000-0005-0000-0000-0000FF140000}"/>
    <cellStyle name="Финансовый 4 9 8" xfId="964" xr:uid="{00000000-0005-0000-0000-000000150000}"/>
    <cellStyle name="Финансовый 4 9 9" xfId="552" xr:uid="{00000000-0005-0000-0000-000001150000}"/>
    <cellStyle name="Финансовый 40" xfId="6042" xr:uid="{00000000-0005-0000-0000-000002150000}"/>
    <cellStyle name="Финансовый 41" xfId="6041" xr:uid="{00000000-0005-0000-0000-000003150000}"/>
    <cellStyle name="Финансовый 42" xfId="6039" xr:uid="{00000000-0005-0000-0000-000004150000}"/>
    <cellStyle name="Финансовый 43" xfId="6043" xr:uid="{00000000-0005-0000-0000-000005150000}"/>
    <cellStyle name="Финансовый 44" xfId="6040" xr:uid="{00000000-0005-0000-0000-000006150000}"/>
    <cellStyle name="Финансовый 5" xfId="7" xr:uid="{00000000-0005-0000-0000-000007150000}"/>
    <cellStyle name="Финансовый 5 10" xfId="281" xr:uid="{00000000-0005-0000-0000-000008150000}"/>
    <cellStyle name="Финансовый 5 10 2" xfId="2081" xr:uid="{00000000-0005-0000-0000-000009150000}"/>
    <cellStyle name="Финансовый 5 10 2 2" xfId="3726" xr:uid="{00000000-0005-0000-0000-00000A150000}"/>
    <cellStyle name="Финансовый 5 10 2 3" xfId="5509" xr:uid="{00000000-0005-0000-0000-00000B150000}"/>
    <cellStyle name="Финансовый 5 10 3" xfId="1379" xr:uid="{00000000-0005-0000-0000-00000C150000}"/>
    <cellStyle name="Финансовый 5 10 4" xfId="702" xr:uid="{00000000-0005-0000-0000-00000D150000}"/>
    <cellStyle name="Финансовый 5 10 5" xfId="3163" xr:uid="{00000000-0005-0000-0000-00000E150000}"/>
    <cellStyle name="Финансовый 5 10 6" xfId="4807" xr:uid="{00000000-0005-0000-0000-00000F150000}"/>
    <cellStyle name="Финансовый 5 11" xfId="294" xr:uid="{00000000-0005-0000-0000-000010150000}"/>
    <cellStyle name="Финансовый 5 11 2" xfId="1114" xr:uid="{00000000-0005-0000-0000-000011150000}"/>
    <cellStyle name="Финансовый 5 11 3" xfId="714" xr:uid="{00000000-0005-0000-0000-000012150000}"/>
    <cellStyle name="Финансовый 5 11 4" xfId="2891" xr:uid="{00000000-0005-0000-0000-000013150000}"/>
    <cellStyle name="Финансовый 5 11 5" xfId="4535" xr:uid="{00000000-0005-0000-0000-000014150000}"/>
    <cellStyle name="Финансовый 5 12" xfId="1543" xr:uid="{00000000-0005-0000-0000-000015150000}"/>
    <cellStyle name="Финансовый 5 12 2" xfId="1701" xr:uid="{00000000-0005-0000-0000-000016150000}"/>
    <cellStyle name="Финансовый 5 12 2 2" xfId="3346" xr:uid="{00000000-0005-0000-0000-000017150000}"/>
    <cellStyle name="Финансовый 5 12 2 3" xfId="5129" xr:uid="{00000000-0005-0000-0000-000018150000}"/>
    <cellStyle name="Финансовый 5 12 3" xfId="4971" xr:uid="{00000000-0005-0000-0000-000019150000}"/>
    <cellStyle name="Финансовый 5 13" xfId="2337" xr:uid="{00000000-0005-0000-0000-00001A150000}"/>
    <cellStyle name="Финансовый 5 13 2" xfId="3982" xr:uid="{00000000-0005-0000-0000-00001B150000}"/>
    <cellStyle name="Финансовый 5 13 3" xfId="5765" xr:uid="{00000000-0005-0000-0000-00001C150000}"/>
    <cellStyle name="Финансовый 5 14" xfId="1564" xr:uid="{00000000-0005-0000-0000-00001D150000}"/>
    <cellStyle name="Финансовый 5 14 2" xfId="3209" xr:uid="{00000000-0005-0000-0000-00001E150000}"/>
    <cellStyle name="Финансовый 5 14 3" xfId="4992" xr:uid="{00000000-0005-0000-0000-00001F150000}"/>
    <cellStyle name="Финансовый 5 15" xfId="850" xr:uid="{00000000-0005-0000-0000-000020150000}"/>
    <cellStyle name="Финансовый 5 16" xfId="430" xr:uid="{00000000-0005-0000-0000-000021150000}"/>
    <cellStyle name="Финансовый 5 17" xfId="2619" xr:uid="{00000000-0005-0000-0000-000022150000}"/>
    <cellStyle name="Финансовый 5 18" xfId="4262" xr:uid="{00000000-0005-0000-0000-000023150000}"/>
    <cellStyle name="Финансовый 5 2" xfId="43" xr:uid="{00000000-0005-0000-0000-000024150000}"/>
    <cellStyle name="Финансовый 5 2 10" xfId="466" xr:uid="{00000000-0005-0000-0000-000025150000}"/>
    <cellStyle name="Финансовый 5 2 11" xfId="2655" xr:uid="{00000000-0005-0000-0000-000026150000}"/>
    <cellStyle name="Финансовый 5 2 12" xfId="4298" xr:uid="{00000000-0005-0000-0000-000027150000}"/>
    <cellStyle name="Финансовый 5 2 2" xfId="101" xr:uid="{00000000-0005-0000-0000-000028150000}"/>
    <cellStyle name="Финансовый 5 2 2 10" xfId="2711" xr:uid="{00000000-0005-0000-0000-000029150000}"/>
    <cellStyle name="Финансовый 5 2 2 11" xfId="4355" xr:uid="{00000000-0005-0000-0000-00002A150000}"/>
    <cellStyle name="Финансовый 5 2 2 2" xfId="237" xr:uid="{00000000-0005-0000-0000-00002B150000}"/>
    <cellStyle name="Финансовый 5 2 2 2 2" xfId="1335" xr:uid="{00000000-0005-0000-0000-00002C150000}"/>
    <cellStyle name="Финансовый 5 2 2 2 2 2" xfId="2293" xr:uid="{00000000-0005-0000-0000-00002D150000}"/>
    <cellStyle name="Финансовый 5 2 2 2 2 2 2" xfId="3938" xr:uid="{00000000-0005-0000-0000-00002E150000}"/>
    <cellStyle name="Финансовый 5 2 2 2 2 2 3" xfId="5721" xr:uid="{00000000-0005-0000-0000-00002F150000}"/>
    <cellStyle name="Финансовый 5 2 2 2 2 3" xfId="3119" xr:uid="{00000000-0005-0000-0000-000030150000}"/>
    <cellStyle name="Финансовый 5 2 2 2 2 4" xfId="4763" xr:uid="{00000000-0005-0000-0000-000031150000}"/>
    <cellStyle name="Финансовый 5 2 2 2 3" xfId="2037" xr:uid="{00000000-0005-0000-0000-000032150000}"/>
    <cellStyle name="Финансовый 5 2 2 2 3 2" xfId="3682" xr:uid="{00000000-0005-0000-0000-000033150000}"/>
    <cellStyle name="Финансовый 5 2 2 2 3 3" xfId="5465" xr:uid="{00000000-0005-0000-0000-000034150000}"/>
    <cellStyle name="Финансовый 5 2 2 2 4" xfId="2566" xr:uid="{00000000-0005-0000-0000-000035150000}"/>
    <cellStyle name="Финансовый 5 2 2 2 4 2" xfId="4211" xr:uid="{00000000-0005-0000-0000-000036150000}"/>
    <cellStyle name="Финансовый 5 2 2 2 4 3" xfId="5994" xr:uid="{00000000-0005-0000-0000-000037150000}"/>
    <cellStyle name="Финансовый 5 2 2 2 5" xfId="1070" xr:uid="{00000000-0005-0000-0000-000038150000}"/>
    <cellStyle name="Финансовый 5 2 2 2 6" xfId="658" xr:uid="{00000000-0005-0000-0000-000039150000}"/>
    <cellStyle name="Финансовый 5 2 2 2 7" xfId="2847" xr:uid="{00000000-0005-0000-0000-00003A150000}"/>
    <cellStyle name="Финансовый 5 2 2 2 8" xfId="4491" xr:uid="{00000000-0005-0000-0000-00003B150000}"/>
    <cellStyle name="Финансовый 5 2 2 3" xfId="386" xr:uid="{00000000-0005-0000-0000-00003C150000}"/>
    <cellStyle name="Финансовый 5 2 2 3 2" xfId="2165" xr:uid="{00000000-0005-0000-0000-00003D150000}"/>
    <cellStyle name="Финансовый 5 2 2 3 2 2" xfId="3810" xr:uid="{00000000-0005-0000-0000-00003E150000}"/>
    <cellStyle name="Финансовый 5 2 2 3 2 3" xfId="5593" xr:uid="{00000000-0005-0000-0000-00003F150000}"/>
    <cellStyle name="Финансовый 5 2 2 3 3" xfId="1199" xr:uid="{00000000-0005-0000-0000-000040150000}"/>
    <cellStyle name="Финансовый 5 2 2 3 4" xfId="806" xr:uid="{00000000-0005-0000-0000-000041150000}"/>
    <cellStyle name="Финансовый 5 2 2 3 5" xfId="2983" xr:uid="{00000000-0005-0000-0000-000042150000}"/>
    <cellStyle name="Финансовый 5 2 2 3 6" xfId="4627" xr:uid="{00000000-0005-0000-0000-000043150000}"/>
    <cellStyle name="Финансовый 5 2 2 4" xfId="1545" xr:uid="{00000000-0005-0000-0000-000044150000}"/>
    <cellStyle name="Финансовый 5 2 2 4 2" xfId="1909" xr:uid="{00000000-0005-0000-0000-000045150000}"/>
    <cellStyle name="Финансовый 5 2 2 4 2 2" xfId="3554" xr:uid="{00000000-0005-0000-0000-000046150000}"/>
    <cellStyle name="Финансовый 5 2 2 4 2 3" xfId="5337" xr:uid="{00000000-0005-0000-0000-000047150000}"/>
    <cellStyle name="Финансовый 5 2 2 4 3" xfId="4973" xr:uid="{00000000-0005-0000-0000-000048150000}"/>
    <cellStyle name="Финансовый 5 2 2 5" xfId="1785" xr:uid="{00000000-0005-0000-0000-000049150000}"/>
    <cellStyle name="Финансовый 5 2 2 5 2" xfId="3430" xr:uid="{00000000-0005-0000-0000-00004A150000}"/>
    <cellStyle name="Финансовый 5 2 2 5 3" xfId="5213" xr:uid="{00000000-0005-0000-0000-00004B150000}"/>
    <cellStyle name="Финансовый 5 2 2 6" xfId="2430" xr:uid="{00000000-0005-0000-0000-00004C150000}"/>
    <cellStyle name="Финансовый 5 2 2 6 2" xfId="4075" xr:uid="{00000000-0005-0000-0000-00004D150000}"/>
    <cellStyle name="Финансовый 5 2 2 6 3" xfId="5858" xr:uid="{00000000-0005-0000-0000-00004E150000}"/>
    <cellStyle name="Финансовый 5 2 2 7" xfId="1657" xr:uid="{00000000-0005-0000-0000-00004F150000}"/>
    <cellStyle name="Финансовый 5 2 2 7 2" xfId="3302" xr:uid="{00000000-0005-0000-0000-000050150000}"/>
    <cellStyle name="Финансовый 5 2 2 7 3" xfId="5085" xr:uid="{00000000-0005-0000-0000-000051150000}"/>
    <cellStyle name="Финансовый 5 2 2 8" xfId="934" xr:uid="{00000000-0005-0000-0000-000052150000}"/>
    <cellStyle name="Финансовый 5 2 2 9" xfId="522" xr:uid="{00000000-0005-0000-0000-000053150000}"/>
    <cellStyle name="Финансовый 5 2 3" xfId="181" xr:uid="{00000000-0005-0000-0000-000054150000}"/>
    <cellStyle name="Финансовый 5 2 3 2" xfId="1279" xr:uid="{00000000-0005-0000-0000-000055150000}"/>
    <cellStyle name="Финансовый 5 2 3 2 2" xfId="2245" xr:uid="{00000000-0005-0000-0000-000056150000}"/>
    <cellStyle name="Финансовый 5 2 3 2 2 2" xfId="3890" xr:uid="{00000000-0005-0000-0000-000057150000}"/>
    <cellStyle name="Финансовый 5 2 3 2 2 3" xfId="5673" xr:uid="{00000000-0005-0000-0000-000058150000}"/>
    <cellStyle name="Финансовый 5 2 3 2 3" xfId="3063" xr:uid="{00000000-0005-0000-0000-000059150000}"/>
    <cellStyle name="Финансовый 5 2 3 2 4" xfId="4707" xr:uid="{00000000-0005-0000-0000-00005A150000}"/>
    <cellStyle name="Финансовый 5 2 3 3" xfId="1989" xr:uid="{00000000-0005-0000-0000-00005B150000}"/>
    <cellStyle name="Финансовый 5 2 3 3 2" xfId="3634" xr:uid="{00000000-0005-0000-0000-00005C150000}"/>
    <cellStyle name="Финансовый 5 2 3 3 3" xfId="5417" xr:uid="{00000000-0005-0000-0000-00005D150000}"/>
    <cellStyle name="Финансовый 5 2 3 4" xfId="2510" xr:uid="{00000000-0005-0000-0000-00005E150000}"/>
    <cellStyle name="Финансовый 5 2 3 4 2" xfId="4155" xr:uid="{00000000-0005-0000-0000-00005F150000}"/>
    <cellStyle name="Финансовый 5 2 3 4 3" xfId="5938" xr:uid="{00000000-0005-0000-0000-000060150000}"/>
    <cellStyle name="Финансовый 5 2 3 5" xfId="1014" xr:uid="{00000000-0005-0000-0000-000061150000}"/>
    <cellStyle name="Финансовый 5 2 3 6" xfId="602" xr:uid="{00000000-0005-0000-0000-000062150000}"/>
    <cellStyle name="Финансовый 5 2 3 7" xfId="2791" xr:uid="{00000000-0005-0000-0000-000063150000}"/>
    <cellStyle name="Финансовый 5 2 3 8" xfId="4435" xr:uid="{00000000-0005-0000-0000-000064150000}"/>
    <cellStyle name="Финансовый 5 2 4" xfId="330" xr:uid="{00000000-0005-0000-0000-000065150000}"/>
    <cellStyle name="Финансовый 5 2 4 2" xfId="2117" xr:uid="{00000000-0005-0000-0000-000066150000}"/>
    <cellStyle name="Финансовый 5 2 4 2 2" xfId="3762" xr:uid="{00000000-0005-0000-0000-000067150000}"/>
    <cellStyle name="Финансовый 5 2 4 2 3" xfId="5545" xr:uid="{00000000-0005-0000-0000-000068150000}"/>
    <cellStyle name="Финансовый 5 2 4 3" xfId="1150" xr:uid="{00000000-0005-0000-0000-000069150000}"/>
    <cellStyle name="Финансовый 5 2 4 4" xfId="750" xr:uid="{00000000-0005-0000-0000-00006A150000}"/>
    <cellStyle name="Финансовый 5 2 4 5" xfId="2927" xr:uid="{00000000-0005-0000-0000-00006B150000}"/>
    <cellStyle name="Финансовый 5 2 4 6" xfId="4571" xr:uid="{00000000-0005-0000-0000-00006C150000}"/>
    <cellStyle name="Финансовый 5 2 5" xfId="1544" xr:uid="{00000000-0005-0000-0000-00006D150000}"/>
    <cellStyle name="Финансовый 5 2 5 2" xfId="1853" xr:uid="{00000000-0005-0000-0000-00006E150000}"/>
    <cellStyle name="Финансовый 5 2 5 2 2" xfId="3498" xr:uid="{00000000-0005-0000-0000-00006F150000}"/>
    <cellStyle name="Финансовый 5 2 5 2 3" xfId="5281" xr:uid="{00000000-0005-0000-0000-000070150000}"/>
    <cellStyle name="Финансовый 5 2 5 3" xfId="4972" xr:uid="{00000000-0005-0000-0000-000071150000}"/>
    <cellStyle name="Финансовый 5 2 6" xfId="1737" xr:uid="{00000000-0005-0000-0000-000072150000}"/>
    <cellStyle name="Финансовый 5 2 6 2" xfId="3382" xr:uid="{00000000-0005-0000-0000-000073150000}"/>
    <cellStyle name="Финансовый 5 2 6 3" xfId="5165" xr:uid="{00000000-0005-0000-0000-000074150000}"/>
    <cellStyle name="Финансовый 5 2 7" xfId="2373" xr:uid="{00000000-0005-0000-0000-000075150000}"/>
    <cellStyle name="Финансовый 5 2 7 2" xfId="4018" xr:uid="{00000000-0005-0000-0000-000076150000}"/>
    <cellStyle name="Финансовый 5 2 7 3" xfId="5801" xr:uid="{00000000-0005-0000-0000-000077150000}"/>
    <cellStyle name="Финансовый 5 2 8" xfId="1600" xr:uid="{00000000-0005-0000-0000-000078150000}"/>
    <cellStyle name="Финансовый 5 2 8 2" xfId="3245" xr:uid="{00000000-0005-0000-0000-000079150000}"/>
    <cellStyle name="Финансовый 5 2 8 3" xfId="5028" xr:uid="{00000000-0005-0000-0000-00007A150000}"/>
    <cellStyle name="Финансовый 5 2 9" xfId="886" xr:uid="{00000000-0005-0000-0000-00007B150000}"/>
    <cellStyle name="Финансовый 5 3" xfId="113" xr:uid="{00000000-0005-0000-0000-00007C150000}"/>
    <cellStyle name="Финансовый 5 3 10" xfId="2723" xr:uid="{00000000-0005-0000-0000-00007D150000}"/>
    <cellStyle name="Финансовый 5 3 11" xfId="4367" xr:uid="{00000000-0005-0000-0000-00007E150000}"/>
    <cellStyle name="Финансовый 5 3 2" xfId="249" xr:uid="{00000000-0005-0000-0000-00007F150000}"/>
    <cellStyle name="Финансовый 5 3 2 2" xfId="1347" xr:uid="{00000000-0005-0000-0000-000080150000}"/>
    <cellStyle name="Финансовый 5 3 2 2 2" xfId="2305" xr:uid="{00000000-0005-0000-0000-000081150000}"/>
    <cellStyle name="Финансовый 5 3 2 2 2 2" xfId="3950" xr:uid="{00000000-0005-0000-0000-000082150000}"/>
    <cellStyle name="Финансовый 5 3 2 2 2 3" xfId="5733" xr:uid="{00000000-0005-0000-0000-000083150000}"/>
    <cellStyle name="Финансовый 5 3 2 2 3" xfId="3131" xr:uid="{00000000-0005-0000-0000-000084150000}"/>
    <cellStyle name="Финансовый 5 3 2 2 4" xfId="4775" xr:uid="{00000000-0005-0000-0000-000085150000}"/>
    <cellStyle name="Финансовый 5 3 2 3" xfId="2049" xr:uid="{00000000-0005-0000-0000-000086150000}"/>
    <cellStyle name="Финансовый 5 3 2 3 2" xfId="3694" xr:uid="{00000000-0005-0000-0000-000087150000}"/>
    <cellStyle name="Финансовый 5 3 2 3 3" xfId="5477" xr:uid="{00000000-0005-0000-0000-000088150000}"/>
    <cellStyle name="Финансовый 5 3 2 4" xfId="2578" xr:uid="{00000000-0005-0000-0000-000089150000}"/>
    <cellStyle name="Финансовый 5 3 2 4 2" xfId="4223" xr:uid="{00000000-0005-0000-0000-00008A150000}"/>
    <cellStyle name="Финансовый 5 3 2 4 3" xfId="6006" xr:uid="{00000000-0005-0000-0000-00008B150000}"/>
    <cellStyle name="Финансовый 5 3 2 5" xfId="1082" xr:uid="{00000000-0005-0000-0000-00008C150000}"/>
    <cellStyle name="Финансовый 5 3 2 6" xfId="670" xr:uid="{00000000-0005-0000-0000-00008D150000}"/>
    <cellStyle name="Финансовый 5 3 2 7" xfId="2859" xr:uid="{00000000-0005-0000-0000-00008E150000}"/>
    <cellStyle name="Финансовый 5 3 2 8" xfId="4503" xr:uid="{00000000-0005-0000-0000-00008F150000}"/>
    <cellStyle name="Финансовый 5 3 3" xfId="398" xr:uid="{00000000-0005-0000-0000-000090150000}"/>
    <cellStyle name="Финансовый 5 3 3 2" xfId="2177" xr:uid="{00000000-0005-0000-0000-000091150000}"/>
    <cellStyle name="Финансовый 5 3 3 2 2" xfId="3822" xr:uid="{00000000-0005-0000-0000-000092150000}"/>
    <cellStyle name="Финансовый 5 3 3 2 3" xfId="5605" xr:uid="{00000000-0005-0000-0000-000093150000}"/>
    <cellStyle name="Финансовый 5 3 3 3" xfId="1211" xr:uid="{00000000-0005-0000-0000-000094150000}"/>
    <cellStyle name="Финансовый 5 3 3 4" xfId="818" xr:uid="{00000000-0005-0000-0000-000095150000}"/>
    <cellStyle name="Финансовый 5 3 3 5" xfId="2995" xr:uid="{00000000-0005-0000-0000-000096150000}"/>
    <cellStyle name="Финансовый 5 3 3 6" xfId="4639" xr:uid="{00000000-0005-0000-0000-000097150000}"/>
    <cellStyle name="Финансовый 5 3 4" xfId="1546" xr:uid="{00000000-0005-0000-0000-000098150000}"/>
    <cellStyle name="Финансовый 5 3 4 2" xfId="1921" xr:uid="{00000000-0005-0000-0000-000099150000}"/>
    <cellStyle name="Финансовый 5 3 4 2 2" xfId="3566" xr:uid="{00000000-0005-0000-0000-00009A150000}"/>
    <cellStyle name="Финансовый 5 3 4 2 3" xfId="5349" xr:uid="{00000000-0005-0000-0000-00009B150000}"/>
    <cellStyle name="Финансовый 5 3 4 3" xfId="4974" xr:uid="{00000000-0005-0000-0000-00009C150000}"/>
    <cellStyle name="Финансовый 5 3 5" xfId="1797" xr:uid="{00000000-0005-0000-0000-00009D150000}"/>
    <cellStyle name="Финансовый 5 3 5 2" xfId="3442" xr:uid="{00000000-0005-0000-0000-00009E150000}"/>
    <cellStyle name="Финансовый 5 3 5 3" xfId="5225" xr:uid="{00000000-0005-0000-0000-00009F150000}"/>
    <cellStyle name="Финансовый 5 3 6" xfId="2442" xr:uid="{00000000-0005-0000-0000-0000A0150000}"/>
    <cellStyle name="Финансовый 5 3 6 2" xfId="4087" xr:uid="{00000000-0005-0000-0000-0000A1150000}"/>
    <cellStyle name="Финансовый 5 3 6 3" xfId="5870" xr:uid="{00000000-0005-0000-0000-0000A2150000}"/>
    <cellStyle name="Финансовый 5 3 7" xfId="1669" xr:uid="{00000000-0005-0000-0000-0000A3150000}"/>
    <cellStyle name="Финансовый 5 3 7 2" xfId="3314" xr:uid="{00000000-0005-0000-0000-0000A4150000}"/>
    <cellStyle name="Финансовый 5 3 7 3" xfId="5097" xr:uid="{00000000-0005-0000-0000-0000A5150000}"/>
    <cellStyle name="Финансовый 5 3 8" xfId="946" xr:uid="{00000000-0005-0000-0000-0000A6150000}"/>
    <cellStyle name="Финансовый 5 3 9" xfId="534" xr:uid="{00000000-0005-0000-0000-0000A7150000}"/>
    <cellStyle name="Финансовый 5 4" xfId="77" xr:uid="{00000000-0005-0000-0000-0000A8150000}"/>
    <cellStyle name="Финансовый 5 4 10" xfId="2687" xr:uid="{00000000-0005-0000-0000-0000A9150000}"/>
    <cellStyle name="Финансовый 5 4 11" xfId="4331" xr:uid="{00000000-0005-0000-0000-0000AA150000}"/>
    <cellStyle name="Финансовый 5 4 2" xfId="213" xr:uid="{00000000-0005-0000-0000-0000AB150000}"/>
    <cellStyle name="Финансовый 5 4 2 2" xfId="1311" xr:uid="{00000000-0005-0000-0000-0000AC150000}"/>
    <cellStyle name="Финансовый 5 4 2 2 2" xfId="2269" xr:uid="{00000000-0005-0000-0000-0000AD150000}"/>
    <cellStyle name="Финансовый 5 4 2 2 2 2" xfId="3914" xr:uid="{00000000-0005-0000-0000-0000AE150000}"/>
    <cellStyle name="Финансовый 5 4 2 2 2 3" xfId="5697" xr:uid="{00000000-0005-0000-0000-0000AF150000}"/>
    <cellStyle name="Финансовый 5 4 2 2 3" xfId="3095" xr:uid="{00000000-0005-0000-0000-0000B0150000}"/>
    <cellStyle name="Финансовый 5 4 2 2 4" xfId="4739" xr:uid="{00000000-0005-0000-0000-0000B1150000}"/>
    <cellStyle name="Финансовый 5 4 2 3" xfId="2013" xr:uid="{00000000-0005-0000-0000-0000B2150000}"/>
    <cellStyle name="Финансовый 5 4 2 3 2" xfId="3658" xr:uid="{00000000-0005-0000-0000-0000B3150000}"/>
    <cellStyle name="Финансовый 5 4 2 3 3" xfId="5441" xr:uid="{00000000-0005-0000-0000-0000B4150000}"/>
    <cellStyle name="Финансовый 5 4 2 4" xfId="2542" xr:uid="{00000000-0005-0000-0000-0000B5150000}"/>
    <cellStyle name="Финансовый 5 4 2 4 2" xfId="4187" xr:uid="{00000000-0005-0000-0000-0000B6150000}"/>
    <cellStyle name="Финансовый 5 4 2 4 3" xfId="5970" xr:uid="{00000000-0005-0000-0000-0000B7150000}"/>
    <cellStyle name="Финансовый 5 4 2 5" xfId="1046" xr:uid="{00000000-0005-0000-0000-0000B8150000}"/>
    <cellStyle name="Финансовый 5 4 2 6" xfId="634" xr:uid="{00000000-0005-0000-0000-0000B9150000}"/>
    <cellStyle name="Финансовый 5 4 2 7" xfId="2823" xr:uid="{00000000-0005-0000-0000-0000BA150000}"/>
    <cellStyle name="Финансовый 5 4 2 8" xfId="4467" xr:uid="{00000000-0005-0000-0000-0000BB150000}"/>
    <cellStyle name="Финансовый 5 4 3" xfId="362" xr:uid="{00000000-0005-0000-0000-0000BC150000}"/>
    <cellStyle name="Финансовый 5 4 3 2" xfId="2141" xr:uid="{00000000-0005-0000-0000-0000BD150000}"/>
    <cellStyle name="Финансовый 5 4 3 2 2" xfId="3786" xr:uid="{00000000-0005-0000-0000-0000BE150000}"/>
    <cellStyle name="Финансовый 5 4 3 2 3" xfId="5569" xr:uid="{00000000-0005-0000-0000-0000BF150000}"/>
    <cellStyle name="Финансовый 5 4 3 3" xfId="1175" xr:uid="{00000000-0005-0000-0000-0000C0150000}"/>
    <cellStyle name="Финансовый 5 4 3 4" xfId="782" xr:uid="{00000000-0005-0000-0000-0000C1150000}"/>
    <cellStyle name="Финансовый 5 4 3 5" xfId="2959" xr:uid="{00000000-0005-0000-0000-0000C2150000}"/>
    <cellStyle name="Финансовый 5 4 3 6" xfId="4603" xr:uid="{00000000-0005-0000-0000-0000C3150000}"/>
    <cellStyle name="Финансовый 5 4 4" xfId="1547" xr:uid="{00000000-0005-0000-0000-0000C4150000}"/>
    <cellStyle name="Финансовый 5 4 4 2" xfId="1885" xr:uid="{00000000-0005-0000-0000-0000C5150000}"/>
    <cellStyle name="Финансовый 5 4 4 2 2" xfId="3530" xr:uid="{00000000-0005-0000-0000-0000C6150000}"/>
    <cellStyle name="Финансовый 5 4 4 2 3" xfId="5313" xr:uid="{00000000-0005-0000-0000-0000C7150000}"/>
    <cellStyle name="Финансовый 5 4 4 3" xfId="4975" xr:uid="{00000000-0005-0000-0000-0000C8150000}"/>
    <cellStyle name="Финансовый 5 4 5" xfId="1761" xr:uid="{00000000-0005-0000-0000-0000C9150000}"/>
    <cellStyle name="Финансовый 5 4 5 2" xfId="3406" xr:uid="{00000000-0005-0000-0000-0000CA150000}"/>
    <cellStyle name="Финансовый 5 4 5 3" xfId="5189" xr:uid="{00000000-0005-0000-0000-0000CB150000}"/>
    <cellStyle name="Финансовый 5 4 6" xfId="2406" xr:uid="{00000000-0005-0000-0000-0000CC150000}"/>
    <cellStyle name="Финансовый 5 4 6 2" xfId="4051" xr:uid="{00000000-0005-0000-0000-0000CD150000}"/>
    <cellStyle name="Финансовый 5 4 6 3" xfId="5834" xr:uid="{00000000-0005-0000-0000-0000CE150000}"/>
    <cellStyle name="Финансовый 5 4 7" xfId="1633" xr:uid="{00000000-0005-0000-0000-0000CF150000}"/>
    <cellStyle name="Финансовый 5 4 7 2" xfId="3278" xr:uid="{00000000-0005-0000-0000-0000D0150000}"/>
    <cellStyle name="Финансовый 5 4 7 3" xfId="5061" xr:uid="{00000000-0005-0000-0000-0000D1150000}"/>
    <cellStyle name="Финансовый 5 4 8" xfId="910" xr:uid="{00000000-0005-0000-0000-0000D2150000}"/>
    <cellStyle name="Финансовый 5 4 9" xfId="498" xr:uid="{00000000-0005-0000-0000-0000D3150000}"/>
    <cellStyle name="Финансовый 5 5" xfId="55" xr:uid="{00000000-0005-0000-0000-0000D4150000}"/>
    <cellStyle name="Финансовый 5 5 10" xfId="2667" xr:uid="{00000000-0005-0000-0000-0000D5150000}"/>
    <cellStyle name="Финансовый 5 5 11" xfId="4310" xr:uid="{00000000-0005-0000-0000-0000D6150000}"/>
    <cellStyle name="Финансовый 5 5 2" xfId="193" xr:uid="{00000000-0005-0000-0000-0000D7150000}"/>
    <cellStyle name="Финансовый 5 5 2 2" xfId="1291" xr:uid="{00000000-0005-0000-0000-0000D8150000}"/>
    <cellStyle name="Финансовый 5 5 2 2 2" xfId="2257" xr:uid="{00000000-0005-0000-0000-0000D9150000}"/>
    <cellStyle name="Финансовый 5 5 2 2 2 2" xfId="3902" xr:uid="{00000000-0005-0000-0000-0000DA150000}"/>
    <cellStyle name="Финансовый 5 5 2 2 2 3" xfId="5685" xr:uid="{00000000-0005-0000-0000-0000DB150000}"/>
    <cellStyle name="Финансовый 5 5 2 2 3" xfId="3075" xr:uid="{00000000-0005-0000-0000-0000DC150000}"/>
    <cellStyle name="Финансовый 5 5 2 2 4" xfId="4719" xr:uid="{00000000-0005-0000-0000-0000DD150000}"/>
    <cellStyle name="Финансовый 5 5 2 3" xfId="2001" xr:uid="{00000000-0005-0000-0000-0000DE150000}"/>
    <cellStyle name="Финансовый 5 5 2 3 2" xfId="3646" xr:uid="{00000000-0005-0000-0000-0000DF150000}"/>
    <cellStyle name="Финансовый 5 5 2 3 3" xfId="5429" xr:uid="{00000000-0005-0000-0000-0000E0150000}"/>
    <cellStyle name="Финансовый 5 5 2 4" xfId="2522" xr:uid="{00000000-0005-0000-0000-0000E1150000}"/>
    <cellStyle name="Финансовый 5 5 2 4 2" xfId="4167" xr:uid="{00000000-0005-0000-0000-0000E2150000}"/>
    <cellStyle name="Финансовый 5 5 2 4 3" xfId="5950" xr:uid="{00000000-0005-0000-0000-0000E3150000}"/>
    <cellStyle name="Финансовый 5 5 2 5" xfId="1026" xr:uid="{00000000-0005-0000-0000-0000E4150000}"/>
    <cellStyle name="Финансовый 5 5 2 6" xfId="614" xr:uid="{00000000-0005-0000-0000-0000E5150000}"/>
    <cellStyle name="Финансовый 5 5 2 7" xfId="2803" xr:uid="{00000000-0005-0000-0000-0000E6150000}"/>
    <cellStyle name="Финансовый 5 5 2 8" xfId="4447" xr:uid="{00000000-0005-0000-0000-0000E7150000}"/>
    <cellStyle name="Финансовый 5 5 3" xfId="342" xr:uid="{00000000-0005-0000-0000-0000E8150000}"/>
    <cellStyle name="Финансовый 5 5 3 2" xfId="2129" xr:uid="{00000000-0005-0000-0000-0000E9150000}"/>
    <cellStyle name="Финансовый 5 5 3 2 2" xfId="3774" xr:uid="{00000000-0005-0000-0000-0000EA150000}"/>
    <cellStyle name="Финансовый 5 5 3 2 3" xfId="5557" xr:uid="{00000000-0005-0000-0000-0000EB150000}"/>
    <cellStyle name="Финансовый 5 5 3 3" xfId="1162" xr:uid="{00000000-0005-0000-0000-0000EC150000}"/>
    <cellStyle name="Финансовый 5 5 3 4" xfId="762" xr:uid="{00000000-0005-0000-0000-0000ED150000}"/>
    <cellStyle name="Финансовый 5 5 3 5" xfId="2939" xr:uid="{00000000-0005-0000-0000-0000EE150000}"/>
    <cellStyle name="Финансовый 5 5 3 6" xfId="4583" xr:uid="{00000000-0005-0000-0000-0000EF150000}"/>
    <cellStyle name="Финансовый 5 5 4" xfId="1548" xr:uid="{00000000-0005-0000-0000-0000F0150000}"/>
    <cellStyle name="Финансовый 5 5 4 2" xfId="1865" xr:uid="{00000000-0005-0000-0000-0000F1150000}"/>
    <cellStyle name="Финансовый 5 5 4 2 2" xfId="3510" xr:uid="{00000000-0005-0000-0000-0000F2150000}"/>
    <cellStyle name="Финансовый 5 5 4 2 3" xfId="5293" xr:uid="{00000000-0005-0000-0000-0000F3150000}"/>
    <cellStyle name="Финансовый 5 5 4 3" xfId="4976" xr:uid="{00000000-0005-0000-0000-0000F4150000}"/>
    <cellStyle name="Финансовый 5 5 5" xfId="1749" xr:uid="{00000000-0005-0000-0000-0000F5150000}"/>
    <cellStyle name="Финансовый 5 5 5 2" xfId="3394" xr:uid="{00000000-0005-0000-0000-0000F6150000}"/>
    <cellStyle name="Финансовый 5 5 5 3" xfId="5177" xr:uid="{00000000-0005-0000-0000-0000F7150000}"/>
    <cellStyle name="Финансовый 5 5 6" xfId="2385" xr:uid="{00000000-0005-0000-0000-0000F8150000}"/>
    <cellStyle name="Финансовый 5 5 6 2" xfId="4030" xr:uid="{00000000-0005-0000-0000-0000F9150000}"/>
    <cellStyle name="Финансовый 5 5 6 3" xfId="5813" xr:uid="{00000000-0005-0000-0000-0000FA150000}"/>
    <cellStyle name="Финансовый 5 5 7" xfId="1612" xr:uid="{00000000-0005-0000-0000-0000FB150000}"/>
    <cellStyle name="Финансовый 5 5 7 2" xfId="3257" xr:uid="{00000000-0005-0000-0000-0000FC150000}"/>
    <cellStyle name="Финансовый 5 5 7 3" xfId="5040" xr:uid="{00000000-0005-0000-0000-0000FD150000}"/>
    <cellStyle name="Финансовый 5 5 8" xfId="898" xr:uid="{00000000-0005-0000-0000-0000FE150000}"/>
    <cellStyle name="Финансовый 5 5 9" xfId="478" xr:uid="{00000000-0005-0000-0000-0000FF150000}"/>
    <cellStyle name="Финансовый 5 6" xfId="133" xr:uid="{00000000-0005-0000-0000-000000160000}"/>
    <cellStyle name="Финансовый 5 6 10" xfId="2743" xr:uid="{00000000-0005-0000-0000-000001160000}"/>
    <cellStyle name="Финансовый 5 6 11" xfId="4387" xr:uid="{00000000-0005-0000-0000-000002160000}"/>
    <cellStyle name="Финансовый 5 6 2" xfId="269" xr:uid="{00000000-0005-0000-0000-000003160000}"/>
    <cellStyle name="Финансовый 5 6 2 2" xfId="1367" xr:uid="{00000000-0005-0000-0000-000004160000}"/>
    <cellStyle name="Финансовый 5 6 2 2 2" xfId="2325" xr:uid="{00000000-0005-0000-0000-000005160000}"/>
    <cellStyle name="Финансовый 5 6 2 2 2 2" xfId="3970" xr:uid="{00000000-0005-0000-0000-000006160000}"/>
    <cellStyle name="Финансовый 5 6 2 2 2 3" xfId="5753" xr:uid="{00000000-0005-0000-0000-000007160000}"/>
    <cellStyle name="Финансовый 5 6 2 2 3" xfId="3151" xr:uid="{00000000-0005-0000-0000-000008160000}"/>
    <cellStyle name="Финансовый 5 6 2 2 4" xfId="4795" xr:uid="{00000000-0005-0000-0000-000009160000}"/>
    <cellStyle name="Финансовый 5 6 2 3" xfId="2069" xr:uid="{00000000-0005-0000-0000-00000A160000}"/>
    <cellStyle name="Финансовый 5 6 2 3 2" xfId="3714" xr:uid="{00000000-0005-0000-0000-00000B160000}"/>
    <cellStyle name="Финансовый 5 6 2 3 3" xfId="5497" xr:uid="{00000000-0005-0000-0000-00000C160000}"/>
    <cellStyle name="Финансовый 5 6 2 4" xfId="2598" xr:uid="{00000000-0005-0000-0000-00000D160000}"/>
    <cellStyle name="Финансовый 5 6 2 4 2" xfId="4243" xr:uid="{00000000-0005-0000-0000-00000E160000}"/>
    <cellStyle name="Финансовый 5 6 2 4 3" xfId="6026" xr:uid="{00000000-0005-0000-0000-00000F160000}"/>
    <cellStyle name="Финансовый 5 6 2 5" xfId="1102" xr:uid="{00000000-0005-0000-0000-000010160000}"/>
    <cellStyle name="Финансовый 5 6 2 6" xfId="690" xr:uid="{00000000-0005-0000-0000-000011160000}"/>
    <cellStyle name="Финансовый 5 6 2 7" xfId="2879" xr:uid="{00000000-0005-0000-0000-000012160000}"/>
    <cellStyle name="Финансовый 5 6 2 8" xfId="4523" xr:uid="{00000000-0005-0000-0000-000013160000}"/>
    <cellStyle name="Финансовый 5 6 3" xfId="418" xr:uid="{00000000-0005-0000-0000-000014160000}"/>
    <cellStyle name="Финансовый 5 6 3 2" xfId="2197" xr:uid="{00000000-0005-0000-0000-000015160000}"/>
    <cellStyle name="Финансовый 5 6 3 2 2" xfId="3842" xr:uid="{00000000-0005-0000-0000-000016160000}"/>
    <cellStyle name="Финансовый 5 6 3 2 3" xfId="5625" xr:uid="{00000000-0005-0000-0000-000017160000}"/>
    <cellStyle name="Финансовый 5 6 3 3" xfId="1231" xr:uid="{00000000-0005-0000-0000-000018160000}"/>
    <cellStyle name="Финансовый 5 6 3 4" xfId="838" xr:uid="{00000000-0005-0000-0000-000019160000}"/>
    <cellStyle name="Финансовый 5 6 3 5" xfId="3015" xr:uid="{00000000-0005-0000-0000-00001A160000}"/>
    <cellStyle name="Финансовый 5 6 3 6" xfId="4659" xr:uid="{00000000-0005-0000-0000-00001B160000}"/>
    <cellStyle name="Финансовый 5 6 4" xfId="1549" xr:uid="{00000000-0005-0000-0000-00001C160000}"/>
    <cellStyle name="Финансовый 5 6 4 2" xfId="1941" xr:uid="{00000000-0005-0000-0000-00001D160000}"/>
    <cellStyle name="Финансовый 5 6 4 2 2" xfId="3586" xr:uid="{00000000-0005-0000-0000-00001E160000}"/>
    <cellStyle name="Финансовый 5 6 4 2 3" xfId="5369" xr:uid="{00000000-0005-0000-0000-00001F160000}"/>
    <cellStyle name="Финансовый 5 6 4 3" xfId="4977" xr:uid="{00000000-0005-0000-0000-000020160000}"/>
    <cellStyle name="Финансовый 5 6 5" xfId="1817" xr:uid="{00000000-0005-0000-0000-000021160000}"/>
    <cellStyle name="Финансовый 5 6 5 2" xfId="3462" xr:uid="{00000000-0005-0000-0000-000022160000}"/>
    <cellStyle name="Финансовый 5 6 5 3" xfId="5245" xr:uid="{00000000-0005-0000-0000-000023160000}"/>
    <cellStyle name="Финансовый 5 6 6" xfId="2462" xr:uid="{00000000-0005-0000-0000-000024160000}"/>
    <cellStyle name="Финансовый 5 6 6 2" xfId="4107" xr:uid="{00000000-0005-0000-0000-000025160000}"/>
    <cellStyle name="Финансовый 5 6 6 3" xfId="5890" xr:uid="{00000000-0005-0000-0000-000026160000}"/>
    <cellStyle name="Финансовый 5 6 7" xfId="1689" xr:uid="{00000000-0005-0000-0000-000027160000}"/>
    <cellStyle name="Финансовый 5 6 7 2" xfId="3334" xr:uid="{00000000-0005-0000-0000-000028160000}"/>
    <cellStyle name="Финансовый 5 6 7 3" xfId="5117" xr:uid="{00000000-0005-0000-0000-000029160000}"/>
    <cellStyle name="Финансовый 5 6 8" xfId="966" xr:uid="{00000000-0005-0000-0000-00002A160000}"/>
    <cellStyle name="Финансовый 5 6 9" xfId="554" xr:uid="{00000000-0005-0000-0000-00002B160000}"/>
    <cellStyle name="Финансовый 5 7" xfId="31" xr:uid="{00000000-0005-0000-0000-00002C160000}"/>
    <cellStyle name="Финансовый 5 7 10" xfId="2643" xr:uid="{00000000-0005-0000-0000-00002D160000}"/>
    <cellStyle name="Финансовый 5 7 11" xfId="4286" xr:uid="{00000000-0005-0000-0000-00002E160000}"/>
    <cellStyle name="Финансовый 5 7 2" xfId="169" xr:uid="{00000000-0005-0000-0000-00002F160000}"/>
    <cellStyle name="Финансовый 5 7 2 2" xfId="1267" xr:uid="{00000000-0005-0000-0000-000030160000}"/>
    <cellStyle name="Финансовый 5 7 2 2 2" xfId="2233" xr:uid="{00000000-0005-0000-0000-000031160000}"/>
    <cellStyle name="Финансовый 5 7 2 2 2 2" xfId="3878" xr:uid="{00000000-0005-0000-0000-000032160000}"/>
    <cellStyle name="Финансовый 5 7 2 2 2 3" xfId="5661" xr:uid="{00000000-0005-0000-0000-000033160000}"/>
    <cellStyle name="Финансовый 5 7 2 2 3" xfId="3051" xr:uid="{00000000-0005-0000-0000-000034160000}"/>
    <cellStyle name="Финансовый 5 7 2 2 4" xfId="4695" xr:uid="{00000000-0005-0000-0000-000035160000}"/>
    <cellStyle name="Финансовый 5 7 2 3" xfId="1977" xr:uid="{00000000-0005-0000-0000-000036160000}"/>
    <cellStyle name="Финансовый 5 7 2 3 2" xfId="3622" xr:uid="{00000000-0005-0000-0000-000037160000}"/>
    <cellStyle name="Финансовый 5 7 2 3 3" xfId="5405" xr:uid="{00000000-0005-0000-0000-000038160000}"/>
    <cellStyle name="Финансовый 5 7 2 4" xfId="2498" xr:uid="{00000000-0005-0000-0000-000039160000}"/>
    <cellStyle name="Финансовый 5 7 2 4 2" xfId="4143" xr:uid="{00000000-0005-0000-0000-00003A160000}"/>
    <cellStyle name="Финансовый 5 7 2 4 3" xfId="5926" xr:uid="{00000000-0005-0000-0000-00003B160000}"/>
    <cellStyle name="Финансовый 5 7 2 5" xfId="1002" xr:uid="{00000000-0005-0000-0000-00003C160000}"/>
    <cellStyle name="Финансовый 5 7 2 6" xfId="590" xr:uid="{00000000-0005-0000-0000-00003D160000}"/>
    <cellStyle name="Финансовый 5 7 2 7" xfId="2779" xr:uid="{00000000-0005-0000-0000-00003E160000}"/>
    <cellStyle name="Финансовый 5 7 2 8" xfId="4423" xr:uid="{00000000-0005-0000-0000-00003F160000}"/>
    <cellStyle name="Финансовый 5 7 3" xfId="318" xr:uid="{00000000-0005-0000-0000-000040160000}"/>
    <cellStyle name="Финансовый 5 7 3 2" xfId="2105" xr:uid="{00000000-0005-0000-0000-000041160000}"/>
    <cellStyle name="Финансовый 5 7 3 2 2" xfId="3750" xr:uid="{00000000-0005-0000-0000-000042160000}"/>
    <cellStyle name="Финансовый 5 7 3 2 3" xfId="5533" xr:uid="{00000000-0005-0000-0000-000043160000}"/>
    <cellStyle name="Финансовый 5 7 3 3" xfId="1138" xr:uid="{00000000-0005-0000-0000-000044160000}"/>
    <cellStyle name="Финансовый 5 7 3 4" xfId="738" xr:uid="{00000000-0005-0000-0000-000045160000}"/>
    <cellStyle name="Финансовый 5 7 3 5" xfId="2915" xr:uid="{00000000-0005-0000-0000-000046160000}"/>
    <cellStyle name="Финансовый 5 7 3 6" xfId="4559" xr:uid="{00000000-0005-0000-0000-000047160000}"/>
    <cellStyle name="Финансовый 5 7 4" xfId="1550" xr:uid="{00000000-0005-0000-0000-000048160000}"/>
    <cellStyle name="Финансовый 5 7 4 2" xfId="1841" xr:uid="{00000000-0005-0000-0000-000049160000}"/>
    <cellStyle name="Финансовый 5 7 4 2 2" xfId="3486" xr:uid="{00000000-0005-0000-0000-00004A160000}"/>
    <cellStyle name="Финансовый 5 7 4 2 3" xfId="5269" xr:uid="{00000000-0005-0000-0000-00004B160000}"/>
    <cellStyle name="Финансовый 5 7 4 3" xfId="4978" xr:uid="{00000000-0005-0000-0000-00004C160000}"/>
    <cellStyle name="Финансовый 5 7 5" xfId="1725" xr:uid="{00000000-0005-0000-0000-00004D160000}"/>
    <cellStyle name="Финансовый 5 7 5 2" xfId="3370" xr:uid="{00000000-0005-0000-0000-00004E160000}"/>
    <cellStyle name="Финансовый 5 7 5 3" xfId="5153" xr:uid="{00000000-0005-0000-0000-00004F160000}"/>
    <cellStyle name="Финансовый 5 7 6" xfId="2361" xr:uid="{00000000-0005-0000-0000-000050160000}"/>
    <cellStyle name="Финансовый 5 7 6 2" xfId="4006" xr:uid="{00000000-0005-0000-0000-000051160000}"/>
    <cellStyle name="Финансовый 5 7 6 3" xfId="5789" xr:uid="{00000000-0005-0000-0000-000052160000}"/>
    <cellStyle name="Финансовый 5 7 7" xfId="1588" xr:uid="{00000000-0005-0000-0000-000053160000}"/>
    <cellStyle name="Финансовый 5 7 7 2" xfId="3233" xr:uid="{00000000-0005-0000-0000-000054160000}"/>
    <cellStyle name="Финансовый 5 7 7 3" xfId="5016" xr:uid="{00000000-0005-0000-0000-000055160000}"/>
    <cellStyle name="Финансовый 5 7 8" xfId="874" xr:uid="{00000000-0005-0000-0000-000056160000}"/>
    <cellStyle name="Финансовый 5 7 9" xfId="454" xr:uid="{00000000-0005-0000-0000-000057160000}"/>
    <cellStyle name="Финансовый 5 8" xfId="19" xr:uid="{00000000-0005-0000-0000-000058160000}"/>
    <cellStyle name="Финансовый 5 8 10" xfId="2631" xr:uid="{00000000-0005-0000-0000-000059160000}"/>
    <cellStyle name="Финансовый 5 8 11" xfId="4274" xr:uid="{00000000-0005-0000-0000-00005A160000}"/>
    <cellStyle name="Финансовый 5 8 2" xfId="157" xr:uid="{00000000-0005-0000-0000-00005B160000}"/>
    <cellStyle name="Финансовый 5 8 2 2" xfId="1255" xr:uid="{00000000-0005-0000-0000-00005C160000}"/>
    <cellStyle name="Финансовый 5 8 2 2 2" xfId="2221" xr:uid="{00000000-0005-0000-0000-00005D160000}"/>
    <cellStyle name="Финансовый 5 8 2 2 2 2" xfId="3866" xr:uid="{00000000-0005-0000-0000-00005E160000}"/>
    <cellStyle name="Финансовый 5 8 2 2 2 3" xfId="5649" xr:uid="{00000000-0005-0000-0000-00005F160000}"/>
    <cellStyle name="Финансовый 5 8 2 2 3" xfId="3039" xr:uid="{00000000-0005-0000-0000-000060160000}"/>
    <cellStyle name="Финансовый 5 8 2 2 4" xfId="4683" xr:uid="{00000000-0005-0000-0000-000061160000}"/>
    <cellStyle name="Финансовый 5 8 2 3" xfId="1965" xr:uid="{00000000-0005-0000-0000-000062160000}"/>
    <cellStyle name="Финансовый 5 8 2 3 2" xfId="3610" xr:uid="{00000000-0005-0000-0000-000063160000}"/>
    <cellStyle name="Финансовый 5 8 2 3 3" xfId="5393" xr:uid="{00000000-0005-0000-0000-000064160000}"/>
    <cellStyle name="Финансовый 5 8 2 4" xfId="2486" xr:uid="{00000000-0005-0000-0000-000065160000}"/>
    <cellStyle name="Финансовый 5 8 2 4 2" xfId="4131" xr:uid="{00000000-0005-0000-0000-000066160000}"/>
    <cellStyle name="Финансовый 5 8 2 4 3" xfId="5914" xr:uid="{00000000-0005-0000-0000-000067160000}"/>
    <cellStyle name="Финансовый 5 8 2 5" xfId="990" xr:uid="{00000000-0005-0000-0000-000068160000}"/>
    <cellStyle name="Финансовый 5 8 2 6" xfId="578" xr:uid="{00000000-0005-0000-0000-000069160000}"/>
    <cellStyle name="Финансовый 5 8 2 7" xfId="2767" xr:uid="{00000000-0005-0000-0000-00006A160000}"/>
    <cellStyle name="Финансовый 5 8 2 8" xfId="4411" xr:uid="{00000000-0005-0000-0000-00006B160000}"/>
    <cellStyle name="Финансовый 5 8 3" xfId="306" xr:uid="{00000000-0005-0000-0000-00006C160000}"/>
    <cellStyle name="Финансовый 5 8 3 2" xfId="2093" xr:uid="{00000000-0005-0000-0000-00006D160000}"/>
    <cellStyle name="Финансовый 5 8 3 2 2" xfId="3738" xr:uid="{00000000-0005-0000-0000-00006E160000}"/>
    <cellStyle name="Финансовый 5 8 3 2 3" xfId="5521" xr:uid="{00000000-0005-0000-0000-00006F160000}"/>
    <cellStyle name="Финансовый 5 8 3 3" xfId="1126" xr:uid="{00000000-0005-0000-0000-000070160000}"/>
    <cellStyle name="Финансовый 5 8 3 4" xfId="726" xr:uid="{00000000-0005-0000-0000-000071160000}"/>
    <cellStyle name="Финансовый 5 8 3 5" xfId="2903" xr:uid="{00000000-0005-0000-0000-000072160000}"/>
    <cellStyle name="Финансовый 5 8 3 6" xfId="4547" xr:uid="{00000000-0005-0000-0000-000073160000}"/>
    <cellStyle name="Финансовый 5 8 4" xfId="1551" xr:uid="{00000000-0005-0000-0000-000074160000}"/>
    <cellStyle name="Финансовый 5 8 4 2" xfId="1829" xr:uid="{00000000-0005-0000-0000-000075160000}"/>
    <cellStyle name="Финансовый 5 8 4 2 2" xfId="3474" xr:uid="{00000000-0005-0000-0000-000076160000}"/>
    <cellStyle name="Финансовый 5 8 4 2 3" xfId="5257" xr:uid="{00000000-0005-0000-0000-000077160000}"/>
    <cellStyle name="Финансовый 5 8 4 3" xfId="4979" xr:uid="{00000000-0005-0000-0000-000078160000}"/>
    <cellStyle name="Финансовый 5 8 5" xfId="1713" xr:uid="{00000000-0005-0000-0000-000079160000}"/>
    <cellStyle name="Финансовый 5 8 5 2" xfId="3358" xr:uid="{00000000-0005-0000-0000-00007A160000}"/>
    <cellStyle name="Финансовый 5 8 5 3" xfId="5141" xr:uid="{00000000-0005-0000-0000-00007B160000}"/>
    <cellStyle name="Финансовый 5 8 6" xfId="2349" xr:uid="{00000000-0005-0000-0000-00007C160000}"/>
    <cellStyle name="Финансовый 5 8 6 2" xfId="3994" xr:uid="{00000000-0005-0000-0000-00007D160000}"/>
    <cellStyle name="Финансовый 5 8 6 3" xfId="5777" xr:uid="{00000000-0005-0000-0000-00007E160000}"/>
    <cellStyle name="Финансовый 5 8 7" xfId="1576" xr:uid="{00000000-0005-0000-0000-00007F160000}"/>
    <cellStyle name="Финансовый 5 8 7 2" xfId="3221" xr:uid="{00000000-0005-0000-0000-000080160000}"/>
    <cellStyle name="Финансовый 5 8 7 3" xfId="5004" xr:uid="{00000000-0005-0000-0000-000081160000}"/>
    <cellStyle name="Финансовый 5 8 8" xfId="862" xr:uid="{00000000-0005-0000-0000-000082160000}"/>
    <cellStyle name="Финансовый 5 8 9" xfId="442" xr:uid="{00000000-0005-0000-0000-000083160000}"/>
    <cellStyle name="Финансовый 5 9" xfId="145" xr:uid="{00000000-0005-0000-0000-000084160000}"/>
    <cellStyle name="Финансовый 5 9 2" xfId="1243" xr:uid="{00000000-0005-0000-0000-000085160000}"/>
    <cellStyle name="Финансовый 5 9 2 2" xfId="2209" xr:uid="{00000000-0005-0000-0000-000086160000}"/>
    <cellStyle name="Финансовый 5 9 2 2 2" xfId="3854" xr:uid="{00000000-0005-0000-0000-000087160000}"/>
    <cellStyle name="Финансовый 5 9 2 2 3" xfId="5637" xr:uid="{00000000-0005-0000-0000-000088160000}"/>
    <cellStyle name="Финансовый 5 9 2 3" xfId="3027" xr:uid="{00000000-0005-0000-0000-000089160000}"/>
    <cellStyle name="Финансовый 5 9 2 4" xfId="4671" xr:uid="{00000000-0005-0000-0000-00008A160000}"/>
    <cellStyle name="Финансовый 5 9 3" xfId="1953" xr:uid="{00000000-0005-0000-0000-00008B160000}"/>
    <cellStyle name="Финансовый 5 9 3 2" xfId="3598" xr:uid="{00000000-0005-0000-0000-00008C160000}"/>
    <cellStyle name="Финансовый 5 9 3 3" xfId="5381" xr:uid="{00000000-0005-0000-0000-00008D160000}"/>
    <cellStyle name="Финансовый 5 9 4" xfId="2474" xr:uid="{00000000-0005-0000-0000-00008E160000}"/>
    <cellStyle name="Финансовый 5 9 4 2" xfId="4119" xr:uid="{00000000-0005-0000-0000-00008F160000}"/>
    <cellStyle name="Финансовый 5 9 4 3" xfId="5902" xr:uid="{00000000-0005-0000-0000-000090160000}"/>
    <cellStyle name="Финансовый 5 9 5" xfId="978" xr:uid="{00000000-0005-0000-0000-000091160000}"/>
    <cellStyle name="Финансовый 5 9 6" xfId="566" xr:uid="{00000000-0005-0000-0000-000092160000}"/>
    <cellStyle name="Финансовый 5 9 7" xfId="2755" xr:uid="{00000000-0005-0000-0000-000093160000}"/>
    <cellStyle name="Финансовый 5 9 8" xfId="4399" xr:uid="{00000000-0005-0000-0000-000094160000}"/>
    <cellStyle name="Финансовый 6" xfId="37" xr:uid="{00000000-0005-0000-0000-000095160000}"/>
    <cellStyle name="Финансовый 6 10" xfId="880" xr:uid="{00000000-0005-0000-0000-000096160000}"/>
    <cellStyle name="Финансовый 6 11" xfId="460" xr:uid="{00000000-0005-0000-0000-000097160000}"/>
    <cellStyle name="Финансовый 6 12" xfId="2649" xr:uid="{00000000-0005-0000-0000-000098160000}"/>
    <cellStyle name="Финансовый 6 13" xfId="4292" xr:uid="{00000000-0005-0000-0000-000099160000}"/>
    <cellStyle name="Финансовый 6 2" xfId="119" xr:uid="{00000000-0005-0000-0000-00009A160000}"/>
    <cellStyle name="Финансовый 6 2 10" xfId="2729" xr:uid="{00000000-0005-0000-0000-00009B160000}"/>
    <cellStyle name="Финансовый 6 2 11" xfId="4373" xr:uid="{00000000-0005-0000-0000-00009C160000}"/>
    <cellStyle name="Финансовый 6 2 2" xfId="255" xr:uid="{00000000-0005-0000-0000-00009D160000}"/>
    <cellStyle name="Финансовый 6 2 2 2" xfId="1353" xr:uid="{00000000-0005-0000-0000-00009E160000}"/>
    <cellStyle name="Финансовый 6 2 2 2 2" xfId="2311" xr:uid="{00000000-0005-0000-0000-00009F160000}"/>
    <cellStyle name="Финансовый 6 2 2 2 2 2" xfId="3956" xr:uid="{00000000-0005-0000-0000-0000A0160000}"/>
    <cellStyle name="Финансовый 6 2 2 2 2 3" xfId="5739" xr:uid="{00000000-0005-0000-0000-0000A1160000}"/>
    <cellStyle name="Финансовый 6 2 2 2 3" xfId="3137" xr:uid="{00000000-0005-0000-0000-0000A2160000}"/>
    <cellStyle name="Финансовый 6 2 2 2 4" xfId="4781" xr:uid="{00000000-0005-0000-0000-0000A3160000}"/>
    <cellStyle name="Финансовый 6 2 2 3" xfId="2055" xr:uid="{00000000-0005-0000-0000-0000A4160000}"/>
    <cellStyle name="Финансовый 6 2 2 3 2" xfId="3700" xr:uid="{00000000-0005-0000-0000-0000A5160000}"/>
    <cellStyle name="Финансовый 6 2 2 3 3" xfId="5483" xr:uid="{00000000-0005-0000-0000-0000A6160000}"/>
    <cellStyle name="Финансовый 6 2 2 4" xfId="2584" xr:uid="{00000000-0005-0000-0000-0000A7160000}"/>
    <cellStyle name="Финансовый 6 2 2 4 2" xfId="4229" xr:uid="{00000000-0005-0000-0000-0000A8160000}"/>
    <cellStyle name="Финансовый 6 2 2 4 3" xfId="6012" xr:uid="{00000000-0005-0000-0000-0000A9160000}"/>
    <cellStyle name="Финансовый 6 2 2 5" xfId="1088" xr:uid="{00000000-0005-0000-0000-0000AA160000}"/>
    <cellStyle name="Финансовый 6 2 2 6" xfId="676" xr:uid="{00000000-0005-0000-0000-0000AB160000}"/>
    <cellStyle name="Финансовый 6 2 2 7" xfId="2865" xr:uid="{00000000-0005-0000-0000-0000AC160000}"/>
    <cellStyle name="Финансовый 6 2 2 8" xfId="4509" xr:uid="{00000000-0005-0000-0000-0000AD160000}"/>
    <cellStyle name="Финансовый 6 2 3" xfId="404" xr:uid="{00000000-0005-0000-0000-0000AE160000}"/>
    <cellStyle name="Финансовый 6 2 3 2" xfId="2183" xr:uid="{00000000-0005-0000-0000-0000AF160000}"/>
    <cellStyle name="Финансовый 6 2 3 2 2" xfId="3828" xr:uid="{00000000-0005-0000-0000-0000B0160000}"/>
    <cellStyle name="Финансовый 6 2 3 2 3" xfId="5611" xr:uid="{00000000-0005-0000-0000-0000B1160000}"/>
    <cellStyle name="Финансовый 6 2 3 3" xfId="1217" xr:uid="{00000000-0005-0000-0000-0000B2160000}"/>
    <cellStyle name="Финансовый 6 2 3 4" xfId="824" xr:uid="{00000000-0005-0000-0000-0000B3160000}"/>
    <cellStyle name="Финансовый 6 2 3 5" xfId="3001" xr:uid="{00000000-0005-0000-0000-0000B4160000}"/>
    <cellStyle name="Финансовый 6 2 3 6" xfId="4645" xr:uid="{00000000-0005-0000-0000-0000B5160000}"/>
    <cellStyle name="Финансовый 6 2 4" xfId="1553" xr:uid="{00000000-0005-0000-0000-0000B6160000}"/>
    <cellStyle name="Финансовый 6 2 4 2" xfId="1927" xr:uid="{00000000-0005-0000-0000-0000B7160000}"/>
    <cellStyle name="Финансовый 6 2 4 2 2" xfId="3572" xr:uid="{00000000-0005-0000-0000-0000B8160000}"/>
    <cellStyle name="Финансовый 6 2 4 2 3" xfId="5355" xr:uid="{00000000-0005-0000-0000-0000B9160000}"/>
    <cellStyle name="Финансовый 6 2 4 3" xfId="4981" xr:uid="{00000000-0005-0000-0000-0000BA160000}"/>
    <cellStyle name="Финансовый 6 2 5" xfId="1803" xr:uid="{00000000-0005-0000-0000-0000BB160000}"/>
    <cellStyle name="Финансовый 6 2 5 2" xfId="3448" xr:uid="{00000000-0005-0000-0000-0000BC160000}"/>
    <cellStyle name="Финансовый 6 2 5 3" xfId="5231" xr:uid="{00000000-0005-0000-0000-0000BD160000}"/>
    <cellStyle name="Финансовый 6 2 6" xfId="2448" xr:uid="{00000000-0005-0000-0000-0000BE160000}"/>
    <cellStyle name="Финансовый 6 2 6 2" xfId="4093" xr:uid="{00000000-0005-0000-0000-0000BF160000}"/>
    <cellStyle name="Финансовый 6 2 6 3" xfId="5876" xr:uid="{00000000-0005-0000-0000-0000C0160000}"/>
    <cellStyle name="Финансовый 6 2 7" xfId="1675" xr:uid="{00000000-0005-0000-0000-0000C1160000}"/>
    <cellStyle name="Финансовый 6 2 7 2" xfId="3320" xr:uid="{00000000-0005-0000-0000-0000C2160000}"/>
    <cellStyle name="Финансовый 6 2 7 3" xfId="5103" xr:uid="{00000000-0005-0000-0000-0000C3160000}"/>
    <cellStyle name="Финансовый 6 2 8" xfId="952" xr:uid="{00000000-0005-0000-0000-0000C4160000}"/>
    <cellStyle name="Финансовый 6 2 9" xfId="540" xr:uid="{00000000-0005-0000-0000-0000C5160000}"/>
    <cellStyle name="Финансовый 6 3" xfId="83" xr:uid="{00000000-0005-0000-0000-0000C6160000}"/>
    <cellStyle name="Финансовый 6 3 10" xfId="2693" xr:uid="{00000000-0005-0000-0000-0000C7160000}"/>
    <cellStyle name="Финансовый 6 3 11" xfId="4337" xr:uid="{00000000-0005-0000-0000-0000C8160000}"/>
    <cellStyle name="Финансовый 6 3 2" xfId="219" xr:uid="{00000000-0005-0000-0000-0000C9160000}"/>
    <cellStyle name="Финансовый 6 3 2 2" xfId="1317" xr:uid="{00000000-0005-0000-0000-0000CA160000}"/>
    <cellStyle name="Финансовый 6 3 2 2 2" xfId="2275" xr:uid="{00000000-0005-0000-0000-0000CB160000}"/>
    <cellStyle name="Финансовый 6 3 2 2 2 2" xfId="3920" xr:uid="{00000000-0005-0000-0000-0000CC160000}"/>
    <cellStyle name="Финансовый 6 3 2 2 2 3" xfId="5703" xr:uid="{00000000-0005-0000-0000-0000CD160000}"/>
    <cellStyle name="Финансовый 6 3 2 2 3" xfId="3101" xr:uid="{00000000-0005-0000-0000-0000CE160000}"/>
    <cellStyle name="Финансовый 6 3 2 2 4" xfId="4745" xr:uid="{00000000-0005-0000-0000-0000CF160000}"/>
    <cellStyle name="Финансовый 6 3 2 3" xfId="2019" xr:uid="{00000000-0005-0000-0000-0000D0160000}"/>
    <cellStyle name="Финансовый 6 3 2 3 2" xfId="3664" xr:uid="{00000000-0005-0000-0000-0000D1160000}"/>
    <cellStyle name="Финансовый 6 3 2 3 3" xfId="5447" xr:uid="{00000000-0005-0000-0000-0000D2160000}"/>
    <cellStyle name="Финансовый 6 3 2 4" xfId="2548" xr:uid="{00000000-0005-0000-0000-0000D3160000}"/>
    <cellStyle name="Финансовый 6 3 2 4 2" xfId="4193" xr:uid="{00000000-0005-0000-0000-0000D4160000}"/>
    <cellStyle name="Финансовый 6 3 2 4 3" xfId="5976" xr:uid="{00000000-0005-0000-0000-0000D5160000}"/>
    <cellStyle name="Финансовый 6 3 2 5" xfId="1052" xr:uid="{00000000-0005-0000-0000-0000D6160000}"/>
    <cellStyle name="Финансовый 6 3 2 6" xfId="640" xr:uid="{00000000-0005-0000-0000-0000D7160000}"/>
    <cellStyle name="Финансовый 6 3 2 7" xfId="2829" xr:uid="{00000000-0005-0000-0000-0000D8160000}"/>
    <cellStyle name="Финансовый 6 3 2 8" xfId="4473" xr:uid="{00000000-0005-0000-0000-0000D9160000}"/>
    <cellStyle name="Финансовый 6 3 3" xfId="368" xr:uid="{00000000-0005-0000-0000-0000DA160000}"/>
    <cellStyle name="Финансовый 6 3 3 2" xfId="2147" xr:uid="{00000000-0005-0000-0000-0000DB160000}"/>
    <cellStyle name="Финансовый 6 3 3 2 2" xfId="3792" xr:uid="{00000000-0005-0000-0000-0000DC160000}"/>
    <cellStyle name="Финансовый 6 3 3 2 3" xfId="5575" xr:uid="{00000000-0005-0000-0000-0000DD160000}"/>
    <cellStyle name="Финансовый 6 3 3 3" xfId="1181" xr:uid="{00000000-0005-0000-0000-0000DE160000}"/>
    <cellStyle name="Финансовый 6 3 3 4" xfId="788" xr:uid="{00000000-0005-0000-0000-0000DF160000}"/>
    <cellStyle name="Финансовый 6 3 3 5" xfId="2965" xr:uid="{00000000-0005-0000-0000-0000E0160000}"/>
    <cellStyle name="Финансовый 6 3 3 6" xfId="4609" xr:uid="{00000000-0005-0000-0000-0000E1160000}"/>
    <cellStyle name="Финансовый 6 3 4" xfId="1443" xr:uid="{00000000-0005-0000-0000-0000E2160000}"/>
    <cellStyle name="Финансовый 6 3 4 2" xfId="1891" xr:uid="{00000000-0005-0000-0000-0000E3160000}"/>
    <cellStyle name="Финансовый 6 3 4 2 2" xfId="3536" xr:uid="{00000000-0005-0000-0000-0000E4160000}"/>
    <cellStyle name="Финансовый 6 3 4 2 3" xfId="5319" xr:uid="{00000000-0005-0000-0000-0000E5160000}"/>
    <cellStyle name="Финансовый 6 3 4 3" xfId="4871" xr:uid="{00000000-0005-0000-0000-0000E6160000}"/>
    <cellStyle name="Финансовый 6 3 5" xfId="1767" xr:uid="{00000000-0005-0000-0000-0000E7160000}"/>
    <cellStyle name="Финансовый 6 3 5 2" xfId="3412" xr:uid="{00000000-0005-0000-0000-0000E8160000}"/>
    <cellStyle name="Финансовый 6 3 5 3" xfId="5195" xr:uid="{00000000-0005-0000-0000-0000E9160000}"/>
    <cellStyle name="Финансовый 6 3 6" xfId="2412" xr:uid="{00000000-0005-0000-0000-0000EA160000}"/>
    <cellStyle name="Финансовый 6 3 6 2" xfId="4057" xr:uid="{00000000-0005-0000-0000-0000EB160000}"/>
    <cellStyle name="Финансовый 6 3 6 3" xfId="5840" xr:uid="{00000000-0005-0000-0000-0000EC160000}"/>
    <cellStyle name="Финансовый 6 3 7" xfId="1639" xr:uid="{00000000-0005-0000-0000-0000ED160000}"/>
    <cellStyle name="Финансовый 6 3 7 2" xfId="3284" xr:uid="{00000000-0005-0000-0000-0000EE160000}"/>
    <cellStyle name="Финансовый 6 3 7 3" xfId="5067" xr:uid="{00000000-0005-0000-0000-0000EF160000}"/>
    <cellStyle name="Финансовый 6 3 8" xfId="916" xr:uid="{00000000-0005-0000-0000-0000F0160000}"/>
    <cellStyle name="Финансовый 6 3 9" xfId="504" xr:uid="{00000000-0005-0000-0000-0000F1160000}"/>
    <cellStyle name="Финансовый 6 4" xfId="175" xr:uid="{00000000-0005-0000-0000-0000F2160000}"/>
    <cellStyle name="Финансовый 6 4 2" xfId="1273" xr:uid="{00000000-0005-0000-0000-0000F3160000}"/>
    <cellStyle name="Финансовый 6 4 2 2" xfId="2239" xr:uid="{00000000-0005-0000-0000-0000F4160000}"/>
    <cellStyle name="Финансовый 6 4 2 2 2" xfId="3884" xr:uid="{00000000-0005-0000-0000-0000F5160000}"/>
    <cellStyle name="Финансовый 6 4 2 2 3" xfId="5667" xr:uid="{00000000-0005-0000-0000-0000F6160000}"/>
    <cellStyle name="Финансовый 6 4 2 3" xfId="3057" xr:uid="{00000000-0005-0000-0000-0000F7160000}"/>
    <cellStyle name="Финансовый 6 4 2 4" xfId="4701" xr:uid="{00000000-0005-0000-0000-0000F8160000}"/>
    <cellStyle name="Финансовый 6 4 3" xfId="1983" xr:uid="{00000000-0005-0000-0000-0000F9160000}"/>
    <cellStyle name="Финансовый 6 4 3 2" xfId="3628" xr:uid="{00000000-0005-0000-0000-0000FA160000}"/>
    <cellStyle name="Финансовый 6 4 3 3" xfId="5411" xr:uid="{00000000-0005-0000-0000-0000FB160000}"/>
    <cellStyle name="Финансовый 6 4 4" xfId="2504" xr:uid="{00000000-0005-0000-0000-0000FC160000}"/>
    <cellStyle name="Финансовый 6 4 4 2" xfId="4149" xr:uid="{00000000-0005-0000-0000-0000FD160000}"/>
    <cellStyle name="Финансовый 6 4 4 3" xfId="5932" xr:uid="{00000000-0005-0000-0000-0000FE160000}"/>
    <cellStyle name="Финансовый 6 4 5" xfId="1008" xr:uid="{00000000-0005-0000-0000-0000FF160000}"/>
    <cellStyle name="Финансовый 6 4 6" xfId="596" xr:uid="{00000000-0005-0000-0000-000000170000}"/>
    <cellStyle name="Финансовый 6 4 7" xfId="2785" xr:uid="{00000000-0005-0000-0000-000001170000}"/>
    <cellStyle name="Финансовый 6 4 8" xfId="4429" xr:uid="{00000000-0005-0000-0000-000002170000}"/>
    <cellStyle name="Финансовый 6 5" xfId="324" xr:uid="{00000000-0005-0000-0000-000003170000}"/>
    <cellStyle name="Финансовый 6 5 2" xfId="2111" xr:uid="{00000000-0005-0000-0000-000004170000}"/>
    <cellStyle name="Финансовый 6 5 2 2" xfId="3756" xr:uid="{00000000-0005-0000-0000-000005170000}"/>
    <cellStyle name="Финансовый 6 5 2 3" xfId="5539" xr:uid="{00000000-0005-0000-0000-000006170000}"/>
    <cellStyle name="Финансовый 6 5 3" xfId="1144" xr:uid="{00000000-0005-0000-0000-000007170000}"/>
    <cellStyle name="Финансовый 6 5 4" xfId="744" xr:uid="{00000000-0005-0000-0000-000008170000}"/>
    <cellStyle name="Финансовый 6 5 5" xfId="2921" xr:uid="{00000000-0005-0000-0000-000009170000}"/>
    <cellStyle name="Финансовый 6 5 6" xfId="4565" xr:uid="{00000000-0005-0000-0000-00000A170000}"/>
    <cellStyle name="Финансовый 6 6" xfId="1552" xr:uid="{00000000-0005-0000-0000-00000B170000}"/>
    <cellStyle name="Финансовый 6 6 2" xfId="1847" xr:uid="{00000000-0005-0000-0000-00000C170000}"/>
    <cellStyle name="Финансовый 6 6 2 2" xfId="3492" xr:uid="{00000000-0005-0000-0000-00000D170000}"/>
    <cellStyle name="Финансовый 6 6 2 3" xfId="5275" xr:uid="{00000000-0005-0000-0000-00000E170000}"/>
    <cellStyle name="Финансовый 6 6 3" xfId="4980" xr:uid="{00000000-0005-0000-0000-00000F170000}"/>
    <cellStyle name="Финансовый 6 7" xfId="1731" xr:uid="{00000000-0005-0000-0000-000010170000}"/>
    <cellStyle name="Финансовый 6 7 2" xfId="3376" xr:uid="{00000000-0005-0000-0000-000011170000}"/>
    <cellStyle name="Финансовый 6 7 3" xfId="5159" xr:uid="{00000000-0005-0000-0000-000012170000}"/>
    <cellStyle name="Финансовый 6 8" xfId="2367" xr:uid="{00000000-0005-0000-0000-000013170000}"/>
    <cellStyle name="Финансовый 6 8 2" xfId="4012" xr:uid="{00000000-0005-0000-0000-000014170000}"/>
    <cellStyle name="Финансовый 6 8 3" xfId="5795" xr:uid="{00000000-0005-0000-0000-000015170000}"/>
    <cellStyle name="Финансовый 6 9" xfId="1594" xr:uid="{00000000-0005-0000-0000-000016170000}"/>
    <cellStyle name="Финансовый 6 9 2" xfId="3239" xr:uid="{00000000-0005-0000-0000-000017170000}"/>
    <cellStyle name="Финансовый 6 9 3" xfId="5022" xr:uid="{00000000-0005-0000-0000-000018170000}"/>
    <cellStyle name="Финансовый 7" xfId="89" xr:uid="{00000000-0005-0000-0000-000019170000}"/>
    <cellStyle name="Финансовый 7 10" xfId="2699" xr:uid="{00000000-0005-0000-0000-00001A170000}"/>
    <cellStyle name="Финансовый 7 11" xfId="4343" xr:uid="{00000000-0005-0000-0000-00001B170000}"/>
    <cellStyle name="Финансовый 7 2" xfId="225" xr:uid="{00000000-0005-0000-0000-00001C170000}"/>
    <cellStyle name="Финансовый 7 2 2" xfId="1323" xr:uid="{00000000-0005-0000-0000-00001D170000}"/>
    <cellStyle name="Финансовый 7 2 2 2" xfId="2281" xr:uid="{00000000-0005-0000-0000-00001E170000}"/>
    <cellStyle name="Финансовый 7 2 2 2 2" xfId="3926" xr:uid="{00000000-0005-0000-0000-00001F170000}"/>
    <cellStyle name="Финансовый 7 2 2 2 3" xfId="5709" xr:uid="{00000000-0005-0000-0000-000020170000}"/>
    <cellStyle name="Финансовый 7 2 2 3" xfId="3107" xr:uid="{00000000-0005-0000-0000-000021170000}"/>
    <cellStyle name="Финансовый 7 2 2 4" xfId="4751" xr:uid="{00000000-0005-0000-0000-000022170000}"/>
    <cellStyle name="Финансовый 7 2 3" xfId="2025" xr:uid="{00000000-0005-0000-0000-000023170000}"/>
    <cellStyle name="Финансовый 7 2 3 2" xfId="3670" xr:uid="{00000000-0005-0000-0000-000024170000}"/>
    <cellStyle name="Финансовый 7 2 3 3" xfId="5453" xr:uid="{00000000-0005-0000-0000-000025170000}"/>
    <cellStyle name="Финансовый 7 2 4" xfId="2554" xr:uid="{00000000-0005-0000-0000-000026170000}"/>
    <cellStyle name="Финансовый 7 2 4 2" xfId="4199" xr:uid="{00000000-0005-0000-0000-000027170000}"/>
    <cellStyle name="Финансовый 7 2 4 3" xfId="5982" xr:uid="{00000000-0005-0000-0000-000028170000}"/>
    <cellStyle name="Финансовый 7 2 5" xfId="1058" xr:uid="{00000000-0005-0000-0000-000029170000}"/>
    <cellStyle name="Финансовый 7 2 6" xfId="646" xr:uid="{00000000-0005-0000-0000-00002A170000}"/>
    <cellStyle name="Финансовый 7 2 7" xfId="2835" xr:uid="{00000000-0005-0000-0000-00002B170000}"/>
    <cellStyle name="Финансовый 7 2 8" xfId="4479" xr:uid="{00000000-0005-0000-0000-00002C170000}"/>
    <cellStyle name="Финансовый 7 3" xfId="374" xr:uid="{00000000-0005-0000-0000-00002D170000}"/>
    <cellStyle name="Финансовый 7 3 2" xfId="2153" xr:uid="{00000000-0005-0000-0000-00002E170000}"/>
    <cellStyle name="Финансовый 7 3 2 2" xfId="3798" xr:uid="{00000000-0005-0000-0000-00002F170000}"/>
    <cellStyle name="Финансовый 7 3 2 3" xfId="5581" xr:uid="{00000000-0005-0000-0000-000030170000}"/>
    <cellStyle name="Финансовый 7 3 3" xfId="1187" xr:uid="{00000000-0005-0000-0000-000031170000}"/>
    <cellStyle name="Финансовый 7 3 4" xfId="794" xr:uid="{00000000-0005-0000-0000-000032170000}"/>
    <cellStyle name="Финансовый 7 3 5" xfId="2971" xr:uid="{00000000-0005-0000-0000-000033170000}"/>
    <cellStyle name="Финансовый 7 3 6" xfId="4615" xr:uid="{00000000-0005-0000-0000-000034170000}"/>
    <cellStyle name="Финансовый 7 4" xfId="1554" xr:uid="{00000000-0005-0000-0000-000035170000}"/>
    <cellStyle name="Финансовый 7 4 2" xfId="1897" xr:uid="{00000000-0005-0000-0000-000036170000}"/>
    <cellStyle name="Финансовый 7 4 2 2" xfId="3542" xr:uid="{00000000-0005-0000-0000-000037170000}"/>
    <cellStyle name="Финансовый 7 4 2 3" xfId="5325" xr:uid="{00000000-0005-0000-0000-000038170000}"/>
    <cellStyle name="Финансовый 7 4 3" xfId="4982" xr:uid="{00000000-0005-0000-0000-000039170000}"/>
    <cellStyle name="Финансовый 7 5" xfId="1773" xr:uid="{00000000-0005-0000-0000-00003A170000}"/>
    <cellStyle name="Финансовый 7 5 2" xfId="3418" xr:uid="{00000000-0005-0000-0000-00003B170000}"/>
    <cellStyle name="Финансовый 7 5 3" xfId="5201" xr:uid="{00000000-0005-0000-0000-00003C170000}"/>
    <cellStyle name="Финансовый 7 6" xfId="2418" xr:uid="{00000000-0005-0000-0000-00003D170000}"/>
    <cellStyle name="Финансовый 7 6 2" xfId="4063" xr:uid="{00000000-0005-0000-0000-00003E170000}"/>
    <cellStyle name="Финансовый 7 6 3" xfId="5846" xr:uid="{00000000-0005-0000-0000-00003F170000}"/>
    <cellStyle name="Финансовый 7 7" xfId="1645" xr:uid="{00000000-0005-0000-0000-000040170000}"/>
    <cellStyle name="Финансовый 7 7 2" xfId="3290" xr:uid="{00000000-0005-0000-0000-000041170000}"/>
    <cellStyle name="Финансовый 7 7 3" xfId="5073" xr:uid="{00000000-0005-0000-0000-000042170000}"/>
    <cellStyle name="Финансовый 7 8" xfId="922" xr:uid="{00000000-0005-0000-0000-000043170000}"/>
    <cellStyle name="Финансовый 7 9" xfId="510" xr:uid="{00000000-0005-0000-0000-000044170000}"/>
    <cellStyle name="Финансовый 8" xfId="95" xr:uid="{00000000-0005-0000-0000-000045170000}"/>
    <cellStyle name="Финансовый 8 10" xfId="2705" xr:uid="{00000000-0005-0000-0000-000046170000}"/>
    <cellStyle name="Финансовый 8 11" xfId="4349" xr:uid="{00000000-0005-0000-0000-000047170000}"/>
    <cellStyle name="Финансовый 8 2" xfId="231" xr:uid="{00000000-0005-0000-0000-000048170000}"/>
    <cellStyle name="Финансовый 8 2 2" xfId="1329" xr:uid="{00000000-0005-0000-0000-000049170000}"/>
    <cellStyle name="Финансовый 8 2 2 2" xfId="2287" xr:uid="{00000000-0005-0000-0000-00004A170000}"/>
    <cellStyle name="Финансовый 8 2 2 2 2" xfId="3932" xr:uid="{00000000-0005-0000-0000-00004B170000}"/>
    <cellStyle name="Финансовый 8 2 2 2 3" xfId="5715" xr:uid="{00000000-0005-0000-0000-00004C170000}"/>
    <cellStyle name="Финансовый 8 2 2 3" xfId="3113" xr:uid="{00000000-0005-0000-0000-00004D170000}"/>
    <cellStyle name="Финансовый 8 2 2 4" xfId="4757" xr:uid="{00000000-0005-0000-0000-00004E170000}"/>
    <cellStyle name="Финансовый 8 2 3" xfId="2031" xr:uid="{00000000-0005-0000-0000-00004F170000}"/>
    <cellStyle name="Финансовый 8 2 3 2" xfId="3676" xr:uid="{00000000-0005-0000-0000-000050170000}"/>
    <cellStyle name="Финансовый 8 2 3 3" xfId="5459" xr:uid="{00000000-0005-0000-0000-000051170000}"/>
    <cellStyle name="Финансовый 8 2 4" xfId="2560" xr:uid="{00000000-0005-0000-0000-000052170000}"/>
    <cellStyle name="Финансовый 8 2 4 2" xfId="4205" xr:uid="{00000000-0005-0000-0000-000053170000}"/>
    <cellStyle name="Финансовый 8 2 4 3" xfId="5988" xr:uid="{00000000-0005-0000-0000-000054170000}"/>
    <cellStyle name="Финансовый 8 2 5" xfId="1064" xr:uid="{00000000-0005-0000-0000-000055170000}"/>
    <cellStyle name="Финансовый 8 2 6" xfId="652" xr:uid="{00000000-0005-0000-0000-000056170000}"/>
    <cellStyle name="Финансовый 8 2 7" xfId="2841" xr:uid="{00000000-0005-0000-0000-000057170000}"/>
    <cellStyle name="Финансовый 8 2 8" xfId="4485" xr:uid="{00000000-0005-0000-0000-000058170000}"/>
    <cellStyle name="Финансовый 8 3" xfId="380" xr:uid="{00000000-0005-0000-0000-000059170000}"/>
    <cellStyle name="Финансовый 8 3 2" xfId="2159" xr:uid="{00000000-0005-0000-0000-00005A170000}"/>
    <cellStyle name="Финансовый 8 3 2 2" xfId="3804" xr:uid="{00000000-0005-0000-0000-00005B170000}"/>
    <cellStyle name="Финансовый 8 3 2 3" xfId="5587" xr:uid="{00000000-0005-0000-0000-00005C170000}"/>
    <cellStyle name="Финансовый 8 3 3" xfId="1193" xr:uid="{00000000-0005-0000-0000-00005D170000}"/>
    <cellStyle name="Финансовый 8 3 4" xfId="800" xr:uid="{00000000-0005-0000-0000-00005E170000}"/>
    <cellStyle name="Финансовый 8 3 5" xfId="2977" xr:uid="{00000000-0005-0000-0000-00005F170000}"/>
    <cellStyle name="Финансовый 8 3 6" xfId="4621" xr:uid="{00000000-0005-0000-0000-000060170000}"/>
    <cellStyle name="Финансовый 8 4" xfId="1555" xr:uid="{00000000-0005-0000-0000-000061170000}"/>
    <cellStyle name="Финансовый 8 4 2" xfId="1903" xr:uid="{00000000-0005-0000-0000-000062170000}"/>
    <cellStyle name="Финансовый 8 4 2 2" xfId="3548" xr:uid="{00000000-0005-0000-0000-000063170000}"/>
    <cellStyle name="Финансовый 8 4 2 3" xfId="5331" xr:uid="{00000000-0005-0000-0000-000064170000}"/>
    <cellStyle name="Финансовый 8 4 3" xfId="4983" xr:uid="{00000000-0005-0000-0000-000065170000}"/>
    <cellStyle name="Финансовый 8 5" xfId="1779" xr:uid="{00000000-0005-0000-0000-000066170000}"/>
    <cellStyle name="Финансовый 8 5 2" xfId="3424" xr:uid="{00000000-0005-0000-0000-000067170000}"/>
    <cellStyle name="Финансовый 8 5 3" xfId="5207" xr:uid="{00000000-0005-0000-0000-000068170000}"/>
    <cellStyle name="Финансовый 8 6" xfId="2424" xr:uid="{00000000-0005-0000-0000-000069170000}"/>
    <cellStyle name="Финансовый 8 6 2" xfId="4069" xr:uid="{00000000-0005-0000-0000-00006A170000}"/>
    <cellStyle name="Финансовый 8 6 3" xfId="5852" xr:uid="{00000000-0005-0000-0000-00006B170000}"/>
    <cellStyle name="Финансовый 8 7" xfId="1651" xr:uid="{00000000-0005-0000-0000-00006C170000}"/>
    <cellStyle name="Финансовый 8 7 2" xfId="3296" xr:uid="{00000000-0005-0000-0000-00006D170000}"/>
    <cellStyle name="Финансовый 8 7 3" xfId="5079" xr:uid="{00000000-0005-0000-0000-00006E170000}"/>
    <cellStyle name="Финансовый 8 8" xfId="928" xr:uid="{00000000-0005-0000-0000-00006F170000}"/>
    <cellStyle name="Финансовый 8 9" xfId="516" xr:uid="{00000000-0005-0000-0000-000070170000}"/>
    <cellStyle name="Финансовый 9" xfId="107" xr:uid="{00000000-0005-0000-0000-000071170000}"/>
    <cellStyle name="Финансовый 9 10" xfId="2717" xr:uid="{00000000-0005-0000-0000-000072170000}"/>
    <cellStyle name="Финансовый 9 11" xfId="4361" xr:uid="{00000000-0005-0000-0000-000073170000}"/>
    <cellStyle name="Финансовый 9 2" xfId="243" xr:uid="{00000000-0005-0000-0000-000074170000}"/>
    <cellStyle name="Финансовый 9 2 2" xfId="1341" xr:uid="{00000000-0005-0000-0000-000075170000}"/>
    <cellStyle name="Финансовый 9 2 2 2" xfId="2299" xr:uid="{00000000-0005-0000-0000-000076170000}"/>
    <cellStyle name="Финансовый 9 2 2 2 2" xfId="3944" xr:uid="{00000000-0005-0000-0000-000077170000}"/>
    <cellStyle name="Финансовый 9 2 2 2 3" xfId="5727" xr:uid="{00000000-0005-0000-0000-000078170000}"/>
    <cellStyle name="Финансовый 9 2 2 3" xfId="3125" xr:uid="{00000000-0005-0000-0000-000079170000}"/>
    <cellStyle name="Финансовый 9 2 2 4" xfId="4769" xr:uid="{00000000-0005-0000-0000-00007A170000}"/>
    <cellStyle name="Финансовый 9 2 3" xfId="2043" xr:uid="{00000000-0005-0000-0000-00007B170000}"/>
    <cellStyle name="Финансовый 9 2 3 2" xfId="3688" xr:uid="{00000000-0005-0000-0000-00007C170000}"/>
    <cellStyle name="Финансовый 9 2 3 3" xfId="5471" xr:uid="{00000000-0005-0000-0000-00007D170000}"/>
    <cellStyle name="Финансовый 9 2 4" xfId="2572" xr:uid="{00000000-0005-0000-0000-00007E170000}"/>
    <cellStyle name="Финансовый 9 2 4 2" xfId="4217" xr:uid="{00000000-0005-0000-0000-00007F170000}"/>
    <cellStyle name="Финансовый 9 2 4 3" xfId="6000" xr:uid="{00000000-0005-0000-0000-000080170000}"/>
    <cellStyle name="Финансовый 9 2 5" xfId="1076" xr:uid="{00000000-0005-0000-0000-000081170000}"/>
    <cellStyle name="Финансовый 9 2 6" xfId="664" xr:uid="{00000000-0005-0000-0000-000082170000}"/>
    <cellStyle name="Финансовый 9 2 7" xfId="2853" xr:uid="{00000000-0005-0000-0000-000083170000}"/>
    <cellStyle name="Финансовый 9 2 8" xfId="4497" xr:uid="{00000000-0005-0000-0000-000084170000}"/>
    <cellStyle name="Финансовый 9 3" xfId="392" xr:uid="{00000000-0005-0000-0000-000085170000}"/>
    <cellStyle name="Финансовый 9 3 2" xfId="2171" xr:uid="{00000000-0005-0000-0000-000086170000}"/>
    <cellStyle name="Финансовый 9 3 2 2" xfId="3816" xr:uid="{00000000-0005-0000-0000-000087170000}"/>
    <cellStyle name="Финансовый 9 3 2 3" xfId="5599" xr:uid="{00000000-0005-0000-0000-000088170000}"/>
    <cellStyle name="Финансовый 9 3 3" xfId="1205" xr:uid="{00000000-0005-0000-0000-000089170000}"/>
    <cellStyle name="Финансовый 9 3 4" xfId="812" xr:uid="{00000000-0005-0000-0000-00008A170000}"/>
    <cellStyle name="Финансовый 9 3 5" xfId="2989" xr:uid="{00000000-0005-0000-0000-00008B170000}"/>
    <cellStyle name="Финансовый 9 3 6" xfId="4633" xr:uid="{00000000-0005-0000-0000-00008C170000}"/>
    <cellStyle name="Финансовый 9 4" xfId="1556" xr:uid="{00000000-0005-0000-0000-00008D170000}"/>
    <cellStyle name="Финансовый 9 4 2" xfId="1915" xr:uid="{00000000-0005-0000-0000-00008E170000}"/>
    <cellStyle name="Финансовый 9 4 2 2" xfId="3560" xr:uid="{00000000-0005-0000-0000-00008F170000}"/>
    <cellStyle name="Финансовый 9 4 2 3" xfId="5343" xr:uid="{00000000-0005-0000-0000-000090170000}"/>
    <cellStyle name="Финансовый 9 4 3" xfId="4984" xr:uid="{00000000-0005-0000-0000-000091170000}"/>
    <cellStyle name="Финансовый 9 5" xfId="1791" xr:uid="{00000000-0005-0000-0000-000092170000}"/>
    <cellStyle name="Финансовый 9 5 2" xfId="3436" xr:uid="{00000000-0005-0000-0000-000093170000}"/>
    <cellStyle name="Финансовый 9 5 3" xfId="5219" xr:uid="{00000000-0005-0000-0000-000094170000}"/>
    <cellStyle name="Финансовый 9 6" xfId="2436" xr:uid="{00000000-0005-0000-0000-000095170000}"/>
    <cellStyle name="Финансовый 9 6 2" xfId="4081" xr:uid="{00000000-0005-0000-0000-000096170000}"/>
    <cellStyle name="Финансовый 9 6 3" xfId="5864" xr:uid="{00000000-0005-0000-0000-000097170000}"/>
    <cellStyle name="Финансовый 9 7" xfId="1663" xr:uid="{00000000-0005-0000-0000-000098170000}"/>
    <cellStyle name="Финансовый 9 7 2" xfId="3308" xr:uid="{00000000-0005-0000-0000-000099170000}"/>
    <cellStyle name="Финансовый 9 7 3" xfId="5091" xr:uid="{00000000-0005-0000-0000-00009A170000}"/>
    <cellStyle name="Финансовый 9 8" xfId="940" xr:uid="{00000000-0005-0000-0000-00009B170000}"/>
    <cellStyle name="Финансовый 9 9" xfId="528" xr:uid="{00000000-0005-0000-0000-00009C17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45326</xdr:colOff>
      <xdr:row>0</xdr:row>
      <xdr:rowOff>28575</xdr:rowOff>
    </xdr:from>
    <xdr:to>
      <xdr:col>0</xdr:col>
      <xdr:colOff>799636</xdr:colOff>
      <xdr:row>4</xdr:row>
      <xdr:rowOff>22117</xdr:rowOff>
    </xdr:to>
    <xdr:pic>
      <xdr:nvPicPr>
        <xdr:cNvPr id="4" name="Image 1">
          <a:extLst>
            <a:ext uri="{FF2B5EF4-FFF2-40B4-BE49-F238E27FC236}">
              <a16:creationId xmlns:a16="http://schemas.microsoft.com/office/drawing/2014/main" id="{58E72672-7C31-4830-A884-42011E612024}"/>
            </a:ext>
          </a:extLst>
        </xdr:cNvPr>
        <xdr:cNvPicPr/>
      </xdr:nvPicPr>
      <xdr:blipFill>
        <a:blip xmlns:r="http://schemas.openxmlformats.org/officeDocument/2006/relationships" r:embed="rId1" cstate="print"/>
        <a:stretch>
          <a:fillRect/>
        </a:stretch>
      </xdr:blipFill>
      <xdr:spPr>
        <a:xfrm>
          <a:off x="45326" y="28575"/>
          <a:ext cx="754310" cy="755542"/>
        </a:xfrm>
        <a:prstGeom prst="rect">
          <a:avLst/>
        </a:prstGeom>
      </xdr:spPr>
    </xdr:pic>
    <xdr:clientData/>
  </xdr:twoCellAnchor>
  <xdr:twoCellAnchor editAs="oneCell">
    <xdr:from>
      <xdr:col>3</xdr:col>
      <xdr:colOff>638175</xdr:colOff>
      <xdr:row>0</xdr:row>
      <xdr:rowOff>19050</xdr:rowOff>
    </xdr:from>
    <xdr:to>
      <xdr:col>3</xdr:col>
      <xdr:colOff>1717501</xdr:colOff>
      <xdr:row>4</xdr:row>
      <xdr:rowOff>7525</xdr:rowOff>
    </xdr:to>
    <xdr:pic>
      <xdr:nvPicPr>
        <xdr:cNvPr id="5" name="Image 2">
          <a:extLst>
            <a:ext uri="{FF2B5EF4-FFF2-40B4-BE49-F238E27FC236}">
              <a16:creationId xmlns:a16="http://schemas.microsoft.com/office/drawing/2014/main" id="{A43254B9-9A06-470C-8D39-65F9AAB9C3C8}"/>
            </a:ext>
          </a:extLst>
        </xdr:cNvPr>
        <xdr:cNvPicPr/>
      </xdr:nvPicPr>
      <xdr:blipFill>
        <a:blip xmlns:r="http://schemas.openxmlformats.org/officeDocument/2006/relationships" r:embed="rId2" cstate="print"/>
        <a:stretch>
          <a:fillRect/>
        </a:stretch>
      </xdr:blipFill>
      <xdr:spPr>
        <a:xfrm>
          <a:off x="4705350" y="19050"/>
          <a:ext cx="1079326" cy="750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ile-server\mko\&#1056;&#1072;&#1073;&#1086;&#1095;&#1080;&#1081;%20&#1089;&#1090;&#1086;&#1083;\123123\22_12_2022_KALBAYEV_AYBEK_MAKSETOVICH_1974_&#1089;&#1087;&#1072;&#1088;&#1082;_30_2_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dmin\PycharmProjects\payup\media\mikroqarz_template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lumot"/>
      <sheetName val="shartnoma"/>
      <sheetName val="buyruq"/>
      <sheetName val="bayonnoma"/>
      <sheetName val="График дифференц"/>
      <sheetName val="Данные для послед. Залога"/>
      <sheetName val="График аннуитет."/>
      <sheetName val="xulosa"/>
      <sheetName val="grafik"/>
      <sheetName val="dalolatnoma"/>
      <sheetName val="ariza"/>
      <sheetName val="muqova"/>
      <sheetName val="mijoz_anketasi"/>
      <sheetName val="majburiyatnoma"/>
      <sheetName val="kredit_ariza"/>
      <sheetName val="garov_ariza"/>
      <sheetName val="Письмо"/>
      <sheetName val="akt_monitoring_1"/>
      <sheetName val="akt_monitoring_2"/>
      <sheetName val="akt_monitoring_3"/>
      <sheetName val="akt_monitoring_4"/>
      <sheetName val="notarius"/>
      <sheetName val="Анкета 2"/>
    </sheetNames>
    <sheetDataSet>
      <sheetData sheetId="0">
        <row r="1">
          <cell r="B1" t="str">
            <v>№ 687-BR</v>
          </cell>
        </row>
        <row r="2">
          <cell r="B2" t="str">
            <v>01.04.2025</v>
          </cell>
        </row>
        <row r="5">
          <cell r="B5" t="str">
            <v>XAYATOV OTABEK KURBANOVICH</v>
          </cell>
        </row>
        <row r="12">
          <cell r="B12" t="str">
            <v>XAYATOV OTABEK KURBANOVICH</v>
          </cell>
        </row>
        <row r="16">
          <cell r="B16" t="str">
            <v>AB 7858443</v>
          </cell>
        </row>
        <row r="20">
          <cell r="B20" t="str">
            <v>BUXORO VILOYATI KOGON TUMAN IIB tomonidan 06.10.2017 yilda berilgan</v>
          </cell>
        </row>
        <row r="65">
          <cell r="B65" t="str">
            <v>mikroqarz</v>
          </cell>
        </row>
        <row r="75">
          <cell r="B75">
            <v>26000000</v>
          </cell>
        </row>
        <row r="76">
          <cell r="B76" t="str">
            <v>yigirma olti million so'm</v>
          </cell>
        </row>
        <row r="81">
          <cell r="B81">
            <v>48</v>
          </cell>
        </row>
        <row r="82">
          <cell r="B82" t="str">
            <v xml:space="preserve">Qirq sakkiz  </v>
          </cell>
        </row>
        <row r="106">
          <cell r="B106" t="str">
            <v>202502386001856</v>
          </cell>
        </row>
        <row r="107">
          <cell r="B107" t="str">
            <v>01.04.2025</v>
          </cell>
        </row>
        <row r="109">
          <cell r="B109" t="str">
            <v>05.04.2025 yildagi</v>
          </cell>
        </row>
        <row r="110">
          <cell r="B110" t="str">
            <v>№ 02/04-001</v>
          </cell>
        </row>
        <row r="111">
          <cell r="B111" t="str">
            <v>Avtotransport</v>
          </cell>
          <cell r="C111" t="str">
            <v>Avtotransport</v>
          </cell>
        </row>
        <row r="119">
          <cell r="B119" t="str">
            <v>FAYZIYEV JAMSHID KURBONOVICH</v>
          </cell>
          <cell r="C119">
            <v>0</v>
          </cell>
        </row>
        <row r="125">
          <cell r="B125" t="str">
            <v>FAYZIYEV JAMSHID KURBONOVICH</v>
          </cell>
        </row>
        <row r="131">
          <cell r="C131" t="str">
            <v>SAMARQAND VILOYATI TAYLOQ TUMANI CHAROG'BON MFY YANGI TAYLOQ QISHLOG'I 6 TURAR JOY 12 QAVAT 58 XONADON</v>
          </cell>
        </row>
        <row r="132">
          <cell r="B132" t="str">
            <v>AAG   4517617  20.08.2024y</v>
          </cell>
          <cell r="C132" t="str">
            <v>13.12.2020 yildan 1718238/R-A1419303</v>
          </cell>
        </row>
        <row r="133">
          <cell r="B133" t="str">
            <v>SPARK</v>
          </cell>
          <cell r="C133" t="str">
            <v>3 - xonali yakka tartibdagi uy-joy</v>
          </cell>
        </row>
        <row r="134">
          <cell r="B134" t="str">
            <v>80Y320AB</v>
          </cell>
          <cell r="C134" t="str">
            <v>3 - xonali yakka tartibdagi uy-joy</v>
          </cell>
        </row>
        <row r="135">
          <cell r="B135" t="str">
            <v>kuzov turi - YENGIL SEDAN, kuzov raqami XWBMF481EBA580791</v>
          </cell>
        </row>
        <row r="138">
          <cell r="B138" t="str">
            <v>dvigatel raqami B10D1606437KC3, shassi raqami - RAKAMSIZ</v>
          </cell>
          <cell r="C138">
            <v>72.13</v>
          </cell>
          <cell r="E138" t="str">
            <v>72,13 kv.m</v>
          </cell>
          <cell r="F138">
            <v>34.739999999999995</v>
          </cell>
        </row>
        <row r="141">
          <cell r="B141" t="str">
            <v>rangi -  OQ BELAYA "KASABLANKA", ishlab chiqarilgan yili - 2011</v>
          </cell>
          <cell r="C141" t="str">
            <v>37,39</v>
          </cell>
          <cell r="E141" t="str">
            <v>37,39 kv.m</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49"/>
  <sheetViews>
    <sheetView tabSelected="1" view="pageBreakPreview" zoomScale="85" zoomScaleNormal="100" zoomScaleSheetLayoutView="85" workbookViewId="0">
      <selection activeCell="A50" sqref="A50"/>
    </sheetView>
  </sheetViews>
  <sheetFormatPr defaultRowHeight="15" x14ac:dyDescent="0.25"/>
  <cols>
    <col min="1" max="1" width="22.85546875" style="56" customWidth="1"/>
    <col min="2" max="2" width="24.28515625" style="56" customWidth="1"/>
    <col min="3" max="3" width="18.42578125" style="56" customWidth="1"/>
    <col min="4" max="4" width="18" style="56" customWidth="1"/>
    <col min="5" max="5" width="25.140625" style="56" customWidth="1"/>
    <col min="6" max="6" width="9.140625" customWidth="1"/>
    <col min="7" max="7" width="24.42578125" customWidth="1"/>
    <col min="8" max="8" width="17.140625" customWidth="1"/>
    <col min="9" max="34" width="9.140625" hidden="1" customWidth="1"/>
    <col min="35" max="35" width="8.7109375" customWidth="1"/>
  </cols>
  <sheetData>
    <row r="1" spans="1:33" ht="47.25" customHeight="1" x14ac:dyDescent="0.25">
      <c r="A1" s="270" t="str">
        <f>""&amp;umumiy_malumot!B158&amp;"
mikromoliya tashkiloti
Kredit qo‘mitasining yig‘ilishi"</f>
        <v>«PULLOL BUSINESS MIKROMOLIYA TASHKILOTI»  MChJ
mikromoliya tashkiloti
Kredit qo‘mitasining yig‘ilishi</v>
      </c>
      <c r="B1" s="270"/>
      <c r="C1" s="270"/>
      <c r="D1" s="270"/>
      <c r="E1" s="270"/>
    </row>
    <row r="2" spans="1:33" ht="19.5" customHeight="1" x14ac:dyDescent="0.25">
      <c r="A2" s="270" t="str">
        <f>""&amp;H7&amp;" protokolidan ko'chirma"</f>
        <v>№ 53 protokolidan ko'chirma</v>
      </c>
      <c r="B2" s="270"/>
      <c r="C2" s="270"/>
      <c r="D2" s="270"/>
      <c r="E2" s="270"/>
    </row>
    <row r="3" spans="1:33" ht="29.25" customHeight="1" x14ac:dyDescent="0.25">
      <c r="A3" s="121" t="s">
        <v>195</v>
      </c>
      <c r="B3" s="47"/>
      <c r="C3" s="47"/>
      <c r="D3" s="47"/>
      <c r="E3" s="122" t="str">
        <f>umumiy_malumot!B68</f>
        <v>2 fevral 2026 y.</v>
      </c>
    </row>
    <row r="4" spans="1:33" ht="21" customHeight="1" x14ac:dyDescent="0.25">
      <c r="A4" s="47"/>
      <c r="B4" s="270" t="s">
        <v>194</v>
      </c>
      <c r="C4" s="270"/>
      <c r="D4" s="270"/>
      <c r="E4" s="47"/>
    </row>
    <row r="5" spans="1:33" ht="35.25" customHeight="1" x14ac:dyDescent="0.25">
      <c r="A5" s="269" t="str">
        <f>"         "&amp;H8&amp;"."&amp;umumiy_malumot!B5&amp;" ga "&amp;umumiy_malumot!B65&amp;" berish masalasini ko‘rib chiqish to‘g‘risida."</f>
        <v xml:space="preserve">         1.NARBAYEV QUDAYBERGEN QALBAYEVICH ga mikroqarz berish masalasini ko‘rib chiqish to‘g‘risida.</v>
      </c>
      <c r="B5" s="269"/>
      <c r="C5" s="269"/>
      <c r="D5" s="269"/>
      <c r="E5" s="269"/>
    </row>
    <row r="6" spans="1:33" ht="9" customHeight="1" x14ac:dyDescent="0.25"/>
    <row r="7" spans="1:33" ht="21" customHeight="1" x14ac:dyDescent="0.35">
      <c r="A7" s="271" t="str">
        <f>"      "&amp;H9&amp;" masala yuzasidan:  "&amp;umumiy_malumot!B158&amp;" mikromoliya tashkiloti kredit bo‘yicha menejeri  "&amp;umumiy_malumot!B5&amp;"ga "&amp;FIXED(umumiy_malumot!B76)&amp;" ("&amp;umumiy_malumot!B77&amp;") so‘m miqdorida, muddati "&amp;umumiy_malumot!B82&amp;" ("&amp;umumiy_malumot!B83&amp;") oyga va yillik "&amp;umumiy_malumot!B86&amp;" %("&amp;umumiy_malumot!B87&amp;") foiz miqdorida "&amp;umumiy_malumot!B65&amp;" berich bo‘yicha "&amp;umumiy_malumot!B5&amp;"ning kredit arizasi va "&amp;umumiy_malumot!B158&amp;"ning xulosasi bilan ishtirokchilarni tanishtirdi."</f>
        <v xml:space="preserve">      Birinchi masala yuzasidan:  «PULLOL BUSINESS MIKROMOLIYA TASHKILOTI»  MChJ mikromoliya tashkiloti kredit bo‘yicha menejeri  NARBAYEV QUDAYBERGEN QALBAYEVICHga 100 000 000,00 (yuz million so'm) so‘m miqdorida, muddati 36 (O'ttiz olti  ) oyga va yillik 55 %(Ellik besh  ) foiz miqdorida mikroqarz berich bo‘yicha NARBAYEV QUDAYBERGEN QALBAYEVICHning kredit arizasi va «PULLOL BUSINESS MIKROMOLIYA TASHKILOTI»  MChJning xulosasi bilan ishtirokchilarni tanishtirdi.</v>
      </c>
      <c r="B7" s="271"/>
      <c r="C7" s="271"/>
      <c r="D7" s="271"/>
      <c r="E7" s="271"/>
      <c r="G7" s="57" t="s">
        <v>249</v>
      </c>
      <c r="H7" s="58" t="str">
        <f>umumiy_malumot!B1</f>
        <v>№ 53</v>
      </c>
    </row>
    <row r="8" spans="1:33" ht="48.75" customHeight="1" x14ac:dyDescent="0.35">
      <c r="A8" s="271"/>
      <c r="B8" s="271"/>
      <c r="C8" s="271"/>
      <c r="D8" s="271"/>
      <c r="E8" s="271"/>
      <c r="G8" s="57" t="s">
        <v>250</v>
      </c>
      <c r="H8" s="58">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9" hidden="1" customHeight="1" x14ac:dyDescent="0.35">
      <c r="A9" s="271"/>
      <c r="B9" s="271"/>
      <c r="C9" s="271"/>
      <c r="D9" s="271"/>
      <c r="E9" s="271"/>
      <c r="G9" s="57" t="s">
        <v>251</v>
      </c>
      <c r="H9" s="58" t="str">
        <f>IF(H8=I8,I9,IF(H8=J8,J9,IF(H8=K8,K9,IF(H8=L8,L9,IF(H8=M8,M9,IF(H8=N8,N9,IF(H8=O8,O9,IF(H8=P8,P9,IF(H8=Q8,Q9,IF(H8=R8,R9,IF(H8=S8,S9,IF(H8=T8,T9,IF(H8=U8,U9,IF(H8=V8,V9,IF(H8=W8,W9,IF(H8=X8,X9,IF(H8=Y8,Y9,IF(H8=Z8,Z9,IF(H8=AA8,AA9,IF(H8=AB8,AB9,IF(H8=AC8,AC9,IF(H8=AD8,AD9,IF(H8=AE8,AE9,IF(H8=AF8,AF9,IF(H8=AG8,AG9)))))))))))))))))))))))))</f>
        <v>Birinchi</v>
      </c>
      <c r="I9" s="140" t="s">
        <v>182</v>
      </c>
      <c r="J9" s="141" t="s">
        <v>183</v>
      </c>
      <c r="K9" s="141" t="s">
        <v>184</v>
      </c>
      <c r="L9" s="141" t="s">
        <v>354</v>
      </c>
      <c r="M9" s="141" t="s">
        <v>185</v>
      </c>
      <c r="N9" s="141" t="s">
        <v>355</v>
      </c>
      <c r="O9" s="141" t="s">
        <v>186</v>
      </c>
      <c r="P9" s="141" t="s">
        <v>187</v>
      </c>
      <c r="Q9" s="141" t="s">
        <v>188</v>
      </c>
      <c r="R9" s="141" t="s">
        <v>344</v>
      </c>
      <c r="S9" s="141" t="s">
        <v>345</v>
      </c>
      <c r="T9" s="141" t="s">
        <v>346</v>
      </c>
      <c r="U9" s="141" t="s">
        <v>347</v>
      </c>
      <c r="V9" s="141" t="s">
        <v>356</v>
      </c>
      <c r="W9" s="141" t="s">
        <v>348</v>
      </c>
      <c r="X9" s="141" t="s">
        <v>349</v>
      </c>
      <c r="Y9" s="141" t="s">
        <v>350</v>
      </c>
      <c r="Z9" s="141" t="s">
        <v>351</v>
      </c>
      <c r="AA9" s="141" t="s">
        <v>352</v>
      </c>
      <c r="AB9" s="141" t="s">
        <v>189</v>
      </c>
      <c r="AC9" s="141" t="s">
        <v>190</v>
      </c>
      <c r="AD9" s="141" t="s">
        <v>191</v>
      </c>
      <c r="AE9" s="141" t="s">
        <v>192</v>
      </c>
      <c r="AF9" s="141" t="s">
        <v>353</v>
      </c>
      <c r="AG9" s="141" t="s">
        <v>193</v>
      </c>
    </row>
    <row r="10" spans="1:33" ht="11.25" customHeight="1" x14ac:dyDescent="0.25">
      <c r="A10" s="271"/>
      <c r="B10" s="271"/>
      <c r="C10" s="271"/>
      <c r="D10" s="271"/>
      <c r="E10" s="271"/>
    </row>
    <row r="11" spans="1:33" ht="15.75" customHeight="1" x14ac:dyDescent="0.25">
      <c r="A11" s="272" t="str">
        <f>""&amp;umumiy_malumot!C64&amp;" ta’minoti:"</f>
        <v>Mikroqarz ta’minoti:</v>
      </c>
      <c r="B11" s="272"/>
      <c r="C11" s="272"/>
      <c r="D11" s="272"/>
      <c r="E11" s="272"/>
    </row>
    <row r="12" spans="1:33" ht="7.5" customHeight="1" x14ac:dyDescent="0.25"/>
    <row r="13" spans="1:33" ht="64.5" customHeight="1" x14ac:dyDescent="0.25">
      <c r="A13" s="271" t="str">
        <f>xulosa!A18:E18</f>
        <v>1.   Egalik huquqi NARBAYEV QUDAYBERGEN QALBAYEVICHga tegishli bo'lgan garovga olingan avtomobil markasi   CHEVROLET COBALT, rangi -  OQ SUMMIT WHITE, ishlab chiqarilgan yili - 2024, davlat raqam belgisi 01Z067RC, kuzov turi - YENGIL SEDAN, kuzov raqami XWBJA69VERA108471, dvigatel raqami B15D213241352MTAX0118, shassi raqami - RAQAMSIZ</v>
      </c>
      <c r="B13" s="271"/>
      <c r="C13" s="271"/>
      <c r="D13" s="271"/>
      <c r="E13" s="271"/>
    </row>
    <row r="14" spans="1:33" ht="31.9" customHeight="1" x14ac:dyDescent="0.25">
      <c r="A14" s="272" t="str">
        <f>"2. «"&amp;umumiy_malumot!B154&amp;"» АJ sug‘urta kompaniyasi tomonidan Mikroqarz to'lamaslik xavfini "&amp;FIXED(umumiy_malumot!B155,2)&amp;"("&amp;umumiy_malumot!B156&amp;") so ' m miqdoriga sug’urta qilish"</f>
        <v>2. «АО СК "IMPEX INSURANCE"» АJ sug‘urta kompaniyasi tomonidan Mikroqarz to'lamaslik xavfini 14 000 000,00(o'n to'rt million so'm) so ' m miqdoriga sug’urta qilish</v>
      </c>
      <c r="B14" s="272"/>
      <c r="C14" s="272"/>
      <c r="D14" s="272"/>
      <c r="E14" s="272"/>
    </row>
    <row r="15" spans="1:33" ht="17.25" customHeight="1" x14ac:dyDescent="0.25">
      <c r="C15" s="142" t="s">
        <v>363</v>
      </c>
      <c r="D15" s="142" t="str">
        <f>""&amp;umumiy_malumot!B158&amp;" kredit qo‘mitasi"</f>
        <v>«PULLOL BUSINESS MIKROMOLIYA TASHKILOTI»  MChJ kredit qo‘mitasi</v>
      </c>
      <c r="E15" s="142" t="str">
        <f>CONCATENATE(C15,D15)</f>
        <v xml:space="preserve"> masala yuzasidan berilgan ma’lumotlarni muhokama qilib, Kredit qo‘mitasi a’zolariga taqdim etilgan zarur hujjatlarni o‘rganib, majlisda ishtirok etgan Kredit qo‘mitasi a’zolarining taklif va mulohazalarini inobatga olgan holda «PULLOL BUSINESS MIKROMOLIYA TASHKILOTI»  MChJ kredit qo‘mitasi</v>
      </c>
    </row>
    <row r="16" spans="1:33" ht="54" customHeight="1" x14ac:dyDescent="0.25">
      <c r="A16" s="271" t="str">
        <f>CONCATENATE(H9,E15)</f>
        <v>Birinchi masala yuzasidan berilgan ma’lumotlarni muhokama qilib, Kredit qo‘mitasi a’zolariga taqdim etilgan zarur hujjatlarni o‘rganib, majlisda ishtirok etgan Kredit qo‘mitasi a’zolarining taklif va mulohazalarini inobatga olgan holda «PULLOL BUSINESS MIKROMOLIYA TASHKILOTI»  MChJ kredit qo‘mitasi</v>
      </c>
      <c r="B16" s="271"/>
      <c r="C16" s="271"/>
      <c r="D16" s="271"/>
      <c r="E16" s="271"/>
    </row>
    <row r="17" spans="1:5" ht="24" customHeight="1" x14ac:dyDescent="0.25">
      <c r="A17" s="273" t="s">
        <v>252</v>
      </c>
      <c r="B17" s="273"/>
      <c r="C17" s="273"/>
      <c r="D17" s="273"/>
      <c r="E17" s="273"/>
    </row>
    <row r="18" spans="1:5" ht="32.25" customHeight="1" x14ac:dyDescent="0.25">
      <c r="A18" s="271" t="str">
        <f>"       "&amp;umumiy_malumot!B5&amp;"ga quyidagi shartlarda "&amp;umumiy_malumot!B65&amp;" berish masalasi ma’qullansin:"</f>
        <v xml:space="preserve">       NARBAYEV QUDAYBERGEN QALBAYEVICHga quyidagi shartlarda mikroqarz berish masalasi ma’qullansin:</v>
      </c>
      <c r="B18" s="271"/>
      <c r="C18" s="271"/>
      <c r="D18" s="271"/>
      <c r="E18" s="271"/>
    </row>
    <row r="19" spans="1:5" s="123" customFormat="1" ht="18.75" customHeight="1" x14ac:dyDescent="0.25">
      <c r="A19" s="269" t="str">
        <f>"1. "&amp;umumiy_malumot!C64&amp;" summasi: "&amp;FIXED(umumiy_malumot!B76)&amp;" ("&amp;umumiy_malumot!B77&amp;") so'm."</f>
        <v>1. Mikroqarz summasi: 100 000 000,00 (yuz million so'm) so'm.</v>
      </c>
      <c r="B19" s="269"/>
      <c r="C19" s="269"/>
      <c r="D19" s="269"/>
      <c r="E19" s="269"/>
    </row>
    <row r="20" spans="1:5" s="123" customFormat="1" ht="18.75" customHeight="1" x14ac:dyDescent="0.25">
      <c r="A20" s="269" t="str">
        <f>"2. "&amp;umumiy_malumot!C64&amp;" muddati: "&amp;umumiy_malumot!B82&amp;" ("&amp;umumiy_malumot!B83&amp;") oy "</f>
        <v xml:space="preserve">2. Mikroqarz muddati: 36 (O'ttiz olti  ) oy </v>
      </c>
      <c r="B20" s="269"/>
      <c r="C20" s="269"/>
      <c r="D20" s="269"/>
      <c r="E20" s="269"/>
    </row>
    <row r="21" spans="1:5" s="123" customFormat="1" ht="18.75" customHeight="1" x14ac:dyDescent="0.25">
      <c r="A21" s="269" t="str">
        <f>"3. "&amp;umumiy_malumot!C64&amp;"dan foydalanganlik uchun foiz stavkasi:yillik "&amp;umumiy_malumot!B86&amp;"% ("&amp;umumiy_malumot!B87&amp;") foiz."</f>
        <v>3. Mikroqarzdan foydalanganlik uchun foiz stavkasi:yillik 55% (Ellik besh  ) foiz.</v>
      </c>
      <c r="B21" s="269"/>
      <c r="C21" s="269"/>
      <c r="D21" s="269"/>
      <c r="E21" s="269"/>
    </row>
    <row r="22" spans="1:5" s="123" customFormat="1" ht="18.75" customHeight="1" x14ac:dyDescent="0.25">
      <c r="A22" s="269" t="str">
        <f>"4. "&amp;umumiy_malumot!C64&amp;" bo‘yicha asosiy qarz va foizlarni to‘lash:"</f>
        <v>4. Mikroqarz bo‘yicha asosiy qarz va foizlarni to‘lash:</v>
      </c>
      <c r="B22" s="269"/>
      <c r="C22" s="269"/>
      <c r="D22" s="269"/>
      <c r="E22" s="269"/>
    </row>
    <row r="23" spans="1:5" s="123" customFormat="1" ht="18.75" customHeight="1" x14ac:dyDescent="0.25">
      <c r="A23" s="269" t="str">
        <f>kredit_ariza!A19:D19</f>
        <v xml:space="preserve"> - mikroqarz shartnomasi bo'yicha har oy differensial to'lovlari amalga oshiriladi</v>
      </c>
      <c r="B23" s="269"/>
      <c r="C23" s="269"/>
      <c r="D23" s="269"/>
      <c r="E23" s="269"/>
    </row>
    <row r="24" spans="1:5" s="123" customFormat="1" ht="18.75" customHeight="1" x14ac:dyDescent="0.25">
      <c r="A24" s="269" t="str">
        <f>"5. "&amp;umumiy_malumot!C64&amp;" bo‘yicha ta'minot:"</f>
        <v>5. Mikroqarz bo‘yicha ta'minot:</v>
      </c>
      <c r="B24" s="269"/>
      <c r="C24" s="269"/>
      <c r="D24" s="269"/>
      <c r="E24" s="269"/>
    </row>
    <row r="25" spans="1:5" ht="48" customHeight="1" x14ac:dyDescent="0.25">
      <c r="A25" s="271" t="str">
        <f>"1. garov  "&amp;xulosa!A29:E29&amp;""</f>
        <v>1. garov   - NARBAYEV QUDAYBERGEN QALBAYEVICH ga mulk huquqi asosida tegishli avtotransport vositasi CHEVROLET COBALT , quyidagi tafsilotlarga muvofiq:</v>
      </c>
      <c r="B25" s="271"/>
      <c r="C25" s="271"/>
      <c r="D25" s="271"/>
      <c r="E25" s="271"/>
    </row>
    <row r="26" spans="1:5" ht="40.5" customHeight="1" x14ac:dyDescent="0.25">
      <c r="A26" s="15" t="str">
        <f>dalolatnoma!A29</f>
        <v>Nomi</v>
      </c>
      <c r="B26" s="15" t="str">
        <f>dalolatnoma!B29</f>
        <v>Kuzov turi  va kuzov raqami*</v>
      </c>
      <c r="C26" s="15" t="str">
        <f>dalolatnoma!C29</f>
        <v>Dvigatel va shassi raqami*</v>
      </c>
      <c r="D26" s="15" t="str">
        <f>dalolatnoma!D29</f>
        <v>Ishlab chiqarilgan yili va rangi*</v>
      </c>
      <c r="E26" s="15" t="str">
        <f>dalolatnoma!E29</f>
        <v>Kelishilgan garov qiymati, so'm</v>
      </c>
    </row>
    <row r="27" spans="1:5" ht="75.75" customHeight="1" x14ac:dyDescent="0.25">
      <c r="A27" s="15" t="str">
        <f>dalolatnoma!A30</f>
        <v>CHEVROLET COBALT</v>
      </c>
      <c r="B27" s="15" t="str">
        <f>dalolatnoma!B30</f>
        <v>kuzov turi - YENGIL SEDAN, kuzov raqami XWBJA69VERA108471</v>
      </c>
      <c r="C27" s="15" t="str">
        <f>dalolatnoma!C30</f>
        <v>dvigatel raqami B15D213241352MTAX0118, shassi raqami - RAQAMSIZ</v>
      </c>
      <c r="D27" s="15" t="str">
        <f>dalolatnoma!D30</f>
        <v>rangi -  OQ SUMMIT WHITE, ishlab chiqarilgan yili - 2024</v>
      </c>
      <c r="E27" s="15" t="str">
        <f>dalolatnoma!E30</f>
        <v>126 000 000,00 
(yuz yigirma olti million so'm)</v>
      </c>
    </row>
    <row r="28" spans="1:5" ht="20.25" customHeight="1" x14ac:dyDescent="0.25">
      <c r="A28" s="271" t="str">
        <f>dalolatnoma!A22:E22</f>
        <v>-* avtotransport egasi: NARBAYEV QUDAYBERGEN QALBAYEVICH</v>
      </c>
      <c r="B28" s="271"/>
      <c r="C28" s="271"/>
      <c r="D28" s="271"/>
      <c r="E28" s="271"/>
    </row>
    <row r="29" spans="1:5" ht="20.25" customHeight="1" x14ac:dyDescent="0.25">
      <c r="A29" s="271" t="str">
        <f>dalolatnoma!A23:E23</f>
        <v>-* texnik pasport: AAG       4174202      15.06.2024 yilda</v>
      </c>
      <c r="B29" s="271"/>
      <c r="C29" s="271"/>
      <c r="D29" s="271"/>
      <c r="E29" s="271"/>
    </row>
    <row r="30" spans="1:5" ht="18" customHeight="1" x14ac:dyDescent="0.25">
      <c r="A30" s="271" t="str">
        <f>dalolatnoma!A24:E24</f>
        <v>-* roʻyxatdan oʻtgan manzili/garaj manzili: TOSHKENT SHAHAR BEKTEMIR TUMANI MAJNUNTOL MFY MAJNUNTOL MAXALLA SHONIGOR KO'CHASI  113 UY</v>
      </c>
      <c r="B30" s="271"/>
      <c r="C30" s="271"/>
      <c r="D30" s="271"/>
      <c r="E30" s="271"/>
    </row>
    <row r="31" spans="1:5" ht="22.5" customHeight="1" x14ac:dyDescent="0.25">
      <c r="A31" s="271" t="str">
        <f>dalolatnoma!A25:E25</f>
        <v>-* davlat raqami: 01Z067RC</v>
      </c>
      <c r="B31" s="271"/>
      <c r="C31" s="271"/>
      <c r="D31" s="271"/>
      <c r="E31" s="271"/>
    </row>
    <row r="32" spans="1:5" ht="12" customHeight="1" x14ac:dyDescent="0.25">
      <c r="A32" s="124"/>
      <c r="B32" s="124"/>
      <c r="C32" s="124"/>
      <c r="D32" s="124"/>
      <c r="E32" s="124"/>
    </row>
    <row r="33" spans="1:5" ht="34.9" customHeight="1" x14ac:dyDescent="0.25">
      <c r="A33" s="271" t="str">
        <f>"6. «"&amp;umumiy_malumot!B154&amp;"» АJ sug‘urta kompaniyasi tomonidan "&amp;umumiy_malumot!C64&amp;" to'lamaslik xavfini "&amp;FIXED(umumiy_malumot!B155,2)&amp;"("&amp;umumiy_malumot!B156&amp;") so ' m miqdoriga sug’urta qilish"</f>
        <v>6. «АО СК "IMPEX INSURANCE"» АJ sug‘urta kompaniyasi tomonidan Mikroqarz to'lamaslik xavfini 14 000 000,00(o'n to'rt million so'm) so ' m miqdoriga sug’urta qilish</v>
      </c>
      <c r="B33" s="271"/>
      <c r="C33" s="271"/>
      <c r="D33" s="271"/>
      <c r="E33" s="271"/>
    </row>
    <row r="34" spans="1:5" ht="22.5" customHeight="1" x14ac:dyDescent="0.25">
      <c r="A34" s="271" t="str">
        <f>"7. Boshqa shartlar – "&amp;IF(umumiy_malumot!B110=umumiy_malumot!B111,"avtotransport vositasi",IF(umumiy_malumot!B110=umumiy_malumot!C111,"ko'chmas mulk",0))&amp;" shaklida garov ta'minlangandan keyin "&amp;umumiy_malumot!B65&amp;" berish."</f>
        <v>7. Boshqa shartlar – 0 shaklida garov ta'minlangandan keyin mikroqarz berish.</v>
      </c>
      <c r="B34" s="271"/>
      <c r="C34" s="271"/>
      <c r="D34" s="271"/>
      <c r="E34" s="271"/>
    </row>
    <row r="36" spans="1:5" ht="24" customHeight="1" x14ac:dyDescent="0.25">
      <c r="A36" s="274" t="s">
        <v>253</v>
      </c>
      <c r="B36" s="274"/>
      <c r="C36" s="274"/>
      <c r="D36" s="274"/>
      <c r="E36" s="274"/>
    </row>
    <row r="37" spans="1:5" hidden="1" x14ac:dyDescent="0.25">
      <c r="A37" s="18"/>
      <c r="B37" s="268"/>
      <c r="C37" s="268"/>
      <c r="D37" s="174"/>
      <c r="E37" s="18"/>
    </row>
    <row r="38" spans="1:5" ht="3.75" customHeight="1" x14ac:dyDescent="0.25">
      <c r="A38" s="18"/>
      <c r="B38" s="268"/>
      <c r="C38" s="268"/>
      <c r="D38" s="174"/>
      <c r="E38" s="18"/>
    </row>
    <row r="39" spans="1:5" ht="27" customHeight="1" x14ac:dyDescent="0.25">
      <c r="A39" s="18"/>
      <c r="B39" s="268"/>
      <c r="C39" s="268"/>
      <c r="D39" s="174"/>
      <c r="E39" s="18"/>
    </row>
    <row r="40" spans="1:5" ht="14.25" customHeight="1" x14ac:dyDescent="0.25"/>
    <row r="41" spans="1:5" ht="65.25" customHeight="1" x14ac:dyDescent="0.25">
      <c r="A41" s="121" t="str">
        <f>umumiy_malumot!B158&amp;" direktori"</f>
        <v>«PULLOL BUSINESS MIKROMOLIYA TASHKILOTI»  MChJ direktori</v>
      </c>
      <c r="B41" s="191"/>
      <c r="C41" s="191"/>
      <c r="D41" s="190" t="s">
        <v>409</v>
      </c>
    </row>
    <row r="42" spans="1:5" x14ac:dyDescent="0.25">
      <c r="A42" s="191"/>
      <c r="B42" s="191"/>
      <c r="C42" s="191"/>
      <c r="D42" s="191"/>
    </row>
    <row r="43" spans="1:5" x14ac:dyDescent="0.25">
      <c r="A43" s="191"/>
      <c r="B43" s="191"/>
      <c r="C43" s="191"/>
      <c r="D43" s="191"/>
    </row>
    <row r="44" spans="1:5" x14ac:dyDescent="0.25">
      <c r="A44" s="191"/>
      <c r="B44" s="191"/>
      <c r="C44" s="191"/>
      <c r="D44" s="191"/>
    </row>
    <row r="45" spans="1:5" ht="29.25" x14ac:dyDescent="0.25">
      <c r="A45" s="191" t="str">
        <f>umumiy_malumot!A170</f>
        <v xml:space="preserve">Kreditlash bo’limi boshlig’i </v>
      </c>
      <c r="B45" s="191"/>
      <c r="C45" s="191"/>
      <c r="D45" s="191" t="str">
        <f>umumiy_malumot!B170</f>
        <v>Akramov R.N.</v>
      </c>
    </row>
    <row r="46" spans="1:5" x14ac:dyDescent="0.25">
      <c r="A46" s="191"/>
      <c r="B46" s="191"/>
      <c r="C46" s="191"/>
      <c r="D46" s="191"/>
    </row>
    <row r="47" spans="1:5" x14ac:dyDescent="0.25">
      <c r="A47" s="191"/>
      <c r="B47" s="191"/>
      <c r="C47" s="191"/>
      <c r="D47" s="191"/>
    </row>
    <row r="48" spans="1:5" ht="15" hidden="1" customHeight="1" x14ac:dyDescent="0.25">
      <c r="A48" s="191" t="str">
        <f>umumiy_malumot!A171</f>
        <v>Monitoring bo’limi boshlig’i</v>
      </c>
      <c r="B48" s="191"/>
      <c r="C48" s="191"/>
      <c r="D48" s="191" t="str">
        <f>umumiy_malumot!B171</f>
        <v>Omanlikov  O.O.</v>
      </c>
    </row>
    <row r="49" spans="1:4" ht="29.25" x14ac:dyDescent="0.25">
      <c r="A49" s="191" t="str">
        <f>umumiy_malumot!A172</f>
        <v>Kredit bo'limi menejeri</v>
      </c>
      <c r="B49" s="191"/>
      <c r="C49" s="191"/>
      <c r="D49" s="191" t="str">
        <f>umumiy_malumot!B172</f>
        <v>Eshbekov S. O.</v>
      </c>
    </row>
  </sheetData>
  <mergeCells count="28">
    <mergeCell ref="A22:E22"/>
    <mergeCell ref="A23:E23"/>
    <mergeCell ref="A14:E14"/>
    <mergeCell ref="A24:E24"/>
    <mergeCell ref="A36:E36"/>
    <mergeCell ref="A31:E31"/>
    <mergeCell ref="A25:E25"/>
    <mergeCell ref="A28:E28"/>
    <mergeCell ref="A29:E29"/>
    <mergeCell ref="A30:E30"/>
    <mergeCell ref="A34:E34"/>
    <mergeCell ref="A33:E33"/>
    <mergeCell ref="B37:C37"/>
    <mergeCell ref="B38:C38"/>
    <mergeCell ref="B39:C39"/>
    <mergeCell ref="A20:E20"/>
    <mergeCell ref="A1:E1"/>
    <mergeCell ref="A2:E2"/>
    <mergeCell ref="B4:D4"/>
    <mergeCell ref="A5:E5"/>
    <mergeCell ref="A7:E10"/>
    <mergeCell ref="A11:E11"/>
    <mergeCell ref="A13:E13"/>
    <mergeCell ref="A16:E16"/>
    <mergeCell ref="A17:E17"/>
    <mergeCell ref="A18:E18"/>
    <mergeCell ref="A19:E19"/>
    <mergeCell ref="A21:E21"/>
  </mergeCells>
  <pageMargins left="0.70866141732283472" right="0.11811023622047245" top="0.74803149606299213" bottom="0.74803149606299213" header="0.31496062992125984" footer="0.31496062992125984"/>
  <pageSetup paperSize="9" scale="80" orientation="portrait"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
    <tabColor rgb="FF00B050"/>
  </sheetPr>
  <dimension ref="A1:BK178"/>
  <sheetViews>
    <sheetView topLeftCell="A148" zoomScaleNormal="100" workbookViewId="0">
      <selection activeCell="B170" sqref="B170"/>
    </sheetView>
  </sheetViews>
  <sheetFormatPr defaultColWidth="0" defaultRowHeight="15" zeroHeight="1" x14ac:dyDescent="0.2"/>
  <cols>
    <col min="1" max="1" width="44.42578125" style="163" customWidth="1"/>
    <col min="2" max="2" width="61.85546875" style="165" customWidth="1"/>
    <col min="3" max="3" width="20" style="162" customWidth="1"/>
    <col min="4" max="4" width="29.7109375" style="162" customWidth="1"/>
    <col min="5" max="7" width="9.140625" style="162" hidden="1" customWidth="1"/>
    <col min="8" max="8" width="62.5703125" style="162" hidden="1" customWidth="1"/>
    <col min="9" max="13" width="9.140625" style="162" hidden="1" customWidth="1"/>
    <col min="14" max="14" width="70.7109375" style="162" hidden="1" customWidth="1"/>
    <col min="15" max="16" width="9.140625" style="162" hidden="1" customWidth="1"/>
    <col min="17" max="17" width="59.7109375" style="162" hidden="1" customWidth="1"/>
    <col min="18" max="18" width="49.85546875" style="162" hidden="1" customWidth="1"/>
    <col min="19" max="16384" width="9.140625" style="162" hidden="1"/>
  </cols>
  <sheetData>
    <row r="1" spans="1:4" x14ac:dyDescent="0.2">
      <c r="A1" s="3" t="str">
        <f>CONCATENATE(B65," olish uchun ariza")</f>
        <v>mikroqarz olish uchun ariza</v>
      </c>
      <c r="B1" s="237" t="s">
        <v>441</v>
      </c>
    </row>
    <row r="2" spans="1:4" ht="30" x14ac:dyDescent="0.2">
      <c r="A2" s="3" t="str">
        <f>CONCATENATE(B65," olish uchun ariza sanasi QO’L BILAN KIRITILADI")</f>
        <v>mikroqarz olish uchun ariza sanasi QO’L BILAN KIRITILADI</v>
      </c>
      <c r="B2" s="238" t="s">
        <v>463</v>
      </c>
      <c r="D2" s="162">
        <f>180+B2</f>
        <v>46235</v>
      </c>
    </row>
    <row r="3" spans="1:4" hidden="1" x14ac:dyDescent="0.2">
      <c r="A3" s="3"/>
      <c r="B3" s="1"/>
    </row>
    <row r="4" spans="1:4" x14ac:dyDescent="0.2">
      <c r="A4" s="278" t="s">
        <v>47</v>
      </c>
      <c r="B4" s="278"/>
    </row>
    <row r="5" spans="1:4" ht="30" x14ac:dyDescent="0.2">
      <c r="A5" s="3" t="s">
        <v>48</v>
      </c>
      <c r="B5" s="237" t="s">
        <v>445</v>
      </c>
    </row>
    <row r="6" spans="1:4" ht="28.5" customHeight="1" x14ac:dyDescent="0.2">
      <c r="A6" s="3" t="s">
        <v>49</v>
      </c>
      <c r="B6" s="182" t="s">
        <v>61</v>
      </c>
      <c r="C6" s="162" t="s">
        <v>248</v>
      </c>
      <c r="D6" s="162" t="s">
        <v>128</v>
      </c>
    </row>
    <row r="7" spans="1:4" ht="30" x14ac:dyDescent="0.2">
      <c r="A7" s="3" t="s">
        <v>50</v>
      </c>
      <c r="B7" s="237" t="s">
        <v>446</v>
      </c>
    </row>
    <row r="8" spans="1:4" ht="30" hidden="1" x14ac:dyDescent="0.2">
      <c r="A8" s="3" t="s">
        <v>51</v>
      </c>
      <c r="B8" s="183" t="str">
        <f>B5</f>
        <v>NARBAYEV QUDAYBERGEN QALBAYEVICH</v>
      </c>
    </row>
    <row r="9" spans="1:4" hidden="1" x14ac:dyDescent="0.2">
      <c r="A9" s="3" t="s">
        <v>52</v>
      </c>
      <c r="B9" s="183" t="str">
        <f>B7</f>
        <v>NARBAYEV Q. Q.</v>
      </c>
    </row>
    <row r="10" spans="1:4" ht="30" hidden="1" x14ac:dyDescent="0.2">
      <c r="A10" s="3" t="s">
        <v>53</v>
      </c>
      <c r="B10" s="183" t="str">
        <f>B8</f>
        <v>NARBAYEV QUDAYBERGEN QALBAYEVICH</v>
      </c>
    </row>
    <row r="11" spans="1:4" hidden="1" x14ac:dyDescent="0.2">
      <c r="A11" s="3" t="s">
        <v>54</v>
      </c>
      <c r="B11" s="183" t="str">
        <f>B9</f>
        <v>NARBAYEV Q. Q.</v>
      </c>
    </row>
    <row r="12" spans="1:4" ht="30" hidden="1" x14ac:dyDescent="0.2">
      <c r="A12" s="3" t="s">
        <v>55</v>
      </c>
      <c r="B12" s="183" t="str">
        <f>B10</f>
        <v>NARBAYEV QUDAYBERGEN QALBAYEVICH</v>
      </c>
    </row>
    <row r="13" spans="1:4" hidden="1" x14ac:dyDescent="0.2">
      <c r="A13" s="3" t="s">
        <v>56</v>
      </c>
      <c r="B13" s="183" t="str">
        <f>B11</f>
        <v>NARBAYEV Q. Q.</v>
      </c>
    </row>
    <row r="14" spans="1:4" hidden="1" x14ac:dyDescent="0.2">
      <c r="A14" s="3" t="s">
        <v>57</v>
      </c>
      <c r="B14" s="183" t="s">
        <v>60</v>
      </c>
    </row>
    <row r="15" spans="1:4" x14ac:dyDescent="0.2">
      <c r="A15" s="3" t="s">
        <v>58</v>
      </c>
      <c r="B15" s="262" t="s">
        <v>442</v>
      </c>
    </row>
    <row r="16" spans="1:4" x14ac:dyDescent="0.2">
      <c r="A16" s="3" t="s">
        <v>59</v>
      </c>
      <c r="B16" s="237" t="s">
        <v>443</v>
      </c>
    </row>
    <row r="17" spans="1:7" x14ac:dyDescent="0.2">
      <c r="A17" s="3"/>
      <c r="B17" s="237" t="s">
        <v>444</v>
      </c>
      <c r="D17" s="162" t="str">
        <f>TEXT(C17,"ДД.ММ.ГГГГ")</f>
        <v>00.01.1900</v>
      </c>
    </row>
    <row r="18" spans="1:7" x14ac:dyDescent="0.2">
      <c r="A18" s="3"/>
      <c r="B18" s="262">
        <v>44788</v>
      </c>
      <c r="C18" s="202" t="str">
        <f>TEXT(B18,"ДД.ММ.ГГГГ")</f>
        <v>15.08.2022</v>
      </c>
    </row>
    <row r="19" spans="1:7" x14ac:dyDescent="0.2">
      <c r="A19" s="3"/>
      <c r="B19" s="184">
        <f>DATE(YEAR(B18)+10,MONTH(B18),DAY(B18)-1)</f>
        <v>48440</v>
      </c>
      <c r="C19" s="202" t="str">
        <f>TEXT(B19,"ДД.ММ.ГГГГ")</f>
        <v>14.08.2032</v>
      </c>
    </row>
    <row r="20" spans="1:7" ht="60" x14ac:dyDescent="0.2">
      <c r="A20" s="3" t="s">
        <v>62</v>
      </c>
      <c r="B20" s="55" t="str">
        <f>""&amp;B17&amp;" tomonidan "&amp;C18&amp;" yilda berilgan"</f>
        <v>IIV 26264 tomonidan 15.08.2022 yilda berilgan</v>
      </c>
      <c r="C20" s="203" t="str">
        <f>""&amp;B17&amp;" tomonidan "&amp;C18&amp;" yilda berilgan"</f>
        <v>IIV 26264 tomonidan 15.08.2022 yilda berilgan</v>
      </c>
    </row>
    <row r="21" spans="1:7" ht="45" x14ac:dyDescent="0.2">
      <c r="A21" s="3" t="s">
        <v>63</v>
      </c>
      <c r="B21" s="55" t="str">
        <f>""&amp;C19&amp;" y."</f>
        <v>14.08.2032 y.</v>
      </c>
      <c r="C21" s="202" t="str">
        <f>""&amp;C19&amp;" yilgacha"</f>
        <v>14.08.2032 yilgacha</v>
      </c>
    </row>
    <row r="22" spans="1:7" ht="64.5" customHeight="1" x14ac:dyDescent="0.2">
      <c r="A22" s="3" t="s">
        <v>64</v>
      </c>
      <c r="B22" s="237" t="s">
        <v>447</v>
      </c>
      <c r="C22" s="202" t="str">
        <f>TEXT(B19,"ДД.ММ.ГГГГ")</f>
        <v>14.08.2032</v>
      </c>
    </row>
    <row r="23" spans="1:7" ht="30" x14ac:dyDescent="0.2">
      <c r="A23" s="3" t="s">
        <v>65</v>
      </c>
      <c r="B23" s="237" t="s">
        <v>89</v>
      </c>
      <c r="C23" s="162" t="s">
        <v>89</v>
      </c>
      <c r="D23" s="162" t="s">
        <v>90</v>
      </c>
    </row>
    <row r="24" spans="1:7" ht="30" hidden="1" x14ac:dyDescent="0.2">
      <c r="A24" s="3" t="s">
        <v>66</v>
      </c>
      <c r="B24" s="236" t="s">
        <v>87</v>
      </c>
      <c r="C24" s="162" t="s">
        <v>87</v>
      </c>
      <c r="D24" s="162" t="s">
        <v>88</v>
      </c>
      <c r="E24" s="162" t="s">
        <v>0</v>
      </c>
      <c r="F24" s="162" t="s">
        <v>1</v>
      </c>
      <c r="G24" s="162" t="s">
        <v>3</v>
      </c>
    </row>
    <row r="25" spans="1:7" ht="30" x14ac:dyDescent="0.2">
      <c r="A25" s="3" t="s">
        <v>67</v>
      </c>
      <c r="B25" s="237" t="s">
        <v>458</v>
      </c>
    </row>
    <row r="26" spans="1:7" ht="44.25" customHeight="1" x14ac:dyDescent="0.2">
      <c r="A26" s="3" t="s">
        <v>68</v>
      </c>
      <c r="B26" s="237" t="s">
        <v>459</v>
      </c>
      <c r="C26" s="162" t="s">
        <v>22</v>
      </c>
    </row>
    <row r="27" spans="1:7" ht="44.25" hidden="1" customHeight="1" x14ac:dyDescent="0.2">
      <c r="A27" s="3"/>
      <c r="B27" s="155" t="str">
        <f>IF(B23="mos keladi",B22,B28)</f>
        <v>TOSHKENT SHAHAR BEKTEMIR TUMANI MAJNUNTOL MFY MAJNUNTOL MAXALLA SHONIGOR KO'CHASI  113 UY</v>
      </c>
    </row>
    <row r="28" spans="1:7" ht="45" x14ac:dyDescent="0.2">
      <c r="A28" s="3" t="s">
        <v>69</v>
      </c>
      <c r="B28" s="237" t="s">
        <v>447</v>
      </c>
    </row>
    <row r="29" spans="1:7" x14ac:dyDescent="0.2">
      <c r="A29" s="3" t="s">
        <v>70</v>
      </c>
      <c r="B29" s="182" t="s">
        <v>87</v>
      </c>
      <c r="C29" s="162" t="s">
        <v>87</v>
      </c>
      <c r="D29" s="162" t="s">
        <v>88</v>
      </c>
      <c r="E29" s="162" t="s">
        <v>317</v>
      </c>
      <c r="F29" s="162" t="s">
        <v>318</v>
      </c>
      <c r="G29" s="162" t="s">
        <v>3</v>
      </c>
    </row>
    <row r="30" spans="1:7" ht="27" x14ac:dyDescent="0.2">
      <c r="A30" s="3" t="s">
        <v>71</v>
      </c>
      <c r="B30" s="185" t="s">
        <v>143</v>
      </c>
      <c r="C30" s="162" t="s">
        <v>143</v>
      </c>
      <c r="D30" s="162" t="s">
        <v>321</v>
      </c>
    </row>
    <row r="31" spans="1:7" x14ac:dyDescent="0.2">
      <c r="A31" s="3" t="s">
        <v>72</v>
      </c>
      <c r="B31" s="237" t="s">
        <v>462</v>
      </c>
    </row>
    <row r="32" spans="1:7" x14ac:dyDescent="0.2">
      <c r="A32" s="3" t="s">
        <v>57</v>
      </c>
      <c r="B32" s="186" t="s">
        <v>60</v>
      </c>
    </row>
    <row r="33" spans="1:4" ht="30" x14ac:dyDescent="0.2">
      <c r="A33" s="3" t="s">
        <v>67</v>
      </c>
      <c r="B33" s="237" t="str">
        <f>B25</f>
        <v>90 093 33 23 MIJOZ</v>
      </c>
    </row>
    <row r="34" spans="1:4" hidden="1" x14ac:dyDescent="0.2">
      <c r="A34" s="3"/>
      <c r="B34" s="182" t="str">
        <f>IF(B23="mos keladi",B26,B35)</f>
        <v>SAM MOYKA KARZINKA MAHALLA</v>
      </c>
    </row>
    <row r="35" spans="1:4" x14ac:dyDescent="0.2">
      <c r="A35" s="3" t="s">
        <v>68</v>
      </c>
      <c r="B35" s="182"/>
    </row>
    <row r="36" spans="1:4" x14ac:dyDescent="0.2">
      <c r="A36" s="3" t="s">
        <v>73</v>
      </c>
      <c r="B36" s="182"/>
    </row>
    <row r="37" spans="1:4" x14ac:dyDescent="0.2">
      <c r="A37" s="3" t="s">
        <v>74</v>
      </c>
      <c r="B37" s="182"/>
    </row>
    <row r="38" spans="1:4" x14ac:dyDescent="0.2">
      <c r="A38" s="3" t="s">
        <v>75</v>
      </c>
      <c r="B38" s="182"/>
    </row>
    <row r="39" spans="1:4" x14ac:dyDescent="0.2">
      <c r="A39" s="3" t="s">
        <v>76</v>
      </c>
      <c r="B39" s="182"/>
    </row>
    <row r="40" spans="1:4" ht="24.75" customHeight="1" x14ac:dyDescent="0.2">
      <c r="A40" s="3" t="s">
        <v>77</v>
      </c>
      <c r="B40" s="237" t="str">
        <f>B25</f>
        <v>90 093 33 23 MIJOZ</v>
      </c>
    </row>
    <row r="41" spans="1:4" ht="24.75" customHeight="1" x14ac:dyDescent="0.2">
      <c r="A41" s="3" t="s">
        <v>78</v>
      </c>
      <c r="B41" s="264" t="s">
        <v>460</v>
      </c>
    </row>
    <row r="42" spans="1:4" ht="24.75" customHeight="1" x14ac:dyDescent="0.2">
      <c r="A42" s="3" t="s">
        <v>77</v>
      </c>
      <c r="B42" s="264"/>
    </row>
    <row r="43" spans="1:4" ht="30" x14ac:dyDescent="0.2">
      <c r="A43" s="3" t="s">
        <v>78</v>
      </c>
      <c r="B43" s="46"/>
    </row>
    <row r="44" spans="1:4" ht="23.25" x14ac:dyDescent="0.2">
      <c r="A44" s="157" t="s">
        <v>79</v>
      </c>
      <c r="B44" s="156" t="s">
        <v>332</v>
      </c>
      <c r="C44" s="162" t="s">
        <v>332</v>
      </c>
      <c r="D44" s="162" t="s">
        <v>337</v>
      </c>
    </row>
    <row r="45" spans="1:4" hidden="1" x14ac:dyDescent="0.2">
      <c r="A45" s="3"/>
      <c r="B45" s="155" t="str">
        <f>IF(B44=D44,CONCATENATE("MA'LUMOTNOMA ",B47,B46),C44)</f>
        <v>Yakka tartibdagi tadbirkor</v>
      </c>
    </row>
    <row r="46" spans="1:4" ht="93" x14ac:dyDescent="0.2">
      <c r="A46" s="157" t="s">
        <v>338</v>
      </c>
      <c r="B46" s="166"/>
    </row>
    <row r="47" spans="1:4" ht="23.25" x14ac:dyDescent="0.2">
      <c r="A47" s="157"/>
      <c r="B47" s="166"/>
      <c r="C47" s="162" t="s">
        <v>13</v>
      </c>
    </row>
    <row r="48" spans="1:4" ht="93" x14ac:dyDescent="0.2">
      <c r="A48" s="157" t="s">
        <v>339</v>
      </c>
      <c r="B48" s="155"/>
    </row>
    <row r="49" spans="1:4" hidden="1" x14ac:dyDescent="0.2">
      <c r="A49" s="3" t="s">
        <v>80</v>
      </c>
      <c r="B49" s="46" t="str">
        <f>IF(B44=C44,C44,B48)</f>
        <v>Yakka tartibdagi tadbirkor</v>
      </c>
    </row>
    <row r="50" spans="1:4" ht="45" x14ac:dyDescent="0.2">
      <c r="A50" s="3" t="s">
        <v>81</v>
      </c>
      <c r="B50" s="46"/>
    </row>
    <row r="51" spans="1:4" x14ac:dyDescent="0.2">
      <c r="A51" s="3" t="s">
        <v>68</v>
      </c>
      <c r="B51" s="46"/>
    </row>
    <row r="52" spans="1:4" x14ac:dyDescent="0.2">
      <c r="A52" s="3" t="s">
        <v>82</v>
      </c>
      <c r="B52" s="46"/>
    </row>
    <row r="53" spans="1:4" x14ac:dyDescent="0.2">
      <c r="A53" s="3" t="s">
        <v>83</v>
      </c>
      <c r="B53" s="46"/>
    </row>
    <row r="54" spans="1:4" x14ac:dyDescent="0.2">
      <c r="A54" s="3" t="s">
        <v>84</v>
      </c>
      <c r="B54" s="46"/>
    </row>
    <row r="55" spans="1:4" x14ac:dyDescent="0.2">
      <c r="A55" s="3" t="s">
        <v>85</v>
      </c>
      <c r="B55" s="2"/>
    </row>
    <row r="56" spans="1:4" x14ac:dyDescent="0.2">
      <c r="A56" s="3" t="s">
        <v>86</v>
      </c>
      <c r="B56" s="2" t="s">
        <v>20</v>
      </c>
    </row>
    <row r="57" spans="1:4" ht="30" customHeight="1" x14ac:dyDescent="0.2">
      <c r="A57" s="279" t="s">
        <v>91</v>
      </c>
      <c r="B57" s="280"/>
    </row>
    <row r="58" spans="1:4" ht="20.25" hidden="1" customHeight="1" x14ac:dyDescent="0.2">
      <c r="A58" s="3" t="s">
        <v>92</v>
      </c>
      <c r="B58" s="46" t="str">
        <f>IF(B44=C44,C44,CONCATENATE(B44," ",B47))</f>
        <v>Yakka tartibdagi tadbirkor</v>
      </c>
    </row>
    <row r="59" spans="1:4" ht="31.5" hidden="1" customHeight="1" x14ac:dyDescent="0.2">
      <c r="A59" s="3" t="s">
        <v>80</v>
      </c>
      <c r="B59" s="46" t="str">
        <f>B49</f>
        <v>Yakka tartibdagi tadbirkor</v>
      </c>
    </row>
    <row r="60" spans="1:4" ht="23.25" x14ac:dyDescent="0.2">
      <c r="A60" s="157" t="s">
        <v>93</v>
      </c>
      <c r="B60" s="160">
        <v>22000000</v>
      </c>
      <c r="C60" s="204">
        <f>C63/B76</f>
        <v>0.47750380509999996</v>
      </c>
    </row>
    <row r="61" spans="1:4" x14ac:dyDescent="0.2">
      <c r="A61" s="3" t="s">
        <v>94</v>
      </c>
      <c r="B61" s="5">
        <v>10000000</v>
      </c>
      <c r="C61" s="205" t="s">
        <v>367</v>
      </c>
    </row>
    <row r="62" spans="1:4" hidden="1" x14ac:dyDescent="0.2">
      <c r="A62" s="3" t="s">
        <v>95</v>
      </c>
      <c r="B62" s="46">
        <f>B53</f>
        <v>0</v>
      </c>
      <c r="C62" s="206"/>
    </row>
    <row r="63" spans="1:4" ht="30" x14ac:dyDescent="0.2">
      <c r="A63" s="3" t="s">
        <v>96</v>
      </c>
      <c r="B63" s="46"/>
      <c r="C63" s="244">
        <f>SUM(grafik!E9:E20)</f>
        <v>47750380.509999998</v>
      </c>
      <c r="D63" s="242"/>
    </row>
    <row r="64" spans="1:4" x14ac:dyDescent="0.2">
      <c r="A64" s="278" t="s">
        <v>97</v>
      </c>
      <c r="B64" s="278"/>
      <c r="C64" s="242" t="str">
        <f>PROPER(B65)</f>
        <v>Mikroqarz</v>
      </c>
      <c r="D64" s="242" t="str">
        <f>UPPER(B65)</f>
        <v>MIKROQARZ</v>
      </c>
    </row>
    <row r="65" spans="1:14" x14ac:dyDescent="0.2">
      <c r="A65" s="3" t="s">
        <v>98</v>
      </c>
      <c r="B65" s="1" t="str">
        <f>IF(B76&gt;100000001,"mikrokredit",IF(B76&lt;100000001,"mikroqarz",0))</f>
        <v>mikroqarz</v>
      </c>
      <c r="C65" s="245">
        <f>DATE(YEAR(B67),MONTH(B67)+B82,DAY(B67))</f>
        <v>47151</v>
      </c>
      <c r="D65" s="242"/>
    </row>
    <row r="66" spans="1:14" hidden="1" x14ac:dyDescent="0.2">
      <c r="A66" s="3" t="s">
        <v>99</v>
      </c>
      <c r="B66" s="46" t="str">
        <f>B1</f>
        <v>№ 53</v>
      </c>
      <c r="C66" s="242">
        <f>MONTH(C65)</f>
        <v>2</v>
      </c>
      <c r="D66" s="242" t="str">
        <f>IF(C66=C68,C70,IF(C66=D68,D70,IF(C66=E68,E70,IF(C66=F68,F70,IF(C66=G68,G70,IF(C66=H68,H70,IF(C66=I68,I70,IF(C66=J68,J70,IF(C66=K68,K70,IF(C66=L68,L70,IF(C66=M68,M70,IF(C66=N68,N70,))))))))))))</f>
        <v>fevral</v>
      </c>
      <c r="E66" s="162">
        <f>DAY(C65)</f>
        <v>2</v>
      </c>
      <c r="F66" s="162">
        <f>YEAR(C65)</f>
        <v>2029</v>
      </c>
      <c r="G66" s="162">
        <f>MONTH(C65)</f>
        <v>2</v>
      </c>
      <c r="H66" s="162" t="str">
        <f>IF(C66=C68,C71,IF(C66=D68,D71,IF(C66=E68,E71,IF(C66=F68,F71,IF(C66=G68,G71,IF(C66=H68,H71,IF(C66=I68,I71,IF(C66=J68,J71,IF(C66=K68,K71,IF(C66=L68,L71,IF(C66=M68,M71,IF(C66=N68,N71,))))))))))))</f>
        <v>fevral</v>
      </c>
      <c r="I66" s="162">
        <f>YEAR(C65)</f>
        <v>2029</v>
      </c>
    </row>
    <row r="67" spans="1:14" hidden="1" x14ac:dyDescent="0.2">
      <c r="A67" s="3" t="s">
        <v>100</v>
      </c>
      <c r="B67" s="75" t="str">
        <f>B2</f>
        <v>02.02.2026</v>
      </c>
      <c r="C67" s="242">
        <f>MONTH(B67)</f>
        <v>2</v>
      </c>
      <c r="D67" s="242" t="str">
        <f>IF(C67=C68,C70,IF(C67=D68,D70,IF(C67=E68,E70,IF(C67=F68,F70,IF(C67=G68,G70,IF(C67=H68,H70,IF(C67=I68,I70,IF(C67=J68,J70,IF(C67=K68,K70,IF(C67=L68,L70,IF(C67=M68,M70,IF(C67=N68,N70,))))))))))))</f>
        <v>fevral</v>
      </c>
      <c r="E67" s="162">
        <f>DAY(B67)</f>
        <v>2</v>
      </c>
      <c r="F67" s="162">
        <f>YEAR(B67)</f>
        <v>2026</v>
      </c>
      <c r="G67" s="162">
        <f>MONTH(B67)</f>
        <v>2</v>
      </c>
      <c r="H67" s="162" t="str">
        <f>IF(C67=C68,C71,IF(C67=D68,D71,IF(C67=E68,E71,IF(C67=F68,F71,IF(C67=G68,G71,IF(C67=H68,H71,IF(C67=I68,I71,IF(C67=J68,J71,IF(C67=K68,K71,IF(C67=L68,L71,IF(C67=M68,M71,IF(C67=N68,N71,))))))))))))</f>
        <v>fevral</v>
      </c>
      <c r="I67" s="162">
        <f>YEAR(B67)</f>
        <v>2026</v>
      </c>
    </row>
    <row r="68" spans="1:14" hidden="1" x14ac:dyDescent="0.2">
      <c r="A68" s="3" t="s">
        <v>101</v>
      </c>
      <c r="B68" s="68" t="str">
        <f>""&amp;E67&amp;" "&amp;D67&amp;" "&amp;F67&amp;" y."</f>
        <v>2 fevral 2026 y.</v>
      </c>
      <c r="C68" s="242">
        <v>1</v>
      </c>
      <c r="D68" s="242">
        <v>2</v>
      </c>
      <c r="E68" s="162">
        <v>3</v>
      </c>
      <c r="F68" s="162">
        <v>4</v>
      </c>
      <c r="G68" s="162">
        <v>5</v>
      </c>
      <c r="H68" s="162">
        <v>6</v>
      </c>
      <c r="I68" s="162">
        <v>7</v>
      </c>
      <c r="J68" s="162">
        <v>8</v>
      </c>
      <c r="K68" s="162">
        <v>9</v>
      </c>
      <c r="L68" s="162">
        <v>10</v>
      </c>
      <c r="M68" s="162">
        <v>11</v>
      </c>
      <c r="N68" s="162">
        <v>12</v>
      </c>
    </row>
    <row r="69" spans="1:14" hidden="1" x14ac:dyDescent="0.2">
      <c r="A69" s="3"/>
      <c r="B69" s="68" t="str">
        <f>""&amp;E67&amp;" "&amp;H67&amp;" "&amp;F67&amp;" y."</f>
        <v>2 fevral 2026 y.</v>
      </c>
      <c r="C69" s="242"/>
      <c r="D69" s="242"/>
    </row>
    <row r="70" spans="1:14" hidden="1" x14ac:dyDescent="0.2">
      <c r="A70" s="3"/>
      <c r="B70" s="54" t="str">
        <f>B68</f>
        <v>2 fevral 2026 y.</v>
      </c>
      <c r="C70" s="242" t="s">
        <v>113</v>
      </c>
      <c r="D70" s="242" t="s">
        <v>114</v>
      </c>
      <c r="E70" s="162" t="s">
        <v>103</v>
      </c>
      <c r="F70" s="162" t="s">
        <v>104</v>
      </c>
      <c r="G70" s="162" t="s">
        <v>105</v>
      </c>
      <c r="H70" s="162" t="s">
        <v>106</v>
      </c>
      <c r="I70" s="162" t="s">
        <v>107</v>
      </c>
      <c r="J70" s="162" t="s">
        <v>108</v>
      </c>
      <c r="K70" s="162" t="s">
        <v>109</v>
      </c>
      <c r="L70" s="162" t="s">
        <v>110</v>
      </c>
      <c r="M70" s="162" t="s">
        <v>111</v>
      </c>
      <c r="N70" s="162" t="s">
        <v>112</v>
      </c>
    </row>
    <row r="71" spans="1:14" hidden="1" x14ac:dyDescent="0.2">
      <c r="A71" s="3"/>
      <c r="B71" s="54" t="str">
        <f>B69</f>
        <v>2 fevral 2026 y.</v>
      </c>
      <c r="C71" s="242" t="s">
        <v>113</v>
      </c>
      <c r="D71" s="242" t="s">
        <v>114</v>
      </c>
      <c r="E71" s="162" t="s">
        <v>103</v>
      </c>
      <c r="F71" s="162" t="s">
        <v>104</v>
      </c>
      <c r="G71" s="162" t="s">
        <v>105</v>
      </c>
      <c r="H71" s="162" t="s">
        <v>106</v>
      </c>
      <c r="I71" s="162" t="s">
        <v>107</v>
      </c>
      <c r="J71" s="162" t="s">
        <v>108</v>
      </c>
      <c r="K71" s="162" t="s">
        <v>109</v>
      </c>
      <c r="L71" s="162" t="s">
        <v>110</v>
      </c>
      <c r="M71" s="162" t="s">
        <v>111</v>
      </c>
      <c r="N71" s="162" t="s">
        <v>112</v>
      </c>
    </row>
    <row r="72" spans="1:14" hidden="1" x14ac:dyDescent="0.2">
      <c r="A72" s="3" t="s">
        <v>102</v>
      </c>
      <c r="B72" s="53" t="str">
        <f>""&amp;E66&amp;" "&amp;D66&amp;" "&amp;F66&amp;" y."</f>
        <v>2 fevral 2029 y.</v>
      </c>
      <c r="C72" s="242"/>
      <c r="D72" s="242"/>
    </row>
    <row r="73" spans="1:14" hidden="1" x14ac:dyDescent="0.2">
      <c r="A73" s="3"/>
      <c r="B73" s="53" t="str">
        <f>""&amp;E66&amp;" "&amp;H66&amp;" "&amp;F66&amp;" y."</f>
        <v>2 fevral 2029 y.</v>
      </c>
      <c r="C73" s="242"/>
      <c r="D73" s="242"/>
    </row>
    <row r="74" spans="1:14" ht="15.75" hidden="1" thickBot="1" x14ac:dyDescent="0.25">
      <c r="A74" s="3" t="s">
        <v>115</v>
      </c>
      <c r="B74" s="1" t="str">
        <f>""&amp;B68&amp;"dan "&amp;B66&amp;""</f>
        <v>2 fevral 2026 y.dan № 53</v>
      </c>
      <c r="C74" s="242"/>
      <c r="D74" s="242"/>
    </row>
    <row r="75" spans="1:14" ht="15.75" thickBot="1" x14ac:dyDescent="0.25">
      <c r="A75" s="3" t="str">
        <f>CONCATENATE(B65," miqdori (summasi)")</f>
        <v>mikroqarz miqdori (summasi)</v>
      </c>
      <c r="B75" s="62">
        <v>90000000</v>
      </c>
      <c r="C75" s="246">
        <f>+B76*1.4</f>
        <v>140000000</v>
      </c>
      <c r="D75" s="24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C75))&gt;6,ROMAN(MID(INT(C75),1,LEN(INT(C75))-6)+0)&amp;" million "&amp;ROMAN(MID(INT(C75),LEN(INT(C75))-5,3)+0)&amp;" ming "&amp;ROMAN(MID(INT(C75),LEN(INT(C75))-2,3)+0),IF(LEN(INT(C75))&gt;3,ROMAN(MID(INT(C75),1,LEN(INT(C75))-3)+0)&amp;" ming "&amp;ROMAN(MID(INT(C75),LEN(INT(C75))-2,3)+0),ROMAN(INT(C75)))),"DCCC","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yuz qirq million so'm</v>
      </c>
    </row>
    <row r="76" spans="1:14" x14ac:dyDescent="0.2">
      <c r="A76" s="3" t="str">
        <f>CONCATENATE(B65," miqdori (summasi)")</f>
        <v>mikroqarz miqdori (summasi)</v>
      </c>
      <c r="B76" s="62">
        <f>B75+B153</f>
        <v>100000000</v>
      </c>
      <c r="C76" s="247" t="s">
        <v>121</v>
      </c>
      <c r="D76" s="242"/>
    </row>
    <row r="77" spans="1:14" x14ac:dyDescent="0.2">
      <c r="A77" s="138" t="s">
        <v>116</v>
      </c>
      <c r="B77" s="49"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76))&gt;6,ROMAN(MID(INT(B76),1,LEN(INT(B76))-6)+0)&amp;" million "&amp;ROMAN(MID(INT(B76),LEN(INT(B76))-5,3)+0)&amp;" ming "&amp;ROMAN(MID(INT(B76),LEN(INT(B76))-2,3)+0),IF(LEN(INT(B76))&gt;3,ROMAN(MID(INT(B76),1,LEN(INT(B76))-3)+0)&amp;" ming "&amp;ROMAN(MID(INT(B76),LEN(INT(B76))-2,3)+0),ROMAN(INT(B76)))),"DCCC","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yuz million so'm</v>
      </c>
      <c r="C77" s="248"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76,0))&gt;6,ROMAN(MID(ROUNDDOWN(B76,0),1,LEN(ROUNDDOWN(B76,0))-6)+0)&amp;" million "&amp;ROMAN(MID(ROUNDDOWN(B76,0),LEN(ROUNDDOWN(B76,0))-5,3)+0)&amp;" ming "&amp;ROMAN(MID(ROUNDDOWN(B76,0),LEN(ROUNDDOWN(B76,0))-2,3)+0)&amp;" so'm",IF(LEN(ROUNDDOWN(B76,0))&gt;3,ROMAN(MID(ROUNDDOWN(B76,0),1,LEN(ROUNDDOWN(B76,0))-3)+0)&amp;" ming "&amp;ROMAN(MID(ROUNDDOWN(B76,0),LEN(ROUNDDOWN(B76,0))-2,3)+0)&amp;" so'm",ROMAN(ROUNDDOWN(B76,0))&amp;"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76,0))&gt;6,ROMAN(MID(ROUNDDOWN(B76,0),1,LEN(ROUNDDOWN(B76,0))-6)+0)&amp;" million "&amp;ROMAN(MID(ROUNDDOWN(B76,0),LEN(ROUNDDOWN(B76,0))-5,3)+0)&amp;" "&amp;ROMAN(MID(ROUNDDOWN(B76,0),LEN(ROUNDDOWN(B76,0))-2,3)+0)&amp;" so'm",IF(LEN(ROUNDDOWN(B76,0))&gt;3,ROMAN(MID(ROUNDDOWN(B76,0),1,LEN(ROUNDDOWN(B76,0))-3)+0)&amp;" ming "&amp;ROMAN(MID(ROUNDDOWN(B76,0),LEN(ROUNDDOWN(B76,0))-2,3)+0)&amp;" so'm",ROMAN(ROUNDDOWN(B76,0))&amp;"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Yuz million so'm</v>
      </c>
      <c r="D77" s="242"/>
    </row>
    <row r="78" spans="1:14" x14ac:dyDescent="0.2">
      <c r="A78" s="3" t="s">
        <v>117</v>
      </c>
      <c r="B78" s="46" t="s">
        <v>123</v>
      </c>
      <c r="C78" s="162" t="s">
        <v>123</v>
      </c>
      <c r="D78" s="162" t="s">
        <v>122</v>
      </c>
    </row>
    <row r="79" spans="1:14" x14ac:dyDescent="0.2">
      <c r="A79" s="3" t="str">
        <f>CONCATENATE(B65,"ni to'lash sanasi (14.10.2011)")</f>
        <v>mikroqarzni to'lash sanasi (14.10.2011)</v>
      </c>
      <c r="B79" s="46">
        <v>10</v>
      </c>
      <c r="C79" s="207">
        <f>DATE(YEAR(B67),MONTH(B67)+1,DAY(B79))</f>
        <v>46091</v>
      </c>
      <c r="D79" s="162" t="s">
        <v>24</v>
      </c>
      <c r="E79" s="162" t="s">
        <v>25</v>
      </c>
      <c r="F79" s="162" t="s">
        <v>26</v>
      </c>
      <c r="G79" s="162" t="s">
        <v>27</v>
      </c>
      <c r="H79" s="162" t="s">
        <v>28</v>
      </c>
      <c r="I79" s="162" t="s">
        <v>29</v>
      </c>
      <c r="J79" s="162" t="s">
        <v>30</v>
      </c>
    </row>
    <row r="80" spans="1:14" ht="30" hidden="1" x14ac:dyDescent="0.25">
      <c r="A80" s="3" t="str">
        <f>CONCATENATE(B65,"ni to'lash sanasi (14.10.2011 y.) QO’L BILAN KIRITILADI")</f>
        <v>mikroqarzni to'lash sanasi (14.10.2011 y.) QO’L BILAN KIRITILADI</v>
      </c>
      <c r="B80" s="69">
        <f>DATE(YEAR(B67),MONTH(B67)+1,DAY(B79+C81))</f>
        <v>46091</v>
      </c>
      <c r="C80" s="208" t="str">
        <f>TEXT(C79,"ддд")</f>
        <v>Вт</v>
      </c>
      <c r="D80" s="162" t="s">
        <v>24</v>
      </c>
      <c r="E80" s="162" t="s">
        <v>25</v>
      </c>
      <c r="F80" s="162" t="s">
        <v>26</v>
      </c>
      <c r="G80" s="162" t="s">
        <v>27</v>
      </c>
      <c r="H80" s="162" t="s">
        <v>28</v>
      </c>
      <c r="I80" s="162" t="s">
        <v>29</v>
      </c>
      <c r="J80" s="162" t="s">
        <v>30</v>
      </c>
    </row>
    <row r="81" spans="1:63" ht="30" hidden="1" x14ac:dyDescent="0.2">
      <c r="A81" s="3" t="s">
        <v>118</v>
      </c>
      <c r="B81" s="70">
        <f>B80</f>
        <v>46091</v>
      </c>
      <c r="C81" s="162">
        <f>IF(C80=I80,2,IF(C80=J80,1,0))</f>
        <v>0</v>
      </c>
    </row>
    <row r="82" spans="1:63" x14ac:dyDescent="0.2">
      <c r="A82" s="3" t="str">
        <f>CONCATENATE(B65," muddati")</f>
        <v>mikroqarz muddati</v>
      </c>
      <c r="B82" s="46">
        <v>36</v>
      </c>
      <c r="C82" s="162">
        <v>6</v>
      </c>
      <c r="D82" s="162">
        <v>12</v>
      </c>
      <c r="E82" s="162">
        <v>18</v>
      </c>
      <c r="F82" s="162">
        <v>24</v>
      </c>
      <c r="G82" s="162">
        <v>36</v>
      </c>
    </row>
    <row r="83" spans="1:63" ht="30" x14ac:dyDescent="0.2">
      <c r="A83" s="3" t="str">
        <f>CONCATENATE(B65," muddati QO’L BILAN KIRITILADI")</f>
        <v>mikroqarz muddati QO’L BILAN KIRITILADI</v>
      </c>
      <c r="B83" s="46"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82,0))&gt;6,ROMAN(MID(ROUNDDOWN(B82,0),1,LEN(ROUNDDOWN(B82,0))-6)+0)&amp;" million "&amp;ROMAN(MID(ROUNDDOWN(B82,0),LEN(ROUNDDOWN(B82,0))-5,3)+0)&amp;" ming "&amp;ROMAN(MID(ROUNDDOWN(B82,0),LEN(ROUNDDOWN(B82,0))-2,3)+0)&amp;"",IF(LEN(ROUNDDOWN(B82,0))&gt;3,ROMAN(MID(ROUNDDOWN(B82,0),1,LEN(ROUNDDOWN(B82,0))-3)+0)&amp;" ming "&amp;ROMAN(MID(ROUNDDOWN(B82,0),LEN(ROUNDDOWN(B82,0))-2,3)+0)&amp;"",ROMAN(ROUNDDOWN(B82,0))&amp;"")),"DCCC","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82,0))&gt;6,ROMAN(MID(ROUNDDOWN(B82,0),1,LEN(ROUNDDOWN(B82,0))-6)+0)&amp;" million "&amp;ROMAN(MID(ROUNDDOWN(B82,0),LEN(ROUNDDOWN(B82,0))-5,3)+0)&amp;" "&amp;ROMAN(MID(ROUNDDOWN(B82,0),LEN(ROUNDDOWN(B82,0))-2,3)+0)&amp;"",IF(LEN(ROUNDDOWN(B82,0))&gt;3,ROMAN(MID(ROUNDDOWN(B82,0),1,LEN(ROUNDDOWN(B82,0))-3)+0)&amp;" ming "&amp;ROMAN(MID(ROUNDDOWN(B82,0),LEN(ROUNDDOWN(B82,0))-2,3)+0)&amp;"",ROMAN(ROUNDDOWN(B82,0))&amp;"")),"DCCC","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"&amp;SUBSTITUTE(SUBSTITUTE(SUBSTITUTE(SUBSTITUTE(SUBSTITUTE(SUBSTITUTE(SUBSTITUTE(SUBSTITUTE(RIGHT(TEXT(B82," "),2)&amp;"","1","1"),"2","2"),"3","3"),"4","4"),"11","11"),"12","12"),"13","13"),"14","14")</f>
        <v xml:space="preserve">O'ttiz olti  </v>
      </c>
    </row>
    <row r="84" spans="1:63" ht="30" x14ac:dyDescent="0.2">
      <c r="A84" s="154" t="s">
        <v>334</v>
      </c>
      <c r="B84" s="135">
        <v>0</v>
      </c>
      <c r="BJ84" s="162">
        <v>1</v>
      </c>
      <c r="BK84" s="162">
        <v>0</v>
      </c>
    </row>
    <row r="85" spans="1:63" x14ac:dyDescent="0.2">
      <c r="A85" s="3" t="str">
        <f>CONCATENATE(B65," stavkasi")</f>
        <v>mikroqarz stavkasi</v>
      </c>
      <c r="B85" s="71">
        <v>0.55000000000000004</v>
      </c>
    </row>
    <row r="86" spans="1:63" x14ac:dyDescent="0.2">
      <c r="A86" s="3" t="str">
        <f>CONCATENATE(B65," stavkasi")</f>
        <v>mikroqarz stavkasi</v>
      </c>
      <c r="B86" s="267" t="s">
        <v>384</v>
      </c>
    </row>
    <row r="87" spans="1:63" x14ac:dyDescent="0.2">
      <c r="A87" s="3" t="str">
        <f>CONCATENATE(B65," stavkasi (so’z bilan)")</f>
        <v>mikroqarz stavkasi (so’z bilan)</v>
      </c>
      <c r="B87" s="72"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ming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"&amp;SUBSTITUTE(SUBSTITUTE(SUBSTITUTE(SUBSTITUTE(SUBSTITUTE(SUBSTITUTE(SUBSTITUTE(SUBSTITUTE(RIGHT(TEXT(B86," "),2)&amp;"","1","1"),"2","2"),"3","3"),"4","4"),"11","11"),"12","12"),"13","13"),"14","14")</f>
        <v xml:space="preserve">Ellik besh  </v>
      </c>
      <c r="C87" s="162"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ming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"&amp;SUBSTITUTE(SUBSTITUTE(SUBSTITUTE(SUBSTITUTE(SUBSTITUTE(SUBSTITUTE(SUBSTITUTE(SUBSTITUTE(RIGHT(TEXT(B86," "),2)&amp;"","1","1"),"2","2"),"3","3"),"4","4"),"11","11"),"12","12"),"13","13"),"14","14")</f>
        <v xml:space="preserve">Ellik besh  </v>
      </c>
    </row>
    <row r="88" spans="1:63" x14ac:dyDescent="0.2">
      <c r="A88" s="3" t="str">
        <f>CONCATENATE("Muddati o'tgan ",B65," bo’yicha stavka")</f>
        <v>Muddati o'tgan mikroqarz bo’yicha stavka</v>
      </c>
      <c r="B88" s="71">
        <v>1.55</v>
      </c>
    </row>
    <row r="89" spans="1:63" x14ac:dyDescent="0.2">
      <c r="A89" s="138" t="s">
        <v>116</v>
      </c>
      <c r="B89" s="267" t="s">
        <v>465</v>
      </c>
    </row>
    <row r="90" spans="1:63" x14ac:dyDescent="0.2">
      <c r="A90" s="3" t="str">
        <f>CONCATENATE("Muddati o'tgan ",B65," bo’yicha stavka")</f>
        <v>Muddati o'tgan mikroqarz bo’yicha stavka</v>
      </c>
      <c r="B90" s="265" t="s">
        <v>464</v>
      </c>
      <c r="C90" s="266" t="s">
        <v>464</v>
      </c>
    </row>
    <row r="91" spans="1:63" x14ac:dyDescent="0.2">
      <c r="A91" s="3" t="s">
        <v>119</v>
      </c>
      <c r="B91" s="73">
        <f>IF(B78=C78,LARGE(grafik!F9:F26,1),ROUND(PMT(B85/12,B82,-B76,0),-3))</f>
        <v>8202435.2599999998</v>
      </c>
    </row>
    <row r="92" spans="1:63" x14ac:dyDescent="0.2">
      <c r="A92" s="279" t="s">
        <v>373</v>
      </c>
      <c r="B92" s="280"/>
    </row>
    <row r="93" spans="1:63" x14ac:dyDescent="0.2">
      <c r="A93" s="176" t="s">
        <v>374</v>
      </c>
      <c r="B93" s="233"/>
    </row>
    <row r="94" spans="1:63" x14ac:dyDescent="0.2">
      <c r="A94" s="176" t="s">
        <v>375</v>
      </c>
      <c r="B94" s="232"/>
    </row>
    <row r="95" spans="1:63" x14ac:dyDescent="0.2">
      <c r="A95" s="176" t="s">
        <v>376</v>
      </c>
      <c r="B95" s="234"/>
    </row>
    <row r="96" spans="1:63" x14ac:dyDescent="0.2">
      <c r="A96" s="176" t="s">
        <v>377</v>
      </c>
      <c r="B96" s="234"/>
    </row>
    <row r="97" spans="1:4" x14ac:dyDescent="0.2">
      <c r="A97" s="176" t="s">
        <v>378</v>
      </c>
      <c r="B97" s="234"/>
    </row>
    <row r="98" spans="1:4" x14ac:dyDescent="0.2">
      <c r="A98" s="278" t="s">
        <v>120</v>
      </c>
      <c r="B98" s="278"/>
    </row>
    <row r="99" spans="1:4" ht="18" x14ac:dyDescent="0.2">
      <c r="A99" s="74"/>
      <c r="B99" s="128" t="s">
        <v>125</v>
      </c>
      <c r="C99" s="209" t="s">
        <v>125</v>
      </c>
      <c r="D99" s="162" t="s">
        <v>126</v>
      </c>
    </row>
    <row r="100" spans="1:4" ht="18" x14ac:dyDescent="0.2">
      <c r="A100" s="7" t="s">
        <v>131</v>
      </c>
      <c r="B100" s="128" t="s">
        <v>127</v>
      </c>
      <c r="C100" s="210" t="s">
        <v>127</v>
      </c>
      <c r="D100" s="162" t="s">
        <v>128</v>
      </c>
    </row>
    <row r="101" spans="1:4" ht="54" x14ac:dyDescent="0.2">
      <c r="A101" s="7" t="s">
        <v>132</v>
      </c>
      <c r="B101" s="128" t="s">
        <v>129</v>
      </c>
      <c r="C101" s="162" t="s">
        <v>129</v>
      </c>
      <c r="D101" s="162" t="s">
        <v>130</v>
      </c>
    </row>
    <row r="102" spans="1:4" ht="36" x14ac:dyDescent="0.2">
      <c r="A102" s="7" t="s">
        <v>133</v>
      </c>
      <c r="B102" s="128"/>
    </row>
    <row r="103" spans="1:4" ht="54" x14ac:dyDescent="0.2">
      <c r="A103" s="7" t="s">
        <v>134</v>
      </c>
      <c r="B103" s="128"/>
    </row>
    <row r="104" spans="1:4" x14ac:dyDescent="0.2">
      <c r="A104" s="278" t="s">
        <v>135</v>
      </c>
      <c r="B104" s="278"/>
    </row>
    <row r="105" spans="1:4" ht="36" x14ac:dyDescent="0.2">
      <c r="A105" s="7" t="s">
        <v>136</v>
      </c>
      <c r="B105" s="128"/>
    </row>
    <row r="106" spans="1:4" ht="54" x14ac:dyDescent="0.2">
      <c r="A106" s="7" t="s">
        <v>137</v>
      </c>
      <c r="B106" s="128"/>
    </row>
    <row r="107" spans="1:4" ht="18" x14ac:dyDescent="0.2">
      <c r="A107" s="7" t="s">
        <v>138</v>
      </c>
      <c r="B107" s="136"/>
    </row>
    <row r="108" spans="1:4" ht="18" x14ac:dyDescent="0.2">
      <c r="A108" s="7" t="s">
        <v>139</v>
      </c>
      <c r="B108" s="134"/>
    </row>
    <row r="109" spans="1:4" ht="18" hidden="1" x14ac:dyDescent="0.2">
      <c r="A109" s="7"/>
      <c r="B109" s="128" t="str">
        <f>TEXT(B108,"ДД.ММ.ГГГГ")</f>
        <v>00.01.1900</v>
      </c>
    </row>
    <row r="110" spans="1:4" ht="18" x14ac:dyDescent="0.2">
      <c r="A110" s="7"/>
      <c r="B110" s="8" t="s">
        <v>140</v>
      </c>
      <c r="C110" s="162" t="s">
        <v>140</v>
      </c>
      <c r="D110" s="162" t="s">
        <v>141</v>
      </c>
    </row>
    <row r="111" spans="1:4" ht="90" x14ac:dyDescent="0.2">
      <c r="A111" s="159" t="s">
        <v>336</v>
      </c>
      <c r="B111" s="158" t="s">
        <v>335</v>
      </c>
      <c r="C111" s="211" t="s">
        <v>141</v>
      </c>
    </row>
    <row r="112" spans="1:4" ht="30" x14ac:dyDescent="0.2">
      <c r="A112" s="153" t="s">
        <v>357</v>
      </c>
      <c r="B112" s="249"/>
      <c r="C112" s="211"/>
    </row>
    <row r="113" spans="1:4" ht="30" x14ac:dyDescent="0.2">
      <c r="A113" s="153" t="s">
        <v>358</v>
      </c>
      <c r="B113" s="249"/>
      <c r="C113" s="211"/>
    </row>
    <row r="114" spans="1:4" ht="60" x14ac:dyDescent="0.2">
      <c r="A114" s="153" t="str">
        <f>A120</f>
        <v>Tug’ilgan sanasi (01.10.2011 y.)</v>
      </c>
      <c r="B114" s="250"/>
      <c r="C114" s="211"/>
    </row>
    <row r="115" spans="1:4" ht="60" x14ac:dyDescent="0.2">
      <c r="A115" s="153" t="str">
        <f>A121</f>
        <v>Pasport seriyasi (СА №1234567)</v>
      </c>
      <c r="B115" s="249"/>
      <c r="C115" s="211"/>
    </row>
    <row r="116" spans="1:4" ht="108.75" customHeight="1" x14ac:dyDescent="0.2">
      <c r="A116" s="153" t="str">
        <f>A122</f>
        <v xml:space="preserve">Kim va qachon berilgan
(Toshkent shahri Chilonzor IIB tomonidan 2011 yil __.____)
</v>
      </c>
      <c r="B116" s="249"/>
      <c r="C116" s="211"/>
    </row>
    <row r="117" spans="1:4" ht="150.75" customHeight="1" x14ac:dyDescent="0.2">
      <c r="A117" s="153" t="str">
        <f>A123</f>
        <v xml:space="preserve">doimiy ro’yhatdan o’tgan joyi
(Toshkent sh., Mirobod tumani, Nukus ko’chasi, 1 uy, 1 honadon)
</v>
      </c>
      <c r="B117" s="249"/>
      <c r="C117" s="211"/>
    </row>
    <row r="118" spans="1:4" hidden="1" x14ac:dyDescent="0.2">
      <c r="A118" s="126" t="s">
        <v>153</v>
      </c>
      <c r="B118" s="119" t="str">
        <f>IF(B100="HA",B5,B112)</f>
        <v>NARBAYEV QUDAYBERGEN QALBAYEVICH</v>
      </c>
      <c r="C118" s="212" t="str">
        <f>IF(B100="HA",B5,C112)</f>
        <v>NARBAYEV QUDAYBERGEN QALBAYEVICH</v>
      </c>
    </row>
    <row r="119" spans="1:4" hidden="1" x14ac:dyDescent="0.2">
      <c r="A119" s="126"/>
      <c r="B119" s="119" t="str">
        <f>IF(B100="HA",B7,B113)</f>
        <v>NARBAYEV Q. Q.</v>
      </c>
      <c r="C119" s="212" t="str">
        <f>IF(B100="HA",B7,C113)</f>
        <v>NARBAYEV Q. Q.</v>
      </c>
    </row>
    <row r="120" spans="1:4" hidden="1" x14ac:dyDescent="0.2">
      <c r="A120" s="127" t="s">
        <v>154</v>
      </c>
      <c r="B120" s="152" t="str">
        <f>IF(B100="HA",B15,B114)</f>
        <v>10.06.1967 yil</v>
      </c>
      <c r="C120" s="212" t="str">
        <f>IF(B100="HA",B15,C114)</f>
        <v>10.06.1967 yil</v>
      </c>
    </row>
    <row r="121" spans="1:4" hidden="1" x14ac:dyDescent="0.2">
      <c r="A121" s="127" t="s">
        <v>59</v>
      </c>
      <c r="B121" s="152" t="str">
        <f>IF(B100="HA",B16,B115)</f>
        <v>AD 1654245</v>
      </c>
      <c r="C121" s="212" t="str">
        <f>IF(B100="HA",B16,C115)</f>
        <v>AD 1654245</v>
      </c>
    </row>
    <row r="122" spans="1:4" ht="30" hidden="1" customHeight="1" x14ac:dyDescent="0.2">
      <c r="A122" s="127" t="s">
        <v>62</v>
      </c>
      <c r="B122" s="119" t="str">
        <f>IF(B100="HA",B20,B116)</f>
        <v>IIV 26264 tomonidan 15.08.2022 yilda berilgan</v>
      </c>
      <c r="C122" s="212" t="str">
        <f>IF(B100="HA",B20,C116)</f>
        <v>IIV 26264 tomonidan 15.08.2022 yilda berilgan</v>
      </c>
      <c r="D122" s="162">
        <v>493193762</v>
      </c>
    </row>
    <row r="123" spans="1:4" ht="53.25" hidden="1" customHeight="1" x14ac:dyDescent="0.2">
      <c r="A123" s="127" t="s">
        <v>64</v>
      </c>
      <c r="B123" s="119" t="str">
        <f>IF(B100="HA",B22,B117)</f>
        <v>TOSHKENT SHAHAR BEKTEMIR TUMANI MAJNUNTOL MFY MAJNUNTOL MAXALLA SHONIGOR KO'CHASI  113 UY</v>
      </c>
      <c r="C123" s="213" t="str">
        <f>IF(B100="HA",B22,C117)</f>
        <v>TOSHKENT SHAHAR BEKTEMIR TUMANI MAJNUNTOL MFY MAJNUNTOL MAXALLA SHONIGOR KO'CHASI  113 UY</v>
      </c>
    </row>
    <row r="124" spans="1:4" hidden="1" x14ac:dyDescent="0.2">
      <c r="A124" s="127" t="s">
        <v>155</v>
      </c>
      <c r="B124" s="1" t="str">
        <f>IF(B100="ha",B5,B118)</f>
        <v>NARBAYEV QUDAYBERGEN QALBAYEVICH</v>
      </c>
      <c r="C124" s="214" t="str">
        <f>IF(B100="ha",B5,C118)</f>
        <v>NARBAYEV QUDAYBERGEN QALBAYEVICH</v>
      </c>
    </row>
    <row r="125" spans="1:4" hidden="1" x14ac:dyDescent="0.2">
      <c r="A125" s="127"/>
      <c r="B125" s="1" t="str">
        <f>IF(B100="ha",B7,B119)</f>
        <v>NARBAYEV Q. Q.</v>
      </c>
      <c r="C125" s="214" t="str">
        <f>IF(B100="ha",B7,C119)</f>
        <v>NARBAYEV Q. Q.</v>
      </c>
    </row>
    <row r="126" spans="1:4" hidden="1" x14ac:dyDescent="0.2">
      <c r="A126" s="3" t="s">
        <v>154</v>
      </c>
      <c r="B126" s="1" t="str">
        <f>IF(B100="ha",B15,B120)</f>
        <v>10.06.1967 yil</v>
      </c>
      <c r="C126" s="214" t="str">
        <f>IF(B100="ha",B15,C120)</f>
        <v>10.06.1967 yil</v>
      </c>
    </row>
    <row r="127" spans="1:4" hidden="1" x14ac:dyDescent="0.2">
      <c r="A127" s="3" t="s">
        <v>59</v>
      </c>
      <c r="B127" s="1" t="str">
        <f>IF(B100="ha",B16,B121)</f>
        <v>AD 1654245</v>
      </c>
      <c r="C127" s="214" t="str">
        <f>IF(B100="ha",B16,C121)</f>
        <v>AD 1654245</v>
      </c>
    </row>
    <row r="128" spans="1:4" ht="60" hidden="1" x14ac:dyDescent="0.2">
      <c r="A128" s="3" t="s">
        <v>62</v>
      </c>
      <c r="B128" s="1" t="str">
        <f>IF(B100="ha",B20,B122)</f>
        <v>IIV 26264 tomonidan 15.08.2022 yilda berilgan</v>
      </c>
      <c r="C128" s="214" t="str">
        <f>IF(B100="ha",B20,C122)</f>
        <v>IIV 26264 tomonidan 15.08.2022 yilda berilgan</v>
      </c>
    </row>
    <row r="129" spans="1:18" ht="114" hidden="1" x14ac:dyDescent="0.2">
      <c r="A129" s="3" t="s">
        <v>64</v>
      </c>
      <c r="B129" s="150" t="str">
        <f>IF(B100="ha",B22,B123)</f>
        <v>TOSHKENT SHAHAR BEKTEMIR TUMANI MAJNUNTOL MFY MAJNUNTOL MAXALLA SHONIGOR KO'CHASI  113 UY</v>
      </c>
      <c r="C129" s="215" t="str">
        <f>IF(B100="ha",B22,C123)</f>
        <v>TOSHKENT SHAHAR BEKTEMIR TUMANI MAJNUNTOL MFY MAJNUNTOL MAXALLA SHONIGOR KO'CHASI  113 UY</v>
      </c>
    </row>
    <row r="130" spans="1:18" ht="98.25" customHeight="1" x14ac:dyDescent="0.2">
      <c r="A130" s="3" t="s">
        <v>156</v>
      </c>
      <c r="B130" s="237" t="s">
        <v>461</v>
      </c>
      <c r="C130" s="216"/>
      <c r="N130" s="162" t="str">
        <f>IF(B110=C110,B124,IF(B110=D110,C124,0))</f>
        <v>NARBAYEV QUDAYBERGEN QALBAYEVICH</v>
      </c>
    </row>
    <row r="131" spans="1:18" ht="60" x14ac:dyDescent="0.2">
      <c r="A131" s="3" t="s">
        <v>157</v>
      </c>
      <c r="B131" s="237" t="s">
        <v>453</v>
      </c>
      <c r="C131" s="214"/>
      <c r="D131" s="217" t="s">
        <v>146</v>
      </c>
      <c r="Q131" s="162" t="str">
        <f>""&amp;B102&amp;" (по генеральному доверенестью №"&amp;B107&amp;" от "&amp;B109&amp;")"</f>
        <v xml:space="preserve"> (по генеральному доверенестью № от 00.01.1900)</v>
      </c>
      <c r="R131" s="162" t="str">
        <f>""&amp;B102&amp;" ("&amp;B109&amp;"y. sanasidagi reestr raqami №"&amp;B107&amp;" bo'lgan Ishonchnomaga asosan)"</f>
        <v xml:space="preserve"> (00.01.1900y. sanasidagi reestr raqami № bo'lgan Ishonchnomaga asosan)</v>
      </c>
    </row>
    <row r="132" spans="1:18" x14ac:dyDescent="0.2">
      <c r="A132" s="3" t="s">
        <v>22</v>
      </c>
      <c r="B132" s="237" t="s">
        <v>448</v>
      </c>
      <c r="C132" s="215" t="str">
        <f>""&amp;D133&amp;" "&amp;IF(C136=D136,"- xonali yakka tartibdagi uy-joy", IF(C136=E136,"-  xonali ko'p qavatli uydagi xonadon",0))&amp;""</f>
        <v xml:space="preserve"> 0</v>
      </c>
      <c r="D132" s="218" t="s">
        <v>144</v>
      </c>
      <c r="E132" s="162">
        <f>IF($C$136=$D$136,I132,IF($C$136=$E$136,H132,0))</f>
        <v>0</v>
      </c>
      <c r="F132" s="162">
        <f>IF($C$136=$D$136,I132,IF($C$136=$E$136,H132,0))</f>
        <v>0</v>
      </c>
      <c r="H132" s="162" t="str">
        <f>"Ko'p qavatli uydagi "&amp;D133&amp;" - xonali xonadon"</f>
        <v>Ko'p qavatli uydagi  - xonali xonadon</v>
      </c>
      <c r="I132" s="162" t="str">
        <f>""&amp;D133&amp;" - xonali yakka tartibdagi uy-joy"</f>
        <v xml:space="preserve"> - xonali yakka tartibdagi uy-joy</v>
      </c>
      <c r="N132" s="162" t="str">
        <f>IF(B100=C100,Q133,IF(B100=D100,Q132,0))</f>
        <v>Микрофинансовой организацией и Заемщиком</v>
      </c>
      <c r="Q132" s="162" t="str">
        <f>"Микрофинансовой организацией, Заемщиком и "&amp;IF(B101=D101,Q131,IF(B101=C101,B118,0))&amp;""</f>
        <v>Микрофинансовой организацией, Заемщиком и NARBAYEV QUDAYBERGEN QALBAYEVICH</v>
      </c>
      <c r="R132" s="162" t="str">
        <f>"Mikromoliya tashkiloti, Qarz oluvchi va "&amp;IF(B101=D101,R131,IF(B101=C101,B118))&amp;""</f>
        <v>Mikromoliya tashkiloti, Qarz oluvchi va NARBAYEV QUDAYBERGEN QALBAYEVICH</v>
      </c>
    </row>
    <row r="133" spans="1:18" ht="30" x14ac:dyDescent="0.2">
      <c r="A133" s="3" t="s">
        <v>158</v>
      </c>
      <c r="B133" s="253" t="s">
        <v>449</v>
      </c>
      <c r="C133" s="215" t="str">
        <f>C132</f>
        <v xml:space="preserve"> 0</v>
      </c>
      <c r="D133" s="219"/>
      <c r="E133" s="162">
        <f>IF($C$136=$D$136,I133,IF($C$136=$E$136,H133,0))</f>
        <v>0</v>
      </c>
      <c r="F133" s="162">
        <f>IF($C$136=$D$136,I133,IF($C$136=$E$136,H133,0))</f>
        <v>0</v>
      </c>
      <c r="H133" s="162" t="str">
        <f>"umumiy maydoni - "&amp;C137&amp;", yashash maydoni - "&amp;C140&amp;""</f>
        <v xml:space="preserve">umumiy maydoni - , yashash maydoni - </v>
      </c>
      <c r="I133" s="162" t="str">
        <f>"yer uchastkasi maydoni - "&amp;C138&amp;", umumiy maydoni - "&amp;C137&amp;", yashash maydoni - "&amp;C140&amp;""</f>
        <v xml:space="preserve">yer uchastkasi maydoni - , umumiy maydoni - , yashash maydoni - </v>
      </c>
      <c r="N133" s="162" t="str">
        <f>IF(B100=C100,R133,IF(B100=D100,R132,0))</f>
        <v>Mikromoliya tashkiloti va Qarz oluvchi</v>
      </c>
      <c r="Q133" s="162" t="s">
        <v>46</v>
      </c>
      <c r="R133" s="162" t="s">
        <v>145</v>
      </c>
    </row>
    <row r="134" spans="1:18" ht="27" hidden="1" customHeight="1" x14ac:dyDescent="0.2">
      <c r="A134" s="3" t="s">
        <v>159</v>
      </c>
      <c r="B134" s="67" t="str">
        <f>"kuzov turi - "&amp;B135&amp;", kuzov raqami "&amp;B136&amp;""</f>
        <v>kuzov turi - YENGIL SEDAN, kuzov raqami XWBJA69VERA108471</v>
      </c>
      <c r="C134" s="214"/>
      <c r="D134" s="217" t="s">
        <v>364</v>
      </c>
    </row>
    <row r="135" spans="1:18" x14ac:dyDescent="0.2">
      <c r="A135" s="63" t="s">
        <v>160</v>
      </c>
      <c r="B135" s="237" t="s">
        <v>452</v>
      </c>
      <c r="C135" s="220"/>
    </row>
    <row r="136" spans="1:18" x14ac:dyDescent="0.2">
      <c r="A136" s="63" t="s">
        <v>161</v>
      </c>
      <c r="B136" s="237" t="s">
        <v>455</v>
      </c>
      <c r="C136" s="202"/>
      <c r="D136" s="162" t="s">
        <v>147</v>
      </c>
      <c r="E136" s="162" t="s">
        <v>148</v>
      </c>
    </row>
    <row r="137" spans="1:18" ht="27" hidden="1" customHeight="1" x14ac:dyDescent="0.25">
      <c r="A137" s="3" t="s">
        <v>162</v>
      </c>
      <c r="B137" s="67" t="str">
        <f>"dvigatel raqami "&amp;B138&amp;", shassi raqami - "&amp;B139&amp;""</f>
        <v>dvigatel raqami B15D213241352MTAX0118, shassi raqami - RAQAMSIZ</v>
      </c>
      <c r="C137" s="202"/>
      <c r="D137" s="221" t="s">
        <v>149</v>
      </c>
      <c r="E137" s="162" t="str">
        <f>CONCATENATE(C137," ","kv.m")</f>
        <v xml:space="preserve"> kv.m</v>
      </c>
      <c r="F137" s="164">
        <f>C137-C140</f>
        <v>0</v>
      </c>
    </row>
    <row r="138" spans="1:18" x14ac:dyDescent="0.25">
      <c r="A138" s="63" t="s">
        <v>163</v>
      </c>
      <c r="B138" s="263" t="s">
        <v>456</v>
      </c>
      <c r="C138" s="202"/>
      <c r="D138" s="221" t="s">
        <v>150</v>
      </c>
    </row>
    <row r="139" spans="1:18" x14ac:dyDescent="0.2">
      <c r="A139" s="63" t="s">
        <v>164</v>
      </c>
      <c r="B139" s="237" t="s">
        <v>454</v>
      </c>
      <c r="C139" s="202"/>
    </row>
    <row r="140" spans="1:18" ht="25.5" hidden="1" customHeight="1" x14ac:dyDescent="0.25">
      <c r="A140" s="3" t="s">
        <v>165</v>
      </c>
      <c r="B140" s="67" t="str">
        <f>"rangi -  "&amp;B141&amp;", ishlab chiqarilgan yili - "&amp;B142&amp;""</f>
        <v>rangi -  OQ SUMMIT WHITE, ishlab chiqarilgan yili - 2024</v>
      </c>
      <c r="C140" s="222"/>
      <c r="D140" s="221" t="s">
        <v>244</v>
      </c>
      <c r="E140" s="162" t="str">
        <f>CONCATENATE(C140," ","kv.m")</f>
        <v xml:space="preserve"> kv.m</v>
      </c>
    </row>
    <row r="141" spans="1:18" x14ac:dyDescent="0.2">
      <c r="A141" s="63" t="s">
        <v>166</v>
      </c>
      <c r="B141" s="237" t="s">
        <v>450</v>
      </c>
      <c r="C141" s="202"/>
    </row>
    <row r="142" spans="1:18" ht="30" x14ac:dyDescent="0.25">
      <c r="A142" s="63" t="s">
        <v>167</v>
      </c>
      <c r="B142" s="238" t="s">
        <v>451</v>
      </c>
      <c r="C142" s="220"/>
      <c r="D142" s="223" t="s">
        <v>365</v>
      </c>
    </row>
    <row r="143" spans="1:18" x14ac:dyDescent="0.25">
      <c r="A143" s="3" t="s">
        <v>168</v>
      </c>
      <c r="B143" s="243">
        <f>B75*1.4</f>
        <v>125999999.99999999</v>
      </c>
      <c r="C143" s="224">
        <f>B143</f>
        <v>125999999.99999999</v>
      </c>
      <c r="D143" s="221" t="s">
        <v>168</v>
      </c>
    </row>
    <row r="144" spans="1:18" ht="27.75" customHeight="1" x14ac:dyDescent="0.2">
      <c r="A144" s="157"/>
      <c r="B144" s="187"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143))&gt;6,ROMAN(MID(INT(B143),1,LEN(INT(B143))-6)+0)&amp;" million "&amp;ROMAN(MID(INT(B143),LEN(INT(B143))-5,3)+0)&amp;" ming "&amp;ROMAN(MID(INT(B143),LEN(INT(B143))-2,3)+0),IF(LEN(INT(B143))&gt;3,ROMAN(MID(INT(B143),1,LEN(INT(B143))-3)+0)&amp;" ming "&amp;ROMAN(MID(INT(B143),LEN(INT(B143))-2,3)+0),ROMAN(INT(B143)))),"DCCC","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yuz yigirma olti million so'm</v>
      </c>
      <c r="C144" s="224" t="str">
        <f>B144</f>
        <v>yuz yigirma olti million so'm</v>
      </c>
    </row>
    <row r="145" spans="1:3" ht="27.75" customHeight="1" x14ac:dyDescent="0.2">
      <c r="A145" s="3"/>
      <c r="B145" s="188" t="str">
        <f>B144</f>
        <v>yuz yigirma olti million so'm</v>
      </c>
      <c r="C145" s="225"/>
    </row>
    <row r="146" spans="1:3" ht="20.25" x14ac:dyDescent="0.2">
      <c r="A146" s="3" t="s">
        <v>333</v>
      </c>
      <c r="B146" s="261">
        <v>120922</v>
      </c>
    </row>
    <row r="147" spans="1:3" x14ac:dyDescent="0.2">
      <c r="A147" s="3" t="s">
        <v>359</v>
      </c>
      <c r="B147" s="46"/>
    </row>
    <row r="148" spans="1:3" x14ac:dyDescent="0.2">
      <c r="A148" s="3" t="s">
        <v>151</v>
      </c>
      <c r="B148" s="2" t="s">
        <v>142</v>
      </c>
      <c r="C148" s="162">
        <v>1</v>
      </c>
    </row>
    <row r="149" spans="1:3" hidden="1" x14ac:dyDescent="0.2">
      <c r="A149" s="3" t="s">
        <v>152</v>
      </c>
      <c r="B149" s="4" t="str">
        <f>B70</f>
        <v>2 fevral 2026 y.</v>
      </c>
      <c r="C149" s="162" t="str">
        <f>B70</f>
        <v>2 fevral 2026 y.</v>
      </c>
    </row>
    <row r="150" spans="1:3" hidden="1" x14ac:dyDescent="0.2">
      <c r="A150" s="3"/>
      <c r="B150" s="1">
        <f>YEAR(B67)</f>
        <v>2026</v>
      </c>
    </row>
    <row r="151" spans="1:3" hidden="1" x14ac:dyDescent="0.2">
      <c r="A151" s="3"/>
      <c r="B151" s="139" t="str">
        <f>D67</f>
        <v>fevral</v>
      </c>
    </row>
    <row r="152" spans="1:3" hidden="1" x14ac:dyDescent="0.2">
      <c r="A152" s="167"/>
      <c r="B152" s="168">
        <f>DAY(B67)</f>
        <v>2</v>
      </c>
    </row>
    <row r="153" spans="1:3" ht="30.75" thickBot="1" x14ac:dyDescent="0.25">
      <c r="A153" s="240" t="s">
        <v>403</v>
      </c>
      <c r="B153" s="241">
        <v>10000000</v>
      </c>
    </row>
    <row r="154" spans="1:3" ht="20.25" x14ac:dyDescent="0.2">
      <c r="A154" s="169" t="s">
        <v>368</v>
      </c>
      <c r="B154" s="231" t="s">
        <v>399</v>
      </c>
    </row>
    <row r="155" spans="1:3" ht="20.25" x14ac:dyDescent="0.2">
      <c r="A155" s="170" t="s">
        <v>369</v>
      </c>
      <c r="B155" s="171">
        <f>+B153*1.4</f>
        <v>14000000</v>
      </c>
    </row>
    <row r="156" spans="1:3" ht="15.75" thickBot="1" x14ac:dyDescent="0.25">
      <c r="A156" s="172"/>
      <c r="B156" s="173"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155))&gt;6,ROMAN(MID(INT(B155),1,LEN(INT(B155))-6)+0)&amp;" million "&amp;ROMAN(MID(INT(B155),LEN(INT(B155))-5,3)+0)&amp;" ming "&amp;ROMAN(MID(INT(B155),LEN(INT(B155))-2,3)+0),IF(LEN(INT(B155))&gt;3,ROMAN(MID(INT(B155),1,LEN(INT(B155))-3)+0)&amp;" ming "&amp;ROMAN(MID(INT(B155),LEN(INT(B155))-2,3)+0),ROMAN(INT(B155)))),"DCCC","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o'n to'rt million so'm</v>
      </c>
    </row>
    <row r="157" spans="1:3" x14ac:dyDescent="0.2">
      <c r="A157" s="277" t="s">
        <v>340</v>
      </c>
      <c r="B157" s="277"/>
    </row>
    <row r="158" spans="1:3" x14ac:dyDescent="0.2">
      <c r="A158" s="3" t="s">
        <v>169</v>
      </c>
      <c r="B158" s="239" t="s">
        <v>404</v>
      </c>
    </row>
    <row r="159" spans="1:3" x14ac:dyDescent="0.2">
      <c r="A159" s="3"/>
      <c r="B159" s="239" t="s">
        <v>404</v>
      </c>
    </row>
    <row r="160" spans="1:3" x14ac:dyDescent="0.2">
      <c r="A160" s="3"/>
      <c r="B160" s="239" t="s">
        <v>404</v>
      </c>
    </row>
    <row r="161" spans="1:3" x14ac:dyDescent="0.2">
      <c r="A161" s="3" t="s">
        <v>406</v>
      </c>
      <c r="B161" s="239" t="s">
        <v>405</v>
      </c>
    </row>
    <row r="162" spans="1:3" x14ac:dyDescent="0.2">
      <c r="A162" s="3"/>
      <c r="B162" s="239" t="s">
        <v>407</v>
      </c>
    </row>
    <row r="163" spans="1:3" x14ac:dyDescent="0.2">
      <c r="A163" s="3" t="s">
        <v>171</v>
      </c>
      <c r="B163" s="1" t="s">
        <v>170</v>
      </c>
    </row>
    <row r="164" spans="1:3" ht="28.5" x14ac:dyDescent="0.2">
      <c r="A164" s="3" t="s">
        <v>172</v>
      </c>
      <c r="B164" s="239" t="s">
        <v>412</v>
      </c>
    </row>
    <row r="165" spans="1:3" x14ac:dyDescent="0.2">
      <c r="A165" s="3" t="s">
        <v>173</v>
      </c>
      <c r="B165" s="239" t="s">
        <v>413</v>
      </c>
    </row>
    <row r="166" spans="1:3" x14ac:dyDescent="0.2">
      <c r="A166" s="3" t="s">
        <v>174</v>
      </c>
      <c r="B166" s="239" t="s">
        <v>414</v>
      </c>
    </row>
    <row r="167" spans="1:3" x14ac:dyDescent="0.2">
      <c r="A167" s="3" t="s">
        <v>175</v>
      </c>
      <c r="B167" s="239" t="s">
        <v>415</v>
      </c>
    </row>
    <row r="168" spans="1:3" x14ac:dyDescent="0.2">
      <c r="A168" s="3" t="s">
        <v>176</v>
      </c>
      <c r="B168" s="251" t="s">
        <v>416</v>
      </c>
    </row>
    <row r="169" spans="1:3" x14ac:dyDescent="0.2">
      <c r="A169" s="3" t="s">
        <v>177</v>
      </c>
      <c r="B169" s="239" t="s">
        <v>417</v>
      </c>
    </row>
    <row r="170" spans="1:3" x14ac:dyDescent="0.2">
      <c r="A170" s="3" t="s">
        <v>402</v>
      </c>
      <c r="B170" s="239" t="s">
        <v>418</v>
      </c>
    </row>
    <row r="171" spans="1:3" x14ac:dyDescent="0.2">
      <c r="A171" s="3" t="s">
        <v>362</v>
      </c>
      <c r="B171" s="239" t="s">
        <v>439</v>
      </c>
    </row>
    <row r="172" spans="1:3" x14ac:dyDescent="0.2">
      <c r="A172" s="3" t="s">
        <v>401</v>
      </c>
      <c r="B172" s="275" t="s">
        <v>466</v>
      </c>
      <c r="C172" s="276"/>
    </row>
    <row r="173" spans="1:3" x14ac:dyDescent="0.2">
      <c r="A173" s="3" t="s">
        <v>178</v>
      </c>
      <c r="B173" s="251" t="s">
        <v>408</v>
      </c>
    </row>
    <row r="174" spans="1:3" x14ac:dyDescent="0.2">
      <c r="A174" s="3" t="s">
        <v>179</v>
      </c>
      <c r="B174" s="251" t="s">
        <v>419</v>
      </c>
    </row>
    <row r="175" spans="1:3" x14ac:dyDescent="0.2">
      <c r="A175" s="3" t="s">
        <v>180</v>
      </c>
      <c r="B175" s="1" t="str">
        <f>B1</f>
        <v>№ 53</v>
      </c>
    </row>
    <row r="176" spans="1:3" x14ac:dyDescent="0.2">
      <c r="A176" s="3" t="s">
        <v>181</v>
      </c>
      <c r="B176" s="4" t="str">
        <f>B70</f>
        <v>2 fevral 2026 y.</v>
      </c>
    </row>
    <row r="177" x14ac:dyDescent="0.2"/>
    <row r="178" x14ac:dyDescent="0.2"/>
  </sheetData>
  <mergeCells count="8">
    <mergeCell ref="B172:C172"/>
    <mergeCell ref="A157:B157"/>
    <mergeCell ref="A104:B104"/>
    <mergeCell ref="A4:B4"/>
    <mergeCell ref="A57:B57"/>
    <mergeCell ref="A64:B64"/>
    <mergeCell ref="A98:B98"/>
    <mergeCell ref="A92:B92"/>
  </mergeCells>
  <dataValidations count="12">
    <dataValidation type="list" allowBlank="1" showInputMessage="1" showErrorMessage="1" sqref="B30" xr:uid="{00000000-0002-0000-0100-000000000000}">
      <formula1>$C$30:$D$30</formula1>
    </dataValidation>
    <dataValidation type="list" allowBlank="1" showInputMessage="1" showErrorMessage="1" sqref="B100" xr:uid="{00000000-0002-0000-0100-000001000000}">
      <formula1>$C$100:$D$100</formula1>
    </dataValidation>
    <dataValidation type="list" allowBlank="1" showInputMessage="1" showErrorMessage="1" sqref="B110" xr:uid="{00000000-0002-0000-0100-000002000000}">
      <formula1>$C$110:$D$110</formula1>
    </dataValidation>
    <dataValidation type="list" allowBlank="1" showInputMessage="1" showErrorMessage="1" sqref="B78" xr:uid="{00000000-0002-0000-0100-000003000000}">
      <formula1>$C$78:$D$78</formula1>
    </dataValidation>
    <dataValidation type="list" allowBlank="1" showInputMessage="1" showErrorMessage="1" sqref="C136" xr:uid="{00000000-0002-0000-0100-000004000000}">
      <formula1>$D$136:$E$136</formula1>
    </dataValidation>
    <dataValidation type="list" allowBlank="1" showInputMessage="1" showErrorMessage="1" sqref="B99" xr:uid="{00000000-0002-0000-0100-000005000000}">
      <formula1>$C$99:$D$99</formula1>
    </dataValidation>
    <dataValidation type="list" allowBlank="1" showInputMessage="1" showErrorMessage="1" sqref="B101" xr:uid="{00000000-0002-0000-0100-000006000000}">
      <formula1>$C$101:$D$101</formula1>
    </dataValidation>
    <dataValidation type="list" allowBlank="1" showInputMessage="1" showErrorMessage="1" sqref="B23" xr:uid="{00000000-0002-0000-0100-000007000000}">
      <formula1>$C$23:$D$23</formula1>
    </dataValidation>
    <dataValidation type="list" allowBlank="1" showInputMessage="1" showErrorMessage="1" sqref="B29" xr:uid="{00000000-0002-0000-0100-000008000000}">
      <formula1>$C$29:$F$29</formula1>
    </dataValidation>
    <dataValidation type="list" allowBlank="1" showInputMessage="1" showErrorMessage="1" sqref="B24" xr:uid="{00000000-0002-0000-0100-000009000000}">
      <formula1>$C$24:$D$24</formula1>
    </dataValidation>
    <dataValidation type="list" allowBlank="1" showInputMessage="1" showErrorMessage="1" sqref="B84" xr:uid="{00000000-0002-0000-0100-00000A000000}">
      <formula1>$BJ$84:$BK$84</formula1>
    </dataValidation>
    <dataValidation type="list" allowBlank="1" showInputMessage="1" showErrorMessage="1" sqref="B44" xr:uid="{00000000-0002-0000-0100-00000B000000}">
      <formula1>$C$44:$D$44</formula1>
    </dataValidation>
  </dataValidation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5">
    <tabColor rgb="FF00B050"/>
  </sheetPr>
  <dimension ref="A1:F43"/>
  <sheetViews>
    <sheetView view="pageBreakPreview" zoomScaleSheetLayoutView="100" workbookViewId="0">
      <selection activeCell="C23" sqref="C23"/>
    </sheetView>
  </sheetViews>
  <sheetFormatPr defaultColWidth="9.140625" defaultRowHeight="12.75" x14ac:dyDescent="0.2"/>
  <cols>
    <col min="1" max="6" width="14.28515625" style="21" customWidth="1"/>
    <col min="7" max="16384" width="9.140625" style="21"/>
  </cols>
  <sheetData>
    <row r="1" spans="1:6" x14ac:dyDescent="0.2">
      <c r="A1" s="285" t="s">
        <v>209</v>
      </c>
      <c r="B1" s="285"/>
      <c r="C1" s="285"/>
      <c r="D1" s="285"/>
      <c r="E1" s="285"/>
      <c r="F1" s="285"/>
    </row>
    <row r="2" spans="1:6" ht="35.25" customHeight="1" x14ac:dyDescent="0.2">
      <c r="A2" s="286" t="s">
        <v>315</v>
      </c>
      <c r="B2" s="286"/>
      <c r="C2" s="286"/>
      <c r="D2" s="286"/>
      <c r="E2" s="286"/>
      <c r="F2" s="286"/>
    </row>
    <row r="3" spans="1:6" x14ac:dyDescent="0.2">
      <c r="A3" s="285" t="s">
        <v>210</v>
      </c>
      <c r="B3" s="285"/>
      <c r="C3" s="285"/>
      <c r="D3" s="285"/>
      <c r="E3" s="285"/>
      <c r="F3" s="285"/>
    </row>
    <row r="4" spans="1:6" x14ac:dyDescent="0.2">
      <c r="A4" s="281" t="str">
        <f>xulosa!A4:E4</f>
        <v>Mijozning to'liq ismi sharifi: NARBAYEV QUDAYBERGEN QALBAYEVICH</v>
      </c>
      <c r="B4" s="281"/>
      <c r="C4" s="281"/>
      <c r="D4" s="281"/>
      <c r="E4" s="281"/>
      <c r="F4" s="281"/>
    </row>
    <row r="5" spans="1:6" x14ac:dyDescent="0.2">
      <c r="A5" s="281" t="str">
        <f>xulosa!A5:E5</f>
        <v>Tug'ilgan sanasi: 10.06.1967 yil</v>
      </c>
      <c r="B5" s="281"/>
      <c r="C5" s="281"/>
      <c r="D5" s="281"/>
      <c r="E5" s="281"/>
      <c r="F5" s="281"/>
    </row>
    <row r="6" spans="1:6" ht="32.25" customHeight="1" x14ac:dyDescent="0.2">
      <c r="A6" s="281" t="str">
        <f>xulosa!A6:E6</f>
        <v>Pasport seriyasi AD 1654245 IIV 26264 tomonidan 15.08.2022 yilda berilgan, amal qilish muddati - 14.08.2032 y.</v>
      </c>
      <c r="B6" s="281"/>
      <c r="C6" s="281"/>
      <c r="D6" s="281"/>
      <c r="E6" s="281"/>
      <c r="F6" s="281"/>
    </row>
    <row r="7" spans="1:6" x14ac:dyDescent="0.2">
      <c r="A7" s="281" t="str">
        <f>"Fuqaroligi: "&amp;umumiy_malumot!B32&amp;""</f>
        <v>Fuqaroligi: O’zbekiston Respublikasi</v>
      </c>
      <c r="B7" s="281"/>
      <c r="C7" s="281"/>
      <c r="D7" s="281"/>
      <c r="E7" s="281"/>
      <c r="F7" s="281"/>
    </row>
    <row r="8" spans="1:6" ht="26.25" customHeight="1" x14ac:dyDescent="0.2">
      <c r="A8" s="281" t="str">
        <f>xulosa!A7:E7</f>
        <v>Ro‘yxatdan o‘tgan manzili: TOSHKENT SHAHAR BEKTEMIR TUMANI MAJNUNTOL MFY MAJNUNTOL MAXALLA SHONIGOR KO'CHASI  113 UY, mo'ljal: SAM MOYKA KARZINKA MAHALLA</v>
      </c>
      <c r="B8" s="281"/>
      <c r="C8" s="281"/>
      <c r="D8" s="281"/>
      <c r="E8" s="281"/>
      <c r="F8" s="281"/>
    </row>
    <row r="9" spans="1:6" x14ac:dyDescent="0.2">
      <c r="A9" s="281" t="str">
        <f>IF(umumiy_malumot!B23="mos keladi"," ",mijoz_anketasi!A10:F10)</f>
        <v xml:space="preserve"> </v>
      </c>
      <c r="B9" s="281"/>
      <c r="C9" s="281"/>
      <c r="D9" s="281"/>
      <c r="E9" s="281"/>
      <c r="F9" s="281"/>
    </row>
    <row r="10" spans="1:6" ht="31.5" hidden="1" customHeight="1" x14ac:dyDescent="0.2">
      <c r="A10" s="281" t="str">
        <f>"Haqiqatdan yashash joy manzili: "&amp;umumiy_malumot!B28&amp;""</f>
        <v>Haqiqatdan yashash joy manzili: TOSHKENT SHAHAR BEKTEMIR TUMANI MAJNUNTOL MFY MAJNUNTOL MAXALLA SHONIGOR KO'CHASI  113 UY</v>
      </c>
      <c r="B10" s="281"/>
      <c r="C10" s="281"/>
      <c r="D10" s="281"/>
      <c r="E10" s="281"/>
      <c r="F10" s="281"/>
    </row>
    <row r="11" spans="1:6" ht="16.5" hidden="1" customHeight="1" x14ac:dyDescent="0.2">
      <c r="A11" s="281" t="str">
        <f>xulosa!A8:E8</f>
        <v>Ish joyi:  lavozimi Yakka tartibdagi tadbirkorda Yakka tartibdagi tadbirkor</v>
      </c>
      <c r="B11" s="281"/>
      <c r="C11" s="281"/>
      <c r="D11" s="281"/>
      <c r="E11" s="281"/>
      <c r="F11" s="281"/>
    </row>
    <row r="12" spans="1:6" x14ac:dyDescent="0.2">
      <c r="A12" s="285" t="s">
        <v>211</v>
      </c>
      <c r="B12" s="285"/>
      <c r="C12" s="285"/>
      <c r="D12" s="285"/>
      <c r="E12" s="285"/>
      <c r="F12" s="285"/>
    </row>
    <row r="13" spans="1:6" x14ac:dyDescent="0.2">
      <c r="A13" s="281" t="str">
        <f>"Uy telefoni raqami: "&amp;umumiy_malumot!B40&amp;""</f>
        <v>Uy telefoni raqami: 90 093 33 23 MIJOZ</v>
      </c>
      <c r="B13" s="281"/>
      <c r="C13" s="281"/>
      <c r="D13" s="281"/>
      <c r="E13" s="281"/>
      <c r="F13" s="281"/>
    </row>
    <row r="14" spans="1:6" x14ac:dyDescent="0.2">
      <c r="A14" s="281" t="str">
        <f>"Uyali telefon raqami: "&amp;umumiy_malumot!B41&amp;""</f>
        <v>Uyali telefon raqami: 94 687 11 22 MIJOZ</v>
      </c>
      <c r="B14" s="281"/>
      <c r="C14" s="281"/>
      <c r="D14" s="281"/>
      <c r="E14" s="281"/>
      <c r="F14" s="281"/>
    </row>
    <row r="15" spans="1:6" x14ac:dyDescent="0.2">
      <c r="A15" s="281" t="str">
        <f>"Uyali telefon raqami: "&amp;umumiy_malumot!B42&amp;""</f>
        <v xml:space="preserve">Uyali telefon raqami: </v>
      </c>
      <c r="B15" s="281"/>
      <c r="C15" s="281"/>
      <c r="D15" s="281"/>
      <c r="E15" s="281"/>
      <c r="F15" s="281"/>
    </row>
    <row r="16" spans="1:6" hidden="1" x14ac:dyDescent="0.2">
      <c r="A16" s="281" t="str">
        <f>"Uyali telefon raqami: "&amp;umumiy_malumot!B42&amp;""</f>
        <v xml:space="preserve">Uyali telefon raqami: </v>
      </c>
      <c r="B16" s="281"/>
      <c r="C16" s="281"/>
      <c r="D16" s="281"/>
      <c r="E16" s="281"/>
      <c r="F16" s="281"/>
    </row>
    <row r="17" spans="1:6" x14ac:dyDescent="0.2">
      <c r="A17" s="281" t="str">
        <f>"Ish telefoni raqami: "&amp;umumiy_malumot!B43&amp;""</f>
        <v xml:space="preserve">Ish telefoni raqami: </v>
      </c>
      <c r="B17" s="281"/>
      <c r="C17" s="281"/>
      <c r="D17" s="281"/>
      <c r="E17" s="281"/>
      <c r="F17" s="281"/>
    </row>
    <row r="18" spans="1:6" x14ac:dyDescent="0.2">
      <c r="A18" s="285" t="s">
        <v>212</v>
      </c>
      <c r="B18" s="285"/>
      <c r="C18" s="285"/>
      <c r="D18" s="285"/>
      <c r="E18" s="285"/>
      <c r="F18" s="285"/>
    </row>
    <row r="19" spans="1:6" x14ac:dyDescent="0.2">
      <c r="A19" s="281" t="str">
        <f>"Muassasa nomlanishi:"&amp;umumiy_malumot!B58&amp;""</f>
        <v>Muassasa nomlanishi:Yakka tartibdagi tadbirkor</v>
      </c>
      <c r="B19" s="281"/>
      <c r="C19" s="281"/>
      <c r="D19" s="281"/>
      <c r="E19" s="281"/>
      <c r="F19" s="281"/>
    </row>
    <row r="20" spans="1:6" x14ac:dyDescent="0.2">
      <c r="A20" s="281" t="str">
        <f>"Ro‘yxatdan o‘tish manzili:"&amp;umumiy_malumot!B46&amp;""</f>
        <v>Ro‘yxatdan o‘tish manzili:</v>
      </c>
      <c r="B20" s="281"/>
      <c r="C20" s="281"/>
      <c r="D20" s="281"/>
      <c r="E20" s="281"/>
      <c r="F20" s="281"/>
    </row>
    <row r="21" spans="1:6" x14ac:dyDescent="0.2">
      <c r="A21" s="281" t="str">
        <f>"Lavozimi: "&amp;umumiy_malumot!B59&amp;""</f>
        <v>Lavozimi: Yakka tartibdagi tadbirkor</v>
      </c>
      <c r="B21" s="281"/>
      <c r="C21" s="281"/>
      <c r="D21" s="281"/>
      <c r="E21" s="281"/>
      <c r="F21" s="281"/>
    </row>
    <row r="22" spans="1:6" x14ac:dyDescent="0.2">
      <c r="A22" s="285" t="s">
        <v>213</v>
      </c>
      <c r="B22" s="282"/>
      <c r="C22" s="282"/>
      <c r="D22" s="282"/>
      <c r="E22" s="282"/>
      <c r="F22" s="282"/>
    </row>
    <row r="23" spans="1:6" s="23" customFormat="1" ht="25.5" x14ac:dyDescent="0.25">
      <c r="A23" s="22" t="s">
        <v>214</v>
      </c>
      <c r="B23" s="22" t="s">
        <v>215</v>
      </c>
      <c r="C23" s="22" t="s">
        <v>216</v>
      </c>
      <c r="D23" s="22" t="s">
        <v>217</v>
      </c>
      <c r="E23" s="22" t="s">
        <v>218</v>
      </c>
      <c r="F23" s="22" t="s">
        <v>219</v>
      </c>
    </row>
    <row r="24" spans="1:6" ht="51" x14ac:dyDescent="0.2">
      <c r="A24" s="24" t="s">
        <v>220</v>
      </c>
      <c r="B24" s="25">
        <f>umumiy_malumot!B60</f>
        <v>22000000</v>
      </c>
      <c r="C24" s="25">
        <v>0</v>
      </c>
      <c r="D24" s="25">
        <v>0</v>
      </c>
      <c r="E24" s="24" t="s">
        <v>223</v>
      </c>
      <c r="F24" s="25">
        <v>700000</v>
      </c>
    </row>
    <row r="25" spans="1:6" ht="25.5" x14ac:dyDescent="0.2">
      <c r="A25" s="24" t="s">
        <v>221</v>
      </c>
      <c r="B25" s="25">
        <v>0</v>
      </c>
      <c r="C25" s="25">
        <v>0</v>
      </c>
      <c r="D25" s="25">
        <v>0</v>
      </c>
      <c r="E25" s="24" t="s">
        <v>224</v>
      </c>
      <c r="F25" s="25">
        <v>500000</v>
      </c>
    </row>
    <row r="26" spans="1:6" ht="28.5" customHeight="1" x14ac:dyDescent="0.2">
      <c r="A26" s="24" t="s">
        <v>222</v>
      </c>
      <c r="B26" s="25">
        <f>umumiy_malumot!B61</f>
        <v>10000000</v>
      </c>
      <c r="C26" s="25">
        <v>0</v>
      </c>
      <c r="D26" s="25">
        <v>0</v>
      </c>
      <c r="E26" s="24" t="s">
        <v>225</v>
      </c>
      <c r="F26" s="25">
        <v>600000</v>
      </c>
    </row>
    <row r="27" spans="1:6" s="28" customFormat="1" x14ac:dyDescent="0.2">
      <c r="A27" s="26" t="s">
        <v>201</v>
      </c>
      <c r="B27" s="27">
        <f>B24+B25+B26</f>
        <v>32000000</v>
      </c>
      <c r="C27" s="27">
        <f t="shared" ref="C27:F27" si="0">SUM(C24:C26)</f>
        <v>0</v>
      </c>
      <c r="D27" s="27">
        <f t="shared" si="0"/>
        <v>0</v>
      </c>
      <c r="E27" s="26"/>
      <c r="F27" s="27">
        <f t="shared" si="0"/>
        <v>1800000</v>
      </c>
    </row>
    <row r="28" spans="1:6" ht="31.5" customHeight="1" x14ac:dyDescent="0.2">
      <c r="A28" s="281" t="str">
        <f>"Men, "&amp;umumiy_malumot!B5&amp;", ushbu anketada ko‘rsatilgan barcha ma'lumotlar anketa to'ldirilgan sanada  to'g'ri va aniq ekanligini tasdiqlayman."</f>
        <v>Men, NARBAYEV QUDAYBERGEN QALBAYEVICH, ushbu anketada ko‘rsatilgan barcha ma'lumotlar anketa to'ldirilgan sanada  to'g'ri va aniq ekanligini tasdiqlayman.</v>
      </c>
      <c r="B28" s="281"/>
      <c r="C28" s="281"/>
      <c r="D28" s="281"/>
      <c r="E28" s="281"/>
      <c r="F28" s="281"/>
    </row>
    <row r="29" spans="1:6" x14ac:dyDescent="0.2">
      <c r="A29" s="281" t="str">
        <f>"Men,  "&amp;umumiy_malumot!B5&amp;", quyidagilarni tan olaman va roziman::"</f>
        <v>Men,  NARBAYEV QUDAYBERGEN QALBAYEVICH, quyidagilarni tan olaman va roziman::</v>
      </c>
      <c r="B29" s="281"/>
      <c r="C29" s="281"/>
      <c r="D29" s="281"/>
      <c r="E29" s="281"/>
      <c r="F29" s="281"/>
    </row>
    <row r="30" spans="1:6" ht="45.75" customHeight="1" x14ac:dyDescent="0.2">
      <c r="A30" s="281" t="str">
        <f>"1.  Ushbu anketada ko‘rsatilgan har qanday ma’lumot  "&amp;umumiy_malumot!B158&amp;", uning xodimlari va huquqiy vorislari tomonidan istalgan manbaa va ma’lumotlardan foydalangan holda istalgan vaqtda tekshirilishi va qayta tekshirilishi mumkin."</f>
        <v>1.  Ushbu anketada ko‘rsatilgan har qanday ma’lumot  «PULLOL BUSINESS MIKROMOLIYA TASHKILOTI»  MChJ, uning xodimlari va huquqiy vorislari tomonidan istalgan manbaa va ma’lumotlardan foydalangan holda istalgan vaqtda tekshirilishi va qayta tekshirilishi mumkin.</v>
      </c>
      <c r="B30" s="281"/>
      <c r="C30" s="281"/>
      <c r="D30" s="281"/>
      <c r="E30" s="281"/>
      <c r="F30" s="281"/>
    </row>
    <row r="31" spans="1:6" ht="42.75" customHeight="1" x14ac:dyDescent="0.2">
      <c r="A31" s="281" t="str">
        <f>"2. Mazkur anketaning "&amp;umumiy_malumot!B158&amp;" tomonidan qabul qilinishi  "&amp;umumiy_malumot!B158&amp;" tomonidan menga "&amp;umumiy_malumot!B65&amp;" berish majburiyatini yuklamaydi."</f>
        <v>2. Mazkur anketaning «PULLOL BUSINESS MIKROMOLIYA TASHKILOTI»  MChJ tomonidan qabul qilinishi  «PULLOL BUSINESS MIKROMOLIYA TASHKILOTI»  MChJ tomonidan menga mikroqarz berish majburiyatini yuklamaydi.</v>
      </c>
      <c r="B31" s="281"/>
      <c r="C31" s="281"/>
      <c r="D31" s="281"/>
      <c r="E31" s="281"/>
      <c r="F31" s="281"/>
    </row>
    <row r="32" spans="1:6" ht="71.25" customHeight="1" x14ac:dyDescent="0.2">
      <c r="A32" s="281" t="s">
        <v>226</v>
      </c>
      <c r="B32" s="281"/>
      <c r="C32" s="281"/>
      <c r="D32" s="281"/>
      <c r="E32" s="281"/>
      <c r="F32" s="281"/>
    </row>
    <row r="33" spans="1:6" x14ac:dyDescent="0.2">
      <c r="A33" s="281"/>
      <c r="B33" s="281"/>
      <c r="C33" s="281"/>
      <c r="D33" s="281"/>
      <c r="E33" s="281"/>
      <c r="F33" s="281"/>
    </row>
    <row r="34" spans="1:6" ht="12.75" customHeight="1" x14ac:dyDescent="0.2">
      <c r="A34" s="282" t="s">
        <v>227</v>
      </c>
      <c r="B34" s="282"/>
      <c r="C34" s="282"/>
      <c r="D34" s="137" t="s">
        <v>152</v>
      </c>
      <c r="E34" s="282" t="s">
        <v>228</v>
      </c>
      <c r="F34" s="282"/>
    </row>
    <row r="35" spans="1:6" ht="25.5" customHeight="1" x14ac:dyDescent="0.2">
      <c r="A35" s="283"/>
      <c r="B35" s="283"/>
      <c r="C35" s="283"/>
      <c r="D35" s="284" t="str">
        <f>umumiy_malumot!B2</f>
        <v>02.02.2026</v>
      </c>
      <c r="E35" s="283"/>
      <c r="F35" s="283"/>
    </row>
    <row r="36" spans="1:6" ht="25.5" customHeight="1" x14ac:dyDescent="0.2">
      <c r="A36" s="283"/>
      <c r="B36" s="283"/>
      <c r="C36" s="283"/>
      <c r="D36" s="284"/>
      <c r="E36" s="283"/>
      <c r="F36" s="283"/>
    </row>
    <row r="37" spans="1:6" x14ac:dyDescent="0.2">
      <c r="A37" s="281"/>
      <c r="B37" s="281"/>
      <c r="C37" s="281"/>
      <c r="D37" s="281"/>
      <c r="E37" s="281"/>
      <c r="F37" s="281"/>
    </row>
    <row r="38" spans="1:6" x14ac:dyDescent="0.2">
      <c r="A38" s="281"/>
      <c r="B38" s="281"/>
      <c r="C38" s="281"/>
      <c r="D38" s="281"/>
      <c r="E38" s="281"/>
      <c r="F38" s="281"/>
    </row>
    <row r="39" spans="1:6" x14ac:dyDescent="0.2">
      <c r="A39" s="281"/>
      <c r="B39" s="281"/>
      <c r="C39" s="281"/>
      <c r="D39" s="281"/>
      <c r="E39" s="281"/>
      <c r="F39" s="281"/>
    </row>
    <row r="40" spans="1:6" x14ac:dyDescent="0.2">
      <c r="A40" s="281"/>
      <c r="B40" s="281"/>
      <c r="C40" s="281"/>
      <c r="D40" s="281"/>
      <c r="E40" s="281"/>
      <c r="F40" s="281"/>
    </row>
    <row r="41" spans="1:6" x14ac:dyDescent="0.2">
      <c r="A41" s="281"/>
      <c r="B41" s="281"/>
      <c r="C41" s="281"/>
      <c r="D41" s="281"/>
      <c r="E41" s="281"/>
      <c r="F41" s="281"/>
    </row>
    <row r="42" spans="1:6" x14ac:dyDescent="0.2">
      <c r="A42" s="281"/>
      <c r="B42" s="281"/>
      <c r="C42" s="281"/>
      <c r="D42" s="281"/>
      <c r="E42" s="281"/>
      <c r="F42" s="281"/>
    </row>
    <row r="43" spans="1:6" x14ac:dyDescent="0.2">
      <c r="A43" s="281"/>
      <c r="B43" s="281"/>
      <c r="C43" s="281"/>
      <c r="D43" s="281"/>
      <c r="E43" s="281"/>
      <c r="F43" s="281"/>
    </row>
  </sheetData>
  <mergeCells count="41">
    <mergeCell ref="A15:F15"/>
    <mergeCell ref="A1:F1"/>
    <mergeCell ref="A2:F2"/>
    <mergeCell ref="A3:F3"/>
    <mergeCell ref="A4:F4"/>
    <mergeCell ref="A5:F5"/>
    <mergeCell ref="A6:F6"/>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29:F29"/>
    <mergeCell ref="A30:F30"/>
    <mergeCell ref="A31:F31"/>
    <mergeCell ref="A32:F32"/>
    <mergeCell ref="A33:F33"/>
    <mergeCell ref="A41:F41"/>
    <mergeCell ref="A42:F42"/>
    <mergeCell ref="A43:F43"/>
    <mergeCell ref="A34:C34"/>
    <mergeCell ref="E34:F34"/>
    <mergeCell ref="A35:C35"/>
    <mergeCell ref="D35:D36"/>
    <mergeCell ref="E35:F36"/>
    <mergeCell ref="A36:C36"/>
    <mergeCell ref="A37:F37"/>
    <mergeCell ref="A38:F38"/>
    <mergeCell ref="A39:F39"/>
    <mergeCell ref="A40:F40"/>
  </mergeCells>
  <pageMargins left="0.7" right="0.7" top="0.75" bottom="0.75" header="0.3" footer="0.3"/>
  <pageSetup paperSize="9" scale="9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1">
    <tabColor rgb="FF00B050"/>
  </sheetPr>
  <dimension ref="A2:H33"/>
  <sheetViews>
    <sheetView view="pageBreakPreview" zoomScaleNormal="100" zoomScaleSheetLayoutView="100" workbookViewId="0">
      <selection activeCell="I16" sqref="I16"/>
    </sheetView>
  </sheetViews>
  <sheetFormatPr defaultColWidth="9.140625" defaultRowHeight="15.75" x14ac:dyDescent="0.25"/>
  <cols>
    <col min="1" max="2" width="17.42578125" style="112" customWidth="1"/>
    <col min="3" max="3" width="29.85546875" style="112" customWidth="1"/>
    <col min="4" max="4" width="18.140625" style="112" customWidth="1"/>
    <col min="5" max="5" width="6.5703125" style="112" customWidth="1"/>
    <col min="6" max="16384" width="9.140625" style="112"/>
  </cols>
  <sheetData>
    <row r="2" spans="1:5" x14ac:dyDescent="0.25">
      <c r="A2" s="287" t="s">
        <v>229</v>
      </c>
      <c r="B2" s="287"/>
      <c r="C2" s="287"/>
      <c r="D2" s="287"/>
      <c r="E2" s="287"/>
    </row>
    <row r="3" spans="1:5" x14ac:dyDescent="0.25">
      <c r="E3" s="111" t="str">
        <f>umumiy_malumot!B68</f>
        <v>2 fevral 2026 y.</v>
      </c>
    </row>
    <row r="5" spans="1:5" s="113" customFormat="1" ht="27" customHeight="1" x14ac:dyDescent="0.25">
      <c r="A5" s="291" t="s">
        <v>230</v>
      </c>
      <c r="B5" s="292"/>
      <c r="C5" s="288" t="str">
        <f>umumiy_malumot!B8</f>
        <v>NARBAYEV QUDAYBERGEN QALBAYEVICH</v>
      </c>
      <c r="D5" s="289"/>
      <c r="E5" s="290"/>
    </row>
    <row r="7" spans="1:5" ht="15.75" customHeight="1" x14ac:dyDescent="0.25">
      <c r="A7" s="293" t="s">
        <v>341</v>
      </c>
      <c r="B7" s="294"/>
      <c r="C7" s="295"/>
      <c r="D7" s="114" t="s">
        <v>127</v>
      </c>
      <c r="E7" s="114"/>
    </row>
    <row r="8" spans="1:5" x14ac:dyDescent="0.25">
      <c r="A8" s="296"/>
      <c r="B8" s="297"/>
      <c r="C8" s="298"/>
      <c r="D8" s="114" t="s">
        <v>234</v>
      </c>
      <c r="E8" s="114"/>
    </row>
    <row r="9" spans="1:5" ht="15.75" customHeight="1" x14ac:dyDescent="0.25">
      <c r="A9" s="299" t="s">
        <v>231</v>
      </c>
      <c r="B9" s="299"/>
      <c r="C9" s="299"/>
      <c r="D9" s="114" t="s">
        <v>127</v>
      </c>
      <c r="E9" s="114"/>
    </row>
    <row r="10" spans="1:5" x14ac:dyDescent="0.25">
      <c r="A10" s="299"/>
      <c r="B10" s="299"/>
      <c r="C10" s="299"/>
      <c r="D10" s="114" t="s">
        <v>234</v>
      </c>
      <c r="E10" s="114"/>
    </row>
    <row r="11" spans="1:5" ht="15.75" customHeight="1" x14ac:dyDescent="0.25">
      <c r="A11" s="299" t="s">
        <v>232</v>
      </c>
      <c r="B11" s="299"/>
      <c r="C11" s="299"/>
      <c r="D11" s="114" t="s">
        <v>127</v>
      </c>
      <c r="E11" s="114"/>
    </row>
    <row r="12" spans="1:5" x14ac:dyDescent="0.25">
      <c r="A12" s="299"/>
      <c r="B12" s="299"/>
      <c r="C12" s="299"/>
      <c r="D12" s="114" t="s">
        <v>234</v>
      </c>
      <c r="E12" s="114"/>
    </row>
    <row r="13" spans="1:5" ht="34.5" customHeight="1" x14ac:dyDescent="0.25">
      <c r="A13" s="300" t="s">
        <v>233</v>
      </c>
      <c r="B13" s="300"/>
      <c r="C13" s="300"/>
      <c r="D13" s="300"/>
      <c r="E13" s="300"/>
    </row>
    <row r="14" spans="1:5" ht="16.5" thickBot="1" x14ac:dyDescent="0.3">
      <c r="A14" s="301"/>
      <c r="B14" s="301"/>
      <c r="C14" s="301"/>
      <c r="D14" s="301"/>
      <c r="E14" s="301"/>
    </row>
    <row r="15" spans="1:5" ht="16.5" thickBot="1" x14ac:dyDescent="0.3">
      <c r="A15" s="301"/>
      <c r="B15" s="301"/>
      <c r="C15" s="301"/>
      <c r="D15" s="301"/>
      <c r="E15" s="301"/>
    </row>
    <row r="16" spans="1:5" ht="16.5" thickBot="1" x14ac:dyDescent="0.3">
      <c r="A16" s="301"/>
      <c r="B16" s="301"/>
      <c r="C16" s="301"/>
      <c r="D16" s="301"/>
      <c r="E16" s="301"/>
    </row>
    <row r="18" spans="1:8" ht="18.75" customHeight="1" x14ac:dyDescent="0.25">
      <c r="A18" s="299" t="s">
        <v>235</v>
      </c>
      <c r="B18" s="299"/>
      <c r="C18" s="299"/>
      <c r="D18" s="114" t="s">
        <v>127</v>
      </c>
      <c r="E18" s="114"/>
    </row>
    <row r="19" spans="1:8" ht="18.75" customHeight="1" x14ac:dyDescent="0.25">
      <c r="A19" s="299"/>
      <c r="B19" s="299"/>
      <c r="C19" s="299"/>
      <c r="D19" s="114" t="s">
        <v>234</v>
      </c>
      <c r="E19" s="114"/>
    </row>
    <row r="20" spans="1:8" ht="29.25" customHeight="1" x14ac:dyDescent="0.25">
      <c r="A20" s="299" t="s">
        <v>236</v>
      </c>
      <c r="B20" s="299"/>
      <c r="C20" s="299"/>
      <c r="D20" s="114" t="s">
        <v>127</v>
      </c>
      <c r="E20" s="114"/>
    </row>
    <row r="21" spans="1:8" ht="29.25" customHeight="1" x14ac:dyDescent="0.25">
      <c r="A21" s="299"/>
      <c r="B21" s="299"/>
      <c r="C21" s="299"/>
      <c r="D21" s="114" t="s">
        <v>234</v>
      </c>
      <c r="E21" s="114"/>
    </row>
    <row r="23" spans="1:8" ht="15.75" customHeight="1" x14ac:dyDescent="0.25">
      <c r="A23" s="300" t="s">
        <v>237</v>
      </c>
      <c r="B23" s="300"/>
      <c r="C23" s="300"/>
      <c r="D23" s="300"/>
      <c r="E23" s="300"/>
    </row>
    <row r="24" spans="1:8" ht="16.5" thickBot="1" x14ac:dyDescent="0.3">
      <c r="A24" s="301"/>
      <c r="B24" s="301"/>
      <c r="C24" s="301"/>
      <c r="D24" s="301"/>
      <c r="E24" s="301"/>
    </row>
    <row r="25" spans="1:8" ht="16.5" thickBot="1" x14ac:dyDescent="0.3">
      <c r="A25" s="301"/>
      <c r="B25" s="301"/>
      <c r="C25" s="301"/>
      <c r="D25" s="301"/>
      <c r="E25" s="301"/>
    </row>
    <row r="26" spans="1:8" ht="16.5" thickBot="1" x14ac:dyDescent="0.3">
      <c r="A26" s="301"/>
      <c r="B26" s="301"/>
      <c r="C26" s="301"/>
      <c r="D26" s="301"/>
      <c r="E26" s="301"/>
    </row>
    <row r="28" spans="1:8" ht="78.75" customHeight="1" x14ac:dyDescent="0.25">
      <c r="A28" s="302" t="s">
        <v>238</v>
      </c>
      <c r="B28" s="302"/>
      <c r="C28" s="302"/>
      <c r="D28" s="302"/>
      <c r="E28" s="302"/>
    </row>
    <row r="30" spans="1:8" ht="33" customHeight="1" x14ac:dyDescent="0.25">
      <c r="A30" s="302" t="s">
        <v>239</v>
      </c>
      <c r="B30" s="302"/>
      <c r="C30" s="302"/>
      <c r="D30" s="302"/>
      <c r="E30" s="302"/>
      <c r="F30" s="115"/>
      <c r="G30" s="115"/>
      <c r="H30" s="115"/>
    </row>
    <row r="33" spans="1:5" ht="16.5" thickBot="1" x14ac:dyDescent="0.3">
      <c r="A33" s="116" t="str">
        <f>C5</f>
        <v>NARBAYEV QUDAYBERGEN QALBAYEVICH</v>
      </c>
      <c r="D33" s="117"/>
      <c r="E33" s="118"/>
    </row>
  </sheetData>
  <mergeCells count="18">
    <mergeCell ref="A28:E28"/>
    <mergeCell ref="A30:E30"/>
    <mergeCell ref="A18:C19"/>
    <mergeCell ref="A20:C21"/>
    <mergeCell ref="A23:E23"/>
    <mergeCell ref="A24:E24"/>
    <mergeCell ref="A25:E25"/>
    <mergeCell ref="A26:E26"/>
    <mergeCell ref="A11:C12"/>
    <mergeCell ref="A13:E13"/>
    <mergeCell ref="A16:E16"/>
    <mergeCell ref="A15:E15"/>
    <mergeCell ref="A14:E14"/>
    <mergeCell ref="A2:E2"/>
    <mergeCell ref="C5:E5"/>
    <mergeCell ref="A5:B5"/>
    <mergeCell ref="A7:C8"/>
    <mergeCell ref="A9:C10"/>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6">
    <tabColor rgb="FF00B050"/>
  </sheetPr>
  <dimension ref="A1:E78"/>
  <sheetViews>
    <sheetView view="pageBreakPreview" zoomScaleSheetLayoutView="100" workbookViewId="0">
      <selection activeCell="A29" sqref="A29:D29"/>
    </sheetView>
  </sheetViews>
  <sheetFormatPr defaultColWidth="9.140625" defaultRowHeight="15.75" x14ac:dyDescent="0.25"/>
  <cols>
    <col min="1" max="1" width="20.140625" style="6" customWidth="1"/>
    <col min="2" max="2" width="18.7109375" style="6" customWidth="1"/>
    <col min="3" max="3" width="19.7109375" style="6" customWidth="1"/>
    <col min="4" max="4" width="28.7109375" style="6" customWidth="1"/>
    <col min="5" max="16384" width="9.140625" style="6"/>
  </cols>
  <sheetData>
    <row r="1" spans="1:4" ht="54" customHeight="1" x14ac:dyDescent="0.25">
      <c r="C1" s="308" t="str">
        <f>""&amp;umumiy_malumot!B158&amp;"ning
"&amp;umumiy_malumot!A161&amp;""</f>
        <v>«PULLOL BUSINESS MIKROMOLIYA TASHKILOTI»  MChJning
Direktor</v>
      </c>
      <c r="D1" s="308"/>
    </row>
    <row r="2" spans="1:4" x14ac:dyDescent="0.25">
      <c r="C2" s="11"/>
      <c r="D2" s="12" t="str">
        <f>""&amp;umumiy_malumot!B161&amp;"ga"</f>
        <v>Obidov A.Sh.ga</v>
      </c>
    </row>
    <row r="3" spans="1:4" hidden="1" x14ac:dyDescent="0.25"/>
    <row r="4" spans="1:4" x14ac:dyDescent="0.25">
      <c r="A4" s="307" t="str">
        <f>""&amp;umumiy_malumot!C64&amp;" olish uchun Ariza"</f>
        <v>Mikroqarz olish uchun Ariza</v>
      </c>
      <c r="B4" s="307"/>
      <c r="C4" s="307"/>
      <c r="D4" s="307"/>
    </row>
    <row r="5" spans="1:4" ht="11.25" hidden="1" customHeight="1" x14ac:dyDescent="0.25">
      <c r="A5" s="307"/>
      <c r="B5" s="307"/>
      <c r="C5" s="307"/>
      <c r="D5" s="307"/>
    </row>
    <row r="6" spans="1:4" ht="48.75" customHeight="1" x14ac:dyDescent="0.25">
      <c r="A6" s="305" t="str">
        <f>""&amp;umumiy_malumot!B28&amp;".-da yashovchi O‘zbekiston Respublikasi fuqarosi "&amp;umumiy_malumot!B8&amp;"dan. "</f>
        <v xml:space="preserve">TOSHKENT SHAHAR BEKTEMIR TUMANI MAJNUNTOL MFY MAJNUNTOL MAXALLA SHONIGOR KO'CHASI  113 UY.-da yashovchi O‘zbekiston Respublikasi fuqarosi NARBAYEV QUDAYBERGEN QALBAYEVICHdan. </v>
      </c>
      <c r="B6" s="305"/>
      <c r="C6" s="305"/>
      <c r="D6" s="305"/>
    </row>
    <row r="7" spans="1:4" ht="15.75" customHeight="1" x14ac:dyDescent="0.25">
      <c r="A7" s="303" t="str">
        <f>"Tug'ilgan kuni: "&amp;umumiy_malumot!B15&amp;""</f>
        <v>Tug'ilgan kuni: 10.06.1967 yil</v>
      </c>
      <c r="B7" s="303"/>
      <c r="C7" s="303"/>
      <c r="D7" s="303"/>
    </row>
    <row r="8" spans="1:4" ht="33" customHeight="1" x14ac:dyDescent="0.25">
      <c r="A8" s="303" t="str">
        <f>"Pasport seriyasi: "&amp;umumiy_malumot!B16&amp;" "&amp;umumiy_malumot!B20&amp;""</f>
        <v>Pasport seriyasi: AD 1654245 IIV 26264 tomonidan 15.08.2022 yilda berilgan</v>
      </c>
      <c r="B8" s="303"/>
      <c r="C8" s="303"/>
      <c r="D8" s="303"/>
    </row>
    <row r="9" spans="1:4" ht="16.5" customHeight="1" x14ac:dyDescent="0.25">
      <c r="A9" s="303" t="str">
        <f>"Asosiy ish joyi : "&amp;umumiy_malumot!B58&amp;""</f>
        <v>Asosiy ish joyi : Yakka tartibdagi tadbirkor</v>
      </c>
      <c r="B9" s="303"/>
      <c r="C9" s="303"/>
      <c r="D9" s="303"/>
    </row>
    <row r="10" spans="1:4" ht="15.75" customHeight="1" x14ac:dyDescent="0.25">
      <c r="A10" s="303" t="str">
        <f>"Lavozimi: "&amp;umumiy_malumot!B59&amp;""</f>
        <v>Lavozimi: Yakka tartibdagi tadbirkor</v>
      </c>
      <c r="B10" s="303"/>
      <c r="C10" s="303"/>
      <c r="D10" s="303"/>
    </row>
    <row r="11" spans="1:4" x14ac:dyDescent="0.25">
      <c r="A11" s="303" t="str">
        <f>"O’rtacha oylik daromadi: "&amp;FIXED(mijoz_anketasi!B27,2)&amp;" so'm."</f>
        <v>O’rtacha oylik daromadi: 32 000 000,00 so'm.</v>
      </c>
      <c r="B11" s="303"/>
      <c r="C11" s="303"/>
      <c r="D11" s="303"/>
    </row>
    <row r="12" spans="1:4" x14ac:dyDescent="0.25">
      <c r="A12" s="303" t="str">
        <f>"Menga quyidagi shartlarda "&amp;umumiy_malumot!B65&amp;" berishingizni so’rayman:"</f>
        <v>Menga quyidagi shartlarda mikroqarz berishingizni so’rayman:</v>
      </c>
      <c r="B12" s="303"/>
      <c r="C12" s="303"/>
      <c r="D12" s="303"/>
    </row>
    <row r="13" spans="1:4" x14ac:dyDescent="0.25">
      <c r="A13" s="303" t="str">
        <f>""&amp;umumiy_malumot!C64&amp;" summasi: "&amp;FIXED(umumiy_malumot!B76,2)&amp;" ("&amp;umumiy_malumot!B77&amp;") so'm."</f>
        <v>Mikroqarz summasi: 100 000 000,00 (yuz million so'm) so'm.</v>
      </c>
      <c r="B13" s="303"/>
      <c r="C13" s="303"/>
      <c r="D13" s="303"/>
    </row>
    <row r="14" spans="1:4" x14ac:dyDescent="0.25">
      <c r="A14" s="303" t="str">
        <f>""&amp;umumiy_malumot!C64&amp;" muddati: "&amp;umumiy_malumot!B82&amp;" ("&amp;umumiy_malumot!B83&amp;") oy."</f>
        <v>Mikroqarz muddati: 36 (O'ttiz olti  ) oy.</v>
      </c>
      <c r="B14" s="303"/>
      <c r="C14" s="303"/>
      <c r="D14" s="303"/>
    </row>
    <row r="15" spans="1:4" ht="17.25" customHeight="1" x14ac:dyDescent="0.25">
      <c r="A15" s="303" t="str">
        <f>""&amp;umumiy_malumot!C64&amp;"dan foydalanganlik uchun foiz stavkasi: yillik  "&amp;umumiy_malumot!B86&amp;"% ("&amp;umumiy_malumot!B87&amp;") foiz"</f>
        <v>Mikroqarzdan foydalanganlik uchun foiz stavkasi: yillik  55% (Ellik besh  ) foiz</v>
      </c>
      <c r="B15" s="303"/>
      <c r="C15" s="303"/>
      <c r="D15" s="303"/>
    </row>
    <row r="16" spans="1:4" x14ac:dyDescent="0.25">
      <c r="A16" s="303" t="str">
        <f>""&amp;umumiy_malumot!C64&amp;" bo'yicha asosiy qarz va foizlarni to'lash:"</f>
        <v>Mikroqarz bo'yicha asosiy qarz va foizlarni to'lash:</v>
      </c>
      <c r="B16" s="303"/>
      <c r="C16" s="303"/>
      <c r="D16" s="303"/>
    </row>
    <row r="17" spans="1:5" ht="20.25" hidden="1" customHeight="1" x14ac:dyDescent="0.25">
      <c r="A17" s="305" t="str">
        <f>" - "&amp;umumiy_malumot!B65&amp;" shartnomasi bo'yicha har oy differensial to'lovlari amalga oshiriladi"</f>
        <v xml:space="preserve"> - mikroqarz shartnomasi bo'yicha har oy differensial to'lovlari amalga oshiriladi</v>
      </c>
      <c r="B17" s="305"/>
      <c r="C17" s="305"/>
      <c r="D17" s="305"/>
    </row>
    <row r="18" spans="1:5" ht="33.75" hidden="1" customHeight="1" x14ac:dyDescent="0.25">
      <c r="A18" s="305" t="str">
        <f>" - "&amp;umumiy_malumot!B65&amp;" shartnomasi bo'yicha har oy annuitet to'lovlari amalga oshiriladi"</f>
        <v xml:space="preserve"> - mikroqarz shartnomasi bo'yicha har oy annuitet to'lovlari amalga oshiriladi</v>
      </c>
      <c r="B18" s="305"/>
      <c r="C18" s="305"/>
      <c r="D18" s="305"/>
    </row>
    <row r="19" spans="1:5" ht="21.75" customHeight="1" x14ac:dyDescent="0.25">
      <c r="A19" s="305" t="str">
        <f>IF(umumiy_malumot!B78=umumiy_malumot!C78,kredit_ariza!A17:D17,IF(umumiy_malumot!B78=umumiy_malumot!D78,kredit_ariza!A18:D18))</f>
        <v xml:space="preserve"> - mikroqarz shartnomasi bo'yicha har oy differensial to'lovlari amalga oshiriladi</v>
      </c>
      <c r="B19" s="305"/>
      <c r="C19" s="305"/>
      <c r="D19" s="305"/>
    </row>
    <row r="20" spans="1:5" ht="33.75" hidden="1" customHeight="1" x14ac:dyDescent="0.25">
      <c r="A20" s="303" t="str">
        <f>IF(DAY(umumiy_malumot!E67)&lt;15,"   ","  Oxirgi yakuniy to'lov "&amp;umumiy_malumot!B65&amp;" shartnomasi tuzilgan kundan boshlab oxirgi oyning oxirgi kunida amalga oshiriladi")</f>
        <v xml:space="preserve">   </v>
      </c>
      <c r="B20" s="303"/>
      <c r="C20" s="303"/>
      <c r="D20" s="303"/>
    </row>
    <row r="21" spans="1:5" x14ac:dyDescent="0.25">
      <c r="A21" s="303" t="str">
        <f>""&amp;umumiy_malumot!C64&amp;" ta’minoti::"</f>
        <v>Mikroqarz ta’minoti::</v>
      </c>
      <c r="B21" s="303"/>
      <c r="C21" s="303"/>
      <c r="D21" s="303"/>
    </row>
    <row r="22" spans="1:5" ht="79.5" customHeight="1" x14ac:dyDescent="0.25">
      <c r="A22" s="305" t="str">
        <f>"1. "&amp;IF(umumiy_malumot!B110="Avtotransport",A26,A23)&amp;""</f>
        <v>1.   Egalik huquqi NARBAYEV QUDAYBERGEN QALBAYEVICHga tegishli bo'lgan garovga olingan avtomobil markasi   CHEVROLET COBALT, rangi -  OQ SUMMIT WHITE, ishlab chiqarilgan yili - 2024, davlat raqam belgisi 01Z067RC, kuzov turi - YENGIL SEDAN, kuzov raqami XWBJA69VERA108471, dvigatel raqami B15D213241352MTAX0118, shassi raqami - RAQAMSIZ</v>
      </c>
      <c r="B22" s="305"/>
      <c r="C22" s="305"/>
      <c r="D22" s="305"/>
    </row>
    <row r="23" spans="1:5" ht="79.5" hidden="1" customHeight="1" x14ac:dyDescent="0.25">
      <c r="A23" s="305" t="str">
        <f>IF(umumiy_malumot!B99=umumiy_malumot!C99,A25,IF(umumiy_malumot!B99=umumiy_malumot!D99,A24,0))</f>
        <v xml:space="preserve"> Egalik huquqi NARBAYEV QUDAYBERGEN QALBAYEVICHga tegishli bo'lgan umumiy maydoni -   va yashash maydoni -   0,  </v>
      </c>
      <c r="B23" s="305"/>
      <c r="C23" s="305"/>
      <c r="D23" s="305"/>
    </row>
    <row r="24" spans="1:5" ht="96.75" hidden="1" customHeight="1" x14ac:dyDescent="0.25">
      <c r="A24" s="305" t="str">
        <f>" - Navbatdagi garov (ipoteka) Egalik huquqi asosida  "&amp;umumiy_malumot!C124&amp;"ga "&amp;umumiy_malumot!C133&amp;", umumiy maydoni - "&amp;umumiy_malumot!C137&amp;" va yashash maydoni - "&amp;umumiy_malumot!C140&amp;", manzili: "&amp;umumiy_malumot!C130&amp;"."</f>
        <v xml:space="preserve"> - Navbatdagi garov (ipoteka) Egalik huquqi asosida  NARBAYEV QUDAYBERGEN QALBAYEVICHga  0, umumiy maydoni -  va yashash maydoni - , manzili: .</v>
      </c>
      <c r="B24" s="305"/>
      <c r="C24" s="305"/>
      <c r="D24" s="305"/>
      <c r="E24" s="143"/>
    </row>
    <row r="25" spans="1:5" ht="92.25" hidden="1" customHeight="1" x14ac:dyDescent="0.25">
      <c r="A25" s="305" t="str">
        <f>" Egalik huquqi "&amp;umumiy_malumot!C124&amp;"ga tegishli bo'lgan umumiy maydoni - "&amp;umumiy_malumot!C137&amp;"  va yashash maydoni - "&amp;umumiy_malumot!C140&amp;" "&amp;umumiy_malumot!C133&amp;", "&amp;umumiy_malumot!C130&amp;" "</f>
        <v xml:space="preserve"> Egalik huquqi NARBAYEV QUDAYBERGEN QALBAYEVICHga tegishli bo'lgan umumiy maydoni -   va yashash maydoni -   0,  </v>
      </c>
      <c r="B25" s="305"/>
      <c r="C25" s="305"/>
      <c r="D25" s="305"/>
    </row>
    <row r="26" spans="1:5" ht="78" hidden="1" customHeight="1" x14ac:dyDescent="0.25">
      <c r="A26" s="305" t="str">
        <f>IF(umumiy_malumot!B99=umumiy_malumot!C99,kredit_ariza!A28:D28,IF(umumiy_malumot!B99=umumiy_malumot!D99,kredit_ariza!A27:D27,0))</f>
        <v xml:space="preserve">  Egalik huquqi NARBAYEV QUDAYBERGEN QALBAYEVICHga tegishli bo'lgan garovga olingan avtomobil markasi   CHEVROLET COBALT, rangi -  OQ SUMMIT WHITE, ishlab chiqarilgan yili - 2024, davlat raqam belgisi 01Z067RC, kuzov turi - YENGIL SEDAN, kuzov raqami XWBJA69VERA108471, dvigatel raqami B15D213241352MTAX0118, shassi raqami - RAQAMSIZ</v>
      </c>
      <c r="B26" s="305"/>
      <c r="C26" s="305"/>
      <c r="D26" s="305"/>
    </row>
    <row r="27" spans="1:5" ht="93" hidden="1" customHeight="1" x14ac:dyDescent="0.25">
      <c r="A27" s="305" t="str">
        <f>" Egalik huquqi "&amp;umumiy_malumot!B124&amp;"ga tegishli bo'lgan "&amp;umumiy_malumot!B132&amp;", "&amp;umumiy_malumot!B140&amp;", davlat raqam belgisi "&amp;umumiy_malumot!B133&amp;", "&amp;umumiy_malumot!B134&amp;", "&amp;umumiy_malumot!B137&amp;" avtotransport vositasi "</f>
        <v xml:space="preserve"> Egalik huquqi NARBAYEV QUDAYBERGEN QALBAYEVICHga tegishli bo'lgan CHEVROLET COBALT, rangi -  OQ SUMMIT WHITE, ishlab chiqarilgan yili - 2024, davlat raqam belgisi 01Z067RC, kuzov turi - YENGIL SEDAN, kuzov raqami XWBJA69VERA108471, dvigatel raqami B15D213241352MTAX0118, shassi raqami - RAQAMSIZ avtotransport vositasi </v>
      </c>
      <c r="B27" s="305"/>
      <c r="C27" s="305"/>
      <c r="D27" s="305"/>
    </row>
    <row r="28" spans="1:5" ht="93.75" hidden="1" customHeight="1" x14ac:dyDescent="0.25">
      <c r="A28" s="305" t="str">
        <f>"  Egalik huquqi "&amp;umumiy_malumot!B124&amp;"ga tegishli bo'lgan garovga olingan avtomobil markasi   "&amp;umumiy_malumot!B132&amp;", "&amp;umumiy_malumot!B140&amp;", davlat raqam belgisi "&amp;umumiy_malumot!B133&amp;", "&amp;umumiy_malumot!B134&amp;", "&amp;umumiy_malumot!B137&amp;""</f>
        <v xml:space="preserve">  Egalik huquqi NARBAYEV QUDAYBERGEN QALBAYEVICHga tegishli bo'lgan garovga olingan avtomobil markasi   CHEVROLET COBALT, rangi -  OQ SUMMIT WHITE, ishlab chiqarilgan yili - 2024, davlat raqam belgisi 01Z067RC, kuzov turi - YENGIL SEDAN, kuzov raqami XWBJA69VERA108471, dvigatel raqami B15D213241352MTAX0118, shassi raqami - RAQAMSIZ</v>
      </c>
      <c r="B28" s="305"/>
      <c r="C28" s="305"/>
      <c r="D28" s="305"/>
    </row>
    <row r="29" spans="1:5" ht="40.5" customHeight="1" x14ac:dyDescent="0.25">
      <c r="A29" s="306" t="str">
        <f>"2. 	«"&amp;umumiy_malumot!B154&amp;"» АJ sug‘urta kompaniyasi tomonidan "&amp;umumiy_malumot!C64&amp;" to'lamaslik xavfini "&amp;FIXED(umumiy_malumot!B155,2)&amp;"("&amp;umumiy_malumot!B156&amp;") so ' m miqdoriga sug’urta qilish"</f>
        <v>2. 	«АО СК "IMPEX INSURANCE"» АJ sug‘urta kompaniyasi tomonidan Mikroqarz to'lamaslik xavfini 14 000 000,00(o'n to'rt million so'm) so ' m miqdoriga sug’urta qilish</v>
      </c>
      <c r="B29" s="306"/>
      <c r="C29" s="306"/>
      <c r="D29" s="306"/>
    </row>
    <row r="30" spans="1:5" ht="10.5" hidden="1" customHeight="1" x14ac:dyDescent="0.25">
      <c r="A30" s="303"/>
      <c r="B30" s="303"/>
      <c r="C30" s="303"/>
      <c r="D30" s="303"/>
    </row>
    <row r="31" spans="1:5" ht="53.25" customHeight="1" x14ac:dyDescent="0.25">
      <c r="A31" s="305" t="str">
        <f>"Mazkur ariza bilan "&amp;umumiy_malumot!B158&amp;"ga men va soʻralayotgan "&amp;umumiy_malumot!B65&amp;" boʻyicha barcha zarur maʼlumotlarni quyida ko’rsatilgan tashkilotlarga taqdim etish va olishga roziligimni bildirib, ushbu amaliyotlarni o’tkazish uchun huquq beraman:"</f>
        <v>Mazkur ariza bilan «PULLOL BUSINESS MIKROMOLIYA TASHKILOTI»  MChJga men va soʻralayotgan mikroqarz boʻyicha barcha zarur maʼlumotlarni quyida ko’rsatilgan tashkilotlarga taqdim etish va olishga roziligimni bildirib, ushbu amaliyotlarni o’tkazish uchun huquq beraman:</v>
      </c>
      <c r="B31" s="305"/>
      <c r="C31" s="305"/>
      <c r="D31" s="305"/>
    </row>
    <row r="32" spans="1:5" ht="15.75" customHeight="1" x14ac:dyDescent="0.25">
      <c r="A32" s="305" t="s">
        <v>240</v>
      </c>
      <c r="B32" s="305"/>
      <c r="C32" s="305"/>
      <c r="D32" s="305"/>
    </row>
    <row r="33" spans="1:4" x14ac:dyDescent="0.25">
      <c r="A33" s="305" t="s">
        <v>241</v>
      </c>
      <c r="B33" s="305"/>
      <c r="C33" s="305"/>
      <c r="D33" s="305"/>
    </row>
    <row r="34" spans="1:4" x14ac:dyDescent="0.25">
      <c r="A34" s="305" t="s">
        <v>242</v>
      </c>
      <c r="B34" s="305"/>
      <c r="C34" s="305"/>
      <c r="D34" s="305"/>
    </row>
    <row r="35" spans="1:4" x14ac:dyDescent="0.25">
      <c r="A35" s="303" t="str">
        <f>"Ariza berilgan sana: "&amp;TEXT(umumiy_malumot!B2,"ДД.ММ.ГГГГ")&amp;"y."</f>
        <v>Ariza berilgan sana: 02.02.2026y.</v>
      </c>
      <c r="B35" s="303"/>
      <c r="C35" s="303"/>
      <c r="D35" s="303"/>
    </row>
    <row r="36" spans="1:4" hidden="1" x14ac:dyDescent="0.25">
      <c r="A36" s="303"/>
      <c r="B36" s="303"/>
      <c r="C36" s="303"/>
      <c r="D36" s="303"/>
    </row>
    <row r="37" spans="1:4" x14ac:dyDescent="0.25">
      <c r="A37" s="303" t="s">
        <v>243</v>
      </c>
      <c r="B37" s="303"/>
      <c r="C37" s="303"/>
      <c r="D37" s="303"/>
    </row>
    <row r="38" spans="1:4" hidden="1" x14ac:dyDescent="0.25">
      <c r="A38" s="303"/>
      <c r="B38" s="303"/>
      <c r="C38" s="303"/>
      <c r="D38" s="303"/>
    </row>
    <row r="39" spans="1:4" ht="11.25" customHeight="1" x14ac:dyDescent="0.25">
      <c r="A39" s="303"/>
      <c r="B39" s="303"/>
      <c r="C39" s="303"/>
      <c r="D39" s="303"/>
    </row>
    <row r="40" spans="1:4" ht="15.75" customHeight="1" x14ac:dyDescent="0.25">
      <c r="A40" s="304" t="str">
        <f>umumiy_malumot!B5</f>
        <v>NARBAYEV QUDAYBERGEN QALBAYEVICH</v>
      </c>
      <c r="B40" s="304"/>
      <c r="C40" s="304"/>
      <c r="D40" s="195" t="s">
        <v>379</v>
      </c>
    </row>
    <row r="41" spans="1:4" x14ac:dyDescent="0.25">
      <c r="A41" s="9"/>
      <c r="B41" s="9"/>
      <c r="D41" s="10" t="s">
        <v>320</v>
      </c>
    </row>
    <row r="42" spans="1:4" x14ac:dyDescent="0.25">
      <c r="A42" s="303"/>
      <c r="B42" s="303"/>
      <c r="C42" s="303"/>
      <c r="D42" s="303"/>
    </row>
    <row r="43" spans="1:4" x14ac:dyDescent="0.25">
      <c r="A43" s="11" t="str">
        <f>umumiy_malumot!A161</f>
        <v>Direktor</v>
      </c>
      <c r="B43" s="193"/>
      <c r="C43" s="193"/>
      <c r="D43" s="193" t="str">
        <f>umumiy_malumot!B161</f>
        <v>Obidov A.Sh.</v>
      </c>
    </row>
    <row r="44" spans="1:4" x14ac:dyDescent="0.25">
      <c r="A44" s="143"/>
      <c r="B44" s="143"/>
      <c r="C44" s="143"/>
      <c r="D44" s="143"/>
    </row>
    <row r="45" spans="1:4" x14ac:dyDescent="0.25">
      <c r="A45" s="143"/>
      <c r="B45" s="143"/>
      <c r="C45" s="143"/>
      <c r="D45" s="143"/>
    </row>
    <row r="46" spans="1:4" x14ac:dyDescent="0.25">
      <c r="A46" s="143"/>
      <c r="B46" s="143"/>
      <c r="C46" s="143"/>
      <c r="D46" s="143"/>
    </row>
    <row r="47" spans="1:4" x14ac:dyDescent="0.25">
      <c r="A47" s="303"/>
      <c r="B47" s="303"/>
      <c r="C47" s="303"/>
      <c r="D47" s="303"/>
    </row>
    <row r="48" spans="1:4" x14ac:dyDescent="0.25">
      <c r="A48" s="303"/>
      <c r="B48" s="303"/>
      <c r="C48" s="303"/>
      <c r="D48" s="303"/>
    </row>
    <row r="49" spans="1:4" x14ac:dyDescent="0.25">
      <c r="A49" s="303"/>
      <c r="B49" s="303"/>
      <c r="C49" s="303"/>
      <c r="D49" s="303"/>
    </row>
    <row r="50" spans="1:4" x14ac:dyDescent="0.25">
      <c r="A50" s="303"/>
      <c r="B50" s="303"/>
      <c r="C50" s="303"/>
      <c r="D50" s="303"/>
    </row>
    <row r="51" spans="1:4" x14ac:dyDescent="0.25">
      <c r="A51" s="303"/>
      <c r="B51" s="303"/>
      <c r="C51" s="303"/>
      <c r="D51" s="303"/>
    </row>
    <row r="52" spans="1:4" x14ac:dyDescent="0.25">
      <c r="A52" s="303"/>
      <c r="B52" s="303"/>
      <c r="C52" s="303"/>
      <c r="D52" s="303"/>
    </row>
    <row r="53" spans="1:4" x14ac:dyDescent="0.25">
      <c r="A53" s="303"/>
      <c r="B53" s="303"/>
      <c r="C53" s="303"/>
      <c r="D53" s="303"/>
    </row>
    <row r="54" spans="1:4" x14ac:dyDescent="0.25">
      <c r="A54" s="303"/>
      <c r="B54" s="303"/>
      <c r="C54" s="303"/>
      <c r="D54" s="303"/>
    </row>
    <row r="55" spans="1:4" x14ac:dyDescent="0.25">
      <c r="A55" s="303"/>
      <c r="B55" s="303"/>
      <c r="C55" s="303"/>
      <c r="D55" s="303"/>
    </row>
    <row r="56" spans="1:4" x14ac:dyDescent="0.25">
      <c r="A56" s="303"/>
      <c r="B56" s="303"/>
      <c r="C56" s="303"/>
      <c r="D56" s="303"/>
    </row>
    <row r="57" spans="1:4" x14ac:dyDescent="0.25">
      <c r="A57" s="303"/>
      <c r="B57" s="303"/>
      <c r="C57" s="303"/>
      <c r="D57" s="303"/>
    </row>
    <row r="58" spans="1:4" x14ac:dyDescent="0.25">
      <c r="A58" s="303"/>
      <c r="B58" s="303"/>
      <c r="C58" s="303"/>
      <c r="D58" s="303"/>
    </row>
    <row r="59" spans="1:4" x14ac:dyDescent="0.25">
      <c r="A59" s="303"/>
      <c r="B59" s="303"/>
      <c r="C59" s="303"/>
      <c r="D59" s="303"/>
    </row>
    <row r="60" spans="1:4" x14ac:dyDescent="0.25">
      <c r="A60" s="303"/>
      <c r="B60" s="303"/>
      <c r="C60" s="303"/>
      <c r="D60" s="303"/>
    </row>
    <row r="61" spans="1:4" x14ac:dyDescent="0.25">
      <c r="A61" s="303"/>
      <c r="B61" s="303"/>
      <c r="C61" s="303"/>
      <c r="D61" s="303"/>
    </row>
    <row r="62" spans="1:4" x14ac:dyDescent="0.25">
      <c r="A62" s="303"/>
      <c r="B62" s="303"/>
      <c r="C62" s="303"/>
      <c r="D62" s="303"/>
    </row>
    <row r="63" spans="1:4" x14ac:dyDescent="0.25">
      <c r="A63" s="303"/>
      <c r="B63" s="303"/>
      <c r="C63" s="303"/>
      <c r="D63" s="303"/>
    </row>
    <row r="64" spans="1:4" x14ac:dyDescent="0.25">
      <c r="A64" s="303"/>
      <c r="B64" s="303"/>
      <c r="C64" s="303"/>
      <c r="D64" s="303"/>
    </row>
    <row r="65" spans="1:4" x14ac:dyDescent="0.25">
      <c r="A65" s="303"/>
      <c r="B65" s="303"/>
      <c r="C65" s="303"/>
      <c r="D65" s="303"/>
    </row>
    <row r="66" spans="1:4" x14ac:dyDescent="0.25">
      <c r="A66" s="303"/>
      <c r="B66" s="303"/>
      <c r="C66" s="303"/>
      <c r="D66" s="303"/>
    </row>
    <row r="67" spans="1:4" x14ac:dyDescent="0.25">
      <c r="A67" s="303"/>
      <c r="B67" s="303"/>
      <c r="C67" s="303"/>
      <c r="D67" s="303"/>
    </row>
    <row r="68" spans="1:4" x14ac:dyDescent="0.25">
      <c r="A68" s="303"/>
      <c r="B68" s="303"/>
      <c r="C68" s="303"/>
      <c r="D68" s="303"/>
    </row>
    <row r="69" spans="1:4" x14ac:dyDescent="0.25">
      <c r="A69" s="303"/>
      <c r="B69" s="303"/>
      <c r="C69" s="303"/>
      <c r="D69" s="303"/>
    </row>
    <row r="70" spans="1:4" x14ac:dyDescent="0.25">
      <c r="A70" s="303"/>
      <c r="B70" s="303"/>
      <c r="C70" s="303"/>
      <c r="D70" s="303"/>
    </row>
    <row r="71" spans="1:4" x14ac:dyDescent="0.25">
      <c r="A71" s="303"/>
      <c r="B71" s="303"/>
      <c r="C71" s="303"/>
      <c r="D71" s="303"/>
    </row>
    <row r="72" spans="1:4" x14ac:dyDescent="0.25">
      <c r="A72" s="303"/>
      <c r="B72" s="303"/>
      <c r="C72" s="303"/>
      <c r="D72" s="303"/>
    </row>
    <row r="73" spans="1:4" x14ac:dyDescent="0.25">
      <c r="A73" s="303"/>
      <c r="B73" s="303"/>
      <c r="C73" s="303"/>
      <c r="D73" s="303"/>
    </row>
    <row r="74" spans="1:4" x14ac:dyDescent="0.25">
      <c r="A74" s="303"/>
      <c r="B74" s="303"/>
      <c r="C74" s="303"/>
      <c r="D74" s="303"/>
    </row>
    <row r="75" spans="1:4" x14ac:dyDescent="0.25">
      <c r="A75" s="303"/>
      <c r="B75" s="303"/>
      <c r="C75" s="303"/>
      <c r="D75" s="303"/>
    </row>
    <row r="76" spans="1:4" x14ac:dyDescent="0.25">
      <c r="A76" s="303"/>
      <c r="B76" s="303"/>
      <c r="C76" s="303"/>
      <c r="D76" s="303"/>
    </row>
    <row r="77" spans="1:4" x14ac:dyDescent="0.25">
      <c r="A77" s="303"/>
      <c r="B77" s="303"/>
      <c r="C77" s="303"/>
      <c r="D77" s="303"/>
    </row>
    <row r="78" spans="1:4" x14ac:dyDescent="0.25">
      <c r="A78" s="303"/>
      <c r="B78" s="303"/>
      <c r="C78" s="303"/>
      <c r="D78" s="303"/>
    </row>
  </sheetData>
  <mergeCells count="71">
    <mergeCell ref="A4:D4"/>
    <mergeCell ref="A5:D5"/>
    <mergeCell ref="C1:D1"/>
    <mergeCell ref="A6:D6"/>
    <mergeCell ref="A7:D7"/>
    <mergeCell ref="A8:D8"/>
    <mergeCell ref="A9:D9"/>
    <mergeCell ref="A10:D10"/>
    <mergeCell ref="A11:D11"/>
    <mergeCell ref="A12:D12"/>
    <mergeCell ref="A18:D18"/>
    <mergeCell ref="A19:D19"/>
    <mergeCell ref="A26:D26"/>
    <mergeCell ref="A27:D27"/>
    <mergeCell ref="A24:D24"/>
    <mergeCell ref="A23:D23"/>
    <mergeCell ref="A20:D20"/>
    <mergeCell ref="A21:D21"/>
    <mergeCell ref="A22:D22"/>
    <mergeCell ref="A25:D25"/>
    <mergeCell ref="A13:D13"/>
    <mergeCell ref="A14:D14"/>
    <mergeCell ref="A15:D15"/>
    <mergeCell ref="A16:D16"/>
    <mergeCell ref="A17:D17"/>
    <mergeCell ref="A31:D31"/>
    <mergeCell ref="A32:D32"/>
    <mergeCell ref="A33:D33"/>
    <mergeCell ref="A34:D34"/>
    <mergeCell ref="A28:D28"/>
    <mergeCell ref="A30:D30"/>
    <mergeCell ref="A29:D29"/>
    <mergeCell ref="A35:D35"/>
    <mergeCell ref="A42:D42"/>
    <mergeCell ref="A36:D36"/>
    <mergeCell ref="A37:D37"/>
    <mergeCell ref="A38:D38"/>
    <mergeCell ref="A39:D39"/>
    <mergeCell ref="A47:D47"/>
    <mergeCell ref="A48:D48"/>
    <mergeCell ref="A49:D49"/>
    <mergeCell ref="A50:D50"/>
    <mergeCell ref="A51:D51"/>
    <mergeCell ref="A52:D52"/>
    <mergeCell ref="A53:D53"/>
    <mergeCell ref="A54:D54"/>
    <mergeCell ref="A55:D55"/>
    <mergeCell ref="A63:D63"/>
    <mergeCell ref="A64:D64"/>
    <mergeCell ref="A65:D65"/>
    <mergeCell ref="A56:D56"/>
    <mergeCell ref="A57:D57"/>
    <mergeCell ref="A58:D58"/>
    <mergeCell ref="A59:D59"/>
    <mergeCell ref="A60:D60"/>
    <mergeCell ref="A76:D76"/>
    <mergeCell ref="A77:D77"/>
    <mergeCell ref="A78:D78"/>
    <mergeCell ref="A40:C40"/>
    <mergeCell ref="A71:D71"/>
    <mergeCell ref="A72:D72"/>
    <mergeCell ref="A73:D73"/>
    <mergeCell ref="A74:D74"/>
    <mergeCell ref="A75:D75"/>
    <mergeCell ref="A66:D66"/>
    <mergeCell ref="A67:D67"/>
    <mergeCell ref="A68:D68"/>
    <mergeCell ref="A69:D69"/>
    <mergeCell ref="A70:D70"/>
    <mergeCell ref="A61:D61"/>
    <mergeCell ref="A62:D62"/>
  </mergeCells>
  <pageMargins left="0.70866141732283472" right="0.70866141732283472" top="0.74803149606299213" bottom="0.74803149606299213" header="0.31496062992125984" footer="0.31496062992125984"/>
  <pageSetup paperSize="9" scale="9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22">
    <tabColor rgb="FF00B050"/>
  </sheetPr>
  <dimension ref="A3:B11"/>
  <sheetViews>
    <sheetView view="pageBreakPreview" zoomScale="85" zoomScaleNormal="100" zoomScaleSheetLayoutView="85" workbookViewId="0">
      <selection activeCell="E33" sqref="E33"/>
    </sheetView>
  </sheetViews>
  <sheetFormatPr defaultRowHeight="15" x14ac:dyDescent="0.25"/>
  <cols>
    <col min="1" max="1" width="54.42578125" style="13" customWidth="1"/>
    <col min="2" max="2" width="32.28515625" style="13" customWidth="1"/>
  </cols>
  <sheetData>
    <row r="3" spans="1:2" ht="35.25" customHeight="1" x14ac:dyDescent="0.25">
      <c r="A3" s="309" t="s">
        <v>206</v>
      </c>
      <c r="B3" s="309"/>
    </row>
    <row r="4" spans="1:2" ht="92.25" customHeight="1" x14ac:dyDescent="0.25">
      <c r="A4" s="271" t="str">
        <f>"     Men, fuqaro "&amp;umumiy_malumot!B5&amp;" "&amp;umumiy_malumot!B160&amp;" bilan "&amp;umumiy_malumot!B69&amp;" sanasidagi "&amp;umumiy_malumot!B66&amp;"-sonli shartnomaning garov ta'minoti sifatida taqdim etilayotgan mulk "&amp;umumiy_malumot!B132&amp;" rusumli avtotransport vositasini qonunga xilof ravishda o‘zlashtirmaslikka, yashirmaslikka, nobud qilmaslikka yoki unga shikast yetkazmaslik majburiyatini olaman."</f>
        <v xml:space="preserve">     Men, fuqaro NARBAYEV QUDAYBERGEN QALBAYEVICH «PULLOL BUSINESS MIKROMOLIYA TASHKILOTI»  MChJ bilan 2 fevral 2026 y. sanasidagi № 53-sonli shartnomaning garov ta'minoti sifatida taqdim etilayotgan mulk CHEVROLET COBALT rusumli avtotransport vositasini qonunga xilof ravishda o‘zlashtirmaslikka, yashirmaslikka, nobud qilmaslikka yoki unga shikast yetkazmaslik majburiyatini olaman.</v>
      </c>
      <c r="B4" s="271"/>
    </row>
    <row r="5" spans="1:2" ht="56.25" customHeight="1" x14ac:dyDescent="0.25">
      <c r="A5" s="310" t="s">
        <v>207</v>
      </c>
      <c r="B5" s="310"/>
    </row>
    <row r="6" spans="1:2" ht="42.75" customHeight="1" x14ac:dyDescent="0.25"/>
    <row r="7" spans="1:2" x14ac:dyDescent="0.25">
      <c r="A7" s="13" t="str">
        <f>umumiy_malumot!B5</f>
        <v>NARBAYEV QUDAYBERGEN QALBAYEVICH</v>
      </c>
      <c r="B7" s="125" t="s">
        <v>208</v>
      </c>
    </row>
    <row r="8" spans="1:2" ht="26.25" customHeight="1" x14ac:dyDescent="0.25"/>
    <row r="9" spans="1:2" hidden="1" x14ac:dyDescent="0.25">
      <c r="A9" s="13" t="str">
        <f>umumiy_malumot!B5</f>
        <v>NARBAYEV QUDAYBERGEN QALBAYEVICH</v>
      </c>
      <c r="B9" s="125" t="s">
        <v>208</v>
      </c>
    </row>
    <row r="10" spans="1:2" ht="26.25" customHeight="1" x14ac:dyDescent="0.25"/>
    <row r="11" spans="1:2" x14ac:dyDescent="0.25">
      <c r="A11" s="13" t="str">
        <f>"sana:   "&amp;TEXT(umumiy_malumot!B2,"ДД.ММ.ГГГГ")&amp;" y."</f>
        <v>sana:   02.02.2026 y.</v>
      </c>
    </row>
  </sheetData>
  <mergeCells count="3">
    <mergeCell ref="A3:B3"/>
    <mergeCell ref="A4:B4"/>
    <mergeCell ref="A5:B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7">
    <tabColor rgb="FF00B050"/>
  </sheetPr>
  <dimension ref="A1:E67"/>
  <sheetViews>
    <sheetView view="pageBreakPreview" zoomScaleSheetLayoutView="100" workbookViewId="0">
      <selection activeCell="B55" sqref="B55"/>
    </sheetView>
  </sheetViews>
  <sheetFormatPr defaultColWidth="9.140625" defaultRowHeight="15" outlineLevelRow="1" x14ac:dyDescent="0.25"/>
  <cols>
    <col min="1" max="2" width="23.7109375" style="13" customWidth="1"/>
    <col min="3" max="3" width="18.28515625" style="13" customWidth="1"/>
    <col min="4" max="5" width="17" style="13" customWidth="1"/>
    <col min="6" max="16384" width="9.140625" style="13"/>
  </cols>
  <sheetData>
    <row r="1" spans="1:5" ht="36" customHeight="1" x14ac:dyDescent="0.25">
      <c r="A1" s="312" t="str">
        <f>""&amp;umumiy_malumot!B158&amp;"
mikromoliya tashkilotining Xulosasi"</f>
        <v>«PULLOL BUSINESS MIKROMOLIYA TASHKILOTI»  MChJ
mikromoliya tashkilotining Xulosasi</v>
      </c>
      <c r="B1" s="312"/>
      <c r="C1" s="312"/>
      <c r="D1" s="312"/>
      <c r="E1" s="312"/>
    </row>
    <row r="2" spans="1:5" x14ac:dyDescent="0.25">
      <c r="A2" s="271"/>
      <c r="B2" s="271"/>
      <c r="C2" s="271"/>
      <c r="D2" s="271"/>
      <c r="E2" s="271"/>
    </row>
    <row r="3" spans="1:5" x14ac:dyDescent="0.25">
      <c r="A3" s="312" t="s">
        <v>196</v>
      </c>
      <c r="B3" s="312"/>
      <c r="C3" s="312"/>
      <c r="D3" s="312"/>
      <c r="E3" s="312"/>
    </row>
    <row r="4" spans="1:5" x14ac:dyDescent="0.25">
      <c r="A4" s="271" t="str">
        <f>"Mijozning to'liq ismi sharifi: "&amp;umumiy_malumot!B5&amp;""</f>
        <v>Mijozning to'liq ismi sharifi: NARBAYEV QUDAYBERGEN QALBAYEVICH</v>
      </c>
      <c r="B4" s="271"/>
      <c r="C4" s="271"/>
      <c r="D4" s="271"/>
      <c r="E4" s="271"/>
    </row>
    <row r="5" spans="1:5" x14ac:dyDescent="0.25">
      <c r="A5" s="271" t="str">
        <f>"Tug'ilgan sanasi: "&amp;umumiy_malumot!B15&amp;""</f>
        <v>Tug'ilgan sanasi: 10.06.1967 yil</v>
      </c>
      <c r="B5" s="271"/>
      <c r="C5" s="271"/>
      <c r="D5" s="271"/>
      <c r="E5" s="271"/>
    </row>
    <row r="6" spans="1:5" ht="31.5" customHeight="1" x14ac:dyDescent="0.25">
      <c r="A6" s="271" t="str">
        <f>"Pasport seriyasi "&amp;umumiy_malumot!B16&amp;" "&amp;umumiy_malumot!B20&amp;", amal qilish muddati - "&amp;umumiy_malumot!B21&amp;""</f>
        <v>Pasport seriyasi AD 1654245 IIV 26264 tomonidan 15.08.2022 yilda berilgan, amal qilish muddati - 14.08.2032 y.</v>
      </c>
      <c r="B6" s="271"/>
      <c r="C6" s="271"/>
      <c r="D6" s="271"/>
      <c r="E6" s="271"/>
    </row>
    <row r="7" spans="1:5" ht="48" customHeight="1" x14ac:dyDescent="0.25">
      <c r="A7" s="271" t="str">
        <f>"Ro‘yxatdan o‘tgan manzili: "&amp;umumiy_malumot!B22&amp;", mo'ljal: "&amp;umumiy_malumot!B26&amp;""</f>
        <v>Ro‘yxatdan o‘tgan manzili: TOSHKENT SHAHAR BEKTEMIR TUMANI MAJNUNTOL MFY MAJNUNTOL MAXALLA SHONIGOR KO'CHASI  113 UY, mo'ljal: SAM MOYKA KARZINKA MAHALLA</v>
      </c>
      <c r="B7" s="271"/>
      <c r="C7" s="271"/>
      <c r="D7" s="271"/>
      <c r="E7" s="271"/>
    </row>
    <row r="8" spans="1:5" ht="23.25" customHeight="1" x14ac:dyDescent="0.25">
      <c r="A8" s="271" t="str">
        <f>"Ish joyi: "&amp;umumiy_malumot!B52&amp;" lavozimi "&amp;umumiy_malumot!B49&amp;"da "&amp;umumiy_malumot!B44&amp;""</f>
        <v>Ish joyi:  lavozimi Yakka tartibdagi tadbirkorda Yakka tartibdagi tadbirkor</v>
      </c>
      <c r="B8" s="271"/>
      <c r="C8" s="271"/>
      <c r="D8" s="271"/>
      <c r="E8" s="271"/>
    </row>
    <row r="9" spans="1:5" x14ac:dyDescent="0.25">
      <c r="A9" s="271"/>
      <c r="B9" s="271"/>
      <c r="C9" s="271"/>
      <c r="D9" s="271"/>
      <c r="E9" s="271"/>
    </row>
    <row r="10" spans="1:5" x14ac:dyDescent="0.25">
      <c r="A10" s="312" t="str">
        <f>"Mijoz tomonidan so’ralgan "&amp;umumiy_malumot!B65&amp;" shartlari:"</f>
        <v>Mijoz tomonidan so’ralgan mikroqarz shartlari:</v>
      </c>
      <c r="B10" s="312"/>
      <c r="C10" s="312"/>
      <c r="D10" s="312"/>
      <c r="E10" s="312"/>
    </row>
    <row r="11" spans="1:5" x14ac:dyDescent="0.25">
      <c r="A11" s="271" t="str">
        <f>kredit_ariza!A13:D13</f>
        <v>Mikroqarz summasi: 100 000 000,00 (yuz million so'm) so'm.</v>
      </c>
      <c r="B11" s="271"/>
      <c r="C11" s="271"/>
      <c r="D11" s="271"/>
      <c r="E11" s="271"/>
    </row>
    <row r="12" spans="1:5" x14ac:dyDescent="0.25">
      <c r="A12" s="271" t="str">
        <f>kredit_ariza!A14:D14</f>
        <v>Mikroqarz muddati: 36 (O'ttiz olti  ) oy.</v>
      </c>
      <c r="B12" s="271"/>
      <c r="C12" s="271"/>
      <c r="D12" s="271"/>
      <c r="E12" s="271"/>
    </row>
    <row r="13" spans="1:5" x14ac:dyDescent="0.25">
      <c r="A13" s="271" t="str">
        <f>kredit_ariza!A15:D15</f>
        <v>Mikroqarzdan foydalanganlik uchun foiz stavkasi: yillik  55% (Ellik besh  ) foiz</v>
      </c>
      <c r="B13" s="271"/>
      <c r="C13" s="271"/>
      <c r="D13" s="271"/>
      <c r="E13" s="271"/>
    </row>
    <row r="14" spans="1:5" x14ac:dyDescent="0.25">
      <c r="A14" s="271" t="str">
        <f>kredit_ariza!A16:D16</f>
        <v>Mikroqarz bo'yicha asosiy qarz va foizlarni to'lash:</v>
      </c>
      <c r="B14" s="271"/>
      <c r="C14" s="271"/>
      <c r="D14" s="271"/>
      <c r="E14" s="271"/>
    </row>
    <row r="15" spans="1:5" ht="18.75" customHeight="1" x14ac:dyDescent="0.25">
      <c r="A15" s="271" t="str">
        <f>kredit_ariza!A19:D19</f>
        <v xml:space="preserve"> - mikroqarz shartnomasi bo'yicha har oy differensial to'lovlari amalga oshiriladi</v>
      </c>
      <c r="B15" s="271"/>
      <c r="C15" s="271"/>
      <c r="D15" s="271"/>
      <c r="E15" s="271"/>
    </row>
    <row r="16" spans="1:5" ht="14.25" customHeight="1" x14ac:dyDescent="0.25">
      <c r="A16" s="272" t="str">
        <f>kredit_ariza!A20:D20</f>
        <v xml:space="preserve">   </v>
      </c>
      <c r="B16" s="272"/>
      <c r="C16" s="272"/>
      <c r="D16" s="272"/>
      <c r="E16" s="272"/>
    </row>
    <row r="17" spans="1:5" x14ac:dyDescent="0.25">
      <c r="A17" s="271" t="str">
        <f>kredit_ariza!A21:D21</f>
        <v>Mikroqarz ta’minoti::</v>
      </c>
      <c r="B17" s="271"/>
      <c r="C17" s="271"/>
      <c r="D17" s="271"/>
      <c r="E17" s="271"/>
    </row>
    <row r="18" spans="1:5" ht="67.5" customHeight="1" x14ac:dyDescent="0.25">
      <c r="A18" s="271" t="str">
        <f>kredit_ariza!A22:D22</f>
        <v>1.   Egalik huquqi NARBAYEV QUDAYBERGEN QALBAYEVICHga tegishli bo'lgan garovga olingan avtomobil markasi   CHEVROLET COBALT, rangi -  OQ SUMMIT WHITE, ishlab chiqarilgan yili - 2024, davlat raqam belgisi 01Z067RC, kuzov turi - YENGIL SEDAN, kuzov raqami XWBJA69VERA108471, dvigatel raqami B15D213241352MTAX0118, shassi raqami - RAQAMSIZ</v>
      </c>
      <c r="B18" s="271"/>
      <c r="C18" s="271"/>
      <c r="D18" s="271"/>
      <c r="E18" s="271"/>
    </row>
    <row r="19" spans="1:5" x14ac:dyDescent="0.25">
      <c r="A19" s="312" t="s">
        <v>197</v>
      </c>
      <c r="B19" s="312"/>
      <c r="C19" s="312"/>
      <c r="D19" s="312"/>
      <c r="E19" s="312"/>
    </row>
    <row r="20" spans="1:5" ht="21" customHeight="1" x14ac:dyDescent="0.25">
      <c r="A20" s="271" t="str">
        <f>"Anketaga muvofiq "&amp;umumiy_malumot!B9&amp;"ning o‘rtacha oylik daromadi  "&amp;FIXED(mijoz_anketasi!B27)&amp;" so‘mni tashkil etdi."</f>
        <v>Anketaga muvofiq NARBAYEV Q. Q.ning o‘rtacha oylik daromadi  32 000 000,00 so‘mni tashkil etdi.</v>
      </c>
      <c r="B20" s="271"/>
      <c r="C20" s="271"/>
      <c r="D20" s="271"/>
      <c r="E20" s="271"/>
    </row>
    <row r="21" spans="1:5" ht="21" customHeight="1" x14ac:dyDescent="0.25">
      <c r="A21" s="271" t="str">
        <f>"Mijozning o'rtacha oylik xarajatlari "&amp;FIXED(mijoz_anketasi!F27)&amp;" so'mni tashkil etdi"</f>
        <v>Mijozning o'rtacha oylik xarajatlari 1 800 000,00 so'mni tashkil etdi</v>
      </c>
      <c r="B21" s="271"/>
      <c r="C21" s="271"/>
      <c r="D21" s="271"/>
      <c r="E21" s="271"/>
    </row>
    <row r="22" spans="1:5" ht="18" hidden="1" customHeight="1" x14ac:dyDescent="0.25">
      <c r="A22" s="271" t="str">
        <f>IF(umumiy_malumot!B78=umumiy_malumot!C78,xulosa!A23:E23,xulosa!A24:E24)</f>
        <v>Mikroqarz shartnomasi bo'yicha birinchi oy uchun to'lov 8 202 435,26 so'mni tashkil etadi.</v>
      </c>
      <c r="B22" s="271"/>
      <c r="C22" s="271"/>
      <c r="D22" s="271"/>
      <c r="E22" s="271"/>
    </row>
    <row r="23" spans="1:5" ht="21" hidden="1" customHeight="1" x14ac:dyDescent="0.25">
      <c r="A23" s="271" t="str">
        <f>""&amp;umumiy_malumot!C64&amp;" shartnomasi bo'yicha birinchi oy uchun to'lov "&amp;FIXED(umumiy_malumot!B91)&amp;" so'mni tashkil etadi."</f>
        <v>Mikroqarz shartnomasi bo'yicha birinchi oy uchun to'lov 8 202 435,26 so'mni tashkil etadi.</v>
      </c>
      <c r="B23" s="271"/>
      <c r="C23" s="271"/>
      <c r="D23" s="271"/>
      <c r="E23" s="271"/>
    </row>
    <row r="24" spans="1:5" x14ac:dyDescent="0.25">
      <c r="A24" s="271" t="str">
        <f>""&amp;umumiy_malumot!C64&amp;" bo‘yicha oylik "&amp;umumiy_malumot!B78&amp;" to‘lovi miqdori "&amp;FIXED(umumiy_malumot!B91)&amp;" so‘mni tashkil etadi."</f>
        <v>Mikroqarz bo‘yicha oylik differensial to‘lovi miqdori 8 202 435,26 so‘mni tashkil etadi.</v>
      </c>
      <c r="B24" s="271"/>
      <c r="C24" s="271"/>
      <c r="D24" s="271"/>
      <c r="E24" s="271"/>
    </row>
    <row r="25" spans="1:5" ht="53.25" customHeight="1" x14ac:dyDescent="0.25">
      <c r="A25" s="272" t="s">
        <v>457</v>
      </c>
      <c r="B25" s="272"/>
      <c r="C25" s="272"/>
      <c r="D25" s="272"/>
      <c r="E25" s="272"/>
    </row>
    <row r="26" spans="1:5" x14ac:dyDescent="0.25">
      <c r="A26" s="312" t="str">
        <f>""&amp;umumiy_malumot!C64&amp;" bo’yicha ta’minot:"</f>
        <v>Mikroqarz bo’yicha ta’minot:</v>
      </c>
      <c r="B26" s="312"/>
      <c r="C26" s="312"/>
      <c r="D26" s="312"/>
      <c r="E26" s="312"/>
    </row>
    <row r="27" spans="1:5" ht="31.5" hidden="1" customHeight="1" x14ac:dyDescent="0.25">
      <c r="A27" s="271" t="str">
        <f>" - "&amp;umumiy_malumot!B124&amp;" ga mulk huquqi asosida tegishli avtotransport vositasi "&amp;umumiy_malumot!B132&amp;" , quyidagi tafsilotlarga muvofiq:"</f>
        <v xml:space="preserve"> - NARBAYEV QUDAYBERGEN QALBAYEVICH ga mulk huquqi asosida tegishli avtotransport vositasi CHEVROLET COBALT , quyidagi tafsilotlarga muvofiq:</v>
      </c>
      <c r="B27" s="271"/>
      <c r="C27" s="271"/>
      <c r="D27" s="271"/>
      <c r="E27" s="271"/>
    </row>
    <row r="28" spans="1:5" ht="67.5" hidden="1" customHeight="1" x14ac:dyDescent="0.25">
      <c r="A28" s="271" t="str">
        <f>" -   "&amp;umumiy_malumot!C124&amp;" ga mulk huquqi asosida tegishli ko'chmas mulk shaklida "&amp;umumiy_malumot!C133&amp;", manzili: "&amp;umumiy_malumot!C130&amp;", quyidagi tafsilotlarga muvofiq:"</f>
        <v xml:space="preserve"> -   NARBAYEV QUDAYBERGEN QALBAYEVICH ga mulk huquqi asosida tegishli ko'chmas mulk shaklida  0, manzili: , quyidagi tafsilotlarga muvofiq:</v>
      </c>
      <c r="B28" s="271"/>
      <c r="C28" s="271"/>
      <c r="D28" s="271"/>
      <c r="E28" s="271"/>
    </row>
    <row r="29" spans="1:5" ht="44.25" customHeight="1" x14ac:dyDescent="0.25">
      <c r="A29" s="271" t="str">
        <f>IF(umumiy_malumot!B110="Avtotransport",xulosa!A27:E27,xulosa!A28:E28)</f>
        <v xml:space="preserve"> - NARBAYEV QUDAYBERGEN QALBAYEVICH ga mulk huquqi asosida tegishli avtotransport vositasi CHEVROLET COBALT , quyidagi tafsilotlarga muvofiq:</v>
      </c>
      <c r="B29" s="271"/>
      <c r="C29" s="271"/>
      <c r="D29" s="271"/>
      <c r="E29" s="271"/>
    </row>
    <row r="30" spans="1:5" s="14" customFormat="1" ht="47.25" customHeight="1" outlineLevel="1" x14ac:dyDescent="0.25">
      <c r="A30" s="36" t="str">
        <f>dalolatnoma!A29</f>
        <v>Nomi</v>
      </c>
      <c r="B30" s="36" t="str">
        <f>dalolatnoma!B29</f>
        <v>Kuzov turi  va kuzov raqami*</v>
      </c>
      <c r="C30" s="36" t="str">
        <f>dalolatnoma!C29</f>
        <v>Dvigatel va shassi raqami*</v>
      </c>
      <c r="D30" s="36" t="str">
        <f>dalolatnoma!D29</f>
        <v>Ishlab chiqarilgan yili va rangi*</v>
      </c>
      <c r="E30" s="36" t="str">
        <f>dalolatnoma!E29</f>
        <v>Kelishilgan garov qiymati, so'm</v>
      </c>
    </row>
    <row r="31" spans="1:5" s="18" customFormat="1" ht="102.75" customHeight="1" outlineLevel="1" x14ac:dyDescent="0.25">
      <c r="A31" s="15" t="str">
        <f>dalolatnoma!A30</f>
        <v>CHEVROLET COBALT</v>
      </c>
      <c r="B31" s="15" t="str">
        <f>dalolatnoma!B30</f>
        <v>kuzov turi - YENGIL SEDAN, kuzov raqami XWBJA69VERA108471</v>
      </c>
      <c r="C31" s="15" t="str">
        <f>dalolatnoma!C30</f>
        <v>dvigatel raqami B15D213241352MTAX0118, shassi raqami - RAQAMSIZ</v>
      </c>
      <c r="D31" s="15" t="str">
        <f>dalolatnoma!D30</f>
        <v>rangi -  OQ SUMMIT WHITE, ishlab chiqarilgan yili - 2024</v>
      </c>
      <c r="E31" s="15" t="str">
        <f>dalolatnoma!E30</f>
        <v>126 000 000,00 
(yuz yigirma olti million so'm)</v>
      </c>
    </row>
    <row r="32" spans="1:5" ht="15.75" customHeight="1" outlineLevel="1" x14ac:dyDescent="0.25">
      <c r="A32" s="271" t="str">
        <f>dalolatnoma!A22</f>
        <v>-* avtotransport egasi: NARBAYEV QUDAYBERGEN QALBAYEVICH</v>
      </c>
      <c r="B32" s="271"/>
      <c r="C32" s="271"/>
      <c r="D32" s="271"/>
      <c r="E32" s="271"/>
    </row>
    <row r="33" spans="1:5" ht="15" customHeight="1" outlineLevel="1" x14ac:dyDescent="0.25">
      <c r="A33" s="271" t="str">
        <f>dalolatnoma!A23</f>
        <v>-* texnik pasport: AAG       4174202      15.06.2024 yilda</v>
      </c>
      <c r="B33" s="271"/>
      <c r="C33" s="271"/>
      <c r="D33" s="271"/>
      <c r="E33" s="271"/>
    </row>
    <row r="34" spans="1:5" ht="33" customHeight="1" outlineLevel="1" x14ac:dyDescent="0.25">
      <c r="A34" s="271" t="str">
        <f>dalolatnoma!A24</f>
        <v>-* roʻyxatdan oʻtgan manzili/garaj manzili: TOSHKENT SHAHAR BEKTEMIR TUMANI MAJNUNTOL MFY MAJNUNTOL MAXALLA SHONIGOR KO'CHASI  113 UY</v>
      </c>
      <c r="B34" s="271"/>
      <c r="C34" s="271"/>
      <c r="D34" s="271"/>
      <c r="E34" s="271"/>
    </row>
    <row r="35" spans="1:5" ht="25.5" customHeight="1" outlineLevel="1" x14ac:dyDescent="0.25">
      <c r="A35" s="271" t="str">
        <f>dalolatnoma!A25</f>
        <v>-* davlat raqami: 01Z067RC</v>
      </c>
      <c r="B35" s="271"/>
      <c r="C35" s="271"/>
      <c r="D35" s="271"/>
      <c r="E35" s="271"/>
    </row>
    <row r="36" spans="1:5" ht="39" customHeight="1" x14ac:dyDescent="0.25">
      <c r="A36" s="312" t="str">
        <f>""&amp;umumiy_malumot!B158&amp;"
mikromoliya tashkilotining Xulosasi"</f>
        <v>«PULLOL BUSINESS MIKROMOLIYA TASHKILOTI»  MChJ
mikromoliya tashkilotining Xulosasi</v>
      </c>
      <c r="B36" s="312"/>
      <c r="C36" s="312"/>
      <c r="D36" s="312"/>
      <c r="E36" s="312"/>
    </row>
    <row r="37" spans="1:5" ht="33.75" customHeight="1" x14ac:dyDescent="0.25">
      <c r="A37" s="271" t="str">
        <f>""&amp;umumiy_malumot!B158&amp;" kredit qo‘mitasining xulosasiga quyidagi shartlarda "&amp;umumiy_malumot!B10&amp;"ga "&amp;umumiy_malumot!B65&amp;" berish masalasi kiritiladi:"</f>
        <v>«PULLOL BUSINESS MIKROMOLIYA TASHKILOTI»  MChJ kredit qo‘mitasining xulosasiga quyidagi shartlarda NARBAYEV QUDAYBERGEN QALBAYEVICHga mikroqarz berish masalasi kiritiladi:</v>
      </c>
      <c r="B37" s="271"/>
      <c r="C37" s="271"/>
      <c r="D37" s="271"/>
      <c r="E37" s="271"/>
    </row>
    <row r="38" spans="1:5" x14ac:dyDescent="0.25">
      <c r="A38" s="271" t="str">
        <f>A11</f>
        <v>Mikroqarz summasi: 100 000 000,00 (yuz million so'm) so'm.</v>
      </c>
      <c r="B38" s="271"/>
      <c r="C38" s="271"/>
      <c r="D38" s="271"/>
      <c r="E38" s="271"/>
    </row>
    <row r="39" spans="1:5" x14ac:dyDescent="0.25">
      <c r="A39" s="271" t="str">
        <f t="shared" ref="A39:A45" si="0">A12</f>
        <v>Mikroqarz muddati: 36 (O'ttiz olti  ) oy.</v>
      </c>
      <c r="B39" s="271"/>
      <c r="C39" s="271"/>
      <c r="D39" s="271"/>
      <c r="E39" s="271"/>
    </row>
    <row r="40" spans="1:5" x14ac:dyDescent="0.25">
      <c r="A40" s="271" t="str">
        <f t="shared" si="0"/>
        <v>Mikroqarzdan foydalanganlik uchun foiz stavkasi: yillik  55% (Ellik besh  ) foiz</v>
      </c>
      <c r="B40" s="271"/>
      <c r="C40" s="271"/>
      <c r="D40" s="271"/>
      <c r="E40" s="271"/>
    </row>
    <row r="41" spans="1:5" x14ac:dyDescent="0.25">
      <c r="A41" s="271" t="str">
        <f t="shared" si="0"/>
        <v>Mikroqarz bo'yicha asosiy qarz va foizlarni to'lash:</v>
      </c>
      <c r="B41" s="271"/>
      <c r="C41" s="271"/>
      <c r="D41" s="271"/>
      <c r="E41" s="271"/>
    </row>
    <row r="42" spans="1:5" ht="20.25" customHeight="1" x14ac:dyDescent="0.25">
      <c r="A42" s="271" t="str">
        <f t="shared" si="0"/>
        <v xml:space="preserve"> - mikroqarz shartnomasi bo'yicha har oy differensial to'lovlari amalga oshiriladi</v>
      </c>
      <c r="B42" s="271"/>
      <c r="C42" s="271"/>
      <c r="D42" s="271"/>
      <c r="E42" s="271"/>
    </row>
    <row r="43" spans="1:5" ht="35.25" customHeight="1" x14ac:dyDescent="0.25">
      <c r="A43" s="271" t="str">
        <f t="shared" si="0"/>
        <v xml:space="preserve">   </v>
      </c>
      <c r="B43" s="271"/>
      <c r="C43" s="271"/>
      <c r="D43" s="271"/>
      <c r="E43" s="271"/>
    </row>
    <row r="44" spans="1:5" ht="22.5" customHeight="1" x14ac:dyDescent="0.25">
      <c r="A44" s="271" t="str">
        <f t="shared" si="0"/>
        <v>Mikroqarz ta’minoti::</v>
      </c>
      <c r="B44" s="271"/>
      <c r="C44" s="271"/>
      <c r="D44" s="271"/>
      <c r="E44" s="271"/>
    </row>
    <row r="45" spans="1:5" ht="69" customHeight="1" x14ac:dyDescent="0.25">
      <c r="A45" s="271" t="str">
        <f t="shared" si="0"/>
        <v>1.   Egalik huquqi NARBAYEV QUDAYBERGEN QALBAYEVICHga tegishli bo'lgan garovga olingan avtomobil markasi   CHEVROLET COBALT, rangi -  OQ SUMMIT WHITE, ishlab chiqarilgan yili - 2024, davlat raqam belgisi 01Z067RC, kuzov turi - YENGIL SEDAN, kuzov raqami XWBJA69VERA108471, dvigatel raqami B15D213241352MTAX0118, shassi raqami - RAQAMSIZ</v>
      </c>
      <c r="B45" s="271"/>
      <c r="C45" s="271"/>
      <c r="D45" s="271"/>
      <c r="E45" s="271"/>
    </row>
    <row r="46" spans="1:5" x14ac:dyDescent="0.25">
      <c r="A46" s="271"/>
      <c r="B46" s="271"/>
      <c r="C46" s="271"/>
      <c r="D46" s="271"/>
      <c r="E46" s="271"/>
    </row>
    <row r="47" spans="1:5" ht="32.25" customHeight="1" x14ac:dyDescent="0.25">
      <c r="A47" s="271" t="str">
        <f>""&amp;umumiy_malumot!B158&amp;" mikromoliya tashkilotining xulosasi  "&amp;TEXT(umumiy_malumot!B2,"ДД.ММ.ГГГГ")&amp;" y. tayyorlangan"</f>
        <v>«PULLOL BUSINESS MIKROMOLIYA TASHKILOTI»  MChJ mikromoliya tashkilotining xulosasi  02.02.2026 y. tayyorlangan</v>
      </c>
      <c r="B47" s="271"/>
      <c r="C47" s="271"/>
      <c r="D47" s="271"/>
      <c r="E47" s="271"/>
    </row>
    <row r="48" spans="1:5" hidden="1" x14ac:dyDescent="0.25">
      <c r="A48" s="271"/>
      <c r="B48" s="271"/>
      <c r="C48" s="271"/>
      <c r="D48" s="271"/>
      <c r="E48" s="271"/>
    </row>
    <row r="49" spans="1:5" ht="15.75" hidden="1" customHeight="1" x14ac:dyDescent="0.25">
      <c r="A49" s="272"/>
      <c r="B49" s="272"/>
      <c r="C49" s="272"/>
      <c r="D49" s="19"/>
      <c r="E49" s="20"/>
    </row>
    <row r="50" spans="1:5" ht="35.25" hidden="1" customHeight="1" x14ac:dyDescent="0.25">
      <c r="A50" s="272"/>
      <c r="B50" s="272"/>
      <c r="C50" s="272"/>
      <c r="D50" s="20"/>
      <c r="E50" s="20"/>
    </row>
    <row r="51" spans="1:5" hidden="1" x14ac:dyDescent="0.25">
      <c r="A51" s="271"/>
      <c r="B51" s="271"/>
      <c r="C51" s="271"/>
      <c r="D51" s="271"/>
      <c r="E51" s="271"/>
    </row>
    <row r="52" spans="1:5" ht="59.25" customHeight="1" x14ac:dyDescent="0.25">
      <c r="A52" s="271" t="str">
        <f>""&amp;umumiy_malumot!B158&amp;" mikromoliya tashkilotining Kredit qo‘mitasi a’zolari "&amp;umumiy_malumot!B158&amp;" mikromoliya tashkilotining xulosasi va Mijoz tomonidan taqdim etilgan ma’lumotlar bilan tanishdilar:"</f>
        <v>«PULLOL BUSINESS MIKROMOLIYA TASHKILOTI»  MChJ mikromoliya tashkilotining Kredit qo‘mitasi a’zolari «PULLOL BUSINESS MIKROMOLIYA TASHKILOTI»  MChJ mikromoliya tashkilotining xulosasi va Mijoz tomonidan taqdim etilgan ma’lumotlar bilan tanishdilar:</v>
      </c>
      <c r="B52" s="271"/>
      <c r="C52" s="271"/>
      <c r="D52" s="271"/>
      <c r="E52" s="271"/>
    </row>
    <row r="53" spans="1:5" x14ac:dyDescent="0.25">
      <c r="A53" s="17" t="s">
        <v>383</v>
      </c>
      <c r="B53" s="311"/>
      <c r="C53" s="311"/>
      <c r="D53" s="17"/>
      <c r="E53" s="17"/>
    </row>
    <row r="54" spans="1:5" x14ac:dyDescent="0.25">
      <c r="C54" s="34"/>
    </row>
    <row r="55" spans="1:5" ht="33" customHeight="1" x14ac:dyDescent="0.25">
      <c r="A55" s="191" t="str">
        <f>umumiy_malumot!A172</f>
        <v>Kredit bo'limi menejeri</v>
      </c>
      <c r="B55" s="34"/>
      <c r="C55" s="34"/>
      <c r="D55" s="34" t="str">
        <f>umumiy_malumot!B172</f>
        <v>Eshbekov S. O.</v>
      </c>
    </row>
    <row r="56" spans="1:5" x14ac:dyDescent="0.25">
      <c r="A56" s="191"/>
      <c r="B56" s="34"/>
      <c r="C56" s="34"/>
      <c r="D56" s="34"/>
    </row>
    <row r="57" spans="1:5" x14ac:dyDescent="0.25">
      <c r="A57" s="191"/>
      <c r="B57" s="121"/>
      <c r="C57" s="34"/>
      <c r="D57" s="34"/>
    </row>
    <row r="58" spans="1:5" x14ac:dyDescent="0.25">
      <c r="A58" s="191"/>
      <c r="B58" s="34"/>
      <c r="C58" s="34"/>
      <c r="D58" s="34"/>
    </row>
    <row r="59" spans="1:5" ht="29.25" x14ac:dyDescent="0.25">
      <c r="A59" s="191" t="str">
        <f>umumiy_malumot!A170</f>
        <v xml:space="preserve">Kreditlash bo’limi boshlig’i </v>
      </c>
      <c r="B59" s="34"/>
      <c r="C59" s="34"/>
      <c r="D59" s="34" t="str">
        <f>umumiy_malumot!B170</f>
        <v>Akramov R.N.</v>
      </c>
    </row>
    <row r="60" spans="1:5" x14ac:dyDescent="0.25">
      <c r="A60" s="191"/>
      <c r="B60" s="34"/>
      <c r="C60" s="34"/>
      <c r="D60" s="34"/>
    </row>
    <row r="61" spans="1:5" x14ac:dyDescent="0.25">
      <c r="A61" s="191"/>
      <c r="B61" s="34"/>
      <c r="C61" s="34"/>
      <c r="D61" s="34"/>
    </row>
    <row r="62" spans="1:5" hidden="1" x14ac:dyDescent="0.25">
      <c r="A62" s="191"/>
      <c r="B62" s="34"/>
      <c r="C62" s="34"/>
      <c r="D62" s="34"/>
    </row>
    <row r="63" spans="1:5" ht="29.25" hidden="1" x14ac:dyDescent="0.25">
      <c r="A63" s="191" t="str">
        <f>umumiy_malumot!A171</f>
        <v>Monitoring bo’limi boshlig’i</v>
      </c>
      <c r="B63" s="34"/>
      <c r="C63" s="34"/>
      <c r="D63" s="34" t="str">
        <f>umumiy_malumot!B171</f>
        <v>Omanlikov  O.O.</v>
      </c>
    </row>
    <row r="64" spans="1:5" hidden="1" x14ac:dyDescent="0.25">
      <c r="A64" s="191"/>
      <c r="B64" s="34"/>
      <c r="C64" s="34"/>
      <c r="D64" s="34"/>
    </row>
    <row r="65" spans="1:4" x14ac:dyDescent="0.25">
      <c r="A65" s="191"/>
      <c r="B65" s="34"/>
      <c r="C65" s="34"/>
      <c r="D65" s="34"/>
    </row>
    <row r="66" spans="1:4" x14ac:dyDescent="0.25">
      <c r="A66" s="191"/>
      <c r="B66" s="34"/>
      <c r="C66" s="34"/>
      <c r="D66" s="34"/>
    </row>
    <row r="67" spans="1:4" x14ac:dyDescent="0.25">
      <c r="A67" s="121" t="s">
        <v>410</v>
      </c>
      <c r="B67" s="34"/>
      <c r="C67" s="34"/>
      <c r="D67" s="34" t="s">
        <v>409</v>
      </c>
    </row>
  </sheetData>
  <mergeCells count="51">
    <mergeCell ref="A6:E6"/>
    <mergeCell ref="A1:E1"/>
    <mergeCell ref="A2:E2"/>
    <mergeCell ref="A3:E3"/>
    <mergeCell ref="A4:E4"/>
    <mergeCell ref="A5:E5"/>
    <mergeCell ref="A7:E7"/>
    <mergeCell ref="A8:E8"/>
    <mergeCell ref="A9:E9"/>
    <mergeCell ref="A26:E26"/>
    <mergeCell ref="A10:E10"/>
    <mergeCell ref="A11:E11"/>
    <mergeCell ref="A12:E12"/>
    <mergeCell ref="A13:E13"/>
    <mergeCell ref="A23:E23"/>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33:E33"/>
    <mergeCell ref="A34:E34"/>
    <mergeCell ref="A35:E35"/>
    <mergeCell ref="A36:E36"/>
    <mergeCell ref="A49:C49"/>
    <mergeCell ref="B53:C53"/>
    <mergeCell ref="A52:E52"/>
    <mergeCell ref="A37:E37"/>
    <mergeCell ref="A38:E38"/>
    <mergeCell ref="A39:E39"/>
    <mergeCell ref="A40:E40"/>
    <mergeCell ref="A41:E41"/>
    <mergeCell ref="A42:E42"/>
    <mergeCell ref="A43:E43"/>
    <mergeCell ref="A44:E44"/>
    <mergeCell ref="A45:E45"/>
    <mergeCell ref="A46:E46"/>
    <mergeCell ref="A47:E47"/>
    <mergeCell ref="A48:E48"/>
    <mergeCell ref="A51:E51"/>
    <mergeCell ref="A50:C50"/>
  </mergeCells>
  <pageMargins left="0.7" right="0.7" top="0.75" bottom="0.75" header="0.3" footer="0.3"/>
  <pageSetup paperSize="9" scale="84" orientation="portrait" r:id="rId1"/>
  <rowBreaks count="1" manualBreakCount="1">
    <brk id="35"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3">
    <tabColor rgb="FF00B050"/>
  </sheetPr>
  <dimension ref="A1:K132"/>
  <sheetViews>
    <sheetView view="pageBreakPreview" zoomScaleNormal="55" zoomScaleSheetLayoutView="100" workbookViewId="0">
      <selection activeCell="A9" sqref="A9:B9"/>
    </sheetView>
  </sheetViews>
  <sheetFormatPr defaultColWidth="9.140625" defaultRowHeight="15.75" x14ac:dyDescent="0.2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x14ac:dyDescent="0.25">
      <c r="A1" s="314" t="str">
        <f>""&amp;umumiy_malumot!C64&amp;" shartnoma "&amp;umumiy_malumot!B66&amp;""</f>
        <v>Mikroqarz shartnoma № 53</v>
      </c>
      <c r="B1" s="314"/>
    </row>
    <row r="3" spans="1:3" x14ac:dyDescent="0.25">
      <c r="A3" s="314" t="str">
        <f>"Toshkent shahri                                                                               "&amp;umumiy_malumot!B70&amp;""</f>
        <v>Toshkent shahri                                                                               2 fevral 2026 y.</v>
      </c>
      <c r="B3" s="314"/>
    </row>
    <row r="4" spans="1:3" x14ac:dyDescent="0.25">
      <c r="A4" s="61"/>
    </row>
    <row r="5" spans="1:3" ht="118.5" customHeight="1" x14ac:dyDescent="0.25">
      <c r="A5" s="306" t="str">
        <f>""&amp;umumiy_malumot!B158&amp;", bundan buyon «Mikromoliya tashkiloti» deb nomlanuvchi, Ustav va 14.08.2023 yildagi 27-13/968-sonli Litsenziya asosida faoliyat yurituvchi "&amp;umumiy_malumot!A161&amp;" "&amp;umumiy_malumot!B161&amp;"  bir tomondan va o‘z manfaati yo‘lida hamda o‘z nomidan harakat qiluvchi O‘zbekiston Respublikasi fuqarosi "&amp;umumiy_malumot!B5&amp;"  (pasport raqami "&amp;umumiy_malumot!B16&amp;", "&amp;umumiy_malumot!C20&amp;" ), bundan buyon «Qarz oluvchi» deb nomlanuvchi, boshqa tomondan, birgalikda “Tomonlar” yoki alohida “Tomon” deb nomlanuvchilar, Qarz oluvchi tomonidan "&amp;TEXT(umumiy_malumot!B2,"ДД.ММ.ГГГГ")&amp;" yil,"&amp;umumiy_malumot!B65&amp;" olish uchun ariza berilganligini hisobga olib, ushbu "&amp;umumiy_malumot!C64&amp;" shartnomasini (bundan keyin – «Shartnoma») quyidagilar haqida tuzdilar:"</f>
        <v>«PULLOL BUSINESS MIKROMOLIYA TASHKILOTI»  MChJ, bundan buyon «Mikromoliya tashkiloti» deb nomlanuvchi, Ustav va 14.08.2023 yildagi 27-13/968-sonli Litsenziya asosida faoliyat yurituvchi Direktor Obidov A.Sh.  bir tomondan va o‘z manfaati yo‘lida hamda o‘z nomidan harakat qiluvchi O‘zbekiston Respublikasi fuqarosi NARBAYEV QUDAYBERGEN QALBAYEVICH  (pasport raqami AD 1654245, IIV 26264 tomonidan 15.08.2022 yilda berilgan ), bundan buyon «Qarz oluvchi» deb nomlanuvchi, boshqa tomondan, birgalikda “Tomonlar” yoki alohida “Tomon” deb nomlanuvchilar, Qarz oluvchi tomonidan 02.02.2026 yil,mikroqarz olish uchun ariza berilganligini hisobga olib, ushbu Mikroqarz shartnomasini (bundan keyin – «Shartnoma») quyidagilar haqida tuzdilar:</v>
      </c>
      <c r="B5" s="306"/>
    </row>
    <row r="6" spans="1:3" hidden="1" x14ac:dyDescent="0.25"/>
    <row r="7" spans="1:3" x14ac:dyDescent="0.25">
      <c r="A7" s="314" t="s">
        <v>254</v>
      </c>
      <c r="B7" s="314"/>
    </row>
    <row r="8" spans="1:3" ht="36" customHeight="1" x14ac:dyDescent="0.25">
      <c r="A8" s="306" t="str">
        <f>"1.1. Mikromoliya tashkiloti Qarz oluvchiga umumiy miqdori "&amp;FIXED(umumiy_malumot!B76,2)&amp;" ("&amp;umumiy_malumot!C77&amp;") bo‘lgan "&amp;umumiy_malumot!B65&amp;"ni "&amp;umumiy_malumot!B71&amp;" dan "&amp;umumiy_malumot!B73&amp;" gacha bo'lgan muddatga naqd pul va/yoki o'tkazmasi shaklida ajratadi."</f>
        <v>1.1. Mikromoliya tashkiloti Qarz oluvchiga umumiy miqdori 100 000 000,00 (Yuz million so'm) bo‘lgan mikroqarzni 2 fevral 2026 y. dan 2 fevral 2029 y. gacha bo'lgan muddatga naqd pul va/yoki o'tkazmasi shaklida ajratadi.</v>
      </c>
      <c r="B8" s="306"/>
    </row>
    <row r="9" spans="1:3" ht="36" customHeight="1" x14ac:dyDescent="0.25">
      <c r="A9" s="306" t="str">
        <f>"1.2. Qarz oluvchi to‘lovlilik, muddatlilik va ta’minlanganlik tamoyillariga amal qilgan holda "&amp;umumiy_malumot!B65&amp;"dan foydalanish majburiyatini o‘z zimmasiga oladi."</f>
        <v>1.2. Qarz oluvchi to‘lovlilik, muddatlilik va ta’minlanganlik tamoyillariga amal qilgan holda mikroqarzdan foydalanish majburiyatini o‘z zimmasiga oladi.</v>
      </c>
      <c r="B9" s="306"/>
    </row>
    <row r="10" spans="1:3" hidden="1" x14ac:dyDescent="0.25">
      <c r="A10" s="29"/>
    </row>
    <row r="11" spans="1:3" x14ac:dyDescent="0.25">
      <c r="A11" s="313" t="str">
        <f>"2. "&amp;umumiy_malumot!D64&amp;" BERISH VA QAYTARISH TARTIBI"</f>
        <v>2. MIKROQARZ BERISH VA QAYTARISH TARTIBI</v>
      </c>
      <c r="B11" s="313"/>
      <c r="C11" s="59"/>
    </row>
    <row r="12" spans="1:3" ht="36" customHeight="1" x14ac:dyDescent="0.25">
      <c r="A12" s="306" t="str">
        <f>"2.1. Ushbu Shartnomaning 1.1.-bandida ko‘rsatilgan summa miqdoridagi "&amp;umumiy_malumot!B65&amp;"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306"/>
    </row>
    <row r="13" spans="1:3" ht="35.25" customHeight="1" x14ac:dyDescent="0.25">
      <c r="A13" s="306" t="str">
        <f>"2.2. "&amp;umumiy_malumot!C64&amp;"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306"/>
    </row>
    <row r="14" spans="1:3" ht="35.25" customHeight="1" x14ac:dyDescent="0.25">
      <c r="A14" s="306" t="str">
        <f>"2.3. "&amp;umumiy_malumot!C64&amp;"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306"/>
    </row>
    <row r="15" spans="1:3" ht="66" customHeight="1" x14ac:dyDescent="0.25">
      <c r="A15" s="306" t="str">
        <f>"2.4. Mikromoliya tashkiloti, "&amp;umumiy_malumot!B65&amp;" berilgan vaqtdan boshlab, "&amp;umumiy_malumot!B65&amp;" miqdorining qoldiq summasiga "&amp;umumiy_malumot!B86&amp;"% ("&amp;umumiy_malumot!C87&amp;") foiz yillik va yiliga 365/366 kunlik hisobidan foizlar hisoblaydi. To'lov jadvaliga muvofiq asosiy qarz bo'yicha navbatdagi to'lov buzilgan hollarda, "&amp;"foiz stavkasi oshiriladi va  Mikromoliya tashkiloti "&amp;umumiy_malumot!B65&amp;"ning muddati o'tgan asosiy qarz summasiga yillik "&amp;umumiy_malumot!B89&amp;"% ("&amp;umumiy_malumot!B90&amp;") foiz miqdorida foizlar hisoblaydi."</f>
        <v>2.4. Mikromoliya tashkiloti, mikroqarz berilgan vaqtdan boshlab, mikroqarz miqdorining qoldiq summasiga 55% (Ellik besh  ) foiz yillik va yiliga 365/366 kunlik hisobidan foizlar hisoblaydi. To'lov jadvaliga muvofiq asosiy qarz bo'yicha navbatdagi to'lov buzilgan hollarda, foiz stavkasi oshiriladi va  Mikromoliya tashkiloti mikroqarzning muddati o'tgan asosiy qarz summasiga yillik 155% (bir yuz ellik besh) foiz miqdorida foizlar hisoblaydi.</v>
      </c>
      <c r="B15" s="306"/>
    </row>
    <row r="16" spans="1:3" ht="161.25" customHeight="1" x14ac:dyDescent="0.25">
      <c r="A16" s="306" t="s">
        <v>319</v>
      </c>
      <c r="B16" s="306"/>
    </row>
    <row r="17" spans="1:11" ht="148.5" customHeight="1" x14ac:dyDescent="0.25">
      <c r="A17" s="306"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306"/>
      <c r="C17" s="143" t="s">
        <v>322</v>
      </c>
      <c r="H17" s="6" t="str">
        <f>umumiy_malumot!B65</f>
        <v>mikroqarz</v>
      </c>
      <c r="I17" s="6" t="s">
        <v>323</v>
      </c>
    </row>
    <row r="18" spans="1:11" ht="100.5" customHeight="1" x14ac:dyDescent="0.25">
      <c r="A18" s="316" t="s">
        <v>360</v>
      </c>
      <c r="B18" s="316"/>
    </row>
    <row r="19" spans="1:11" ht="36" customHeight="1" x14ac:dyDescent="0.25">
      <c r="A19" s="306" t="str">
        <f>"2.7. Qarz oluvchi Mikromoliya tashkilotining "&amp;umumiy_malumot!B65&amp;"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306"/>
    </row>
    <row r="20" spans="1:11" ht="39.75" customHeight="1" x14ac:dyDescent="0.25">
      <c r="A20" s="306" t="str">
        <f>"2.8. Qarz oluvchi "&amp;umumiy_malumot!B65&amp;"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306"/>
    </row>
    <row r="21" spans="1:11" ht="95.25" customHeight="1" x14ac:dyDescent="0.25">
      <c r="A21" s="306"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06"/>
      <c r="C21" s="6" t="str">
        <f>"2.9. Qarz oluvchi jismoniy shaxslarning kreditlar ("&amp;umumiy_malumot!B65&amp;"lar)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"&amp;umumiy_malumot!B65&amp;"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("&amp;umumiy_malumot!B65&amp;")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x14ac:dyDescent="0.25">
      <c r="A22" s="313" t="str">
        <f>"3. "&amp;umumiy_malumot!D64&amp;" TA'MINOTI BO‘YICHA "</f>
        <v xml:space="preserve">3. MIKROQARZ TA'MINOTI BO‘YICHA </v>
      </c>
      <c r="B22" s="313"/>
    </row>
    <row r="23" spans="1:11" ht="54" customHeight="1" x14ac:dyDescent="0.25">
      <c r="A23" s="306" t="str">
        <f>"3.1. Ushbu Shartnoma bo‘yicha taqdim etilgan "&amp;umumiy_malumot!C64&amp;" quyidagi "&amp;umumiy_malumot!C64&amp;"  summasiga nisbatan 140% dan kam bo'lmagan, yani birgalikdagi jami qiymati "&amp;FIXED(umumiy_malumot!C75,2)&amp;" ("&amp;umumiy_malumot!D75&amp;") so'm miqdorida bo'lgan garov va "&amp;umumiy_malumot!C64&amp;"  to'lamaslik xavfini sug'urta polisi  bilan ta'minlanadi:"</f>
        <v>3.1. Ushbu Shartnoma bo‘yicha taqdim etilgan Mikroqarz quyidagi Mikroqarz  summasiga nisbatan 140% dan kam bo'lmagan, yani birgalikdagi jami qiymati 140 000 000,00 (yuz qirq million so'm) so'm miqdorida bo'lgan garov va Mikroqarz  to'lamaslik xavfini sug'urta polisi  bilan ta'minlanadi:</v>
      </c>
      <c r="B23" s="306"/>
    </row>
    <row r="24" spans="1:11" s="189" customFormat="1" ht="130.5" customHeight="1" x14ac:dyDescent="0.25">
      <c r="A24" s="320" t="str">
        <f>IF(umumiy_malumot!B110=umumiy_malumot!C110,shartnoma!A28,IF(umumiy_malumot!B110=umumiy_malumot!D110,shartnoma!A25,0))</f>
        <v>3.1.1. Mikromoliya tashkiloti va Qarz oluvchi tomonidan 2026 yil 2 fevralda imzolangan 1-sonli garov predmeti qiymatini tasdiqlash dalolatnomasiga muvofiq OQ SUMMIT WHITE rangli, ishlab chiqarilgan yili – 2024 yil,  dvigatel raqami B15D213241352MTAX0118, shassi - RAQAMSIZ,  kuzov turi - YENGIL SEDAN, kuzov raqami №XWBJA69VERA108471, davlat raqam belgisi 01Z067RC bo'lgan CHEVROLET COBALT rusumli avtomashinasi (bundan keyin “Garov predmeti”), egalik huquqiga ega  NARBAYEV QUDAYBERGEN QALBAYEVICHga tegishli va kelishilgan garov qiymati 2026 yil 2 fevralda imzolangan 1-sonli Garov predmeti qiymatini tasdiqlash dalolatnomasiga muvifiq 126 000 000,00 (yuz yigirma olti million so'm) so'mni tashkil qiladi. Garov garovining aniq shartlari tegishli notarial rasmiylashtirilgan garov shartnomasi bilan belgilanadi.</v>
      </c>
      <c r="B24" s="320"/>
    </row>
    <row r="25" spans="1:11" s="189" customFormat="1" ht="114" hidden="1" customHeight="1" x14ac:dyDescent="0.25">
      <c r="A25" s="322" t="str">
        <f>IF(umumiy_malumot!B99=umumiy_malumot!C99,shartnoma!A27,IF(umumiy_malumot!B99=umumiy_malumot!D99,shartnoma!A26,0))</f>
        <v>3.1.1. Mikromoliya tashkiloti va Qarz oluvchi tomonidan 2026 yil 2 fevralda imzolangan 1-sonli Garov predmeti qiymatini tasdiqlash dalolatnomasiga muvofiq  manzilida joylashgan, 0 bo'lgan, 0 ko'rinishidagi ko'chmas mulk (bundan keyin “Garov predmeti”), egalik huquqiga ko'ra  NARBAYEV QUDAYBERGEN QALBAYEVICHga tegishli va kelishilgan garov qiymati 2026 yil 2 fevralda imzolangan 1-sonli Garov predmeti qiymatini tasdiqlash dalolatnomasiga muvofiq 126 000 000,00 (yuz yigirma olti million so'm) so'mni tashkil qiladi. Garovning aniq shartlari tegishli tarzda notarial tasdiqlangan garov shartnomasi bilan belgilangan.</v>
      </c>
      <c r="B25" s="322"/>
    </row>
    <row r="26" spans="1:11" s="189" customFormat="1" ht="114" hidden="1" customHeight="1" x14ac:dyDescent="0.25">
      <c r="A26" s="320" t="str">
        <f>"3.1.1. "&amp;umumiy_malumot!N133&amp;" tomonidan "&amp;umumiy_malumot!B150&amp;" yil "&amp;umumiy_malumot!B152&amp;" "&amp;umumiy_malumot!B151&amp;"da imzolangan 1-sonli navbatdagi garov predmeti qiymatini tasdiqlash dalolatnomasiga muvofiq "&amp;umumiy_malumot!C130&amp;" manzilida joylashgan, "&amp;umumiy_malumot!E133&amp;" bo'lgan, "&amp;umumiy_malumot!E132&amp;" ko'rinishidagi ko'chmas mulk (bundan keyin “navbatdagi garov predmeti”), egalik huquqiga ko'ra  "&amp;umumiy_malumot!C124&amp;"ga tegishli va kelishilgan garov qiymati "&amp;umumiy_malumot!B150&amp;" yil "&amp;umumiy_malumot!B152&amp;" "&amp;umumiy_malumot!B151&amp;"da imzolangan 1-sonli Garov predmeti qiymatini tasdiqlash dalolatnomasiga muvofiq "&amp;FIXED(umumiy_malumot!B143,2)&amp;" ("&amp;umumiy_malumot!B145&amp;") so'mni tashkil qiladi. Garovning aniq shartlari tegishli tarzda notarial tasdiqlangan garov shartnomasi bilan belgilangan."</f>
        <v>3.1.1. Mikromoliya tashkiloti va Qarz oluvchi tomonidan 2026 yil 2 fevralda imzolangan 1-sonli navbatdagi garov predmeti qiymatini tasdiqlash dalolatnomasiga muvofiq  manzilida joylashgan, 0 bo'lgan, 0 ko'rinishidagi ko'chmas mulk (bundan keyin “navbatdagi garov predmeti”), egalik huquqiga ko'ra  NARBAYEV QUDAYBERGEN QALBAYEVICHga tegishli va kelishilgan garov qiymati 2026 yil 2 fevralda imzolangan 1-sonli Garov predmeti qiymatini tasdiqlash dalolatnomasiga muvofiq 126 000 000,00 (yuz yigirma olti million so'm) so'mni tashkil qiladi. Garovning aniq shartlari tegishli tarzda notarial tasdiqlangan garov shartnomasi bilan belgilangan.</v>
      </c>
      <c r="B26" s="320"/>
    </row>
    <row r="27" spans="1:11" s="189" customFormat="1" ht="114" hidden="1" customHeight="1" x14ac:dyDescent="0.25">
      <c r="A27" s="322" t="str">
        <f>"3.1.1. "&amp;umumiy_malumot!N133&amp;" tomonidan "&amp;umumiy_malumot!B150&amp;" yil "&amp;umumiy_malumot!B152&amp;" "&amp;umumiy_malumot!B151&amp;"da imzolangan 1-sonli Garov predmeti qiymatini tasdiqlash dalolatnomasiga muvofiq "&amp;umumiy_malumot!C130&amp;" manzilida joylashgan, "&amp;umumiy_malumot!E133&amp;" bo'lgan, "&amp;umumiy_malumot!E132&amp;" ko'rinishidagi ko'chmas mulk (bundan keyin “Garov predmeti”), egalik huquqiga ko'ra  "&amp;umumiy_malumot!C124&amp;"ga tegishli va kelishilgan garov qiymati "&amp;umumiy_malumot!B150&amp;" yil "&amp;umumiy_malumot!B152&amp;" "&amp;umumiy_malumot!B151&amp;"da imzolangan 1-sonli Garov predmeti qiymatini tasdiqlash dalolatnomasiga muvofiq "&amp;FIXED(umumiy_malumot!B143,2)&amp;" ("&amp;umumiy_malumot!B145&amp;") so'mni tashkil qiladi. Garovning aniq shartlari tegishli tarzda notarial tasdiqlangan garov shartnomasi bilan belgilangan."</f>
        <v>3.1.1. Mikromoliya tashkiloti va Qarz oluvchi tomonidan 2026 yil 2 fevralda imzolangan 1-sonli Garov predmeti qiymatini tasdiqlash dalolatnomasiga muvofiq  manzilida joylashgan, 0 bo'lgan, 0 ko'rinishidagi ko'chmas mulk (bundan keyin “Garov predmeti”), egalik huquqiga ko'ra  NARBAYEV QUDAYBERGEN QALBAYEVICHga tegishli va kelishilgan garov qiymati 2026 yil 2 fevralda imzolangan 1-sonli Garov predmeti qiymatini tasdiqlash dalolatnomasiga muvofiq 126 000 000,00 (yuz yigirma olti million so'm) so'mni tashkil qiladi. Garovning aniq shartlari tegishli tarzda notarial tasdiqlangan garov shartnomasi bilan belgilangan.</v>
      </c>
      <c r="B27" s="322"/>
    </row>
    <row r="28" spans="1:11" s="189" customFormat="1" ht="114" hidden="1" customHeight="1" x14ac:dyDescent="0.25">
      <c r="A28" s="320" t="str">
        <f>IF(umumiy_malumot!B99=umumiy_malumot!C99,A29,IF(umumiy_malumot!B99=umumiy_malumot!D99,A30,0))</f>
        <v>3.1.1. Mikromoliya tashkiloti va Qarz oluvchi tomonidan 2026 yil 2 fevralda imzolangan 1-sonli garov predmeti qiymatini tasdiqlash dalolatnomasiga muvofiq OQ SUMMIT WHITE rangli, ishlab chiqarilgan yili – 2024 yil,  dvigatel raqami B15D213241352MTAX0118, shassi - RAQAMSIZ,  kuzov turi - YENGIL SEDAN, kuzov raqami №XWBJA69VERA108471, davlat raqam belgisi 01Z067RC bo'lgan CHEVROLET COBALT rusumli avtomashinasi (bundan keyin “Garov predmeti”), egalik huquqiga ega  NARBAYEV QUDAYBERGEN QALBAYEVICHga tegishli va kelishilgan garov qiymati 2026 yil 2 fevralda imzolangan 1-sonli Garov predmeti qiymatini tasdiqlash dalolatnomasiga muvifiq 126 000 000,00 (yuz yigirma olti million so'm) so'mni tashkil qiladi. Garov garovining aniq shartlari tegishli notarial rasmiylashtirilgan garov shartnomasi bilan belgilanadi.</v>
      </c>
      <c r="B28" s="320"/>
      <c r="K28" s="189" t="s">
        <v>316</v>
      </c>
    </row>
    <row r="29" spans="1:11" s="189" customFormat="1" ht="114" hidden="1" customHeight="1" x14ac:dyDescent="0.25">
      <c r="A29" s="320" t="str">
        <f>"3.1.1. "&amp;umumiy_malumot!N133&amp;" tomonidan "&amp;umumiy_malumot!B150&amp;" yil "&amp;umumiy_malumot!B152&amp;" "&amp;umumiy_malumot!B151&amp;"da imzolangan 1-sonli garov predmeti qiymatini tasdiqlash dalolatnomasiga muvofiq "&amp;umumiy_malumot!B141&amp;" rangli, ishlab chiqarilgan yili – "&amp;umumiy_malumot!B142&amp;" yil,  dvigatel raqami "&amp;umumiy_malumot!B138&amp;", shassi - "&amp;umumiy_malumot!B139&amp;",  kuzov turi - "&amp;umumiy_malumot!B135&amp;", kuzov raqami №"&amp;umumiy_malumot!B136&amp;", davlat raqam belgisi "&amp;umumiy_malumot!B133&amp;" bo'lgan "&amp;umumiy_malumot!B132&amp;" rusumli avtomashinasi (bundan keyin “Garov predmeti”), egalik huquqiga ega  "&amp;umumiy_malumot!B124&amp;"ga tegishli va kelishilgan garov qiymati "&amp;umumiy_malumot!B150&amp;" yil "&amp;umumiy_malumot!B152&amp;" "&amp;umumiy_malumot!B151&amp;"da imzolangan 1-sonli Garov predmeti qiymatini tasdiqlash dalolatnomasiga muvifiq "&amp;FIXED(umumiy_malumot!B143,2)&amp;" ("&amp;umumiy_malumot!B145&amp;") so'mni tashkil qiladi. Garov garovining aniq shartlari tegishli notarial rasmiylashtirilgan garov shartnomasi bilan belgilanadi."</f>
        <v>3.1.1. Mikromoliya tashkiloti va Qarz oluvchi tomonidan 2026 yil 2 fevralda imzolangan 1-sonli garov predmeti qiymatini tasdiqlash dalolatnomasiga muvofiq OQ SUMMIT WHITE rangli, ishlab chiqarilgan yili – 2024 yil,  dvigatel raqami B15D213241352MTAX0118, shassi - RAQAMSIZ,  kuzov turi - YENGIL SEDAN, kuzov raqami №XWBJA69VERA108471, davlat raqam belgisi 01Z067RC bo'lgan CHEVROLET COBALT rusumli avtomashinasi (bundan keyin “Garov predmeti”), egalik huquqiga ega  NARBAYEV QUDAYBERGEN QALBAYEVICHga tegishli va kelishilgan garov qiymati 2026 yil 2 fevralda imzolangan 1-sonli Garov predmeti qiymatini tasdiqlash dalolatnomasiga muvifiq 126 000 000,00 (yuz yigirma olti million so'm) so'mni tashkil qiladi. Garov garovining aniq shartlari tegishli notarial rasmiylashtirilgan garov shartnomasi bilan belgilanadi.</v>
      </c>
      <c r="B29" s="320"/>
    </row>
    <row r="30" spans="1:11" s="189" customFormat="1" ht="114" hidden="1" customHeight="1" x14ac:dyDescent="0.25">
      <c r="A30" s="320" t="str">
        <f>"3.1.1. "&amp;umumiy_malumot!N133&amp;" tomonidan "&amp;umumiy_malumot!B150&amp;" yil "&amp;umumiy_malumot!B152&amp;" "&amp;umumiy_malumot!B151&amp;"da imzolangan 1-sonli navbatdagi garov predmeti qiymatini tasdiqlash dalolatnomasiga muvofiq "&amp;umumiy_malumot!B141&amp;" rangli, ishlab chiqarilgan yili – "&amp;umumiy_malumot!B142&amp;" yil,  dvigatel raqami "&amp;umumiy_malumot!B138&amp;", shassi - "&amp;umumiy_malumot!B139&amp;",  kuzov turi - "&amp;umumiy_malumot!B135&amp;", kuzov raqami №"&amp;umumiy_malumot!B136&amp;", davlat raqam belgisi "&amp;umumiy_malumot!B133&amp;" bo'lgan "&amp;umumiy_malumot!B132&amp;" rusumli avtomashinasi (bundan keyin “navbatdagi garov predmeti”), egalik huquqiga ega  "&amp;umumiy_malumot!B124&amp;"ga tegishli va kelishilgan garov qiymati "&amp;umumiy_malumot!B150&amp;" yil "&amp;umumiy_malumot!B152&amp;" "&amp;umumiy_malumot!B151&amp;"da imzolangan 1-sonli Garov predmeti qiymatini tasdiqlash dalolatnomasiga muvifiq "&amp;FIXED(umumiy_malumot!B143,2)&amp;" ("&amp;umumiy_malumot!B145&amp;") so'mni tashkil qiladi. Garov garovining aniq shartlari tegishli notarial rasmiylashtirilgan garov shartnomasi bilan belgilanadi."</f>
        <v>3.1.1. Mikromoliya tashkiloti va Qarz oluvchi tomonidan 2026 yil 2 fevralda imzolangan 1-sonli navbatdagi garov predmeti qiymatini tasdiqlash dalolatnomasiga muvofiq OQ SUMMIT WHITE rangli, ishlab chiqarilgan yili – 2024 yil,  dvigatel raqami B15D213241352MTAX0118, shassi - RAQAMSIZ,  kuzov turi - YENGIL SEDAN, kuzov raqami №XWBJA69VERA108471, davlat raqam belgisi 01Z067RC bo'lgan CHEVROLET COBALT rusumli avtomashinasi (bundan keyin “navbatdagi garov predmeti”), egalik huquqiga ega  NARBAYEV QUDAYBERGEN QALBAYEVICHga tegishli va kelishilgan garov qiymati 2026 yil 2 fevralda imzolangan 1-sonli Garov predmeti qiymatini tasdiqlash dalolatnomasiga muvifiq 126 000 000,00 (yuz yigirma olti million so'm) so'mni tashkil qiladi. Garov garovining aniq shartlari tegishli notarial rasmiylashtirilgan garov shartnomasi bilan belgilanadi.</v>
      </c>
      <c r="B30" s="320"/>
    </row>
    <row r="31" spans="1:11" s="189" customFormat="1" ht="113.45" customHeight="1" x14ac:dyDescent="0.25">
      <c r="A31" s="320" t="str">
        <f>CONCATENATE(C31,D31)</f>
        <v>3.1.2. «АО СК "IMPEX INSURANCE"» АJ sug‘urta kompaniyasi (keyingi o'rinlarda-Sug‘urtalovchi) tomonidan Mikroqarz to'lamaslik xavfini Mikroqarz  summasiga nisbatan 140% dan hisoblab 14 000 000,00(o'n to'rt million so'm) so ' m miqdoriga sug’urta qilish. Ushbu shartnoma bo‘yicha Mikroqarz berilgunga qadar Mikromoliya tashkiloti Sug‘urtalovchi 14 000 000,00(o'n to'rt million so'm) so ' m miqdoridagi Mikroqarzni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v>
      </c>
      <c r="B31" s="320"/>
      <c r="C31" s="189" t="str">
        <f>"3.1.2. «"&amp;umumiy_malumot!B154&amp;"» АJ sug‘urta kompaniyasi (keyingi o'rinlarda-Sug‘urtalovchi) tomonidan "&amp;umumiy_malumot!C64&amp;" to'lamaslik xavfini "&amp;umumiy_malumot!C64&amp;"  summasiga nisbatan 140% dan hisoblab "&amp;FIXED(umumiy_malumot!B155,2)&amp;"("&amp;umumiy_malumot!B156&amp;") so ' m miqdoriga sug’urta qilish."</f>
        <v>3.1.2. «АО СК "IMPEX INSURANCE"» АJ sug‘urta kompaniyasi (keyingi o'rinlarda-Sug‘urtalovchi) tomonidan Mikroqarz to'lamaslik xavfini Mikroqarz  summasiga nisbatan 140% dan hisoblab 14 000 000,00(o'n to'rt million so'm) so ' m miqdoriga sug’urta qilish.</v>
      </c>
      <c r="D31" s="189" t="str">
        <f>CONCATENATE(E31,F31)</f>
        <v xml:space="preserve"> Ushbu shartnoma bo‘yicha Mikroqarz berilgunga qadar Mikromoliya tashkiloti Sug‘urtalovchi 14 000 000,00(o'n to'rt million so'm) so ' m miqdoridagi Mikroqarzni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v>
      </c>
      <c r="E31" s="189" t="str">
        <f>" Ushbu shartnoma bo‘yicha "&amp;umumiy_malumot!C64&amp;" berilgunga qadar Mikromoliya tashkiloti Sug‘urtalovchi "&amp;FIXED(umumiy_malumot!B155,2)&amp;"("&amp;umumiy_malumot!B156&amp;") so ' m miqdoridagi "&amp;umumiy_malumot!C64&amp;""</f>
        <v xml:space="preserve"> Ushbu shartnoma bo‘yicha Mikroqarz berilgunga qadar Mikromoliya tashkiloti Sug‘urtalovchi 14 000 000,00(o'n to'rt million so'm) so ' m miqdoridagi Mikroqarz</v>
      </c>
      <c r="F31" s="189" t="s">
        <v>370</v>
      </c>
    </row>
    <row r="32" spans="1:11" ht="117" customHeight="1" x14ac:dyDescent="0.25">
      <c r="A32" s="319" t="str">
        <f>CONCATENATE(A33,B33)</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2" s="319"/>
    </row>
    <row r="33" spans="1:8" ht="94.5" hidden="1" x14ac:dyDescent="0.25">
      <c r="A33" s="146" t="s">
        <v>342</v>
      </c>
      <c r="B33" s="29" t="str">
        <f>CONCATENATE(A34,B34)</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4" spans="1:8" ht="78.75" hidden="1" x14ac:dyDescent="0.25">
      <c r="A34" s="146" t="str">
        <f>" Mikromoliya tashkilotiga taqdim etilishi lozim. Garov shartnomasi belgilangan muddatda taqdim etilmagan hollarda, Mikromoliya tashkiloti Qarz oluvchining manziliga yozma bildirishnoma yuborish orqali "&amp;umumiy_malumot!B65&amp;""</f>
        <v xml:space="preserve"> Mikromoliya tashkilotiga taqdim etilishi lozim. Garov shartnomasi belgilangan muddatda taqdim etilmagan hollarda, Mikromoliya tashkiloti Qarz oluvchining manziliga yozma bildirishnoma yuborish orqali mikroqarz</v>
      </c>
      <c r="B34" s="29" t="s">
        <v>325</v>
      </c>
    </row>
    <row r="35" spans="1:8" ht="71.25" customHeight="1" x14ac:dyDescent="0.25">
      <c r="A35" s="319" t="s">
        <v>255</v>
      </c>
      <c r="B35" s="319"/>
    </row>
    <row r="36" spans="1:8" ht="84" customHeight="1" x14ac:dyDescent="0.25">
      <c r="A36" s="319" t="s">
        <v>304</v>
      </c>
      <c r="B36" s="319"/>
    </row>
    <row r="37" spans="1:8" ht="114.6" customHeight="1" x14ac:dyDescent="0.25">
      <c r="A37" s="306" t="s">
        <v>371</v>
      </c>
      <c r="B37" s="306"/>
    </row>
    <row r="38" spans="1:8" hidden="1" x14ac:dyDescent="0.25"/>
    <row r="39" spans="1:8" x14ac:dyDescent="0.25">
      <c r="A39" s="318" t="s">
        <v>303</v>
      </c>
      <c r="B39" s="318"/>
      <c r="C39" s="66"/>
    </row>
    <row r="40" spans="1:8" x14ac:dyDescent="0.25">
      <c r="A40" s="321" t="s">
        <v>302</v>
      </c>
      <c r="B40" s="321"/>
    </row>
    <row r="41" spans="1:8" ht="116.25" customHeight="1" x14ac:dyDescent="0.25">
      <c r="A41" s="319" t="str">
        <f>CONCATENATE(C41,H41)</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41" s="319"/>
      <c r="C41" s="6" t="str">
        <f>"4.1.1. Ushbu Shartnomada ko‘rsatilgan asoslar bo‘yicha Qarz oluvchiga Shartnomada ko‘zda tutilgan "&amp;umumiy_malumot!B65&amp;""</f>
        <v>4.1.1. Ushbu Shartnomada ko‘rsatilgan asoslar bo‘yicha Qarz oluvchiga Shartnomada ko‘zda tutilgan mikroqarz</v>
      </c>
      <c r="H41" s="143" t="s">
        <v>366</v>
      </c>
    </row>
    <row r="42" spans="1:8" ht="39" customHeight="1" x14ac:dyDescent="0.25">
      <c r="A42" s="319" t="str">
        <f>"4.1.2.1. "&amp;umumiy_malumot!C64&amp;"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2" s="319"/>
    </row>
    <row r="43" spans="1:8" x14ac:dyDescent="0.25">
      <c r="A43" s="319" t="s">
        <v>305</v>
      </c>
      <c r="B43" s="319"/>
    </row>
    <row r="44" spans="1:8" ht="30" customHeight="1" x14ac:dyDescent="0.25">
      <c r="A44" s="319" t="str">
        <f>"b) "&amp;umumiy_malumot!B65&amp;" summasiga hisoblanadigan asosiy qarz bo‘yicha muddati o‘tgan qarzdorlik va/yoki foizlarning yuzaga kelishi;"</f>
        <v>b) mikroqarz summasiga hisoblanadigan asosiy qarz bo‘yicha muddati o‘tgan qarzdorlik va/yoki foizlarning yuzaga kelishi;</v>
      </c>
      <c r="B44" s="319"/>
    </row>
    <row r="45" spans="1:8" ht="37.5" customHeight="1" x14ac:dyDescent="0.25">
      <c r="A45" s="319" t="s">
        <v>306</v>
      </c>
      <c r="B45" s="319"/>
    </row>
    <row r="46" spans="1:8" ht="52.5" customHeight="1" x14ac:dyDescent="0.25">
      <c r="A46" s="319" t="s">
        <v>307</v>
      </c>
      <c r="B46" s="319"/>
    </row>
    <row r="47" spans="1:8" ht="19.5" customHeight="1" x14ac:dyDescent="0.25">
      <c r="A47" s="319" t="s">
        <v>308</v>
      </c>
      <c r="B47" s="319"/>
    </row>
    <row r="48" spans="1:8" ht="51.75" customHeight="1" x14ac:dyDescent="0.25">
      <c r="A48" s="319" t="str">
        <f>"f) Qarz oluvchi "&amp;umumiy_malumot!B65&amp;" summasini olish uchun Mikromoliya tashkilotiga "&amp;umumiy_malumot!B65&amp;"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8" s="319"/>
    </row>
    <row r="49" spans="1:8" ht="33.75" customHeight="1" x14ac:dyDescent="0.25">
      <c r="A49" s="319" t="s">
        <v>301</v>
      </c>
      <c r="B49" s="319"/>
    </row>
    <row r="50" spans="1:8" ht="36.75" customHeight="1" x14ac:dyDescent="0.25">
      <c r="A50" s="319" t="s">
        <v>300</v>
      </c>
      <c r="B50" s="319"/>
      <c r="C50" s="146"/>
    </row>
    <row r="51" spans="1:8" ht="90" customHeight="1" x14ac:dyDescent="0.25">
      <c r="A51" s="306" t="s">
        <v>299</v>
      </c>
      <c r="B51" s="306"/>
      <c r="C51" s="146"/>
    </row>
    <row r="52" spans="1:8" ht="70.5" customHeight="1" x14ac:dyDescent="0.25">
      <c r="A52" s="306" t="s">
        <v>298</v>
      </c>
      <c r="B52" s="306"/>
      <c r="C52" s="146"/>
    </row>
    <row r="53" spans="1:8" ht="39.75" customHeight="1" x14ac:dyDescent="0.25">
      <c r="A53" s="306" t="str">
        <f>"4.1.7. Qarz oluvchini oldindan ogohlantirmasdan "&amp;umumiy_malumot!B65&amp;"ni qaytarish uchun haqiqatdan ham garov ta'minoti mavjudligini tekshirishni amalga oshirish."</f>
        <v>4.1.7. Qarz oluvchini oldindan ogohlantirmasdan mikroqarzni qaytarish uchun haqiqatdan ham garov ta'minoti mavjudligini tekshirishni amalga oshirish.</v>
      </c>
      <c r="B53" s="306"/>
      <c r="C53" s="146"/>
    </row>
    <row r="54" spans="1:8" ht="33" customHeight="1" x14ac:dyDescent="0.25">
      <c r="A54" s="306" t="s">
        <v>309</v>
      </c>
      <c r="B54" s="306"/>
      <c r="C54" s="146"/>
    </row>
    <row r="55" spans="1:8" ht="39.75" customHeight="1" x14ac:dyDescent="0.25">
      <c r="A55" s="306" t="s">
        <v>297</v>
      </c>
      <c r="B55" s="306"/>
      <c r="C55" s="146"/>
    </row>
    <row r="56" spans="1:8" ht="50.25" customHeight="1" x14ac:dyDescent="0.25">
      <c r="A56" s="306" t="str">
        <f>CONCATENATE(C56,H56)</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6" s="306"/>
      <c r="C56" s="146" t="str">
        <f>"4.1.10. Qarz oluvchi taqdim etilgan "&amp;umumiy_malumot!B65&amp;"dan Shartnoma tuzilgan kundan boshlab 1 (bir) oy davomida foydalanmagan"</f>
        <v>4.1.10. Qarz oluvchi taqdim etilgan mikroqarzdan Shartnoma tuzilgan kundan boshlab 1 (bir) oy davomida foydalanmagan</v>
      </c>
      <c r="H56" s="6" t="s">
        <v>326</v>
      </c>
    </row>
    <row r="57" spans="1:8" ht="19.5" customHeight="1" x14ac:dyDescent="0.25">
      <c r="A57" s="306" t="str">
        <f>"4.1.11. Oldingi "&amp;umumiy_malumot!B65&amp;" to‘liq to‘lanmagunga qadar yangi "&amp;umumiy_malumot!B65&amp;" berishni rad etish."</f>
        <v>4.1.11. Oldingi mikroqarz to‘liq to‘lanmagunga qadar yangi mikroqarz berishni rad etish.</v>
      </c>
      <c r="B57" s="306"/>
      <c r="C57" s="146"/>
    </row>
    <row r="58" spans="1:8" hidden="1" x14ac:dyDescent="0.25"/>
    <row r="59" spans="1:8" x14ac:dyDescent="0.25">
      <c r="A59" s="313" t="s">
        <v>296</v>
      </c>
      <c r="B59" s="313"/>
      <c r="C59" s="145"/>
    </row>
    <row r="60" spans="1:8" x14ac:dyDescent="0.25">
      <c r="A60" s="317" t="s">
        <v>295</v>
      </c>
      <c r="B60" s="317"/>
      <c r="C60" s="147"/>
    </row>
    <row r="61" spans="1:8" ht="36" customHeight="1" x14ac:dyDescent="0.25">
      <c r="A61" s="306" t="str">
        <f>"5.1.1. Ushbu shartnomada nazarda tutilgan shartlar bo‘yicha "&amp;umumiy_malumot!B65&amp;" olish, shuningdek, Mikromoliya tashkiloti tomonidan ko‘rsatiladigan pullik xizmatlardan foydalanish."</f>
        <v>5.1.1. Ushbu shartnomada nazarda tutilgan shartlar bo‘yicha mikroqarz olish, shuningdek, Mikromoliya tashkiloti tomonidan ko‘rsatiladigan pullik xizmatlardan foydalanish.</v>
      </c>
      <c r="B61" s="306"/>
      <c r="C61" s="146"/>
    </row>
    <row r="62" spans="1:8" ht="36.75" customHeight="1" x14ac:dyDescent="0.25">
      <c r="A62" s="306" t="str">
        <f>"5.1.2. Shartnoma tuzilgan kundan boshlab 2 (ikki) hafta mobaynida Mikromoliya tashkilotiga bu haqda yozma xabarnoma yo‘llash orqali "&amp;umumiy_malumot!B65&amp;"ning foydalanilmagan summasidan voz kechish."</f>
        <v>5.1.2. Shartnoma tuzilgan kundan boshlab 2 (ikki) hafta mobaynida Mikromoliya tashkilotiga bu haqda yozma xabarnoma yo‘llash orqali mikroqarzning foydalanilmagan summasidan voz kechish.</v>
      </c>
      <c r="B62" s="306"/>
      <c r="C62" s="146"/>
    </row>
    <row r="63" spans="1:8" ht="17.25" customHeight="1" x14ac:dyDescent="0.25">
      <c r="A63" s="306" t="str">
        <f>"5.1.3. "&amp;umumiy_malumot!C64&amp;" xizmatlari ko‘rsatish qoidalari bilan tanishish."</f>
        <v>5.1.3. Mikroqarz xizmatlari ko‘rsatish qoidalari bilan tanishish.</v>
      </c>
      <c r="B63" s="306"/>
      <c r="C63" s="146"/>
    </row>
    <row r="64" spans="1:8" ht="36" customHeight="1" x14ac:dyDescent="0.25">
      <c r="A64" s="306" t="str">
        <f>"5.1.4. O‘z huquq va majburiyatlari, shu jumladan "&amp;umumiy_malumot!B65&amp;" xizmatlari ko‘rsatish bilan bog‘liq barcha xarajatlar haqida aniq va to‘liq ma'lumot olish."</f>
        <v>5.1.4. O‘z huquq va majburiyatlari, shu jumladan mikroqarz xizmatlari ko‘rsatish bilan bog‘liq barcha xarajatlar haqida aniq va to‘liq ma'lumot olish.</v>
      </c>
      <c r="B64" s="306"/>
      <c r="C64" s="146"/>
    </row>
    <row r="65" spans="1:8" ht="33.75" customHeight="1" x14ac:dyDescent="0.25">
      <c r="A65" s="306" t="s">
        <v>310</v>
      </c>
      <c r="B65" s="306"/>
      <c r="C65" s="146"/>
    </row>
    <row r="66" spans="1:8" x14ac:dyDescent="0.25">
      <c r="A66" s="317" t="s">
        <v>294</v>
      </c>
      <c r="B66" s="317"/>
      <c r="C66" s="147"/>
    </row>
    <row r="67" spans="1:8" ht="37.5" customHeight="1" x14ac:dyDescent="0.25">
      <c r="A67" s="306" t="str">
        <f>"5.2.1. Mikromoliya tashkilotining birinchi talabi bilan zarur hujjatlar, shuningdek "&amp;umumiy_malumot!B65&amp;"dan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7" s="306"/>
      <c r="C67" s="146"/>
    </row>
    <row r="68" spans="1:8" ht="39.75" customHeight="1" x14ac:dyDescent="0.25">
      <c r="A68" s="306" t="s">
        <v>311</v>
      </c>
      <c r="B68" s="306"/>
      <c r="C68" s="146"/>
    </row>
    <row r="69" spans="1:8" ht="27" customHeight="1" x14ac:dyDescent="0.25">
      <c r="A69" s="306" t="str">
        <f>"5.2.3. To‘lov jadvaliga muvofiq "&amp;umumiy_malumot!B65&amp;", shuningdek hisoblangan foizlar to‘lovlarini amalga oshirish."</f>
        <v>5.2.3. To‘lov jadvaliga muvofiq mikroqarz, shuningdek hisoblangan foizlar to‘lovlarini amalga oshirish.</v>
      </c>
      <c r="B69" s="306"/>
      <c r="C69" s="146"/>
    </row>
    <row r="70" spans="1:8" ht="84" customHeight="1" x14ac:dyDescent="0.25">
      <c r="A70" s="306" t="str">
        <f>CONCATENATE(C70,H70)</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70" s="306"/>
      <c r="C70" s="146" t="s">
        <v>327</v>
      </c>
      <c r="H70" s="6" t="str">
        <f>" "&amp;umumiy_malumot!B65&amp;"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71" spans="1:8" ht="49.5" customHeight="1" x14ac:dyDescent="0.25">
      <c r="A71" s="306" t="s">
        <v>312</v>
      </c>
      <c r="B71" s="306"/>
      <c r="C71" s="146"/>
    </row>
    <row r="72" spans="1:8" ht="36" customHeight="1" x14ac:dyDescent="0.25">
      <c r="A72" s="306" t="str">
        <f>"5.2.6. Quyidagi holatlarda Mikromoliya tashkilotning birinchi talabi bilan "&amp;umumiy_malumot!B65&amp;" qaytarilishi bo‘yicha qo‘shimcha garov ta'minotini taqdim etish: "</f>
        <v xml:space="preserve">5.2.6. Quyidagi holatlarda Mikromoliya tashkilotning birinchi talabi bilan mikroqarz qaytarilishi bo‘yicha qo‘shimcha garov ta'minotini taqdim etish: </v>
      </c>
      <c r="B72" s="306"/>
      <c r="C72" s="146"/>
    </row>
    <row r="73" spans="1:8" ht="51.75" customHeight="1" x14ac:dyDescent="0.25">
      <c r="A73" s="316" t="s">
        <v>328</v>
      </c>
      <c r="B73" s="316"/>
      <c r="C73" s="149"/>
    </row>
    <row r="74" spans="1:8" ht="57" customHeight="1" x14ac:dyDescent="0.25">
      <c r="A74" s="306" t="str">
        <f>"5.2.7. Sud qarori asosida Qarz oluvchi – jismoniy shaxsning muomalaga layoqatsizligi yoki muomalaga layoqati cheklangan yoxud to‘lash qobiliyatiga ega emasligi (bankrotligi) tan olinganda, uning vasiysi yoki homiysi "&amp;umumiy_malumot!B65&amp;"ning asosiy summa bo‘yicha qarzdorlikni "&amp;umumiy_malumot!B65&amp;"dan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4" s="306"/>
      <c r="C74" s="146"/>
    </row>
    <row r="75" spans="1:8" ht="33.75" customHeight="1" x14ac:dyDescent="0.25">
      <c r="A75" s="306" t="str">
        <f>"5.2.8. Mikromoliya tashkilotining "&amp;umumiy_malumot!B65&amp;"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5" s="306"/>
      <c r="C75" s="146"/>
      <c r="H75" s="6" t="s">
        <v>324</v>
      </c>
    </row>
    <row r="76" spans="1:8" ht="68.25" customHeight="1" x14ac:dyDescent="0.25">
      <c r="A76" s="306" t="str">
        <f>CONCATENATE(C76,H76)</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6" s="306"/>
      <c r="C76" s="146" t="str">
        <f>"5.2.9. Mikromoliya tashkilotining talabi bo‘yicha Mikromoliya tashkiloti ko‘rgan, shu jumladan "&amp;umumiy_malumot!B65&amp;" bo‘yicha (asosiy qarz, foizlar va boshqalar)"</f>
        <v>5.2.9. Mikromoliya tashkilotining talabi bo‘yicha Mikromoliya tashkiloti ko‘rgan, shu jumladan mikroqarz bo‘yicha (asosiy qarz, foizlar va boshqalar)</v>
      </c>
      <c r="H76" s="6" t="s">
        <v>329</v>
      </c>
    </row>
    <row r="77" spans="1:8" hidden="1" x14ac:dyDescent="0.25">
      <c r="A77" s="64"/>
    </row>
    <row r="78" spans="1:8" x14ac:dyDescent="0.25">
      <c r="A78" s="318" t="s">
        <v>293</v>
      </c>
      <c r="B78" s="318"/>
      <c r="C78" s="148"/>
    </row>
    <row r="79" spans="1:8" ht="84" customHeight="1" x14ac:dyDescent="0.25">
      <c r="A79" s="306" t="str">
        <f>CONCATENATE(C79,H79)</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9" s="306"/>
      <c r="C79" s="146" t="s">
        <v>330</v>
      </c>
      <c r="H79" s="6" t="str">
        <f>""&amp;umumiy_malumot!B65&amp;"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80" spans="1:8" ht="37.5" customHeight="1" x14ac:dyDescent="0.25">
      <c r="A80" s="306" t="s">
        <v>292</v>
      </c>
      <c r="B80" s="306"/>
      <c r="C80" s="146"/>
    </row>
    <row r="81" spans="1:3" ht="35.25" customHeight="1" x14ac:dyDescent="0.25">
      <c r="A81" s="306" t="s">
        <v>291</v>
      </c>
      <c r="B81" s="306"/>
      <c r="C81" s="146"/>
    </row>
    <row r="82" spans="1:3" ht="33" customHeight="1" x14ac:dyDescent="0.25">
      <c r="A82" s="306" t="s">
        <v>290</v>
      </c>
      <c r="B82" s="306"/>
      <c r="C82" s="146"/>
    </row>
    <row r="83" spans="1:3" hidden="1" x14ac:dyDescent="0.25"/>
    <row r="84" spans="1:3" x14ac:dyDescent="0.25">
      <c r="A84" s="307" t="s">
        <v>289</v>
      </c>
      <c r="B84" s="307"/>
      <c r="C84" s="60"/>
    </row>
    <row r="85" spans="1:3" ht="147.75" customHeight="1" x14ac:dyDescent="0.25">
      <c r="A85" s="306" t="s">
        <v>288</v>
      </c>
      <c r="B85" s="306"/>
      <c r="C85" s="146"/>
    </row>
    <row r="86" spans="1:3" ht="33.75" customHeight="1" x14ac:dyDescent="0.25">
      <c r="A86" s="306" t="s">
        <v>331</v>
      </c>
      <c r="B86" s="306"/>
      <c r="C86" s="146"/>
    </row>
    <row r="87" spans="1:3" ht="41.25" customHeight="1" x14ac:dyDescent="0.25">
      <c r="A87" s="306" t="s">
        <v>287</v>
      </c>
      <c r="B87" s="306"/>
      <c r="C87" s="146"/>
    </row>
    <row r="88" spans="1:3" ht="36" customHeight="1" x14ac:dyDescent="0.25">
      <c r="A88" s="306" t="s">
        <v>286</v>
      </c>
      <c r="B88" s="306"/>
      <c r="C88" s="146"/>
    </row>
    <row r="89" spans="1:3" hidden="1" x14ac:dyDescent="0.25"/>
    <row r="90" spans="1:3" x14ac:dyDescent="0.25">
      <c r="A90" s="307" t="s">
        <v>285</v>
      </c>
      <c r="B90" s="307"/>
      <c r="C90" s="60"/>
    </row>
    <row r="91" spans="1:3" ht="101.25" customHeight="1" x14ac:dyDescent="0.25">
      <c r="A91" s="306" t="s">
        <v>343</v>
      </c>
      <c r="B91" s="306"/>
      <c r="C91" s="146"/>
    </row>
    <row r="92" spans="1:3" ht="36" customHeight="1" x14ac:dyDescent="0.25">
      <c r="A92" s="306" t="s">
        <v>313</v>
      </c>
      <c r="B92" s="306"/>
      <c r="C92" s="146"/>
    </row>
    <row r="93" spans="1:3" ht="54" customHeight="1" x14ac:dyDescent="0.25">
      <c r="A93" s="306" t="str">
        <f>"8.2. Mikromoliya tashkiloti sud organlariga murojaat qilganidan keyin Qarz oluvchi tomonidan "&amp;umumiy_malumot!B65&amp;" bo‘yicha muddati o‘tgan qarzdorlikning to‘lanishi Mikromoliya tashkilotning "&amp;umumiy_malumot!B65&amp;"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3" s="306"/>
      <c r="C93" s="146"/>
    </row>
    <row r="94" spans="1:3" hidden="1" x14ac:dyDescent="0.25"/>
    <row r="95" spans="1:3" x14ac:dyDescent="0.25">
      <c r="A95" s="315" t="s">
        <v>284</v>
      </c>
      <c r="B95" s="315"/>
      <c r="C95" s="65"/>
    </row>
    <row r="96" spans="1:3" ht="20.25" customHeight="1" x14ac:dyDescent="0.25">
      <c r="A96" s="306" t="s">
        <v>283</v>
      </c>
      <c r="B96" s="306"/>
      <c r="C96" s="146"/>
    </row>
    <row r="97" spans="1:3" ht="33.75" customHeight="1" x14ac:dyDescent="0.25">
      <c r="A97" s="306" t="str">
        <f>"9.2. Shartnomaning amal qilish muddati Qarz oluvchi "&amp;umumiy_malumot!B65&amp;"ni to‘liq qaytargan, hisoblangan foizlar, penya va boshqa pul majburiyatlarini to‘lagan kunda yakunlanadi."</f>
        <v>9.2. Shartnomaning amal qilish muddati Qarz oluvchi mikroqarzni to‘liq qaytargan, hisoblangan foizlar, penya va boshqa pul majburiyatlarini to‘lagan kunda yakunlanadi.</v>
      </c>
      <c r="B97" s="306"/>
      <c r="C97" s="146"/>
    </row>
    <row r="98" spans="1:3" ht="40.5" customHeight="1" x14ac:dyDescent="0.25">
      <c r="A98" s="306" t="s">
        <v>282</v>
      </c>
      <c r="B98" s="306"/>
      <c r="C98" s="146"/>
    </row>
    <row r="99" spans="1:3" hidden="1" x14ac:dyDescent="0.25"/>
    <row r="100" spans="1:3" x14ac:dyDescent="0.25">
      <c r="A100" s="313" t="s">
        <v>281</v>
      </c>
      <c r="B100" s="313"/>
      <c r="C100" s="59"/>
    </row>
    <row r="101" spans="1:3" ht="66.75" customHeight="1" x14ac:dyDescent="0.25">
      <c r="A101" s="306" t="s">
        <v>280</v>
      </c>
      <c r="B101" s="306"/>
      <c r="C101" s="146"/>
    </row>
    <row r="102" spans="1:3" ht="66" customHeight="1" x14ac:dyDescent="0.25">
      <c r="A102" s="306" t="s">
        <v>279</v>
      </c>
      <c r="B102" s="306"/>
      <c r="C102" s="146"/>
    </row>
    <row r="103" spans="1:3" ht="48" customHeight="1" x14ac:dyDescent="0.25">
      <c r="A103" s="306" t="s">
        <v>278</v>
      </c>
      <c r="B103" s="306"/>
      <c r="C103" s="146"/>
    </row>
    <row r="105" spans="1:3" x14ac:dyDescent="0.25">
      <c r="A105" s="307" t="s">
        <v>277</v>
      </c>
      <c r="B105" s="307"/>
      <c r="C105" s="133"/>
    </row>
    <row r="106" spans="1:3" ht="37.5" customHeight="1" x14ac:dyDescent="0.25">
      <c r="A106" s="306" t="s">
        <v>276</v>
      </c>
      <c r="B106" s="306"/>
      <c r="C106" s="146"/>
    </row>
    <row r="107" spans="1:3" ht="34.5" customHeight="1" x14ac:dyDescent="0.25">
      <c r="A107" s="306" t="s">
        <v>275</v>
      </c>
      <c r="B107" s="306"/>
      <c r="C107" s="146"/>
    </row>
    <row r="108" spans="1:3" ht="66.75" customHeight="1" x14ac:dyDescent="0.25">
      <c r="A108" s="306" t="s">
        <v>274</v>
      </c>
      <c r="B108" s="306"/>
      <c r="C108" s="146"/>
    </row>
    <row r="109" spans="1:3" ht="51" customHeight="1" x14ac:dyDescent="0.25">
      <c r="A109" s="306" t="s">
        <v>273</v>
      </c>
      <c r="B109" s="306"/>
      <c r="C109" s="146"/>
    </row>
    <row r="110" spans="1:3" ht="37.5" customHeight="1" x14ac:dyDescent="0.25">
      <c r="A110" s="306" t="s">
        <v>272</v>
      </c>
      <c r="B110" s="306"/>
      <c r="C110" s="146"/>
    </row>
    <row r="111" spans="1:3" ht="38.25" customHeight="1" x14ac:dyDescent="0.25">
      <c r="A111" s="306" t="s">
        <v>271</v>
      </c>
      <c r="B111" s="306"/>
      <c r="C111" s="146"/>
    </row>
    <row r="112" spans="1:3" ht="21" customHeight="1" x14ac:dyDescent="0.25">
      <c r="A112" s="306" t="s">
        <v>270</v>
      </c>
      <c r="B112" s="306"/>
      <c r="C112" s="146"/>
    </row>
    <row r="113" spans="1:3" ht="26.25" customHeight="1" x14ac:dyDescent="0.25">
      <c r="A113" s="313" t="s">
        <v>314</v>
      </c>
      <c r="B113" s="313"/>
      <c r="C113" s="65"/>
    </row>
    <row r="114" spans="1:3" hidden="1" x14ac:dyDescent="0.25"/>
    <row r="115" spans="1:3" x14ac:dyDescent="0.25">
      <c r="A115" s="179" t="s">
        <v>269</v>
      </c>
      <c r="B115" s="179" t="s">
        <v>268</v>
      </c>
    </row>
    <row r="117" spans="1:3" ht="31.5" x14ac:dyDescent="0.25">
      <c r="A117" s="65" t="str">
        <f>umumiy_malumot!B159</f>
        <v>«PULLOL BUSINESS MIKROMOLIYA TASHKILOTI»  MChJ</v>
      </c>
      <c r="B117" s="196" t="str">
        <f>umumiy_malumot!B5</f>
        <v>NARBAYEV QUDAYBERGEN QALBAYEVICH</v>
      </c>
    </row>
    <row r="119" spans="1:3" ht="40.5" customHeight="1" x14ac:dyDescent="0.25">
      <c r="A119" s="180" t="str">
        <f>"Manzil: "&amp;umumiy_malumot!B164&amp;""</f>
        <v>Manzil: Toshkent shahri, Yakkasaroy tumani, Rakat ko'chasi, 10 uy, 18 xonadon</v>
      </c>
      <c r="B119" s="180" t="str">
        <f>"Manzil: "&amp;umumiy_malumot!B27&amp;""</f>
        <v>Manzil: TOSHKENT SHAHAR BEKTEMIR TUMANI MAJNUNTOL MFY MAJNUNTOL MAXALLA SHONIGOR KO'CHASI  113 UY</v>
      </c>
    </row>
    <row r="120" spans="1:3" ht="17.25" customHeight="1" x14ac:dyDescent="0.25">
      <c r="A120" s="201" t="str">
        <f>"h/r: "&amp;umumiy_malumot!B165&amp;""</f>
        <v>h/r: №20208000405643889001</v>
      </c>
    </row>
    <row r="121" spans="1:3" ht="31.5" x14ac:dyDescent="0.25">
      <c r="A121" s="180" t="str">
        <f>"MFO: "&amp;umumiy_malumot!B166&amp;" в "&amp;umumiy_malumot!B167&amp;""</f>
        <v>MFO: №01088 в ATB “Kapitalbank” Markaziy amaliyotlar bo'limi</v>
      </c>
      <c r="B121" s="180" t="str">
        <f>"Pasport: "&amp;umumiy_malumot!B16&amp;", "&amp;umumiy_malumot!B20&amp;""</f>
        <v>Pasport: AD 1654245, IIV 26264 tomonidan 15.08.2022 yilda berilgan</v>
      </c>
    </row>
    <row r="122" spans="1:3" x14ac:dyDescent="0.25">
      <c r="A122" s="180" t="str">
        <f>"STIR: "&amp;umumiy_malumot!B168&amp;""</f>
        <v>STIR: 310430149</v>
      </c>
      <c r="B122" s="61" t="str">
        <f>"Tel: "&amp;umumiy_malumot!B40&amp;""</f>
        <v>Tel: 90 093 33 23 MIJOZ</v>
      </c>
    </row>
    <row r="123" spans="1:3" x14ac:dyDescent="0.25">
      <c r="A123" s="252" t="str">
        <f>"Tel: 555 100 217"</f>
        <v>Tel: 555 100 217</v>
      </c>
      <c r="B123" s="61" t="str">
        <f>umumiy_malumot!B41</f>
        <v>94 687 11 22 MIJOZ</v>
      </c>
    </row>
    <row r="124" spans="1:3" x14ac:dyDescent="0.25">
      <c r="A124" s="252" t="str">
        <f>"Tel: (97) 714 14 17"</f>
        <v>Tel: (97) 714 14 17</v>
      </c>
      <c r="B124" s="61">
        <f>umumiy_malumot!B42</f>
        <v>0</v>
      </c>
    </row>
    <row r="125" spans="1:3" x14ac:dyDescent="0.25">
      <c r="A125" s="29"/>
    </row>
    <row r="126" spans="1:3" x14ac:dyDescent="0.25">
      <c r="A126" s="252" t="str">
        <f>"Tel: (97) 706 96 65"</f>
        <v>Tel: (97) 706 96 65</v>
      </c>
      <c r="B126" s="314"/>
    </row>
    <row r="127" spans="1:3" x14ac:dyDescent="0.25">
      <c r="B127" s="314"/>
    </row>
    <row r="128" spans="1:3" x14ac:dyDescent="0.25">
      <c r="A128" s="304" t="str">
        <f>umumiy_malumot!A161</f>
        <v>Direktor</v>
      </c>
      <c r="B128" s="6" t="str">
        <f>""&amp;umumiy_malumot!B7&amp;"     __________________"</f>
        <v>NARBAYEV Q. Q.     __________________</v>
      </c>
    </row>
    <row r="129" spans="1:2" x14ac:dyDescent="0.25">
      <c r="A129" s="304"/>
      <c r="B129" s="181"/>
    </row>
    <row r="130" spans="1:2" x14ac:dyDescent="0.25">
      <c r="A130" s="29" t="str">
        <f>umumiy_malumot!B161</f>
        <v>Obidov A.Sh.</v>
      </c>
      <c r="B130" s="6" t="str">
        <f>""&amp;umumiy_malumot!C64&amp;" shartnomasining bir nusxasini oldim ______________"</f>
        <v>Mikroqarz shartnomasining bir nusxasini oldim ______________</v>
      </c>
    </row>
    <row r="132" spans="1:2" hidden="1" x14ac:dyDescent="0.25">
      <c r="A132" s="6" t="str">
        <f>"менеджер :   "&amp;umumiy_malumot!B172&amp;"______________"</f>
        <v>менеджер :   Eshbekov S. O.______________</v>
      </c>
    </row>
  </sheetData>
  <mergeCells count="101">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 ref="A32:B32"/>
    <mergeCell ref="A24:B24"/>
    <mergeCell ref="A28:B28"/>
    <mergeCell ref="A29:B29"/>
    <mergeCell ref="A30:B30"/>
    <mergeCell ref="A31:B31"/>
    <mergeCell ref="A11:B11"/>
    <mergeCell ref="A50:B50"/>
    <mergeCell ref="A51:B51"/>
    <mergeCell ref="A42:B42"/>
    <mergeCell ref="A41:B41"/>
    <mergeCell ref="A40:B40"/>
    <mergeCell ref="A39:B39"/>
    <mergeCell ref="A37:B37"/>
    <mergeCell ref="A36:B36"/>
    <mergeCell ref="A35:B35"/>
    <mergeCell ref="A52:B52"/>
    <mergeCell ref="A53:B53"/>
    <mergeCell ref="A49:B49"/>
    <mergeCell ref="A48:B48"/>
    <mergeCell ref="A47:B47"/>
    <mergeCell ref="A46:B46"/>
    <mergeCell ref="A45:B45"/>
    <mergeCell ref="A44:B44"/>
    <mergeCell ref="A43:B43"/>
    <mergeCell ref="A54:B54"/>
    <mergeCell ref="A55:B55"/>
    <mergeCell ref="A56:B56"/>
    <mergeCell ref="A57:B57"/>
    <mergeCell ref="A59:B59"/>
    <mergeCell ref="A60:B60"/>
    <mergeCell ref="A61:B61"/>
    <mergeCell ref="A62:B62"/>
    <mergeCell ref="A63:B63"/>
    <mergeCell ref="A64:B64"/>
    <mergeCell ref="A65:B65"/>
    <mergeCell ref="A66:B66"/>
    <mergeCell ref="A67:B67"/>
    <mergeCell ref="A68:B68"/>
    <mergeCell ref="A69:B69"/>
    <mergeCell ref="A75:B75"/>
    <mergeCell ref="A76:B76"/>
    <mergeCell ref="A78:B78"/>
    <mergeCell ref="A79:B79"/>
    <mergeCell ref="A70:B70"/>
    <mergeCell ref="A71:B71"/>
    <mergeCell ref="A72:B72"/>
    <mergeCell ref="A73:B73"/>
    <mergeCell ref="A74:B74"/>
    <mergeCell ref="A80:B80"/>
    <mergeCell ref="A81:B81"/>
    <mergeCell ref="A82:B82"/>
    <mergeCell ref="A84:B84"/>
    <mergeCell ref="A85:B85"/>
    <mergeCell ref="A92:B92"/>
    <mergeCell ref="A93:B93"/>
    <mergeCell ref="A95:B95"/>
    <mergeCell ref="A96:B96"/>
    <mergeCell ref="A86:B86"/>
    <mergeCell ref="A87:B87"/>
    <mergeCell ref="A88:B88"/>
    <mergeCell ref="A90:B90"/>
    <mergeCell ref="A91:B91"/>
    <mergeCell ref="A108:B108"/>
    <mergeCell ref="A128:A129"/>
    <mergeCell ref="A113:B113"/>
    <mergeCell ref="A109:B109"/>
    <mergeCell ref="A110:B110"/>
    <mergeCell ref="A111:B111"/>
    <mergeCell ref="A112:B112"/>
    <mergeCell ref="A97:B97"/>
    <mergeCell ref="A98:B98"/>
    <mergeCell ref="A100:B100"/>
    <mergeCell ref="A101:B101"/>
    <mergeCell ref="A102:B102"/>
    <mergeCell ref="A103:B103"/>
    <mergeCell ref="A105:B105"/>
    <mergeCell ref="A106:B106"/>
    <mergeCell ref="A107:B107"/>
    <mergeCell ref="B126:B127"/>
  </mergeCells>
  <printOptions horizontalCentered="1"/>
  <pageMargins left="0.70866141732283472" right="0.70866141732283472" top="0.51181102362204722" bottom="0.43307086614173229" header="0.31496062992125984" footer="0.31496062992125984"/>
  <pageSetup paperSize="9" scale="72" orientation="portrait" r:id="rId1"/>
  <rowBreaks count="1" manualBreakCount="1">
    <brk id="20" max="1"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12">
    <tabColor rgb="FF00B050"/>
    <pageSetUpPr fitToPage="1"/>
  </sheetPr>
  <dimension ref="A2:P76"/>
  <sheetViews>
    <sheetView view="pageBreakPreview" topLeftCell="A16" zoomScaleNormal="100" zoomScaleSheetLayoutView="100" workbookViewId="0">
      <selection activeCell="D17" sqref="D17"/>
    </sheetView>
  </sheetViews>
  <sheetFormatPr defaultColWidth="9.140625" defaultRowHeight="15" outlineLevelCol="1" x14ac:dyDescent="0.25"/>
  <cols>
    <col min="1" max="1" width="9.140625" style="13"/>
    <col min="2" max="2" width="13.7109375" style="13" customWidth="1"/>
    <col min="3" max="3" width="20.140625" style="13" customWidth="1"/>
    <col min="4" max="4" width="20.28515625" style="13" customWidth="1"/>
    <col min="5" max="5" width="19.5703125" style="13" customWidth="1"/>
    <col min="6" max="6" width="18.28515625" style="13" customWidth="1"/>
    <col min="7" max="7" width="10.140625" style="13" customWidth="1" outlineLevel="1"/>
    <col min="8" max="8" width="19.7109375" style="13" customWidth="1"/>
    <col min="9" max="10" width="9.140625" style="13" customWidth="1"/>
    <col min="11" max="16384" width="9.140625" style="13"/>
  </cols>
  <sheetData>
    <row r="2" spans="1:16" x14ac:dyDescent="0.25">
      <c r="A2" s="34"/>
      <c r="B2" s="34"/>
      <c r="C2" s="34"/>
      <c r="D2" s="34"/>
      <c r="E2" s="323"/>
      <c r="F2" s="323"/>
      <c r="G2" s="18"/>
    </row>
    <row r="3" spans="1:16" ht="75" customHeight="1" x14ac:dyDescent="0.25">
      <c r="A3" s="34"/>
      <c r="B3" s="34"/>
      <c r="C3" s="34"/>
      <c r="D3" s="34"/>
      <c r="E3" s="328" t="str">
        <f>""&amp;umumiy_malumot!B74&amp;" 
"&amp;umumiy_malumot!B65&amp;" shartnomasiga 
1 sonli ilova"</f>
        <v>2 fevral 2026 y.dan № 53 
mikroqarz shartnomasiga 
1 sonli ilova</v>
      </c>
      <c r="F3" s="328"/>
      <c r="G3" s="18"/>
    </row>
    <row r="4" spans="1:16" x14ac:dyDescent="0.25">
      <c r="A4" s="34"/>
      <c r="B4" s="34"/>
      <c r="C4" s="34"/>
      <c r="D4" s="34"/>
      <c r="E4" s="34"/>
      <c r="F4" s="34"/>
    </row>
    <row r="5" spans="1:16" x14ac:dyDescent="0.25">
      <c r="A5" s="324" t="s">
        <v>256</v>
      </c>
      <c r="B5" s="324"/>
      <c r="C5" s="324"/>
      <c r="D5" s="324"/>
      <c r="E5" s="324"/>
      <c r="F5" s="324"/>
    </row>
    <row r="7" spans="1:16" ht="15" customHeight="1" x14ac:dyDescent="0.25">
      <c r="A7" s="325" t="s">
        <v>13</v>
      </c>
      <c r="B7" s="326" t="s">
        <v>257</v>
      </c>
      <c r="C7" s="326" t="s">
        <v>258</v>
      </c>
      <c r="D7" s="327" t="s">
        <v>259</v>
      </c>
      <c r="E7" s="327"/>
      <c r="F7" s="327"/>
    </row>
    <row r="8" spans="1:16" s="14" customFormat="1" x14ac:dyDescent="0.25">
      <c r="A8" s="325"/>
      <c r="B8" s="326"/>
      <c r="C8" s="326"/>
      <c r="D8" s="15" t="s">
        <v>260</v>
      </c>
      <c r="E8" s="15" t="s">
        <v>261</v>
      </c>
      <c r="F8" s="15" t="s">
        <v>262</v>
      </c>
    </row>
    <row r="9" spans="1:16" x14ac:dyDescent="0.25">
      <c r="A9" s="16">
        <v>1</v>
      </c>
      <c r="B9" s="30">
        <f>'График аннуитет.'!B8</f>
        <v>46091</v>
      </c>
      <c r="C9" s="31">
        <f>IF(umumiy_malumot!$B$78=umumiy_malumot!$C$78,'График дифференц'!C8,IF(umumiy_malumot!$B$78=umumiy_malumot!$D$78,'График аннуитет.'!C8))</f>
        <v>100000000</v>
      </c>
      <c r="D9" s="31">
        <f>IF(umumiy_malumot!$B$78=umumiy_malumot!$C$78,'График дифференц'!D8,IF(umumiy_malumot!$B$78=umumiy_malumot!$D$78,'График аннуитет.'!D8))</f>
        <v>2777777.78</v>
      </c>
      <c r="E9" s="31">
        <f>IF(umumiy_malumot!$B$78=umumiy_malumot!$C$78,'График дифференц'!E8,IF(umumiy_malumot!$B$78=umumiy_malumot!$D$78,'График аннуитет.'!E8))</f>
        <v>5424657.4799999995</v>
      </c>
      <c r="F9" s="31">
        <f>IF(umumiy_malumot!$B$78=umumiy_malumot!$C$78,'График дифференц'!F8,IF(umumiy_malumot!$B$78=umumiy_malumot!$D$78,'График аннуитет.'!F8))</f>
        <v>8202435.2599999998</v>
      </c>
    </row>
    <row r="10" spans="1:16" x14ac:dyDescent="0.25">
      <c r="A10" s="16">
        <v>2</v>
      </c>
      <c r="B10" s="30">
        <f>'График аннуитет.'!B9</f>
        <v>46122</v>
      </c>
      <c r="C10" s="31">
        <f>IF(umumiy_malumot!$B$78=umumiy_malumot!$C$78,'График дифференц'!C9,IF(umumiy_malumot!$B$78=umumiy_malumot!$D$78,'График аннуитет.'!C9))</f>
        <v>97222222.219999999</v>
      </c>
      <c r="D10" s="31">
        <f>IF(umumiy_malumot!$B$78=umumiy_malumot!$C$78,'График дифференц'!D9,IF(umumiy_malumot!$B$78=umumiy_malumot!$D$78,'График аннуитет.'!D9))</f>
        <v>2777777.78</v>
      </c>
      <c r="E10" s="31">
        <f>IF(umumiy_malumot!$B$78=umumiy_malumot!$C$78,'График дифференц'!E9,IF(umumiy_malumot!$B$78=umumiy_malumot!$D$78,'График аннуитет.'!E9))</f>
        <v>4541476.4399999995</v>
      </c>
      <c r="F10" s="31">
        <f>IF(umumiy_malumot!$B$78=umumiy_malumot!$C$78,'График дифференц'!F9,IF(umumiy_malumot!$B$78=umumiy_malumot!$D$78,'График аннуитет.'!F9))</f>
        <v>7319254.2199999988</v>
      </c>
    </row>
    <row r="11" spans="1:16" x14ac:dyDescent="0.25">
      <c r="A11" s="16">
        <v>3</v>
      </c>
      <c r="B11" s="30">
        <f>'График аннуитет.'!B10</f>
        <v>46153</v>
      </c>
      <c r="C11" s="31">
        <f>IF(umumiy_malumot!$B$78=umumiy_malumot!$C$78,'График дифференц'!C10,IF(umumiy_malumot!$B$78=umumiy_malumot!$D$78,'График аннуитет.'!C10))</f>
        <v>94444444.439999998</v>
      </c>
      <c r="D11" s="31">
        <f>IF(umumiy_malumot!$B$78=umumiy_malumot!$C$78,'График дифференц'!D10,IF(umumiy_malumot!$B$78=umumiy_malumot!$D$78,'График аннуитет.'!D10))</f>
        <v>2777777.78</v>
      </c>
      <c r="E11" s="31">
        <f>IF(umumiy_malumot!$B$78=umumiy_malumot!$C$78,'График дифференц'!E10,IF(umumiy_malumot!$B$78=umumiy_malumot!$D$78,'График аннуитет.'!E10))</f>
        <v>4411720.05</v>
      </c>
      <c r="F11" s="31">
        <f>IF(umumiy_malumot!$B$78=umumiy_malumot!$C$78,'График дифференц'!F10,IF(umumiy_malumot!$B$78=umumiy_malumot!$D$78,'График аннуитет.'!F10))</f>
        <v>7189497.8300000001</v>
      </c>
    </row>
    <row r="12" spans="1:16" x14ac:dyDescent="0.25">
      <c r="A12" s="16">
        <v>4</v>
      </c>
      <c r="B12" s="30">
        <f>'График аннуитет.'!B11</f>
        <v>46183</v>
      </c>
      <c r="C12" s="31">
        <f>IF(umumiy_malumot!$B$78=umumiy_malumot!$C$78,'График дифференц'!C11,IF(umumiy_malumot!$B$78=umumiy_malumot!$D$78,'График аннуитет.'!C11))</f>
        <v>91666666.659999996</v>
      </c>
      <c r="D12" s="31">
        <f>IF(umumiy_malumot!$B$78=umumiy_malumot!$C$78,'График дифференц'!D11,IF(umumiy_malumot!$B$78=umumiy_malumot!$D$78,'График аннуитет.'!D11))</f>
        <v>2777777.78</v>
      </c>
      <c r="E12" s="31">
        <f>IF(umumiy_malumot!$B$78=umumiy_malumot!$C$78,'График дифференц'!E11,IF(umumiy_malumot!$B$78=umumiy_malumot!$D$78,'График аннуитет.'!E11))</f>
        <v>4143835.5</v>
      </c>
      <c r="F12" s="31">
        <f>IF(umumiy_malumot!$B$78=umumiy_malumot!$C$78,'График дифференц'!F11,IF(umumiy_malumot!$B$78=umumiy_malumot!$D$78,'График аннуитет.'!F11))</f>
        <v>6921613.2799999993</v>
      </c>
      <c r="H12" s="332" t="s">
        <v>361</v>
      </c>
      <c r="I12" s="332"/>
      <c r="J12" s="332"/>
      <c r="K12" s="332"/>
      <c r="L12" s="332"/>
      <c r="M12" s="332"/>
      <c r="N12" s="332"/>
      <c r="O12" s="332"/>
      <c r="P12" s="332"/>
    </row>
    <row r="13" spans="1:16" x14ac:dyDescent="0.25">
      <c r="A13" s="16">
        <v>5</v>
      </c>
      <c r="B13" s="30">
        <f>'График аннуитет.'!B12</f>
        <v>46213</v>
      </c>
      <c r="C13" s="31">
        <f>IF(umumiy_malumot!$B$78=umumiy_malumot!$C$78,'График дифференц'!C12,IF(umumiy_malumot!$B$78=umumiy_malumot!$D$78,'График аннуитет.'!C12))</f>
        <v>88888888.879999995</v>
      </c>
      <c r="D13" s="31">
        <f>IF(umumiy_malumot!$B$78=umumiy_malumot!$C$78,'График дифференц'!D12,IF(umumiy_malumot!$B$78=umumiy_malumot!$D$78,'График аннуитет.'!D12))</f>
        <v>2777777.78</v>
      </c>
      <c r="E13" s="31">
        <f>IF(umumiy_malumot!$B$78=umumiy_malumot!$C$78,'График дифференц'!E12,IF(umumiy_malumot!$B$78=umumiy_malumot!$D$78,'График аннуитет.'!E12))</f>
        <v>4018264.8000000003</v>
      </c>
      <c r="F13" s="31">
        <f>IF(umumiy_malumot!$B$78=umumiy_malumot!$C$78,'График дифференц'!F12,IF(umumiy_malumot!$B$78=umumiy_malumot!$D$78,'График аннуитет.'!F12))</f>
        <v>6796042.5800000001</v>
      </c>
      <c r="H13" s="332"/>
      <c r="I13" s="332"/>
      <c r="J13" s="332"/>
      <c r="K13" s="332"/>
      <c r="L13" s="332"/>
      <c r="M13" s="332"/>
      <c r="N13" s="332"/>
      <c r="O13" s="332"/>
      <c r="P13" s="332"/>
    </row>
    <row r="14" spans="1:16" x14ac:dyDescent="0.25">
      <c r="A14" s="16">
        <v>6</v>
      </c>
      <c r="B14" s="30">
        <f>'График аннуитет.'!B13</f>
        <v>46244</v>
      </c>
      <c r="C14" s="31">
        <f>IF(umumiy_malumot!$B$78=umumiy_malumot!$C$78,'График дифференц'!C13,IF(umumiy_malumot!$B$78=umumiy_malumot!$D$78,'График аннуитет.'!C13))</f>
        <v>86111111.099999994</v>
      </c>
      <c r="D14" s="31">
        <f>IF(umumiy_malumot!$B$78=umumiy_malumot!$C$78,'График дифференц'!D13,IF(umumiy_malumot!$B$78=umumiy_malumot!$D$78,'График аннуитет.'!D13))</f>
        <v>2777777.78</v>
      </c>
      <c r="E14" s="31">
        <f>IF(umumiy_malumot!$B$78=umumiy_malumot!$C$78,'График дифференц'!E13,IF(umumiy_malumot!$B$78=umumiy_malumot!$D$78,'График аннуитет.'!E13))</f>
        <v>4022450.57</v>
      </c>
      <c r="F14" s="31">
        <f>IF(umumiy_malumot!$B$78=umumiy_malumot!$C$78,'График дифференц'!F13,IF(umumiy_malumot!$B$78=umumiy_malumot!$D$78,'График аннуитет.'!F13))</f>
        <v>6800228.3499999996</v>
      </c>
      <c r="H14" s="332"/>
      <c r="I14" s="332"/>
      <c r="J14" s="332"/>
      <c r="K14" s="332"/>
      <c r="L14" s="332"/>
      <c r="M14" s="332"/>
      <c r="N14" s="332"/>
      <c r="O14" s="332"/>
      <c r="P14" s="332"/>
    </row>
    <row r="15" spans="1:16" x14ac:dyDescent="0.25">
      <c r="A15" s="16">
        <v>7</v>
      </c>
      <c r="B15" s="30">
        <f>'График аннуитет.'!B14</f>
        <v>46275</v>
      </c>
      <c r="C15" s="31">
        <f>IF(umumiy_malumot!$B$78=umumiy_malumot!$C$78,'График дифференц'!C14,IF(umumiy_malumot!$B$78=umumiy_malumot!$D$78,'График аннуитет.'!C14))</f>
        <v>83333333.319999993</v>
      </c>
      <c r="D15" s="31">
        <f>IF(umumiy_malumot!$B$78=umumiy_malumot!$C$78,'График дифференц'!D14,IF(umumiy_malumot!$B$78=umumiy_malumot!$D$78,'График аннуитет.'!D14))</f>
        <v>2777777.78</v>
      </c>
      <c r="E15" s="31">
        <f>IF(umumiy_malumot!$B$78=umumiy_malumot!$C$78,'График дифференц'!E14,IF(umumiy_malumot!$B$78=umumiy_malumot!$D$78,'График аннуитет.'!E14))</f>
        <v>3892694.18</v>
      </c>
      <c r="F15" s="31">
        <f>IF(umumiy_malumot!$B$78=umumiy_malumot!$C$78,'График дифференц'!F14,IF(umumiy_malumot!$B$78=umumiy_malumot!$D$78,'График аннуитет.'!F14))</f>
        <v>6670471.96</v>
      </c>
      <c r="H15" s="332"/>
      <c r="I15" s="332"/>
      <c r="J15" s="332"/>
      <c r="K15" s="332"/>
      <c r="L15" s="332"/>
      <c r="M15" s="332"/>
      <c r="N15" s="332"/>
      <c r="O15" s="332"/>
      <c r="P15" s="332"/>
    </row>
    <row r="16" spans="1:16" x14ac:dyDescent="0.25">
      <c r="A16" s="16">
        <v>8</v>
      </c>
      <c r="B16" s="30">
        <f>'График аннуитет.'!B15</f>
        <v>46307</v>
      </c>
      <c r="C16" s="31">
        <f>IF(umumiy_malumot!$B$78=umumiy_malumot!$C$78,'График дифференц'!C15,IF(umumiy_malumot!$B$78=umumiy_malumot!$D$78,'График аннуитет.'!C15))</f>
        <v>80555555.539999992</v>
      </c>
      <c r="D16" s="31">
        <f>IF(umumiy_malumot!$B$78=umumiy_malumot!$C$78,'График дифференц'!D15,IF(umumiy_malumot!$B$78=umumiy_malumot!$D$78,'График аннуитет.'!D15))</f>
        <v>2777777.78</v>
      </c>
      <c r="E16" s="31">
        <f>IF(umumiy_malumot!$B$78=umumiy_malumot!$C$78,'График дифференц'!E15,IF(umumiy_malumot!$B$78=umumiy_malumot!$D$78,'График аннуитет.'!E15))</f>
        <v>3884322.56</v>
      </c>
      <c r="F16" s="31">
        <f>IF(umumiy_malumot!$B$78=umumiy_malumot!$C$78,'График дифференц'!F15,IF(umumiy_malumot!$B$78=umumiy_malumot!$D$78,'График аннуитет.'!F15))</f>
        <v>6662100.3399999999</v>
      </c>
      <c r="H16" s="332"/>
      <c r="I16" s="332"/>
      <c r="J16" s="332"/>
      <c r="K16" s="332"/>
      <c r="L16" s="332"/>
      <c r="M16" s="332"/>
      <c r="N16" s="332"/>
      <c r="O16" s="332"/>
      <c r="P16" s="332"/>
    </row>
    <row r="17" spans="1:16" x14ac:dyDescent="0.25">
      <c r="A17" s="16">
        <v>9</v>
      </c>
      <c r="B17" s="30">
        <f>'График аннуитет.'!B16</f>
        <v>46336</v>
      </c>
      <c r="C17" s="31">
        <f>IF(umumiy_malumot!$B$78=umumiy_malumot!$C$78,'График дифференц'!C16,IF(umumiy_malumot!$B$78=umumiy_malumot!$D$78,'График аннуитет.'!C16))</f>
        <v>77777777.75999999</v>
      </c>
      <c r="D17" s="31">
        <f>IF(umumiy_malumot!$B$78=umumiy_malumot!$C$78,'График дифференц'!D16,IF(umumiy_malumot!$B$78=umumiy_malumot!$D$78,'График аннуитет.'!D16))</f>
        <v>2777777.78</v>
      </c>
      <c r="E17" s="31">
        <f>IF(umumiy_malumot!$B$78=umumiy_malumot!$C$78,'График дифференц'!E16,IF(umumiy_malumot!$B$78=umumiy_malumot!$D$78,'График аннуитет.'!E16))</f>
        <v>3398782.31</v>
      </c>
      <c r="F17" s="31">
        <f>IF(umumiy_malumot!$B$78=umumiy_malumot!$C$78,'График дифференц'!F16,IF(umumiy_malumot!$B$78=umumiy_malumot!$D$78,'График аннуитет.'!F16))</f>
        <v>6176560.0899999999</v>
      </c>
      <c r="H17" s="332"/>
      <c r="I17" s="332"/>
      <c r="J17" s="332"/>
      <c r="K17" s="332"/>
      <c r="L17" s="332"/>
      <c r="M17" s="332"/>
      <c r="N17" s="332"/>
      <c r="O17" s="332"/>
      <c r="P17" s="332"/>
    </row>
    <row r="18" spans="1:16" x14ac:dyDescent="0.25">
      <c r="A18" s="16">
        <v>10</v>
      </c>
      <c r="B18" s="30">
        <f>'График аннуитет.'!B17</f>
        <v>46366</v>
      </c>
      <c r="C18" s="31">
        <f>IF(umumiy_malumot!$B$78=umumiy_malumot!$C$78,'График дифференц'!C17,IF(umumiy_malumot!$B$78=umumiy_malumot!$D$78,'График аннуитет.'!C17))</f>
        <v>74999999.979999989</v>
      </c>
      <c r="D18" s="31">
        <f>IF(umumiy_malumot!$B$78=umumiy_malumot!$C$78,'График дифференц'!D17,IF(umumiy_malumot!$B$78=umumiy_malumot!$D$78,'График аннуитет.'!D17))</f>
        <v>2777777.78</v>
      </c>
      <c r="E18" s="31">
        <f>IF(umumiy_malumot!$B$78=umumiy_malumot!$C$78,'График дифференц'!E17,IF(umumiy_malumot!$B$78=umumiy_malumot!$D$78,'График аннуитет.'!E17))</f>
        <v>3390411</v>
      </c>
      <c r="F18" s="31">
        <f>IF(umumiy_malumot!$B$78=umumiy_malumot!$C$78,'График дифференц'!F17,IF(umumiy_malumot!$B$78=umumiy_malumot!$D$78,'График аннуитет.'!F17))</f>
        <v>6168188.7799999993</v>
      </c>
      <c r="H18" s="332"/>
      <c r="I18" s="332"/>
      <c r="J18" s="332"/>
      <c r="K18" s="332"/>
      <c r="L18" s="332"/>
      <c r="M18" s="332"/>
      <c r="N18" s="332"/>
      <c r="O18" s="332"/>
      <c r="P18" s="332"/>
    </row>
    <row r="19" spans="1:16" x14ac:dyDescent="0.25">
      <c r="A19" s="16">
        <v>11</v>
      </c>
      <c r="B19" s="30">
        <f>'График аннуитет.'!B18</f>
        <v>46398</v>
      </c>
      <c r="C19" s="31">
        <f>IF(umumiy_malumot!$B$78=umumiy_malumot!$C$78,'График дифференц'!C18,IF(umumiy_malumot!$B$78=umumiy_malumot!$D$78,'График аннуитет.'!C18))</f>
        <v>72222222.199999988</v>
      </c>
      <c r="D19" s="31">
        <f>IF(umumiy_malumot!$B$78=umumiy_malumot!$C$78,'График дифференц'!D18,IF(umumiy_malumot!$B$78=umumiy_malumot!$D$78,'График аннуитет.'!D18))</f>
        <v>2777777.78</v>
      </c>
      <c r="E19" s="31">
        <f>IF(umumiy_malumot!$B$78=umumiy_malumot!$C$78,'График дифференц'!E18,IF(umumiy_malumot!$B$78=umumiy_malumot!$D$78,'График аннуитет.'!E18))</f>
        <v>3482496.32</v>
      </c>
      <c r="F19" s="31">
        <f>IF(umumiy_malumot!$B$78=umumiy_malumot!$C$78,'График дифференц'!F18,IF(umumiy_malumot!$B$78=umumiy_malumot!$D$78,'График аннуитет.'!F18))</f>
        <v>6260274.0999999996</v>
      </c>
      <c r="H19" s="332"/>
      <c r="I19" s="332"/>
      <c r="J19" s="332"/>
      <c r="K19" s="332"/>
      <c r="L19" s="332"/>
      <c r="M19" s="332"/>
      <c r="N19" s="332"/>
      <c r="O19" s="332"/>
      <c r="P19" s="332"/>
    </row>
    <row r="20" spans="1:16" x14ac:dyDescent="0.25">
      <c r="A20" s="16">
        <v>12</v>
      </c>
      <c r="B20" s="30">
        <f>'График аннуитет.'!B19</f>
        <v>46428</v>
      </c>
      <c r="C20" s="31">
        <f>IF(umumiy_malumot!$B$78=umumiy_malumot!$C$78,'График дифференц'!C19,IF(umumiy_malumot!$B$78=umumiy_malumot!$D$78,'График аннуитет.'!C19))</f>
        <v>69444444.419999987</v>
      </c>
      <c r="D20" s="31">
        <f>IF(umumiy_malumot!$B$78=umumiy_malumot!$C$78,'График дифференц'!D19,IF(umumiy_malumot!$B$78=umumiy_malumot!$D$78,'График аннуитет.'!D19))</f>
        <v>2777777.78</v>
      </c>
      <c r="E20" s="31">
        <f>IF(umumiy_malumot!$B$78=umumiy_malumot!$C$78,'График дифференц'!E19,IF(umumiy_malumot!$B$78=umumiy_malumot!$D$78,'График аннуитет.'!E19))</f>
        <v>3139269.3</v>
      </c>
      <c r="F20" s="31">
        <f>IF(umumiy_malumot!$B$78=umumiy_malumot!$C$78,'График дифференц'!F19,IF(umumiy_malumot!$B$78=umumiy_malumot!$D$78,'График аннуитет.'!F19))</f>
        <v>5917047.0800000001</v>
      </c>
      <c r="H20" s="332"/>
      <c r="I20" s="332"/>
      <c r="J20" s="332"/>
      <c r="K20" s="332"/>
      <c r="L20" s="332"/>
      <c r="M20" s="332"/>
      <c r="N20" s="332"/>
      <c r="O20" s="332"/>
      <c r="P20" s="332"/>
    </row>
    <row r="21" spans="1:16" x14ac:dyDescent="0.25">
      <c r="A21" s="16">
        <v>13</v>
      </c>
      <c r="B21" s="30">
        <f>'График аннуитет.'!B20</f>
        <v>46456</v>
      </c>
      <c r="C21" s="31">
        <f>IF(umumiy_malumot!$B$78=umumiy_malumot!$C$78,'График дифференц'!C20,IF(umumiy_malumot!$B$78=umumiy_malumot!$D$78,'График аннуитет.'!C20))</f>
        <v>66666666.639999986</v>
      </c>
      <c r="D21" s="31">
        <f>IF(umumiy_malumot!$B$78=umumiy_malumot!$C$78,'График дифференц'!D20,IF(umumiy_malumot!$B$78=umumiy_malumot!$D$78,'График аннуитет.'!D20))</f>
        <v>2777777.78</v>
      </c>
      <c r="E21" s="31">
        <f>IF(umumiy_malumot!$B$78=umumiy_malumot!$C$78,'График дифференц'!E20,IF(umumiy_malumot!$B$78=umumiy_malumot!$D$78,'График аннуитет.'!E20))</f>
        <v>2812785.36</v>
      </c>
      <c r="F21" s="31">
        <f>IF(umumiy_malumot!$B$78=umumiy_malumot!$C$78,'График дифференц'!F20,IF(umumiy_malumot!$B$78=umumiy_malumot!$D$78,'График аннуитет.'!F20))</f>
        <v>5590563.1399999997</v>
      </c>
      <c r="H21" s="332"/>
      <c r="I21" s="332"/>
      <c r="J21" s="332"/>
      <c r="K21" s="332"/>
      <c r="L21" s="332"/>
      <c r="M21" s="332"/>
      <c r="N21" s="332"/>
      <c r="O21" s="332"/>
      <c r="P21" s="332"/>
    </row>
    <row r="22" spans="1:16" x14ac:dyDescent="0.25">
      <c r="A22" s="16">
        <v>14</v>
      </c>
      <c r="B22" s="30">
        <f>'График аннуитет.'!B21</f>
        <v>46489</v>
      </c>
      <c r="C22" s="31">
        <f>IF(umumiy_malumot!$B$78=umumiy_malumot!$C$78,'График дифференц'!C21,IF(umumiy_malumot!$B$78=umumiy_malumot!$D$78,'График аннуитет.'!C21))</f>
        <v>63888888.859999985</v>
      </c>
      <c r="D22" s="31">
        <f>IF(umumiy_malumot!$B$78=umumiy_malumot!$C$78,'График дифференц'!D21,IF(umumiy_malumot!$B$78=umumiy_malumot!$D$78,'График аннуитет.'!D21))</f>
        <v>2777777.78</v>
      </c>
      <c r="E22" s="31">
        <f>IF(umumiy_malumot!$B$78=umumiy_malumot!$C$78,'График дифференц'!E21,IF(umumiy_malumot!$B$78=umumiy_malumot!$D$78,'График аннуитет.'!E21))</f>
        <v>3176940.69</v>
      </c>
      <c r="F22" s="31">
        <f>IF(umumiy_malumot!$B$78=umumiy_malumot!$C$78,'График дифференц'!F21,IF(umumiy_malumot!$B$78=umumiy_malumot!$D$78,'График аннуитет.'!F21))</f>
        <v>5954718.4699999997</v>
      </c>
      <c r="H22" s="332"/>
      <c r="I22" s="332"/>
      <c r="J22" s="332"/>
      <c r="K22" s="332"/>
      <c r="L22" s="332"/>
      <c r="M22" s="332"/>
      <c r="N22" s="332"/>
      <c r="O22" s="332"/>
      <c r="P22" s="332"/>
    </row>
    <row r="23" spans="1:16" x14ac:dyDescent="0.25">
      <c r="A23" s="16">
        <v>15</v>
      </c>
      <c r="B23" s="30">
        <f>'График аннуитет.'!B22</f>
        <v>46517</v>
      </c>
      <c r="C23" s="31">
        <f>IF(umumiy_malumot!$B$78=umumiy_malumot!$C$78,'График дифференц'!C22,IF(umumiy_malumot!$B$78=umumiy_malumot!$D$78,'График аннуитет.'!C22))</f>
        <v>61111111.079999983</v>
      </c>
      <c r="D23" s="31">
        <f>IF(umumiy_malumot!$B$78=umumiy_malumot!$C$78,'График дифференц'!D22,IF(umumiy_malumot!$B$78=umumiy_malumot!$D$78,'График аннуитет.'!D22))</f>
        <v>2777777.78</v>
      </c>
      <c r="E23" s="31">
        <f>IF(umumiy_malumot!$B$78=umumiy_malumot!$C$78,'График дифференц'!E22,IF(umumiy_malumot!$B$78=umumiy_malumot!$D$78,'График аннуитет.'!E22))</f>
        <v>2578386.7200000002</v>
      </c>
      <c r="F23" s="31">
        <f>IF(umumiy_malumot!$B$78=umumiy_malumot!$C$78,'График дифференц'!F22,IF(umumiy_malumot!$B$78=umumiy_malumot!$D$78,'График аннуитет.'!F22))</f>
        <v>5356164.5</v>
      </c>
      <c r="H23" s="332"/>
      <c r="I23" s="332"/>
      <c r="J23" s="332"/>
      <c r="K23" s="332"/>
      <c r="L23" s="332"/>
      <c r="M23" s="332"/>
      <c r="N23" s="332"/>
      <c r="O23" s="332"/>
      <c r="P23" s="332"/>
    </row>
    <row r="24" spans="1:16" x14ac:dyDescent="0.25">
      <c r="A24" s="16">
        <v>16</v>
      </c>
      <c r="B24" s="30">
        <f>'График аннуитет.'!B23</f>
        <v>46548</v>
      </c>
      <c r="C24" s="31">
        <f>IF(umumiy_malumot!$B$78=umumiy_malumot!$C$78,'График дифференц'!C23,IF(umumiy_malumot!$B$78=umumiy_malumot!$D$78,'График аннуитет.'!C23))</f>
        <v>58333333.299999982</v>
      </c>
      <c r="D24" s="31">
        <f>IF(umumiy_malumot!$B$78=umumiy_malumot!$C$78,'График дифференц'!D23,IF(umumiy_malumot!$B$78=umumiy_malumot!$D$78,'График аннуитет.'!D23))</f>
        <v>2777777.78</v>
      </c>
      <c r="E24" s="31">
        <f>IF(umumiy_malumot!$B$78=umumiy_malumot!$C$78,'График дифференц'!E23,IF(umumiy_malumot!$B$78=umumiy_malumot!$D$78,'График аннуитет.'!E23))</f>
        <v>2724885.7399999998</v>
      </c>
      <c r="F24" s="31">
        <f>IF(umumiy_malumot!$B$78=umumiy_malumot!$C$78,'График дифференц'!F23,IF(umumiy_malumot!$B$78=umumiy_malumot!$D$78,'График аннуитет.'!F23))</f>
        <v>5502663.5199999996</v>
      </c>
      <c r="H24" s="332"/>
      <c r="I24" s="332"/>
      <c r="J24" s="332"/>
      <c r="K24" s="332"/>
      <c r="L24" s="332"/>
      <c r="M24" s="332"/>
      <c r="N24" s="332"/>
      <c r="O24" s="332"/>
      <c r="P24" s="332"/>
    </row>
    <row r="25" spans="1:16" x14ac:dyDescent="0.25">
      <c r="A25" s="16">
        <v>17</v>
      </c>
      <c r="B25" s="30">
        <f>'График аннуитет.'!B24</f>
        <v>46580</v>
      </c>
      <c r="C25" s="31">
        <f>IF(umumiy_malumot!$B$78=umumiy_malumot!$C$78,'График дифференц'!C24,IF(umumiy_malumot!$B$78=umumiy_malumot!$D$78,'График аннуитет.'!C24))</f>
        <v>55555555.519999981</v>
      </c>
      <c r="D25" s="31">
        <f>IF(umumiy_malumot!$B$78=umumiy_malumot!$C$78,'График дифференц'!D24,IF(umumiy_malumot!$B$78=umumiy_malumot!$D$78,'График аннуитет.'!D24))</f>
        <v>2777777.78</v>
      </c>
      <c r="E25" s="31">
        <f>IF(umumiy_malumot!$B$78=umumiy_malumot!$C$78,'График дифференц'!E24,IF(umumiy_malumot!$B$78=umumiy_malumot!$D$78,'График аннуитет.'!E24))</f>
        <v>2678843.2000000002</v>
      </c>
      <c r="F25" s="31">
        <f>IF(umumiy_malumot!$B$78=umumiy_malumot!$C$78,'График дифференц'!F24,IF(umumiy_malumot!$B$78=umumiy_malumot!$D$78,'График аннуитет.'!F24))</f>
        <v>5456620.9800000004</v>
      </c>
    </row>
    <row r="26" spans="1:16" x14ac:dyDescent="0.25">
      <c r="A26" s="16">
        <v>18</v>
      </c>
      <c r="B26" s="30">
        <f>'График аннуитет.'!B25</f>
        <v>46609</v>
      </c>
      <c r="C26" s="31">
        <f>IF(umumiy_malumot!$B$78=umumiy_malumot!$C$78,'График дифференц'!C25,IF(umumiy_malumot!$B$78=umumiy_malumot!$D$78,'График аннуитет.'!C25))</f>
        <v>52777777.73999998</v>
      </c>
      <c r="D26" s="31">
        <f>IF(umumiy_malumot!$B$78=umumiy_malumot!$C$78,'График дифференц'!D25,IF(umumiy_malumot!$B$78=umumiy_malumot!$D$78,'График аннуитет.'!D25))</f>
        <v>2777777.78</v>
      </c>
      <c r="E26" s="31">
        <f>IF(umumiy_malumot!$B$78=umumiy_malumot!$C$78,'График дифференц'!E25,IF(umumiy_malumot!$B$78=umumiy_malumot!$D$78,'График аннуитет.'!E25))</f>
        <v>2306316.64</v>
      </c>
      <c r="F26" s="31">
        <f>IF(umumiy_malumot!$B$78=umumiy_malumot!$C$78,'График дифференц'!F25,IF(umumiy_malumot!$B$78=umumiy_malumot!$D$78,'График аннуитет.'!F25))</f>
        <v>5084094.42</v>
      </c>
    </row>
    <row r="27" spans="1:16" x14ac:dyDescent="0.25">
      <c r="A27" s="16">
        <f>1+A26</f>
        <v>19</v>
      </c>
      <c r="B27" s="30">
        <f>'График аннуитет.'!B26</f>
        <v>46640</v>
      </c>
      <c r="C27" s="31">
        <f>IF(umumiy_malumot!$B$78=umumiy_malumot!$C$78,'График дифференц'!C26,IF(umumiy_malumot!$B$78=umumiy_malumot!$D$78,'График аннуитет.'!C26))</f>
        <v>49999999.959999979</v>
      </c>
      <c r="D27" s="31">
        <f>IF(umumiy_malumot!$B$78=umumiy_malumot!$C$78,'График дифференц'!D26,IF(umumiy_malumot!$B$78=umumiy_malumot!$D$78,'График аннуитет.'!D26))</f>
        <v>2777777.78</v>
      </c>
      <c r="E27" s="31">
        <f>IF(umumiy_malumot!$B$78=umumiy_malumot!$C$78,'График дифференц'!E26,IF(umumiy_malumot!$B$78=umumiy_malumot!$D$78,'График аннуитет.'!E26))</f>
        <v>2335616.5699999998</v>
      </c>
      <c r="F27" s="31">
        <f>IF(umumiy_malumot!$B$78=umumiy_malumot!$C$78,'График дифференц'!F26,IF(umumiy_malumot!$B$78=umumiy_malumot!$D$78,'График аннуитет.'!F26))</f>
        <v>5113394.3499999996</v>
      </c>
    </row>
    <row r="28" spans="1:16" x14ac:dyDescent="0.25">
      <c r="A28" s="16">
        <f t="shared" ref="A28:A43" si="0">1+A27</f>
        <v>20</v>
      </c>
      <c r="B28" s="30">
        <f>'График аннуитет.'!B27</f>
        <v>46671</v>
      </c>
      <c r="C28" s="31">
        <f>IF(umumiy_malumot!$B$78=umumiy_malumot!$C$78,'График дифференц'!C27,IF(umumiy_malumot!$B$78=umumiy_malumot!$D$78,'График аннуитет.'!C27))</f>
        <v>47222222.179999977</v>
      </c>
      <c r="D28" s="31">
        <f>IF(umumiy_malumot!$B$78=umumiy_malumot!$C$78,'График дифференц'!D27,IF(umumiy_malumot!$B$78=umumiy_malumot!$D$78,'График аннуитет.'!D27))</f>
        <v>2777777.78</v>
      </c>
      <c r="E28" s="31">
        <f>IF(umumiy_malumot!$B$78=umumiy_malumot!$C$78,'График дифференц'!E27,IF(umumiy_malumot!$B$78=umumiy_malumot!$D$78,'График аннуитет.'!E27))</f>
        <v>2205859.87</v>
      </c>
      <c r="F28" s="31">
        <f>IF(umumiy_malumot!$B$78=umumiy_malumot!$C$78,'График дифференц'!F27,IF(umumiy_malumot!$B$78=umumiy_malumot!$D$78,'График аннуитет.'!F27))</f>
        <v>4983637.6500000004</v>
      </c>
    </row>
    <row r="29" spans="1:16" x14ac:dyDescent="0.25">
      <c r="A29" s="16">
        <f t="shared" si="0"/>
        <v>21</v>
      </c>
      <c r="B29" s="30">
        <f>'График аннуитет.'!B28</f>
        <v>46701</v>
      </c>
      <c r="C29" s="31">
        <f>IF(umumiy_malumot!$B$78=umumiy_malumot!$C$78,'График дифференц'!C28,IF(umumiy_malumot!$B$78=umumiy_malumot!$D$78,'График аннуитет.'!C28))</f>
        <v>44444444.399999976</v>
      </c>
      <c r="D29" s="31">
        <f>IF(umumiy_malumot!$B$78=umumiy_malumot!$C$78,'График дифференц'!D28,IF(umumiy_malumot!$B$78=umumiy_malumot!$D$78,'График аннуитет.'!D28))</f>
        <v>2777777.78</v>
      </c>
      <c r="E29" s="31">
        <f>IF(umumiy_malumot!$B$78=umumiy_malumot!$C$78,'График дифференц'!E28,IF(umumiy_malumot!$B$78=umumiy_malumot!$D$78,'График аннуитет.'!E28))</f>
        <v>2009132.4000000001</v>
      </c>
      <c r="F29" s="31">
        <f>IF(umumiy_malumot!$B$78=umumiy_malumot!$C$78,'График дифференц'!F28,IF(umumiy_malumot!$B$78=umumiy_malumot!$D$78,'График аннуитет.'!F28))</f>
        <v>4786910.18</v>
      </c>
    </row>
    <row r="30" spans="1:16" x14ac:dyDescent="0.25">
      <c r="A30" s="16">
        <f t="shared" si="0"/>
        <v>22</v>
      </c>
      <c r="B30" s="30">
        <f>'График аннуитет.'!B29</f>
        <v>46731</v>
      </c>
      <c r="C30" s="31">
        <f>IF(umumiy_malumot!$B$78=umumiy_malumot!$C$78,'График дифференц'!C29,IF(umumiy_malumot!$B$78=umumiy_malumot!$D$78,'График аннуитет.'!C29))</f>
        <v>41666666.619999975</v>
      </c>
      <c r="D30" s="31">
        <f>IF(umumiy_malumot!$B$78=umumiy_malumot!$C$78,'График дифференц'!D29,IF(umumiy_malumot!$B$78=umumiy_malumot!$D$78,'График аннуитет.'!D29))</f>
        <v>2777777.78</v>
      </c>
      <c r="E30" s="31">
        <f>IF(umumiy_malumot!$B$78=umumiy_malumot!$C$78,'График дифференц'!E29,IF(umumiy_malumot!$B$78=umumiy_malumot!$D$78,'График аннуитет.'!E29))</f>
        <v>1883561.7</v>
      </c>
      <c r="F30" s="31">
        <f>IF(umumiy_malumot!$B$78=umumiy_malumot!$C$78,'График дифференц'!F29,IF(umumiy_malumot!$B$78=umumiy_malumot!$D$78,'График аннуитет.'!F29))</f>
        <v>4661339.4799999995</v>
      </c>
    </row>
    <row r="31" spans="1:16" x14ac:dyDescent="0.25">
      <c r="A31" s="16">
        <f t="shared" si="0"/>
        <v>23</v>
      </c>
      <c r="B31" s="30">
        <f>'График аннуитет.'!B30</f>
        <v>46762</v>
      </c>
      <c r="C31" s="31">
        <f>IF(umumiy_malumot!$B$78=umumiy_malumot!$C$78,'График дифференц'!C30,IF(umumiy_malumot!$B$78=umumiy_malumot!$D$78,'График аннуитет.'!C30))</f>
        <v>38888888.839999974</v>
      </c>
      <c r="D31" s="31">
        <f>IF(umumiy_malumot!$B$78=umumiy_malumot!$C$78,'График дифференц'!D30,IF(umumiy_malumot!$B$78=umumiy_malumot!$D$78,'График аннуитет.'!D30))</f>
        <v>2777777.78</v>
      </c>
      <c r="E31" s="31">
        <f>IF(umumiy_malumot!$B$78=umumiy_malumot!$C$78,'График дифференц'!E30,IF(umumiy_malumot!$B$78=umumiy_malumot!$D$78,'График аннуитет.'!E30))</f>
        <v>1811627.2899999998</v>
      </c>
      <c r="F31" s="31">
        <f>IF(umumiy_malumot!$B$78=umumiy_malumot!$C$78,'График дифференц'!F30,IF(umumiy_malumot!$B$78=umumiy_malumot!$D$78,'График аннуитет.'!F30))</f>
        <v>4589405.0699999994</v>
      </c>
    </row>
    <row r="32" spans="1:16" x14ac:dyDescent="0.25">
      <c r="A32" s="16">
        <f t="shared" si="0"/>
        <v>24</v>
      </c>
      <c r="B32" s="30">
        <f>'График аннуитет.'!B31</f>
        <v>46793</v>
      </c>
      <c r="C32" s="31">
        <f>IF(umumiy_malumot!$B$78=umumiy_malumot!$C$78,'График дифференц'!C31,IF(umumiy_malumot!$B$78=umumiy_malumot!$D$78,'График аннуитет.'!C31))</f>
        <v>36111111.059999973</v>
      </c>
      <c r="D32" s="31">
        <f>IF(umumiy_malumot!$B$78=umumiy_malumot!$C$78,'График дифференц'!D31,IF(umumiy_malumot!$B$78=umumiy_malumot!$D$78,'График аннуитет.'!D31))</f>
        <v>2777777.78</v>
      </c>
      <c r="E32" s="31">
        <f>IF(umumiy_malumot!$B$78=umumiy_malumot!$C$78,'График дифференц'!E31,IF(umumiy_malumot!$B$78=umumiy_malumot!$D$78,'График аннуитет.'!E31))</f>
        <v>1682225.23</v>
      </c>
      <c r="F32" s="31">
        <f>IF(umumiy_malumot!$B$78=umumiy_malumot!$C$78,'График дифференц'!F31,IF(umumiy_malumot!$B$78=umumiy_malumot!$D$78,'График аннуитет.'!F31))</f>
        <v>4460003.01</v>
      </c>
    </row>
    <row r="33" spans="1:6" x14ac:dyDescent="0.25">
      <c r="A33" s="16">
        <f t="shared" si="0"/>
        <v>25</v>
      </c>
      <c r="B33" s="30">
        <f>IF('График аннуитет.'!B32=FALSE,"",'График аннуитет.'!B32)</f>
        <v>46822</v>
      </c>
      <c r="C33" s="31">
        <f>IF(umumiy_malumot!$B$78=umumiy_malumot!$C$78,'График дифференц'!C32,IF(umumiy_malumot!$B$78=umumiy_malumot!$D$78,'График аннуитет.'!C32))</f>
        <v>33333333.279999971</v>
      </c>
      <c r="D33" s="31">
        <f>IF(umumiy_malumot!$B$78=umumiy_malumot!$C$78,'График дифференц'!D32,IF(umumiy_malumot!$B$78=umumiy_malumot!$D$78,'График аннуитет.'!D32))</f>
        <v>2777777.78</v>
      </c>
      <c r="E33" s="31">
        <f>IF(umumiy_malumot!$B$78=umumiy_malumot!$C$78,'График дифференц'!E32,IF(umumiy_malumot!$B$78=umumiy_malumot!$D$78,'График аннуитет.'!E32))</f>
        <v>1452641.03</v>
      </c>
      <c r="F33" s="31">
        <f>IF(umumiy_malumot!$B$78=umumiy_malumot!$C$78,'График дифференц'!F32,IF(umumiy_malumot!$B$78=umumiy_malumot!$D$78,'График аннуитет.'!F32))</f>
        <v>4230418.8099999996</v>
      </c>
    </row>
    <row r="34" spans="1:6" x14ac:dyDescent="0.25">
      <c r="A34" s="16">
        <f t="shared" si="0"/>
        <v>26</v>
      </c>
      <c r="B34" s="30">
        <f>IF('График аннуитет.'!B33=FALSE,"",'График аннуитет.'!B33)</f>
        <v>46853</v>
      </c>
      <c r="C34" s="31">
        <f>IF(umumiy_malumot!$B$78=umumiy_malumot!$C$78,'График дифференц'!C33,IF(umumiy_malumot!$B$78=umumiy_malumot!$D$78,'График аннуитет.'!C33))</f>
        <v>30555555.49999997</v>
      </c>
      <c r="D34" s="31">
        <f>IF(umumiy_malumot!$B$78=umumiy_malumot!$C$78,'График дифференц'!D33,IF(umumiy_malumot!$B$78=umumiy_malumot!$D$78,'График аннуитет.'!D33))</f>
        <v>2777777.78</v>
      </c>
      <c r="E34" s="31">
        <f>IF(umumiy_malumot!$B$78=umumiy_malumot!$C$78,'График дифференц'!E33,IF(umumiy_malumot!$B$78=umumiy_malumot!$D$78,'График аннуитет.'!E33))</f>
        <v>1423421.42</v>
      </c>
      <c r="F34" s="31">
        <f>IF(umumiy_malumot!$B$78=umumiy_malumot!$C$78,'График дифференц'!F33,IF(umumiy_malumot!$B$78=umumiy_malumot!$D$78,'График аннуитет.'!F33))</f>
        <v>4201199.1999999993</v>
      </c>
    </row>
    <row r="35" spans="1:6" x14ac:dyDescent="0.25">
      <c r="A35" s="16">
        <f t="shared" si="0"/>
        <v>27</v>
      </c>
      <c r="B35" s="30">
        <f>IF('График аннуитет.'!B34=FALSE,"",'График аннуитет.'!B34)</f>
        <v>46883</v>
      </c>
      <c r="C35" s="31">
        <f>IF(umumiy_malumot!$B$78=umumiy_malumot!$C$78,'График дифференц'!C34,IF(umumiy_malumot!$B$78=umumiy_malumot!$D$78,'График аннуитет.'!C34))</f>
        <v>27777777.719999969</v>
      </c>
      <c r="D35" s="31">
        <f>IF(umumiy_malumot!$B$78=umumiy_malumot!$C$78,'График дифференц'!D34,IF(umumiy_malumot!$B$78=umumiy_malumot!$D$78,'График аннуитет.'!D34))</f>
        <v>2777777.78</v>
      </c>
      <c r="E35" s="31">
        <f>IF(umumiy_malumot!$B$78=umumiy_malumot!$C$78,'График дифференц'!E34,IF(umumiy_malumot!$B$78=umumiy_malumot!$D$78,'График аннуитет.'!E34))</f>
        <v>1252276.7999999998</v>
      </c>
      <c r="F35" s="31">
        <f>IF(umumiy_malumot!$B$78=umumiy_malumot!$C$78,'График дифференц'!F34,IF(umumiy_malumot!$B$78=umumiy_malumot!$D$78,'График аннуитет.'!F34))</f>
        <v>4030054.5799999996</v>
      </c>
    </row>
    <row r="36" spans="1:6" x14ac:dyDescent="0.25">
      <c r="A36" s="16">
        <f t="shared" si="0"/>
        <v>28</v>
      </c>
      <c r="B36" s="30">
        <f>IF('График аннуитет.'!B35=FALSE,"",'График аннуитет.'!B35)</f>
        <v>46916</v>
      </c>
      <c r="C36" s="31">
        <f>IF(umumiy_malumot!$B$78=umumiy_malumot!$C$78,'График дифференц'!C35,IF(umumiy_malumot!$B$78=umumiy_malumot!$D$78,'График аннуитет.'!C35))</f>
        <v>24999999.939999968</v>
      </c>
      <c r="D36" s="31">
        <f>IF(umumiy_malumot!$B$78=umumiy_malumot!$C$78,'График дифференц'!D35,IF(umumiy_malumot!$B$78=umumiy_malumot!$D$78,'График аннуитет.'!D35))</f>
        <v>2777777.78</v>
      </c>
      <c r="E36" s="31">
        <f>IF(umumiy_malumot!$B$78=umumiy_malumot!$C$78,'График дифференц'!E35,IF(umumiy_malumot!$B$78=umumiy_malumot!$D$78,'График аннуитет.'!E35))</f>
        <v>1239754.23</v>
      </c>
      <c r="F36" s="31">
        <f>IF(umumiy_malumot!$B$78=umumiy_malumot!$C$78,'График дифференц'!F35,IF(umumiy_malumot!$B$78=umumiy_malumot!$D$78,'График аннуитет.'!F35))</f>
        <v>4017532.01</v>
      </c>
    </row>
    <row r="37" spans="1:6" x14ac:dyDescent="0.25">
      <c r="A37" s="16">
        <f t="shared" si="0"/>
        <v>29</v>
      </c>
      <c r="B37" s="30">
        <f>IF('График аннуитет.'!B36=FALSE,"",'График аннуитет.'!B36)</f>
        <v>46944</v>
      </c>
      <c r="C37" s="31">
        <f>IF(umumiy_malumot!$B$78=umumiy_malumot!$C$78,'График дифференц'!C36,IF(umumiy_malumot!$B$78=umumiy_malumot!$D$78,'График аннуитет.'!C36))</f>
        <v>22222222.159999967</v>
      </c>
      <c r="D37" s="31">
        <f>IF(umumiy_malumot!$B$78=umumiy_malumot!$C$78,'График дифференц'!D36,IF(umumiy_malumot!$B$78=umumiy_malumot!$D$78,'График аннуитет.'!D36))</f>
        <v>2777777.78</v>
      </c>
      <c r="E37" s="31">
        <f>IF(umumiy_malumot!$B$78=umumiy_malumot!$C$78,'График дифференц'!E36,IF(umumiy_malumot!$B$78=umumiy_malumot!$D$78,'График аннуитет.'!E36))</f>
        <v>935033.40000000014</v>
      </c>
      <c r="F37" s="31">
        <f>IF(umumiy_malumot!$B$78=umumiy_malumot!$C$78,'График дифференц'!F36,IF(umumiy_malumot!$B$78=umumiy_malumot!$D$78,'График аннуитет.'!F36))</f>
        <v>3712811.1799999997</v>
      </c>
    </row>
    <row r="38" spans="1:6" x14ac:dyDescent="0.25">
      <c r="A38" s="16">
        <f t="shared" si="0"/>
        <v>30</v>
      </c>
      <c r="B38" s="30">
        <f>IF('График аннуитет.'!B37=FALSE,"",'График аннуитет.'!B37)</f>
        <v>46975</v>
      </c>
      <c r="C38" s="31">
        <f>IF(umumiy_malumot!$B$78=umumiy_malumot!$C$78,'График дифференц'!C37,IF(umumiy_malumot!$B$78=umumiy_malumot!$D$78,'График аннуитет.'!C37))</f>
        <v>19444444.379999965</v>
      </c>
      <c r="D38" s="31">
        <f>IF(umumiy_malumot!$B$78=umumiy_malumot!$C$78,'График дифференц'!D37,IF(umumiy_malumot!$B$78=umumiy_malumot!$D$78,'График аннуитет.'!D37))</f>
        <v>2777777.78</v>
      </c>
      <c r="E38" s="31">
        <f>IF(umumiy_malumot!$B$78=umumiy_malumot!$C$78,'График дифференц'!E37,IF(umumiy_malumot!$B$78=umumiy_malumot!$D$78,'График аннуитет.'!E37))</f>
        <v>905813.49</v>
      </c>
      <c r="F38" s="31">
        <f>IF(umumiy_malumot!$B$78=umumiy_malumot!$C$78,'График дифференц'!F37,IF(umumiy_malumot!$B$78=umumiy_malumot!$D$78,'График аннуитет.'!F37))</f>
        <v>3683591.2699999996</v>
      </c>
    </row>
    <row r="39" spans="1:6" x14ac:dyDescent="0.25">
      <c r="A39" s="16">
        <f t="shared" si="0"/>
        <v>31</v>
      </c>
      <c r="B39" s="30">
        <f>IF('График аннуитет.'!B38=FALSE,"",'График аннуитет.'!B38)</f>
        <v>47007</v>
      </c>
      <c r="C39" s="31">
        <f>IF(umumiy_malumot!$B$78=umumiy_malumot!$C$78,'График дифференц'!C38,IF(umumiy_malumot!$B$78=umumiy_malumot!$D$78,'График аннуитет.'!C38))</f>
        <v>16666666.599999966</v>
      </c>
      <c r="D39" s="31">
        <f>IF(umumiy_malumot!$B$78=umumiy_malumot!$C$78,'График дифференц'!D38,IF(umumiy_malumot!$B$78=umumiy_malumot!$D$78,'График аннуитет.'!D38))</f>
        <v>2777777.78</v>
      </c>
      <c r="E39" s="31">
        <f>IF(umumiy_malumot!$B$78=umumiy_malumot!$C$78,'График дифференц'!E38,IF(umumiy_malumot!$B$78=umumiy_malumot!$D$78,'График аннуитет.'!E38))</f>
        <v>801457.28</v>
      </c>
      <c r="F39" s="31">
        <f>IF(umumiy_malumot!$B$78=umumiy_malumot!$C$78,'График дифференц'!F38,IF(umumiy_malumot!$B$78=umumiy_malumot!$D$78,'График аннуитет.'!F38))</f>
        <v>3579235.0599999996</v>
      </c>
    </row>
    <row r="40" spans="1:6" x14ac:dyDescent="0.25">
      <c r="A40" s="16">
        <f t="shared" si="0"/>
        <v>32</v>
      </c>
      <c r="B40" s="30">
        <f>IF('График аннуитет.'!B39=FALSE,"",'График аннуитет.'!B39)</f>
        <v>47036</v>
      </c>
      <c r="C40" s="31">
        <f>IF(umumiy_malumot!$B$78=umumiy_malumot!$C$78,'График дифференц'!C39,IF(umumiy_malumot!$B$78=umumiy_malumot!$D$78,'График аннуитет.'!C39))</f>
        <v>13888888.819999967</v>
      </c>
      <c r="D40" s="31">
        <f>IF(umumiy_malumot!$B$78=umumiy_malumot!$C$78,'График дифференц'!D39,IF(umumiy_malumot!$B$78=umumiy_malumot!$D$78,'График аннуитет.'!D39))</f>
        <v>2777777.78</v>
      </c>
      <c r="E40" s="31">
        <f>IF(umumiy_malumot!$B$78=umumiy_malumot!$C$78,'График дифференц'!E39,IF(umumiy_malumot!$B$78=umumiy_malumot!$D$78,'График аннуитет.'!E39))</f>
        <v>605267.12</v>
      </c>
      <c r="F40" s="31">
        <f>IF(umumiy_malumot!$B$78=umumiy_malumot!$C$78,'График дифференц'!F39,IF(umumiy_malumot!$B$78=umumiy_malumot!$D$78,'График аннуитет.'!F39))</f>
        <v>3383044.9</v>
      </c>
    </row>
    <row r="41" spans="1:6" x14ac:dyDescent="0.25">
      <c r="A41" s="16">
        <f t="shared" si="0"/>
        <v>33</v>
      </c>
      <c r="B41" s="30">
        <f>IF('График аннуитет.'!B40=FALSE,"",'График аннуитет.'!B40)</f>
        <v>47067</v>
      </c>
      <c r="C41" s="31">
        <f>IF(umumiy_malumot!$B$78=umumiy_malumot!$C$78,'График дифференц'!C40,IF(umumiy_malumot!$B$78=umumiy_malumot!$D$78,'График аннуитет.'!C40))</f>
        <v>11111111.039999967</v>
      </c>
      <c r="D41" s="31">
        <f>IF(umumiy_malumot!$B$78=umumiy_malumot!$C$78,'График дифференц'!D40,IF(umumiy_malumot!$B$78=umumiy_malumot!$D$78,'График аннуитет.'!D40))</f>
        <v>2777777.78</v>
      </c>
      <c r="E41" s="31">
        <f>IF(umumiy_malumot!$B$78=umumiy_malumot!$C$78,'График дифференц'!E40,IF(umumiy_malumot!$B$78=umumiy_malumot!$D$78,'График аннуитет.'!E40))</f>
        <v>517607.62</v>
      </c>
      <c r="F41" s="31">
        <f>IF(umumiy_malumot!$B$78=umumiy_malumot!$C$78,'График дифференц'!F40,IF(umumiy_malumot!$B$78=umumiy_malumot!$D$78,'График аннуитет.'!F40))</f>
        <v>3295385.4</v>
      </c>
    </row>
    <row r="42" spans="1:6" x14ac:dyDescent="0.25">
      <c r="A42" s="16">
        <f t="shared" si="0"/>
        <v>34</v>
      </c>
      <c r="B42" s="30">
        <f>IF('График аннуитет.'!B41=FALSE,"",'График аннуитет.'!B41)</f>
        <v>47098</v>
      </c>
      <c r="C42" s="31">
        <f>IF(umumiy_malumot!$B$78=umumiy_malumot!$C$78,'График дифференц'!C41,IF(umumiy_malumot!$B$78=umumiy_malumot!$D$78,'График аннуитет.'!C41))</f>
        <v>8333333.2599999681</v>
      </c>
      <c r="D42" s="31">
        <f>IF(umumiy_malumot!$B$78=umumiy_malumot!$C$78,'График дифференц'!D41,IF(umumiy_malumot!$B$78=umumiy_malumot!$D$78,'График аннуитет.'!D41))</f>
        <v>2777777.78</v>
      </c>
      <c r="E42" s="31">
        <f>IF(umumiy_malumot!$B$78=umumiy_malumot!$C$78,'График дифференц'!E41,IF(umumiy_malumot!$B$78=umumiy_malumot!$D$78,'График аннуитет.'!E41))</f>
        <v>388205.87</v>
      </c>
      <c r="F42" s="31">
        <f>IF(umumiy_malumot!$B$78=umumiy_malumot!$C$78,'График дифференц'!F41,IF(umumiy_malumot!$B$78=umumiy_malumot!$D$78,'График аннуитет.'!F41))</f>
        <v>3165983.65</v>
      </c>
    </row>
    <row r="43" spans="1:6" x14ac:dyDescent="0.25">
      <c r="A43" s="16">
        <f t="shared" si="0"/>
        <v>35</v>
      </c>
      <c r="B43" s="30">
        <f>IF('График аннуитет.'!B42=FALSE,"",'График аннуитет.'!B42)</f>
        <v>47128</v>
      </c>
      <c r="C43" s="31">
        <f>IF(umumiy_malumot!$B$78=umumiy_malumot!$C$78,'График дифференц'!C42,IF(umumiy_malumot!$B$78=umumiy_malumot!$D$78,'График аннуитет.'!C42))</f>
        <v>5555555.4799999688</v>
      </c>
      <c r="D43" s="31">
        <f>IF(umumiy_malumot!$B$78=umumiy_malumot!$C$78,'График дифференц'!D42,IF(umumiy_malumot!$B$78=umumiy_malumot!$D$78,'График аннуитет.'!D42))</f>
        <v>2777777.78</v>
      </c>
      <c r="E43" s="31">
        <f>IF(umumiy_malumot!$B$78=umumiy_malumot!$C$78,'График дифференц'!E42,IF(umumiy_malumot!$B$78=umumiy_malumot!$D$78,'График аннуитет.'!E42))</f>
        <v>251141.39999999997</v>
      </c>
      <c r="F43" s="31">
        <f>IF(umumiy_malumot!$B$78=umumiy_malumot!$C$78,'График дифференц'!F42,IF(umumiy_malumot!$B$78=umumiy_malumot!$D$78,'График аннуитет.'!F42))</f>
        <v>3028919.1799999997</v>
      </c>
    </row>
    <row r="44" spans="1:6" x14ac:dyDescent="0.25">
      <c r="A44" s="16">
        <f>1+A43</f>
        <v>36</v>
      </c>
      <c r="B44" s="30">
        <f>IF('График аннуитет.'!B43=FALSE,"",'График аннуитет.'!B43)</f>
        <v>47151</v>
      </c>
      <c r="C44" s="31">
        <f>IF(umumiy_malumot!$B$78=umumiy_malumot!$C$78,'График дифференц'!C43,IF(umumiy_malumot!$B$78=umumiy_malumot!$D$78,'График аннуитет.'!C43))</f>
        <v>2777777.699999969</v>
      </c>
      <c r="D44" s="31">
        <f>IF(umumiy_malumot!$B$78=umumiy_malumot!$C$78,'График дифференц'!D43,IF(umumiy_malumot!$B$78=umumiy_malumot!$D$78,'График аннуитет.'!D43))</f>
        <v>2777777.6999999732</v>
      </c>
      <c r="E44" s="31">
        <f>IF(umumiy_malumot!$B$78=umumiy_malumot!$C$78,'График дифференц'!E43,IF(umumiy_malumot!$B$78=umumiy_malumot!$D$78,'График аннуитет.'!E43))</f>
        <v>96270.87</v>
      </c>
      <c r="F44" s="31">
        <f>IF(umumiy_malumot!$B$78=umumiy_malumot!$C$78,'График дифференц'!F43,IF(umumiy_malumot!$B$78=umumiy_malumot!$D$78,'График аннуитет.'!F43))</f>
        <v>2874048.5699999733</v>
      </c>
    </row>
    <row r="45" spans="1:6" hidden="1" x14ac:dyDescent="0.25">
      <c r="A45" s="16">
        <f t="shared" ref="A45:A56" si="1">1+A44</f>
        <v>37</v>
      </c>
      <c r="B45" s="30" t="str">
        <f>IF('График аннуитет.'!B44=FALSE,"",'График аннуитет.'!B44)</f>
        <v/>
      </c>
      <c r="C45" s="31">
        <f>IF(umumiy_malumot!$B$78=umumiy_malumot!$C$78,'График дифференц'!C44,IF(umumiy_malumot!$B$78=umumiy_malumot!$D$78,'График аннуитет.'!C44))</f>
        <v>-4.1909515857696533E-9</v>
      </c>
      <c r="D45" s="31" t="b">
        <f>IF(umumiy_malumot!$B$78=umumiy_malumot!$C$78,'График дифференц'!D44,IF(umumiy_malumot!$B$78=umumiy_malumot!$D$78,'График аннуитет.'!D44))</f>
        <v>0</v>
      </c>
      <c r="E45" s="31" t="b">
        <f>IF(umumiy_malumot!$B$78=umumiy_malumot!$C$78,'График дифференц'!E44,IF(umumiy_malumot!$B$78=umumiy_malumot!$D$78,'График аннуитет.'!E44))</f>
        <v>0</v>
      </c>
      <c r="F45" s="31" t="b">
        <f>IF(umumiy_malumot!$B$78=umumiy_malumot!$C$78,'График дифференц'!F44,IF(umumiy_malumot!$B$78=umumiy_malumot!$D$78,'График аннуитет.'!F44))</f>
        <v>0</v>
      </c>
    </row>
    <row r="46" spans="1:6" hidden="1" x14ac:dyDescent="0.25">
      <c r="A46" s="16">
        <f t="shared" si="1"/>
        <v>38</v>
      </c>
      <c r="B46" s="30" t="str">
        <f>IF('График аннуитет.'!B45=FALSE,"",'График аннуитет.'!B45)</f>
        <v/>
      </c>
      <c r="C46" s="31">
        <f>IF(umumiy_malumot!$B$78=umumiy_malumot!$C$78,'График дифференц'!C45,IF(umumiy_malumot!$B$78=umumiy_malumot!$D$78,'График аннуитет.'!C45))</f>
        <v>-4.1909515857696533E-9</v>
      </c>
      <c r="D46" s="31" t="b">
        <f>IF(umumiy_malumot!$B$78=umumiy_malumot!$C$78,'График дифференц'!D45,IF(umumiy_malumot!$B$78=umumiy_malumot!$D$78,'График аннуитет.'!D45))</f>
        <v>0</v>
      </c>
      <c r="E46" s="31" t="b">
        <f>IF(umumiy_malumot!$B$78=umumiy_malumot!$C$78,'График дифференц'!E45,IF(umumiy_malumot!$B$78=umumiy_malumot!$D$78,'График аннуитет.'!E45))</f>
        <v>0</v>
      </c>
      <c r="F46" s="31" t="b">
        <f>IF(umumiy_malumot!$B$78=umumiy_malumot!$C$78,'График дифференц'!F45,IF(umumiy_malumot!$B$78=umumiy_malumot!$D$78,'График аннуитет.'!F45))</f>
        <v>0</v>
      </c>
    </row>
    <row r="47" spans="1:6" hidden="1" x14ac:dyDescent="0.25">
      <c r="A47" s="16">
        <f t="shared" si="1"/>
        <v>39</v>
      </c>
      <c r="B47" s="30" t="str">
        <f>IF('График аннуитет.'!B46=FALSE,"",'График аннуитет.'!B46)</f>
        <v/>
      </c>
      <c r="C47" s="31">
        <f>IF(umumiy_malumot!$B$78=umumiy_malumot!$C$78,'График дифференц'!C46,IF(umumiy_malumot!$B$78=umumiy_malumot!$D$78,'График аннуитет.'!C46))</f>
        <v>-4.1909515857696533E-9</v>
      </c>
      <c r="D47" s="31" t="b">
        <f>IF(umumiy_malumot!$B$78=umumiy_malumot!$C$78,'График дифференц'!D46,IF(umumiy_malumot!$B$78=umumiy_malumot!$D$78,'График аннуитет.'!D46))</f>
        <v>0</v>
      </c>
      <c r="E47" s="31" t="b">
        <f>IF(umumiy_malumot!$B$78=umumiy_malumot!$C$78,'График дифференц'!E46,IF(umumiy_malumot!$B$78=umumiy_malumot!$D$78,'График аннуитет.'!E46))</f>
        <v>0</v>
      </c>
      <c r="F47" s="31" t="b">
        <f>IF(umumiy_malumot!$B$78=umumiy_malumot!$C$78,'График дифференц'!F46,IF(umumiy_malumot!$B$78=umumiy_malumot!$D$78,'График аннуитет.'!F46))</f>
        <v>0</v>
      </c>
    </row>
    <row r="48" spans="1:6" hidden="1" x14ac:dyDescent="0.25">
      <c r="A48" s="16">
        <f t="shared" si="1"/>
        <v>40</v>
      </c>
      <c r="B48" s="30" t="str">
        <f>IF('График аннуитет.'!B47=FALSE,"",'График аннуитет.'!B47)</f>
        <v/>
      </c>
      <c r="C48" s="31">
        <f>IF(umumiy_malumot!$B$78=umumiy_malumot!$C$78,'График дифференц'!C47,IF(umumiy_malumot!$B$78=umumiy_malumot!$D$78,'График аннуитет.'!C47))</f>
        <v>-4.1909515857696533E-9</v>
      </c>
      <c r="D48" s="31" t="b">
        <f>IF(umumiy_malumot!$B$78=umumiy_malumot!$C$78,'График дифференц'!D47,IF(umumiy_malumot!$B$78=umumiy_malumot!$D$78,'График аннуитет.'!D47))</f>
        <v>0</v>
      </c>
      <c r="E48" s="31" t="b">
        <f>IF(umumiy_malumot!$B$78=umumiy_malumot!$C$78,'График дифференц'!E47,IF(umumiy_malumot!$B$78=umumiy_malumot!$D$78,'График аннуитет.'!E47))</f>
        <v>0</v>
      </c>
      <c r="F48" s="31" t="b">
        <f>IF(umumiy_malumot!$B$78=umumiy_malumot!$C$78,'График дифференц'!F47,IF(umumiy_malumot!$B$78=umumiy_malumot!$D$78,'График аннуитет.'!F47))</f>
        <v>0</v>
      </c>
    </row>
    <row r="49" spans="1:6" hidden="1" x14ac:dyDescent="0.25">
      <c r="A49" s="16">
        <f t="shared" si="1"/>
        <v>41</v>
      </c>
      <c r="B49" s="30" t="str">
        <f>IF('График аннуитет.'!B48=FALSE,"",'График аннуитет.'!B48)</f>
        <v/>
      </c>
      <c r="C49" s="31">
        <f>IF(umumiy_malumot!$B$78=umumiy_malumot!$C$78,'График дифференц'!C48,IF(umumiy_malumot!$B$78=umumiy_malumot!$D$78,'График аннуитет.'!C48))</f>
        <v>-4.1909515857696533E-9</v>
      </c>
      <c r="D49" s="31" t="b">
        <f>IF(umumiy_malumot!$B$78=umumiy_malumot!$C$78,'График дифференц'!D48,IF(umumiy_malumot!$B$78=umumiy_malumot!$D$78,'График аннуитет.'!D48))</f>
        <v>0</v>
      </c>
      <c r="E49" s="31" t="b">
        <f>IF(umumiy_malumot!$B$78=umumiy_malumot!$C$78,'График дифференц'!E48,IF(umumiy_malumot!$B$78=umumiy_malumot!$D$78,'График аннуитет.'!E48))</f>
        <v>0</v>
      </c>
      <c r="F49" s="31" t="b">
        <f>IF(umumiy_malumot!$B$78=umumiy_malumot!$C$78,'График дифференц'!F48,IF(umumiy_malumot!$B$78=umumiy_malumot!$D$78,'График аннуитет.'!F48))</f>
        <v>0</v>
      </c>
    </row>
    <row r="50" spans="1:6" hidden="1" x14ac:dyDescent="0.25">
      <c r="A50" s="16">
        <f t="shared" si="1"/>
        <v>42</v>
      </c>
      <c r="B50" s="30" t="str">
        <f>IF('График аннуитет.'!B49=FALSE,"",'График аннуитет.'!B49)</f>
        <v/>
      </c>
      <c r="C50" s="31">
        <f>IF(umumiy_malumot!$B$78=umumiy_malumot!$C$78,'График дифференц'!C49,IF(umumiy_malumot!$B$78=umumiy_malumot!$D$78,'График аннуитет.'!C49))</f>
        <v>-4.1909515857696533E-9</v>
      </c>
      <c r="D50" s="31" t="b">
        <f>IF(umumiy_malumot!$B$78=umumiy_malumot!$C$78,'График дифференц'!D49,IF(umumiy_malumot!$B$78=umumiy_malumot!$D$78,'График аннуитет.'!D49))</f>
        <v>0</v>
      </c>
      <c r="E50" s="31" t="b">
        <f>IF(umumiy_malumot!$B$78=umumiy_malumot!$C$78,'График дифференц'!E49,IF(umumiy_malumot!$B$78=umumiy_malumot!$D$78,'График аннуитет.'!E49))</f>
        <v>0</v>
      </c>
      <c r="F50" s="31" t="b">
        <f>IF(umumiy_malumot!$B$78=umumiy_malumot!$C$78,'График дифференц'!F49,IF(umumiy_malumot!$B$78=umumiy_malumot!$D$78,'График аннуитет.'!F49))</f>
        <v>0</v>
      </c>
    </row>
    <row r="51" spans="1:6" hidden="1" x14ac:dyDescent="0.25">
      <c r="A51" s="16">
        <f t="shared" si="1"/>
        <v>43</v>
      </c>
      <c r="B51" s="30" t="str">
        <f>IF('График аннуитет.'!B50=FALSE,"",'График аннуитет.'!B50)</f>
        <v/>
      </c>
      <c r="C51" s="31">
        <f>IF(umumiy_malumot!$B$78=umumiy_malumot!$C$78,'График дифференц'!C50,IF(umumiy_malumot!$B$78=umumiy_malumot!$D$78,'График аннуитет.'!C50))</f>
        <v>-4.1909515857696533E-9</v>
      </c>
      <c r="D51" s="31" t="b">
        <f>IF(umumiy_malumot!$B$78=umumiy_malumot!$C$78,'График дифференц'!D50,IF(umumiy_malumot!$B$78=umumiy_malumot!$D$78,'График аннуитет.'!D50))</f>
        <v>0</v>
      </c>
      <c r="E51" s="31" t="b">
        <f>IF(umumiy_malumot!$B$78=umumiy_malumot!$C$78,'График дифференц'!E50,IF(umumiy_malumot!$B$78=umumiy_malumot!$D$78,'График аннуитет.'!E50))</f>
        <v>0</v>
      </c>
      <c r="F51" s="31" t="b">
        <f>IF(umumiy_malumot!$B$78=umumiy_malumot!$C$78,'График дифференц'!F50,IF(umumiy_malumot!$B$78=umumiy_malumot!$D$78,'График аннуитет.'!F50))</f>
        <v>0</v>
      </c>
    </row>
    <row r="52" spans="1:6" hidden="1" x14ac:dyDescent="0.25">
      <c r="A52" s="16">
        <f t="shared" si="1"/>
        <v>44</v>
      </c>
      <c r="B52" s="30" t="str">
        <f>IF('График аннуитет.'!B51=FALSE,"",'График аннуитет.'!B51)</f>
        <v/>
      </c>
      <c r="C52" s="31">
        <f>IF(umumiy_malumot!$B$78=umumiy_malumot!$C$78,'График дифференц'!C51,IF(umumiy_malumot!$B$78=umumiy_malumot!$D$78,'График аннуитет.'!C51))</f>
        <v>-4.1909515857696533E-9</v>
      </c>
      <c r="D52" s="31" t="b">
        <f>IF(umumiy_malumot!$B$78=umumiy_malumot!$C$78,'График дифференц'!D51,IF(umumiy_malumot!$B$78=umumiy_malumot!$D$78,'График аннуитет.'!D51))</f>
        <v>0</v>
      </c>
      <c r="E52" s="31" t="b">
        <f>IF(umumiy_malumot!$B$78=umumiy_malumot!$C$78,'График дифференц'!E51,IF(umumiy_malumot!$B$78=umumiy_malumot!$D$78,'График аннуитет.'!E51))</f>
        <v>0</v>
      </c>
      <c r="F52" s="31" t="b">
        <f>IF(umumiy_malumot!$B$78=umumiy_malumot!$C$78,'График дифференц'!F51,IF(umumiy_malumot!$B$78=umumiy_malumot!$D$78,'График аннуитет.'!F51))</f>
        <v>0</v>
      </c>
    </row>
    <row r="53" spans="1:6" hidden="1" x14ac:dyDescent="0.25">
      <c r="A53" s="16">
        <f t="shared" si="1"/>
        <v>45</v>
      </c>
      <c r="B53" s="30" t="str">
        <f>IF('График аннуитет.'!B52=FALSE,"",'График аннуитет.'!B52)</f>
        <v/>
      </c>
      <c r="C53" s="31">
        <f>IF(umumiy_malumot!$B$78=umumiy_malumot!$C$78,'График дифференц'!C52,IF(umumiy_malumot!$B$78=umumiy_malumot!$D$78,'График аннуитет.'!C52))</f>
        <v>-4.1909515857696533E-9</v>
      </c>
      <c r="D53" s="31" t="b">
        <f>IF(umumiy_malumot!$B$78=umumiy_malumot!$C$78,'График дифференц'!D52,IF(umumiy_malumot!$B$78=umumiy_malumot!$D$78,'График аннуитет.'!D52))</f>
        <v>0</v>
      </c>
      <c r="E53" s="31" t="b">
        <f>IF(umumiy_malumot!$B$78=umumiy_malumot!$C$78,'График дифференц'!E52,IF(umumiy_malumot!$B$78=umumiy_malumot!$D$78,'График аннуитет.'!E52))</f>
        <v>0</v>
      </c>
      <c r="F53" s="31" t="b">
        <f>IF(umumiy_malumot!$B$78=umumiy_malumot!$C$78,'График дифференц'!F52,IF(umumiy_malumot!$B$78=umumiy_malumot!$D$78,'График аннуитет.'!F52))</f>
        <v>0</v>
      </c>
    </row>
    <row r="54" spans="1:6" hidden="1" x14ac:dyDescent="0.25">
      <c r="A54" s="16">
        <f t="shared" si="1"/>
        <v>46</v>
      </c>
      <c r="B54" s="30" t="str">
        <f>IF('График аннуитет.'!B53=FALSE,"",'График аннуитет.'!B53)</f>
        <v/>
      </c>
      <c r="C54" s="31">
        <f>IF(umumiy_malumot!$B$78=umumiy_malumot!$C$78,'График дифференц'!C53,IF(umumiy_malumot!$B$78=umumiy_malumot!$D$78,'График аннуитет.'!C53))</f>
        <v>-4.1909515857696533E-9</v>
      </c>
      <c r="D54" s="31" t="b">
        <f>IF(umumiy_malumot!$B$78=umumiy_malumot!$C$78,'График дифференц'!D53,IF(umumiy_malumot!$B$78=umumiy_malumot!$D$78,'График аннуитет.'!D53))</f>
        <v>0</v>
      </c>
      <c r="E54" s="31" t="b">
        <f>IF(umumiy_malumot!$B$78=umumiy_malumot!$C$78,'График дифференц'!E53,IF(umumiy_malumot!$B$78=umumiy_malumot!$D$78,'График аннуитет.'!E53))</f>
        <v>0</v>
      </c>
      <c r="F54" s="31" t="b">
        <f>IF(umumiy_malumot!$B$78=umumiy_malumot!$C$78,'График дифференц'!F53,IF(umumiy_malumot!$B$78=umumiy_malumot!$D$78,'График аннуитет.'!F53))</f>
        <v>0</v>
      </c>
    </row>
    <row r="55" spans="1:6" hidden="1" x14ac:dyDescent="0.25">
      <c r="A55" s="16">
        <f t="shared" si="1"/>
        <v>47</v>
      </c>
      <c r="B55" s="30" t="str">
        <f>IF('График аннуитет.'!B54=FALSE,"",'График аннуитет.'!B54)</f>
        <v/>
      </c>
      <c r="C55" s="31">
        <f>IF(umumiy_malumot!$B$78=umumiy_malumot!$C$78,'График дифференц'!C54,IF(umumiy_malumot!$B$78=umumiy_malumot!$D$78,'График аннуитет.'!C54))</f>
        <v>-4.1909515857696533E-9</v>
      </c>
      <c r="D55" s="31" t="b">
        <f>IF(umumiy_malumot!$B$78=umumiy_malumot!$C$78,'График дифференц'!D54,IF(umumiy_malumot!$B$78=umumiy_malumot!$D$78,'График аннуитет.'!D54))</f>
        <v>0</v>
      </c>
      <c r="E55" s="31" t="b">
        <f>IF(umumiy_malumot!$B$78=umumiy_malumot!$C$78,'График дифференц'!E54,IF(umumiy_malumot!$B$78=umumiy_malumot!$D$78,'График аннуитет.'!E54))</f>
        <v>0</v>
      </c>
      <c r="F55" s="31" t="b">
        <f>IF(umumiy_malumot!$B$78=umumiy_malumot!$C$78,'График дифференц'!F54,IF(umumiy_malumot!$B$78=umumiy_malumot!$D$78,'График аннуитет.'!F54))</f>
        <v>0</v>
      </c>
    </row>
    <row r="56" spans="1:6" hidden="1" x14ac:dyDescent="0.25">
      <c r="A56" s="16">
        <f t="shared" si="1"/>
        <v>48</v>
      </c>
      <c r="B56" s="30" t="str">
        <f>IF('График аннуитет.'!B55=FALSE,"",'График аннуитет.'!B55)</f>
        <v/>
      </c>
      <c r="C56" s="31">
        <f>IF(umumiy_malumot!$B$78=umumiy_malumot!$C$78,'График дифференц'!C55,IF(umumiy_malumot!$B$78=umumiy_malumot!$D$78,'График аннуитет.'!C55))</f>
        <v>-4.1909515857696533E-9</v>
      </c>
      <c r="D56" s="31" t="b">
        <f>IF(umumiy_malumot!$B$78=umumiy_malumot!$C$78,'График дифференц'!D55,IF(umumiy_malumot!$B$78=umumiy_malumot!$D$78,'График аннуитет.'!D55))</f>
        <v>0</v>
      </c>
      <c r="E56" s="31" t="b">
        <f>IF(umumiy_malumot!$B$78=umumiy_malumot!$C$78,'График дифференц'!E55,IF(umumiy_malumot!$B$78=umumiy_malumot!$D$78,'График аннуитет.'!E55))</f>
        <v>0</v>
      </c>
      <c r="F56" s="31" t="b">
        <f>IF(umumiy_malumot!$B$78=umumiy_malumot!$C$78,'График дифференц'!F55,IF(umumiy_malumot!$B$78=umumiy_malumot!$D$78,'График аннуитет.'!F55))</f>
        <v>0</v>
      </c>
    </row>
    <row r="57" spans="1:6" ht="15" customHeight="1" x14ac:dyDescent="0.25">
      <c r="A57" s="43"/>
      <c r="B57" s="44" t="s">
        <v>201</v>
      </c>
      <c r="C57" s="45"/>
      <c r="D57" s="45">
        <f>SUM(D9:D56)</f>
        <v>100000000</v>
      </c>
      <c r="E57" s="45">
        <f t="shared" ref="E57:F57" si="2">SUM(E9:E56)</f>
        <v>85825452.450000048</v>
      </c>
      <c r="F57" s="45">
        <f t="shared" si="2"/>
        <v>185825452.44999999</v>
      </c>
    </row>
    <row r="58" spans="1:6" ht="15" customHeight="1" x14ac:dyDescent="0.25">
      <c r="B58" s="32"/>
      <c r="C58" s="33"/>
      <c r="D58" s="33"/>
      <c r="E58" s="33"/>
      <c r="F58" s="33"/>
    </row>
    <row r="59" spans="1:6" ht="39.75" customHeight="1" x14ac:dyDescent="0.25">
      <c r="A59" s="271" t="str">
        <f>"*"&amp;umumiy_malumot!C64&amp;" bo‘yicha to‘lovlar to‘lov jadvalida ko‘rsatilmagan sanalarda to‘langan taqdirda, to‘lov summasi mikroqarz shartnomasining 2.2.-bandiga muvofiq "&amp;umumiy_malumot!B65&amp;" qoldig‘iga hisoblangan foizlar summasiga o‘zgartiriladi."</f>
        <v>*Mikroqarz bo‘yicha to‘lovlar to‘lov jadvalida ko‘rsatilmagan sanalarda to‘langan taqdirda, to‘lov summasi mikroqarz shartnomasining 2.2.-bandiga muvofiq mikroqarz qoldig‘iga hisoblangan foizlar summasiga o‘zgartiriladi.</v>
      </c>
      <c r="B59" s="271"/>
      <c r="C59" s="271"/>
      <c r="D59" s="271"/>
      <c r="E59" s="271"/>
      <c r="F59" s="271"/>
    </row>
    <row r="60" spans="1:6" ht="13.5" customHeight="1" x14ac:dyDescent="0.25"/>
    <row r="61" spans="1:6" ht="15" customHeight="1" x14ac:dyDescent="0.25">
      <c r="A61" s="329" t="s">
        <v>263</v>
      </c>
      <c r="B61" s="329"/>
      <c r="C61" s="329"/>
      <c r="D61" s="329" t="s">
        <v>268</v>
      </c>
      <c r="E61" s="329"/>
      <c r="F61" s="329"/>
    </row>
    <row r="62" spans="1:6" ht="11.25" customHeight="1" x14ac:dyDescent="0.25">
      <c r="A62" s="330"/>
      <c r="B62" s="330"/>
      <c r="C62" s="330"/>
      <c r="D62" s="330"/>
      <c r="E62" s="330"/>
      <c r="F62" s="330"/>
    </row>
    <row r="63" spans="1:6" ht="30" customHeight="1" x14ac:dyDescent="0.25">
      <c r="A63" s="311" t="str">
        <f>shartnoma!A117</f>
        <v>«PULLOL BUSINESS MIKROMOLIYA TASHKILOTI»  MChJ</v>
      </c>
      <c r="B63" s="311"/>
      <c r="C63" s="311"/>
      <c r="D63" s="312" t="str">
        <f>shartnoma!B117</f>
        <v>NARBAYEV QUDAYBERGEN QALBAYEVICH</v>
      </c>
      <c r="E63" s="312"/>
      <c r="F63" s="312"/>
    </row>
    <row r="64" spans="1:6" ht="47.25" customHeight="1" x14ac:dyDescent="0.25">
      <c r="A64" s="272" t="str">
        <f>shartnoma!A119</f>
        <v>Manzil: Toshkent shahri, Yakkasaroy tumani, Rakat ko'chasi, 10 uy, 18 xonadon</v>
      </c>
      <c r="B64" s="272"/>
      <c r="C64" s="272"/>
      <c r="D64" s="272" t="str">
        <f>shartnoma!B119</f>
        <v>Manzil: TOSHKENT SHAHAR BEKTEMIR TUMANI MAJNUNTOL MFY MAJNUNTOL MAXALLA SHONIGOR KO'CHASI  113 UY</v>
      </c>
      <c r="E64" s="272"/>
      <c r="F64" s="272"/>
    </row>
    <row r="65" spans="1:6" ht="15" customHeight="1" x14ac:dyDescent="0.25">
      <c r="A65" s="272" t="str">
        <f>shartnoma!A120</f>
        <v>h/r: №20208000405643889001</v>
      </c>
      <c r="B65" s="272"/>
      <c r="C65" s="272"/>
      <c r="D65" s="272" t="str">
        <f>shartnoma!B121</f>
        <v>Pasport: AD 1654245, IIV 26264 tomonidan 15.08.2022 yilda berilgan</v>
      </c>
      <c r="E65" s="272"/>
      <c r="F65" s="272"/>
    </row>
    <row r="66" spans="1:6" ht="32.25" customHeight="1" x14ac:dyDescent="0.25">
      <c r="A66" s="272" t="str">
        <f>shartnoma!A121</f>
        <v>MFO: №01088 в ATB “Kapitalbank” Markaziy amaliyotlar bo'limi</v>
      </c>
      <c r="B66" s="272"/>
      <c r="C66" s="272"/>
      <c r="D66" s="272"/>
      <c r="E66" s="272"/>
      <c r="F66" s="272"/>
    </row>
    <row r="67" spans="1:6" ht="15" customHeight="1" x14ac:dyDescent="0.25">
      <c r="A67" s="272" t="str">
        <f>shartnoma!A122</f>
        <v>STIR: 310430149</v>
      </c>
      <c r="B67" s="272"/>
      <c r="C67" s="272"/>
      <c r="D67" s="272" t="str">
        <f>shartnoma!B122</f>
        <v>Tel: 90 093 33 23 MIJOZ</v>
      </c>
      <c r="E67" s="272"/>
      <c r="F67" s="272"/>
    </row>
    <row r="68" spans="1:6" ht="15" customHeight="1" x14ac:dyDescent="0.25">
      <c r="A68" s="272" t="str">
        <f>shartnoma!A123</f>
        <v>Tel: 555 100 217</v>
      </c>
      <c r="B68" s="272"/>
      <c r="C68" s="272"/>
      <c r="D68" s="272" t="str">
        <f>shartnoma!B123</f>
        <v>94 687 11 22 MIJOZ</v>
      </c>
      <c r="E68" s="272"/>
      <c r="F68" s="272"/>
    </row>
    <row r="69" spans="1:6" ht="15" customHeight="1" x14ac:dyDescent="0.25">
      <c r="A69" s="272" t="str">
        <f>shartnoma!A124</f>
        <v>Tel: (97) 714 14 17</v>
      </c>
      <c r="B69" s="272"/>
      <c r="C69" s="272"/>
      <c r="D69" s="272">
        <f>shartnoma!B124</f>
        <v>0</v>
      </c>
      <c r="E69" s="272"/>
      <c r="F69" s="272"/>
    </row>
    <row r="70" spans="1:6" ht="23.25" customHeight="1" x14ac:dyDescent="0.25">
      <c r="A70" s="272" t="str">
        <f>shartnoma!A126</f>
        <v>Tel: (97) 706 96 65</v>
      </c>
      <c r="B70" s="272"/>
      <c r="C70" s="272"/>
      <c r="D70" s="331" t="str">
        <f>IF(shartnoma!B125=0,"",shartnoma!B125)</f>
        <v/>
      </c>
      <c r="E70" s="331"/>
      <c r="F70" s="331"/>
    </row>
    <row r="71" spans="1:6" ht="22.5" customHeight="1" x14ac:dyDescent="0.25">
      <c r="A71" s="311" t="str">
        <f>umumiy_malumot!A161</f>
        <v>Direktor</v>
      </c>
      <c r="B71" s="311"/>
      <c r="C71" s="311"/>
      <c r="D71" s="312" t="str">
        <f>shartnoma!B128</f>
        <v>NARBAYEV Q. Q.     __________________</v>
      </c>
      <c r="E71" s="312"/>
      <c r="F71" s="312"/>
    </row>
    <row r="72" spans="1:6" ht="15" customHeight="1" x14ac:dyDescent="0.25">
      <c r="A72" s="311" t="str">
        <f>umumiy_malumot!B161</f>
        <v>Obidov A.Sh.</v>
      </c>
      <c r="B72" s="311"/>
      <c r="C72" s="311"/>
      <c r="D72" s="312"/>
      <c r="E72" s="312"/>
      <c r="F72" s="312"/>
    </row>
    <row r="73" spans="1:6" ht="24" customHeight="1" x14ac:dyDescent="0.25">
      <c r="A73" s="331"/>
      <c r="B73" s="331"/>
      <c r="C73" s="331"/>
      <c r="D73" s="331"/>
      <c r="E73" s="331"/>
      <c r="F73" s="331"/>
    </row>
    <row r="74" spans="1:6" ht="30" customHeight="1" x14ac:dyDescent="0.25">
      <c r="A74" s="334"/>
      <c r="B74" s="334"/>
      <c r="C74" s="334"/>
      <c r="D74" s="335"/>
      <c r="E74" s="335"/>
      <c r="F74" s="335"/>
    </row>
    <row r="75" spans="1:6" x14ac:dyDescent="0.25">
      <c r="A75" s="336"/>
      <c r="B75" s="336"/>
      <c r="C75" s="336"/>
      <c r="D75" s="336"/>
      <c r="E75" s="336"/>
      <c r="F75" s="336"/>
    </row>
    <row r="76" spans="1:6" x14ac:dyDescent="0.25">
      <c r="A76" s="333"/>
      <c r="B76" s="333"/>
      <c r="C76" s="333"/>
      <c r="D76" s="333"/>
      <c r="E76" s="333"/>
      <c r="F76" s="333"/>
    </row>
  </sheetData>
  <mergeCells count="40">
    <mergeCell ref="H12:P24"/>
    <mergeCell ref="A76:C76"/>
    <mergeCell ref="D76:F76"/>
    <mergeCell ref="A73:C73"/>
    <mergeCell ref="D73:F73"/>
    <mergeCell ref="A74:C74"/>
    <mergeCell ref="D74:F74"/>
    <mergeCell ref="A75:C75"/>
    <mergeCell ref="D75:F75"/>
    <mergeCell ref="A71:C71"/>
    <mergeCell ref="D71:F71"/>
    <mergeCell ref="A72:C72"/>
    <mergeCell ref="D72:F72"/>
    <mergeCell ref="A68:C68"/>
    <mergeCell ref="D68:F68"/>
    <mergeCell ref="A69:C69"/>
    <mergeCell ref="D69:F69"/>
    <mergeCell ref="A70:C70"/>
    <mergeCell ref="D70:F70"/>
    <mergeCell ref="A67:C67"/>
    <mergeCell ref="D67:F67"/>
    <mergeCell ref="A59:F59"/>
    <mergeCell ref="A61:C61"/>
    <mergeCell ref="D61:F61"/>
    <mergeCell ref="A62:C62"/>
    <mergeCell ref="D62:F62"/>
    <mergeCell ref="A63:C63"/>
    <mergeCell ref="D63:F63"/>
    <mergeCell ref="A64:C64"/>
    <mergeCell ref="D64:F64"/>
    <mergeCell ref="A65:C65"/>
    <mergeCell ref="D65:F66"/>
    <mergeCell ref="A66:C66"/>
    <mergeCell ref="E2:F2"/>
    <mergeCell ref="A5:F5"/>
    <mergeCell ref="A7:A8"/>
    <mergeCell ref="B7:B8"/>
    <mergeCell ref="C7:C8"/>
    <mergeCell ref="D7:F7"/>
    <mergeCell ref="E3:F3"/>
  </mergeCells>
  <conditionalFormatting sqref="B9:B56">
    <cfRule type="cellIs" dxfId="7" priority="2" operator="lessThan">
      <formula>22105</formula>
    </cfRule>
  </conditionalFormatting>
  <conditionalFormatting sqref="C9:F56">
    <cfRule type="cellIs" dxfId="6"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C32"/>
  <sheetViews>
    <sheetView view="pageBreakPreview" topLeftCell="A5" zoomScale="85" zoomScaleNormal="175" zoomScaleSheetLayoutView="85" workbookViewId="0">
      <selection activeCell="A13" sqref="A13:C13"/>
    </sheetView>
  </sheetViews>
  <sheetFormatPr defaultColWidth="0" defaultRowHeight="15.75" x14ac:dyDescent="0.25"/>
  <cols>
    <col min="1" max="1" width="26" style="6" customWidth="1"/>
    <col min="2" max="2" width="15.28515625" style="6" customWidth="1"/>
    <col min="3" max="3" width="34.5703125" style="6" customWidth="1"/>
    <col min="4" max="16384" width="9.140625" style="6" hidden="1"/>
  </cols>
  <sheetData>
    <row r="1" spans="1:3" hidden="1" x14ac:dyDescent="0.25"/>
    <row r="2" spans="1:3" hidden="1" x14ac:dyDescent="0.25"/>
    <row r="3" spans="1:3" hidden="1" x14ac:dyDescent="0.25"/>
    <row r="4" spans="1:3" hidden="1" x14ac:dyDescent="0.25"/>
    <row r="6" spans="1:3" ht="17.25" customHeight="1" x14ac:dyDescent="0.25">
      <c r="C6" s="12" t="str">
        <f>umumiy_malumot!B158</f>
        <v>«PULLOL BUSINESS MIKROMOLIYA TASHKILOTI»  MChJ</v>
      </c>
    </row>
    <row r="7" spans="1:3" ht="33" customHeight="1" x14ac:dyDescent="0.25">
      <c r="A7" s="193"/>
      <c r="B7" s="193"/>
      <c r="C7" s="197" t="str">
        <f>umumiy_malumot!A161&amp;" "&amp;umumiy_malumot!B161 &amp;"ga"</f>
        <v>Direktor Obidov A.Sh.ga</v>
      </c>
    </row>
    <row r="8" spans="1:3" x14ac:dyDescent="0.25">
      <c r="A8" s="198"/>
      <c r="B8" s="198"/>
      <c r="C8" s="197" t="str">
        <f>umumiy_malumot!B113 &amp; "dan"</f>
        <v>dan</v>
      </c>
    </row>
    <row r="9" spans="1:3" ht="15.75" hidden="1" customHeight="1" x14ac:dyDescent="0.25">
      <c r="C9" s="199" t="str">
        <f>[3]malumot!B119</f>
        <v>FAYZIYEV JAMSHID KURBONOVICH</v>
      </c>
    </row>
    <row r="10" spans="1:3" ht="15.75" hidden="1" customHeight="1" x14ac:dyDescent="0.25">
      <c r="C10" s="199">
        <f>[3]malumot!C119</f>
        <v>0</v>
      </c>
    </row>
    <row r="11" spans="1:3" ht="15.75" hidden="1" customHeight="1" x14ac:dyDescent="0.25">
      <c r="C11" s="198" t="s">
        <v>385</v>
      </c>
    </row>
    <row r="12" spans="1:3" x14ac:dyDescent="0.25">
      <c r="B12" s="6" t="s">
        <v>372</v>
      </c>
    </row>
    <row r="13" spans="1:3" ht="82.5" customHeight="1" x14ac:dyDescent="0.25">
      <c r="A13" s="305" t="str">
        <f>IF(umumiy_malumot!B110="Avtotransport",A14,A15)</f>
        <v>NARBAYEV QUDAYBERGEN QALBAYEVICH tomonidan so’ralayotgan O'ttiz olti   (36) oy muddatga, 100 000 000 (yuz million so'm) miqdoridagi mikroqarzning ta’minoti sifatida menga mulk huquqi asosida tegishli bo’lgan  01Z067RC, YENGIL SEDAN, B15D213241352MTAX0118, OQ SUMMIT WHITE, avtotransport vositasini qabul qilishingizni so’rayman:</v>
      </c>
      <c r="B13" s="305"/>
      <c r="C13" s="305"/>
    </row>
    <row r="14" spans="1:3" ht="124.5" hidden="1" customHeight="1" x14ac:dyDescent="0.25">
      <c r="A14" s="337" t="str">
        <f>""&amp;umumiy_malumot!B12&amp;" tomonidan so’ralayotgan "&amp;umumiy_malumot!B83&amp;" ("&amp;umumiy_malumot!B82&amp;") oy muddatga, "&amp;FIXED(umumiy_malumot!B76,0)&amp;" ("&amp;umumiy_malumot!B77&amp;") miqdoridagi "&amp;umumiy_malumot!B65&amp;"ning ta’minoti sifatida menga mulk huquqi asosida tegishli bo’lgan  "&amp;umumiy_malumot!B133&amp;", "&amp;umumiy_malumot!B135&amp;", "&amp;umumiy_malumot!B138&amp;", "&amp;umumiy_malumot!B141&amp;", avtotransport vositasini qabul qilishingizni so’rayman:"</f>
        <v>NARBAYEV QUDAYBERGEN QALBAYEVICH tomonidan so’ralayotgan O'ttiz olti   (36) oy muddatga, 100 000 000 (yuz million so'm) miqdoridagi mikroqarzning ta’minoti sifatida menga mulk huquqi asosida tegishli bo’lgan  01Z067RC, YENGIL SEDAN, B15D213241352MTAX0118, OQ SUMMIT WHITE, avtotransport vositasini qabul qilishingizni so’rayman:</v>
      </c>
      <c r="B14" s="337"/>
      <c r="C14" s="337"/>
    </row>
    <row r="15" spans="1:3" ht="31.5" hidden="1" customHeight="1" x14ac:dyDescent="0.25">
      <c r="A15" s="337" t="str">
        <f>""&amp;[3]malumot!B12&amp;" tomonidan so’ralayotgan "&amp;[3]malumot!B81&amp;" ("&amp;[3]malumot!B82&amp;") oy muddatga, "&amp;FIXED([3]malumot!B75,0)&amp;" ("&amp;[3]malumot!B76&amp;") miqdoridagi "&amp;[3]malumot!B65&amp;"ning ta’minoti sifatida menga mulk huquqi asosida tegishli bo’lgan  "&amp;[3]malumot!C134&amp;", umumiy maydoni "&amp;[3]malumot!C138&amp;" va yashash maydoni "&amp;[3]malumot!C141&amp;"  "&amp;[3]malumot!C131&amp;" manzilda joylashgan ko'chmas mulkni qabul qilishingizni so’rayman:"</f>
        <v>XAYATOV OTABEK KURBANOVICH tomonidan so’ralayotgan 48 (Qirq sakkiz  ) oy muddatga, 26 000 000 (yigirma olti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337"/>
      <c r="C15" s="337"/>
    </row>
    <row r="18" spans="1:3" x14ac:dyDescent="0.25">
      <c r="C18" s="199" t="s">
        <v>386</v>
      </c>
    </row>
    <row r="19" spans="1:3" ht="18.75" customHeight="1" x14ac:dyDescent="0.25">
      <c r="A19" s="11" t="str">
        <f>+IF(umumiy_malumot!B100="ha",umumiy_malumot!B7,umumiy_malumot!B113)</f>
        <v>NARBAYEV Q. Q.</v>
      </c>
      <c r="C19" s="200" t="str">
        <f>umumiy_malumot!B2</f>
        <v>02.02.2026</v>
      </c>
    </row>
    <row r="20" spans="1:3" s="338" customFormat="1" ht="48" hidden="1" customHeight="1" x14ac:dyDescent="0.25">
      <c r="A20" s="338" t="str">
        <f>IF(umumiy_malumot!B100=umumiy_malumot!D100,CONCATENATE(A28," ",A32,A26),"")</f>
        <v/>
      </c>
    </row>
    <row r="21" spans="1:3" x14ac:dyDescent="0.25">
      <c r="A21" s="180"/>
      <c r="B21" s="180"/>
      <c r="C21" s="180"/>
    </row>
    <row r="22" spans="1:3" x14ac:dyDescent="0.25">
      <c r="A22" s="180"/>
      <c r="B22" s="180"/>
      <c r="C22" s="180"/>
    </row>
    <row r="23" spans="1:3" x14ac:dyDescent="0.25">
      <c r="A23" s="145" t="str">
        <f>umumiy_malumot!A161</f>
        <v>Direktor</v>
      </c>
      <c r="B23" s="145"/>
      <c r="C23" s="197" t="str">
        <f>umumiy_malumot!B161</f>
        <v>Obidov A.Sh.</v>
      </c>
    </row>
    <row r="24" spans="1:3" x14ac:dyDescent="0.25">
      <c r="A24" s="145"/>
      <c r="B24" s="145"/>
      <c r="C24" s="197"/>
    </row>
    <row r="25" spans="1:3" x14ac:dyDescent="0.25">
      <c r="A25" s="145"/>
      <c r="B25" s="145"/>
      <c r="C25" s="197"/>
    </row>
    <row r="26" spans="1:3" hidden="1" x14ac:dyDescent="0.25">
      <c r="A26" s="6" t="str">
        <f>" xususiy faoliyat ko'rsatuvchi notarius tomonidan "&amp;umumiy_malumot!B104&amp;" "&amp;umumiy_malumot!B105&amp;" berilgan ishonchnomaga asosan "</f>
        <v xml:space="preserve"> xususiy faoliyat ko'rsatuvchi notarius tomonidan   berilgan ishonchnomaga asosan </v>
      </c>
    </row>
    <row r="27" spans="1:3" hidden="1" x14ac:dyDescent="0.25"/>
    <row r="28" spans="1:3" hidden="1" x14ac:dyDescent="0.25">
      <c r="A28" s="6" t="str">
        <f>"№"&amp;umumiy_malumot!B107&amp; ""</f>
        <v>№</v>
      </c>
    </row>
    <row r="29" spans="1:3" hidden="1" x14ac:dyDescent="0.25">
      <c r="A29" s="235">
        <f>umumiy_malumot!B108</f>
        <v>0</v>
      </c>
    </row>
    <row r="30" spans="1:3" hidden="1" x14ac:dyDescent="0.25">
      <c r="A30" s="6" t="str">
        <f>TEXT(A29,"ДД.ММ.ГГГГ")</f>
        <v>00.01.1900</v>
      </c>
    </row>
    <row r="31" spans="1:3" hidden="1" x14ac:dyDescent="0.25">
      <c r="A31" s="6" t="s">
        <v>400</v>
      </c>
    </row>
    <row r="32" spans="1:3" hidden="1" x14ac:dyDescent="0.25">
      <c r="A32" s="6" t="str">
        <f>CONCATENATE(A30,A31)</f>
        <v>00.01.1900sanasidan</v>
      </c>
    </row>
  </sheetData>
  <mergeCells count="4">
    <mergeCell ref="A13:C13"/>
    <mergeCell ref="A14:C14"/>
    <mergeCell ref="A15:C15"/>
    <mergeCell ref="A20:XFD20"/>
  </mergeCells>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13">
    <tabColor rgb="FF00B050"/>
  </sheetPr>
  <dimension ref="A2:F72"/>
  <sheetViews>
    <sheetView view="pageBreakPreview" zoomScale="70" zoomScaleNormal="100" zoomScaleSheetLayoutView="70" workbookViewId="0">
      <selection activeCell="A6" sqref="A6:E6"/>
    </sheetView>
  </sheetViews>
  <sheetFormatPr defaultColWidth="9.140625" defaultRowHeight="15" outlineLevelRow="1" x14ac:dyDescent="0.25"/>
  <cols>
    <col min="1" max="1" width="29.7109375" style="13" customWidth="1"/>
    <col min="2" max="2" width="22.85546875" style="13" customWidth="1"/>
    <col min="3" max="3" width="22.42578125" style="13" customWidth="1"/>
    <col min="4" max="4" width="21.42578125" style="13" customWidth="1"/>
    <col min="5" max="5" width="21.5703125" style="13" customWidth="1"/>
    <col min="6" max="16384" width="9.140625" style="13"/>
  </cols>
  <sheetData>
    <row r="2" spans="1:5" ht="37.5" customHeight="1" x14ac:dyDescent="0.25">
      <c r="A2" s="324" t="str">
        <f>"GAROV PREDMETI QIYMATINI KELISHISH 
№"&amp;umumiy_malumot!B148&amp;" SONLI DALOLATNOMASI
 "</f>
        <v xml:space="preserve">GAROV PREDMETI QIYMATINI KELISHISH 
№1 SONLI DALOLATNOMASI
 </v>
      </c>
      <c r="B2" s="324"/>
      <c r="C2" s="324"/>
      <c r="D2" s="324"/>
      <c r="E2" s="324"/>
    </row>
    <row r="3" spans="1:5" x14ac:dyDescent="0.25">
      <c r="A3" s="37"/>
      <c r="B3" s="37"/>
      <c r="C3" s="37"/>
      <c r="D3" s="37"/>
      <c r="E3" s="37"/>
    </row>
    <row r="4" spans="1:5" x14ac:dyDescent="0.25">
      <c r="A4" s="34" t="s">
        <v>200</v>
      </c>
      <c r="B4" s="34"/>
      <c r="C4" s="34"/>
      <c r="D4" s="34"/>
      <c r="E4" s="34" t="str">
        <f>umumiy_malumot!B149</f>
        <v>2 fevral 2026 y.</v>
      </c>
    </row>
    <row r="5" spans="1:5" ht="9" customHeight="1" x14ac:dyDescent="0.25">
      <c r="A5" s="271"/>
      <c r="B5" s="271"/>
      <c r="C5" s="271"/>
      <c r="D5" s="271"/>
      <c r="E5" s="271"/>
    </row>
    <row r="6" spans="1:5" ht="77.25" customHeight="1" x14ac:dyDescent="0.25">
      <c r="A6" s="271" t="str">
        <f>IF(umumiy_malumot!B110="avtotransport",dalolatnoma!A10:E10,dalolatnoma!A7:E7)</f>
        <v>«PULLOL BUSINESS MIKROMOLIYA TASHKILOTI»  MChJning (1-tomon) vakili bo‘lgan  Direktor Obidov A.Sh., O‘zbekiston Respublikasi fuqarosi va garovga beruvchi NARBAYEV QUDAYBERGEN QALBAYEVICH (2-tomon) o’rtalarida, 2 fevral 2026 y.dan № 53-sonli Mikroqarz shartnomasiga muvofiq 1-tomon 2-tomonga berilgan mikroqarz bo‘yicha ta’minot sifatida taqdim etilgan, 2-tomonga mulk huquqi asosida tegishli bo‘lgan mulkning garov qiymatini kelishish muzokaralari o’tkazildi.</v>
      </c>
      <c r="B6" s="271"/>
      <c r="C6" s="271"/>
      <c r="D6" s="271"/>
      <c r="E6" s="271"/>
    </row>
    <row r="7" spans="1:5" ht="88.5" hidden="1" customHeight="1" x14ac:dyDescent="0.25">
      <c r="A7" s="271" t="str">
        <f>IF(umumiy_malumot!B100="ha",dalolatnoma!A9:E9,dalolatnoma!A8:E8)</f>
        <v xml:space="preserve">«PULLOL BUSINESS MIKROMOLIYA TASHKILOTI»  MChJning (1-tomon) vakili bo‘lgan  Direktor Obidov A.Sh., va O‘zbekiston Respublikasi fuqarosi  NARBAYEV QUDAYBERGEN QALBAYEVICH (2-tomon) va garov egasi NARBAYEV QUDAYBERGEN QALBAYEVICH (3-tomon) 2 fevral 2026 y.dan № 53 Mikroqarz shartnomasiga muvofiq 1-tomon 2-tomonga berilgan mikroqarz bo‘yicha ta’minot sifatida taqdim etilgan, 2-tomonga mulk huquqi asosida tegishli bo‘lgan mulkning garov qiymatini kelishish muzokaralari o’tkazildi. </v>
      </c>
      <c r="B7" s="271"/>
      <c r="C7" s="271"/>
      <c r="D7" s="271"/>
      <c r="E7" s="271"/>
    </row>
    <row r="8" spans="1:5" ht="88.5" hidden="1" customHeight="1" x14ac:dyDescent="0.25">
      <c r="A8" s="271" t="str">
        <f>""&amp;umumiy_malumot!B158&amp;"ning (1-tomon) vakili bo‘lgan  "&amp;umumiy_malumot!A161&amp;" "&amp;umumiy_malumot!B161&amp;", va O‘zbekiston Respublikasi fuqarosi  "&amp;umumiy_malumot!B5&amp;" (2-tomon) va garov egasi "&amp;umumiy_malumot!C124&amp;" (3-tomon) "&amp;umumiy_malumot!B74&amp;" "&amp;umumiy_malumot!C64&amp;" shartnomasiga muvofiq 1-tomon 2-tomonga berilgan "&amp;umumiy_malumot!B65&amp;" bo‘yicha ta’minot sifatida taqdim etilgan, 2-tomonga mulk huquqi asosida tegishli bo‘lgan mulkning garov qiymatini kelishish muzokaralari o’tkazildi. "</f>
        <v xml:space="preserve">«PULLOL BUSINESS MIKROMOLIYA TASHKILOTI»  MChJning (1-tomon) vakili bo‘lgan  Direktor Obidov A.Sh., va O‘zbekiston Respublikasi fuqarosi  NARBAYEV QUDAYBERGEN QALBAYEVICH (2-tomon) va garov egasi NARBAYEV QUDAYBERGEN QALBAYEVICH (3-tomon) 2 fevral 2026 y.dan № 53 Mikroqarz shartnomasiga muvofiq 1-tomon 2-tomonga berilgan mikroqarz bo‘yicha ta’minot sifatida taqdim etilgan, 2-tomonga mulk huquqi asosida tegishli bo‘lgan mulkning garov qiymatini kelishish muzokaralari o’tkazildi. </v>
      </c>
      <c r="B8" s="271"/>
      <c r="C8" s="271"/>
      <c r="D8" s="271"/>
      <c r="E8" s="271"/>
    </row>
    <row r="9" spans="1:5" ht="88.5" hidden="1" customHeight="1" x14ac:dyDescent="0.25">
      <c r="A9" s="271" t="str">
        <f>""&amp;umumiy_malumot!B158&amp;"ning (1-tomon) vakili bo‘lgan  "&amp;umumiy_malumot!A161&amp;" "&amp;umumiy_malumot!B161&amp;", va O‘zbekiston Respublikasi fuqarosi  "&amp;umumiy_malumot!B5&amp;" (2-tomon) va garov egasi "&amp;umumiy_malumot!C124&amp;" (3-tomon) "&amp;umumiy_malumot!B74&amp;" "&amp;umumiy_malumot!C64&amp;" shartnomasiga muvofiq 1-tomon 2-tomonga berilgan "&amp;umumiy_malumot!B65&amp;" bo‘yicha ta’minot sifatida taqdim etilgan, 2-tomonga mulk huquqi asosida tegishli bo‘lgan mulkning garov qiymatini kelishish muzokaralari o’tkazildi. "</f>
        <v xml:space="preserve">«PULLOL BUSINESS MIKROMOLIYA TASHKILOTI»  MChJning (1-tomon) vakili bo‘lgan  Direktor Obidov A.Sh., va O‘zbekiston Respublikasi fuqarosi  NARBAYEV QUDAYBERGEN QALBAYEVICH (2-tomon) va garov egasi NARBAYEV QUDAYBERGEN QALBAYEVICH (3-tomon) 2 fevral 2026 y.dan № 53 Mikroqarz shartnomasiga muvofiq 1-tomon 2-tomonga berilgan mikroqarz bo‘yicha ta’minot sifatida taqdim etilgan, 2-tomonga mulk huquqi asosida tegishli bo‘lgan mulkning garov qiymatini kelishish muzokaralari o’tkazildi. </v>
      </c>
      <c r="B9" s="271"/>
      <c r="C9" s="271"/>
      <c r="D9" s="271"/>
      <c r="E9" s="271"/>
    </row>
    <row r="10" spans="1:5" ht="88.5" hidden="1" customHeight="1" x14ac:dyDescent="0.25">
      <c r="A10" s="271" t="str">
        <f>IF(umumiy_malumot!B100="ha",dalolatnoma!A12:E12,dalolatnoma!A11:E11)</f>
        <v>«PULLOL BUSINESS MIKROMOLIYA TASHKILOTI»  MChJning (1-tomon) vakili bo‘lgan  Direktor Obidov A.Sh., O‘zbekiston Respublikasi fuqarosi va garovga beruvchi NARBAYEV QUDAYBERGEN QALBAYEVICH (2-tomon) o’rtalarida, 2 fevral 2026 y.dan № 53-sonli Mikroqarz shartnomasiga muvofiq 1-tomon 2-tomonga berilgan mikroqarz bo‘yicha ta’minot sifatida taqdim etilgan, 2-tomonga mulk huquqi asosida tegishli bo‘lgan mulkning garov qiymatini kelishish muzokaralari o’tkazildi.</v>
      </c>
      <c r="B10" s="271"/>
      <c r="C10" s="271"/>
      <c r="D10" s="271"/>
      <c r="E10" s="271"/>
    </row>
    <row r="11" spans="1:5" ht="88.5" hidden="1" customHeight="1" x14ac:dyDescent="0.25">
      <c r="A11" s="271" t="str">
        <f>""&amp;umumiy_malumot!B158&amp;"ning (1-tomon) vakili bo‘lgan  "&amp;umumiy_malumot!A161&amp;" "&amp;umumiy_malumot!B161&amp;", O‘zbekiston Respublikasi fuqarosi "&amp;umumiy_malumot!B5&amp;" (2-tomon) va garovga beruvchi O‘zbekiston Respublikasi fuqarosi "&amp;umumiy_malumot!B124&amp;" (3-tomon) o’rtalarida, "&amp;umumiy_malumot!B74&amp;"-sonli "&amp;umumiy_malumot!C64&amp;" shartnomasiga muvofiq 1-tomon 2-tomonga berilgan "&amp;umumiy_malumot!B65&amp;" bo‘yicha ta’minot sifatida taqdim etilgan, 3-tomonga mulk huquqi asosida tegishli bo‘lgan mulkning garov qiymatini kelishish muzokaralari o’tkazildi."</f>
        <v>«PULLOL BUSINESS MIKROMOLIYA TASHKILOTI»  MChJning (1-tomon) vakili bo‘lgan  Direktor Obidov A.Sh., O‘zbekiston Respublikasi fuqarosi NARBAYEV QUDAYBERGEN QALBAYEVICH (2-tomon) va garovga beruvchi O‘zbekiston Respublikasi fuqarosi NARBAYEV QUDAYBERGEN QALBAYEVICH (3-tomon) o’rtalarida, 2 fevral 2026 y.dan № 53-sonli Mikroqarz shartnomasiga muvofiq 1-tomon 2-tomonga berilgan mikroqarz bo‘yicha ta’minot sifatida taqdim etilgan, 3-tomonga mulk huquqi asosida tegishli bo‘lgan mulkning garov qiymatini kelishish muzokaralari o’tkazildi.</v>
      </c>
      <c r="B11" s="271"/>
      <c r="C11" s="271"/>
      <c r="D11" s="271"/>
      <c r="E11" s="271"/>
    </row>
    <row r="12" spans="1:5" ht="88.5" hidden="1" customHeight="1" x14ac:dyDescent="0.25">
      <c r="A12" s="271" t="str">
        <f>""&amp;umumiy_malumot!B158&amp;"ning (1-tomon) vakili bo‘lgan  "&amp;umumiy_malumot!A161&amp;" "&amp;umumiy_malumot!B161&amp;", O‘zbekiston Respublikasi fuqarosi va garovga beruvchi "&amp;umumiy_malumot!B5&amp;" (2-tomon) o’rtalarida, "&amp;umumiy_malumot!B74&amp;"-sonli "&amp;umumiy_malumot!C64&amp;" shartnomasiga muvofiq 1-tomon 2-tomonga berilgan "&amp;umumiy_malumot!B65&amp;" bo‘yicha ta’minot sifatida taqdim etilgan, 2-tomonga mulk huquqi asosida tegishli bo‘lgan mulkning garov qiymatini kelishish muzokaralari o’tkazildi."</f>
        <v>«PULLOL BUSINESS MIKROMOLIYA TASHKILOTI»  MChJning (1-tomon) vakili bo‘lgan  Direktor Obidov A.Sh., O‘zbekiston Respublikasi fuqarosi va garovga beruvchi NARBAYEV QUDAYBERGEN QALBAYEVICH (2-tomon) o’rtalarida, 2 fevral 2026 y.dan № 53-sonli Mikroqarz shartnomasiga muvofiq 1-tomon 2-tomonga berilgan mikroqarz bo‘yicha ta’minot sifatida taqdim etilgan, 2-tomonga mulk huquqi asosida tegishli bo‘lgan mulkning garov qiymatini kelishish muzokaralari o’tkazildi.</v>
      </c>
      <c r="B12" s="271"/>
      <c r="C12" s="271"/>
      <c r="D12" s="271"/>
      <c r="E12" s="271"/>
    </row>
    <row r="13" spans="1:5" ht="88.5" hidden="1" customHeight="1" x14ac:dyDescent="0.25">
      <c r="A13" s="271" t="str">
        <f>"Garov predmeti sifatida "&amp;umumiy_malumot!B132&amp;", 3-tomonga egalik huquqi tegishli bo'lgan, quyidagi tafsilotlarga ega avtotransport vositasi taqdim etiladi:"</f>
        <v>Garov predmeti sifatida CHEVROLET COBALT, 3-tomonga egalik huquqi tegishli bo'lgan, quyidagi tafsilotlarga ega avtotransport vositasi taqdim etiladi:</v>
      </c>
      <c r="B13" s="271"/>
      <c r="C13" s="271"/>
      <c r="D13" s="271"/>
      <c r="E13" s="271"/>
    </row>
    <row r="14" spans="1:5" ht="88.5" hidden="1" customHeight="1" x14ac:dyDescent="0.25">
      <c r="A14" s="271" t="str">
        <f>"Garov predmeti sifatida "&amp;umumiy_malumot!B132&amp;", 2-tomonga egalik huquqi tegishli bo'lgan, quyidagi tafsilotlarga ega avtotransport vositasi taqdim etiladi:"</f>
        <v>Garov predmeti sifatida CHEVROLET COBALT, 2-tomonga egalik huquqi tegishli bo'lgan, quyidagi tafsilotlarga ega avtotransport vositasi taqdim etiladi:</v>
      </c>
      <c r="B14" s="271"/>
      <c r="C14" s="271"/>
      <c r="D14" s="271"/>
      <c r="E14" s="271"/>
    </row>
    <row r="15" spans="1:5" ht="88.5" hidden="1" customHeight="1" x14ac:dyDescent="0.25">
      <c r="A15" s="271" t="str">
        <f>IF(umumiy_malumot!B100="ha",dalolatnoma!A14:E14,dalolatnoma!A13:E13)</f>
        <v>Garov predmeti sifatida CHEVROLET COBALT, 2-tomonga egalik huquqi tegishli bo'lgan, quyidagi tafsilotlarga ega avtotransport vositasi taqdim etiladi:</v>
      </c>
      <c r="B15" s="271"/>
      <c r="C15" s="271"/>
      <c r="D15" s="271"/>
      <c r="E15" s="271"/>
    </row>
    <row r="16" spans="1:5" ht="88.5" hidden="1" customHeight="1" x14ac:dyDescent="0.25">
      <c r="A16" s="271" t="str">
        <f>"Garov predmeti sifatida "&amp;umumiy_malumot!C133&amp;", 2-tomonga egalik huquqi tegishli bo'lgan, quyidagi tafsilotlarga ega ko'chmas mulk taqdim etiladi:"</f>
        <v>Garov predmeti sifatida  0, 2-tomonga egalik huquqi tegishli bo'lgan, quyidagi tafsilotlarga ega ko'chmas mulk taqdim etiladi:</v>
      </c>
      <c r="B16" s="271"/>
      <c r="C16" s="271"/>
      <c r="D16" s="271"/>
      <c r="E16" s="271"/>
    </row>
    <row r="17" spans="1:5" ht="13.5" hidden="1" customHeight="1" x14ac:dyDescent="0.25">
      <c r="A17" s="271" t="str">
        <f>"Garov predmeti sifatida "&amp;umumiy_malumot!C133&amp;", 3-tomonga egalik huquqi tegishli bo'lgan, quyidagi tafsilotlarga ega ko'chmas mulk taqdim etiladi:"</f>
        <v>Garov predmeti sifatida  0, 3-tomonga egalik huquqi tegishli bo'lgan, quyidagi tafsilotlarga ega ko'chmas mulk taqdim etiladi:</v>
      </c>
      <c r="B17" s="271"/>
      <c r="C17" s="271"/>
      <c r="D17" s="271"/>
      <c r="E17" s="271"/>
    </row>
    <row r="18" spans="1:5" ht="11.25" hidden="1" customHeight="1" x14ac:dyDescent="0.25">
      <c r="A18" s="271" t="str">
        <f>IF(umumiy_malumot!B100="ha",dalolatnoma!A16:E16,dalolatnoma!A17:E17)</f>
        <v>Garov predmeti sifatida  0, 2-tomonga egalik huquqi tegishli bo'lgan, quyidagi tafsilotlarga ega ko'chmas mulk taqdim etiladi:</v>
      </c>
      <c r="B18" s="271"/>
      <c r="C18" s="271"/>
      <c r="D18" s="271"/>
      <c r="E18" s="271"/>
    </row>
    <row r="19" spans="1:5" ht="36.75" customHeight="1" x14ac:dyDescent="0.25">
      <c r="A19" s="271" t="str">
        <f>IF(umumiy_malumot!B110="Avtotransport",dalolatnoma!A15:E15,dalolatnoma!A18:E18)</f>
        <v>Garov predmeti sifatida CHEVROLET COBALT, 2-tomonga egalik huquqi tegishli bo'lgan, quyidagi tafsilotlarga ega avtotransport vositasi taqdim etiladi:</v>
      </c>
      <c r="B19" s="271"/>
      <c r="C19" s="271"/>
      <c r="D19" s="271"/>
      <c r="E19" s="271"/>
    </row>
    <row r="20" spans="1:5" ht="48" customHeight="1" outlineLevel="1" x14ac:dyDescent="0.25">
      <c r="A20" s="36" t="s">
        <v>198</v>
      </c>
      <c r="B20" s="339" t="str">
        <f>IF(umumiy_malumot!B110=umumiy_malumot!C110,"Kuzov turi  va kuzov raqami*","Foydali maydoni")</f>
        <v>Kuzov turi  va kuzov raqami*</v>
      </c>
      <c r="C20" s="340"/>
      <c r="D20" s="36" t="str">
        <f>IF(umumiy_malumot!B110=umumiy_malumot!C110,"Dvigatel va shassi raqami*","Yashash maydoni")</f>
        <v>Dvigatel va shassi raqami*</v>
      </c>
      <c r="E20" s="36" t="str">
        <f>IF(umumiy_malumot!B110=umumiy_malumot!C110,"Ishlab chiqarilgan yili va rangi**","Umumiy maydoni")</f>
        <v>Ishlab chiqarilgan yili va rangi**</v>
      </c>
    </row>
    <row r="21" spans="1:5" ht="83.25" customHeight="1" outlineLevel="1" x14ac:dyDescent="0.25">
      <c r="A21" s="15" t="str">
        <f>IF(umumiy_malumot!B110=umumiy_malumot!C110,umumiy_malumot!B132,umumiy_malumot!C132)</f>
        <v>CHEVROLET COBALT</v>
      </c>
      <c r="B21" s="326" t="str">
        <f>IF(umumiy_malumot!B110=umumiy_malumot!C110,umumiy_malumot!B134,CONCATENATE(umumiy_malumot!F137," ","kv.m"))</f>
        <v>kuzov turi - YENGIL SEDAN, kuzov raqami XWBJA69VERA108471</v>
      </c>
      <c r="C21" s="326"/>
      <c r="D21" s="15" t="str">
        <f>IF(umumiy_malumot!B110=umumiy_malumot!C110,umumiy_malumot!B137,umumiy_malumot!E140)</f>
        <v>dvigatel raqami B15D213241352MTAX0118, shassi raqami - RAQAMSIZ</v>
      </c>
      <c r="E21" s="15" t="str">
        <f>IF(umumiy_malumot!B110=umumiy_malumot!C110,umumiy_malumot!B140,umumiy_malumot!E137)</f>
        <v>rangi -  OQ SUMMIT WHITE, ishlab chiqarilgan yili - 2024</v>
      </c>
    </row>
    <row r="22" spans="1:5" ht="17.25" customHeight="1" outlineLevel="1" x14ac:dyDescent="0.25">
      <c r="A22" s="271" t="str">
        <f>"-* "&amp;IF(umumiy_malumot!B110=umumiy_malumot!C110,"avtotransport "&amp;"egasi: "&amp;umumiy_malumot!B124&amp;"","ko'chmas mulk"&amp;" egasi: "&amp;umumiy_malumot!B124&amp;"")</f>
        <v>-* avtotransport egasi: NARBAYEV QUDAYBERGEN QALBAYEVICH</v>
      </c>
      <c r="B22" s="271"/>
      <c r="C22" s="271"/>
      <c r="D22" s="271"/>
      <c r="E22" s="271"/>
    </row>
    <row r="23" spans="1:5" outlineLevel="1" x14ac:dyDescent="0.25">
      <c r="A23" s="271" t="str">
        <f>IF(umumiy_malumot!B110=umumiy_malumot!C110,"-* texnik pasport: "&amp;umumiy_malumot!B131&amp;"","-* reest raqami: "&amp;umumiy_malumot!C131&amp;"")</f>
        <v>-* texnik pasport: AAG       4174202      15.06.2024 yilda</v>
      </c>
      <c r="B23" s="271"/>
      <c r="C23" s="271"/>
      <c r="D23" s="271"/>
      <c r="E23" s="271"/>
    </row>
    <row r="24" spans="1:5" s="161" customFormat="1" outlineLevel="1" x14ac:dyDescent="0.25">
      <c r="A24" s="271" t="str">
        <f>IF(umumiy_malumot!B110=umumiy_malumot!C110,"-* roʻyxatdan oʻtgan manzili/garaj manzili: "&amp;umumiy_malumot!B129&amp;"","-*  kadastr raqami: "&amp;umumiy_malumot!C134&amp;"")</f>
        <v>-* roʻyxatdan oʻtgan manzili/garaj manzili: TOSHKENT SHAHAR BEKTEMIR TUMANI MAJNUNTOL MFY MAJNUNTOL MAXALLA SHONIGOR KO'CHASI  113 UY</v>
      </c>
      <c r="B24" s="271"/>
      <c r="C24" s="271"/>
      <c r="D24" s="271"/>
      <c r="E24" s="271"/>
    </row>
    <row r="25" spans="1:5" ht="33" customHeight="1" outlineLevel="1" x14ac:dyDescent="0.25">
      <c r="A25" s="271" t="str">
        <f>IF(umumiy_malumot!B110=umumiy_malumot!C110,"-* davlat raqami: "&amp;umumiy_malumot!B133&amp;"","-* manzili: "&amp;umumiy_malumot!C130&amp;"")</f>
        <v>-* davlat raqami: 01Z067RC</v>
      </c>
      <c r="B25" s="271"/>
      <c r="C25" s="271"/>
      <c r="D25" s="271"/>
      <c r="E25" s="271"/>
    </row>
    <row r="26" spans="1:5" ht="65.25" hidden="1" customHeight="1" x14ac:dyDescent="0.25">
      <c r="A26" s="271" t="str">
        <f>IF(umumiy_malumot!B100="ha",dalolatnoma!A28:E28,dalolatnoma!A27:E27)</f>
        <v>Tomonlar o’rtasida o’tkazilgan muzokaralar natijalariga ko‘ra, 2-tomon ta’minot sifatida quyidagi tafsilotlarga ega bo’lgan garov predmetini taqdim etadi, 1-tomon esa ushbu garov predmetini  2 fevral 2026 y.dan № 53 Mikroqarz shartnomasi bo‘yicha berilgan mikroqarz bo‘yicha  
126 000 000,00 (yuz yigirma olti million so'm) so’m bo‘lgan kelishilgan garov qiymatida qabul qiladi::</v>
      </c>
      <c r="B26" s="271"/>
      <c r="C26" s="271"/>
      <c r="D26" s="271"/>
      <c r="E26" s="271"/>
    </row>
    <row r="27" spans="1:5" ht="66" hidden="1" customHeight="1" x14ac:dyDescent="0.25">
      <c r="A27" s="271" t="str">
        <f>"Tomonlar o’rtasida o’tkazilgan muzokaralar natijalariga ko‘ra, 2-tomon ta’minot sifatida quyidagi tafsilotlarga ega bo’lgan garov predmetini taqdim etadi, 1-tomon esa ushbu garov predmetini  "&amp;umumiy_malumot!B74&amp;" "&amp;umumiy_malumot!B65&amp;" shartnomasi bo‘yicha berilgan "&amp;umumiy_malumot!B65&amp;" bo‘yicha  
"&amp;FIXED(umumiy_malumot!B143,2)&amp;" ("&amp;umumiy_malumot!B144&amp;") so’m bo‘lgan kelishilgan garov qiymatida qabul qiladi::"</f>
        <v>Tomonlar o’rtasida o’tkazilgan muzokaralar natijalariga ko‘ra, 2-tomon ta’minot sifatida quyidagi tafsilotlarga ega bo’lgan garov predmetini taqdim etadi, 1-tomon esa ushbu garov predmetini  2 fevral 2026 y.dan № 53 mikroqarz shartnomasi bo‘yicha berilgan mikroqarz bo‘yicha  
126 000 000,00 (yuz yigirma olti million so'm) so’m bo‘lgan kelishilgan garov qiymatida qabul qiladi::</v>
      </c>
      <c r="B27" s="271"/>
      <c r="C27" s="271"/>
      <c r="D27" s="271"/>
      <c r="E27" s="271"/>
    </row>
    <row r="28" spans="1:5" ht="60.75" customHeight="1" x14ac:dyDescent="0.25">
      <c r="A28" s="271" t="str">
        <f>"Tomonlar o’rtasida o’tkazilgan muzokaralar natijalariga ko‘ra, 2-tomon ta’minot sifatida quyidagi tafsilotlarga ega bo’lgan garov predmetini taqdim etadi, 1-tomon esa ushbu garov predmetini  "&amp;umumiy_malumot!B74&amp;" "&amp;umumiy_malumot!C64&amp;" shartnomasi bo‘yicha berilgan "&amp;umumiy_malumot!B65&amp;" bo‘yicha  
"&amp;FIXED(umumiy_malumot!B143,2)&amp;" ("&amp;umumiy_malumot!B144&amp;") so’m bo‘lgan kelishilgan garov qiymatida qabul qiladi::"</f>
        <v>Tomonlar o’rtasida o’tkazilgan muzokaralar natijalariga ko‘ra, 2-tomon ta’minot sifatida quyidagi tafsilotlarga ega bo’lgan garov predmetini taqdim etadi, 1-tomon esa ushbu garov predmetini  2 fevral 2026 y.dan № 53 Mikroqarz shartnomasi bo‘yicha berilgan mikroqarz bo‘yicha  
126 000 000,00 (yuz yigirma olti million so'm) so’m bo‘lgan kelishilgan garov qiymatida qabul qiladi::</v>
      </c>
      <c r="B28" s="271"/>
      <c r="C28" s="271"/>
      <c r="D28" s="271"/>
      <c r="E28" s="271"/>
    </row>
    <row r="29" spans="1:5" ht="51.75" customHeight="1" outlineLevel="1" x14ac:dyDescent="0.25">
      <c r="A29" s="36" t="s">
        <v>198</v>
      </c>
      <c r="B29" s="36" t="str">
        <f>B20</f>
        <v>Kuzov turi  va kuzov raqami*</v>
      </c>
      <c r="C29" s="36" t="str">
        <f>D20</f>
        <v>Dvigatel va shassi raqami*</v>
      </c>
      <c r="D29" s="36" t="str">
        <f>IF(umumiy_malumot!B110=umumiy_malumot!C110,"Ishlab chiqarilgan yili va rangi*","Foydalanishga topshirilgan sanasi")</f>
        <v>Ishlab chiqarilgan yili va rangi*</v>
      </c>
      <c r="E29" s="36" t="s">
        <v>199</v>
      </c>
    </row>
    <row r="30" spans="1:5" ht="76.5" customHeight="1" outlineLevel="1" x14ac:dyDescent="0.25">
      <c r="A30" s="15" t="str">
        <f>A21</f>
        <v>CHEVROLET COBALT</v>
      </c>
      <c r="B30" s="15" t="str">
        <f>B21</f>
        <v>kuzov turi - YENGIL SEDAN, kuzov raqami XWBJA69VERA108471</v>
      </c>
      <c r="C30" s="15" t="str">
        <f>D21</f>
        <v>dvigatel raqami B15D213241352MTAX0118, shassi raqami - RAQAMSIZ</v>
      </c>
      <c r="D30" s="15" t="str">
        <f>IF(umumiy_malumot!B110=umumiy_malumot!C110,E21,TEXT(umumiy_malumot!C142,"ДД.ММ.ГГГГ"))</f>
        <v>rangi -  OQ SUMMIT WHITE, ishlab chiqarilgan yili - 2024</v>
      </c>
      <c r="E30" s="15" t="str">
        <f>""&amp;FIXED(umumiy_malumot!B143,2)&amp;" 
("&amp;umumiy_malumot!B144&amp;")"</f>
        <v>126 000 000,00 
(yuz yigirma olti million so'm)</v>
      </c>
    </row>
    <row r="31" spans="1:5" ht="16.5" customHeight="1" x14ac:dyDescent="0.25">
      <c r="A31" s="14"/>
      <c r="B31" s="14"/>
      <c r="C31" s="14"/>
      <c r="D31" s="14"/>
      <c r="E31" s="14"/>
    </row>
    <row r="32" spans="1:5" ht="56.25" hidden="1" customHeight="1" outlineLevel="1" x14ac:dyDescent="0.25">
      <c r="A32" s="36" t="s">
        <v>4</v>
      </c>
      <c r="B32" s="36" t="s">
        <v>17</v>
      </c>
      <c r="C32" s="36" t="s">
        <v>18</v>
      </c>
      <c r="D32" s="36" t="s">
        <v>19</v>
      </c>
      <c r="E32" s="36" t="s">
        <v>5</v>
      </c>
    </row>
    <row r="33" spans="1:5" ht="15.75" hidden="1" customHeight="1" outlineLevel="1" x14ac:dyDescent="0.25">
      <c r="A33" s="15" t="e">
        <f>#REF!</f>
        <v>#REF!</v>
      </c>
      <c r="B33" s="101" t="e">
        <f>#REF!</f>
        <v>#REF!</v>
      </c>
      <c r="C33" s="101" t="e">
        <f>#REF!</f>
        <v>#REF!</v>
      </c>
      <c r="D33" s="101" t="e">
        <f>#REF!</f>
        <v>#REF!</v>
      </c>
      <c r="E33" s="343" t="str">
        <f>""&amp;FIXED(umumiy_malumot!C143,2)&amp;" ("&amp;umumiy_malumot!B144&amp;")"</f>
        <v>126 000 000,00 (yuz yigirma olti million so'm)</v>
      </c>
    </row>
    <row r="34" spans="1:5" ht="15.75" hidden="1" customHeight="1" outlineLevel="1" x14ac:dyDescent="0.25">
      <c r="A34" s="15"/>
      <c r="B34" s="101"/>
      <c r="C34" s="101"/>
      <c r="D34" s="101"/>
      <c r="E34" s="344"/>
    </row>
    <row r="35" spans="1:5" ht="15.75" hidden="1" customHeight="1" outlineLevel="1" x14ac:dyDescent="0.25">
      <c r="A35" s="15" t="e">
        <f>#REF!</f>
        <v>#REF!</v>
      </c>
      <c r="B35" s="101" t="e">
        <f>#REF!</f>
        <v>#REF!</v>
      </c>
      <c r="C35" s="101" t="e">
        <f>#REF!</f>
        <v>#REF!</v>
      </c>
      <c r="D35" s="101" t="e">
        <f>#REF!</f>
        <v>#REF!</v>
      </c>
      <c r="E35" s="344"/>
    </row>
    <row r="36" spans="1:5" ht="15.75" hidden="1" customHeight="1" outlineLevel="1" x14ac:dyDescent="0.25">
      <c r="A36" s="15" t="e">
        <f>#REF!</f>
        <v>#REF!</v>
      </c>
      <c r="B36" s="101" t="e">
        <f>#REF!</f>
        <v>#REF!</v>
      </c>
      <c r="C36" s="101" t="e">
        <f>#REF!</f>
        <v>#REF!</v>
      </c>
      <c r="D36" s="101" t="e">
        <f>#REF!</f>
        <v>#REF!</v>
      </c>
      <c r="E36" s="344"/>
    </row>
    <row r="37" spans="1:5" ht="15.75" hidden="1" customHeight="1" outlineLevel="1" x14ac:dyDescent="0.25">
      <c r="A37" s="15" t="e">
        <f>#REF!</f>
        <v>#REF!</v>
      </c>
      <c r="B37" s="101" t="e">
        <f>#REF!</f>
        <v>#REF!</v>
      </c>
      <c r="C37" s="101" t="e">
        <f>#REF!</f>
        <v>#REF!</v>
      </c>
      <c r="D37" s="101" t="e">
        <f>#REF!</f>
        <v>#REF!</v>
      </c>
      <c r="E37" s="344"/>
    </row>
    <row r="38" spans="1:5" ht="15.75" hidden="1" customHeight="1" outlineLevel="1" x14ac:dyDescent="0.25">
      <c r="A38" s="15" t="e">
        <f>#REF!</f>
        <v>#REF!</v>
      </c>
      <c r="B38" s="101" t="e">
        <f>#REF!</f>
        <v>#REF!</v>
      </c>
      <c r="C38" s="101" t="e">
        <f>#REF!</f>
        <v>#REF!</v>
      </c>
      <c r="D38" s="101" t="e">
        <f>#REF!</f>
        <v>#REF!</v>
      </c>
      <c r="E38" s="344"/>
    </row>
    <row r="39" spans="1:5" ht="15.75" hidden="1" customHeight="1" outlineLevel="1" x14ac:dyDescent="0.25">
      <c r="A39" s="15" t="e">
        <f>#REF!</f>
        <v>#REF!</v>
      </c>
      <c r="B39" s="101" t="e">
        <f>#REF!</f>
        <v>#REF!</v>
      </c>
      <c r="C39" s="101" t="e">
        <f>#REF!</f>
        <v>#REF!</v>
      </c>
      <c r="D39" s="101" t="e">
        <f>#REF!</f>
        <v>#REF!</v>
      </c>
      <c r="E39" s="344"/>
    </row>
    <row r="40" spans="1:5" ht="15.75" hidden="1" customHeight="1" outlineLevel="1" x14ac:dyDescent="0.25">
      <c r="A40" s="15" t="e">
        <f>#REF!</f>
        <v>#REF!</v>
      </c>
      <c r="B40" s="101" t="e">
        <f>#REF!</f>
        <v>#REF!</v>
      </c>
      <c r="C40" s="101" t="e">
        <f>#REF!</f>
        <v>#REF!</v>
      </c>
      <c r="D40" s="101" t="e">
        <f>#REF!</f>
        <v>#REF!</v>
      </c>
      <c r="E40" s="344"/>
    </row>
    <row r="41" spans="1:5" ht="15.75" hidden="1" customHeight="1" outlineLevel="1" x14ac:dyDescent="0.25">
      <c r="A41" s="15" t="e">
        <f>#REF!</f>
        <v>#REF!</v>
      </c>
      <c r="B41" s="101" t="e">
        <f>#REF!</f>
        <v>#REF!</v>
      </c>
      <c r="C41" s="101" t="e">
        <f>#REF!</f>
        <v>#REF!</v>
      </c>
      <c r="D41" s="101" t="e">
        <f>#REF!</f>
        <v>#REF!</v>
      </c>
      <c r="E41" s="344"/>
    </row>
    <row r="42" spans="1:5" ht="15.75" hidden="1" customHeight="1" outlineLevel="1" x14ac:dyDescent="0.25">
      <c r="A42" s="15" t="e">
        <f>#REF!</f>
        <v>#REF!</v>
      </c>
      <c r="B42" s="101" t="e">
        <f>#REF!</f>
        <v>#REF!</v>
      </c>
      <c r="C42" s="101" t="e">
        <f>#REF!</f>
        <v>#REF!</v>
      </c>
      <c r="D42" s="101" t="e">
        <f>#REF!</f>
        <v>#REF!</v>
      </c>
      <c r="E42" s="344"/>
    </row>
    <row r="43" spans="1:5" ht="15.75" hidden="1" customHeight="1" outlineLevel="1" x14ac:dyDescent="0.25">
      <c r="A43" s="15" t="e">
        <f>#REF!</f>
        <v>#REF!</v>
      </c>
      <c r="B43" s="15" t="e">
        <f>#REF!</f>
        <v>#REF!</v>
      </c>
      <c r="C43" s="15" t="e">
        <f>#REF!</f>
        <v>#REF!</v>
      </c>
      <c r="D43" s="15" t="e">
        <f>#REF!</f>
        <v>#REF!</v>
      </c>
      <c r="E43" s="345"/>
    </row>
    <row r="44" spans="1:5" s="34" customFormat="1" ht="15.75" hidden="1" customHeight="1" outlineLevel="1" x14ac:dyDescent="0.2">
      <c r="A44" s="36" t="e">
        <f>#REF!</f>
        <v>#REF!</v>
      </c>
      <c r="B44" s="36" t="e">
        <f>#REF!</f>
        <v>#REF!</v>
      </c>
      <c r="C44" s="36" t="e">
        <f>#REF!</f>
        <v>#REF!</v>
      </c>
      <c r="D44" s="36" t="e">
        <f>#REF!</f>
        <v>#REF!</v>
      </c>
      <c r="E44" s="36" t="str">
        <f>FIXED(umumiy_malumot!C143,2)</f>
        <v>126 000 000,00</v>
      </c>
    </row>
    <row r="45" spans="1:5" ht="12.75" customHeight="1" collapsed="1" x14ac:dyDescent="0.25">
      <c r="A45" s="14"/>
      <c r="B45" s="14"/>
      <c r="C45" s="14"/>
      <c r="D45" s="14"/>
      <c r="E45" s="14"/>
    </row>
    <row r="46" spans="1:5" ht="93.75" hidden="1" customHeight="1" x14ac:dyDescent="0.25">
      <c r="A46" s="271"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71"/>
      <c r="C46" s="271"/>
      <c r="D46" s="271"/>
      <c r="E46" s="271"/>
    </row>
    <row r="47" spans="1:5" ht="42" customHeight="1" x14ac:dyDescent="0.25">
      <c r="A47" s="271" t="s">
        <v>202</v>
      </c>
      <c r="B47" s="271"/>
      <c r="C47" s="271"/>
      <c r="D47" s="271"/>
      <c r="E47" s="271"/>
    </row>
    <row r="48" spans="1:5" ht="35.25" customHeight="1" x14ac:dyDescent="0.25">
      <c r="A48" s="271" t="str">
        <f>"Shunday qilib, garov predmetining kelishilgan garov qiymati  "&amp;FIXED(umumiy_malumot!B143)&amp;" ("&amp;umumiy_malumot!B144&amp;") so‘mni tashkil etadi."</f>
        <v>Shunday qilib, garov predmetining kelishilgan garov qiymati  126 000 000,00 (yuz yigirma olti million so'm) so‘mni tashkil etadi.</v>
      </c>
      <c r="B48" s="271"/>
      <c r="C48" s="271"/>
      <c r="D48" s="271"/>
      <c r="E48" s="271"/>
    </row>
    <row r="49" spans="1:6" ht="35.25" hidden="1" customHeight="1" x14ac:dyDescent="0.25">
      <c r="A49" s="17"/>
      <c r="B49" s="17"/>
      <c r="C49" s="17"/>
      <c r="D49" s="17">
        <f>IF(umumiy_malumot!B99=umumiy_malumot!C99,umumiy_malumot!C143,IF(umumiy_malumot!B99=umumiy_malumot!D99,'Данные для послед. Залога'!M22,0))</f>
        <v>125999999.99999999</v>
      </c>
      <c r="E49" s="17" t="str">
        <f>IF(umumiy_malumot!B99=umumiy_malumot!C99,umumiy_malumot!B144,IF(umumiy_malumot!B99=umumiy_malumot!D99,'Данные для послед. Залога'!Q22,0))</f>
        <v>yuz yigirma olti million so'm</v>
      </c>
    </row>
    <row r="50" spans="1:6" x14ac:dyDescent="0.25">
      <c r="A50" s="311" t="s">
        <v>203</v>
      </c>
      <c r="B50" s="311"/>
      <c r="C50" s="311"/>
      <c r="D50" s="19"/>
      <c r="E50" s="19"/>
    </row>
    <row r="51" spans="1:6" x14ac:dyDescent="0.25">
      <c r="A51" s="311" t="str">
        <f>umumiy_malumot!B159</f>
        <v>«PULLOL BUSINESS MIKROMOLIYA TASHKILOTI»  MChJ</v>
      </c>
      <c r="B51" s="311"/>
      <c r="C51" s="311"/>
      <c r="D51" s="151"/>
      <c r="E51" s="151"/>
    </row>
    <row r="52" spans="1:6" ht="15" customHeight="1" x14ac:dyDescent="0.25">
      <c r="A52" s="311" t="str">
        <f>""&amp;umumiy_malumot!A161&amp;""</f>
        <v>Direktor</v>
      </c>
      <c r="B52" s="311"/>
      <c r="C52" s="311"/>
      <c r="D52" s="192"/>
      <c r="E52" s="192" t="str">
        <f>umumiy_malumot!B161</f>
        <v>Obidov A.Sh.</v>
      </c>
    </row>
    <row r="53" spans="1:6" x14ac:dyDescent="0.25">
      <c r="A53" s="50"/>
      <c r="B53" s="50"/>
      <c r="C53" s="50"/>
      <c r="D53" s="50"/>
      <c r="E53" s="50"/>
    </row>
    <row r="54" spans="1:6" x14ac:dyDescent="0.25">
      <c r="A54" s="311"/>
      <c r="B54" s="311"/>
      <c r="C54" s="311"/>
      <c r="D54" s="50"/>
      <c r="E54" s="50"/>
    </row>
    <row r="55" spans="1:6" hidden="1" x14ac:dyDescent="0.25">
      <c r="A55" s="272" t="s">
        <v>42</v>
      </c>
      <c r="B55" s="272"/>
      <c r="C55" s="272"/>
      <c r="D55" s="50"/>
      <c r="E55" s="50"/>
    </row>
    <row r="56" spans="1:6" hidden="1" x14ac:dyDescent="0.25">
      <c r="A56" s="272" t="str">
        <f>umumiy_malumot!B159</f>
        <v>«PULLOL BUSINESS MIKROMOLIYA TASHKILOTI»  MChJ</v>
      </c>
      <c r="B56" s="272"/>
      <c r="C56" s="272"/>
      <c r="D56" s="272" t="str">
        <f>"_______________   "&amp;umumiy_malumot!B170&amp;""</f>
        <v>_______________   Akramov R.N.</v>
      </c>
      <c r="E56" s="272"/>
    </row>
    <row r="57" spans="1:6" ht="12.75" customHeight="1" x14ac:dyDescent="0.25">
      <c r="A57" s="272"/>
      <c r="B57" s="272"/>
      <c r="C57" s="272"/>
      <c r="D57" s="272"/>
      <c r="E57" s="272"/>
    </row>
    <row r="58" spans="1:6" x14ac:dyDescent="0.25">
      <c r="A58" s="311" t="s">
        <v>204</v>
      </c>
      <c r="B58" s="311"/>
      <c r="C58" s="311"/>
      <c r="D58" s="272"/>
      <c r="E58" s="272"/>
    </row>
    <row r="59" spans="1:6" ht="31.5" customHeight="1" x14ac:dyDescent="0.25">
      <c r="A59" s="272" t="s">
        <v>205</v>
      </c>
      <c r="B59" s="272"/>
      <c r="C59" s="272"/>
      <c r="D59" s="311" t="str">
        <f>"_____________ "&amp;umumiy_malumot!B7&amp;""</f>
        <v>_____________ NARBAYEV Q. Q.</v>
      </c>
      <c r="E59" s="311"/>
    </row>
    <row r="60" spans="1:6" x14ac:dyDescent="0.25">
      <c r="A60" s="272"/>
      <c r="B60" s="272"/>
      <c r="C60" s="272"/>
      <c r="D60" s="342" t="str">
        <f>IF(umumiy_malumot!B100="да","",umumiy_malumot!B125)</f>
        <v>NARBAYEV Q. Q.</v>
      </c>
      <c r="E60" s="342"/>
    </row>
    <row r="61" spans="1:6" x14ac:dyDescent="0.25">
      <c r="A61" s="311" t="str">
        <f>+IF(umumiy_malumot!B100="ha"," ","3-tomondan:")</f>
        <v xml:space="preserve"> </v>
      </c>
      <c r="B61" s="311"/>
      <c r="C61" s="311"/>
      <c r="D61" s="311"/>
      <c r="E61" s="311"/>
      <c r="F61" s="13" t="str">
        <f>IF(umumiy_malumot!B101=umumiy_malumot!D101,B7,"")</f>
        <v/>
      </c>
    </row>
    <row r="62" spans="1:6" x14ac:dyDescent="0.25">
      <c r="A62" s="272" t="str">
        <f>+IF(umumiy_malumot!B100="ha"," ","O'zbekiston Respublikasi fuqarosi")</f>
        <v xml:space="preserve"> </v>
      </c>
      <c r="B62" s="272"/>
      <c r="C62" s="272"/>
      <c r="D62" s="311" t="str">
        <f>"_______________ "&amp;umumiy_malumot!B113</f>
        <v xml:space="preserve">_______________ </v>
      </c>
      <c r="E62" s="311"/>
    </row>
    <row r="63" spans="1:6" hidden="1" x14ac:dyDescent="0.25">
      <c r="A63" s="13" t="str">
        <f>+IF(umumiy_malumot!B100="ha"," ","O'zbekiston Respublikasi fuqarosi")</f>
        <v xml:space="preserve"> </v>
      </c>
      <c r="D63" s="346" t="str">
        <f>+IF(umumiy_malumot!B100="ha"," ","_______________  "&amp;umumiy_malumot!B113&amp;"")</f>
        <v xml:space="preserve"> </v>
      </c>
      <c r="E63" s="346"/>
    </row>
    <row r="64" spans="1:6" hidden="1" x14ac:dyDescent="0.25">
      <c r="B64" s="341" t="str">
        <f>garov_ariza!A20</f>
        <v/>
      </c>
      <c r="C64" s="341"/>
      <c r="D64" s="341"/>
      <c r="E64" s="341"/>
    </row>
    <row r="65" spans="1:5" hidden="1" x14ac:dyDescent="0.25">
      <c r="B65" s="341"/>
      <c r="C65" s="341"/>
      <c r="D65" s="341"/>
      <c r="E65" s="341"/>
    </row>
    <row r="66" spans="1:5" hidden="1" x14ac:dyDescent="0.25">
      <c r="B66" s="341"/>
      <c r="C66" s="341"/>
      <c r="D66" s="341"/>
      <c r="E66" s="341"/>
    </row>
    <row r="67" spans="1:5" hidden="1" x14ac:dyDescent="0.25">
      <c r="B67" s="341"/>
      <c r="C67" s="341"/>
      <c r="D67" s="341"/>
      <c r="E67" s="341"/>
    </row>
    <row r="68" spans="1:5" hidden="1" x14ac:dyDescent="0.25"/>
    <row r="69" spans="1:5" hidden="1" x14ac:dyDescent="0.25">
      <c r="A69" s="13" t="s">
        <v>205</v>
      </c>
    </row>
    <row r="70" spans="1:5" hidden="1" x14ac:dyDescent="0.25"/>
    <row r="71" spans="1:5" hidden="1" x14ac:dyDescent="0.25"/>
    <row r="72" spans="1:5" hidden="1" x14ac:dyDescent="0.25"/>
  </sheetData>
  <mergeCells count="50">
    <mergeCell ref="A61:C61"/>
    <mergeCell ref="D61:E61"/>
    <mergeCell ref="A62:C62"/>
    <mergeCell ref="D62:E62"/>
    <mergeCell ref="D63:E63"/>
    <mergeCell ref="B64:E67"/>
    <mergeCell ref="A22:E22"/>
    <mergeCell ref="A23:E23"/>
    <mergeCell ref="A14:E14"/>
    <mergeCell ref="A15:E15"/>
    <mergeCell ref="A16:E16"/>
    <mergeCell ref="A17:E17"/>
    <mergeCell ref="A18:E18"/>
    <mergeCell ref="A58:C58"/>
    <mergeCell ref="D58:E58"/>
    <mergeCell ref="A59:C59"/>
    <mergeCell ref="D59:E59"/>
    <mergeCell ref="A60:C60"/>
    <mergeCell ref="D60:E60"/>
    <mergeCell ref="A27:E27"/>
    <mergeCell ref="E33:E43"/>
    <mergeCell ref="A54:C54"/>
    <mergeCell ref="A55:C55"/>
    <mergeCell ref="A57:C57"/>
    <mergeCell ref="D57:E57"/>
    <mergeCell ref="A56:C56"/>
    <mergeCell ref="D56:E56"/>
    <mergeCell ref="A19:E19"/>
    <mergeCell ref="A24:E24"/>
    <mergeCell ref="A50:C50"/>
    <mergeCell ref="A51:C51"/>
    <mergeCell ref="A52:C52"/>
    <mergeCell ref="A46:E46"/>
    <mergeCell ref="A47:E47"/>
    <mergeCell ref="B20:C20"/>
    <mergeCell ref="B21:C21"/>
    <mergeCell ref="A28:E28"/>
    <mergeCell ref="A48:E48"/>
    <mergeCell ref="A26:E26"/>
    <mergeCell ref="A25:E25"/>
    <mergeCell ref="A2:E2"/>
    <mergeCell ref="A11:E11"/>
    <mergeCell ref="A12:E12"/>
    <mergeCell ref="A13:E13"/>
    <mergeCell ref="A10:E10"/>
    <mergeCell ref="A5:E5"/>
    <mergeCell ref="A6:E6"/>
    <mergeCell ref="A7:E7"/>
    <mergeCell ref="A8:E8"/>
    <mergeCell ref="A9:E9"/>
  </mergeCells>
  <printOptions horizontalCentered="1"/>
  <pageMargins left="0.70866141732283472" right="0.70866141732283472" top="0.74803149606299213" bottom="0.74803149606299213" header="0.31496062992125984" footer="0.31496062992125984"/>
  <pageSetup paperSize="9" scale="7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4">
    <tabColor rgb="FF00B050"/>
  </sheetPr>
  <dimension ref="A1:E27"/>
  <sheetViews>
    <sheetView view="pageBreakPreview" zoomScaleSheetLayoutView="100" workbookViewId="0">
      <selection activeCell="A21" sqref="A21:E21"/>
    </sheetView>
  </sheetViews>
  <sheetFormatPr defaultColWidth="9.140625" defaultRowHeight="15" outlineLevelRow="1" x14ac:dyDescent="0.25"/>
  <cols>
    <col min="1" max="1" width="23.85546875" style="13" customWidth="1"/>
    <col min="2" max="2" width="23.28515625" style="13" customWidth="1"/>
    <col min="3" max="3" width="17" style="13" customWidth="1"/>
    <col min="4" max="4" width="17.5703125" style="13" customWidth="1"/>
    <col min="5" max="5" width="19.7109375" style="13" customWidth="1"/>
    <col min="6" max="16384" width="9.140625" style="13"/>
  </cols>
  <sheetData>
    <row r="1" spans="1:5" ht="16.5" customHeight="1" x14ac:dyDescent="0.25"/>
    <row r="2" spans="1:5" ht="17.25" customHeight="1" x14ac:dyDescent="0.25">
      <c r="A2" s="312" t="str">
        <f>""&amp;umumiy_malumot!B158&amp;" direktorining
"&amp;umumiy_malumot!B176&amp;"dagi "&amp;umumiy_malumot!B175&amp;"-sonli buyrug‘i"</f>
        <v>«PULLOL BUSINESS MIKROMOLIYA TASHKILOTI»  MChJ direktorining
2 fevral 2026 y.dagi № 53-sonli buyrug‘i</v>
      </c>
      <c r="B2" s="312"/>
      <c r="C2" s="312"/>
      <c r="D2" s="312"/>
      <c r="E2" s="312"/>
    </row>
    <row r="3" spans="1:5" x14ac:dyDescent="0.25">
      <c r="A3" s="312"/>
      <c r="B3" s="312"/>
      <c r="C3" s="312"/>
      <c r="D3" s="312"/>
      <c r="E3" s="312"/>
    </row>
    <row r="4" spans="1:5" x14ac:dyDescent="0.25">
      <c r="A4" s="312"/>
      <c r="B4" s="312"/>
      <c r="C4" s="312"/>
      <c r="D4" s="312"/>
      <c r="E4" s="312"/>
    </row>
    <row r="5" spans="1:5" x14ac:dyDescent="0.25">
      <c r="A5" s="271"/>
      <c r="B5" s="271"/>
      <c r="C5" s="271"/>
      <c r="D5" s="271"/>
      <c r="E5" s="271"/>
    </row>
    <row r="6" spans="1:5" ht="53.25" customHeight="1" x14ac:dyDescent="0.25">
      <c r="A6" s="271" t="str">
        <f>"Men, Obidov Abdullo Shokir o'g'li "&amp;umumiy_malumot!B158&amp;" direktori, jismoniy shaxs "&amp;umumiy_malumot!B10&amp;"ga quyidagi shartlarda "&amp;umumiy_malumot!B65&amp;" berishni buyuraman:"</f>
        <v>Men, Obidov Abdullo Shokir o'g'li «PULLOL BUSINESS MIKROMOLIYA TASHKILOTI»  MChJ direktori, jismoniy shaxs NARBAYEV QUDAYBERGEN QALBAYEVICHga quyidagi shartlarda mikroqarz berishni buyuraman:</v>
      </c>
      <c r="B6" s="271"/>
      <c r="C6" s="271"/>
      <c r="D6" s="271"/>
      <c r="E6" s="271"/>
    </row>
    <row r="7" spans="1:5" ht="26.25" customHeight="1" x14ac:dyDescent="0.25">
      <c r="A7" s="271" t="str">
        <f>kredit_ariza!A13:D13</f>
        <v>Mikroqarz summasi: 100 000 000,00 (yuz million so'm) so'm.</v>
      </c>
      <c r="B7" s="271"/>
      <c r="C7" s="271"/>
      <c r="D7" s="271"/>
      <c r="E7" s="271"/>
    </row>
    <row r="8" spans="1:5" ht="21" customHeight="1" x14ac:dyDescent="0.25">
      <c r="A8" s="271" t="str">
        <f>kredit_ariza!A14:D14</f>
        <v>Mikroqarz muddati: 36 (O'ttiz olti  ) oy.</v>
      </c>
      <c r="B8" s="271"/>
      <c r="C8" s="271"/>
      <c r="D8" s="271"/>
      <c r="E8" s="271"/>
    </row>
    <row r="9" spans="1:5" ht="27" customHeight="1" x14ac:dyDescent="0.25">
      <c r="A9" s="271" t="str">
        <f>kredit_ariza!A15:D15</f>
        <v>Mikroqarzdan foydalanganlik uchun foiz stavkasi: yillik  55% (Ellik besh  ) foiz</v>
      </c>
      <c r="B9" s="271"/>
      <c r="C9" s="271"/>
      <c r="D9" s="271"/>
      <c r="E9" s="271"/>
    </row>
    <row r="10" spans="1:5" ht="26.25" customHeight="1" x14ac:dyDescent="0.25">
      <c r="A10" s="271" t="str">
        <f>kredit_ariza!A16:D16</f>
        <v>Mikroqarz bo'yicha asosiy qarz va foizlarni to'lash:</v>
      </c>
      <c r="B10" s="271"/>
      <c r="C10" s="271"/>
      <c r="D10" s="271"/>
      <c r="E10" s="271"/>
    </row>
    <row r="11" spans="1:5" ht="21.75" hidden="1" customHeight="1" x14ac:dyDescent="0.25">
      <c r="A11" s="271" t="str">
        <f>kredit_ariza!A17:D17</f>
        <v xml:space="preserve"> - mikroqarz shartnomasi bo'yicha har oy differensial to'lovlari amalga oshiriladi</v>
      </c>
      <c r="B11" s="271"/>
      <c r="C11" s="271"/>
      <c r="D11" s="271"/>
      <c r="E11" s="271"/>
    </row>
    <row r="12" spans="1:5" hidden="1" x14ac:dyDescent="0.25">
      <c r="A12" s="271" t="str">
        <f>kredit_ariza!A19:D19</f>
        <v xml:space="preserve"> - mikroqarz shartnomasi bo'yicha har oy differensial to'lovlari amalga oshiriladi</v>
      </c>
      <c r="B12" s="271"/>
      <c r="C12" s="271"/>
      <c r="D12" s="271"/>
      <c r="E12" s="271"/>
    </row>
    <row r="13" spans="1:5" ht="23.25" customHeight="1" x14ac:dyDescent="0.25">
      <c r="A13" s="271" t="str">
        <f>IF(umumiy_malumot!B110="Avtotransport",buyruq!A12:E12,buyruq!A11:E11)</f>
        <v xml:space="preserve"> - mikroqarz shartnomasi bo'yicha har oy differensial to'lovlari amalga oshiriladi</v>
      </c>
      <c r="B13" s="271"/>
      <c r="C13" s="271"/>
      <c r="D13" s="271"/>
      <c r="E13" s="271"/>
    </row>
    <row r="14" spans="1:5" ht="45.75" customHeight="1" x14ac:dyDescent="0.25">
      <c r="A14" s="272" t="str">
        <f>IF(umumiy_malumot!B110=umumiy_malumot!D110,""&amp;umumiy_malumot!C124&amp;"ga tegishli "&amp;umumiy_malumot!C133&amp;" ko'rinishidagi ko'chmas mulkni quyidagi ma'lumotlarga muvofiq  garovga qabul qilinsin:",""&amp;umumiy_malumot!B124&amp;"ga tegishli "&amp;umumiy_malumot!B132&amp;" ko'rinishidagi transport vositasini quyidagi ma'lumotlarga muvofiq garovga qabul qilinsin:")</f>
        <v>NARBAYEV QUDAYBERGEN QALBAYEVICHga tegishli CHEVROLET COBALT ko'rinishidagi transport vositasini quyidagi ma'lumotlarga muvofiq garovga qabul qilinsin:</v>
      </c>
      <c r="B14" s="272"/>
      <c r="C14" s="272"/>
      <c r="D14" s="272"/>
      <c r="E14" s="272"/>
    </row>
    <row r="15" spans="1:5" ht="50.25" hidden="1" customHeight="1" x14ac:dyDescent="0.25">
      <c r="A15" s="271" t="str">
        <f>""&amp;umumiy_malumot!C124&amp;"ga tegishli "&amp;umumiy_malumot!C133&amp;" ko'rinishidagi ko'chmas mulkni quyidagi ma'lumotlarga muvofiq  garovga qabul qilinsin:"</f>
        <v>NARBAYEV QUDAYBERGEN QALBAYEVICHga tegishli  0 ko'rinishidagi ko'chmas mulkni quyidagi ma'lumotlarga muvofiq  garovga qabul qilinsin:</v>
      </c>
      <c r="B15" s="271"/>
      <c r="C15" s="271"/>
      <c r="D15" s="271"/>
      <c r="E15" s="271"/>
    </row>
    <row r="16" spans="1:5" ht="47.25" hidden="1" customHeight="1" x14ac:dyDescent="0.25">
      <c r="A16" s="271" t="str">
        <f>""&amp;umumiy_malumot!B124&amp;"ga tegishli "&amp;umumiy_malumot!B132&amp;" ko'rinishidagi transport vositasini quyidagi ma'lumotlarga muvofiq garovga qabul qilinsin:"</f>
        <v>NARBAYEV QUDAYBERGEN QALBAYEVICHga tegishli CHEVROLET COBALT ko'rinishidagi transport vositasini quyidagi ma'lumotlarga muvofiq garovga qabul qilinsin:</v>
      </c>
      <c r="B16" s="271"/>
      <c r="C16" s="271"/>
      <c r="D16" s="271"/>
      <c r="E16" s="271"/>
    </row>
    <row r="17" spans="1:5" s="34" customFormat="1" ht="60" customHeight="1" outlineLevel="1" x14ac:dyDescent="0.2">
      <c r="A17" s="36" t="str">
        <f>dalolatnoma!A29</f>
        <v>Nomi</v>
      </c>
      <c r="B17" s="36" t="str">
        <f>dalolatnoma!B29</f>
        <v>Kuzov turi  va kuzov raqami*</v>
      </c>
      <c r="C17" s="36" t="str">
        <f>dalolatnoma!C29</f>
        <v>Dvigatel va shassi raqami*</v>
      </c>
      <c r="D17" s="36" t="str">
        <f>dalolatnoma!D29</f>
        <v>Ishlab chiqarilgan yili va rangi*</v>
      </c>
      <c r="E17" s="36" t="str">
        <f>dalolatnoma!E29</f>
        <v>Kelishilgan garov qiymati, so'm</v>
      </c>
    </row>
    <row r="18" spans="1:5" ht="80.25" customHeight="1" outlineLevel="1" x14ac:dyDescent="0.25">
      <c r="A18" s="15" t="str">
        <f>dalolatnoma!A30</f>
        <v>CHEVROLET COBALT</v>
      </c>
      <c r="B18" s="15" t="str">
        <f>dalolatnoma!B30</f>
        <v>kuzov turi - YENGIL SEDAN, kuzov raqami XWBJA69VERA108471</v>
      </c>
      <c r="C18" s="15" t="str">
        <f>dalolatnoma!C30</f>
        <v>dvigatel raqami B15D213241352MTAX0118, shassi raqami - RAQAMSIZ</v>
      </c>
      <c r="D18" s="15" t="str">
        <f>dalolatnoma!D30</f>
        <v>rangi -  OQ SUMMIT WHITE, ishlab chiqarilgan yili - 2024</v>
      </c>
      <c r="E18" s="15" t="str">
        <f>dalolatnoma!E30</f>
        <v>126 000 000,00 
(yuz yigirma olti million so'm)</v>
      </c>
    </row>
    <row r="19" spans="1:5" ht="20.25" customHeight="1" outlineLevel="1" x14ac:dyDescent="0.25">
      <c r="A19" s="271" t="str">
        <f>dalolatnoma!A22:E22</f>
        <v>-* avtotransport egasi: NARBAYEV QUDAYBERGEN QALBAYEVICH</v>
      </c>
      <c r="B19" s="271"/>
      <c r="C19" s="271"/>
      <c r="D19" s="271"/>
      <c r="E19" s="271"/>
    </row>
    <row r="20" spans="1:5" ht="20.25" customHeight="1" outlineLevel="1" x14ac:dyDescent="0.25">
      <c r="A20" s="271" t="str">
        <f>dalolatnoma!A23:E23</f>
        <v>-* texnik pasport: AAG       4174202      15.06.2024 yilda</v>
      </c>
      <c r="B20" s="271"/>
      <c r="C20" s="271"/>
      <c r="D20" s="271"/>
      <c r="E20" s="271"/>
    </row>
    <row r="21" spans="1:5" ht="36" customHeight="1" outlineLevel="1" x14ac:dyDescent="0.25">
      <c r="A21" s="271" t="str">
        <f>dalolatnoma!A24:E24</f>
        <v>-* roʻyxatdan oʻtgan manzili/garaj manzili: TOSHKENT SHAHAR BEKTEMIR TUMANI MAJNUNTOL MFY MAJNUNTOL MAXALLA SHONIGOR KO'CHASI  113 UY</v>
      </c>
      <c r="B21" s="271"/>
      <c r="C21" s="271"/>
      <c r="D21" s="271"/>
      <c r="E21" s="271"/>
    </row>
    <row r="22" spans="1:5" ht="19.5" customHeight="1" outlineLevel="1" x14ac:dyDescent="0.25">
      <c r="A22" s="271" t="str">
        <f>dalolatnoma!A25:E25</f>
        <v>-* davlat raqami: 01Z067RC</v>
      </c>
      <c r="B22" s="271"/>
      <c r="C22" s="271"/>
      <c r="D22" s="271"/>
      <c r="E22" s="271"/>
    </row>
    <row r="23" spans="1:5" ht="31.15" customHeight="1" x14ac:dyDescent="0.25">
      <c r="A23" s="272" t="str">
        <f>"	«"&amp;umumiy_malumot!B154&amp;"» АJ sug‘urta kompaniyasi bilan "&amp;umumiy_malumot!C64&amp;"  to'lamaslik xavfini "&amp;FIXED(umumiy_malumot!B155,2)&amp;"("&amp;umumiy_malumot!B156&amp;") so'm miqdoriga sug’urta qilish shartnomasi tuzilsin"</f>
        <v xml:space="preserve">	«АО СК "IMPEX INSURANCE"» АJ sug‘urta kompaniyasi bilan Mikroqarz  to'lamaslik xavfini 14 000 000,00(o'n to'rt million so'm) so'm miqdoriga sug’urta qilish shartnomasi tuzilsin</v>
      </c>
      <c r="B23" s="272"/>
      <c r="C23" s="272"/>
      <c r="D23" s="272"/>
      <c r="E23" s="272"/>
    </row>
    <row r="24" spans="1:5" s="34" customFormat="1" x14ac:dyDescent="0.2">
      <c r="A24" s="271"/>
      <c r="B24" s="271"/>
      <c r="C24" s="271"/>
      <c r="D24" s="271"/>
      <c r="E24" s="271"/>
    </row>
    <row r="25" spans="1:5" x14ac:dyDescent="0.25">
      <c r="B25" s="34"/>
    </row>
    <row r="26" spans="1:5" x14ac:dyDescent="0.25">
      <c r="B26" s="34"/>
    </row>
    <row r="27" spans="1:5" ht="67.5" customHeight="1" x14ac:dyDescent="0.25">
      <c r="A27" s="121" t="s">
        <v>440</v>
      </c>
      <c r="B27" s="34"/>
      <c r="D27" s="34" t="s">
        <v>409</v>
      </c>
    </row>
  </sheetData>
  <mergeCells count="19">
    <mergeCell ref="A14:E14"/>
    <mergeCell ref="A21:E21"/>
    <mergeCell ref="A22:E22"/>
    <mergeCell ref="A23:E23"/>
    <mergeCell ref="A2:E4"/>
    <mergeCell ref="A24:E24"/>
    <mergeCell ref="A20:E20"/>
    <mergeCell ref="A12:E12"/>
    <mergeCell ref="A16:E16"/>
    <mergeCell ref="A5:E5"/>
    <mergeCell ref="A6:E6"/>
    <mergeCell ref="A11:E11"/>
    <mergeCell ref="A7:E7"/>
    <mergeCell ref="A8:E8"/>
    <mergeCell ref="A9:E9"/>
    <mergeCell ref="A10:E10"/>
    <mergeCell ref="A19:E19"/>
    <mergeCell ref="A13:E13"/>
    <mergeCell ref="A15:E15"/>
  </mergeCells>
  <pageMargins left="0.70866141732283472" right="0.70866141732283472" top="0.74803149606299213" bottom="0.74803149606299213" header="0.31496062992125984" footer="0.31496062992125984"/>
  <pageSetup paperSize="9" scale="83"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19">
    <tabColor theme="1"/>
  </sheetPr>
  <dimension ref="A1:V76"/>
  <sheetViews>
    <sheetView topLeftCell="A16" zoomScale="70" zoomScaleNormal="70" zoomScaleSheetLayoutView="70" workbookViewId="0">
      <selection activeCell="D56" sqref="D56:F56"/>
    </sheetView>
  </sheetViews>
  <sheetFormatPr defaultColWidth="9.140625" defaultRowHeight="15" outlineLevelCol="1" x14ac:dyDescent="0.25"/>
  <cols>
    <col min="1" max="1" width="9.140625" style="77"/>
    <col min="2" max="2" width="12.28515625" style="77" customWidth="1"/>
    <col min="3" max="3" width="16.5703125" style="77" customWidth="1"/>
    <col min="4" max="4" width="16.7109375" style="77" customWidth="1"/>
    <col min="5" max="5" width="16.5703125" style="77" customWidth="1"/>
    <col min="6" max="6" width="20.85546875" style="77" customWidth="1"/>
    <col min="7" max="7" width="10.140625" style="77" customWidth="1" outlineLevel="1"/>
    <col min="8" max="8" width="19.140625" style="77" customWidth="1"/>
    <col min="9" max="9" width="21.42578125" style="77" customWidth="1"/>
    <col min="10" max="10" width="20.85546875" style="77" customWidth="1"/>
    <col min="11" max="11" width="20.140625" style="77" customWidth="1"/>
    <col min="12" max="12" width="21.42578125" style="77" customWidth="1"/>
    <col min="13" max="13" width="25.42578125" style="77" customWidth="1"/>
    <col min="14" max="14" width="18.28515625" style="77" customWidth="1"/>
    <col min="15" max="17" width="9.140625" style="13"/>
    <col min="18" max="18" width="24.42578125" style="13" customWidth="1"/>
    <col min="19" max="16384" width="9.140625" style="13"/>
  </cols>
  <sheetData>
    <row r="1" spans="1:22" x14ac:dyDescent="0.25">
      <c r="A1" s="76"/>
      <c r="B1" s="76"/>
      <c r="C1" s="76"/>
      <c r="D1" s="76"/>
      <c r="E1" s="347" t="s">
        <v>14</v>
      </c>
      <c r="F1" s="347"/>
    </row>
    <row r="2" spans="1:22" x14ac:dyDescent="0.25">
      <c r="A2" s="76"/>
      <c r="B2" s="76"/>
      <c r="C2" s="76"/>
      <c r="D2" s="76"/>
      <c r="E2" s="76"/>
      <c r="F2" s="78" t="str">
        <f>"к договору микрозайма "&amp;umumiy_malumot!B74&amp;""</f>
        <v>к договору микрозайма 2 fevral 2026 y.dan № 53</v>
      </c>
    </row>
    <row r="3" spans="1:22" ht="19.5" customHeight="1" x14ac:dyDescent="0.25">
      <c r="A3" s="76"/>
      <c r="B3" s="76"/>
      <c r="C3" s="76"/>
      <c r="D3" s="76"/>
      <c r="E3" s="76"/>
      <c r="F3" s="76"/>
      <c r="H3" s="79"/>
      <c r="I3" s="79"/>
      <c r="J3" s="80"/>
      <c r="K3" s="80"/>
    </row>
    <row r="4" spans="1:22" ht="19.5" customHeight="1" x14ac:dyDescent="0.25">
      <c r="A4" s="348" t="s">
        <v>15</v>
      </c>
      <c r="B4" s="348"/>
      <c r="C4" s="348"/>
      <c r="D4" s="348"/>
      <c r="E4" s="348"/>
      <c r="F4" s="348"/>
      <c r="H4" s="79"/>
      <c r="I4" s="79"/>
      <c r="J4" s="79"/>
      <c r="K4" s="79"/>
    </row>
    <row r="5" spans="1:22" ht="19.5" customHeight="1" x14ac:dyDescent="0.25">
      <c r="L5" s="77">
        <f>umumiy_malumot!B82</f>
        <v>36</v>
      </c>
    </row>
    <row r="6" spans="1:22" x14ac:dyDescent="0.25">
      <c r="A6" s="349" t="s">
        <v>13</v>
      </c>
      <c r="B6" s="350" t="s">
        <v>7</v>
      </c>
      <c r="C6" s="350" t="s">
        <v>8</v>
      </c>
      <c r="D6" s="351" t="s">
        <v>9</v>
      </c>
      <c r="E6" s="351"/>
      <c r="F6" s="351"/>
    </row>
    <row r="7" spans="1:22" s="14" customFormat="1" x14ac:dyDescent="0.25">
      <c r="A7" s="349"/>
      <c r="B7" s="350"/>
      <c r="C7" s="350"/>
      <c r="D7" s="81" t="s">
        <v>10</v>
      </c>
      <c r="E7" s="81" t="s">
        <v>11</v>
      </c>
      <c r="F7" s="81" t="s">
        <v>12</v>
      </c>
      <c r="G7" s="82"/>
      <c r="H7" s="82"/>
      <c r="I7" s="82"/>
      <c r="J7" s="82"/>
      <c r="K7" s="82"/>
      <c r="L7" s="82"/>
      <c r="M7" s="82"/>
      <c r="N7" s="82"/>
    </row>
    <row r="8" spans="1:22" x14ac:dyDescent="0.25">
      <c r="A8" s="83">
        <v>1</v>
      </c>
      <c r="B8" s="84">
        <f>umumiy_malumot!B80</f>
        <v>46091</v>
      </c>
      <c r="C8" s="48">
        <f>umumiy_malumot!B76</f>
        <v>100000000</v>
      </c>
      <c r="D8" s="48">
        <f>IF(IF(C8=0,L8,IF(C8&gt;1,I8))="",0,(IF(C8=0,L8,IF(C8&gt;1,I8))))</f>
        <v>2777777.78</v>
      </c>
      <c r="E8" s="48">
        <f>IF(C8=0,N6,IF(C8&gt;1,L8))</f>
        <v>5424657.4799999995</v>
      </c>
      <c r="F8" s="48">
        <f>IF(C8=0,O6,IF(C8&gt;1,M8))</f>
        <v>8202435.2599999998</v>
      </c>
      <c r="G8" s="97">
        <f>B8-umumiy_malumot!B67</f>
        <v>36</v>
      </c>
      <c r="H8" s="77">
        <f>DATE(YEAR(B8),12,31)-DATE(YEAR(B8),1,1)+1</f>
        <v>365</v>
      </c>
      <c r="I8" s="85">
        <f>IF(umumiy_malumot!B84=0,ROUND(C8/L5,2),"")</f>
        <v>2777777.78</v>
      </c>
      <c r="J8" s="85"/>
      <c r="K8" s="85"/>
      <c r="L8" s="79">
        <f>ROUND(C8*umumiy_malumot!$B$85/H8,2)*G8</f>
        <v>5424657.4799999995</v>
      </c>
      <c r="M8" s="79">
        <f t="shared" ref="M8:M31" si="0">D8+E8</f>
        <v>8202435.2599999998</v>
      </c>
      <c r="N8" s="79"/>
      <c r="O8" s="94" t="str">
        <f>TEXT(B8,"ддд")</f>
        <v>Вт</v>
      </c>
      <c r="P8" s="96">
        <f>IF(O8=$U$8,2,IF(O8=$V$8,1,0))</f>
        <v>0</v>
      </c>
      <c r="Q8" s="96">
        <f>DAY(umumiy_malumot!$B$79)+P8</f>
        <v>10</v>
      </c>
      <c r="R8" s="91"/>
      <c r="S8" s="92" t="s">
        <v>27</v>
      </c>
      <c r="T8" s="92" t="s">
        <v>28</v>
      </c>
      <c r="U8" s="92" t="s">
        <v>29</v>
      </c>
      <c r="V8" s="93" t="s">
        <v>30</v>
      </c>
    </row>
    <row r="9" spans="1:22" x14ac:dyDescent="0.25">
      <c r="A9" s="83">
        <v>2</v>
      </c>
      <c r="B9" s="84">
        <f>IF(A9&lt;=umumiy_malumot!$B$82,DATE(YEAR(R9),MONTH(R9),DAY(IF(A9=umumiy_malumot!$B$82,umumiy_malumot!$B$67,IF(A9&lt;umumiy_malumot!$B$82,(Q9),IF(A9&gt;umumiy_malumot!$B$82,$H$56,0))))))</f>
        <v>46122</v>
      </c>
      <c r="C9" s="48">
        <f t="shared" ref="C9:C30" si="1">C8-D8</f>
        <v>97222222.219999999</v>
      </c>
      <c r="D9" s="48">
        <f t="shared" ref="D9:D30" si="2">IF(C9=0,L9,IF(C9&gt;1,I9))</f>
        <v>2777777.78</v>
      </c>
      <c r="E9" s="48">
        <f t="shared" ref="E9:E30" si="3">IF(C9=0,N8,IF(C9&gt;1,L9))</f>
        <v>4541476.4399999995</v>
      </c>
      <c r="F9" s="48">
        <f t="shared" ref="F9:F30" si="4">IF(C9=0,N8,IF(C9&gt;1,M9))</f>
        <v>7319254.2199999988</v>
      </c>
      <c r="G9" s="77">
        <f>B9-B8</f>
        <v>31</v>
      </c>
      <c r="H9" s="77">
        <f t="shared" ref="H9:H31" si="5">DATE(YEAR(B9),12,31)-DATE(YEAR(B9),1,1)+1</f>
        <v>365</v>
      </c>
      <c r="I9" s="85">
        <f>IF(I8="",ROUND(C8/(L5-1),2),I8)</f>
        <v>2777777.78</v>
      </c>
      <c r="J9" s="85"/>
      <c r="K9" s="85"/>
      <c r="L9" s="79">
        <f>ROUND(C9*umumiy_malumot!$B$85/H9,2)*G9</f>
        <v>4541476.4399999995</v>
      </c>
      <c r="M9" s="79">
        <f t="shared" si="0"/>
        <v>7319254.2199999988</v>
      </c>
      <c r="N9" s="79"/>
      <c r="O9" s="94" t="str">
        <f>TEXT(R9,"ддд")</f>
        <v>Пт</v>
      </c>
      <c r="P9" s="96">
        <f t="shared" ref="P9:P31" si="6">IF(O9=$U$8,2,IF(O9=$V$8,1,0))</f>
        <v>0</v>
      </c>
      <c r="Q9" s="96">
        <f>DAY(umumiy_malumot!$B$79)+P9</f>
        <v>10</v>
      </c>
      <c r="R9" s="91">
        <f>IF(A9&lt;=umumiy_malumot!$B$82,DATE(YEAR($B$8),MONTH($B$8)+A8,DAY(umumiy_malumot!$B$79)),0)</f>
        <v>46122</v>
      </c>
      <c r="S9" s="77"/>
      <c r="T9" s="77"/>
      <c r="U9" s="77"/>
      <c r="V9" s="77"/>
    </row>
    <row r="10" spans="1:22" x14ac:dyDescent="0.25">
      <c r="A10" s="83">
        <v>3</v>
      </c>
      <c r="B10" s="84">
        <f>IF(A10&lt;=umumiy_malumot!$B$82,DATE(YEAR(R10),MONTH(R10),DAY(IF(A10=umumiy_malumot!$B$82,umumiy_malumot!$B$67,IF(A10&lt;umumiy_malumot!$B$82,(Q10),IF(A10&gt;umumiy_malumot!$B$82,$H$56,0))))))</f>
        <v>46153</v>
      </c>
      <c r="C10" s="48">
        <f t="shared" si="1"/>
        <v>94444444.439999998</v>
      </c>
      <c r="D10" s="48">
        <f t="shared" si="2"/>
        <v>2777777.78</v>
      </c>
      <c r="E10" s="48">
        <f t="shared" si="3"/>
        <v>4411720.05</v>
      </c>
      <c r="F10" s="48">
        <f t="shared" si="4"/>
        <v>7189497.8300000001</v>
      </c>
      <c r="G10" s="77">
        <f t="shared" ref="G10:G31" si="7">B10-B9</f>
        <v>31</v>
      </c>
      <c r="H10" s="77">
        <f t="shared" si="5"/>
        <v>365</v>
      </c>
      <c r="I10" s="85">
        <f>I9</f>
        <v>2777777.78</v>
      </c>
      <c r="J10" s="85"/>
      <c r="K10" s="85"/>
      <c r="L10" s="79">
        <f>ROUND(C10*umumiy_malumot!$B$85/H10,2)*G10</f>
        <v>4411720.05</v>
      </c>
      <c r="M10" s="79">
        <f t="shared" si="0"/>
        <v>7189497.8300000001</v>
      </c>
      <c r="N10" s="79"/>
      <c r="O10" s="94" t="str">
        <f t="shared" ref="O10:O31" si="8">TEXT(R10,"ддд")</f>
        <v>Вс</v>
      </c>
      <c r="P10" s="96">
        <f t="shared" si="6"/>
        <v>1</v>
      </c>
      <c r="Q10" s="96">
        <f>DAY(umumiy_malumot!$B$79)+P10</f>
        <v>11</v>
      </c>
      <c r="R10" s="91">
        <f>IF(A10&lt;=umumiy_malumot!$B$82,DATE(YEAR($B$8),MONTH($B$8)+A9,DAY(umumiy_malumot!$B$79)),0)</f>
        <v>46152</v>
      </c>
      <c r="S10" s="77"/>
      <c r="T10" s="77"/>
      <c r="U10" s="77"/>
      <c r="V10" s="77"/>
    </row>
    <row r="11" spans="1:22" x14ac:dyDescent="0.25">
      <c r="A11" s="83">
        <v>4</v>
      </c>
      <c r="B11" s="84">
        <f>IF(A11&lt;=umumiy_malumot!$B$82,DATE(YEAR(R11),MONTH(R11),DAY(IF(A11=umumiy_malumot!$B$82,umumiy_malumot!$B$67,IF(A11&lt;umumiy_malumot!$B$82,(Q11),IF(A11&gt;umumiy_malumot!$B$82,$H$56,0))))))</f>
        <v>46183</v>
      </c>
      <c r="C11" s="48">
        <f t="shared" si="1"/>
        <v>91666666.659999996</v>
      </c>
      <c r="D11" s="48">
        <f t="shared" si="2"/>
        <v>2777777.78</v>
      </c>
      <c r="E11" s="48">
        <f t="shared" si="3"/>
        <v>4143835.5</v>
      </c>
      <c r="F11" s="48">
        <f t="shared" si="4"/>
        <v>6921613.2799999993</v>
      </c>
      <c r="G11" s="77">
        <f t="shared" si="7"/>
        <v>30</v>
      </c>
      <c r="H11" s="77">
        <f t="shared" si="5"/>
        <v>365</v>
      </c>
      <c r="I11" s="85">
        <f>I10</f>
        <v>2777777.78</v>
      </c>
      <c r="J11" s="85"/>
      <c r="K11" s="85"/>
      <c r="L11" s="79">
        <f>ROUND(C11*umumiy_malumot!$B$85/H11,2)*G11</f>
        <v>4143835.5</v>
      </c>
      <c r="M11" s="79">
        <f t="shared" si="0"/>
        <v>6921613.2799999993</v>
      </c>
      <c r="N11" s="79"/>
      <c r="O11" s="94" t="str">
        <f t="shared" si="8"/>
        <v>Ср</v>
      </c>
      <c r="P11" s="96">
        <f t="shared" si="6"/>
        <v>0</v>
      </c>
      <c r="Q11" s="96">
        <f>DAY(umumiy_malumot!$B$79)+P11</f>
        <v>10</v>
      </c>
      <c r="R11" s="91">
        <f>IF(A11&lt;=umumiy_malumot!$B$82,DATE(YEAR($B$8),MONTH($B$8)+A10,DAY(umumiy_malumot!$B$79)),0)</f>
        <v>46183</v>
      </c>
      <c r="S11" s="77"/>
      <c r="T11" s="77"/>
      <c r="U11" s="77"/>
      <c r="V11" s="77"/>
    </row>
    <row r="12" spans="1:22" x14ac:dyDescent="0.25">
      <c r="A12" s="83">
        <v>5</v>
      </c>
      <c r="B12" s="84">
        <f>IF(A12&lt;=umumiy_malumot!$B$82,DATE(YEAR(R12),MONTH(R12),DAY(IF(A12=umumiy_malumot!$B$82,umumiy_malumot!$B$67,IF(A12&lt;umumiy_malumot!$B$82,(Q12),IF(A12&gt;umumiy_malumot!$B$82,$H$56,0))))))</f>
        <v>46213</v>
      </c>
      <c r="C12" s="48">
        <f t="shared" si="1"/>
        <v>88888888.879999995</v>
      </c>
      <c r="D12" s="48">
        <f t="shared" si="2"/>
        <v>2777777.78</v>
      </c>
      <c r="E12" s="48">
        <f t="shared" si="3"/>
        <v>4018264.8000000003</v>
      </c>
      <c r="F12" s="48">
        <f t="shared" si="4"/>
        <v>6796042.5800000001</v>
      </c>
      <c r="G12" s="77">
        <f t="shared" si="7"/>
        <v>30</v>
      </c>
      <c r="H12" s="77">
        <f t="shared" si="5"/>
        <v>365</v>
      </c>
      <c r="I12" s="85">
        <f>I11</f>
        <v>2777777.78</v>
      </c>
      <c r="J12" s="85">
        <f>umumiy_malumot!B76</f>
        <v>100000000</v>
      </c>
      <c r="K12" s="85"/>
      <c r="L12" s="79">
        <f>ROUND(C12*umumiy_malumot!$B$85/H12,2)*G12</f>
        <v>4018264.8000000003</v>
      </c>
      <c r="M12" s="79">
        <f t="shared" si="0"/>
        <v>6796042.5800000001</v>
      </c>
      <c r="N12" s="79"/>
      <c r="O12" s="94" t="str">
        <f t="shared" si="8"/>
        <v>Пт</v>
      </c>
      <c r="P12" s="96">
        <f t="shared" si="6"/>
        <v>0</v>
      </c>
      <c r="Q12" s="96">
        <f>DAY(umumiy_malumot!$B$79)+P12</f>
        <v>10</v>
      </c>
      <c r="R12" s="91">
        <f>IF(A12&lt;=umumiy_malumot!$B$82,DATE(YEAR($B$8),MONTH($B$8)+A11,DAY(umumiy_malumot!$B$79)),0)</f>
        <v>46213</v>
      </c>
      <c r="S12" s="77"/>
      <c r="T12" s="77"/>
      <c r="U12" s="77"/>
      <c r="V12" s="77"/>
    </row>
    <row r="13" spans="1:22" x14ac:dyDescent="0.25">
      <c r="A13" s="83">
        <v>6</v>
      </c>
      <c r="B13" s="84">
        <f>IF(A13&lt;=umumiy_malumot!$B$82,DATE(YEAR(R13),MONTH(R13),DAY(IF(A13=umumiy_malumot!$B$82,umumiy_malumot!$B$67,IF(A13&lt;umumiy_malumot!$B$82,(Q13),IF(A13&gt;umumiy_malumot!$B$82,$H$56,0))))))</f>
        <v>46244</v>
      </c>
      <c r="C13" s="48">
        <f t="shared" si="1"/>
        <v>86111111.099999994</v>
      </c>
      <c r="D13" s="48">
        <f t="shared" si="2"/>
        <v>2777777.78</v>
      </c>
      <c r="E13" s="48">
        <f t="shared" si="3"/>
        <v>4022450.57</v>
      </c>
      <c r="F13" s="48">
        <f t="shared" si="4"/>
        <v>6800228.3499999996</v>
      </c>
      <c r="G13" s="77">
        <f t="shared" si="7"/>
        <v>31</v>
      </c>
      <c r="H13" s="77">
        <f t="shared" si="5"/>
        <v>365</v>
      </c>
      <c r="I13" s="85">
        <f>IF(L5=H1,K13,IF(L5&gt;H1,I12))</f>
        <v>2777777.78</v>
      </c>
      <c r="J13" s="85">
        <f>SUM($I$8:I12)</f>
        <v>13888888.899999999</v>
      </c>
      <c r="K13" s="85">
        <f>$J$12-J13</f>
        <v>86111111.099999994</v>
      </c>
      <c r="L13" s="79">
        <f>ROUND(C13*umumiy_malumot!$B$85/H13,2)*G13</f>
        <v>4022450.57</v>
      </c>
      <c r="M13" s="79">
        <f t="shared" si="0"/>
        <v>6800228.3499999996</v>
      </c>
      <c r="N13" s="79"/>
      <c r="O13" s="94" t="str">
        <f t="shared" si="8"/>
        <v>Пн</v>
      </c>
      <c r="P13" s="96">
        <f t="shared" si="6"/>
        <v>0</v>
      </c>
      <c r="Q13" s="96">
        <f>DAY(umumiy_malumot!$B$79)+P13</f>
        <v>10</v>
      </c>
      <c r="R13" s="91">
        <f>IF(A13&lt;=umumiy_malumot!$B$82,DATE(YEAR($B$8),MONTH($B$8)+A12,DAY(umumiy_malumot!$B$79)),0)</f>
        <v>46244</v>
      </c>
      <c r="S13" s="77"/>
      <c r="T13" s="77"/>
      <c r="U13" s="77"/>
      <c r="V13" s="77"/>
    </row>
    <row r="14" spans="1:22" x14ac:dyDescent="0.25">
      <c r="A14" s="83">
        <v>7</v>
      </c>
      <c r="B14" s="84">
        <f>IF(A14&lt;=umumiy_malumot!$B$82,DATE(YEAR(R14),MONTH(R14),DAY(IF(A14=umumiy_malumot!$B$82,umumiy_malumot!$B$67,IF(A14&lt;umumiy_malumot!$B$82,(Q14),IF(A14&gt;umumiy_malumot!$B$82,$H$56,0))))))</f>
        <v>46275</v>
      </c>
      <c r="C14" s="48">
        <f t="shared" si="1"/>
        <v>83333333.319999993</v>
      </c>
      <c r="D14" s="48">
        <f t="shared" si="2"/>
        <v>2777777.78</v>
      </c>
      <c r="E14" s="48">
        <f t="shared" si="3"/>
        <v>3892694.18</v>
      </c>
      <c r="F14" s="48">
        <f t="shared" si="4"/>
        <v>6670471.96</v>
      </c>
      <c r="G14" s="77">
        <f t="shared" si="7"/>
        <v>31</v>
      </c>
      <c r="H14" s="77">
        <f t="shared" si="5"/>
        <v>365</v>
      </c>
      <c r="I14" s="85">
        <f>IF($L$5=A14,K14,IF($L$5&gt;A14,I13))</f>
        <v>2777777.78</v>
      </c>
      <c r="J14" s="85">
        <f>SUM($I$8:I13)</f>
        <v>16666666.679999998</v>
      </c>
      <c r="K14" s="85">
        <f t="shared" ref="K14:K31" si="9">$J$12-J14</f>
        <v>83333333.320000008</v>
      </c>
      <c r="L14" s="79">
        <f>ROUND(C14*umumiy_malumot!$B$85/H14,2)*G14</f>
        <v>3892694.18</v>
      </c>
      <c r="M14" s="79">
        <f t="shared" si="0"/>
        <v>6670471.96</v>
      </c>
      <c r="N14" s="79"/>
      <c r="O14" s="94" t="str">
        <f t="shared" si="8"/>
        <v>Чт</v>
      </c>
      <c r="P14" s="96">
        <f t="shared" si="6"/>
        <v>0</v>
      </c>
      <c r="Q14" s="96">
        <f>DAY(umumiy_malumot!$B$79)+P14</f>
        <v>10</v>
      </c>
      <c r="R14" s="91">
        <f>IF(A14&lt;=umumiy_malumot!$B$82,DATE(YEAR($B$8),MONTH($B$8)+A13,DAY(umumiy_malumot!$B$79)),0)</f>
        <v>46275</v>
      </c>
      <c r="S14" s="77"/>
      <c r="T14" s="77"/>
      <c r="U14" s="77"/>
      <c r="V14" s="77"/>
    </row>
    <row r="15" spans="1:22" x14ac:dyDescent="0.25">
      <c r="A15" s="83">
        <v>8</v>
      </c>
      <c r="B15" s="84">
        <f>IF(A15&lt;=umumiy_malumot!$B$82,DATE(YEAR(R15),MONTH(R15),DAY(IF(A15=umumiy_malumot!$B$82,umumiy_malumot!$B$67,IF(A15&lt;umumiy_malumot!$B$82,(Q15),IF(A15&gt;umumiy_malumot!$B$82,$H$56,0))))))</f>
        <v>46307</v>
      </c>
      <c r="C15" s="48">
        <f t="shared" si="1"/>
        <v>80555555.539999992</v>
      </c>
      <c r="D15" s="48">
        <f t="shared" si="2"/>
        <v>2777777.78</v>
      </c>
      <c r="E15" s="48">
        <f t="shared" si="3"/>
        <v>3884322.56</v>
      </c>
      <c r="F15" s="48">
        <f t="shared" si="4"/>
        <v>6662100.3399999999</v>
      </c>
      <c r="G15" s="77">
        <f t="shared" si="7"/>
        <v>32</v>
      </c>
      <c r="H15" s="77">
        <f t="shared" si="5"/>
        <v>365</v>
      </c>
      <c r="I15" s="85">
        <f t="shared" ref="I15:I31" si="10">IF($L$5=A15,K15,IF($L$5&gt;A15,I14))</f>
        <v>2777777.78</v>
      </c>
      <c r="J15" s="85">
        <f>SUM($I$8:I14)</f>
        <v>19444444.459999997</v>
      </c>
      <c r="K15" s="85">
        <f t="shared" si="9"/>
        <v>80555555.540000007</v>
      </c>
      <c r="L15" s="79">
        <f>ROUND(C15*umumiy_malumot!$B$85/H15,2)*G15</f>
        <v>3884322.56</v>
      </c>
      <c r="M15" s="79">
        <f t="shared" si="0"/>
        <v>6662100.3399999999</v>
      </c>
      <c r="N15" s="79"/>
      <c r="O15" s="94" t="str">
        <f t="shared" si="8"/>
        <v>Сб</v>
      </c>
      <c r="P15" s="96">
        <f t="shared" si="6"/>
        <v>2</v>
      </c>
      <c r="Q15" s="96">
        <f>DAY(umumiy_malumot!$B$79)+P15</f>
        <v>12</v>
      </c>
      <c r="R15" s="91">
        <f>IF(A15&lt;=umumiy_malumot!$B$82,DATE(YEAR($B$8),MONTH($B$8)+A14,DAY(umumiy_malumot!$B$79)),0)</f>
        <v>46305</v>
      </c>
      <c r="S15" s="77"/>
      <c r="T15" s="77"/>
      <c r="U15" s="77"/>
      <c r="V15" s="77"/>
    </row>
    <row r="16" spans="1:22" x14ac:dyDescent="0.25">
      <c r="A16" s="83">
        <v>9</v>
      </c>
      <c r="B16" s="84">
        <f>IF(A16&lt;=umumiy_malumot!$B$82,DATE(YEAR(R16),MONTH(R16),DAY(IF(A16=umumiy_malumot!$B$82,umumiy_malumot!$B$67,IF(A16&lt;umumiy_malumot!$B$82,(Q16),IF(A16&gt;umumiy_malumot!$B$82,$H$56,0))))))</f>
        <v>46336</v>
      </c>
      <c r="C16" s="48">
        <f t="shared" si="1"/>
        <v>77777777.75999999</v>
      </c>
      <c r="D16" s="48">
        <f t="shared" si="2"/>
        <v>2777777.78</v>
      </c>
      <c r="E16" s="48">
        <f t="shared" si="3"/>
        <v>3398782.31</v>
      </c>
      <c r="F16" s="48">
        <f t="shared" si="4"/>
        <v>6176560.0899999999</v>
      </c>
      <c r="G16" s="77">
        <f t="shared" si="7"/>
        <v>29</v>
      </c>
      <c r="H16" s="77">
        <f t="shared" si="5"/>
        <v>365</v>
      </c>
      <c r="I16" s="85">
        <f t="shared" si="10"/>
        <v>2777777.78</v>
      </c>
      <c r="J16" s="85">
        <f>SUM($I$8:I15)</f>
        <v>22222222.239999998</v>
      </c>
      <c r="K16" s="85">
        <f t="shared" si="9"/>
        <v>77777777.760000005</v>
      </c>
      <c r="L16" s="79">
        <f>ROUND(C16*umumiy_malumot!$B$85/H16,2)*G16</f>
        <v>3398782.31</v>
      </c>
      <c r="M16" s="79">
        <f t="shared" si="0"/>
        <v>6176560.0899999999</v>
      </c>
      <c r="N16" s="79"/>
      <c r="O16" s="94" t="str">
        <f t="shared" si="8"/>
        <v>Вт</v>
      </c>
      <c r="P16" s="96">
        <f t="shared" si="6"/>
        <v>0</v>
      </c>
      <c r="Q16" s="96">
        <f>DAY(umumiy_malumot!$B$79)+P16</f>
        <v>10</v>
      </c>
      <c r="R16" s="91">
        <f>IF(A16&lt;=umumiy_malumot!$B$82,DATE(YEAR($B$8),MONTH($B$8)+A15,DAY(umumiy_malumot!$B$79)),0)</f>
        <v>46336</v>
      </c>
      <c r="S16" s="77"/>
      <c r="T16" s="77"/>
      <c r="U16" s="77"/>
      <c r="V16" s="77"/>
    </row>
    <row r="17" spans="1:22" x14ac:dyDescent="0.25">
      <c r="A17" s="83">
        <v>10</v>
      </c>
      <c r="B17" s="84">
        <f>IF(A17&lt;=umumiy_malumot!$B$82,DATE(YEAR(R17),MONTH(R17),DAY(IF(A17=umumiy_malumot!$B$82,umumiy_malumot!$B$67,IF(A17&lt;umumiy_malumot!$B$82,(Q17),IF(A17&gt;umumiy_malumot!$B$82,$H$56,0))))))</f>
        <v>46366</v>
      </c>
      <c r="C17" s="48">
        <f t="shared" si="1"/>
        <v>74999999.979999989</v>
      </c>
      <c r="D17" s="48">
        <f t="shared" si="2"/>
        <v>2777777.78</v>
      </c>
      <c r="E17" s="48">
        <f t="shared" si="3"/>
        <v>3390411</v>
      </c>
      <c r="F17" s="48">
        <f t="shared" si="4"/>
        <v>6168188.7799999993</v>
      </c>
      <c r="G17" s="77">
        <f t="shared" si="7"/>
        <v>30</v>
      </c>
      <c r="H17" s="77">
        <f t="shared" si="5"/>
        <v>365</v>
      </c>
      <c r="I17" s="85">
        <f t="shared" si="10"/>
        <v>2777777.78</v>
      </c>
      <c r="J17" s="85">
        <f>SUM($I$8:I16)</f>
        <v>25000000.02</v>
      </c>
      <c r="K17" s="85">
        <f>$J$12-J17</f>
        <v>74999999.980000004</v>
      </c>
      <c r="L17" s="79">
        <f>ROUND(C17*umumiy_malumot!$B$85/H17,2)*G17</f>
        <v>3390411</v>
      </c>
      <c r="M17" s="79">
        <f t="shared" si="0"/>
        <v>6168188.7799999993</v>
      </c>
      <c r="N17" s="79"/>
      <c r="O17" s="94" t="str">
        <f t="shared" si="8"/>
        <v>Чт</v>
      </c>
      <c r="P17" s="96">
        <f t="shared" si="6"/>
        <v>0</v>
      </c>
      <c r="Q17" s="96">
        <f>DAY(umumiy_malumot!$B$79)+P17</f>
        <v>10</v>
      </c>
      <c r="R17" s="91">
        <f>IF(A17&lt;=umumiy_malumot!$B$82,DATE(YEAR($B$8),MONTH($B$8)+A16,DAY(umumiy_malumot!$B$79)),0)</f>
        <v>46366</v>
      </c>
      <c r="S17" s="77"/>
      <c r="T17" s="77"/>
      <c r="U17" s="77"/>
      <c r="V17" s="77"/>
    </row>
    <row r="18" spans="1:22" x14ac:dyDescent="0.25">
      <c r="A18" s="83">
        <v>11</v>
      </c>
      <c r="B18" s="84">
        <f>IF(A18&lt;=umumiy_malumot!$B$82,DATE(YEAR(R18),MONTH(R18),DAY(IF(A18=umumiy_malumot!$B$82,umumiy_malumot!$B$67,IF(A18&lt;umumiy_malumot!$B$82,(Q18),IF(A18&gt;umumiy_malumot!$B$82,$H$56,0))))))</f>
        <v>46398</v>
      </c>
      <c r="C18" s="48">
        <f t="shared" si="1"/>
        <v>72222222.199999988</v>
      </c>
      <c r="D18" s="48">
        <f t="shared" si="2"/>
        <v>2777777.78</v>
      </c>
      <c r="E18" s="48">
        <f t="shared" si="3"/>
        <v>3482496.32</v>
      </c>
      <c r="F18" s="48">
        <f t="shared" si="4"/>
        <v>6260274.0999999996</v>
      </c>
      <c r="G18" s="77">
        <f t="shared" si="7"/>
        <v>32</v>
      </c>
      <c r="H18" s="77">
        <f t="shared" si="5"/>
        <v>365</v>
      </c>
      <c r="I18" s="85">
        <f t="shared" si="10"/>
        <v>2777777.78</v>
      </c>
      <c r="J18" s="85">
        <f>SUM($I$8:I17)</f>
        <v>27777777.800000001</v>
      </c>
      <c r="K18" s="85">
        <f t="shared" si="9"/>
        <v>72222222.200000003</v>
      </c>
      <c r="L18" s="79">
        <f>ROUND(C18*umumiy_malumot!$B$85/H18,2)*G18</f>
        <v>3482496.32</v>
      </c>
      <c r="M18" s="79">
        <f t="shared" si="0"/>
        <v>6260274.0999999996</v>
      </c>
      <c r="N18" s="79"/>
      <c r="O18" s="94" t="str">
        <f t="shared" si="8"/>
        <v>Вс</v>
      </c>
      <c r="P18" s="96">
        <f t="shared" si="6"/>
        <v>1</v>
      </c>
      <c r="Q18" s="96">
        <f>DAY(umumiy_malumot!$B$79)+P18</f>
        <v>11</v>
      </c>
      <c r="R18" s="91">
        <f>IF(A18&lt;=umumiy_malumot!$B$82,DATE(YEAR($B$8),MONTH($B$8)+A17,DAY(umumiy_malumot!$B$79)),0)</f>
        <v>46397</v>
      </c>
      <c r="S18" s="77"/>
      <c r="T18" s="77"/>
      <c r="U18" s="77"/>
      <c r="V18" s="77"/>
    </row>
    <row r="19" spans="1:22" x14ac:dyDescent="0.25">
      <c r="A19" s="83">
        <v>12</v>
      </c>
      <c r="B19" s="84">
        <f>IF(A19&lt;=umumiy_malumot!$B$82,DATE(YEAR(R19),MONTH(R19),DAY(IF(A19=umumiy_malumot!$B$82,umumiy_malumot!$B$67,IF(A19&lt;umumiy_malumot!$B$82,(Q19),IF(A19&gt;umumiy_malumot!$B$82,$H$56,0))))))</f>
        <v>46428</v>
      </c>
      <c r="C19" s="48">
        <f t="shared" si="1"/>
        <v>69444444.419999987</v>
      </c>
      <c r="D19" s="48">
        <f t="shared" si="2"/>
        <v>2777777.78</v>
      </c>
      <c r="E19" s="48">
        <f t="shared" si="3"/>
        <v>3139269.3</v>
      </c>
      <c r="F19" s="48">
        <f t="shared" si="4"/>
        <v>5917047.0800000001</v>
      </c>
      <c r="G19" s="77">
        <f t="shared" si="7"/>
        <v>30</v>
      </c>
      <c r="H19" s="77">
        <f t="shared" si="5"/>
        <v>365</v>
      </c>
      <c r="I19" s="85">
        <f t="shared" si="10"/>
        <v>2777777.78</v>
      </c>
      <c r="J19" s="85">
        <f>SUM($I$8:I18)</f>
        <v>30555555.580000002</v>
      </c>
      <c r="K19" s="85">
        <f t="shared" si="9"/>
        <v>69444444.420000002</v>
      </c>
      <c r="L19" s="79">
        <f>ROUND(C19*umumiy_malumot!$B$85/H19,2)*G19</f>
        <v>3139269.3</v>
      </c>
      <c r="M19" s="79">
        <f t="shared" si="0"/>
        <v>5917047.0800000001</v>
      </c>
      <c r="N19" s="79"/>
      <c r="O19" s="94" t="str">
        <f t="shared" si="8"/>
        <v>Ср</v>
      </c>
      <c r="P19" s="96">
        <f t="shared" si="6"/>
        <v>0</v>
      </c>
      <c r="Q19" s="96">
        <f>DAY(umumiy_malumot!$B$79)+P19</f>
        <v>10</v>
      </c>
      <c r="R19" s="91">
        <f>IF(A19&lt;=umumiy_malumot!$B$82,DATE(YEAR($B$8),MONTH($B$8)+A18,DAY(umumiy_malumot!$B$79)),0)</f>
        <v>46428</v>
      </c>
      <c r="S19" s="77"/>
      <c r="T19" s="77"/>
      <c r="U19" s="77"/>
      <c r="V19" s="77"/>
    </row>
    <row r="20" spans="1:22" x14ac:dyDescent="0.25">
      <c r="A20" s="83">
        <v>13</v>
      </c>
      <c r="B20" s="84">
        <f>IF(A20&lt;=umumiy_malumot!$B$82,DATE(YEAR(R20),MONTH(R20),DAY(IF(A20=umumiy_malumot!$B$82,umumiy_malumot!$B$67,IF(A20&lt;umumiy_malumot!$B$82,(Q20),IF(A20&gt;umumiy_malumot!$B$82,$H$56,0))))))</f>
        <v>46456</v>
      </c>
      <c r="C20" s="48">
        <f t="shared" si="1"/>
        <v>66666666.639999986</v>
      </c>
      <c r="D20" s="48">
        <f t="shared" si="2"/>
        <v>2777777.78</v>
      </c>
      <c r="E20" s="48">
        <f t="shared" si="3"/>
        <v>2812785.36</v>
      </c>
      <c r="F20" s="48">
        <f t="shared" si="4"/>
        <v>5590563.1399999997</v>
      </c>
      <c r="G20" s="77">
        <f t="shared" si="7"/>
        <v>28</v>
      </c>
      <c r="H20" s="77">
        <f t="shared" si="5"/>
        <v>365</v>
      </c>
      <c r="I20" s="85">
        <f t="shared" si="10"/>
        <v>2777777.78</v>
      </c>
      <c r="J20" s="85">
        <f>SUM($I$8:I19)</f>
        <v>33333333.360000003</v>
      </c>
      <c r="K20" s="85">
        <f>$J$12-J20</f>
        <v>66666666.640000001</v>
      </c>
      <c r="L20" s="79">
        <f>ROUND(C20*umumiy_malumot!$B$85/H20,2)*G20</f>
        <v>2812785.36</v>
      </c>
      <c r="M20" s="79">
        <f t="shared" si="0"/>
        <v>5590563.1399999997</v>
      </c>
      <c r="N20" s="79"/>
      <c r="O20" s="94" t="str">
        <f t="shared" si="8"/>
        <v>Ср</v>
      </c>
      <c r="P20" s="96">
        <f t="shared" si="6"/>
        <v>0</v>
      </c>
      <c r="Q20" s="96">
        <f>DAY(umumiy_malumot!$B$79)+P20</f>
        <v>10</v>
      </c>
      <c r="R20" s="91">
        <f>IF(A20&lt;=umumiy_malumot!$B$82,DATE(YEAR($B$8),MONTH($B$8)+A19,DAY(umumiy_malumot!$B$79)),0)</f>
        <v>46456</v>
      </c>
      <c r="S20" s="77"/>
      <c r="T20" s="77"/>
      <c r="U20" s="77"/>
      <c r="V20" s="77"/>
    </row>
    <row r="21" spans="1:22" x14ac:dyDescent="0.25">
      <c r="A21" s="83">
        <v>14</v>
      </c>
      <c r="B21" s="84">
        <f>IF(A21&lt;=umumiy_malumot!$B$82,DATE(YEAR(R21),MONTH(R21),DAY(IF(A21=umumiy_malumot!$B$82,umumiy_malumot!$B$67,IF(A21&lt;umumiy_malumot!$B$82,(Q21),IF(A21&gt;umumiy_malumot!$B$82,$H$56,0))))))</f>
        <v>46489</v>
      </c>
      <c r="C21" s="48">
        <f t="shared" si="1"/>
        <v>63888888.859999985</v>
      </c>
      <c r="D21" s="48">
        <f t="shared" si="2"/>
        <v>2777777.78</v>
      </c>
      <c r="E21" s="48">
        <f t="shared" si="3"/>
        <v>3176940.69</v>
      </c>
      <c r="F21" s="48">
        <f t="shared" si="4"/>
        <v>5954718.4699999997</v>
      </c>
      <c r="G21" s="77">
        <f t="shared" si="7"/>
        <v>33</v>
      </c>
      <c r="H21" s="77">
        <f t="shared" si="5"/>
        <v>365</v>
      </c>
      <c r="I21" s="85">
        <f t="shared" si="10"/>
        <v>2777777.78</v>
      </c>
      <c r="J21" s="85">
        <f>SUM($I$8:I20)</f>
        <v>36111111.140000001</v>
      </c>
      <c r="K21" s="85">
        <f t="shared" si="9"/>
        <v>63888888.859999999</v>
      </c>
      <c r="L21" s="79">
        <f>ROUND(C21*umumiy_malumot!$B$85/H21,2)*G21</f>
        <v>3176940.69</v>
      </c>
      <c r="M21" s="79">
        <f t="shared" si="0"/>
        <v>5954718.4699999997</v>
      </c>
      <c r="N21" s="79"/>
      <c r="O21" s="94" t="str">
        <f t="shared" si="8"/>
        <v>Сб</v>
      </c>
      <c r="P21" s="96">
        <f t="shared" si="6"/>
        <v>2</v>
      </c>
      <c r="Q21" s="96">
        <f>DAY(umumiy_malumot!$B$79)+P21</f>
        <v>12</v>
      </c>
      <c r="R21" s="91">
        <f>IF(A21&lt;=umumiy_malumot!$B$82,DATE(YEAR($B$8),MONTH($B$8)+A20,DAY(umumiy_malumot!$B$79)),0)</f>
        <v>46487</v>
      </c>
      <c r="S21" s="77"/>
      <c r="T21" s="77"/>
      <c r="U21" s="77"/>
      <c r="V21" s="77"/>
    </row>
    <row r="22" spans="1:22" x14ac:dyDescent="0.25">
      <c r="A22" s="83">
        <v>15</v>
      </c>
      <c r="B22" s="84">
        <f>IF(A22&lt;=umumiy_malumot!$B$82,DATE(YEAR(R22),MONTH(R22),DAY(IF(A22=umumiy_malumot!$B$82,umumiy_malumot!$B$67,IF(A22&lt;umumiy_malumot!$B$82,(Q22),IF(A22&gt;umumiy_malumot!$B$82,$H$56,0))))))</f>
        <v>46517</v>
      </c>
      <c r="C22" s="48">
        <f t="shared" si="1"/>
        <v>61111111.079999983</v>
      </c>
      <c r="D22" s="48">
        <f t="shared" si="2"/>
        <v>2777777.78</v>
      </c>
      <c r="E22" s="48">
        <f t="shared" si="3"/>
        <v>2578386.7200000002</v>
      </c>
      <c r="F22" s="48">
        <f t="shared" si="4"/>
        <v>5356164.5</v>
      </c>
      <c r="G22" s="77">
        <f t="shared" si="7"/>
        <v>28</v>
      </c>
      <c r="H22" s="77">
        <f t="shared" si="5"/>
        <v>365</v>
      </c>
      <c r="I22" s="85">
        <f t="shared" si="10"/>
        <v>2777777.78</v>
      </c>
      <c r="J22" s="85">
        <f>SUM($I$8:I21)</f>
        <v>38888888.920000002</v>
      </c>
      <c r="K22" s="85">
        <f t="shared" si="9"/>
        <v>61111111.079999998</v>
      </c>
      <c r="L22" s="79">
        <f>ROUND(C22*umumiy_malumot!$B$85/H22,2)*G22</f>
        <v>2578386.7200000002</v>
      </c>
      <c r="M22" s="79">
        <f t="shared" si="0"/>
        <v>5356164.5</v>
      </c>
      <c r="N22" s="79"/>
      <c r="O22" s="94" t="str">
        <f t="shared" si="8"/>
        <v>Пн</v>
      </c>
      <c r="P22" s="96">
        <f t="shared" si="6"/>
        <v>0</v>
      </c>
      <c r="Q22" s="96">
        <f>DAY(umumiy_malumot!$B$79)+P22</f>
        <v>10</v>
      </c>
      <c r="R22" s="91">
        <f>IF(A22&lt;=umumiy_malumot!$B$82,DATE(YEAR($B$8),MONTH($B$8)+A21,DAY(umumiy_malumot!$B$79)),0)</f>
        <v>46517</v>
      </c>
      <c r="S22" s="77"/>
      <c r="T22" s="77"/>
      <c r="U22" s="77"/>
      <c r="V22" s="77"/>
    </row>
    <row r="23" spans="1:22" x14ac:dyDescent="0.25">
      <c r="A23" s="83">
        <v>16</v>
      </c>
      <c r="B23" s="84">
        <f>IF(A23&lt;=umumiy_malumot!$B$82,DATE(YEAR(R23),MONTH(R23),DAY(IF(A23=umumiy_malumot!$B$82,umumiy_malumot!$B$67,IF(A23&lt;umumiy_malumot!$B$82,(Q23),IF(A23&gt;umumiy_malumot!$B$82,$H$56,0))))))</f>
        <v>46548</v>
      </c>
      <c r="C23" s="48">
        <f t="shared" si="1"/>
        <v>58333333.299999982</v>
      </c>
      <c r="D23" s="48">
        <f t="shared" si="2"/>
        <v>2777777.78</v>
      </c>
      <c r="E23" s="48">
        <f t="shared" si="3"/>
        <v>2724885.7399999998</v>
      </c>
      <c r="F23" s="48">
        <f t="shared" si="4"/>
        <v>5502663.5199999996</v>
      </c>
      <c r="G23" s="77">
        <f t="shared" si="7"/>
        <v>31</v>
      </c>
      <c r="H23" s="77">
        <f t="shared" si="5"/>
        <v>365</v>
      </c>
      <c r="I23" s="85">
        <f t="shared" si="10"/>
        <v>2777777.78</v>
      </c>
      <c r="J23" s="85">
        <f>SUM($I$8:I22)</f>
        <v>41666666.700000003</v>
      </c>
      <c r="K23" s="85">
        <f t="shared" si="9"/>
        <v>58333333.299999997</v>
      </c>
      <c r="L23" s="79">
        <f>ROUND(C23*umumiy_malumot!$B$85/H23,2)*G23</f>
        <v>2724885.7399999998</v>
      </c>
      <c r="M23" s="79">
        <f t="shared" si="0"/>
        <v>5502663.5199999996</v>
      </c>
      <c r="N23" s="79"/>
      <c r="O23" s="94" t="str">
        <f t="shared" si="8"/>
        <v>Чт</v>
      </c>
      <c r="P23" s="96">
        <f t="shared" si="6"/>
        <v>0</v>
      </c>
      <c r="Q23" s="96">
        <f>DAY(umumiy_malumot!$B$79)+P23</f>
        <v>10</v>
      </c>
      <c r="R23" s="91">
        <f>IF(A23&lt;=umumiy_malumot!$B$82,DATE(YEAR($B$8),MONTH($B$8)+A22,DAY(umumiy_malumot!$B$79)),0)</f>
        <v>46548</v>
      </c>
      <c r="S23" s="77"/>
      <c r="T23" s="77"/>
      <c r="U23" s="77"/>
      <c r="V23" s="77"/>
    </row>
    <row r="24" spans="1:22" x14ac:dyDescent="0.25">
      <c r="A24" s="83">
        <v>17</v>
      </c>
      <c r="B24" s="84">
        <f>IF(A24&lt;=umumiy_malumot!$B$82,DATE(YEAR(R24),MONTH(R24),DAY(IF(A24=umumiy_malumot!$B$82,umumiy_malumot!$B$67,IF(A24&lt;umumiy_malumot!$B$82,(Q24),IF(A24&gt;umumiy_malumot!$B$82,$H$56,0))))))</f>
        <v>46580</v>
      </c>
      <c r="C24" s="48">
        <f t="shared" si="1"/>
        <v>55555555.519999981</v>
      </c>
      <c r="D24" s="48">
        <f t="shared" si="2"/>
        <v>2777777.78</v>
      </c>
      <c r="E24" s="48">
        <f t="shared" si="3"/>
        <v>2678843.2000000002</v>
      </c>
      <c r="F24" s="48">
        <f t="shared" si="4"/>
        <v>5456620.9800000004</v>
      </c>
      <c r="G24" s="77">
        <f t="shared" si="7"/>
        <v>32</v>
      </c>
      <c r="H24" s="77">
        <f t="shared" si="5"/>
        <v>365</v>
      </c>
      <c r="I24" s="85">
        <f t="shared" si="10"/>
        <v>2777777.78</v>
      </c>
      <c r="J24" s="85">
        <f>SUM($I$8:I23)</f>
        <v>44444444.480000004</v>
      </c>
      <c r="K24" s="85">
        <f t="shared" si="9"/>
        <v>55555555.519999996</v>
      </c>
      <c r="L24" s="79">
        <f>ROUND(C24*umumiy_malumot!$B$85/H24,2)*G24</f>
        <v>2678843.2000000002</v>
      </c>
      <c r="M24" s="79">
        <f t="shared" si="0"/>
        <v>5456620.9800000004</v>
      </c>
      <c r="N24" s="79"/>
      <c r="O24" s="94" t="str">
        <f t="shared" si="8"/>
        <v>Сб</v>
      </c>
      <c r="P24" s="96">
        <f t="shared" si="6"/>
        <v>2</v>
      </c>
      <c r="Q24" s="96">
        <f>DAY(umumiy_malumot!$B$79)+P24</f>
        <v>12</v>
      </c>
      <c r="R24" s="91">
        <f>IF(A24&lt;=umumiy_malumot!$B$82,DATE(YEAR($B$8),MONTH($B$8)+A23,DAY(umumiy_malumot!$B$79)),0)</f>
        <v>46578</v>
      </c>
      <c r="S24" s="77"/>
      <c r="T24" s="77"/>
      <c r="U24" s="77"/>
      <c r="V24" s="77"/>
    </row>
    <row r="25" spans="1:22" x14ac:dyDescent="0.25">
      <c r="A25" s="83">
        <v>18</v>
      </c>
      <c r="B25" s="84">
        <f>IF(A25&lt;=umumiy_malumot!$B$82,DATE(YEAR(R25),MONTH(R25),DAY(IF(A25=umumiy_malumot!$B$82,umumiy_malumot!$B$67,IF(A25&lt;umumiy_malumot!$B$82,(Q25),IF(A25&gt;umumiy_malumot!$B$82,$H$56,0))))))</f>
        <v>46609</v>
      </c>
      <c r="C25" s="48">
        <f t="shared" si="1"/>
        <v>52777777.73999998</v>
      </c>
      <c r="D25" s="48">
        <f t="shared" si="2"/>
        <v>2777777.78</v>
      </c>
      <c r="E25" s="48">
        <f t="shared" si="3"/>
        <v>2306316.64</v>
      </c>
      <c r="F25" s="48">
        <f t="shared" si="4"/>
        <v>5084094.42</v>
      </c>
      <c r="G25" s="77">
        <f t="shared" si="7"/>
        <v>29</v>
      </c>
      <c r="H25" s="77">
        <f t="shared" si="5"/>
        <v>365</v>
      </c>
      <c r="I25" s="85">
        <f t="shared" si="10"/>
        <v>2777777.78</v>
      </c>
      <c r="J25" s="85">
        <f>SUM($I$8:I24)</f>
        <v>47222222.260000005</v>
      </c>
      <c r="K25" s="85">
        <f t="shared" si="9"/>
        <v>52777777.739999995</v>
      </c>
      <c r="L25" s="79">
        <f>ROUND(C25*umumiy_malumot!$B$85/H25,2)*G25</f>
        <v>2306316.64</v>
      </c>
      <c r="M25" s="79">
        <f t="shared" si="0"/>
        <v>5084094.42</v>
      </c>
      <c r="N25" s="79"/>
      <c r="O25" s="94" t="str">
        <f t="shared" si="8"/>
        <v>Вт</v>
      </c>
      <c r="P25" s="96">
        <f t="shared" si="6"/>
        <v>0</v>
      </c>
      <c r="Q25" s="96">
        <f>DAY(umumiy_malumot!$B$79)+P25</f>
        <v>10</v>
      </c>
      <c r="R25" s="91">
        <f>IF(A25&lt;=umumiy_malumot!$B$82,DATE(YEAR($B$8),MONTH($B$8)+A24,DAY(umumiy_malumot!$B$79)),0)</f>
        <v>46609</v>
      </c>
      <c r="S25" s="77"/>
      <c r="T25" s="77"/>
      <c r="U25" s="77"/>
      <c r="V25" s="77"/>
    </row>
    <row r="26" spans="1:22" x14ac:dyDescent="0.25">
      <c r="A26" s="83">
        <v>19</v>
      </c>
      <c r="B26" s="84">
        <f>IF(A26&lt;=umumiy_malumot!$B$82,DATE(YEAR(R26),MONTH(R26),DAY(IF(A26=umumiy_malumot!$B$82,umumiy_malumot!$B$67,IF(A26&lt;umumiy_malumot!$B$82,(Q26),IF(A26&gt;umumiy_malumot!$B$82,$H$56,0))))))</f>
        <v>46640</v>
      </c>
      <c r="C26" s="48">
        <f t="shared" si="1"/>
        <v>49999999.959999979</v>
      </c>
      <c r="D26" s="48">
        <f t="shared" si="2"/>
        <v>2777777.78</v>
      </c>
      <c r="E26" s="48">
        <f t="shared" si="3"/>
        <v>2335616.5699999998</v>
      </c>
      <c r="F26" s="48">
        <f t="shared" si="4"/>
        <v>5113394.3499999996</v>
      </c>
      <c r="G26" s="77">
        <f t="shared" si="7"/>
        <v>31</v>
      </c>
      <c r="H26" s="77">
        <f t="shared" si="5"/>
        <v>365</v>
      </c>
      <c r="I26" s="85">
        <f t="shared" si="10"/>
        <v>2777777.78</v>
      </c>
      <c r="J26" s="85">
        <f>SUM($I$8:I25)</f>
        <v>50000000.040000007</v>
      </c>
      <c r="K26" s="85">
        <f t="shared" si="9"/>
        <v>49999999.959999993</v>
      </c>
      <c r="L26" s="79">
        <f>ROUND(C26*umumiy_malumot!$B$85/H26,2)*G26</f>
        <v>2335616.5699999998</v>
      </c>
      <c r="M26" s="79">
        <f t="shared" si="0"/>
        <v>5113394.3499999996</v>
      </c>
      <c r="N26" s="79"/>
      <c r="O26" s="94" t="str">
        <f t="shared" si="8"/>
        <v>Пт</v>
      </c>
      <c r="P26" s="96">
        <f t="shared" si="6"/>
        <v>0</v>
      </c>
      <c r="Q26" s="96">
        <f>DAY(umumiy_malumot!$B$79)+P26</f>
        <v>10</v>
      </c>
      <c r="R26" s="91">
        <f>IF(A26&lt;=umumiy_malumot!$B$82,DATE(YEAR($B$8),MONTH($B$8)+A25,DAY(umumiy_malumot!$B$79)),0)</f>
        <v>46640</v>
      </c>
      <c r="S26" s="77"/>
      <c r="T26" s="77"/>
      <c r="U26" s="77"/>
      <c r="V26" s="77"/>
    </row>
    <row r="27" spans="1:22" x14ac:dyDescent="0.25">
      <c r="A27" s="83">
        <v>20</v>
      </c>
      <c r="B27" s="84">
        <f>IF(A27&lt;=umumiy_malumot!$B$82,DATE(YEAR(R27),MONTH(R27),DAY(IF(A27=umumiy_malumot!$B$82,umumiy_malumot!$B$67,IF(A27&lt;umumiy_malumot!$B$82,(Q27),IF(A27&gt;umumiy_malumot!$B$82,$H$56,0))))))</f>
        <v>46671</v>
      </c>
      <c r="C27" s="48">
        <f t="shared" si="1"/>
        <v>47222222.179999977</v>
      </c>
      <c r="D27" s="48">
        <f t="shared" si="2"/>
        <v>2777777.78</v>
      </c>
      <c r="E27" s="48">
        <f t="shared" si="3"/>
        <v>2205859.87</v>
      </c>
      <c r="F27" s="48">
        <f t="shared" si="4"/>
        <v>4983637.6500000004</v>
      </c>
      <c r="G27" s="77">
        <f t="shared" si="7"/>
        <v>31</v>
      </c>
      <c r="H27" s="77">
        <f t="shared" si="5"/>
        <v>365</v>
      </c>
      <c r="I27" s="85">
        <f t="shared" si="10"/>
        <v>2777777.78</v>
      </c>
      <c r="J27" s="85">
        <f>SUM($I$8:I26)</f>
        <v>52777777.820000008</v>
      </c>
      <c r="K27" s="85">
        <f t="shared" si="9"/>
        <v>47222222.179999992</v>
      </c>
      <c r="L27" s="79">
        <f>ROUND(C27*umumiy_malumot!$B$85/H27,2)*G27</f>
        <v>2205859.87</v>
      </c>
      <c r="M27" s="79">
        <f t="shared" si="0"/>
        <v>4983637.6500000004</v>
      </c>
      <c r="N27" s="79"/>
      <c r="O27" s="94" t="str">
        <f t="shared" si="8"/>
        <v>Вс</v>
      </c>
      <c r="P27" s="96">
        <f t="shared" si="6"/>
        <v>1</v>
      </c>
      <c r="Q27" s="96">
        <f>DAY(umumiy_malumot!$B$79)+P27</f>
        <v>11</v>
      </c>
      <c r="R27" s="91">
        <f>IF(A27&lt;=umumiy_malumot!$B$82,DATE(YEAR($B$8),MONTH($B$8)+A26,DAY(umumiy_malumot!$B$79)),0)</f>
        <v>46670</v>
      </c>
      <c r="S27" s="77"/>
      <c r="T27" s="77"/>
      <c r="U27" s="77"/>
      <c r="V27" s="77"/>
    </row>
    <row r="28" spans="1:22" x14ac:dyDescent="0.25">
      <c r="A28" s="83">
        <v>21</v>
      </c>
      <c r="B28" s="84">
        <f>IF(A28&lt;=umumiy_malumot!$B$82,DATE(YEAR(R28),MONTH(R28),DAY(IF(A28=umumiy_malumot!$B$82,umumiy_malumot!$B$67,IF(A28&lt;umumiy_malumot!$B$82,(Q28),IF(A28&gt;umumiy_malumot!$B$82,$H$56,0))))))</f>
        <v>46701</v>
      </c>
      <c r="C28" s="48">
        <f t="shared" si="1"/>
        <v>44444444.399999976</v>
      </c>
      <c r="D28" s="48">
        <f t="shared" si="2"/>
        <v>2777777.78</v>
      </c>
      <c r="E28" s="48">
        <f t="shared" si="3"/>
        <v>2009132.4000000001</v>
      </c>
      <c r="F28" s="48">
        <f t="shared" si="4"/>
        <v>4786910.18</v>
      </c>
      <c r="G28" s="77">
        <f t="shared" si="7"/>
        <v>30</v>
      </c>
      <c r="H28" s="77">
        <f t="shared" si="5"/>
        <v>365</v>
      </c>
      <c r="I28" s="85">
        <f t="shared" si="10"/>
        <v>2777777.78</v>
      </c>
      <c r="J28" s="85">
        <f>SUM($I$8:I27)</f>
        <v>55555555.600000009</v>
      </c>
      <c r="K28" s="85">
        <f t="shared" si="9"/>
        <v>44444444.399999991</v>
      </c>
      <c r="L28" s="79">
        <f>ROUND(C28*umumiy_malumot!$B$85/H28,2)*G28</f>
        <v>2009132.4000000001</v>
      </c>
      <c r="M28" s="79">
        <f t="shared" si="0"/>
        <v>4786910.18</v>
      </c>
      <c r="N28" s="79"/>
      <c r="O28" s="94" t="str">
        <f t="shared" si="8"/>
        <v>Ср</v>
      </c>
      <c r="P28" s="96">
        <f t="shared" si="6"/>
        <v>0</v>
      </c>
      <c r="Q28" s="96">
        <f>DAY(umumiy_malumot!$B$79)+P28</f>
        <v>10</v>
      </c>
      <c r="R28" s="91">
        <f>IF(A28&lt;=umumiy_malumot!$B$82,DATE(YEAR($B$8),MONTH($B$8)+A27,DAY(umumiy_malumot!$B$79)),0)</f>
        <v>46701</v>
      </c>
      <c r="S28" s="77"/>
      <c r="T28" s="77"/>
      <c r="U28" s="77"/>
      <c r="V28" s="77"/>
    </row>
    <row r="29" spans="1:22" x14ac:dyDescent="0.25">
      <c r="A29" s="83">
        <v>22</v>
      </c>
      <c r="B29" s="84">
        <f>IF(A29&lt;=umumiy_malumot!$B$82,DATE(YEAR(R29),MONTH(R29),DAY(IF(A29=umumiy_malumot!$B$82,umumiy_malumot!$B$67,IF(A29&lt;umumiy_malumot!$B$82,(Q29),IF(A29&gt;umumiy_malumot!$B$82,$H$56,0))))))</f>
        <v>46731</v>
      </c>
      <c r="C29" s="48">
        <f t="shared" si="1"/>
        <v>41666666.619999975</v>
      </c>
      <c r="D29" s="48">
        <f t="shared" si="2"/>
        <v>2777777.78</v>
      </c>
      <c r="E29" s="48">
        <f t="shared" si="3"/>
        <v>1883561.7</v>
      </c>
      <c r="F29" s="48">
        <f t="shared" si="4"/>
        <v>4661339.4799999995</v>
      </c>
      <c r="G29" s="77">
        <f t="shared" si="7"/>
        <v>30</v>
      </c>
      <c r="H29" s="77">
        <f t="shared" si="5"/>
        <v>365</v>
      </c>
      <c r="I29" s="85">
        <f t="shared" si="10"/>
        <v>2777777.78</v>
      </c>
      <c r="J29" s="85">
        <f>SUM($I$8:I28)</f>
        <v>58333333.38000001</v>
      </c>
      <c r="K29" s="85">
        <f t="shared" si="9"/>
        <v>41666666.61999999</v>
      </c>
      <c r="L29" s="79">
        <f>ROUND(C29*umumiy_malumot!$B$85/H29,2)*G29</f>
        <v>1883561.7</v>
      </c>
      <c r="M29" s="79">
        <f t="shared" si="0"/>
        <v>4661339.4799999995</v>
      </c>
      <c r="N29" s="79"/>
      <c r="O29" s="94" t="str">
        <f t="shared" si="8"/>
        <v>Пт</v>
      </c>
      <c r="P29" s="96">
        <f t="shared" si="6"/>
        <v>0</v>
      </c>
      <c r="Q29" s="96">
        <f>DAY(umumiy_malumot!$B$79)+P29</f>
        <v>10</v>
      </c>
      <c r="R29" s="91">
        <f>IF(A29&lt;=umumiy_malumot!$B$82,DATE(YEAR($B$8),MONTH($B$8)+A28,DAY(umumiy_malumot!$B$79)),0)</f>
        <v>46731</v>
      </c>
      <c r="S29" s="77"/>
      <c r="T29" s="77"/>
      <c r="U29" s="77"/>
      <c r="V29" s="77"/>
    </row>
    <row r="30" spans="1:22" x14ac:dyDescent="0.25">
      <c r="A30" s="83">
        <v>23</v>
      </c>
      <c r="B30" s="84">
        <f>IF(A30&lt;=umumiy_malumot!$B$82,DATE(YEAR(R30),MONTH(R30),DAY(IF(A30=umumiy_malumot!$B$82,umumiy_malumot!$B$67,IF(A30&lt;umumiy_malumot!$B$82,(Q30),IF(A30&gt;umumiy_malumot!$B$82,$H$56,0))))))</f>
        <v>46762</v>
      </c>
      <c r="C30" s="48">
        <f t="shared" si="1"/>
        <v>38888888.839999974</v>
      </c>
      <c r="D30" s="48">
        <f t="shared" si="2"/>
        <v>2777777.78</v>
      </c>
      <c r="E30" s="48">
        <f t="shared" si="3"/>
        <v>1811627.2899999998</v>
      </c>
      <c r="F30" s="48">
        <f t="shared" si="4"/>
        <v>4589405.0699999994</v>
      </c>
      <c r="G30" s="77">
        <f t="shared" si="7"/>
        <v>31</v>
      </c>
      <c r="H30" s="77">
        <f t="shared" si="5"/>
        <v>366</v>
      </c>
      <c r="I30" s="85">
        <f t="shared" si="10"/>
        <v>2777777.78</v>
      </c>
      <c r="J30" s="85">
        <f>SUM($I$8:I29)</f>
        <v>61111111.160000011</v>
      </c>
      <c r="K30" s="85">
        <f t="shared" si="9"/>
        <v>38888888.839999989</v>
      </c>
      <c r="L30" s="79">
        <f>ROUND(C30*umumiy_malumot!$B$85/H30,2)*G30</f>
        <v>1811627.2899999998</v>
      </c>
      <c r="M30" s="79">
        <f t="shared" si="0"/>
        <v>4589405.0699999994</v>
      </c>
      <c r="N30" s="79"/>
      <c r="O30" s="94" t="str">
        <f t="shared" si="8"/>
        <v>Пн</v>
      </c>
      <c r="P30" s="96">
        <f t="shared" si="6"/>
        <v>0</v>
      </c>
      <c r="Q30" s="96">
        <f>DAY(umumiy_malumot!$B$79)+P30</f>
        <v>10</v>
      </c>
      <c r="R30" s="91">
        <f>IF(A30&lt;=umumiy_malumot!$B$82,DATE(YEAR($B$8),MONTH($B$8)+A29,DAY(umumiy_malumot!$B$79)),0)</f>
        <v>46762</v>
      </c>
      <c r="S30" s="77"/>
      <c r="T30" s="77"/>
      <c r="U30" s="77"/>
      <c r="V30" s="77"/>
    </row>
    <row r="31" spans="1:22" x14ac:dyDescent="0.25">
      <c r="A31" s="83">
        <v>24</v>
      </c>
      <c r="B31" s="84">
        <f>IF(A31&lt;=umumiy_malumot!$B$82,DATE(YEAR(R31),MONTH(R31),DAY(IF(A31=umumiy_malumot!$B$82,umumiy_malumot!$B$67,IF(A31&lt;umumiy_malumot!$B$82,(Q31),IF(A31&gt;umumiy_malumot!$B$82,$H$56,0))))))</f>
        <v>46793</v>
      </c>
      <c r="C31" s="48">
        <f t="shared" ref="C31" si="11">C30-D30</f>
        <v>36111111.059999973</v>
      </c>
      <c r="D31" s="48">
        <f t="shared" ref="D31" si="12">IF(C31=0,L31,IF(C31&gt;1,I31))</f>
        <v>2777777.78</v>
      </c>
      <c r="E31" s="48">
        <f t="shared" ref="E31" si="13">IF(C31=0,N30,IF(C31&gt;1,L31))</f>
        <v>1682225.23</v>
      </c>
      <c r="F31" s="48">
        <f t="shared" ref="F31" si="14">IF(C31=0,N30,IF(C31&gt;1,M31))</f>
        <v>4460003.01</v>
      </c>
      <c r="G31" s="77">
        <f t="shared" si="7"/>
        <v>31</v>
      </c>
      <c r="H31" s="77">
        <f t="shared" si="5"/>
        <v>366</v>
      </c>
      <c r="I31" s="85">
        <f t="shared" si="10"/>
        <v>2777777.78</v>
      </c>
      <c r="J31" s="85">
        <f>SUM($I$8:I30)</f>
        <v>63888888.940000013</v>
      </c>
      <c r="K31" s="85">
        <f t="shared" si="9"/>
        <v>36111111.059999987</v>
      </c>
      <c r="L31" s="79">
        <f>ROUND(C31*umumiy_malumot!$B$85/H31,2)*G31</f>
        <v>1682225.23</v>
      </c>
      <c r="M31" s="79">
        <f t="shared" si="0"/>
        <v>4460003.01</v>
      </c>
      <c r="N31" s="79"/>
      <c r="O31" s="94" t="str">
        <f t="shared" si="8"/>
        <v>Чт</v>
      </c>
      <c r="P31" s="96">
        <f t="shared" si="6"/>
        <v>0</v>
      </c>
      <c r="Q31" s="96">
        <f>DAY(umumiy_malumot!$B$79)+P31</f>
        <v>10</v>
      </c>
      <c r="R31" s="91">
        <f>IF(A31&lt;=umumiy_malumot!$B$82,DATE(YEAR($B$8),MONTH($B$8)+A30,DAY(umumiy_malumot!$B$79)),0)</f>
        <v>46793</v>
      </c>
      <c r="S31" s="77"/>
      <c r="T31" s="77"/>
      <c r="U31" s="77"/>
      <c r="V31" s="77"/>
    </row>
    <row r="32" spans="1:22" x14ac:dyDescent="0.25">
      <c r="A32" s="83">
        <f>1+A31</f>
        <v>25</v>
      </c>
      <c r="B32" s="84">
        <f>IF(A32&lt;=umumiy_malumot!$B$82,DATE(YEAR(R32),MONTH(R32),DAY(IF(A32=umumiy_malumot!$B$82,umumiy_malumot!$B$67,IF(A32&lt;umumiy_malumot!$B$82,(Q32),IF(A32&gt;umumiy_malumot!$B$82,$H$56,0))))))</f>
        <v>46822</v>
      </c>
      <c r="C32" s="48">
        <f t="shared" ref="C32:C42" si="15">C31-D31</f>
        <v>33333333.279999971</v>
      </c>
      <c r="D32" s="48">
        <f t="shared" ref="D32:D42" si="16">IF(C32=0,L32,IF(C32&gt;1,I32))</f>
        <v>2777777.78</v>
      </c>
      <c r="E32" s="48">
        <f t="shared" ref="E32:E42" si="17">IF(C32=0,N31,IF(C32&gt;1,L32))</f>
        <v>1452641.03</v>
      </c>
      <c r="F32" s="48">
        <f t="shared" ref="F32:F42" si="18">IF(C32=0,N31,IF(C32&gt;1,M32))</f>
        <v>4230418.8099999996</v>
      </c>
      <c r="G32" s="77">
        <f t="shared" ref="G32:G42" si="19">B32-B31</f>
        <v>29</v>
      </c>
      <c r="H32" s="77">
        <f t="shared" ref="H32:H42" si="20">DATE(YEAR(B32),12,31)-DATE(YEAR(B32),1,1)+1</f>
        <v>366</v>
      </c>
      <c r="I32" s="85">
        <f t="shared" ref="I32:I42" si="21">IF($L$5=A32,K32,IF($L$5&gt;A32,I31))</f>
        <v>2777777.78</v>
      </c>
      <c r="J32" s="85">
        <f>SUM($I$8:I31)</f>
        <v>66666666.720000014</v>
      </c>
      <c r="K32" s="85">
        <f t="shared" ref="K32:K42" si="22">$J$12-J32</f>
        <v>33333333.279999986</v>
      </c>
      <c r="L32" s="79">
        <f>ROUND(C32*umumiy_malumot!$B$85/H32,2)*G32</f>
        <v>1452641.03</v>
      </c>
      <c r="M32" s="79">
        <f t="shared" ref="M32:M42" si="23">D32+E32</f>
        <v>4230418.8099999996</v>
      </c>
      <c r="N32" s="79"/>
      <c r="O32" s="94" t="str">
        <f t="shared" ref="O32:O42" si="24">TEXT(R32,"ддд")</f>
        <v>Пт</v>
      </c>
      <c r="P32" s="96">
        <f t="shared" ref="P32:P42" si="25">IF(O32=$U$8,2,IF(O32=$V$8,1,0))</f>
        <v>0</v>
      </c>
      <c r="Q32" s="96">
        <f>DAY(umumiy_malumot!$B$79)+P32</f>
        <v>10</v>
      </c>
      <c r="R32" s="91">
        <f>IF(A32&lt;=umumiy_malumot!$B$82,DATE(YEAR($B$8),MONTH($B$8)+A31,DAY(umumiy_malumot!$B$79)),0)</f>
        <v>46822</v>
      </c>
      <c r="S32" s="77"/>
      <c r="T32" s="77"/>
      <c r="U32" s="77"/>
      <c r="V32" s="77"/>
    </row>
    <row r="33" spans="1:22" x14ac:dyDescent="0.25">
      <c r="A33" s="83">
        <f t="shared" ref="A33:A42" si="26">1+A32</f>
        <v>26</v>
      </c>
      <c r="B33" s="84">
        <f>IF(A33&lt;=umumiy_malumot!$B$82,DATE(YEAR(R33),MONTH(R33),DAY(IF(A33=umumiy_malumot!$B$82,umumiy_malumot!$B$67,IF(A33&lt;umumiy_malumot!$B$82,(Q33),IF(A33&gt;umumiy_malumot!$B$82,$H$56,0))))))</f>
        <v>46853</v>
      </c>
      <c r="C33" s="48">
        <f t="shared" si="15"/>
        <v>30555555.49999997</v>
      </c>
      <c r="D33" s="48">
        <f t="shared" si="16"/>
        <v>2777777.78</v>
      </c>
      <c r="E33" s="48">
        <f t="shared" si="17"/>
        <v>1423421.42</v>
      </c>
      <c r="F33" s="48">
        <f t="shared" si="18"/>
        <v>4201199.1999999993</v>
      </c>
      <c r="G33" s="77">
        <f t="shared" si="19"/>
        <v>31</v>
      </c>
      <c r="H33" s="77">
        <f t="shared" si="20"/>
        <v>366</v>
      </c>
      <c r="I33" s="85">
        <f t="shared" si="21"/>
        <v>2777777.78</v>
      </c>
      <c r="J33" s="85">
        <f>SUM($I$8:I32)</f>
        <v>69444444.500000015</v>
      </c>
      <c r="K33" s="85">
        <f t="shared" si="22"/>
        <v>30555555.499999985</v>
      </c>
      <c r="L33" s="79">
        <f>ROUND(C33*umumiy_malumot!$B$85/H33,2)*G33</f>
        <v>1423421.42</v>
      </c>
      <c r="M33" s="79">
        <f t="shared" si="23"/>
        <v>4201199.1999999993</v>
      </c>
      <c r="N33" s="79"/>
      <c r="O33" s="94" t="str">
        <f t="shared" si="24"/>
        <v>Пн</v>
      </c>
      <c r="P33" s="96">
        <f t="shared" si="25"/>
        <v>0</v>
      </c>
      <c r="Q33" s="96">
        <f>DAY(umumiy_malumot!$B$79)+P33</f>
        <v>10</v>
      </c>
      <c r="R33" s="91">
        <f>IF(A33&lt;=umumiy_malumot!$B$82,DATE(YEAR($B$8),MONTH($B$8)+A32,DAY(umumiy_malumot!$B$79)),0)</f>
        <v>46853</v>
      </c>
      <c r="S33" s="77"/>
      <c r="T33" s="77"/>
      <c r="U33" s="77"/>
      <c r="V33" s="77"/>
    </row>
    <row r="34" spans="1:22" x14ac:dyDescent="0.25">
      <c r="A34" s="83">
        <f t="shared" si="26"/>
        <v>27</v>
      </c>
      <c r="B34" s="84">
        <f>IF(A34&lt;=umumiy_malumot!$B$82,DATE(YEAR(R34),MONTH(R34),DAY(IF(A34=umumiy_malumot!$B$82,umumiy_malumot!$B$67,IF(A34&lt;umumiy_malumot!$B$82,(Q34),IF(A34&gt;umumiy_malumot!$B$82,$H$56,0))))))</f>
        <v>46883</v>
      </c>
      <c r="C34" s="48">
        <f t="shared" si="15"/>
        <v>27777777.719999969</v>
      </c>
      <c r="D34" s="48">
        <f t="shared" si="16"/>
        <v>2777777.78</v>
      </c>
      <c r="E34" s="48">
        <f t="shared" si="17"/>
        <v>1252276.7999999998</v>
      </c>
      <c r="F34" s="48">
        <f t="shared" si="18"/>
        <v>4030054.5799999996</v>
      </c>
      <c r="G34" s="77">
        <f t="shared" si="19"/>
        <v>30</v>
      </c>
      <c r="H34" s="77">
        <f t="shared" si="20"/>
        <v>366</v>
      </c>
      <c r="I34" s="85">
        <f t="shared" si="21"/>
        <v>2777777.78</v>
      </c>
      <c r="J34" s="85">
        <f>SUM($I$8:I33)</f>
        <v>72222222.280000016</v>
      </c>
      <c r="K34" s="85">
        <f t="shared" si="22"/>
        <v>27777777.719999984</v>
      </c>
      <c r="L34" s="79">
        <f>ROUND(C34*umumiy_malumot!$B$85/H34,2)*G34</f>
        <v>1252276.7999999998</v>
      </c>
      <c r="M34" s="79">
        <f t="shared" si="23"/>
        <v>4030054.5799999996</v>
      </c>
      <c r="N34" s="79"/>
      <c r="O34" s="94" t="str">
        <f t="shared" si="24"/>
        <v>Ср</v>
      </c>
      <c r="P34" s="96">
        <f t="shared" si="25"/>
        <v>0</v>
      </c>
      <c r="Q34" s="96">
        <f>DAY(umumiy_malumot!$B$79)+P34</f>
        <v>10</v>
      </c>
      <c r="R34" s="91">
        <f>IF(A34&lt;=umumiy_malumot!$B$82,DATE(YEAR($B$8),MONTH($B$8)+A33,DAY(umumiy_malumot!$B$79)),0)</f>
        <v>46883</v>
      </c>
      <c r="S34" s="77"/>
      <c r="T34" s="77"/>
      <c r="U34" s="77"/>
      <c r="V34" s="77"/>
    </row>
    <row r="35" spans="1:22" x14ac:dyDescent="0.25">
      <c r="A35" s="83">
        <f t="shared" si="26"/>
        <v>28</v>
      </c>
      <c r="B35" s="84">
        <f>IF(A35&lt;=umumiy_malumot!$B$82,DATE(YEAR(R35),MONTH(R35),DAY(IF(A35=umumiy_malumot!$B$82,umumiy_malumot!$B$67,IF(A35&lt;umumiy_malumot!$B$82,(Q35),IF(A35&gt;umumiy_malumot!$B$82,$H$56,0))))))</f>
        <v>46916</v>
      </c>
      <c r="C35" s="48">
        <f t="shared" si="15"/>
        <v>24999999.939999968</v>
      </c>
      <c r="D35" s="48">
        <f t="shared" si="16"/>
        <v>2777777.78</v>
      </c>
      <c r="E35" s="48">
        <f t="shared" si="17"/>
        <v>1239754.23</v>
      </c>
      <c r="F35" s="48">
        <f t="shared" si="18"/>
        <v>4017532.01</v>
      </c>
      <c r="G35" s="77">
        <f t="shared" si="19"/>
        <v>33</v>
      </c>
      <c r="H35" s="77">
        <f t="shared" si="20"/>
        <v>366</v>
      </c>
      <c r="I35" s="85">
        <f t="shared" si="21"/>
        <v>2777777.78</v>
      </c>
      <c r="J35" s="85">
        <f>SUM($I$8:I34)</f>
        <v>75000000.060000017</v>
      </c>
      <c r="K35" s="85">
        <f t="shared" si="22"/>
        <v>24999999.939999983</v>
      </c>
      <c r="L35" s="79">
        <f>ROUND(C35*umumiy_malumot!$B$85/H35,2)*G35</f>
        <v>1239754.23</v>
      </c>
      <c r="M35" s="79">
        <f t="shared" si="23"/>
        <v>4017532.01</v>
      </c>
      <c r="N35" s="79"/>
      <c r="O35" s="94" t="str">
        <f t="shared" si="24"/>
        <v>Сб</v>
      </c>
      <c r="P35" s="96">
        <f t="shared" si="25"/>
        <v>2</v>
      </c>
      <c r="Q35" s="96">
        <f>DAY(umumiy_malumot!$B$79)+P35</f>
        <v>12</v>
      </c>
      <c r="R35" s="91">
        <f>IF(A35&lt;=umumiy_malumot!$B$82,DATE(YEAR($B$8),MONTH($B$8)+A34,DAY(umumiy_malumot!$B$79)),0)</f>
        <v>46914</v>
      </c>
      <c r="S35" s="77"/>
      <c r="T35" s="77"/>
      <c r="U35" s="77"/>
      <c r="V35" s="77"/>
    </row>
    <row r="36" spans="1:22" x14ac:dyDescent="0.25">
      <c r="A36" s="83">
        <f t="shared" si="26"/>
        <v>29</v>
      </c>
      <c r="B36" s="84">
        <f>IF(A36&lt;=umumiy_malumot!$B$82,DATE(YEAR(R36),MONTH(R36),DAY(IF(A36=umumiy_malumot!$B$82,umumiy_malumot!$B$67,IF(A36&lt;umumiy_malumot!$B$82,(Q36),IF(A36&gt;umumiy_malumot!$B$82,$H$56,0))))))</f>
        <v>46944</v>
      </c>
      <c r="C36" s="48">
        <f t="shared" si="15"/>
        <v>22222222.159999967</v>
      </c>
      <c r="D36" s="48">
        <f t="shared" si="16"/>
        <v>2777777.78</v>
      </c>
      <c r="E36" s="48">
        <f t="shared" si="17"/>
        <v>935033.40000000014</v>
      </c>
      <c r="F36" s="48">
        <f t="shared" si="18"/>
        <v>3712811.1799999997</v>
      </c>
      <c r="G36" s="77">
        <f t="shared" si="19"/>
        <v>28</v>
      </c>
      <c r="H36" s="77">
        <f t="shared" si="20"/>
        <v>366</v>
      </c>
      <c r="I36" s="85">
        <f t="shared" si="21"/>
        <v>2777777.78</v>
      </c>
      <c r="J36" s="85">
        <f>SUM($I$8:I35)</f>
        <v>77777777.840000018</v>
      </c>
      <c r="K36" s="85">
        <f t="shared" si="22"/>
        <v>22222222.159999982</v>
      </c>
      <c r="L36" s="79">
        <f>ROUND(C36*umumiy_malumot!$B$85/H36,2)*G36</f>
        <v>935033.40000000014</v>
      </c>
      <c r="M36" s="79">
        <f t="shared" si="23"/>
        <v>3712811.1799999997</v>
      </c>
      <c r="N36" s="79"/>
      <c r="O36" s="94" t="str">
        <f t="shared" si="24"/>
        <v>Пн</v>
      </c>
      <c r="P36" s="96">
        <f t="shared" si="25"/>
        <v>0</v>
      </c>
      <c r="Q36" s="96">
        <f>DAY(umumiy_malumot!$B$79)+P36</f>
        <v>10</v>
      </c>
      <c r="R36" s="91">
        <f>IF(A36&lt;=umumiy_malumot!$B$82,DATE(YEAR($B$8),MONTH($B$8)+A35,DAY(umumiy_malumot!$B$79)),0)</f>
        <v>46944</v>
      </c>
      <c r="S36" s="77"/>
      <c r="T36" s="77"/>
      <c r="U36" s="77"/>
      <c r="V36" s="77"/>
    </row>
    <row r="37" spans="1:22" x14ac:dyDescent="0.25">
      <c r="A37" s="83">
        <f t="shared" si="26"/>
        <v>30</v>
      </c>
      <c r="B37" s="84">
        <f>IF(A37&lt;=umumiy_malumot!$B$82,DATE(YEAR(R37),MONTH(R37),DAY(IF(A37=umumiy_malumot!$B$82,umumiy_malumot!$B$67,IF(A37&lt;umumiy_malumot!$B$82,(Q37),IF(A37&gt;umumiy_malumot!$B$82,$H$56,0))))))</f>
        <v>46975</v>
      </c>
      <c r="C37" s="48">
        <f t="shared" si="15"/>
        <v>19444444.379999965</v>
      </c>
      <c r="D37" s="48">
        <f t="shared" si="16"/>
        <v>2777777.78</v>
      </c>
      <c r="E37" s="48">
        <f t="shared" si="17"/>
        <v>905813.49</v>
      </c>
      <c r="F37" s="48">
        <f t="shared" si="18"/>
        <v>3683591.2699999996</v>
      </c>
      <c r="G37" s="77">
        <f t="shared" si="19"/>
        <v>31</v>
      </c>
      <c r="H37" s="77">
        <f t="shared" si="20"/>
        <v>366</v>
      </c>
      <c r="I37" s="85">
        <f t="shared" si="21"/>
        <v>2777777.78</v>
      </c>
      <c r="J37" s="85">
        <f>SUM($I$8:I36)</f>
        <v>80555555.62000002</v>
      </c>
      <c r="K37" s="85">
        <f t="shared" si="22"/>
        <v>19444444.37999998</v>
      </c>
      <c r="L37" s="79">
        <f>ROUND(C37*umumiy_malumot!$B$85/H37,2)*G37</f>
        <v>905813.49</v>
      </c>
      <c r="M37" s="79">
        <f t="shared" si="23"/>
        <v>3683591.2699999996</v>
      </c>
      <c r="N37" s="79"/>
      <c r="O37" s="94" t="str">
        <f t="shared" si="24"/>
        <v>Чт</v>
      </c>
      <c r="P37" s="96">
        <f t="shared" si="25"/>
        <v>0</v>
      </c>
      <c r="Q37" s="96">
        <f>DAY(umumiy_malumot!$B$79)+P37</f>
        <v>10</v>
      </c>
      <c r="R37" s="91">
        <f>IF(A37&lt;=umumiy_malumot!$B$82,DATE(YEAR($B$8),MONTH($B$8)+A36,DAY(umumiy_malumot!$B$79)),0)</f>
        <v>46975</v>
      </c>
      <c r="S37" s="77"/>
      <c r="T37" s="77"/>
      <c r="U37" s="77"/>
      <c r="V37" s="77"/>
    </row>
    <row r="38" spans="1:22" x14ac:dyDescent="0.25">
      <c r="A38" s="83">
        <f t="shared" si="26"/>
        <v>31</v>
      </c>
      <c r="B38" s="84">
        <f>IF(A38&lt;=umumiy_malumot!$B$82,DATE(YEAR(R38),MONTH(R38),DAY(IF(A38=umumiy_malumot!$B$82,umumiy_malumot!$B$67,IF(A38&lt;umumiy_malumot!$B$82,(Q38),IF(A38&gt;umumiy_malumot!$B$82,$H$56,0))))))</f>
        <v>47007</v>
      </c>
      <c r="C38" s="48">
        <f t="shared" si="15"/>
        <v>16666666.599999966</v>
      </c>
      <c r="D38" s="48">
        <f t="shared" si="16"/>
        <v>2777777.78</v>
      </c>
      <c r="E38" s="48">
        <f t="shared" si="17"/>
        <v>801457.28</v>
      </c>
      <c r="F38" s="48">
        <f t="shared" si="18"/>
        <v>3579235.0599999996</v>
      </c>
      <c r="G38" s="77">
        <f t="shared" si="19"/>
        <v>32</v>
      </c>
      <c r="H38" s="77">
        <f t="shared" si="20"/>
        <v>366</v>
      </c>
      <c r="I38" s="85">
        <f t="shared" si="21"/>
        <v>2777777.78</v>
      </c>
      <c r="J38" s="85">
        <f>SUM($I$8:I37)</f>
        <v>83333333.400000021</v>
      </c>
      <c r="K38" s="85">
        <f t="shared" si="22"/>
        <v>16666666.599999979</v>
      </c>
      <c r="L38" s="79">
        <f>ROUND(C38*umumiy_malumot!$B$85/H38,2)*G38</f>
        <v>801457.28</v>
      </c>
      <c r="M38" s="79">
        <f t="shared" si="23"/>
        <v>3579235.0599999996</v>
      </c>
      <c r="N38" s="79"/>
      <c r="O38" s="94" t="str">
        <f t="shared" si="24"/>
        <v>Вс</v>
      </c>
      <c r="P38" s="96">
        <f t="shared" si="25"/>
        <v>1</v>
      </c>
      <c r="Q38" s="96">
        <f>DAY(umumiy_malumot!$B$79)+P38</f>
        <v>11</v>
      </c>
      <c r="R38" s="91">
        <f>IF(A38&lt;=umumiy_malumot!$B$82,DATE(YEAR($B$8),MONTH($B$8)+A37,DAY(umumiy_malumot!$B$79)),0)</f>
        <v>47006</v>
      </c>
      <c r="S38" s="77"/>
      <c r="T38" s="77"/>
      <c r="U38" s="77"/>
      <c r="V38" s="77"/>
    </row>
    <row r="39" spans="1:22" x14ac:dyDescent="0.25">
      <c r="A39" s="83">
        <f t="shared" si="26"/>
        <v>32</v>
      </c>
      <c r="B39" s="84">
        <f>IF(A39&lt;=umumiy_malumot!$B$82,DATE(YEAR(R39),MONTH(R39),DAY(IF(A39=umumiy_malumot!$B$82,umumiy_malumot!$B$67,IF(A39&lt;umumiy_malumot!$B$82,(Q39),IF(A39&gt;umumiy_malumot!$B$82,$H$56,0))))))</f>
        <v>47036</v>
      </c>
      <c r="C39" s="48">
        <f t="shared" si="15"/>
        <v>13888888.819999967</v>
      </c>
      <c r="D39" s="48">
        <f t="shared" si="16"/>
        <v>2777777.78</v>
      </c>
      <c r="E39" s="48">
        <f t="shared" si="17"/>
        <v>605267.12</v>
      </c>
      <c r="F39" s="48">
        <f t="shared" si="18"/>
        <v>3383044.9</v>
      </c>
      <c r="G39" s="77">
        <f t="shared" si="19"/>
        <v>29</v>
      </c>
      <c r="H39" s="77">
        <f t="shared" si="20"/>
        <v>366</v>
      </c>
      <c r="I39" s="85">
        <f t="shared" si="21"/>
        <v>2777777.78</v>
      </c>
      <c r="J39" s="85">
        <f>SUM($I$8:I38)</f>
        <v>86111111.180000022</v>
      </c>
      <c r="K39" s="85">
        <f t="shared" si="22"/>
        <v>13888888.819999978</v>
      </c>
      <c r="L39" s="79">
        <f>ROUND(C39*umumiy_malumot!$B$85/H39,2)*G39</f>
        <v>605267.12</v>
      </c>
      <c r="M39" s="79">
        <f t="shared" si="23"/>
        <v>3383044.9</v>
      </c>
      <c r="N39" s="79"/>
      <c r="O39" s="94" t="str">
        <f t="shared" si="24"/>
        <v>Вт</v>
      </c>
      <c r="P39" s="96">
        <f t="shared" si="25"/>
        <v>0</v>
      </c>
      <c r="Q39" s="96">
        <f>DAY(umumiy_malumot!$B$79)+P39</f>
        <v>10</v>
      </c>
      <c r="R39" s="91">
        <f>IF(A39&lt;=umumiy_malumot!$B$82,DATE(YEAR($B$8),MONTH($B$8)+A38,DAY(umumiy_malumot!$B$79)),0)</f>
        <v>47036</v>
      </c>
      <c r="S39" s="77"/>
      <c r="T39" s="77"/>
      <c r="U39" s="77"/>
      <c r="V39" s="77"/>
    </row>
    <row r="40" spans="1:22" x14ac:dyDescent="0.25">
      <c r="A40" s="83">
        <f t="shared" si="26"/>
        <v>33</v>
      </c>
      <c r="B40" s="84">
        <f>IF(A40&lt;=umumiy_malumot!$B$82,DATE(YEAR(R40),MONTH(R40),DAY(IF(A40=umumiy_malumot!$B$82,umumiy_malumot!$B$67,IF(A40&lt;umumiy_malumot!$B$82,(Q40),IF(A40&gt;umumiy_malumot!$B$82,$H$56,0))))))</f>
        <v>47067</v>
      </c>
      <c r="C40" s="48">
        <f t="shared" si="15"/>
        <v>11111111.039999967</v>
      </c>
      <c r="D40" s="48">
        <f t="shared" si="16"/>
        <v>2777777.78</v>
      </c>
      <c r="E40" s="48">
        <f t="shared" si="17"/>
        <v>517607.62</v>
      </c>
      <c r="F40" s="48">
        <f t="shared" si="18"/>
        <v>3295385.4</v>
      </c>
      <c r="G40" s="77">
        <f t="shared" si="19"/>
        <v>31</v>
      </c>
      <c r="H40" s="77">
        <f t="shared" si="20"/>
        <v>366</v>
      </c>
      <c r="I40" s="85">
        <f t="shared" si="21"/>
        <v>2777777.78</v>
      </c>
      <c r="J40" s="85">
        <f>SUM($I$8:I39)</f>
        <v>88888888.960000023</v>
      </c>
      <c r="K40" s="85">
        <f t="shared" si="22"/>
        <v>11111111.039999977</v>
      </c>
      <c r="L40" s="79">
        <f>ROUND(C40*umumiy_malumot!$B$85/H40,2)*G40</f>
        <v>517607.62</v>
      </c>
      <c r="M40" s="79">
        <f t="shared" si="23"/>
        <v>3295385.4</v>
      </c>
      <c r="N40" s="79"/>
      <c r="O40" s="94" t="str">
        <f t="shared" si="24"/>
        <v>Пт</v>
      </c>
      <c r="P40" s="96">
        <f t="shared" si="25"/>
        <v>0</v>
      </c>
      <c r="Q40" s="96">
        <f>DAY(umumiy_malumot!$B$79)+P40</f>
        <v>10</v>
      </c>
      <c r="R40" s="91">
        <f>IF(A40&lt;=umumiy_malumot!$B$82,DATE(YEAR($B$8),MONTH($B$8)+A39,DAY(umumiy_malumot!$B$79)),0)</f>
        <v>47067</v>
      </c>
      <c r="S40" s="77"/>
      <c r="T40" s="77"/>
      <c r="U40" s="77"/>
      <c r="V40" s="77"/>
    </row>
    <row r="41" spans="1:22" x14ac:dyDescent="0.25">
      <c r="A41" s="83">
        <f t="shared" si="26"/>
        <v>34</v>
      </c>
      <c r="B41" s="84">
        <f>IF(A41&lt;=umumiy_malumot!$B$82,DATE(YEAR(R41),MONTH(R41),DAY(IF(A41=umumiy_malumot!$B$82,umumiy_malumot!$B$67,IF(A41&lt;umumiy_malumot!$B$82,(Q41),IF(A41&gt;umumiy_malumot!$B$82,$H$56,0))))))</f>
        <v>47098</v>
      </c>
      <c r="C41" s="48">
        <f t="shared" si="15"/>
        <v>8333333.2599999681</v>
      </c>
      <c r="D41" s="48">
        <f t="shared" si="16"/>
        <v>2777777.78</v>
      </c>
      <c r="E41" s="48">
        <f t="shared" si="17"/>
        <v>388205.87</v>
      </c>
      <c r="F41" s="48">
        <f t="shared" si="18"/>
        <v>3165983.65</v>
      </c>
      <c r="G41" s="77">
        <f t="shared" si="19"/>
        <v>31</v>
      </c>
      <c r="H41" s="77">
        <f t="shared" si="20"/>
        <v>366</v>
      </c>
      <c r="I41" s="85">
        <f t="shared" si="21"/>
        <v>2777777.78</v>
      </c>
      <c r="J41" s="85">
        <f>SUM($I$8:I40)</f>
        <v>91666666.740000024</v>
      </c>
      <c r="K41" s="85">
        <f t="shared" si="22"/>
        <v>8333333.2599999756</v>
      </c>
      <c r="L41" s="79">
        <f>ROUND(C41*umumiy_malumot!$B$85/H41,2)*G41</f>
        <v>388205.87</v>
      </c>
      <c r="M41" s="79">
        <f t="shared" si="23"/>
        <v>3165983.65</v>
      </c>
      <c r="N41" s="79"/>
      <c r="O41" s="94" t="str">
        <f t="shared" si="24"/>
        <v>Вс</v>
      </c>
      <c r="P41" s="96">
        <f t="shared" si="25"/>
        <v>1</v>
      </c>
      <c r="Q41" s="96">
        <f>DAY(umumiy_malumot!$B$79)+P41</f>
        <v>11</v>
      </c>
      <c r="R41" s="91">
        <f>IF(A41&lt;=umumiy_malumot!$B$82,DATE(YEAR($B$8),MONTH($B$8)+A40,DAY(umumiy_malumot!$B$79)),0)</f>
        <v>47097</v>
      </c>
      <c r="S41" s="77"/>
      <c r="T41" s="77"/>
      <c r="U41" s="77"/>
      <c r="V41" s="77"/>
    </row>
    <row r="42" spans="1:22" x14ac:dyDescent="0.25">
      <c r="A42" s="83">
        <f t="shared" si="26"/>
        <v>35</v>
      </c>
      <c r="B42" s="84">
        <f>IF(A42&lt;=umumiy_malumot!$B$82,DATE(YEAR(R42),MONTH(R42),DAY(IF(A42=umumiy_malumot!$B$82,umumiy_malumot!$B$67,IF(A42&lt;umumiy_malumot!$B$82,(Q42),IF(A42&gt;umumiy_malumot!$B$82,$H$56,0))))))</f>
        <v>47128</v>
      </c>
      <c r="C42" s="48">
        <f t="shared" si="15"/>
        <v>5555555.4799999688</v>
      </c>
      <c r="D42" s="48">
        <f t="shared" si="16"/>
        <v>2777777.78</v>
      </c>
      <c r="E42" s="48">
        <f t="shared" si="17"/>
        <v>251141.39999999997</v>
      </c>
      <c r="F42" s="48">
        <f t="shared" si="18"/>
        <v>3028919.1799999997</v>
      </c>
      <c r="G42" s="77">
        <f t="shared" si="19"/>
        <v>30</v>
      </c>
      <c r="H42" s="77">
        <f t="shared" si="20"/>
        <v>365</v>
      </c>
      <c r="I42" s="85">
        <f t="shared" si="21"/>
        <v>2777777.78</v>
      </c>
      <c r="J42" s="85">
        <f>SUM($I$8:I41)</f>
        <v>94444444.520000026</v>
      </c>
      <c r="K42" s="85">
        <f t="shared" si="22"/>
        <v>5555555.4799999744</v>
      </c>
      <c r="L42" s="79">
        <f>ROUND(C42*umumiy_malumot!$B$85/H42,2)*G42</f>
        <v>251141.39999999997</v>
      </c>
      <c r="M42" s="79">
        <f t="shared" si="23"/>
        <v>3028919.1799999997</v>
      </c>
      <c r="N42" s="79"/>
      <c r="O42" s="94" t="str">
        <f t="shared" si="24"/>
        <v>Ср</v>
      </c>
      <c r="P42" s="96">
        <f t="shared" si="25"/>
        <v>0</v>
      </c>
      <c r="Q42" s="96">
        <f>DAY(umumiy_malumot!$B$79)+P42</f>
        <v>10</v>
      </c>
      <c r="R42" s="91">
        <f>IF(A42&lt;=umumiy_malumot!$B$82,DATE(YEAR($B$8),MONTH($B$8)+A41,DAY(umumiy_malumot!$B$79)),0)</f>
        <v>47128</v>
      </c>
      <c r="S42" s="77"/>
      <c r="T42" s="77"/>
      <c r="U42" s="77"/>
      <c r="V42" s="77"/>
    </row>
    <row r="43" spans="1:22" x14ac:dyDescent="0.25">
      <c r="A43" s="83">
        <f t="shared" ref="A43:A55" si="27">1+A42</f>
        <v>36</v>
      </c>
      <c r="B43" s="84">
        <f>IF(A43&lt;=umumiy_malumot!$B$82,DATE(YEAR(R43),MONTH(R43),DAY(IF(A43=umumiy_malumot!$B$82,umumiy_malumot!$B$67,IF(A43&lt;umumiy_malumot!$B$82,(Q43),IF(A43&gt;umumiy_malumot!$B$82,$H$56,0))))))</f>
        <v>47151</v>
      </c>
      <c r="C43" s="48">
        <f t="shared" ref="C43" si="28">C42-D42</f>
        <v>2777777.699999969</v>
      </c>
      <c r="D43" s="48">
        <f t="shared" ref="D43" si="29">IF(C43=0,L43,IF(C43&gt;1,I43))</f>
        <v>2777777.6999999732</v>
      </c>
      <c r="E43" s="48">
        <f t="shared" ref="E43" si="30">IF(C43=0,N42,IF(C43&gt;1,L43))</f>
        <v>96270.87</v>
      </c>
      <c r="F43" s="48">
        <f t="shared" ref="F43" si="31">IF(C43=0,N42,IF(C43&gt;1,M43))</f>
        <v>2874048.5699999733</v>
      </c>
      <c r="G43" s="77">
        <f t="shared" ref="G43" si="32">B43-B42</f>
        <v>23</v>
      </c>
      <c r="H43" s="77">
        <f t="shared" ref="H43" si="33">DATE(YEAR(B43),12,31)-DATE(YEAR(B43),1,1)+1</f>
        <v>365</v>
      </c>
      <c r="I43" s="85">
        <f t="shared" ref="I43" si="34">IF($L$5=A43,K43,IF($L$5&gt;A43,I42))</f>
        <v>2777777.6999999732</v>
      </c>
      <c r="J43" s="85">
        <f>SUM($I$8:I42)</f>
        <v>97222222.300000027</v>
      </c>
      <c r="K43" s="85">
        <f t="shared" ref="K43" si="35">$J$12-J43</f>
        <v>2777777.6999999732</v>
      </c>
      <c r="L43" s="79">
        <f>ROUND(C43*umumiy_malumot!$B$85/H43,2)*G43</f>
        <v>96270.87</v>
      </c>
      <c r="M43" s="79">
        <f t="shared" ref="M43" si="36">D43+E43</f>
        <v>2874048.5699999733</v>
      </c>
      <c r="N43" s="79"/>
      <c r="O43" s="94" t="str">
        <f t="shared" ref="O43" si="37">TEXT(R43,"ддд")</f>
        <v>Сб</v>
      </c>
      <c r="P43" s="96">
        <f t="shared" ref="P43" si="38">IF(O43=$U$8,2,IF(O43=$V$8,1,0))</f>
        <v>2</v>
      </c>
      <c r="Q43" s="96">
        <f>DAY(umumiy_malumot!$B$79)+P43</f>
        <v>12</v>
      </c>
      <c r="R43" s="91">
        <f>IF(A43&lt;=umumiy_malumot!$B$82,DATE(YEAR($B$8),MONTH($B$8)+A42,DAY(umumiy_malumot!$B$79)),0)</f>
        <v>47159</v>
      </c>
      <c r="S43" s="77"/>
      <c r="T43" s="77"/>
      <c r="U43" s="77"/>
      <c r="V43" s="77"/>
    </row>
    <row r="44" spans="1:22" x14ac:dyDescent="0.25">
      <c r="A44" s="83">
        <f t="shared" si="27"/>
        <v>37</v>
      </c>
      <c r="B44" s="84" t="b">
        <f>IF(A44&lt;=umumiy_malumot!$B$82,DATE(YEAR(R44),MONTH(R44),DAY(IF(A44=umumiy_malumot!$B$82,umumiy_malumot!$B$67,IF(A44&lt;umumiy_malumot!$B$82,(Q44),IF(A44&gt;umumiy_malumot!$B$82,$H$56,0))))))</f>
        <v>0</v>
      </c>
      <c r="C44" s="48">
        <f t="shared" ref="C44:C55" si="39">C43-D43</f>
        <v>-4.1909515857696533E-9</v>
      </c>
      <c r="D44" s="48" t="b">
        <f t="shared" ref="D44:D55" si="40">IF(C44=0,L44,IF(C44&gt;1,I44))</f>
        <v>0</v>
      </c>
      <c r="E44" s="48" t="b">
        <f t="shared" ref="E44:E55" si="41">IF(C44=0,N43,IF(C44&gt;1,L44))</f>
        <v>0</v>
      </c>
      <c r="F44" s="48" t="b">
        <f t="shared" ref="F44:F55" si="42">IF(C44=0,N43,IF(C44&gt;1,M44))</f>
        <v>0</v>
      </c>
      <c r="G44" s="77">
        <f t="shared" ref="G44:G55" si="43">B44-B43</f>
        <v>-47151</v>
      </c>
      <c r="H44" s="77">
        <f t="shared" ref="H44:H55" si="44">DATE(YEAR(B44),12,31)-DATE(YEAR(B44),1,1)+1</f>
        <v>366</v>
      </c>
      <c r="I44" s="85" t="b">
        <f t="shared" ref="I44:I55" si="45">IF($L$5=A44,K44,IF($L$5&gt;A44,I43))</f>
        <v>0</v>
      </c>
      <c r="J44" s="85">
        <f>SUM($I$8:I43)</f>
        <v>100000000</v>
      </c>
      <c r="K44" s="85">
        <f t="shared" ref="K44:K55" si="46">$J$12-J44</f>
        <v>0</v>
      </c>
      <c r="L44" s="79">
        <f>ROUND(C44*umumiy_malumot!$B$85/H44,2)*G44</f>
        <v>0</v>
      </c>
      <c r="M44" s="79">
        <f t="shared" ref="M44:M55" si="47">D44+E44</f>
        <v>0</v>
      </c>
      <c r="N44" s="79"/>
      <c r="O44" s="94" t="str">
        <f t="shared" ref="O44:O55" si="48">TEXT(R44,"ддд")</f>
        <v>Сб</v>
      </c>
      <c r="P44" s="96">
        <f t="shared" ref="P44:P55" si="49">IF(O44=$U$8,2,IF(O44=$V$8,1,0))</f>
        <v>2</v>
      </c>
      <c r="Q44" s="96">
        <f>DAY(umumiy_malumot!$B$79)+P44</f>
        <v>12</v>
      </c>
      <c r="R44" s="91">
        <f>IF(A44&lt;=umumiy_malumot!$B$82,DATE(YEAR($B$8),MONTH($B$8)+A43,DAY(umumiy_malumot!$B$79)),0)</f>
        <v>0</v>
      </c>
      <c r="S44" s="77"/>
      <c r="T44" s="77"/>
      <c r="U44" s="77"/>
      <c r="V44" s="77"/>
    </row>
    <row r="45" spans="1:22" x14ac:dyDescent="0.25">
      <c r="A45" s="83">
        <f t="shared" si="27"/>
        <v>38</v>
      </c>
      <c r="B45" s="84" t="b">
        <f>IF(A45&lt;=umumiy_malumot!$B$82,DATE(YEAR(R45),MONTH(R45),DAY(IF(A45=umumiy_malumot!$B$82,umumiy_malumot!$B$67,IF(A45&lt;umumiy_malumot!$B$82,(Q45),IF(A45&gt;umumiy_malumot!$B$82,$H$56,0))))))</f>
        <v>0</v>
      </c>
      <c r="C45" s="48">
        <f t="shared" si="39"/>
        <v>-4.1909515857696533E-9</v>
      </c>
      <c r="D45" s="48" t="b">
        <f t="shared" si="40"/>
        <v>0</v>
      </c>
      <c r="E45" s="48" t="b">
        <f t="shared" si="41"/>
        <v>0</v>
      </c>
      <c r="F45" s="48" t="b">
        <f t="shared" si="42"/>
        <v>0</v>
      </c>
      <c r="G45" s="77">
        <f t="shared" si="43"/>
        <v>0</v>
      </c>
      <c r="H45" s="77">
        <f t="shared" si="44"/>
        <v>366</v>
      </c>
      <c r="I45" s="85" t="b">
        <f t="shared" si="45"/>
        <v>0</v>
      </c>
      <c r="J45" s="85">
        <f>SUM($I$8:I44)</f>
        <v>100000000</v>
      </c>
      <c r="K45" s="85">
        <f t="shared" si="46"/>
        <v>0</v>
      </c>
      <c r="L45" s="79">
        <f>ROUND(C45*umumiy_malumot!$B$85/H45,2)*G45</f>
        <v>0</v>
      </c>
      <c r="M45" s="79">
        <f t="shared" si="47"/>
        <v>0</v>
      </c>
      <c r="N45" s="79"/>
      <c r="O45" s="94" t="str">
        <f t="shared" si="48"/>
        <v>Сб</v>
      </c>
      <c r="P45" s="96">
        <f t="shared" si="49"/>
        <v>2</v>
      </c>
      <c r="Q45" s="96">
        <f>DAY(umumiy_malumot!$B$79)+P45</f>
        <v>12</v>
      </c>
      <c r="R45" s="91">
        <f>IF(A45&lt;=umumiy_malumot!$B$82,DATE(YEAR($B$8),MONTH($B$8)+A44,DAY(umumiy_malumot!$B$79)),0)</f>
        <v>0</v>
      </c>
      <c r="S45" s="77"/>
      <c r="T45" s="77"/>
      <c r="U45" s="77"/>
      <c r="V45" s="77"/>
    </row>
    <row r="46" spans="1:22" x14ac:dyDescent="0.25">
      <c r="A46" s="83">
        <f t="shared" si="27"/>
        <v>39</v>
      </c>
      <c r="B46" s="84" t="b">
        <f>IF(A46&lt;=umumiy_malumot!$B$82,DATE(YEAR(R46),MONTH(R46),DAY(IF(A46=umumiy_malumot!$B$82,umumiy_malumot!$B$67,IF(A46&lt;umumiy_malumot!$B$82,(Q46),IF(A46&gt;umumiy_malumot!$B$82,$H$56,0))))))</f>
        <v>0</v>
      </c>
      <c r="C46" s="48">
        <f t="shared" si="39"/>
        <v>-4.1909515857696533E-9</v>
      </c>
      <c r="D46" s="48" t="b">
        <f t="shared" si="40"/>
        <v>0</v>
      </c>
      <c r="E46" s="48" t="b">
        <f t="shared" si="41"/>
        <v>0</v>
      </c>
      <c r="F46" s="48" t="b">
        <f t="shared" si="42"/>
        <v>0</v>
      </c>
      <c r="G46" s="77">
        <f t="shared" si="43"/>
        <v>0</v>
      </c>
      <c r="H46" s="77">
        <f t="shared" si="44"/>
        <v>366</v>
      </c>
      <c r="I46" s="85" t="b">
        <f t="shared" si="45"/>
        <v>0</v>
      </c>
      <c r="J46" s="85">
        <f>SUM($I$8:I45)</f>
        <v>100000000</v>
      </c>
      <c r="K46" s="85">
        <f t="shared" si="46"/>
        <v>0</v>
      </c>
      <c r="L46" s="79">
        <f>ROUND(C46*umumiy_malumot!$B$85/H46,2)*G46</f>
        <v>0</v>
      </c>
      <c r="M46" s="79">
        <f t="shared" si="47"/>
        <v>0</v>
      </c>
      <c r="N46" s="79"/>
      <c r="O46" s="94" t="str">
        <f t="shared" si="48"/>
        <v>Сб</v>
      </c>
      <c r="P46" s="96">
        <f t="shared" si="49"/>
        <v>2</v>
      </c>
      <c r="Q46" s="96">
        <f>DAY(umumiy_malumot!$B$79)+P46</f>
        <v>12</v>
      </c>
      <c r="R46" s="91">
        <f>IF(A46&lt;=umumiy_malumot!$B$82,DATE(YEAR($B$8),MONTH($B$8)+A45,DAY(umumiy_malumot!$B$79)),0)</f>
        <v>0</v>
      </c>
      <c r="S46" s="77"/>
      <c r="T46" s="77"/>
      <c r="U46" s="77"/>
      <c r="V46" s="77"/>
    </row>
    <row r="47" spans="1:22" x14ac:dyDescent="0.25">
      <c r="A47" s="83">
        <f t="shared" si="27"/>
        <v>40</v>
      </c>
      <c r="B47" s="84" t="b">
        <f>IF(A47&lt;=umumiy_malumot!$B$82,DATE(YEAR(R47),MONTH(R47),DAY(IF(A47=umumiy_malumot!$B$82,umumiy_malumot!$B$67,IF(A47&lt;umumiy_malumot!$B$82,(Q47),IF(A47&gt;umumiy_malumot!$B$82,$H$56,0))))))</f>
        <v>0</v>
      </c>
      <c r="C47" s="48">
        <f t="shared" si="39"/>
        <v>-4.1909515857696533E-9</v>
      </c>
      <c r="D47" s="48" t="b">
        <f t="shared" si="40"/>
        <v>0</v>
      </c>
      <c r="E47" s="48" t="b">
        <f t="shared" si="41"/>
        <v>0</v>
      </c>
      <c r="F47" s="48" t="b">
        <f t="shared" si="42"/>
        <v>0</v>
      </c>
      <c r="G47" s="77">
        <f t="shared" si="43"/>
        <v>0</v>
      </c>
      <c r="H47" s="77">
        <f t="shared" si="44"/>
        <v>366</v>
      </c>
      <c r="I47" s="85" t="b">
        <f t="shared" si="45"/>
        <v>0</v>
      </c>
      <c r="J47" s="85">
        <f>SUM($I$8:I46)</f>
        <v>100000000</v>
      </c>
      <c r="K47" s="85">
        <f t="shared" si="46"/>
        <v>0</v>
      </c>
      <c r="L47" s="79">
        <f>ROUND(C47*umumiy_malumot!$B$85/H47,2)*G47</f>
        <v>0</v>
      </c>
      <c r="M47" s="79">
        <f t="shared" si="47"/>
        <v>0</v>
      </c>
      <c r="N47" s="79"/>
      <c r="O47" s="94" t="str">
        <f t="shared" si="48"/>
        <v>Сб</v>
      </c>
      <c r="P47" s="96">
        <f t="shared" si="49"/>
        <v>2</v>
      </c>
      <c r="Q47" s="96">
        <f>DAY(umumiy_malumot!$B$79)+P47</f>
        <v>12</v>
      </c>
      <c r="R47" s="91">
        <f>IF(A47&lt;=umumiy_malumot!$B$82,DATE(YEAR($B$8),MONTH($B$8)+A46,DAY(umumiy_malumot!$B$79)),0)</f>
        <v>0</v>
      </c>
      <c r="S47" s="77"/>
      <c r="T47" s="77"/>
      <c r="U47" s="77"/>
      <c r="V47" s="77"/>
    </row>
    <row r="48" spans="1:22" x14ac:dyDescent="0.25">
      <c r="A48" s="83">
        <f t="shared" si="27"/>
        <v>41</v>
      </c>
      <c r="B48" s="84" t="b">
        <f>IF(A48&lt;=umumiy_malumot!$B$82,DATE(YEAR(R48),MONTH(R48),DAY(IF(A48=umumiy_malumot!$B$82,umumiy_malumot!$B$67,IF(A48&lt;umumiy_malumot!$B$82,(Q48),IF(A48&gt;umumiy_malumot!$B$82,$H$56,0))))))</f>
        <v>0</v>
      </c>
      <c r="C48" s="48">
        <f t="shared" si="39"/>
        <v>-4.1909515857696533E-9</v>
      </c>
      <c r="D48" s="48" t="b">
        <f t="shared" si="40"/>
        <v>0</v>
      </c>
      <c r="E48" s="48" t="b">
        <f t="shared" si="41"/>
        <v>0</v>
      </c>
      <c r="F48" s="48" t="b">
        <f t="shared" si="42"/>
        <v>0</v>
      </c>
      <c r="G48" s="77">
        <f t="shared" si="43"/>
        <v>0</v>
      </c>
      <c r="H48" s="77">
        <f t="shared" si="44"/>
        <v>366</v>
      </c>
      <c r="I48" s="85" t="b">
        <f t="shared" si="45"/>
        <v>0</v>
      </c>
      <c r="J48" s="85">
        <f>SUM($I$8:I47)</f>
        <v>100000000</v>
      </c>
      <c r="K48" s="85">
        <f t="shared" si="46"/>
        <v>0</v>
      </c>
      <c r="L48" s="79">
        <f>ROUND(C48*umumiy_malumot!$B$85/H48,2)*G48</f>
        <v>0</v>
      </c>
      <c r="M48" s="79">
        <f t="shared" si="47"/>
        <v>0</v>
      </c>
      <c r="N48" s="79"/>
      <c r="O48" s="94" t="str">
        <f t="shared" si="48"/>
        <v>Сб</v>
      </c>
      <c r="P48" s="96">
        <f t="shared" si="49"/>
        <v>2</v>
      </c>
      <c r="Q48" s="96">
        <f>DAY(umumiy_malumot!$B$79)+P48</f>
        <v>12</v>
      </c>
      <c r="R48" s="91">
        <f>IF(A48&lt;=umumiy_malumot!$B$82,DATE(YEAR($B$8),MONTH($B$8)+A47,DAY(umumiy_malumot!$B$79)),0)</f>
        <v>0</v>
      </c>
      <c r="S48" s="77"/>
      <c r="T48" s="77"/>
      <c r="U48" s="77"/>
      <c r="V48" s="77"/>
    </row>
    <row r="49" spans="1:22" x14ac:dyDescent="0.25">
      <c r="A49" s="83">
        <f t="shared" si="27"/>
        <v>42</v>
      </c>
      <c r="B49" s="84" t="b">
        <f>IF(A49&lt;=umumiy_malumot!$B$82,DATE(YEAR(R49),MONTH(R49),DAY(IF(A49=umumiy_malumot!$B$82,umumiy_malumot!$B$67,IF(A49&lt;umumiy_malumot!$B$82,(Q49),IF(A49&gt;umumiy_malumot!$B$82,$H$56,0))))))</f>
        <v>0</v>
      </c>
      <c r="C49" s="48">
        <f t="shared" si="39"/>
        <v>-4.1909515857696533E-9</v>
      </c>
      <c r="D49" s="48" t="b">
        <f t="shared" si="40"/>
        <v>0</v>
      </c>
      <c r="E49" s="48" t="b">
        <f t="shared" si="41"/>
        <v>0</v>
      </c>
      <c r="F49" s="48" t="b">
        <f t="shared" si="42"/>
        <v>0</v>
      </c>
      <c r="G49" s="77">
        <f t="shared" si="43"/>
        <v>0</v>
      </c>
      <c r="H49" s="77">
        <f t="shared" si="44"/>
        <v>366</v>
      </c>
      <c r="I49" s="85" t="b">
        <f t="shared" si="45"/>
        <v>0</v>
      </c>
      <c r="J49" s="85">
        <f>SUM($I$8:I48)</f>
        <v>100000000</v>
      </c>
      <c r="K49" s="85">
        <f t="shared" si="46"/>
        <v>0</v>
      </c>
      <c r="L49" s="79">
        <f>ROUND(C49*umumiy_malumot!$B$85/H49,2)*G49</f>
        <v>0</v>
      </c>
      <c r="M49" s="79">
        <f t="shared" si="47"/>
        <v>0</v>
      </c>
      <c r="N49" s="79"/>
      <c r="O49" s="94" t="str">
        <f t="shared" si="48"/>
        <v>Сб</v>
      </c>
      <c r="P49" s="96">
        <f t="shared" si="49"/>
        <v>2</v>
      </c>
      <c r="Q49" s="96">
        <f>DAY(umumiy_malumot!$B$79)+P49</f>
        <v>12</v>
      </c>
      <c r="R49" s="91">
        <f>IF(A49&lt;=umumiy_malumot!$B$82,DATE(YEAR($B$8),MONTH($B$8)+A48,DAY(umumiy_malumot!$B$79)),0)</f>
        <v>0</v>
      </c>
      <c r="S49" s="77"/>
      <c r="T49" s="77"/>
      <c r="U49" s="77"/>
      <c r="V49" s="77"/>
    </row>
    <row r="50" spans="1:22" x14ac:dyDescent="0.25">
      <c r="A50" s="83">
        <f t="shared" si="27"/>
        <v>43</v>
      </c>
      <c r="B50" s="84" t="b">
        <f>IF(A50&lt;=umumiy_malumot!$B$82,DATE(YEAR(R50),MONTH(R50),DAY(IF(A50=umumiy_malumot!$B$82,umumiy_malumot!$B$67,IF(A50&lt;umumiy_malumot!$B$82,(Q50),IF(A50&gt;umumiy_malumot!$B$82,$H$56,0))))))</f>
        <v>0</v>
      </c>
      <c r="C50" s="48">
        <f t="shared" si="39"/>
        <v>-4.1909515857696533E-9</v>
      </c>
      <c r="D50" s="48" t="b">
        <f t="shared" si="40"/>
        <v>0</v>
      </c>
      <c r="E50" s="48" t="b">
        <f t="shared" si="41"/>
        <v>0</v>
      </c>
      <c r="F50" s="48" t="b">
        <f t="shared" si="42"/>
        <v>0</v>
      </c>
      <c r="G50" s="77">
        <f t="shared" si="43"/>
        <v>0</v>
      </c>
      <c r="H50" s="77">
        <f t="shared" si="44"/>
        <v>366</v>
      </c>
      <c r="I50" s="85" t="b">
        <f t="shared" si="45"/>
        <v>0</v>
      </c>
      <c r="J50" s="85">
        <f>SUM($I$8:I49)</f>
        <v>100000000</v>
      </c>
      <c r="K50" s="85">
        <f t="shared" si="46"/>
        <v>0</v>
      </c>
      <c r="L50" s="79">
        <f>ROUND(C50*umumiy_malumot!$B$85/H50,2)*G50</f>
        <v>0</v>
      </c>
      <c r="M50" s="79">
        <f t="shared" si="47"/>
        <v>0</v>
      </c>
      <c r="N50" s="79"/>
      <c r="O50" s="94" t="str">
        <f t="shared" si="48"/>
        <v>Сб</v>
      </c>
      <c r="P50" s="96">
        <f t="shared" si="49"/>
        <v>2</v>
      </c>
      <c r="Q50" s="96">
        <f>DAY(umumiy_malumot!$B$79)+P50</f>
        <v>12</v>
      </c>
      <c r="R50" s="91">
        <f>IF(A50&lt;=umumiy_malumot!$B$82,DATE(YEAR($B$8),MONTH($B$8)+A49,DAY(umumiy_malumot!$B$79)),0)</f>
        <v>0</v>
      </c>
      <c r="S50" s="77"/>
      <c r="T50" s="77"/>
      <c r="U50" s="77"/>
      <c r="V50" s="77"/>
    </row>
    <row r="51" spans="1:22" x14ac:dyDescent="0.25">
      <c r="A51" s="83">
        <f t="shared" si="27"/>
        <v>44</v>
      </c>
      <c r="B51" s="84" t="b">
        <f>IF(A51&lt;=umumiy_malumot!$B$82,DATE(YEAR(R51),MONTH(R51),DAY(IF(A51=umumiy_malumot!$B$82,umumiy_malumot!$B$67,IF(A51&lt;umumiy_malumot!$B$82,(Q51),IF(A51&gt;umumiy_malumot!$B$82,$H$56,0))))))</f>
        <v>0</v>
      </c>
      <c r="C51" s="48">
        <f t="shared" si="39"/>
        <v>-4.1909515857696533E-9</v>
      </c>
      <c r="D51" s="48" t="b">
        <f t="shared" si="40"/>
        <v>0</v>
      </c>
      <c r="E51" s="48" t="b">
        <f t="shared" si="41"/>
        <v>0</v>
      </c>
      <c r="F51" s="48" t="b">
        <f t="shared" si="42"/>
        <v>0</v>
      </c>
      <c r="G51" s="77">
        <f t="shared" si="43"/>
        <v>0</v>
      </c>
      <c r="H51" s="77">
        <f t="shared" si="44"/>
        <v>366</v>
      </c>
      <c r="I51" s="85" t="b">
        <f t="shared" si="45"/>
        <v>0</v>
      </c>
      <c r="J51" s="85">
        <f>SUM($I$8:I50)</f>
        <v>100000000</v>
      </c>
      <c r="K51" s="85">
        <f t="shared" si="46"/>
        <v>0</v>
      </c>
      <c r="L51" s="79">
        <f>ROUND(C51*umumiy_malumot!$B$85/H51,2)*G51</f>
        <v>0</v>
      </c>
      <c r="M51" s="79">
        <f t="shared" si="47"/>
        <v>0</v>
      </c>
      <c r="N51" s="79"/>
      <c r="O51" s="94" t="str">
        <f t="shared" si="48"/>
        <v>Сб</v>
      </c>
      <c r="P51" s="96">
        <f t="shared" si="49"/>
        <v>2</v>
      </c>
      <c r="Q51" s="96">
        <f>DAY(umumiy_malumot!$B$79)+P51</f>
        <v>12</v>
      </c>
      <c r="R51" s="91">
        <f>IF(A51&lt;=umumiy_malumot!$B$82,DATE(YEAR($B$8),MONTH($B$8)+A50,DAY(umumiy_malumot!$B$79)),0)</f>
        <v>0</v>
      </c>
      <c r="S51" s="77"/>
      <c r="T51" s="77"/>
      <c r="U51" s="77"/>
      <c r="V51" s="77"/>
    </row>
    <row r="52" spans="1:22" x14ac:dyDescent="0.25">
      <c r="A52" s="83">
        <f t="shared" si="27"/>
        <v>45</v>
      </c>
      <c r="B52" s="84" t="b">
        <f>IF(A52&lt;=umumiy_malumot!$B$82,DATE(YEAR(R52),MONTH(R52),DAY(IF(A52=umumiy_malumot!$B$82,umumiy_malumot!$B$67,IF(A52&lt;umumiy_malumot!$B$82,(Q52),IF(A52&gt;umumiy_malumot!$B$82,$H$56,0))))))</f>
        <v>0</v>
      </c>
      <c r="C52" s="48">
        <f t="shared" si="39"/>
        <v>-4.1909515857696533E-9</v>
      </c>
      <c r="D52" s="48" t="b">
        <f t="shared" si="40"/>
        <v>0</v>
      </c>
      <c r="E52" s="48" t="b">
        <f t="shared" si="41"/>
        <v>0</v>
      </c>
      <c r="F52" s="48" t="b">
        <f t="shared" si="42"/>
        <v>0</v>
      </c>
      <c r="G52" s="77">
        <f t="shared" si="43"/>
        <v>0</v>
      </c>
      <c r="H52" s="77">
        <f t="shared" si="44"/>
        <v>366</v>
      </c>
      <c r="I52" s="85" t="b">
        <f t="shared" si="45"/>
        <v>0</v>
      </c>
      <c r="J52" s="85">
        <f>SUM($I$8:I51)</f>
        <v>100000000</v>
      </c>
      <c r="K52" s="85">
        <f t="shared" si="46"/>
        <v>0</v>
      </c>
      <c r="L52" s="79">
        <f>ROUND(C52*umumiy_malumot!$B$85/H52,2)*G52</f>
        <v>0</v>
      </c>
      <c r="M52" s="79">
        <f t="shared" si="47"/>
        <v>0</v>
      </c>
      <c r="N52" s="79"/>
      <c r="O52" s="94" t="str">
        <f t="shared" si="48"/>
        <v>Сб</v>
      </c>
      <c r="P52" s="96">
        <f t="shared" si="49"/>
        <v>2</v>
      </c>
      <c r="Q52" s="96">
        <f>DAY(umumiy_malumot!$B$79)+P52</f>
        <v>12</v>
      </c>
      <c r="R52" s="91">
        <f>IF(A52&lt;=umumiy_malumot!$B$82,DATE(YEAR($B$8),MONTH($B$8)+A51,DAY(umumiy_malumot!$B$79)),0)</f>
        <v>0</v>
      </c>
      <c r="S52" s="77"/>
      <c r="T52" s="77"/>
      <c r="U52" s="77"/>
      <c r="V52" s="77"/>
    </row>
    <row r="53" spans="1:22" x14ac:dyDescent="0.25">
      <c r="A53" s="83">
        <f t="shared" si="27"/>
        <v>46</v>
      </c>
      <c r="B53" s="84" t="b">
        <f>IF(A53&lt;=umumiy_malumot!$B$82,DATE(YEAR(R53),MONTH(R53),DAY(IF(A53=umumiy_malumot!$B$82,umumiy_malumot!$B$67,IF(A53&lt;umumiy_malumot!$B$82,(Q53),IF(A53&gt;umumiy_malumot!$B$82,$H$56,0))))))</f>
        <v>0</v>
      </c>
      <c r="C53" s="48">
        <f t="shared" si="39"/>
        <v>-4.1909515857696533E-9</v>
      </c>
      <c r="D53" s="48" t="b">
        <f t="shared" si="40"/>
        <v>0</v>
      </c>
      <c r="E53" s="48" t="b">
        <f t="shared" si="41"/>
        <v>0</v>
      </c>
      <c r="F53" s="48" t="b">
        <f t="shared" si="42"/>
        <v>0</v>
      </c>
      <c r="G53" s="77">
        <f t="shared" si="43"/>
        <v>0</v>
      </c>
      <c r="H53" s="77">
        <f t="shared" si="44"/>
        <v>366</v>
      </c>
      <c r="I53" s="85" t="b">
        <f t="shared" si="45"/>
        <v>0</v>
      </c>
      <c r="J53" s="85">
        <f>SUM($I$8:I52)</f>
        <v>100000000</v>
      </c>
      <c r="K53" s="85">
        <f t="shared" si="46"/>
        <v>0</v>
      </c>
      <c r="L53" s="79">
        <f>ROUND(C53*umumiy_malumot!$B$85/H53,2)*G53</f>
        <v>0</v>
      </c>
      <c r="M53" s="79">
        <f t="shared" si="47"/>
        <v>0</v>
      </c>
      <c r="N53" s="79"/>
      <c r="O53" s="94" t="str">
        <f t="shared" si="48"/>
        <v>Сб</v>
      </c>
      <c r="P53" s="96">
        <f t="shared" si="49"/>
        <v>2</v>
      </c>
      <c r="Q53" s="96">
        <f>DAY(umumiy_malumot!$B$79)+P53</f>
        <v>12</v>
      </c>
      <c r="R53" s="91">
        <f>IF(A53&lt;=umumiy_malumot!$B$82,DATE(YEAR($B$8),MONTH($B$8)+A52,DAY(umumiy_malumot!$B$79)),0)</f>
        <v>0</v>
      </c>
      <c r="S53" s="77"/>
      <c r="T53" s="77"/>
      <c r="U53" s="77"/>
      <c r="V53" s="77"/>
    </row>
    <row r="54" spans="1:22" x14ac:dyDescent="0.25">
      <c r="A54" s="83">
        <f t="shared" si="27"/>
        <v>47</v>
      </c>
      <c r="B54" s="84" t="b">
        <f>IF(A54&lt;=umumiy_malumot!$B$82,DATE(YEAR(R54),MONTH(R54),DAY(IF(A54=umumiy_malumot!$B$82,umumiy_malumot!$B$67,IF(A54&lt;umumiy_malumot!$B$82,(Q54),IF(A54&gt;umumiy_malumot!$B$82,$H$56,0))))))</f>
        <v>0</v>
      </c>
      <c r="C54" s="48">
        <f t="shared" si="39"/>
        <v>-4.1909515857696533E-9</v>
      </c>
      <c r="D54" s="48" t="b">
        <f t="shared" si="40"/>
        <v>0</v>
      </c>
      <c r="E54" s="48" t="b">
        <f t="shared" si="41"/>
        <v>0</v>
      </c>
      <c r="F54" s="48" t="b">
        <f t="shared" si="42"/>
        <v>0</v>
      </c>
      <c r="G54" s="77">
        <f t="shared" si="43"/>
        <v>0</v>
      </c>
      <c r="H54" s="77">
        <f t="shared" si="44"/>
        <v>366</v>
      </c>
      <c r="I54" s="85" t="b">
        <f t="shared" si="45"/>
        <v>0</v>
      </c>
      <c r="J54" s="85">
        <f>SUM($I$8:I53)</f>
        <v>100000000</v>
      </c>
      <c r="K54" s="85">
        <f t="shared" si="46"/>
        <v>0</v>
      </c>
      <c r="L54" s="79">
        <f>ROUND(C54*umumiy_malumot!$B$85/H54,2)*G54</f>
        <v>0</v>
      </c>
      <c r="M54" s="79">
        <f t="shared" si="47"/>
        <v>0</v>
      </c>
      <c r="N54" s="79"/>
      <c r="O54" s="94" t="str">
        <f t="shared" si="48"/>
        <v>Сб</v>
      </c>
      <c r="P54" s="96">
        <f t="shared" si="49"/>
        <v>2</v>
      </c>
      <c r="Q54" s="96">
        <f>DAY(umumiy_malumot!$B$79)+P54</f>
        <v>12</v>
      </c>
      <c r="R54" s="91">
        <f>IF(A54&lt;=umumiy_malumot!$B$82,DATE(YEAR($B$8),MONTH($B$8)+A53,DAY(umumiy_malumot!$B$79)),0)</f>
        <v>0</v>
      </c>
      <c r="S54" s="77"/>
      <c r="T54" s="77"/>
      <c r="U54" s="77"/>
      <c r="V54" s="77"/>
    </row>
    <row r="55" spans="1:22" x14ac:dyDescent="0.25">
      <c r="A55" s="83">
        <f t="shared" si="27"/>
        <v>48</v>
      </c>
      <c r="B55" s="84" t="b">
        <f>IF(A55&lt;=umumiy_malumot!$B$82,DATE(YEAR(R55),MONTH(R55),DAY(IF(A55=umumiy_malumot!$B$82,umumiy_malumot!$B$67,IF(A55&lt;umumiy_malumot!$B$82,(Q55),IF(A55&gt;umumiy_malumot!$B$82,$H$56,0))))))</f>
        <v>0</v>
      </c>
      <c r="C55" s="48">
        <f t="shared" si="39"/>
        <v>-4.1909515857696533E-9</v>
      </c>
      <c r="D55" s="48" t="b">
        <f t="shared" si="40"/>
        <v>0</v>
      </c>
      <c r="E55" s="48" t="b">
        <f t="shared" si="41"/>
        <v>0</v>
      </c>
      <c r="F55" s="48" t="b">
        <f t="shared" si="42"/>
        <v>0</v>
      </c>
      <c r="G55" s="77">
        <f t="shared" si="43"/>
        <v>0</v>
      </c>
      <c r="H55" s="77">
        <f t="shared" si="44"/>
        <v>366</v>
      </c>
      <c r="I55" s="85" t="b">
        <f t="shared" si="45"/>
        <v>0</v>
      </c>
      <c r="J55" s="85">
        <f>SUM($I$8:I54)</f>
        <v>100000000</v>
      </c>
      <c r="K55" s="85">
        <f t="shared" si="46"/>
        <v>0</v>
      </c>
      <c r="L55" s="79">
        <f>ROUND(C55*umumiy_malumot!$B$85/H55,2)*G55</f>
        <v>0</v>
      </c>
      <c r="M55" s="79">
        <f t="shared" si="47"/>
        <v>0</v>
      </c>
      <c r="N55" s="79"/>
      <c r="O55" s="94" t="str">
        <f t="shared" si="48"/>
        <v>Сб</v>
      </c>
      <c r="P55" s="96">
        <f t="shared" si="49"/>
        <v>2</v>
      </c>
      <c r="Q55" s="96">
        <f>DAY(umumiy_malumot!$B$79)+P55</f>
        <v>12</v>
      </c>
      <c r="R55" s="91">
        <f>IF(A55&lt;=umumiy_malumot!$B$82,DATE(YEAR($B$8),MONTH($B$8)+A54,DAY(umumiy_malumot!$B$79)),0)</f>
        <v>0</v>
      </c>
      <c r="S55" s="77"/>
      <c r="T55" s="77"/>
      <c r="U55" s="77"/>
      <c r="V55" s="77"/>
    </row>
    <row r="56" spans="1:22" x14ac:dyDescent="0.25">
      <c r="A56" s="86"/>
      <c r="B56" s="87" t="s">
        <v>6</v>
      </c>
      <c r="C56" s="88"/>
      <c r="D56" s="88">
        <f>SUM(D8:D55)</f>
        <v>100000000</v>
      </c>
      <c r="E56" s="88">
        <f t="shared" ref="E56:F56" si="50">SUM(E8:E55)</f>
        <v>85825452.450000048</v>
      </c>
      <c r="F56" s="88">
        <f t="shared" si="50"/>
        <v>185825452.44999999</v>
      </c>
    </row>
    <row r="57" spans="1:22" ht="9" customHeight="1" x14ac:dyDescent="0.25">
      <c r="B57" s="89"/>
      <c r="C57" s="90"/>
      <c r="D57" s="90"/>
      <c r="E57" s="90"/>
      <c r="F57" s="90"/>
    </row>
    <row r="58" spans="1:22" ht="47.25" customHeight="1" x14ac:dyDescent="0.25">
      <c r="A58" s="353" t="s">
        <v>16</v>
      </c>
      <c r="B58" s="353"/>
      <c r="C58" s="353"/>
      <c r="D58" s="353"/>
      <c r="E58" s="353"/>
      <c r="F58" s="353"/>
    </row>
    <row r="59" spans="1:22" ht="7.5" customHeight="1" x14ac:dyDescent="0.25"/>
    <row r="60" spans="1:22" x14ac:dyDescent="0.25">
      <c r="A60" s="354" t="e">
        <f>#REF!</f>
        <v>#REF!</v>
      </c>
      <c r="B60" s="354"/>
      <c r="C60" s="354"/>
      <c r="D60" s="354" t="e">
        <f>#REF!</f>
        <v>#REF!</v>
      </c>
      <c r="E60" s="354"/>
      <c r="F60" s="354"/>
    </row>
    <row r="61" spans="1:22" ht="11.25" customHeight="1" x14ac:dyDescent="0.25">
      <c r="A61" s="355"/>
      <c r="B61" s="355"/>
      <c r="C61" s="355"/>
      <c r="D61" s="355"/>
      <c r="E61" s="355"/>
      <c r="F61" s="355"/>
    </row>
    <row r="62" spans="1:22" ht="30" customHeight="1" x14ac:dyDescent="0.25">
      <c r="A62" s="341" t="e">
        <f>#REF!</f>
        <v>#REF!</v>
      </c>
      <c r="B62" s="341"/>
      <c r="C62" s="341"/>
      <c r="D62" s="341" t="e">
        <f>#REF!</f>
        <v>#REF!</v>
      </c>
      <c r="E62" s="341"/>
      <c r="F62" s="341"/>
    </row>
    <row r="63" spans="1:22" ht="32.25" customHeight="1" x14ac:dyDescent="0.25">
      <c r="A63" s="352" t="e">
        <f>#REF!</f>
        <v>#REF!</v>
      </c>
      <c r="B63" s="352"/>
      <c r="C63" s="352"/>
      <c r="D63" s="352" t="e">
        <f>#REF!</f>
        <v>#REF!</v>
      </c>
      <c r="E63" s="352"/>
      <c r="F63" s="352"/>
    </row>
    <row r="64" spans="1:22" x14ac:dyDescent="0.25">
      <c r="A64" s="352" t="e">
        <f>#REF!</f>
        <v>#REF!</v>
      </c>
      <c r="B64" s="352"/>
      <c r="C64" s="352"/>
      <c r="D64" s="352" t="str">
        <f>"паспорт серии "&amp;umumiy_malumot!B16&amp;", "&amp;umumiy_malumot!B20&amp;""</f>
        <v>паспорт серии AD 1654245, IIV 26264 tomonidan 15.08.2022 yilda berilgan</v>
      </c>
      <c r="E64" s="352"/>
      <c r="F64" s="352"/>
    </row>
    <row r="65" spans="1:6" ht="32.25" customHeight="1" x14ac:dyDescent="0.25">
      <c r="A65" s="352" t="e">
        <f>#REF!</f>
        <v>#REF!</v>
      </c>
      <c r="B65" s="352"/>
      <c r="C65" s="352"/>
      <c r="D65" s="352"/>
      <c r="E65" s="352"/>
      <c r="F65" s="352"/>
    </row>
    <row r="66" spans="1:6" x14ac:dyDescent="0.25">
      <c r="A66" s="352" t="e">
        <f>#REF!</f>
        <v>#REF!</v>
      </c>
      <c r="B66" s="352"/>
      <c r="C66" s="352"/>
      <c r="D66" s="352" t="e">
        <f>#REF!</f>
        <v>#REF!</v>
      </c>
      <c r="E66" s="352"/>
      <c r="F66" s="352"/>
    </row>
    <row r="67" spans="1:6" x14ac:dyDescent="0.25">
      <c r="A67" s="352" t="e">
        <f>#REF!</f>
        <v>#REF!</v>
      </c>
      <c r="B67" s="352"/>
      <c r="C67" s="352"/>
      <c r="D67" s="352" t="e">
        <f>#REF!</f>
        <v>#REF!</v>
      </c>
      <c r="E67" s="352"/>
      <c r="F67" s="352"/>
    </row>
    <row r="68" spans="1:6" x14ac:dyDescent="0.25">
      <c r="A68" s="352" t="e">
        <f>#REF!</f>
        <v>#REF!</v>
      </c>
      <c r="B68" s="352"/>
      <c r="C68" s="352"/>
      <c r="D68" s="352" t="e">
        <f>#REF!</f>
        <v>#REF!</v>
      </c>
      <c r="E68" s="352"/>
      <c r="F68" s="352"/>
    </row>
    <row r="69" spans="1:6" ht="8.25" customHeight="1" x14ac:dyDescent="0.25">
      <c r="A69" s="352"/>
      <c r="B69" s="352"/>
      <c r="C69" s="352"/>
      <c r="D69" s="352"/>
      <c r="E69" s="352"/>
      <c r="F69" s="352"/>
    </row>
    <row r="70" spans="1:6" x14ac:dyDescent="0.25">
      <c r="A70" s="341" t="e">
        <f>#REF!</f>
        <v>#REF!</v>
      </c>
      <c r="B70" s="341"/>
      <c r="C70" s="341"/>
      <c r="D70" s="341" t="e">
        <f>#REF!</f>
        <v>#REF!</v>
      </c>
      <c r="E70" s="341"/>
      <c r="F70" s="341"/>
    </row>
    <row r="71" spans="1:6" ht="7.5" customHeight="1" x14ac:dyDescent="0.25">
      <c r="A71" s="341"/>
      <c r="B71" s="341"/>
      <c r="C71" s="341"/>
      <c r="D71" s="341"/>
      <c r="E71" s="341"/>
      <c r="F71" s="341"/>
    </row>
    <row r="72" spans="1:6" x14ac:dyDescent="0.25">
      <c r="A72" s="341" t="e">
        <f>#REF!</f>
        <v>#REF!</v>
      </c>
      <c r="B72" s="341"/>
      <c r="C72" s="341"/>
      <c r="D72" s="341" t="e">
        <f>#REF!</f>
        <v>#REF!</v>
      </c>
      <c r="E72" s="341"/>
      <c r="F72" s="341"/>
    </row>
    <row r="73" spans="1:6" ht="8.25" customHeight="1" x14ac:dyDescent="0.25">
      <c r="A73" s="352"/>
      <c r="B73" s="352"/>
      <c r="C73" s="352"/>
      <c r="D73" s="352"/>
      <c r="E73" s="352"/>
      <c r="F73" s="352"/>
    </row>
    <row r="74" spans="1:6" ht="30" customHeight="1" x14ac:dyDescent="0.25">
      <c r="A74" s="357"/>
      <c r="B74" s="357"/>
      <c r="C74" s="357"/>
      <c r="D74" s="358" t="e">
        <f>#REF!</f>
        <v>#REF!</v>
      </c>
      <c r="E74" s="358"/>
      <c r="F74" s="358"/>
    </row>
    <row r="75" spans="1:6" x14ac:dyDescent="0.25">
      <c r="A75" s="359"/>
      <c r="B75" s="359"/>
      <c r="C75" s="359"/>
      <c r="D75" s="359"/>
      <c r="E75" s="359"/>
      <c r="F75" s="359"/>
    </row>
    <row r="76" spans="1:6" x14ac:dyDescent="0.25">
      <c r="A76" s="356"/>
      <c r="B76" s="356"/>
      <c r="C76" s="356"/>
      <c r="D76" s="356"/>
      <c r="E76" s="356"/>
      <c r="F76" s="356"/>
    </row>
  </sheetData>
  <mergeCells count="40">
    <mergeCell ref="A76:C76"/>
    <mergeCell ref="D76:F76"/>
    <mergeCell ref="A73:C73"/>
    <mergeCell ref="D73:F73"/>
    <mergeCell ref="A74:C74"/>
    <mergeCell ref="D74:F74"/>
    <mergeCell ref="A75:C75"/>
    <mergeCell ref="D75:F75"/>
    <mergeCell ref="A70:C70"/>
    <mergeCell ref="D70:F70"/>
    <mergeCell ref="A71:C71"/>
    <mergeCell ref="D71:F71"/>
    <mergeCell ref="A72:C72"/>
    <mergeCell ref="D72:F72"/>
    <mergeCell ref="A67:C67"/>
    <mergeCell ref="D67:F67"/>
    <mergeCell ref="A68:C68"/>
    <mergeCell ref="D68:F68"/>
    <mergeCell ref="A69:C69"/>
    <mergeCell ref="D69:F69"/>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E1:F1"/>
    <mergeCell ref="A4:F4"/>
    <mergeCell ref="A6:A7"/>
    <mergeCell ref="B6:B7"/>
    <mergeCell ref="C6:C7"/>
    <mergeCell ref="D6:F6"/>
  </mergeCells>
  <conditionalFormatting sqref="B8:B55">
    <cfRule type="cellIs" dxfId="5" priority="3" operator="lessThan">
      <formula>22105</formula>
    </cfRule>
  </conditionalFormatting>
  <conditionalFormatting sqref="C8:C55">
    <cfRule type="cellIs" dxfId="4" priority="2" operator="lessThan">
      <formula>1</formula>
    </cfRule>
  </conditionalFormatting>
  <conditionalFormatting sqref="C8:F55">
    <cfRule type="cellIs" dxfId="3"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x14ac:dyDescent="0.25"/>
  <cols>
    <col min="1" max="1" width="16.7109375" style="10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09" customFormat="1" ht="36.75" customHeight="1" x14ac:dyDescent="0.25">
      <c r="A1" s="108" t="s">
        <v>13</v>
      </c>
      <c r="B1" s="109" t="s">
        <v>3</v>
      </c>
      <c r="D1" s="108"/>
      <c r="E1" s="108" t="s">
        <v>35</v>
      </c>
      <c r="F1" s="108" t="s">
        <v>36</v>
      </c>
      <c r="G1" s="108"/>
      <c r="H1" s="108"/>
      <c r="I1" s="108"/>
      <c r="J1" s="108"/>
      <c r="K1" s="108"/>
      <c r="L1" s="108" t="s">
        <v>37</v>
      </c>
      <c r="M1" s="108" t="s">
        <v>39</v>
      </c>
      <c r="N1" s="108" t="s">
        <v>38</v>
      </c>
    </row>
    <row r="2" spans="1:23" ht="15" customHeight="1" x14ac:dyDescent="0.25">
      <c r="A2" s="102">
        <v>1</v>
      </c>
      <c r="B2" t="s">
        <v>248</v>
      </c>
      <c r="C2" t="s">
        <v>61</v>
      </c>
      <c r="D2" s="104" t="s">
        <v>248</v>
      </c>
      <c r="E2" s="104" t="s">
        <v>41</v>
      </c>
      <c r="F2" s="105">
        <v>44207</v>
      </c>
      <c r="G2" s="95">
        <f>MONTH(F2)</f>
        <v>1</v>
      </c>
      <c r="H2" s="105" t="str">
        <f>IF(G2=$A$26,$A$28,IF(G2=$B$26,$B$28,IF(G2=$C$26,$C$28,IF(G2=$D$26,$D$28,IF(G2=$E$26,$E$28,IF(G2=$F$26,$F$28,IF(G2=$K$26,$K$28,IF(G2=$L$26,$L$28,IF(G2=$M$26,$M$28,IF(G2=$N$26,$N$28,IF(G2=$O$26,$O$28,IF(G2=$P$26,$P$28,0))))))))))))</f>
        <v>yanvar</v>
      </c>
      <c r="I2" s="95">
        <f>DAY(F2)</f>
        <v>11</v>
      </c>
      <c r="J2" s="107">
        <f>YEAR(F2)</f>
        <v>2021</v>
      </c>
      <c r="K2" s="105" t="str">
        <f>""&amp;I2&amp;" "&amp;H2&amp;" "&amp;J2&amp;" г."</f>
        <v>11 yanvar 2021 г.</v>
      </c>
      <c r="L2" s="104">
        <v>5</v>
      </c>
      <c r="M2" s="106">
        <v>15000000</v>
      </c>
      <c r="N2" s="104" t="s">
        <v>124</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56"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x14ac:dyDescent="0.25">
      <c r="A3" s="102">
        <v>2</v>
      </c>
      <c r="D3" s="104" t="s">
        <v>248</v>
      </c>
      <c r="E3" s="104" t="s">
        <v>40</v>
      </c>
      <c r="F3" s="105">
        <v>43775</v>
      </c>
      <c r="G3" s="95">
        <f>MONTH(F3)</f>
        <v>11</v>
      </c>
      <c r="H3" s="105" t="str">
        <f>IF(G3=$A$26,$A$28,IF(G3=$B$26,$B$28,IF(G3=$C$26,$C$28,IF(G3=$D$26,$D$28,IF(G3=$E$26,$E$28,IF(G3=$F$26,$F$28,IF(G3=$K$26,$K$28,IF(G3=$L$26,$L$28,IF(G3=$M$26,$M$28,IF(G3=$N$26,$N$28,IF(G3=$O$26,$O$28,IF(G3=$P$26,$P$28,0))))))))))))</f>
        <v>noyabr</v>
      </c>
      <c r="I3" s="95">
        <f>DAY(F3)</f>
        <v>6</v>
      </c>
      <c r="J3" s="107">
        <f>YEAR(F3)</f>
        <v>2019</v>
      </c>
      <c r="K3" s="105" t="str">
        <f>""&amp;I3&amp;" "&amp;H3&amp;" "&amp;J3&amp;" г."</f>
        <v>6 noyabr 2019 г.</v>
      </c>
      <c r="L3" s="104">
        <v>386</v>
      </c>
      <c r="M3" s="106">
        <v>15000000</v>
      </c>
      <c r="N3" s="104" t="s">
        <v>124</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x14ac:dyDescent="0.25">
      <c r="A4" s="102">
        <v>3</v>
      </c>
      <c r="D4" s="104" t="s">
        <v>248</v>
      </c>
      <c r="E4" s="104" t="s">
        <v>40</v>
      </c>
      <c r="F4" s="105">
        <v>44217</v>
      </c>
      <c r="G4" s="95">
        <f>MONTH(F4)</f>
        <v>1</v>
      </c>
      <c r="H4" s="105" t="str">
        <f>IF(G4=$A$26,$A$28,IF(G4=$B$26,$B$28,IF(G4=$C$26,$C$28,IF(G4=$D$26,$D$28,IF(G4=$E$26,$E$28,IF(G4=$F$26,$F$28,IF(G4=$K$26,$K$28,IF(G4=$L$26,$L$28,IF(G4=$M$26,$M$28,IF(G4=$N$26,$N$28,IF(G4=$O$26,$O$28,IF(G4=$P$26,$P$28,0))))))))))))</f>
        <v>yanvar</v>
      </c>
      <c r="I4" s="95">
        <f>DAY(F4)</f>
        <v>21</v>
      </c>
      <c r="J4" s="107">
        <f>YEAR(F4)</f>
        <v>2021</v>
      </c>
      <c r="K4" s="105" t="str">
        <f>""&amp;I4&amp;" "&amp;H4&amp;" "&amp;J4&amp;" г."</f>
        <v>21 yanvar 2021 г.</v>
      </c>
      <c r="L4" s="104">
        <v>33</v>
      </c>
      <c r="M4" s="106">
        <v>15000000</v>
      </c>
      <c r="N4" s="104" t="s">
        <v>124</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x14ac:dyDescent="0.25">
      <c r="A5" s="102">
        <v>4</v>
      </c>
      <c r="D5" s="104" t="s">
        <v>248</v>
      </c>
      <c r="E5" s="104"/>
      <c r="F5" s="105"/>
      <c r="G5" s="95">
        <f t="shared" ref="G5:G21" si="2">MONTH(F5)</f>
        <v>1</v>
      </c>
      <c r="H5" s="105" t="str">
        <f t="shared" ref="H5:H21" si="3">IF(G5=$A$26,$A$28,IF(G5=$B$26,$B$28,IF(G5=$C$26,$C$28,IF(G5=$D$26,$D$28,IF(G5=$E$26,$E$28,IF(G5=$F$26,$F$28,IF(G5=$K$26,$K$28,IF(G5=$L$26,$L$28,IF(G5=$M$26,$M$28,IF(G5=$N$26,$N$28,IF(G5=$O$26,$O$28,IF(G5=$P$26,$P$28,0))))))))))))</f>
        <v>yanvar</v>
      </c>
      <c r="I5" s="95">
        <f t="shared" ref="I5:I21" si="4">DAY(F5)</f>
        <v>0</v>
      </c>
      <c r="J5" s="107">
        <f t="shared" ref="J5:J21" si="5">YEAR(F5)</f>
        <v>1900</v>
      </c>
      <c r="K5" s="105" t="str">
        <f t="shared" ref="K5:K21" si="6">""&amp;I5&amp;" "&amp;H5&amp;" "&amp;J5&amp;" г."</f>
        <v>0 yanvar 1900 г.</v>
      </c>
      <c r="L5" s="104"/>
      <c r="M5" s="106"/>
      <c r="N5" s="104"/>
      <c r="P5">
        <f t="shared" si="1"/>
        <v>0</v>
      </c>
    </row>
    <row r="6" spans="1:23" ht="15" customHeight="1" x14ac:dyDescent="0.25">
      <c r="A6" s="102">
        <v>5</v>
      </c>
      <c r="D6" s="104" t="s">
        <v>248</v>
      </c>
      <c r="E6" s="104"/>
      <c r="F6" s="105"/>
      <c r="G6" s="95">
        <f t="shared" si="2"/>
        <v>1</v>
      </c>
      <c r="H6" s="105" t="str">
        <f t="shared" si="3"/>
        <v>yanvar</v>
      </c>
      <c r="I6" s="95">
        <f t="shared" si="4"/>
        <v>0</v>
      </c>
      <c r="J6" s="107">
        <f t="shared" si="5"/>
        <v>1900</v>
      </c>
      <c r="K6" s="105" t="str">
        <f t="shared" si="6"/>
        <v>0 yanvar 1900 г.</v>
      </c>
      <c r="L6" s="104"/>
      <c r="M6" s="106"/>
      <c r="N6" s="104"/>
      <c r="P6">
        <f t="shared" si="1"/>
        <v>0</v>
      </c>
    </row>
    <row r="7" spans="1:23" ht="15" customHeight="1" x14ac:dyDescent="0.25">
      <c r="A7" s="102">
        <v>6</v>
      </c>
      <c r="D7" s="104" t="s">
        <v>248</v>
      </c>
      <c r="E7" s="104"/>
      <c r="F7" s="105"/>
      <c r="G7" s="95">
        <f t="shared" si="2"/>
        <v>1</v>
      </c>
      <c r="H7" s="105" t="str">
        <f t="shared" si="3"/>
        <v>yanvar</v>
      </c>
      <c r="I7" s="95">
        <f t="shared" si="4"/>
        <v>0</v>
      </c>
      <c r="J7" s="107">
        <f t="shared" si="5"/>
        <v>1900</v>
      </c>
      <c r="K7" s="105" t="str">
        <f t="shared" si="6"/>
        <v>0 yanvar 1900 г.</v>
      </c>
      <c r="L7" s="104"/>
      <c r="M7" s="106"/>
      <c r="N7" s="104"/>
      <c r="P7">
        <f t="shared" si="1"/>
        <v>0</v>
      </c>
    </row>
    <row r="8" spans="1:23" ht="15" customHeight="1" x14ac:dyDescent="0.25">
      <c r="A8" s="102">
        <v>7</v>
      </c>
      <c r="D8" s="104" t="s">
        <v>248</v>
      </c>
      <c r="E8" s="104"/>
      <c r="F8" s="105"/>
      <c r="G8" s="95">
        <f t="shared" si="2"/>
        <v>1</v>
      </c>
      <c r="H8" s="105" t="str">
        <f t="shared" si="3"/>
        <v>yanvar</v>
      </c>
      <c r="I8" s="95">
        <f t="shared" si="4"/>
        <v>0</v>
      </c>
      <c r="J8" s="107">
        <f t="shared" si="5"/>
        <v>1900</v>
      </c>
      <c r="K8" s="105" t="str">
        <f t="shared" si="6"/>
        <v>0 yanvar 1900 г.</v>
      </c>
      <c r="L8" s="104"/>
      <c r="M8" s="106"/>
      <c r="N8" s="104"/>
      <c r="P8">
        <f t="shared" si="1"/>
        <v>0</v>
      </c>
    </row>
    <row r="9" spans="1:23" ht="15" customHeight="1" x14ac:dyDescent="0.25">
      <c r="A9" s="102">
        <v>8</v>
      </c>
      <c r="D9" s="104" t="s">
        <v>248</v>
      </c>
      <c r="E9" s="104"/>
      <c r="F9" s="105"/>
      <c r="G9" s="95">
        <f t="shared" si="2"/>
        <v>1</v>
      </c>
      <c r="H9" s="105" t="str">
        <f t="shared" si="3"/>
        <v>yanvar</v>
      </c>
      <c r="I9" s="95">
        <f t="shared" si="4"/>
        <v>0</v>
      </c>
      <c r="J9" s="107">
        <f t="shared" si="5"/>
        <v>1900</v>
      </c>
      <c r="K9" s="105" t="str">
        <f t="shared" si="6"/>
        <v>0 yanvar 1900 г.</v>
      </c>
      <c r="L9" s="104"/>
      <c r="M9" s="106"/>
      <c r="N9" s="104"/>
      <c r="P9">
        <f t="shared" si="1"/>
        <v>0</v>
      </c>
    </row>
    <row r="10" spans="1:23" ht="15" customHeight="1" x14ac:dyDescent="0.25">
      <c r="A10" s="102">
        <v>9</v>
      </c>
      <c r="D10" s="104" t="s">
        <v>248</v>
      </c>
      <c r="E10" s="104"/>
      <c r="F10" s="105"/>
      <c r="G10" s="95">
        <f t="shared" si="2"/>
        <v>1</v>
      </c>
      <c r="H10" s="105" t="str">
        <f t="shared" si="3"/>
        <v>yanvar</v>
      </c>
      <c r="I10" s="95">
        <f t="shared" si="4"/>
        <v>0</v>
      </c>
      <c r="J10" s="107">
        <f t="shared" si="5"/>
        <v>1900</v>
      </c>
      <c r="K10" s="105" t="str">
        <f t="shared" si="6"/>
        <v>0 yanvar 1900 г.</v>
      </c>
      <c r="L10" s="104"/>
      <c r="M10" s="106"/>
      <c r="N10" s="104"/>
      <c r="P10">
        <f t="shared" si="1"/>
        <v>0</v>
      </c>
    </row>
    <row r="11" spans="1:23" ht="15" customHeight="1" x14ac:dyDescent="0.25">
      <c r="A11" s="102">
        <v>10</v>
      </c>
      <c r="D11" s="104" t="s">
        <v>248</v>
      </c>
      <c r="E11" s="104"/>
      <c r="F11" s="105"/>
      <c r="G11" s="95">
        <f t="shared" si="2"/>
        <v>1</v>
      </c>
      <c r="H11" s="105" t="str">
        <f t="shared" si="3"/>
        <v>yanvar</v>
      </c>
      <c r="I11" s="95">
        <f t="shared" si="4"/>
        <v>0</v>
      </c>
      <c r="J11" s="107">
        <f t="shared" si="5"/>
        <v>1900</v>
      </c>
      <c r="K11" s="105" t="str">
        <f t="shared" si="6"/>
        <v>0 yanvar 1900 г.</v>
      </c>
      <c r="L11" s="104"/>
      <c r="M11" s="106"/>
      <c r="N11" s="104"/>
      <c r="P11">
        <f t="shared" si="1"/>
        <v>0</v>
      </c>
    </row>
    <row r="12" spans="1:23" ht="15" customHeight="1" x14ac:dyDescent="0.25">
      <c r="A12" s="102">
        <v>11</v>
      </c>
      <c r="D12" s="104" t="s">
        <v>248</v>
      </c>
      <c r="E12" s="104"/>
      <c r="F12" s="105"/>
      <c r="G12" s="95">
        <f t="shared" si="2"/>
        <v>1</v>
      </c>
      <c r="H12" s="105" t="str">
        <f t="shared" si="3"/>
        <v>yanvar</v>
      </c>
      <c r="I12" s="95">
        <f t="shared" si="4"/>
        <v>0</v>
      </c>
      <c r="J12" s="107">
        <f t="shared" si="5"/>
        <v>1900</v>
      </c>
      <c r="K12" s="105" t="str">
        <f t="shared" si="6"/>
        <v>0 yanvar 1900 г.</v>
      </c>
      <c r="L12" s="104"/>
      <c r="M12" s="106"/>
      <c r="N12" s="104"/>
      <c r="P12">
        <f t="shared" si="1"/>
        <v>0</v>
      </c>
    </row>
    <row r="13" spans="1:23" ht="15" customHeight="1" x14ac:dyDescent="0.25">
      <c r="A13" s="102">
        <v>12</v>
      </c>
      <c r="D13" s="104" t="s">
        <v>248</v>
      </c>
      <c r="E13" s="104"/>
      <c r="F13" s="105"/>
      <c r="G13" s="95">
        <f t="shared" si="2"/>
        <v>1</v>
      </c>
      <c r="H13" s="105" t="str">
        <f t="shared" si="3"/>
        <v>yanvar</v>
      </c>
      <c r="I13" s="95">
        <f t="shared" si="4"/>
        <v>0</v>
      </c>
      <c r="J13" s="107">
        <f t="shared" si="5"/>
        <v>1900</v>
      </c>
      <c r="K13" s="105" t="str">
        <f t="shared" si="6"/>
        <v>0 yanvar 1900 г.</v>
      </c>
      <c r="L13" s="104"/>
      <c r="M13" s="106"/>
      <c r="N13" s="104"/>
      <c r="P13">
        <f t="shared" si="1"/>
        <v>0</v>
      </c>
    </row>
    <row r="14" spans="1:23" ht="15" customHeight="1" x14ac:dyDescent="0.25">
      <c r="A14" s="102">
        <v>13</v>
      </c>
      <c r="D14" s="104" t="s">
        <v>248</v>
      </c>
      <c r="E14" s="104"/>
      <c r="F14" s="105"/>
      <c r="G14" s="95">
        <f t="shared" si="2"/>
        <v>1</v>
      </c>
      <c r="H14" s="105" t="str">
        <f t="shared" si="3"/>
        <v>yanvar</v>
      </c>
      <c r="I14" s="95">
        <f t="shared" si="4"/>
        <v>0</v>
      </c>
      <c r="J14" s="107">
        <f t="shared" si="5"/>
        <v>1900</v>
      </c>
      <c r="K14" s="105" t="str">
        <f t="shared" si="6"/>
        <v>0 yanvar 1900 г.</v>
      </c>
      <c r="L14" s="104"/>
      <c r="M14" s="106"/>
      <c r="N14" s="104"/>
      <c r="P14">
        <f t="shared" si="1"/>
        <v>0</v>
      </c>
    </row>
    <row r="15" spans="1:23" ht="15" customHeight="1" x14ac:dyDescent="0.25">
      <c r="A15" s="102">
        <v>14</v>
      </c>
      <c r="D15" s="104" t="s">
        <v>248</v>
      </c>
      <c r="E15" s="104"/>
      <c r="F15" s="105"/>
      <c r="G15" s="95">
        <f t="shared" si="2"/>
        <v>1</v>
      </c>
      <c r="H15" s="105" t="str">
        <f t="shared" si="3"/>
        <v>yanvar</v>
      </c>
      <c r="I15" s="95">
        <f t="shared" si="4"/>
        <v>0</v>
      </c>
      <c r="J15" s="107">
        <f t="shared" si="5"/>
        <v>1900</v>
      </c>
      <c r="K15" s="105" t="str">
        <f t="shared" si="6"/>
        <v>0 yanvar 1900 г.</v>
      </c>
      <c r="L15" s="104"/>
      <c r="M15" s="106"/>
      <c r="N15" s="104"/>
      <c r="P15">
        <f t="shared" si="1"/>
        <v>0</v>
      </c>
    </row>
    <row r="16" spans="1:23" ht="15" customHeight="1" x14ac:dyDescent="0.25">
      <c r="A16" s="102">
        <v>15</v>
      </c>
      <c r="D16" s="104" t="s">
        <v>248</v>
      </c>
      <c r="E16" s="104"/>
      <c r="F16" s="105"/>
      <c r="G16" s="95">
        <f t="shared" si="2"/>
        <v>1</v>
      </c>
      <c r="H16" s="105" t="str">
        <f t="shared" si="3"/>
        <v>yanvar</v>
      </c>
      <c r="I16" s="95">
        <f t="shared" si="4"/>
        <v>0</v>
      </c>
      <c r="J16" s="107">
        <f t="shared" si="5"/>
        <v>1900</v>
      </c>
      <c r="K16" s="105" t="str">
        <f t="shared" si="6"/>
        <v>0 yanvar 1900 г.</v>
      </c>
      <c r="L16" s="104"/>
      <c r="M16" s="106"/>
      <c r="N16" s="104"/>
      <c r="P16">
        <f t="shared" si="1"/>
        <v>0</v>
      </c>
    </row>
    <row r="17" spans="1:17" ht="15" customHeight="1" x14ac:dyDescent="0.25">
      <c r="A17" s="102">
        <v>16</v>
      </c>
      <c r="D17" s="104" t="s">
        <v>248</v>
      </c>
      <c r="E17" s="104"/>
      <c r="F17" s="105"/>
      <c r="G17" s="95">
        <f t="shared" si="2"/>
        <v>1</v>
      </c>
      <c r="H17" s="105" t="str">
        <f t="shared" si="3"/>
        <v>yanvar</v>
      </c>
      <c r="I17" s="95">
        <f t="shared" si="4"/>
        <v>0</v>
      </c>
      <c r="J17" s="107">
        <f t="shared" si="5"/>
        <v>1900</v>
      </c>
      <c r="K17" s="105" t="str">
        <f t="shared" si="6"/>
        <v>0 yanvar 1900 г.</v>
      </c>
      <c r="L17" s="104"/>
      <c r="M17" s="106"/>
      <c r="N17" s="104"/>
      <c r="P17">
        <f t="shared" si="1"/>
        <v>0</v>
      </c>
    </row>
    <row r="18" spans="1:17" ht="15" customHeight="1" x14ac:dyDescent="0.25">
      <c r="A18" s="102">
        <v>17</v>
      </c>
      <c r="D18" s="104" t="s">
        <v>248</v>
      </c>
      <c r="E18" s="104"/>
      <c r="F18" s="105"/>
      <c r="G18" s="95">
        <f t="shared" si="2"/>
        <v>1</v>
      </c>
      <c r="H18" s="105" t="str">
        <f t="shared" si="3"/>
        <v>yanvar</v>
      </c>
      <c r="I18" s="95">
        <f t="shared" si="4"/>
        <v>0</v>
      </c>
      <c r="J18" s="107">
        <f t="shared" si="5"/>
        <v>1900</v>
      </c>
      <c r="K18" s="105" t="str">
        <f t="shared" si="6"/>
        <v>0 yanvar 1900 г.</v>
      </c>
      <c r="L18" s="104"/>
      <c r="M18" s="106"/>
      <c r="N18" s="104"/>
      <c r="P18">
        <f t="shared" si="1"/>
        <v>0</v>
      </c>
    </row>
    <row r="19" spans="1:17" ht="15" customHeight="1" x14ac:dyDescent="0.25">
      <c r="A19" s="102">
        <v>18</v>
      </c>
      <c r="D19" s="104" t="s">
        <v>248</v>
      </c>
      <c r="E19" s="104"/>
      <c r="F19" s="105"/>
      <c r="G19" s="95">
        <f t="shared" si="2"/>
        <v>1</v>
      </c>
      <c r="H19" s="105" t="str">
        <f t="shared" si="3"/>
        <v>yanvar</v>
      </c>
      <c r="I19" s="95">
        <f t="shared" si="4"/>
        <v>0</v>
      </c>
      <c r="J19" s="107">
        <f t="shared" si="5"/>
        <v>1900</v>
      </c>
      <c r="K19" s="105" t="str">
        <f t="shared" si="6"/>
        <v>0 yanvar 1900 г.</v>
      </c>
      <c r="L19" s="104"/>
      <c r="M19" s="106"/>
      <c r="N19" s="104"/>
      <c r="P19">
        <f t="shared" si="1"/>
        <v>0</v>
      </c>
    </row>
    <row r="20" spans="1:17" ht="15" customHeight="1" x14ac:dyDescent="0.25">
      <c r="A20" s="102">
        <v>19</v>
      </c>
      <c r="D20" s="104" t="s">
        <v>248</v>
      </c>
      <c r="E20" s="104"/>
      <c r="F20" s="105"/>
      <c r="G20" s="95">
        <f t="shared" si="2"/>
        <v>1</v>
      </c>
      <c r="H20" s="105" t="str">
        <f t="shared" si="3"/>
        <v>yanvar</v>
      </c>
      <c r="I20" s="95">
        <f t="shared" si="4"/>
        <v>0</v>
      </c>
      <c r="J20" s="107">
        <f t="shared" si="5"/>
        <v>1900</v>
      </c>
      <c r="K20" s="105" t="str">
        <f t="shared" si="6"/>
        <v>0 yanvar 1900 г.</v>
      </c>
      <c r="L20" s="104"/>
      <c r="M20" s="106"/>
      <c r="N20" s="104"/>
      <c r="P20">
        <f t="shared" si="1"/>
        <v>0</v>
      </c>
    </row>
    <row r="21" spans="1:17" ht="15" customHeight="1" x14ac:dyDescent="0.25">
      <c r="A21" s="102">
        <v>20</v>
      </c>
      <c r="D21" s="104" t="s">
        <v>248</v>
      </c>
      <c r="E21" s="104"/>
      <c r="F21" s="105"/>
      <c r="G21" s="95">
        <f t="shared" si="2"/>
        <v>1</v>
      </c>
      <c r="H21" s="105" t="str">
        <f t="shared" si="3"/>
        <v>yanvar</v>
      </c>
      <c r="I21" s="95">
        <f t="shared" si="4"/>
        <v>0</v>
      </c>
      <c r="J21" s="107">
        <f t="shared" si="5"/>
        <v>1900</v>
      </c>
      <c r="K21" s="105" t="str">
        <f t="shared" si="6"/>
        <v>0 yanvar 1900 г.</v>
      </c>
      <c r="L21" s="104"/>
      <c r="M21" s="106"/>
      <c r="N21" s="104"/>
      <c r="P21">
        <f t="shared" si="1"/>
        <v>0</v>
      </c>
    </row>
    <row r="22" spans="1:17" x14ac:dyDescent="0.25">
      <c r="M22" s="110">
        <f>SUM(M2:M21)+umumiy_malumot!B143</f>
        <v>171000000</v>
      </c>
      <c r="Q22" t="s">
        <v>247</v>
      </c>
    </row>
    <row r="23" spans="1:17" x14ac:dyDescent="0.25">
      <c r="A23" s="91"/>
      <c r="B23" s="92"/>
      <c r="C23" s="92"/>
      <c r="D23" s="92"/>
      <c r="E23" s="92"/>
      <c r="F23" s="92"/>
      <c r="G23" s="92"/>
      <c r="H23" s="92"/>
      <c r="I23" s="92"/>
      <c r="J23" s="92"/>
      <c r="K23" s="92"/>
      <c r="L23" s="92"/>
      <c r="M23" s="92"/>
      <c r="N23" s="92"/>
      <c r="O23" s="92"/>
    </row>
    <row r="24" spans="1:17" x14ac:dyDescent="0.25">
      <c r="A24" s="92"/>
      <c r="B24" s="92"/>
      <c r="C24" s="92"/>
      <c r="D24" s="92"/>
      <c r="E24" s="92"/>
      <c r="F24" s="92"/>
      <c r="G24" s="92"/>
      <c r="H24" s="92"/>
      <c r="I24" s="92"/>
      <c r="J24" s="92"/>
      <c r="K24" s="92"/>
      <c r="L24" s="92"/>
      <c r="M24" s="92"/>
      <c r="N24" s="92"/>
      <c r="O24" s="92"/>
    </row>
    <row r="25" spans="1:17" x14ac:dyDescent="0.25">
      <c r="A25" s="92">
        <f>MONTH(F2)</f>
        <v>1</v>
      </c>
      <c r="B25" s="92" t="str">
        <f>IF(A25=A26,A28,IF(A25=B26,B28,IF(A25=C26,C28,IF(A25=D26,D28,IF(A25=E26,E28,IF(A25=F26,F28,IF(A25=K26,K28,IF(A25=L26,L28,IF(A25=M26,M28,IF(A25=N26,N28,IF(A25=O26,O28,IF(A25=#REF!,#REF!,))))))))))))</f>
        <v>yanvar</v>
      </c>
      <c r="C25" s="92">
        <f>DAY(F2)</f>
        <v>11</v>
      </c>
      <c r="D25" s="92">
        <f>YEAR(F2)</f>
        <v>2021</v>
      </c>
      <c r="E25" s="92"/>
      <c r="F25" s="92"/>
      <c r="G25" s="92"/>
      <c r="H25" s="92"/>
      <c r="I25" s="92"/>
      <c r="J25" s="92"/>
      <c r="K25" s="92"/>
      <c r="L25" s="92"/>
      <c r="M25" s="92"/>
      <c r="N25" s="92"/>
      <c r="O25" s="92"/>
    </row>
    <row r="26" spans="1:17" x14ac:dyDescent="0.25">
      <c r="A26" s="92">
        <v>1</v>
      </c>
      <c r="B26" s="92">
        <v>2</v>
      </c>
      <c r="C26" s="92">
        <v>3</v>
      </c>
      <c r="D26" s="92">
        <v>4</v>
      </c>
      <c r="E26" s="92">
        <v>5</v>
      </c>
      <c r="F26" s="92">
        <v>6</v>
      </c>
      <c r="G26" s="92"/>
      <c r="H26" s="92"/>
      <c r="I26" s="92"/>
      <c r="J26" s="92"/>
      <c r="K26" s="92">
        <v>7</v>
      </c>
      <c r="L26" s="92">
        <v>8</v>
      </c>
      <c r="M26" s="92">
        <v>9</v>
      </c>
      <c r="N26" s="92">
        <v>10</v>
      </c>
      <c r="O26" s="92">
        <v>11</v>
      </c>
      <c r="P26" s="92">
        <v>12</v>
      </c>
    </row>
    <row r="27" spans="1:17" x14ac:dyDescent="0.25">
      <c r="A27" s="92"/>
      <c r="B27" s="92"/>
      <c r="C27" s="92"/>
      <c r="D27" s="92"/>
      <c r="E27" s="92"/>
      <c r="F27" s="92"/>
      <c r="G27" s="92"/>
      <c r="H27" s="92"/>
      <c r="I27" s="92"/>
      <c r="J27" s="92"/>
      <c r="K27" s="92"/>
      <c r="L27" s="92"/>
      <c r="M27" s="92"/>
      <c r="N27" s="92"/>
      <c r="O27" s="92"/>
    </row>
    <row r="28" spans="1:17" x14ac:dyDescent="0.25">
      <c r="A28" s="92" t="s">
        <v>113</v>
      </c>
      <c r="B28" s="92" t="s">
        <v>114</v>
      </c>
      <c r="C28" s="92" t="s">
        <v>103</v>
      </c>
      <c r="D28" s="92" t="s">
        <v>104</v>
      </c>
      <c r="E28" s="92" t="s">
        <v>105</v>
      </c>
      <c r="F28" s="92" t="s">
        <v>106</v>
      </c>
      <c r="G28" s="92"/>
      <c r="H28" s="92"/>
      <c r="I28" s="92"/>
      <c r="J28" s="92"/>
      <c r="K28" s="92" t="s">
        <v>21</v>
      </c>
      <c r="L28" s="92" t="s">
        <v>108</v>
      </c>
      <c r="M28" s="92" t="s">
        <v>246</v>
      </c>
      <c r="N28" s="92" t="s">
        <v>245</v>
      </c>
      <c r="O28" s="92" t="s">
        <v>111</v>
      </c>
      <c r="P28" s="92" t="s">
        <v>112</v>
      </c>
    </row>
    <row r="29" spans="1:17" x14ac:dyDescent="0.25">
      <c r="A29" s="92" t="s">
        <v>113</v>
      </c>
      <c r="B29" s="92" t="s">
        <v>114</v>
      </c>
      <c r="C29" s="92" t="s">
        <v>103</v>
      </c>
      <c r="D29" s="92" t="s">
        <v>104</v>
      </c>
      <c r="E29" s="92" t="s">
        <v>105</v>
      </c>
      <c r="F29" s="92" t="s">
        <v>106</v>
      </c>
      <c r="G29" s="92"/>
      <c r="H29" s="92"/>
      <c r="I29" s="92"/>
      <c r="J29" s="92"/>
      <c r="K29" s="92" t="s">
        <v>23</v>
      </c>
      <c r="L29" s="92" t="s">
        <v>108</v>
      </c>
      <c r="M29" s="92" t="s">
        <v>246</v>
      </c>
      <c r="N29" s="92" t="s">
        <v>245</v>
      </c>
      <c r="O29" s="92" t="s">
        <v>111</v>
      </c>
      <c r="P29" s="92" t="s">
        <v>112</v>
      </c>
    </row>
    <row r="30" spans="1:17" x14ac:dyDescent="0.25">
      <c r="A30" s="92"/>
      <c r="B30" s="92"/>
      <c r="C30" s="92"/>
      <c r="D30" s="92"/>
      <c r="E30" s="92"/>
      <c r="F30" s="92"/>
      <c r="G30" s="92"/>
      <c r="H30" s="92"/>
      <c r="I30" s="92"/>
      <c r="J30" s="92"/>
      <c r="K30" s="92"/>
      <c r="L30" s="93"/>
      <c r="M30" s="93"/>
      <c r="N30" s="93"/>
      <c r="O30" s="93"/>
    </row>
  </sheetData>
  <dataValidations count="1">
    <dataValidation type="list" allowBlank="1" showInputMessage="1" showErrorMessage="1" sqref="D2:D21" xr:uid="{00000000-0002-0000-0D00-000000000000}">
      <formula1>$B$2:$C$2</formula1>
    </dataValidation>
  </dataValidations>
  <pageMargins left="0.7" right="0.7" top="0.75" bottom="0.75" header="0.3" footer="0.3"/>
  <pageSetup paperSize="9" scale="6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8">
    <tabColor theme="1"/>
  </sheetPr>
  <dimension ref="A1:H76"/>
  <sheetViews>
    <sheetView view="pageBreakPreview" topLeftCell="A30" zoomScaleSheetLayoutView="100" workbookViewId="0">
      <selection activeCell="D56" sqref="D56:F56"/>
    </sheetView>
  </sheetViews>
  <sheetFormatPr defaultColWidth="9.140625" defaultRowHeight="15" outlineLevelCol="1" x14ac:dyDescent="0.25"/>
  <cols>
    <col min="1" max="1" width="9.140625" style="13"/>
    <col min="2" max="2" width="10.140625" style="13" bestFit="1" customWidth="1"/>
    <col min="3" max="3" width="16.5703125" style="13" customWidth="1"/>
    <col min="4" max="4" width="17.140625" style="13" customWidth="1"/>
    <col min="5" max="5" width="17.85546875" style="13" customWidth="1"/>
    <col min="6" max="6" width="20.85546875" style="13" customWidth="1"/>
    <col min="7" max="7" width="10.140625" style="13" customWidth="1" outlineLevel="1"/>
    <col min="8" max="16384" width="9.140625" style="13"/>
  </cols>
  <sheetData>
    <row r="1" spans="1:8" x14ac:dyDescent="0.25">
      <c r="A1" s="34"/>
      <c r="B1" s="34"/>
      <c r="C1" s="34"/>
      <c r="D1" s="34"/>
      <c r="E1" s="323" t="s">
        <v>14</v>
      </c>
      <c r="F1" s="323"/>
    </row>
    <row r="2" spans="1:8" x14ac:dyDescent="0.25">
      <c r="A2" s="34"/>
      <c r="B2" s="34"/>
      <c r="C2" s="34"/>
      <c r="D2" s="34"/>
      <c r="E2" s="34"/>
      <c r="F2" s="35" t="str">
        <f>"к договору микрозайма "&amp;umumiy_malumot!B74&amp;""</f>
        <v>к договору микрозайма 2 fevral 2026 y.dan № 53</v>
      </c>
    </row>
    <row r="3" spans="1:8" ht="6.75" customHeight="1" x14ac:dyDescent="0.25">
      <c r="A3" s="34"/>
      <c r="B3" s="34"/>
      <c r="C3" s="34"/>
      <c r="D3" s="34"/>
      <c r="E3" s="34"/>
      <c r="F3" s="34"/>
    </row>
    <row r="4" spans="1:8" x14ac:dyDescent="0.25">
      <c r="A4" s="324" t="s">
        <v>15</v>
      </c>
      <c r="B4" s="324"/>
      <c r="C4" s="324"/>
      <c r="D4" s="324"/>
      <c r="E4" s="324"/>
      <c r="F4" s="324"/>
    </row>
    <row r="5" spans="1:8" ht="7.5" customHeight="1" x14ac:dyDescent="0.25"/>
    <row r="6" spans="1:8" x14ac:dyDescent="0.25">
      <c r="A6" s="325" t="s">
        <v>13</v>
      </c>
      <c r="B6" s="326" t="s">
        <v>7</v>
      </c>
      <c r="C6" s="326" t="s">
        <v>8</v>
      </c>
      <c r="D6" s="327" t="s">
        <v>9</v>
      </c>
      <c r="E6" s="327"/>
      <c r="F6" s="327"/>
    </row>
    <row r="7" spans="1:8" s="14" customFormat="1" x14ac:dyDescent="0.25">
      <c r="A7" s="325"/>
      <c r="B7" s="326"/>
      <c r="C7" s="326"/>
      <c r="D7" s="15" t="s">
        <v>10</v>
      </c>
      <c r="E7" s="15" t="s">
        <v>11</v>
      </c>
      <c r="F7" s="15" t="s">
        <v>12</v>
      </c>
    </row>
    <row r="8" spans="1:8" x14ac:dyDescent="0.25">
      <c r="A8" s="16">
        <v>1</v>
      </c>
      <c r="B8" s="30">
        <f>'График дифференц'!B8</f>
        <v>46091</v>
      </c>
      <c r="C8" s="31">
        <f>umumiy_malumot!B76</f>
        <v>100000000</v>
      </c>
      <c r="D8" s="31">
        <f>IF(A8&lt;umumiy_malumot!$B$82,'График аннуитет.'!F8-'График аннуитет.'!E8,'График аннуитет.'!C8)</f>
        <v>2777777.7800000003</v>
      </c>
      <c r="E8" s="31">
        <f>ROUND(C8*umumiy_malumot!$B$85/H8,2)*'График аннуитет.'!G8</f>
        <v>5424657.4799999995</v>
      </c>
      <c r="F8" s="31">
        <f>umumiy_malumot!B91</f>
        <v>8202435.2599999998</v>
      </c>
      <c r="G8" s="13">
        <f>B8-umumiy_malumot!B67</f>
        <v>36</v>
      </c>
      <c r="H8" s="13">
        <f>DATE(YEAR(B8),12,31)-DATE(YEAR(B8),1,1)+1</f>
        <v>365</v>
      </c>
    </row>
    <row r="9" spans="1:8" x14ac:dyDescent="0.25">
      <c r="A9" s="16">
        <v>2</v>
      </c>
      <c r="B9" s="30">
        <f>'График дифференц'!B9</f>
        <v>46122</v>
      </c>
      <c r="C9" s="31">
        <f t="shared" ref="C9:C30" si="0">C8-D8</f>
        <v>97222222.219999999</v>
      </c>
      <c r="D9" s="31">
        <f>IF(A9&lt;umumiy_malumot!$B$82,'График аннуитет.'!F9-'График аннуитет.'!E9,'График аннуитет.'!C9)</f>
        <v>3660958.8200000003</v>
      </c>
      <c r="E9" s="31">
        <f>ROUND(C9*umumiy_malumot!$B$85/H9,2)*'График аннуитет.'!G9</f>
        <v>4541476.4399999995</v>
      </c>
      <c r="F9" s="31">
        <f>IF(A9&lt;umumiy_malumot!$B$82,'График аннуитет.'!F8,'График аннуитет.'!D9+'График аннуитет.'!E9)</f>
        <v>8202435.2599999998</v>
      </c>
      <c r="G9" s="13">
        <f>B9-B8</f>
        <v>31</v>
      </c>
      <c r="H9" s="13">
        <f t="shared" ref="H9:H31" si="1">DATE(YEAR(B9),12,31)-DATE(YEAR(B9),1,1)+1</f>
        <v>365</v>
      </c>
    </row>
    <row r="10" spans="1:8" x14ac:dyDescent="0.25">
      <c r="A10" s="16">
        <v>3</v>
      </c>
      <c r="B10" s="30">
        <f>'График дифференц'!B10</f>
        <v>46153</v>
      </c>
      <c r="C10" s="31">
        <f t="shared" si="0"/>
        <v>93561263.400000006</v>
      </c>
      <c r="D10" s="31">
        <f>IF(A10&lt;umumiy_malumot!$B$82,'График аннуитет.'!F10-'График аннуитет.'!E10,'График аннуитет.'!C10)</f>
        <v>3831970.63</v>
      </c>
      <c r="E10" s="31">
        <f>ROUND(C10*umumiy_malumot!$B$85/H10,2)*'График аннуитет.'!G10</f>
        <v>4370464.63</v>
      </c>
      <c r="F10" s="31">
        <f>IF(A10&lt;umumiy_malumot!$B$82,'График аннуитет.'!F9,'График аннуитет.'!D10+'График аннуитет.'!E10)</f>
        <v>8202435.2599999998</v>
      </c>
      <c r="G10" s="13">
        <f t="shared" ref="G10:G24" si="2">B10-B9</f>
        <v>31</v>
      </c>
      <c r="H10" s="13">
        <f t="shared" si="1"/>
        <v>365</v>
      </c>
    </row>
    <row r="11" spans="1:8" x14ac:dyDescent="0.25">
      <c r="A11" s="16">
        <v>4</v>
      </c>
      <c r="B11" s="30">
        <f>'График дифференц'!B11</f>
        <v>46183</v>
      </c>
      <c r="C11" s="31">
        <f t="shared" si="0"/>
        <v>89729292.770000011</v>
      </c>
      <c r="D11" s="31">
        <f>IF(A11&lt;umumiy_malumot!$B$82,'График аннуитет.'!F11-'График аннуитет.'!E11,'График аннуитет.'!C11)</f>
        <v>4146179.66</v>
      </c>
      <c r="E11" s="31">
        <f>ROUND(C11*umumiy_malumot!$B$85/H11,2)*'График аннуитет.'!G11</f>
        <v>4056255.5999999996</v>
      </c>
      <c r="F11" s="31">
        <f>IF(A11&lt;umumiy_malumot!$B$82,'График аннуитет.'!F10,'График аннуитет.'!D11+'График аннуитет.'!E11)</f>
        <v>8202435.2599999998</v>
      </c>
      <c r="G11" s="13">
        <f t="shared" si="2"/>
        <v>30</v>
      </c>
      <c r="H11" s="13">
        <f t="shared" si="1"/>
        <v>365</v>
      </c>
    </row>
    <row r="12" spans="1:8" x14ac:dyDescent="0.25">
      <c r="A12" s="16">
        <v>5</v>
      </c>
      <c r="B12" s="30">
        <f>'График дифференц'!B12</f>
        <v>46213</v>
      </c>
      <c r="C12" s="31">
        <f t="shared" si="0"/>
        <v>85583113.110000014</v>
      </c>
      <c r="D12" s="31">
        <f>IF(A12&lt;umumiy_malumot!$B$82,'График аннуитет.'!F12-'График аннуитет.'!E12,'График аннуитет.'!C12)</f>
        <v>4333609.46</v>
      </c>
      <c r="E12" s="31">
        <f>ROUND(C12*umumiy_malumot!$B$85/H12,2)*'График аннуитет.'!G12</f>
        <v>3868825.8</v>
      </c>
      <c r="F12" s="31">
        <f>IF(A12&lt;umumiy_malumot!$B$82,'График аннуитет.'!F11,'График аннуитет.'!D12+'График аннуитет.'!E12)</f>
        <v>8202435.2599999998</v>
      </c>
      <c r="G12" s="13">
        <f t="shared" si="2"/>
        <v>30</v>
      </c>
      <c r="H12" s="13">
        <f t="shared" si="1"/>
        <v>365</v>
      </c>
    </row>
    <row r="13" spans="1:8" x14ac:dyDescent="0.25">
      <c r="A13" s="16">
        <v>6</v>
      </c>
      <c r="B13" s="30">
        <f>'График дифференц'!B13</f>
        <v>46244</v>
      </c>
      <c r="C13" s="31">
        <f t="shared" si="0"/>
        <v>81249503.650000021</v>
      </c>
      <c r="D13" s="31">
        <f>IF(A13&lt;umumiy_malumot!$B$82,'График аннуитет.'!F13-'График аннуитет.'!E13,'График аннуитет.'!C13)</f>
        <v>4407081.6999999993</v>
      </c>
      <c r="E13" s="31">
        <f>ROUND(C13*umumiy_malumot!$B$85/H13,2)*'График аннуитет.'!G13</f>
        <v>3795353.56</v>
      </c>
      <c r="F13" s="31">
        <f>IF(A13&lt;umumiy_malumot!$B$82,'График аннуитет.'!F12,'График аннуитет.'!D13+'График аннуитет.'!E13)</f>
        <v>8202435.2599999998</v>
      </c>
      <c r="G13" s="13">
        <f t="shared" si="2"/>
        <v>31</v>
      </c>
      <c r="H13" s="13">
        <f t="shared" si="1"/>
        <v>365</v>
      </c>
    </row>
    <row r="14" spans="1:8" x14ac:dyDescent="0.25">
      <c r="A14" s="16">
        <v>7</v>
      </c>
      <c r="B14" s="30">
        <f>'График дифференц'!B14</f>
        <v>46275</v>
      </c>
      <c r="C14" s="31">
        <f t="shared" si="0"/>
        <v>76842421.950000018</v>
      </c>
      <c r="D14" s="31">
        <f>IF(A14&lt;umumiy_malumot!$B$82,'График аннуитет.'!F14-'График аннуитет.'!E14,'График аннуитет.'!C14)</f>
        <v>4612946.8100000005</v>
      </c>
      <c r="E14" s="31">
        <f>ROUND(C14*umumiy_malumot!$B$85/H14,2)*'График аннуитет.'!G14</f>
        <v>3589488.4499999997</v>
      </c>
      <c r="F14" s="31">
        <f>IF(A14&lt;umumiy_malumot!$B$82,'График аннуитет.'!F13,'График аннуитет.'!D14+'График аннуитет.'!E14)</f>
        <v>8202435.2599999998</v>
      </c>
      <c r="G14" s="13">
        <f t="shared" si="2"/>
        <v>31</v>
      </c>
      <c r="H14" s="13">
        <f t="shared" si="1"/>
        <v>365</v>
      </c>
    </row>
    <row r="15" spans="1:8" x14ac:dyDescent="0.25">
      <c r="A15" s="16">
        <v>8</v>
      </c>
      <c r="B15" s="30">
        <f>'График дифференц'!B15</f>
        <v>46307</v>
      </c>
      <c r="C15" s="31">
        <f t="shared" si="0"/>
        <v>72229475.140000015</v>
      </c>
      <c r="D15" s="31">
        <f>IF(A15&lt;umumiy_malumot!$B$82,'График аннуитет.'!F15-'График аннуитет.'!E15,'График аннуитет.'!C15)</f>
        <v>4719589.18</v>
      </c>
      <c r="E15" s="31">
        <f>ROUND(C15*umumiy_malumot!$B$85/H15,2)*'График аннуитет.'!G15</f>
        <v>3482846.08</v>
      </c>
      <c r="F15" s="31">
        <f>IF(A15&lt;umumiy_malumot!$B$82,'График аннуитет.'!F14,'График аннуитет.'!D15+'График аннуитет.'!E15)</f>
        <v>8202435.2599999998</v>
      </c>
      <c r="G15" s="13">
        <f t="shared" si="2"/>
        <v>32</v>
      </c>
      <c r="H15" s="13">
        <f t="shared" si="1"/>
        <v>365</v>
      </c>
    </row>
    <row r="16" spans="1:8" x14ac:dyDescent="0.25">
      <c r="A16" s="16">
        <v>9</v>
      </c>
      <c r="B16" s="30">
        <f>'График дифференц'!B16</f>
        <v>46336</v>
      </c>
      <c r="C16" s="31">
        <f t="shared" si="0"/>
        <v>67509885.960000008</v>
      </c>
      <c r="D16" s="31">
        <f>IF(A16&lt;umumiy_malumot!$B$82,'График аннуитет.'!F16-'График аннуитет.'!E16,'График аннуитет.'!C16)</f>
        <v>5252345.59</v>
      </c>
      <c r="E16" s="31">
        <f>ROUND(C16*umumiy_malumot!$B$85/H16,2)*'График аннуитет.'!G16</f>
        <v>2950089.67</v>
      </c>
      <c r="F16" s="31">
        <f>IF(A16&lt;umumiy_malumot!$B$82,'График аннуитет.'!F15,'График аннуитет.'!D16+'График аннуитет.'!E16)</f>
        <v>8202435.2599999998</v>
      </c>
      <c r="G16" s="13">
        <f t="shared" si="2"/>
        <v>29</v>
      </c>
      <c r="H16" s="13">
        <f t="shared" si="1"/>
        <v>365</v>
      </c>
    </row>
    <row r="17" spans="1:8" x14ac:dyDescent="0.25">
      <c r="A17" s="16">
        <v>10</v>
      </c>
      <c r="B17" s="30">
        <f>'График дифференц'!B17</f>
        <v>46366</v>
      </c>
      <c r="C17" s="31">
        <f t="shared" si="0"/>
        <v>62257540.370000005</v>
      </c>
      <c r="D17" s="31">
        <f>IF(A17&lt;umumiy_malumot!$B$82,'График аннуитет.'!F17-'График аннуитет.'!E17,'График аннуитет.'!C17)</f>
        <v>5388053.3599999994</v>
      </c>
      <c r="E17" s="31">
        <f>ROUND(C17*umumiy_malumot!$B$85/H17,2)*'График аннуитет.'!G17</f>
        <v>2814381.9</v>
      </c>
      <c r="F17" s="31">
        <f>IF(A17&lt;umumiy_malumot!$B$82,'График аннуитет.'!F16,'График аннуитет.'!D17+'График аннуитет.'!E17)</f>
        <v>8202435.2599999998</v>
      </c>
      <c r="G17" s="13">
        <f t="shared" si="2"/>
        <v>30</v>
      </c>
      <c r="H17" s="13">
        <f t="shared" si="1"/>
        <v>365</v>
      </c>
    </row>
    <row r="18" spans="1:8" x14ac:dyDescent="0.25">
      <c r="A18" s="16">
        <v>11</v>
      </c>
      <c r="B18" s="30">
        <f>'График дифференц'!B18</f>
        <v>46398</v>
      </c>
      <c r="C18" s="31">
        <f t="shared" si="0"/>
        <v>56869487.010000005</v>
      </c>
      <c r="D18" s="31">
        <f>IF(A18&lt;umumiy_malumot!$B$82,'График аннуитет.'!F18-'График аннуитет.'!E18,'График аннуитет.'!C18)</f>
        <v>5460235.2599999998</v>
      </c>
      <c r="E18" s="31">
        <f>ROUND(C18*umumiy_malumot!$B$85/H18,2)*'График аннуитет.'!G18</f>
        <v>2742200</v>
      </c>
      <c r="F18" s="31">
        <f>IF(A18&lt;umumiy_malumot!$B$82,'График аннуитет.'!F17,'График аннуитет.'!D18+'График аннуитет.'!E18)</f>
        <v>8202435.2599999998</v>
      </c>
      <c r="G18" s="13">
        <f t="shared" si="2"/>
        <v>32</v>
      </c>
      <c r="H18" s="13">
        <f t="shared" si="1"/>
        <v>365</v>
      </c>
    </row>
    <row r="19" spans="1:8" x14ac:dyDescent="0.25">
      <c r="A19" s="16">
        <v>12</v>
      </c>
      <c r="B19" s="30">
        <f>'График дифференц'!B19</f>
        <v>46428</v>
      </c>
      <c r="C19" s="31">
        <f t="shared" si="0"/>
        <v>51409251.750000007</v>
      </c>
      <c r="D19" s="31">
        <f>IF(A19&lt;umumiy_malumot!$B$82,'График аннуитет.'!F19-'График аннуитет.'!E19,'График аннуитет.'!C19)</f>
        <v>5878455.2599999998</v>
      </c>
      <c r="E19" s="31">
        <f>ROUND(C19*umumiy_malumot!$B$85/H19,2)*'График аннуитет.'!G19</f>
        <v>2323980</v>
      </c>
      <c r="F19" s="31">
        <f>IF(A19&lt;umumiy_malumot!$B$82,'График аннуитет.'!F18,'График аннуитет.'!D19+'График аннуитет.'!E19)</f>
        <v>8202435.2599999998</v>
      </c>
      <c r="G19" s="13">
        <f>B19-B18</f>
        <v>30</v>
      </c>
      <c r="H19" s="13">
        <f t="shared" si="1"/>
        <v>365</v>
      </c>
    </row>
    <row r="20" spans="1:8" x14ac:dyDescent="0.25">
      <c r="A20" s="16">
        <v>13</v>
      </c>
      <c r="B20" s="30">
        <f>'График дифференц'!B20</f>
        <v>46456</v>
      </c>
      <c r="C20" s="31">
        <f t="shared" si="0"/>
        <v>45530796.49000001</v>
      </c>
      <c r="D20" s="31">
        <f>IF(A20&lt;umumiy_malumot!$B$82,'График аннуитет.'!F20-'График аннуитет.'!E20,'График аннуитет.'!C20)</f>
        <v>6281409.8599999994</v>
      </c>
      <c r="E20" s="31">
        <f>ROUND(C20*umumiy_malumot!$B$85/H20,2)*'График аннуитет.'!G20</f>
        <v>1921025.4000000001</v>
      </c>
      <c r="F20" s="31">
        <f>IF(A20&lt;umumiy_malumot!$B$82,'График аннуитет.'!F19,'График аннуитет.'!D20+'График аннуитет.'!E20)</f>
        <v>8202435.2599999998</v>
      </c>
      <c r="G20" s="13">
        <f t="shared" si="2"/>
        <v>28</v>
      </c>
      <c r="H20" s="13">
        <f t="shared" si="1"/>
        <v>365</v>
      </c>
    </row>
    <row r="21" spans="1:8" x14ac:dyDescent="0.25">
      <c r="A21" s="16">
        <v>14</v>
      </c>
      <c r="B21" s="30">
        <f>'График дифференц'!B21</f>
        <v>46489</v>
      </c>
      <c r="C21" s="31">
        <f t="shared" si="0"/>
        <v>39249386.63000001</v>
      </c>
      <c r="D21" s="31">
        <f>IF(A21&lt;umumiy_malumot!$B$82,'График аннуитет.'!F21-'График аннуитет.'!E21,'График аннуитет.'!C21)</f>
        <v>6250719.2299999995</v>
      </c>
      <c r="E21" s="31">
        <f>ROUND(C21*umumiy_malumot!$B$85/H21,2)*'График аннуитет.'!G21</f>
        <v>1951716.03</v>
      </c>
      <c r="F21" s="31">
        <f>IF(A21&lt;umumiy_malumot!$B$82,'График аннуитет.'!F20,'График аннуитет.'!D21+'График аннуитет.'!E21)</f>
        <v>8202435.2599999998</v>
      </c>
      <c r="G21" s="13">
        <f t="shared" si="2"/>
        <v>33</v>
      </c>
      <c r="H21" s="13">
        <f t="shared" si="1"/>
        <v>365</v>
      </c>
    </row>
    <row r="22" spans="1:8" x14ac:dyDescent="0.25">
      <c r="A22" s="16">
        <v>15</v>
      </c>
      <c r="B22" s="30">
        <f>'График дифференц'!B22</f>
        <v>46517</v>
      </c>
      <c r="C22" s="31">
        <f t="shared" si="0"/>
        <v>32998667.40000001</v>
      </c>
      <c r="D22" s="31">
        <f>IF(A22&lt;umumiy_malumot!$B$82,'График аннуитет.'!F22-'График аннуитет.'!E22,'График аннуитет.'!C22)</f>
        <v>6810162.7000000002</v>
      </c>
      <c r="E22" s="31">
        <f>ROUND(C22*umumiy_malumot!$B$85/H22,2)*'График аннуитет.'!G22</f>
        <v>1392272.5599999998</v>
      </c>
      <c r="F22" s="31">
        <f>IF(A22&lt;umumiy_malumot!$B$82,'График аннуитет.'!F21,'График аннуитет.'!D22+'График аннуитет.'!E22)</f>
        <v>8202435.2599999998</v>
      </c>
      <c r="G22" s="13">
        <f t="shared" si="2"/>
        <v>28</v>
      </c>
      <c r="H22" s="13">
        <f t="shared" si="1"/>
        <v>365</v>
      </c>
    </row>
    <row r="23" spans="1:8" x14ac:dyDescent="0.25">
      <c r="A23" s="16">
        <v>16</v>
      </c>
      <c r="B23" s="30">
        <f>'График дифференц'!B23</f>
        <v>46548</v>
      </c>
      <c r="C23" s="31">
        <f t="shared" si="0"/>
        <v>26188504.70000001</v>
      </c>
      <c r="D23" s="31">
        <f>IF(A23&lt;umumiy_malumot!$B$82,'График аннуитет.'!F23-'График аннуитет.'!E23,'График аннуитет.'!C23)</f>
        <v>6979109.2299999995</v>
      </c>
      <c r="E23" s="31">
        <f>ROUND(C23*umumiy_malumot!$B$85/H23,2)*'График аннуитет.'!G23</f>
        <v>1223326.03</v>
      </c>
      <c r="F23" s="31">
        <f>IF(A23&lt;umumiy_malumot!$B$82,'График аннуитет.'!F22,'График аннуитет.'!D23+'График аннуитет.'!E23)</f>
        <v>8202435.2599999998</v>
      </c>
      <c r="G23" s="13">
        <f t="shared" si="2"/>
        <v>31</v>
      </c>
      <c r="H23" s="13">
        <f t="shared" si="1"/>
        <v>365</v>
      </c>
    </row>
    <row r="24" spans="1:8" x14ac:dyDescent="0.25">
      <c r="A24" s="16">
        <v>17</v>
      </c>
      <c r="B24" s="30">
        <f>'График дифференц'!B24</f>
        <v>46580</v>
      </c>
      <c r="C24" s="31">
        <f t="shared" si="0"/>
        <v>19209395.47000001</v>
      </c>
      <c r="D24" s="31">
        <f>IF(A24&lt;umumiy_malumot!$B$82,'График аннуитет.'!F24-'График аннуитет.'!E24,'График аннуитет.'!C24)</f>
        <v>7276174.1399999997</v>
      </c>
      <c r="E24" s="31">
        <f>ROUND(C24*umumiy_malumot!$B$85/H24,2)*'График аннуитет.'!G24</f>
        <v>926261.12</v>
      </c>
      <c r="F24" s="31">
        <f>IF(A24&lt;umumiy_malumot!$B$82,'График аннуитет.'!F23,'График аннуитет.'!D24+'График аннуитет.'!E24)</f>
        <v>8202435.2599999998</v>
      </c>
      <c r="G24" s="13">
        <f t="shared" si="2"/>
        <v>32</v>
      </c>
      <c r="H24" s="13">
        <f t="shared" si="1"/>
        <v>365</v>
      </c>
    </row>
    <row r="25" spans="1:8" x14ac:dyDescent="0.25">
      <c r="A25" s="16">
        <v>18</v>
      </c>
      <c r="B25" s="30">
        <f>'График дифференц'!B25</f>
        <v>46609</v>
      </c>
      <c r="C25" s="31">
        <f t="shared" si="0"/>
        <v>11933221.330000009</v>
      </c>
      <c r="D25" s="31">
        <f>IF(A25&lt;umumiy_malumot!$B$82,'График аннуитет.'!F25-'График аннуитет.'!E25,'График аннуитет.'!C25)</f>
        <v>7680969.7299999995</v>
      </c>
      <c r="E25" s="31">
        <f>ROUND(C25*umumiy_malumot!$B$85/H25,2)*'График аннуитет.'!G25</f>
        <v>521465.52999999997</v>
      </c>
      <c r="F25" s="31">
        <f>IF(A25&lt;umumiy_malumot!$B$82,'График аннуитет.'!F24,'График аннуитет.'!D25+'График аннуитет.'!E25)</f>
        <v>8202435.2599999998</v>
      </c>
      <c r="G25" s="13">
        <f>B25-B24</f>
        <v>29</v>
      </c>
      <c r="H25" s="13">
        <f t="shared" si="1"/>
        <v>365</v>
      </c>
    </row>
    <row r="26" spans="1:8" x14ac:dyDescent="0.25">
      <c r="A26" s="16">
        <v>19</v>
      </c>
      <c r="B26" s="30">
        <f>'График дифференц'!B26</f>
        <v>46640</v>
      </c>
      <c r="C26" s="31">
        <f t="shared" si="0"/>
        <v>4252251.6000000099</v>
      </c>
      <c r="D26" s="31">
        <f>IF(A26&lt;umumiy_malumot!$B$82,'График аннуитет.'!F26-'График аннуитет.'!E26,'График аннуитет.'!C26)</f>
        <v>8003802.7599999998</v>
      </c>
      <c r="E26" s="31">
        <f>ROUND(C26*umumiy_malumot!$B$85/H26,2)*'График аннуитет.'!G26</f>
        <v>198632.5</v>
      </c>
      <c r="F26" s="31">
        <f>IF(A26&lt;umumiy_malumot!$B$82,'График аннуитет.'!F25,'График аннуитет.'!D26+'График аннуитет.'!E26)</f>
        <v>8202435.2599999998</v>
      </c>
      <c r="G26" s="13">
        <f t="shared" ref="G26:G30" si="3">B26-B25</f>
        <v>31</v>
      </c>
      <c r="H26" s="13">
        <f t="shared" si="1"/>
        <v>365</v>
      </c>
    </row>
    <row r="27" spans="1:8" x14ac:dyDescent="0.25">
      <c r="A27" s="16">
        <v>20</v>
      </c>
      <c r="B27" s="30">
        <f>'График дифференц'!B27</f>
        <v>46671</v>
      </c>
      <c r="C27" s="31">
        <f t="shared" si="0"/>
        <v>-3751551.1599999899</v>
      </c>
      <c r="D27" s="31">
        <f>IF(A27&lt;umumiy_malumot!$B$82,'График аннуитет.'!F27-'График аннуитет.'!E27,'График аннуитет.'!C27)</f>
        <v>8377678.8799999999</v>
      </c>
      <c r="E27" s="31">
        <f>ROUND(C27*umumiy_malumot!$B$85/H27,2)*'График аннуитет.'!G27</f>
        <v>-175243.62000000002</v>
      </c>
      <c r="F27" s="31">
        <f>IF(A27&lt;umumiy_malumot!$B$82,'График аннуитет.'!F26,'График аннуитет.'!D27+'График аннуитет.'!E27)</f>
        <v>8202435.2599999998</v>
      </c>
      <c r="G27" s="13">
        <f t="shared" si="3"/>
        <v>31</v>
      </c>
      <c r="H27" s="13">
        <f t="shared" si="1"/>
        <v>365</v>
      </c>
    </row>
    <row r="28" spans="1:8" x14ac:dyDescent="0.25">
      <c r="A28" s="16">
        <v>21</v>
      </c>
      <c r="B28" s="30">
        <f>'График дифференц'!B28</f>
        <v>46701</v>
      </c>
      <c r="C28" s="31">
        <f t="shared" si="0"/>
        <v>-12129230.03999999</v>
      </c>
      <c r="D28" s="31">
        <f>IF(A28&lt;umumiy_malumot!$B$82,'График аннуитет.'!F28-'График аннуитет.'!E28,'График аннуитет.'!C28)</f>
        <v>8750742.8599999994</v>
      </c>
      <c r="E28" s="31">
        <f>ROUND(C28*umumiy_malumot!$B$85/H28,2)*'График аннуитет.'!G28</f>
        <v>-548307.6</v>
      </c>
      <c r="F28" s="31">
        <f>IF(A28&lt;umumiy_malumot!$B$82,'График аннуитет.'!F27,'График аннуитет.'!D28+'График аннуитет.'!E28)</f>
        <v>8202435.2599999998</v>
      </c>
      <c r="G28" s="13">
        <f t="shared" si="3"/>
        <v>30</v>
      </c>
      <c r="H28" s="13">
        <f t="shared" si="1"/>
        <v>365</v>
      </c>
    </row>
    <row r="29" spans="1:8" x14ac:dyDescent="0.25">
      <c r="A29" s="16">
        <v>22</v>
      </c>
      <c r="B29" s="30">
        <f>'График дифференц'!B29</f>
        <v>46731</v>
      </c>
      <c r="C29" s="31">
        <f t="shared" si="0"/>
        <v>-20879972.899999991</v>
      </c>
      <c r="D29" s="31">
        <f>IF(A29&lt;umumiy_malumot!$B$82,'График аннуитет.'!F29-'График аннуитет.'!E29,'График аннуитет.'!C29)</f>
        <v>9146324.3599999994</v>
      </c>
      <c r="E29" s="31">
        <f>ROUND(C29*umumiy_malumot!$B$85/H29,2)*'График аннуитет.'!G29</f>
        <v>-943889.10000000009</v>
      </c>
      <c r="F29" s="31">
        <f>IF(A29&lt;umumiy_malumot!$B$82,'График аннуитет.'!F28,'График аннуитет.'!D29+'График аннуитет.'!E29)</f>
        <v>8202435.2599999998</v>
      </c>
      <c r="G29" s="13">
        <f t="shared" si="3"/>
        <v>30</v>
      </c>
      <c r="H29" s="13">
        <f t="shared" si="1"/>
        <v>365</v>
      </c>
    </row>
    <row r="30" spans="1:8" x14ac:dyDescent="0.25">
      <c r="A30" s="16">
        <v>23</v>
      </c>
      <c r="B30" s="30">
        <f>'График дифференц'!B30</f>
        <v>46762</v>
      </c>
      <c r="C30" s="31">
        <f t="shared" si="0"/>
        <v>-30026297.25999999</v>
      </c>
      <c r="D30" s="31">
        <f>IF(A30&lt;umumiy_malumot!$B$82,'График аннуитет.'!F30-'График аннуитет.'!E30,'График аннуитет.'!C30)</f>
        <v>9601201.1400000006</v>
      </c>
      <c r="E30" s="31">
        <f>ROUND(C30*umumiy_malumot!$B$85/H30,2)*'График аннуитет.'!G30</f>
        <v>-1398765.8800000001</v>
      </c>
      <c r="F30" s="31">
        <f>IF(A30&lt;umumiy_malumot!$B$82,'График аннуитет.'!F29,'График аннуитет.'!D30+'График аннуитет.'!E30)</f>
        <v>8202435.2599999998</v>
      </c>
      <c r="G30" s="13">
        <f t="shared" si="3"/>
        <v>31</v>
      </c>
      <c r="H30" s="13">
        <f t="shared" si="1"/>
        <v>366</v>
      </c>
    </row>
    <row r="31" spans="1:8" x14ac:dyDescent="0.25">
      <c r="A31" s="16">
        <v>24</v>
      </c>
      <c r="B31" s="30">
        <f>'График дифференц'!B31</f>
        <v>46793</v>
      </c>
      <c r="C31" s="31">
        <f t="shared" ref="C31" si="4">C30-D30</f>
        <v>-39627498.399999991</v>
      </c>
      <c r="D31" s="31">
        <f>IF(A31&lt;umumiy_malumot!$B$82,'График аннуитет.'!F31-'График аннуитет.'!E31,'График аннуитет.'!C31)</f>
        <v>10048470.379999999</v>
      </c>
      <c r="E31" s="31">
        <f>ROUND(C31*umumiy_malumot!$B$85/H31,2)*'График аннуитет.'!G31</f>
        <v>-1846035.1199999999</v>
      </c>
      <c r="F31" s="31">
        <f>IF(A31&lt;umumiy_malumot!$B$82,'График аннуитет.'!F30,'График аннуитет.'!D31+'График аннуитет.'!E31)</f>
        <v>8202435.2599999998</v>
      </c>
      <c r="G31" s="13">
        <f>B31-B30</f>
        <v>31</v>
      </c>
      <c r="H31" s="13">
        <f t="shared" si="1"/>
        <v>366</v>
      </c>
    </row>
    <row r="32" spans="1:8" x14ac:dyDescent="0.25">
      <c r="A32" s="16">
        <f>1+A31</f>
        <v>25</v>
      </c>
      <c r="B32" s="30">
        <f>'График дифференц'!B32</f>
        <v>46822</v>
      </c>
      <c r="C32" s="31">
        <f t="shared" ref="C32:C43" si="5">C31-D31</f>
        <v>-49675968.779999986</v>
      </c>
      <c r="D32" s="31">
        <f>IF(A32&lt;umumiy_malumot!$B$82,'График аннуитет.'!F32-'График аннуитет.'!E32,'График аннуитет.'!C32)</f>
        <v>10367275.98</v>
      </c>
      <c r="E32" s="31">
        <f>ROUND(C32*umumiy_malumot!$B$85/H32,2)*'График аннуитет.'!G32</f>
        <v>-2164840.7199999997</v>
      </c>
      <c r="F32" s="31">
        <f>IF(A32&lt;umumiy_malumot!$B$82,'График аннуитет.'!F31,'График аннуитет.'!D32+'График аннуитет.'!E32)</f>
        <v>8202435.2599999998</v>
      </c>
      <c r="G32" s="13">
        <f t="shared" ref="G32:G43" si="6">B32-B31</f>
        <v>29</v>
      </c>
      <c r="H32" s="13">
        <f t="shared" ref="H32:H43" si="7">DATE(YEAR(B32),12,31)-DATE(YEAR(B32),1,1)+1</f>
        <v>366</v>
      </c>
    </row>
    <row r="33" spans="1:8" x14ac:dyDescent="0.25">
      <c r="A33" s="16">
        <f t="shared" ref="A33:A55" si="8">1+A32</f>
        <v>26</v>
      </c>
      <c r="B33" s="30">
        <f>'График дифференц'!B33</f>
        <v>46853</v>
      </c>
      <c r="C33" s="31">
        <f t="shared" si="5"/>
        <v>-60043244.75999999</v>
      </c>
      <c r="D33" s="31">
        <f>IF(A33&lt;umumiy_malumot!$B$82,'График аннуитет.'!F33-'График аннуитет.'!E33,'График аннуитет.'!C33)</f>
        <v>10999531.779999999</v>
      </c>
      <c r="E33" s="31">
        <f>ROUND(C33*umumiy_malumot!$B$85/H33,2)*'График аннуитет.'!G33</f>
        <v>-2797096.52</v>
      </c>
      <c r="F33" s="31">
        <f>IF(A33&lt;umumiy_malumot!$B$82,'График аннуитет.'!F32,'График аннуитет.'!D33+'График аннуитет.'!E33)</f>
        <v>8202435.2599999998</v>
      </c>
      <c r="G33" s="13">
        <f t="shared" si="6"/>
        <v>31</v>
      </c>
      <c r="H33" s="13">
        <f t="shared" si="7"/>
        <v>366</v>
      </c>
    </row>
    <row r="34" spans="1:8" x14ac:dyDescent="0.25">
      <c r="A34" s="16">
        <f t="shared" si="8"/>
        <v>27</v>
      </c>
      <c r="B34" s="30">
        <f>'График дифференц'!B34</f>
        <v>46883</v>
      </c>
      <c r="C34" s="31">
        <f t="shared" si="5"/>
        <v>-71042776.539999992</v>
      </c>
      <c r="D34" s="31">
        <f>IF(A34&lt;umumiy_malumot!$B$82,'График аннуитет.'!F34-'График аннуитет.'!E34,'График аннуитет.'!C34)</f>
        <v>11405183.359999999</v>
      </c>
      <c r="E34" s="31">
        <f>ROUND(C34*umumiy_malumot!$B$85/H34,2)*'График аннуитет.'!G34</f>
        <v>-3202748.1</v>
      </c>
      <c r="F34" s="31">
        <f>IF(A34&lt;umumiy_malumot!$B$82,'График аннуитет.'!F33,'График аннуитет.'!D34+'График аннуитет.'!E34)</f>
        <v>8202435.2599999998</v>
      </c>
      <c r="G34" s="13">
        <f t="shared" si="6"/>
        <v>30</v>
      </c>
      <c r="H34" s="13">
        <f t="shared" si="7"/>
        <v>366</v>
      </c>
    </row>
    <row r="35" spans="1:8" x14ac:dyDescent="0.25">
      <c r="A35" s="16">
        <f t="shared" si="8"/>
        <v>28</v>
      </c>
      <c r="B35" s="30">
        <f>'График дифференц'!B35</f>
        <v>46916</v>
      </c>
      <c r="C35" s="31">
        <f t="shared" si="5"/>
        <v>-82447959.899999991</v>
      </c>
      <c r="D35" s="31">
        <f>IF(A35&lt;umumiy_malumot!$B$82,'График аннуитет.'!F35-'График аннуитет.'!E35,'График аннуитет.'!C35)</f>
        <v>12291043.189999999</v>
      </c>
      <c r="E35" s="31">
        <f>ROUND(C35*umumiy_malumot!$B$85/H35,2)*'График аннуитет.'!G35</f>
        <v>-4088607.93</v>
      </c>
      <c r="F35" s="31">
        <f>IF(A35&lt;umumiy_malumot!$B$82,'График аннуитет.'!F34,'График аннуитет.'!D35+'График аннуитет.'!E35)</f>
        <v>8202435.2599999998</v>
      </c>
      <c r="G35" s="13">
        <f t="shared" si="6"/>
        <v>33</v>
      </c>
      <c r="H35" s="13">
        <f t="shared" si="7"/>
        <v>366</v>
      </c>
    </row>
    <row r="36" spans="1:8" x14ac:dyDescent="0.25">
      <c r="A36" s="16">
        <f t="shared" si="8"/>
        <v>29</v>
      </c>
      <c r="B36" s="30">
        <f>'График дифференц'!B36</f>
        <v>46944</v>
      </c>
      <c r="C36" s="31">
        <f t="shared" si="5"/>
        <v>-94739003.089999989</v>
      </c>
      <c r="D36" s="31">
        <f>IF(A36&lt;umumiy_malumot!$B$82,'График аннуитет.'!F36-'График аннуитет.'!E36,'График аннуитет.'!C36)</f>
        <v>12188721.060000001</v>
      </c>
      <c r="E36" s="31">
        <f>ROUND(C36*umumiy_malumot!$B$85/H36,2)*'График аннуитет.'!G36</f>
        <v>-3986285.8000000003</v>
      </c>
      <c r="F36" s="31">
        <f>IF(A36&lt;umumiy_malumot!$B$82,'График аннуитет.'!F35,'График аннуитет.'!D36+'График аннуитет.'!E36)</f>
        <v>8202435.2599999998</v>
      </c>
      <c r="G36" s="13">
        <f t="shared" si="6"/>
        <v>28</v>
      </c>
      <c r="H36" s="13">
        <f t="shared" si="7"/>
        <v>366</v>
      </c>
    </row>
    <row r="37" spans="1:8" x14ac:dyDescent="0.25">
      <c r="A37" s="16">
        <f t="shared" si="8"/>
        <v>30</v>
      </c>
      <c r="B37" s="30">
        <f>'График дифференц'!B37</f>
        <v>46975</v>
      </c>
      <c r="C37" s="31">
        <f t="shared" si="5"/>
        <v>-106927724.14999999</v>
      </c>
      <c r="D37" s="31">
        <f>IF(A37&lt;umumiy_malumot!$B$82,'График аннуитет.'!F37-'График аннуитет.'!E37,'График аннуитет.'!C37)</f>
        <v>13183631.199999999</v>
      </c>
      <c r="E37" s="31">
        <f>ROUND(C37*umumiy_malumot!$B$85/H37,2)*'График аннуитет.'!G37</f>
        <v>-4981195.9399999995</v>
      </c>
      <c r="F37" s="31">
        <f>IF(A37&lt;umumiy_malumot!$B$82,'График аннуитет.'!F36,'График аннуитет.'!D37+'График аннуитет.'!E37)</f>
        <v>8202435.2599999998</v>
      </c>
      <c r="G37" s="13">
        <f t="shared" si="6"/>
        <v>31</v>
      </c>
      <c r="H37" s="13">
        <f t="shared" si="7"/>
        <v>366</v>
      </c>
    </row>
    <row r="38" spans="1:8" x14ac:dyDescent="0.25">
      <c r="A38" s="16">
        <f t="shared" si="8"/>
        <v>31</v>
      </c>
      <c r="B38" s="30">
        <f>'График дифференц'!B38</f>
        <v>47007</v>
      </c>
      <c r="C38" s="31">
        <f t="shared" si="5"/>
        <v>-120111355.34999999</v>
      </c>
      <c r="D38" s="31">
        <f>IF(A38&lt;umumiy_malumot!$B$82,'График аннуитет.'!F38-'График аннуитет.'!E38,'График аннуитет.'!C38)</f>
        <v>13978281.98</v>
      </c>
      <c r="E38" s="31">
        <f>ROUND(C38*umumiy_malumot!$B$85/H38,2)*'График аннуитет.'!G38</f>
        <v>-5775846.7199999997</v>
      </c>
      <c r="F38" s="31">
        <f>IF(A38&lt;umumiy_malumot!$B$82,'График аннуитет.'!F37,'График аннуитет.'!D38+'График аннуитет.'!E38)</f>
        <v>8202435.2599999998</v>
      </c>
      <c r="G38" s="13">
        <f t="shared" si="6"/>
        <v>32</v>
      </c>
      <c r="H38" s="13">
        <f t="shared" si="7"/>
        <v>366</v>
      </c>
    </row>
    <row r="39" spans="1:8" x14ac:dyDescent="0.25">
      <c r="A39" s="16">
        <f t="shared" si="8"/>
        <v>32</v>
      </c>
      <c r="B39" s="30">
        <f>'График дифференц'!B39</f>
        <v>47036</v>
      </c>
      <c r="C39" s="31">
        <f t="shared" si="5"/>
        <v>-134089637.33</v>
      </c>
      <c r="D39" s="31">
        <f>IF(A39&lt;umumiy_malumot!$B$82,'График аннуитет.'!F39-'График аннуитет.'!E39,'График аннуитет.'!C39)</f>
        <v>14045959.039999999</v>
      </c>
      <c r="E39" s="31">
        <f>ROUND(C39*umumiy_malumot!$B$85/H39,2)*'График аннуитет.'!G39</f>
        <v>-5843523.7800000003</v>
      </c>
      <c r="F39" s="31">
        <f>IF(A39&lt;umumiy_malumot!$B$82,'График аннуитет.'!F38,'График аннуитет.'!D39+'График аннуитет.'!E39)</f>
        <v>8202435.2599999998</v>
      </c>
      <c r="G39" s="13">
        <f t="shared" si="6"/>
        <v>29</v>
      </c>
      <c r="H39" s="13">
        <f t="shared" si="7"/>
        <v>366</v>
      </c>
    </row>
    <row r="40" spans="1:8" x14ac:dyDescent="0.25">
      <c r="A40" s="16">
        <f t="shared" si="8"/>
        <v>33</v>
      </c>
      <c r="B40" s="30">
        <f>'График дифференц'!B40</f>
        <v>47067</v>
      </c>
      <c r="C40" s="31">
        <f t="shared" si="5"/>
        <v>-148135596.37</v>
      </c>
      <c r="D40" s="31">
        <f>IF(A40&lt;umumiy_malumot!$B$82,'График аннуитет.'!F40-'График аннуитет.'!E40,'График аннуитет.'!C40)</f>
        <v>15103287.600000001</v>
      </c>
      <c r="E40" s="31">
        <f>ROUND(C40*umumiy_malumot!$B$85/H40,2)*'График аннуитет.'!G40</f>
        <v>-6900852.3400000008</v>
      </c>
      <c r="F40" s="31">
        <f>IF(A40&lt;umumiy_malumot!$B$82,'График аннуитет.'!F39,'График аннуитет.'!D40+'График аннуитет.'!E40)</f>
        <v>8202435.2599999998</v>
      </c>
      <c r="G40" s="13">
        <f t="shared" si="6"/>
        <v>31</v>
      </c>
      <c r="H40" s="13">
        <f t="shared" si="7"/>
        <v>366</v>
      </c>
    </row>
    <row r="41" spans="1:8" x14ac:dyDescent="0.25">
      <c r="A41" s="16">
        <f t="shared" si="8"/>
        <v>34</v>
      </c>
      <c r="B41" s="30">
        <f>'График дифференц'!B41</f>
        <v>47098</v>
      </c>
      <c r="C41" s="31">
        <f t="shared" si="5"/>
        <v>-163238883.97</v>
      </c>
      <c r="D41" s="31">
        <f>IF(A41&lt;umumiy_malumot!$B$82,'График аннуитет.'!F41-'График аннуитет.'!E41,'График аннуитет.'!C41)</f>
        <v>15806869.489999998</v>
      </c>
      <c r="E41" s="31">
        <f>ROUND(C41*umumiy_malumot!$B$85/H41,2)*'График аннуитет.'!G41</f>
        <v>-7604434.2299999995</v>
      </c>
      <c r="F41" s="31">
        <f>IF(A41&lt;umumiy_malumot!$B$82,'График аннуитет.'!F40,'График аннуитет.'!D41+'График аннуитет.'!E41)</f>
        <v>8202435.2599999998</v>
      </c>
      <c r="G41" s="13">
        <f t="shared" si="6"/>
        <v>31</v>
      </c>
      <c r="H41" s="13">
        <f t="shared" si="7"/>
        <v>366</v>
      </c>
    </row>
    <row r="42" spans="1:8" x14ac:dyDescent="0.25">
      <c r="A42" s="16">
        <f t="shared" si="8"/>
        <v>35</v>
      </c>
      <c r="B42" s="30">
        <f>'График дифференц'!B42</f>
        <v>47128</v>
      </c>
      <c r="C42" s="31">
        <f t="shared" si="5"/>
        <v>-179045753.46000001</v>
      </c>
      <c r="D42" s="31">
        <f>IF(A42&lt;umumiy_malumot!$B$82,'График аннуитет.'!F42-'График аннуитет.'!E42,'График аннуитет.'!C42)</f>
        <v>16296284.359999999</v>
      </c>
      <c r="E42" s="31">
        <f>ROUND(C42*umumiy_malumot!$B$85/H42,2)*'График аннуитет.'!G42</f>
        <v>-8093849.0999999996</v>
      </c>
      <c r="F42" s="31">
        <f>IF(A42&lt;umumiy_malumot!$B$82,'График аннуитет.'!F41,'График аннуитет.'!D42+'График аннуитет.'!E42)</f>
        <v>8202435.2599999998</v>
      </c>
      <c r="G42" s="13">
        <f t="shared" si="6"/>
        <v>30</v>
      </c>
      <c r="H42" s="13">
        <f t="shared" si="7"/>
        <v>365</v>
      </c>
    </row>
    <row r="43" spans="1:8" x14ac:dyDescent="0.25">
      <c r="A43" s="16">
        <f t="shared" si="8"/>
        <v>36</v>
      </c>
      <c r="B43" s="30">
        <f>'График дифференц'!B43</f>
        <v>47151</v>
      </c>
      <c r="C43" s="31">
        <f t="shared" si="5"/>
        <v>-195342037.81999999</v>
      </c>
      <c r="D43" s="31">
        <f>IF(A43&lt;umumiy_malumot!$B$82,'График аннуитет.'!F43-'График аннуитет.'!E43,'График аннуитет.'!C43)</f>
        <v>-195342037.81999999</v>
      </c>
      <c r="E43" s="31">
        <f>ROUND(C43*umumiy_malumot!$B$85/H43,2)*'График аннуитет.'!G43</f>
        <v>-6770073.4600000009</v>
      </c>
      <c r="F43" s="31">
        <f>IF(A43&lt;umumiy_malumot!$B$82,'График аннуитет.'!F42,'График аннуитет.'!D43+'График аннуитет.'!E43)</f>
        <v>-202112111.28</v>
      </c>
      <c r="G43" s="13">
        <f t="shared" si="6"/>
        <v>23</v>
      </c>
      <c r="H43" s="13">
        <f t="shared" si="7"/>
        <v>365</v>
      </c>
    </row>
    <row r="44" spans="1:8" x14ac:dyDescent="0.25">
      <c r="A44" s="16">
        <f t="shared" si="8"/>
        <v>37</v>
      </c>
      <c r="B44" s="30" t="b">
        <f>'График дифференц'!B44</f>
        <v>0</v>
      </c>
      <c r="C44" s="31">
        <f t="shared" ref="C44:C55" si="9">C43-D43</f>
        <v>0</v>
      </c>
      <c r="D44" s="31">
        <f>IF(A44&lt;umumiy_malumot!$B$82,'График аннуитет.'!F44-'График аннуитет.'!E44,'График аннуитет.'!C44)</f>
        <v>0</v>
      </c>
      <c r="E44" s="31">
        <f>ROUND(C44*umumiy_malumot!$B$85/H44,2)*'График аннуитет.'!G44</f>
        <v>0</v>
      </c>
      <c r="F44" s="31">
        <f>IF(A44&lt;umumiy_malumot!$B$82,'График аннуитет.'!F43,'График аннуитет.'!D44+'График аннуитет.'!E44)</f>
        <v>0</v>
      </c>
      <c r="G44" s="13">
        <f t="shared" ref="G44:G55" si="10">B44-B43</f>
        <v>-47151</v>
      </c>
      <c r="H44" s="13">
        <f t="shared" ref="H44:H55" si="11">DATE(YEAR(B44),12,31)-DATE(YEAR(B44),1,1)+1</f>
        <v>366</v>
      </c>
    </row>
    <row r="45" spans="1:8" x14ac:dyDescent="0.25">
      <c r="A45" s="16">
        <f t="shared" si="8"/>
        <v>38</v>
      </c>
      <c r="B45" s="30" t="b">
        <f>'График дифференц'!B45</f>
        <v>0</v>
      </c>
      <c r="C45" s="31">
        <f t="shared" si="9"/>
        <v>0</v>
      </c>
      <c r="D45" s="31">
        <f>IF(A45&lt;umumiy_malumot!$B$82,'График аннуитет.'!F45-'График аннуитет.'!E45,'График аннуитет.'!C45)</f>
        <v>0</v>
      </c>
      <c r="E45" s="31">
        <f>ROUND(C45*umumiy_malumot!$B$85/H45,2)*'График аннуитет.'!G45</f>
        <v>0</v>
      </c>
      <c r="F45" s="31">
        <f>IF(A45&lt;umumiy_malumot!$B$82,'График аннуитет.'!F44,'График аннуитет.'!D45+'График аннуитет.'!E45)</f>
        <v>0</v>
      </c>
      <c r="G45" s="13">
        <f t="shared" si="10"/>
        <v>0</v>
      </c>
      <c r="H45" s="13">
        <f t="shared" si="11"/>
        <v>366</v>
      </c>
    </row>
    <row r="46" spans="1:8" x14ac:dyDescent="0.25">
      <c r="A46" s="16">
        <f t="shared" si="8"/>
        <v>39</v>
      </c>
      <c r="B46" s="30" t="b">
        <f>'График дифференц'!B46</f>
        <v>0</v>
      </c>
      <c r="C46" s="31">
        <f t="shared" si="9"/>
        <v>0</v>
      </c>
      <c r="D46" s="31">
        <f>IF(A46&lt;umumiy_malumot!$B$82,'График аннуитет.'!F46-'График аннуитет.'!E46,'График аннуитет.'!C46)</f>
        <v>0</v>
      </c>
      <c r="E46" s="31">
        <f>ROUND(C46*umumiy_malumot!$B$85/H46,2)*'График аннуитет.'!G46</f>
        <v>0</v>
      </c>
      <c r="F46" s="31">
        <f>IF(A46&lt;umumiy_malumot!$B$82,'График аннуитет.'!F45,'График аннуитет.'!D46+'График аннуитет.'!E46)</f>
        <v>0</v>
      </c>
      <c r="G46" s="13">
        <f t="shared" si="10"/>
        <v>0</v>
      </c>
      <c r="H46" s="13">
        <f t="shared" si="11"/>
        <v>366</v>
      </c>
    </row>
    <row r="47" spans="1:8" x14ac:dyDescent="0.25">
      <c r="A47" s="16">
        <f t="shared" si="8"/>
        <v>40</v>
      </c>
      <c r="B47" s="30" t="b">
        <f>'График дифференц'!B47</f>
        <v>0</v>
      </c>
      <c r="C47" s="31">
        <f t="shared" si="9"/>
        <v>0</v>
      </c>
      <c r="D47" s="31">
        <f>IF(A47&lt;umumiy_malumot!$B$82,'График аннуитет.'!F47-'График аннуитет.'!E47,'График аннуитет.'!C47)</f>
        <v>0</v>
      </c>
      <c r="E47" s="31">
        <f>ROUND(C47*umumiy_malumot!$B$85/H47,2)*'График аннуитет.'!G47</f>
        <v>0</v>
      </c>
      <c r="F47" s="31">
        <f>IF(A47&lt;umumiy_malumot!$B$82,'График аннуитет.'!F46,'График аннуитет.'!D47+'График аннуитет.'!E47)</f>
        <v>0</v>
      </c>
      <c r="G47" s="13">
        <f t="shared" si="10"/>
        <v>0</v>
      </c>
      <c r="H47" s="13">
        <f t="shared" si="11"/>
        <v>366</v>
      </c>
    </row>
    <row r="48" spans="1:8" x14ac:dyDescent="0.25">
      <c r="A48" s="16">
        <f t="shared" si="8"/>
        <v>41</v>
      </c>
      <c r="B48" s="30" t="b">
        <f>'График дифференц'!B48</f>
        <v>0</v>
      </c>
      <c r="C48" s="31">
        <f t="shared" si="9"/>
        <v>0</v>
      </c>
      <c r="D48" s="31">
        <f>IF(A48&lt;umumiy_malumot!$B$82,'График аннуитет.'!F48-'График аннуитет.'!E48,'График аннуитет.'!C48)</f>
        <v>0</v>
      </c>
      <c r="E48" s="31">
        <f>ROUND(C48*umumiy_malumot!$B$85/H48,2)*'График аннуитет.'!G48</f>
        <v>0</v>
      </c>
      <c r="F48" s="31">
        <f>IF(A48&lt;umumiy_malumot!$B$82,'График аннуитет.'!F47,'График аннуитет.'!D48+'График аннуитет.'!E48)</f>
        <v>0</v>
      </c>
      <c r="G48" s="13">
        <f t="shared" si="10"/>
        <v>0</v>
      </c>
      <c r="H48" s="13">
        <f t="shared" si="11"/>
        <v>366</v>
      </c>
    </row>
    <row r="49" spans="1:8" x14ac:dyDescent="0.25">
      <c r="A49" s="16">
        <f t="shared" si="8"/>
        <v>42</v>
      </c>
      <c r="B49" s="30" t="b">
        <f>'График дифференц'!B49</f>
        <v>0</v>
      </c>
      <c r="C49" s="31">
        <f t="shared" si="9"/>
        <v>0</v>
      </c>
      <c r="D49" s="31">
        <f>IF(A49&lt;umumiy_malumot!$B$82,'График аннуитет.'!F49-'График аннуитет.'!E49,'График аннуитет.'!C49)</f>
        <v>0</v>
      </c>
      <c r="E49" s="31">
        <f>ROUND(C49*umumiy_malumot!$B$85/H49,2)*'График аннуитет.'!G49</f>
        <v>0</v>
      </c>
      <c r="F49" s="31">
        <f>IF(A49&lt;umumiy_malumot!$B$82,'График аннуитет.'!F48,'График аннуитет.'!D49+'График аннуитет.'!E49)</f>
        <v>0</v>
      </c>
      <c r="G49" s="13">
        <f t="shared" si="10"/>
        <v>0</v>
      </c>
      <c r="H49" s="13">
        <f t="shared" si="11"/>
        <v>366</v>
      </c>
    </row>
    <row r="50" spans="1:8" x14ac:dyDescent="0.25">
      <c r="A50" s="16">
        <f t="shared" si="8"/>
        <v>43</v>
      </c>
      <c r="B50" s="30" t="b">
        <f>'График дифференц'!B50</f>
        <v>0</v>
      </c>
      <c r="C50" s="31">
        <f t="shared" si="9"/>
        <v>0</v>
      </c>
      <c r="D50" s="31">
        <f>IF(A50&lt;umumiy_malumot!$B$82,'График аннуитет.'!F50-'График аннуитет.'!E50,'График аннуитет.'!C50)</f>
        <v>0</v>
      </c>
      <c r="E50" s="31">
        <f>ROUND(C50*umumiy_malumot!$B$85/H50,2)*'График аннуитет.'!G50</f>
        <v>0</v>
      </c>
      <c r="F50" s="31">
        <f>IF(A50&lt;umumiy_malumot!$B$82,'График аннуитет.'!F49,'График аннуитет.'!D50+'График аннуитет.'!E50)</f>
        <v>0</v>
      </c>
      <c r="G50" s="13">
        <f t="shared" si="10"/>
        <v>0</v>
      </c>
      <c r="H50" s="13">
        <f t="shared" si="11"/>
        <v>366</v>
      </c>
    </row>
    <row r="51" spans="1:8" x14ac:dyDescent="0.25">
      <c r="A51" s="16">
        <f t="shared" si="8"/>
        <v>44</v>
      </c>
      <c r="B51" s="30" t="b">
        <f>'График дифференц'!B51</f>
        <v>0</v>
      </c>
      <c r="C51" s="31">
        <f t="shared" si="9"/>
        <v>0</v>
      </c>
      <c r="D51" s="31">
        <f>IF(A51&lt;umumiy_malumot!$B$82,'График аннуитет.'!F51-'График аннуитет.'!E51,'График аннуитет.'!C51)</f>
        <v>0</v>
      </c>
      <c r="E51" s="31">
        <f>ROUND(C51*umumiy_malumot!$B$85/H51,2)*'График аннуитет.'!G51</f>
        <v>0</v>
      </c>
      <c r="F51" s="31">
        <f>IF(A51&lt;umumiy_malumot!$B$82,'График аннуитет.'!F50,'График аннуитет.'!D51+'График аннуитет.'!E51)</f>
        <v>0</v>
      </c>
      <c r="G51" s="13">
        <f t="shared" si="10"/>
        <v>0</v>
      </c>
      <c r="H51" s="13">
        <f t="shared" si="11"/>
        <v>366</v>
      </c>
    </row>
    <row r="52" spans="1:8" x14ac:dyDescent="0.25">
      <c r="A52" s="16">
        <f t="shared" si="8"/>
        <v>45</v>
      </c>
      <c r="B52" s="30" t="b">
        <f>'График дифференц'!B52</f>
        <v>0</v>
      </c>
      <c r="C52" s="31">
        <f t="shared" si="9"/>
        <v>0</v>
      </c>
      <c r="D52" s="31">
        <f>IF(A52&lt;umumiy_malumot!$B$82,'График аннуитет.'!F52-'График аннуитет.'!E52,'График аннуитет.'!C52)</f>
        <v>0</v>
      </c>
      <c r="E52" s="31">
        <f>ROUND(C52*umumiy_malumot!$B$85/H52,2)*'График аннуитет.'!G52</f>
        <v>0</v>
      </c>
      <c r="F52" s="31">
        <f>IF(A52&lt;umumiy_malumot!$B$82,'График аннуитет.'!F51,'График аннуитет.'!D52+'График аннуитет.'!E52)</f>
        <v>0</v>
      </c>
      <c r="G52" s="13">
        <f t="shared" si="10"/>
        <v>0</v>
      </c>
      <c r="H52" s="13">
        <f t="shared" si="11"/>
        <v>366</v>
      </c>
    </row>
    <row r="53" spans="1:8" x14ac:dyDescent="0.25">
      <c r="A53" s="16">
        <f t="shared" si="8"/>
        <v>46</v>
      </c>
      <c r="B53" s="30" t="b">
        <f>'График дифференц'!B53</f>
        <v>0</v>
      </c>
      <c r="C53" s="31">
        <f t="shared" si="9"/>
        <v>0</v>
      </c>
      <c r="D53" s="31">
        <f>IF(A53&lt;umumiy_malumot!$B$82,'График аннуитет.'!F53-'График аннуитет.'!E53,'График аннуитет.'!C53)</f>
        <v>0</v>
      </c>
      <c r="E53" s="31">
        <f>ROUND(C53*umumiy_malumot!$B$85/H53,2)*'График аннуитет.'!G53</f>
        <v>0</v>
      </c>
      <c r="F53" s="31">
        <f>IF(A53&lt;umumiy_malumot!$B$82,'График аннуитет.'!F52,'График аннуитет.'!D53+'График аннуитет.'!E53)</f>
        <v>0</v>
      </c>
      <c r="G53" s="13">
        <f t="shared" si="10"/>
        <v>0</v>
      </c>
      <c r="H53" s="13">
        <f t="shared" si="11"/>
        <v>366</v>
      </c>
    </row>
    <row r="54" spans="1:8" x14ac:dyDescent="0.25">
      <c r="A54" s="16">
        <f t="shared" si="8"/>
        <v>47</v>
      </c>
      <c r="B54" s="30" t="b">
        <f>'График дифференц'!B54</f>
        <v>0</v>
      </c>
      <c r="C54" s="31">
        <f t="shared" si="9"/>
        <v>0</v>
      </c>
      <c r="D54" s="31">
        <f>IF(A54&lt;umumiy_malumot!$B$82,'График аннуитет.'!F54-'График аннуитет.'!E54,'График аннуитет.'!C54)</f>
        <v>0</v>
      </c>
      <c r="E54" s="31">
        <f>ROUND(C54*umumiy_malumot!$B$85/H54,2)*'График аннуитет.'!G54</f>
        <v>0</v>
      </c>
      <c r="F54" s="31">
        <f>IF(A54&lt;umumiy_malumot!$B$82,'График аннуитет.'!F53,'График аннуитет.'!D54+'График аннуитет.'!E54)</f>
        <v>0</v>
      </c>
      <c r="G54" s="13">
        <f t="shared" si="10"/>
        <v>0</v>
      </c>
      <c r="H54" s="13">
        <f t="shared" si="11"/>
        <v>366</v>
      </c>
    </row>
    <row r="55" spans="1:8" x14ac:dyDescent="0.25">
      <c r="A55" s="16">
        <f t="shared" si="8"/>
        <v>48</v>
      </c>
      <c r="B55" s="30" t="b">
        <f>'График дифференц'!B55</f>
        <v>0</v>
      </c>
      <c r="C55" s="31">
        <f t="shared" si="9"/>
        <v>0</v>
      </c>
      <c r="D55" s="31">
        <f>IF(A55&lt;umumiy_malumot!$B$82,'График аннуитет.'!F55-'График аннуитет.'!E55,'График аннуитет.'!C55)</f>
        <v>0</v>
      </c>
      <c r="E55" s="31">
        <f>ROUND(C55*umumiy_malumot!$B$85/H55,2)*'График аннуитет.'!G55</f>
        <v>0</v>
      </c>
      <c r="F55" s="31">
        <f>IF(A55&lt;umumiy_malumot!$B$82,'График аннуитет.'!F54,'График аннуитет.'!D55+'График аннуитет.'!E55)</f>
        <v>0</v>
      </c>
      <c r="G55" s="13">
        <f t="shared" si="10"/>
        <v>0</v>
      </c>
      <c r="H55" s="13">
        <f t="shared" si="11"/>
        <v>366</v>
      </c>
    </row>
    <row r="56" spans="1:8" x14ac:dyDescent="0.25">
      <c r="A56" s="43"/>
      <c r="B56" s="44" t="s">
        <v>6</v>
      </c>
      <c r="C56" s="45"/>
      <c r="D56" s="45">
        <f>SUM(D8:D55)</f>
        <v>99999999.99999994</v>
      </c>
      <c r="E56" s="45">
        <f t="shared" ref="E56:F56" si="12">SUM(E8:E55)</f>
        <v>-15026877.180000005</v>
      </c>
      <c r="F56" s="45">
        <f t="shared" si="12"/>
        <v>84973122.819999844</v>
      </c>
    </row>
    <row r="57" spans="1:8" ht="9" customHeight="1" x14ac:dyDescent="0.25">
      <c r="B57" s="32"/>
      <c r="C57" s="33"/>
      <c r="D57" s="33"/>
      <c r="E57" s="33"/>
      <c r="F57" s="33"/>
    </row>
    <row r="58" spans="1:8" ht="47.25" customHeight="1" x14ac:dyDescent="0.25">
      <c r="A58" s="271" t="s">
        <v>16</v>
      </c>
      <c r="B58" s="271"/>
      <c r="C58" s="271"/>
      <c r="D58" s="271"/>
      <c r="E58" s="271"/>
      <c r="F58" s="271"/>
    </row>
    <row r="59" spans="1:8" ht="7.5" customHeight="1" x14ac:dyDescent="0.25"/>
    <row r="60" spans="1:8" x14ac:dyDescent="0.25">
      <c r="A60" s="329" t="e">
        <f>#REF!</f>
        <v>#REF!</v>
      </c>
      <c r="B60" s="329"/>
      <c r="C60" s="329"/>
      <c r="D60" s="329" t="e">
        <f>#REF!</f>
        <v>#REF!</v>
      </c>
      <c r="E60" s="329"/>
      <c r="F60" s="329"/>
    </row>
    <row r="61" spans="1:8" ht="11.25" customHeight="1" x14ac:dyDescent="0.25">
      <c r="A61" s="330"/>
      <c r="B61" s="330"/>
      <c r="C61" s="330"/>
      <c r="D61" s="330"/>
      <c r="E61" s="330"/>
      <c r="F61" s="330"/>
    </row>
    <row r="62" spans="1:8" ht="30" customHeight="1" x14ac:dyDescent="0.25">
      <c r="A62" s="312" t="e">
        <f>#REF!</f>
        <v>#REF!</v>
      </c>
      <c r="B62" s="312"/>
      <c r="C62" s="312"/>
      <c r="D62" s="312" t="e">
        <f>#REF!</f>
        <v>#REF!</v>
      </c>
      <c r="E62" s="312"/>
      <c r="F62" s="312"/>
    </row>
    <row r="63" spans="1:8" ht="32.25" customHeight="1" x14ac:dyDescent="0.25">
      <c r="A63" s="331" t="e">
        <f>#REF!</f>
        <v>#REF!</v>
      </c>
      <c r="B63" s="331"/>
      <c r="C63" s="331"/>
      <c r="D63" s="331" t="e">
        <f>#REF!</f>
        <v>#REF!</v>
      </c>
      <c r="E63" s="331"/>
      <c r="F63" s="331"/>
    </row>
    <row r="64" spans="1:8" x14ac:dyDescent="0.25">
      <c r="A64" s="331" t="e">
        <f>#REF!</f>
        <v>#REF!</v>
      </c>
      <c r="B64" s="331"/>
      <c r="C64" s="331"/>
      <c r="D64" s="331" t="str">
        <f>"паспорт серии "&amp;umumiy_malumot!B16&amp;", "&amp;umumiy_malumot!B20&amp;""</f>
        <v>паспорт серии AD 1654245, IIV 26264 tomonidan 15.08.2022 yilda berilgan</v>
      </c>
      <c r="E64" s="331"/>
      <c r="F64" s="331"/>
    </row>
    <row r="65" spans="1:6" ht="32.25" customHeight="1" x14ac:dyDescent="0.25">
      <c r="A65" s="331" t="e">
        <f>#REF!</f>
        <v>#REF!</v>
      </c>
      <c r="B65" s="331"/>
      <c r="C65" s="331"/>
      <c r="D65" s="331"/>
      <c r="E65" s="331"/>
      <c r="F65" s="331"/>
    </row>
    <row r="66" spans="1:6" x14ac:dyDescent="0.25">
      <c r="A66" s="331" t="e">
        <f>#REF!</f>
        <v>#REF!</v>
      </c>
      <c r="B66" s="331"/>
      <c r="C66" s="331"/>
      <c r="D66" s="331" t="e">
        <f>#REF!</f>
        <v>#REF!</v>
      </c>
      <c r="E66" s="331"/>
      <c r="F66" s="331"/>
    </row>
    <row r="67" spans="1:6" x14ac:dyDescent="0.25">
      <c r="A67" s="331" t="e">
        <f>#REF!</f>
        <v>#REF!</v>
      </c>
      <c r="B67" s="331"/>
      <c r="C67" s="331"/>
      <c r="D67" s="331" t="e">
        <f>#REF!</f>
        <v>#REF!</v>
      </c>
      <c r="E67" s="331"/>
      <c r="F67" s="331"/>
    </row>
    <row r="68" spans="1:6" x14ac:dyDescent="0.25">
      <c r="A68" s="331" t="e">
        <f>#REF!</f>
        <v>#REF!</v>
      </c>
      <c r="B68" s="331"/>
      <c r="C68" s="331"/>
      <c r="D68" s="331" t="e">
        <f>#REF!</f>
        <v>#REF!</v>
      </c>
      <c r="E68" s="331"/>
      <c r="F68" s="331"/>
    </row>
    <row r="69" spans="1:6" ht="8.25" customHeight="1" x14ac:dyDescent="0.25">
      <c r="A69" s="331"/>
      <c r="B69" s="331"/>
      <c r="C69" s="331"/>
      <c r="D69" s="331"/>
      <c r="E69" s="331"/>
      <c r="F69" s="331"/>
    </row>
    <row r="70" spans="1:6" x14ac:dyDescent="0.25">
      <c r="A70" s="312" t="e">
        <f>#REF!</f>
        <v>#REF!</v>
      </c>
      <c r="B70" s="312"/>
      <c r="C70" s="312"/>
      <c r="D70" s="312" t="e">
        <f>#REF!</f>
        <v>#REF!</v>
      </c>
      <c r="E70" s="312"/>
      <c r="F70" s="312"/>
    </row>
    <row r="71" spans="1:6" ht="7.5" customHeight="1" x14ac:dyDescent="0.25">
      <c r="A71" s="312"/>
      <c r="B71" s="312"/>
      <c r="C71" s="312"/>
      <c r="D71" s="312"/>
      <c r="E71" s="312"/>
      <c r="F71" s="312"/>
    </row>
    <row r="72" spans="1:6" x14ac:dyDescent="0.25">
      <c r="A72" s="312" t="e">
        <f>#REF!</f>
        <v>#REF!</v>
      </c>
      <c r="B72" s="312"/>
      <c r="C72" s="312"/>
      <c r="D72" s="312" t="e">
        <f>#REF!</f>
        <v>#REF!</v>
      </c>
      <c r="E72" s="312"/>
      <c r="F72" s="312"/>
    </row>
    <row r="73" spans="1:6" ht="8.25" customHeight="1" x14ac:dyDescent="0.25">
      <c r="A73" s="331"/>
      <c r="B73" s="331"/>
      <c r="C73" s="331"/>
      <c r="D73" s="331"/>
      <c r="E73" s="331"/>
      <c r="F73" s="331"/>
    </row>
    <row r="74" spans="1:6" ht="30" customHeight="1" x14ac:dyDescent="0.25">
      <c r="A74" s="334"/>
      <c r="B74" s="334"/>
      <c r="C74" s="334"/>
      <c r="D74" s="335"/>
      <c r="E74" s="335"/>
      <c r="F74" s="335"/>
    </row>
    <row r="75" spans="1:6" x14ac:dyDescent="0.25">
      <c r="A75" s="336"/>
      <c r="B75" s="336"/>
      <c r="C75" s="336"/>
      <c r="D75" s="336"/>
      <c r="E75" s="336"/>
      <c r="F75" s="336"/>
    </row>
    <row r="76" spans="1:6" x14ac:dyDescent="0.25">
      <c r="A76" s="333"/>
      <c r="B76" s="333"/>
      <c r="C76" s="333"/>
      <c r="D76" s="333"/>
      <c r="E76" s="333"/>
      <c r="F76" s="333"/>
    </row>
  </sheetData>
  <mergeCells count="40">
    <mergeCell ref="A76:C76"/>
    <mergeCell ref="D76:F76"/>
    <mergeCell ref="A73:C73"/>
    <mergeCell ref="D73:F73"/>
    <mergeCell ref="A74:C74"/>
    <mergeCell ref="D74:F74"/>
    <mergeCell ref="A75:C75"/>
    <mergeCell ref="D75:F75"/>
    <mergeCell ref="A70:C70"/>
    <mergeCell ref="D70:F70"/>
    <mergeCell ref="A71:C71"/>
    <mergeCell ref="D71:F71"/>
    <mergeCell ref="A72:C72"/>
    <mergeCell ref="D72:F72"/>
    <mergeCell ref="A67:C67"/>
    <mergeCell ref="D67:F67"/>
    <mergeCell ref="A68:C68"/>
    <mergeCell ref="D68:F68"/>
    <mergeCell ref="A69:C69"/>
    <mergeCell ref="D69:F69"/>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E1:F1"/>
    <mergeCell ref="A4:F4"/>
    <mergeCell ref="A6:A7"/>
    <mergeCell ref="B6:B7"/>
    <mergeCell ref="C6:C7"/>
    <mergeCell ref="D6:F6"/>
  </mergeCells>
  <conditionalFormatting sqref="B8:B55">
    <cfRule type="cellIs" dxfId="2" priority="3" operator="lessThan">
      <formula>22105</formula>
    </cfRule>
  </conditionalFormatting>
  <conditionalFormatting sqref="C8:C55">
    <cfRule type="cellIs" dxfId="1" priority="2" operator="lessThan">
      <formula>1</formula>
    </cfRule>
  </conditionalFormatting>
  <conditionalFormatting sqref="C8:F55">
    <cfRule type="cellIs" dxfId="0" priority="1" operator="lessThan">
      <formula>0.1</formula>
    </cfRule>
  </conditionalFormatting>
  <pageMargins left="0.7" right="0.7" top="0.75" bottom="0.75" header="0.3" footer="0.3"/>
  <pageSetup paperSize="9" scale="92"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zoomScaleSheetLayoutView="100" workbookViewId="0">
      <selection activeCell="B17" sqref="B17"/>
    </sheetView>
  </sheetViews>
  <sheetFormatPr defaultColWidth="9.140625" defaultRowHeight="15" x14ac:dyDescent="0.25"/>
  <cols>
    <col min="1" max="1" width="3.42578125" style="13" customWidth="1"/>
    <col min="2" max="3" width="17.85546875" style="18" customWidth="1"/>
    <col min="4" max="4" width="15" style="18" customWidth="1"/>
    <col min="5" max="5" width="17.85546875" style="18" customWidth="1"/>
    <col min="6" max="6" width="9" style="18" customWidth="1"/>
    <col min="7" max="7" width="4.7109375" style="18" customWidth="1"/>
    <col min="8" max="16384" width="9.140625" style="13"/>
  </cols>
  <sheetData>
    <row r="1" spans="2:7" ht="15.75" thickBot="1" x14ac:dyDescent="0.3"/>
    <row r="2" spans="2:7" ht="62.25" customHeight="1" x14ac:dyDescent="0.35">
      <c r="B2" s="365" t="str">
        <f>umumiy_malumot!B159</f>
        <v>«PULLOL BUSINESS MIKROMOLIYA TASHKILOTI»  MChJ</v>
      </c>
      <c r="C2" s="366"/>
      <c r="D2" s="366"/>
      <c r="E2" s="366"/>
      <c r="F2" s="367"/>
      <c r="G2" s="38"/>
    </row>
    <row r="3" spans="2:7" x14ac:dyDescent="0.25">
      <c r="B3" s="360"/>
      <c r="C3" s="336"/>
      <c r="D3" s="336"/>
      <c r="E3" s="336"/>
      <c r="F3" s="361"/>
      <c r="G3" s="39"/>
    </row>
    <row r="4" spans="2:7" ht="8.25" customHeight="1" x14ac:dyDescent="0.25">
      <c r="B4" s="51"/>
      <c r="F4" s="52"/>
      <c r="G4" s="39"/>
    </row>
    <row r="5" spans="2:7" ht="12" customHeight="1" x14ac:dyDescent="0.25">
      <c r="B5" s="41"/>
      <c r="C5" s="39"/>
      <c r="D5" s="39"/>
      <c r="E5" s="39"/>
      <c r="F5" s="42"/>
      <c r="G5" s="39"/>
    </row>
    <row r="6" spans="2:7" ht="6.75" customHeight="1" x14ac:dyDescent="0.25">
      <c r="B6" s="41"/>
      <c r="C6" s="39"/>
      <c r="D6" s="39"/>
      <c r="E6" s="39"/>
      <c r="F6" s="42"/>
      <c r="G6" s="39"/>
    </row>
    <row r="7" spans="2:7" ht="6.75" customHeight="1" x14ac:dyDescent="0.25">
      <c r="B7" s="41"/>
      <c r="C7" s="39"/>
      <c r="D7" s="39"/>
      <c r="E7" s="39"/>
      <c r="F7" s="42"/>
      <c r="G7" s="39"/>
    </row>
    <row r="8" spans="2:7" x14ac:dyDescent="0.25">
      <c r="B8" s="41"/>
      <c r="C8" s="39"/>
      <c r="D8" s="39"/>
      <c r="E8" s="39"/>
      <c r="F8" s="42"/>
      <c r="G8" s="39"/>
    </row>
    <row r="9" spans="2:7" x14ac:dyDescent="0.25">
      <c r="B9" s="41"/>
      <c r="C9" s="39"/>
      <c r="D9" s="39"/>
      <c r="E9" s="39"/>
      <c r="F9" s="42"/>
      <c r="G9" s="39"/>
    </row>
    <row r="10" spans="2:7" x14ac:dyDescent="0.25">
      <c r="B10" s="360" t="s">
        <v>22</v>
      </c>
      <c r="C10" s="336"/>
      <c r="D10" s="336"/>
      <c r="E10" s="336"/>
      <c r="F10" s="361"/>
      <c r="G10" s="39"/>
    </row>
    <row r="11" spans="2:7" x14ac:dyDescent="0.25">
      <c r="B11" s="360" t="s">
        <v>22</v>
      </c>
      <c r="C11" s="336"/>
      <c r="D11" s="336"/>
      <c r="E11" s="336"/>
      <c r="F11" s="361"/>
      <c r="G11" s="39"/>
    </row>
    <row r="12" spans="2:7" ht="135" customHeight="1" x14ac:dyDescent="0.8">
      <c r="B12" s="368" t="str">
        <f>umumiy_malumot!B5</f>
        <v>NARBAYEV QUDAYBERGEN QALBAYEVICH</v>
      </c>
      <c r="C12" s="369"/>
      <c r="D12" s="369"/>
      <c r="E12" s="369"/>
      <c r="F12" s="370"/>
      <c r="G12" s="40"/>
    </row>
    <row r="13" spans="2:7" x14ac:dyDescent="0.25">
      <c r="B13" s="360"/>
      <c r="C13" s="336"/>
      <c r="D13" s="336"/>
      <c r="E13" s="336"/>
      <c r="F13" s="361"/>
      <c r="G13" s="39"/>
    </row>
    <row r="14" spans="2:7" x14ac:dyDescent="0.25">
      <c r="B14" s="41"/>
      <c r="C14" s="39"/>
      <c r="D14" s="39"/>
      <c r="E14" s="39"/>
      <c r="F14" s="42"/>
      <c r="G14" s="39"/>
    </row>
    <row r="15" spans="2:7" x14ac:dyDescent="0.25">
      <c r="B15" s="41"/>
      <c r="C15" s="39"/>
      <c r="D15" s="39"/>
      <c r="E15" s="39"/>
      <c r="F15" s="42"/>
      <c r="G15" s="39"/>
    </row>
    <row r="16" spans="2:7" x14ac:dyDescent="0.25">
      <c r="B16" s="41"/>
      <c r="C16" s="39"/>
      <c r="D16" s="39"/>
      <c r="E16" s="39"/>
      <c r="F16" s="42"/>
      <c r="G16" s="39"/>
    </row>
    <row r="17" spans="2:7" x14ac:dyDescent="0.25">
      <c r="B17" s="41"/>
      <c r="C17" s="39"/>
      <c r="D17" s="39"/>
      <c r="E17" s="39"/>
      <c r="F17" s="42"/>
      <c r="G17" s="39"/>
    </row>
    <row r="18" spans="2:7" x14ac:dyDescent="0.25">
      <c r="B18" s="360"/>
      <c r="C18" s="336"/>
      <c r="D18" s="336"/>
      <c r="E18" s="336"/>
      <c r="F18" s="361"/>
      <c r="G18" s="39"/>
    </row>
    <row r="19" spans="2:7" ht="20.25" x14ac:dyDescent="0.3">
      <c r="B19" s="362" t="str">
        <f>""&amp;umumiy_malumot!C64&amp;" shartnoma "&amp;umumiy_malumot!B74&amp;""</f>
        <v>Mikroqarz shartnoma 2 fevral 2026 y.dan № 53</v>
      </c>
      <c r="C19" s="363"/>
      <c r="D19" s="363"/>
      <c r="E19" s="363"/>
      <c r="F19" s="364"/>
      <c r="G19" s="39"/>
    </row>
    <row r="20" spans="2:7" x14ac:dyDescent="0.25">
      <c r="B20" s="360"/>
      <c r="C20" s="336"/>
      <c r="D20" s="336"/>
      <c r="E20" s="336"/>
      <c r="F20" s="361"/>
      <c r="G20" s="39"/>
    </row>
    <row r="21" spans="2:7" x14ac:dyDescent="0.25">
      <c r="B21" s="360"/>
      <c r="C21" s="336"/>
      <c r="D21" s="336"/>
      <c r="E21" s="336"/>
      <c r="F21" s="361"/>
      <c r="G21" s="39"/>
    </row>
    <row r="22" spans="2:7" x14ac:dyDescent="0.25">
      <c r="B22" s="360"/>
      <c r="C22" s="336"/>
      <c r="D22" s="336"/>
      <c r="E22" s="336"/>
      <c r="F22" s="361"/>
      <c r="G22" s="39"/>
    </row>
    <row r="23" spans="2:7" x14ac:dyDescent="0.25">
      <c r="B23" s="360"/>
      <c r="C23" s="336"/>
      <c r="D23" s="336"/>
      <c r="E23" s="336"/>
      <c r="F23" s="361"/>
      <c r="G23" s="39"/>
    </row>
    <row r="24" spans="2:7" x14ac:dyDescent="0.25">
      <c r="B24" s="374" t="str">
        <f>" Foiz stavkasi: "&amp;umumiy_malumot!B86&amp;"%"</f>
        <v xml:space="preserve"> Foiz stavkasi: 55%</v>
      </c>
      <c r="C24" s="375"/>
      <c r="D24" s="375"/>
      <c r="E24" s="375"/>
      <c r="F24" s="376"/>
      <c r="G24" s="39"/>
    </row>
    <row r="25" spans="2:7" ht="15" customHeight="1" x14ac:dyDescent="0.25">
      <c r="B25" s="374" t="str">
        <f>" "&amp;umumiy_malumot!C64&amp;" muddati: "&amp;umumiy_malumot!B82&amp;" oy"</f>
        <v xml:space="preserve"> Mikroqarz muddati: 36 oy</v>
      </c>
      <c r="C25" s="375"/>
      <c r="D25" s="375"/>
      <c r="E25" s="375"/>
      <c r="F25" s="376"/>
      <c r="G25" s="39"/>
    </row>
    <row r="26" spans="2:7" x14ac:dyDescent="0.25">
      <c r="B26" s="374" t="str">
        <f>" "&amp;umumiy_malumot!C64&amp;" miqdori: "&amp;FIXED(umumiy_malumot!B76,2)&amp;" so'm"</f>
        <v xml:space="preserve"> Mikroqarz miqdori: 100 000 000,00 so'm</v>
      </c>
      <c r="C26" s="375"/>
      <c r="D26" s="375"/>
      <c r="E26" s="375"/>
      <c r="F26" s="376"/>
      <c r="G26" s="39"/>
    </row>
    <row r="27" spans="2:7" x14ac:dyDescent="0.25">
      <c r="B27" s="360"/>
      <c r="C27" s="336"/>
      <c r="D27" s="336"/>
      <c r="E27" s="336"/>
      <c r="F27" s="361"/>
      <c r="G27" s="39"/>
    </row>
    <row r="28" spans="2:7" hidden="1" x14ac:dyDescent="0.25">
      <c r="G28" s="39"/>
    </row>
    <row r="29" spans="2:7" x14ac:dyDescent="0.25">
      <c r="B29" s="360"/>
      <c r="C29" s="336"/>
      <c r="D29" s="336"/>
      <c r="E29" s="336"/>
      <c r="F29" s="361"/>
      <c r="G29" s="39"/>
    </row>
    <row r="30" spans="2:7" ht="12.75" customHeight="1" x14ac:dyDescent="0.25">
      <c r="B30" s="41"/>
      <c r="C30" s="39"/>
      <c r="D30" s="39"/>
      <c r="E30" s="39"/>
      <c r="F30" s="42"/>
      <c r="G30" s="39"/>
    </row>
    <row r="31" spans="2:7" x14ac:dyDescent="0.25">
      <c r="B31" s="41"/>
      <c r="C31" s="39"/>
      <c r="D31" s="39"/>
      <c r="E31" s="39"/>
      <c r="F31" s="42"/>
      <c r="G31" s="39"/>
    </row>
    <row r="32" spans="2:7" ht="2.25" customHeight="1" x14ac:dyDescent="0.25">
      <c r="B32" s="41"/>
      <c r="C32" s="39"/>
      <c r="D32" s="39"/>
      <c r="E32" s="39"/>
      <c r="F32" s="42"/>
      <c r="G32" s="39"/>
    </row>
    <row r="33" spans="2:7" x14ac:dyDescent="0.25">
      <c r="B33" s="41"/>
      <c r="C33" s="39"/>
      <c r="D33" s="39"/>
      <c r="E33" s="39"/>
      <c r="F33" s="42"/>
      <c r="G33" s="39"/>
    </row>
    <row r="34" spans="2:7" x14ac:dyDescent="0.25">
      <c r="B34" s="41"/>
      <c r="C34" s="39"/>
      <c r="D34" s="39"/>
      <c r="E34" s="39"/>
      <c r="F34" s="42"/>
      <c r="G34" s="39"/>
    </row>
    <row r="35" spans="2:7" x14ac:dyDescent="0.25">
      <c r="B35" s="41"/>
      <c r="C35" s="39"/>
      <c r="D35" s="39"/>
      <c r="E35" s="39"/>
      <c r="F35" s="42"/>
      <c r="G35" s="39"/>
    </row>
    <row r="36" spans="2:7" x14ac:dyDescent="0.25">
      <c r="B36" s="41"/>
      <c r="C36" s="39"/>
      <c r="D36" s="39"/>
      <c r="E36" s="39"/>
      <c r="F36" s="42"/>
      <c r="G36" s="39"/>
    </row>
    <row r="37" spans="2:7" x14ac:dyDescent="0.25">
      <c r="B37" s="41"/>
      <c r="C37" s="39"/>
      <c r="D37" s="39"/>
      <c r="E37" s="39"/>
      <c r="F37" s="42"/>
      <c r="G37" s="39"/>
    </row>
    <row r="38" spans="2:7" x14ac:dyDescent="0.25">
      <c r="B38" s="41"/>
      <c r="C38" s="39"/>
      <c r="D38" s="39"/>
      <c r="E38" s="39"/>
      <c r="F38" s="42"/>
      <c r="G38" s="39"/>
    </row>
    <row r="39" spans="2:7" x14ac:dyDescent="0.25">
      <c r="B39" s="41"/>
      <c r="C39" s="39"/>
      <c r="D39" s="39"/>
      <c r="E39" s="39"/>
      <c r="F39" s="42"/>
      <c r="G39" s="39"/>
    </row>
    <row r="40" spans="2:7" ht="15.75" thickBot="1" x14ac:dyDescent="0.3">
      <c r="B40" s="371" t="str">
        <f>"Toshkent sh., "&amp;umumiy_malumot!B70&amp;""</f>
        <v>Toshkent sh., 2 fevral 2026 y.</v>
      </c>
      <c r="C40" s="372"/>
      <c r="D40" s="372"/>
      <c r="E40" s="372"/>
      <c r="F40" s="373"/>
      <c r="G40" s="39"/>
    </row>
    <row r="41" spans="2:7" x14ac:dyDescent="0.25">
      <c r="B41" s="336"/>
      <c r="C41" s="336"/>
      <c r="D41" s="336"/>
      <c r="E41" s="336"/>
      <c r="F41" s="336"/>
      <c r="G41" s="39"/>
    </row>
    <row r="42" spans="2:7" x14ac:dyDescent="0.25">
      <c r="B42" s="336"/>
      <c r="C42" s="336"/>
      <c r="D42" s="336"/>
      <c r="E42" s="336"/>
      <c r="F42" s="336"/>
      <c r="G42" s="39"/>
    </row>
  </sheetData>
  <mergeCells count="20">
    <mergeCell ref="B40:F40"/>
    <mergeCell ref="B41:F41"/>
    <mergeCell ref="B42:F42"/>
    <mergeCell ref="B21:F21"/>
    <mergeCell ref="B22:F22"/>
    <mergeCell ref="B23:F23"/>
    <mergeCell ref="B27:F27"/>
    <mergeCell ref="B29:F29"/>
    <mergeCell ref="B24:F24"/>
    <mergeCell ref="B25:F25"/>
    <mergeCell ref="B26:F26"/>
    <mergeCell ref="B18:F18"/>
    <mergeCell ref="B19:F19"/>
    <mergeCell ref="B20:F20"/>
    <mergeCell ref="B2:F2"/>
    <mergeCell ref="B3:F3"/>
    <mergeCell ref="B10:F10"/>
    <mergeCell ref="B11:F11"/>
    <mergeCell ref="B12:F12"/>
    <mergeCell ref="B13:F1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8"/>
  <sheetViews>
    <sheetView view="pageBreakPreview" zoomScale="115" zoomScaleNormal="115" zoomScaleSheetLayoutView="115" workbookViewId="0">
      <selection activeCell="B12" sqref="B12:C12"/>
    </sheetView>
  </sheetViews>
  <sheetFormatPr defaultColWidth="8" defaultRowHeight="12.75" x14ac:dyDescent="0.25"/>
  <cols>
    <col min="1" max="1" width="49.140625" style="254" customWidth="1"/>
    <col min="2" max="2" width="45.85546875" style="254" customWidth="1"/>
    <col min="3" max="3" width="2.7109375" style="254" customWidth="1"/>
    <col min="4" max="4" width="1.85546875" style="254" customWidth="1"/>
    <col min="5" max="16384" width="8" style="254"/>
  </cols>
  <sheetData>
    <row r="1" spans="1:3" ht="65.25" customHeight="1" x14ac:dyDescent="0.25">
      <c r="A1" s="379" t="s">
        <v>420</v>
      </c>
      <c r="B1" s="380"/>
    </row>
    <row r="2" spans="1:3" ht="30" customHeight="1" x14ac:dyDescent="0.25">
      <c r="A2" s="381" t="s">
        <v>421</v>
      </c>
      <c r="B2" s="381"/>
    </row>
    <row r="3" spans="1:3" ht="17.100000000000001" customHeight="1" x14ac:dyDescent="0.25">
      <c r="A3" s="255"/>
      <c r="B3" s="256" t="str">
        <f>"                       "&amp;umumiy_malumot!B70&amp;""</f>
        <v xml:space="preserve">                       2 fevral 2026 y.</v>
      </c>
    </row>
    <row r="4" spans="1:3" ht="17.100000000000001" customHeight="1" x14ac:dyDescent="0.25">
      <c r="A4" s="382" t="str">
        <f>"To'lovchi: "&amp;umumiy_malumot!B5&amp;""</f>
        <v>To'lovchi: NARBAYEV QUDAYBERGEN QALBAYEVICH</v>
      </c>
      <c r="B4" s="382"/>
    </row>
    <row r="5" spans="1:3" ht="17.100000000000001" customHeight="1" x14ac:dyDescent="0.25">
      <c r="A5" s="254" t="s">
        <v>422</v>
      </c>
    </row>
    <row r="6" spans="1:3" ht="49.5" customHeight="1" x14ac:dyDescent="0.25">
      <c r="A6" s="383" t="str">
        <f>"muvofiq, "&amp;umumiy_malumot!B70&amp;""&amp;umumiy_malumot!B1&amp;"-sonli Mikroqarz shartnomasi bo‘yicha Qarz oluvchi sifatida menga nisbatan Mikromoliya tashkiloti «PULLOL BUSINESS MIKROMOLIYA TASHKILOTI» MChJ va AО CK «IMPEX INSURANCE» sug’urta kompaniyasi o‘rtasida tuzilgan garov yoki boshqa turdagi "</f>
        <v xml:space="preserve">muvofiq, 2 fevral 2026 y.№ 53-sonli Mikroqarz shartnomasi bo‘yicha Qarz oluvchi sifatida menga nisbatan Mikromoliya tashkiloti «PULLOL BUSINESS MIKROMOLIYA TASHKILOTI» MChJ va AО CK «IMPEX INSURANCE» sug’urta kompaniyasi o‘rtasida tuzilgan garov yoki boshqa turdagi </v>
      </c>
      <c r="B6" s="383"/>
    </row>
    <row r="7" spans="1:3" ht="51.75" customHeight="1" x14ac:dyDescent="0.25">
      <c r="A7" s="384" t="s">
        <v>423</v>
      </c>
      <c r="B7" s="385"/>
    </row>
    <row r="8" spans="1:3" ht="36.75" customHeight="1" x14ac:dyDescent="0.25">
      <c r="A8" s="257" t="s">
        <v>424</v>
      </c>
      <c r="B8" s="377" t="s">
        <v>425</v>
      </c>
      <c r="C8" s="378"/>
    </row>
    <row r="9" spans="1:3" ht="30" customHeight="1" x14ac:dyDescent="0.25">
      <c r="A9" s="257" t="s">
        <v>426</v>
      </c>
      <c r="B9" s="377" t="s">
        <v>427</v>
      </c>
      <c r="C9" s="378"/>
    </row>
    <row r="10" spans="1:3" ht="21" customHeight="1" x14ac:dyDescent="0.25">
      <c r="A10" s="258" t="s">
        <v>428</v>
      </c>
      <c r="B10" s="377" t="s">
        <v>429</v>
      </c>
      <c r="C10" s="378"/>
    </row>
    <row r="11" spans="1:3" ht="21" customHeight="1" x14ac:dyDescent="0.25">
      <c r="A11" s="257" t="s">
        <v>430</v>
      </c>
      <c r="B11" s="386">
        <v>0.03</v>
      </c>
      <c r="C11" s="387"/>
    </row>
    <row r="12" spans="1:3" ht="21" customHeight="1" x14ac:dyDescent="0.25">
      <c r="A12" s="257" t="s">
        <v>431</v>
      </c>
      <c r="B12" s="377"/>
      <c r="C12" s="378"/>
    </row>
    <row r="13" spans="1:3" ht="35.25" customHeight="1" x14ac:dyDescent="0.25">
      <c r="A13" s="259" t="s">
        <v>432</v>
      </c>
    </row>
    <row r="14" spans="1:3" ht="18" customHeight="1" x14ac:dyDescent="0.25">
      <c r="A14" s="254" t="s">
        <v>433</v>
      </c>
    </row>
    <row r="15" spans="1:3" ht="18" customHeight="1" x14ac:dyDescent="0.25">
      <c r="A15" s="254" t="s">
        <v>434</v>
      </c>
    </row>
    <row r="16" spans="1:3" ht="146.25" customHeight="1" x14ac:dyDescent="0.25">
      <c r="A16" s="388" t="s">
        <v>435</v>
      </c>
      <c r="B16" s="388"/>
    </row>
    <row r="17" spans="1:2" ht="24.75" customHeight="1" x14ac:dyDescent="0.25">
      <c r="A17" s="260" t="s">
        <v>436</v>
      </c>
    </row>
    <row r="18" spans="1:2" x14ac:dyDescent="0.25">
      <c r="A18" s="254" t="s">
        <v>437</v>
      </c>
      <c r="B18" s="254" t="s">
        <v>438</v>
      </c>
    </row>
  </sheetData>
  <mergeCells count="11">
    <mergeCell ref="B9:C9"/>
    <mergeCell ref="B10:C10"/>
    <mergeCell ref="B11:C11"/>
    <mergeCell ref="B12:C12"/>
    <mergeCell ref="A16:B16"/>
    <mergeCell ref="B8:C8"/>
    <mergeCell ref="A1:B1"/>
    <mergeCell ref="A2:B2"/>
    <mergeCell ref="A4:B4"/>
    <mergeCell ref="A6:B6"/>
    <mergeCell ref="A7:B7"/>
  </mergeCells>
  <pageMargins left="0.78740157480314965" right="0" top="0" bottom="0" header="0.31496062992125984" footer="0.31496062992125984"/>
  <pageSetup paperSize="9" scale="9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sheetPr>
  <dimension ref="A1:D23"/>
  <sheetViews>
    <sheetView view="pageBreakPreview" topLeftCell="D1" zoomScale="115" zoomScaleNormal="130" zoomScaleSheetLayoutView="115" workbookViewId="0">
      <selection activeCell="D16" sqref="D16"/>
    </sheetView>
  </sheetViews>
  <sheetFormatPr defaultColWidth="9.140625" defaultRowHeight="15.75" x14ac:dyDescent="0.25"/>
  <cols>
    <col min="1" max="1" width="16.42578125" style="6" customWidth="1"/>
    <col min="2" max="2" width="18.42578125" style="6" customWidth="1"/>
    <col min="3" max="3" width="17.5703125" style="6" customWidth="1"/>
    <col min="4" max="4" width="28.5703125" style="6" customWidth="1"/>
    <col min="5" max="16384" width="9.140625" style="6"/>
  </cols>
  <sheetData>
    <row r="1" spans="1:4" ht="33.75" customHeight="1" x14ac:dyDescent="0.25">
      <c r="C1" s="390" t="str">
        <f>umumiy_malumot!B158&amp;" direktori"</f>
        <v>«PULLOL BUSINESS MIKROMOLIYA TASHKILOTI»  MChJ direktori</v>
      </c>
      <c r="D1" s="390"/>
    </row>
    <row r="2" spans="1:4" x14ac:dyDescent="0.25">
      <c r="C2" s="391" t="s">
        <v>411</v>
      </c>
      <c r="D2" s="391"/>
    </row>
    <row r="3" spans="1:4" x14ac:dyDescent="0.25">
      <c r="C3" s="11"/>
      <c r="D3" s="11"/>
    </row>
    <row r="4" spans="1:4" ht="57.75" customHeight="1" x14ac:dyDescent="0.25">
      <c r="C4" s="304" t="str">
        <f>umumiy_malumot!B22&amp;" manzilida istiqomat qiluvchi"</f>
        <v>TOSHKENT SHAHAR BEKTEMIR TUMANI MAJNUNTOL MFY MAJNUNTOL MAXALLA SHONIGOR KO'CHASI  113 UY manzilida istiqomat qiluvchi</v>
      </c>
      <c r="D4" s="304"/>
    </row>
    <row r="5" spans="1:4" ht="36" customHeight="1" x14ac:dyDescent="0.25">
      <c r="C5" s="304" t="str">
        <f>umumiy_malumot!B5&amp;" tomonidan"</f>
        <v>NARBAYEV QUDAYBERGEN QALBAYEVICH tomonidan</v>
      </c>
      <c r="D5" s="304"/>
    </row>
    <row r="6" spans="1:4" ht="56.25" customHeight="1" x14ac:dyDescent="0.25">
      <c r="C6" s="389" t="str">
        <f>"Pasport: "&amp;umumiy_malumot!B16&amp;", "&amp;umumiy_malumot!B20</f>
        <v>Pasport: AD 1654245, IIV 26264 tomonidan 15.08.2022 yilda berilgan</v>
      </c>
      <c r="D6" s="389"/>
    </row>
    <row r="8" spans="1:4" x14ac:dyDescent="0.25">
      <c r="A8" s="307" t="s">
        <v>372</v>
      </c>
      <c r="B8" s="307"/>
      <c r="C8" s="307"/>
      <c r="D8" s="307"/>
    </row>
    <row r="9" spans="1:4" ht="66" customHeight="1" x14ac:dyDescent="0.25">
      <c r="A9" s="389" t="str">
        <f>"       Men, " &amp; umumiy_malumot!B5 &amp; " sizdan " &amp; umumiy_malumot!B2 &amp; " yildagi " &amp; umumiy_malumot!B1 &amp; "-sonli kredit shartnomasiga asosan " &amp; umumiy_malumot!B76  &amp; "(" &amp; umumiy_malumot!B77 &amp; ")"  &amp; "so'm pul mablag'larini quyidagi rekvizitlar asosida o'tkazib berishingizni so'rayman: "</f>
        <v xml:space="preserve">       Men, NARBAYEV QUDAYBERGEN QALBAYEVICH sizdan 02.02.2026 yildagi № 53-sonli kredit shartnomasiga asosan 100000000(yuz million so'm)so'm pul mablag'larini quyidagi rekvizitlar asosida o'tkazib berishingizni so'rayman: </v>
      </c>
      <c r="B9" s="389"/>
      <c r="C9" s="389"/>
      <c r="D9" s="389"/>
    </row>
    <row r="10" spans="1:4" x14ac:dyDescent="0.25">
      <c r="A10" s="175" t="str">
        <f>umumiy_malumot!A93</f>
        <v>Bank nomi:</v>
      </c>
      <c r="B10" s="389">
        <f>umumiy_malumot!B93</f>
        <v>0</v>
      </c>
      <c r="C10" s="389"/>
      <c r="D10" s="175"/>
    </row>
    <row r="11" spans="1:4" x14ac:dyDescent="0.25">
      <c r="A11" s="175" t="str">
        <f>umumiy_malumot!A94</f>
        <v>H/r:</v>
      </c>
      <c r="B11" s="389">
        <f>umumiy_malumot!B94</f>
        <v>0</v>
      </c>
      <c r="C11" s="389"/>
      <c r="D11" s="175"/>
    </row>
    <row r="12" spans="1:4" x14ac:dyDescent="0.25">
      <c r="A12" s="175" t="str">
        <f>umumiy_malumot!A95</f>
        <v>MFO:</v>
      </c>
      <c r="B12" s="389">
        <f>umumiy_malumot!B95</f>
        <v>0</v>
      </c>
      <c r="C12" s="389"/>
      <c r="D12" s="175"/>
    </row>
    <row r="13" spans="1:4" x14ac:dyDescent="0.25">
      <c r="A13" s="175" t="str">
        <f>umumiy_malumot!A96</f>
        <v>STIR:</v>
      </c>
      <c r="B13" s="389">
        <f>umumiy_malumot!B96</f>
        <v>0</v>
      </c>
      <c r="C13" s="389"/>
      <c r="D13" s="175"/>
    </row>
    <row r="14" spans="1:4" x14ac:dyDescent="0.25">
      <c r="A14" s="175" t="str">
        <f>umumiy_malumot!A97</f>
        <v>Karta raqami:</v>
      </c>
      <c r="B14" s="389">
        <f>umumiy_malumot!B97</f>
        <v>0</v>
      </c>
      <c r="C14" s="389"/>
      <c r="D14" s="175"/>
    </row>
    <row r="15" spans="1:4" x14ac:dyDescent="0.25">
      <c r="A15" s="175"/>
      <c r="B15" s="175"/>
      <c r="C15" s="175"/>
      <c r="D15" s="175"/>
    </row>
    <row r="16" spans="1:4" x14ac:dyDescent="0.25">
      <c r="A16" s="304" t="str">
        <f>umumiy_malumot!B5</f>
        <v>NARBAYEV QUDAYBERGEN QALBAYEVICH</v>
      </c>
      <c r="B16" s="304"/>
      <c r="C16" s="304"/>
      <c r="D16" s="177" t="s">
        <v>379</v>
      </c>
    </row>
    <row r="17" spans="1:4" x14ac:dyDescent="0.25">
      <c r="A17" s="11"/>
      <c r="B17" s="11"/>
      <c r="C17" s="11"/>
      <c r="D17" s="178" t="s">
        <v>320</v>
      </c>
    </row>
    <row r="18" spans="1:4" x14ac:dyDescent="0.25">
      <c r="A18" s="11"/>
      <c r="B18" s="11"/>
      <c r="C18" s="11"/>
      <c r="D18" s="11"/>
    </row>
    <row r="19" spans="1:4" x14ac:dyDescent="0.25">
      <c r="A19" s="11"/>
      <c r="B19" s="11"/>
      <c r="C19" s="11"/>
      <c r="D19" s="11"/>
    </row>
    <row r="20" spans="1:4" ht="48.75" customHeight="1" x14ac:dyDescent="0.25">
      <c r="A20" s="390" t="str">
        <f>umumiy_malumot!B158&amp;" direktori"</f>
        <v>«PULLOL BUSINESS MIKROMOLIYA TASHKILOTI»  MChJ direktori</v>
      </c>
      <c r="B20" s="390"/>
      <c r="C20" s="11"/>
      <c r="D20" s="60" t="s">
        <v>409</v>
      </c>
    </row>
    <row r="23" spans="1:4" x14ac:dyDescent="0.25">
      <c r="A23" s="6" t="s">
        <v>381</v>
      </c>
      <c r="B23" s="6" t="s">
        <v>382</v>
      </c>
    </row>
  </sheetData>
  <mergeCells count="14">
    <mergeCell ref="B14:C14"/>
    <mergeCell ref="A16:C16"/>
    <mergeCell ref="A20:B20"/>
    <mergeCell ref="C1:D1"/>
    <mergeCell ref="C2:D2"/>
    <mergeCell ref="A8:D8"/>
    <mergeCell ref="C4:D4"/>
    <mergeCell ref="C5:D5"/>
    <mergeCell ref="C6:D6"/>
    <mergeCell ref="A9:D9"/>
    <mergeCell ref="B10:C10"/>
    <mergeCell ref="B11:C11"/>
    <mergeCell ref="B12:C12"/>
    <mergeCell ref="B13:C13"/>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4"/>
  <dimension ref="A2:E44"/>
  <sheetViews>
    <sheetView view="pageBreakPreview" zoomScaleNormal="100" zoomScaleSheetLayoutView="100" workbookViewId="0">
      <selection activeCell="E8" sqref="E8"/>
    </sheetView>
  </sheetViews>
  <sheetFormatPr defaultColWidth="9.140625" defaultRowHeight="15" x14ac:dyDescent="0.25"/>
  <cols>
    <col min="1" max="1" width="33.85546875" style="13" customWidth="1"/>
    <col min="2" max="2" width="21.28515625" style="13" customWidth="1"/>
    <col min="3" max="3" width="19.140625" style="13" customWidth="1"/>
    <col min="4" max="5" width="21.28515625" style="13" customWidth="1"/>
    <col min="6" max="16384" width="9.140625" style="13"/>
  </cols>
  <sheetData>
    <row r="2" spans="1:5" x14ac:dyDescent="0.25">
      <c r="A2" s="98" t="s">
        <v>43</v>
      </c>
    </row>
    <row r="3" spans="1:5" x14ac:dyDescent="0.25">
      <c r="A3" s="98" t="s">
        <v>44</v>
      </c>
    </row>
    <row r="6" spans="1:5" ht="20.25" customHeight="1" x14ac:dyDescent="0.25">
      <c r="E6" s="99" t="s">
        <v>31</v>
      </c>
    </row>
    <row r="7" spans="1:5" x14ac:dyDescent="0.25">
      <c r="E7" s="99" t="s">
        <v>45</v>
      </c>
    </row>
    <row r="9" spans="1:5" ht="107.25" customHeight="1" x14ac:dyDescent="0.25">
      <c r="A9" s="393" t="str">
        <f>"          Между ООО «Clever Mikrokredit Tashkiloti» и "&amp;umumiy_malumot!B5&amp;"  (паспорт: "&amp;umumiy_malumot!B16&amp;" "&amp;umumiy_malumot!B20&amp;") заключен договор микрозайма "&amp;umumiy_malumot!B74&amp;", на сумму "&amp;FIXED(umumiy_malumot!B76)&amp;" ("&amp;umumiy_malumot!B77&amp;") сум, сроком на "&amp;umumiy_malumot!B82&amp;" ("&amp;umumiy_malumot!B83&amp;") месяцев. В качестве своевременного исполнения обязательств по договору Микрозайма "&amp;umumiy_malumot!B74&amp;" планирует предоставить нижеследующее "&amp;IF(umumiy_malumot!B110=umumiy_malumot!C110,"автотранспортного средство марки "&amp;umumiy_malumot!B132&amp;" принадлежащее на правах собственности "&amp;umumiy_malumot!B124&amp;"","недвижимого имущества в виде "&amp;umumiy_malumot!C133&amp;", общей площадью - "&amp;umumiy_malumot!C137&amp;" и жилой площадью - "&amp;umumiy_malumot!C140&amp;", расположенного по адресу: "&amp;umumiy_malumot!C130&amp;", принадлежащее на правах собственности "&amp;umumiy_malumot!C124&amp;".")</f>
        <v xml:space="preserve">          Между ООО «Clever Mikrokredit Tashkiloti» и NARBAYEV QUDAYBERGEN QALBAYEVICH  (паспорт: AD 1654245 IIV 26264 tomonidan 15.08.2022 yilda berilgan) заключен договор микрозайма 2 fevral 2026 y.dan № 53, на сумму 100 000 000,00 (yuz million so'm) сум, сроком на 36 (O'ttiz olti  ) месяцев. В качестве своевременного исполнения обязательств по договору Микрозайма 2 fevral 2026 y.dan № 53 планирует предоставить нижеследующее автотранспортного средство марки CHEVROLET COBALT принадлежащее на правах собственности NARBAYEV QUDAYBERGEN QALBAYEVICH</v>
      </c>
      <c r="B9" s="393"/>
      <c r="C9" s="393"/>
      <c r="D9" s="393"/>
      <c r="E9" s="393"/>
    </row>
    <row r="11" spans="1:5" ht="28.5" x14ac:dyDescent="0.25">
      <c r="A11" s="36" t="str">
        <f>buyruq!A17</f>
        <v>Nomi</v>
      </c>
      <c r="B11" s="36" t="str">
        <f>buyruq!B17</f>
        <v>Kuzov turi  va kuzov raqami*</v>
      </c>
      <c r="C11" s="36" t="str">
        <f>buyruq!C17</f>
        <v>Dvigatel va shassi raqami*</v>
      </c>
      <c r="D11" s="36" t="str">
        <f>buyruq!D17</f>
        <v>Ishlab chiqarilgan yili va rangi*</v>
      </c>
      <c r="E11" s="36" t="str">
        <f>buyruq!E17</f>
        <v>Kelishilgan garov qiymati, so'm</v>
      </c>
    </row>
    <row r="12" spans="1:5" ht="73.5" customHeight="1" x14ac:dyDescent="0.25">
      <c r="A12" s="36" t="str">
        <f>buyruq!A18</f>
        <v>CHEVROLET COBALT</v>
      </c>
      <c r="B12" s="36" t="str">
        <f>buyruq!B18</f>
        <v>kuzov turi - YENGIL SEDAN, kuzov raqami XWBJA69VERA108471</v>
      </c>
      <c r="C12" s="36" t="str">
        <f>buyruq!C18</f>
        <v>dvigatel raqami B15D213241352MTAX0118, shassi raqami - RAQAMSIZ</v>
      </c>
      <c r="D12" s="36" t="str">
        <f>buyruq!D18</f>
        <v>rangi -  OQ SUMMIT WHITE, ishlab chiqarilgan yili - 2024</v>
      </c>
      <c r="E12" s="36" t="str">
        <f>buyruq!E18</f>
        <v>126 000 000,00 
(yuz yigirma olti million so'm)</v>
      </c>
    </row>
    <row r="13" spans="1:5" x14ac:dyDescent="0.25">
      <c r="A13" s="394" t="str">
        <f>buyruq!A19:E19</f>
        <v>-* avtotransport egasi: NARBAYEV QUDAYBERGEN QALBAYEVICH</v>
      </c>
      <c r="B13" s="394"/>
      <c r="C13" s="394"/>
      <c r="D13" s="394"/>
      <c r="E13" s="394"/>
    </row>
    <row r="14" spans="1:5" x14ac:dyDescent="0.25">
      <c r="A14" s="394" t="str">
        <f>buyruq!A20:E20</f>
        <v>-* texnik pasport: AAG       4174202      15.06.2024 yilda</v>
      </c>
      <c r="B14" s="394"/>
      <c r="C14" s="394"/>
      <c r="D14" s="394"/>
      <c r="E14" s="394"/>
    </row>
    <row r="15" spans="1:5" x14ac:dyDescent="0.25">
      <c r="A15" s="394" t="str">
        <f>buyruq!A21:E21</f>
        <v>-* roʻyxatdan oʻtgan manzili/garaj manzili: TOSHKENT SHAHAR BEKTEMIR TUMANI MAJNUNTOL MFY MAJNUNTOL MAXALLA SHONIGOR KO'CHASI  113 UY</v>
      </c>
      <c r="B15" s="394"/>
      <c r="C15" s="394"/>
      <c r="D15" s="394"/>
      <c r="E15" s="394"/>
    </row>
    <row r="16" spans="1:5" x14ac:dyDescent="0.25">
      <c r="A16" s="394" t="str">
        <f>buyruq!A22:E22</f>
        <v>-* davlat raqami: 01Z067RC</v>
      </c>
      <c r="B16" s="394"/>
      <c r="C16" s="394"/>
      <c r="D16" s="394"/>
      <c r="E16" s="394"/>
    </row>
    <row r="17" spans="1:5" ht="3" customHeight="1" x14ac:dyDescent="0.25"/>
    <row r="19" spans="1:5" ht="59.25" hidden="1" customHeight="1" x14ac:dyDescent="0.25">
      <c r="A19" s="36" t="str">
        <f>dalolatnoma!A32</f>
        <v>Наименование</v>
      </c>
      <c r="B19" s="36" t="str">
        <f>dalolatnoma!B32</f>
        <v>Полезная площадь</v>
      </c>
      <c r="C19" s="36" t="str">
        <f>dalolatnoma!C32</f>
        <v>Жилая площадь</v>
      </c>
      <c r="D19" s="36" t="str">
        <f>dalolatnoma!D32</f>
        <v>Общая площадь</v>
      </c>
      <c r="E19" s="36" t="str">
        <f>dalolatnoma!E32</f>
        <v>Согласованная залоговая стоимость, сум</v>
      </c>
    </row>
    <row r="20" spans="1:5" ht="17.25" hidden="1" customHeight="1" x14ac:dyDescent="0.25">
      <c r="A20" s="15" t="e">
        <f>dalolatnoma!A33</f>
        <v>#REF!</v>
      </c>
      <c r="B20" s="15" t="e">
        <f>dalolatnoma!B33</f>
        <v>#REF!</v>
      </c>
      <c r="C20" s="15" t="e">
        <f>dalolatnoma!C33</f>
        <v>#REF!</v>
      </c>
      <c r="D20" s="15" t="e">
        <f>dalolatnoma!D33</f>
        <v>#REF!</v>
      </c>
      <c r="E20" s="343" t="str">
        <f>""&amp;FIXED(umumiy_malumot!C143,2)&amp;" ("&amp;umumiy_malumot!C144&amp;")"</f>
        <v>126 000 000,00 (yuz yigirma olti million so'm)</v>
      </c>
    </row>
    <row r="21" spans="1:5" ht="17.25" hidden="1" customHeight="1" x14ac:dyDescent="0.25">
      <c r="A21" s="15">
        <f>dalolatnoma!A34</f>
        <v>0</v>
      </c>
      <c r="B21" s="15">
        <f>dalolatnoma!B34</f>
        <v>0</v>
      </c>
      <c r="C21" s="15">
        <f>dalolatnoma!C34</f>
        <v>0</v>
      </c>
      <c r="D21" s="15">
        <f>dalolatnoma!D34</f>
        <v>0</v>
      </c>
      <c r="E21" s="344"/>
    </row>
    <row r="22" spans="1:5" ht="17.25" hidden="1" customHeight="1" x14ac:dyDescent="0.25">
      <c r="A22" s="15" t="e">
        <f>dalolatnoma!A35</f>
        <v>#REF!</v>
      </c>
      <c r="B22" s="15" t="e">
        <f>dalolatnoma!B35</f>
        <v>#REF!</v>
      </c>
      <c r="C22" s="15" t="e">
        <f>dalolatnoma!C35</f>
        <v>#REF!</v>
      </c>
      <c r="D22" s="15" t="e">
        <f>dalolatnoma!D35</f>
        <v>#REF!</v>
      </c>
      <c r="E22" s="344"/>
    </row>
    <row r="23" spans="1:5" ht="17.25" hidden="1" customHeight="1" x14ac:dyDescent="0.25">
      <c r="A23" s="15" t="e">
        <f>dalolatnoma!A36</f>
        <v>#REF!</v>
      </c>
      <c r="B23" s="15" t="e">
        <f>dalolatnoma!B36</f>
        <v>#REF!</v>
      </c>
      <c r="C23" s="15" t="e">
        <f>dalolatnoma!C36</f>
        <v>#REF!</v>
      </c>
      <c r="D23" s="15" t="e">
        <f>dalolatnoma!D36</f>
        <v>#REF!</v>
      </c>
      <c r="E23" s="344"/>
    </row>
    <row r="24" spans="1:5" ht="17.25" hidden="1" customHeight="1" x14ac:dyDescent="0.25">
      <c r="A24" s="15" t="e">
        <f>dalolatnoma!A37</f>
        <v>#REF!</v>
      </c>
      <c r="B24" s="15" t="e">
        <f>dalolatnoma!B37</f>
        <v>#REF!</v>
      </c>
      <c r="C24" s="15" t="e">
        <f>dalolatnoma!C37</f>
        <v>#REF!</v>
      </c>
      <c r="D24" s="15" t="e">
        <f>dalolatnoma!D37</f>
        <v>#REF!</v>
      </c>
      <c r="E24" s="344"/>
    </row>
    <row r="25" spans="1:5" ht="15.75" hidden="1" customHeight="1" x14ac:dyDescent="0.25">
      <c r="A25" s="15" t="e">
        <f>dalolatnoma!A38</f>
        <v>#REF!</v>
      </c>
      <c r="B25" s="15" t="e">
        <f>dalolatnoma!B38</f>
        <v>#REF!</v>
      </c>
      <c r="C25" s="15" t="e">
        <f>dalolatnoma!C38</f>
        <v>#REF!</v>
      </c>
      <c r="D25" s="15" t="e">
        <f>dalolatnoma!D38</f>
        <v>#REF!</v>
      </c>
      <c r="E25" s="344"/>
    </row>
    <row r="26" spans="1:5" ht="17.25" hidden="1" customHeight="1" x14ac:dyDescent="0.25">
      <c r="A26" s="15" t="e">
        <f>dalolatnoma!A39</f>
        <v>#REF!</v>
      </c>
      <c r="B26" s="15" t="e">
        <f>dalolatnoma!B39</f>
        <v>#REF!</v>
      </c>
      <c r="C26" s="15" t="e">
        <f>dalolatnoma!C39</f>
        <v>#REF!</v>
      </c>
      <c r="D26" s="15" t="e">
        <f>dalolatnoma!D39</f>
        <v>#REF!</v>
      </c>
      <c r="E26" s="344"/>
    </row>
    <row r="27" spans="1:5" ht="17.25" hidden="1" customHeight="1" x14ac:dyDescent="0.25">
      <c r="A27" s="15" t="e">
        <f>dalolatnoma!A40</f>
        <v>#REF!</v>
      </c>
      <c r="B27" s="15" t="e">
        <f>dalolatnoma!B40</f>
        <v>#REF!</v>
      </c>
      <c r="C27" s="15" t="e">
        <f>dalolatnoma!C40</f>
        <v>#REF!</v>
      </c>
      <c r="D27" s="15" t="e">
        <f>dalolatnoma!D40</f>
        <v>#REF!</v>
      </c>
      <c r="E27" s="344"/>
    </row>
    <row r="28" spans="1:5" ht="17.25" hidden="1" customHeight="1" x14ac:dyDescent="0.25">
      <c r="A28" s="15" t="e">
        <f>dalolatnoma!A41</f>
        <v>#REF!</v>
      </c>
      <c r="B28" s="15" t="e">
        <f>dalolatnoma!B41</f>
        <v>#REF!</v>
      </c>
      <c r="C28" s="15" t="e">
        <f>dalolatnoma!C41</f>
        <v>#REF!</v>
      </c>
      <c r="D28" s="15" t="e">
        <f>dalolatnoma!D41</f>
        <v>#REF!</v>
      </c>
      <c r="E28" s="344"/>
    </row>
    <row r="29" spans="1:5" ht="17.25" hidden="1" customHeight="1" x14ac:dyDescent="0.25">
      <c r="A29" s="15" t="e">
        <f>dalolatnoma!A42</f>
        <v>#REF!</v>
      </c>
      <c r="B29" s="15" t="e">
        <f>dalolatnoma!B42</f>
        <v>#REF!</v>
      </c>
      <c r="C29" s="15" t="e">
        <f>dalolatnoma!C42</f>
        <v>#REF!</v>
      </c>
      <c r="D29" s="15" t="e">
        <f>dalolatnoma!D42</f>
        <v>#REF!</v>
      </c>
      <c r="E29" s="344"/>
    </row>
    <row r="30" spans="1:5" ht="17.25" hidden="1" customHeight="1" x14ac:dyDescent="0.25">
      <c r="A30" s="15" t="e">
        <f>dalolatnoma!A43</f>
        <v>#REF!</v>
      </c>
      <c r="B30" s="15" t="e">
        <f>dalolatnoma!B43</f>
        <v>#REF!</v>
      </c>
      <c r="C30" s="15" t="e">
        <f>dalolatnoma!C43</f>
        <v>#REF!</v>
      </c>
      <c r="D30" s="15" t="e">
        <f>dalolatnoma!D43</f>
        <v>#REF!</v>
      </c>
      <c r="E30" s="345"/>
    </row>
    <row r="31" spans="1:5" ht="17.25" hidden="1" customHeight="1" x14ac:dyDescent="0.25">
      <c r="A31" s="15" t="e">
        <f>dalolatnoma!A44</f>
        <v>#REF!</v>
      </c>
      <c r="B31" s="15" t="e">
        <f>dalolatnoma!B44</f>
        <v>#REF!</v>
      </c>
      <c r="C31" s="15" t="e">
        <f>dalolatnoma!C44</f>
        <v>#REF!</v>
      </c>
      <c r="D31" s="15" t="e">
        <f>dalolatnoma!D44</f>
        <v>#REF!</v>
      </c>
      <c r="E31" s="15" t="str">
        <f>dalolatnoma!E44</f>
        <v>126 000 000,00</v>
      </c>
    </row>
    <row r="32" spans="1:5" ht="18.75" hidden="1" customHeight="1" x14ac:dyDescent="0.25">
      <c r="A32" s="393" t="e">
        <f>_xlfn.SINGLE(dalolatnoma!#REF!)</f>
        <v>#REF!</v>
      </c>
      <c r="B32" s="393"/>
      <c r="C32" s="393"/>
      <c r="D32" s="393"/>
      <c r="E32" s="393"/>
    </row>
    <row r="33" spans="1:5" ht="24.75" hidden="1" customHeight="1" x14ac:dyDescent="0.25">
      <c r="A33" s="393" t="e">
        <f>_xlfn.SINGLE(dalolatnoma!#REF!)</f>
        <v>#REF!</v>
      </c>
      <c r="B33" s="393"/>
      <c r="C33" s="393"/>
      <c r="D33" s="393"/>
      <c r="E33" s="393"/>
    </row>
    <row r="34" spans="1:5" ht="30.75" hidden="1" customHeight="1" x14ac:dyDescent="0.25">
      <c r="A34" s="393" t="e">
        <f>_xlfn.SINGLE(dalolatnoma!#REF!)</f>
        <v>#REF!</v>
      </c>
      <c r="B34" s="393"/>
      <c r="C34" s="393"/>
      <c r="D34" s="393"/>
      <c r="E34" s="393"/>
    </row>
    <row r="35" spans="1:5" ht="15" hidden="1" customHeight="1" x14ac:dyDescent="0.25">
      <c r="A35" s="393" t="e">
        <f>_xlfn.SINGLE(dalolatnoma!#REF!)</f>
        <v>#REF!</v>
      </c>
      <c r="B35" s="393"/>
      <c r="C35" s="393"/>
      <c r="D35" s="393"/>
      <c r="E35" s="393"/>
    </row>
    <row r="36" spans="1:5" x14ac:dyDescent="0.25">
      <c r="A36" s="19"/>
      <c r="B36" s="19"/>
      <c r="C36" s="19"/>
      <c r="D36" s="19"/>
      <c r="E36" s="19"/>
    </row>
    <row r="37" spans="1:5" s="120" customFormat="1" ht="51" customHeight="1" x14ac:dyDescent="0.25">
      <c r="A37" s="392" t="str">
        <f>dalolatnoma!A46:E46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92"/>
      <c r="C37" s="392"/>
      <c r="D37" s="392"/>
      <c r="E37" s="392"/>
    </row>
    <row r="38" spans="1:5" ht="40.5" customHeight="1" x14ac:dyDescent="0.25">
      <c r="A38" s="393" t="str">
        <f>dalolatnoma!A47:E47</f>
        <v>Shu bilan birga, garov predmetining kelishilgan garov qiymati deganda ushbu mulk garov sifatida taqdim etilgan/qabul qilingan qiymati tushuniladi.</v>
      </c>
      <c r="B38" s="393"/>
      <c r="C38" s="393"/>
      <c r="D38" s="393"/>
      <c r="E38" s="393"/>
    </row>
    <row r="39" spans="1:5" ht="39" customHeight="1" x14ac:dyDescent="0.25">
      <c r="A39" s="393"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"&amp;umumiy_malumot!B74&amp;",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2 fevral 2026 y.dan № 53, при сохранении запрета.</v>
      </c>
      <c r="B39" s="393"/>
      <c r="C39" s="393"/>
      <c r="D39" s="393"/>
      <c r="E39" s="393"/>
    </row>
    <row r="40" spans="1:5" x14ac:dyDescent="0.25">
      <c r="A40" s="396"/>
      <c r="B40" s="396"/>
      <c r="C40" s="396"/>
      <c r="D40" s="396"/>
      <c r="E40" s="396"/>
    </row>
    <row r="41" spans="1:5" x14ac:dyDescent="0.25">
      <c r="A41" s="397" t="s">
        <v>32</v>
      </c>
      <c r="B41" s="397"/>
      <c r="C41" s="397"/>
      <c r="D41" s="397"/>
      <c r="E41" s="397"/>
    </row>
    <row r="42" spans="1:5" x14ac:dyDescent="0.25">
      <c r="A42" s="396"/>
      <c r="B42" s="396"/>
      <c r="C42" s="396"/>
      <c r="D42" s="396"/>
      <c r="E42" s="396"/>
    </row>
    <row r="43" spans="1:5" x14ac:dyDescent="0.25">
      <c r="A43" s="397" t="s">
        <v>33</v>
      </c>
      <c r="B43" s="397"/>
      <c r="C43" s="397"/>
      <c r="D43" s="397"/>
      <c r="E43" s="397"/>
    </row>
    <row r="44" spans="1:5" ht="28.5" customHeight="1" x14ac:dyDescent="0.25">
      <c r="A44" s="395" t="s">
        <v>34</v>
      </c>
      <c r="B44" s="395"/>
      <c r="C44" s="395"/>
      <c r="D44" s="395"/>
      <c r="E44" s="100" t="s">
        <v>2</v>
      </c>
    </row>
  </sheetData>
  <mergeCells count="18">
    <mergeCell ref="A44:D44"/>
    <mergeCell ref="A38:E38"/>
    <mergeCell ref="A39:E39"/>
    <mergeCell ref="A40:E40"/>
    <mergeCell ref="A41:E41"/>
    <mergeCell ref="A42:E42"/>
    <mergeCell ref="A43:E43"/>
    <mergeCell ref="A37:E37"/>
    <mergeCell ref="E20:E30"/>
    <mergeCell ref="A9:E9"/>
    <mergeCell ref="A32:E32"/>
    <mergeCell ref="A33:E33"/>
    <mergeCell ref="A34:E34"/>
    <mergeCell ref="A35:E35"/>
    <mergeCell ref="A16:E16"/>
    <mergeCell ref="A15:E15"/>
    <mergeCell ref="A14:E14"/>
    <mergeCell ref="A13:E1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6">
    <tabColor rgb="FF00B050"/>
  </sheetPr>
  <dimension ref="A1:I31"/>
  <sheetViews>
    <sheetView view="pageBreakPreview" zoomScaleNormal="100" zoomScaleSheetLayoutView="100" workbookViewId="0">
      <selection activeCell="A7" sqref="A7:H7"/>
    </sheetView>
  </sheetViews>
  <sheetFormatPr defaultColWidth="9.140625" defaultRowHeight="12.75" x14ac:dyDescent="0.2"/>
  <cols>
    <col min="1" max="2" width="11" style="21" customWidth="1"/>
    <col min="3" max="4" width="14.42578125" style="21" customWidth="1"/>
    <col min="5" max="6" width="13.5703125" style="21" customWidth="1"/>
    <col min="7" max="7" width="9.140625" style="21"/>
    <col min="8" max="8" width="20.5703125" style="21" customWidth="1"/>
    <col min="9" max="16384" width="9.140625" style="21"/>
  </cols>
  <sheetData>
    <row r="1" spans="1:9" x14ac:dyDescent="0.2">
      <c r="A1" s="28"/>
      <c r="B1" s="28"/>
      <c r="C1" s="28"/>
      <c r="D1" s="28"/>
      <c r="E1" s="28"/>
      <c r="F1" s="28"/>
      <c r="G1" s="28"/>
      <c r="H1" s="28"/>
      <c r="I1" s="28"/>
    </row>
    <row r="2" spans="1:9" x14ac:dyDescent="0.2">
      <c r="A2" s="403" t="str">
        <f>""&amp;" "&amp;umumiy_malumot!B74&amp;"-sonli "&amp;" "&amp;umumiy_malumot!C64&amp;" shartnomasi bo‘yicha
 garovga qo‘yilgan mol-mulkni tekshirish bo’yicha "&amp;umumiy_malumot!B5&amp;" bilan tuzilgan dalolatnomasi"</f>
        <v xml:space="preserve"> 2 fevral 2026 y.dan № 53-sonli  Mikroqarz shartnomasi bo‘yicha
 garovga qo‘yilgan mol-mulkni tekshirish bo’yicha NARBAYEV QUDAYBERGEN QALBAYEVICH bilan tuzilgan dalolatnomasi</v>
      </c>
      <c r="B2" s="403"/>
      <c r="C2" s="403"/>
      <c r="D2" s="403"/>
      <c r="E2" s="403"/>
      <c r="F2" s="403"/>
      <c r="G2" s="403"/>
      <c r="H2" s="403"/>
      <c r="I2" s="28"/>
    </row>
    <row r="3" spans="1:9" x14ac:dyDescent="0.2">
      <c r="A3" s="403"/>
      <c r="B3" s="403"/>
      <c r="C3" s="403"/>
      <c r="D3" s="403"/>
      <c r="E3" s="403"/>
      <c r="F3" s="403"/>
      <c r="G3" s="403"/>
      <c r="H3" s="403"/>
      <c r="I3" s="28"/>
    </row>
    <row r="5" spans="1:9" x14ac:dyDescent="0.2">
      <c r="A5" s="21" t="s">
        <v>195</v>
      </c>
      <c r="H5" s="130" t="str">
        <f>TEXT(+umumiy_malumot!B2+360,"ДД.ММ.ГГГГ")</f>
        <v>28.01.2027</v>
      </c>
    </row>
    <row r="7" spans="1:9" ht="45" customHeight="1" x14ac:dyDescent="0.2">
      <c r="A7" s="405" t="str">
        <f>"      Men, "&amp;umumiy_malumot!B158&amp;" "&amp;umumiy_malumot!A161&amp;"i "&amp;umumiy_malumot!B161&amp;", jismoniy shaxs "&amp;" "&amp;umumiy_malumot!B5&amp;" "&amp;" "&amp;umumiy_malumot!B74&amp;"-sonli "&amp;umumiy_malumot!C64&amp;" shartnomasi bo‘yicha garovga qo‘yilgan mol-mulkni ko‘zdan kechirdim"</f>
        <v xml:space="preserve">      Men, «PULLOL BUSINESS MIKROMOLIYA TASHKILOTI»  MChJ Direktori Obidov A.Sh., jismoniy shaxs  NARBAYEV QUDAYBERGEN QALBAYEVICH  2 fevral 2026 y.dan № 53-sonli Mikroqarz shartnomasi bo‘yicha garovga qo‘yilgan mol-mulkni ko‘zdan kechirdim</v>
      </c>
      <c r="B7" s="405"/>
      <c r="C7" s="405"/>
      <c r="D7" s="405"/>
      <c r="E7" s="405"/>
      <c r="F7" s="405"/>
      <c r="G7" s="405"/>
      <c r="H7" s="405"/>
    </row>
    <row r="8" spans="1:9" ht="19.5" customHeight="1" x14ac:dyDescent="0.2">
      <c r="A8" s="406" t="s">
        <v>264</v>
      </c>
      <c r="B8" s="406"/>
      <c r="C8" s="406"/>
      <c r="D8" s="406"/>
      <c r="E8" s="406"/>
      <c r="F8" s="406"/>
      <c r="G8" s="406"/>
      <c r="H8" s="406"/>
    </row>
    <row r="9" spans="1:9" s="131" customFormat="1" ht="32.25" customHeight="1" x14ac:dyDescent="0.25">
      <c r="A9" s="401" t="str">
        <f>monitoring_2!A9</f>
        <v>Nomi</v>
      </c>
      <c r="B9" s="402"/>
      <c r="C9" s="401" t="str">
        <f>monitoring_2!C9</f>
        <v>Kuzov turi  va kuzov raqami*</v>
      </c>
      <c r="D9" s="402"/>
      <c r="E9" s="401" t="str">
        <f>monitoring_2!E9</f>
        <v>Dvigatel va shassi raqami*</v>
      </c>
      <c r="F9" s="402"/>
      <c r="G9" s="401" t="str">
        <f>monitoring_2!G9</f>
        <v>Ishlab chiqarilgan yili va rangi**</v>
      </c>
      <c r="H9" s="402"/>
    </row>
    <row r="10" spans="1:9" s="129" customFormat="1" ht="58.5" customHeight="1" x14ac:dyDescent="0.2">
      <c r="A10" s="399" t="str">
        <f>monitoring_2!A10</f>
        <v>CHEVROLET COBALT</v>
      </c>
      <c r="B10" s="399"/>
      <c r="C10" s="399" t="str">
        <f>monitoring_2!C10</f>
        <v>kuzov turi - YENGIL SEDAN, kuzov raqami XWBJA69VERA108471</v>
      </c>
      <c r="D10" s="399"/>
      <c r="E10" s="399" t="str">
        <f>monitoring_2!E10</f>
        <v>dvigatel raqami B15D213241352MTAX0118, shassi raqami - RAQAMSIZ</v>
      </c>
      <c r="F10" s="399"/>
      <c r="G10" s="399" t="str">
        <f>monitoring_2!G10</f>
        <v>rangi -  OQ SUMMIT WHITE, ishlab chiqarilgan yili - 2024</v>
      </c>
      <c r="H10" s="399"/>
    </row>
    <row r="11" spans="1:9" ht="19.5" customHeight="1" x14ac:dyDescent="0.2">
      <c r="A11" s="400" t="str">
        <f>dalolatnoma!A22:E22</f>
        <v>-* avtotransport egasi: NARBAYEV QUDAYBERGEN QALBAYEVICH</v>
      </c>
      <c r="B11" s="400"/>
      <c r="C11" s="400"/>
      <c r="D11" s="400"/>
      <c r="E11" s="400"/>
      <c r="F11" s="400"/>
      <c r="G11" s="400"/>
      <c r="H11" s="400"/>
    </row>
    <row r="12" spans="1:9" ht="19.5" customHeight="1" x14ac:dyDescent="0.2">
      <c r="A12" s="400" t="str">
        <f>dalolatnoma!A23:E23</f>
        <v>-* texnik pasport: AAG       4174202      15.06.2024 yilda</v>
      </c>
      <c r="B12" s="400"/>
      <c r="C12" s="400"/>
      <c r="D12" s="400"/>
      <c r="E12" s="400"/>
      <c r="F12" s="400"/>
      <c r="G12" s="400"/>
      <c r="H12" s="400"/>
    </row>
    <row r="13" spans="1:9" ht="19.5" customHeight="1" x14ac:dyDescent="0.2">
      <c r="A13" s="400" t="str">
        <f>dalolatnoma!A24:E24</f>
        <v>-* roʻyxatdan oʻtgan manzili/garaj manzili: TOSHKENT SHAHAR BEKTEMIR TUMANI MAJNUNTOL MFY MAJNUNTOL MAXALLA SHONIGOR KO'CHASI  113 UY</v>
      </c>
      <c r="B13" s="400"/>
      <c r="C13" s="400"/>
      <c r="D13" s="400"/>
      <c r="E13" s="400"/>
      <c r="F13" s="400"/>
      <c r="G13" s="400"/>
      <c r="H13" s="400"/>
    </row>
    <row r="14" spans="1:9" ht="19.5" customHeight="1" x14ac:dyDescent="0.2">
      <c r="A14" s="400" t="str">
        <f>dalolatnoma!A25:E25</f>
        <v>-* davlat raqami: 01Z067RC</v>
      </c>
      <c r="B14" s="400"/>
      <c r="C14" s="400"/>
      <c r="D14" s="400"/>
      <c r="E14" s="400"/>
      <c r="F14" s="400"/>
      <c r="G14" s="400"/>
      <c r="H14" s="400"/>
    </row>
    <row r="15" spans="1:9" ht="33.75" customHeight="1" x14ac:dyDescent="0.2">
      <c r="A15" s="404" t="str">
        <f>+"Shu bilan birga, yuqoridagi mulkning kelishilgan garov qiymati "&amp;dalolatnoma!E30</f>
        <v>Shu bilan birga, yuqoridagi mulkning kelishilgan garov qiymati 126 000 000,00 
(yuz yigirma olti million so'm)</v>
      </c>
      <c r="B15" s="404"/>
      <c r="C15" s="404"/>
      <c r="D15" s="404"/>
      <c r="E15" s="404"/>
      <c r="F15" s="404"/>
      <c r="G15" s="404"/>
      <c r="H15" s="404"/>
    </row>
    <row r="17" spans="1:8" ht="35.25" customHeight="1" x14ac:dyDescent="0.2">
      <c r="A17" s="398" t="s">
        <v>265</v>
      </c>
      <c r="B17" s="398"/>
      <c r="C17" s="398"/>
      <c r="D17" s="398"/>
      <c r="E17" s="398"/>
      <c r="F17" s="398"/>
      <c r="G17" s="398"/>
      <c r="H17" s="398"/>
    </row>
    <row r="21" spans="1:8" s="28" customFormat="1" x14ac:dyDescent="0.2"/>
    <row r="22" spans="1:8" s="28" customFormat="1" x14ac:dyDescent="0.2">
      <c r="A22" s="194" t="str">
        <f>umumiy_malumot!A161</f>
        <v>Direktor</v>
      </c>
      <c r="H22" s="132" t="str">
        <f>umumiy_malumot!B161</f>
        <v>Obidov A.Sh.</v>
      </c>
    </row>
    <row r="23" spans="1:8" s="28" customFormat="1" x14ac:dyDescent="0.2">
      <c r="H23" s="132"/>
    </row>
    <row r="24" spans="1:8" s="28" customFormat="1" x14ac:dyDescent="0.2"/>
    <row r="25" spans="1:8" s="28" customFormat="1" hidden="1" x14ac:dyDescent="0.2"/>
    <row r="26" spans="1:8" s="28" customFormat="1" hidden="1" x14ac:dyDescent="0.2">
      <c r="H26" s="132"/>
    </row>
    <row r="27" spans="1:8" s="28" customFormat="1" hidden="1" x14ac:dyDescent="0.2">
      <c r="A27" s="28" t="str">
        <f>umumiy_malumot!A171</f>
        <v>Monitoring bo’limi boshlig’i</v>
      </c>
      <c r="H27" s="28" t="str">
        <f>umumiy_malumot!B171</f>
        <v>Omanlikov  O.O.</v>
      </c>
    </row>
    <row r="28" spans="1:8" s="28" customFormat="1" hidden="1" x14ac:dyDescent="0.2"/>
    <row r="29" spans="1:8" s="28" customFormat="1" x14ac:dyDescent="0.2"/>
    <row r="31" spans="1:8" x14ac:dyDescent="0.2">
      <c r="A31" s="28" t="s">
        <v>267</v>
      </c>
      <c r="H31" s="28" t="str">
        <f>umumiy_malumot!B7</f>
        <v>NARBAYEV Q. Q.</v>
      </c>
    </row>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74"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5">
    <tabColor rgb="FF00B050"/>
  </sheetPr>
  <dimension ref="A1:I35"/>
  <sheetViews>
    <sheetView view="pageBreakPreview" zoomScaleNormal="100" zoomScaleSheetLayoutView="100" workbookViewId="0">
      <selection activeCell="J8" sqref="J8"/>
    </sheetView>
  </sheetViews>
  <sheetFormatPr defaultColWidth="9.140625" defaultRowHeight="12.75" x14ac:dyDescent="0.2"/>
  <cols>
    <col min="1" max="2" width="11" style="21" customWidth="1"/>
    <col min="3" max="4" width="14.42578125" style="21" customWidth="1"/>
    <col min="5" max="6" width="13.5703125" style="21" customWidth="1"/>
    <col min="7" max="7" width="9.140625" style="21"/>
    <col min="8" max="8" width="19" style="21" bestFit="1" customWidth="1"/>
    <col min="9" max="9" width="9.140625" style="21" hidden="1" customWidth="1"/>
    <col min="10" max="10" width="9.140625" style="21" customWidth="1"/>
    <col min="11" max="11" width="0.5703125" style="21" customWidth="1"/>
    <col min="12" max="16384" width="9.140625" style="21"/>
  </cols>
  <sheetData>
    <row r="1" spans="1:9" x14ac:dyDescent="0.2">
      <c r="A1" s="28"/>
      <c r="B1" s="28"/>
      <c r="C1" s="28"/>
      <c r="D1" s="28"/>
      <c r="E1" s="28"/>
      <c r="F1" s="28"/>
      <c r="G1" s="28"/>
      <c r="H1" s="28"/>
      <c r="I1" s="28"/>
    </row>
    <row r="2" spans="1:9" x14ac:dyDescent="0.2">
      <c r="A2" s="403" t="str">
        <f>""&amp;" "&amp;umumiy_malumot!B74&amp;"-sonli "&amp;" "&amp;umumiy_malumot!C64&amp;" shartnomasi bo‘yicha
 garovga qo‘yilgan mol-mulkni tekshirish bo’yicha "&amp;umumiy_malumot!B5&amp;" bilan tuzilgan dalolatnomasi"</f>
        <v xml:space="preserve"> 2 fevral 2026 y.dan № 53-sonli  Mikroqarz shartnomasi bo‘yicha
 garovga qo‘yilgan mol-mulkni tekshirish bo’yicha NARBAYEV QUDAYBERGEN QALBAYEVICH bilan tuzilgan dalolatnomasi</v>
      </c>
      <c r="B2" s="403"/>
      <c r="C2" s="403"/>
      <c r="D2" s="403"/>
      <c r="E2" s="403"/>
      <c r="F2" s="403"/>
      <c r="G2" s="403"/>
      <c r="H2" s="403"/>
      <c r="I2" s="28"/>
    </row>
    <row r="3" spans="1:9" x14ac:dyDescent="0.2">
      <c r="A3" s="403"/>
      <c r="B3" s="403"/>
      <c r="C3" s="403"/>
      <c r="D3" s="403"/>
      <c r="E3" s="403"/>
      <c r="F3" s="403"/>
      <c r="G3" s="403"/>
      <c r="H3" s="403"/>
      <c r="I3" s="28"/>
    </row>
    <row r="5" spans="1:9" x14ac:dyDescent="0.2">
      <c r="A5" s="21" t="s">
        <v>195</v>
      </c>
      <c r="F5" s="144"/>
      <c r="H5" s="130" t="str">
        <f>TEXT(umumiy_malumot!D2,"ДД.ММ.ГГГГ")</f>
        <v>01.08.2026</v>
      </c>
    </row>
    <row r="7" spans="1:9" ht="45" customHeight="1" x14ac:dyDescent="0.2">
      <c r="A7" s="405" t="str">
        <f>"      Men, "&amp;umumiy_malumot!B158&amp;" "&amp;umumiy_malumot!A161&amp;"i "&amp;umumiy_malumot!B161&amp;", jismoniy shaxs "&amp;" "&amp;umumiy_malumot!B5&amp;" "&amp;" "&amp;umumiy_malumot!B74&amp;"-sonli "&amp;umumiy_malumot!B65&amp;" shartnomasi bo‘yicha garovga qo‘yilgan mol-mulkni ko‘zdan kechirdim"</f>
        <v xml:space="preserve">      Men, «PULLOL BUSINESS MIKROMOLIYA TASHKILOTI»  MChJ Direktori Obidov A.Sh., jismoniy shaxs  NARBAYEV QUDAYBERGEN QALBAYEVICH  2 fevral 2026 y.dan № 53-sonli mikroqarz shartnomasi bo‘yicha garovga qo‘yilgan mol-mulkni ko‘zdan kechirdim</v>
      </c>
      <c r="B7" s="405"/>
      <c r="C7" s="405"/>
      <c r="D7" s="405"/>
      <c r="E7" s="405"/>
      <c r="F7" s="405"/>
      <c r="G7" s="405"/>
      <c r="H7" s="405"/>
    </row>
    <row r="8" spans="1:9" ht="19.5" customHeight="1" x14ac:dyDescent="0.2">
      <c r="A8" s="406" t="s">
        <v>264</v>
      </c>
      <c r="B8" s="406"/>
      <c r="C8" s="406"/>
      <c r="D8" s="406"/>
      <c r="E8" s="406"/>
      <c r="F8" s="406"/>
      <c r="G8" s="406"/>
      <c r="H8" s="406"/>
    </row>
    <row r="9" spans="1:9" s="131" customFormat="1" ht="32.25" customHeight="1" x14ac:dyDescent="0.25">
      <c r="A9" s="401" t="str">
        <f>dalolatnoma!A20</f>
        <v>Nomi</v>
      </c>
      <c r="B9" s="402"/>
      <c r="C9" s="401" t="str">
        <f>dalolatnoma!B20</f>
        <v>Kuzov turi  va kuzov raqami*</v>
      </c>
      <c r="D9" s="402"/>
      <c r="E9" s="401" t="str">
        <f>dalolatnoma!D20</f>
        <v>Dvigatel va shassi raqami*</v>
      </c>
      <c r="F9" s="402"/>
      <c r="G9" s="401" t="str">
        <f>dalolatnoma!E20</f>
        <v>Ishlab chiqarilgan yili va rangi**</v>
      </c>
      <c r="H9" s="402"/>
    </row>
    <row r="10" spans="1:9" s="129" customFormat="1" ht="58.5" customHeight="1" x14ac:dyDescent="0.2">
      <c r="A10" s="399" t="str">
        <f>dalolatnoma!A21</f>
        <v>CHEVROLET COBALT</v>
      </c>
      <c r="B10" s="399"/>
      <c r="C10" s="399" t="str">
        <f>dalolatnoma!B21</f>
        <v>kuzov turi - YENGIL SEDAN, kuzov raqami XWBJA69VERA108471</v>
      </c>
      <c r="D10" s="399"/>
      <c r="E10" s="399" t="str">
        <f>dalolatnoma!D21</f>
        <v>dvigatel raqami B15D213241352MTAX0118, shassi raqami - RAQAMSIZ</v>
      </c>
      <c r="F10" s="399"/>
      <c r="G10" s="399" t="str">
        <f>dalolatnoma!E21</f>
        <v>rangi -  OQ SUMMIT WHITE, ishlab chiqarilgan yili - 2024</v>
      </c>
      <c r="H10" s="399"/>
    </row>
    <row r="11" spans="1:9" ht="19.5" customHeight="1" x14ac:dyDescent="0.2">
      <c r="A11" s="400" t="str">
        <f>dalolatnoma!A22:E22</f>
        <v>-* avtotransport egasi: NARBAYEV QUDAYBERGEN QALBAYEVICH</v>
      </c>
      <c r="B11" s="400"/>
      <c r="C11" s="400"/>
      <c r="D11" s="400"/>
      <c r="E11" s="400"/>
      <c r="F11" s="400"/>
      <c r="G11" s="400"/>
      <c r="H11" s="400"/>
    </row>
    <row r="12" spans="1:9" ht="19.5" customHeight="1" x14ac:dyDescent="0.2">
      <c r="A12" s="400" t="str">
        <f>dalolatnoma!A23:E23</f>
        <v>-* texnik pasport: AAG       4174202      15.06.2024 yilda</v>
      </c>
      <c r="B12" s="400"/>
      <c r="C12" s="400"/>
      <c r="D12" s="400"/>
      <c r="E12" s="400"/>
      <c r="F12" s="400"/>
      <c r="G12" s="400"/>
      <c r="H12" s="400"/>
    </row>
    <row r="13" spans="1:9" ht="19.5" customHeight="1" x14ac:dyDescent="0.2">
      <c r="A13" s="400" t="str">
        <f>dalolatnoma!A24:E24</f>
        <v>-* roʻyxatdan oʻtgan manzili/garaj manzili: TOSHKENT SHAHAR BEKTEMIR TUMANI MAJNUNTOL MFY MAJNUNTOL MAXALLA SHONIGOR KO'CHASI  113 UY</v>
      </c>
      <c r="B13" s="400"/>
      <c r="C13" s="400"/>
      <c r="D13" s="400"/>
      <c r="E13" s="400"/>
      <c r="F13" s="400"/>
      <c r="G13" s="400"/>
      <c r="H13" s="400"/>
    </row>
    <row r="14" spans="1:9" ht="19.5" customHeight="1" x14ac:dyDescent="0.2">
      <c r="A14" s="400" t="str">
        <f>dalolatnoma!A25:E25</f>
        <v>-* davlat raqami: 01Z067RC</v>
      </c>
      <c r="B14" s="400"/>
      <c r="C14" s="400"/>
      <c r="D14" s="400"/>
      <c r="E14" s="400"/>
      <c r="F14" s="400"/>
      <c r="G14" s="400"/>
      <c r="H14" s="400"/>
    </row>
    <row r="15" spans="1:9" ht="33.75" customHeight="1" x14ac:dyDescent="0.2">
      <c r="A15" s="404" t="str">
        <f>+"Shu bilan birga, yuqoridagi mulkning kelishilgan garov qiymati "&amp;dalolatnoma!E30</f>
        <v>Shu bilan birga, yuqoridagi mulkning kelishilgan garov qiymati 126 000 000,00 
(yuz yigirma olti million so'm)</v>
      </c>
      <c r="B15" s="404"/>
      <c r="C15" s="404"/>
      <c r="D15" s="404"/>
      <c r="E15" s="404"/>
      <c r="F15" s="404"/>
      <c r="G15" s="404"/>
      <c r="H15" s="404"/>
    </row>
    <row r="17" spans="1:8" ht="27" customHeight="1" x14ac:dyDescent="0.2">
      <c r="A17" s="398" t="s">
        <v>265</v>
      </c>
      <c r="B17" s="398"/>
      <c r="C17" s="398"/>
      <c r="D17" s="398"/>
      <c r="E17" s="398"/>
      <c r="F17" s="398"/>
      <c r="G17" s="398"/>
      <c r="H17" s="398"/>
    </row>
    <row r="21" spans="1:8" s="28" customFormat="1" x14ac:dyDescent="0.2"/>
    <row r="22" spans="1:8" s="28" customFormat="1" x14ac:dyDescent="0.2">
      <c r="A22" s="28" t="str">
        <f>umumiy_malumot!A161</f>
        <v>Direktor</v>
      </c>
      <c r="H22" s="132" t="str">
        <f>umumiy_malumot!B161</f>
        <v>Obidov A.Sh.</v>
      </c>
    </row>
    <row r="23" spans="1:8" s="28" customFormat="1" x14ac:dyDescent="0.2">
      <c r="H23" s="132"/>
    </row>
    <row r="24" spans="1:8" s="28" customFormat="1" x14ac:dyDescent="0.2">
      <c r="H24" s="132"/>
    </row>
    <row r="25" spans="1:8" s="28" customFormat="1" hidden="1" x14ac:dyDescent="0.2">
      <c r="H25" s="132"/>
    </row>
    <row r="26" spans="1:8" s="28" customFormat="1" hidden="1" x14ac:dyDescent="0.2">
      <c r="H26" s="132"/>
    </row>
    <row r="27" spans="1:8" s="28" customFormat="1" ht="16.5" hidden="1" customHeight="1" x14ac:dyDescent="0.2">
      <c r="A27" s="28" t="s">
        <v>266</v>
      </c>
      <c r="H27" s="28" t="str">
        <f>umumiy_malumot!B171</f>
        <v>Omanlikov  O.O.</v>
      </c>
    </row>
    <row r="28" spans="1:8" s="28" customFormat="1" ht="16.5" hidden="1" customHeight="1" x14ac:dyDescent="0.2"/>
    <row r="29" spans="1:8" s="28" customFormat="1" ht="16.5" customHeight="1" x14ac:dyDescent="0.2"/>
    <row r="30" spans="1:8" s="28" customFormat="1" x14ac:dyDescent="0.2"/>
    <row r="31" spans="1:8" s="28" customFormat="1" x14ac:dyDescent="0.2">
      <c r="A31" s="28" t="s">
        <v>267</v>
      </c>
      <c r="H31" s="132" t="str">
        <f>umumiy_malumot!B7</f>
        <v>NARBAYEV Q. Q.</v>
      </c>
    </row>
    <row r="32" spans="1:8" s="28" customFormat="1" x14ac:dyDescent="0.2"/>
    <row r="33" s="28" customFormat="1" x14ac:dyDescent="0.2"/>
    <row r="34" s="28" customFormat="1" x14ac:dyDescent="0.2"/>
    <row r="35" s="28" customFormat="1" x14ac:dyDescent="0.2"/>
  </sheetData>
  <mergeCells count="17">
    <mergeCell ref="A14:H14"/>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 ref="A13:H13"/>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Лист27">
    <tabColor rgb="FF00B050"/>
  </sheetPr>
  <dimension ref="A1:I34"/>
  <sheetViews>
    <sheetView view="pageBreakPreview" zoomScaleNormal="100" zoomScaleSheetLayoutView="100" workbookViewId="0">
      <selection activeCell="I39" sqref="I39"/>
    </sheetView>
  </sheetViews>
  <sheetFormatPr defaultColWidth="9.140625" defaultRowHeight="12.75" x14ac:dyDescent="0.2"/>
  <cols>
    <col min="1" max="2" width="11" style="21" customWidth="1"/>
    <col min="3" max="4" width="14.42578125" style="21" customWidth="1"/>
    <col min="5" max="6" width="13.5703125" style="21" customWidth="1"/>
    <col min="7" max="7" width="9.140625" style="21"/>
    <col min="8" max="8" width="19" style="21" bestFit="1" customWidth="1"/>
    <col min="9" max="16384" width="9.140625" style="21"/>
  </cols>
  <sheetData>
    <row r="1" spans="1:9" x14ac:dyDescent="0.2">
      <c r="A1" s="28"/>
      <c r="B1" s="28"/>
      <c r="C1" s="28"/>
      <c r="D1" s="28"/>
      <c r="E1" s="28"/>
      <c r="F1" s="28"/>
      <c r="G1" s="28"/>
      <c r="H1" s="28"/>
      <c r="I1" s="28"/>
    </row>
    <row r="2" spans="1:9" x14ac:dyDescent="0.2">
      <c r="A2" s="403" t="str">
        <f>""&amp;" "&amp;umumiy_malumot!B74&amp;"-sonli "&amp;" "&amp;umumiy_malumot!C64&amp;" shartnomasi bo‘yicha
 garovga qo‘yilgan mol-mulkni tekshirish bo’yicha "&amp;umumiy_malumot!B5&amp;" bilan tuzilgan dalolatnomasi"</f>
        <v xml:space="preserve"> 2 fevral 2026 y.dan № 53-sonli  Mikroqarz shartnomasi bo‘yicha
 garovga qo‘yilgan mol-mulkni tekshirish bo’yicha NARBAYEV QUDAYBERGEN QALBAYEVICH bilan tuzilgan dalolatnomasi</v>
      </c>
      <c r="B2" s="403"/>
      <c r="C2" s="403"/>
      <c r="D2" s="403"/>
      <c r="E2" s="403"/>
      <c r="F2" s="403"/>
      <c r="G2" s="403"/>
      <c r="H2" s="403"/>
      <c r="I2" s="28"/>
    </row>
    <row r="3" spans="1:9" x14ac:dyDescent="0.2">
      <c r="A3" s="403"/>
      <c r="B3" s="403"/>
      <c r="C3" s="403"/>
      <c r="D3" s="403"/>
      <c r="E3" s="403"/>
      <c r="F3" s="403"/>
      <c r="G3" s="403"/>
      <c r="H3" s="403"/>
      <c r="I3" s="28"/>
    </row>
    <row r="5" spans="1:9" x14ac:dyDescent="0.2">
      <c r="A5" s="21" t="s">
        <v>195</v>
      </c>
      <c r="H5" s="130" t="str">
        <f>TEXT(+umumiy_malumot!B2+540,"ДД.ММ.ГГГГ")</f>
        <v>27.07.2027</v>
      </c>
    </row>
    <row r="7" spans="1:9" ht="45" customHeight="1" x14ac:dyDescent="0.2">
      <c r="A7" s="405" t="str">
        <f>"      Men, "&amp;umumiy_malumot!B158&amp;" "&amp;umumiy_malumot!A161&amp;"i "&amp;umumiy_malumot!B161&amp;", jismoniy shaxs "&amp;" "&amp;umumiy_malumot!B5&amp;" "&amp;" "&amp;umumiy_malumot!B74&amp;"-sonli "&amp;umumiy_malumot!C64&amp;" shartnomasi bo‘yicha garovga qo‘yilgan mol-mulkni ko‘zdan kechirdim"</f>
        <v xml:space="preserve">      Men, «PULLOL BUSINESS MIKROMOLIYA TASHKILOTI»  MChJ Direktori Obidov A.Sh., jismoniy shaxs  NARBAYEV QUDAYBERGEN QALBAYEVICH  2 fevral 2026 y.dan № 53-sonli Mikroqarz shartnomasi bo‘yicha garovga qo‘yilgan mol-mulkni ko‘zdan kechirdim</v>
      </c>
      <c r="B7" s="405"/>
      <c r="C7" s="405"/>
      <c r="D7" s="405"/>
      <c r="E7" s="405"/>
      <c r="F7" s="405"/>
      <c r="G7" s="405"/>
      <c r="H7" s="405"/>
    </row>
    <row r="8" spans="1:9" ht="19.5" customHeight="1" x14ac:dyDescent="0.2">
      <c r="A8" s="406" t="s">
        <v>264</v>
      </c>
      <c r="B8" s="406"/>
      <c r="C8" s="406"/>
      <c r="D8" s="406"/>
      <c r="E8" s="406"/>
      <c r="F8" s="406"/>
      <c r="G8" s="406"/>
      <c r="H8" s="406"/>
    </row>
    <row r="9" spans="1:9" s="131" customFormat="1" ht="32.25" customHeight="1" x14ac:dyDescent="0.25">
      <c r="A9" s="401" t="str">
        <f>monitoring_2!A9</f>
        <v>Nomi</v>
      </c>
      <c r="B9" s="402"/>
      <c r="C9" s="401" t="str">
        <f>monitoring_2!C9</f>
        <v>Kuzov turi  va kuzov raqami*</v>
      </c>
      <c r="D9" s="402"/>
      <c r="E9" s="401" t="str">
        <f>monitoring_2!E9</f>
        <v>Dvigatel va shassi raqami*</v>
      </c>
      <c r="F9" s="402"/>
      <c r="G9" s="401" t="str">
        <f>monitoring_2!G9</f>
        <v>Ishlab chiqarilgan yili va rangi**</v>
      </c>
      <c r="H9" s="402"/>
    </row>
    <row r="10" spans="1:9" s="129" customFormat="1" ht="58.5" customHeight="1" x14ac:dyDescent="0.2">
      <c r="A10" s="407" t="str">
        <f>monitoring_2!A10</f>
        <v>CHEVROLET COBALT</v>
      </c>
      <c r="B10" s="408"/>
      <c r="C10" s="407" t="str">
        <f>monitoring_2!C10</f>
        <v>kuzov turi - YENGIL SEDAN, kuzov raqami XWBJA69VERA108471</v>
      </c>
      <c r="D10" s="408"/>
      <c r="E10" s="407" t="str">
        <f>monitoring_2!E10</f>
        <v>dvigatel raqami B15D213241352MTAX0118, shassi raqami - RAQAMSIZ</v>
      </c>
      <c r="F10" s="408"/>
      <c r="G10" s="407" t="str">
        <f>monitoring_2!G10</f>
        <v>rangi -  OQ SUMMIT WHITE, ishlab chiqarilgan yili - 2024</v>
      </c>
      <c r="H10" s="408"/>
    </row>
    <row r="11" spans="1:9" ht="19.5" customHeight="1" x14ac:dyDescent="0.2">
      <c r="A11" s="400" t="str">
        <f>dalolatnoma!A22:E22</f>
        <v>-* avtotransport egasi: NARBAYEV QUDAYBERGEN QALBAYEVICH</v>
      </c>
      <c r="B11" s="400"/>
      <c r="C11" s="400"/>
      <c r="D11" s="400"/>
      <c r="E11" s="400"/>
      <c r="F11" s="400"/>
      <c r="G11" s="400"/>
      <c r="H11" s="400"/>
    </row>
    <row r="12" spans="1:9" ht="19.5" customHeight="1" x14ac:dyDescent="0.2">
      <c r="A12" s="400" t="str">
        <f>dalolatnoma!A23:E23</f>
        <v>-* texnik pasport: AAG       4174202      15.06.2024 yilda</v>
      </c>
      <c r="B12" s="400"/>
      <c r="C12" s="400"/>
      <c r="D12" s="400"/>
      <c r="E12" s="400"/>
      <c r="F12" s="400"/>
      <c r="G12" s="400"/>
      <c r="H12" s="400"/>
    </row>
    <row r="13" spans="1:9" ht="19.5" customHeight="1" x14ac:dyDescent="0.2">
      <c r="A13" s="400" t="str">
        <f>dalolatnoma!A24:E24</f>
        <v>-* roʻyxatdan oʻtgan manzili/garaj manzili: TOSHKENT SHAHAR BEKTEMIR TUMANI MAJNUNTOL MFY MAJNUNTOL MAXALLA SHONIGOR KO'CHASI  113 UY</v>
      </c>
      <c r="B13" s="400"/>
      <c r="C13" s="400"/>
      <c r="D13" s="400"/>
      <c r="E13" s="400"/>
      <c r="F13" s="400"/>
      <c r="G13" s="400"/>
      <c r="H13" s="400"/>
    </row>
    <row r="14" spans="1:9" ht="19.5" customHeight="1" x14ac:dyDescent="0.2">
      <c r="A14" s="400" t="str">
        <f>dalolatnoma!A25:E25</f>
        <v>-* davlat raqami: 01Z067RC</v>
      </c>
      <c r="B14" s="400"/>
      <c r="C14" s="400"/>
      <c r="D14" s="400"/>
      <c r="E14" s="400"/>
      <c r="F14" s="400"/>
      <c r="G14" s="400"/>
      <c r="H14" s="400"/>
    </row>
    <row r="15" spans="1:9" ht="33.75" customHeight="1" x14ac:dyDescent="0.2">
      <c r="A15" s="404" t="str">
        <f>+"Shu bilan birga, yuqoridagi mulkning kelishilgan garov qiymati "&amp;dalolatnoma!E30</f>
        <v>Shu bilan birga, yuqoridagi mulkning kelishilgan garov qiymati 126 000 000,00 
(yuz yigirma olti million so'm)</v>
      </c>
      <c r="B15" s="404"/>
      <c r="C15" s="404"/>
      <c r="D15" s="404"/>
      <c r="E15" s="404"/>
      <c r="F15" s="404"/>
      <c r="G15" s="404"/>
      <c r="H15" s="404"/>
    </row>
    <row r="17" spans="1:8" s="129" customFormat="1" ht="32.25" customHeight="1" x14ac:dyDescent="0.2">
      <c r="A17" s="398" t="s">
        <v>265</v>
      </c>
      <c r="B17" s="398"/>
      <c r="C17" s="398"/>
      <c r="D17" s="398"/>
      <c r="E17" s="398"/>
      <c r="F17" s="398"/>
      <c r="G17" s="398"/>
      <c r="H17" s="398"/>
    </row>
    <row r="21" spans="1:8" s="28" customFormat="1" x14ac:dyDescent="0.2"/>
    <row r="22" spans="1:8" s="28" customFormat="1" x14ac:dyDescent="0.2">
      <c r="A22" s="28" t="str">
        <f>umumiy_malumot!A161</f>
        <v>Direktor</v>
      </c>
      <c r="H22" s="132" t="str">
        <f>umumiy_malumot!B161</f>
        <v>Obidov A.Sh.</v>
      </c>
    </row>
    <row r="23" spans="1:8" s="28" customFormat="1" x14ac:dyDescent="0.2">
      <c r="H23" s="132"/>
    </row>
    <row r="24" spans="1:8" s="28" customFormat="1" x14ac:dyDescent="0.2">
      <c r="H24" s="132"/>
    </row>
    <row r="25" spans="1:8" s="28" customFormat="1" hidden="1" x14ac:dyDescent="0.2">
      <c r="H25" s="132"/>
    </row>
    <row r="26" spans="1:8" s="28" customFormat="1" hidden="1" x14ac:dyDescent="0.2">
      <c r="H26" s="132"/>
    </row>
    <row r="27" spans="1:8" s="28" customFormat="1" ht="16.5" hidden="1" customHeight="1" x14ac:dyDescent="0.2">
      <c r="A27" s="28" t="s">
        <v>266</v>
      </c>
      <c r="H27" s="28" t="str">
        <f>umumiy_malumot!B171</f>
        <v>Omanlikov  O.O.</v>
      </c>
    </row>
    <row r="28" spans="1:8" s="28" customFormat="1" ht="16.5" hidden="1" customHeight="1" x14ac:dyDescent="0.2"/>
    <row r="29" spans="1:8" s="28" customFormat="1" ht="16.5" hidden="1" customHeight="1" x14ac:dyDescent="0.2"/>
    <row r="30" spans="1:8" s="28" customFormat="1" x14ac:dyDescent="0.2"/>
    <row r="31" spans="1:8" s="28" customFormat="1" x14ac:dyDescent="0.2">
      <c r="A31" s="28" t="s">
        <v>267</v>
      </c>
      <c r="H31" s="132" t="str">
        <f>umumiy_malumot!B7</f>
        <v>NARBAYEV Q. Q.</v>
      </c>
    </row>
    <row r="32" spans="1:8" s="28" customFormat="1" x14ac:dyDescent="0.2"/>
    <row r="33" s="28" customFormat="1" x14ac:dyDescent="0.2"/>
    <row r="34" s="28" customFormat="1" x14ac:dyDescent="0.2"/>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Лист28">
    <tabColor rgb="FF00B050"/>
  </sheetPr>
  <dimension ref="A1:I34"/>
  <sheetViews>
    <sheetView view="pageBreakPreview" zoomScaleNormal="100" zoomScaleSheetLayoutView="100" workbookViewId="0">
      <selection activeCell="C36" sqref="C36"/>
    </sheetView>
  </sheetViews>
  <sheetFormatPr defaultColWidth="9.140625" defaultRowHeight="12.75" x14ac:dyDescent="0.2"/>
  <cols>
    <col min="1" max="2" width="11" style="21" customWidth="1"/>
    <col min="3" max="4" width="14.42578125" style="21" customWidth="1"/>
    <col min="5" max="6" width="13.5703125" style="21" customWidth="1"/>
    <col min="7" max="7" width="9.140625" style="21"/>
    <col min="8" max="8" width="19" style="21" bestFit="1" customWidth="1"/>
    <col min="9" max="16384" width="9.140625" style="21"/>
  </cols>
  <sheetData>
    <row r="1" spans="1:9" x14ac:dyDescent="0.2">
      <c r="A1" s="28"/>
      <c r="B1" s="28"/>
      <c r="C1" s="28"/>
      <c r="D1" s="28"/>
      <c r="E1" s="28"/>
      <c r="F1" s="28"/>
      <c r="G1" s="28"/>
      <c r="H1" s="28"/>
      <c r="I1" s="28"/>
    </row>
    <row r="2" spans="1:9" x14ac:dyDescent="0.2">
      <c r="A2" s="403" t="str">
        <f>""&amp;" "&amp;umumiy_malumot!B74&amp;"-sonli "&amp;" "&amp;umumiy_malumot!C64&amp;" shartnomasi bo‘yicha
 garovga qo‘yilgan mol-mulkni tekshirish bo’yicha "&amp;umumiy_malumot!B5&amp;" bilan tuzilgan dalolatnomasi"</f>
        <v xml:space="preserve"> 2 fevral 2026 y.dan № 53-sonli  Mikroqarz shartnomasi bo‘yicha
 garovga qo‘yilgan mol-mulkni tekshirish bo’yicha NARBAYEV QUDAYBERGEN QALBAYEVICH bilan tuzilgan dalolatnomasi</v>
      </c>
      <c r="B2" s="403"/>
      <c r="C2" s="403"/>
      <c r="D2" s="403"/>
      <c r="E2" s="403"/>
      <c r="F2" s="403"/>
      <c r="G2" s="403"/>
      <c r="H2" s="403"/>
      <c r="I2" s="28"/>
    </row>
    <row r="3" spans="1:9" x14ac:dyDescent="0.2">
      <c r="A3" s="403"/>
      <c r="B3" s="403"/>
      <c r="C3" s="403"/>
      <c r="D3" s="403"/>
      <c r="E3" s="403"/>
      <c r="F3" s="403"/>
      <c r="G3" s="403"/>
      <c r="H3" s="403"/>
      <c r="I3" s="28"/>
    </row>
    <row r="5" spans="1:9" x14ac:dyDescent="0.2">
      <c r="A5" s="21" t="s">
        <v>195</v>
      </c>
      <c r="H5" s="130" t="str">
        <f>TEXT(+umumiy_malumot!B2+720,"ДД.ММ.ГГГГ")</f>
        <v>23.01.2028</v>
      </c>
    </row>
    <row r="7" spans="1:9" ht="45" customHeight="1" x14ac:dyDescent="0.2">
      <c r="A7" s="405" t="str">
        <f>"      Men, "&amp;umumiy_malumot!B158&amp;" "&amp;umumiy_malumot!A161&amp;"i "&amp;umumiy_malumot!B161&amp;", jismoniy shaxs "&amp;" "&amp;umumiy_malumot!B5&amp;" "&amp;" "&amp;umumiy_malumot!B74&amp;"-sonli "&amp;umumiy_malumot!C64&amp;" shartnomasi bo‘yicha garovga qo‘yilgan mol-mulkni ko‘zdan kechirdim"</f>
        <v xml:space="preserve">      Men, «PULLOL BUSINESS MIKROMOLIYA TASHKILOTI»  MChJ Direktori Obidov A.Sh., jismoniy shaxs  NARBAYEV QUDAYBERGEN QALBAYEVICH  2 fevral 2026 y.dan № 53-sonli Mikroqarz shartnomasi bo‘yicha garovga qo‘yilgan mol-mulkni ko‘zdan kechirdim</v>
      </c>
      <c r="B7" s="405"/>
      <c r="C7" s="405"/>
      <c r="D7" s="405"/>
      <c r="E7" s="405"/>
      <c r="F7" s="405"/>
      <c r="G7" s="405"/>
      <c r="H7" s="405"/>
    </row>
    <row r="8" spans="1:9" ht="19.5" customHeight="1" x14ac:dyDescent="0.2">
      <c r="A8" s="406" t="s">
        <v>264</v>
      </c>
      <c r="B8" s="406"/>
      <c r="C8" s="406"/>
      <c r="D8" s="406"/>
      <c r="E8" s="406"/>
      <c r="F8" s="406"/>
      <c r="G8" s="406"/>
      <c r="H8" s="406"/>
    </row>
    <row r="9" spans="1:9" s="131" customFormat="1" ht="32.25" customHeight="1" x14ac:dyDescent="0.25">
      <c r="A9" s="401" t="str">
        <f>monitoring_2!A9</f>
        <v>Nomi</v>
      </c>
      <c r="B9" s="402"/>
      <c r="C9" s="401" t="str">
        <f>monitoring_2!C9</f>
        <v>Kuzov turi  va kuzov raqami*</v>
      </c>
      <c r="D9" s="402"/>
      <c r="E9" s="401" t="str">
        <f>monitoring_2!E9</f>
        <v>Dvigatel va shassi raqami*</v>
      </c>
      <c r="F9" s="402"/>
      <c r="G9" s="401" t="str">
        <f>monitoring_2!G9</f>
        <v>Ishlab chiqarilgan yili va rangi**</v>
      </c>
      <c r="H9" s="402"/>
    </row>
    <row r="10" spans="1:9" s="129" customFormat="1" ht="58.5" customHeight="1" x14ac:dyDescent="0.2">
      <c r="A10" s="399" t="str">
        <f>monitoring_2!A10</f>
        <v>CHEVROLET COBALT</v>
      </c>
      <c r="B10" s="399"/>
      <c r="C10" s="399" t="str">
        <f>monitoring_2!C10</f>
        <v>kuzov turi - YENGIL SEDAN, kuzov raqami XWBJA69VERA108471</v>
      </c>
      <c r="D10" s="399"/>
      <c r="E10" s="399" t="str">
        <f>monitoring_2!E10</f>
        <v>dvigatel raqami B15D213241352MTAX0118, shassi raqami - RAQAMSIZ</v>
      </c>
      <c r="F10" s="399"/>
      <c r="G10" s="399" t="str">
        <f>monitoring_2!G10</f>
        <v>rangi -  OQ SUMMIT WHITE, ishlab chiqarilgan yili - 2024</v>
      </c>
      <c r="H10" s="399"/>
    </row>
    <row r="11" spans="1:9" ht="19.5" customHeight="1" x14ac:dyDescent="0.2">
      <c r="A11" s="400" t="str">
        <f>dalolatnoma!A22:E22</f>
        <v>-* avtotransport egasi: NARBAYEV QUDAYBERGEN QALBAYEVICH</v>
      </c>
      <c r="B11" s="400"/>
      <c r="C11" s="400"/>
      <c r="D11" s="400"/>
      <c r="E11" s="400"/>
      <c r="F11" s="400"/>
      <c r="G11" s="400"/>
      <c r="H11" s="400"/>
    </row>
    <row r="12" spans="1:9" ht="19.5" customHeight="1" x14ac:dyDescent="0.2">
      <c r="A12" s="400" t="str">
        <f>dalolatnoma!A23:E23</f>
        <v>-* texnik pasport: AAG       4174202      15.06.2024 yilda</v>
      </c>
      <c r="B12" s="400"/>
      <c r="C12" s="400"/>
      <c r="D12" s="400"/>
      <c r="E12" s="400"/>
      <c r="F12" s="400"/>
      <c r="G12" s="400"/>
      <c r="H12" s="400"/>
    </row>
    <row r="13" spans="1:9" ht="19.5" customHeight="1" x14ac:dyDescent="0.2">
      <c r="A13" s="400" t="str">
        <f>dalolatnoma!A24:E24</f>
        <v>-* roʻyxatdan oʻtgan manzili/garaj manzili: TOSHKENT SHAHAR BEKTEMIR TUMANI MAJNUNTOL MFY MAJNUNTOL MAXALLA SHONIGOR KO'CHASI  113 UY</v>
      </c>
      <c r="B13" s="400"/>
      <c r="C13" s="400"/>
      <c r="D13" s="400"/>
      <c r="E13" s="400"/>
      <c r="F13" s="400"/>
      <c r="G13" s="400"/>
      <c r="H13" s="400"/>
    </row>
    <row r="14" spans="1:9" ht="19.5" customHeight="1" x14ac:dyDescent="0.2">
      <c r="A14" s="400" t="str">
        <f>dalolatnoma!A25:E25</f>
        <v>-* davlat raqami: 01Z067RC</v>
      </c>
      <c r="B14" s="400"/>
      <c r="C14" s="400"/>
      <c r="D14" s="400"/>
      <c r="E14" s="400"/>
      <c r="F14" s="400"/>
      <c r="G14" s="400"/>
      <c r="H14" s="400"/>
    </row>
    <row r="15" spans="1:9" ht="33.75" customHeight="1" x14ac:dyDescent="0.2">
      <c r="A15" s="404" t="str">
        <f>+"Shu bilan birga, yuqoridagi mulkning kelishilgan garov qiymati "&amp;dalolatnoma!E30</f>
        <v>Shu bilan birga, yuqoridagi mulkning kelishilgan garov qiymati 126 000 000,00 
(yuz yigirma olti million so'm)</v>
      </c>
      <c r="B15" s="404"/>
      <c r="C15" s="404"/>
      <c r="D15" s="404"/>
      <c r="E15" s="404"/>
      <c r="F15" s="404"/>
      <c r="G15" s="404"/>
      <c r="H15" s="404"/>
    </row>
    <row r="17" spans="1:8" ht="28.5" customHeight="1" x14ac:dyDescent="0.2">
      <c r="A17" s="398" t="s">
        <v>265</v>
      </c>
      <c r="B17" s="398"/>
      <c r="C17" s="398"/>
      <c r="D17" s="398"/>
      <c r="E17" s="398"/>
      <c r="F17" s="398"/>
      <c r="G17" s="398"/>
      <c r="H17" s="398"/>
    </row>
    <row r="21" spans="1:8" s="28" customFormat="1" x14ac:dyDescent="0.2"/>
    <row r="22" spans="1:8" s="28" customFormat="1" x14ac:dyDescent="0.2">
      <c r="A22" s="28" t="str">
        <f>umumiy_malumot!A161</f>
        <v>Direktor</v>
      </c>
      <c r="H22" s="132" t="str">
        <f>umumiy_malumot!B161</f>
        <v>Obidov A.Sh.</v>
      </c>
    </row>
    <row r="23" spans="1:8" s="28" customFormat="1" x14ac:dyDescent="0.2">
      <c r="H23" s="132"/>
    </row>
    <row r="24" spans="1:8" s="28" customFormat="1" ht="13.5" hidden="1" customHeight="1" x14ac:dyDescent="0.2">
      <c r="H24" s="132"/>
    </row>
    <row r="25" spans="1:8" s="28" customFormat="1" hidden="1" x14ac:dyDescent="0.2">
      <c r="H25" s="132"/>
    </row>
    <row r="26" spans="1:8" s="28" customFormat="1" hidden="1" x14ac:dyDescent="0.2">
      <c r="H26" s="132"/>
    </row>
    <row r="27" spans="1:8" s="28" customFormat="1" ht="16.5" hidden="1" customHeight="1" x14ac:dyDescent="0.2">
      <c r="A27" s="28" t="s">
        <v>266</v>
      </c>
      <c r="H27" s="28" t="str">
        <f>umumiy_malumot!B171</f>
        <v>Omanlikov  O.O.</v>
      </c>
    </row>
    <row r="28" spans="1:8" s="28" customFormat="1" hidden="1" x14ac:dyDescent="0.2"/>
    <row r="29" spans="1:8" s="28" customFormat="1" x14ac:dyDescent="0.2"/>
    <row r="30" spans="1:8" s="28" customFormat="1" x14ac:dyDescent="0.2"/>
    <row r="31" spans="1:8" s="28" customFormat="1" x14ac:dyDescent="0.2">
      <c r="A31" s="28" t="s">
        <v>267</v>
      </c>
      <c r="H31" s="132" t="str">
        <f>umumiy_malumot!B7</f>
        <v>NARBAYEV Q. Q.</v>
      </c>
    </row>
    <row r="32" spans="1:8" s="28" customFormat="1" x14ac:dyDescent="0.2"/>
    <row r="33" s="28" customFormat="1" x14ac:dyDescent="0.2"/>
    <row r="34" s="28" customFormat="1" x14ac:dyDescent="0.2"/>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A1:D29"/>
  <sheetViews>
    <sheetView view="pageBreakPreview" topLeftCell="A4" zoomScaleNormal="100" zoomScaleSheetLayoutView="100" workbookViewId="0">
      <selection activeCell="A14" sqref="A14:D14"/>
    </sheetView>
  </sheetViews>
  <sheetFormatPr defaultColWidth="16.85546875" defaultRowHeight="15" x14ac:dyDescent="0.25"/>
  <cols>
    <col min="1" max="1" width="16" style="13" customWidth="1"/>
    <col min="2" max="2" width="21.140625" style="13" customWidth="1"/>
    <col min="3" max="3" width="23.85546875" style="13" customWidth="1"/>
    <col min="4" max="4" width="26" style="13" customWidth="1"/>
    <col min="5" max="16384" width="16.85546875" style="13"/>
  </cols>
  <sheetData>
    <row r="1" spans="1:4" x14ac:dyDescent="0.25">
      <c r="B1" s="229" t="s">
        <v>387</v>
      </c>
    </row>
    <row r="2" spans="1:4" x14ac:dyDescent="0.25">
      <c r="B2" s="230" t="s">
        <v>388</v>
      </c>
      <c r="C2" s="226"/>
      <c r="D2" s="226"/>
    </row>
    <row r="3" spans="1:4" x14ac:dyDescent="0.25">
      <c r="B3" s="230" t="s">
        <v>389</v>
      </c>
      <c r="C3" s="226"/>
      <c r="D3" s="226"/>
    </row>
    <row r="4" spans="1:4" x14ac:dyDescent="0.25">
      <c r="B4" s="230" t="s">
        <v>390</v>
      </c>
      <c r="C4" s="226"/>
      <c r="D4" s="226"/>
    </row>
    <row r="6" spans="1:4" x14ac:dyDescent="0.25">
      <c r="A6" s="32" t="str">
        <f>[3]malumot!B109</f>
        <v>05.04.2025 yildagi</v>
      </c>
      <c r="D6" s="34" t="s">
        <v>391</v>
      </c>
    </row>
    <row r="7" spans="1:4" x14ac:dyDescent="0.25">
      <c r="A7" s="13" t="str">
        <f>[3]malumot!B110</f>
        <v>№ 02/04-001</v>
      </c>
      <c r="D7" s="34" t="s">
        <v>392</v>
      </c>
    </row>
    <row r="9" spans="1:4" x14ac:dyDescent="0.25">
      <c r="A9" s="269" t="str">
        <f>"      “CLEVER mikromoliya tashkiloti” MCHJ va " &amp; [3]malumot!B5 &amp; " (pasport: " &amp;[3]malumot!B16 &amp; ", " &amp;[3]malumot!B20 &amp;")" &amp; " o‘rtasida " &amp;[3]malumot!B2 &amp; " yildagi " &amp;[3]malumot!B1 &amp; "-sonli" &amp; [3]notarius!B78 &amp; ", "&amp; [3]malumot!B75 &amp; " (" &amp;[3]malumot!B76 &amp;")" &amp; "miqdorida mikroqarz shartnomasi imzolangan. Mikroqarz shartnomasi bo‘yicha majburiyatlarni o‘z vaqtida bajarish uchun Qarz oluvchi quyidagi mulkni taqdim etdi, xususan:"</f>
        <v xml:space="preserve">      “CLEVER mikromoliya tashkiloti” MCHJ va XAYATOV OTABEK KURBANOVICH (pasport: AB 7858443, BUXORO VILOYATI KOGON TUMAN IIB tomonidan 06.10.2017 yilda berilgan) o‘rtasida 01.04.2025 yildagi № 687-BR-sonli, 26000000 (yigirma olti million so'm)miqdorida mikroqarz shartnomasi imzolangan. Mikroqarz shartnomasi bo‘yicha majburiyatlarni o‘z vaqtida bajarish uchun Qarz oluvchi quyidagi mulkni taqdim etdi, xususan:</v>
      </c>
      <c r="B9" s="269"/>
      <c r="C9" s="269"/>
      <c r="D9" s="269"/>
    </row>
    <row r="11" spans="1:4" ht="28.5" x14ac:dyDescent="0.25">
      <c r="A11" s="36" t="s">
        <v>198</v>
      </c>
      <c r="B11" s="36" t="str">
        <f>IF([3]malumot!B111=[3]malumot!C111,"Kuzov turi  va kuzov raqami*","Foydali maydoni")</f>
        <v>Kuzov turi  va kuzov raqami*</v>
      </c>
      <c r="C11" s="36" t="str">
        <f>IF([3]malumot!B111=[3]malumot!C111,"Dvigatel va shassi raqami*","Yashash maydoni")</f>
        <v>Dvigatel va shassi raqami*</v>
      </c>
      <c r="D11" s="36" t="str">
        <f>IF([3]malumot!B111=[3]malumot!C111,"Ishlab chiqarilgan yili va rangi**","Umumiy maydoni")</f>
        <v>Ishlab chiqarilgan yili va rangi**</v>
      </c>
    </row>
    <row r="12" spans="1:4" ht="60" x14ac:dyDescent="0.25">
      <c r="A12" s="15" t="str">
        <f>IF([3]malumot!B111=[3]malumot!C111,[3]malumot!B133,[3]malumot!C133)</f>
        <v>SPARK</v>
      </c>
      <c r="B12" s="15" t="str">
        <f>IF([3]malumot!B111=[3]malumot!C111,[3]malumot!B135,CONCATENATE([3]malumot!F138," ","kv.m"))</f>
        <v>kuzov turi - YENGIL SEDAN, kuzov raqami XWBMF481EBA580791</v>
      </c>
      <c r="C12" s="15" t="str">
        <f>IF([3]malumot!B111=[3]malumot!C111,[3]malumot!B138,[3]malumot!E141)</f>
        <v>dvigatel raqami B10D1606437KC3, shassi raqami - RAKAMSIZ</v>
      </c>
      <c r="D12" s="15" t="str">
        <f>IF([3]malumot!B111=[3]malumot!C111,[3]malumot!B141,[3]malumot!E138)</f>
        <v>rangi -  OQ BELAYA "KASABLANKA", ishlab chiqarilgan yili - 2011</v>
      </c>
    </row>
    <row r="13" spans="1:4" x14ac:dyDescent="0.25">
      <c r="A13" s="409" t="str">
        <f>"-* "&amp;IF([3]malumot!B111=[3]malumot!C111,"avtotransport "&amp;"egasi: "&amp;[3]malumot!B125&amp;"","ko'chmas mulk"&amp;" egasi: "&amp;[3]malumot!B125&amp;"")</f>
        <v>-* avtotransport egasi: FAYZIYEV JAMSHID KURBONOVICH</v>
      </c>
      <c r="B13" s="409"/>
      <c r="C13" s="409"/>
      <c r="D13" s="409"/>
    </row>
    <row r="14" spans="1:4" x14ac:dyDescent="0.25">
      <c r="A14" s="410" t="str">
        <f>IF([3]malumot!B111=[3]malumot!C111,"-* texnik pasport: "&amp;[3]malumot!B132&amp;"","-* reest raqami: "&amp;[3]malumot!C132&amp;"")</f>
        <v>-* texnik pasport: AAG   4517617  20.08.2024y</v>
      </c>
      <c r="B14" s="410"/>
      <c r="C14" s="410"/>
      <c r="D14" s="410"/>
    </row>
    <row r="15" spans="1:4" x14ac:dyDescent="0.25">
      <c r="A15" s="410" t="str">
        <f>IF([3]malumot!B111=[3]malumot!C111,"-* davlat raqami: "&amp;[3]malumot!B134&amp;"","-* manzili: "&amp;[3]malumot!C131&amp;"")</f>
        <v>-* davlat raqami: 80Y320AB</v>
      </c>
      <c r="B15" s="410"/>
      <c r="C15" s="410"/>
      <c r="D15" s="410"/>
    </row>
    <row r="16" spans="1:4" x14ac:dyDescent="0.25">
      <c r="A16" s="151" t="str">
        <f>"-* garov shartnomasi bo'yicha (reestr № " &amp;[3]malumot!B106&amp; " , " &amp;[3]malumot!B107&amp; " yil)"</f>
        <v>-* garov shartnomasi bo'yicha (reestr № 202502386001856 , 01.04.2025 yil)</v>
      </c>
      <c r="B16" s="39"/>
      <c r="C16" s="39"/>
      <c r="D16" s="39"/>
    </row>
    <row r="17" spans="1:4" x14ac:dyDescent="0.25">
      <c r="A17" s="39"/>
      <c r="B17" s="39"/>
      <c r="C17" s="39"/>
      <c r="D17" s="39"/>
    </row>
    <row r="18" spans="1:4" x14ac:dyDescent="0.25">
      <c r="A18" s="269" t="s">
        <v>393</v>
      </c>
      <c r="B18" s="269"/>
      <c r="C18" s="269"/>
      <c r="D18" s="269"/>
    </row>
    <row r="20" spans="1:4" x14ac:dyDescent="0.25">
      <c r="C20" s="227"/>
    </row>
    <row r="21" spans="1:4" x14ac:dyDescent="0.25">
      <c r="A21" s="228" t="s">
        <v>394</v>
      </c>
    </row>
    <row r="22" spans="1:4" x14ac:dyDescent="0.25">
      <c r="A22" s="228" t="s">
        <v>395</v>
      </c>
      <c r="D22" s="37" t="s">
        <v>380</v>
      </c>
    </row>
    <row r="26" spans="1:4" x14ac:dyDescent="0.25">
      <c r="A26" s="13" t="s">
        <v>396</v>
      </c>
    </row>
    <row r="27" spans="1:4" ht="16.5" customHeight="1" x14ac:dyDescent="0.25">
      <c r="A27" s="13" t="s">
        <v>397</v>
      </c>
    </row>
    <row r="29" spans="1:4" ht="48" customHeight="1" x14ac:dyDescent="0.25">
      <c r="A29" s="269" t="s">
        <v>398</v>
      </c>
      <c r="B29" s="269"/>
      <c r="C29" s="269"/>
      <c r="D29" s="269"/>
    </row>
  </sheetData>
  <mergeCells count="6">
    <mergeCell ref="A29:D29"/>
    <mergeCell ref="A9:D9"/>
    <mergeCell ref="A13:D13"/>
    <mergeCell ref="A14:D14"/>
    <mergeCell ref="A15:D15"/>
    <mergeCell ref="A18:D18"/>
  </mergeCells>
  <printOptions horizontalCentered="1"/>
  <pageMargins left="0.70866141732283472" right="0.70866141732283472" top="0.74803149606299213" bottom="0.74803149606299213" header="0.31496062992125984" footer="0.31496062992125984"/>
  <pageSetup paperSize="9" scale="8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24</vt:i4>
      </vt:variant>
      <vt:variant>
        <vt:lpstr>Именованные диапазоны</vt:lpstr>
      </vt:variant>
      <vt:variant>
        <vt:i4>18</vt:i4>
      </vt:variant>
    </vt:vector>
  </HeadingPairs>
  <TitlesOfParts>
    <vt:vector size="42" baseType="lpstr">
      <vt:lpstr>protokol</vt:lpstr>
      <vt:lpstr>umumiy_malumot</vt:lpstr>
      <vt:lpstr>mijoz_anketasi</vt:lpstr>
      <vt:lpstr>anketa</vt:lpstr>
      <vt:lpstr>kredit_ariza</vt:lpstr>
      <vt:lpstr>majburiyatnoma</vt:lpstr>
      <vt:lpstr>xulosa</vt:lpstr>
      <vt:lpstr>shartnoma</vt:lpstr>
      <vt:lpstr>grafik</vt:lpstr>
      <vt:lpstr>garov_ariza</vt:lpstr>
      <vt:lpstr>dalolatnoma</vt:lpstr>
      <vt:lpstr>buyruq</vt:lpstr>
      <vt:lpstr>График дифференц</vt:lpstr>
      <vt:lpstr>Данные для послед. Залога</vt:lpstr>
      <vt:lpstr>График аннуитет.</vt:lpstr>
      <vt:lpstr>muqova</vt:lpstr>
      <vt:lpstr>mijoz_ariza</vt:lpstr>
      <vt:lpstr>ariza_hr</vt:lpstr>
      <vt:lpstr>Письмо</vt:lpstr>
      <vt:lpstr>monitoring_1</vt:lpstr>
      <vt:lpstr>monitoring_2</vt:lpstr>
      <vt:lpstr>monitoring_3</vt:lpstr>
      <vt:lpstr>monitoring_4</vt:lpstr>
      <vt:lpstr>notarius</vt:lpstr>
      <vt:lpstr>ariza_hr!Область_печати</vt:lpstr>
      <vt:lpstr>buyruq!Область_печати</vt:lpstr>
      <vt:lpstr>dalolatnoma!Область_печати</vt:lpstr>
      <vt:lpstr>garov_ariza!Область_печати</vt:lpstr>
      <vt:lpstr>grafik!Область_печати</vt:lpstr>
      <vt:lpstr>kredit_ariza!Область_печати</vt:lpstr>
      <vt:lpstr>mijoz_anketasi!Область_печати</vt:lpstr>
      <vt:lpstr>mijoz_ariza!Область_печати</vt:lpstr>
      <vt:lpstr>monitoring_1!Область_печати</vt:lpstr>
      <vt:lpstr>monitoring_2!Область_печати</vt:lpstr>
      <vt:lpstr>monitoring_3!Область_печати</vt:lpstr>
      <vt:lpstr>monitoring_4!Область_печати</vt:lpstr>
      <vt:lpstr>muqova!Область_печати</vt:lpstr>
      <vt:lpstr>notarius!Область_печати</vt:lpstr>
      <vt:lpstr>protokol!Область_печати</vt:lpstr>
      <vt:lpstr>shartnoma!Область_печати</vt:lpstr>
      <vt:lpstr>xulosa!Область_печати</vt:lpstr>
      <vt:lpstr>'График аннуитет.'!Область_печати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r.saipova</dc:creator>
  <cp:lastModifiedBy>Taylakov Ulug'bek Norbekovich</cp:lastModifiedBy>
  <cp:lastPrinted>2026-01-29T11:16:09Z</cp:lastPrinted>
  <dcterms:created xsi:type="dcterms:W3CDTF">2015-06-05T18:19:34Z</dcterms:created>
  <dcterms:modified xsi:type="dcterms:W3CDTF">2026-02-17T12:57:50Z</dcterms:modified>
</cp:coreProperties>
</file>