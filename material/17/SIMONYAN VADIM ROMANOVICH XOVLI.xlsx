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ЭтаКнига"/>
  <mc:AlternateContent xmlns:mc="http://schemas.openxmlformats.org/markup-compatibility/2006">
    <mc:Choice Requires="x15">
      <x15ac:absPath xmlns:x15ac="http://schemas.microsoft.com/office/spreadsheetml/2010/11/ac" url="G:\Мой диск\StartUP\EPL\Excel\17.02.2026\"/>
    </mc:Choice>
  </mc:AlternateContent>
  <xr:revisionPtr revIDLastSave="0" documentId="13_ncr:1_{8A47B088-551B-45DC-8840-FB7150345731}" xr6:coauthVersionLast="47" xr6:coauthVersionMax="47" xr10:uidLastSave="{00000000-0000-0000-0000-000000000000}"/>
  <bookViews>
    <workbookView xWindow="14295" yWindow="0" windowWidth="14610" windowHeight="15585" tabRatio="915" firstSheet="14" activeTab="20" xr2:uid="{00000000-000D-0000-FFFF-FFFF00000000}"/>
  </bookViews>
  <sheets>
    <sheet name="protokol" sheetId="23" r:id="rId1"/>
    <sheet name="График дифференц" sheetId="15" state="hidden" r:id="rId2"/>
    <sheet name="Данные для послед. Залога" sheetId="21" state="hidden" r:id="rId3"/>
    <sheet name="umumiy_malumot" sheetId="1" r:id="rId4"/>
    <sheet name="График аннуитет." sheetId="12" state="hidden" r:id="rId5"/>
    <sheet name="mijoz_anketasi" sheetId="4" r:id="rId6"/>
    <sheet name="anketa" sheetId="22" r:id="rId7"/>
    <sheet name="kredit_ariza" sheetId="2" r:id="rId8"/>
    <sheet name="majburiyatnoma" sheetId="24" r:id="rId9"/>
    <sheet name="xulosa" sheetId="3" r:id="rId10"/>
    <sheet name="shartnoma" sheetId="19" r:id="rId11"/>
    <sheet name="grafik" sheetId="16" r:id="rId12"/>
    <sheet name="garov_ariza" sheetId="13" r:id="rId13"/>
    <sheet name="dalolatnoma" sheetId="7" r:id="rId14"/>
    <sheet name="buyruq" sheetId="8" r:id="rId15"/>
    <sheet name="muqova" sheetId="9" r:id="rId16"/>
    <sheet name="Письмо" sheetId="20" state="hidden" r:id="rId17"/>
    <sheet name="monitoring_1" sheetId="26" r:id="rId18"/>
    <sheet name="monitoring_2" sheetId="27" r:id="rId19"/>
    <sheet name="monitoring_3" sheetId="28" r:id="rId20"/>
    <sheet name="monitoring_4" sheetId="29" r:id="rId21"/>
  </sheets>
  <externalReferences>
    <externalReference r:id="rId22"/>
  </externalReferences>
  <definedNames>
    <definedName name="mos">'[1]Общие данные'!$C$23:$D$23</definedName>
    <definedName name="mulk">'[1]Общие данные'!$C$24:$W$24</definedName>
    <definedName name="_xlnm.Print_Area" localSheetId="14">buyruq!$A$1:$F$51</definedName>
    <definedName name="_xlnm.Print_Area" localSheetId="13">dalolatnoma!$A$1:$F$79</definedName>
    <definedName name="_xlnm.Print_Area" localSheetId="12">garov_ariza!$A$3:$B$20</definedName>
    <definedName name="_xlnm.Print_Area" localSheetId="11">grafik!$A$1:$F$74</definedName>
    <definedName name="_xlnm.Print_Area" localSheetId="7">kredit_ariza!$A$1:$D$40</definedName>
    <definedName name="_xlnm.Print_Area" localSheetId="5">mijoz_anketasi!$A$1:$F$36</definedName>
    <definedName name="_xlnm.Print_Area" localSheetId="18">monitoring_2!$A$1:$H$26</definedName>
    <definedName name="_xlnm.Print_Area" localSheetId="19">monitoring_3!$A$1:$H$26</definedName>
    <definedName name="_xlnm.Print_Area" localSheetId="20">monitoring_4!$A$1:$H$26</definedName>
    <definedName name="_xlnm.Print_Area" localSheetId="15">muqova!$A$1:$G$42</definedName>
    <definedName name="_xlnm.Print_Area" localSheetId="0">protokol!$A$1:$F$57</definedName>
    <definedName name="_xlnm.Print_Area" localSheetId="10">shartnoma!$A$1:$B$129</definedName>
    <definedName name="_xlnm.Print_Area" localSheetId="4">'График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6" i="1" l="1"/>
  <c r="A77" i="3"/>
  <c r="F69" i="3"/>
  <c r="A56" i="23"/>
  <c r="A15" i="19"/>
  <c r="A7" i="23"/>
  <c r="C86" i="1"/>
  <c r="B86" i="1"/>
  <c r="A82" i="1"/>
  <c r="B82" i="1"/>
  <c r="H125" i="1" l="1"/>
  <c r="D126" i="1"/>
  <c r="A5" i="19"/>
  <c r="H10" i="28" l="1"/>
  <c r="F10" i="28"/>
  <c r="D10" i="28"/>
  <c r="C10" i="28"/>
  <c r="A10" i="28"/>
  <c r="H10" i="27"/>
  <c r="F10" i="27"/>
  <c r="D10" i="27"/>
  <c r="C10" i="27"/>
  <c r="A10" i="27"/>
  <c r="C10" i="26"/>
  <c r="B129" i="19"/>
  <c r="B124" i="19"/>
  <c r="D69" i="16" s="1"/>
  <c r="E77" i="7" l="1"/>
  <c r="C123" i="1" l="1"/>
  <c r="D47" i="7"/>
  <c r="E47" i="7"/>
  <c r="B31" i="3"/>
  <c r="C47" i="7"/>
  <c r="B47" i="7"/>
  <c r="B27" i="23" s="1"/>
  <c r="B21" i="7"/>
  <c r="B48" i="7" s="1"/>
  <c r="D21" i="7"/>
  <c r="C48" i="7" s="1"/>
  <c r="A123" i="19"/>
  <c r="A20" i="4"/>
  <c r="B19" i="8" l="1"/>
  <c r="B28" i="23"/>
  <c r="B18" i="8"/>
  <c r="B65" i="1"/>
  <c r="C126" i="1" l="1"/>
  <c r="D10" i="26" l="1"/>
  <c r="C31" i="3"/>
  <c r="I126" i="1" l="1"/>
  <c r="D31" i="3"/>
  <c r="A59" i="16" l="1"/>
  <c r="A23" i="19" l="1"/>
  <c r="B26" i="9"/>
  <c r="B25" i="9"/>
  <c r="A26" i="3"/>
  <c r="A14" i="19"/>
  <c r="A13" i="19"/>
  <c r="A14" i="2"/>
  <c r="A15" i="2"/>
  <c r="A21" i="2"/>
  <c r="A14" i="23"/>
  <c r="A22" i="23"/>
  <c r="A23" i="23"/>
  <c r="A24" i="23"/>
  <c r="A55" i="23"/>
  <c r="B136" i="1"/>
  <c r="H10" i="26" l="1"/>
  <c r="F21" i="7"/>
  <c r="A22" i="8" l="1"/>
  <c r="A21" i="8"/>
  <c r="A40" i="7"/>
  <c r="E80" i="7"/>
  <c r="B8" i="13"/>
  <c r="A19" i="13"/>
  <c r="B19" i="1" l="1"/>
  <c r="A33" i="16" l="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E31" i="3"/>
  <c r="F38" i="7" l="1"/>
  <c r="E38" i="7"/>
  <c r="D38" i="7"/>
  <c r="E49" i="3"/>
  <c r="D49" i="3"/>
  <c r="C49" i="3"/>
  <c r="A9" i="24" l="1"/>
  <c r="G10" i="29" l="1"/>
  <c r="F10" i="26"/>
  <c r="E10" i="29" s="1"/>
  <c r="C10" i="29"/>
  <c r="A10" i="26"/>
  <c r="A10" i="29" s="1"/>
  <c r="A31" i="3" l="1"/>
  <c r="E21" i="7"/>
  <c r="A21" i="7"/>
  <c r="C116" i="1"/>
  <c r="B116" i="1"/>
  <c r="C114" i="1"/>
  <c r="B114" i="1"/>
  <c r="C113" i="1"/>
  <c r="B113" i="1"/>
  <c r="C112" i="1"/>
  <c r="B112" i="1"/>
  <c r="C111" i="1"/>
  <c r="C117" i="1" s="1"/>
  <c r="B111" i="1"/>
  <c r="A24" i="2" l="1"/>
  <c r="A25" i="2"/>
  <c r="A23" i="8"/>
  <c r="A42" i="7"/>
  <c r="A39" i="7"/>
  <c r="A20" i="8"/>
  <c r="E70" i="7"/>
  <c r="A75" i="3" l="1"/>
  <c r="B33" i="1"/>
  <c r="B40" i="1" s="1"/>
  <c r="A22" i="26" l="1"/>
  <c r="I24" i="26"/>
  <c r="E48" i="8"/>
  <c r="B7" i="13"/>
  <c r="B126" i="19"/>
  <c r="A69" i="3"/>
  <c r="A73" i="3"/>
  <c r="A71" i="3"/>
  <c r="A66" i="3"/>
  <c r="A55" i="3"/>
  <c r="A1" i="3"/>
  <c r="C1" i="2"/>
  <c r="E17" i="23"/>
  <c r="F17" i="23" s="1"/>
  <c r="A1" i="23"/>
  <c r="A54" i="23"/>
  <c r="D70" i="16"/>
  <c r="A110" i="1" l="1"/>
  <c r="A109" i="1"/>
  <c r="A108" i="1"/>
  <c r="A107" i="1"/>
  <c r="I9" i="23"/>
  <c r="A69" i="16"/>
  <c r="A18" i="23" l="1"/>
  <c r="B49" i="1"/>
  <c r="B59" i="1" s="1"/>
  <c r="A16" i="4" l="1"/>
  <c r="A17" i="4"/>
  <c r="A7" i="24"/>
  <c r="B27" i="1"/>
  <c r="B34" i="1"/>
  <c r="B45" i="1" l="1"/>
  <c r="B58" i="1"/>
  <c r="A70" i="7" l="1"/>
  <c r="A69" i="7"/>
  <c r="B6" i="13"/>
  <c r="D2" i="2"/>
  <c r="C76" i="1"/>
  <c r="B76" i="1" s="1"/>
  <c r="A31" i="4" l="1"/>
  <c r="A30" i="2"/>
  <c r="H77" i="19"/>
  <c r="A77" i="19" s="1"/>
  <c r="H21" i="19"/>
  <c r="A72" i="19"/>
  <c r="H68" i="19"/>
  <c r="A68" i="19" s="1"/>
  <c r="A55" i="19"/>
  <c r="A5" i="23"/>
  <c r="A12" i="19"/>
  <c r="A33" i="19"/>
  <c r="B32" i="19" s="1"/>
  <c r="A31" i="19" s="1"/>
  <c r="A87" i="1"/>
  <c r="A10" i="3"/>
  <c r="A17" i="2"/>
  <c r="A18" i="2"/>
  <c r="A9" i="19"/>
  <c r="A19" i="19"/>
  <c r="A46" i="19"/>
  <c r="A70" i="19"/>
  <c r="A95" i="19"/>
  <c r="C21" i="19"/>
  <c r="A51" i="19"/>
  <c r="A62" i="19"/>
  <c r="A73" i="19"/>
  <c r="C39" i="19"/>
  <c r="A39" i="19" s="1"/>
  <c r="A65" i="19"/>
  <c r="C74" i="19"/>
  <c r="A74" i="19" s="1"/>
  <c r="H17" i="19"/>
  <c r="A17" i="19" s="1"/>
  <c r="I21" i="19"/>
  <c r="A42" i="19"/>
  <c r="A59" i="19"/>
  <c r="A91" i="19"/>
  <c r="A20" i="19"/>
  <c r="C54" i="19"/>
  <c r="A54" i="19" s="1"/>
  <c r="A60" i="19"/>
  <c r="A67" i="19"/>
  <c r="A20" i="23"/>
  <c r="A22" i="19"/>
  <c r="A1" i="1"/>
  <c r="A79" i="1"/>
  <c r="A85" i="1"/>
  <c r="A2" i="1"/>
  <c r="A81" i="1"/>
  <c r="A86" i="1"/>
  <c r="A75" i="1"/>
  <c r="A89" i="1"/>
  <c r="A78" i="1"/>
  <c r="A84" i="1"/>
  <c r="A4" i="2" l="1"/>
  <c r="A40" i="19"/>
  <c r="A21" i="19"/>
  <c r="A61" i="19"/>
  <c r="A11" i="19"/>
  <c r="B122" i="1"/>
  <c r="B117" i="1"/>
  <c r="A17" i="8" s="1"/>
  <c r="B118" i="1"/>
  <c r="I7" i="23" l="1"/>
  <c r="A2" i="23" s="1"/>
  <c r="B120" i="1" l="1"/>
  <c r="B119" i="1"/>
  <c r="A47" i="8"/>
  <c r="A80" i="7"/>
  <c r="A79" i="7"/>
  <c r="A120" i="19" l="1"/>
  <c r="A65" i="16" s="1"/>
  <c r="A30" i="4"/>
  <c r="B122" i="19"/>
  <c r="D67" i="16" s="1"/>
  <c r="A15" i="4"/>
  <c r="A14" i="4"/>
  <c r="A13" i="4"/>
  <c r="A7" i="3"/>
  <c r="C8" i="15"/>
  <c r="J12" i="15"/>
  <c r="A10" i="4" l="1"/>
  <c r="A9" i="4" s="1"/>
  <c r="D71" i="16"/>
  <c r="B123" i="19"/>
  <c r="D68" i="16" s="1"/>
  <c r="B119" i="19"/>
  <c r="D64" i="16" s="1"/>
  <c r="B117" i="19"/>
  <c r="D63" i="16" s="1"/>
  <c r="A68" i="16" l="1"/>
  <c r="A122" i="19"/>
  <c r="A67" i="16" s="1"/>
  <c r="A121" i="19"/>
  <c r="A66" i="16" s="1"/>
  <c r="A119" i="19"/>
  <c r="A64" i="16" s="1"/>
  <c r="F25" i="8" l="1"/>
  <c r="B24" i="9"/>
  <c r="B2" i="9"/>
  <c r="A22" i="29"/>
  <c r="A22" i="28"/>
  <c r="H5" i="29"/>
  <c r="H5" i="28"/>
  <c r="H5" i="27"/>
  <c r="A22" i="27"/>
  <c r="I22" i="26"/>
  <c r="D2" i="1"/>
  <c r="I5" i="26" s="1"/>
  <c r="A24" i="13"/>
  <c r="A22" i="13"/>
  <c r="A34" i="2"/>
  <c r="A29" i="4"/>
  <c r="A28" i="4"/>
  <c r="A7" i="4"/>
  <c r="A11" i="24"/>
  <c r="A14" i="26"/>
  <c r="A14" i="27" s="1"/>
  <c r="A14" i="28" s="1"/>
  <c r="A14" i="29" s="1"/>
  <c r="A41" i="7"/>
  <c r="A13" i="26" s="1"/>
  <c r="A13" i="27" s="1"/>
  <c r="A13" i="28" s="1"/>
  <c r="A13" i="29" s="1"/>
  <c r="A12" i="26"/>
  <c r="A12" i="27" s="1"/>
  <c r="A12" i="28" s="1"/>
  <c r="A12" i="29" s="1"/>
  <c r="A25" i="7"/>
  <c r="A23" i="7"/>
  <c r="A14" i="7"/>
  <c r="A13" i="7"/>
  <c r="A2" i="7"/>
  <c r="A53" i="3"/>
  <c r="A52" i="3"/>
  <c r="A51" i="3"/>
  <c r="A35" i="3"/>
  <c r="A33" i="3"/>
  <c r="A8" i="3"/>
  <c r="A5" i="3"/>
  <c r="A4" i="3"/>
  <c r="A11" i="8"/>
  <c r="A10" i="8"/>
  <c r="A12" i="2"/>
  <c r="A7" i="2"/>
  <c r="B164" i="1"/>
  <c r="I125" i="1"/>
  <c r="C122" i="1"/>
  <c r="C120" i="1"/>
  <c r="C119" i="1"/>
  <c r="C118" i="1"/>
  <c r="E79" i="7" s="1"/>
  <c r="B9" i="1"/>
  <c r="B11" i="1" s="1"/>
  <c r="B13" i="1" s="1"/>
  <c r="B8" i="1"/>
  <c r="B137" i="1"/>
  <c r="B133" i="1"/>
  <c r="B130" i="1"/>
  <c r="B127" i="1"/>
  <c r="A24" i="7"/>
  <c r="A16" i="7" l="1"/>
  <c r="A28" i="2"/>
  <c r="A26" i="2" s="1"/>
  <c r="A27" i="2"/>
  <c r="F125" i="1"/>
  <c r="C137" i="1"/>
  <c r="B138" i="1"/>
  <c r="A6" i="2"/>
  <c r="F48" i="7"/>
  <c r="A66" i="7"/>
  <c r="A15" i="7"/>
  <c r="E125" i="1"/>
  <c r="A34" i="3"/>
  <c r="A27" i="3"/>
  <c r="A32" i="3"/>
  <c r="A17" i="7"/>
  <c r="A50" i="3"/>
  <c r="A22" i="7"/>
  <c r="B9" i="13"/>
  <c r="A23" i="2"/>
  <c r="A22" i="2" s="1"/>
  <c r="A16" i="8"/>
  <c r="A11" i="26"/>
  <c r="A11" i="27" s="1"/>
  <c r="A11" i="28" s="1"/>
  <c r="A11" i="29" s="1"/>
  <c r="A28" i="3"/>
  <c r="F126" i="1"/>
  <c r="E126" i="1"/>
  <c r="B10" i="1"/>
  <c r="A8" i="8" s="1"/>
  <c r="A18" i="7" l="1"/>
  <c r="A19" i="7" s="1"/>
  <c r="A29" i="3"/>
  <c r="A26" i="23" s="1"/>
  <c r="A56" i="3"/>
  <c r="B12" i="1"/>
  <c r="A21" i="4" l="1"/>
  <c r="A10" i="2"/>
  <c r="A9" i="2"/>
  <c r="A19" i="4"/>
  <c r="A126" i="19" l="1"/>
  <c r="A71" i="16" s="1"/>
  <c r="B66" i="1" l="1"/>
  <c r="A1" i="19" s="1"/>
  <c r="H26" i="29"/>
  <c r="H26" i="28"/>
  <c r="H26" i="27"/>
  <c r="H22" i="29"/>
  <c r="H22" i="28"/>
  <c r="H22" i="27"/>
  <c r="I26" i="26"/>
  <c r="E74" i="7" l="1"/>
  <c r="A74" i="7"/>
  <c r="A131" i="19"/>
  <c r="B102" i="1"/>
  <c r="R124" i="1" l="1"/>
  <c r="R125" i="1" s="1"/>
  <c r="N126" i="1" s="1"/>
  <c r="A25" i="13"/>
  <c r="A26" i="13" s="1"/>
  <c r="A28" i="13" s="1"/>
  <c r="Q124" i="1"/>
  <c r="Q125" i="1" s="1"/>
  <c r="N125" i="1" s="1"/>
  <c r="A20" i="13" l="1"/>
  <c r="D81" i="7" s="1"/>
  <c r="B24" i="4"/>
  <c r="B67" i="1" l="1"/>
  <c r="C78" i="1" s="1"/>
  <c r="C79" i="1" s="1"/>
  <c r="C80" i="1" s="1"/>
  <c r="B79" i="1" s="1"/>
  <c r="B80" i="1" s="1"/>
  <c r="B145" i="1" l="1"/>
  <c r="B143" i="1"/>
  <c r="C18" i="1" l="1"/>
  <c r="B20" i="1" l="1"/>
  <c r="C20" i="1"/>
  <c r="C115" i="1" l="1"/>
  <c r="C121" i="1" s="1"/>
  <c r="B115" i="1"/>
  <c r="B121" i="1" s="1"/>
  <c r="B121" i="19"/>
  <c r="D65" i="16" s="1"/>
  <c r="A8" i="2"/>
  <c r="C33" i="23"/>
  <c r="D33" i="23"/>
  <c r="E33" i="23"/>
  <c r="F33" i="23"/>
  <c r="A33" i="23"/>
  <c r="C27" i="23"/>
  <c r="D27" i="23"/>
  <c r="E27" i="23"/>
  <c r="F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A48" i="23"/>
  <c r="F27" i="4" l="1"/>
  <c r="A21" i="3" s="1"/>
  <c r="D25" i="21" l="1"/>
  <c r="C25" i="21"/>
  <c r="A25" i="21"/>
  <c r="B25" i="21" s="1"/>
  <c r="M22" i="21"/>
  <c r="F67" i="7" l="1"/>
  <c r="O2" i="21"/>
  <c r="P2" i="21" s="1"/>
  <c r="P5" i="21"/>
  <c r="P13" i="21"/>
  <c r="P17" i="21"/>
  <c r="P21" i="21"/>
  <c r="O4" i="21"/>
  <c r="P4" i="21" s="1"/>
  <c r="P15" i="21"/>
  <c r="P16" i="21"/>
  <c r="P20" i="21"/>
  <c r="P7" i="21"/>
  <c r="P8" i="21"/>
  <c r="P9" i="21"/>
  <c r="P10" i="21"/>
  <c r="P18" i="21"/>
  <c r="P6" i="21"/>
  <c r="P14" i="21"/>
  <c r="O3" i="21"/>
  <c r="P3" i="21" s="1"/>
  <c r="P11" i="21"/>
  <c r="P12" i="21"/>
  <c r="P19" i="21"/>
  <c r="C51" i="7"/>
  <c r="C34" i="23" s="1"/>
  <c r="A51" i="7"/>
  <c r="A34" i="23" s="1"/>
  <c r="W2" i="21" l="1"/>
  <c r="A64" i="7" s="1"/>
  <c r="C136" i="1"/>
  <c r="E67" i="7" l="1"/>
  <c r="F45" i="23"/>
  <c r="F34" i="23"/>
  <c r="F51" i="7"/>
  <c r="A38" i="20"/>
  <c r="A37" i="20"/>
  <c r="B19" i="20"/>
  <c r="C19" i="20"/>
  <c r="D19" i="20"/>
  <c r="E19" i="20"/>
  <c r="A19" i="20"/>
  <c r="F37" i="7" l="1"/>
  <c r="F36" i="7"/>
  <c r="F35" i="7"/>
  <c r="F34" i="7"/>
  <c r="F33" i="7"/>
  <c r="F32" i="7"/>
  <c r="F31" i="7"/>
  <c r="F30" i="7"/>
  <c r="L5" i="15"/>
  <c r="I8" i="15" l="1"/>
  <c r="E20" i="20"/>
  <c r="B26" i="4"/>
  <c r="B27" i="4" s="1"/>
  <c r="A20" i="3" l="1"/>
  <c r="A11" i="2"/>
  <c r="A33" i="20"/>
  <c r="A47" i="23"/>
  <c r="C19" i="1"/>
  <c r="B21" i="1" l="1"/>
  <c r="A6" i="3" s="1"/>
  <c r="C21" i="1"/>
  <c r="B8" i="15"/>
  <c r="C5" i="22"/>
  <c r="A33" i="22" s="1"/>
  <c r="R50" i="15" l="1"/>
  <c r="R48" i="15"/>
  <c r="R51" i="15"/>
  <c r="R52" i="15"/>
  <c r="R53" i="15"/>
  <c r="R54" i="15"/>
  <c r="R55" i="15"/>
  <c r="R44" i="15"/>
  <c r="R49" i="15"/>
  <c r="R45" i="15"/>
  <c r="R46" i="15"/>
  <c r="R47" i="15"/>
  <c r="R42" i="15"/>
  <c r="R43" i="15"/>
  <c r="R41" i="15"/>
  <c r="B9" i="16"/>
  <c r="R34" i="15"/>
  <c r="O34" i="15" s="1"/>
  <c r="P34" i="15" s="1"/>
  <c r="Q34" i="15" s="1"/>
  <c r="B34" i="15" s="1"/>
  <c r="R33" i="15"/>
  <c r="O33" i="15" s="1"/>
  <c r="P33" i="15" s="1"/>
  <c r="Q33" i="15" s="1"/>
  <c r="B33" i="15" s="1"/>
  <c r="R32" i="15"/>
  <c r="R40" i="15"/>
  <c r="R39" i="15"/>
  <c r="O39" i="15" s="1"/>
  <c r="P39" i="15" s="1"/>
  <c r="Q39" i="15" s="1"/>
  <c r="B39" i="15" s="1"/>
  <c r="R38" i="15"/>
  <c r="O38" i="15" s="1"/>
  <c r="P38" i="15" s="1"/>
  <c r="Q38" i="15" s="1"/>
  <c r="B38" i="15" s="1"/>
  <c r="R36" i="15"/>
  <c r="O36" i="15" s="1"/>
  <c r="P36" i="15" s="1"/>
  <c r="Q36" i="15" s="1"/>
  <c r="B36" i="15" s="1"/>
  <c r="R37" i="15"/>
  <c r="O37" i="15" s="1"/>
  <c r="P37" i="15" s="1"/>
  <c r="Q37" i="15" s="1"/>
  <c r="B37" i="15" s="1"/>
  <c r="R35" i="15"/>
  <c r="R28" i="15"/>
  <c r="O28" i="15" s="1"/>
  <c r="P28" i="15" s="1"/>
  <c r="Q28" i="15" s="1"/>
  <c r="B28" i="15" s="1"/>
  <c r="B29" i="16" s="1"/>
  <c r="R29" i="15"/>
  <c r="O29" i="15" s="1"/>
  <c r="P29" i="15" s="1"/>
  <c r="Q29" i="15" s="1"/>
  <c r="B29" i="15" s="1"/>
  <c r="B30" i="16" s="1"/>
  <c r="R27" i="15"/>
  <c r="O27" i="15" s="1"/>
  <c r="P27" i="15" s="1"/>
  <c r="Q27" i="15" s="1"/>
  <c r="B27" i="15" s="1"/>
  <c r="B28" i="16" s="1"/>
  <c r="R30" i="15"/>
  <c r="O30" i="15" s="1"/>
  <c r="P30" i="15" s="1"/>
  <c r="Q30" i="15" s="1"/>
  <c r="B30" i="15" s="1"/>
  <c r="B31" i="16" s="1"/>
  <c r="R31" i="15"/>
  <c r="R26" i="15"/>
  <c r="O26" i="15" s="1"/>
  <c r="P26" i="15" s="1"/>
  <c r="Q26" i="15" s="1"/>
  <c r="B26" i="15" s="1"/>
  <c r="B27" i="16" s="1"/>
  <c r="R20" i="15"/>
  <c r="R21" i="15"/>
  <c r="R23" i="15"/>
  <c r="R22" i="15"/>
  <c r="R10" i="15"/>
  <c r="R9" i="15"/>
  <c r="G8" i="15"/>
  <c r="R12" i="15"/>
  <c r="R19" i="15"/>
  <c r="H8" i="15"/>
  <c r="R15" i="15"/>
  <c r="O8" i="15"/>
  <c r="P8" i="15" s="1"/>
  <c r="Q8" i="15" s="1"/>
  <c r="R16" i="15"/>
  <c r="R17" i="15"/>
  <c r="R18" i="15"/>
  <c r="R11" i="15"/>
  <c r="R13" i="15"/>
  <c r="R14" i="15"/>
  <c r="B8" i="12"/>
  <c r="R24" i="15"/>
  <c r="R25" i="15"/>
  <c r="O45" i="15" l="1"/>
  <c r="P45" i="15" s="1"/>
  <c r="Q45" i="15" s="1"/>
  <c r="B45" i="15" s="1"/>
  <c r="B45" i="12" s="1"/>
  <c r="O49" i="15"/>
  <c r="P49" i="15" s="1"/>
  <c r="Q49" i="15" s="1"/>
  <c r="B49" i="15" s="1"/>
  <c r="B49" i="12" s="1"/>
  <c r="O46" i="15"/>
  <c r="P46" i="15" s="1"/>
  <c r="Q46" i="15" s="1"/>
  <c r="B46" i="15" s="1"/>
  <c r="B46" i="12" s="1"/>
  <c r="O44" i="15"/>
  <c r="P44" i="15" s="1"/>
  <c r="Q44" i="15" s="1"/>
  <c r="B44" i="15" s="1"/>
  <c r="B44" i="12" s="1"/>
  <c r="B55" i="15"/>
  <c r="B55" i="12" s="1"/>
  <c r="O55" i="15"/>
  <c r="P55" i="15" s="1"/>
  <c r="Q55" i="15" s="1"/>
  <c r="O54" i="15"/>
  <c r="P54" i="15" s="1"/>
  <c r="Q54" i="15" s="1"/>
  <c r="B54" i="15" s="1"/>
  <c r="B54" i="12" s="1"/>
  <c r="O47" i="15"/>
  <c r="P47" i="15" s="1"/>
  <c r="Q47" i="15" s="1"/>
  <c r="B47" i="15" s="1"/>
  <c r="B47" i="12" s="1"/>
  <c r="O53" i="15"/>
  <c r="P53" i="15" s="1"/>
  <c r="Q53" i="15" s="1"/>
  <c r="B53" i="15" s="1"/>
  <c r="B53" i="12" s="1"/>
  <c r="O52" i="15"/>
  <c r="P52" i="15" s="1"/>
  <c r="Q52" i="15" s="1"/>
  <c r="B52" i="15" s="1"/>
  <c r="B52" i="12" s="1"/>
  <c r="O51" i="15"/>
  <c r="P51" i="15" s="1"/>
  <c r="Q51" i="15" s="1"/>
  <c r="B51" i="15" s="1"/>
  <c r="B51" i="12" s="1"/>
  <c r="O48" i="15"/>
  <c r="P48" i="15" s="1"/>
  <c r="Q48" i="15" s="1"/>
  <c r="B48" i="15" s="1"/>
  <c r="B48" i="12" s="1"/>
  <c r="O50" i="15"/>
  <c r="P50" i="15" s="1"/>
  <c r="Q50" i="15" s="1"/>
  <c r="B50" i="15" s="1"/>
  <c r="B50" i="12" s="1"/>
  <c r="O41" i="15"/>
  <c r="P41" i="15" s="1"/>
  <c r="Q41" i="15" s="1"/>
  <c r="B41" i="15" s="1"/>
  <c r="O43" i="15"/>
  <c r="P43" i="15" s="1"/>
  <c r="Q43" i="15" s="1"/>
  <c r="B43" i="15" s="1"/>
  <c r="O42" i="15"/>
  <c r="P42" i="15" s="1"/>
  <c r="Q42" i="15" s="1"/>
  <c r="B42" i="15" s="1"/>
  <c r="O35" i="15"/>
  <c r="P35" i="15" s="1"/>
  <c r="Q35" i="15" s="1"/>
  <c r="B35" i="15" s="1"/>
  <c r="H37" i="15"/>
  <c r="B37" i="12"/>
  <c r="G37" i="15"/>
  <c r="B38" i="16"/>
  <c r="B36" i="12"/>
  <c r="H36" i="12" s="1"/>
  <c r="H36" i="15"/>
  <c r="B37" i="16"/>
  <c r="B38" i="12"/>
  <c r="G38" i="15"/>
  <c r="H38" i="15"/>
  <c r="B39" i="16"/>
  <c r="B39" i="12"/>
  <c r="B40" i="16"/>
  <c r="H39" i="15"/>
  <c r="G39" i="15"/>
  <c r="O40" i="15"/>
  <c r="P40" i="15" s="1"/>
  <c r="Q40" i="15" s="1"/>
  <c r="B40" i="15" s="1"/>
  <c r="O32" i="15"/>
  <c r="P32" i="15" s="1"/>
  <c r="Q32" i="15" s="1"/>
  <c r="B32" i="15" s="1"/>
  <c r="B33" i="12"/>
  <c r="H33" i="12" s="1"/>
  <c r="B34" i="16"/>
  <c r="H33" i="15"/>
  <c r="G34" i="15"/>
  <c r="B34" i="12"/>
  <c r="B35" i="16"/>
  <c r="H34" i="15"/>
  <c r="B26" i="12"/>
  <c r="O31" i="15"/>
  <c r="P31" i="15" s="1"/>
  <c r="Q31" i="15" s="1"/>
  <c r="B31" i="15" s="1"/>
  <c r="B30" i="12"/>
  <c r="B27" i="12"/>
  <c r="B29" i="12"/>
  <c r="B28" i="12"/>
  <c r="O18" i="15"/>
  <c r="P18" i="15" s="1"/>
  <c r="Q18" i="15" s="1"/>
  <c r="B18" i="15" s="1"/>
  <c r="B19" i="16" s="1"/>
  <c r="O24" i="15"/>
  <c r="P24" i="15" s="1"/>
  <c r="Q24" i="15" s="1"/>
  <c r="B24" i="15" s="1"/>
  <c r="B25" i="16" s="1"/>
  <c r="O15" i="15"/>
  <c r="P15" i="15" s="1"/>
  <c r="Q15" i="15" s="1"/>
  <c r="B15" i="15" s="1"/>
  <c r="B16" i="16" s="1"/>
  <c r="O13" i="15"/>
  <c r="P13" i="15" s="1"/>
  <c r="Q13" i="15" s="1"/>
  <c r="B13" i="15" s="1"/>
  <c r="O17" i="15"/>
  <c r="P17" i="15" s="1"/>
  <c r="Q17" i="15" s="1"/>
  <c r="B17" i="15" s="1"/>
  <c r="B18" i="16" s="1"/>
  <c r="O16" i="15"/>
  <c r="P16" i="15" s="1"/>
  <c r="Q16" i="15" s="1"/>
  <c r="B16" i="15" s="1"/>
  <c r="B17" i="16" s="1"/>
  <c r="O22" i="15"/>
  <c r="P22" i="15" s="1"/>
  <c r="Q22" i="15" s="1"/>
  <c r="B22" i="15" s="1"/>
  <c r="B23" i="16" s="1"/>
  <c r="O23" i="15"/>
  <c r="P23" i="15" s="1"/>
  <c r="Q23" i="15" s="1"/>
  <c r="B23" i="15" s="1"/>
  <c r="B24" i="16" s="1"/>
  <c r="O21" i="15"/>
  <c r="P21" i="15" s="1"/>
  <c r="Q21" i="15" s="1"/>
  <c r="B21" i="15" s="1"/>
  <c r="B22" i="16" s="1"/>
  <c r="O20" i="15"/>
  <c r="P20" i="15" s="1"/>
  <c r="Q20" i="15" s="1"/>
  <c r="B20" i="15" s="1"/>
  <c r="B21" i="16" s="1"/>
  <c r="L8" i="15"/>
  <c r="O11" i="15"/>
  <c r="P11" i="15" s="1"/>
  <c r="Q11" i="15" s="1"/>
  <c r="O10" i="15"/>
  <c r="P10" i="15" s="1"/>
  <c r="Q10" i="15" s="1"/>
  <c r="O9" i="15"/>
  <c r="P9" i="15" s="1"/>
  <c r="Q9" i="15" s="1"/>
  <c r="O19" i="15"/>
  <c r="P19" i="15" s="1"/>
  <c r="Q19" i="15" s="1"/>
  <c r="B19" i="15" s="1"/>
  <c r="O14" i="15"/>
  <c r="P14" i="15" s="1"/>
  <c r="Q14" i="15" s="1"/>
  <c r="B14" i="15" s="1"/>
  <c r="B15" i="16" s="1"/>
  <c r="O12" i="15"/>
  <c r="P12" i="15" s="1"/>
  <c r="Q12" i="15" s="1"/>
  <c r="O25" i="15"/>
  <c r="P25" i="15" s="1"/>
  <c r="Q25" i="15" s="1"/>
  <c r="B25" i="15" s="1"/>
  <c r="B26" i="16" s="1"/>
  <c r="B49" i="16" l="1"/>
  <c r="H48" i="15"/>
  <c r="G48" i="15"/>
  <c r="H54" i="15"/>
  <c r="B55" i="16"/>
  <c r="G54" i="15"/>
  <c r="H53" i="15"/>
  <c r="B54" i="16"/>
  <c r="G53" i="15"/>
  <c r="B48" i="16"/>
  <c r="H47" i="15"/>
  <c r="G47" i="15"/>
  <c r="B45" i="16"/>
  <c r="H44" i="15"/>
  <c r="G44" i="15"/>
  <c r="B47" i="16"/>
  <c r="H46" i="15"/>
  <c r="G46" i="15"/>
  <c r="B52" i="16"/>
  <c r="G51" i="15"/>
  <c r="H51" i="15"/>
  <c r="B50" i="16"/>
  <c r="H49" i="15"/>
  <c r="G49" i="15"/>
  <c r="B53" i="16"/>
  <c r="G52" i="15"/>
  <c r="H52" i="15"/>
  <c r="B51" i="16"/>
  <c r="H50" i="15"/>
  <c r="G50" i="15"/>
  <c r="B46" i="16"/>
  <c r="H45" i="15"/>
  <c r="G45" i="15"/>
  <c r="H55" i="15"/>
  <c r="B56" i="16"/>
  <c r="G55" i="15"/>
  <c r="H42" i="15"/>
  <c r="B42" i="12"/>
  <c r="B43" i="16"/>
  <c r="G42" i="15"/>
  <c r="B42" i="16"/>
  <c r="B41" i="12"/>
  <c r="H41" i="12" s="1"/>
  <c r="H41" i="15"/>
  <c r="B44" i="16"/>
  <c r="G43" i="15"/>
  <c r="B43" i="12"/>
  <c r="H43" i="15"/>
  <c r="B33" i="16"/>
  <c r="B32" i="12"/>
  <c r="H32" i="15"/>
  <c r="G33" i="15"/>
  <c r="B35" i="12"/>
  <c r="G35" i="15"/>
  <c r="H35" i="15"/>
  <c r="B36" i="16"/>
  <c r="G36" i="15"/>
  <c r="G38" i="12"/>
  <c r="H38" i="12"/>
  <c r="B41" i="16"/>
  <c r="H40" i="15"/>
  <c r="B40" i="12"/>
  <c r="G40" i="15"/>
  <c r="G41" i="15"/>
  <c r="H34" i="12"/>
  <c r="G34" i="12"/>
  <c r="H37" i="12"/>
  <c r="G37" i="12"/>
  <c r="H39" i="12"/>
  <c r="G39" i="12"/>
  <c r="B32" i="16"/>
  <c r="G32" i="15"/>
  <c r="B19" i="12"/>
  <c r="B20" i="16"/>
  <c r="B13" i="12"/>
  <c r="B14" i="16"/>
  <c r="B23" i="12"/>
  <c r="B21" i="12"/>
  <c r="B22" i="12"/>
  <c r="B20" i="12"/>
  <c r="B24" i="12"/>
  <c r="E8" i="15"/>
  <c r="B31" i="12"/>
  <c r="H31" i="15"/>
  <c r="B25" i="12"/>
  <c r="H25" i="15"/>
  <c r="B16" i="12"/>
  <c r="H16" i="15"/>
  <c r="G16" i="15"/>
  <c r="B17" i="12"/>
  <c r="G17" i="15"/>
  <c r="H17" i="15"/>
  <c r="B15" i="12"/>
  <c r="H15" i="15"/>
  <c r="B18" i="12"/>
  <c r="H18" i="15"/>
  <c r="G18" i="15"/>
  <c r="H13" i="15"/>
  <c r="H20" i="15"/>
  <c r="H21" i="15"/>
  <c r="G21" i="15"/>
  <c r="G23" i="15"/>
  <c r="H23" i="15"/>
  <c r="H22" i="15"/>
  <c r="G22" i="15"/>
  <c r="G14" i="15"/>
  <c r="H14" i="15"/>
  <c r="B14" i="12"/>
  <c r="G15" i="15"/>
  <c r="B9" i="15"/>
  <c r="H19" i="15"/>
  <c r="G20" i="15"/>
  <c r="G19" i="15"/>
  <c r="B10" i="15"/>
  <c r="B11" i="16" s="1"/>
  <c r="B12" i="15"/>
  <c r="B13" i="16" s="1"/>
  <c r="B11" i="15"/>
  <c r="B12" i="16" s="1"/>
  <c r="D17" i="1"/>
  <c r="G32" i="12" l="1"/>
  <c r="H43" i="12"/>
  <c r="G43" i="12"/>
  <c r="H42" i="12"/>
  <c r="G42" i="12"/>
  <c r="G36" i="12"/>
  <c r="H35" i="12"/>
  <c r="G35" i="12"/>
  <c r="H40" i="12"/>
  <c r="G40" i="12"/>
  <c r="G41" i="12"/>
  <c r="G33" i="12"/>
  <c r="H32" i="12"/>
  <c r="G9" i="15"/>
  <c r="B10" i="16"/>
  <c r="G10" i="15"/>
  <c r="H10" i="15"/>
  <c r="B10" i="12"/>
  <c r="H9" i="15"/>
  <c r="G13" i="15"/>
  <c r="G12" i="15"/>
  <c r="H12" i="15"/>
  <c r="B12" i="12"/>
  <c r="H11" i="15"/>
  <c r="G11" i="15"/>
  <c r="B11" i="12"/>
  <c r="B9" i="12"/>
  <c r="I67" i="1"/>
  <c r="G67" i="1"/>
  <c r="A129" i="19" l="1"/>
  <c r="A73" i="16" s="1"/>
  <c r="A117" i="19"/>
  <c r="A63" i="16" s="1"/>
  <c r="F67" i="1" l="1"/>
  <c r="E67" i="1"/>
  <c r="A20" i="2" s="1"/>
  <c r="C67" i="1"/>
  <c r="C65" i="1"/>
  <c r="A16" i="2" s="1"/>
  <c r="C66" i="1" l="1"/>
  <c r="I66" i="1"/>
  <c r="G66" i="1"/>
  <c r="D67" i="1"/>
  <c r="B144" i="1" s="1"/>
  <c r="H67" i="1"/>
  <c r="B69" i="1" s="1"/>
  <c r="A4" i="24" s="1"/>
  <c r="E66" i="1"/>
  <c r="F66" i="1"/>
  <c r="A30" i="19" l="1"/>
  <c r="A26" i="19"/>
  <c r="A29" i="19"/>
  <c r="A28" i="19" s="1"/>
  <c r="A27" i="19"/>
  <c r="B68" i="1"/>
  <c r="D66" i="1"/>
  <c r="B72" i="1" s="1"/>
  <c r="H66" i="1"/>
  <c r="B73" i="1" s="1"/>
  <c r="F3" i="23" l="1"/>
  <c r="B74" i="1"/>
  <c r="B70" i="1"/>
  <c r="A3" i="19" s="1"/>
  <c r="E3" i="22"/>
  <c r="B71" i="1"/>
  <c r="F3" i="16" l="1"/>
  <c r="A7" i="29"/>
  <c r="A2" i="29"/>
  <c r="A7" i="28"/>
  <c r="A2" i="28"/>
  <c r="A7" i="27"/>
  <c r="A2" i="27"/>
  <c r="B19" i="9"/>
  <c r="A2" i="26"/>
  <c r="A12" i="7"/>
  <c r="A7" i="26"/>
  <c r="A9" i="7"/>
  <c r="A11" i="7"/>
  <c r="A8" i="7"/>
  <c r="A45" i="7"/>
  <c r="A46" i="7"/>
  <c r="B165" i="1"/>
  <c r="A4" i="8" s="1"/>
  <c r="B142" i="1"/>
  <c r="F4" i="7" s="1"/>
  <c r="A39" i="20"/>
  <c r="B40" i="9"/>
  <c r="A19" i="2"/>
  <c r="A25" i="23" s="1"/>
  <c r="D72" i="15"/>
  <c r="A70" i="15"/>
  <c r="A68" i="15"/>
  <c r="D64" i="15"/>
  <c r="D60" i="15"/>
  <c r="A60" i="15"/>
  <c r="A7" i="7" l="1"/>
  <c r="A10" i="7"/>
  <c r="A6" i="7" s="1"/>
  <c r="A44" i="7"/>
  <c r="A15" i="3"/>
  <c r="H27" i="15"/>
  <c r="G27" i="15"/>
  <c r="G28" i="15"/>
  <c r="H28" i="15"/>
  <c r="G30" i="15"/>
  <c r="G31" i="15"/>
  <c r="H30" i="15"/>
  <c r="G29" i="15"/>
  <c r="H29" i="15"/>
  <c r="G26" i="15"/>
  <c r="H26" i="15"/>
  <c r="H24" i="15"/>
  <c r="G24" i="15"/>
  <c r="G25" i="15"/>
  <c r="F2" i="15" l="1"/>
  <c r="B62" i="1" l="1"/>
  <c r="D67" i="15" l="1"/>
  <c r="B19" i="13" l="1"/>
  <c r="B10" i="13"/>
  <c r="D68" i="15" l="1"/>
  <c r="D66" i="15" l="1"/>
  <c r="A61" i="7" l="1"/>
  <c r="A44" i="23" s="1"/>
  <c r="C61" i="7"/>
  <c r="C44" i="23" s="1"/>
  <c r="D61" i="7"/>
  <c r="D44" i="23" s="1"/>
  <c r="E61" i="7"/>
  <c r="E44" i="23" s="1"/>
  <c r="A62" i="7"/>
  <c r="A45" i="23" s="1"/>
  <c r="C35" i="23"/>
  <c r="D35" i="23"/>
  <c r="E35" i="23"/>
  <c r="C53" i="7"/>
  <c r="C36" i="23" s="1"/>
  <c r="D53" i="7"/>
  <c r="D36" i="23" s="1"/>
  <c r="E53" i="7"/>
  <c r="E36" i="23" s="1"/>
  <c r="C54" i="7"/>
  <c r="C37" i="23" s="1"/>
  <c r="D54" i="7"/>
  <c r="D37" i="23" s="1"/>
  <c r="E54" i="7"/>
  <c r="E37" i="23" s="1"/>
  <c r="C55" i="7"/>
  <c r="C38" i="23" s="1"/>
  <c r="D55" i="7"/>
  <c r="D38" i="23" s="1"/>
  <c r="E55" i="7"/>
  <c r="E38" i="23" s="1"/>
  <c r="C56" i="7"/>
  <c r="C39" i="23" s="1"/>
  <c r="D56" i="7"/>
  <c r="D39" i="23" s="1"/>
  <c r="E56" i="7"/>
  <c r="E39" i="23" s="1"/>
  <c r="C57" i="7"/>
  <c r="C40" i="23" s="1"/>
  <c r="D57" i="7"/>
  <c r="D40" i="23" s="1"/>
  <c r="E57" i="7"/>
  <c r="E40" i="23" s="1"/>
  <c r="C58" i="7"/>
  <c r="C41" i="23" s="1"/>
  <c r="D58" i="7"/>
  <c r="D41" i="23" s="1"/>
  <c r="E58" i="7"/>
  <c r="E41" i="23" s="1"/>
  <c r="C59" i="7"/>
  <c r="C42" i="23" s="1"/>
  <c r="D59" i="7"/>
  <c r="D42" i="23" s="1"/>
  <c r="E59" i="7"/>
  <c r="E42" i="23" s="1"/>
  <c r="C60" i="7"/>
  <c r="C43" i="23" s="1"/>
  <c r="D60" i="7"/>
  <c r="D43" i="23" s="1"/>
  <c r="E60" i="7"/>
  <c r="E43" i="23" s="1"/>
  <c r="D51" i="7"/>
  <c r="D34" i="23" s="1"/>
  <c r="E51" i="7"/>
  <c r="E34" i="23" s="1"/>
  <c r="A35" i="23"/>
  <c r="A53" i="7"/>
  <c r="A36" i="23" s="1"/>
  <c r="A54" i="7"/>
  <c r="A37" i="23" s="1"/>
  <c r="A55" i="7"/>
  <c r="A38" i="23" s="1"/>
  <c r="A56" i="7"/>
  <c r="A39" i="23" s="1"/>
  <c r="A57" i="7"/>
  <c r="A40" i="23" s="1"/>
  <c r="A58" i="7"/>
  <c r="A41" i="23" s="1"/>
  <c r="A59" i="7"/>
  <c r="A42" i="23" s="1"/>
  <c r="A60" i="7"/>
  <c r="A43" i="23" s="1"/>
  <c r="A49" i="23"/>
  <c r="A39" i="8"/>
  <c r="E62" i="7"/>
  <c r="E45" i="23" s="1"/>
  <c r="D62" i="7"/>
  <c r="D45" i="23" s="1"/>
  <c r="C62" i="7"/>
  <c r="C45" i="23" s="1"/>
  <c r="A48" i="3" l="1"/>
  <c r="A30" i="20"/>
  <c r="C47" i="3"/>
  <c r="B29" i="20"/>
  <c r="C48" i="3"/>
  <c r="B30" i="20"/>
  <c r="E47" i="3"/>
  <c r="D29" i="20"/>
  <c r="E48" i="3"/>
  <c r="D30" i="20"/>
  <c r="A47" i="3"/>
  <c r="A29" i="20"/>
  <c r="D47" i="3"/>
  <c r="C29" i="20"/>
  <c r="D48" i="3"/>
  <c r="C30" i="20"/>
  <c r="A49" i="3"/>
  <c r="A31" i="20"/>
  <c r="A45" i="3"/>
  <c r="A27" i="20"/>
  <c r="E46" i="3"/>
  <c r="D28" i="20"/>
  <c r="D45" i="3"/>
  <c r="C27" i="20"/>
  <c r="D46" i="3"/>
  <c r="C28" i="20"/>
  <c r="C45" i="3"/>
  <c r="B27" i="20"/>
  <c r="E45" i="3"/>
  <c r="D27" i="20"/>
  <c r="A46" i="3"/>
  <c r="A28" i="20"/>
  <c r="C46" i="3"/>
  <c r="B28" i="20"/>
  <c r="A41" i="3"/>
  <c r="A23" i="20"/>
  <c r="E41" i="3"/>
  <c r="D23" i="20"/>
  <c r="D31" i="20"/>
  <c r="A44" i="3"/>
  <c r="A26" i="20"/>
  <c r="A40" i="3"/>
  <c r="A22" i="20"/>
  <c r="C20" i="20"/>
  <c r="C44" i="3"/>
  <c r="B26" i="20"/>
  <c r="E42" i="3"/>
  <c r="D24" i="20"/>
  <c r="D41" i="3"/>
  <c r="C23" i="20"/>
  <c r="B22" i="20"/>
  <c r="A43" i="3"/>
  <c r="A25" i="20"/>
  <c r="A39" i="3"/>
  <c r="A21" i="20"/>
  <c r="E43" i="3"/>
  <c r="D25" i="20"/>
  <c r="D42" i="3"/>
  <c r="C24" i="20"/>
  <c r="C41" i="3"/>
  <c r="B23" i="20"/>
  <c r="E39" i="3"/>
  <c r="D21" i="20"/>
  <c r="C31" i="20"/>
  <c r="D20" i="20"/>
  <c r="D44" i="3"/>
  <c r="C26" i="20"/>
  <c r="C43" i="3"/>
  <c r="B25" i="20"/>
  <c r="C22" i="20"/>
  <c r="C39" i="3"/>
  <c r="B21" i="20"/>
  <c r="A38" i="3"/>
  <c r="A20" i="20"/>
  <c r="B31" i="20"/>
  <c r="A42" i="3"/>
  <c r="A24" i="20"/>
  <c r="C38" i="3"/>
  <c r="B20" i="20"/>
  <c r="E44" i="3"/>
  <c r="D26" i="20"/>
  <c r="D43" i="3"/>
  <c r="C25" i="20"/>
  <c r="C42" i="3"/>
  <c r="B24" i="20"/>
  <c r="D22" i="20"/>
  <c r="D39" i="3"/>
  <c r="C21" i="20"/>
  <c r="A40" i="8"/>
  <c r="A34" i="20"/>
  <c r="A41" i="8"/>
  <c r="A35" i="20"/>
  <c r="E33" i="8"/>
  <c r="D28" i="8"/>
  <c r="E26" i="8"/>
  <c r="E35" i="8"/>
  <c r="D31" i="8"/>
  <c r="E32" i="8"/>
  <c r="C31" i="8"/>
  <c r="E27" i="8"/>
  <c r="E36" i="8"/>
  <c r="D35" i="8"/>
  <c r="D32" i="8"/>
  <c r="E29" i="8"/>
  <c r="D27" i="8"/>
  <c r="D36" i="8"/>
  <c r="C35" i="8"/>
  <c r="E31" i="8"/>
  <c r="E28" i="8"/>
  <c r="C27" i="8"/>
  <c r="C36" i="8"/>
  <c r="D37" i="8"/>
  <c r="E30" i="8"/>
  <c r="E34" i="8"/>
  <c r="E37" i="8"/>
  <c r="D33" i="8"/>
  <c r="D30" i="8"/>
  <c r="D29" i="8"/>
  <c r="D26" i="8"/>
  <c r="D34" i="8"/>
  <c r="C33" i="8"/>
  <c r="C32" i="8"/>
  <c r="C30" i="8"/>
  <c r="C29" i="8"/>
  <c r="C28" i="8"/>
  <c r="C26" i="8"/>
  <c r="C34" i="8"/>
  <c r="C37" i="8"/>
  <c r="A33" i="8"/>
  <c r="A32" i="8"/>
  <c r="A31" i="8"/>
  <c r="A30" i="8"/>
  <c r="A29" i="8"/>
  <c r="A28" i="8"/>
  <c r="A27" i="8"/>
  <c r="A26" i="8"/>
  <c r="A36" i="8"/>
  <c r="A35" i="8"/>
  <c r="A34" i="8"/>
  <c r="A37" i="8"/>
  <c r="C142" i="1"/>
  <c r="N123" i="1" l="1"/>
  <c r="F38" i="3"/>
  <c r="F62" i="7"/>
  <c r="E31" i="20" s="1"/>
  <c r="A46" i="23"/>
  <c r="F26" i="8" l="1"/>
  <c r="A38" i="8"/>
  <c r="A32" i="20"/>
  <c r="F37" i="8"/>
  <c r="F49" i="3"/>
  <c r="D72" i="12"/>
  <c r="A70" i="12"/>
  <c r="A68" i="12"/>
  <c r="D64" i="12"/>
  <c r="D60" i="12"/>
  <c r="A60" i="12"/>
  <c r="C8" i="12"/>
  <c r="C9" i="16" s="1"/>
  <c r="A25" i="19" l="1"/>
  <c r="A24" i="19" l="1"/>
  <c r="B12" i="9"/>
  <c r="A12" i="8"/>
  <c r="F18" i="8"/>
  <c r="E11" i="20" s="1"/>
  <c r="E18" i="8"/>
  <c r="D11" i="20" s="1"/>
  <c r="D18" i="8"/>
  <c r="C11" i="20" s="1"/>
  <c r="C18" i="8"/>
  <c r="B11" i="20" s="1"/>
  <c r="A18" i="8"/>
  <c r="A11" i="20" s="1"/>
  <c r="E78" i="7"/>
  <c r="E48" i="7"/>
  <c r="E28" i="23" s="1"/>
  <c r="D48" i="7"/>
  <c r="D28" i="23" s="1"/>
  <c r="C28" i="23"/>
  <c r="A48" i="7"/>
  <c r="A28" i="23" s="1"/>
  <c r="A32" i="23" l="1"/>
  <c r="A30" i="23"/>
  <c r="E19" i="8"/>
  <c r="D12" i="20" s="1"/>
  <c r="D19" i="8"/>
  <c r="C12" i="20" s="1"/>
  <c r="C19" i="8"/>
  <c r="B12" i="20" s="1"/>
  <c r="A16" i="20"/>
  <c r="A19" i="8"/>
  <c r="A12" i="20" s="1"/>
  <c r="A14" i="20"/>
  <c r="D35" i="4"/>
  <c r="D27" i="4"/>
  <c r="C27" i="4"/>
  <c r="A14" i="3"/>
  <c r="A60" i="3" s="1"/>
  <c r="A11" i="4"/>
  <c r="A8" i="4"/>
  <c r="A6" i="4"/>
  <c r="A5" i="4"/>
  <c r="A4" i="4"/>
  <c r="A39" i="2"/>
  <c r="A17" i="3"/>
  <c r="A63" i="3" s="1"/>
  <c r="A12" i="3"/>
  <c r="A63" i="15" l="1"/>
  <c r="A67" i="15"/>
  <c r="A72" i="15"/>
  <c r="D74" i="15"/>
  <c r="A62" i="15"/>
  <c r="A66" i="15"/>
  <c r="A65" i="15"/>
  <c r="A64" i="15"/>
  <c r="D63" i="15"/>
  <c r="D70" i="15"/>
  <c r="D62" i="15"/>
  <c r="A72" i="12"/>
  <c r="A66" i="12"/>
  <c r="A63" i="12"/>
  <c r="A67" i="12"/>
  <c r="A64" i="12"/>
  <c r="A13" i="3"/>
  <c r="A59" i="3" s="1"/>
  <c r="A65" i="12"/>
  <c r="D68" i="12"/>
  <c r="D66" i="12"/>
  <c r="D67" i="12"/>
  <c r="D63" i="12"/>
  <c r="D70" i="12"/>
  <c r="D62" i="12"/>
  <c r="A62" i="12"/>
  <c r="A58" i="3"/>
  <c r="A61" i="3"/>
  <c r="A13" i="8"/>
  <c r="A16" i="3"/>
  <c r="A62" i="3" s="1"/>
  <c r="A14" i="8"/>
  <c r="F31" i="3"/>
  <c r="A15" i="8" l="1"/>
  <c r="A15" i="27"/>
  <c r="A15" i="26"/>
  <c r="A15" i="29"/>
  <c r="A15" i="28"/>
  <c r="A31" i="23"/>
  <c r="A29" i="23"/>
  <c r="F28" i="23"/>
  <c r="A15" i="20"/>
  <c r="A13" i="20"/>
  <c r="F19" i="8"/>
  <c r="E12" i="20" s="1"/>
  <c r="A18" i="3"/>
  <c r="A16" i="23" s="1"/>
  <c r="F2" i="12"/>
  <c r="A64" i="3" l="1"/>
  <c r="G8" i="12"/>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L9" i="15"/>
  <c r="E9" i="15" s="1"/>
  <c r="D9" i="15"/>
  <c r="C10" i="15" s="1"/>
  <c r="I10" i="15"/>
  <c r="I11" i="15" s="1"/>
  <c r="I12" i="15" s="1"/>
  <c r="J13" i="15" l="1"/>
  <c r="K13" i="15" s="1"/>
  <c r="I13" i="15" s="1"/>
  <c r="I14" i="15" s="1"/>
  <c r="I15" i="15" s="1"/>
  <c r="I16" i="15" s="1"/>
  <c r="I17" i="15" s="1"/>
  <c r="I18" i="15" s="1"/>
  <c r="L10" i="15"/>
  <c r="E10" i="15" s="1"/>
  <c r="D10" i="15"/>
  <c r="C11" i="15" s="1"/>
  <c r="M9" i="15"/>
  <c r="F9" i="15" s="1"/>
  <c r="J15" i="15" l="1"/>
  <c r="K15" i="15" s="1"/>
  <c r="J19" i="15"/>
  <c r="K19" i="15" s="1"/>
  <c r="I19" i="15" s="1"/>
  <c r="I20" i="15" s="1"/>
  <c r="I21" i="15" s="1"/>
  <c r="I22" i="15" s="1"/>
  <c r="J18" i="15"/>
  <c r="K18" i="15" s="1"/>
  <c r="J16" i="15"/>
  <c r="K16" i="15" s="1"/>
  <c r="J17" i="15"/>
  <c r="K17" i="15" s="1"/>
  <c r="J14" i="15"/>
  <c r="K14" i="15" s="1"/>
  <c r="L11" i="15"/>
  <c r="E11" i="15" s="1"/>
  <c r="D11" i="15"/>
  <c r="C12" i="15" s="1"/>
  <c r="M10" i="15"/>
  <c r="F10" i="15" s="1"/>
  <c r="J20" i="15" l="1"/>
  <c r="K20" i="15" s="1"/>
  <c r="J21" i="15"/>
  <c r="K21" i="15" s="1"/>
  <c r="J22" i="15"/>
  <c r="K22" i="15" s="1"/>
  <c r="J23" i="15"/>
  <c r="K23" i="15" s="1"/>
  <c r="I23" i="15" s="1"/>
  <c r="L12" i="15"/>
  <c r="E12" i="15" s="1"/>
  <c r="D12" i="15"/>
  <c r="M11" i="15"/>
  <c r="F11" i="15" s="1"/>
  <c r="J24" i="15" l="1"/>
  <c r="K24" i="15" s="1"/>
  <c r="I24" i="15" s="1"/>
  <c r="M12" i="15"/>
  <c r="F12" i="15" s="1"/>
  <c r="C13" i="15"/>
  <c r="J25" i="15" l="1"/>
  <c r="K25" i="15" s="1"/>
  <c r="I25" i="15" s="1"/>
  <c r="J26" i="15" s="1"/>
  <c r="K26" i="15" s="1"/>
  <c r="D13" i="15"/>
  <c r="C14" i="15" s="1"/>
  <c r="L13" i="15"/>
  <c r="E13" i="15" s="1"/>
  <c r="I26" i="15" l="1"/>
  <c r="I27" i="15" s="1"/>
  <c r="I28" i="15" s="1"/>
  <c r="I29" i="15" s="1"/>
  <c r="I30" i="15" s="1"/>
  <c r="M13" i="15"/>
  <c r="F13" i="15" s="1"/>
  <c r="L14" i="15"/>
  <c r="E14" i="15" s="1"/>
  <c r="D14" i="15"/>
  <c r="C15" i="15" s="1"/>
  <c r="J28" i="15" l="1"/>
  <c r="K28" i="15" s="1"/>
  <c r="J27" i="15"/>
  <c r="K27" i="15" s="1"/>
  <c r="J30" i="15"/>
  <c r="K30" i="15" s="1"/>
  <c r="J29" i="15"/>
  <c r="K29" i="15" s="1"/>
  <c r="J31" i="15"/>
  <c r="K31" i="15" s="1"/>
  <c r="I31" i="15" s="1"/>
  <c r="I32" i="15" s="1"/>
  <c r="M14" i="15"/>
  <c r="F14" i="15" s="1"/>
  <c r="L15" i="15"/>
  <c r="E15" i="15" s="1"/>
  <c r="D15" i="15"/>
  <c r="C16" i="15" s="1"/>
  <c r="J32" i="15" l="1"/>
  <c r="K32" i="15" s="1"/>
  <c r="I33" i="15"/>
  <c r="J33" i="15"/>
  <c r="K33" i="15" s="1"/>
  <c r="L16" i="15"/>
  <c r="E16" i="15" s="1"/>
  <c r="D16" i="15"/>
  <c r="C17" i="15" s="1"/>
  <c r="M15" i="15"/>
  <c r="F15" i="15" s="1"/>
  <c r="I34" i="15" l="1"/>
  <c r="J34" i="15"/>
  <c r="K34" i="15" s="1"/>
  <c r="L17" i="15"/>
  <c r="E17" i="15" s="1"/>
  <c r="D17" i="15"/>
  <c r="C18" i="15" s="1"/>
  <c r="M16" i="15"/>
  <c r="F16" i="15" s="1"/>
  <c r="J35" i="15" l="1"/>
  <c r="K35" i="15" s="1"/>
  <c r="I35" i="15" s="1"/>
  <c r="L18" i="15"/>
  <c r="E18" i="15" s="1"/>
  <c r="D18" i="15"/>
  <c r="M17" i="15"/>
  <c r="F17" i="15" s="1"/>
  <c r="I36" i="15" l="1"/>
  <c r="J36" i="15"/>
  <c r="K36" i="15" s="1"/>
  <c r="M18" i="15"/>
  <c r="F18" i="15" s="1"/>
  <c r="C19" i="15"/>
  <c r="J37" i="15" l="1"/>
  <c r="K37" i="15" s="1"/>
  <c r="I37" i="15" s="1"/>
  <c r="D19" i="15"/>
  <c r="C20" i="15" s="1"/>
  <c r="L19" i="15"/>
  <c r="E19" i="15" s="1"/>
  <c r="I38" i="15" l="1"/>
  <c r="J38" i="15"/>
  <c r="K38" i="15" s="1"/>
  <c r="L20" i="15"/>
  <c r="E20" i="15" s="1"/>
  <c r="M19" i="15"/>
  <c r="F19" i="15" s="1"/>
  <c r="I39" i="15" l="1"/>
  <c r="J40" i="15" s="1"/>
  <c r="K40" i="15" s="1"/>
  <c r="I40" i="15" s="1"/>
  <c r="J39" i="15"/>
  <c r="K39" i="15" s="1"/>
  <c r="D20" i="15"/>
  <c r="M20" i="15" s="1"/>
  <c r="F20" i="15" s="1"/>
  <c r="I41" i="15" l="1"/>
  <c r="I42" i="15" s="1"/>
  <c r="J43" i="15" s="1"/>
  <c r="K43" i="15" s="1"/>
  <c r="I43" i="15" s="1"/>
  <c r="J41" i="15"/>
  <c r="K41" i="15" s="1"/>
  <c r="C21" i="15"/>
  <c r="L21" i="15" s="1"/>
  <c r="E21" i="15" s="1"/>
  <c r="I44" i="15" l="1"/>
  <c r="J44" i="15"/>
  <c r="K44" i="15" s="1"/>
  <c r="J42" i="15"/>
  <c r="K42" i="15" s="1"/>
  <c r="D21" i="15"/>
  <c r="M21" i="15" s="1"/>
  <c r="F21" i="15" s="1"/>
  <c r="I45" i="15" l="1"/>
  <c r="J45" i="15"/>
  <c r="K45" i="15" s="1"/>
  <c r="C22" i="15"/>
  <c r="L22" i="15" s="1"/>
  <c r="E22" i="15" s="1"/>
  <c r="I46" i="15" l="1"/>
  <c r="J46" i="15"/>
  <c r="K46" i="15" s="1"/>
  <c r="D22" i="15"/>
  <c r="C23" i="15" s="1"/>
  <c r="L23" i="15" s="1"/>
  <c r="E23" i="15" s="1"/>
  <c r="I47" i="15" l="1"/>
  <c r="J47" i="15"/>
  <c r="K47" i="15" s="1"/>
  <c r="M22" i="15"/>
  <c r="F22" i="15" s="1"/>
  <c r="D23" i="15"/>
  <c r="C24" i="15" s="1"/>
  <c r="I48" i="15" l="1"/>
  <c r="J48" i="15"/>
  <c r="K48" i="15" s="1"/>
  <c r="M23" i="15"/>
  <c r="F23" i="15" s="1"/>
  <c r="L24" i="15"/>
  <c r="E24" i="15" s="1"/>
  <c r="I49" i="15" l="1"/>
  <c r="J49" i="15"/>
  <c r="K49" i="15" s="1"/>
  <c r="D24" i="15"/>
  <c r="I50" i="15" l="1"/>
  <c r="J50" i="15"/>
  <c r="K50" i="15" s="1"/>
  <c r="C25" i="15"/>
  <c r="M24" i="15"/>
  <c r="F24" i="15" s="1"/>
  <c r="I51" i="15" l="1"/>
  <c r="J51" i="15"/>
  <c r="K51" i="15" s="1"/>
  <c r="L25" i="15"/>
  <c r="E25" i="15" s="1"/>
  <c r="I52" i="15" l="1"/>
  <c r="J52" i="15"/>
  <c r="K52" i="15" s="1"/>
  <c r="D25" i="15"/>
  <c r="I53" i="15" l="1"/>
  <c r="J53" i="15"/>
  <c r="K53" i="15" s="1"/>
  <c r="C26" i="15"/>
  <c r="M25" i="15"/>
  <c r="F25" i="15" s="1"/>
  <c r="I54" i="15" l="1"/>
  <c r="J55" i="15" s="1"/>
  <c r="K55" i="15" s="1"/>
  <c r="I55" i="15" s="1"/>
  <c r="J54" i="15"/>
  <c r="K54" i="15" s="1"/>
  <c r="L26" i="15"/>
  <c r="D26" i="15" s="1"/>
  <c r="E26" i="15" l="1"/>
  <c r="M26" i="15" s="1"/>
  <c r="F26" i="15" s="1"/>
  <c r="C27" i="15"/>
  <c r="L27" i="15" l="1"/>
  <c r="D27" i="15" s="1"/>
  <c r="C28" i="15" s="1"/>
  <c r="E27" i="15" l="1"/>
  <c r="M27" i="15" s="1"/>
  <c r="F27" i="15" s="1"/>
  <c r="L28" i="15"/>
  <c r="D28" i="15" s="1"/>
  <c r="C29" i="15" s="1"/>
  <c r="E28" i="15" l="1"/>
  <c r="M28" i="15" s="1"/>
  <c r="F28" i="15" s="1"/>
  <c r="L29" i="15"/>
  <c r="D29" i="15" s="1"/>
  <c r="C30" i="15" s="1"/>
  <c r="E29" i="15" l="1"/>
  <c r="M29" i="15" s="1"/>
  <c r="F29" i="15" s="1"/>
  <c r="L30" i="15"/>
  <c r="D30" i="15" s="1"/>
  <c r="C31" i="15" s="1"/>
  <c r="E30" i="15" l="1"/>
  <c r="M30" i="15" s="1"/>
  <c r="F30" i="15" s="1"/>
  <c r="L31" i="15"/>
  <c r="D31" i="15" s="1"/>
  <c r="C32" i="15" l="1"/>
  <c r="E31" i="15"/>
  <c r="L32" i="15" l="1"/>
  <c r="E32" i="15" s="1"/>
  <c r="M31" i="15"/>
  <c r="F31" i="15" s="1"/>
  <c r="D32" i="15" l="1"/>
  <c r="M32" i="15" s="1"/>
  <c r="F32" i="15" s="1"/>
  <c r="C33" i="15" l="1"/>
  <c r="L33" i="15" s="1"/>
  <c r="E33" i="15" s="1"/>
  <c r="D33" i="15" l="1"/>
  <c r="M33" i="15" s="1"/>
  <c r="F33" i="15" s="1"/>
  <c r="C34" i="15" l="1"/>
  <c r="L34" i="15" l="1"/>
  <c r="E34" i="15" s="1"/>
  <c r="D34" i="15" l="1"/>
  <c r="M34" i="15" l="1"/>
  <c r="F34" i="15" s="1"/>
  <c r="C35" i="15"/>
  <c r="L35" i="15" l="1"/>
  <c r="E35" i="15" s="1"/>
  <c r="D35" i="15" l="1"/>
  <c r="C36" i="15" s="1"/>
  <c r="M35" i="15"/>
  <c r="F35" i="15" s="1"/>
  <c r="L36" i="15" l="1"/>
  <c r="E36" i="15" s="1"/>
  <c r="D36" i="15" l="1"/>
  <c r="M36" i="15" l="1"/>
  <c r="F36" i="15" s="1"/>
  <c r="C37" i="15"/>
  <c r="L37" i="15" l="1"/>
  <c r="E37" i="15" s="1"/>
  <c r="D37" i="15" l="1"/>
  <c r="M37" i="15" l="1"/>
  <c r="F37" i="15" s="1"/>
  <c r="C38" i="15"/>
  <c r="L38" i="15" l="1"/>
  <c r="E38" i="15" s="1"/>
  <c r="D38" i="15" l="1"/>
  <c r="M38" i="15" l="1"/>
  <c r="F38" i="15" s="1"/>
  <c r="C39" i="15"/>
  <c r="L39" i="15" l="1"/>
  <c r="E39" i="15" s="1"/>
  <c r="D39" i="15" l="1"/>
  <c r="M39" i="15" l="1"/>
  <c r="F39" i="15" s="1"/>
  <c r="C40" i="15"/>
  <c r="L40" i="15" l="1"/>
  <c r="E40" i="15" s="1"/>
  <c r="D40" i="15" l="1"/>
  <c r="M40" i="15" l="1"/>
  <c r="F40" i="15" s="1"/>
  <c r="C41" i="15"/>
  <c r="L41" i="15" l="1"/>
  <c r="D41" i="15" s="1"/>
  <c r="E41" i="15" l="1"/>
  <c r="M41" i="15" s="1"/>
  <c r="F41" i="15" s="1"/>
  <c r="C42" i="15"/>
  <c r="L42" i="15" l="1"/>
  <c r="E42" i="15" s="1"/>
  <c r="D42" i="15" l="1"/>
  <c r="C43" i="15" l="1"/>
  <c r="M42" i="15"/>
  <c r="F42" i="15" s="1"/>
  <c r="L43" i="15" l="1"/>
  <c r="D43" i="15" s="1"/>
  <c r="C44" i="15" s="1"/>
  <c r="C45" i="16" l="1"/>
  <c r="L44" i="15"/>
  <c r="E44" i="15" s="1"/>
  <c r="E45" i="16" s="1"/>
  <c r="E43" i="15"/>
  <c r="D44" i="15" l="1"/>
  <c r="M43" i="15"/>
  <c r="F43" i="15" s="1"/>
  <c r="M44" i="15" l="1"/>
  <c r="F44" i="15" s="1"/>
  <c r="D45" i="16"/>
  <c r="C45" i="15"/>
  <c r="L45" i="15" s="1"/>
  <c r="E45" i="15" s="1"/>
  <c r="E46" i="16" s="1"/>
  <c r="C46" i="16"/>
  <c r="D45" i="15" l="1"/>
  <c r="C46" i="15" l="1"/>
  <c r="D46" i="16"/>
  <c r="C47" i="16"/>
  <c r="M45" i="15"/>
  <c r="F45" i="15" s="1"/>
  <c r="F46" i="16" s="1"/>
  <c r="L46" i="15"/>
  <c r="E46" i="15" s="1"/>
  <c r="E47" i="16" s="1"/>
  <c r="D46" i="15" l="1"/>
  <c r="D47" i="16" s="1"/>
  <c r="C47" i="15" l="1"/>
  <c r="M46" i="15"/>
  <c r="F46" i="15" s="1"/>
  <c r="F47" i="16" s="1"/>
  <c r="C48" i="16" l="1"/>
  <c r="L47" i="15"/>
  <c r="E47" i="15" s="1"/>
  <c r="E48" i="16" s="1"/>
  <c r="D47" i="15" l="1"/>
  <c r="D48" i="16" s="1"/>
  <c r="M47" i="15" l="1"/>
  <c r="F47" i="15" s="1"/>
  <c r="F48" i="16" s="1"/>
  <c r="C48" i="15"/>
  <c r="C49" i="16" l="1"/>
  <c r="L48" i="15"/>
  <c r="E48" i="15" s="1"/>
  <c r="E49" i="16" s="1"/>
  <c r="D48" i="15" l="1"/>
  <c r="D49" i="16" s="1"/>
  <c r="M48" i="15" l="1"/>
  <c r="F48" i="15" s="1"/>
  <c r="F49" i="16" s="1"/>
  <c r="C49" i="15"/>
  <c r="C50" i="16" l="1"/>
  <c r="L49" i="15"/>
  <c r="E49" i="15" s="1"/>
  <c r="E50" i="16" s="1"/>
  <c r="D49" i="15" l="1"/>
  <c r="D50" i="16" s="1"/>
  <c r="M49" i="15" l="1"/>
  <c r="F49" i="15" s="1"/>
  <c r="C50" i="15"/>
  <c r="L50" i="15" l="1"/>
  <c r="E50" i="15" s="1"/>
  <c r="E51" i="16" s="1"/>
  <c r="C51" i="16"/>
  <c r="F50" i="16"/>
  <c r="D50" i="15" l="1"/>
  <c r="D51" i="16" s="1"/>
  <c r="M50" i="15" l="1"/>
  <c r="F50" i="15" s="1"/>
  <c r="C51" i="15"/>
  <c r="F51" i="16" l="1"/>
  <c r="C52" i="16"/>
  <c r="L51" i="15"/>
  <c r="E51" i="15" s="1"/>
  <c r="E52" i="16" s="1"/>
  <c r="D51" i="15" l="1"/>
  <c r="D52" i="16" s="1"/>
  <c r="M51" i="15" l="1"/>
  <c r="F51" i="15" s="1"/>
  <c r="C52" i="15"/>
  <c r="C53" i="16" l="1"/>
  <c r="L52" i="15"/>
  <c r="E52" i="15" s="1"/>
  <c r="E53" i="16" s="1"/>
  <c r="F52" i="16"/>
  <c r="D52" i="15" l="1"/>
  <c r="D53" i="16" s="1"/>
  <c r="M52" i="15" l="1"/>
  <c r="F52" i="15" s="1"/>
  <c r="C53" i="15"/>
  <c r="C54" i="16" l="1"/>
  <c r="L53" i="15"/>
  <c r="E53" i="15" s="1"/>
  <c r="E54" i="16" s="1"/>
  <c r="F53" i="16"/>
  <c r="D53" i="15" l="1"/>
  <c r="D54" i="16" s="1"/>
  <c r="M53" i="15" l="1"/>
  <c r="F53" i="15" s="1"/>
  <c r="C54" i="15"/>
  <c r="C55" i="16" l="1"/>
  <c r="L54" i="15"/>
  <c r="E54" i="15" s="1"/>
  <c r="E55" i="16" s="1"/>
  <c r="F54" i="16"/>
  <c r="D54" i="15" l="1"/>
  <c r="D55" i="16" s="1"/>
  <c r="M54" i="15" l="1"/>
  <c r="F54" i="15" s="1"/>
  <c r="F55" i="16" s="1"/>
  <c r="C55" i="15"/>
  <c r="C56" i="16" l="1"/>
  <c r="L55" i="15"/>
  <c r="E55" i="15" s="1"/>
  <c r="E56" i="16" s="1"/>
  <c r="E56" i="15" l="1"/>
  <c r="D55" i="15"/>
  <c r="D56" i="16" l="1"/>
  <c r="D56" i="15"/>
  <c r="M55" i="15"/>
  <c r="F55" i="15" s="1"/>
  <c r="F56" i="16" l="1"/>
  <c r="F56" i="15"/>
  <c r="F45" i="16" l="1"/>
  <c r="A15" i="13" l="1"/>
  <c r="A13" i="13" s="1"/>
  <c r="A13" i="2"/>
  <c r="A11" i="3" s="1"/>
  <c r="A57" i="3" s="1"/>
  <c r="A9" i="20"/>
  <c r="A8" i="19"/>
  <c r="A14" i="13"/>
  <c r="A21" i="23"/>
  <c r="A9" i="8" l="1"/>
  <c r="B90" i="1" l="1"/>
  <c r="F8" i="12" s="1"/>
  <c r="F9" i="16" s="1"/>
  <c r="A24" i="3" l="1"/>
  <c r="A23" i="3"/>
  <c r="A22" i="3" s="1"/>
  <c r="D8" i="12"/>
  <c r="D9" i="16" s="1"/>
  <c r="F9" i="12"/>
  <c r="F10" i="16" s="1"/>
  <c r="F10" i="12" l="1"/>
  <c r="F11" i="16" s="1"/>
  <c r="C9" i="12"/>
  <c r="C10" i="16" s="1"/>
  <c r="E9" i="12" l="1"/>
  <c r="E10" i="16" s="1"/>
  <c r="F11" i="12"/>
  <c r="F12" i="16" s="1"/>
  <c r="F12" i="12" l="1"/>
  <c r="F13" i="16" s="1"/>
  <c r="D9" i="12"/>
  <c r="D10" i="16" s="1"/>
  <c r="C10" i="12" l="1"/>
  <c r="C11" i="16" s="1"/>
  <c r="F13" i="12"/>
  <c r="F14" i="16" s="1"/>
  <c r="E10" i="12" l="1"/>
  <c r="E11" i="16" s="1"/>
  <c r="F14" i="12"/>
  <c r="F15" i="16" s="1"/>
  <c r="F15" i="12" l="1"/>
  <c r="F16" i="16" s="1"/>
  <c r="D10" i="12"/>
  <c r="D11" i="16" s="1"/>
  <c r="C11" i="12" l="1"/>
  <c r="C12" i="16" s="1"/>
  <c r="F16" i="12"/>
  <c r="F17" i="16" s="1"/>
  <c r="F17" i="12" l="1"/>
  <c r="F18" i="16" s="1"/>
  <c r="E11" i="12"/>
  <c r="E12" i="16" s="1"/>
  <c r="D11" i="12" l="1"/>
  <c r="D12" i="16" s="1"/>
  <c r="F18" i="12"/>
  <c r="F19" i="16" s="1"/>
  <c r="F19" i="12" l="1"/>
  <c r="F20" i="16" s="1"/>
  <c r="C12" i="12"/>
  <c r="C13" i="16" s="1"/>
  <c r="E12" i="12" l="1"/>
  <c r="E13" i="16" s="1"/>
  <c r="F20" i="12"/>
  <c r="F21" i="16" s="1"/>
  <c r="F21" i="12" l="1"/>
  <c r="F22" i="16" s="1"/>
  <c r="D12" i="12"/>
  <c r="D13" i="16" s="1"/>
  <c r="C13" i="12" l="1"/>
  <c r="C14" i="16" s="1"/>
  <c r="F22" i="12"/>
  <c r="F23" i="16" s="1"/>
  <c r="F23" i="12" l="1"/>
  <c r="F24" i="16" s="1"/>
  <c r="E13" i="12"/>
  <c r="E14" i="16" s="1"/>
  <c r="D13" i="12" l="1"/>
  <c r="F24" i="12"/>
  <c r="F25" i="16" s="1"/>
  <c r="C14" i="12" l="1"/>
  <c r="C15" i="16" s="1"/>
  <c r="D14" i="16"/>
  <c r="F25" i="12"/>
  <c r="F26" i="16" s="1"/>
  <c r="E14" i="12"/>
  <c r="D14" i="12" l="1"/>
  <c r="E15" i="16"/>
  <c r="F26" i="12"/>
  <c r="F27" i="16" s="1"/>
  <c r="C15" i="12" l="1"/>
  <c r="D15" i="16"/>
  <c r="F27" i="12"/>
  <c r="F28" i="16" s="1"/>
  <c r="C16" i="16" l="1"/>
  <c r="E15" i="12"/>
  <c r="F28" i="12"/>
  <c r="F29" i="16" s="1"/>
  <c r="D15" i="12" l="1"/>
  <c r="E16" i="16"/>
  <c r="F29" i="12"/>
  <c r="F30" i="16" s="1"/>
  <c r="C16" i="12" l="1"/>
  <c r="D16" i="16"/>
  <c r="F30" i="12"/>
  <c r="F31" i="16" s="1"/>
  <c r="C17" i="16" l="1"/>
  <c r="E16" i="12"/>
  <c r="D16" i="12" l="1"/>
  <c r="E17" i="16"/>
  <c r="C17" i="12" l="1"/>
  <c r="D17" i="16"/>
  <c r="C18" i="16" l="1"/>
  <c r="E17" i="12"/>
  <c r="D17" i="12" l="1"/>
  <c r="E18" i="16"/>
  <c r="C18" i="12" l="1"/>
  <c r="D18" i="16"/>
  <c r="C19" i="16" l="1"/>
  <c r="E18" i="12"/>
  <c r="D18" i="12" l="1"/>
  <c r="E19" i="16"/>
  <c r="C19" i="12" l="1"/>
  <c r="D19" i="16"/>
  <c r="C20" i="16" l="1"/>
  <c r="E19" i="12"/>
  <c r="D19" i="12" l="1"/>
  <c r="E20" i="16"/>
  <c r="C20" i="12" l="1"/>
  <c r="D20" i="16"/>
  <c r="C21" i="16" l="1"/>
  <c r="E20" i="12"/>
  <c r="D20" i="12" l="1"/>
  <c r="E21" i="16"/>
  <c r="C21" i="12" l="1"/>
  <c r="D21" i="16"/>
  <c r="C22" i="16" l="1"/>
  <c r="E21" i="12"/>
  <c r="D21" i="12" l="1"/>
  <c r="E22" i="16"/>
  <c r="C22" i="12" l="1"/>
  <c r="D22" i="16"/>
  <c r="C23" i="16" l="1"/>
  <c r="E22" i="12"/>
  <c r="D22" i="12" l="1"/>
  <c r="E23" i="16"/>
  <c r="C23" i="12" l="1"/>
  <c r="D23" i="16"/>
  <c r="C24" i="16" l="1"/>
  <c r="E23" i="12"/>
  <c r="D23" i="12" l="1"/>
  <c r="E24" i="16"/>
  <c r="C24" i="12" l="1"/>
  <c r="D24" i="16"/>
  <c r="C25" i="16" l="1"/>
  <c r="E24" i="12"/>
  <c r="D24" i="12" l="1"/>
  <c r="E25" i="16"/>
  <c r="C25" i="12" l="1"/>
  <c r="D25" i="16"/>
  <c r="C26" i="16" l="1"/>
  <c r="E25" i="12"/>
  <c r="D25" i="12" l="1"/>
  <c r="E26" i="16"/>
  <c r="C26" i="12" l="1"/>
  <c r="D26" i="16"/>
  <c r="C27" i="16" l="1"/>
  <c r="E26" i="12"/>
  <c r="D26" i="12" l="1"/>
  <c r="E27" i="16"/>
  <c r="C27" i="12" l="1"/>
  <c r="D27" i="16"/>
  <c r="C28" i="16" l="1"/>
  <c r="E27" i="12"/>
  <c r="D27" i="12" l="1"/>
  <c r="E28" i="16"/>
  <c r="C28" i="12" l="1"/>
  <c r="D28" i="16"/>
  <c r="C29" i="16" l="1"/>
  <c r="E28" i="12"/>
  <c r="D28" i="12" l="1"/>
  <c r="E29" i="16"/>
  <c r="C29" i="12" l="1"/>
  <c r="D29" i="16"/>
  <c r="C30" i="16" l="1"/>
  <c r="E29" i="12"/>
  <c r="D29" i="12" l="1"/>
  <c r="E30" i="16"/>
  <c r="C30" i="12" l="1"/>
  <c r="D30" i="16"/>
  <c r="C31" i="16" l="1"/>
  <c r="E30" i="12"/>
  <c r="D30" i="12" l="1"/>
  <c r="E31" i="16"/>
  <c r="C31" i="12" l="1"/>
  <c r="D31" i="16"/>
  <c r="C32" i="16" l="1"/>
  <c r="E31" i="12"/>
  <c r="D31" i="12" l="1"/>
  <c r="F31" i="12" s="1"/>
  <c r="F32" i="16" s="1"/>
  <c r="E32" i="16"/>
  <c r="C32" i="12" l="1"/>
  <c r="D32" i="16"/>
  <c r="C33" i="16" l="1"/>
  <c r="E32" i="12"/>
  <c r="D32" i="12" l="1"/>
  <c r="F32" i="12" s="1"/>
  <c r="F33" i="16" s="1"/>
  <c r="E33" i="16"/>
  <c r="C33" i="12" l="1"/>
  <c r="D33" i="16"/>
  <c r="C34" i="16" l="1"/>
  <c r="E33" i="12"/>
  <c r="D33" i="12" l="1"/>
  <c r="F33" i="12" s="1"/>
  <c r="F34" i="16" s="1"/>
  <c r="E34" i="16"/>
  <c r="C34" i="12" l="1"/>
  <c r="D34" i="16"/>
  <c r="C35" i="16" l="1"/>
  <c r="E34" i="12"/>
  <c r="D34" i="12" l="1"/>
  <c r="F34" i="12" s="1"/>
  <c r="F35" i="16" s="1"/>
  <c r="E35" i="16"/>
  <c r="C35" i="12" l="1"/>
  <c r="D35" i="16"/>
  <c r="C36" i="16" l="1"/>
  <c r="E35" i="12"/>
  <c r="D35" i="12" l="1"/>
  <c r="F35" i="12" s="1"/>
  <c r="F36" i="16" s="1"/>
  <c r="E36" i="16"/>
  <c r="C36" i="12" l="1"/>
  <c r="D36" i="16"/>
  <c r="C37" i="16" l="1"/>
  <c r="E36" i="12"/>
  <c r="D36" i="12" l="1"/>
  <c r="F36" i="12" s="1"/>
  <c r="F37" i="16" s="1"/>
  <c r="E37" i="16"/>
  <c r="C37" i="12" l="1"/>
  <c r="D37" i="16"/>
  <c r="C38" i="16" l="1"/>
  <c r="E37" i="12"/>
  <c r="D37" i="12" l="1"/>
  <c r="F37" i="12" s="1"/>
  <c r="F38" i="16" s="1"/>
  <c r="E38" i="16"/>
  <c r="C38" i="12" l="1"/>
  <c r="D38" i="16"/>
  <c r="C39" i="16" l="1"/>
  <c r="E38" i="12"/>
  <c r="D38" i="12" l="1"/>
  <c r="F38" i="12" s="1"/>
  <c r="F39" i="16" s="1"/>
  <c r="E39" i="16"/>
  <c r="C39" i="12" l="1"/>
  <c r="D39" i="16"/>
  <c r="C40" i="16" l="1"/>
  <c r="E39" i="12"/>
  <c r="D39" i="12" l="1"/>
  <c r="F39" i="12" s="1"/>
  <c r="F40" i="16" s="1"/>
  <c r="E40" i="16"/>
  <c r="C40" i="12" l="1"/>
  <c r="D40" i="16"/>
  <c r="C41" i="16" l="1"/>
  <c r="E40" i="12"/>
  <c r="D40" i="12" l="1"/>
  <c r="F40" i="12" s="1"/>
  <c r="F41" i="16" s="1"/>
  <c r="E41" i="16"/>
  <c r="C41" i="12" l="1"/>
  <c r="D41" i="16"/>
  <c r="C42" i="16" l="1"/>
  <c r="E41" i="12"/>
  <c r="D41" i="12" l="1"/>
  <c r="F41" i="12" s="1"/>
  <c r="F42" i="16" s="1"/>
  <c r="E42" i="16"/>
  <c r="C42" i="12" l="1"/>
  <c r="D42" i="16"/>
  <c r="C43" i="16" l="1"/>
  <c r="E42" i="12"/>
  <c r="D42" i="12" l="1"/>
  <c r="F42" i="12" s="1"/>
  <c r="F43" i="16" s="1"/>
  <c r="E43" i="16"/>
  <c r="C43" i="12" l="1"/>
  <c r="D43" i="16"/>
  <c r="C44" i="16" l="1"/>
  <c r="D43" i="12"/>
  <c r="E43" i="12"/>
  <c r="D44" i="16" l="1"/>
  <c r="F43" i="12"/>
  <c r="D56" i="12"/>
  <c r="D57" i="16" s="1"/>
  <c r="E56" i="12"/>
  <c r="E57" i="16" s="1"/>
  <c r="E44" i="16"/>
  <c r="F56" i="12" l="1"/>
  <c r="F44" i="16"/>
  <c r="F57" i="16" s="1"/>
</calcChain>
</file>

<file path=xl/sharedStrings.xml><?xml version="1.0" encoding="utf-8"?>
<sst xmlns="http://schemas.openxmlformats.org/spreadsheetml/2006/main" count="636" uniqueCount="454">
  <si>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</si>
  <si>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</si>
  <si>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</si>
  <si>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</si>
  <si>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</si>
  <si>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</si>
  <si>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</si>
  <si>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</si>
  <si>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</si>
  <si>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</si>
  <si>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</si>
  <si>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</si>
  <si>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</si>
  <si>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</si>
  <si>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</si>
  <si>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</si>
  <si>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</si>
  <si>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</si>
  <si>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</si>
  <si>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</si>
  <si>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</si>
  <si>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 кадастра</t>
  </si>
  <si>
    <t>990000__</t>
  </si>
  <si>
    <t>июля</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</si>
  <si>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</si>
  <si>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</si>
  <si>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</si>
  <si>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</si>
  <si>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</si>
  <si>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</si>
  <si>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</si>
  <si>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</si>
  <si>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</si>
  <si>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</si>
  <si>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</si>
  <si>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</si>
  <si>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</si>
  <si>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</si>
  <si>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</si>
  <si>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</si>
  <si>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</si>
  <si>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</si>
  <si>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</si>
  <si>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</si>
  <si>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</si>
  <si>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</si>
  <si>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</si>
  <si>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</si>
  <si>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</si>
  <si>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</si>
  <si>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</si>
  <si>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</si>
  <si>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</si>
  <si>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</si>
  <si>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</si>
  <si>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</si>
  <si>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</si>
  <si>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</si>
  <si>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</si>
  <si>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</si>
  <si>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</si>
  <si>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</si>
  <si>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</si>
  <si>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</si>
  <si>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</si>
  <si>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</si>
  <si>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</si>
  <si>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</si>
  <si>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</si>
  <si>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</si>
  <si>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</si>
  <si>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</si>
  <si>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</si>
  <si>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</si>
  <si>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</si>
  <si>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</si>
  <si>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</si>
  <si>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</si>
  <si>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</si>
  <si>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</si>
  <si>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</si>
  <si>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</si>
  <si>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</si>
  <si>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</si>
  <si>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</si>
  <si>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</si>
  <si>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</si>
  <si>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</si>
  <si>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</si>
  <si>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</si>
  <si>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</si>
  <si>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</si>
  <si>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</si>
  <si>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</si>
  <si>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</si>
  <si>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</si>
  <si>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</si>
  <si>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</si>
  <si>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</si>
  <si>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</si>
  <si>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</si>
  <si>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</si>
  <si>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</si>
  <si>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</si>
  <si>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</si>
  <si>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</si>
  <si>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</si>
  <si>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</si>
  <si>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</si>
  <si>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</si>
  <si>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</si>
  <si>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</si>
  <si>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</si>
  <si>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</si>
  <si>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</si>
  <si>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</si>
  <si>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</si>
  <si>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</si>
  <si>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</si>
  <si>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</si>
  <si>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</si>
  <si>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</si>
  <si>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</si>
  <si>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</si>
  <si>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</si>
  <si>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</si>
  <si>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</si>
  <si>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</si>
  <si>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</si>
  <si>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</si>
  <si>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</si>
  <si>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</si>
  <si>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</si>
  <si>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</si>
  <si>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</si>
  <si>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</si>
  <si>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</si>
  <si>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</si>
  <si>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</si>
  <si>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</si>
  <si>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</si>
  <si>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</si>
  <si>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</si>
  <si>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</si>
  <si>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</si>
  <si>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</si>
  <si>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Mikromoliya tashkiloti va Qarz oluvchi</t>
  </si>
  <si>
    <t>reestr raqami</t>
  </si>
  <si>
    <t>uy</t>
  </si>
  <si>
    <t>xonadon</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</si>
  <si>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</si>
  <si>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</si>
  <si>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</si>
  <si>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</si>
  <si>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</si>
  <si>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</si>
  <si>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</si>
  <si>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</si>
  <si>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</si>
  <si>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</si>
  <si>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</si>
  <si>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</si>
  <si>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</si>
  <si>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</si>
  <si>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</si>
  <si>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</si>
  <si>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</si>
  <si>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</si>
  <si>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</si>
  <si>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</si>
  <si>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</si>
  <si>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hujjat asosida</t>
  </si>
  <si>
    <t xml:space="preserve">Manzil </t>
  </si>
  <si>
    <t>h/r</t>
  </si>
  <si>
    <t>Bank MFOsi</t>
  </si>
  <si>
    <t>Bankning nomlanishi</t>
  </si>
  <si>
    <t>STIR</t>
  </si>
  <si>
    <t>Kreditlash bo’limi boshlig’i</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</si>
  <si>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</si>
  <si>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</si>
  <si>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</si>
  <si>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</si>
  <si>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</si>
  <si>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</si>
  <si>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</si>
  <si>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</si>
  <si>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</si>
  <si>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</si>
  <si>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</si>
  <si>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</si>
  <si>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</si>
  <si>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</si>
  <si>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</si>
  <si>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</si>
  <si>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</si>
  <si>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</si>
  <si>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</si>
  <si>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</si>
  <si>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</si>
  <si>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</si>
  <si>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</si>
  <si>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</si>
  <si>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Yashash xona</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</si>
  <si>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</si>
  <si>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</si>
  <si>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</si>
  <si>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</si>
  <si>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</si>
  <si>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</si>
  <si>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</si>
  <si>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</si>
  <si>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</si>
  <si>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</si>
  <si>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</si>
  <si>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</si>
  <si>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</si>
  <si>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</si>
  <si>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</si>
  <si>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</si>
  <si>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</si>
  <si>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</si>
  <si>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</si>
  <si>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</si>
  <si>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</si>
  <si>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</si>
  <si>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</si>
  <si>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</si>
  <si>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</si>
  <si>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</si>
  <si>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</si>
  <si>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</si>
  <si>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</si>
  <si>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</si>
  <si>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</si>
  <si>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</si>
  <si>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</si>
  <si>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</si>
  <si>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</si>
  <si>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</si>
  <si>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</si>
  <si>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</si>
  <si>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</si>
  <si>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</si>
  <si>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</si>
  <si>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</si>
  <si>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</si>
  <si>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</si>
  <si>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</si>
  <si>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</si>
  <si>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</si>
  <si>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</si>
  <si>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</si>
  <si>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</si>
  <si>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</si>
  <si>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</si>
  <si>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</si>
  <si>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</si>
  <si>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Yer uchastkasining foydalanish maydoni, m²</t>
  </si>
  <si>
    <t>Yashash maydoni, m²</t>
  </si>
  <si>
    <t>Umumiy maydoni, m²</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</si>
  <si>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</si>
  <si>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</si>
  <si>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</si>
  <si>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</si>
  <si>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</si>
  <si>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</si>
  <si>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</si>
  <si>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</si>
  <si>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</si>
  <si>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</si>
  <si>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</si>
  <si>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</si>
  <si>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</si>
  <si>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</si>
  <si>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</si>
  <si>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</si>
  <si>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</si>
  <si>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</si>
  <si>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</si>
  <si>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</si>
  <si>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</si>
  <si>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</si>
  <si>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</si>
  <si>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</si>
  <si>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</si>
  <si>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</si>
  <si>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</si>
  <si>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</si>
  <si>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</si>
  <si>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</si>
  <si>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</si>
  <si>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</si>
  <si>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</si>
  <si>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</si>
  <si>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</si>
  <si>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</si>
  <si>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</si>
  <si>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</si>
  <si>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</si>
  <si>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</si>
  <si>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</si>
  <si>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</si>
  <si>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</si>
  <si>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</si>
  <si>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</si>
  <si>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</si>
  <si>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</si>
  <si>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</si>
  <si>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</si>
  <si>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</si>
  <si>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</si>
  <si>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</si>
  <si>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</si>
  <si>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</si>
  <si>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</si>
  <si>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</si>
  <si>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</si>
  <si>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</si>
  <si>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</si>
  <si>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</si>
  <si>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</si>
  <si>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</si>
  <si>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</si>
  <si>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</si>
  <si>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</si>
  <si>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</si>
  <si>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</si>
  <si>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</si>
  <si>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</si>
  <si>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</si>
  <si>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</si>
  <si>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</si>
  <si>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</si>
  <si>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</si>
  <si>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</si>
  <si>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</si>
  <si>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</si>
  <si>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</si>
  <si>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</si>
  <si>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</si>
  <si>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</si>
  <si>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</si>
  <si>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</si>
  <si>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 sanasidan</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</si>
  <si>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</si>
  <si>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</si>
  <si>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</si>
  <si>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</si>
  <si>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</si>
  <si>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</si>
  <si>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</si>
  <si>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</si>
  <si>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</si>
  <si>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</si>
  <si>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</si>
  <si>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</si>
  <si>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</si>
  <si>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</si>
  <si>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</si>
  <si>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</si>
  <si>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</si>
  <si>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</si>
  <si>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</si>
  <si>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</si>
  <si>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</si>
  <si>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</si>
  <si>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</si>
  <si>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</si>
  <si>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</si>
  <si>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</si>
  <si>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</si>
  <si>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</si>
  <si>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</si>
  <si>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</si>
  <si>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Kredit bo'yicha menejer</t>
  </si>
  <si>
    <t>(MA'LUMOTNOMA №</t>
  </si>
  <si>
    <t>Ruzmatov S. R.</t>
  </si>
  <si>
    <t>Obidov A. Sh.</t>
  </si>
  <si>
    <t>Obidov Abdullo Shokir o'g'li</t>
  </si>
  <si>
    <t>«PULLOL BUSINESS MIKROMOLIYA TASHKILOTI»  MChJ</t>
  </si>
  <si>
    <t>Toshkent shahri, Yakkasaroy tumani, Rakat ko'chasi, 10-uy, 18 xonadon</t>
  </si>
  <si>
    <t>№01088</t>
  </si>
  <si>
    <t>Abduraximova T.N.</t>
  </si>
  <si>
    <t>(71) 555 10 02 17</t>
  </si>
  <si>
    <t>27-13/968</t>
  </si>
  <si>
    <t>14.08.2023y</t>
  </si>
  <si>
    <t>Bosh buxgalter FISh</t>
  </si>
  <si>
    <t>№ 20208000405643889001</t>
  </si>
  <si>
    <t>310430149</t>
  </si>
  <si>
    <t>ATB “Kapitalbank” Markaziy amaliyotlar bo'limi</t>
  </si>
  <si>
    <t>Umumiy maydon</t>
  </si>
  <si>
    <t>Umumiy foydali maydoni</t>
  </si>
  <si>
    <t>Ko'chmas mulkning umumiy maydoni</t>
  </si>
  <si>
    <t>Ko'chmas mulkning yashash maydoni</t>
  </si>
  <si>
    <t>6. Boshqa shartlar – ko'chmas mulk vositasi shaklida garov ta'minlangandan keyin mikroqarz berish.</t>
  </si>
  <si>
    <t>43.96</t>
  </si>
  <si>
    <t>18.82</t>
  </si>
  <si>
    <t>Eshbekov S.O.</t>
  </si>
  <si>
    <t>Direktor</t>
  </si>
  <si>
    <t>Direktori</t>
  </si>
  <si>
    <t>3</t>
  </si>
  <si>
    <t xml:space="preserve">                                    97 706 96 65</t>
  </si>
  <si>
    <t>yashash maydoni</t>
  </si>
  <si>
    <t>Mikroqarz</t>
  </si>
  <si>
    <t>Akramov R.N.</t>
  </si>
  <si>
    <t>Mikrokredit</t>
  </si>
  <si>
    <t>qurilish osti maydoni</t>
  </si>
  <si>
    <t>Qurilish osti maydoni</t>
  </si>
  <si>
    <t>Qurilish osti maydoni, m²</t>
  </si>
  <si>
    <t>TOSHKENT</t>
  </si>
  <si>
    <t>Mijoz quyidagi majburiyatlarga ega: "TOShKENT Sh., "UZSАNOАTQURILIShBАNKI" АTB BOSh OFISI 6 452 222.00, TOShKENT Sh., "АGROBАNK" АTB TOShKENT ShАXАR FILIАLI 11 979 900.00, TOShKENT Sh., "TBC BANK" АKTSIYADORLIK TIJORАT BАNKI 2 325 840.00, TOShKENT Sh., "ANOR BANK" АKTSIYADORLIK JАMIYATI 41 026 583.00, Alif Moliya 789 360.00., Ayni paytda muddati o'tgan qarzdorligi mavjud emas. O‘rtacha oylik to‘lov 4 208 626.10  so‘mni tashkil qiladi.</t>
  </si>
  <si>
    <t>Yakka tartibdagi uy-joy</t>
  </si>
  <si>
    <t>umumiy yer maydoni, (m2)</t>
  </si>
  <si>
    <t>Umumiy yer maydoni, (m2)</t>
  </si>
  <si>
    <t>Umumiy yer maydoni, m²</t>
  </si>
  <si>
    <t>umumiy foydali maydoni</t>
  </si>
  <si>
    <t>Umumiy foydali maydoni, m²</t>
  </si>
  <si>
    <t>Qurilish osti maydoni, (m2)</t>
  </si>
  <si>
    <t>Umumiy foydali maydoni, (m2)</t>
  </si>
  <si>
    <t>Yashash maydoni, (m2)</t>
  </si>
  <si>
    <t>IIV 26266</t>
  </si>
  <si>
    <t>TOSHKENT SHAHAR YUNUSOBOD TUMANI OTCHOPAR-1 MFY KARIM ZARIPOV KO'CHASI 8-6 UY</t>
  </si>
  <si>
    <r>
      <t>№</t>
    </r>
    <r>
      <rPr>
        <sz val="12"/>
        <color theme="1"/>
        <rFont val="Arial"/>
        <family val="2"/>
        <charset val="204"/>
      </rPr>
      <t>1726266/R-A5552339</t>
    </r>
  </si>
  <si>
    <t>07.01.2025 y. №10:07:04:02:02:7296/06</t>
  </si>
  <si>
    <t>48.67</t>
  </si>
  <si>
    <t>30.84</t>
  </si>
  <si>
    <t>Omanlikov O.O.</t>
  </si>
  <si>
    <t>AD 3925702</t>
  </si>
  <si>
    <t>14.12.1968 yil</t>
  </si>
  <si>
    <t>SIMONYAN VADIM ROMANOVICH</t>
  </si>
  <si>
    <t>SIMONYAN V. R.</t>
  </si>
  <si>
    <t>№43</t>
  </si>
  <si>
    <t>71 212 15 05 UY</t>
  </si>
  <si>
    <t>CHINOBOD SANATORIY SANTINI</t>
  </si>
  <si>
    <t xml:space="preserve">93 554 55 99 MIJOZ </t>
  </si>
  <si>
    <t>99 899 80 88 JIYANI</t>
  </si>
  <si>
    <t>Umumiy yer maydoni (m2)</t>
  </si>
  <si>
    <t>Qurilish osti maydoni (m2)</t>
  </si>
  <si>
    <t>Umumiy foydali maydoni (m2)</t>
  </si>
  <si>
    <t>Yashash maydoni (m2)</t>
  </si>
  <si>
    <t>o'lti</t>
  </si>
  <si>
    <t>o'n ikki</t>
  </si>
  <si>
    <t>o'n olti</t>
  </si>
  <si>
    <t>o'n sakkiz</t>
  </si>
  <si>
    <t>yigirma to'rt</t>
  </si>
  <si>
    <t>yigirma sakkiz</t>
  </si>
  <si>
    <t xml:space="preserve">o'ttiz </t>
  </si>
  <si>
    <t>o'ttiz olti</t>
  </si>
  <si>
    <t>qirq sakkiz</t>
  </si>
  <si>
    <t>50</t>
  </si>
  <si>
    <t>bir yuz ellik besh</t>
  </si>
  <si>
    <t>155</t>
  </si>
  <si>
    <t>02.02.2026</t>
  </si>
  <si>
    <t>besh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</si>
</sst>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60">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1"/>
      <color theme="0"/>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sz val="12"/>
      <color rgb="FF585858"/>
      <name val="SegoeUI"/>
    </font>
    <font>
      <b/>
      <i/>
      <sz val="12"/>
      <color theme="1"/>
      <name val="Times New Roman"/>
      <family val="1"/>
      <charset val="204"/>
    </font>
    <font>
      <b/>
      <sz val="36"/>
      <color theme="1"/>
      <name val="Times New Roman"/>
      <family val="1"/>
      <charset val="204"/>
    </font>
    <font>
      <sz val="12"/>
      <name val="Arial"/>
      <family val="2"/>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11"/>
      <color theme="0"/>
      <name val="Arial"/>
      <family val="2"/>
      <charset val="204"/>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sz val="11"/>
      <color rgb="FF000000"/>
      <name val="Arial"/>
      <family val="2"/>
      <charset val="204"/>
    </font>
    <font>
      <sz val="8"/>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bgColor indexed="64"/>
      </patternFill>
    </fill>
    <fill>
      <patternFill patternType="solid">
        <fgColor theme="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39">
    <xf numFmtId="0" fontId="0"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56" fillId="0" borderId="0">
      <alignment vertical="center"/>
    </xf>
    <xf numFmtId="0" fontId="56" fillId="0" borderId="0">
      <alignment vertical="center"/>
    </xf>
    <xf numFmtId="43"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383">
    <xf numFmtId="0" fontId="0" fillId="0" borderId="0" xfId="0"/>
    <xf numFmtId="0" fontId="4" fillId="0" borderId="1" xfId="0" applyFont="1" applyBorder="1" applyAlignment="1">
      <alignment vertical="center" wrapText="1"/>
    </xf>
    <xf numFmtId="49" fontId="4" fillId="0" borderId="1" xfId="0" applyNumberFormat="1" applyFont="1" applyBorder="1" applyAlignment="1">
      <alignment vertical="center" wrapText="1"/>
    </xf>
    <xf numFmtId="0" fontId="5" fillId="2" borderId="1" xfId="0" applyFont="1" applyFill="1" applyBorder="1" applyAlignment="1">
      <alignment vertical="center" wrapText="1"/>
    </xf>
    <xf numFmtId="0" fontId="4" fillId="0" borderId="0" xfId="0" applyFont="1"/>
    <xf numFmtId="0" fontId="6" fillId="0" borderId="0" xfId="0" applyFont="1"/>
    <xf numFmtId="0" fontId="5" fillId="0" borderId="0" xfId="0" applyFont="1" applyAlignment="1">
      <alignment vertical="center" wrapText="1"/>
    </xf>
    <xf numFmtId="0" fontId="4" fillId="0" borderId="0" xfId="0" applyFont="1" applyAlignment="1">
      <alignment vertical="center" wrapText="1"/>
    </xf>
    <xf numFmtId="165" fontId="4" fillId="0" borderId="1" xfId="0" applyNumberFormat="1" applyFont="1" applyBorder="1" applyAlignment="1">
      <alignment vertical="center" wrapText="1"/>
    </xf>
    <xf numFmtId="43" fontId="4" fillId="0" borderId="1" xfId="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4"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4" fillId="4" borderId="1" xfId="0" applyFont="1" applyFill="1" applyBorder="1" applyAlignment="1">
      <alignment vertical="center" wrapText="1"/>
    </xf>
    <xf numFmtId="16" fontId="4" fillId="0" borderId="0" xfId="0" applyNumberFormat="1" applyFont="1"/>
    <xf numFmtId="0" fontId="4" fillId="0" borderId="1" xfId="0" applyFont="1" applyBorder="1"/>
    <xf numFmtId="0" fontId="4" fillId="0" borderId="1" xfId="0" applyFont="1" applyBorder="1" applyAlignment="1">
      <alignment horizontal="left" vertical="center"/>
    </xf>
    <xf numFmtId="0" fontId="13" fillId="0" borderId="1" xfId="0" applyFont="1" applyBorder="1" applyAlignment="1">
      <alignment horizontal="justify" vertical="top" wrapText="1"/>
    </xf>
    <xf numFmtId="0" fontId="14" fillId="0" borderId="1" xfId="0" applyFont="1" applyBorder="1" applyAlignment="1">
      <alignment horizontal="justify" vertical="top" wrapText="1"/>
    </xf>
    <xf numFmtId="0" fontId="5" fillId="0" borderId="0" xfId="0" applyFont="1" applyAlignment="1">
      <alignment vertical="center"/>
    </xf>
    <xf numFmtId="0" fontId="14" fillId="0" borderId="0" xfId="0" applyFont="1" applyAlignment="1">
      <alignment horizontal="center" vertical="center" wrapText="1"/>
    </xf>
    <xf numFmtId="43" fontId="13" fillId="0" borderId="1" xfId="1" applyFont="1" applyBorder="1" applyAlignment="1">
      <alignment horizontal="justify" vertical="top" wrapText="1"/>
    </xf>
    <xf numFmtId="43" fontId="14" fillId="0" borderId="1" xfId="1" applyFont="1" applyBorder="1" applyAlignment="1">
      <alignment horizontal="justify" vertical="top" wrapText="1"/>
    </xf>
    <xf numFmtId="43" fontId="14" fillId="0" borderId="1" xfId="1" applyFont="1" applyBorder="1" applyAlignment="1">
      <alignment horizontal="center" vertical="top" wrapText="1"/>
    </xf>
    <xf numFmtId="43" fontId="26" fillId="0" borderId="1" xfId="1" applyFont="1" applyBorder="1"/>
    <xf numFmtId="43" fontId="4"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4"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0" fontId="6" fillId="5" borderId="0" xfId="0" applyFont="1" applyFill="1"/>
    <xf numFmtId="0" fontId="28" fillId="0" borderId="0" xfId="0" applyFont="1"/>
    <xf numFmtId="165" fontId="4"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31" fillId="0" borderId="0" xfId="0" applyFont="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43" fontId="4" fillId="4" borderId="3" xfId="1" applyFont="1" applyFill="1" applyBorder="1" applyAlignment="1">
      <alignment vertical="center" wrapText="1"/>
    </xf>
    <xf numFmtId="0" fontId="34" fillId="5" borderId="16" xfId="0" applyFont="1" applyFill="1" applyBorder="1"/>
    <xf numFmtId="0" fontId="5" fillId="2" borderId="1" xfId="0" applyFont="1" applyFill="1" applyBorder="1" applyAlignment="1">
      <alignment horizontal="right" vertical="center" wrapText="1"/>
    </xf>
    <xf numFmtId="164" fontId="4" fillId="0" borderId="0" xfId="0" applyNumberFormat="1" applyFont="1" applyAlignment="1">
      <alignmen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4" fillId="6" borderId="1" xfId="0" applyFont="1" applyFill="1" applyBorder="1" applyAlignment="1">
      <alignment vertical="center" wrapText="1"/>
    </xf>
    <xf numFmtId="14" fontId="4" fillId="4" borderId="0" xfId="0" applyNumberFormat="1" applyFont="1" applyFill="1"/>
    <xf numFmtId="0" fontId="4" fillId="6" borderId="13" xfId="0" applyFont="1" applyFill="1" applyBorder="1" applyAlignment="1">
      <alignment vertical="center"/>
    </xf>
    <xf numFmtId="0" fontId="4" fillId="6" borderId="0" xfId="0" applyFont="1" applyFill="1"/>
    <xf numFmtId="0" fontId="4" fillId="2" borderId="1" xfId="0" applyFont="1" applyFill="1" applyBorder="1"/>
    <xf numFmtId="0" fontId="4" fillId="2" borderId="1" xfId="0" applyFont="1" applyFill="1" applyBorder="1" applyAlignment="1">
      <alignment wrapText="1"/>
    </xf>
    <xf numFmtId="165" fontId="4" fillId="2" borderId="1" xfId="0" applyNumberFormat="1" applyFont="1" applyFill="1" applyBorder="1" applyAlignment="1">
      <alignment horizontal="left" vertical="center" wrapText="1"/>
    </xf>
    <xf numFmtId="14" fontId="4" fillId="6" borderId="1" xfId="0" applyNumberFormat="1" applyFont="1" applyFill="1" applyBorder="1" applyAlignment="1">
      <alignment vertical="center" wrapText="1"/>
    </xf>
    <xf numFmtId="165" fontId="4" fillId="6" borderId="1" xfId="0" applyNumberFormat="1" applyFont="1" applyFill="1" applyBorder="1" applyAlignment="1">
      <alignment vertical="center" wrapText="1"/>
    </xf>
    <xf numFmtId="0" fontId="4" fillId="7" borderId="1" xfId="0" applyFont="1" applyFill="1" applyBorder="1" applyAlignment="1">
      <alignment vertical="center" wrapText="1"/>
    </xf>
    <xf numFmtId="9" fontId="4" fillId="7" borderId="1" xfId="0" applyNumberFormat="1" applyFont="1" applyFill="1" applyBorder="1" applyAlignment="1">
      <alignment vertical="center" wrapText="1"/>
    </xf>
    <xf numFmtId="49" fontId="4" fillId="7" borderId="1" xfId="1" applyNumberFormat="1" applyFont="1" applyFill="1" applyBorder="1" applyAlignment="1">
      <alignment vertical="center" wrapText="1"/>
    </xf>
    <xf numFmtId="40" fontId="4" fillId="7" borderId="1" xfId="1" applyNumberFormat="1" applyFont="1" applyFill="1" applyBorder="1" applyAlignment="1">
      <alignment vertical="center" wrapText="1"/>
    </xf>
    <xf numFmtId="0" fontId="4" fillId="6"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49" fontId="4" fillId="4" borderId="1" xfId="0" applyNumberFormat="1" applyFont="1" applyFill="1" applyBorder="1" applyAlignment="1">
      <alignment horizontal="left" vertical="center" wrapText="1"/>
    </xf>
    <xf numFmtId="0" fontId="35" fillId="0" borderId="0" xfId="0" applyFont="1"/>
    <xf numFmtId="0" fontId="26" fillId="0" borderId="0" xfId="0" applyFont="1"/>
    <xf numFmtId="0" fontId="35"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8"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2" fontId="14" fillId="0" borderId="1" xfId="0" applyNumberFormat="1" applyFont="1" applyBorder="1" applyAlignment="1">
      <alignment horizontal="justify" vertical="top" wrapText="1"/>
    </xf>
    <xf numFmtId="43" fontId="13" fillId="0" borderId="1" xfId="1" applyFont="1" applyBorder="1" applyAlignment="1">
      <alignment horizontal="center" vertical="top" wrapText="1"/>
    </xf>
    <xf numFmtId="43" fontId="13" fillId="0" borderId="1" xfId="1" applyFont="1" applyBorder="1" applyAlignment="1">
      <alignment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4" fillId="3" borderId="1" xfId="0" applyFont="1" applyFill="1" applyBorder="1" applyAlignment="1">
      <alignment horizontal="center" vertical="center" wrapText="1"/>
    </xf>
    <xf numFmtId="0" fontId="13" fillId="0" borderId="0" xfId="0" applyFont="1" applyAlignment="1">
      <alignment vertical="top"/>
    </xf>
    <xf numFmtId="14" fontId="4" fillId="0" borderId="1" xfId="0" applyNumberFormat="1" applyFont="1" applyBorder="1"/>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4" fillId="4" borderId="1" xfId="0" applyNumberFormat="1" applyFont="1" applyFill="1" applyBorder="1" applyAlignment="1">
      <alignment vertical="center" wrapText="1"/>
    </xf>
    <xf numFmtId="0" fontId="13" fillId="0" borderId="0" xfId="0" applyFont="1" applyAlignment="1">
      <alignment horizontal="right"/>
    </xf>
    <xf numFmtId="0" fontId="5" fillId="6" borderId="1" xfId="0" applyFont="1" applyFill="1" applyBorder="1" applyAlignment="1">
      <alignment horizontal="left" vertical="center" wrapText="1"/>
    </xf>
    <xf numFmtId="0" fontId="5" fillId="6" borderId="1" xfId="0" applyFont="1" applyFill="1" applyBorder="1" applyAlignment="1">
      <alignment vertical="center" wrapText="1"/>
    </xf>
    <xf numFmtId="11" fontId="4" fillId="4" borderId="1" xfId="0" applyNumberFormat="1"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14" fontId="9" fillId="4" borderId="1" xfId="0" applyNumberFormat="1" applyFont="1" applyFill="1" applyBorder="1" applyAlignment="1">
      <alignment horizontal="center" vertical="center" wrapText="1"/>
    </xf>
    <xf numFmtId="164" fontId="4" fillId="4" borderId="3" xfId="0" applyNumberFormat="1" applyFont="1" applyFill="1" applyBorder="1" applyAlignment="1">
      <alignment horizontal="left" vertical="top" wrapText="1"/>
    </xf>
    <xf numFmtId="0" fontId="4"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164" fontId="4" fillId="4" borderId="1" xfId="0" applyNumberFormat="1" applyFont="1" applyFill="1" applyBorder="1" applyAlignment="1">
      <alignment vertical="center" wrapText="1"/>
    </xf>
    <xf numFmtId="0" fontId="16" fillId="0" borderId="0" xfId="0" applyFont="1" applyAlignment="1">
      <alignment horizontal="center" vertical="top" wrapText="1"/>
    </xf>
    <xf numFmtId="0" fontId="4" fillId="5" borderId="0" xfId="0" applyFont="1" applyFill="1"/>
    <xf numFmtId="0" fontId="44" fillId="2" borderId="1" xfId="0" applyFont="1" applyFill="1" applyBorder="1" applyAlignment="1">
      <alignment vertical="center" wrapText="1"/>
    </xf>
    <xf numFmtId="0" fontId="4" fillId="9" borderId="1" xfId="0" applyFont="1" applyFill="1" applyBorder="1" applyAlignment="1">
      <alignment vertical="center" wrapText="1"/>
    </xf>
    <xf numFmtId="0" fontId="4" fillId="3" borderId="1" xfId="0" applyFont="1" applyFill="1" applyBorder="1" applyAlignment="1">
      <alignment horizontal="center" vertical="center"/>
    </xf>
    <xf numFmtId="0" fontId="4" fillId="10" borderId="0" xfId="0" applyFont="1" applyFill="1"/>
    <xf numFmtId="0" fontId="42" fillId="0" borderId="0" xfId="0" applyFont="1" applyAlignment="1">
      <alignment vertical="center"/>
    </xf>
    <xf numFmtId="0" fontId="2" fillId="0" borderId="0" xfId="0" applyFont="1"/>
    <xf numFmtId="0" fontId="45" fillId="0" borderId="0" xfId="0" applyFont="1" applyAlignment="1">
      <alignment vertical="center"/>
    </xf>
    <xf numFmtId="0" fontId="46" fillId="0" borderId="0" xfId="0" applyFont="1" applyAlignment="1">
      <alignment wrapText="1"/>
    </xf>
    <xf numFmtId="0" fontId="7" fillId="0" borderId="0" xfId="0" applyFont="1" applyAlignment="1">
      <alignment wrapText="1"/>
    </xf>
    <xf numFmtId="0" fontId="14" fillId="0" borderId="0" xfId="0" applyFont="1" applyAlignment="1">
      <alignment horizontal="right" wrapText="1"/>
    </xf>
    <xf numFmtId="0" fontId="48" fillId="0" borderId="0" xfId="0" applyFont="1"/>
    <xf numFmtId="49" fontId="4" fillId="0" borderId="0" xfId="0" applyNumberFormat="1" applyFont="1"/>
    <xf numFmtId="0" fontId="49" fillId="0" borderId="0" xfId="0" applyFont="1"/>
    <xf numFmtId="0" fontId="8" fillId="0" borderId="0" xfId="0" applyFont="1" applyAlignment="1">
      <alignment horizontal="left" wrapText="1"/>
    </xf>
    <xf numFmtId="0" fontId="8" fillId="0" borderId="0" xfId="0" applyFont="1" applyAlignment="1">
      <alignment horizontal="left" vertical="center" wrapText="1"/>
    </xf>
    <xf numFmtId="0" fontId="7" fillId="0" borderId="0" xfId="0" applyFont="1" applyAlignment="1">
      <alignment horizontal="left" vertical="top" wrapText="1"/>
    </xf>
    <xf numFmtId="0" fontId="32"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25" fillId="0" borderId="19" xfId="0" applyFont="1" applyBorder="1"/>
    <xf numFmtId="0" fontId="25" fillId="0" borderId="20" xfId="0" applyFont="1" applyBorder="1"/>
    <xf numFmtId="0" fontId="25" fillId="0" borderId="4" xfId="0" applyFont="1" applyBorder="1"/>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29" fillId="0" borderId="18" xfId="0" applyFont="1" applyBorder="1" applyAlignment="1">
      <alignment horizontal="justify" vertical="top" wrapText="1"/>
    </xf>
    <xf numFmtId="0" fontId="13" fillId="0" borderId="0" xfId="0" applyFont="1" applyAlignment="1">
      <alignment horizontal="left"/>
    </xf>
    <xf numFmtId="0" fontId="8" fillId="0" borderId="0" xfId="0" applyFont="1" applyAlignment="1">
      <alignment horizontal="right" wrapText="1"/>
    </xf>
    <xf numFmtId="14" fontId="4"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8" fillId="0" borderId="0" xfId="0" applyFont="1" applyAlignment="1">
      <alignment wrapText="1"/>
    </xf>
    <xf numFmtId="0" fontId="51" fillId="11" borderId="2" xfId="0" applyFont="1" applyFill="1" applyBorder="1" applyAlignment="1">
      <alignment horizontal="left" vertical="center" wrapText="1"/>
    </xf>
    <xf numFmtId="0" fontId="51" fillId="11" borderId="24" xfId="0" applyFont="1" applyFill="1" applyBorder="1" applyAlignment="1">
      <alignment horizontal="left" vertical="center" wrapText="1"/>
    </xf>
    <xf numFmtId="43" fontId="54" fillId="4" borderId="1" xfId="1" applyFont="1" applyFill="1" applyBorder="1" applyAlignment="1">
      <alignment vertical="center" wrapText="1"/>
    </xf>
    <xf numFmtId="0" fontId="7" fillId="5" borderId="0" xfId="0" applyFont="1" applyFill="1" applyAlignment="1">
      <alignment horizontal="center" wrapText="1"/>
    </xf>
    <xf numFmtId="49" fontId="28" fillId="4" borderId="1" xfId="0" applyNumberFormat="1" applyFont="1" applyFill="1" applyBorder="1" applyAlignment="1">
      <alignment vertical="center" wrapText="1"/>
    </xf>
    <xf numFmtId="43" fontId="14" fillId="0" borderId="1" xfId="0" applyNumberFormat="1" applyFont="1" applyBorder="1" applyAlignment="1">
      <alignment horizontal="justify" vertical="top" wrapText="1"/>
    </xf>
    <xf numFmtId="49" fontId="13" fillId="0" borderId="1" xfId="1" applyNumberFormat="1" applyFont="1" applyBorder="1" applyAlignment="1">
      <alignment horizontal="center" vertical="top" wrapText="1"/>
    </xf>
    <xf numFmtId="49" fontId="13" fillId="0" borderId="1" xfId="1" applyNumberFormat="1" applyFont="1" applyBorder="1" applyAlignment="1">
      <alignment horizontal="justify" vertical="top" wrapText="1"/>
    </xf>
    <xf numFmtId="0" fontId="4"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4" fillId="0" borderId="1" xfId="0" applyFont="1" applyBorder="1" applyAlignment="1">
      <alignment horizontal="left"/>
    </xf>
    <xf numFmtId="0" fontId="35" fillId="4" borderId="1" xfId="0" applyFont="1" applyFill="1" applyBorder="1"/>
    <xf numFmtId="14" fontId="35" fillId="4" borderId="1" xfId="0" applyNumberFormat="1" applyFont="1" applyFill="1" applyBorder="1"/>
    <xf numFmtId="43" fontId="35" fillId="4" borderId="1" xfId="1" applyFont="1" applyFill="1" applyBorder="1"/>
    <xf numFmtId="0" fontId="26" fillId="4" borderId="0" xfId="0" applyFont="1" applyFill="1"/>
    <xf numFmtId="0" fontId="13" fillId="4" borderId="0" xfId="0" applyFont="1" applyFill="1"/>
    <xf numFmtId="14" fontId="14" fillId="0" borderId="0" xfId="0" applyNumberFormat="1" applyFont="1"/>
    <xf numFmtId="43" fontId="14" fillId="0" borderId="0" xfId="1" applyFont="1" applyBorder="1"/>
    <xf numFmtId="0" fontId="25" fillId="9" borderId="0" xfId="0" applyFont="1" applyFill="1"/>
    <xf numFmtId="0" fontId="25" fillId="4" borderId="1" xfId="0" applyFont="1" applyFill="1" applyBorder="1" applyAlignment="1">
      <alignment vertical="center" wrapText="1"/>
    </xf>
    <xf numFmtId="0" fontId="58" fillId="0" borderId="0" xfId="0" applyFont="1"/>
    <xf numFmtId="0" fontId="14" fillId="0" borderId="3" xfId="0" applyFont="1" applyBorder="1" applyAlignment="1">
      <alignment vertical="center" wrapText="1"/>
    </xf>
    <xf numFmtId="0" fontId="16" fillId="0" borderId="1" xfId="0" applyFont="1" applyBorder="1" applyAlignment="1">
      <alignment horizontal="center" vertical="center" wrapText="1"/>
    </xf>
    <xf numFmtId="0" fontId="15" fillId="8" borderId="18"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9" borderId="3" xfId="0" applyFont="1" applyFill="1" applyBorder="1" applyAlignment="1">
      <alignment vertical="center" wrapText="1"/>
    </xf>
    <xf numFmtId="0" fontId="13" fillId="0" borderId="0" xfId="0" applyFont="1" applyAlignment="1">
      <alignment horizontal="justify" vertical="top" wrapText="1"/>
    </xf>
    <xf numFmtId="0" fontId="47" fillId="0" borderId="0" xfId="0" applyFont="1" applyAlignment="1">
      <alignment horizontal="justify" vertical="top" wrapText="1"/>
    </xf>
    <xf numFmtId="0" fontId="14" fillId="0" borderId="0" xfId="0" applyFont="1" applyAlignment="1">
      <alignment horizontal="left"/>
    </xf>
    <xf numFmtId="0" fontId="14" fillId="0" borderId="0" xfId="0" applyFont="1" applyAlignment="1">
      <alignment horizontal="left"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13" fillId="0" borderId="17" xfId="0" applyFont="1" applyBorder="1" applyAlignment="1">
      <alignment horizontal="left" vertical="center" wrapText="1"/>
    </xf>
    <xf numFmtId="0" fontId="13"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left" vertical="top" wrapText="1"/>
    </xf>
    <xf numFmtId="0" fontId="35" fillId="0" borderId="0" xfId="0" applyFont="1" applyAlignment="1">
      <alignment horizontal="center" vertical="center" wrapText="1"/>
    </xf>
    <xf numFmtId="0" fontId="26" fillId="0" borderId="0" xfId="0" applyFont="1" applyAlignment="1">
      <alignment horizontal="center"/>
    </xf>
    <xf numFmtId="0" fontId="26" fillId="0" borderId="0" xfId="0" applyFont="1" applyAlignment="1">
      <alignment horizontal="center" vertical="top" wrapText="1"/>
    </xf>
    <xf numFmtId="0" fontId="26" fillId="0" borderId="0" xfId="0" applyFont="1" applyAlignment="1">
      <alignment horizontal="left" wrapText="1"/>
    </xf>
    <xf numFmtId="0" fontId="37" fillId="0" borderId="0" xfId="0" applyFont="1" applyAlignment="1">
      <alignment horizontal="center" vertical="top" wrapText="1"/>
    </xf>
    <xf numFmtId="0" fontId="26" fillId="0" borderId="0" xfId="0" applyFont="1" applyAlignment="1">
      <alignment horizontal="center" wrapText="1"/>
    </xf>
    <xf numFmtId="0" fontId="35" fillId="0" borderId="0" xfId="0" applyFont="1" applyAlignment="1">
      <alignment horizontal="center" vertical="top" wrapText="1"/>
    </xf>
    <xf numFmtId="0" fontId="26"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3" fillId="0" borderId="0" xfId="0" applyFont="1" applyAlignment="1">
      <alignment horizontal="center"/>
    </xf>
    <xf numFmtId="0" fontId="13" fillId="0" borderId="0" xfId="0" applyFont="1" applyAlignment="1">
      <alignment horizontal="center" vertical="top" wrapText="1"/>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4"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6" fillId="0" borderId="0" xfId="0" applyFont="1" applyAlignment="1">
      <alignment horizontal="justify" vertical="top"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27" fillId="0" borderId="0" xfId="0" applyFont="1" applyAlignment="1">
      <alignment horizontal="justify" vertical="center" wrapText="1"/>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8" fillId="0" borderId="0" xfId="0" applyFont="1" applyAlignment="1">
      <alignment horizontal="center"/>
    </xf>
    <xf numFmtId="0" fontId="8" fillId="0" borderId="0" xfId="0" applyFont="1" applyAlignment="1">
      <alignment horizontal="right" vertical="top" wrapText="1"/>
    </xf>
    <xf numFmtId="0" fontId="7" fillId="0" borderId="0" xfId="0" applyFont="1" applyAlignment="1">
      <alignment horizontal="justify" wrapText="1"/>
    </xf>
    <xf numFmtId="0" fontId="7" fillId="0" borderId="0" xfId="0" applyFont="1" applyAlignment="1">
      <alignment horizontal="justify" vertical="top" wrapText="1"/>
    </xf>
    <xf numFmtId="0" fontId="7" fillId="4" borderId="0" xfId="0" applyFont="1" applyFill="1" applyAlignment="1">
      <alignment horizontal="justify" vertical="top" wrapText="1"/>
    </xf>
    <xf numFmtId="0" fontId="8" fillId="0" borderId="0" xfId="0" applyFont="1" applyAlignment="1">
      <alignment horizontal="left" vertical="center"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8" fillId="0" borderId="0" xfId="0" applyFont="1" applyAlignment="1">
      <alignment horizontal="center" vertical="center"/>
    </xf>
    <xf numFmtId="0" fontId="7" fillId="0" borderId="0" xfId="0" applyFont="1" applyAlignment="1">
      <alignment horizontal="left" vertical="top" wrapText="1"/>
    </xf>
    <xf numFmtId="0" fontId="27" fillId="0" borderId="0" xfId="0" applyFont="1" applyAlignment="1">
      <alignment horizontal="left" vertical="top" wrapText="1"/>
    </xf>
    <xf numFmtId="0" fontId="7" fillId="4" borderId="0" xfId="0" applyFont="1" applyFill="1" applyAlignment="1">
      <alignment horizontal="left" vertical="top" wrapText="1"/>
    </xf>
    <xf numFmtId="49" fontId="7" fillId="0" borderId="0" xfId="0" applyNumberFormat="1"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vertical="top" wrapText="1"/>
    </xf>
    <xf numFmtId="0" fontId="27" fillId="5" borderId="0" xfId="0" applyFont="1" applyFill="1" applyAlignment="1">
      <alignment horizontal="left" vertical="top" wrapText="1"/>
    </xf>
    <xf numFmtId="0" fontId="32" fillId="0" borderId="0" xfId="0" applyFont="1" applyAlignment="1">
      <alignment horizontal="center" vertical="top" wrapText="1"/>
    </xf>
    <xf numFmtId="0" fontId="8" fillId="0" borderId="0" xfId="0" applyFont="1" applyAlignment="1">
      <alignment horizontal="center" vertical="top" wrapText="1"/>
    </xf>
    <xf numFmtId="0" fontId="32" fillId="0" borderId="0" xfId="0" applyFont="1" applyAlignment="1">
      <alignment horizontal="left"/>
    </xf>
    <xf numFmtId="0" fontId="8" fillId="0" borderId="0" xfId="0" applyFont="1" applyAlignment="1">
      <alignment horizontal="center" wrapText="1"/>
    </xf>
    <xf numFmtId="0" fontId="55" fillId="0" borderId="0" xfId="0" applyFont="1" applyAlignment="1">
      <alignment horizontal="center" wrapText="1"/>
    </xf>
    <xf numFmtId="0" fontId="14" fillId="0" borderId="0" xfId="0" applyFont="1" applyAlignment="1">
      <alignment horizontal="left" vertical="top" wrapText="1"/>
    </xf>
    <xf numFmtId="0" fontId="7" fillId="0" borderId="0" xfId="0" applyFont="1" applyAlignment="1">
      <alignment horizontal="left" vertic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24" fillId="0" borderId="0" xfId="0" applyFont="1" applyAlignment="1">
      <alignment horizontal="right" vertical="top" wrapText="1"/>
    </xf>
    <xf numFmtId="0" fontId="13" fillId="0" borderId="3" xfId="0" applyFont="1" applyBorder="1" applyAlignment="1">
      <alignment horizontal="center" vertical="top" wrapText="1"/>
    </xf>
    <xf numFmtId="0" fontId="13" fillId="0" borderId="18" xfId="0" applyFont="1" applyBorder="1" applyAlignment="1">
      <alignment horizontal="center" vertical="top" wrapText="1"/>
    </xf>
    <xf numFmtId="0" fontId="13" fillId="0" borderId="2" xfId="0" applyFont="1" applyBorder="1" applyAlignment="1">
      <alignment horizontal="center" vertical="top" wrapText="1"/>
    </xf>
    <xf numFmtId="0" fontId="13" fillId="0" borderId="17" xfId="0" applyFont="1" applyBorder="1" applyAlignment="1">
      <alignment horizontal="justify" vertical="top" wrapText="1"/>
    </xf>
    <xf numFmtId="0" fontId="26" fillId="0" borderId="3" xfId="0" applyFont="1" applyBorder="1" applyAlignment="1">
      <alignment horizontal="center" vertical="top" wrapText="1"/>
    </xf>
    <xf numFmtId="0" fontId="26" fillId="0" borderId="18" xfId="0" applyFont="1" applyBorder="1" applyAlignment="1">
      <alignment horizontal="center" vertical="top" wrapText="1"/>
    </xf>
    <xf numFmtId="0" fontId="26" fillId="0" borderId="2" xfId="0" applyFont="1" applyBorder="1" applyAlignment="1">
      <alignment horizontal="center" vertical="top" wrapText="1"/>
    </xf>
    <xf numFmtId="0" fontId="14" fillId="0" borderId="18" xfId="0" applyFont="1" applyBorder="1" applyAlignment="1">
      <alignment horizontal="center" vertical="center" wrapText="1"/>
    </xf>
    <xf numFmtId="0" fontId="14" fillId="0" borderId="3" xfId="0" applyFont="1" applyBorder="1" applyAlignment="1">
      <alignment horizontal="center" vertical="top" wrapText="1"/>
    </xf>
    <xf numFmtId="0" fontId="14" fillId="0" borderId="18" xfId="0" applyFont="1" applyBorder="1" applyAlignment="1">
      <alignment horizontal="center" vertical="top" wrapText="1"/>
    </xf>
    <xf numFmtId="0" fontId="14" fillId="0" borderId="2" xfId="0" applyFont="1" applyBorder="1" applyAlignment="1">
      <alignment horizontal="center"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4" fillId="0" borderId="0" xfId="0" applyFont="1" applyAlignment="1">
      <alignment horizontal="right" vertical="top"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3" fillId="0" borderId="8" xfId="0" applyFont="1" applyBorder="1" applyAlignment="1">
      <alignment horizontal="center" wrapText="1"/>
    </xf>
    <xf numFmtId="0" fontId="33" fillId="0" borderId="0" xfId="0" applyFont="1" applyAlignment="1">
      <alignment horizontal="center" wrapText="1"/>
    </xf>
    <xf numFmtId="0" fontId="33" fillId="0" borderId="9" xfId="0" applyFont="1" applyBorder="1" applyAlignment="1">
      <alignment horizontal="center" wrapText="1"/>
    </xf>
    <xf numFmtId="0" fontId="40" fillId="0" borderId="0" xfId="0" applyFont="1" applyAlignment="1">
      <alignment vertical="center" wrapText="1"/>
    </xf>
    <xf numFmtId="0" fontId="39" fillId="0" borderId="0" xfId="0" applyFont="1" applyAlignment="1">
      <alignment horizontal="justify" vertical="center" wrapText="1"/>
    </xf>
    <xf numFmtId="0" fontId="13"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3" fillId="0" borderId="0" xfId="0" applyFont="1" applyAlignment="1">
      <alignment horizontal="left"/>
    </xf>
    <xf numFmtId="0" fontId="16" fillId="0" borderId="0" xfId="0" applyFont="1" applyAlignment="1">
      <alignment horizontal="left" wrapText="1"/>
    </xf>
    <xf numFmtId="0" fontId="15" fillId="0" borderId="4" xfId="0" applyFont="1" applyBorder="1" applyAlignment="1">
      <alignment horizontal="left" vertical="top"/>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0" xfId="0" applyFont="1" applyAlignment="1">
      <alignment horizontal="left"/>
    </xf>
    <xf numFmtId="0" fontId="16" fillId="0" borderId="0" xfId="0" applyFont="1" applyAlignment="1">
      <alignment horizontal="justify" vertical="top" wrapText="1" readingOrder="1"/>
    </xf>
    <xf numFmtId="0" fontId="15" fillId="0" borderId="0" xfId="0" applyFont="1" applyAlignment="1">
      <alignment horizontal="center" wrapText="1"/>
    </xf>
    <xf numFmtId="0" fontId="43" fillId="0" borderId="0" xfId="0" applyFont="1" applyAlignment="1">
      <alignment horizontal="left" vertical="center" wrapText="1" readingOrder="1"/>
    </xf>
  </cellXfs>
  <cellStyles count="139">
    <cellStyle name="Обычный" xfId="0" builtinId="0"/>
    <cellStyle name="Обычный 10" xfId="72" xr:uid="{00000000-0005-0000-0000-000001000000}"/>
    <cellStyle name="Обычный 11" xfId="73" xr:uid="{00000000-0005-0000-0000-000002000000}"/>
    <cellStyle name="Обычный 2" xfId="63" xr:uid="{00000000-0005-0000-0000-000003000000}"/>
    <cellStyle name="Обычный 3" xfId="64" xr:uid="{00000000-0005-0000-0000-000004000000}"/>
    <cellStyle name="Обычный 4" xfId="66" xr:uid="{00000000-0005-0000-0000-000005000000}"/>
    <cellStyle name="Обычный 5" xfId="67" xr:uid="{00000000-0005-0000-0000-000006000000}"/>
    <cellStyle name="Обычный 6" xfId="68" xr:uid="{00000000-0005-0000-0000-000007000000}"/>
    <cellStyle name="Обычный 7" xfId="69" xr:uid="{00000000-0005-0000-0000-000008000000}"/>
    <cellStyle name="Обычный 8" xfId="70" xr:uid="{00000000-0005-0000-0000-000009000000}"/>
    <cellStyle name="Обычный 9" xfId="71" xr:uid="{00000000-0005-0000-0000-00000A000000}"/>
    <cellStyle name="Финансовый" xfId="1" builtinId="3"/>
    <cellStyle name="Финансовый 10" xfId="125" xr:uid="{00000000-0005-0000-0000-00000C000000}"/>
    <cellStyle name="Финансовый 11" xfId="61" xr:uid="{00000000-0005-0000-0000-00000D000000}"/>
    <cellStyle name="Финансовый 12" xfId="49" xr:uid="{00000000-0005-0000-0000-00000E000000}"/>
    <cellStyle name="Финансовый 13" xfId="127" xr:uid="{00000000-0005-0000-0000-00000F000000}"/>
    <cellStyle name="Финансовый 14" xfId="25" xr:uid="{00000000-0005-0000-0000-000010000000}"/>
    <cellStyle name="Финансовый 15" xfId="13" xr:uid="{00000000-0005-0000-0000-000011000000}"/>
    <cellStyle name="Финансовый 2" xfId="2" xr:uid="{00000000-0005-0000-0000-000012000000}"/>
    <cellStyle name="Финансовый 2 10" xfId="62" xr:uid="{00000000-0005-0000-0000-000013000000}"/>
    <cellStyle name="Финансовый 2 11" xfId="50" xr:uid="{00000000-0005-0000-0000-000014000000}"/>
    <cellStyle name="Финансовый 2 12" xfId="128" xr:uid="{00000000-0005-0000-0000-000015000000}"/>
    <cellStyle name="Финансовый 2 13" xfId="26" xr:uid="{00000000-0005-0000-0000-000016000000}"/>
    <cellStyle name="Финансовый 2 14" xfId="14" xr:uid="{00000000-0005-0000-0000-000017000000}"/>
    <cellStyle name="Финансовый 2 2" xfId="4" xr:uid="{00000000-0005-0000-0000-000018000000}"/>
    <cellStyle name="Финансовый 2 2 10" xfId="28" xr:uid="{00000000-0005-0000-0000-000019000000}"/>
    <cellStyle name="Финансовый 2 2 11" xfId="16" xr:uid="{00000000-0005-0000-0000-00001A000000}"/>
    <cellStyle name="Финансовый 2 2 2" xfId="10" xr:uid="{00000000-0005-0000-0000-00001B000000}"/>
    <cellStyle name="Финансовый 2 2 2 2" xfId="46" xr:uid="{00000000-0005-0000-0000-00001C000000}"/>
    <cellStyle name="Финансовый 2 2 2 2 2" xfId="104" xr:uid="{00000000-0005-0000-0000-00001D000000}"/>
    <cellStyle name="Финансовый 2 2 2 3" xfId="116" xr:uid="{00000000-0005-0000-0000-00001E000000}"/>
    <cellStyle name="Финансовый 2 2 2 4" xfId="80" xr:uid="{00000000-0005-0000-0000-00001F000000}"/>
    <cellStyle name="Финансовый 2 2 2 5" xfId="58" xr:uid="{00000000-0005-0000-0000-000020000000}"/>
    <cellStyle name="Финансовый 2 2 2 6" xfId="136" xr:uid="{00000000-0005-0000-0000-000021000000}"/>
    <cellStyle name="Финансовый 2 2 2 7" xfId="34" xr:uid="{00000000-0005-0000-0000-000022000000}"/>
    <cellStyle name="Финансовый 2 2 2 8" xfId="22" xr:uid="{00000000-0005-0000-0000-000023000000}"/>
    <cellStyle name="Финансовый 2 2 3" xfId="40" xr:uid="{00000000-0005-0000-0000-000024000000}"/>
    <cellStyle name="Финансовый 2 2 3 2" xfId="122" xr:uid="{00000000-0005-0000-0000-000025000000}"/>
    <cellStyle name="Финансовый 2 2 3 3" xfId="86" xr:uid="{00000000-0005-0000-0000-000026000000}"/>
    <cellStyle name="Финансовый 2 2 4" xfId="92" xr:uid="{00000000-0005-0000-0000-000027000000}"/>
    <cellStyle name="Финансовый 2 2 5" xfId="98" xr:uid="{00000000-0005-0000-0000-000028000000}"/>
    <cellStyle name="Финансовый 2 2 6" xfId="110" xr:uid="{00000000-0005-0000-0000-000029000000}"/>
    <cellStyle name="Финансовый 2 2 7" xfId="65" xr:uid="{00000000-0005-0000-0000-00002A000000}"/>
    <cellStyle name="Финансовый 2 2 8" xfId="52" xr:uid="{00000000-0005-0000-0000-00002B000000}"/>
    <cellStyle name="Финансовый 2 2 9" xfId="130" xr:uid="{00000000-0005-0000-0000-00002C000000}"/>
    <cellStyle name="Финансовый 2 3" xfId="6" xr:uid="{00000000-0005-0000-0000-00002D000000}"/>
    <cellStyle name="Финансовый 2 3 10" xfId="30" xr:uid="{00000000-0005-0000-0000-00002E000000}"/>
    <cellStyle name="Финансовый 2 3 11" xfId="18" xr:uid="{00000000-0005-0000-0000-00002F000000}"/>
    <cellStyle name="Финансовый 2 3 2" xfId="12" xr:uid="{00000000-0005-0000-0000-000030000000}"/>
    <cellStyle name="Финансовый 2 3 2 2" xfId="48" xr:uid="{00000000-0005-0000-0000-000031000000}"/>
    <cellStyle name="Финансовый 2 3 2 2 2" xfId="106" xr:uid="{00000000-0005-0000-0000-000032000000}"/>
    <cellStyle name="Финансовый 2 3 2 3" xfId="118" xr:uid="{00000000-0005-0000-0000-000033000000}"/>
    <cellStyle name="Финансовый 2 3 2 4" xfId="82" xr:uid="{00000000-0005-0000-0000-000034000000}"/>
    <cellStyle name="Финансовый 2 3 2 5" xfId="60" xr:uid="{00000000-0005-0000-0000-000035000000}"/>
    <cellStyle name="Финансовый 2 3 2 6" xfId="138" xr:uid="{00000000-0005-0000-0000-000036000000}"/>
    <cellStyle name="Финансовый 2 3 2 7" xfId="36" xr:uid="{00000000-0005-0000-0000-000037000000}"/>
    <cellStyle name="Финансовый 2 3 2 8" xfId="24" xr:uid="{00000000-0005-0000-0000-000038000000}"/>
    <cellStyle name="Финансовый 2 3 3" xfId="42" xr:uid="{00000000-0005-0000-0000-000039000000}"/>
    <cellStyle name="Финансовый 2 3 3 2" xfId="124" xr:uid="{00000000-0005-0000-0000-00003A000000}"/>
    <cellStyle name="Финансовый 2 3 3 3" xfId="88" xr:uid="{00000000-0005-0000-0000-00003B000000}"/>
    <cellStyle name="Финансовый 2 3 4" xfId="94" xr:uid="{00000000-0005-0000-0000-00003C000000}"/>
    <cellStyle name="Финансовый 2 3 5" xfId="100" xr:uid="{00000000-0005-0000-0000-00003D000000}"/>
    <cellStyle name="Финансовый 2 3 6" xfId="112" xr:uid="{00000000-0005-0000-0000-00003E000000}"/>
    <cellStyle name="Финансовый 2 3 7" xfId="76" xr:uid="{00000000-0005-0000-0000-00003F000000}"/>
    <cellStyle name="Финансовый 2 3 8" xfId="54" xr:uid="{00000000-0005-0000-0000-000040000000}"/>
    <cellStyle name="Финансовый 2 3 9" xfId="132" xr:uid="{00000000-0005-0000-0000-000041000000}"/>
    <cellStyle name="Финансовый 2 4" xfId="8" xr:uid="{00000000-0005-0000-0000-000042000000}"/>
    <cellStyle name="Финансовый 2 4 2" xfId="44" xr:uid="{00000000-0005-0000-0000-000043000000}"/>
    <cellStyle name="Финансовый 2 4 2 2" xfId="102" xr:uid="{00000000-0005-0000-0000-000044000000}"/>
    <cellStyle name="Финансовый 2 4 3" xfId="114" xr:uid="{00000000-0005-0000-0000-000045000000}"/>
    <cellStyle name="Финансовый 2 4 4" xfId="78" xr:uid="{00000000-0005-0000-0000-000046000000}"/>
    <cellStyle name="Финансовый 2 4 5" xfId="56" xr:uid="{00000000-0005-0000-0000-000047000000}"/>
    <cellStyle name="Финансовый 2 4 6" xfId="134" xr:uid="{00000000-0005-0000-0000-000048000000}"/>
    <cellStyle name="Финансовый 2 4 7" xfId="32" xr:uid="{00000000-0005-0000-0000-000049000000}"/>
    <cellStyle name="Финансовый 2 4 8" xfId="20" xr:uid="{00000000-0005-0000-0000-00004A000000}"/>
    <cellStyle name="Финансовый 2 5" xfId="38" xr:uid="{00000000-0005-0000-0000-00004B000000}"/>
    <cellStyle name="Финансовый 2 5 2" xfId="120" xr:uid="{00000000-0005-0000-0000-00004C000000}"/>
    <cellStyle name="Финансовый 2 5 3" xfId="84" xr:uid="{00000000-0005-0000-0000-00004D000000}"/>
    <cellStyle name="Финансовый 2 6" xfId="90" xr:uid="{00000000-0005-0000-0000-00004E000000}"/>
    <cellStyle name="Финансовый 2 7" xfId="96" xr:uid="{00000000-0005-0000-0000-00004F000000}"/>
    <cellStyle name="Финансовый 2 8" xfId="108" xr:uid="{00000000-0005-0000-0000-000050000000}"/>
    <cellStyle name="Финансовый 2 9" xfId="126" xr:uid="{00000000-0005-0000-0000-000051000000}"/>
    <cellStyle name="Финансовый 3" xfId="3" xr:uid="{00000000-0005-0000-0000-000052000000}"/>
    <cellStyle name="Финансовый 3 10" xfId="27" xr:uid="{00000000-0005-0000-0000-000053000000}"/>
    <cellStyle name="Финансовый 3 11" xfId="15" xr:uid="{00000000-0005-0000-0000-000054000000}"/>
    <cellStyle name="Финансовый 3 2" xfId="9" xr:uid="{00000000-0005-0000-0000-000055000000}"/>
    <cellStyle name="Финансовый 3 2 2" xfId="45" xr:uid="{00000000-0005-0000-0000-000056000000}"/>
    <cellStyle name="Финансовый 3 2 2 2" xfId="103" xr:uid="{00000000-0005-0000-0000-000057000000}"/>
    <cellStyle name="Финансовый 3 2 3" xfId="115" xr:uid="{00000000-0005-0000-0000-000058000000}"/>
    <cellStyle name="Финансовый 3 2 4" xfId="79" xr:uid="{00000000-0005-0000-0000-000059000000}"/>
    <cellStyle name="Финансовый 3 2 5" xfId="57" xr:uid="{00000000-0005-0000-0000-00005A000000}"/>
    <cellStyle name="Финансовый 3 2 6" xfId="135" xr:uid="{00000000-0005-0000-0000-00005B000000}"/>
    <cellStyle name="Финансовый 3 2 7" xfId="33" xr:uid="{00000000-0005-0000-0000-00005C000000}"/>
    <cellStyle name="Финансовый 3 2 8" xfId="21" xr:uid="{00000000-0005-0000-0000-00005D000000}"/>
    <cellStyle name="Финансовый 3 3" xfId="39" xr:uid="{00000000-0005-0000-0000-00005E000000}"/>
    <cellStyle name="Финансовый 3 3 2" xfId="121" xr:uid="{00000000-0005-0000-0000-00005F000000}"/>
    <cellStyle name="Финансовый 3 3 3" xfId="85" xr:uid="{00000000-0005-0000-0000-000060000000}"/>
    <cellStyle name="Финансовый 3 4" xfId="91" xr:uid="{00000000-0005-0000-0000-000061000000}"/>
    <cellStyle name="Финансовый 3 5" xfId="97" xr:uid="{00000000-0005-0000-0000-000062000000}"/>
    <cellStyle name="Финансовый 3 6" xfId="109" xr:uid="{00000000-0005-0000-0000-000063000000}"/>
    <cellStyle name="Финансовый 3 7" xfId="74" xr:uid="{00000000-0005-0000-0000-000064000000}"/>
    <cellStyle name="Финансовый 3 8" xfId="51" xr:uid="{00000000-0005-0000-0000-000065000000}"/>
    <cellStyle name="Финансовый 3 9" xfId="129" xr:uid="{00000000-0005-0000-0000-000066000000}"/>
    <cellStyle name="Финансовый 4" xfId="5" xr:uid="{00000000-0005-0000-0000-000067000000}"/>
    <cellStyle name="Финансовый 4 10" xfId="29" xr:uid="{00000000-0005-0000-0000-000068000000}"/>
    <cellStyle name="Финансовый 4 11" xfId="17" xr:uid="{00000000-0005-0000-0000-000069000000}"/>
    <cellStyle name="Финансовый 4 2" xfId="11" xr:uid="{00000000-0005-0000-0000-00006A000000}"/>
    <cellStyle name="Финансовый 4 2 2" xfId="47" xr:uid="{00000000-0005-0000-0000-00006B000000}"/>
    <cellStyle name="Финансовый 4 2 2 2" xfId="105" xr:uid="{00000000-0005-0000-0000-00006C000000}"/>
    <cellStyle name="Финансовый 4 2 3" xfId="117" xr:uid="{00000000-0005-0000-0000-00006D000000}"/>
    <cellStyle name="Финансовый 4 2 4" xfId="81" xr:uid="{00000000-0005-0000-0000-00006E000000}"/>
    <cellStyle name="Финансовый 4 2 5" xfId="59" xr:uid="{00000000-0005-0000-0000-00006F000000}"/>
    <cellStyle name="Финансовый 4 2 6" xfId="137" xr:uid="{00000000-0005-0000-0000-000070000000}"/>
    <cellStyle name="Финансовый 4 2 7" xfId="35" xr:uid="{00000000-0005-0000-0000-000071000000}"/>
    <cellStyle name="Финансовый 4 2 8" xfId="23" xr:uid="{00000000-0005-0000-0000-000072000000}"/>
    <cellStyle name="Финансовый 4 3" xfId="41" xr:uid="{00000000-0005-0000-0000-000073000000}"/>
    <cellStyle name="Финансовый 4 3 2" xfId="123" xr:uid="{00000000-0005-0000-0000-000074000000}"/>
    <cellStyle name="Финансовый 4 3 3" xfId="87" xr:uid="{00000000-0005-0000-0000-000075000000}"/>
    <cellStyle name="Финансовый 4 4" xfId="93" xr:uid="{00000000-0005-0000-0000-000076000000}"/>
    <cellStyle name="Финансовый 4 5" xfId="99" xr:uid="{00000000-0005-0000-0000-000077000000}"/>
    <cellStyle name="Финансовый 4 6" xfId="111" xr:uid="{00000000-0005-0000-0000-000078000000}"/>
    <cellStyle name="Финансовый 4 7" xfId="75" xr:uid="{00000000-0005-0000-0000-000079000000}"/>
    <cellStyle name="Финансовый 4 8" xfId="53" xr:uid="{00000000-0005-0000-0000-00007A000000}"/>
    <cellStyle name="Финансовый 4 9" xfId="131" xr:uid="{00000000-0005-0000-0000-00007B000000}"/>
    <cellStyle name="Финансовый 5" xfId="7" xr:uid="{00000000-0005-0000-0000-00007C000000}"/>
    <cellStyle name="Финансовый 5 2" xfId="43" xr:uid="{00000000-0005-0000-0000-00007D000000}"/>
    <cellStyle name="Финансовый 5 2 2" xfId="101" xr:uid="{00000000-0005-0000-0000-00007E000000}"/>
    <cellStyle name="Финансовый 5 3" xfId="113" xr:uid="{00000000-0005-0000-0000-00007F000000}"/>
    <cellStyle name="Финансовый 5 4" xfId="77" xr:uid="{00000000-0005-0000-0000-000080000000}"/>
    <cellStyle name="Финансовый 5 5" xfId="55" xr:uid="{00000000-0005-0000-0000-000081000000}"/>
    <cellStyle name="Финансовый 5 6" xfId="133" xr:uid="{00000000-0005-0000-0000-000082000000}"/>
    <cellStyle name="Финансовый 5 7" xfId="31" xr:uid="{00000000-0005-0000-0000-000083000000}"/>
    <cellStyle name="Финансовый 5 8" xfId="19" xr:uid="{00000000-0005-0000-0000-000084000000}"/>
    <cellStyle name="Финансовый 6" xfId="37" xr:uid="{00000000-0005-0000-0000-000085000000}"/>
    <cellStyle name="Финансовый 6 2" xfId="119" xr:uid="{00000000-0005-0000-0000-000086000000}"/>
    <cellStyle name="Финансовый 6 3" xfId="83" xr:uid="{00000000-0005-0000-0000-000087000000}"/>
    <cellStyle name="Финансовый 7" xfId="89" xr:uid="{00000000-0005-0000-0000-000088000000}"/>
    <cellStyle name="Финансовый 8" xfId="95" xr:uid="{00000000-0005-0000-0000-000089000000}"/>
    <cellStyle name="Финансовый 9" xfId="107" xr:uid="{00000000-0005-0000-0000-00008A000000}"/>
  </cellStyles>
  <dxfs count="9">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I56"/>
  <sheetViews>
    <sheetView view="pageBreakPreview" topLeftCell="A28" zoomScaleNormal="100" zoomScaleSheetLayoutView="100" workbookViewId="0">
      <selection activeCell="A57" sqref="A57"/>
    </sheetView>
  </sheetViews>
  <sheetFormatPr defaultRowHeight="15"/>
  <cols>
    <col min="1" max="2" width="22.85546875" style="76" customWidth="1"/>
    <col min="3" max="3" width="24.28515625" style="76" customWidth="1"/>
    <col min="4" max="4" width="21.28515625" style="76" customWidth="1"/>
    <col min="5" max="5" width="18" style="76" customWidth="1"/>
    <col min="6" max="6" width="25.140625" style="76" customWidth="1"/>
    <col min="7" max="7" width="9.140625" customWidth="1"/>
    <col min="8" max="8" width="24.42578125" customWidth="1"/>
    <col min="9" max="9" width="17.140625" customWidth="1"/>
    <col min="10" max="35" width="9.140625" hidden="1" customWidth="1"/>
    <col min="36" max="36" width="8.7109375" customWidth="1"/>
  </cols>
  <sheetData>
    <row r="1" spans="1:34" ht="63.75" customHeight="1">
      <c r="A1" s="252" t="str">
        <f>""&amp;umumiy_malumot!B147&amp;"
mikromoliya tashkiloti
Kredit qo‘mitasining yig‘ilishi"</f>
        <v>«PULLOL BUSINESS MIKROMOLIYA TASHKILOTI»  MChJ
mikromoliya tashkiloti
Kredit qo‘mitasining yig‘ilishi</v>
      </c>
      <c r="B1" s="252"/>
      <c r="C1" s="252"/>
      <c r="D1" s="252"/>
      <c r="E1" s="252"/>
      <c r="F1" s="252"/>
    </row>
    <row r="2" spans="1:34" ht="29.25" customHeight="1">
      <c r="A2" s="252" t="str">
        <f>""&amp;I7&amp;" protokolidan ko'chirma"</f>
        <v>№43 protokolidan ko'chirma</v>
      </c>
      <c r="B2" s="252"/>
      <c r="C2" s="252"/>
      <c r="D2" s="252"/>
      <c r="E2" s="252"/>
      <c r="F2" s="252"/>
    </row>
    <row r="3" spans="1:34" ht="29.25" customHeight="1">
      <c r="A3" s="156" t="s">
        <v>195</v>
      </c>
      <c r="B3" s="156"/>
      <c r="C3" s="60"/>
      <c r="D3" s="60"/>
      <c r="E3" s="60"/>
      <c r="F3" s="157" t="str">
        <f>umumiy_malumot!B68</f>
        <v>2 fevral 2026 y.</v>
      </c>
    </row>
    <row r="4" spans="1:34" ht="29.25" customHeight="1">
      <c r="A4" s="60"/>
      <c r="B4" s="60"/>
      <c r="C4" s="252" t="s">
        <v>194</v>
      </c>
      <c r="D4" s="252"/>
      <c r="E4" s="252"/>
      <c r="F4" s="60"/>
    </row>
    <row r="5" spans="1:34" ht="36" customHeight="1">
      <c r="A5" s="251" t="str">
        <f>"         "&amp;I8&amp;"."&amp;umumiy_malumot!B5&amp;" ga "&amp;umumiy_malumot!B65&amp;" berish masalasini ko‘rib chiqish to‘g‘risida."</f>
        <v xml:space="preserve">         1.SIMONYAN VADIM ROMANOVICH ga Mikroqarz berish masalasini ko‘rib chiqish to‘g‘risida.</v>
      </c>
      <c r="B5" s="251"/>
      <c r="C5" s="251"/>
      <c r="D5" s="251"/>
      <c r="E5" s="251"/>
      <c r="F5" s="251"/>
    </row>
    <row r="7" spans="1:34" ht="21" customHeight="1">
      <c r="A7" s="243" t="str">
        <f>"      "&amp;I9&amp;" masala yuzasidan: «PULLOL BUSINESS MIKROMOLIYA TASHKILOTI»  MChJ kredit bo‘yicha menejeri  "&amp;umumiy_malumot!B5&amp;"ga "&amp;FIXED(umumiy_malumot!B75)&amp;" ("&amp;umumiy_malumot!B76&amp;") so‘m miqdorida, muddati "&amp;umumiy_malumot!B81&amp;" ("&amp;umumiy_malumot!B82&amp;") oyga va yillik "&amp;umumiy_malumot!B85&amp;"% ("&amp;umumiy_malumot!B86&amp;") foiz miqdorida "&amp;umumiy_malumot!B65&amp;" berich bo‘yicha "&amp;umumiy_malumot!B5&amp;"ning kredit arizasi va "&amp;umumiy_malumot!B147&amp;"ning xulosasi bilan ishtirokchilarni tanishtirdi."</f>
        <v xml:space="preserve">      Birinchi masala yuzasidan: «PULLOL BUSINESS MIKROMOLIYA TASHKILOTI»  MChJ kredit bo‘yicha menejeri  SIMONYAN VADIM ROMANOVICHga 50 000 000,00 (Ellik million so'm) so‘m miqdorida, muddati 24 (yigirma to'rt) oyga va yillik 50% (Ellik  ) foiz miqdorida Mikroqarz berich bo‘yicha SIMONYAN VADIM ROMANOVICHning kredit arizasi va «PULLOL BUSINESS MIKROMOLIYA TASHKILOTI»  MChJning xulosasi bilan ishtirokchilarni tanishtirdi.</v>
      </c>
      <c r="B7" s="243"/>
      <c r="C7" s="243"/>
      <c r="D7" s="243"/>
      <c r="E7" s="243"/>
      <c r="F7" s="243"/>
      <c r="H7" s="77" t="s">
        <v>250</v>
      </c>
      <c r="I7" s="78" t="str">
        <f>umumiy_malumot!B1</f>
        <v>№43</v>
      </c>
    </row>
    <row r="8" spans="1:34" ht="23.25">
      <c r="A8" s="243"/>
      <c r="B8" s="243"/>
      <c r="C8" s="243"/>
      <c r="D8" s="243"/>
      <c r="E8" s="243"/>
      <c r="F8" s="243"/>
      <c r="H8" s="77" t="s">
        <v>251</v>
      </c>
      <c r="I8" s="78">
        <v>1</v>
      </c>
      <c r="J8">
        <v>1</v>
      </c>
      <c r="K8">
        <v>2</v>
      </c>
      <c r="L8">
        <v>3</v>
      </c>
      <c r="M8">
        <v>4</v>
      </c>
      <c r="N8">
        <v>5</v>
      </c>
      <c r="O8">
        <v>6</v>
      </c>
      <c r="P8">
        <v>7</v>
      </c>
      <c r="Q8">
        <v>8</v>
      </c>
      <c r="R8">
        <v>9</v>
      </c>
      <c r="S8">
        <v>10</v>
      </c>
      <c r="T8">
        <v>11</v>
      </c>
      <c r="U8">
        <v>12</v>
      </c>
      <c r="V8">
        <v>13</v>
      </c>
      <c r="W8">
        <v>14</v>
      </c>
      <c r="X8">
        <v>15</v>
      </c>
      <c r="Y8">
        <v>16</v>
      </c>
      <c r="Z8">
        <v>17</v>
      </c>
      <c r="AA8">
        <v>18</v>
      </c>
      <c r="AB8">
        <v>19</v>
      </c>
      <c r="AC8">
        <v>20</v>
      </c>
      <c r="AD8">
        <v>21</v>
      </c>
      <c r="AE8">
        <v>22</v>
      </c>
      <c r="AF8">
        <v>23</v>
      </c>
      <c r="AG8">
        <v>24</v>
      </c>
      <c r="AH8">
        <v>25</v>
      </c>
    </row>
    <row r="9" spans="1:34" ht="34.5" customHeight="1">
      <c r="A9" s="243"/>
      <c r="B9" s="243"/>
      <c r="C9" s="243"/>
      <c r="D9" s="243"/>
      <c r="E9" s="243"/>
      <c r="F9" s="243"/>
      <c r="H9" s="77" t="s">
        <v>252</v>
      </c>
      <c r="I9" s="78" t="str">
        <f>IF(I8=J8,J9,IF(I8=K8,K9,IF(I8=L8,L9,IF(I8=M8,M9,IF(I8=N8,N9,IF(I8=O8,O9,IF(I8=P8,P9,IF(I8=Q8,Q9,IF(I8=R8,R9,IF(I8=S8,S9,IF(I8=T8,T9,IF(I8=U8,U9,IF(I8=V8,V9,IF(I8=W8,W9,IF(I8=X8,X9,IF(I8=Y8,Y9,IF(I8=Z8,Z9,IF(I8=AA8,AA9,IF(I8=AB8,AB9,IF(I8=AC8,AC9,IF(I8=AD8,AD9,IF(I8=AE8,AE9,IF(I8=AF8,AF9,IF(I8=AG8,AG9,IF(I8=AH8,AH9)))))))))))))))))))))))))</f>
        <v>Birinchi</v>
      </c>
      <c r="J9" s="183" t="s">
        <v>182</v>
      </c>
      <c r="K9" s="184" t="s">
        <v>183</v>
      </c>
      <c r="L9" s="184" t="s">
        <v>184</v>
      </c>
      <c r="M9" s="184" t="s">
        <v>364</v>
      </c>
      <c r="N9" s="184" t="s">
        <v>185</v>
      </c>
      <c r="O9" s="184" t="s">
        <v>365</v>
      </c>
      <c r="P9" s="184" t="s">
        <v>186</v>
      </c>
      <c r="Q9" s="184" t="s">
        <v>187</v>
      </c>
      <c r="R9" s="184" t="s">
        <v>188</v>
      </c>
      <c r="S9" s="184" t="s">
        <v>354</v>
      </c>
      <c r="T9" s="184" t="s">
        <v>355</v>
      </c>
      <c r="U9" s="184" t="s">
        <v>356</v>
      </c>
      <c r="V9" s="184" t="s">
        <v>357</v>
      </c>
      <c r="W9" s="184" t="s">
        <v>366</v>
      </c>
      <c r="X9" s="184" t="s">
        <v>358</v>
      </c>
      <c r="Y9" s="184" t="s">
        <v>359</v>
      </c>
      <c r="Z9" s="184" t="s">
        <v>360</v>
      </c>
      <c r="AA9" s="184" t="s">
        <v>361</v>
      </c>
      <c r="AB9" s="184" t="s">
        <v>362</v>
      </c>
      <c r="AC9" s="184" t="s">
        <v>189</v>
      </c>
      <c r="AD9" s="184" t="s">
        <v>190</v>
      </c>
      <c r="AE9" s="184" t="s">
        <v>191</v>
      </c>
      <c r="AF9" s="184" t="s">
        <v>192</v>
      </c>
      <c r="AG9" s="184" t="s">
        <v>363</v>
      </c>
      <c r="AH9" s="184" t="s">
        <v>193</v>
      </c>
    </row>
    <row r="10" spans="1:34" ht="10.5" hidden="1" customHeight="1">
      <c r="A10" s="243"/>
      <c r="B10" s="243"/>
      <c r="C10" s="243"/>
      <c r="D10" s="243"/>
      <c r="E10" s="243"/>
      <c r="F10" s="243"/>
    </row>
    <row r="11" spans="1:34" ht="9" hidden="1" customHeight="1">
      <c r="A11" s="243"/>
      <c r="B11" s="243"/>
      <c r="C11" s="243"/>
      <c r="D11" s="243"/>
      <c r="E11" s="243"/>
      <c r="F11" s="243"/>
    </row>
    <row r="12" spans="1:34" ht="3" customHeight="1">
      <c r="A12" s="243"/>
      <c r="B12" s="243"/>
      <c r="C12" s="243"/>
      <c r="D12" s="243"/>
      <c r="E12" s="243"/>
      <c r="F12" s="243"/>
    </row>
    <row r="13" spans="1:34" ht="7.5" customHeight="1"/>
    <row r="14" spans="1:34" ht="15.75" customHeight="1">
      <c r="A14" s="253" t="str">
        <f>""&amp;umumiy_malumot!B65&amp;" ta’minoti:"</f>
        <v>Mikroqarz ta’minoti:</v>
      </c>
      <c r="B14" s="253"/>
      <c r="C14" s="253"/>
      <c r="D14" s="253"/>
      <c r="E14" s="253"/>
      <c r="F14" s="253"/>
    </row>
    <row r="15" spans="1:34" ht="7.5" customHeight="1"/>
    <row r="16" spans="1:34" ht="48.75" customHeight="1">
      <c r="A16" s="243" t="str">
        <f>xulosa!A18:F18</f>
        <v xml:space="preserve"> Egalik huquqi SIMONYAN VADIM ROMANOVICHga tegishli bo'lgan  umumiy yer maydoni, (m2) - 166, qurilish osti maydoni - 87, umumiy foydali maydoni - 48.67  va yashash maydoni  - 30.84 Yakka tartibdagi uy-joy, TOSHKENT SHAHAR YUNUSOBOD TUMANI OTCHOPAR-1 MFY KARIM ZARIPOV KO'CHASI 8-6 UY </v>
      </c>
      <c r="B16" s="243"/>
      <c r="C16" s="243"/>
      <c r="D16" s="243"/>
      <c r="E16" s="243"/>
      <c r="F16" s="243"/>
    </row>
    <row r="17" spans="1:6" ht="17.25" customHeight="1">
      <c r="D17" s="185" t="s">
        <v>373</v>
      </c>
      <c r="E17" s="185" t="str">
        <f>""&amp;umumiy_malumot!B147&amp;" kredit qo‘mitasi"</f>
        <v>«PULLOL BUSINESS MIKROMOLIYA TASHKILOTI»  MChJ kredit qo‘mitasi</v>
      </c>
      <c r="F17" s="185" t="str">
        <f>CONCATENATE(D17,E17)</f>
        <v xml:space="preserve">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row>
    <row r="18" spans="1:6" ht="54" customHeight="1">
      <c r="A18" s="243" t="str">
        <f>CONCATENATE(I9,F17)</f>
        <v>Birinchi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c r="B18" s="243"/>
      <c r="C18" s="243"/>
      <c r="D18" s="243"/>
      <c r="E18" s="243"/>
      <c r="F18" s="243"/>
    </row>
    <row r="19" spans="1:6" ht="24" customHeight="1">
      <c r="A19" s="254" t="s">
        <v>253</v>
      </c>
      <c r="B19" s="254"/>
      <c r="C19" s="254"/>
      <c r="D19" s="254"/>
      <c r="E19" s="254"/>
      <c r="F19" s="254"/>
    </row>
    <row r="20" spans="1:6" ht="32.25" customHeight="1">
      <c r="A20" s="243" t="str">
        <f>"       "&amp;umumiy_malumot!B5&amp;"ga quyidagi shartlarda "&amp;umumiy_malumot!B65&amp;" berish masalasi ma’qullansin:"</f>
        <v xml:space="preserve">       SIMONYAN VADIM ROMANOVICHga quyidagi shartlarda Mikroqarz berish masalasi ma’qullansin:</v>
      </c>
      <c r="B20" s="243"/>
      <c r="C20" s="243"/>
      <c r="D20" s="243"/>
      <c r="E20" s="243"/>
      <c r="F20" s="243"/>
    </row>
    <row r="21" spans="1:6" s="158" customFormat="1" ht="18.75" customHeight="1">
      <c r="A21" s="251" t="str">
        <f>"1. "&amp;umumiy_malumot!B65&amp;" summasi: "&amp;FIXED(umumiy_malumot!B75)&amp;" ("&amp;umumiy_malumot!B76&amp;") so'm."</f>
        <v>1. Mikroqarz summasi: 50 000 000,00 (Ellik million so'm) so'm.</v>
      </c>
      <c r="B21" s="251"/>
      <c r="C21" s="251"/>
      <c r="D21" s="251"/>
      <c r="E21" s="251"/>
      <c r="F21" s="251"/>
    </row>
    <row r="22" spans="1:6" s="158" customFormat="1" ht="18.75" customHeight="1">
      <c r="A22" s="251" t="str">
        <f>"2. "&amp;umumiy_malumot!B65&amp;" muddati: "&amp;umumiy_malumot!B81&amp;" ("&amp;umumiy_malumot!B82&amp;") oy "</f>
        <v xml:space="preserve">2. Mikroqarz muddati: 24 (yigirma to'rt) oy </v>
      </c>
      <c r="B22" s="251"/>
      <c r="C22" s="251"/>
      <c r="D22" s="251"/>
      <c r="E22" s="251"/>
      <c r="F22" s="251"/>
    </row>
    <row r="23" spans="1:6" s="158" customFormat="1" ht="18.75" customHeight="1">
      <c r="A23" s="251" t="str">
        <f>"3. "&amp;umumiy_malumot!B65&amp;"dan foydalanganlik uchun foiz stavkasi:yillik "&amp;umumiy_malumot!B85&amp;"% ("&amp;umumiy_malumot!B86&amp;") foiz."</f>
        <v>3. Mikroqarzdan foydalanganlik uchun foiz stavkasi:yillik 50% (Ellik  ) foiz.</v>
      </c>
      <c r="B23" s="251"/>
      <c r="C23" s="251"/>
      <c r="D23" s="251"/>
      <c r="E23" s="251"/>
      <c r="F23" s="251"/>
    </row>
    <row r="24" spans="1:6" s="158" customFormat="1" ht="18.75" customHeight="1">
      <c r="A24" s="251" t="str">
        <f>"4. "&amp;umumiy_malumot!B65&amp;" bo‘yicha asosiy qarz va foizlarni to‘lash:"</f>
        <v>4. Mikroqarz bo‘yicha asosiy qarz va foizlarni to‘lash:</v>
      </c>
      <c r="B24" s="251"/>
      <c r="C24" s="251"/>
      <c r="D24" s="251"/>
      <c r="E24" s="251"/>
      <c r="F24" s="251"/>
    </row>
    <row r="25" spans="1:6" s="158" customFormat="1" ht="18.75" customHeight="1">
      <c r="A25" s="251" t="str">
        <f>kredit_ariza!A19:D19</f>
        <v xml:space="preserve"> - Mikroqarz shartnomasi bo'yicha har oy annuitet to'lovlari amalga oshiriladi</v>
      </c>
      <c r="B25" s="251"/>
      <c r="C25" s="251"/>
      <c r="D25" s="251"/>
      <c r="E25" s="251"/>
      <c r="F25" s="251"/>
    </row>
    <row r="26" spans="1:6" ht="48" customHeight="1">
      <c r="A26" s="243" t="str">
        <f>"5. "&amp;umumiy_malumot!B65&amp;" bo‘yicha garov  "&amp;xulosa!A29:F29&amp;""</f>
        <v>5. Mikroqarz bo‘yicha garov   -   SIMONYAN VADIM ROMANOVICH ga mulk huquqi asosida tegishli ko'chmas mulk shaklida Yakka tartibdagi uy-joy, manzili: TOSHKENT SHAHAR YUNUSOBOD TUMANI OTCHOPAR-1 MFY KARIM ZARIPOV KO'CHASI 8-6 UY, quyidagi tafsilotlarga muvofiq:</v>
      </c>
      <c r="B26" s="243"/>
      <c r="C26" s="243"/>
      <c r="D26" s="243"/>
      <c r="E26" s="243"/>
      <c r="F26" s="243"/>
    </row>
    <row r="27" spans="1:6" ht="40.5" customHeight="1">
      <c r="A27" s="21" t="str">
        <f>dalolatnoma!A47</f>
        <v>Nomi</v>
      </c>
      <c r="B27" s="21" t="str">
        <f>dalolatnoma!B47</f>
        <v>Umumiy yer maydoni, (m2)</v>
      </c>
      <c r="C27" s="21" t="str">
        <f>dalolatnoma!C47</f>
        <v>Qurilish osti maydoni, (m2)</v>
      </c>
      <c r="D27" s="21" t="str">
        <f>dalolatnoma!D47</f>
        <v>Umumiy foydali maydoni, (m2)</v>
      </c>
      <c r="E27" s="21" t="str">
        <f>dalolatnoma!E47</f>
        <v>Yashash maydoni, (m2)</v>
      </c>
      <c r="F27" s="21" t="str">
        <f>dalolatnoma!F47</f>
        <v>Kelishilgan garov qiymati, so'm</v>
      </c>
    </row>
    <row r="28" spans="1:6" ht="75.75" customHeight="1">
      <c r="A28" s="21" t="str">
        <f>dalolatnoma!A48</f>
        <v>Yakka tartibdagi uy-joy</v>
      </c>
      <c r="B28" s="21">
        <f>dalolatnoma!B48</f>
        <v>166</v>
      </c>
      <c r="C28" s="21">
        <f>dalolatnoma!C48</f>
        <v>87</v>
      </c>
      <c r="D28" s="21" t="str">
        <f>dalolatnoma!D48</f>
        <v>48.67</v>
      </c>
      <c r="E28" s="21" t="str">
        <f>dalolatnoma!E48</f>
        <v>30.84</v>
      </c>
      <c r="F28" s="21" t="str">
        <f>dalolatnoma!F48</f>
        <v>70 000 000,00 
(yetmish million so'm)</v>
      </c>
    </row>
    <row r="29" spans="1:6" ht="20.25" hidden="1" customHeight="1">
      <c r="A29" s="243" t="str">
        <f>dalolatnoma!A22:F22</f>
        <v>-* avtotransport egasi: SIMONYAN VADIM ROMANOVICH</v>
      </c>
      <c r="B29" s="243"/>
      <c r="C29" s="243"/>
      <c r="D29" s="243"/>
      <c r="E29" s="243"/>
      <c r="F29" s="243"/>
    </row>
    <row r="30" spans="1:6" ht="20.25" hidden="1" customHeight="1">
      <c r="A30" s="243" t="str">
        <f>dalolatnoma!A23:F23</f>
        <v xml:space="preserve">-* texnik pasport: </v>
      </c>
      <c r="B30" s="243"/>
      <c r="C30" s="243"/>
      <c r="D30" s="243"/>
      <c r="E30" s="243"/>
      <c r="F30" s="243"/>
    </row>
    <row r="31" spans="1:6" ht="34.5" hidden="1" customHeight="1">
      <c r="A31" s="243" t="str">
        <f>dalolatnoma!A24:F24</f>
        <v>-* roʻyxatdan oʻtgan manzili/garaj manzili: TOSHKENT SHAHAR YUNUSOBOD TUMANI OTCHOPAR-1 MFY KARIM ZARIPOV KO'CHASI 8-6 UY</v>
      </c>
      <c r="B31" s="243"/>
      <c r="C31" s="243"/>
      <c r="D31" s="243"/>
      <c r="E31" s="243"/>
      <c r="F31" s="243"/>
    </row>
    <row r="32" spans="1:6" ht="20.25" hidden="1" customHeight="1">
      <c r="A32" s="243" t="str">
        <f>dalolatnoma!A25:F25</f>
        <v xml:space="preserve">-* davlat raqami: </v>
      </c>
      <c r="B32" s="243"/>
      <c r="C32" s="243"/>
      <c r="D32" s="243"/>
      <c r="E32" s="243"/>
      <c r="F32" s="243"/>
    </row>
    <row r="33" spans="1:6" ht="51" hidden="1" customHeight="1">
      <c r="A33" s="43" t="str">
        <f>dalolatnoma!A50</f>
        <v>Наименование</v>
      </c>
      <c r="B33" s="43"/>
      <c r="C33" s="43" t="str">
        <f>dalolatnoma!C50</f>
        <v>Полезная площадь</v>
      </c>
      <c r="D33" s="43" t="str">
        <f>dalolatnoma!D50</f>
        <v>Жилая площадь</v>
      </c>
      <c r="E33" s="43" t="str">
        <f>dalolatnoma!E50</f>
        <v>Общая площадь</v>
      </c>
      <c r="F33" s="43" t="str">
        <f>dalolatnoma!F50</f>
        <v>Согласованная залоговая стоимость, сум</v>
      </c>
    </row>
    <row r="34" spans="1:6" hidden="1">
      <c r="A34" s="43" t="str">
        <f>dalolatnoma!A51</f>
        <v>Yashash xona</v>
      </c>
      <c r="B34" s="43"/>
      <c r="C34" s="43" t="str">
        <f>dalolatnoma!C51</f>
        <v>3</v>
      </c>
      <c r="D34" s="43" t="str">
        <f>dalolatnoma!D51</f>
        <v>18.82</v>
      </c>
      <c r="E34" s="43">
        <f>dalolatnoma!E51</f>
        <v>0</v>
      </c>
      <c r="F34" s="247" t="str">
        <f>""&amp;FIXED(umumiy_malumot!C136,2)&amp;" ("&amp;umumiy_malumot!B137&amp;")"</f>
        <v>70 000 000,00 (yetmish million so'm)</v>
      </c>
    </row>
    <row r="35" spans="1:6" hidden="1">
      <c r="A35" s="43">
        <f>dalolatnoma!A52</f>
        <v>0</v>
      </c>
      <c r="B35" s="43"/>
      <c r="C35" s="43">
        <f>dalolatnoma!C52</f>
        <v>0</v>
      </c>
      <c r="D35" s="43">
        <f>dalolatnoma!D52</f>
        <v>0</v>
      </c>
      <c r="E35" s="43">
        <f>dalolatnoma!E52</f>
        <v>0</v>
      </c>
      <c r="F35" s="248"/>
    </row>
    <row r="36" spans="1:6" hidden="1">
      <c r="A36" s="43" t="str">
        <f>dalolatnoma!A53</f>
        <v>Umumiy maydon</v>
      </c>
      <c r="B36" s="43"/>
      <c r="C36" s="43" t="str">
        <f>dalolatnoma!C53</f>
        <v>43.96</v>
      </c>
      <c r="D36" s="43" t="str">
        <f>dalolatnoma!D53</f>
        <v>18.82</v>
      </c>
      <c r="E36" s="43" t="str">
        <f>dalolatnoma!E53</f>
        <v>43.96</v>
      </c>
      <c r="F36" s="248"/>
    </row>
    <row r="37" spans="1:6" hidden="1">
      <c r="A37" s="43">
        <f>dalolatnoma!A54</f>
        <v>0</v>
      </c>
      <c r="B37" s="43"/>
      <c r="C37" s="43">
        <f>dalolatnoma!C54</f>
        <v>0</v>
      </c>
      <c r="D37" s="43">
        <f>dalolatnoma!D54</f>
        <v>0</v>
      </c>
      <c r="E37" s="43">
        <f>dalolatnoma!E54</f>
        <v>0</v>
      </c>
      <c r="F37" s="248"/>
    </row>
    <row r="38" spans="1:6" hidden="1">
      <c r="A38" s="43">
        <f>dalolatnoma!A55</f>
        <v>0</v>
      </c>
      <c r="B38" s="43"/>
      <c r="C38" s="43">
        <f>dalolatnoma!C55</f>
        <v>0</v>
      </c>
      <c r="D38" s="43">
        <f>dalolatnoma!D55</f>
        <v>0</v>
      </c>
      <c r="E38" s="43">
        <f>dalolatnoma!E55</f>
        <v>0</v>
      </c>
      <c r="F38" s="248"/>
    </row>
    <row r="39" spans="1:6" hidden="1">
      <c r="A39" s="43">
        <f>dalolatnoma!A56</f>
        <v>0</v>
      </c>
      <c r="B39" s="43"/>
      <c r="C39" s="43">
        <f>dalolatnoma!C56</f>
        <v>0</v>
      </c>
      <c r="D39" s="43">
        <f>dalolatnoma!D56</f>
        <v>0</v>
      </c>
      <c r="E39" s="43">
        <f>dalolatnoma!E56</f>
        <v>0</v>
      </c>
      <c r="F39" s="248"/>
    </row>
    <row r="40" spans="1:6" hidden="1">
      <c r="A40" s="43">
        <f>dalolatnoma!A57</f>
        <v>0</v>
      </c>
      <c r="B40" s="43"/>
      <c r="C40" s="43">
        <f>dalolatnoma!C57</f>
        <v>0</v>
      </c>
      <c r="D40" s="43">
        <f>dalolatnoma!D57</f>
        <v>0</v>
      </c>
      <c r="E40" s="43">
        <f>dalolatnoma!E57</f>
        <v>0</v>
      </c>
      <c r="F40" s="248"/>
    </row>
    <row r="41" spans="1:6" hidden="1">
      <c r="A41" s="43">
        <f>dalolatnoma!A58</f>
        <v>0</v>
      </c>
      <c r="B41" s="43"/>
      <c r="C41" s="43">
        <f>dalolatnoma!C58</f>
        <v>0</v>
      </c>
      <c r="D41" s="43">
        <f>dalolatnoma!D58</f>
        <v>0</v>
      </c>
      <c r="E41" s="43">
        <f>dalolatnoma!E58</f>
        <v>0</v>
      </c>
      <c r="F41" s="248"/>
    </row>
    <row r="42" spans="1:6" hidden="1">
      <c r="A42" s="43">
        <f>dalolatnoma!A59</f>
        <v>0</v>
      </c>
      <c r="B42" s="43"/>
      <c r="C42" s="43">
        <f>dalolatnoma!C59</f>
        <v>0</v>
      </c>
      <c r="D42" s="43">
        <f>dalolatnoma!D59</f>
        <v>0</v>
      </c>
      <c r="E42" s="43">
        <f>dalolatnoma!E59</f>
        <v>0</v>
      </c>
      <c r="F42" s="248"/>
    </row>
    <row r="43" spans="1:6" hidden="1">
      <c r="A43" s="43">
        <f>dalolatnoma!A60</f>
        <v>0</v>
      </c>
      <c r="B43" s="43"/>
      <c r="C43" s="43">
        <f>dalolatnoma!C60</f>
        <v>0</v>
      </c>
      <c r="D43" s="43">
        <f>dalolatnoma!D60</f>
        <v>0</v>
      </c>
      <c r="E43" s="43">
        <f>dalolatnoma!E60</f>
        <v>0</v>
      </c>
      <c r="F43" s="248"/>
    </row>
    <row r="44" spans="1:6" hidden="1">
      <c r="A44" s="43">
        <f>dalolatnoma!A61</f>
        <v>0</v>
      </c>
      <c r="B44" s="43"/>
      <c r="C44" s="43">
        <f>dalolatnoma!C61</f>
        <v>0</v>
      </c>
      <c r="D44" s="43">
        <f>dalolatnoma!D61</f>
        <v>0</v>
      </c>
      <c r="E44" s="43">
        <f>dalolatnoma!E61</f>
        <v>0</v>
      </c>
      <c r="F44" s="249"/>
    </row>
    <row r="45" spans="1:6" hidden="1">
      <c r="A45" s="43" t="str">
        <f>dalolatnoma!A62</f>
        <v>JAMI</v>
      </c>
      <c r="B45" s="43"/>
      <c r="C45" s="43" t="str">
        <f>dalolatnoma!C62</f>
        <v>43.96</v>
      </c>
      <c r="D45" s="43" t="str">
        <f>dalolatnoma!D62</f>
        <v>18.82</v>
      </c>
      <c r="E45" s="43" t="str">
        <f>dalolatnoma!E62</f>
        <v>43.96</v>
      </c>
      <c r="F45" s="43" t="str">
        <f>FIXED(umumiy_malumot!C136,2)</f>
        <v>70 000 000,00</v>
      </c>
    </row>
    <row r="46" spans="1:6" ht="21.75" customHeight="1">
      <c r="A46" s="250" t="str">
        <f>dalolatnoma!A39:F39</f>
        <v>-* ko'chmas mulk egasi: SIMONYAN VADIM ROMANOVICH</v>
      </c>
      <c r="B46" s="250"/>
      <c r="C46" s="250"/>
      <c r="D46" s="250"/>
      <c r="E46" s="250"/>
      <c r="F46" s="250"/>
    </row>
    <row r="47" spans="1:6" ht="21.75" customHeight="1">
      <c r="A47" s="250" t="str">
        <f>dalolatnoma!A40:F40</f>
        <v>-* reestr raqami: №1726266/R-A5552339</v>
      </c>
      <c r="B47" s="250"/>
      <c r="C47" s="250"/>
      <c r="D47" s="250"/>
      <c r="E47" s="250"/>
      <c r="F47" s="250"/>
    </row>
    <row r="48" spans="1:6" ht="21.75" customHeight="1">
      <c r="A48" s="250" t="str">
        <f>dalolatnoma!A41:F41</f>
        <v>-* kadastr raqami: 07.01.2025 y. №10:07:04:02:02:7296/06</v>
      </c>
      <c r="B48" s="250"/>
      <c r="C48" s="250"/>
      <c r="D48" s="250"/>
      <c r="E48" s="250"/>
      <c r="F48" s="250"/>
    </row>
    <row r="49" spans="1:6" ht="29.25" customHeight="1">
      <c r="A49" s="250" t="str">
        <f>dalolatnoma!A42:F42</f>
        <v>-* manzil: TOSHKENT SHAHAR YUNUSOBOD TUMANI OTCHOPAR-1 MFY KARIM ZARIPOV KO'CHASI 8-6 UY</v>
      </c>
      <c r="B49" s="250"/>
      <c r="C49" s="250"/>
      <c r="D49" s="250"/>
      <c r="E49" s="250"/>
      <c r="F49" s="250"/>
    </row>
    <row r="50" spans="1:6" ht="12" customHeight="1">
      <c r="A50" s="159"/>
      <c r="B50" s="159"/>
      <c r="C50" s="159"/>
      <c r="D50" s="159"/>
      <c r="E50" s="159"/>
      <c r="F50" s="159"/>
    </row>
    <row r="51" spans="1:6" ht="33" customHeight="1">
      <c r="A51" s="243" t="s">
        <v>394</v>
      </c>
      <c r="B51" s="243"/>
      <c r="C51" s="243"/>
      <c r="D51" s="243"/>
      <c r="E51" s="243"/>
      <c r="F51" s="243"/>
    </row>
    <row r="53" spans="1:6" ht="29.25" customHeight="1">
      <c r="A53" s="244" t="s">
        <v>254</v>
      </c>
      <c r="B53" s="244"/>
      <c r="C53" s="244"/>
      <c r="D53" s="244"/>
      <c r="E53" s="244"/>
      <c r="F53" s="244"/>
    </row>
    <row r="54" spans="1:6" ht="29.25" customHeight="1">
      <c r="A54" s="245" t="str">
        <f>"1. "&amp;umumiy_malumot!B151&amp;""</f>
        <v>1. Obidov Abdullo Shokir o'g'li</v>
      </c>
      <c r="B54" s="245"/>
      <c r="C54" s="245"/>
      <c r="D54" s="200"/>
      <c r="E54" s="201"/>
      <c r="F54" s="201"/>
    </row>
    <row r="55" spans="1:6" ht="29.25" customHeight="1">
      <c r="A55" s="246" t="str">
        <f>"2. "&amp;umumiy_malumot!B159&amp;""</f>
        <v>2. Akramov R.N.</v>
      </c>
      <c r="B55" s="246"/>
      <c r="C55" s="246"/>
      <c r="D55" s="200"/>
      <c r="E55" s="202"/>
      <c r="F55" s="202"/>
    </row>
    <row r="56" spans="1:6" ht="29.25" customHeight="1">
      <c r="A56" s="245" t="str">
        <f>"3. "&amp;umumiy_malumot!B161&amp;""</f>
        <v>3. Eshbekov S.O.</v>
      </c>
      <c r="B56" s="245"/>
      <c r="C56" s="245"/>
      <c r="D56" s="155"/>
      <c r="E56" s="203"/>
      <c r="F56" s="203"/>
    </row>
  </sheetData>
  <mergeCells count="30">
    <mergeCell ref="A56:C56"/>
    <mergeCell ref="A22:F22"/>
    <mergeCell ref="A1:F1"/>
    <mergeCell ref="A2:F2"/>
    <mergeCell ref="C4:E4"/>
    <mergeCell ref="A5:F5"/>
    <mergeCell ref="A7:F12"/>
    <mergeCell ref="A14:F14"/>
    <mergeCell ref="A16:F16"/>
    <mergeCell ref="A18:F18"/>
    <mergeCell ref="A19:F19"/>
    <mergeCell ref="A20:F20"/>
    <mergeCell ref="A21:F21"/>
    <mergeCell ref="A48:F48"/>
    <mergeCell ref="A23:F23"/>
    <mergeCell ref="A24:F24"/>
    <mergeCell ref="A25:F25"/>
    <mergeCell ref="A26:F26"/>
    <mergeCell ref="A29:F29"/>
    <mergeCell ref="A30:F30"/>
    <mergeCell ref="A31:F31"/>
    <mergeCell ref="A51:F51"/>
    <mergeCell ref="A53:F53"/>
    <mergeCell ref="A54:C54"/>
    <mergeCell ref="A55:C55"/>
    <mergeCell ref="A32:F32"/>
    <mergeCell ref="F34:F44"/>
    <mergeCell ref="A46:F46"/>
    <mergeCell ref="A47:F47"/>
    <mergeCell ref="A49:F49"/>
  </mergeCells>
  <pageMargins left="0.70866141732283472" right="0.70866141732283472" top="0.74803149606299213" bottom="0.74803149606299213" header="0.31496062992125984" footer="0.31496062992125984"/>
  <pageSetup paperSize="9" scale="64" orientation="portrait" r:id="rId1"/>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76"/>
  <sheetViews>
    <sheetView topLeftCell="A13" zoomScale="70" zoomScaleNormal="70" zoomScaleSheetLayoutView="70" workbookViewId="0">
      <selection activeCell="G55" sqref="G55"/>
    </sheetView>
  </sheetViews>
  <sheetFormatPr defaultColWidth="9.140625" defaultRowHeight="15" outlineLevelCol="1"/>
  <cols>
    <col min="1" max="1" width="9.140625" style="111"/>
    <col min="2" max="2" width="12.28515625" style="111" customWidth="1"/>
    <col min="3" max="3" width="16.5703125" style="111" customWidth="1"/>
    <col min="4" max="4" width="16.7109375" style="111" customWidth="1"/>
    <col min="5" max="5" width="16.5703125" style="111" customWidth="1"/>
    <col min="6" max="6" width="20.85546875" style="111" customWidth="1"/>
    <col min="7" max="7" width="10.140625" style="111" customWidth="1" outlineLevel="1"/>
    <col min="8" max="8" width="19.140625" style="111" customWidth="1"/>
    <col min="9" max="9" width="21.42578125" style="111" customWidth="1"/>
    <col min="10" max="10" width="20.85546875" style="111" customWidth="1"/>
    <col min="11" max="11" width="20.140625" style="111" customWidth="1"/>
    <col min="12" max="12" width="21.42578125" style="111" customWidth="1"/>
    <col min="13" max="13" width="25.42578125" style="111" customWidth="1"/>
    <col min="14" max="14" width="18.28515625" style="111" customWidth="1"/>
    <col min="15" max="17" width="9.140625" style="19"/>
    <col min="18" max="18" width="24.42578125" style="19" customWidth="1"/>
    <col min="19" max="16384" width="9.140625" style="19"/>
  </cols>
  <sheetData>
    <row r="1" spans="1:22">
      <c r="A1" s="110"/>
      <c r="B1" s="110"/>
      <c r="C1" s="110"/>
      <c r="D1" s="110"/>
      <c r="E1" s="264" t="s">
        <v>15</v>
      </c>
      <c r="F1" s="264"/>
    </row>
    <row r="2" spans="1:22">
      <c r="A2" s="110"/>
      <c r="B2" s="110"/>
      <c r="C2" s="110"/>
      <c r="D2" s="110"/>
      <c r="E2" s="110"/>
      <c r="F2" s="112" t="str">
        <f>"к договору микрозайма "&amp;umumiy_malumot!B74&amp;""</f>
        <v>к договору микрозайма 2 fevral 2026 y.dan №43</v>
      </c>
    </row>
    <row r="3" spans="1:22" ht="19.5" customHeight="1">
      <c r="A3" s="110"/>
      <c r="B3" s="110"/>
      <c r="C3" s="110"/>
      <c r="D3" s="110"/>
      <c r="E3" s="110"/>
      <c r="F3" s="110"/>
      <c r="H3" s="113"/>
      <c r="I3" s="113"/>
      <c r="J3" s="114"/>
      <c r="K3" s="114"/>
    </row>
    <row r="4" spans="1:22" ht="19.5" customHeight="1">
      <c r="A4" s="265" t="s">
        <v>16</v>
      </c>
      <c r="B4" s="265"/>
      <c r="C4" s="265"/>
      <c r="D4" s="265"/>
      <c r="E4" s="265"/>
      <c r="F4" s="265"/>
      <c r="H4" s="113"/>
      <c r="I4" s="113"/>
      <c r="J4" s="113"/>
      <c r="K4" s="113"/>
    </row>
    <row r="5" spans="1:22" ht="19.5" customHeight="1">
      <c r="L5" s="111">
        <f>umumiy_malumot!B81</f>
        <v>24</v>
      </c>
    </row>
    <row r="6" spans="1:22">
      <c r="A6" s="266" t="s">
        <v>14</v>
      </c>
      <c r="B6" s="267" t="s">
        <v>8</v>
      </c>
      <c r="C6" s="267" t="s">
        <v>9</v>
      </c>
      <c r="D6" s="268" t="s">
        <v>10</v>
      </c>
      <c r="E6" s="268"/>
      <c r="F6" s="268"/>
    </row>
    <row r="7" spans="1:22" s="20" customFormat="1">
      <c r="A7" s="266"/>
      <c r="B7" s="267"/>
      <c r="C7" s="267"/>
      <c r="D7" s="115" t="s">
        <v>11</v>
      </c>
      <c r="E7" s="115" t="s">
        <v>12</v>
      </c>
      <c r="F7" s="115" t="s">
        <v>13</v>
      </c>
      <c r="G7" s="116"/>
      <c r="H7" s="116"/>
      <c r="I7" s="116"/>
      <c r="J7" s="116"/>
      <c r="K7" s="116"/>
      <c r="L7" s="116"/>
      <c r="M7" s="116"/>
      <c r="N7" s="116"/>
    </row>
    <row r="8" spans="1:22">
      <c r="A8" s="117">
        <v>1</v>
      </c>
      <c r="B8" s="118">
        <f>umumiy_malumot!B79</f>
        <v>46101</v>
      </c>
      <c r="C8" s="64">
        <f>umumiy_malumot!B75</f>
        <v>50000000</v>
      </c>
      <c r="D8" s="64">
        <f>IF(IF(C8=0,L8,IF(C8&gt;1,I8))="",0,(IF(C8=0,L8,IF(C8&gt;1,I8))))</f>
        <v>2083333.33</v>
      </c>
      <c r="E8" s="64">
        <f>IF(C8=0,N6,IF(C8&gt;1,L8))</f>
        <v>3465753.62</v>
      </c>
      <c r="F8" s="64">
        <f>IF(C8=0,O6,IF(C8&gt;1,M8))</f>
        <v>5549086.9500000002</v>
      </c>
      <c r="G8" s="128">
        <f>B8-umumiy_malumot!B67</f>
        <v>46</v>
      </c>
      <c r="H8" s="111">
        <f>DATE(YEAR(B8),12,31)-DATE(YEAR(B8),1,1)+1</f>
        <v>365</v>
      </c>
      <c r="I8" s="119">
        <f>IF(umumiy_malumot!B83=0,ROUND(C8/L5,2),"")</f>
        <v>2083333.33</v>
      </c>
      <c r="J8" s="119"/>
      <c r="K8" s="119"/>
      <c r="L8" s="113">
        <f>ROUND(C8*umumiy_malumot!$B$84/H8,2)*G8</f>
        <v>3465753.62</v>
      </c>
      <c r="M8" s="113">
        <f t="shared" ref="M8:M31" si="0">D8+E8</f>
        <v>5549086.9500000002</v>
      </c>
      <c r="N8" s="113"/>
      <c r="O8" s="125" t="str">
        <f>TEXT(B8,"ддд")</f>
        <v>Пт</v>
      </c>
      <c r="P8" s="127">
        <f>IF(O8=$U$8,2,IF(O8=$V$8,1,0))</f>
        <v>0</v>
      </c>
      <c r="Q8" s="127">
        <f>DAY(umumiy_malumot!$B$78)+P8</f>
        <v>20</v>
      </c>
      <c r="R8" s="122"/>
      <c r="S8" s="123" t="s">
        <v>29</v>
      </c>
      <c r="T8" s="123" t="s">
        <v>30</v>
      </c>
      <c r="U8" s="123" t="s">
        <v>31</v>
      </c>
      <c r="V8" s="124" t="s">
        <v>32</v>
      </c>
    </row>
    <row r="9" spans="1:22">
      <c r="A9" s="117">
        <v>2</v>
      </c>
      <c r="B9" s="118">
        <f>IF(A9&lt;=umumiy_malumot!$B$81,DATE(YEAR(R9),MONTH(R9),DAY(R9)+P9),0)</f>
        <v>46132</v>
      </c>
      <c r="C9" s="64">
        <f>C8-D8</f>
        <v>47916666.670000002</v>
      </c>
      <c r="D9" s="64">
        <f>IF(C9=0,L9,IF(C9&gt;1,I9))</f>
        <v>2083333.33</v>
      </c>
      <c r="E9" s="64">
        <f>IF(C9=0,N8,IF(C9&gt;1,L9))</f>
        <v>2238299.1999999997</v>
      </c>
      <c r="F9" s="64">
        <f>IF(C9=0,N8,IF(C9&gt;1,M9))</f>
        <v>4321632.5299999993</v>
      </c>
      <c r="G9" s="111">
        <f>B9-B8</f>
        <v>31</v>
      </c>
      <c r="H9" s="111">
        <f t="shared" ref="H9:H31" si="1">DATE(YEAR(B9),12,31)-DATE(YEAR(B9),1,1)+1</f>
        <v>365</v>
      </c>
      <c r="I9" s="119">
        <f>IF(I8="",ROUND(C8/(L5-1),2),I8)</f>
        <v>2083333.33</v>
      </c>
      <c r="J9" s="119"/>
      <c r="K9" s="119"/>
      <c r="L9" s="113">
        <f>ROUND(C9*umumiy_malumot!$B$84/H9,2)*G9</f>
        <v>2238299.1999999997</v>
      </c>
      <c r="M9" s="113">
        <f t="shared" si="0"/>
        <v>4321632.5299999993</v>
      </c>
      <c r="N9" s="113"/>
      <c r="O9" s="125" t="str">
        <f>TEXT(R9,"ддд")</f>
        <v>Пн</v>
      </c>
      <c r="P9" s="127">
        <f t="shared" ref="P9:P31" si="2">IF(O9=$U$8,2,IF(O9=$V$8,1,0))</f>
        <v>0</v>
      </c>
      <c r="Q9" s="127">
        <f>DAY(umumiy_malumot!$B$78)+P9</f>
        <v>20</v>
      </c>
      <c r="R9" s="122">
        <f>IF(A9&lt;=umumiy_malumot!$B$81,DATE(YEAR($B$8),MONTH($B$8)+A8,DAY(umumiy_malumot!$B$78)),0)</f>
        <v>46132</v>
      </c>
      <c r="S9" s="111"/>
      <c r="T9" s="111"/>
      <c r="U9" s="111"/>
      <c r="V9" s="111"/>
    </row>
    <row r="10" spans="1:22">
      <c r="A10" s="117">
        <v>3</v>
      </c>
      <c r="B10" s="118">
        <f>IF(A10&lt;=umumiy_malumot!$B$81,DATE(YEAR(R10),MONTH(R10),DAY(R10)+P10),0)</f>
        <v>46162</v>
      </c>
      <c r="C10" s="64">
        <f>C9-D9</f>
        <v>45833333.340000004</v>
      </c>
      <c r="D10" s="64">
        <f>IF(C10=0,L10,IF(C10&gt;1,I10))</f>
        <v>2083333.33</v>
      </c>
      <c r="E10" s="64">
        <f>IF(C10=0,N9,IF(C10&gt;1,L10))</f>
        <v>2071917.9</v>
      </c>
      <c r="F10" s="64">
        <f>IF(C10=0,N9,IF(C10&gt;1,M10))</f>
        <v>4155251.23</v>
      </c>
      <c r="G10" s="111">
        <f t="shared" ref="G10:G31" si="3">B10-B9</f>
        <v>30</v>
      </c>
      <c r="H10" s="111">
        <f t="shared" si="1"/>
        <v>365</v>
      </c>
      <c r="I10" s="119">
        <f>I9</f>
        <v>2083333.33</v>
      </c>
      <c r="J10" s="119"/>
      <c r="K10" s="119"/>
      <c r="L10" s="113">
        <f>ROUND(C10*umumiy_malumot!$B$84/H10,2)*G10</f>
        <v>2071917.9</v>
      </c>
      <c r="M10" s="113">
        <f t="shared" si="0"/>
        <v>4155251.23</v>
      </c>
      <c r="N10" s="113"/>
      <c r="O10" s="125" t="str">
        <f t="shared" ref="O10:O31" si="4">TEXT(R10,"ддд")</f>
        <v>Ср</v>
      </c>
      <c r="P10" s="127">
        <f t="shared" si="2"/>
        <v>0</v>
      </c>
      <c r="Q10" s="127">
        <f>DAY(umumiy_malumot!$B$78)+P10</f>
        <v>20</v>
      </c>
      <c r="R10" s="122">
        <f>IF(A10&lt;=umumiy_malumot!$B$81,DATE(YEAR($B$8),MONTH($B$8)+A9,DAY(umumiy_malumot!$B$78)),0)</f>
        <v>46162</v>
      </c>
      <c r="S10" s="111"/>
      <c r="T10" s="111"/>
      <c r="U10" s="111"/>
      <c r="V10" s="111"/>
    </row>
    <row r="11" spans="1:22">
      <c r="A11" s="117">
        <v>4</v>
      </c>
      <c r="B11" s="118">
        <f>IF(A11&lt;=umumiy_malumot!$B$81,DATE(YEAR(R11),MONTH(R11),DAY(R11)+P11),0)</f>
        <v>46195</v>
      </c>
      <c r="C11" s="64">
        <f>C10-D10</f>
        <v>43750000.010000005</v>
      </c>
      <c r="D11" s="64">
        <f>IF(C11=0,L11,IF(C11&gt;1,I11))</f>
        <v>2083333.33</v>
      </c>
      <c r="E11" s="64">
        <f>IF(C11=0,N10,IF(C11&gt;1,L11))</f>
        <v>2175513.7800000003</v>
      </c>
      <c r="F11" s="64">
        <f>IF(C11=0,N10,IF(C11&gt;1,M11))</f>
        <v>4258847.1100000003</v>
      </c>
      <c r="G11" s="111">
        <f t="shared" si="3"/>
        <v>33</v>
      </c>
      <c r="H11" s="111">
        <f t="shared" si="1"/>
        <v>365</v>
      </c>
      <c r="I11" s="119">
        <f>I10</f>
        <v>2083333.33</v>
      </c>
      <c r="J11" s="119"/>
      <c r="K11" s="119"/>
      <c r="L11" s="113">
        <f>ROUND(C11*umumiy_malumot!$B$84/H11,2)*G11</f>
        <v>2175513.7800000003</v>
      </c>
      <c r="M11" s="113">
        <f t="shared" si="0"/>
        <v>4258847.1100000003</v>
      </c>
      <c r="N11" s="113"/>
      <c r="O11" s="125" t="str">
        <f t="shared" si="4"/>
        <v>Сб</v>
      </c>
      <c r="P11" s="127">
        <f t="shared" si="2"/>
        <v>2</v>
      </c>
      <c r="Q11" s="127">
        <f>DAY(umumiy_malumot!$B$78)+P11</f>
        <v>22</v>
      </c>
      <c r="R11" s="122">
        <f>IF(A11&lt;=umumiy_malumot!$B$81,DATE(YEAR($B$8),MONTH($B$8)+A10,DAY(umumiy_malumot!$B$78)),0)</f>
        <v>46193</v>
      </c>
      <c r="S11" s="111"/>
      <c r="T11" s="111"/>
      <c r="U11" s="111"/>
      <c r="V11" s="111"/>
    </row>
    <row r="12" spans="1:22">
      <c r="A12" s="117">
        <v>5</v>
      </c>
      <c r="B12" s="118">
        <f>IF(A12&lt;=umumiy_malumot!$B$81,DATE(YEAR(R12),MONTH(R12),DAY(R12)+P12),0)</f>
        <v>46223</v>
      </c>
      <c r="C12" s="64">
        <f>C11-D11</f>
        <v>41666666.680000007</v>
      </c>
      <c r="D12" s="64">
        <f>IF(C12=0,L12,IF(C12&gt;1,I12))</f>
        <v>2083333.33</v>
      </c>
      <c r="E12" s="64">
        <f>IF(C12=0,N11,IF(C12&gt;1,L12))</f>
        <v>1757990.92</v>
      </c>
      <c r="F12" s="64">
        <f>IF(C12=0,N11,IF(C12&gt;1,M12))</f>
        <v>3841324.25</v>
      </c>
      <c r="G12" s="111">
        <f t="shared" si="3"/>
        <v>28</v>
      </c>
      <c r="H12" s="111">
        <f t="shared" si="1"/>
        <v>365</v>
      </c>
      <c r="I12" s="119">
        <f>I11</f>
        <v>2083333.33</v>
      </c>
      <c r="J12" s="119">
        <f>umumiy_malumot!B75</f>
        <v>50000000</v>
      </c>
      <c r="K12" s="119"/>
      <c r="L12" s="113">
        <f>ROUND(C12*umumiy_malumot!$B$84/H12,2)*G12</f>
        <v>1757990.92</v>
      </c>
      <c r="M12" s="113">
        <f t="shared" si="0"/>
        <v>3841324.25</v>
      </c>
      <c r="N12" s="113"/>
      <c r="O12" s="125" t="str">
        <f t="shared" si="4"/>
        <v>Пн</v>
      </c>
      <c r="P12" s="127">
        <f t="shared" si="2"/>
        <v>0</v>
      </c>
      <c r="Q12" s="127">
        <f>DAY(umumiy_malumot!$B$78)+P12</f>
        <v>20</v>
      </c>
      <c r="R12" s="122">
        <f>IF(A12&lt;=umumiy_malumot!$B$81,DATE(YEAR($B$8),MONTH($B$8)+A11,DAY(umumiy_malumot!$B$78)),0)</f>
        <v>46223</v>
      </c>
      <c r="S12" s="111"/>
      <c r="T12" s="111"/>
      <c r="U12" s="111"/>
      <c r="V12" s="111"/>
    </row>
    <row r="13" spans="1:22">
      <c r="A13" s="117">
        <v>6</v>
      </c>
      <c r="B13" s="118">
        <f>IF(A13&lt;=umumiy_malumot!$B$81,DATE(YEAR(R13),MONTH(R13),DAY(IF(A13=umumiy_malumot!$B$81,umumiy_malumot!$B$67,IF(A13&lt;umumiy_malumot!$B$81,(Q13),IF(A13&gt;umumiy_malumot!$B$81,$H$56,0))))))</f>
        <v>46254</v>
      </c>
      <c r="C13" s="64">
        <f t="shared" ref="C13:C30" si="5">C12-D12</f>
        <v>39583333.350000009</v>
      </c>
      <c r="D13" s="64">
        <f t="shared" ref="D13:D30" si="6">IF(C13=0,L13,IF(C13&gt;1,I13))</f>
        <v>2083333.33</v>
      </c>
      <c r="E13" s="64">
        <f t="shared" ref="E13:E30" si="7">IF(C13=0,N12,IF(C13&gt;1,L13))</f>
        <v>1849029.72</v>
      </c>
      <c r="F13" s="64">
        <f t="shared" ref="F13:F30" si="8">IF(C13=0,N12,IF(C13&gt;1,M13))</f>
        <v>3932363.05</v>
      </c>
      <c r="G13" s="111">
        <f t="shared" si="3"/>
        <v>31</v>
      </c>
      <c r="H13" s="111">
        <f t="shared" si="1"/>
        <v>365</v>
      </c>
      <c r="I13" s="119">
        <f>IF(L5=H1,K13,IF(L5&gt;H1,I12))</f>
        <v>2083333.33</v>
      </c>
      <c r="J13" s="119">
        <f>SUM($I$8:I12)</f>
        <v>10416666.65</v>
      </c>
      <c r="K13" s="119">
        <f>$J$12-J13</f>
        <v>39583333.350000001</v>
      </c>
      <c r="L13" s="113">
        <f>ROUND(C13*umumiy_malumot!$B$84/H13,2)*G13</f>
        <v>1849029.72</v>
      </c>
      <c r="M13" s="113">
        <f t="shared" si="0"/>
        <v>3932363.05</v>
      </c>
      <c r="N13" s="113"/>
      <c r="O13" s="125" t="str">
        <f t="shared" si="4"/>
        <v>Чт</v>
      </c>
      <c r="P13" s="127">
        <f t="shared" si="2"/>
        <v>0</v>
      </c>
      <c r="Q13" s="127">
        <f>DAY(umumiy_malumot!$B$78)+P13</f>
        <v>20</v>
      </c>
      <c r="R13" s="122">
        <f>IF(A13&lt;=umumiy_malumot!$B$81,DATE(YEAR($B$8),MONTH($B$8)+A12,DAY(umumiy_malumot!$B$78)),0)</f>
        <v>46254</v>
      </c>
      <c r="S13" s="111"/>
      <c r="T13" s="111"/>
      <c r="U13" s="111"/>
      <c r="V13" s="111"/>
    </row>
    <row r="14" spans="1:22">
      <c r="A14" s="117">
        <v>7</v>
      </c>
      <c r="B14" s="118">
        <f>IF(A14&lt;=umumiy_malumot!$B$81,DATE(YEAR(R14),MONTH(R14),DAY(IF(A14=umumiy_malumot!$B$81,umumiy_malumot!$B$67,IF(A14&lt;umumiy_malumot!$B$81,(Q14),IF(A14&gt;umumiy_malumot!$B$81,$H$56,0))))))</f>
        <v>46286</v>
      </c>
      <c r="C14" s="64">
        <f t="shared" si="5"/>
        <v>37500000.020000011</v>
      </c>
      <c r="D14" s="64">
        <f t="shared" si="6"/>
        <v>2083333.33</v>
      </c>
      <c r="E14" s="64">
        <f t="shared" si="7"/>
        <v>1808219.2</v>
      </c>
      <c r="F14" s="64">
        <f t="shared" si="8"/>
        <v>3891552.5300000003</v>
      </c>
      <c r="G14" s="111">
        <f t="shared" si="3"/>
        <v>32</v>
      </c>
      <c r="H14" s="111">
        <f t="shared" si="1"/>
        <v>365</v>
      </c>
      <c r="I14" s="119">
        <f>IF($L$5=A14,K14,IF($L$5&gt;A14,I13))</f>
        <v>2083333.33</v>
      </c>
      <c r="J14" s="119">
        <f>SUM($I$8:I13)</f>
        <v>12499999.98</v>
      </c>
      <c r="K14" s="119">
        <f t="shared" ref="K14:K31" si="9">$J$12-J14</f>
        <v>37500000.019999996</v>
      </c>
      <c r="L14" s="113">
        <f>ROUND(C14*umumiy_malumot!$B$84/H14,2)*G14</f>
        <v>1808219.2</v>
      </c>
      <c r="M14" s="113">
        <f t="shared" si="0"/>
        <v>3891552.5300000003</v>
      </c>
      <c r="N14" s="113"/>
      <c r="O14" s="125" t="str">
        <f t="shared" si="4"/>
        <v>Вс</v>
      </c>
      <c r="P14" s="127">
        <f t="shared" si="2"/>
        <v>1</v>
      </c>
      <c r="Q14" s="127">
        <f>DAY(umumiy_malumot!$B$78)+P14</f>
        <v>21</v>
      </c>
      <c r="R14" s="122">
        <f>IF(A14&lt;=umumiy_malumot!$B$81,DATE(YEAR($B$8),MONTH($B$8)+A13,DAY(umumiy_malumot!$B$78)),0)</f>
        <v>46285</v>
      </c>
      <c r="S14" s="111"/>
      <c r="T14" s="111"/>
      <c r="U14" s="111"/>
      <c r="V14" s="111"/>
    </row>
    <row r="15" spans="1:22">
      <c r="A15" s="117">
        <v>8</v>
      </c>
      <c r="B15" s="118">
        <f>IF(A15&lt;=umumiy_malumot!$B$81,DATE(YEAR(R15),MONTH(R15),DAY(IF(A15=umumiy_malumot!$B$81,umumiy_malumot!$B$67,IF(A15&lt;umumiy_malumot!$B$81,(Q15),IF(A15&gt;umumiy_malumot!$B$81,$H$56,0))))))</f>
        <v>46315</v>
      </c>
      <c r="C15" s="64">
        <f t="shared" si="5"/>
        <v>35416666.690000013</v>
      </c>
      <c r="D15" s="64">
        <f t="shared" si="6"/>
        <v>2083333.33</v>
      </c>
      <c r="E15" s="64">
        <f t="shared" si="7"/>
        <v>1547659.82</v>
      </c>
      <c r="F15" s="64">
        <f t="shared" si="8"/>
        <v>3630993.1500000004</v>
      </c>
      <c r="G15" s="111">
        <f t="shared" si="3"/>
        <v>29</v>
      </c>
      <c r="H15" s="111">
        <f t="shared" si="1"/>
        <v>365</v>
      </c>
      <c r="I15" s="119">
        <f t="shared" ref="I15:I31" si="10">IF($L$5=A15,K15,IF($L$5&gt;A15,I14))</f>
        <v>2083333.33</v>
      </c>
      <c r="J15" s="119">
        <f>SUM($I$8:I14)</f>
        <v>14583333.310000001</v>
      </c>
      <c r="K15" s="119">
        <f t="shared" si="9"/>
        <v>35416666.689999998</v>
      </c>
      <c r="L15" s="113">
        <f>ROUND(C15*umumiy_malumot!$B$84/H15,2)*G15</f>
        <v>1547659.82</v>
      </c>
      <c r="M15" s="113">
        <f t="shared" si="0"/>
        <v>3630993.1500000004</v>
      </c>
      <c r="N15" s="113"/>
      <c r="O15" s="125" t="str">
        <f t="shared" si="4"/>
        <v>Вт</v>
      </c>
      <c r="P15" s="127">
        <f t="shared" si="2"/>
        <v>0</v>
      </c>
      <c r="Q15" s="127">
        <f>DAY(umumiy_malumot!$B$78)+P15</f>
        <v>20</v>
      </c>
      <c r="R15" s="122">
        <f>IF(A15&lt;=umumiy_malumot!$B$81,DATE(YEAR($B$8),MONTH($B$8)+A14,DAY(umumiy_malumot!$B$78)),0)</f>
        <v>46315</v>
      </c>
      <c r="S15" s="111"/>
      <c r="T15" s="111"/>
      <c r="U15" s="111"/>
      <c r="V15" s="111"/>
    </row>
    <row r="16" spans="1:22">
      <c r="A16" s="117">
        <v>9</v>
      </c>
      <c r="B16" s="118">
        <f>IF(A16&lt;=umumiy_malumot!$B$81,DATE(YEAR(R16),MONTH(R16),DAY(IF(A16=umumiy_malumot!$B$81,umumiy_malumot!$B$67,IF(A16&lt;umumiy_malumot!$B$81,(Q16),IF(A16&gt;umumiy_malumot!$B$81,$H$56,0))))))</f>
        <v>46346</v>
      </c>
      <c r="C16" s="64">
        <f t="shared" si="5"/>
        <v>33333333.360000014</v>
      </c>
      <c r="D16" s="64">
        <f t="shared" si="6"/>
        <v>2083333.33</v>
      </c>
      <c r="E16" s="64">
        <f t="shared" si="7"/>
        <v>1557077.6099999999</v>
      </c>
      <c r="F16" s="64">
        <f t="shared" si="8"/>
        <v>3640410.94</v>
      </c>
      <c r="G16" s="111">
        <f t="shared" si="3"/>
        <v>31</v>
      </c>
      <c r="H16" s="111">
        <f t="shared" si="1"/>
        <v>365</v>
      </c>
      <c r="I16" s="119">
        <f t="shared" si="10"/>
        <v>2083333.33</v>
      </c>
      <c r="J16" s="119">
        <f>SUM($I$8:I15)</f>
        <v>16666666.640000001</v>
      </c>
      <c r="K16" s="119">
        <f t="shared" si="9"/>
        <v>33333333.359999999</v>
      </c>
      <c r="L16" s="113">
        <f>ROUND(C16*umumiy_malumot!$B$84/H16,2)*G16</f>
        <v>1557077.6099999999</v>
      </c>
      <c r="M16" s="113">
        <f t="shared" si="0"/>
        <v>3640410.94</v>
      </c>
      <c r="N16" s="113"/>
      <c r="O16" s="125" t="str">
        <f t="shared" si="4"/>
        <v>Пт</v>
      </c>
      <c r="P16" s="127">
        <f t="shared" si="2"/>
        <v>0</v>
      </c>
      <c r="Q16" s="127">
        <f>DAY(umumiy_malumot!$B$78)+P16</f>
        <v>20</v>
      </c>
      <c r="R16" s="122">
        <f>IF(A16&lt;=umumiy_malumot!$B$81,DATE(YEAR($B$8),MONTH($B$8)+A15,DAY(umumiy_malumot!$B$78)),0)</f>
        <v>46346</v>
      </c>
      <c r="S16" s="111"/>
      <c r="T16" s="111"/>
      <c r="U16" s="111"/>
      <c r="V16" s="111"/>
    </row>
    <row r="17" spans="1:22">
      <c r="A17" s="117">
        <v>10</v>
      </c>
      <c r="B17" s="118">
        <f>IF(A17&lt;=umumiy_malumot!$B$81,DATE(YEAR(R17),MONTH(R17),DAY(IF(A17=umumiy_malumot!$B$81,umumiy_malumot!$B$67,IF(A17&lt;umumiy_malumot!$B$81,(Q17),IF(A17&gt;umumiy_malumot!$B$81,$H$56,0))))))</f>
        <v>46377</v>
      </c>
      <c r="C17" s="64">
        <f t="shared" si="5"/>
        <v>31250000.030000016</v>
      </c>
      <c r="D17" s="64">
        <f t="shared" si="6"/>
        <v>2083333.33</v>
      </c>
      <c r="E17" s="64">
        <f t="shared" si="7"/>
        <v>1459760.24</v>
      </c>
      <c r="F17" s="64">
        <f t="shared" si="8"/>
        <v>3543093.5700000003</v>
      </c>
      <c r="G17" s="111">
        <f t="shared" si="3"/>
        <v>31</v>
      </c>
      <c r="H17" s="111">
        <f t="shared" si="1"/>
        <v>365</v>
      </c>
      <c r="I17" s="119">
        <f t="shared" si="10"/>
        <v>2083333.33</v>
      </c>
      <c r="J17" s="119">
        <f>SUM($I$8:I16)</f>
        <v>18749999.969999999</v>
      </c>
      <c r="K17" s="119">
        <f>$J$12-J17</f>
        <v>31250000.030000001</v>
      </c>
      <c r="L17" s="113">
        <f>ROUND(C17*umumiy_malumot!$B$84/H17,2)*G17</f>
        <v>1459760.24</v>
      </c>
      <c r="M17" s="113">
        <f t="shared" si="0"/>
        <v>3543093.5700000003</v>
      </c>
      <c r="N17" s="113"/>
      <c r="O17" s="125" t="str">
        <f t="shared" si="4"/>
        <v>Вс</v>
      </c>
      <c r="P17" s="127">
        <f t="shared" si="2"/>
        <v>1</v>
      </c>
      <c r="Q17" s="127">
        <f>DAY(umumiy_malumot!$B$78)+P17</f>
        <v>21</v>
      </c>
      <c r="R17" s="122">
        <f>IF(A17&lt;=umumiy_malumot!$B$81,DATE(YEAR($B$8),MONTH($B$8)+A16,DAY(umumiy_malumot!$B$78)),0)</f>
        <v>46376</v>
      </c>
      <c r="S17" s="111"/>
      <c r="T17" s="111"/>
      <c r="U17" s="111"/>
      <c r="V17" s="111"/>
    </row>
    <row r="18" spans="1:22">
      <c r="A18" s="117">
        <v>11</v>
      </c>
      <c r="B18" s="118">
        <f>IF(A18&lt;=umumiy_malumot!$B$81,DATE(YEAR(R18),MONTH(R18),DAY(IF(A18=umumiy_malumot!$B$81,umumiy_malumot!$B$67,IF(A18&lt;umumiy_malumot!$B$81,(Q18),IF(A18&gt;umumiy_malumot!$B$81,$H$56,0))))))</f>
        <v>46407</v>
      </c>
      <c r="C18" s="64">
        <f t="shared" si="5"/>
        <v>29166666.700000018</v>
      </c>
      <c r="D18" s="64">
        <f t="shared" si="6"/>
        <v>2083333.33</v>
      </c>
      <c r="E18" s="64">
        <f t="shared" si="7"/>
        <v>1318493.0999999999</v>
      </c>
      <c r="F18" s="64">
        <f t="shared" si="8"/>
        <v>3401826.4299999997</v>
      </c>
      <c r="G18" s="111">
        <f t="shared" si="3"/>
        <v>30</v>
      </c>
      <c r="H18" s="111">
        <f t="shared" si="1"/>
        <v>365</v>
      </c>
      <c r="I18" s="119">
        <f t="shared" si="10"/>
        <v>2083333.33</v>
      </c>
      <c r="J18" s="119">
        <f>SUM($I$8:I17)</f>
        <v>20833333.299999997</v>
      </c>
      <c r="K18" s="119">
        <f t="shared" si="9"/>
        <v>29166666.700000003</v>
      </c>
      <c r="L18" s="113">
        <f>ROUND(C18*umumiy_malumot!$B$84/H18,2)*G18</f>
        <v>1318493.0999999999</v>
      </c>
      <c r="M18" s="113">
        <f t="shared" si="0"/>
        <v>3401826.4299999997</v>
      </c>
      <c r="N18" s="113"/>
      <c r="O18" s="125" t="str">
        <f t="shared" si="4"/>
        <v>Ср</v>
      </c>
      <c r="P18" s="127">
        <f t="shared" si="2"/>
        <v>0</v>
      </c>
      <c r="Q18" s="127">
        <f>DAY(umumiy_malumot!$B$78)+P18</f>
        <v>20</v>
      </c>
      <c r="R18" s="122">
        <f>IF(A18&lt;=umumiy_malumot!$B$81,DATE(YEAR($B$8),MONTH($B$8)+A17,DAY(umumiy_malumot!$B$78)),0)</f>
        <v>46407</v>
      </c>
      <c r="S18" s="111"/>
      <c r="T18" s="111"/>
      <c r="U18" s="111"/>
      <c r="V18" s="111"/>
    </row>
    <row r="19" spans="1:22">
      <c r="A19" s="117">
        <v>12</v>
      </c>
      <c r="B19" s="118">
        <f>IF(A19&lt;=umumiy_malumot!$B$81,DATE(YEAR(R19),MONTH(R19),DAY(IF(A19=umumiy_malumot!$B$81,umumiy_malumot!$B$67,IF(A19&lt;umumiy_malumot!$B$81,(Q19),IF(A19&gt;umumiy_malumot!$B$81,$H$56,0))))))</f>
        <v>46440</v>
      </c>
      <c r="C19" s="64">
        <f t="shared" si="5"/>
        <v>27083333.37000002</v>
      </c>
      <c r="D19" s="64">
        <f t="shared" si="6"/>
        <v>2083333.33</v>
      </c>
      <c r="E19" s="64">
        <f t="shared" si="7"/>
        <v>1346746.5</v>
      </c>
      <c r="F19" s="64">
        <f t="shared" si="8"/>
        <v>3430079.83</v>
      </c>
      <c r="G19" s="111">
        <f t="shared" si="3"/>
        <v>33</v>
      </c>
      <c r="H19" s="111">
        <f t="shared" si="1"/>
        <v>365</v>
      </c>
      <c r="I19" s="119">
        <f t="shared" si="10"/>
        <v>2083333.33</v>
      </c>
      <c r="J19" s="119">
        <f>SUM($I$8:I18)</f>
        <v>22916666.629999995</v>
      </c>
      <c r="K19" s="119">
        <f t="shared" si="9"/>
        <v>27083333.370000005</v>
      </c>
      <c r="L19" s="113">
        <f>ROUND(C19*umumiy_malumot!$B$84/H19,2)*G19</f>
        <v>1346746.5</v>
      </c>
      <c r="M19" s="113">
        <f t="shared" si="0"/>
        <v>3430079.83</v>
      </c>
      <c r="N19" s="113"/>
      <c r="O19" s="125" t="str">
        <f t="shared" si="4"/>
        <v>Сб</v>
      </c>
      <c r="P19" s="127">
        <f t="shared" si="2"/>
        <v>2</v>
      </c>
      <c r="Q19" s="127">
        <f>DAY(umumiy_malumot!$B$78)+P19</f>
        <v>22</v>
      </c>
      <c r="R19" s="122">
        <f>IF(A19&lt;=umumiy_malumot!$B$81,DATE(YEAR($B$8),MONTH($B$8)+A18,DAY(umumiy_malumot!$B$78)),0)</f>
        <v>46438</v>
      </c>
      <c r="S19" s="111"/>
      <c r="T19" s="111"/>
      <c r="U19" s="111"/>
      <c r="V19" s="111"/>
    </row>
    <row r="20" spans="1:22">
      <c r="A20" s="117">
        <v>13</v>
      </c>
      <c r="B20" s="118">
        <f>IF(A20&lt;=umumiy_malumot!$B$81,DATE(YEAR(R20),MONTH(R20),DAY(IF(A20=umumiy_malumot!$B$81,umumiy_malumot!$B$67,IF(A20&lt;umumiy_malumot!$B$81,(Q20),IF(A20&gt;umumiy_malumot!$B$81,$H$56,0))))))</f>
        <v>46468</v>
      </c>
      <c r="C20" s="64">
        <f t="shared" si="5"/>
        <v>25000000.040000021</v>
      </c>
      <c r="D20" s="64">
        <f t="shared" si="6"/>
        <v>2083333.33</v>
      </c>
      <c r="E20" s="64">
        <f t="shared" si="7"/>
        <v>1054794.4400000002</v>
      </c>
      <c r="F20" s="64">
        <f t="shared" si="8"/>
        <v>3138127.7700000005</v>
      </c>
      <c r="G20" s="111">
        <f t="shared" si="3"/>
        <v>28</v>
      </c>
      <c r="H20" s="111">
        <f t="shared" si="1"/>
        <v>365</v>
      </c>
      <c r="I20" s="119">
        <f t="shared" si="10"/>
        <v>2083333.33</v>
      </c>
      <c r="J20" s="119">
        <f>SUM($I$8:I19)</f>
        <v>24999999.959999993</v>
      </c>
      <c r="K20" s="119">
        <f>$J$12-J20</f>
        <v>25000000.040000007</v>
      </c>
      <c r="L20" s="113">
        <f>ROUND(C20*umumiy_malumot!$B$84/H20,2)*G20</f>
        <v>1054794.4400000002</v>
      </c>
      <c r="M20" s="113">
        <f t="shared" si="0"/>
        <v>3138127.7700000005</v>
      </c>
      <c r="N20" s="113"/>
      <c r="O20" s="125" t="str">
        <f t="shared" si="4"/>
        <v>Сб</v>
      </c>
      <c r="P20" s="127">
        <f t="shared" si="2"/>
        <v>2</v>
      </c>
      <c r="Q20" s="127">
        <f>DAY(umumiy_malumot!$B$78)+P20</f>
        <v>22</v>
      </c>
      <c r="R20" s="122">
        <f>IF(A20&lt;=umumiy_malumot!$B$81,DATE(YEAR($B$8),MONTH($B$8)+A19,DAY(umumiy_malumot!$B$78)),0)</f>
        <v>46466</v>
      </c>
      <c r="S20" s="111"/>
      <c r="T20" s="111"/>
      <c r="U20" s="111"/>
      <c r="V20" s="111"/>
    </row>
    <row r="21" spans="1:22">
      <c r="A21" s="117">
        <v>14</v>
      </c>
      <c r="B21" s="118">
        <f>IF(A21&lt;=umumiy_malumot!$B$81,DATE(YEAR(R21),MONTH(R21),DAY(IF(A21=umumiy_malumot!$B$81,umumiy_malumot!$B$67,IF(A21&lt;umumiy_malumot!$B$81,(Q21),IF(A21&gt;umumiy_malumot!$B$81,$H$56,0))))))</f>
        <v>46497</v>
      </c>
      <c r="C21" s="64">
        <f t="shared" si="5"/>
        <v>22916666.710000023</v>
      </c>
      <c r="D21" s="64">
        <f t="shared" si="6"/>
        <v>2083333.33</v>
      </c>
      <c r="E21" s="64">
        <f t="shared" si="7"/>
        <v>1001426.84</v>
      </c>
      <c r="F21" s="64">
        <f t="shared" si="8"/>
        <v>3084760.17</v>
      </c>
      <c r="G21" s="111">
        <f t="shared" si="3"/>
        <v>29</v>
      </c>
      <c r="H21" s="111">
        <f t="shared" si="1"/>
        <v>365</v>
      </c>
      <c r="I21" s="119">
        <f t="shared" si="10"/>
        <v>2083333.33</v>
      </c>
      <c r="J21" s="119">
        <f>SUM($I$8:I20)</f>
        <v>27083333.289999992</v>
      </c>
      <c r="K21" s="119">
        <f t="shared" si="9"/>
        <v>22916666.710000008</v>
      </c>
      <c r="L21" s="113">
        <f>ROUND(C21*umumiy_malumot!$B$84/H21,2)*G21</f>
        <v>1001426.84</v>
      </c>
      <c r="M21" s="113">
        <f t="shared" si="0"/>
        <v>3084760.17</v>
      </c>
      <c r="N21" s="113"/>
      <c r="O21" s="125" t="str">
        <f t="shared" si="4"/>
        <v>Вт</v>
      </c>
      <c r="P21" s="127">
        <f t="shared" si="2"/>
        <v>0</v>
      </c>
      <c r="Q21" s="127">
        <f>DAY(umumiy_malumot!$B$78)+P21</f>
        <v>20</v>
      </c>
      <c r="R21" s="122">
        <f>IF(A21&lt;=umumiy_malumot!$B$81,DATE(YEAR($B$8),MONTH($B$8)+A20,DAY(umumiy_malumot!$B$78)),0)</f>
        <v>46497</v>
      </c>
      <c r="S21" s="111"/>
      <c r="T21" s="111"/>
      <c r="U21" s="111"/>
      <c r="V21" s="111"/>
    </row>
    <row r="22" spans="1:22">
      <c r="A22" s="117">
        <v>15</v>
      </c>
      <c r="B22" s="118">
        <f>IF(A22&lt;=umumiy_malumot!$B$81,DATE(YEAR(R22),MONTH(R22),DAY(IF(A22=umumiy_malumot!$B$81,umumiy_malumot!$B$67,IF(A22&lt;umumiy_malumot!$B$81,(Q22),IF(A22&gt;umumiy_malumot!$B$81,$H$56,0))))))</f>
        <v>46527</v>
      </c>
      <c r="C22" s="64">
        <f t="shared" si="5"/>
        <v>20833333.380000025</v>
      </c>
      <c r="D22" s="64">
        <f t="shared" si="6"/>
        <v>2083333.33</v>
      </c>
      <c r="E22" s="64">
        <f t="shared" si="7"/>
        <v>941780.7</v>
      </c>
      <c r="F22" s="64">
        <f t="shared" si="8"/>
        <v>3025114.0300000003</v>
      </c>
      <c r="G22" s="111">
        <f t="shared" si="3"/>
        <v>30</v>
      </c>
      <c r="H22" s="111">
        <f t="shared" si="1"/>
        <v>365</v>
      </c>
      <c r="I22" s="119">
        <f t="shared" si="10"/>
        <v>2083333.33</v>
      </c>
      <c r="J22" s="119">
        <f>SUM($I$8:I21)</f>
        <v>29166666.61999999</v>
      </c>
      <c r="K22" s="119">
        <f t="shared" si="9"/>
        <v>20833333.38000001</v>
      </c>
      <c r="L22" s="113">
        <f>ROUND(C22*umumiy_malumot!$B$84/H22,2)*G22</f>
        <v>941780.7</v>
      </c>
      <c r="M22" s="113">
        <f t="shared" si="0"/>
        <v>3025114.0300000003</v>
      </c>
      <c r="N22" s="113"/>
      <c r="O22" s="125" t="str">
        <f t="shared" si="4"/>
        <v>Чт</v>
      </c>
      <c r="P22" s="127">
        <f t="shared" si="2"/>
        <v>0</v>
      </c>
      <c r="Q22" s="127">
        <f>DAY(umumiy_malumot!$B$78)+P22</f>
        <v>20</v>
      </c>
      <c r="R22" s="122">
        <f>IF(A22&lt;=umumiy_malumot!$B$81,DATE(YEAR($B$8),MONTH($B$8)+A21,DAY(umumiy_malumot!$B$78)),0)</f>
        <v>46527</v>
      </c>
      <c r="S22" s="111"/>
      <c r="T22" s="111"/>
      <c r="U22" s="111"/>
      <c r="V22" s="111"/>
    </row>
    <row r="23" spans="1:22">
      <c r="A23" s="117">
        <v>16</v>
      </c>
      <c r="B23" s="118">
        <f>IF(A23&lt;=umumiy_malumot!$B$81,DATE(YEAR(R23),MONTH(R23),DAY(IF(A23=umumiy_malumot!$B$81,umumiy_malumot!$B$67,IF(A23&lt;umumiy_malumot!$B$81,(Q23),IF(A23&gt;umumiy_malumot!$B$81,$H$56,0))))))</f>
        <v>46559</v>
      </c>
      <c r="C23" s="64">
        <f t="shared" si="5"/>
        <v>18750000.050000027</v>
      </c>
      <c r="D23" s="64">
        <f t="shared" si="6"/>
        <v>2083333.33</v>
      </c>
      <c r="E23" s="64">
        <f t="shared" si="7"/>
        <v>904109.44</v>
      </c>
      <c r="F23" s="64">
        <f t="shared" si="8"/>
        <v>2987442.77</v>
      </c>
      <c r="G23" s="111">
        <f t="shared" si="3"/>
        <v>32</v>
      </c>
      <c r="H23" s="111">
        <f t="shared" si="1"/>
        <v>365</v>
      </c>
      <c r="I23" s="119">
        <f t="shared" si="10"/>
        <v>2083333.33</v>
      </c>
      <c r="J23" s="119">
        <f>SUM($I$8:I22)</f>
        <v>31249999.949999988</v>
      </c>
      <c r="K23" s="119">
        <f t="shared" si="9"/>
        <v>18750000.050000012</v>
      </c>
      <c r="L23" s="113">
        <f>ROUND(C23*umumiy_malumot!$B$84/H23,2)*G23</f>
        <v>904109.44</v>
      </c>
      <c r="M23" s="113">
        <f t="shared" si="0"/>
        <v>2987442.77</v>
      </c>
      <c r="N23" s="113"/>
      <c r="O23" s="125" t="str">
        <f t="shared" si="4"/>
        <v>Вс</v>
      </c>
      <c r="P23" s="127">
        <f t="shared" si="2"/>
        <v>1</v>
      </c>
      <c r="Q23" s="127">
        <f>DAY(umumiy_malumot!$B$78)+P23</f>
        <v>21</v>
      </c>
      <c r="R23" s="122">
        <f>IF(A23&lt;=umumiy_malumot!$B$81,DATE(YEAR($B$8),MONTH($B$8)+A22,DAY(umumiy_malumot!$B$78)),0)</f>
        <v>46558</v>
      </c>
      <c r="S23" s="111"/>
      <c r="T23" s="111"/>
      <c r="U23" s="111"/>
      <c r="V23" s="111"/>
    </row>
    <row r="24" spans="1:22">
      <c r="A24" s="117">
        <v>17</v>
      </c>
      <c r="B24" s="118">
        <f>IF(A24&lt;=umumiy_malumot!$B$81,DATE(YEAR(R24),MONTH(R24),DAY(IF(A24=umumiy_malumot!$B$81,umumiy_malumot!$B$67,IF(A24&lt;umumiy_malumot!$B$81,(Q24),IF(A24&gt;umumiy_malumot!$B$81,$H$56,0))))))</f>
        <v>46588</v>
      </c>
      <c r="C24" s="64">
        <f t="shared" si="5"/>
        <v>16666666.720000027</v>
      </c>
      <c r="D24" s="64">
        <f t="shared" si="6"/>
        <v>2083333.33</v>
      </c>
      <c r="E24" s="64">
        <f t="shared" si="7"/>
        <v>728310.64</v>
      </c>
      <c r="F24" s="64">
        <f t="shared" si="8"/>
        <v>2811643.97</v>
      </c>
      <c r="G24" s="111">
        <f t="shared" si="3"/>
        <v>29</v>
      </c>
      <c r="H24" s="111">
        <f t="shared" si="1"/>
        <v>365</v>
      </c>
      <c r="I24" s="119">
        <f t="shared" si="10"/>
        <v>2083333.33</v>
      </c>
      <c r="J24" s="119">
        <f>SUM($I$8:I23)</f>
        <v>33333333.279999986</v>
      </c>
      <c r="K24" s="119">
        <f t="shared" si="9"/>
        <v>16666666.720000014</v>
      </c>
      <c r="L24" s="113">
        <f>ROUND(C24*umumiy_malumot!$B$84/H24,2)*G24</f>
        <v>728310.64</v>
      </c>
      <c r="M24" s="113">
        <f t="shared" si="0"/>
        <v>2811643.97</v>
      </c>
      <c r="N24" s="113"/>
      <c r="O24" s="125" t="str">
        <f t="shared" si="4"/>
        <v>Вт</v>
      </c>
      <c r="P24" s="127">
        <f t="shared" si="2"/>
        <v>0</v>
      </c>
      <c r="Q24" s="127">
        <f>DAY(umumiy_malumot!$B$78)+P24</f>
        <v>20</v>
      </c>
      <c r="R24" s="122">
        <f>IF(A24&lt;=umumiy_malumot!$B$81,DATE(YEAR($B$8),MONTH($B$8)+A23,DAY(umumiy_malumot!$B$78)),0)</f>
        <v>46588</v>
      </c>
      <c r="S24" s="111"/>
      <c r="T24" s="111"/>
      <c r="U24" s="111"/>
      <c r="V24" s="111"/>
    </row>
    <row r="25" spans="1:22">
      <c r="A25" s="117">
        <v>18</v>
      </c>
      <c r="B25" s="118">
        <f>IF(A25&lt;=umumiy_malumot!$B$81,DATE(YEAR(R25),MONTH(R25),DAY(IF(A25=umumiy_malumot!$B$81,umumiy_malumot!$B$67,IF(A25&lt;umumiy_malumot!$B$81,(Q25),IF(A25&gt;umumiy_malumot!$B$81,$H$56,0))))))</f>
        <v>46619</v>
      </c>
      <c r="C25" s="64">
        <f t="shared" si="5"/>
        <v>14583333.390000027</v>
      </c>
      <c r="D25" s="64">
        <f t="shared" si="6"/>
        <v>2083333.33</v>
      </c>
      <c r="E25" s="64">
        <f t="shared" si="7"/>
        <v>681221.59</v>
      </c>
      <c r="F25" s="64">
        <f t="shared" si="8"/>
        <v>2764554.92</v>
      </c>
      <c r="G25" s="111">
        <f t="shared" si="3"/>
        <v>31</v>
      </c>
      <c r="H25" s="111">
        <f t="shared" si="1"/>
        <v>365</v>
      </c>
      <c r="I25" s="119">
        <f t="shared" si="10"/>
        <v>2083333.33</v>
      </c>
      <c r="J25" s="119">
        <f>SUM($I$8:I24)</f>
        <v>35416666.609999985</v>
      </c>
      <c r="K25" s="119">
        <f t="shared" si="9"/>
        <v>14583333.390000015</v>
      </c>
      <c r="L25" s="113">
        <f>ROUND(C25*umumiy_malumot!$B$84/H25,2)*G25</f>
        <v>681221.59</v>
      </c>
      <c r="M25" s="113">
        <f t="shared" si="0"/>
        <v>2764554.92</v>
      </c>
      <c r="N25" s="113"/>
      <c r="O25" s="125" t="str">
        <f t="shared" si="4"/>
        <v>Пт</v>
      </c>
      <c r="P25" s="127">
        <f t="shared" si="2"/>
        <v>0</v>
      </c>
      <c r="Q25" s="127">
        <f>DAY(umumiy_malumot!$B$78)+P25</f>
        <v>20</v>
      </c>
      <c r="R25" s="122">
        <f>IF(A25&lt;=umumiy_malumot!$B$81,DATE(YEAR($B$8),MONTH($B$8)+A24,DAY(umumiy_malumot!$B$78)),0)</f>
        <v>46619</v>
      </c>
      <c r="S25" s="111"/>
      <c r="T25" s="111"/>
      <c r="U25" s="111"/>
      <c r="V25" s="111"/>
    </row>
    <row r="26" spans="1:22">
      <c r="A26" s="117">
        <v>19</v>
      </c>
      <c r="B26" s="118">
        <f>IF(A26&lt;=umumiy_malumot!$B$81,DATE(YEAR(R26),MONTH(R26),DAY(IF(A26=umumiy_malumot!$B$81,umumiy_malumot!$B$67,IF(A26&lt;umumiy_malumot!$B$81,(Q26),IF(A26&gt;umumiy_malumot!$B$81,$H$56,0))))))</f>
        <v>46650</v>
      </c>
      <c r="C26" s="64">
        <f t="shared" si="5"/>
        <v>12500000.060000027</v>
      </c>
      <c r="D26" s="64">
        <f t="shared" si="6"/>
        <v>2083333.33</v>
      </c>
      <c r="E26" s="64">
        <f t="shared" si="7"/>
        <v>583904.22</v>
      </c>
      <c r="F26" s="64">
        <f t="shared" si="8"/>
        <v>2667237.5499999998</v>
      </c>
      <c r="G26" s="111">
        <f t="shared" si="3"/>
        <v>31</v>
      </c>
      <c r="H26" s="111">
        <f t="shared" si="1"/>
        <v>365</v>
      </c>
      <c r="I26" s="119">
        <f t="shared" si="10"/>
        <v>2083333.33</v>
      </c>
      <c r="J26" s="119">
        <f>SUM($I$8:I25)</f>
        <v>37499999.939999983</v>
      </c>
      <c r="K26" s="119">
        <f t="shared" si="9"/>
        <v>12500000.060000017</v>
      </c>
      <c r="L26" s="113">
        <f>ROUND(C26*umumiy_malumot!$B$84/H26,2)*G26</f>
        <v>583904.22</v>
      </c>
      <c r="M26" s="113">
        <f t="shared" si="0"/>
        <v>2667237.5499999998</v>
      </c>
      <c r="N26" s="113"/>
      <c r="O26" s="125" t="str">
        <f t="shared" si="4"/>
        <v>Пн</v>
      </c>
      <c r="P26" s="127">
        <f t="shared" si="2"/>
        <v>0</v>
      </c>
      <c r="Q26" s="127">
        <f>DAY(umumiy_malumot!$B$78)+P26</f>
        <v>20</v>
      </c>
      <c r="R26" s="122">
        <f>IF(A26&lt;=umumiy_malumot!$B$81,DATE(YEAR($B$8),MONTH($B$8)+A25,DAY(umumiy_malumot!$B$78)),0)</f>
        <v>46650</v>
      </c>
      <c r="S26" s="111"/>
      <c r="T26" s="111"/>
      <c r="U26" s="111"/>
      <c r="V26" s="111"/>
    </row>
    <row r="27" spans="1:22">
      <c r="A27" s="117">
        <v>20</v>
      </c>
      <c r="B27" s="118">
        <f>IF(A27&lt;=umumiy_malumot!$B$81,DATE(YEAR(R27),MONTH(R27),DAY(IF(A27=umumiy_malumot!$B$81,umumiy_malumot!$B$67,IF(A27&lt;umumiy_malumot!$B$81,(Q27),IF(A27&gt;umumiy_malumot!$B$81,$H$56,0))))))</f>
        <v>46680</v>
      </c>
      <c r="C27" s="64">
        <f t="shared" si="5"/>
        <v>10416666.730000027</v>
      </c>
      <c r="D27" s="64">
        <f t="shared" si="6"/>
        <v>2083333.33</v>
      </c>
      <c r="E27" s="64">
        <f t="shared" si="7"/>
        <v>470890.5</v>
      </c>
      <c r="F27" s="64">
        <f t="shared" si="8"/>
        <v>2554223.83</v>
      </c>
      <c r="G27" s="111">
        <f t="shared" si="3"/>
        <v>30</v>
      </c>
      <c r="H27" s="111">
        <f t="shared" si="1"/>
        <v>365</v>
      </c>
      <c r="I27" s="119">
        <f t="shared" si="10"/>
        <v>2083333.33</v>
      </c>
      <c r="J27" s="119">
        <f>SUM($I$8:I26)</f>
        <v>39583333.269999981</v>
      </c>
      <c r="K27" s="119">
        <f t="shared" si="9"/>
        <v>10416666.730000019</v>
      </c>
      <c r="L27" s="113">
        <f>ROUND(C27*umumiy_malumot!$B$84/H27,2)*G27</f>
        <v>470890.5</v>
      </c>
      <c r="M27" s="113">
        <f t="shared" si="0"/>
        <v>2554223.83</v>
      </c>
      <c r="N27" s="113"/>
      <c r="O27" s="125" t="str">
        <f t="shared" si="4"/>
        <v>Ср</v>
      </c>
      <c r="P27" s="127">
        <f t="shared" si="2"/>
        <v>0</v>
      </c>
      <c r="Q27" s="127">
        <f>DAY(umumiy_malumot!$B$78)+P27</f>
        <v>20</v>
      </c>
      <c r="R27" s="122">
        <f>IF(A27&lt;=umumiy_malumot!$B$81,DATE(YEAR($B$8),MONTH($B$8)+A26,DAY(umumiy_malumot!$B$78)),0)</f>
        <v>46680</v>
      </c>
      <c r="S27" s="111"/>
      <c r="T27" s="111"/>
      <c r="U27" s="111"/>
      <c r="V27" s="111"/>
    </row>
    <row r="28" spans="1:22">
      <c r="A28" s="117">
        <v>21</v>
      </c>
      <c r="B28" s="118">
        <f>IF(A28&lt;=umumiy_malumot!$B$81,DATE(YEAR(R28),MONTH(R28),DAY(IF(A28=umumiy_malumot!$B$81,umumiy_malumot!$B$67,IF(A28&lt;umumiy_malumot!$B$81,(Q28),IF(A28&gt;umumiy_malumot!$B$81,$H$56,0))))))</f>
        <v>46713</v>
      </c>
      <c r="C28" s="64">
        <f t="shared" si="5"/>
        <v>8333333.4000000264</v>
      </c>
      <c r="D28" s="64">
        <f t="shared" si="6"/>
        <v>2083333.33</v>
      </c>
      <c r="E28" s="64">
        <f t="shared" si="7"/>
        <v>414383.64</v>
      </c>
      <c r="F28" s="64">
        <f t="shared" si="8"/>
        <v>2497716.9700000002</v>
      </c>
      <c r="G28" s="111">
        <f t="shared" si="3"/>
        <v>33</v>
      </c>
      <c r="H28" s="111">
        <f t="shared" si="1"/>
        <v>365</v>
      </c>
      <c r="I28" s="119">
        <f t="shared" si="10"/>
        <v>2083333.33</v>
      </c>
      <c r="J28" s="119">
        <f>SUM($I$8:I27)</f>
        <v>41666666.599999979</v>
      </c>
      <c r="K28" s="119">
        <f t="shared" si="9"/>
        <v>8333333.4000000209</v>
      </c>
      <c r="L28" s="113">
        <f>ROUND(C28*umumiy_malumot!$B$84/H28,2)*G28</f>
        <v>414383.64</v>
      </c>
      <c r="M28" s="113">
        <f t="shared" si="0"/>
        <v>2497716.9700000002</v>
      </c>
      <c r="N28" s="113"/>
      <c r="O28" s="125" t="str">
        <f t="shared" si="4"/>
        <v>Сб</v>
      </c>
      <c r="P28" s="127">
        <f t="shared" si="2"/>
        <v>2</v>
      </c>
      <c r="Q28" s="127">
        <f>DAY(umumiy_malumot!$B$78)+P28</f>
        <v>22</v>
      </c>
      <c r="R28" s="122">
        <f>IF(A28&lt;=umumiy_malumot!$B$81,DATE(YEAR($B$8),MONTH($B$8)+A27,DAY(umumiy_malumot!$B$78)),0)</f>
        <v>46711</v>
      </c>
      <c r="S28" s="111"/>
      <c r="T28" s="111"/>
      <c r="U28" s="111"/>
      <c r="V28" s="111"/>
    </row>
    <row r="29" spans="1:22">
      <c r="A29" s="117">
        <v>22</v>
      </c>
      <c r="B29" s="118">
        <f>IF(A29&lt;=umumiy_malumot!$B$81,DATE(YEAR(R29),MONTH(R29),DAY(IF(A29=umumiy_malumot!$B$81,umumiy_malumot!$B$67,IF(A29&lt;umumiy_malumot!$B$81,(Q29),IF(A29&gt;umumiy_malumot!$B$81,$H$56,0))))))</f>
        <v>46741</v>
      </c>
      <c r="C29" s="64">
        <f t="shared" si="5"/>
        <v>6250000.0700000264</v>
      </c>
      <c r="D29" s="64">
        <f t="shared" si="6"/>
        <v>2083333.33</v>
      </c>
      <c r="E29" s="64">
        <f t="shared" si="7"/>
        <v>263698.68</v>
      </c>
      <c r="F29" s="64">
        <f t="shared" si="8"/>
        <v>2347032.0100000002</v>
      </c>
      <c r="G29" s="111">
        <f t="shared" si="3"/>
        <v>28</v>
      </c>
      <c r="H29" s="111">
        <f t="shared" si="1"/>
        <v>365</v>
      </c>
      <c r="I29" s="119">
        <f t="shared" si="10"/>
        <v>2083333.33</v>
      </c>
      <c r="J29" s="119">
        <f>SUM($I$8:I28)</f>
        <v>43749999.929999977</v>
      </c>
      <c r="K29" s="119">
        <f t="shared" si="9"/>
        <v>6250000.0700000226</v>
      </c>
      <c r="L29" s="113">
        <f>ROUND(C29*umumiy_malumot!$B$84/H29,2)*G29</f>
        <v>263698.68</v>
      </c>
      <c r="M29" s="113">
        <f t="shared" si="0"/>
        <v>2347032.0100000002</v>
      </c>
      <c r="N29" s="113"/>
      <c r="O29" s="125" t="str">
        <f t="shared" si="4"/>
        <v>Пн</v>
      </c>
      <c r="P29" s="127">
        <f t="shared" si="2"/>
        <v>0</v>
      </c>
      <c r="Q29" s="127">
        <f>DAY(umumiy_malumot!$B$78)+P29</f>
        <v>20</v>
      </c>
      <c r="R29" s="122">
        <f>IF(A29&lt;=umumiy_malumot!$B$81,DATE(YEAR($B$8),MONTH($B$8)+A28,DAY(umumiy_malumot!$B$78)),0)</f>
        <v>46741</v>
      </c>
      <c r="S29" s="111"/>
      <c r="T29" s="111"/>
      <c r="U29" s="111"/>
      <c r="V29" s="111"/>
    </row>
    <row r="30" spans="1:22">
      <c r="A30" s="117">
        <v>23</v>
      </c>
      <c r="B30" s="118">
        <f>IF(A30&lt;=umumiy_malumot!$B$81,DATE(YEAR(R30),MONTH(R30),DAY(IF(A30=umumiy_malumot!$B$81,umumiy_malumot!$B$67,IF(A30&lt;umumiy_malumot!$B$81,(Q30),IF(A30&gt;umumiy_malumot!$B$81,$H$56,0))))))</f>
        <v>46772</v>
      </c>
      <c r="C30" s="64">
        <f t="shared" si="5"/>
        <v>4166666.7400000263</v>
      </c>
      <c r="D30" s="64">
        <f t="shared" si="6"/>
        <v>2083333.33</v>
      </c>
      <c r="E30" s="64">
        <f t="shared" si="7"/>
        <v>194102.78</v>
      </c>
      <c r="F30" s="64">
        <f t="shared" si="8"/>
        <v>2277436.11</v>
      </c>
      <c r="G30" s="111">
        <f t="shared" si="3"/>
        <v>31</v>
      </c>
      <c r="H30" s="111">
        <f t="shared" si="1"/>
        <v>366</v>
      </c>
      <c r="I30" s="119">
        <f t="shared" si="10"/>
        <v>2083333.33</v>
      </c>
      <c r="J30" s="119">
        <f>SUM($I$8:I29)</f>
        <v>45833333.259999976</v>
      </c>
      <c r="K30" s="119">
        <f t="shared" si="9"/>
        <v>4166666.7400000244</v>
      </c>
      <c r="L30" s="113">
        <f>ROUND(C30*umumiy_malumot!$B$84/H30,2)*G30</f>
        <v>194102.78</v>
      </c>
      <c r="M30" s="113">
        <f t="shared" si="0"/>
        <v>2277436.11</v>
      </c>
      <c r="N30" s="113"/>
      <c r="O30" s="125" t="str">
        <f t="shared" si="4"/>
        <v>Чт</v>
      </c>
      <c r="P30" s="127">
        <f t="shared" si="2"/>
        <v>0</v>
      </c>
      <c r="Q30" s="127">
        <f>DAY(umumiy_malumot!$B$78)+P30</f>
        <v>20</v>
      </c>
      <c r="R30" s="122">
        <f>IF(A30&lt;=umumiy_malumot!$B$81,DATE(YEAR($B$8),MONTH($B$8)+A29,DAY(umumiy_malumot!$B$78)),0)</f>
        <v>46772</v>
      </c>
      <c r="S30" s="111"/>
      <c r="T30" s="111"/>
      <c r="U30" s="111"/>
      <c r="V30" s="111"/>
    </row>
    <row r="31" spans="1:22">
      <c r="A31" s="117">
        <v>24</v>
      </c>
      <c r="B31" s="118">
        <f>IF(A31&lt;=umumiy_malumot!$B$81,DATE(YEAR(R31),MONTH(R31),DAY(IF(A31=umumiy_malumot!$B$81,umumiy_malumot!$B$67,IF(A31&lt;umumiy_malumot!$B$81,(Q31),IF(A31&gt;umumiy_malumot!$B$81,$H$56,0))))))</f>
        <v>46785</v>
      </c>
      <c r="C31" s="64">
        <f>C30-D30</f>
        <v>2083333.4100000262</v>
      </c>
      <c r="D31" s="64">
        <f>IF(C31=0,L31,IF(C31&gt;1,I31))</f>
        <v>2083333.4100000262</v>
      </c>
      <c r="E31" s="64">
        <f>IF(C31=0,N30,IF(C31&gt;1,L31))</f>
        <v>40698.97</v>
      </c>
      <c r="F31" s="64">
        <f>IF(C31=0,N30,IF(C31&gt;1,M31))</f>
        <v>2124032.3800000264</v>
      </c>
      <c r="G31" s="111">
        <f t="shared" si="3"/>
        <v>13</v>
      </c>
      <c r="H31" s="111">
        <f t="shared" si="1"/>
        <v>366</v>
      </c>
      <c r="I31" s="119">
        <f t="shared" si="10"/>
        <v>2083333.4100000262</v>
      </c>
      <c r="J31" s="119">
        <f>SUM($I$8:I30)</f>
        <v>47916666.589999974</v>
      </c>
      <c r="K31" s="119">
        <f t="shared" si="9"/>
        <v>2083333.4100000262</v>
      </c>
      <c r="L31" s="113">
        <f>ROUND(C31*umumiy_malumot!$B$84/H31,2)*G31</f>
        <v>40698.97</v>
      </c>
      <c r="M31" s="113">
        <f t="shared" si="0"/>
        <v>2124032.3800000264</v>
      </c>
      <c r="N31" s="113"/>
      <c r="O31" s="125" t="str">
        <f t="shared" si="4"/>
        <v>Вс</v>
      </c>
      <c r="P31" s="127">
        <f t="shared" si="2"/>
        <v>1</v>
      </c>
      <c r="Q31" s="127">
        <f>DAY(umumiy_malumot!$B$78)+P31</f>
        <v>21</v>
      </c>
      <c r="R31" s="122">
        <f>IF(A31&lt;=umumiy_malumot!$B$81,DATE(YEAR($B$8),MONTH($B$8)+A30,DAY(umumiy_malumot!$B$78)),0)</f>
        <v>46803</v>
      </c>
      <c r="S31" s="111"/>
      <c r="T31" s="111"/>
      <c r="U31" s="111"/>
      <c r="V31" s="111"/>
    </row>
    <row r="32" spans="1:22">
      <c r="A32" s="117">
        <f>1+A31</f>
        <v>25</v>
      </c>
      <c r="B32" s="118" t="b">
        <f>IF(A32&lt;=umumiy_malumot!$B$81,DATE(YEAR(R32),MONTH(R32),DAY(IF(A32=umumiy_malumot!$B$81,umumiy_malumot!$B$67,IF(A32&lt;umumiy_malumot!$B$81,(Q32),IF(A32&gt;umumiy_malumot!$B$81,$H$56,0))))))</f>
        <v>0</v>
      </c>
      <c r="C32" s="64">
        <f t="shared" ref="C32:C55" si="11">C31-D31</f>
        <v>0</v>
      </c>
      <c r="D32" s="64">
        <f t="shared" ref="D32:D55" si="12">IF(C32=0,L32,IF(C32&gt;1,I32))</f>
        <v>0</v>
      </c>
      <c r="E32" s="64">
        <f t="shared" ref="E32:E55" si="13">IF(C32=0,N31,IF(C32&gt;1,L32))</f>
        <v>0</v>
      </c>
      <c r="F32" s="64">
        <f t="shared" ref="F32:F55" si="14">IF(C32=0,N31,IF(C32&gt;1,M32))</f>
        <v>0</v>
      </c>
      <c r="G32" s="111">
        <f t="shared" ref="G32:G55" si="15">B32-B31</f>
        <v>-46785</v>
      </c>
      <c r="H32" s="111">
        <f t="shared" ref="H32:H55" si="16">DATE(YEAR(B32),12,31)-DATE(YEAR(B32),1,1)+1</f>
        <v>366</v>
      </c>
      <c r="I32" s="119" t="b">
        <f t="shared" ref="I32:I55" si="17">IF($L$5=A32,K32,IF($L$5&gt;A32,I31))</f>
        <v>0</v>
      </c>
      <c r="J32" s="119">
        <f>SUM($I$8:I31)</f>
        <v>50000000</v>
      </c>
      <c r="K32" s="119">
        <f t="shared" ref="K32:K55" si="18">$J$12-J32</f>
        <v>0</v>
      </c>
      <c r="L32" s="113">
        <f>ROUND(C32*umumiy_malumot!$B$84/H32,2)*G32</f>
        <v>0</v>
      </c>
      <c r="M32" s="113">
        <f t="shared" ref="M32:M55" si="19">D32+E32</f>
        <v>0</v>
      </c>
      <c r="N32" s="113"/>
      <c r="O32" s="125" t="str">
        <f t="shared" ref="O32:O55" si="20">TEXT(R32,"ддд")</f>
        <v>Сб</v>
      </c>
      <c r="P32" s="127">
        <f t="shared" ref="P32:P55" si="21">IF(O32=$U$8,2,IF(O32=$V$8,1,0))</f>
        <v>2</v>
      </c>
      <c r="Q32" s="127">
        <f>DAY(umumiy_malumot!$B$78)+P32</f>
        <v>22</v>
      </c>
      <c r="R32" s="122">
        <f>IF(A32&lt;=umumiy_malumot!$B$81,DATE(YEAR($B$8),MONTH($B$8)+A31,DAY(umumiy_malumot!$B$78)),0)</f>
        <v>0</v>
      </c>
      <c r="S32" s="111"/>
      <c r="T32" s="111"/>
      <c r="U32" s="111"/>
      <c r="V32" s="111"/>
    </row>
    <row r="33" spans="1:22">
      <c r="A33" s="117">
        <f t="shared" ref="A33:A55" si="22">1+A32</f>
        <v>26</v>
      </c>
      <c r="B33" s="118" t="b">
        <f>IF(A33&lt;=umumiy_malumot!$B$81,DATE(YEAR(R33),MONTH(R33),DAY(IF(A33=umumiy_malumot!$B$81,umumiy_malumot!$B$67,IF(A33&lt;umumiy_malumot!$B$81,(Q33),IF(A33&gt;umumiy_malumot!$B$81,$H$56,0))))))</f>
        <v>0</v>
      </c>
      <c r="C33" s="64">
        <f t="shared" si="11"/>
        <v>0</v>
      </c>
      <c r="D33" s="64">
        <f t="shared" si="12"/>
        <v>0</v>
      </c>
      <c r="E33" s="64">
        <f t="shared" si="13"/>
        <v>0</v>
      </c>
      <c r="F33" s="64">
        <f t="shared" si="14"/>
        <v>0</v>
      </c>
      <c r="G33" s="111">
        <f t="shared" si="15"/>
        <v>0</v>
      </c>
      <c r="H33" s="111">
        <f t="shared" si="16"/>
        <v>366</v>
      </c>
      <c r="I33" s="119" t="b">
        <f t="shared" si="17"/>
        <v>0</v>
      </c>
      <c r="J33" s="119">
        <f>SUM($I$8:I32)</f>
        <v>50000000</v>
      </c>
      <c r="K33" s="119">
        <f t="shared" si="18"/>
        <v>0</v>
      </c>
      <c r="L33" s="113">
        <f>ROUND(C33*umumiy_malumot!$B$84/H33,2)*G33</f>
        <v>0</v>
      </c>
      <c r="M33" s="113">
        <f t="shared" si="19"/>
        <v>0</v>
      </c>
      <c r="N33" s="113"/>
      <c r="O33" s="125" t="str">
        <f t="shared" si="20"/>
        <v>Сб</v>
      </c>
      <c r="P33" s="127">
        <f t="shared" si="21"/>
        <v>2</v>
      </c>
      <c r="Q33" s="127">
        <f>DAY(umumiy_malumot!$B$78)+P33</f>
        <v>22</v>
      </c>
      <c r="R33" s="122">
        <f>IF(A33&lt;=umumiy_malumot!$B$81,DATE(YEAR($B$8),MONTH($B$8)+A32,DAY(umumiy_malumot!$B$78)),0)</f>
        <v>0</v>
      </c>
      <c r="S33" s="111"/>
      <c r="T33" s="111"/>
      <c r="U33" s="111"/>
      <c r="V33" s="111"/>
    </row>
    <row r="34" spans="1:22">
      <c r="A34" s="117">
        <f t="shared" si="22"/>
        <v>27</v>
      </c>
      <c r="B34" s="118" t="b">
        <f>IF(A34&lt;=umumiy_malumot!$B$81,DATE(YEAR(R34),MONTH(R34),DAY(IF(A34=umumiy_malumot!$B$81,umumiy_malumot!$B$67,IF(A34&lt;umumiy_malumot!$B$81,(Q34),IF(A34&gt;umumiy_malumot!$B$81,$H$56,0))))))</f>
        <v>0</v>
      </c>
      <c r="C34" s="64">
        <f t="shared" si="11"/>
        <v>0</v>
      </c>
      <c r="D34" s="64">
        <f t="shared" si="12"/>
        <v>0</v>
      </c>
      <c r="E34" s="64">
        <f t="shared" si="13"/>
        <v>0</v>
      </c>
      <c r="F34" s="64">
        <f t="shared" si="14"/>
        <v>0</v>
      </c>
      <c r="G34" s="111">
        <f t="shared" si="15"/>
        <v>0</v>
      </c>
      <c r="H34" s="111">
        <f t="shared" si="16"/>
        <v>366</v>
      </c>
      <c r="I34" s="119" t="b">
        <f t="shared" si="17"/>
        <v>0</v>
      </c>
      <c r="J34" s="119">
        <f>SUM($I$8:I33)</f>
        <v>50000000</v>
      </c>
      <c r="K34" s="119">
        <f t="shared" si="18"/>
        <v>0</v>
      </c>
      <c r="L34" s="113">
        <f>ROUND(C34*umumiy_malumot!$B$84/H34,2)*G34</f>
        <v>0</v>
      </c>
      <c r="M34" s="113">
        <f t="shared" si="19"/>
        <v>0</v>
      </c>
      <c r="N34" s="113"/>
      <c r="O34" s="125" t="str">
        <f t="shared" si="20"/>
        <v>Сб</v>
      </c>
      <c r="P34" s="127">
        <f t="shared" si="21"/>
        <v>2</v>
      </c>
      <c r="Q34" s="127">
        <f>DAY(umumiy_malumot!$B$78)+P34</f>
        <v>22</v>
      </c>
      <c r="R34" s="122">
        <f>IF(A34&lt;=umumiy_malumot!$B$81,DATE(YEAR($B$8),MONTH($B$8)+A33,DAY(umumiy_malumot!$B$78)),0)</f>
        <v>0</v>
      </c>
      <c r="S34" s="111"/>
      <c r="T34" s="111"/>
      <c r="U34" s="111"/>
      <c r="V34" s="111"/>
    </row>
    <row r="35" spans="1:22">
      <c r="A35" s="117">
        <f t="shared" si="22"/>
        <v>28</v>
      </c>
      <c r="B35" s="118" t="b">
        <f>IF(A35&lt;=umumiy_malumot!$B$81,DATE(YEAR(R35),MONTH(R35),DAY(IF(A35=umumiy_malumot!$B$81,umumiy_malumot!$B$67,IF(A35&lt;umumiy_malumot!$B$81,(Q35),IF(A35&gt;umumiy_malumot!$B$81,$H$56,0))))))</f>
        <v>0</v>
      </c>
      <c r="C35" s="64">
        <f t="shared" si="11"/>
        <v>0</v>
      </c>
      <c r="D35" s="64">
        <f t="shared" si="12"/>
        <v>0</v>
      </c>
      <c r="E35" s="64">
        <f t="shared" si="13"/>
        <v>0</v>
      </c>
      <c r="F35" s="64">
        <f t="shared" si="14"/>
        <v>0</v>
      </c>
      <c r="G35" s="111">
        <f t="shared" si="15"/>
        <v>0</v>
      </c>
      <c r="H35" s="111">
        <f t="shared" si="16"/>
        <v>366</v>
      </c>
      <c r="I35" s="119" t="b">
        <f t="shared" si="17"/>
        <v>0</v>
      </c>
      <c r="J35" s="119">
        <f>SUM($I$8:I34)</f>
        <v>50000000</v>
      </c>
      <c r="K35" s="119">
        <f t="shared" si="18"/>
        <v>0</v>
      </c>
      <c r="L35" s="113">
        <f>ROUND(C35*umumiy_malumot!$B$84/H35,2)*G35</f>
        <v>0</v>
      </c>
      <c r="M35" s="113">
        <f t="shared" si="19"/>
        <v>0</v>
      </c>
      <c r="N35" s="113"/>
      <c r="O35" s="125" t="str">
        <f t="shared" si="20"/>
        <v>Сб</v>
      </c>
      <c r="P35" s="127">
        <f t="shared" si="21"/>
        <v>2</v>
      </c>
      <c r="Q35" s="127">
        <f>DAY(umumiy_malumot!$B$78)+P35</f>
        <v>22</v>
      </c>
      <c r="R35" s="122">
        <f>IF(A35&lt;=umumiy_malumot!$B$81,DATE(YEAR($B$8),MONTH($B$8)+A34,DAY(umumiy_malumot!$B$78)),0)</f>
        <v>0</v>
      </c>
      <c r="S35" s="111"/>
      <c r="T35" s="111"/>
      <c r="U35" s="111"/>
      <c r="V35" s="111"/>
    </row>
    <row r="36" spans="1:22">
      <c r="A36" s="117">
        <f t="shared" si="22"/>
        <v>29</v>
      </c>
      <c r="B36" s="118" t="b">
        <f>IF(A36&lt;=umumiy_malumot!$B$81,DATE(YEAR(R36),MONTH(R36),DAY(IF(A36=umumiy_malumot!$B$81,umumiy_malumot!$B$67,IF(A36&lt;umumiy_malumot!$B$81,(Q36),IF(A36&gt;umumiy_malumot!$B$81,$H$56,0))))))</f>
        <v>0</v>
      </c>
      <c r="C36" s="64">
        <f t="shared" si="11"/>
        <v>0</v>
      </c>
      <c r="D36" s="64">
        <f t="shared" si="12"/>
        <v>0</v>
      </c>
      <c r="E36" s="64">
        <f t="shared" si="13"/>
        <v>0</v>
      </c>
      <c r="F36" s="64">
        <f t="shared" si="14"/>
        <v>0</v>
      </c>
      <c r="G36" s="111">
        <f t="shared" si="15"/>
        <v>0</v>
      </c>
      <c r="H36" s="111">
        <f t="shared" si="16"/>
        <v>366</v>
      </c>
      <c r="I36" s="119" t="b">
        <f t="shared" si="17"/>
        <v>0</v>
      </c>
      <c r="J36" s="119">
        <f>SUM($I$8:I35)</f>
        <v>50000000</v>
      </c>
      <c r="K36" s="119">
        <f t="shared" si="18"/>
        <v>0</v>
      </c>
      <c r="L36" s="113">
        <f>ROUND(C36*umumiy_malumot!$B$84/H36,2)*G36</f>
        <v>0</v>
      </c>
      <c r="M36" s="113">
        <f t="shared" si="19"/>
        <v>0</v>
      </c>
      <c r="N36" s="113"/>
      <c r="O36" s="125" t="str">
        <f t="shared" si="20"/>
        <v>Сб</v>
      </c>
      <c r="P36" s="127">
        <f t="shared" si="21"/>
        <v>2</v>
      </c>
      <c r="Q36" s="127">
        <f>DAY(umumiy_malumot!$B$78)+P36</f>
        <v>22</v>
      </c>
      <c r="R36" s="122">
        <f>IF(A36&lt;=umumiy_malumot!$B$81,DATE(YEAR($B$8),MONTH($B$8)+A35,DAY(umumiy_malumot!$B$78)),0)</f>
        <v>0</v>
      </c>
      <c r="S36" s="111"/>
      <c r="T36" s="111"/>
      <c r="U36" s="111"/>
      <c r="V36" s="111"/>
    </row>
    <row r="37" spans="1:22">
      <c r="A37" s="117">
        <f t="shared" si="22"/>
        <v>30</v>
      </c>
      <c r="B37" s="118" t="b">
        <f>IF(A37&lt;=umumiy_malumot!$B$81,DATE(YEAR(R37),MONTH(R37),DAY(IF(A37=umumiy_malumot!$B$81,umumiy_malumot!$B$67,IF(A37&lt;umumiy_malumot!$B$81,(Q37),IF(A37&gt;umumiy_malumot!$B$81,$H$56,0))))))</f>
        <v>0</v>
      </c>
      <c r="C37" s="64">
        <f t="shared" si="11"/>
        <v>0</v>
      </c>
      <c r="D37" s="64">
        <f t="shared" si="12"/>
        <v>0</v>
      </c>
      <c r="E37" s="64">
        <f t="shared" si="13"/>
        <v>0</v>
      </c>
      <c r="F37" s="64">
        <f t="shared" si="14"/>
        <v>0</v>
      </c>
      <c r="G37" s="111">
        <f t="shared" si="15"/>
        <v>0</v>
      </c>
      <c r="H37" s="111">
        <f t="shared" si="16"/>
        <v>366</v>
      </c>
      <c r="I37" s="119" t="b">
        <f t="shared" si="17"/>
        <v>0</v>
      </c>
      <c r="J37" s="119">
        <f>SUM($I$8:I36)</f>
        <v>50000000</v>
      </c>
      <c r="K37" s="119">
        <f t="shared" si="18"/>
        <v>0</v>
      </c>
      <c r="L37" s="113">
        <f>ROUND(C37*umumiy_malumot!$B$84/H37,2)*G37</f>
        <v>0</v>
      </c>
      <c r="M37" s="113">
        <f t="shared" si="19"/>
        <v>0</v>
      </c>
      <c r="N37" s="113"/>
      <c r="O37" s="125" t="str">
        <f t="shared" si="20"/>
        <v>Сб</v>
      </c>
      <c r="P37" s="127">
        <f t="shared" si="21"/>
        <v>2</v>
      </c>
      <c r="Q37" s="127">
        <f>DAY(umumiy_malumot!$B$78)+P37</f>
        <v>22</v>
      </c>
      <c r="R37" s="122">
        <f>IF(A37&lt;=umumiy_malumot!$B$81,DATE(YEAR($B$8),MONTH($B$8)+A36,DAY(umumiy_malumot!$B$78)),0)</f>
        <v>0</v>
      </c>
      <c r="S37" s="111"/>
      <c r="T37" s="111"/>
      <c r="U37" s="111"/>
      <c r="V37" s="111"/>
    </row>
    <row r="38" spans="1:22">
      <c r="A38" s="117">
        <f t="shared" si="22"/>
        <v>31</v>
      </c>
      <c r="B38" s="118" t="b">
        <f>IF(A38&lt;=umumiy_malumot!$B$81,DATE(YEAR(R38),MONTH(R38),DAY(IF(A38=umumiy_malumot!$B$81,umumiy_malumot!$B$67,IF(A38&lt;umumiy_malumot!$B$81,(Q38),IF(A38&gt;umumiy_malumot!$B$81,$H$56,0))))))</f>
        <v>0</v>
      </c>
      <c r="C38" s="64">
        <f t="shared" si="11"/>
        <v>0</v>
      </c>
      <c r="D38" s="64">
        <f t="shared" si="12"/>
        <v>0</v>
      </c>
      <c r="E38" s="64">
        <f t="shared" si="13"/>
        <v>0</v>
      </c>
      <c r="F38" s="64">
        <f t="shared" si="14"/>
        <v>0</v>
      </c>
      <c r="G38" s="111">
        <f t="shared" si="15"/>
        <v>0</v>
      </c>
      <c r="H38" s="111">
        <f t="shared" si="16"/>
        <v>366</v>
      </c>
      <c r="I38" s="119" t="b">
        <f t="shared" si="17"/>
        <v>0</v>
      </c>
      <c r="J38" s="119">
        <f>SUM($I$8:I37)</f>
        <v>50000000</v>
      </c>
      <c r="K38" s="119">
        <f t="shared" si="18"/>
        <v>0</v>
      </c>
      <c r="L38" s="113">
        <f>ROUND(C38*umumiy_malumot!$B$84/H38,2)*G38</f>
        <v>0</v>
      </c>
      <c r="M38" s="113">
        <f t="shared" si="19"/>
        <v>0</v>
      </c>
      <c r="N38" s="113"/>
      <c r="O38" s="125" t="str">
        <f t="shared" si="20"/>
        <v>Сб</v>
      </c>
      <c r="P38" s="127">
        <f t="shared" si="21"/>
        <v>2</v>
      </c>
      <c r="Q38" s="127">
        <f>DAY(umumiy_malumot!$B$78)+P38</f>
        <v>22</v>
      </c>
      <c r="R38" s="122">
        <f>IF(A38&lt;=umumiy_malumot!$B$81,DATE(YEAR($B$8),MONTH($B$8)+A37,DAY(umumiy_malumot!$B$78)),0)</f>
        <v>0</v>
      </c>
      <c r="S38" s="111"/>
      <c r="T38" s="111"/>
      <c r="U38" s="111"/>
      <c r="V38" s="111"/>
    </row>
    <row r="39" spans="1:22">
      <c r="A39" s="117">
        <f t="shared" si="22"/>
        <v>32</v>
      </c>
      <c r="B39" s="118" t="b">
        <f>IF(A39&lt;=umumiy_malumot!$B$81,DATE(YEAR(R39),MONTH(R39),DAY(IF(A39=umumiy_malumot!$B$81,umumiy_malumot!$B$67,IF(A39&lt;umumiy_malumot!$B$81,(Q39),IF(A39&gt;umumiy_malumot!$B$81,$H$56,0))))))</f>
        <v>0</v>
      </c>
      <c r="C39" s="64">
        <f t="shared" si="11"/>
        <v>0</v>
      </c>
      <c r="D39" s="64">
        <f t="shared" si="12"/>
        <v>0</v>
      </c>
      <c r="E39" s="64">
        <f t="shared" si="13"/>
        <v>0</v>
      </c>
      <c r="F39" s="64">
        <f t="shared" si="14"/>
        <v>0</v>
      </c>
      <c r="G39" s="111">
        <f t="shared" si="15"/>
        <v>0</v>
      </c>
      <c r="H39" s="111">
        <f t="shared" si="16"/>
        <v>366</v>
      </c>
      <c r="I39" s="119" t="b">
        <f t="shared" si="17"/>
        <v>0</v>
      </c>
      <c r="J39" s="119">
        <f>SUM($I$8:I38)</f>
        <v>50000000</v>
      </c>
      <c r="K39" s="119">
        <f t="shared" si="18"/>
        <v>0</v>
      </c>
      <c r="L39" s="113">
        <f>ROUND(C39*umumiy_malumot!$B$84/H39,2)*G39</f>
        <v>0</v>
      </c>
      <c r="M39" s="113">
        <f t="shared" si="19"/>
        <v>0</v>
      </c>
      <c r="N39" s="113"/>
      <c r="O39" s="125" t="str">
        <f t="shared" si="20"/>
        <v>Сб</v>
      </c>
      <c r="P39" s="127">
        <f t="shared" si="21"/>
        <v>2</v>
      </c>
      <c r="Q39" s="127">
        <f>DAY(umumiy_malumot!$B$78)+P39</f>
        <v>22</v>
      </c>
      <c r="R39" s="122">
        <f>IF(A39&lt;=umumiy_malumot!$B$81,DATE(YEAR($B$8),MONTH($B$8)+A38,DAY(umumiy_malumot!$B$78)),0)</f>
        <v>0</v>
      </c>
      <c r="S39" s="111"/>
      <c r="T39" s="111"/>
      <c r="U39" s="111"/>
      <c r="V39" s="111"/>
    </row>
    <row r="40" spans="1:22">
      <c r="A40" s="117">
        <f t="shared" si="22"/>
        <v>33</v>
      </c>
      <c r="B40" s="118" t="b">
        <f>IF(A40&lt;=umumiy_malumot!$B$81,DATE(YEAR(R40),MONTH(R40),DAY(IF(A40=umumiy_malumot!$B$81,umumiy_malumot!$B$67,IF(A40&lt;umumiy_malumot!$B$81,(Q40),IF(A40&gt;umumiy_malumot!$B$81,$H$56,0))))))</f>
        <v>0</v>
      </c>
      <c r="C40" s="64">
        <f t="shared" si="11"/>
        <v>0</v>
      </c>
      <c r="D40" s="64">
        <f t="shared" si="12"/>
        <v>0</v>
      </c>
      <c r="E40" s="64">
        <f t="shared" si="13"/>
        <v>0</v>
      </c>
      <c r="F40" s="64">
        <f t="shared" si="14"/>
        <v>0</v>
      </c>
      <c r="G40" s="111">
        <f t="shared" si="15"/>
        <v>0</v>
      </c>
      <c r="H40" s="111">
        <f t="shared" si="16"/>
        <v>366</v>
      </c>
      <c r="I40" s="119" t="b">
        <f t="shared" si="17"/>
        <v>0</v>
      </c>
      <c r="J40" s="119">
        <f>SUM($I$8:I39)</f>
        <v>50000000</v>
      </c>
      <c r="K40" s="119">
        <f t="shared" si="18"/>
        <v>0</v>
      </c>
      <c r="L40" s="113">
        <f>ROUND(C40*umumiy_malumot!$B$84/H40,2)*G40</f>
        <v>0</v>
      </c>
      <c r="M40" s="113">
        <f t="shared" si="19"/>
        <v>0</v>
      </c>
      <c r="N40" s="113"/>
      <c r="O40" s="125" t="str">
        <f t="shared" si="20"/>
        <v>Сб</v>
      </c>
      <c r="P40" s="127">
        <f t="shared" si="21"/>
        <v>2</v>
      </c>
      <c r="Q40" s="127">
        <f>DAY(umumiy_malumot!$B$78)+P40</f>
        <v>22</v>
      </c>
      <c r="R40" s="122">
        <f>IF(A40&lt;=umumiy_malumot!$B$81,DATE(YEAR($B$8),MONTH($B$8)+A39,DAY(umumiy_malumot!$B$78)),0)</f>
        <v>0</v>
      </c>
      <c r="S40" s="111"/>
      <c r="T40" s="111"/>
      <c r="U40" s="111"/>
      <c r="V40" s="111"/>
    </row>
    <row r="41" spans="1:22">
      <c r="A41" s="117">
        <f t="shared" si="22"/>
        <v>34</v>
      </c>
      <c r="B41" s="118" t="b">
        <f>IF(A41&lt;=umumiy_malumot!$B$81,DATE(YEAR(R41),MONTH(R41),DAY(IF(A41=umumiy_malumot!$B$81,umumiy_malumot!$B$67,IF(A41&lt;umumiy_malumot!$B$81,(Q41),IF(A41&gt;umumiy_malumot!$B$81,$H$56,0))))))</f>
        <v>0</v>
      </c>
      <c r="C41" s="64">
        <f t="shared" si="11"/>
        <v>0</v>
      </c>
      <c r="D41" s="64">
        <f t="shared" si="12"/>
        <v>0</v>
      </c>
      <c r="E41" s="64">
        <f t="shared" si="13"/>
        <v>0</v>
      </c>
      <c r="F41" s="64">
        <f t="shared" si="14"/>
        <v>0</v>
      </c>
      <c r="G41" s="111">
        <f t="shared" si="15"/>
        <v>0</v>
      </c>
      <c r="H41" s="111">
        <f t="shared" si="16"/>
        <v>366</v>
      </c>
      <c r="I41" s="119" t="b">
        <f t="shared" si="17"/>
        <v>0</v>
      </c>
      <c r="J41" s="119">
        <f>SUM($I$8:I40)</f>
        <v>50000000</v>
      </c>
      <c r="K41" s="119">
        <f t="shared" si="18"/>
        <v>0</v>
      </c>
      <c r="L41" s="113">
        <f>ROUND(C41*umumiy_malumot!$B$84/H41,2)*G41</f>
        <v>0</v>
      </c>
      <c r="M41" s="113">
        <f t="shared" si="19"/>
        <v>0</v>
      </c>
      <c r="N41" s="113"/>
      <c r="O41" s="125" t="str">
        <f t="shared" si="20"/>
        <v>Сб</v>
      </c>
      <c r="P41" s="127">
        <f t="shared" si="21"/>
        <v>2</v>
      </c>
      <c r="Q41" s="127">
        <f>DAY(umumiy_malumot!$B$78)+P41</f>
        <v>22</v>
      </c>
      <c r="R41" s="122">
        <f>IF(A41&lt;=umumiy_malumot!$B$81,DATE(YEAR($B$8),MONTH($B$8)+A40,DAY(umumiy_malumot!$B$78)),0)</f>
        <v>0</v>
      </c>
      <c r="S41" s="111"/>
      <c r="T41" s="111"/>
      <c r="U41" s="111"/>
      <c r="V41" s="111"/>
    </row>
    <row r="42" spans="1:22">
      <c r="A42" s="117">
        <f t="shared" si="22"/>
        <v>35</v>
      </c>
      <c r="B42" s="118" t="b">
        <f>IF(A42&lt;=umumiy_malumot!$B$81,DATE(YEAR(R42),MONTH(R42),DAY(IF(A42=umumiy_malumot!$B$81,umumiy_malumot!$B$67,IF(A42&lt;umumiy_malumot!$B$81,(Q42),IF(A42&gt;umumiy_malumot!$B$81,$H$56,0))))))</f>
        <v>0</v>
      </c>
      <c r="C42" s="64">
        <f t="shared" si="11"/>
        <v>0</v>
      </c>
      <c r="D42" s="64">
        <f t="shared" si="12"/>
        <v>0</v>
      </c>
      <c r="E42" s="64">
        <f t="shared" si="13"/>
        <v>0</v>
      </c>
      <c r="F42" s="64">
        <f t="shared" si="14"/>
        <v>0</v>
      </c>
      <c r="G42" s="111">
        <f t="shared" si="15"/>
        <v>0</v>
      </c>
      <c r="H42" s="111">
        <f t="shared" si="16"/>
        <v>366</v>
      </c>
      <c r="I42" s="119" t="b">
        <f t="shared" si="17"/>
        <v>0</v>
      </c>
      <c r="J42" s="119">
        <f>SUM($I$8:I41)</f>
        <v>50000000</v>
      </c>
      <c r="K42" s="119">
        <f t="shared" si="18"/>
        <v>0</v>
      </c>
      <c r="L42" s="113">
        <f>ROUND(C42*umumiy_malumot!$B$84/H42,2)*G42</f>
        <v>0</v>
      </c>
      <c r="M42" s="113">
        <f t="shared" si="19"/>
        <v>0</v>
      </c>
      <c r="N42" s="113"/>
      <c r="O42" s="125" t="str">
        <f t="shared" si="20"/>
        <v>Сб</v>
      </c>
      <c r="P42" s="127">
        <f t="shared" si="21"/>
        <v>2</v>
      </c>
      <c r="Q42" s="127">
        <f>DAY(umumiy_malumot!$B$78)+P42</f>
        <v>22</v>
      </c>
      <c r="R42" s="122">
        <f>IF(A42&lt;=umumiy_malumot!$B$81,DATE(YEAR($B$8),MONTH($B$8)+A41,DAY(umumiy_malumot!$B$78)),0)</f>
        <v>0</v>
      </c>
      <c r="S42" s="111"/>
      <c r="T42" s="111"/>
      <c r="U42" s="111"/>
      <c r="V42" s="111"/>
    </row>
    <row r="43" spans="1:22">
      <c r="A43" s="117">
        <f t="shared" si="22"/>
        <v>36</v>
      </c>
      <c r="B43" s="118" t="b">
        <f>IF(A43&lt;=umumiy_malumot!$B$81,DATE(YEAR(R43),MONTH(R43),DAY(IF(A43=umumiy_malumot!$B$81,umumiy_malumot!$B$67,IF(A43&lt;umumiy_malumot!$B$81,(Q43),IF(A43&gt;umumiy_malumot!$B$81,$H$56,0))))))</f>
        <v>0</v>
      </c>
      <c r="C43" s="64">
        <f t="shared" si="11"/>
        <v>0</v>
      </c>
      <c r="D43" s="64">
        <f t="shared" si="12"/>
        <v>0</v>
      </c>
      <c r="E43" s="64">
        <f t="shared" si="13"/>
        <v>0</v>
      </c>
      <c r="F43" s="64">
        <f t="shared" si="14"/>
        <v>0</v>
      </c>
      <c r="G43" s="111">
        <f t="shared" si="15"/>
        <v>0</v>
      </c>
      <c r="H43" s="111">
        <f t="shared" si="16"/>
        <v>366</v>
      </c>
      <c r="I43" s="119" t="b">
        <f t="shared" si="17"/>
        <v>0</v>
      </c>
      <c r="J43" s="119">
        <f>SUM($I$8:I42)</f>
        <v>50000000</v>
      </c>
      <c r="K43" s="119">
        <f t="shared" si="18"/>
        <v>0</v>
      </c>
      <c r="L43" s="113">
        <f>ROUND(C43*umumiy_malumot!$B$84/H43,2)*G43</f>
        <v>0</v>
      </c>
      <c r="M43" s="113">
        <f t="shared" si="19"/>
        <v>0</v>
      </c>
      <c r="N43" s="113"/>
      <c r="O43" s="125" t="str">
        <f t="shared" si="20"/>
        <v>Сб</v>
      </c>
      <c r="P43" s="127">
        <f t="shared" si="21"/>
        <v>2</v>
      </c>
      <c r="Q43" s="127">
        <f>DAY(umumiy_malumot!$B$78)+P43</f>
        <v>22</v>
      </c>
      <c r="R43" s="122">
        <f>IF(A43&lt;=umumiy_malumot!$B$81,DATE(YEAR($B$8),MONTH($B$8)+A42,DAY(umumiy_malumot!$B$78)),0)</f>
        <v>0</v>
      </c>
      <c r="S43" s="111"/>
      <c r="T43" s="111"/>
      <c r="U43" s="111"/>
      <c r="V43" s="111"/>
    </row>
    <row r="44" spans="1:22">
      <c r="A44" s="117">
        <f t="shared" si="22"/>
        <v>37</v>
      </c>
      <c r="B44" s="118" t="b">
        <f>IF(A44&lt;=umumiy_malumot!$B$81,DATE(YEAR(R44),MONTH(R44),DAY(IF(A44=umumiy_malumot!$B$81,umumiy_malumot!$B$67,IF(A44&lt;umumiy_malumot!$B$81,(Q44),IF(A44&gt;umumiy_malumot!$B$81,$H$56,0))))))</f>
        <v>0</v>
      </c>
      <c r="C44" s="64">
        <f t="shared" si="11"/>
        <v>0</v>
      </c>
      <c r="D44" s="64">
        <f t="shared" si="12"/>
        <v>0</v>
      </c>
      <c r="E44" s="64">
        <f t="shared" si="13"/>
        <v>0</v>
      </c>
      <c r="F44" s="64">
        <f t="shared" si="14"/>
        <v>0</v>
      </c>
      <c r="G44" s="111">
        <f t="shared" si="15"/>
        <v>0</v>
      </c>
      <c r="H44" s="111">
        <f t="shared" si="16"/>
        <v>366</v>
      </c>
      <c r="I44" s="119" t="b">
        <f t="shared" si="17"/>
        <v>0</v>
      </c>
      <c r="J44" s="119">
        <f>SUM($I$8:I43)</f>
        <v>50000000</v>
      </c>
      <c r="K44" s="119">
        <f t="shared" si="18"/>
        <v>0</v>
      </c>
      <c r="L44" s="113">
        <f>ROUND(C44*umumiy_malumot!$B$84/H44,2)*G44</f>
        <v>0</v>
      </c>
      <c r="M44" s="113">
        <f t="shared" si="19"/>
        <v>0</v>
      </c>
      <c r="N44" s="113"/>
      <c r="O44" s="125" t="str">
        <f t="shared" si="20"/>
        <v>Сб</v>
      </c>
      <c r="P44" s="127">
        <f t="shared" si="21"/>
        <v>2</v>
      </c>
      <c r="Q44" s="127">
        <f>DAY(umumiy_malumot!$B$78)+P44</f>
        <v>22</v>
      </c>
      <c r="R44" s="122">
        <f>IF(A44&lt;=umumiy_malumot!$B$81,DATE(YEAR($B$8),MONTH($B$8)+A43,DAY(umumiy_malumot!$B$78)),0)</f>
        <v>0</v>
      </c>
      <c r="S44" s="111"/>
      <c r="T44" s="111"/>
      <c r="U44" s="111"/>
      <c r="V44" s="111"/>
    </row>
    <row r="45" spans="1:22">
      <c r="A45" s="117">
        <f t="shared" si="22"/>
        <v>38</v>
      </c>
      <c r="B45" s="118" t="b">
        <f>IF(A45&lt;=umumiy_malumot!$B$81,DATE(YEAR(R45),MONTH(R45),DAY(IF(A45=umumiy_malumot!$B$81,umumiy_malumot!$B$67,IF(A45&lt;umumiy_malumot!$B$81,(Q45),IF(A45&gt;umumiy_malumot!$B$81,$H$56,0))))))</f>
        <v>0</v>
      </c>
      <c r="C45" s="64">
        <f t="shared" si="11"/>
        <v>0</v>
      </c>
      <c r="D45" s="64">
        <f t="shared" si="12"/>
        <v>0</v>
      </c>
      <c r="E45" s="64">
        <f t="shared" si="13"/>
        <v>0</v>
      </c>
      <c r="F45" s="64">
        <f t="shared" si="14"/>
        <v>0</v>
      </c>
      <c r="G45" s="111">
        <f t="shared" si="15"/>
        <v>0</v>
      </c>
      <c r="H45" s="111">
        <f t="shared" si="16"/>
        <v>366</v>
      </c>
      <c r="I45" s="119" t="b">
        <f t="shared" si="17"/>
        <v>0</v>
      </c>
      <c r="J45" s="119">
        <f>SUM($I$8:I44)</f>
        <v>50000000</v>
      </c>
      <c r="K45" s="119">
        <f t="shared" si="18"/>
        <v>0</v>
      </c>
      <c r="L45" s="113">
        <f>ROUND(C45*umumiy_malumot!$B$84/H45,2)*G45</f>
        <v>0</v>
      </c>
      <c r="M45" s="113">
        <f t="shared" si="19"/>
        <v>0</v>
      </c>
      <c r="N45" s="113"/>
      <c r="O45" s="125" t="str">
        <f t="shared" si="20"/>
        <v>Сб</v>
      </c>
      <c r="P45" s="127">
        <f t="shared" si="21"/>
        <v>2</v>
      </c>
      <c r="Q45" s="127">
        <f>DAY(umumiy_malumot!$B$78)+P45</f>
        <v>22</v>
      </c>
      <c r="R45" s="122">
        <f>IF(A45&lt;=umumiy_malumot!$B$81,DATE(YEAR($B$8),MONTH($B$8)+A44,DAY(umumiy_malumot!$B$78)),0)</f>
        <v>0</v>
      </c>
      <c r="S45" s="111"/>
      <c r="T45" s="111"/>
      <c r="U45" s="111"/>
      <c r="V45" s="111"/>
    </row>
    <row r="46" spans="1:22">
      <c r="A46" s="117">
        <f t="shared" si="22"/>
        <v>39</v>
      </c>
      <c r="B46" s="118" t="b">
        <f>IF(A46&lt;=umumiy_malumot!$B$81,DATE(YEAR(R46),MONTH(R46),DAY(IF(A46=umumiy_malumot!$B$81,umumiy_malumot!$B$67,IF(A46&lt;umumiy_malumot!$B$81,(Q46),IF(A46&gt;umumiy_malumot!$B$81,$H$56,0))))))</f>
        <v>0</v>
      </c>
      <c r="C46" s="64">
        <f t="shared" si="11"/>
        <v>0</v>
      </c>
      <c r="D46" s="64">
        <f t="shared" si="12"/>
        <v>0</v>
      </c>
      <c r="E46" s="64">
        <f t="shared" si="13"/>
        <v>0</v>
      </c>
      <c r="F46" s="64">
        <f t="shared" si="14"/>
        <v>0</v>
      </c>
      <c r="G46" s="111">
        <f t="shared" si="15"/>
        <v>0</v>
      </c>
      <c r="H46" s="111">
        <f t="shared" si="16"/>
        <v>366</v>
      </c>
      <c r="I46" s="119" t="b">
        <f t="shared" si="17"/>
        <v>0</v>
      </c>
      <c r="J46" s="119">
        <f>SUM($I$8:I45)</f>
        <v>50000000</v>
      </c>
      <c r="K46" s="119">
        <f t="shared" si="18"/>
        <v>0</v>
      </c>
      <c r="L46" s="113">
        <f>ROUND(C46*umumiy_malumot!$B$84/H46,2)*G46</f>
        <v>0</v>
      </c>
      <c r="M46" s="113">
        <f t="shared" si="19"/>
        <v>0</v>
      </c>
      <c r="N46" s="113"/>
      <c r="O46" s="125" t="str">
        <f t="shared" si="20"/>
        <v>Сб</v>
      </c>
      <c r="P46" s="127">
        <f t="shared" si="21"/>
        <v>2</v>
      </c>
      <c r="Q46" s="127">
        <f>DAY(umumiy_malumot!$B$78)+P46</f>
        <v>22</v>
      </c>
      <c r="R46" s="122">
        <f>IF(A46&lt;=umumiy_malumot!$B$81,DATE(YEAR($B$8),MONTH($B$8)+A45,DAY(umumiy_malumot!$B$78)),0)</f>
        <v>0</v>
      </c>
      <c r="S46" s="111"/>
      <c r="T46" s="111"/>
      <c r="U46" s="111"/>
      <c r="V46" s="111"/>
    </row>
    <row r="47" spans="1:22">
      <c r="A47" s="117">
        <f t="shared" si="22"/>
        <v>40</v>
      </c>
      <c r="B47" s="118" t="b">
        <f>IF(A47&lt;=umumiy_malumot!$B$81,DATE(YEAR(R47),MONTH(R47),DAY(IF(A47=umumiy_malumot!$B$81,umumiy_malumot!$B$67,IF(A47&lt;umumiy_malumot!$B$81,(Q47),IF(A47&gt;umumiy_malumot!$B$81,$H$56,0))))))</f>
        <v>0</v>
      </c>
      <c r="C47" s="64">
        <f t="shared" si="11"/>
        <v>0</v>
      </c>
      <c r="D47" s="64">
        <f t="shared" si="12"/>
        <v>0</v>
      </c>
      <c r="E47" s="64">
        <f t="shared" si="13"/>
        <v>0</v>
      </c>
      <c r="F47" s="64">
        <f t="shared" si="14"/>
        <v>0</v>
      </c>
      <c r="G47" s="111">
        <f t="shared" si="15"/>
        <v>0</v>
      </c>
      <c r="H47" s="111">
        <f t="shared" si="16"/>
        <v>366</v>
      </c>
      <c r="I47" s="119" t="b">
        <f t="shared" si="17"/>
        <v>0</v>
      </c>
      <c r="J47" s="119">
        <f>SUM($I$8:I46)</f>
        <v>50000000</v>
      </c>
      <c r="K47" s="119">
        <f t="shared" si="18"/>
        <v>0</v>
      </c>
      <c r="L47" s="113">
        <f>ROUND(C47*umumiy_malumot!$B$84/H47,2)*G47</f>
        <v>0</v>
      </c>
      <c r="M47" s="113">
        <f t="shared" si="19"/>
        <v>0</v>
      </c>
      <c r="N47" s="113"/>
      <c r="O47" s="125" t="str">
        <f t="shared" si="20"/>
        <v>Сб</v>
      </c>
      <c r="P47" s="127">
        <f t="shared" si="21"/>
        <v>2</v>
      </c>
      <c r="Q47" s="127">
        <f>DAY(umumiy_malumot!$B$78)+P47</f>
        <v>22</v>
      </c>
      <c r="R47" s="122">
        <f>IF(A47&lt;=umumiy_malumot!$B$81,DATE(YEAR($B$8),MONTH($B$8)+A46,DAY(umumiy_malumot!$B$78)),0)</f>
        <v>0</v>
      </c>
      <c r="S47" s="111"/>
      <c r="T47" s="111"/>
      <c r="U47" s="111"/>
      <c r="V47" s="111"/>
    </row>
    <row r="48" spans="1:22">
      <c r="A48" s="117">
        <f t="shared" si="22"/>
        <v>41</v>
      </c>
      <c r="B48" s="118" t="b">
        <f>IF(A48&lt;=umumiy_malumot!$B$81,DATE(YEAR(R48),MONTH(R48),DAY(IF(A48=umumiy_malumot!$B$81,umumiy_malumot!$B$67,IF(A48&lt;umumiy_malumot!$B$81,(Q48),IF(A48&gt;umumiy_malumot!$B$81,$H$56,0))))))</f>
        <v>0</v>
      </c>
      <c r="C48" s="64">
        <f t="shared" si="11"/>
        <v>0</v>
      </c>
      <c r="D48" s="64">
        <f t="shared" si="12"/>
        <v>0</v>
      </c>
      <c r="E48" s="64">
        <f t="shared" si="13"/>
        <v>0</v>
      </c>
      <c r="F48" s="64">
        <f t="shared" si="14"/>
        <v>0</v>
      </c>
      <c r="G48" s="111">
        <f t="shared" si="15"/>
        <v>0</v>
      </c>
      <c r="H48" s="111">
        <f t="shared" si="16"/>
        <v>366</v>
      </c>
      <c r="I48" s="119" t="b">
        <f t="shared" si="17"/>
        <v>0</v>
      </c>
      <c r="J48" s="119">
        <f>SUM($I$8:I47)</f>
        <v>50000000</v>
      </c>
      <c r="K48" s="119">
        <f t="shared" si="18"/>
        <v>0</v>
      </c>
      <c r="L48" s="113">
        <f>ROUND(C48*umumiy_malumot!$B$84/H48,2)*G48</f>
        <v>0</v>
      </c>
      <c r="M48" s="113">
        <f t="shared" si="19"/>
        <v>0</v>
      </c>
      <c r="N48" s="113"/>
      <c r="O48" s="125" t="str">
        <f t="shared" si="20"/>
        <v>Сб</v>
      </c>
      <c r="P48" s="127">
        <f t="shared" si="21"/>
        <v>2</v>
      </c>
      <c r="Q48" s="127">
        <f>DAY(umumiy_malumot!$B$78)+P48</f>
        <v>22</v>
      </c>
      <c r="R48" s="122">
        <f>IF(A48&lt;=umumiy_malumot!$B$81,DATE(YEAR($B$8),MONTH($B$8)+A47,DAY(umumiy_malumot!$B$78)),0)</f>
        <v>0</v>
      </c>
      <c r="S48" s="111"/>
      <c r="T48" s="111"/>
      <c r="U48" s="111"/>
      <c r="V48" s="111"/>
    </row>
    <row r="49" spans="1:22">
      <c r="A49" s="117">
        <f t="shared" si="22"/>
        <v>42</v>
      </c>
      <c r="B49" s="118" t="b">
        <f>IF(A49&lt;=umumiy_malumot!$B$81,DATE(YEAR(R49),MONTH(R49),DAY(IF(A49=umumiy_malumot!$B$81,umumiy_malumot!$B$67,IF(A49&lt;umumiy_malumot!$B$81,(Q49),IF(A49&gt;umumiy_malumot!$B$81,$H$56,0))))))</f>
        <v>0</v>
      </c>
      <c r="C49" s="64">
        <f t="shared" si="11"/>
        <v>0</v>
      </c>
      <c r="D49" s="64">
        <f t="shared" si="12"/>
        <v>0</v>
      </c>
      <c r="E49" s="64">
        <f t="shared" si="13"/>
        <v>0</v>
      </c>
      <c r="F49" s="64">
        <f t="shared" si="14"/>
        <v>0</v>
      </c>
      <c r="G49" s="111">
        <f t="shared" si="15"/>
        <v>0</v>
      </c>
      <c r="H49" s="111">
        <f t="shared" si="16"/>
        <v>366</v>
      </c>
      <c r="I49" s="119" t="b">
        <f t="shared" si="17"/>
        <v>0</v>
      </c>
      <c r="J49" s="119">
        <f>SUM($I$8:I48)</f>
        <v>50000000</v>
      </c>
      <c r="K49" s="119">
        <f t="shared" si="18"/>
        <v>0</v>
      </c>
      <c r="L49" s="113">
        <f>ROUND(C49*umumiy_malumot!$B$84/H49,2)*G49</f>
        <v>0</v>
      </c>
      <c r="M49" s="113">
        <f t="shared" si="19"/>
        <v>0</v>
      </c>
      <c r="N49" s="113"/>
      <c r="O49" s="125" t="str">
        <f t="shared" si="20"/>
        <v>Сб</v>
      </c>
      <c r="P49" s="127">
        <f t="shared" si="21"/>
        <v>2</v>
      </c>
      <c r="Q49" s="127">
        <f>DAY(umumiy_malumot!$B$78)+P49</f>
        <v>22</v>
      </c>
      <c r="R49" s="122">
        <f>IF(A49&lt;=umumiy_malumot!$B$81,DATE(YEAR($B$8),MONTH($B$8)+A48,DAY(umumiy_malumot!$B$78)),0)</f>
        <v>0</v>
      </c>
      <c r="S49" s="111"/>
      <c r="T49" s="111"/>
      <c r="U49" s="111"/>
      <c r="V49" s="111"/>
    </row>
    <row r="50" spans="1:22">
      <c r="A50" s="117">
        <f t="shared" si="22"/>
        <v>43</v>
      </c>
      <c r="B50" s="118" t="b">
        <f>IF(A50&lt;=umumiy_malumot!$B$81,DATE(YEAR(R50),MONTH(R50),DAY(IF(A50=umumiy_malumot!$B$81,umumiy_malumot!$B$67,IF(A50&lt;umumiy_malumot!$B$81,(Q50),IF(A50&gt;umumiy_malumot!$B$81,$H$56,0))))))</f>
        <v>0</v>
      </c>
      <c r="C50" s="64">
        <f t="shared" si="11"/>
        <v>0</v>
      </c>
      <c r="D50" s="64">
        <f t="shared" si="12"/>
        <v>0</v>
      </c>
      <c r="E50" s="64">
        <f t="shared" si="13"/>
        <v>0</v>
      </c>
      <c r="F50" s="64">
        <f t="shared" si="14"/>
        <v>0</v>
      </c>
      <c r="G50" s="111">
        <f t="shared" si="15"/>
        <v>0</v>
      </c>
      <c r="H50" s="111">
        <f t="shared" si="16"/>
        <v>366</v>
      </c>
      <c r="I50" s="119" t="b">
        <f t="shared" si="17"/>
        <v>0</v>
      </c>
      <c r="J50" s="119">
        <f>SUM($I$8:I49)</f>
        <v>50000000</v>
      </c>
      <c r="K50" s="119">
        <f t="shared" si="18"/>
        <v>0</v>
      </c>
      <c r="L50" s="113">
        <f>ROUND(C50*umumiy_malumot!$B$84/H50,2)*G50</f>
        <v>0</v>
      </c>
      <c r="M50" s="113">
        <f t="shared" si="19"/>
        <v>0</v>
      </c>
      <c r="N50" s="113"/>
      <c r="O50" s="125" t="str">
        <f t="shared" si="20"/>
        <v>Сб</v>
      </c>
      <c r="P50" s="127">
        <f t="shared" si="21"/>
        <v>2</v>
      </c>
      <c r="Q50" s="127">
        <f>DAY(umumiy_malumot!$B$78)+P50</f>
        <v>22</v>
      </c>
      <c r="R50" s="122">
        <f>IF(A50&lt;=umumiy_malumot!$B$81,DATE(YEAR($B$8),MONTH($B$8)+A49,DAY(umumiy_malumot!$B$78)),0)</f>
        <v>0</v>
      </c>
      <c r="S50" s="111"/>
      <c r="T50" s="111"/>
      <c r="U50" s="111"/>
      <c r="V50" s="111"/>
    </row>
    <row r="51" spans="1:22">
      <c r="A51" s="117">
        <f t="shared" si="22"/>
        <v>44</v>
      </c>
      <c r="B51" s="118" t="b">
        <f>IF(A51&lt;=umumiy_malumot!$B$81,DATE(YEAR(R51),MONTH(R51),DAY(IF(A51=umumiy_malumot!$B$81,umumiy_malumot!$B$67,IF(A51&lt;umumiy_malumot!$B$81,(Q51),IF(A51&gt;umumiy_malumot!$B$81,$H$56,0))))))</f>
        <v>0</v>
      </c>
      <c r="C51" s="64">
        <f t="shared" si="11"/>
        <v>0</v>
      </c>
      <c r="D51" s="64">
        <f t="shared" si="12"/>
        <v>0</v>
      </c>
      <c r="E51" s="64">
        <f t="shared" si="13"/>
        <v>0</v>
      </c>
      <c r="F51" s="64">
        <f t="shared" si="14"/>
        <v>0</v>
      </c>
      <c r="G51" s="111">
        <f t="shared" si="15"/>
        <v>0</v>
      </c>
      <c r="H51" s="111">
        <f t="shared" si="16"/>
        <v>366</v>
      </c>
      <c r="I51" s="119" t="b">
        <f t="shared" si="17"/>
        <v>0</v>
      </c>
      <c r="J51" s="119">
        <f>SUM($I$8:I50)</f>
        <v>50000000</v>
      </c>
      <c r="K51" s="119">
        <f t="shared" si="18"/>
        <v>0</v>
      </c>
      <c r="L51" s="113">
        <f>ROUND(C51*umumiy_malumot!$B$84/H51,2)*G51</f>
        <v>0</v>
      </c>
      <c r="M51" s="113">
        <f t="shared" si="19"/>
        <v>0</v>
      </c>
      <c r="N51" s="113"/>
      <c r="O51" s="125" t="str">
        <f t="shared" si="20"/>
        <v>Сб</v>
      </c>
      <c r="P51" s="127">
        <f t="shared" si="21"/>
        <v>2</v>
      </c>
      <c r="Q51" s="127">
        <f>DAY(umumiy_malumot!$B$78)+P51</f>
        <v>22</v>
      </c>
      <c r="R51" s="122">
        <f>IF(A51&lt;=umumiy_malumot!$B$81,DATE(YEAR($B$8),MONTH($B$8)+A50,DAY(umumiy_malumot!$B$78)),0)</f>
        <v>0</v>
      </c>
      <c r="S51" s="111"/>
      <c r="T51" s="111"/>
      <c r="U51" s="111"/>
      <c r="V51" s="111"/>
    </row>
    <row r="52" spans="1:22">
      <c r="A52" s="117">
        <f t="shared" si="22"/>
        <v>45</v>
      </c>
      <c r="B52" s="118" t="b">
        <f>IF(A52&lt;=umumiy_malumot!$B$81,DATE(YEAR(R52),MONTH(R52),DAY(IF(A52=umumiy_malumot!$B$81,umumiy_malumot!$B$67,IF(A52&lt;umumiy_malumot!$B$81,(Q52),IF(A52&gt;umumiy_malumot!$B$81,$H$56,0))))))</f>
        <v>0</v>
      </c>
      <c r="C52" s="64">
        <f t="shared" si="11"/>
        <v>0</v>
      </c>
      <c r="D52" s="64">
        <f t="shared" si="12"/>
        <v>0</v>
      </c>
      <c r="E52" s="64">
        <f t="shared" si="13"/>
        <v>0</v>
      </c>
      <c r="F52" s="64">
        <f t="shared" si="14"/>
        <v>0</v>
      </c>
      <c r="G52" s="111">
        <f t="shared" si="15"/>
        <v>0</v>
      </c>
      <c r="H52" s="111">
        <f t="shared" si="16"/>
        <v>366</v>
      </c>
      <c r="I52" s="119" t="b">
        <f t="shared" si="17"/>
        <v>0</v>
      </c>
      <c r="J52" s="119">
        <f>SUM($I$8:I51)</f>
        <v>50000000</v>
      </c>
      <c r="K52" s="119">
        <f t="shared" si="18"/>
        <v>0</v>
      </c>
      <c r="L52" s="113">
        <f>ROUND(C52*umumiy_malumot!$B$84/H52,2)*G52</f>
        <v>0</v>
      </c>
      <c r="M52" s="113">
        <f t="shared" si="19"/>
        <v>0</v>
      </c>
      <c r="N52" s="113"/>
      <c r="O52" s="125" t="str">
        <f t="shared" si="20"/>
        <v>Сб</v>
      </c>
      <c r="P52" s="127">
        <f t="shared" si="21"/>
        <v>2</v>
      </c>
      <c r="Q52" s="127">
        <f>DAY(umumiy_malumot!$B$78)+P52</f>
        <v>22</v>
      </c>
      <c r="R52" s="122">
        <f>IF(A52&lt;=umumiy_malumot!$B$81,DATE(YEAR($B$8),MONTH($B$8)+A51,DAY(umumiy_malumot!$B$78)),0)</f>
        <v>0</v>
      </c>
      <c r="S52" s="111"/>
      <c r="T52" s="111"/>
      <c r="U52" s="111"/>
      <c r="V52" s="111"/>
    </row>
    <row r="53" spans="1:22">
      <c r="A53" s="117">
        <f t="shared" si="22"/>
        <v>46</v>
      </c>
      <c r="B53" s="118" t="b">
        <f>IF(A53&lt;=umumiy_malumot!$B$81,DATE(YEAR(R53),MONTH(R53),DAY(IF(A53=umumiy_malumot!$B$81,umumiy_malumot!$B$67,IF(A53&lt;umumiy_malumot!$B$81,(Q53),IF(A53&gt;umumiy_malumot!$B$81,$H$56,0))))))</f>
        <v>0</v>
      </c>
      <c r="C53" s="64">
        <f t="shared" si="11"/>
        <v>0</v>
      </c>
      <c r="D53" s="64">
        <f t="shared" si="12"/>
        <v>0</v>
      </c>
      <c r="E53" s="64">
        <f t="shared" si="13"/>
        <v>0</v>
      </c>
      <c r="F53" s="64">
        <f t="shared" si="14"/>
        <v>0</v>
      </c>
      <c r="G53" s="111">
        <f t="shared" si="15"/>
        <v>0</v>
      </c>
      <c r="H53" s="111">
        <f t="shared" si="16"/>
        <v>366</v>
      </c>
      <c r="I53" s="119" t="b">
        <f t="shared" si="17"/>
        <v>0</v>
      </c>
      <c r="J53" s="119">
        <f>SUM($I$8:I52)</f>
        <v>50000000</v>
      </c>
      <c r="K53" s="119">
        <f t="shared" si="18"/>
        <v>0</v>
      </c>
      <c r="L53" s="113">
        <f>ROUND(C53*umumiy_malumot!$B$84/H53,2)*G53</f>
        <v>0</v>
      </c>
      <c r="M53" s="113">
        <f t="shared" si="19"/>
        <v>0</v>
      </c>
      <c r="N53" s="113"/>
      <c r="O53" s="125" t="str">
        <f t="shared" si="20"/>
        <v>Сб</v>
      </c>
      <c r="P53" s="127">
        <f t="shared" si="21"/>
        <v>2</v>
      </c>
      <c r="Q53" s="127">
        <f>DAY(umumiy_malumot!$B$78)+P53</f>
        <v>22</v>
      </c>
      <c r="R53" s="122">
        <f>IF(A53&lt;=umumiy_malumot!$B$81,DATE(YEAR($B$8),MONTH($B$8)+A52,DAY(umumiy_malumot!$B$78)),0)</f>
        <v>0</v>
      </c>
      <c r="S53" s="111"/>
      <c r="T53" s="111"/>
      <c r="U53" s="111"/>
      <c r="V53" s="111"/>
    </row>
    <row r="54" spans="1:22">
      <c r="A54" s="117">
        <f t="shared" si="22"/>
        <v>47</v>
      </c>
      <c r="B54" s="118" t="b">
        <f>IF(A54&lt;=umumiy_malumot!$B$81,DATE(YEAR(R54),MONTH(R54),DAY(IF(A54=umumiy_malumot!$B$81,umumiy_malumot!$B$67,IF(A54&lt;umumiy_malumot!$B$81,(Q54),IF(A54&gt;umumiy_malumot!$B$81,$H$56,0))))))</f>
        <v>0</v>
      </c>
      <c r="C54" s="64">
        <f t="shared" si="11"/>
        <v>0</v>
      </c>
      <c r="D54" s="64">
        <f t="shared" si="12"/>
        <v>0</v>
      </c>
      <c r="E54" s="64">
        <f t="shared" si="13"/>
        <v>0</v>
      </c>
      <c r="F54" s="64">
        <f t="shared" si="14"/>
        <v>0</v>
      </c>
      <c r="G54" s="111">
        <f t="shared" si="15"/>
        <v>0</v>
      </c>
      <c r="H54" s="111">
        <f t="shared" si="16"/>
        <v>366</v>
      </c>
      <c r="I54" s="119" t="b">
        <f t="shared" si="17"/>
        <v>0</v>
      </c>
      <c r="J54" s="119">
        <f>SUM($I$8:I53)</f>
        <v>50000000</v>
      </c>
      <c r="K54" s="119">
        <f t="shared" si="18"/>
        <v>0</v>
      </c>
      <c r="L54" s="113">
        <f>ROUND(C54*umumiy_malumot!$B$84/H54,2)*G54</f>
        <v>0</v>
      </c>
      <c r="M54" s="113">
        <f t="shared" si="19"/>
        <v>0</v>
      </c>
      <c r="N54" s="113"/>
      <c r="O54" s="125" t="str">
        <f t="shared" si="20"/>
        <v>Сб</v>
      </c>
      <c r="P54" s="127">
        <f t="shared" si="21"/>
        <v>2</v>
      </c>
      <c r="Q54" s="127">
        <f>DAY(umumiy_malumot!$B$78)+P54</f>
        <v>22</v>
      </c>
      <c r="R54" s="122">
        <f>IF(A54&lt;=umumiy_malumot!$B$81,DATE(YEAR($B$8),MONTH($B$8)+A53,DAY(umumiy_malumot!$B$78)),0)</f>
        <v>0</v>
      </c>
      <c r="S54" s="111"/>
      <c r="T54" s="111"/>
      <c r="U54" s="111"/>
      <c r="V54" s="111"/>
    </row>
    <row r="55" spans="1:22">
      <c r="A55" s="117">
        <f t="shared" si="22"/>
        <v>48</v>
      </c>
      <c r="B55" s="118" t="b">
        <f>IF(A55&lt;=umumiy_malumot!$B$81,DATE(YEAR(R55),MONTH(R55),DAY(IF(A55=umumiy_malumot!$B$81,umumiy_malumot!$B$67,IF(A55&lt;umumiy_malumot!$B$81,(Q55),IF(A55&gt;umumiy_malumot!$B$81,$H$56,0))))))</f>
        <v>0</v>
      </c>
      <c r="C55" s="64">
        <f t="shared" si="11"/>
        <v>0</v>
      </c>
      <c r="D55" s="64">
        <f t="shared" si="12"/>
        <v>0</v>
      </c>
      <c r="E55" s="64">
        <f t="shared" si="13"/>
        <v>0</v>
      </c>
      <c r="F55" s="64">
        <f t="shared" si="14"/>
        <v>0</v>
      </c>
      <c r="G55" s="111">
        <f t="shared" si="15"/>
        <v>0</v>
      </c>
      <c r="H55" s="111">
        <f t="shared" si="16"/>
        <v>366</v>
      </c>
      <c r="I55" s="119" t="b">
        <f t="shared" si="17"/>
        <v>0</v>
      </c>
      <c r="J55" s="119">
        <f>SUM($I$8:I54)</f>
        <v>50000000</v>
      </c>
      <c r="K55" s="119">
        <f t="shared" si="18"/>
        <v>0</v>
      </c>
      <c r="L55" s="113">
        <f>ROUND(C55*umumiy_malumot!$B$84/H55,2)*G55</f>
        <v>0</v>
      </c>
      <c r="M55" s="113">
        <f t="shared" si="19"/>
        <v>0</v>
      </c>
      <c r="N55" s="113"/>
      <c r="O55" s="125" t="str">
        <f t="shared" si="20"/>
        <v>Сб</v>
      </c>
      <c r="P55" s="127">
        <f t="shared" si="21"/>
        <v>2</v>
      </c>
      <c r="Q55" s="127">
        <f>DAY(umumiy_malumot!$B$78)+P55</f>
        <v>22</v>
      </c>
      <c r="R55" s="122">
        <f>IF(A55&lt;=umumiy_malumot!$B$81,DATE(YEAR($B$8),MONTH($B$8)+A54,DAY(umumiy_malumot!$B$78)),0)</f>
        <v>0</v>
      </c>
      <c r="S55" s="111"/>
      <c r="T55" s="111"/>
      <c r="U55" s="111"/>
      <c r="V55" s="111"/>
    </row>
    <row r="56" spans="1:22" s="232" customFormat="1">
      <c r="A56" s="228"/>
      <c r="B56" s="229" t="s">
        <v>7</v>
      </c>
      <c r="C56" s="230"/>
      <c r="D56" s="230">
        <f>SUM(D8:D55)</f>
        <v>50000000</v>
      </c>
      <c r="E56" s="230">
        <f>SUM(E8:E55)</f>
        <v>29875784.050000001</v>
      </c>
      <c r="F56" s="230">
        <f>SUM(F8:F55)</f>
        <v>79875784.050000042</v>
      </c>
      <c r="G56" s="231"/>
      <c r="H56" s="231"/>
      <c r="I56" s="231"/>
      <c r="J56" s="231"/>
      <c r="K56" s="231"/>
      <c r="L56" s="231"/>
      <c r="M56" s="231"/>
      <c r="N56" s="231"/>
    </row>
    <row r="57" spans="1:22" ht="9" customHeight="1">
      <c r="B57" s="120"/>
      <c r="C57" s="121"/>
      <c r="D57" s="121"/>
      <c r="E57" s="121"/>
      <c r="F57" s="121"/>
    </row>
    <row r="58" spans="1:22" ht="47.25" customHeight="1">
      <c r="A58" s="261" t="s">
        <v>17</v>
      </c>
      <c r="B58" s="261"/>
      <c r="C58" s="261"/>
      <c r="D58" s="261"/>
      <c r="E58" s="261"/>
      <c r="F58" s="261"/>
    </row>
    <row r="59" spans="1:22" ht="7.5" customHeight="1"/>
    <row r="60" spans="1:22">
      <c r="A60" s="262" t="e">
        <f>#REF!</f>
        <v>#REF!</v>
      </c>
      <c r="B60" s="262"/>
      <c r="C60" s="262"/>
      <c r="D60" s="262" t="e">
        <f>#REF!</f>
        <v>#REF!</v>
      </c>
      <c r="E60" s="262"/>
      <c r="F60" s="262"/>
    </row>
    <row r="61" spans="1:22" ht="11.25" customHeight="1">
      <c r="A61" s="263"/>
      <c r="B61" s="263"/>
      <c r="C61" s="263"/>
      <c r="D61" s="263"/>
      <c r="E61" s="263"/>
      <c r="F61" s="263"/>
    </row>
    <row r="62" spans="1:22" ht="30" customHeight="1">
      <c r="A62" s="260" t="e">
        <f>#REF!</f>
        <v>#REF!</v>
      </c>
      <c r="B62" s="260"/>
      <c r="C62" s="260"/>
      <c r="D62" s="260" t="e">
        <f>#REF!</f>
        <v>#REF!</v>
      </c>
      <c r="E62" s="260"/>
      <c r="F62" s="260"/>
    </row>
    <row r="63" spans="1:22" ht="32.25" customHeight="1">
      <c r="A63" s="256" t="e">
        <f>#REF!</f>
        <v>#REF!</v>
      </c>
      <c r="B63" s="256"/>
      <c r="C63" s="256"/>
      <c r="D63" s="256" t="e">
        <f>#REF!</f>
        <v>#REF!</v>
      </c>
      <c r="E63" s="256"/>
      <c r="F63" s="256"/>
    </row>
    <row r="64" spans="1:22">
      <c r="A64" s="256" t="e">
        <f>#REF!</f>
        <v>#REF!</v>
      </c>
      <c r="B64" s="256"/>
      <c r="C64" s="256"/>
      <c r="D64" s="256" t="str">
        <f>"паспорт серии "&amp;umumiy_malumot!B16&amp;", "&amp;umumiy_malumot!B20&amp;""</f>
        <v>паспорт серии AD 3925702, IIV 26266 tomonidan 12.07.2023 yilda berilgan</v>
      </c>
      <c r="E64" s="256"/>
      <c r="F64" s="256"/>
    </row>
    <row r="65" spans="1:6" ht="32.25" customHeight="1">
      <c r="A65" s="256" t="e">
        <f>#REF!</f>
        <v>#REF!</v>
      </c>
      <c r="B65" s="256"/>
      <c r="C65" s="256"/>
      <c r="D65" s="256"/>
      <c r="E65" s="256"/>
      <c r="F65" s="256"/>
    </row>
    <row r="66" spans="1:6">
      <c r="A66" s="256" t="e">
        <f>#REF!</f>
        <v>#REF!</v>
      </c>
      <c r="B66" s="256"/>
      <c r="C66" s="256"/>
      <c r="D66" s="256" t="e">
        <f>#REF!</f>
        <v>#REF!</v>
      </c>
      <c r="E66" s="256"/>
      <c r="F66" s="256"/>
    </row>
    <row r="67" spans="1:6">
      <c r="A67" s="256" t="e">
        <f>#REF!</f>
        <v>#REF!</v>
      </c>
      <c r="B67" s="256"/>
      <c r="C67" s="256"/>
      <c r="D67" s="256" t="e">
        <f>#REF!</f>
        <v>#REF!</v>
      </c>
      <c r="E67" s="256"/>
      <c r="F67" s="256"/>
    </row>
    <row r="68" spans="1:6">
      <c r="A68" s="256" t="e">
        <f>#REF!</f>
        <v>#REF!</v>
      </c>
      <c r="B68" s="256"/>
      <c r="C68" s="256"/>
      <c r="D68" s="256" t="e">
        <f>#REF!</f>
        <v>#REF!</v>
      </c>
      <c r="E68" s="256"/>
      <c r="F68" s="256"/>
    </row>
    <row r="69" spans="1:6" ht="8.25" customHeight="1">
      <c r="A69" s="256"/>
      <c r="B69" s="256"/>
      <c r="C69" s="256"/>
      <c r="D69" s="256"/>
      <c r="E69" s="256"/>
      <c r="F69" s="256"/>
    </row>
    <row r="70" spans="1:6">
      <c r="A70" s="260" t="e">
        <f>#REF!</f>
        <v>#REF!</v>
      </c>
      <c r="B70" s="260"/>
      <c r="C70" s="260"/>
      <c r="D70" s="260" t="e">
        <f>#REF!</f>
        <v>#REF!</v>
      </c>
      <c r="E70" s="260"/>
      <c r="F70" s="260"/>
    </row>
    <row r="71" spans="1:6" ht="7.5" customHeight="1">
      <c r="A71" s="260"/>
      <c r="B71" s="260"/>
      <c r="C71" s="260"/>
      <c r="D71" s="260"/>
      <c r="E71" s="260"/>
      <c r="F71" s="260"/>
    </row>
    <row r="72" spans="1:6">
      <c r="A72" s="260" t="e">
        <f>#REF!</f>
        <v>#REF!</v>
      </c>
      <c r="B72" s="260"/>
      <c r="C72" s="260"/>
      <c r="D72" s="260" t="e">
        <f>#REF!</f>
        <v>#REF!</v>
      </c>
      <c r="E72" s="260"/>
      <c r="F72" s="260"/>
    </row>
    <row r="73" spans="1:6" ht="8.25" customHeight="1">
      <c r="A73" s="256"/>
      <c r="B73" s="256"/>
      <c r="C73" s="256"/>
      <c r="D73" s="256"/>
      <c r="E73" s="256"/>
      <c r="F73" s="256"/>
    </row>
    <row r="74" spans="1:6" ht="30" customHeight="1">
      <c r="A74" s="257"/>
      <c r="B74" s="257"/>
      <c r="C74" s="257"/>
      <c r="D74" s="258" t="e">
        <f>#REF!</f>
        <v>#REF!</v>
      </c>
      <c r="E74" s="258"/>
      <c r="F74" s="258"/>
    </row>
    <row r="75" spans="1:6">
      <c r="A75" s="259"/>
      <c r="B75" s="259"/>
      <c r="C75" s="259"/>
      <c r="D75" s="259"/>
      <c r="E75" s="259"/>
      <c r="F75" s="259"/>
    </row>
    <row r="76" spans="1:6">
      <c r="A76" s="255"/>
      <c r="B76" s="255"/>
      <c r="C76" s="255"/>
      <c r="D76" s="255"/>
      <c r="E76" s="255"/>
      <c r="F76" s="255"/>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8" priority="4" operator="lessThan">
      <formula>22105</formula>
    </cfRule>
  </conditionalFormatting>
  <conditionalFormatting sqref="C8:C55">
    <cfRule type="cellIs" dxfId="7" priority="3" operator="lessThan">
      <formula>1</formula>
    </cfRule>
  </conditionalFormatting>
  <conditionalFormatting sqref="C8:F55">
    <cfRule type="cellIs" dxfId="6"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36"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42" customFormat="1" ht="36.75" customHeight="1">
      <c r="A1" s="141" t="s">
        <v>14</v>
      </c>
      <c r="B1" s="142" t="s">
        <v>3</v>
      </c>
      <c r="D1" s="141"/>
      <c r="E1" s="141" t="s">
        <v>37</v>
      </c>
      <c r="F1" s="141" t="s">
        <v>38</v>
      </c>
      <c r="G1" s="141"/>
      <c r="H1" s="141"/>
      <c r="I1" s="141"/>
      <c r="J1" s="141"/>
      <c r="K1" s="141"/>
      <c r="L1" s="141" t="s">
        <v>39</v>
      </c>
      <c r="M1" s="141" t="s">
        <v>41</v>
      </c>
      <c r="N1" s="141" t="s">
        <v>40</v>
      </c>
    </row>
    <row r="2" spans="1:23" ht="15" customHeight="1">
      <c r="A2" s="135">
        <v>1</v>
      </c>
      <c r="B2" t="s">
        <v>249</v>
      </c>
      <c r="C2" t="s">
        <v>63</v>
      </c>
      <c r="D2" s="137" t="s">
        <v>249</v>
      </c>
      <c r="E2" s="137" t="s">
        <v>43</v>
      </c>
      <c r="F2" s="138">
        <v>44207</v>
      </c>
      <c r="G2" s="126">
        <f>MONTH(F2)</f>
        <v>1</v>
      </c>
      <c r="H2" s="138" t="str">
        <f>IF(G2=$A$26,$A$28,IF(G2=$B$26,$B$28,IF(G2=$C$26,$C$28,IF(G2=$D$26,$D$28,IF(G2=$E$26,$E$28,IF(G2=$F$26,$F$28,IF(G2=$K$26,$K$28,IF(G2=$L$26,$L$28,IF(G2=$M$26,$M$28,IF(G2=$N$26,$N$28,IF(G2=$O$26,$O$28,IF(G2=$P$26,$P$28,0))))))))))))</f>
        <v>yanvar</v>
      </c>
      <c r="I2" s="126">
        <f>DAY(F2)</f>
        <v>11</v>
      </c>
      <c r="J2" s="140">
        <f>YEAR(F2)</f>
        <v>2021</v>
      </c>
      <c r="K2" s="138" t="str">
        <f>""&amp;I2&amp;" "&amp;H2&amp;" "&amp;J2&amp;" г."</f>
        <v>11 yanvar 2021 г.</v>
      </c>
      <c r="L2" s="137">
        <v>5</v>
      </c>
      <c r="M2" s="139">
        <v>15000000</v>
      </c>
      <c r="N2" s="137" t="s">
        <v>126</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76"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35">
        <v>2</v>
      </c>
      <c r="D3" s="137" t="s">
        <v>249</v>
      </c>
      <c r="E3" s="137" t="s">
        <v>42</v>
      </c>
      <c r="F3" s="138">
        <v>43775</v>
      </c>
      <c r="G3" s="126">
        <f>MONTH(F3)</f>
        <v>11</v>
      </c>
      <c r="H3" s="138" t="str">
        <f>IF(G3=$A$26,$A$28,IF(G3=$B$26,$B$28,IF(G3=$C$26,$C$28,IF(G3=$D$26,$D$28,IF(G3=$E$26,$E$28,IF(G3=$F$26,$F$28,IF(G3=$K$26,$K$28,IF(G3=$L$26,$L$28,IF(G3=$M$26,$M$28,IF(G3=$N$26,$N$28,IF(G3=$O$26,$O$28,IF(G3=$P$26,$P$28,0))))))))))))</f>
        <v>noyabr</v>
      </c>
      <c r="I3" s="126">
        <f>DAY(F3)</f>
        <v>6</v>
      </c>
      <c r="J3" s="140">
        <f>YEAR(F3)</f>
        <v>2019</v>
      </c>
      <c r="K3" s="138" t="str">
        <f>""&amp;I3&amp;" "&amp;H3&amp;" "&amp;J3&amp;" г."</f>
        <v>6 noyabr 2019 г.</v>
      </c>
      <c r="L3" s="137">
        <v>386</v>
      </c>
      <c r="M3" s="139">
        <v>15000000</v>
      </c>
      <c r="N3" s="137" t="s">
        <v>126</v>
      </c>
      <c r="O3" t="str">
        <f>"-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0">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35">
        <v>3</v>
      </c>
      <c r="D4" s="137" t="s">
        <v>249</v>
      </c>
      <c r="E4" s="137" t="s">
        <v>42</v>
      </c>
      <c r="F4" s="138">
        <v>44217</v>
      </c>
      <c r="G4" s="126">
        <f>MONTH(F4)</f>
        <v>1</v>
      </c>
      <c r="H4" s="138" t="str">
        <f>IF(G4=$A$26,$A$28,IF(G4=$B$26,$B$28,IF(G4=$C$26,$C$28,IF(G4=$D$26,$D$28,IF(G4=$E$26,$E$28,IF(G4=$F$26,$F$28,IF(G4=$K$26,$K$28,IF(G4=$L$26,$L$28,IF(G4=$M$26,$M$28,IF(G4=$N$26,$N$28,IF(G4=$O$26,$O$28,IF(G4=$P$26,$P$28,0))))))))))))</f>
        <v>yanvar</v>
      </c>
      <c r="I4" s="126">
        <f>DAY(F4)</f>
        <v>21</v>
      </c>
      <c r="J4" s="140">
        <f>YEAR(F4)</f>
        <v>2021</v>
      </c>
      <c r="K4" s="138" t="str">
        <f>""&amp;I4&amp;" "&amp;H4&amp;" "&amp;J4&amp;" г."</f>
        <v>21 yanvar 2021 г.</v>
      </c>
      <c r="L4" s="137">
        <v>33</v>
      </c>
      <c r="M4" s="139">
        <v>15000000</v>
      </c>
      <c r="N4" s="137" t="s">
        <v>126</v>
      </c>
      <c r="O4" t="str">
        <f>"- №"&amp;L4&amp;" от "&amp;K4&amp;", заключенного с ООО «Clever Mikrokredit Tashkiloti» и "&amp;E4&amp;", по согласованной залоговой стоимость - "&amp;FIXED(M4)&amp;" ("&amp;N4&amp;") сум."</f>
        <v>- №33 от 21 yanvar 2021 г., заключенного с ООО «Clever Mikrokredit Tashkiloti» и YUNUSOVA ZALOXAT MIRSULTANOVNA, по согласованной залоговой стоимость - 15 000 000,00 (on besh million) сум.</v>
      </c>
      <c r="P4" t="str">
        <f t="shared" si="0"/>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35">
        <v>4</v>
      </c>
      <c r="D5" s="137" t="s">
        <v>249</v>
      </c>
      <c r="E5" s="137"/>
      <c r="F5" s="138"/>
      <c r="G5" s="126">
        <f t="shared" ref="G5:G21" si="1">MONTH(F5)</f>
        <v>1</v>
      </c>
      <c r="H5" s="138" t="str">
        <f t="shared" ref="H5:H21" si="2">IF(G5=$A$26,$A$28,IF(G5=$B$26,$B$28,IF(G5=$C$26,$C$28,IF(G5=$D$26,$D$28,IF(G5=$E$26,$E$28,IF(G5=$F$26,$F$28,IF(G5=$K$26,$K$28,IF(G5=$L$26,$L$28,IF(G5=$M$26,$M$28,IF(G5=$N$26,$N$28,IF(G5=$O$26,$O$28,IF(G5=$P$26,$P$28,0))))))))))))</f>
        <v>yanvar</v>
      </c>
      <c r="I5" s="126">
        <f t="shared" ref="I5:I21" si="3">DAY(F5)</f>
        <v>0</v>
      </c>
      <c r="J5" s="140">
        <f t="shared" ref="J5:J21" si="4">YEAR(F5)</f>
        <v>1900</v>
      </c>
      <c r="K5" s="138" t="str">
        <f t="shared" ref="K5:K21" si="5">""&amp;I5&amp;" "&amp;H5&amp;" "&amp;J5&amp;" г."</f>
        <v>0 yanvar 1900 г.</v>
      </c>
      <c r="L5" s="137"/>
      <c r="M5" s="139"/>
      <c r="N5" s="137"/>
      <c r="P5">
        <f t="shared" si="0"/>
        <v>0</v>
      </c>
    </row>
    <row r="6" spans="1:23" ht="15" customHeight="1">
      <c r="A6" s="135">
        <v>5</v>
      </c>
      <c r="D6" s="137" t="s">
        <v>249</v>
      </c>
      <c r="E6" s="137"/>
      <c r="F6" s="138"/>
      <c r="G6" s="126">
        <f t="shared" si="1"/>
        <v>1</v>
      </c>
      <c r="H6" s="138" t="str">
        <f t="shared" si="2"/>
        <v>yanvar</v>
      </c>
      <c r="I6" s="126">
        <f t="shared" si="3"/>
        <v>0</v>
      </c>
      <c r="J6" s="140">
        <f t="shared" si="4"/>
        <v>1900</v>
      </c>
      <c r="K6" s="138" t="str">
        <f t="shared" si="5"/>
        <v>0 yanvar 1900 г.</v>
      </c>
      <c r="L6" s="137"/>
      <c r="M6" s="139"/>
      <c r="N6" s="137"/>
      <c r="P6">
        <f t="shared" si="0"/>
        <v>0</v>
      </c>
    </row>
    <row r="7" spans="1:23" ht="15" customHeight="1">
      <c r="A7" s="135">
        <v>6</v>
      </c>
      <c r="D7" s="137" t="s">
        <v>249</v>
      </c>
      <c r="E7" s="137"/>
      <c r="F7" s="138"/>
      <c r="G7" s="126">
        <f t="shared" si="1"/>
        <v>1</v>
      </c>
      <c r="H7" s="138" t="str">
        <f t="shared" si="2"/>
        <v>yanvar</v>
      </c>
      <c r="I7" s="126">
        <f t="shared" si="3"/>
        <v>0</v>
      </c>
      <c r="J7" s="140">
        <f t="shared" si="4"/>
        <v>1900</v>
      </c>
      <c r="K7" s="138" t="str">
        <f t="shared" si="5"/>
        <v>0 yanvar 1900 г.</v>
      </c>
      <c r="L7" s="137"/>
      <c r="M7" s="139"/>
      <c r="N7" s="137"/>
      <c r="P7">
        <f t="shared" si="0"/>
        <v>0</v>
      </c>
    </row>
    <row r="8" spans="1:23" ht="15" customHeight="1">
      <c r="A8" s="135">
        <v>7</v>
      </c>
      <c r="D8" s="137" t="s">
        <v>249</v>
      </c>
      <c r="E8" s="137"/>
      <c r="F8" s="138"/>
      <c r="G8" s="126">
        <f t="shared" si="1"/>
        <v>1</v>
      </c>
      <c r="H8" s="138" t="str">
        <f t="shared" si="2"/>
        <v>yanvar</v>
      </c>
      <c r="I8" s="126">
        <f t="shared" si="3"/>
        <v>0</v>
      </c>
      <c r="J8" s="140">
        <f t="shared" si="4"/>
        <v>1900</v>
      </c>
      <c r="K8" s="138" t="str">
        <f t="shared" si="5"/>
        <v>0 yanvar 1900 г.</v>
      </c>
      <c r="L8" s="137"/>
      <c r="M8" s="139"/>
      <c r="N8" s="137"/>
      <c r="P8">
        <f t="shared" si="0"/>
        <v>0</v>
      </c>
    </row>
    <row r="9" spans="1:23" ht="15" customHeight="1">
      <c r="A9" s="135">
        <v>8</v>
      </c>
      <c r="D9" s="137" t="s">
        <v>249</v>
      </c>
      <c r="E9" s="137"/>
      <c r="F9" s="138"/>
      <c r="G9" s="126">
        <f t="shared" si="1"/>
        <v>1</v>
      </c>
      <c r="H9" s="138" t="str">
        <f t="shared" si="2"/>
        <v>yanvar</v>
      </c>
      <c r="I9" s="126">
        <f t="shared" si="3"/>
        <v>0</v>
      </c>
      <c r="J9" s="140">
        <f t="shared" si="4"/>
        <v>1900</v>
      </c>
      <c r="K9" s="138" t="str">
        <f t="shared" si="5"/>
        <v>0 yanvar 1900 г.</v>
      </c>
      <c r="L9" s="137"/>
      <c r="M9" s="139"/>
      <c r="N9" s="137"/>
      <c r="P9">
        <f t="shared" si="0"/>
        <v>0</v>
      </c>
    </row>
    <row r="10" spans="1:23" ht="15" customHeight="1">
      <c r="A10" s="135">
        <v>9</v>
      </c>
      <c r="D10" s="137" t="s">
        <v>249</v>
      </c>
      <c r="E10" s="137"/>
      <c r="F10" s="138"/>
      <c r="G10" s="126">
        <f t="shared" si="1"/>
        <v>1</v>
      </c>
      <c r="H10" s="138" t="str">
        <f t="shared" si="2"/>
        <v>yanvar</v>
      </c>
      <c r="I10" s="126">
        <f t="shared" si="3"/>
        <v>0</v>
      </c>
      <c r="J10" s="140">
        <f t="shared" si="4"/>
        <v>1900</v>
      </c>
      <c r="K10" s="138" t="str">
        <f t="shared" si="5"/>
        <v>0 yanvar 1900 г.</v>
      </c>
      <c r="L10" s="137"/>
      <c r="M10" s="139"/>
      <c r="N10" s="137"/>
      <c r="P10">
        <f t="shared" si="0"/>
        <v>0</v>
      </c>
    </row>
    <row r="11" spans="1:23" ht="15" customHeight="1">
      <c r="A11" s="135">
        <v>10</v>
      </c>
      <c r="D11" s="137" t="s">
        <v>249</v>
      </c>
      <c r="E11" s="137"/>
      <c r="F11" s="138"/>
      <c r="G11" s="126">
        <f t="shared" si="1"/>
        <v>1</v>
      </c>
      <c r="H11" s="138" t="str">
        <f t="shared" si="2"/>
        <v>yanvar</v>
      </c>
      <c r="I11" s="126">
        <f t="shared" si="3"/>
        <v>0</v>
      </c>
      <c r="J11" s="140">
        <f t="shared" si="4"/>
        <v>1900</v>
      </c>
      <c r="K11" s="138" t="str">
        <f t="shared" si="5"/>
        <v>0 yanvar 1900 г.</v>
      </c>
      <c r="L11" s="137"/>
      <c r="M11" s="139"/>
      <c r="N11" s="137"/>
      <c r="P11">
        <f t="shared" si="0"/>
        <v>0</v>
      </c>
    </row>
    <row r="12" spans="1:23" ht="15" customHeight="1">
      <c r="A12" s="135">
        <v>11</v>
      </c>
      <c r="D12" s="137" t="s">
        <v>249</v>
      </c>
      <c r="E12" s="137"/>
      <c r="F12" s="138"/>
      <c r="G12" s="126">
        <f t="shared" si="1"/>
        <v>1</v>
      </c>
      <c r="H12" s="138" t="str">
        <f t="shared" si="2"/>
        <v>yanvar</v>
      </c>
      <c r="I12" s="126">
        <f t="shared" si="3"/>
        <v>0</v>
      </c>
      <c r="J12" s="140">
        <f t="shared" si="4"/>
        <v>1900</v>
      </c>
      <c r="K12" s="138" t="str">
        <f t="shared" si="5"/>
        <v>0 yanvar 1900 г.</v>
      </c>
      <c r="L12" s="137"/>
      <c r="M12" s="139"/>
      <c r="N12" s="137"/>
      <c r="P12">
        <f t="shared" si="0"/>
        <v>0</v>
      </c>
    </row>
    <row r="13" spans="1:23" ht="15" customHeight="1">
      <c r="A13" s="135">
        <v>12</v>
      </c>
      <c r="D13" s="137" t="s">
        <v>249</v>
      </c>
      <c r="E13" s="137"/>
      <c r="F13" s="138"/>
      <c r="G13" s="126">
        <f t="shared" si="1"/>
        <v>1</v>
      </c>
      <c r="H13" s="138" t="str">
        <f t="shared" si="2"/>
        <v>yanvar</v>
      </c>
      <c r="I13" s="126">
        <f t="shared" si="3"/>
        <v>0</v>
      </c>
      <c r="J13" s="140">
        <f t="shared" si="4"/>
        <v>1900</v>
      </c>
      <c r="K13" s="138" t="str">
        <f t="shared" si="5"/>
        <v>0 yanvar 1900 г.</v>
      </c>
      <c r="L13" s="137"/>
      <c r="M13" s="139"/>
      <c r="N13" s="137"/>
      <c r="P13">
        <f t="shared" si="0"/>
        <v>0</v>
      </c>
    </row>
    <row r="14" spans="1:23" ht="15" customHeight="1">
      <c r="A14" s="135">
        <v>13</v>
      </c>
      <c r="D14" s="137" t="s">
        <v>249</v>
      </c>
      <c r="E14" s="137"/>
      <c r="F14" s="138"/>
      <c r="G14" s="126">
        <f t="shared" si="1"/>
        <v>1</v>
      </c>
      <c r="H14" s="138" t="str">
        <f t="shared" si="2"/>
        <v>yanvar</v>
      </c>
      <c r="I14" s="126">
        <f t="shared" si="3"/>
        <v>0</v>
      </c>
      <c r="J14" s="140">
        <f t="shared" si="4"/>
        <v>1900</v>
      </c>
      <c r="K14" s="138" t="str">
        <f t="shared" si="5"/>
        <v>0 yanvar 1900 г.</v>
      </c>
      <c r="L14" s="137"/>
      <c r="M14" s="139"/>
      <c r="N14" s="137"/>
      <c r="P14">
        <f t="shared" si="0"/>
        <v>0</v>
      </c>
    </row>
    <row r="15" spans="1:23" ht="15" customHeight="1">
      <c r="A15" s="135">
        <v>14</v>
      </c>
      <c r="D15" s="137" t="s">
        <v>249</v>
      </c>
      <c r="E15" s="137"/>
      <c r="F15" s="138"/>
      <c r="G15" s="126">
        <f t="shared" si="1"/>
        <v>1</v>
      </c>
      <c r="H15" s="138" t="str">
        <f t="shared" si="2"/>
        <v>yanvar</v>
      </c>
      <c r="I15" s="126">
        <f t="shared" si="3"/>
        <v>0</v>
      </c>
      <c r="J15" s="140">
        <f t="shared" si="4"/>
        <v>1900</v>
      </c>
      <c r="K15" s="138" t="str">
        <f t="shared" si="5"/>
        <v>0 yanvar 1900 г.</v>
      </c>
      <c r="L15" s="137"/>
      <c r="M15" s="139"/>
      <c r="N15" s="137"/>
      <c r="P15">
        <f t="shared" si="0"/>
        <v>0</v>
      </c>
    </row>
    <row r="16" spans="1:23" ht="15" customHeight="1">
      <c r="A16" s="135">
        <v>15</v>
      </c>
      <c r="D16" s="137" t="s">
        <v>249</v>
      </c>
      <c r="E16" s="137"/>
      <c r="F16" s="138"/>
      <c r="G16" s="126">
        <f t="shared" si="1"/>
        <v>1</v>
      </c>
      <c r="H16" s="138" t="str">
        <f t="shared" si="2"/>
        <v>yanvar</v>
      </c>
      <c r="I16" s="126">
        <f t="shared" si="3"/>
        <v>0</v>
      </c>
      <c r="J16" s="140">
        <f t="shared" si="4"/>
        <v>1900</v>
      </c>
      <c r="K16" s="138" t="str">
        <f t="shared" si="5"/>
        <v>0 yanvar 1900 г.</v>
      </c>
      <c r="L16" s="137"/>
      <c r="M16" s="139"/>
      <c r="N16" s="137"/>
      <c r="P16">
        <f t="shared" si="0"/>
        <v>0</v>
      </c>
    </row>
    <row r="17" spans="1:17" ht="15" customHeight="1">
      <c r="A17" s="135">
        <v>16</v>
      </c>
      <c r="D17" s="137" t="s">
        <v>249</v>
      </c>
      <c r="E17" s="137"/>
      <c r="F17" s="138"/>
      <c r="G17" s="126">
        <f t="shared" si="1"/>
        <v>1</v>
      </c>
      <c r="H17" s="138" t="str">
        <f t="shared" si="2"/>
        <v>yanvar</v>
      </c>
      <c r="I17" s="126">
        <f t="shared" si="3"/>
        <v>0</v>
      </c>
      <c r="J17" s="140">
        <f t="shared" si="4"/>
        <v>1900</v>
      </c>
      <c r="K17" s="138" t="str">
        <f t="shared" si="5"/>
        <v>0 yanvar 1900 г.</v>
      </c>
      <c r="L17" s="137"/>
      <c r="M17" s="139"/>
      <c r="N17" s="137"/>
      <c r="P17">
        <f t="shared" si="0"/>
        <v>0</v>
      </c>
    </row>
    <row r="18" spans="1:17" ht="15" customHeight="1">
      <c r="A18" s="135">
        <v>17</v>
      </c>
      <c r="D18" s="137" t="s">
        <v>249</v>
      </c>
      <c r="E18" s="137"/>
      <c r="F18" s="138"/>
      <c r="G18" s="126">
        <f t="shared" si="1"/>
        <v>1</v>
      </c>
      <c r="H18" s="138" t="str">
        <f t="shared" si="2"/>
        <v>yanvar</v>
      </c>
      <c r="I18" s="126">
        <f t="shared" si="3"/>
        <v>0</v>
      </c>
      <c r="J18" s="140">
        <f t="shared" si="4"/>
        <v>1900</v>
      </c>
      <c r="K18" s="138" t="str">
        <f t="shared" si="5"/>
        <v>0 yanvar 1900 г.</v>
      </c>
      <c r="L18" s="137"/>
      <c r="M18" s="139"/>
      <c r="N18" s="137"/>
      <c r="P18">
        <f t="shared" si="0"/>
        <v>0</v>
      </c>
    </row>
    <row r="19" spans="1:17" ht="15" customHeight="1">
      <c r="A19" s="135">
        <v>18</v>
      </c>
      <c r="D19" s="137" t="s">
        <v>249</v>
      </c>
      <c r="E19" s="137"/>
      <c r="F19" s="138"/>
      <c r="G19" s="126">
        <f t="shared" si="1"/>
        <v>1</v>
      </c>
      <c r="H19" s="138" t="str">
        <f t="shared" si="2"/>
        <v>yanvar</v>
      </c>
      <c r="I19" s="126">
        <f t="shared" si="3"/>
        <v>0</v>
      </c>
      <c r="J19" s="140">
        <f t="shared" si="4"/>
        <v>1900</v>
      </c>
      <c r="K19" s="138" t="str">
        <f t="shared" si="5"/>
        <v>0 yanvar 1900 г.</v>
      </c>
      <c r="L19" s="137"/>
      <c r="M19" s="139"/>
      <c r="N19" s="137"/>
      <c r="P19">
        <f t="shared" si="0"/>
        <v>0</v>
      </c>
    </row>
    <row r="20" spans="1:17" ht="15" customHeight="1">
      <c r="A20" s="135">
        <v>19</v>
      </c>
      <c r="D20" s="137" t="s">
        <v>249</v>
      </c>
      <c r="E20" s="137"/>
      <c r="F20" s="138"/>
      <c r="G20" s="126">
        <f t="shared" si="1"/>
        <v>1</v>
      </c>
      <c r="H20" s="138" t="str">
        <f t="shared" si="2"/>
        <v>yanvar</v>
      </c>
      <c r="I20" s="126">
        <f t="shared" si="3"/>
        <v>0</v>
      </c>
      <c r="J20" s="140">
        <f t="shared" si="4"/>
        <v>1900</v>
      </c>
      <c r="K20" s="138" t="str">
        <f t="shared" si="5"/>
        <v>0 yanvar 1900 г.</v>
      </c>
      <c r="L20" s="137"/>
      <c r="M20" s="139"/>
      <c r="N20" s="137"/>
      <c r="P20">
        <f t="shared" si="0"/>
        <v>0</v>
      </c>
    </row>
    <row r="21" spans="1:17" ht="15" customHeight="1">
      <c r="A21" s="135">
        <v>20</v>
      </c>
      <c r="D21" s="137" t="s">
        <v>249</v>
      </c>
      <c r="E21" s="137"/>
      <c r="F21" s="138"/>
      <c r="G21" s="126">
        <f t="shared" si="1"/>
        <v>1</v>
      </c>
      <c r="H21" s="138" t="str">
        <f t="shared" si="2"/>
        <v>yanvar</v>
      </c>
      <c r="I21" s="126">
        <f t="shared" si="3"/>
        <v>0</v>
      </c>
      <c r="J21" s="140">
        <f t="shared" si="4"/>
        <v>1900</v>
      </c>
      <c r="K21" s="138" t="str">
        <f t="shared" si="5"/>
        <v>0 yanvar 1900 г.</v>
      </c>
      <c r="L21" s="137"/>
      <c r="M21" s="139"/>
      <c r="N21" s="137"/>
      <c r="P21">
        <f t="shared" si="0"/>
        <v>0</v>
      </c>
    </row>
    <row r="22" spans="1:17">
      <c r="M22" s="143">
        <f>SUM(M2:M21)+umumiy_malumot!B136</f>
        <v>115000000</v>
      </c>
      <c r="Q22" t="s">
        <v>248</v>
      </c>
    </row>
    <row r="23" spans="1:17">
      <c r="A23" s="122"/>
      <c r="B23" s="123"/>
      <c r="C23" s="123"/>
      <c r="D23" s="123"/>
      <c r="E23" s="123"/>
      <c r="F23" s="123"/>
      <c r="G23" s="123"/>
      <c r="H23" s="123"/>
      <c r="I23" s="123"/>
      <c r="J23" s="123"/>
      <c r="K23" s="123"/>
      <c r="L23" s="123"/>
      <c r="M23" s="123"/>
      <c r="N23" s="123"/>
      <c r="O23" s="123"/>
    </row>
    <row r="24" spans="1:17">
      <c r="A24" s="123"/>
      <c r="B24" s="123"/>
      <c r="C24" s="123"/>
      <c r="D24" s="123"/>
      <c r="E24" s="123"/>
      <c r="F24" s="123"/>
      <c r="G24" s="123"/>
      <c r="H24" s="123"/>
      <c r="I24" s="123"/>
      <c r="J24" s="123"/>
      <c r="K24" s="123"/>
      <c r="L24" s="123"/>
      <c r="M24" s="123"/>
      <c r="N24" s="123"/>
      <c r="O24" s="123"/>
    </row>
    <row r="25" spans="1:17">
      <c r="A25" s="123">
        <f>MONTH(F2)</f>
        <v>1</v>
      </c>
      <c r="B25" s="123" t="str">
        <f>IF(A25=A26,A28,IF(A25=B26,B28,IF(A25=C26,C28,IF(A25=D26,D28,IF(A25=E26,E28,IF(A25=F26,F28,IF(A25=K26,K28,IF(A25=L26,L28,IF(A25=M26,M28,IF(A25=N26,N28,IF(A25=O26,O28,IF(A25=#REF!,#REF!,))))))))))))</f>
        <v>yanvar</v>
      </c>
      <c r="C25" s="123">
        <f>DAY(F2)</f>
        <v>11</v>
      </c>
      <c r="D25" s="123">
        <f>YEAR(F2)</f>
        <v>2021</v>
      </c>
      <c r="E25" s="123"/>
      <c r="F25" s="123"/>
      <c r="G25" s="123"/>
      <c r="H25" s="123"/>
      <c r="I25" s="123"/>
      <c r="J25" s="123"/>
      <c r="K25" s="123"/>
      <c r="L25" s="123"/>
      <c r="M25" s="123"/>
      <c r="N25" s="123"/>
      <c r="O25" s="123"/>
    </row>
    <row r="26" spans="1:17">
      <c r="A26" s="123">
        <v>1</v>
      </c>
      <c r="B26" s="123">
        <v>2</v>
      </c>
      <c r="C26" s="123">
        <v>3</v>
      </c>
      <c r="D26" s="123">
        <v>4</v>
      </c>
      <c r="E26" s="123">
        <v>5</v>
      </c>
      <c r="F26" s="123">
        <v>6</v>
      </c>
      <c r="G26" s="123"/>
      <c r="H26" s="123"/>
      <c r="I26" s="123"/>
      <c r="J26" s="123"/>
      <c r="K26" s="123">
        <v>7</v>
      </c>
      <c r="L26" s="123">
        <v>8</v>
      </c>
      <c r="M26" s="123">
        <v>9</v>
      </c>
      <c r="N26" s="123">
        <v>10</v>
      </c>
      <c r="O26" s="123">
        <v>11</v>
      </c>
      <c r="P26" s="123">
        <v>12</v>
      </c>
    </row>
    <row r="27" spans="1:17">
      <c r="A27" s="123"/>
      <c r="B27" s="123"/>
      <c r="C27" s="123"/>
      <c r="D27" s="123"/>
      <c r="E27" s="123"/>
      <c r="F27" s="123"/>
      <c r="G27" s="123"/>
      <c r="H27" s="123"/>
      <c r="I27" s="123"/>
      <c r="J27" s="123"/>
      <c r="K27" s="123"/>
      <c r="L27" s="123"/>
      <c r="M27" s="123"/>
      <c r="N27" s="123"/>
      <c r="O27" s="123"/>
    </row>
    <row r="28" spans="1:17">
      <c r="A28" s="123" t="s">
        <v>115</v>
      </c>
      <c r="B28" s="123" t="s">
        <v>116</v>
      </c>
      <c r="C28" s="123" t="s">
        <v>105</v>
      </c>
      <c r="D28" s="123" t="s">
        <v>106</v>
      </c>
      <c r="E28" s="123" t="s">
        <v>107</v>
      </c>
      <c r="F28" s="123" t="s">
        <v>108</v>
      </c>
      <c r="G28" s="123"/>
      <c r="H28" s="123"/>
      <c r="I28" s="123"/>
      <c r="J28" s="123"/>
      <c r="K28" s="123" t="s">
        <v>23</v>
      </c>
      <c r="L28" s="123" t="s">
        <v>110</v>
      </c>
      <c r="M28" s="123" t="s">
        <v>247</v>
      </c>
      <c r="N28" s="123" t="s">
        <v>246</v>
      </c>
      <c r="O28" s="123" t="s">
        <v>113</v>
      </c>
      <c r="P28" s="123" t="s">
        <v>114</v>
      </c>
    </row>
    <row r="29" spans="1:17">
      <c r="A29" s="123" t="s">
        <v>115</v>
      </c>
      <c r="B29" s="123" t="s">
        <v>116</v>
      </c>
      <c r="C29" s="123" t="s">
        <v>105</v>
      </c>
      <c r="D29" s="123" t="s">
        <v>106</v>
      </c>
      <c r="E29" s="123" t="s">
        <v>107</v>
      </c>
      <c r="F29" s="123" t="s">
        <v>108</v>
      </c>
      <c r="G29" s="123"/>
      <c r="H29" s="123"/>
      <c r="I29" s="123"/>
      <c r="J29" s="123"/>
      <c r="K29" s="123" t="s">
        <v>25</v>
      </c>
      <c r="L29" s="123" t="s">
        <v>110</v>
      </c>
      <c r="M29" s="123" t="s">
        <v>247</v>
      </c>
      <c r="N29" s="123" t="s">
        <v>246</v>
      </c>
      <c r="O29" s="123" t="s">
        <v>113</v>
      </c>
      <c r="P29" s="123" t="s">
        <v>114</v>
      </c>
    </row>
    <row r="30" spans="1:17">
      <c r="A30" s="123"/>
      <c r="B30" s="123"/>
      <c r="C30" s="123"/>
      <c r="D30" s="123"/>
      <c r="E30" s="123"/>
      <c r="F30" s="123"/>
      <c r="G30" s="123"/>
      <c r="H30" s="123"/>
      <c r="I30" s="123"/>
      <c r="J30" s="123"/>
      <c r="K30" s="123"/>
      <c r="L30" s="124"/>
      <c r="M30" s="124"/>
      <c r="N30" s="124"/>
      <c r="O30" s="124"/>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zoomScaleNormal="100" workbookViewId="0">
      <selection activeCell="B36" sqref="B36"/>
    </sheetView>
  </sheetViews>
  <sheetFormatPr defaultColWidth="9.140625" defaultRowHeight="15"/>
  <cols>
    <col min="1" max="1" width="68" style="6" customWidth="1"/>
    <col min="2" max="2" width="61.85546875" style="7" customWidth="1"/>
    <col min="3" max="3" width="63.85546875" style="4" customWidth="1"/>
    <col min="4" max="4" width="29.7109375" style="4" customWidth="1"/>
    <col min="5" max="7" width="9.140625" style="4" customWidth="1"/>
    <col min="8" max="8" width="62.5703125" style="4" customWidth="1"/>
    <col min="9" max="13" width="9.140625" style="4" customWidth="1"/>
    <col min="14" max="14" width="70.7109375" style="4" customWidth="1"/>
    <col min="15" max="16" width="9.140625" style="4" customWidth="1"/>
    <col min="17" max="17" width="59.7109375" style="4" customWidth="1"/>
    <col min="18" max="18" width="49.85546875" style="4" customWidth="1"/>
    <col min="19" max="16384" width="9.140625" style="4"/>
  </cols>
  <sheetData>
    <row r="1" spans="1:4">
      <c r="A1" s="3" t="str">
        <f>CONCATENATE(B65," olish uchun ariza")</f>
        <v>Mikroqarz olish uchun ariza</v>
      </c>
      <c r="B1" s="53" t="s">
        <v>431</v>
      </c>
    </row>
    <row r="2" spans="1:4">
      <c r="A2" s="3" t="str">
        <f>CONCATENATE(B65," olish uchun ariza sanasi QO’L BILAN KIRITILADI")</f>
        <v>Mikroqarz olish uchun ariza sanasi QO’L BILAN KIRITILADI</v>
      </c>
      <c r="B2" s="70" t="s">
        <v>452</v>
      </c>
      <c r="D2" s="189">
        <f>180+B2</f>
        <v>46235</v>
      </c>
    </row>
    <row r="3" spans="1:4">
      <c r="A3" s="3"/>
      <c r="B3" s="1"/>
    </row>
    <row r="4" spans="1:4">
      <c r="A4" s="269" t="s">
        <v>49</v>
      </c>
      <c r="B4" s="269"/>
    </row>
    <row r="5" spans="1:4" ht="15.75" customHeight="1">
      <c r="A5" s="3" t="s">
        <v>50</v>
      </c>
      <c r="B5" s="53" t="s">
        <v>429</v>
      </c>
    </row>
    <row r="6" spans="1:4" ht="30">
      <c r="A6" s="3" t="s">
        <v>51</v>
      </c>
      <c r="B6" s="53" t="s">
        <v>130</v>
      </c>
      <c r="C6" s="4" t="s">
        <v>249</v>
      </c>
      <c r="D6" s="4" t="s">
        <v>130</v>
      </c>
    </row>
    <row r="7" spans="1:4">
      <c r="A7" s="3" t="s">
        <v>52</v>
      </c>
      <c r="B7" s="53" t="s">
        <v>430</v>
      </c>
    </row>
    <row r="8" spans="1:4" hidden="1">
      <c r="A8" s="3" t="s">
        <v>53</v>
      </c>
      <c r="B8" s="94" t="str">
        <f>B5</f>
        <v>SIMONYAN VADIM ROMANOVICH</v>
      </c>
    </row>
    <row r="9" spans="1:4" hidden="1">
      <c r="A9" s="3" t="s">
        <v>54</v>
      </c>
      <c r="B9" s="94" t="str">
        <f>B7</f>
        <v>SIMONYAN V. R.</v>
      </c>
    </row>
    <row r="10" spans="1:4" hidden="1">
      <c r="A10" s="3" t="s">
        <v>55</v>
      </c>
      <c r="B10" s="94" t="str">
        <f>B8</f>
        <v>SIMONYAN VADIM ROMANOVICH</v>
      </c>
    </row>
    <row r="11" spans="1:4" hidden="1">
      <c r="A11" s="3" t="s">
        <v>56</v>
      </c>
      <c r="B11" s="94" t="str">
        <f>B9</f>
        <v>SIMONYAN V. R.</v>
      </c>
    </row>
    <row r="12" spans="1:4" hidden="1">
      <c r="A12" s="3" t="s">
        <v>57</v>
      </c>
      <c r="B12" s="94" t="str">
        <f>B10</f>
        <v>SIMONYAN VADIM ROMANOVICH</v>
      </c>
    </row>
    <row r="13" spans="1:4" hidden="1">
      <c r="A13" s="3" t="s">
        <v>58</v>
      </c>
      <c r="B13" s="94" t="str">
        <f>B11</f>
        <v>SIMONYAN V. R.</v>
      </c>
    </row>
    <row r="14" spans="1:4" hidden="1">
      <c r="A14" s="3" t="s">
        <v>59</v>
      </c>
      <c r="B14" s="94" t="s">
        <v>62</v>
      </c>
    </row>
    <row r="15" spans="1:4">
      <c r="A15" s="3" t="s">
        <v>60</v>
      </c>
      <c r="B15" s="160" t="s">
        <v>428</v>
      </c>
    </row>
    <row r="16" spans="1:4">
      <c r="A16" s="3" t="s">
        <v>61</v>
      </c>
      <c r="B16" s="53" t="s">
        <v>427</v>
      </c>
    </row>
    <row r="17" spans="1:10">
      <c r="A17" s="3"/>
      <c r="B17" s="53" t="s">
        <v>420</v>
      </c>
      <c r="C17" s="95"/>
      <c r="D17" s="5" t="str">
        <f>TEXT(C17,"ДД.ММ.ГГГГ")</f>
        <v>00.01.1900</v>
      </c>
    </row>
    <row r="18" spans="1:10">
      <c r="A18" s="3"/>
      <c r="B18" s="160">
        <v>45119</v>
      </c>
      <c r="C18" s="98" t="str">
        <f>TEXT(B18,"ДД.ММ.ГГГГ")</f>
        <v>12.07.2023</v>
      </c>
      <c r="D18" s="5"/>
    </row>
    <row r="19" spans="1:10">
      <c r="A19" s="3"/>
      <c r="B19" s="160">
        <f>DATE(YEAR(B18)+10,MONTH(B18),DAY(B18)-1)</f>
        <v>48771</v>
      </c>
      <c r="C19" s="98" t="str">
        <f>TEXT(B19,"ДД.ММ.ГГГГ")</f>
        <v>11.07.2033</v>
      </c>
      <c r="D19" s="5"/>
    </row>
    <row r="20" spans="1:10" ht="45">
      <c r="A20" s="3" t="s">
        <v>64</v>
      </c>
      <c r="B20" s="75" t="str">
        <f>""&amp;B17&amp;" tomonidan "&amp;C18&amp;" yilda berilgan"</f>
        <v>IIV 26266 tomonidan 12.07.2023 yilda berilgan</v>
      </c>
      <c r="C20" s="99" t="str">
        <f>""&amp;B17&amp;" tomonidan "&amp;C18&amp;" yilda berilgan"</f>
        <v>IIV 26266 tomonidan 12.07.2023 yilda berilgan</v>
      </c>
    </row>
    <row r="21" spans="1:10" ht="45">
      <c r="A21" s="3" t="s">
        <v>65</v>
      </c>
      <c r="B21" s="75" t="str">
        <f>""&amp;C19&amp;" y."</f>
        <v>11.07.2033 y.</v>
      </c>
      <c r="C21" s="98" t="str">
        <f>""&amp;C19&amp;" yilgacha"</f>
        <v>11.07.2033 yilgacha</v>
      </c>
    </row>
    <row r="22" spans="1:10" ht="43.5" customHeight="1">
      <c r="A22" s="3" t="s">
        <v>66</v>
      </c>
      <c r="B22" s="53" t="s">
        <v>421</v>
      </c>
    </row>
    <row r="23" spans="1:10" ht="30">
      <c r="A23" s="3" t="s">
        <v>67</v>
      </c>
      <c r="B23" s="53" t="s">
        <v>91</v>
      </c>
      <c r="C23" s="5" t="s">
        <v>91</v>
      </c>
      <c r="D23" s="5" t="s">
        <v>92</v>
      </c>
    </row>
    <row r="24" spans="1:10" ht="30" hidden="1">
      <c r="A24" s="3" t="s">
        <v>68</v>
      </c>
      <c r="B24" s="94" t="s">
        <v>89</v>
      </c>
      <c r="C24" s="5" t="s">
        <v>89</v>
      </c>
      <c r="D24" s="5" t="s">
        <v>90</v>
      </c>
      <c r="E24" s="5" t="s">
        <v>0</v>
      </c>
      <c r="F24" s="5" t="s">
        <v>1</v>
      </c>
      <c r="G24" s="4" t="s">
        <v>3</v>
      </c>
    </row>
    <row r="25" spans="1:10">
      <c r="A25" s="3" t="s">
        <v>69</v>
      </c>
      <c r="B25" s="53" t="s">
        <v>434</v>
      </c>
    </row>
    <row r="26" spans="1:10" ht="29.25" customHeight="1">
      <c r="A26" s="3" t="s">
        <v>70</v>
      </c>
      <c r="B26" s="53" t="s">
        <v>433</v>
      </c>
      <c r="C26" s="4" t="s">
        <v>24</v>
      </c>
    </row>
    <row r="27" spans="1:10" ht="44.25" hidden="1" customHeight="1">
      <c r="A27" s="3"/>
      <c r="B27" s="179" t="str">
        <f>IF(B23="mos keladi",B22,B28)</f>
        <v>TOSHKENT SHAHAR YUNUSOBOD TUMANI OTCHOPAR-1 MFY KARIM ZARIPOV KO'CHASI 8-6 UY</v>
      </c>
    </row>
    <row r="28" spans="1:10" ht="30">
      <c r="A28" s="3" t="s">
        <v>71</v>
      </c>
      <c r="B28" s="236" t="s">
        <v>421</v>
      </c>
    </row>
    <row r="29" spans="1:10">
      <c r="A29" s="3" t="s">
        <v>72</v>
      </c>
      <c r="B29" s="53" t="s">
        <v>89</v>
      </c>
      <c r="C29" s="124" t="s">
        <v>89</v>
      </c>
      <c r="D29" s="124" t="s">
        <v>90</v>
      </c>
      <c r="E29" s="124" t="s">
        <v>325</v>
      </c>
      <c r="F29" s="124" t="s">
        <v>326</v>
      </c>
      <c r="G29" s="124" t="s">
        <v>3</v>
      </c>
      <c r="H29" s="124"/>
      <c r="I29" s="124"/>
      <c r="J29" s="124"/>
    </row>
    <row r="30" spans="1:10" ht="27">
      <c r="A30" s="3" t="s">
        <v>73</v>
      </c>
      <c r="B30" s="211" t="s">
        <v>145</v>
      </c>
      <c r="C30" s="5" t="s">
        <v>145</v>
      </c>
      <c r="D30" s="5" t="s">
        <v>329</v>
      </c>
    </row>
    <row r="31" spans="1:10">
      <c r="A31" s="3" t="s">
        <v>74</v>
      </c>
      <c r="B31" s="53" t="s">
        <v>409</v>
      </c>
    </row>
    <row r="32" spans="1:10">
      <c r="A32" s="3" t="s">
        <v>59</v>
      </c>
      <c r="B32" s="53" t="s">
        <v>62</v>
      </c>
    </row>
    <row r="33" spans="1:4">
      <c r="A33" s="3" t="s">
        <v>69</v>
      </c>
      <c r="B33" s="53" t="str">
        <f>B25</f>
        <v xml:space="preserve">93 554 55 99 MIJOZ </v>
      </c>
    </row>
    <row r="34" spans="1:4" hidden="1">
      <c r="A34" s="3"/>
      <c r="B34" s="53" t="str">
        <f>IF(B23="mos keladi",B26,B35)</f>
        <v>CHINOBOD SANATORIY SANTINI</v>
      </c>
    </row>
    <row r="35" spans="1:4">
      <c r="A35" s="3" t="s">
        <v>70</v>
      </c>
      <c r="B35" s="53"/>
    </row>
    <row r="36" spans="1:4">
      <c r="A36" s="3" t="s">
        <v>75</v>
      </c>
      <c r="B36" s="53"/>
    </row>
    <row r="37" spans="1:4">
      <c r="A37" s="3" t="s">
        <v>76</v>
      </c>
      <c r="B37" s="53"/>
    </row>
    <row r="38" spans="1:4">
      <c r="A38" s="3" t="s">
        <v>77</v>
      </c>
      <c r="B38" s="53"/>
    </row>
    <row r="39" spans="1:4">
      <c r="A39" s="3" t="s">
        <v>78</v>
      </c>
      <c r="B39" s="53"/>
    </row>
    <row r="40" spans="1:4" ht="24.75" customHeight="1">
      <c r="A40" s="3" t="s">
        <v>79</v>
      </c>
      <c r="B40" s="53" t="str">
        <f>B33</f>
        <v xml:space="preserve">93 554 55 99 MIJOZ </v>
      </c>
    </row>
    <row r="41" spans="1:4" ht="24.75" customHeight="1">
      <c r="A41" s="3" t="s">
        <v>80</v>
      </c>
      <c r="B41" s="53" t="s">
        <v>435</v>
      </c>
    </row>
    <row r="42" spans="1:4" ht="24.75" customHeight="1">
      <c r="A42" s="3" t="s">
        <v>79</v>
      </c>
      <c r="B42" s="53" t="s">
        <v>432</v>
      </c>
    </row>
    <row r="43" spans="1:4">
      <c r="A43" s="3" t="s">
        <v>80</v>
      </c>
      <c r="B43" s="53"/>
    </row>
    <row r="44" spans="1:4" ht="23.25">
      <c r="A44" s="213" t="s">
        <v>81</v>
      </c>
      <c r="B44" s="212" t="s">
        <v>341</v>
      </c>
      <c r="C44" s="4" t="s">
        <v>341</v>
      </c>
      <c r="D44" s="4" t="s">
        <v>347</v>
      </c>
    </row>
    <row r="45" spans="1:4" hidden="1">
      <c r="A45" s="3"/>
      <c r="B45" s="210" t="str">
        <f>IF(B44=D44,CONCATENATE("MA'LUMOTNOMA ",B47,B46),C44)</f>
        <v>Yakka tartibdagi tadbirkor</v>
      </c>
    </row>
    <row r="46" spans="1:4" ht="46.5">
      <c r="A46" s="213" t="s">
        <v>348</v>
      </c>
      <c r="B46" s="219"/>
    </row>
    <row r="47" spans="1:4" ht="23.25" hidden="1">
      <c r="A47" s="213"/>
      <c r="B47" s="219"/>
      <c r="C47" s="4" t="s">
        <v>375</v>
      </c>
    </row>
    <row r="48" spans="1:4" ht="69.75">
      <c r="A48" s="213" t="s">
        <v>349</v>
      </c>
      <c r="B48" s="210"/>
    </row>
    <row r="49" spans="1:22" hidden="1">
      <c r="A49" s="3" t="s">
        <v>82</v>
      </c>
      <c r="B49" s="53" t="str">
        <f>IF(B44=C44,C44,B48)</f>
        <v>Yakka tartibdagi tadbirkor</v>
      </c>
    </row>
    <row r="50" spans="1:22" ht="30">
      <c r="A50" s="3" t="s">
        <v>83</v>
      </c>
      <c r="B50" s="53"/>
    </row>
    <row r="51" spans="1:22">
      <c r="A51" s="3" t="s">
        <v>70</v>
      </c>
      <c r="B51" s="53"/>
    </row>
    <row r="52" spans="1:22">
      <c r="A52" s="3" t="s">
        <v>84</v>
      </c>
      <c r="B52" s="53"/>
    </row>
    <row r="53" spans="1:22">
      <c r="A53" s="3" t="s">
        <v>85</v>
      </c>
      <c r="B53" s="53"/>
    </row>
    <row r="54" spans="1:22">
      <c r="A54" s="3" t="s">
        <v>86</v>
      </c>
      <c r="B54" s="53"/>
    </row>
    <row r="55" spans="1:22">
      <c r="A55" s="3" t="s">
        <v>87</v>
      </c>
      <c r="B55" s="2"/>
    </row>
    <row r="56" spans="1:22">
      <c r="A56" s="3" t="s">
        <v>88</v>
      </c>
      <c r="B56" s="2" t="s">
        <v>22</v>
      </c>
    </row>
    <row r="57" spans="1:22" ht="30" customHeight="1">
      <c r="A57" s="270" t="s">
        <v>93</v>
      </c>
      <c r="B57" s="271"/>
    </row>
    <row r="58" spans="1:22" ht="20.25" hidden="1" customHeight="1">
      <c r="A58" s="3" t="s">
        <v>94</v>
      </c>
      <c r="B58" s="53" t="str">
        <f>IF(B44=C44,C44,CONCATENATE(B44," ",B47))</f>
        <v>Yakka tartibdagi tadbirkor</v>
      </c>
    </row>
    <row r="59" spans="1:22" ht="31.5" hidden="1" customHeight="1">
      <c r="A59" s="3" t="s">
        <v>82</v>
      </c>
      <c r="B59" s="53" t="str">
        <f>B49</f>
        <v>Yakka tartibdagi tadbirkor</v>
      </c>
    </row>
    <row r="60" spans="1:22" ht="23.25">
      <c r="A60" s="213" t="s">
        <v>95</v>
      </c>
      <c r="B60" s="217">
        <v>10000000</v>
      </c>
    </row>
    <row r="61" spans="1:22">
      <c r="A61" s="3" t="s">
        <v>96</v>
      </c>
      <c r="B61" s="9">
        <v>5000000</v>
      </c>
      <c r="C61" s="124"/>
      <c r="D61" s="124"/>
      <c r="E61" s="124"/>
      <c r="F61" s="124"/>
      <c r="G61" s="124"/>
      <c r="H61" s="124"/>
      <c r="I61" s="124"/>
      <c r="J61" s="124"/>
      <c r="K61" s="124"/>
      <c r="L61" s="124"/>
      <c r="M61" s="124"/>
      <c r="N61" s="124"/>
      <c r="O61" s="124"/>
    </row>
    <row r="62" spans="1:22" hidden="1">
      <c r="A62" s="3" t="s">
        <v>97</v>
      </c>
      <c r="B62" s="53">
        <f>B53</f>
        <v>0</v>
      </c>
      <c r="C62" s="124"/>
      <c r="D62" s="124"/>
      <c r="E62" s="124"/>
      <c r="F62" s="124"/>
      <c r="G62" s="124"/>
      <c r="H62" s="124"/>
      <c r="I62" s="124"/>
      <c r="J62" s="124"/>
      <c r="K62" s="124"/>
      <c r="L62" s="124"/>
      <c r="M62" s="124"/>
      <c r="N62" s="124"/>
      <c r="O62" s="124"/>
    </row>
    <row r="63" spans="1:22">
      <c r="A63" s="3" t="s">
        <v>98</v>
      </c>
      <c r="B63" s="53"/>
      <c r="C63" s="5"/>
      <c r="D63" s="5"/>
      <c r="E63" s="5"/>
      <c r="F63" s="5"/>
      <c r="G63" s="5"/>
      <c r="H63" s="5"/>
      <c r="I63" s="5"/>
      <c r="J63" s="5"/>
      <c r="K63" s="5"/>
      <c r="L63" s="5"/>
      <c r="M63" s="5"/>
      <c r="N63" s="5"/>
      <c r="O63" s="5"/>
    </row>
    <row r="64" spans="1:22">
      <c r="A64" s="269" t="s">
        <v>99</v>
      </c>
      <c r="B64" s="269"/>
      <c r="C64" s="235" t="s">
        <v>405</v>
      </c>
      <c r="D64" s="235" t="s">
        <v>403</v>
      </c>
      <c r="E64" s="124"/>
      <c r="F64" s="124"/>
      <c r="G64" s="124"/>
      <c r="H64" s="124"/>
      <c r="I64" s="124"/>
      <c r="J64" s="124"/>
      <c r="K64" s="124"/>
      <c r="L64" s="124"/>
      <c r="M64" s="124"/>
      <c r="N64" s="124"/>
      <c r="O64" s="124"/>
      <c r="P64" s="124"/>
      <c r="Q64" s="124"/>
      <c r="R64" s="124"/>
      <c r="S64" s="124"/>
      <c r="T64" s="124"/>
      <c r="U64" s="124"/>
      <c r="V64" s="124"/>
    </row>
    <row r="65" spans="1:22">
      <c r="A65" s="3" t="s">
        <v>100</v>
      </c>
      <c r="B65" s="1" t="str">
        <f>IF(B75&gt;100000001,"Mikrokredit",IF(B75&lt;100000001,"Mikroqarz",0))</f>
        <v>Mikroqarz</v>
      </c>
      <c r="C65" s="122">
        <f>DATE(YEAR(B67),MONTH(B67)+B81,DAY(B67))</f>
        <v>46785</v>
      </c>
      <c r="D65" s="123"/>
      <c r="E65" s="123"/>
      <c r="F65" s="123"/>
      <c r="G65" s="123"/>
      <c r="H65" s="123"/>
      <c r="I65" s="123"/>
      <c r="J65" s="123"/>
      <c r="K65" s="123"/>
      <c r="L65" s="123"/>
      <c r="M65" s="123"/>
      <c r="N65" s="123"/>
      <c r="O65" s="124"/>
      <c r="P65" s="124"/>
      <c r="Q65" s="124"/>
      <c r="R65" s="124"/>
      <c r="S65" s="124"/>
      <c r="T65" s="124"/>
      <c r="U65" s="124"/>
      <c r="V65" s="124"/>
    </row>
    <row r="66" spans="1:22">
      <c r="A66" s="3" t="s">
        <v>101</v>
      </c>
      <c r="B66" s="53" t="str">
        <f>B1</f>
        <v>№43</v>
      </c>
      <c r="C66" s="123">
        <f>MONTH(C65)</f>
        <v>2</v>
      </c>
      <c r="D66" s="123" t="str">
        <f>IF(C66=C68,C70,IF(C66=D68,D70,IF(C66=E68,E70,IF(C66=F68,F70,IF(C66=G68,G70,IF(C66=H68,H70,IF(C66=I68,I70,IF(C66=J68,J70,IF(C66=K68,K70,IF(C66=L68,L70,IF(C66=M68,M70,IF(C66=N68,N70,))))))))))))</f>
        <v>fevral</v>
      </c>
      <c r="E66" s="123">
        <f>DAY(C65)</f>
        <v>2</v>
      </c>
      <c r="F66" s="123">
        <f>YEAR(C65)</f>
        <v>2028</v>
      </c>
      <c r="G66" s="123">
        <f>MONTH(C65)</f>
        <v>2</v>
      </c>
      <c r="H66" s="123" t="str">
        <f>IF(C66=C68,C71,IF(C66=D68,D71,IF(C66=E68,E71,IF(C66=F68,F71,IF(C66=G68,G71,IF(C66=H68,H71,IF(C66=I68,I71,IF(C66=J68,J71,IF(C66=K68,K71,IF(C66=L68,L71,IF(C66=M68,M71,IF(C66=N68,N71,))))))))))))</f>
        <v>fevral</v>
      </c>
      <c r="I66" s="123">
        <f>YEAR(C65)</f>
        <v>2028</v>
      </c>
      <c r="J66" s="123"/>
      <c r="K66" s="123"/>
      <c r="L66" s="123"/>
      <c r="M66" s="123"/>
      <c r="N66" s="123"/>
      <c r="O66" s="124"/>
      <c r="P66" s="124"/>
      <c r="Q66" s="124"/>
      <c r="R66" s="124"/>
      <c r="S66" s="124"/>
      <c r="T66" s="124"/>
      <c r="U66" s="124"/>
      <c r="V66" s="124"/>
    </row>
    <row r="67" spans="1:22">
      <c r="A67" s="3" t="s">
        <v>102</v>
      </c>
      <c r="B67" s="109" t="str">
        <f>B2</f>
        <v>02.02.2026</v>
      </c>
      <c r="C67" s="123">
        <f>MONTH(B67)</f>
        <v>2</v>
      </c>
      <c r="D67" s="123" t="str">
        <f>IF(C67=C68,C70,IF(C67=D68,D70,IF(C67=E68,E70,IF(C67=F68,F70,IF(C67=G68,G70,IF(C67=H68,H70,IF(C67=I68,I70,IF(C67=J68,J70,IF(C67=K68,K70,IF(C67=L68,L70,IF(C67=M68,M70,IF(C67=N68,N70,))))))))))))</f>
        <v>fevral</v>
      </c>
      <c r="E67" s="123">
        <f>DAY(B67)</f>
        <v>2</v>
      </c>
      <c r="F67" s="123">
        <f>YEAR(B67)</f>
        <v>2026</v>
      </c>
      <c r="G67" s="123">
        <f>MONTH(B67)</f>
        <v>2</v>
      </c>
      <c r="H67" s="123" t="str">
        <f>IF(C67=C68,C71,IF(C67=D68,D71,IF(C67=E68,E71,IF(C67=F68,F71,IF(C67=G68,G71,IF(C67=H68,H71,IF(C67=I68,I71,IF(C67=J68,J71,IF(C67=K68,K71,IF(C67=L68,L71,IF(C67=M68,M71,IF(C67=N68,N71,))))))))))))</f>
        <v>fevral</v>
      </c>
      <c r="I67" s="123">
        <f>YEAR(B67)</f>
        <v>2026</v>
      </c>
      <c r="J67" s="123"/>
      <c r="K67" s="123"/>
      <c r="L67" s="123"/>
      <c r="M67" s="123"/>
      <c r="N67" s="123"/>
      <c r="O67" s="124"/>
      <c r="P67" s="124"/>
      <c r="Q67" s="124"/>
      <c r="R67" s="124"/>
      <c r="S67" s="124"/>
      <c r="T67" s="124"/>
      <c r="U67" s="124"/>
      <c r="V67" s="124"/>
    </row>
    <row r="68" spans="1:22">
      <c r="A68" s="3" t="s">
        <v>103</v>
      </c>
      <c r="B68" s="100" t="str">
        <f>""&amp;E67&amp;" "&amp;D67&amp;" "&amp;F67&amp;" y."</f>
        <v>2 fevral 2026 y.</v>
      </c>
      <c r="C68" s="123">
        <v>1</v>
      </c>
      <c r="D68" s="123">
        <v>2</v>
      </c>
      <c r="E68" s="123">
        <v>3</v>
      </c>
      <c r="F68" s="123">
        <v>4</v>
      </c>
      <c r="G68" s="123">
        <v>5</v>
      </c>
      <c r="H68" s="123">
        <v>6</v>
      </c>
      <c r="I68" s="123">
        <v>7</v>
      </c>
      <c r="J68" s="123">
        <v>8</v>
      </c>
      <c r="K68" s="123">
        <v>9</v>
      </c>
      <c r="L68" s="123">
        <v>10</v>
      </c>
      <c r="M68" s="123">
        <v>11</v>
      </c>
      <c r="N68" s="123">
        <v>12</v>
      </c>
      <c r="O68" s="124"/>
      <c r="P68" s="124"/>
      <c r="Q68" s="124"/>
      <c r="R68" s="124"/>
      <c r="S68" s="124"/>
      <c r="T68" s="124"/>
      <c r="U68" s="124"/>
      <c r="V68" s="124"/>
    </row>
    <row r="69" spans="1:22">
      <c r="A69" s="3"/>
      <c r="B69" s="100" t="str">
        <f>""&amp;E67&amp;" "&amp;H67&amp;" "&amp;F67&amp;" y."</f>
        <v>2 fevral 2026 y.</v>
      </c>
      <c r="C69" s="123"/>
      <c r="D69" s="123"/>
      <c r="E69" s="123"/>
      <c r="F69" s="123"/>
      <c r="G69" s="123"/>
      <c r="H69" s="123"/>
      <c r="I69" s="123"/>
      <c r="J69" s="123"/>
      <c r="K69" s="123"/>
      <c r="L69" s="123"/>
      <c r="M69" s="123"/>
      <c r="N69" s="123"/>
      <c r="O69" s="124"/>
      <c r="P69" s="124"/>
      <c r="Q69" s="124"/>
      <c r="R69" s="124"/>
      <c r="S69" s="124"/>
      <c r="T69" s="124"/>
      <c r="U69" s="124"/>
      <c r="V69" s="124"/>
    </row>
    <row r="70" spans="1:22">
      <c r="A70" s="3"/>
      <c r="B70" s="74" t="str">
        <f>B68</f>
        <v>2 fevral 2026 y.</v>
      </c>
      <c r="C70" s="177" t="s">
        <v>115</v>
      </c>
      <c r="D70" s="177" t="s">
        <v>116</v>
      </c>
      <c r="E70" s="177" t="s">
        <v>105</v>
      </c>
      <c r="F70" s="177" t="s">
        <v>106</v>
      </c>
      <c r="G70" s="177" t="s">
        <v>107</v>
      </c>
      <c r="H70" s="177" t="s">
        <v>108</v>
      </c>
      <c r="I70" s="177" t="s">
        <v>109</v>
      </c>
      <c r="J70" s="177" t="s">
        <v>110</v>
      </c>
      <c r="K70" s="177" t="s">
        <v>111</v>
      </c>
      <c r="L70" s="177" t="s">
        <v>112</v>
      </c>
      <c r="M70" s="177" t="s">
        <v>113</v>
      </c>
      <c r="N70" s="177" t="s">
        <v>114</v>
      </c>
      <c r="O70" s="124"/>
      <c r="P70" s="124"/>
      <c r="Q70" s="124"/>
      <c r="R70" s="124"/>
      <c r="S70" s="124"/>
      <c r="T70" s="124"/>
      <c r="U70" s="124"/>
      <c r="V70" s="124"/>
    </row>
    <row r="71" spans="1:22">
      <c r="A71" s="3"/>
      <c r="B71" s="74" t="str">
        <f>B69</f>
        <v>2 fevral 2026 y.</v>
      </c>
      <c r="C71" s="177" t="s">
        <v>115</v>
      </c>
      <c r="D71" s="177" t="s">
        <v>116</v>
      </c>
      <c r="E71" s="177" t="s">
        <v>105</v>
      </c>
      <c r="F71" s="177" t="s">
        <v>106</v>
      </c>
      <c r="G71" s="177" t="s">
        <v>107</v>
      </c>
      <c r="H71" s="177" t="s">
        <v>108</v>
      </c>
      <c r="I71" s="177" t="s">
        <v>109</v>
      </c>
      <c r="J71" s="177" t="s">
        <v>110</v>
      </c>
      <c r="K71" s="177" t="s">
        <v>111</v>
      </c>
      <c r="L71" s="177" t="s">
        <v>112</v>
      </c>
      <c r="M71" s="177" t="s">
        <v>113</v>
      </c>
      <c r="N71" s="177" t="s">
        <v>114</v>
      </c>
      <c r="O71" s="124"/>
      <c r="P71" s="124"/>
      <c r="Q71" s="124"/>
      <c r="R71" s="124"/>
      <c r="S71" s="124"/>
      <c r="T71" s="124"/>
      <c r="U71" s="124"/>
      <c r="V71" s="124"/>
    </row>
    <row r="72" spans="1:22">
      <c r="A72" s="3" t="s">
        <v>104</v>
      </c>
      <c r="B72" s="71" t="str">
        <f>""&amp;E66&amp;" "&amp;D66&amp;" "&amp;F66&amp;" y."</f>
        <v>2 fevral 2028 y.</v>
      </c>
      <c r="C72" s="123"/>
      <c r="D72" s="123"/>
      <c r="E72" s="123"/>
      <c r="F72" s="123"/>
      <c r="G72" s="123"/>
      <c r="H72" s="123"/>
      <c r="I72" s="123"/>
      <c r="J72" s="124"/>
      <c r="K72" s="124"/>
      <c r="L72" s="124"/>
      <c r="M72" s="124"/>
      <c r="N72" s="124"/>
      <c r="O72" s="124"/>
      <c r="P72" s="124"/>
      <c r="Q72" s="124"/>
      <c r="R72" s="124"/>
      <c r="S72" s="124"/>
      <c r="T72" s="124"/>
      <c r="U72" s="124"/>
      <c r="V72" s="124"/>
    </row>
    <row r="73" spans="1:22">
      <c r="A73" s="3"/>
      <c r="B73" s="71" t="str">
        <f>""&amp;E66&amp;" "&amp;H66&amp;" "&amp;F66&amp;" y."</f>
        <v>2 fevral 2028 y.</v>
      </c>
      <c r="C73" s="123"/>
      <c r="D73" s="123"/>
      <c r="E73" s="123"/>
      <c r="F73" s="123"/>
      <c r="G73" s="123"/>
      <c r="H73" s="123"/>
      <c r="I73" s="123"/>
      <c r="J73" s="124"/>
      <c r="K73" s="124"/>
      <c r="L73" s="124"/>
      <c r="M73" s="124"/>
      <c r="N73" s="124"/>
      <c r="O73" s="124"/>
      <c r="P73" s="124"/>
      <c r="Q73" s="124"/>
      <c r="R73" s="124"/>
      <c r="S73" s="124"/>
      <c r="T73" s="124"/>
      <c r="U73" s="124"/>
      <c r="V73" s="124"/>
    </row>
    <row r="74" spans="1:22" ht="15.75" thickBot="1">
      <c r="A74" s="3" t="s">
        <v>117</v>
      </c>
      <c r="B74" s="1" t="str">
        <f>""&amp;B68&amp;"dan "&amp;B66&amp;""</f>
        <v>2 fevral 2026 y.dan №43</v>
      </c>
      <c r="D74" s="72"/>
      <c r="E74" s="72"/>
      <c r="F74" s="72"/>
      <c r="G74" s="72"/>
      <c r="H74" s="72"/>
      <c r="I74" s="72"/>
      <c r="J74" s="5"/>
      <c r="K74" s="5"/>
      <c r="L74" s="5"/>
      <c r="M74" s="5"/>
      <c r="N74" s="5"/>
      <c r="O74" s="5"/>
      <c r="P74" s="73"/>
      <c r="Q74" s="73"/>
      <c r="R74" s="73"/>
      <c r="S74" s="73"/>
      <c r="T74" s="73"/>
      <c r="U74" s="73"/>
      <c r="V74" s="73"/>
    </row>
    <row r="75" spans="1:22">
      <c r="A75" s="3" t="str">
        <f>CONCATENATE(B65," miqdori (summasi)")</f>
        <v>Mikroqarz miqdori (summasi)</v>
      </c>
      <c r="B75" s="84">
        <v>50000000</v>
      </c>
      <c r="C75" s="85" t="s">
        <v>123</v>
      </c>
      <c r="D75" s="72"/>
      <c r="E75" s="72"/>
      <c r="F75" s="72"/>
      <c r="G75" s="72"/>
      <c r="H75" s="72"/>
      <c r="I75" s="72"/>
      <c r="J75" s="5"/>
      <c r="K75" s="5"/>
      <c r="L75" s="5"/>
      <c r="M75" s="5"/>
      <c r="N75" s="5"/>
      <c r="O75" s="5"/>
      <c r="P75" s="73"/>
      <c r="Q75" s="73"/>
      <c r="R75" s="73"/>
      <c r="S75" s="73"/>
      <c r="T75" s="73"/>
      <c r="U75" s="73"/>
      <c r="V75" s="73"/>
    </row>
    <row r="76" spans="1:22">
      <c r="A76" s="178" t="s">
        <v>118</v>
      </c>
      <c r="B76" s="65" t="str">
        <f>C76</f>
        <v>Ellik million so'm</v>
      </c>
      <c r="C76" s="17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Ellik million so'm</v>
      </c>
      <c r="D76" s="72"/>
      <c r="E76" s="72"/>
      <c r="F76" s="72"/>
      <c r="G76" s="72"/>
      <c r="H76" s="72"/>
      <c r="I76" s="72"/>
      <c r="J76" s="5"/>
      <c r="K76" s="5"/>
      <c r="L76" s="5"/>
      <c r="M76" s="5"/>
      <c r="N76" s="5"/>
      <c r="O76" s="5"/>
      <c r="P76" s="73"/>
      <c r="Q76" s="73"/>
      <c r="R76" s="73"/>
      <c r="S76" s="73"/>
      <c r="T76" s="73"/>
      <c r="U76" s="73"/>
      <c r="V76" s="73"/>
    </row>
    <row r="77" spans="1:22">
      <c r="A77" s="3" t="s">
        <v>119</v>
      </c>
      <c r="B77" s="53" t="s">
        <v>124</v>
      </c>
      <c r="C77" s="123" t="s">
        <v>125</v>
      </c>
      <c r="D77" s="123" t="s">
        <v>124</v>
      </c>
      <c r="E77" s="123"/>
      <c r="F77" s="123"/>
      <c r="G77" s="123"/>
      <c r="H77" s="123"/>
      <c r="I77" s="123"/>
      <c r="J77" s="124"/>
      <c r="K77" s="124"/>
      <c r="L77" s="124"/>
      <c r="M77" s="124"/>
      <c r="N77" s="124"/>
      <c r="O77" s="124"/>
      <c r="P77" s="124"/>
      <c r="Q77" s="124"/>
      <c r="R77" s="124"/>
      <c r="S77" s="73"/>
      <c r="T77" s="73"/>
      <c r="U77" s="73"/>
      <c r="V77" s="73"/>
    </row>
    <row r="78" spans="1:22">
      <c r="A78" s="3" t="str">
        <f>CONCATENATE(B65,"ni to'lash sanasi (14.10.2011)")</f>
        <v>Mikroqarzni to'lash sanasi (14.10.2011)</v>
      </c>
      <c r="B78" s="53">
        <v>20</v>
      </c>
      <c r="C78" s="122">
        <f>DATE(YEAR(B67),MONTH(B67)+1,DAY(B78))</f>
        <v>46101</v>
      </c>
      <c r="D78" s="123" t="s">
        <v>26</v>
      </c>
      <c r="E78" s="123" t="s">
        <v>27</v>
      </c>
      <c r="F78" s="123" t="s">
        <v>28</v>
      </c>
      <c r="G78" s="123" t="s">
        <v>29</v>
      </c>
      <c r="H78" s="123" t="s">
        <v>30</v>
      </c>
      <c r="I78" s="123" t="s">
        <v>31</v>
      </c>
      <c r="J78" s="124" t="s">
        <v>32</v>
      </c>
      <c r="K78" s="124"/>
      <c r="L78" s="124"/>
      <c r="M78" s="124"/>
      <c r="N78" s="124"/>
      <c r="O78" s="124"/>
      <c r="P78" s="124"/>
      <c r="Q78" s="124"/>
      <c r="R78" s="124"/>
      <c r="S78" s="73"/>
      <c r="T78" s="73"/>
      <c r="U78" s="73"/>
      <c r="V78" s="73"/>
    </row>
    <row r="79" spans="1:22">
      <c r="A79" s="3" t="str">
        <f>CONCATENATE(B65,"ni to'lash sanasi (14.10.2011 y.) QO’L BILAN KIRITILADI")</f>
        <v>Mikroqarzni to'lash sanasi (14.10.2011 y.) QO’L BILAN KIRITILADI</v>
      </c>
      <c r="B79" s="101">
        <f>DATE(YEAR(B67),MONTH(B67)+1,DAY(B78+C80))</f>
        <v>46101</v>
      </c>
      <c r="C79" s="125" t="str">
        <f>TEXT(C78,"ддд")</f>
        <v>Пт</v>
      </c>
      <c r="D79" s="123" t="s">
        <v>26</v>
      </c>
      <c r="E79" s="123" t="s">
        <v>27</v>
      </c>
      <c r="F79" s="123" t="s">
        <v>28</v>
      </c>
      <c r="G79" s="123" t="s">
        <v>29</v>
      </c>
      <c r="H79" s="123" t="s">
        <v>30</v>
      </c>
      <c r="I79" s="123" t="s">
        <v>31</v>
      </c>
      <c r="J79" s="124" t="s">
        <v>32</v>
      </c>
      <c r="K79" s="124"/>
      <c r="L79" s="124"/>
      <c r="M79" s="124"/>
      <c r="N79" s="124"/>
      <c r="O79" s="124"/>
      <c r="P79" s="124"/>
      <c r="Q79" s="124"/>
      <c r="R79" s="124"/>
      <c r="S79" s="73"/>
      <c r="T79" s="73"/>
      <c r="U79" s="73"/>
      <c r="V79" s="73"/>
    </row>
    <row r="80" spans="1:22">
      <c r="A80" s="3" t="s">
        <v>120</v>
      </c>
      <c r="B80" s="102">
        <f>B79</f>
        <v>46101</v>
      </c>
      <c r="C80" s="126">
        <f>IF(C79=I79,2,IF(C79=J79,1,0))</f>
        <v>0</v>
      </c>
      <c r="D80" s="126"/>
      <c r="E80" s="124"/>
      <c r="F80" s="124"/>
      <c r="G80" s="124"/>
      <c r="H80" s="124"/>
      <c r="I80" s="124"/>
      <c r="J80" s="124"/>
      <c r="K80" s="124"/>
      <c r="L80" s="124"/>
      <c r="M80" s="124"/>
      <c r="N80" s="124"/>
      <c r="O80" s="124"/>
      <c r="P80" s="124"/>
      <c r="Q80" s="124"/>
      <c r="R80" s="124"/>
      <c r="S80" s="73"/>
      <c r="T80" s="73"/>
      <c r="U80" s="73"/>
      <c r="V80" s="73"/>
    </row>
    <row r="81" spans="1:63">
      <c r="A81" s="3" t="str">
        <f>CONCATENATE(B65," muddati")</f>
        <v>Mikroqarz muddati</v>
      </c>
      <c r="B81" s="53">
        <v>24</v>
      </c>
      <c r="C81" s="235">
        <v>6</v>
      </c>
      <c r="D81" s="235">
        <v>12</v>
      </c>
      <c r="E81" s="235">
        <v>16</v>
      </c>
      <c r="F81" s="235">
        <v>18</v>
      </c>
      <c r="G81" s="235">
        <v>24</v>
      </c>
      <c r="H81" s="235">
        <v>28</v>
      </c>
      <c r="I81" s="235">
        <v>30</v>
      </c>
      <c r="J81" s="235">
        <v>36</v>
      </c>
      <c r="K81" s="124"/>
      <c r="L81" s="124"/>
      <c r="M81" s="124">
        <v>48</v>
      </c>
      <c r="N81" s="124"/>
      <c r="O81" s="124"/>
      <c r="P81" s="124"/>
      <c r="Q81" s="124"/>
      <c r="R81" s="124"/>
      <c r="S81" s="73"/>
      <c r="T81" s="73"/>
      <c r="U81" s="73"/>
      <c r="V81" s="73"/>
    </row>
    <row r="82" spans="1:63">
      <c r="A82" s="3" t="str">
        <f>CONCATENATE(B65," muddati QO’L BILAN KIRITILADI")</f>
        <v>Mikroqarz muddati QO’L BILAN KIRITILADI</v>
      </c>
      <c r="B82" s="242" t="str">
        <f>IF(B81=C81,"olti",IF(B81=D81,"o'n ikki",IF(B81=E81,"o'n sakkiz",IF(B81=F81,"o'n sakkiz",IF(B81=G81,"yigirma to'rt",IF(B81=H81,"yigirma sakkiz",IF(B81=I81,"o'ttiz",IF(B81=J81,"o'ttiz olti",IF(B81=M81,"qirq sakkiz",0)))))))))</f>
        <v>yigirma to'rt</v>
      </c>
      <c r="C82" s="235" t="s">
        <v>440</v>
      </c>
      <c r="D82" s="235" t="s">
        <v>441</v>
      </c>
      <c r="E82" s="235" t="s">
        <v>442</v>
      </c>
      <c r="F82" s="235" t="s">
        <v>443</v>
      </c>
      <c r="G82" s="235" t="s">
        <v>444</v>
      </c>
      <c r="H82" s="235" t="s">
        <v>445</v>
      </c>
      <c r="I82" s="235" t="s">
        <v>446</v>
      </c>
      <c r="J82" s="235" t="s">
        <v>447</v>
      </c>
      <c r="K82" s="235"/>
      <c r="L82" s="235"/>
      <c r="M82" s="235" t="s">
        <v>448</v>
      </c>
      <c r="N82" s="124"/>
      <c r="O82" s="124"/>
      <c r="P82" s="124"/>
      <c r="Q82" s="124"/>
      <c r="R82" s="124"/>
    </row>
    <row r="83" spans="1:63" ht="30">
      <c r="A83" s="208" t="s">
        <v>344</v>
      </c>
      <c r="B83" s="173">
        <v>0</v>
      </c>
      <c r="C83" s="124"/>
      <c r="D83" s="124"/>
      <c r="E83" s="124"/>
      <c r="F83" s="124"/>
      <c r="G83" s="124"/>
      <c r="H83" s="124"/>
      <c r="I83" s="124"/>
      <c r="J83" s="124"/>
      <c r="K83" s="124"/>
      <c r="L83" s="124"/>
      <c r="M83" s="124"/>
      <c r="N83" s="124"/>
      <c r="O83" s="124"/>
      <c r="P83" s="124"/>
      <c r="Q83" s="124"/>
      <c r="R83" s="124"/>
      <c r="BJ83" s="5">
        <v>1</v>
      </c>
      <c r="BK83" s="5">
        <v>0</v>
      </c>
    </row>
    <row r="84" spans="1:63">
      <c r="A84" s="3" t="str">
        <f>CONCATENATE(B65," stavkasi")</f>
        <v>Mikroqarz stavkasi</v>
      </c>
      <c r="B84" s="104">
        <v>0.55000000000000004</v>
      </c>
      <c r="C84" s="124"/>
      <c r="D84" s="124"/>
      <c r="E84" s="124"/>
      <c r="F84" s="124"/>
      <c r="G84" s="124"/>
      <c r="H84" s="124"/>
      <c r="I84" s="124"/>
      <c r="J84" s="124"/>
      <c r="K84" s="124"/>
      <c r="L84" s="124"/>
      <c r="M84" s="124"/>
      <c r="N84" s="124"/>
      <c r="O84" s="124"/>
      <c r="P84" s="124"/>
      <c r="Q84" s="124"/>
      <c r="R84" s="124"/>
    </row>
    <row r="85" spans="1:63">
      <c r="A85" s="3" t="str">
        <f>CONCATENATE(B65," stavkasi")</f>
        <v>Mikroqarz stavkasi</v>
      </c>
      <c r="B85" s="105" t="s">
        <v>449</v>
      </c>
      <c r="C85" s="124"/>
      <c r="D85" s="124"/>
      <c r="E85" s="124"/>
      <c r="F85" s="124"/>
      <c r="G85" s="124"/>
      <c r="H85" s="124"/>
      <c r="I85" s="124"/>
      <c r="J85" s="124"/>
      <c r="K85" s="124"/>
      <c r="L85" s="124"/>
      <c r="M85" s="124"/>
      <c r="N85" s="124"/>
      <c r="O85" s="124"/>
      <c r="P85" s="124"/>
      <c r="Q85" s="124"/>
      <c r="R85" s="124"/>
    </row>
    <row r="86" spans="1:63">
      <c r="A86" s="3" t="str">
        <f>CONCATENATE(B65," stavkasi (so’z bilan)")</f>
        <v>Mikroqarz stavkasi (so’z bilan)</v>
      </c>
      <c r="B86" s="10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v>
      </c>
      <c r="C86" s="12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v>
      </c>
      <c r="D86" s="124"/>
      <c r="E86" s="124"/>
      <c r="F86" s="124"/>
      <c r="G86" s="124"/>
      <c r="H86" s="124"/>
      <c r="I86" s="124"/>
      <c r="J86" s="124"/>
      <c r="K86" s="124"/>
      <c r="L86" s="124"/>
      <c r="M86" s="124"/>
      <c r="N86" s="124"/>
      <c r="O86" s="124"/>
      <c r="P86" s="124"/>
      <c r="Q86" s="124"/>
      <c r="R86" s="124"/>
    </row>
    <row r="87" spans="1:63">
      <c r="A87" s="3" t="str">
        <f>CONCATENATE("Muddati o'tgan ",B65," bo’yicha stavka")</f>
        <v>Muddati o'tgan Mikroqarz bo’yicha stavka</v>
      </c>
      <c r="B87" s="104">
        <v>1.55</v>
      </c>
      <c r="C87" s="124"/>
      <c r="D87" s="124"/>
      <c r="E87" s="124"/>
      <c r="F87" s="124"/>
      <c r="G87" s="124"/>
      <c r="H87" s="124"/>
      <c r="I87" s="124"/>
      <c r="J87" s="124"/>
      <c r="K87" s="124"/>
      <c r="L87" s="124"/>
      <c r="M87" s="124"/>
      <c r="N87" s="124"/>
      <c r="O87" s="124"/>
      <c r="P87" s="124"/>
      <c r="Q87" s="124"/>
      <c r="R87" s="124"/>
    </row>
    <row r="88" spans="1:63">
      <c r="A88" s="178" t="s">
        <v>118</v>
      </c>
      <c r="B88" s="105" t="s">
        <v>451</v>
      </c>
      <c r="C88" s="124"/>
      <c r="D88" s="124"/>
      <c r="E88" s="124"/>
      <c r="F88" s="124"/>
      <c r="G88" s="124"/>
      <c r="H88" s="124"/>
      <c r="I88" s="124"/>
      <c r="J88" s="124"/>
      <c r="K88" s="124"/>
      <c r="L88" s="124"/>
      <c r="M88" s="124"/>
      <c r="N88" s="124"/>
      <c r="O88" s="124"/>
      <c r="P88" s="124"/>
      <c r="Q88" s="124"/>
      <c r="R88" s="124"/>
    </row>
    <row r="89" spans="1:63">
      <c r="A89" s="3" t="str">
        <f>CONCATENATE("Muddati o'tgan ",B65," bo’yicha stavka")</f>
        <v>Muddati o'tgan Mikroqarz bo’yicha stavka</v>
      </c>
      <c r="B89" s="103" t="s">
        <v>450</v>
      </c>
      <c r="C89" s="124" t="s">
        <v>450</v>
      </c>
      <c r="D89" s="235" t="s">
        <v>453</v>
      </c>
      <c r="E89" s="124"/>
      <c r="F89" s="124"/>
      <c r="G89" s="124"/>
      <c r="H89" s="124"/>
      <c r="I89" s="124"/>
      <c r="J89" s="124"/>
      <c r="K89" s="124"/>
      <c r="L89" s="124"/>
      <c r="M89" s="124"/>
      <c r="N89" s="124"/>
      <c r="O89" s="124"/>
      <c r="P89" s="124"/>
      <c r="Q89" s="124"/>
      <c r="R89" s="124"/>
    </row>
    <row r="90" spans="1:63">
      <c r="A90" s="3" t="s">
        <v>121</v>
      </c>
      <c r="B90" s="106">
        <f>IF(B77=C77,LARGE(grafik!F9:F26,1),ROUND(PMT(B84/12,B81,-B75,0),-3))</f>
        <v>3478000</v>
      </c>
      <c r="C90" s="124"/>
      <c r="D90" s="124"/>
      <c r="E90" s="124"/>
      <c r="F90" s="124"/>
      <c r="G90" s="124"/>
      <c r="H90" s="124"/>
      <c r="I90" s="124"/>
      <c r="J90" s="124"/>
      <c r="K90" s="124"/>
      <c r="L90" s="124"/>
      <c r="M90" s="124"/>
      <c r="N90" s="124"/>
      <c r="O90" s="124"/>
      <c r="P90" s="124"/>
      <c r="Q90" s="124"/>
      <c r="R90" s="124"/>
    </row>
    <row r="91" spans="1:63">
      <c r="A91" s="269" t="s">
        <v>122</v>
      </c>
      <c r="B91" s="269"/>
      <c r="C91" s="124"/>
      <c r="D91" s="124"/>
      <c r="E91" s="124"/>
      <c r="F91" s="124"/>
      <c r="G91" s="124"/>
      <c r="H91" s="124"/>
      <c r="I91" s="124"/>
      <c r="J91" s="124"/>
      <c r="K91" s="124"/>
      <c r="L91" s="124"/>
      <c r="M91" s="124"/>
      <c r="N91" s="124"/>
      <c r="O91" s="124"/>
      <c r="P91" s="124"/>
      <c r="Q91" s="124"/>
      <c r="R91" s="124"/>
    </row>
    <row r="92" spans="1:63" ht="18" hidden="1">
      <c r="A92" s="108"/>
      <c r="B92" s="165" t="s">
        <v>127</v>
      </c>
      <c r="C92" s="197" t="s">
        <v>127</v>
      </c>
      <c r="D92" s="124" t="s">
        <v>128</v>
      </c>
      <c r="E92" s="124"/>
      <c r="F92" s="124"/>
      <c r="G92" s="124"/>
      <c r="H92" s="124"/>
      <c r="I92" s="124"/>
      <c r="J92" s="124"/>
      <c r="K92" s="124"/>
      <c r="L92" s="124"/>
      <c r="M92" s="124"/>
      <c r="N92" s="124"/>
      <c r="O92" s="124"/>
      <c r="P92" s="124"/>
      <c r="Q92" s="124"/>
      <c r="R92" s="124"/>
    </row>
    <row r="93" spans="1:63" ht="18">
      <c r="A93" s="12" t="s">
        <v>133</v>
      </c>
      <c r="B93" s="165" t="s">
        <v>129</v>
      </c>
      <c r="C93" s="198" t="s">
        <v>129</v>
      </c>
      <c r="D93" s="199" t="s">
        <v>130</v>
      </c>
      <c r="E93" s="124"/>
      <c r="F93" s="124"/>
      <c r="G93" s="124"/>
      <c r="H93" s="124"/>
      <c r="I93" s="124"/>
      <c r="J93" s="124"/>
      <c r="K93" s="124"/>
      <c r="L93" s="124"/>
      <c r="M93" s="124"/>
      <c r="N93" s="124"/>
      <c r="O93" s="124"/>
      <c r="P93" s="124"/>
      <c r="Q93" s="124"/>
      <c r="R93" s="124"/>
    </row>
    <row r="94" spans="1:63" ht="36">
      <c r="A94" s="12" t="s">
        <v>134</v>
      </c>
      <c r="B94" s="165" t="s">
        <v>131</v>
      </c>
      <c r="C94" s="5" t="s">
        <v>131</v>
      </c>
      <c r="D94" s="5" t="s">
        <v>132</v>
      </c>
      <c r="E94" s="124"/>
      <c r="F94" s="124"/>
      <c r="G94" s="124"/>
      <c r="H94" s="124"/>
      <c r="I94" s="124"/>
    </row>
    <row r="95" spans="1:63" ht="36">
      <c r="A95" s="12" t="s">
        <v>135</v>
      </c>
      <c r="B95" s="165"/>
      <c r="C95" s="5"/>
      <c r="D95" s="5"/>
    </row>
    <row r="96" spans="1:63" ht="36">
      <c r="A96" s="12" t="s">
        <v>136</v>
      </c>
      <c r="B96" s="165"/>
      <c r="C96" s="5"/>
      <c r="D96" s="5"/>
    </row>
    <row r="97" spans="1:4">
      <c r="A97" s="269" t="s">
        <v>137</v>
      </c>
      <c r="B97" s="269"/>
      <c r="C97" s="5"/>
      <c r="D97" s="5"/>
    </row>
    <row r="98" spans="1:4" ht="36">
      <c r="A98" s="12" t="s">
        <v>138</v>
      </c>
      <c r="B98" s="165"/>
      <c r="C98" s="5"/>
      <c r="D98" s="5"/>
    </row>
    <row r="99" spans="1:4" ht="36">
      <c r="A99" s="12" t="s">
        <v>139</v>
      </c>
      <c r="B99" s="165"/>
      <c r="C99" s="5"/>
      <c r="D99" s="5"/>
    </row>
    <row r="100" spans="1:4" ht="18">
      <c r="A100" s="12" t="s">
        <v>140</v>
      </c>
      <c r="B100" s="174"/>
      <c r="C100" s="5"/>
      <c r="D100" s="5"/>
    </row>
    <row r="101" spans="1:4" ht="18">
      <c r="A101" s="12" t="s">
        <v>141</v>
      </c>
      <c r="B101" s="171"/>
      <c r="C101" s="5"/>
      <c r="D101" s="5"/>
    </row>
    <row r="102" spans="1:4" ht="18" hidden="1">
      <c r="A102" s="12"/>
      <c r="B102" s="165" t="str">
        <f>TEXT(B101,"ДД.ММ.ГГГГ")</f>
        <v>00.01.1900</v>
      </c>
      <c r="C102" s="5"/>
      <c r="D102" s="5"/>
    </row>
    <row r="103" spans="1:4" ht="18">
      <c r="A103" s="12"/>
      <c r="B103" s="13" t="s">
        <v>143</v>
      </c>
      <c r="C103" s="5" t="s">
        <v>142</v>
      </c>
      <c r="D103" s="5" t="s">
        <v>143</v>
      </c>
    </row>
    <row r="104" spans="1:4" ht="60">
      <c r="A104" s="216" t="s">
        <v>346</v>
      </c>
      <c r="B104" s="215" t="s">
        <v>345</v>
      </c>
      <c r="C104" s="13" t="s">
        <v>143</v>
      </c>
      <c r="D104" s="5"/>
    </row>
    <row r="105" spans="1:4" ht="30">
      <c r="A105" s="207" t="s">
        <v>367</v>
      </c>
      <c r="B105" s="13"/>
      <c r="C105" s="13"/>
      <c r="D105" s="5"/>
    </row>
    <row r="106" spans="1:4" ht="30">
      <c r="A106" s="207" t="s">
        <v>368</v>
      </c>
      <c r="B106" s="13"/>
      <c r="C106" s="13"/>
      <c r="D106" s="5"/>
    </row>
    <row r="107" spans="1:4" ht="60">
      <c r="A107" s="207" t="str">
        <f>A113</f>
        <v>Tug’ilgan sanasi (01.10.2011 y.)</v>
      </c>
      <c r="B107" s="13"/>
      <c r="C107" s="13"/>
      <c r="D107" s="5"/>
    </row>
    <row r="108" spans="1:4" ht="60">
      <c r="A108" s="207" t="str">
        <f>A114</f>
        <v>Pasport seriyasi (СА №1234567)</v>
      </c>
      <c r="B108" s="13"/>
      <c r="C108" s="13"/>
      <c r="D108" s="5"/>
    </row>
    <row r="109" spans="1:4" ht="150">
      <c r="A109" s="207" t="str">
        <f>A115</f>
        <v xml:space="preserve">Kim va qachon berilgan
(Toshkent shahri Chilonzor IIB tomonidan 2011 yil __.____)
</v>
      </c>
      <c r="B109" s="13"/>
      <c r="C109" s="13"/>
      <c r="D109" s="5"/>
    </row>
    <row r="110" spans="1:4" ht="150">
      <c r="A110" s="207" t="str">
        <f>A116</f>
        <v xml:space="preserve">doimiy ro’yhatdan o’tgan joyi
(Toshkent sh., Mirobod tumani, Nukus ko’chasi, 1 uy, 1 honadon)
</v>
      </c>
      <c r="B110" s="13"/>
      <c r="C110" s="13"/>
      <c r="D110" s="5"/>
    </row>
    <row r="111" spans="1:4" hidden="1">
      <c r="A111" s="162" t="s">
        <v>152</v>
      </c>
      <c r="B111" s="152" t="str">
        <f>IF(B93="HA",B5,B105)</f>
        <v>SIMONYAN VADIM ROMANOVICH</v>
      </c>
      <c r="C111" s="180" t="str">
        <f>IF(B93="ha",B5,C105)</f>
        <v>SIMONYAN VADIM ROMANOVICH</v>
      </c>
      <c r="D111" s="5"/>
    </row>
    <row r="112" spans="1:4" hidden="1">
      <c r="A112" s="162"/>
      <c r="B112" s="152" t="str">
        <f>IF(B93="HA",B7,B106)</f>
        <v>SIMONYAN V. R.</v>
      </c>
      <c r="C112" s="180" t="str">
        <f>IF(B93="HA",B7,C106)</f>
        <v>SIMONYAN V. R.</v>
      </c>
      <c r="D112" s="5"/>
    </row>
    <row r="113" spans="1:18" hidden="1">
      <c r="A113" s="163" t="s">
        <v>153</v>
      </c>
      <c r="B113" s="206" t="str">
        <f>IF(B93="HA",B15,B107)</f>
        <v>14.12.1968 yil</v>
      </c>
      <c r="C113" s="180" t="str">
        <f>IF(B93="HA",B15,C107)</f>
        <v>14.12.1968 yil</v>
      </c>
      <c r="D113" s="5"/>
    </row>
    <row r="114" spans="1:18" hidden="1">
      <c r="A114" s="163" t="s">
        <v>61</v>
      </c>
      <c r="B114" s="206" t="str">
        <f>IF(B93="HA",B16,B108)</f>
        <v>AD 3925702</v>
      </c>
      <c r="C114" s="180" t="str">
        <f>IF(B93="HA",B16,C108)</f>
        <v>AD 3925702</v>
      </c>
      <c r="D114" s="5"/>
    </row>
    <row r="115" spans="1:18" ht="30" hidden="1" customHeight="1">
      <c r="A115" s="163" t="s">
        <v>64</v>
      </c>
      <c r="B115" s="152" t="str">
        <f>IF(B93="HA",B20,B109)</f>
        <v>IIV 26266 tomonidan 12.07.2023 yilda berilgan</v>
      </c>
      <c r="C115" s="152" t="str">
        <f>IF(B93="HA",B20,C109)</f>
        <v>IIV 26266 tomonidan 12.07.2023 yilda berilgan</v>
      </c>
      <c r="D115" s="79">
        <v>493193762</v>
      </c>
    </row>
    <row r="116" spans="1:18" ht="53.25" hidden="1" customHeight="1">
      <c r="A116" s="163" t="s">
        <v>66</v>
      </c>
      <c r="B116" s="152" t="str">
        <f>IF(B93="HA",B22,B110)</f>
        <v>TOSHKENT SHAHAR YUNUSOBOD TUMANI OTCHOPAR-1 MFY KARIM ZARIPOV KO'CHASI 8-6 UY</v>
      </c>
      <c r="C116" s="152" t="str">
        <f>IF(B93="HA",B22,C110)</f>
        <v>TOSHKENT SHAHAR YUNUSOBOD TUMANI OTCHOPAR-1 MFY KARIM ZARIPOV KO'CHASI 8-6 UY</v>
      </c>
      <c r="D116" s="5"/>
    </row>
    <row r="117" spans="1:18">
      <c r="A117" s="163" t="s">
        <v>154</v>
      </c>
      <c r="B117" s="223" t="str">
        <f>IF(B93="ha",B5,B111)</f>
        <v>SIMONYAN VADIM ROMANOVICH</v>
      </c>
      <c r="C117" s="225" t="str">
        <f>IF(B93="ha",B5,C111)</f>
        <v>SIMONYAN VADIM ROMANOVICH</v>
      </c>
    </row>
    <row r="118" spans="1:18">
      <c r="A118" s="163"/>
      <c r="B118" s="223" t="str">
        <f>IF(B93="ha",B7,B112)</f>
        <v>SIMONYAN V. R.</v>
      </c>
      <c r="C118" s="225" t="str">
        <f>IF(B93="да",B7,C112)</f>
        <v>SIMONYAN V. R.</v>
      </c>
    </row>
    <row r="119" spans="1:18">
      <c r="A119" s="3" t="s">
        <v>153</v>
      </c>
      <c r="B119" s="223" t="str">
        <f>IF(B93="ha",B15,B113)</f>
        <v>14.12.1968 yil</v>
      </c>
      <c r="C119" s="225" t="str">
        <f>IF(B93="да",B15,C113)</f>
        <v>14.12.1968 yil</v>
      </c>
    </row>
    <row r="120" spans="1:18">
      <c r="A120" s="3" t="s">
        <v>61</v>
      </c>
      <c r="B120" s="223" t="str">
        <f>IF(B93="ha",B16,B114)</f>
        <v>AD 3925702</v>
      </c>
      <c r="C120" s="225" t="str">
        <f>IF(B93="да",B16,C114)</f>
        <v>AD 3925702</v>
      </c>
    </row>
    <row r="121" spans="1:18" ht="45">
      <c r="A121" s="3" t="s">
        <v>64</v>
      </c>
      <c r="B121" s="223" t="str">
        <f>IF(B93="ha",B20,B115)</f>
        <v>IIV 26266 tomonidan 12.07.2023 yilda berilgan</v>
      </c>
      <c r="C121" s="225" t="str">
        <f>IF(B93="да",B20,C115)</f>
        <v>IIV 26266 tomonidan 12.07.2023 yilda berilgan</v>
      </c>
    </row>
    <row r="122" spans="1:18" ht="45">
      <c r="A122" s="3" t="s">
        <v>66</v>
      </c>
      <c r="B122" s="224" t="str">
        <f>B22</f>
        <v>TOSHKENT SHAHAR YUNUSOBOD TUMANI OTCHOPAR-1 MFY KARIM ZARIPOV KO'CHASI 8-6 UY</v>
      </c>
      <c r="C122" s="226" t="str">
        <f>IF(B93="да",B28,C116)</f>
        <v>TOSHKENT SHAHAR YUNUSOBOD TUMANI OTCHOPAR-1 MFY KARIM ZARIPOV KO'CHASI 8-6 UY</v>
      </c>
    </row>
    <row r="123" spans="1:18" ht="28.5" customHeight="1">
      <c r="A123" s="3" t="s">
        <v>155</v>
      </c>
      <c r="B123" s="53"/>
      <c r="C123" s="223" t="str">
        <f>B22</f>
        <v>TOSHKENT SHAHAR YUNUSOBOD TUMANI OTCHOPAR-1 MFY KARIM ZARIPOV KO'CHASI 8-6 UY</v>
      </c>
      <c r="N123" s="4" t="str">
        <f>IF(B103=C103,B117,IF(B103=D103,C117,0))</f>
        <v>SIMONYAN VADIM ROMANOVICH</v>
      </c>
    </row>
    <row r="124" spans="1:18" ht="45">
      <c r="A124" s="3" t="s">
        <v>156</v>
      </c>
      <c r="B124" s="53"/>
      <c r="C124" s="56" t="s">
        <v>422</v>
      </c>
      <c r="D124" s="59" t="s">
        <v>147</v>
      </c>
      <c r="Q124" s="4" t="str">
        <f>""&amp;B95&amp;" (по генеральному доверенестью №"&amp;B100&amp;" от "&amp;B102&amp;")"</f>
        <v xml:space="preserve"> (по генеральному доверенестью № от 00.01.1900)</v>
      </c>
      <c r="R124" s="4" t="str">
        <f>""&amp;B95&amp;" ("&amp;B102&amp;"y. sanasidagi reestr raqami №"&amp;B100&amp;" bo'lgan Ishonchnomaga asosan)"</f>
        <v xml:space="preserve"> (00.01.1900y. sanasidagi reestr raqami № bo'lgan Ishonchnomaga asosan)</v>
      </c>
    </row>
    <row r="125" spans="1:18" ht="21.75" customHeight="1">
      <c r="A125" s="3" t="s">
        <v>157</v>
      </c>
      <c r="B125" s="53"/>
      <c r="C125" s="107" t="s">
        <v>411</v>
      </c>
      <c r="D125" s="96"/>
      <c r="E125" s="97" t="str">
        <f>IF($C$129=$D$129,I125,IF($C$129=$E$129,H125,0))</f>
        <v xml:space="preserve">Yakka tartibdagi uy-joy - </v>
      </c>
      <c r="F125" s="181" t="str">
        <f>IF($C$129=$D$129,I125,IF($C$129=$E$129,H125,0))</f>
        <v xml:space="preserve">Yakka tartibdagi uy-joy - </v>
      </c>
      <c r="G125" s="97"/>
      <c r="H125" s="97" t="str">
        <f>""&amp;D126&amp;" - "</f>
        <v xml:space="preserve">Yakka tartibdagi uy-joy - </v>
      </c>
      <c r="I125" s="97" t="str">
        <f>""&amp;D126&amp;" - xonali yakka tartibdagi uy-joy"</f>
        <v>Yakka tartibdagi uy-joy - xonali yakka tartibdagi uy-joy</v>
      </c>
      <c r="J125" s="97"/>
      <c r="K125" s="97"/>
      <c r="L125" s="97"/>
      <c r="M125" s="97"/>
      <c r="N125" s="4" t="str">
        <f>IF(B93=C93,Q126,IF(B93=D93,Q125,0))</f>
        <v>Микрофинансовой организацией и Заемщиком</v>
      </c>
      <c r="Q125" s="4" t="str">
        <f>"Микрофинансовой организацией, Заемщиком и "&amp;IF(B94=D94,Q124,IF(B94=C94,B111,0))&amp;""</f>
        <v>Микрофинансовой организацией, Заемщиком и SIMONYAN VADIM ROMANOVICH</v>
      </c>
      <c r="R125" s="4" t="str">
        <f>"Mikromoliya tashkiloti, Qarz oluvchi va "&amp;IF(B94=D94,R124,IF(B94=C94,B111))&amp;""</f>
        <v>Mikromoliya tashkiloti, Qarz oluvchi va SIMONYAN VADIM ROMANOVICH</v>
      </c>
    </row>
    <row r="126" spans="1:18">
      <c r="A126" s="3" t="s">
        <v>158</v>
      </c>
      <c r="B126" s="164"/>
      <c r="C126" s="241" t="str">
        <f>C125</f>
        <v>Yakka tartibdagi uy-joy</v>
      </c>
      <c r="D126" s="241" t="str">
        <f>C125</f>
        <v>Yakka tartibdagi uy-joy</v>
      </c>
      <c r="E126" s="97" t="str">
        <f>IF($C$129=$D$129,I126,IF($C$129=$E$129,H126,0))</f>
        <v xml:space="preserve"> umumiy yer maydoni - 166, qurilish osti maydoni- 87, umumiy foydali maydoni - 48.67 yashash maydoni - 30.84</v>
      </c>
      <c r="F126" s="181" t="str">
        <f>IF($C$129=$D$129,I126,IF($C$129=$E$129,H126,0))</f>
        <v xml:space="preserve"> umumiy yer maydoni - 166, qurilish osti maydoni- 87, umumiy foydali maydoni - 48.67 yashash maydoni - 30.84</v>
      </c>
      <c r="G126" s="97"/>
      <c r="H126" s="97" t="str">
        <f>" umumiy yer maydoni - "&amp;C134&amp;", qurilish osti maydoni- "&amp;C133&amp;", umumiy foydali maydoni - "&amp;C130&amp;" yashash maydoni - "&amp;C131&amp;""</f>
        <v xml:space="preserve"> umumiy yer maydoni - 166, qurilish osti maydoni- 87, umumiy foydali maydoni - 48.67 yashash maydoni - 30.84</v>
      </c>
      <c r="I126" s="97" t="str">
        <f>"yer uchastkasi maydoni - "&amp;C133&amp;", umumiy maydoni - "&amp;C130&amp;", foydalanish maydoni - "&amp;C133&amp;""</f>
        <v>yer uchastkasi maydoni - 87, umumiy maydoni - 48.67, foydalanish maydoni - 87</v>
      </c>
      <c r="J126" s="97"/>
      <c r="K126" s="97"/>
      <c r="L126" s="97"/>
      <c r="M126" s="97"/>
      <c r="N126" s="4" t="str">
        <f>IF(B93=C93,R126,IF(B93=D93,R125,0))</f>
        <v>Mikromoliya tashkiloti va Qarz oluvchi</v>
      </c>
      <c r="Q126" s="4" t="s">
        <v>48</v>
      </c>
      <c r="R126" s="4" t="s">
        <v>146</v>
      </c>
    </row>
    <row r="127" spans="1:18" ht="27" customHeight="1">
      <c r="A127" s="3" t="s">
        <v>159</v>
      </c>
      <c r="B127" s="94" t="str">
        <f>"kuzov turi - "&amp;B128&amp;", kuzov raqami "&amp;B129&amp;""</f>
        <v xml:space="preserve">kuzov turi - , kuzov raqami </v>
      </c>
      <c r="C127" s="56" t="s">
        <v>423</v>
      </c>
      <c r="D127" s="59" t="s">
        <v>21</v>
      </c>
    </row>
    <row r="128" spans="1:18">
      <c r="A128" s="86" t="s">
        <v>160</v>
      </c>
      <c r="B128" s="53"/>
      <c r="C128" s="154"/>
      <c r="D128" s="59"/>
    </row>
    <row r="129" spans="1:5">
      <c r="A129" s="86" t="s">
        <v>161</v>
      </c>
      <c r="B129" s="53"/>
      <c r="C129" s="55" t="s">
        <v>149</v>
      </c>
      <c r="D129" s="182" t="s">
        <v>148</v>
      </c>
      <c r="E129" s="5" t="s">
        <v>149</v>
      </c>
    </row>
    <row r="130" spans="1:5" ht="27" customHeight="1">
      <c r="A130" s="3" t="s">
        <v>162</v>
      </c>
      <c r="B130" s="94" t="str">
        <f>"dvigatel raqami "&amp;B131&amp;", shassi raqami - "&amp;B132&amp;""</f>
        <v xml:space="preserve">dvigatel raqami , shassi raqami - </v>
      </c>
      <c r="C130" s="227" t="s">
        <v>424</v>
      </c>
      <c r="D130" s="4" t="s">
        <v>415</v>
      </c>
    </row>
    <row r="131" spans="1:5">
      <c r="A131" s="86" t="s">
        <v>163</v>
      </c>
      <c r="B131" s="109"/>
      <c r="C131" s="227" t="s">
        <v>425</v>
      </c>
      <c r="D131" s="4" t="s">
        <v>402</v>
      </c>
    </row>
    <row r="132" spans="1:5">
      <c r="A132" s="86" t="s">
        <v>164</v>
      </c>
      <c r="B132" s="53"/>
      <c r="C132" s="55"/>
    </row>
    <row r="133" spans="1:5" ht="25.5" customHeight="1">
      <c r="A133" s="3" t="s">
        <v>165</v>
      </c>
      <c r="B133" s="94" t="str">
        <f>"rangi -  "&amp;B134&amp;", ishlab chiqarilgan yili - "&amp;B135&amp;""</f>
        <v xml:space="preserve">rangi -  , ishlab chiqarilgan yili - </v>
      </c>
      <c r="C133" s="237">
        <v>87</v>
      </c>
      <c r="D133" s="4" t="s">
        <v>406</v>
      </c>
    </row>
    <row r="134" spans="1:5">
      <c r="A134" s="86" t="s">
        <v>166</v>
      </c>
      <c r="B134" s="53"/>
      <c r="C134" s="55">
        <v>166</v>
      </c>
      <c r="D134" s="4" t="s">
        <v>412</v>
      </c>
    </row>
    <row r="135" spans="1:5">
      <c r="A135" s="86" t="s">
        <v>167</v>
      </c>
      <c r="B135" s="70"/>
      <c r="C135" s="55"/>
    </row>
    <row r="136" spans="1:5" hidden="1">
      <c r="A136" s="3" t="s">
        <v>168</v>
      </c>
      <c r="B136" s="25">
        <f>B75*1.4</f>
        <v>70000000</v>
      </c>
      <c r="C136" s="25">
        <f>B136</f>
        <v>70000000</v>
      </c>
    </row>
    <row r="137" spans="1:5" ht="27.75" hidden="1" customHeight="1">
      <c r="A137" s="213"/>
      <c r="B137" s="6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yetmish million so'm</v>
      </c>
      <c r="C137" s="175" t="str">
        <f>B137</f>
        <v>yetmish million so'm</v>
      </c>
    </row>
    <row r="138" spans="1:5" ht="27.75" hidden="1" customHeight="1">
      <c r="A138" s="3"/>
      <c r="B138" s="175" t="str">
        <f>B137</f>
        <v>yetmish million so'm</v>
      </c>
      <c r="C138" s="87"/>
    </row>
    <row r="139" spans="1:5" ht="20.25">
      <c r="A139" s="3" t="s">
        <v>342</v>
      </c>
      <c r="B139" s="65"/>
    </row>
    <row r="140" spans="1:5">
      <c r="A140" s="3" t="s">
        <v>369</v>
      </c>
      <c r="B140" s="53"/>
    </row>
    <row r="141" spans="1:5">
      <c r="A141" s="3" t="s">
        <v>150</v>
      </c>
      <c r="B141" s="2" t="s">
        <v>144</v>
      </c>
      <c r="C141" s="4">
        <v>1</v>
      </c>
    </row>
    <row r="142" spans="1:5" hidden="1">
      <c r="A142" s="3" t="s">
        <v>151</v>
      </c>
      <c r="B142" s="8" t="str">
        <f>B70</f>
        <v>2 fevral 2026 y.</v>
      </c>
      <c r="C142" s="54" t="str">
        <f>B70</f>
        <v>2 fevral 2026 y.</v>
      </c>
    </row>
    <row r="143" spans="1:5" hidden="1">
      <c r="A143" s="3"/>
      <c r="B143" s="1">
        <f>YEAR(B67)</f>
        <v>2026</v>
      </c>
      <c r="C143" s="54"/>
    </row>
    <row r="144" spans="1:5" hidden="1">
      <c r="A144" s="3"/>
      <c r="B144" s="179" t="str">
        <f>D67</f>
        <v>fevral</v>
      </c>
      <c r="C144" s="54"/>
    </row>
    <row r="145" spans="1:3" hidden="1">
      <c r="A145" s="3"/>
      <c r="B145" s="1">
        <f>DAY(B67)</f>
        <v>2</v>
      </c>
      <c r="C145" s="54"/>
    </row>
    <row r="146" spans="1:3">
      <c r="A146" s="269" t="s">
        <v>350</v>
      </c>
      <c r="B146" s="269"/>
    </row>
    <row r="147" spans="1:3">
      <c r="A147" s="3" t="s">
        <v>169</v>
      </c>
      <c r="B147" s="1" t="s">
        <v>379</v>
      </c>
    </row>
    <row r="148" spans="1:3">
      <c r="A148" s="3"/>
      <c r="B148" s="1" t="s">
        <v>379</v>
      </c>
    </row>
    <row r="149" spans="1:3">
      <c r="A149" s="3"/>
      <c r="B149" s="1" t="s">
        <v>379</v>
      </c>
    </row>
    <row r="150" spans="1:3">
      <c r="A150" s="3" t="s">
        <v>398</v>
      </c>
      <c r="B150" s="1" t="s">
        <v>377</v>
      </c>
    </row>
    <row r="151" spans="1:3">
      <c r="A151" s="3"/>
      <c r="B151" s="1" t="s">
        <v>378</v>
      </c>
    </row>
    <row r="152" spans="1:3">
      <c r="A152" s="3" t="s">
        <v>171</v>
      </c>
      <c r="B152" s="1" t="s">
        <v>170</v>
      </c>
    </row>
    <row r="153" spans="1:3" ht="28.5">
      <c r="A153" s="3" t="s">
        <v>172</v>
      </c>
      <c r="B153" s="1" t="s">
        <v>380</v>
      </c>
    </row>
    <row r="154" spans="1:3">
      <c r="A154" s="3" t="s">
        <v>173</v>
      </c>
      <c r="B154" s="1" t="s">
        <v>387</v>
      </c>
    </row>
    <row r="155" spans="1:3">
      <c r="A155" s="3" t="s">
        <v>174</v>
      </c>
      <c r="B155" s="1" t="s">
        <v>381</v>
      </c>
    </row>
    <row r="156" spans="1:3">
      <c r="A156" s="3" t="s">
        <v>175</v>
      </c>
      <c r="B156" s="1" t="s">
        <v>389</v>
      </c>
    </row>
    <row r="157" spans="1:3">
      <c r="A157" s="3" t="s">
        <v>176</v>
      </c>
      <c r="B157" s="2" t="s">
        <v>388</v>
      </c>
    </row>
    <row r="158" spans="1:3">
      <c r="A158" s="3" t="s">
        <v>386</v>
      </c>
      <c r="B158" s="1" t="s">
        <v>382</v>
      </c>
    </row>
    <row r="159" spans="1:3">
      <c r="A159" s="3" t="s">
        <v>177</v>
      </c>
      <c r="B159" s="1" t="s">
        <v>404</v>
      </c>
    </row>
    <row r="160" spans="1:3">
      <c r="A160" s="3" t="s">
        <v>372</v>
      </c>
      <c r="B160" s="1" t="s">
        <v>426</v>
      </c>
    </row>
    <row r="161" spans="1:2">
      <c r="A161" s="3" t="s">
        <v>374</v>
      </c>
      <c r="B161" s="1" t="s">
        <v>397</v>
      </c>
    </row>
    <row r="162" spans="1:2">
      <c r="A162" s="3" t="s">
        <v>178</v>
      </c>
      <c r="B162" s="2" t="s">
        <v>384</v>
      </c>
    </row>
    <row r="163" spans="1:2">
      <c r="A163" s="3" t="s">
        <v>179</v>
      </c>
      <c r="B163" s="2" t="s">
        <v>385</v>
      </c>
    </row>
    <row r="164" spans="1:2">
      <c r="A164" s="3" t="s">
        <v>180</v>
      </c>
      <c r="B164" s="1" t="str">
        <f>B1</f>
        <v>№43</v>
      </c>
    </row>
    <row r="165" spans="1:2">
      <c r="A165" s="3" t="s">
        <v>181</v>
      </c>
      <c r="B165" s="8" t="str">
        <f>B70</f>
        <v>2 fevral 2026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76"/>
  <sheetViews>
    <sheetView view="pageBreakPreview" topLeftCell="A24" zoomScaleSheetLayoutView="100" workbookViewId="0">
      <selection activeCell="G56" sqref="G56"/>
    </sheetView>
  </sheetViews>
  <sheetFormatPr defaultColWidth="9.140625" defaultRowHeight="15" outlineLevelCol="1"/>
  <cols>
    <col min="1" max="1" width="9.140625" style="19"/>
    <col min="2" max="2" width="10.140625" style="19" bestFit="1" customWidth="1"/>
    <col min="3" max="3" width="16.5703125" style="19" customWidth="1"/>
    <col min="4" max="5" width="15.7109375" style="19" bestFit="1" customWidth="1"/>
    <col min="6" max="6" width="20.85546875" style="19" customWidth="1"/>
    <col min="7" max="7" width="10.140625" style="19" customWidth="1" outlineLevel="1"/>
    <col min="8" max="16384" width="9.140625" style="19"/>
  </cols>
  <sheetData>
    <row r="1" spans="1:8">
      <c r="A1" s="41"/>
      <c r="B1" s="41"/>
      <c r="C1" s="41"/>
      <c r="D1" s="41"/>
      <c r="E1" s="280" t="s">
        <v>15</v>
      </c>
      <c r="F1" s="280"/>
    </row>
    <row r="2" spans="1:8">
      <c r="A2" s="41"/>
      <c r="B2" s="41"/>
      <c r="C2" s="41"/>
      <c r="D2" s="41"/>
      <c r="E2" s="41"/>
      <c r="F2" s="42" t="str">
        <f>"к договору микрозайма "&amp;umumiy_malumot!B74&amp;""</f>
        <v>к договору микрозайма 2 fevral 2026 y.dan №43</v>
      </c>
    </row>
    <row r="3" spans="1:8" ht="6.75" customHeight="1">
      <c r="A3" s="41"/>
      <c r="B3" s="41"/>
      <c r="C3" s="41"/>
      <c r="D3" s="41"/>
      <c r="E3" s="41"/>
      <c r="F3" s="41"/>
    </row>
    <row r="4" spans="1:8">
      <c r="A4" s="281" t="s">
        <v>16</v>
      </c>
      <c r="B4" s="281"/>
      <c r="C4" s="281"/>
      <c r="D4" s="281"/>
      <c r="E4" s="281"/>
      <c r="F4" s="281"/>
    </row>
    <row r="5" spans="1:8" ht="7.5" customHeight="1"/>
    <row r="6" spans="1:8">
      <c r="A6" s="282" t="s">
        <v>14</v>
      </c>
      <c r="B6" s="283" t="s">
        <v>8</v>
      </c>
      <c r="C6" s="283" t="s">
        <v>9</v>
      </c>
      <c r="D6" s="284" t="s">
        <v>10</v>
      </c>
      <c r="E6" s="284"/>
      <c r="F6" s="284"/>
    </row>
    <row r="7" spans="1:8" s="20" customFormat="1" ht="30">
      <c r="A7" s="282"/>
      <c r="B7" s="283"/>
      <c r="C7" s="283"/>
      <c r="D7" s="21" t="s">
        <v>11</v>
      </c>
      <c r="E7" s="21" t="s">
        <v>12</v>
      </c>
      <c r="F7" s="21" t="s">
        <v>13</v>
      </c>
    </row>
    <row r="8" spans="1:8">
      <c r="A8" s="22">
        <v>1</v>
      </c>
      <c r="B8" s="37">
        <f>'График дифференц'!B8</f>
        <v>46101</v>
      </c>
      <c r="C8" s="38">
        <f>umumiy_malumot!B75</f>
        <v>50000000</v>
      </c>
      <c r="D8" s="38">
        <f>IF(A8&lt;umumiy_malumot!$B$81,'График аннуитет.'!F8-'График аннуитет.'!E8,'График аннуитет.'!C8)</f>
        <v>12246.379999999888</v>
      </c>
      <c r="E8" s="38">
        <f>ROUND(C8*umumiy_malumot!$B$84/H8,2)*'График аннуитет.'!G8</f>
        <v>3465753.62</v>
      </c>
      <c r="F8" s="38">
        <f>umumiy_malumot!B90</f>
        <v>3478000</v>
      </c>
      <c r="G8" s="19">
        <f>B8-umumiy_malumot!B67</f>
        <v>46</v>
      </c>
      <c r="H8" s="19">
        <f>DATE(YEAR(B8),12,31)-DATE(YEAR(B8),1,1)+1</f>
        <v>365</v>
      </c>
    </row>
    <row r="9" spans="1:8">
      <c r="A9" s="22">
        <v>2</v>
      </c>
      <c r="B9" s="37">
        <f>'График дифференц'!B9</f>
        <v>46132</v>
      </c>
      <c r="C9" s="38">
        <f>C8-D8</f>
        <v>49987753.619999997</v>
      </c>
      <c r="D9" s="38">
        <f>IF(A9&lt;umumiy_malumot!$B$81,'График аннуитет.'!F9-'График аннуитет.'!E9,'График аннуитет.'!C9)</f>
        <v>1142955.69</v>
      </c>
      <c r="E9" s="38">
        <f>ROUND(C9*umumiy_malumot!$B$84/H9,2)*'График аннуитет.'!G9</f>
        <v>2335044.31</v>
      </c>
      <c r="F9" s="38">
        <f>IF(A9&lt;umumiy_malumot!$B$81,'График аннуитет.'!F8,'График аннуитет.'!D9+'График аннуитет.'!E9)</f>
        <v>3478000</v>
      </c>
      <c r="G9" s="19">
        <f>B9-B8</f>
        <v>31</v>
      </c>
      <c r="H9" s="19">
        <f t="shared" ref="H9:H31" si="0">DATE(YEAR(B9),12,31)-DATE(YEAR(B9),1,1)+1</f>
        <v>365</v>
      </c>
    </row>
    <row r="10" spans="1:8">
      <c r="A10" s="22">
        <v>3</v>
      </c>
      <c r="B10" s="37">
        <f>'График дифференц'!B10</f>
        <v>46162</v>
      </c>
      <c r="C10" s="38">
        <f t="shared" ref="C10:C43" si="1">C9-D9</f>
        <v>48844797.93</v>
      </c>
      <c r="D10" s="38">
        <f>IF(A10&lt;umumiy_malumot!$B$81,'График аннуитет.'!F10-'График аннуитет.'!E10,'График аннуитет.'!C10)</f>
        <v>1269947.5</v>
      </c>
      <c r="E10" s="38">
        <f>ROUND(C10*umumiy_malumot!$B$84/H10,2)*'График аннуитет.'!G10</f>
        <v>2208052.5</v>
      </c>
      <c r="F10" s="38">
        <f>IF(A10&lt;umumiy_malumot!$B$81,'График аннуитет.'!F9,'График аннуитет.'!D10+'График аннуитет.'!E10)</f>
        <v>3478000</v>
      </c>
      <c r="G10" s="19">
        <f t="shared" ref="G10:G24" si="2">B10-B9</f>
        <v>30</v>
      </c>
      <c r="H10" s="19">
        <f t="shared" si="0"/>
        <v>365</v>
      </c>
    </row>
    <row r="11" spans="1:8">
      <c r="A11" s="22">
        <v>4</v>
      </c>
      <c r="B11" s="37">
        <f>'График дифференц'!B11</f>
        <v>46195</v>
      </c>
      <c r="C11" s="38">
        <f t="shared" si="1"/>
        <v>47574850.43</v>
      </c>
      <c r="D11" s="38">
        <f>IF(A11&lt;umumiy_malumot!$B$81,'График аннуитет.'!F11-'График аннуитет.'!E11,'График аннуитет.'!C11)</f>
        <v>1112291.71</v>
      </c>
      <c r="E11" s="38">
        <f>ROUND(C11*umumiy_malumot!$B$84/H11,2)*'График аннуитет.'!G11</f>
        <v>2365708.29</v>
      </c>
      <c r="F11" s="38">
        <f>IF(A11&lt;umumiy_malumot!$B$81,'График аннуитет.'!F10,'График аннуитет.'!D11+'График аннуитет.'!E11)</f>
        <v>3478000</v>
      </c>
      <c r="G11" s="19">
        <f t="shared" si="2"/>
        <v>33</v>
      </c>
      <c r="H11" s="19">
        <f t="shared" si="0"/>
        <v>365</v>
      </c>
    </row>
    <row r="12" spans="1:8">
      <c r="A12" s="22">
        <v>5</v>
      </c>
      <c r="B12" s="37">
        <f>'График дифференц'!B12</f>
        <v>46223</v>
      </c>
      <c r="C12" s="38">
        <f t="shared" si="1"/>
        <v>46462558.719999999</v>
      </c>
      <c r="D12" s="38">
        <f>IF(A12&lt;umumiy_malumot!$B$81,'График аннуитет.'!F12-'График аннуитет.'!E12,'График аннуитет.'!C12)</f>
        <v>1517662.0399999998</v>
      </c>
      <c r="E12" s="38">
        <f>ROUND(C12*umumiy_malumot!$B$84/H12,2)*'График аннуитет.'!G12</f>
        <v>1960337.9600000002</v>
      </c>
      <c r="F12" s="38">
        <f>IF(A12&lt;umumiy_malumot!$B$81,'График аннуитет.'!F11,'График аннуитет.'!D12+'График аннуитет.'!E12)</f>
        <v>3478000</v>
      </c>
      <c r="G12" s="19">
        <f t="shared" si="2"/>
        <v>28</v>
      </c>
      <c r="H12" s="19">
        <f t="shared" si="0"/>
        <v>365</v>
      </c>
    </row>
    <row r="13" spans="1:8">
      <c r="A13" s="22">
        <v>6</v>
      </c>
      <c r="B13" s="37">
        <f>'График дифференц'!B13</f>
        <v>46254</v>
      </c>
      <c r="C13" s="38">
        <f t="shared" si="1"/>
        <v>44944896.68</v>
      </c>
      <c r="D13" s="38">
        <f>IF(A13&lt;umumiy_malumot!$B$81,'График аннуитет.'!F13-'График аннуитет.'!E13,'График аннуитет.'!C13)</f>
        <v>1378519.1099999999</v>
      </c>
      <c r="E13" s="38">
        <f>ROUND(C13*umumiy_malumot!$B$84/H13,2)*'График аннуитет.'!G13</f>
        <v>2099480.89</v>
      </c>
      <c r="F13" s="38">
        <f>IF(A13&lt;umumiy_malumot!$B$81,'График аннуитет.'!F12,'График аннуитет.'!D13+'График аннуитет.'!E13)</f>
        <v>3478000</v>
      </c>
      <c r="G13" s="19">
        <f t="shared" si="2"/>
        <v>31</v>
      </c>
      <c r="H13" s="19">
        <f t="shared" si="0"/>
        <v>365</v>
      </c>
    </row>
    <row r="14" spans="1:8">
      <c r="A14" s="22">
        <v>7</v>
      </c>
      <c r="B14" s="37">
        <f>'График дифференц'!B14</f>
        <v>46286</v>
      </c>
      <c r="C14" s="38">
        <f t="shared" si="1"/>
        <v>43566377.57</v>
      </c>
      <c r="D14" s="38">
        <f>IF(A14&lt;umumiy_malumot!$B$81,'График аннуитет.'!F14-'График аннуитет.'!E14,'График аннуитет.'!C14)</f>
        <v>1377264.96</v>
      </c>
      <c r="E14" s="38">
        <f>ROUND(C14*umumiy_malumot!$B$84/H14,2)*'График аннуитет.'!G14</f>
        <v>2100735.04</v>
      </c>
      <c r="F14" s="38">
        <f>IF(A14&lt;umumiy_malumot!$B$81,'График аннуитет.'!F13,'График аннуитет.'!D14+'График аннуитет.'!E14)</f>
        <v>3478000</v>
      </c>
      <c r="G14" s="19">
        <f t="shared" si="2"/>
        <v>32</v>
      </c>
      <c r="H14" s="19">
        <f t="shared" si="0"/>
        <v>365</v>
      </c>
    </row>
    <row r="15" spans="1:8">
      <c r="A15" s="22">
        <v>8</v>
      </c>
      <c r="B15" s="37">
        <f>'График дифференц'!B15</f>
        <v>46315</v>
      </c>
      <c r="C15" s="38">
        <f t="shared" si="1"/>
        <v>42189112.609999999</v>
      </c>
      <c r="D15" s="38">
        <f>IF(A15&lt;umumiy_malumot!$B$81,'График аннуитет.'!F15-'График аннуитет.'!E15,'График аннуитет.'!C15)</f>
        <v>1634393.44</v>
      </c>
      <c r="E15" s="38">
        <f>ROUND(C15*umumiy_malumot!$B$84/H15,2)*'График аннуитет.'!G15</f>
        <v>1843606.56</v>
      </c>
      <c r="F15" s="38">
        <f>IF(A15&lt;umumiy_malumot!$B$81,'График аннуитет.'!F14,'График аннуитет.'!D15+'График аннуитет.'!E15)</f>
        <v>3478000</v>
      </c>
      <c r="G15" s="19">
        <f t="shared" si="2"/>
        <v>29</v>
      </c>
      <c r="H15" s="19">
        <f t="shared" si="0"/>
        <v>365</v>
      </c>
    </row>
    <row r="16" spans="1:8">
      <c r="A16" s="22">
        <v>9</v>
      </c>
      <c r="B16" s="37">
        <f>'График дифференц'!B16</f>
        <v>46346</v>
      </c>
      <c r="C16" s="38">
        <f t="shared" si="1"/>
        <v>40554719.170000002</v>
      </c>
      <c r="D16" s="38">
        <f>IF(A16&lt;umumiy_malumot!$B$81,'График аннуитет.'!F16-'График аннуитет.'!E16,'График аннуитет.'!C16)</f>
        <v>1583594.6500000001</v>
      </c>
      <c r="E16" s="38">
        <f>ROUND(C16*umumiy_malumot!$B$84/H16,2)*'График аннуитет.'!G16</f>
        <v>1894405.3499999999</v>
      </c>
      <c r="F16" s="38">
        <f>IF(A16&lt;umumiy_malumot!$B$81,'График аннуитет.'!F15,'График аннуитет.'!D16+'График аннуитет.'!E16)</f>
        <v>3478000</v>
      </c>
      <c r="G16" s="19">
        <f t="shared" si="2"/>
        <v>31</v>
      </c>
      <c r="H16" s="19">
        <f t="shared" si="0"/>
        <v>365</v>
      </c>
    </row>
    <row r="17" spans="1:8">
      <c r="A17" s="22">
        <v>10</v>
      </c>
      <c r="B17" s="37">
        <f>'График дифференц'!B17</f>
        <v>46377</v>
      </c>
      <c r="C17" s="38">
        <f t="shared" si="1"/>
        <v>38971124.520000003</v>
      </c>
      <c r="D17" s="38">
        <f>IF(A17&lt;umumiy_malumot!$B$81,'График аннуитет.'!F17-'График аннуитет.'!E17,'График аннуитет.'!C17)</f>
        <v>1657568.09</v>
      </c>
      <c r="E17" s="38">
        <f>ROUND(C17*umumiy_malumot!$B$84/H17,2)*'График аннуитет.'!G17</f>
        <v>1820431.91</v>
      </c>
      <c r="F17" s="38">
        <f>IF(A17&lt;umumiy_malumot!$B$81,'График аннуитет.'!F16,'График аннуитет.'!D17+'График аннуитет.'!E17)</f>
        <v>3478000</v>
      </c>
      <c r="G17" s="19">
        <f t="shared" si="2"/>
        <v>31</v>
      </c>
      <c r="H17" s="19">
        <f t="shared" si="0"/>
        <v>365</v>
      </c>
    </row>
    <row r="18" spans="1:8">
      <c r="A18" s="22">
        <v>11</v>
      </c>
      <c r="B18" s="37">
        <f>'График дифференц'!B18</f>
        <v>46407</v>
      </c>
      <c r="C18" s="38">
        <f t="shared" si="1"/>
        <v>37313556.43</v>
      </c>
      <c r="D18" s="38">
        <f>IF(A18&lt;umumiy_malumot!$B$81,'График аннуитет.'!F18-'График аннуитет.'!E18,'График аннуитет.'!C18)</f>
        <v>1791222.7</v>
      </c>
      <c r="E18" s="38">
        <f>ROUND(C18*umumiy_malumot!$B$84/H18,2)*'График аннуитет.'!G18</f>
        <v>1686777.3</v>
      </c>
      <c r="F18" s="38">
        <f>IF(A18&lt;umumiy_malumot!$B$81,'График аннуитет.'!F17,'График аннуитет.'!D18+'График аннуитет.'!E18)</f>
        <v>3478000</v>
      </c>
      <c r="G18" s="19">
        <f t="shared" si="2"/>
        <v>30</v>
      </c>
      <c r="H18" s="19">
        <f t="shared" si="0"/>
        <v>365</v>
      </c>
    </row>
    <row r="19" spans="1:8">
      <c r="A19" s="22">
        <v>12</v>
      </c>
      <c r="B19" s="37">
        <f>'График дифференц'!B19</f>
        <v>46440</v>
      </c>
      <c r="C19" s="38">
        <f t="shared" si="1"/>
        <v>35522333.729999997</v>
      </c>
      <c r="D19" s="38">
        <f>IF(A19&lt;umumiy_malumot!$B$81,'График аннуитет.'!F19-'График аннуитет.'!E19,'График аннуитет.'!C19)</f>
        <v>1711615.5999999999</v>
      </c>
      <c r="E19" s="38">
        <f>ROUND(C19*umumiy_malumot!$B$84/H19,2)*'График аннуитет.'!G19</f>
        <v>1766384.4000000001</v>
      </c>
      <c r="F19" s="38">
        <f>IF(A19&lt;umumiy_malumot!$B$81,'График аннуитет.'!F18,'График аннуитет.'!D19+'График аннуитет.'!E19)</f>
        <v>3478000</v>
      </c>
      <c r="G19" s="19">
        <f>B19-B18</f>
        <v>33</v>
      </c>
      <c r="H19" s="19">
        <f t="shared" si="0"/>
        <v>365</v>
      </c>
    </row>
    <row r="20" spans="1:8">
      <c r="A20" s="22">
        <v>13</v>
      </c>
      <c r="B20" s="37">
        <f>'График дифференц'!B20</f>
        <v>46468</v>
      </c>
      <c r="C20" s="38">
        <f t="shared" si="1"/>
        <v>33810718.129999995</v>
      </c>
      <c r="D20" s="38">
        <f>IF(A20&lt;umumiy_malumot!$B$81,'График аннуитет.'!F20-'График аннуитет.'!E20,'График аннуитет.'!C20)</f>
        <v>2051465.52</v>
      </c>
      <c r="E20" s="38">
        <f>ROUND(C20*umumiy_malumot!$B$84/H20,2)*'График аннуитет.'!G20</f>
        <v>1426534.48</v>
      </c>
      <c r="F20" s="38">
        <f>IF(A20&lt;umumiy_malumot!$B$81,'График аннуитет.'!F19,'График аннуитет.'!D20+'График аннуитет.'!E20)</f>
        <v>3478000</v>
      </c>
      <c r="G20" s="19">
        <f t="shared" si="2"/>
        <v>28</v>
      </c>
      <c r="H20" s="19">
        <f t="shared" si="0"/>
        <v>365</v>
      </c>
    </row>
    <row r="21" spans="1:8">
      <c r="A21" s="22">
        <v>14</v>
      </c>
      <c r="B21" s="37">
        <f>'График дифференц'!B21</f>
        <v>46497</v>
      </c>
      <c r="C21" s="38">
        <f t="shared" si="1"/>
        <v>31759252.609999996</v>
      </c>
      <c r="D21" s="38">
        <f>IF(A21&lt;umumiy_malumot!$B$81,'График аннуитет.'!F21-'График аннуитет.'!E21,'График аннуитет.'!C21)</f>
        <v>2090164.1099999999</v>
      </c>
      <c r="E21" s="38">
        <f>ROUND(C21*umumiy_malumot!$B$84/H21,2)*'График аннуитет.'!G21</f>
        <v>1387835.8900000001</v>
      </c>
      <c r="F21" s="38">
        <f>IF(A21&lt;umumiy_malumot!$B$81,'График аннуитет.'!F20,'График аннуитет.'!D21+'График аннуитет.'!E21)</f>
        <v>3478000</v>
      </c>
      <c r="G21" s="19">
        <f t="shared" si="2"/>
        <v>29</v>
      </c>
      <c r="H21" s="19">
        <f t="shared" si="0"/>
        <v>365</v>
      </c>
    </row>
    <row r="22" spans="1:8">
      <c r="A22" s="22">
        <v>15</v>
      </c>
      <c r="B22" s="37">
        <f>'График дифференц'!B22</f>
        <v>46527</v>
      </c>
      <c r="C22" s="38">
        <f t="shared" si="1"/>
        <v>29669088.499999996</v>
      </c>
      <c r="D22" s="38">
        <f>IF(A22&lt;umumiy_malumot!$B$81,'График аннуитет.'!F22-'График аннуитет.'!E22,'График аннуитет.'!C22)</f>
        <v>2136794.5</v>
      </c>
      <c r="E22" s="38">
        <f>ROUND(C22*umumiy_malumot!$B$84/H22,2)*'График аннуитет.'!G22</f>
        <v>1341205.5</v>
      </c>
      <c r="F22" s="38">
        <f>IF(A22&lt;umumiy_malumot!$B$81,'График аннуитет.'!F21,'График аннуитет.'!D22+'График аннуитет.'!E22)</f>
        <v>3478000</v>
      </c>
      <c r="G22" s="19">
        <f t="shared" si="2"/>
        <v>30</v>
      </c>
      <c r="H22" s="19">
        <f t="shared" si="0"/>
        <v>365</v>
      </c>
    </row>
    <row r="23" spans="1:8">
      <c r="A23" s="22">
        <v>16</v>
      </c>
      <c r="B23" s="37">
        <f>'График дифференц'!B23</f>
        <v>46559</v>
      </c>
      <c r="C23" s="38">
        <f t="shared" si="1"/>
        <v>27532293.999999996</v>
      </c>
      <c r="D23" s="38">
        <f>IF(A23&lt;umumiy_malumot!$B$81,'График аннуитет.'!F23-'График аннуитет.'!E23,'График аннуитет.'!C23)</f>
        <v>2150415.3600000003</v>
      </c>
      <c r="E23" s="38">
        <f>ROUND(C23*umumiy_malumot!$B$84/H23,2)*'График аннуитет.'!G23</f>
        <v>1327584.6399999999</v>
      </c>
      <c r="F23" s="38">
        <f>IF(A23&lt;umumiy_malumot!$B$81,'График аннуитет.'!F22,'График аннуитет.'!D23+'График аннуитет.'!E23)</f>
        <v>3478000</v>
      </c>
      <c r="G23" s="19">
        <f t="shared" si="2"/>
        <v>32</v>
      </c>
      <c r="H23" s="19">
        <f t="shared" si="0"/>
        <v>365</v>
      </c>
    </row>
    <row r="24" spans="1:8">
      <c r="A24" s="22">
        <v>17</v>
      </c>
      <c r="B24" s="37">
        <f>'График дифференц'!B24</f>
        <v>46588</v>
      </c>
      <c r="C24" s="38">
        <f t="shared" si="1"/>
        <v>25381878.639999997</v>
      </c>
      <c r="D24" s="38">
        <f>IF(A24&lt;umumiy_malumot!$B$81,'График аннуитет.'!F24-'График аннуитет.'!E24,'График аннуитет.'!C24)</f>
        <v>2368846.5700000003</v>
      </c>
      <c r="E24" s="38">
        <f>ROUND(C24*umumiy_malumot!$B$84/H24,2)*'График аннуитет.'!G24</f>
        <v>1109153.43</v>
      </c>
      <c r="F24" s="38">
        <f>IF(A24&lt;umumiy_malumot!$B$81,'График аннуитет.'!F23,'График аннуитет.'!D24+'График аннуитет.'!E24)</f>
        <v>3478000</v>
      </c>
      <c r="G24" s="19">
        <f t="shared" si="2"/>
        <v>29</v>
      </c>
      <c r="H24" s="19">
        <f t="shared" si="0"/>
        <v>365</v>
      </c>
    </row>
    <row r="25" spans="1:8">
      <c r="A25" s="22">
        <v>18</v>
      </c>
      <c r="B25" s="37">
        <f>'График дифференц'!B25</f>
        <v>46619</v>
      </c>
      <c r="C25" s="38">
        <f t="shared" si="1"/>
        <v>23013032.069999997</v>
      </c>
      <c r="D25" s="38">
        <f>IF(A25&lt;umumiy_malumot!$B$81,'График аннуитет.'!F25-'График аннуитет.'!E25,'График аннуитет.'!C25)</f>
        <v>2403007.73</v>
      </c>
      <c r="E25" s="38">
        <f>ROUND(C25*umumiy_malumot!$B$84/H25,2)*'График аннуитет.'!G25</f>
        <v>1074992.27</v>
      </c>
      <c r="F25" s="38">
        <f>IF(A25&lt;umumiy_malumot!$B$81,'График аннуитет.'!F24,'График аннуитет.'!D25+'График аннуитет.'!E25)</f>
        <v>3478000</v>
      </c>
      <c r="G25" s="19">
        <f>B25-B24</f>
        <v>31</v>
      </c>
      <c r="H25" s="19">
        <f t="shared" si="0"/>
        <v>365</v>
      </c>
    </row>
    <row r="26" spans="1:8">
      <c r="A26" s="22">
        <v>19</v>
      </c>
      <c r="B26" s="37">
        <f>'График дифференц'!B26</f>
        <v>46650</v>
      </c>
      <c r="C26" s="38">
        <f t="shared" si="1"/>
        <v>20610024.339999996</v>
      </c>
      <c r="D26" s="38">
        <f>IF(A26&lt;umumiy_malumot!$B$81,'График аннуитет.'!F26-'График аннуитет.'!E26,'График аннуитет.'!C26)</f>
        <v>2515257.7999999998</v>
      </c>
      <c r="E26" s="38">
        <f>ROUND(C26*umumiy_malumot!$B$84/H26,2)*'График аннуитет.'!G26</f>
        <v>962742.20000000007</v>
      </c>
      <c r="F26" s="38">
        <f>IF(A26&lt;umumiy_malumot!$B$81,'График аннуитет.'!F25,'График аннуитет.'!D26+'График аннуитет.'!E26)</f>
        <v>3478000</v>
      </c>
      <c r="G26" s="19">
        <f t="shared" ref="G26:G31" si="3">B26-B25</f>
        <v>31</v>
      </c>
      <c r="H26" s="19">
        <f t="shared" si="0"/>
        <v>365</v>
      </c>
    </row>
    <row r="27" spans="1:8">
      <c r="A27" s="22">
        <v>20</v>
      </c>
      <c r="B27" s="37">
        <f>'График дифференц'!B27</f>
        <v>46680</v>
      </c>
      <c r="C27" s="38">
        <f t="shared" si="1"/>
        <v>18094766.539999995</v>
      </c>
      <c r="D27" s="38">
        <f>IF(A27&lt;umumiy_malumot!$B$81,'График аннуитет.'!F27-'График аннуитет.'!E27,'График аннуитет.'!C27)</f>
        <v>2660017.2999999998</v>
      </c>
      <c r="E27" s="38">
        <f>ROUND(C27*umumiy_malumot!$B$84/H27,2)*'График аннуитет.'!G27</f>
        <v>817982.7</v>
      </c>
      <c r="F27" s="38">
        <f>IF(A27&lt;umumiy_malumot!$B$81,'График аннуитет.'!F26,'График аннуитет.'!D27+'График аннуитет.'!E27)</f>
        <v>3478000</v>
      </c>
      <c r="G27" s="19">
        <f t="shared" si="3"/>
        <v>30</v>
      </c>
      <c r="H27" s="19">
        <f t="shared" si="0"/>
        <v>365</v>
      </c>
    </row>
    <row r="28" spans="1:8">
      <c r="A28" s="22">
        <v>21</v>
      </c>
      <c r="B28" s="37">
        <f>'График дифференц'!B28</f>
        <v>46713</v>
      </c>
      <c r="C28" s="38">
        <f t="shared" si="1"/>
        <v>15434749.239999995</v>
      </c>
      <c r="D28" s="38">
        <f>IF(A28&lt;umumiy_malumot!$B$81,'График аннуитет.'!F28-'График аннуитет.'!E28,'График аннуитет.'!C28)</f>
        <v>2710491.2800000003</v>
      </c>
      <c r="E28" s="38">
        <f>ROUND(C28*umumiy_malumot!$B$84/H28,2)*'График аннуитет.'!G28</f>
        <v>767508.72</v>
      </c>
      <c r="F28" s="38">
        <f>IF(A28&lt;umumiy_malumot!$B$81,'График аннуитет.'!F27,'График аннуитет.'!D28+'График аннуитет.'!E28)</f>
        <v>3478000</v>
      </c>
      <c r="G28" s="19">
        <f t="shared" si="3"/>
        <v>33</v>
      </c>
      <c r="H28" s="19">
        <f t="shared" si="0"/>
        <v>365</v>
      </c>
    </row>
    <row r="29" spans="1:8">
      <c r="A29" s="22">
        <v>22</v>
      </c>
      <c r="B29" s="37">
        <f>'График дифференц'!B29</f>
        <v>46741</v>
      </c>
      <c r="C29" s="38">
        <f t="shared" si="1"/>
        <v>12724257.959999993</v>
      </c>
      <c r="D29" s="38">
        <f>IF(A29&lt;umumiy_malumot!$B$81,'График аннуитет.'!F29-'График аннуитет.'!E29,'График аннуитет.'!C29)</f>
        <v>2941140.88</v>
      </c>
      <c r="E29" s="38">
        <f>ROUND(C29*umumiy_malumot!$B$84/H29,2)*'График аннуитет.'!G29</f>
        <v>536859.12</v>
      </c>
      <c r="F29" s="38">
        <f>IF(A29&lt;umumiy_malumot!$B$81,'График аннуитет.'!F28,'График аннуитет.'!D29+'График аннуитет.'!E29)</f>
        <v>3478000</v>
      </c>
      <c r="G29" s="19">
        <f t="shared" si="3"/>
        <v>28</v>
      </c>
      <c r="H29" s="19">
        <f t="shared" si="0"/>
        <v>365</v>
      </c>
    </row>
    <row r="30" spans="1:8">
      <c r="A30" s="22">
        <v>23</v>
      </c>
      <c r="B30" s="37">
        <f>'График дифференц'!B30</f>
        <v>46772</v>
      </c>
      <c r="C30" s="38">
        <f t="shared" si="1"/>
        <v>9783117.0799999945</v>
      </c>
      <c r="D30" s="38">
        <f>IF(A30&lt;umumiy_malumot!$B$81,'График аннуитет.'!F30-'График аннуитет.'!E30,'График аннуитет.'!C30)</f>
        <v>3022256.29</v>
      </c>
      <c r="E30" s="38">
        <f>ROUND(C30*umumiy_malumot!$B$84/H30,2)*'График аннуитет.'!G30</f>
        <v>455743.71</v>
      </c>
      <c r="F30" s="38">
        <f>IF(A30&lt;umumiy_malumot!$B$81,'График аннуитет.'!F29,'График аннуитет.'!D30+'График аннуитет.'!E30)</f>
        <v>3478000</v>
      </c>
      <c r="G30" s="19">
        <f t="shared" si="3"/>
        <v>31</v>
      </c>
      <c r="H30" s="19">
        <f t="shared" si="0"/>
        <v>366</v>
      </c>
    </row>
    <row r="31" spans="1:8">
      <c r="A31" s="22">
        <v>24</v>
      </c>
      <c r="B31" s="37">
        <f>'График дифференц'!B31</f>
        <v>46785</v>
      </c>
      <c r="C31" s="38">
        <f t="shared" si="1"/>
        <v>6760860.7899999944</v>
      </c>
      <c r="D31" s="38">
        <f>IF(A31&lt;umumiy_malumot!$B$81,'График аннуитет.'!F31-'График аннуитет.'!E31,'График аннуитет.'!C31)</f>
        <v>6760860.7899999944</v>
      </c>
      <c r="E31" s="38">
        <f>ROUND(C31*umumiy_malumot!$B$84/H31,2)*'График аннуитет.'!G31</f>
        <v>132076.88</v>
      </c>
      <c r="F31" s="38">
        <f>IF(A31&lt;umumiy_malumot!$B$81,'График аннуитет.'!F30,'График аннуитет.'!D31+'График аннуитет.'!E31)</f>
        <v>6892937.6699999943</v>
      </c>
      <c r="G31" s="19">
        <f t="shared" si="3"/>
        <v>13</v>
      </c>
      <c r="H31" s="19">
        <f t="shared" si="0"/>
        <v>366</v>
      </c>
    </row>
    <row r="32" spans="1:8">
      <c r="A32" s="22">
        <f>1+A31</f>
        <v>25</v>
      </c>
      <c r="B32" s="37" t="b">
        <f>'График дифференц'!B32</f>
        <v>0</v>
      </c>
      <c r="C32" s="38">
        <f t="shared" si="1"/>
        <v>0</v>
      </c>
      <c r="D32" s="38">
        <f>IF(A32&lt;umumiy_malumot!$B$81,'График аннуитет.'!F32-'График аннуитет.'!E32,'График аннуитет.'!C32)</f>
        <v>0</v>
      </c>
      <c r="E32" s="38">
        <f>ROUND(C32*umumiy_malumot!$B$84/H32,2)*'График аннуитет.'!G32</f>
        <v>0</v>
      </c>
      <c r="F32" s="38">
        <f>IF(A32&lt;umumiy_malumot!$B$81,'График аннуитет.'!F31,'График аннуитет.'!D32+'График аннуитет.'!E32)</f>
        <v>0</v>
      </c>
      <c r="G32" s="19">
        <f t="shared" ref="G32:G43" si="4">B32-B31</f>
        <v>-46785</v>
      </c>
      <c r="H32" s="19">
        <f t="shared" ref="H32:H43" si="5">DATE(YEAR(B32),12,31)-DATE(YEAR(B32),1,1)+1</f>
        <v>366</v>
      </c>
    </row>
    <row r="33" spans="1:8">
      <c r="A33" s="22">
        <f t="shared" ref="A33:A55" si="6">1+A32</f>
        <v>26</v>
      </c>
      <c r="B33" s="37" t="b">
        <f>'График дифференц'!B33</f>
        <v>0</v>
      </c>
      <c r="C33" s="38">
        <f t="shared" si="1"/>
        <v>0</v>
      </c>
      <c r="D33" s="38">
        <f>IF(A33&lt;umumiy_malumot!$B$81,'График аннуитет.'!F33-'График аннуитет.'!E33,'График аннуитет.'!C33)</f>
        <v>0</v>
      </c>
      <c r="E33" s="38">
        <f>ROUND(C33*umumiy_malumot!$B$84/H33,2)*'График аннуитет.'!G33</f>
        <v>0</v>
      </c>
      <c r="F33" s="38">
        <f>IF(A33&lt;umumiy_malumot!$B$81,'График аннуитет.'!F32,'График аннуитет.'!D33+'График аннуитет.'!E33)</f>
        <v>0</v>
      </c>
      <c r="G33" s="19">
        <f t="shared" si="4"/>
        <v>0</v>
      </c>
      <c r="H33" s="19">
        <f t="shared" si="5"/>
        <v>366</v>
      </c>
    </row>
    <row r="34" spans="1:8">
      <c r="A34" s="22">
        <f t="shared" si="6"/>
        <v>27</v>
      </c>
      <c r="B34" s="37" t="b">
        <f>'График дифференц'!B34</f>
        <v>0</v>
      </c>
      <c r="C34" s="38">
        <f t="shared" si="1"/>
        <v>0</v>
      </c>
      <c r="D34" s="38">
        <f>IF(A34&lt;umumiy_malumot!$B$81,'График аннуитет.'!F34-'График аннуитет.'!E34,'График аннуитет.'!C34)</f>
        <v>0</v>
      </c>
      <c r="E34" s="38">
        <f>ROUND(C34*umumiy_malumot!$B$84/H34,2)*'График аннуитет.'!G34</f>
        <v>0</v>
      </c>
      <c r="F34" s="38">
        <f>IF(A34&lt;umumiy_malumot!$B$81,'График аннуитет.'!F33,'График аннуитет.'!D34+'График аннуитет.'!E34)</f>
        <v>0</v>
      </c>
      <c r="G34" s="19">
        <f t="shared" si="4"/>
        <v>0</v>
      </c>
      <c r="H34" s="19">
        <f t="shared" si="5"/>
        <v>366</v>
      </c>
    </row>
    <row r="35" spans="1:8">
      <c r="A35" s="22">
        <f t="shared" si="6"/>
        <v>28</v>
      </c>
      <c r="B35" s="37" t="b">
        <f>'График дифференц'!B35</f>
        <v>0</v>
      </c>
      <c r="C35" s="38">
        <f t="shared" si="1"/>
        <v>0</v>
      </c>
      <c r="D35" s="38">
        <f>IF(A35&lt;umumiy_malumot!$B$81,'График аннуитет.'!F35-'График аннуитет.'!E35,'График аннуитет.'!C35)</f>
        <v>0</v>
      </c>
      <c r="E35" s="38">
        <f>ROUND(C35*umumiy_malumot!$B$84/H35,2)*'График аннуитет.'!G35</f>
        <v>0</v>
      </c>
      <c r="F35" s="38">
        <f>IF(A35&lt;umumiy_malumot!$B$81,'График аннуитет.'!F34,'График аннуитет.'!D35+'График аннуитет.'!E35)</f>
        <v>0</v>
      </c>
      <c r="G35" s="19">
        <f t="shared" si="4"/>
        <v>0</v>
      </c>
      <c r="H35" s="19">
        <f t="shared" si="5"/>
        <v>366</v>
      </c>
    </row>
    <row r="36" spans="1:8">
      <c r="A36" s="22">
        <f t="shared" si="6"/>
        <v>29</v>
      </c>
      <c r="B36" s="37" t="b">
        <f>'График дифференц'!B36</f>
        <v>0</v>
      </c>
      <c r="C36" s="38">
        <f t="shared" si="1"/>
        <v>0</v>
      </c>
      <c r="D36" s="38">
        <f>IF(A36&lt;umumiy_malumot!$B$81,'График аннуитет.'!F36-'График аннуитет.'!E36,'График аннуитет.'!C36)</f>
        <v>0</v>
      </c>
      <c r="E36" s="38">
        <f>ROUND(C36*umumiy_malumot!$B$84/H36,2)*'График аннуитет.'!G36</f>
        <v>0</v>
      </c>
      <c r="F36" s="38">
        <f>IF(A36&lt;umumiy_malumot!$B$81,'График аннуитет.'!F35,'График аннуитет.'!D36+'График аннуитет.'!E36)</f>
        <v>0</v>
      </c>
      <c r="G36" s="19">
        <f t="shared" si="4"/>
        <v>0</v>
      </c>
      <c r="H36" s="19">
        <f t="shared" si="5"/>
        <v>366</v>
      </c>
    </row>
    <row r="37" spans="1:8">
      <c r="A37" s="22">
        <f t="shared" si="6"/>
        <v>30</v>
      </c>
      <c r="B37" s="37" t="b">
        <f>'График дифференц'!B37</f>
        <v>0</v>
      </c>
      <c r="C37" s="38">
        <f t="shared" si="1"/>
        <v>0</v>
      </c>
      <c r="D37" s="38">
        <f>IF(A37&lt;umumiy_malumot!$B$81,'График аннуитет.'!F37-'График аннуитет.'!E37,'График аннуитет.'!C37)</f>
        <v>0</v>
      </c>
      <c r="E37" s="38">
        <f>ROUND(C37*umumiy_malumot!$B$84/H37,2)*'График аннуитет.'!G37</f>
        <v>0</v>
      </c>
      <c r="F37" s="38">
        <f>IF(A37&lt;umumiy_malumot!$B$81,'График аннуитет.'!F36,'График аннуитет.'!D37+'График аннуитет.'!E37)</f>
        <v>0</v>
      </c>
      <c r="G37" s="19">
        <f t="shared" si="4"/>
        <v>0</v>
      </c>
      <c r="H37" s="19">
        <f t="shared" si="5"/>
        <v>366</v>
      </c>
    </row>
    <row r="38" spans="1:8">
      <c r="A38" s="22">
        <f t="shared" si="6"/>
        <v>31</v>
      </c>
      <c r="B38" s="37" t="b">
        <f>'График дифференц'!B38</f>
        <v>0</v>
      </c>
      <c r="C38" s="38">
        <f t="shared" si="1"/>
        <v>0</v>
      </c>
      <c r="D38" s="38">
        <f>IF(A38&lt;umumiy_malumot!$B$81,'График аннуитет.'!F38-'График аннуитет.'!E38,'График аннуитет.'!C38)</f>
        <v>0</v>
      </c>
      <c r="E38" s="38">
        <f>ROUND(C38*umumiy_malumot!$B$84/H38,2)*'График аннуитет.'!G38</f>
        <v>0</v>
      </c>
      <c r="F38" s="38">
        <f>IF(A38&lt;umumiy_malumot!$B$81,'График аннуитет.'!F37,'График аннуитет.'!D38+'График аннуитет.'!E38)</f>
        <v>0</v>
      </c>
      <c r="G38" s="19">
        <f t="shared" si="4"/>
        <v>0</v>
      </c>
      <c r="H38" s="19">
        <f t="shared" si="5"/>
        <v>366</v>
      </c>
    </row>
    <row r="39" spans="1:8">
      <c r="A39" s="22">
        <f t="shared" si="6"/>
        <v>32</v>
      </c>
      <c r="B39" s="37" t="b">
        <f>'График дифференц'!B39</f>
        <v>0</v>
      </c>
      <c r="C39" s="38">
        <f t="shared" si="1"/>
        <v>0</v>
      </c>
      <c r="D39" s="38">
        <f>IF(A39&lt;umumiy_malumot!$B$81,'График аннуитет.'!F39-'График аннуитет.'!E39,'График аннуитет.'!C39)</f>
        <v>0</v>
      </c>
      <c r="E39" s="38">
        <f>ROUND(C39*umumiy_malumot!$B$84/H39,2)*'График аннуитет.'!G39</f>
        <v>0</v>
      </c>
      <c r="F39" s="38">
        <f>IF(A39&lt;umumiy_malumot!$B$81,'График аннуитет.'!F38,'График аннуитет.'!D39+'График аннуитет.'!E39)</f>
        <v>0</v>
      </c>
      <c r="G39" s="19">
        <f t="shared" si="4"/>
        <v>0</v>
      </c>
      <c r="H39" s="19">
        <f t="shared" si="5"/>
        <v>366</v>
      </c>
    </row>
    <row r="40" spans="1:8">
      <c r="A40" s="22">
        <f t="shared" si="6"/>
        <v>33</v>
      </c>
      <c r="B40" s="37" t="b">
        <f>'График дифференц'!B40</f>
        <v>0</v>
      </c>
      <c r="C40" s="38">
        <f t="shared" si="1"/>
        <v>0</v>
      </c>
      <c r="D40" s="38">
        <f>IF(A40&lt;umumiy_malumot!$B$81,'График аннуитет.'!F40-'График аннуитет.'!E40,'График аннуитет.'!C40)</f>
        <v>0</v>
      </c>
      <c r="E40" s="38">
        <f>ROUND(C40*umumiy_malumot!$B$84/H40,2)*'График аннуитет.'!G40</f>
        <v>0</v>
      </c>
      <c r="F40" s="38">
        <f>IF(A40&lt;umumiy_malumot!$B$81,'График аннуитет.'!F39,'График аннуитет.'!D40+'График аннуитет.'!E40)</f>
        <v>0</v>
      </c>
      <c r="G40" s="19">
        <f t="shared" si="4"/>
        <v>0</v>
      </c>
      <c r="H40" s="19">
        <f t="shared" si="5"/>
        <v>366</v>
      </c>
    </row>
    <row r="41" spans="1:8">
      <c r="A41" s="22">
        <f t="shared" si="6"/>
        <v>34</v>
      </c>
      <c r="B41" s="37" t="b">
        <f>'График дифференц'!B41</f>
        <v>0</v>
      </c>
      <c r="C41" s="38">
        <f t="shared" si="1"/>
        <v>0</v>
      </c>
      <c r="D41" s="38">
        <f>IF(A41&lt;umumiy_malumot!$B$81,'График аннуитет.'!F41-'График аннуитет.'!E41,'График аннуитет.'!C41)</f>
        <v>0</v>
      </c>
      <c r="E41" s="38">
        <f>ROUND(C41*umumiy_malumot!$B$84/H41,2)*'График аннуитет.'!G41</f>
        <v>0</v>
      </c>
      <c r="F41" s="38">
        <f>IF(A41&lt;umumiy_malumot!$B$81,'График аннуитет.'!F40,'График аннуитет.'!D41+'График аннуитет.'!E41)</f>
        <v>0</v>
      </c>
      <c r="G41" s="19">
        <f t="shared" si="4"/>
        <v>0</v>
      </c>
      <c r="H41" s="19">
        <f t="shared" si="5"/>
        <v>366</v>
      </c>
    </row>
    <row r="42" spans="1:8">
      <c r="A42" s="22">
        <f t="shared" si="6"/>
        <v>35</v>
      </c>
      <c r="B42" s="37" t="b">
        <f>'График дифференц'!B42</f>
        <v>0</v>
      </c>
      <c r="C42" s="38">
        <f t="shared" si="1"/>
        <v>0</v>
      </c>
      <c r="D42" s="38">
        <f>IF(A42&lt;umumiy_malumot!$B$81,'График аннуитет.'!F42-'График аннуитет.'!E42,'График аннуитет.'!C42)</f>
        <v>0</v>
      </c>
      <c r="E42" s="38">
        <f>ROUND(C42*umumiy_malumot!$B$84/H42,2)*'График аннуитет.'!G42</f>
        <v>0</v>
      </c>
      <c r="F42" s="38">
        <f>IF(A42&lt;umumiy_malumot!$B$81,'График аннуитет.'!F41,'График аннуитет.'!D42+'График аннуитет.'!E42)</f>
        <v>0</v>
      </c>
      <c r="G42" s="19">
        <f t="shared" si="4"/>
        <v>0</v>
      </c>
      <c r="H42" s="19">
        <f t="shared" si="5"/>
        <v>366</v>
      </c>
    </row>
    <row r="43" spans="1:8">
      <c r="A43" s="22">
        <f t="shared" si="6"/>
        <v>36</v>
      </c>
      <c r="B43" s="37" t="b">
        <f>'График дифференц'!B43</f>
        <v>0</v>
      </c>
      <c r="C43" s="38">
        <f t="shared" si="1"/>
        <v>0</v>
      </c>
      <c r="D43" s="38">
        <f>IF(A43&lt;umumiy_malumot!$B$81,'График аннуитет.'!F43-'График аннуитет.'!E43,'График аннуитет.'!C43)</f>
        <v>0</v>
      </c>
      <c r="E43" s="38">
        <f>ROUND(C43*umumiy_malumot!$B$84/H43,2)*'График аннуитет.'!G43</f>
        <v>0</v>
      </c>
      <c r="F43" s="38">
        <f>IF(A43&lt;umumiy_malumot!$B$81,'График аннуитет.'!F42,'График аннуитет.'!D43+'График аннуитет.'!E43)</f>
        <v>0</v>
      </c>
      <c r="G43" s="19">
        <f t="shared" si="4"/>
        <v>0</v>
      </c>
      <c r="H43" s="19">
        <f t="shared" si="5"/>
        <v>366</v>
      </c>
    </row>
    <row r="44" spans="1:8">
      <c r="A44" s="22">
        <f t="shared" si="6"/>
        <v>37</v>
      </c>
      <c r="B44" s="37" t="b">
        <f>'График дифференц'!B44</f>
        <v>0</v>
      </c>
      <c r="C44" s="52"/>
      <c r="F44" s="52"/>
    </row>
    <row r="45" spans="1:8">
      <c r="A45" s="22">
        <f t="shared" si="6"/>
        <v>38</v>
      </c>
      <c r="B45" s="37" t="b">
        <f>'График дифференц'!B45</f>
        <v>0</v>
      </c>
      <c r="C45" s="52"/>
      <c r="D45" s="52"/>
      <c r="E45" s="52"/>
      <c r="F45" s="52"/>
    </row>
    <row r="46" spans="1:8">
      <c r="A46" s="22">
        <f t="shared" si="6"/>
        <v>39</v>
      </c>
      <c r="B46" s="37" t="b">
        <f>'График дифференц'!B46</f>
        <v>0</v>
      </c>
      <c r="C46" s="52"/>
      <c r="D46" s="52"/>
      <c r="E46" s="52"/>
      <c r="F46" s="52"/>
    </row>
    <row r="47" spans="1:8">
      <c r="A47" s="22">
        <f t="shared" si="6"/>
        <v>40</v>
      </c>
      <c r="B47" s="37" t="b">
        <f>'График дифференц'!B47</f>
        <v>0</v>
      </c>
      <c r="C47" s="52"/>
      <c r="D47" s="52"/>
      <c r="E47" s="52"/>
      <c r="F47" s="52"/>
    </row>
    <row r="48" spans="1:8">
      <c r="A48" s="22">
        <f t="shared" si="6"/>
        <v>41</v>
      </c>
      <c r="B48" s="37" t="b">
        <f>'График дифференц'!B48</f>
        <v>0</v>
      </c>
      <c r="C48" s="52"/>
      <c r="D48" s="52"/>
      <c r="E48" s="52"/>
      <c r="F48" s="52"/>
    </row>
    <row r="49" spans="1:6">
      <c r="A49" s="22">
        <f t="shared" si="6"/>
        <v>42</v>
      </c>
      <c r="B49" s="37" t="b">
        <f>'График дифференц'!B49</f>
        <v>0</v>
      </c>
      <c r="C49" s="52"/>
      <c r="D49" s="52"/>
      <c r="E49" s="52"/>
      <c r="F49" s="52"/>
    </row>
    <row r="50" spans="1:6">
      <c r="A50" s="22">
        <f t="shared" si="6"/>
        <v>43</v>
      </c>
      <c r="B50" s="37" t="b">
        <f>'График дифференц'!B50</f>
        <v>0</v>
      </c>
      <c r="C50" s="52"/>
      <c r="D50" s="52"/>
      <c r="E50" s="52"/>
      <c r="F50" s="52"/>
    </row>
    <row r="51" spans="1:6">
      <c r="A51" s="22">
        <f t="shared" si="6"/>
        <v>44</v>
      </c>
      <c r="B51" s="37" t="b">
        <f>'График дифференц'!B51</f>
        <v>0</v>
      </c>
      <c r="C51" s="52"/>
      <c r="D51" s="52"/>
      <c r="E51" s="52"/>
      <c r="F51" s="52"/>
    </row>
    <row r="52" spans="1:6">
      <c r="A52" s="22">
        <f t="shared" si="6"/>
        <v>45</v>
      </c>
      <c r="B52" s="37" t="b">
        <f>'График дифференц'!B52</f>
        <v>0</v>
      </c>
      <c r="C52" s="52"/>
      <c r="D52" s="52"/>
      <c r="E52" s="52"/>
      <c r="F52" s="52"/>
    </row>
    <row r="53" spans="1:6">
      <c r="A53" s="22">
        <f t="shared" si="6"/>
        <v>46</v>
      </c>
      <c r="B53" s="37" t="b">
        <f>'График дифференц'!B53</f>
        <v>0</v>
      </c>
      <c r="C53" s="52"/>
      <c r="D53" s="52"/>
      <c r="E53" s="52"/>
      <c r="F53" s="52"/>
    </row>
    <row r="54" spans="1:6">
      <c r="A54" s="22">
        <f t="shared" si="6"/>
        <v>47</v>
      </c>
      <c r="B54" s="37" t="b">
        <f>'График дифференц'!B54</f>
        <v>0</v>
      </c>
      <c r="C54" s="52"/>
      <c r="D54" s="52"/>
      <c r="E54" s="52"/>
      <c r="F54" s="52"/>
    </row>
    <row r="55" spans="1:6">
      <c r="A55" s="22">
        <f t="shared" si="6"/>
        <v>48</v>
      </c>
      <c r="B55" s="37" t="b">
        <f>'График дифференц'!B55</f>
        <v>0</v>
      </c>
      <c r="C55" s="52"/>
      <c r="D55" s="52"/>
      <c r="E55" s="52"/>
      <c r="F55" s="52"/>
    </row>
    <row r="56" spans="1:6">
      <c r="A56" s="41"/>
      <c r="B56" s="233" t="s">
        <v>7</v>
      </c>
      <c r="C56" s="234"/>
      <c r="D56" s="52">
        <f>SUM(D8:D55)</f>
        <v>49999999.999999993</v>
      </c>
      <c r="E56" s="52">
        <f>SUM(E8:E55)</f>
        <v>36886937.670000002</v>
      </c>
      <c r="F56" s="234">
        <f>SUM(F8:F55)</f>
        <v>86886937.669999987</v>
      </c>
    </row>
    <row r="57" spans="1:6" ht="9" customHeight="1">
      <c r="B57" s="39"/>
      <c r="C57" s="40"/>
      <c r="D57" s="40"/>
      <c r="E57" s="40"/>
      <c r="F57" s="40"/>
    </row>
    <row r="58" spans="1:6" ht="47.25" customHeight="1">
      <c r="A58" s="243" t="s">
        <v>17</v>
      </c>
      <c r="B58" s="243"/>
      <c r="C58" s="243"/>
      <c r="D58" s="243"/>
      <c r="E58" s="243"/>
      <c r="F58" s="243"/>
    </row>
    <row r="59" spans="1:6" ht="7.5" customHeight="1"/>
    <row r="60" spans="1:6">
      <c r="A60" s="278" t="e">
        <f>#REF!</f>
        <v>#REF!</v>
      </c>
      <c r="B60" s="278"/>
      <c r="C60" s="278"/>
      <c r="D60" s="278" t="e">
        <f>#REF!</f>
        <v>#REF!</v>
      </c>
      <c r="E60" s="278"/>
      <c r="F60" s="278"/>
    </row>
    <row r="61" spans="1:6" ht="11.25" customHeight="1">
      <c r="A61" s="279"/>
      <c r="B61" s="279"/>
      <c r="C61" s="279"/>
      <c r="D61" s="279"/>
      <c r="E61" s="279"/>
      <c r="F61" s="279"/>
    </row>
    <row r="62" spans="1:6" ht="30" customHeight="1">
      <c r="A62" s="277" t="e">
        <f>#REF!</f>
        <v>#REF!</v>
      </c>
      <c r="B62" s="277"/>
      <c r="C62" s="277"/>
      <c r="D62" s="277" t="e">
        <f>#REF!</f>
        <v>#REF!</v>
      </c>
      <c r="E62" s="277"/>
      <c r="F62" s="277"/>
    </row>
    <row r="63" spans="1:6" ht="32.25" customHeight="1">
      <c r="A63" s="273" t="e">
        <f>#REF!</f>
        <v>#REF!</v>
      </c>
      <c r="B63" s="273"/>
      <c r="C63" s="273"/>
      <c r="D63" s="273" t="e">
        <f>#REF!</f>
        <v>#REF!</v>
      </c>
      <c r="E63" s="273"/>
      <c r="F63" s="273"/>
    </row>
    <row r="64" spans="1:6">
      <c r="A64" s="273" t="e">
        <f>#REF!</f>
        <v>#REF!</v>
      </c>
      <c r="B64" s="273"/>
      <c r="C64" s="273"/>
      <c r="D64" s="273" t="str">
        <f>"паспорт серии "&amp;umumiy_malumot!B16&amp;", "&amp;umumiy_malumot!B20&amp;""</f>
        <v>паспорт серии AD 3925702, IIV 26266 tomonidan 12.07.2023 yilda berilgan</v>
      </c>
      <c r="E64" s="273"/>
      <c r="F64" s="273"/>
    </row>
    <row r="65" spans="1:6" ht="32.25" customHeight="1">
      <c r="A65" s="273" t="e">
        <f>#REF!</f>
        <v>#REF!</v>
      </c>
      <c r="B65" s="273"/>
      <c r="C65" s="273"/>
      <c r="D65" s="273"/>
      <c r="E65" s="273"/>
      <c r="F65" s="273"/>
    </row>
    <row r="66" spans="1:6">
      <c r="A66" s="273" t="e">
        <f>#REF!</f>
        <v>#REF!</v>
      </c>
      <c r="B66" s="273"/>
      <c r="C66" s="273"/>
      <c r="D66" s="273" t="e">
        <f>#REF!</f>
        <v>#REF!</v>
      </c>
      <c r="E66" s="273"/>
      <c r="F66" s="273"/>
    </row>
    <row r="67" spans="1:6">
      <c r="A67" s="273" t="e">
        <f>#REF!</f>
        <v>#REF!</v>
      </c>
      <c r="B67" s="273"/>
      <c r="C67" s="273"/>
      <c r="D67" s="273" t="e">
        <f>#REF!</f>
        <v>#REF!</v>
      </c>
      <c r="E67" s="273"/>
      <c r="F67" s="273"/>
    </row>
    <row r="68" spans="1:6">
      <c r="A68" s="273" t="e">
        <f>#REF!</f>
        <v>#REF!</v>
      </c>
      <c r="B68" s="273"/>
      <c r="C68" s="273"/>
      <c r="D68" s="273" t="e">
        <f>#REF!</f>
        <v>#REF!</v>
      </c>
      <c r="E68" s="273"/>
      <c r="F68" s="273"/>
    </row>
    <row r="69" spans="1:6" ht="8.25" customHeight="1">
      <c r="A69" s="273"/>
      <c r="B69" s="273"/>
      <c r="C69" s="273"/>
      <c r="D69" s="273"/>
      <c r="E69" s="273"/>
      <c r="F69" s="273"/>
    </row>
    <row r="70" spans="1:6">
      <c r="A70" s="277" t="e">
        <f>#REF!</f>
        <v>#REF!</v>
      </c>
      <c r="B70" s="277"/>
      <c r="C70" s="277"/>
      <c r="D70" s="277" t="e">
        <f>#REF!</f>
        <v>#REF!</v>
      </c>
      <c r="E70" s="277"/>
      <c r="F70" s="277"/>
    </row>
    <row r="71" spans="1:6" ht="7.5" customHeight="1">
      <c r="A71" s="277"/>
      <c r="B71" s="277"/>
      <c r="C71" s="277"/>
      <c r="D71" s="277"/>
      <c r="E71" s="277"/>
      <c r="F71" s="277"/>
    </row>
    <row r="72" spans="1:6">
      <c r="A72" s="277" t="e">
        <f>#REF!</f>
        <v>#REF!</v>
      </c>
      <c r="B72" s="277"/>
      <c r="C72" s="277"/>
      <c r="D72" s="277" t="e">
        <f>#REF!</f>
        <v>#REF!</v>
      </c>
      <c r="E72" s="277"/>
      <c r="F72" s="277"/>
    </row>
    <row r="73" spans="1:6" ht="8.25" customHeight="1">
      <c r="A73" s="273"/>
      <c r="B73" s="273"/>
      <c r="C73" s="273"/>
      <c r="D73" s="273"/>
      <c r="E73" s="273"/>
      <c r="F73" s="273"/>
    </row>
    <row r="74" spans="1:6" ht="30" customHeight="1">
      <c r="A74" s="274"/>
      <c r="B74" s="274"/>
      <c r="C74" s="274"/>
      <c r="D74" s="275"/>
      <c r="E74" s="275"/>
      <c r="F74" s="275"/>
    </row>
    <row r="75" spans="1:6">
      <c r="A75" s="276"/>
      <c r="B75" s="276"/>
      <c r="C75" s="276"/>
      <c r="D75" s="276"/>
      <c r="E75" s="276"/>
      <c r="F75" s="276"/>
    </row>
    <row r="76" spans="1:6">
      <c r="A76" s="272"/>
      <c r="B76" s="272"/>
      <c r="C76" s="272"/>
      <c r="D76" s="272"/>
      <c r="E76" s="272"/>
      <c r="F76" s="272"/>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5" priority="5" operator="lessThan">
      <formula>22105</formula>
    </cfRule>
  </conditionalFormatting>
  <conditionalFormatting sqref="C8:C43">
    <cfRule type="cellIs" dxfId="4" priority="3" operator="lessThan">
      <formula>1</formula>
    </cfRule>
  </conditionalFormatting>
  <conditionalFormatting sqref="C8:F43">
    <cfRule type="cellIs" dxfId="3"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12" zoomScaleSheetLayoutView="100" workbookViewId="0">
      <selection activeCell="A19" sqref="A19:F19"/>
    </sheetView>
  </sheetViews>
  <sheetFormatPr defaultColWidth="9.140625" defaultRowHeight="12.75"/>
  <cols>
    <col min="1" max="6" width="14.28515625" style="28" customWidth="1"/>
    <col min="7" max="16384" width="9.140625" style="28"/>
  </cols>
  <sheetData>
    <row r="1" spans="1:6">
      <c r="A1" s="286" t="s">
        <v>211</v>
      </c>
      <c r="B1" s="286"/>
      <c r="C1" s="286"/>
      <c r="D1" s="286"/>
      <c r="E1" s="286"/>
      <c r="F1" s="286"/>
    </row>
    <row r="2" spans="1:6" ht="35.25" customHeight="1">
      <c r="A2" s="287" t="s">
        <v>323</v>
      </c>
      <c r="B2" s="287"/>
      <c r="C2" s="287"/>
      <c r="D2" s="287"/>
      <c r="E2" s="287"/>
      <c r="F2" s="287"/>
    </row>
    <row r="3" spans="1:6">
      <c r="A3" s="286" t="s">
        <v>212</v>
      </c>
      <c r="B3" s="286"/>
      <c r="C3" s="286"/>
      <c r="D3" s="286"/>
      <c r="E3" s="286"/>
      <c r="F3" s="286"/>
    </row>
    <row r="4" spans="1:6">
      <c r="A4" s="285" t="str">
        <f>xulosa!A4:F4</f>
        <v>Mijozning to'liq ismi sharifi: SIMONYAN VADIM ROMANOVICH</v>
      </c>
      <c r="B4" s="285"/>
      <c r="C4" s="285"/>
      <c r="D4" s="285"/>
      <c r="E4" s="285"/>
      <c r="F4" s="285"/>
    </row>
    <row r="5" spans="1:6">
      <c r="A5" s="285" t="str">
        <f>xulosa!A5:F5</f>
        <v>Tug'ilgan sanasi: 14.12.1968 yil</v>
      </c>
      <c r="B5" s="285"/>
      <c r="C5" s="285"/>
      <c r="D5" s="285"/>
      <c r="E5" s="285"/>
      <c r="F5" s="285"/>
    </row>
    <row r="6" spans="1:6" ht="32.25" customHeight="1">
      <c r="A6" s="285" t="str">
        <f>xulosa!A6:F6</f>
        <v>Pasport seriyasi AD 3925702 IIV 26266 tomonidan 12.07.2023 yilda berilgan, amal qilish muddati - 11.07.2033 y.</v>
      </c>
      <c r="B6" s="285"/>
      <c r="C6" s="285"/>
      <c r="D6" s="285"/>
      <c r="E6" s="285"/>
      <c r="F6" s="285"/>
    </row>
    <row r="7" spans="1:6">
      <c r="A7" s="285" t="str">
        <f>"Fuqaroligi: "&amp;umumiy_malumot!B32&amp;""</f>
        <v>Fuqaroligi: O’zbekiston Respublikasi</v>
      </c>
      <c r="B7" s="285"/>
      <c r="C7" s="285"/>
      <c r="D7" s="285"/>
      <c r="E7" s="285"/>
      <c r="F7" s="285"/>
    </row>
    <row r="8" spans="1:6" ht="26.25" customHeight="1">
      <c r="A8" s="285" t="str">
        <f>xulosa!A7:F7</f>
        <v>Ro‘yxatdan o‘tgan manzili: TOSHKENT SHAHAR YUNUSOBOD TUMANI OTCHOPAR-1 MFY KARIM ZARIPOV KO'CHASI 8-6 UY, mo'ljal: CHINOBOD SANATORIY SANTINI</v>
      </c>
      <c r="B8" s="285"/>
      <c r="C8" s="285"/>
      <c r="D8" s="285"/>
      <c r="E8" s="285"/>
      <c r="F8" s="285"/>
    </row>
    <row r="9" spans="1:6">
      <c r="A9" s="285" t="str">
        <f>IF(umumiy_malumot!B23="mos keladi"," ",mijoz_anketasi!A10:F10)</f>
        <v xml:space="preserve"> </v>
      </c>
      <c r="B9" s="285"/>
      <c r="C9" s="285"/>
      <c r="D9" s="285"/>
      <c r="E9" s="285"/>
      <c r="F9" s="285"/>
    </row>
    <row r="10" spans="1:6" ht="31.5" hidden="1" customHeight="1">
      <c r="A10" s="285" t="str">
        <f>"Haqiqatdan yashash joy manzili: "&amp;umumiy_malumot!B28&amp;""</f>
        <v>Haqiqatdan yashash joy manzili: TOSHKENT SHAHAR YUNUSOBOD TUMANI OTCHOPAR-1 MFY KARIM ZARIPOV KO'CHASI 8-6 UY</v>
      </c>
      <c r="B10" s="285"/>
      <c r="C10" s="285"/>
      <c r="D10" s="285"/>
      <c r="E10" s="285"/>
      <c r="F10" s="285"/>
    </row>
    <row r="11" spans="1:6" ht="16.5" hidden="1" customHeight="1">
      <c r="A11" s="285" t="str">
        <f>xulosa!A8:F8</f>
        <v>Ish joyi:  lavozimi Yakka tartibdagi tadbirkorda Yakka tartibdagi tadbirkor</v>
      </c>
      <c r="B11" s="285"/>
      <c r="C11" s="285"/>
      <c r="D11" s="285"/>
      <c r="E11" s="285"/>
      <c r="F11" s="285"/>
    </row>
    <row r="12" spans="1:6">
      <c r="A12" s="286" t="s">
        <v>213</v>
      </c>
      <c r="B12" s="286"/>
      <c r="C12" s="286"/>
      <c r="D12" s="286"/>
      <c r="E12" s="286"/>
      <c r="F12" s="286"/>
    </row>
    <row r="13" spans="1:6">
      <c r="A13" s="285" t="str">
        <f>"Uy telefoni raqami: "&amp;umumiy_malumot!B40&amp;""</f>
        <v xml:space="preserve">Uy telefoni raqami: 93 554 55 99 MIJOZ </v>
      </c>
      <c r="B13" s="285"/>
      <c r="C13" s="285"/>
      <c r="D13" s="285"/>
      <c r="E13" s="285"/>
      <c r="F13" s="285"/>
    </row>
    <row r="14" spans="1:6">
      <c r="A14" s="285" t="str">
        <f>"Uyali telefon raqami: "&amp;umumiy_malumot!B41&amp;""</f>
        <v>Uyali telefon raqami: 99 899 80 88 JIYANI</v>
      </c>
      <c r="B14" s="285"/>
      <c r="C14" s="285"/>
      <c r="D14" s="285"/>
      <c r="E14" s="285"/>
      <c r="F14" s="285"/>
    </row>
    <row r="15" spans="1:6">
      <c r="A15" s="285" t="str">
        <f>"Uyali telefon raqami: "&amp;umumiy_malumot!B42&amp;""</f>
        <v>Uyali telefon raqami: 71 212 15 05 UY</v>
      </c>
      <c r="B15" s="285"/>
      <c r="C15" s="285"/>
      <c r="D15" s="285"/>
      <c r="E15" s="285"/>
      <c r="F15" s="285"/>
    </row>
    <row r="16" spans="1:6" hidden="1">
      <c r="A16" s="285" t="str">
        <f>"Uyali telefon raqami: "&amp;umumiy_malumot!B42&amp;""</f>
        <v>Uyali telefon raqami: 71 212 15 05 UY</v>
      </c>
      <c r="B16" s="285"/>
      <c r="C16" s="285"/>
      <c r="D16" s="285"/>
      <c r="E16" s="285"/>
      <c r="F16" s="285"/>
    </row>
    <row r="17" spans="1:6">
      <c r="A17" s="285" t="str">
        <f>"Ish telefoni raqami: "&amp;umumiy_malumot!B43&amp;""</f>
        <v xml:space="preserve">Ish telefoni raqami: </v>
      </c>
      <c r="B17" s="285"/>
      <c r="C17" s="285"/>
      <c r="D17" s="285"/>
      <c r="E17" s="285"/>
      <c r="F17" s="285"/>
    </row>
    <row r="18" spans="1:6">
      <c r="A18" s="286" t="s">
        <v>214</v>
      </c>
      <c r="B18" s="286"/>
      <c r="C18" s="286"/>
      <c r="D18" s="286"/>
      <c r="E18" s="286"/>
      <c r="F18" s="286"/>
    </row>
    <row r="19" spans="1:6">
      <c r="A19" s="285" t="str">
        <f>"Muassasa nomlanishi:"&amp;umumiy_malumot!B58&amp;""</f>
        <v>Muassasa nomlanishi:Yakka tartibdagi tadbirkor</v>
      </c>
      <c r="B19" s="285"/>
      <c r="C19" s="285"/>
      <c r="D19" s="285"/>
      <c r="E19" s="285"/>
      <c r="F19" s="285"/>
    </row>
    <row r="20" spans="1:6">
      <c r="A20" s="285" t="str">
        <f>"Ro‘yxatdan o‘tish manzili:"&amp;umumiy_malumot!B46&amp;""</f>
        <v>Ro‘yxatdan o‘tish manzili:</v>
      </c>
      <c r="B20" s="285"/>
      <c r="C20" s="285"/>
      <c r="D20" s="285"/>
      <c r="E20" s="285"/>
      <c r="F20" s="285"/>
    </row>
    <row r="21" spans="1:6">
      <c r="A21" s="285" t="str">
        <f>"Lavozimi: "&amp;umumiy_malumot!B59&amp;""</f>
        <v>Lavozimi: Yakka tartibdagi tadbirkor</v>
      </c>
      <c r="B21" s="285"/>
      <c r="C21" s="285"/>
      <c r="D21" s="285"/>
      <c r="E21" s="285"/>
      <c r="F21" s="285"/>
    </row>
    <row r="22" spans="1:6">
      <c r="A22" s="286" t="s">
        <v>215</v>
      </c>
      <c r="B22" s="288"/>
      <c r="C22" s="288"/>
      <c r="D22" s="288"/>
      <c r="E22" s="288"/>
      <c r="F22" s="288"/>
    </row>
    <row r="23" spans="1:6" s="30" customFormat="1" ht="25.5">
      <c r="A23" s="29" t="s">
        <v>216</v>
      </c>
      <c r="B23" s="29" t="s">
        <v>217</v>
      </c>
      <c r="C23" s="29" t="s">
        <v>218</v>
      </c>
      <c r="D23" s="29" t="s">
        <v>219</v>
      </c>
      <c r="E23" s="29" t="s">
        <v>220</v>
      </c>
      <c r="F23" s="29" t="s">
        <v>221</v>
      </c>
    </row>
    <row r="24" spans="1:6" ht="51">
      <c r="A24" s="31" t="s">
        <v>222</v>
      </c>
      <c r="B24" s="32">
        <f>umumiy_malumot!B60</f>
        <v>10000000</v>
      </c>
      <c r="C24" s="32">
        <v>0</v>
      </c>
      <c r="D24" s="32">
        <v>0</v>
      </c>
      <c r="E24" s="31" t="s">
        <v>225</v>
      </c>
      <c r="F24" s="32">
        <v>700000</v>
      </c>
    </row>
    <row r="25" spans="1:6" ht="25.5">
      <c r="A25" s="31" t="s">
        <v>223</v>
      </c>
      <c r="B25" s="32">
        <v>0</v>
      </c>
      <c r="C25" s="32">
        <v>0</v>
      </c>
      <c r="D25" s="32">
        <v>0</v>
      </c>
      <c r="E25" s="31" t="s">
        <v>226</v>
      </c>
      <c r="F25" s="32">
        <v>500000</v>
      </c>
    </row>
    <row r="26" spans="1:6" ht="28.5" customHeight="1">
      <c r="A26" s="31" t="s">
        <v>224</v>
      </c>
      <c r="B26" s="32">
        <f>umumiy_malumot!B61</f>
        <v>5000000</v>
      </c>
      <c r="C26" s="32">
        <v>0</v>
      </c>
      <c r="D26" s="32">
        <v>0</v>
      </c>
      <c r="E26" s="31" t="s">
        <v>227</v>
      </c>
      <c r="F26" s="32">
        <v>600000</v>
      </c>
    </row>
    <row r="27" spans="1:6" s="35" customFormat="1">
      <c r="A27" s="33" t="s">
        <v>203</v>
      </c>
      <c r="B27" s="34">
        <f>B24+B25+B26</f>
        <v>15000000</v>
      </c>
      <c r="C27" s="34">
        <f>SUM(C24:C26)</f>
        <v>0</v>
      </c>
      <c r="D27" s="34">
        <f>SUM(D24:D26)</f>
        <v>0</v>
      </c>
      <c r="E27" s="33"/>
      <c r="F27" s="34">
        <f>SUM(F24:F26)</f>
        <v>1800000</v>
      </c>
    </row>
    <row r="28" spans="1:6" ht="31.5" customHeight="1">
      <c r="A28" s="285" t="str">
        <f>"Men, "&amp;umumiy_malumot!B5&amp;", ushbu anketada ko‘rsatilgan barcha ma'lumotlar anketa to'ldirilgan sanada  to'g'ri va aniq ekanligini tasdiqlayman."</f>
        <v>Men, SIMONYAN VADIM ROMANOVICH, ushbu anketada ko‘rsatilgan barcha ma'lumotlar anketa to'ldirilgan sanada  to'g'ri va aniq ekanligini tasdiqlayman.</v>
      </c>
      <c r="B28" s="285"/>
      <c r="C28" s="285"/>
      <c r="D28" s="285"/>
      <c r="E28" s="285"/>
      <c r="F28" s="285"/>
    </row>
    <row r="29" spans="1:6">
      <c r="A29" s="285" t="str">
        <f>"Men,  "&amp;umumiy_malumot!B5&amp;", quyidagilarni tan olaman va roziman::"</f>
        <v>Men,  SIMONYAN VADIM ROMANOVICH, quyidagilarni tan olaman va roziman::</v>
      </c>
      <c r="B29" s="285"/>
      <c r="C29" s="285"/>
      <c r="D29" s="285"/>
      <c r="E29" s="285"/>
      <c r="F29" s="285"/>
    </row>
    <row r="30" spans="1:6" ht="45.75" customHeight="1">
      <c r="A30" s="285" t="str">
        <f>"1.  Ushbu anketada ko‘rsatilgan har qanday ma’lumot  "&amp;umumiy_malumot!B147&amp;", uning xodimlari va huquqiy vorislari tomonidan istalgan manbaa va ma’lumotlardan foydalangan holda istalgan vaqtda tekshirilishi va qayta tekshirilishi mumkin."</f>
        <v>1.  Ushbu anketada ko‘rsatilgan har qanday ma’lumot  «PULLOL BUSINESS MIKROMOLIYA TASHKILOTI»  MChJ, uning xodimlari va huquqiy vorislari tomonidan istalgan manbaa va ma’lumotlardan foydalangan holda istalgan vaqtda tekshirilishi va qayta tekshirilishi mumkin.</v>
      </c>
      <c r="B30" s="285"/>
      <c r="C30" s="285"/>
      <c r="D30" s="285"/>
      <c r="E30" s="285"/>
      <c r="F30" s="285"/>
    </row>
    <row r="31" spans="1:6" ht="35.25" customHeight="1">
      <c r="A31" s="285" t="str">
        <f>"2. Mazkur anketaning "&amp;umumiy_malumot!B147&amp;" tomonidan qabul qilinishi menga "&amp;umumiy_malumot!B65&amp;" berish majburiyatini yuklamaydi."</f>
        <v>2. Mazkur anketaning «PULLOL BUSINESS MIKROMOLIYA TASHKILOTI»  MChJ tomonidan qabul qilinishi menga Mikroqarz berish majburiyatini yuklamaydi.</v>
      </c>
      <c r="B31" s="285"/>
      <c r="C31" s="285"/>
      <c r="D31" s="285"/>
      <c r="E31" s="285"/>
      <c r="F31" s="285"/>
    </row>
    <row r="32" spans="1:6" ht="71.25" customHeight="1">
      <c r="A32" s="285" t="s">
        <v>228</v>
      </c>
      <c r="B32" s="285"/>
      <c r="C32" s="285"/>
      <c r="D32" s="285"/>
      <c r="E32" s="285"/>
      <c r="F32" s="285"/>
    </row>
    <row r="33" spans="1:6">
      <c r="A33" s="285"/>
      <c r="B33" s="285"/>
      <c r="C33" s="285"/>
      <c r="D33" s="285"/>
      <c r="E33" s="285"/>
      <c r="F33" s="285"/>
    </row>
    <row r="34" spans="1:6" ht="12.75" customHeight="1">
      <c r="A34" s="288" t="s">
        <v>229</v>
      </c>
      <c r="B34" s="288"/>
      <c r="C34" s="288"/>
      <c r="D34" s="176" t="s">
        <v>151</v>
      </c>
      <c r="E34" s="288" t="s">
        <v>230</v>
      </c>
      <c r="F34" s="288"/>
    </row>
    <row r="35" spans="1:6" ht="25.5" customHeight="1">
      <c r="A35" s="289"/>
      <c r="B35" s="289"/>
      <c r="C35" s="289"/>
      <c r="D35" s="290" t="str">
        <f>umumiy_malumot!B2</f>
        <v>02.02.2026</v>
      </c>
      <c r="E35" s="289"/>
      <c r="F35" s="289"/>
    </row>
    <row r="36" spans="1:6" ht="25.5" customHeight="1">
      <c r="A36" s="289"/>
      <c r="B36" s="289"/>
      <c r="C36" s="289"/>
      <c r="D36" s="290"/>
      <c r="E36" s="289"/>
      <c r="F36" s="289"/>
    </row>
    <row r="37" spans="1:6">
      <c r="A37" s="285"/>
      <c r="B37" s="285"/>
      <c r="C37" s="285"/>
      <c r="D37" s="285"/>
      <c r="E37" s="285"/>
      <c r="F37" s="285"/>
    </row>
    <row r="38" spans="1:6">
      <c r="A38" s="285"/>
      <c r="B38" s="285"/>
      <c r="C38" s="285"/>
      <c r="D38" s="285"/>
      <c r="E38" s="285"/>
      <c r="F38" s="285"/>
    </row>
    <row r="39" spans="1:6">
      <c r="A39" s="285"/>
      <c r="B39" s="285"/>
      <c r="C39" s="285"/>
      <c r="D39" s="285"/>
      <c r="E39" s="285"/>
      <c r="F39" s="285"/>
    </row>
    <row r="40" spans="1:6">
      <c r="A40" s="285"/>
      <c r="B40" s="285"/>
      <c r="C40" s="285"/>
      <c r="D40" s="285"/>
      <c r="E40" s="285"/>
      <c r="F40" s="285"/>
    </row>
    <row r="41" spans="1:6">
      <c r="A41" s="285"/>
      <c r="B41" s="285"/>
      <c r="C41" s="285"/>
      <c r="D41" s="285"/>
      <c r="E41" s="285"/>
      <c r="F41" s="285"/>
    </row>
    <row r="42" spans="1:6">
      <c r="A42" s="285"/>
      <c r="B42" s="285"/>
      <c r="C42" s="285"/>
      <c r="D42" s="285"/>
      <c r="E42" s="285"/>
      <c r="F42" s="285"/>
    </row>
    <row r="43" spans="1:6">
      <c r="A43" s="285"/>
      <c r="B43" s="285"/>
      <c r="C43" s="285"/>
      <c r="D43" s="285"/>
      <c r="E43" s="285"/>
      <c r="F43" s="285"/>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0866141732283472"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7" zoomScaleNormal="100" zoomScaleSheetLayoutView="100" workbookViewId="0">
      <selection activeCell="A28" sqref="A28:E28"/>
    </sheetView>
  </sheetViews>
  <sheetFormatPr defaultColWidth="9.140625" defaultRowHeight="15.75"/>
  <cols>
    <col min="1" max="2" width="17.42578125" style="145" customWidth="1"/>
    <col min="3" max="3" width="29.85546875" style="145" customWidth="1"/>
    <col min="4" max="4" width="18.140625" style="145" customWidth="1"/>
    <col min="5" max="5" width="6.5703125" style="145" customWidth="1"/>
    <col min="6" max="16384" width="9.140625" style="145"/>
  </cols>
  <sheetData>
    <row r="2" spans="1:5">
      <c r="A2" s="295" t="s">
        <v>231</v>
      </c>
      <c r="B2" s="295"/>
      <c r="C2" s="295"/>
      <c r="D2" s="295"/>
      <c r="E2" s="295"/>
    </row>
    <row r="3" spans="1:5">
      <c r="E3" s="144" t="str">
        <f>umumiy_malumot!B68</f>
        <v>2 fevral 2026 y.</v>
      </c>
    </row>
    <row r="5" spans="1:5" s="146" customFormat="1" ht="27" customHeight="1">
      <c r="A5" s="299" t="s">
        <v>232</v>
      </c>
      <c r="B5" s="300"/>
      <c r="C5" s="296" t="str">
        <f>umumiy_malumot!B8</f>
        <v>SIMONYAN VADIM ROMANOVICH</v>
      </c>
      <c r="D5" s="297"/>
      <c r="E5" s="298"/>
    </row>
    <row r="7" spans="1:5" ht="15.75" customHeight="1">
      <c r="A7" s="301" t="s">
        <v>351</v>
      </c>
      <c r="B7" s="302"/>
      <c r="C7" s="303"/>
      <c r="D7" s="147" t="s">
        <v>129</v>
      </c>
      <c r="E7" s="147"/>
    </row>
    <row r="8" spans="1:5">
      <c r="A8" s="304"/>
      <c r="B8" s="305"/>
      <c r="C8" s="306"/>
      <c r="D8" s="147" t="s">
        <v>236</v>
      </c>
      <c r="E8" s="147"/>
    </row>
    <row r="9" spans="1:5" ht="15.75" customHeight="1">
      <c r="A9" s="292" t="s">
        <v>233</v>
      </c>
      <c r="B9" s="292"/>
      <c r="C9" s="292"/>
      <c r="D9" s="147" t="s">
        <v>129</v>
      </c>
      <c r="E9" s="147"/>
    </row>
    <row r="10" spans="1:5">
      <c r="A10" s="292"/>
      <c r="B10" s="292"/>
      <c r="C10" s="292"/>
      <c r="D10" s="147" t="s">
        <v>236</v>
      </c>
      <c r="E10" s="147"/>
    </row>
    <row r="11" spans="1:5" ht="15.75" customHeight="1">
      <c r="A11" s="292" t="s">
        <v>234</v>
      </c>
      <c r="B11" s="292"/>
      <c r="C11" s="292"/>
      <c r="D11" s="147" t="s">
        <v>129</v>
      </c>
      <c r="E11" s="147"/>
    </row>
    <row r="12" spans="1:5">
      <c r="A12" s="292"/>
      <c r="B12" s="292"/>
      <c r="C12" s="292"/>
      <c r="D12" s="147" t="s">
        <v>236</v>
      </c>
      <c r="E12" s="147"/>
    </row>
    <row r="13" spans="1:5" ht="34.5" customHeight="1">
      <c r="A13" s="293" t="s">
        <v>235</v>
      </c>
      <c r="B13" s="293"/>
      <c r="C13" s="293"/>
      <c r="D13" s="293"/>
      <c r="E13" s="293"/>
    </row>
    <row r="14" spans="1:5" ht="16.5" thickBot="1">
      <c r="A14" s="294"/>
      <c r="B14" s="294"/>
      <c r="C14" s="294"/>
      <c r="D14" s="294"/>
      <c r="E14" s="294"/>
    </row>
    <row r="15" spans="1:5" ht="16.5" thickBot="1">
      <c r="A15" s="294"/>
      <c r="B15" s="294"/>
      <c r="C15" s="294"/>
      <c r="D15" s="294"/>
      <c r="E15" s="294"/>
    </row>
    <row r="16" spans="1:5" ht="16.5" thickBot="1">
      <c r="A16" s="294"/>
      <c r="B16" s="294"/>
      <c r="C16" s="294"/>
      <c r="D16" s="294"/>
      <c r="E16" s="294"/>
    </row>
    <row r="18" spans="1:8" ht="18.75" customHeight="1">
      <c r="A18" s="292" t="s">
        <v>237</v>
      </c>
      <c r="B18" s="292"/>
      <c r="C18" s="292"/>
      <c r="D18" s="147" t="s">
        <v>129</v>
      </c>
      <c r="E18" s="147"/>
    </row>
    <row r="19" spans="1:8" ht="18.75" customHeight="1">
      <c r="A19" s="292"/>
      <c r="B19" s="292"/>
      <c r="C19" s="292"/>
      <c r="D19" s="147" t="s">
        <v>236</v>
      </c>
      <c r="E19" s="147"/>
    </row>
    <row r="20" spans="1:8" ht="29.25" customHeight="1">
      <c r="A20" s="292" t="s">
        <v>238</v>
      </c>
      <c r="B20" s="292"/>
      <c r="C20" s="292"/>
      <c r="D20" s="147" t="s">
        <v>129</v>
      </c>
      <c r="E20" s="147"/>
    </row>
    <row r="21" spans="1:8" ht="29.25" customHeight="1">
      <c r="A21" s="292"/>
      <c r="B21" s="292"/>
      <c r="C21" s="292"/>
      <c r="D21" s="147" t="s">
        <v>236</v>
      </c>
      <c r="E21" s="147"/>
    </row>
    <row r="23" spans="1:8" ht="15.75" customHeight="1">
      <c r="A23" s="293" t="s">
        <v>239</v>
      </c>
      <c r="B23" s="293"/>
      <c r="C23" s="293"/>
      <c r="D23" s="293"/>
      <c r="E23" s="293"/>
    </row>
    <row r="24" spans="1:8" ht="16.5" thickBot="1">
      <c r="A24" s="294"/>
      <c r="B24" s="294"/>
      <c r="C24" s="294"/>
      <c r="D24" s="294"/>
      <c r="E24" s="294"/>
    </row>
    <row r="25" spans="1:8" ht="16.5" thickBot="1">
      <c r="A25" s="294"/>
      <c r="B25" s="294"/>
      <c r="C25" s="294"/>
      <c r="D25" s="294"/>
      <c r="E25" s="294"/>
    </row>
    <row r="26" spans="1:8" ht="16.5" thickBot="1">
      <c r="A26" s="294"/>
      <c r="B26" s="294"/>
      <c r="C26" s="294"/>
      <c r="D26" s="294"/>
      <c r="E26" s="294"/>
    </row>
    <row r="28" spans="1:8" ht="78.75" customHeight="1">
      <c r="A28" s="291" t="s">
        <v>240</v>
      </c>
      <c r="B28" s="291"/>
      <c r="C28" s="291"/>
      <c r="D28" s="291"/>
      <c r="E28" s="291"/>
    </row>
    <row r="30" spans="1:8" ht="33" customHeight="1">
      <c r="A30" s="291" t="s">
        <v>241</v>
      </c>
      <c r="B30" s="291"/>
      <c r="C30" s="291"/>
      <c r="D30" s="291"/>
      <c r="E30" s="291"/>
      <c r="F30" s="148"/>
      <c r="G30" s="148"/>
      <c r="H30" s="148"/>
    </row>
    <row r="33" spans="1:5" ht="16.5" thickBot="1">
      <c r="A33" s="149" t="str">
        <f>C5</f>
        <v>SIMONYAN VADIM ROMANOVICH</v>
      </c>
      <c r="D33" s="150"/>
      <c r="E33" s="151"/>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2" zoomScaleSheetLayoutView="100" workbookViewId="0">
      <selection activeCell="A22" sqref="A22:D22"/>
    </sheetView>
  </sheetViews>
  <sheetFormatPr defaultColWidth="9.140625" defaultRowHeight="15.75"/>
  <cols>
    <col min="1" max="1" width="20.140625" style="10" customWidth="1"/>
    <col min="2" max="2" width="18.7109375" style="10" customWidth="1"/>
    <col min="3" max="3" width="19.7109375" style="10" customWidth="1"/>
    <col min="4" max="4" width="28.7109375" style="10" customWidth="1"/>
    <col min="5" max="16384" width="9.140625" style="10"/>
  </cols>
  <sheetData>
    <row r="1" spans="1:4" ht="47.25" customHeight="1">
      <c r="C1" s="308" t="str">
        <f>""&amp;umumiy_malumot!B147&amp;"ning
"&amp;umumiy_malumot!A150&amp;"i"</f>
        <v>«PULLOL BUSINESS MIKROMOLIYA TASHKILOTI»  MChJning
Direktori</v>
      </c>
      <c r="D1" s="308"/>
    </row>
    <row r="2" spans="1:4">
      <c r="C2" s="17"/>
      <c r="D2" s="18" t="str">
        <f>""&amp;umumiy_malumot!B150&amp;"ga"</f>
        <v>Obidov A. Sh.ga</v>
      </c>
    </row>
    <row r="4" spans="1:4">
      <c r="A4" s="307" t="str">
        <f>""&amp;umumiy_malumot!C64&amp;" olish uchun Ariza"</f>
        <v>Mikrokredit olish uchun Ariza</v>
      </c>
      <c r="B4" s="307"/>
      <c r="C4" s="307"/>
      <c r="D4" s="307"/>
    </row>
    <row r="5" spans="1:4">
      <c r="A5" s="307"/>
      <c r="B5" s="307"/>
      <c r="C5" s="307"/>
      <c r="D5" s="307"/>
    </row>
    <row r="6" spans="1:4" ht="51" customHeight="1">
      <c r="A6" s="309" t="str">
        <f>""&amp;umumiy_malumot!B28&amp;".-da yashovchi O‘zbekiston Respublikasi fuqarosi "&amp;umumiy_malumot!B8&amp;"dan. "</f>
        <v xml:space="preserve">TOSHKENT SHAHAR YUNUSOBOD TUMANI OTCHOPAR-1 MFY KARIM ZARIPOV KO'CHASI 8-6 UY.-da yashovchi O‘zbekiston Respublikasi fuqarosi SIMONYAN VADIM ROMANOVICHdan. </v>
      </c>
      <c r="B6" s="309"/>
      <c r="C6" s="309"/>
      <c r="D6" s="309"/>
    </row>
    <row r="7" spans="1:4" ht="15.75" customHeight="1">
      <c r="A7" s="309" t="str">
        <f>"Tug'ilgan kuni: "&amp;umumiy_malumot!B15&amp;""</f>
        <v>Tug'ilgan kuni: 14.12.1968 yil</v>
      </c>
      <c r="B7" s="309"/>
      <c r="C7" s="309"/>
      <c r="D7" s="309"/>
    </row>
    <row r="8" spans="1:4" ht="33" customHeight="1">
      <c r="A8" s="309" t="str">
        <f>"Pasport seriyasi: "&amp;umumiy_malumot!B16&amp;" "&amp;umumiy_malumot!B20&amp;""</f>
        <v>Pasport seriyasi: AD 3925702 IIV 26266 tomonidan 12.07.2023 yilda berilgan</v>
      </c>
      <c r="B8" s="309"/>
      <c r="C8" s="309"/>
      <c r="D8" s="309"/>
    </row>
    <row r="9" spans="1:4" ht="16.5" customHeight="1">
      <c r="A9" s="309" t="str">
        <f>"Asosiy ish joyi : "&amp;umumiy_malumot!B58&amp;""</f>
        <v>Asosiy ish joyi : Yakka tartibdagi tadbirkor</v>
      </c>
      <c r="B9" s="309"/>
      <c r="C9" s="309"/>
      <c r="D9" s="309"/>
    </row>
    <row r="10" spans="1:4" ht="15.75" customHeight="1">
      <c r="A10" s="309" t="str">
        <f>"Lavozimi: "&amp;umumiy_malumot!B59&amp;""</f>
        <v>Lavozimi: Yakka tartibdagi tadbirkor</v>
      </c>
      <c r="B10" s="309"/>
      <c r="C10" s="309"/>
      <c r="D10" s="309"/>
    </row>
    <row r="11" spans="1:4">
      <c r="A11" s="309" t="str">
        <f>"O’rtacha oylik daromadi: "&amp;FIXED(mijoz_anketasi!B27,2)&amp;" so'm."</f>
        <v>O’rtacha oylik daromadi: 15 000 000,00 so'm.</v>
      </c>
      <c r="B11" s="309"/>
      <c r="C11" s="309"/>
      <c r="D11" s="309"/>
    </row>
    <row r="12" spans="1:4">
      <c r="A12" s="309" t="str">
        <f>"Menga quyidagi shartlarda "&amp;umumiy_malumot!B65&amp;" berishingizni so’rayman:"</f>
        <v>Menga quyidagi shartlarda Mikroqarz berishingizni so’rayman:</v>
      </c>
      <c r="B12" s="309"/>
      <c r="C12" s="309"/>
      <c r="D12" s="309"/>
    </row>
    <row r="13" spans="1:4">
      <c r="A13" s="309" t="str">
        <f>""&amp;umumiy_malumot!B65&amp;" summasi: "&amp;FIXED(umumiy_malumot!B75,2)&amp;" ("&amp;umumiy_malumot!B76&amp;") so'm."</f>
        <v>Mikroqarz summasi: 50 000 000,00 (Ellik million so'm) so'm.</v>
      </c>
      <c r="B13" s="309"/>
      <c r="C13" s="309"/>
      <c r="D13" s="309"/>
    </row>
    <row r="14" spans="1:4">
      <c r="A14" s="309" t="str">
        <f>""&amp;umumiy_malumot!B65&amp;" muddati: "&amp;umumiy_malumot!B81&amp;" ("&amp;umumiy_malumot!B82&amp;") oy."</f>
        <v>Mikroqarz muddati: 24 (yigirma to'rt) oy.</v>
      </c>
      <c r="B14" s="309"/>
      <c r="C14" s="309"/>
      <c r="D14" s="309"/>
    </row>
    <row r="15" spans="1:4" ht="17.25" customHeight="1">
      <c r="A15" s="309" t="str">
        <f>""&amp;umumiy_malumot!B65&amp;"dan foydalanganlik uchun foiz stavkasi: yillik  "&amp;umumiy_malumot!B85&amp;"% ("&amp;umumiy_malumot!B86&amp;") foiz"</f>
        <v>Mikroqarzdan foydalanganlik uchun foiz stavkasi: yillik  50% (Ellik  ) foiz</v>
      </c>
      <c r="B15" s="309"/>
      <c r="C15" s="309"/>
      <c r="D15" s="309"/>
    </row>
    <row r="16" spans="1:4">
      <c r="A16" s="309" t="str">
        <f>""&amp;umumiy_malumot!C65&amp;" bo'yicha asosiy qarz va foizlarni to'lash:"</f>
        <v>46785 bo'yicha asosiy qarz va foizlarni to'lash:</v>
      </c>
      <c r="B16" s="309"/>
      <c r="C16" s="309"/>
      <c r="D16" s="309"/>
    </row>
    <row r="17" spans="1:5" ht="20.25" hidden="1" customHeight="1">
      <c r="A17" s="310" t="str">
        <f>" - "&amp;umumiy_malumot!B65&amp;" shartnomasi bo'yicha har oy differensial to'lovlari amalga oshiriladi"</f>
        <v xml:space="preserve"> - Mikroqarz shartnomasi bo'yicha har oy differensial to'lovlari amalga oshiriladi</v>
      </c>
      <c r="B17" s="310"/>
      <c r="C17" s="310"/>
      <c r="D17" s="310"/>
    </row>
    <row r="18" spans="1:5" ht="15.75" hidden="1" customHeight="1">
      <c r="A18" s="310" t="str">
        <f>" - "&amp;umumiy_malumot!B65&amp;" shartnomasi bo'yicha har oy annuitet to'lovlari amalga oshiriladi"</f>
        <v xml:space="preserve"> - Mikroqarz shartnomasi bo'yicha har oy annuitet to'lovlari amalga oshiriladi</v>
      </c>
      <c r="B18" s="310"/>
      <c r="C18" s="310"/>
      <c r="D18" s="310"/>
    </row>
    <row r="19" spans="1:5" ht="33.75" customHeight="1">
      <c r="A19" s="310" t="str">
        <f>IF(umumiy_malumot!B77=umumiy_malumot!C77,kredit_ariza!A17:D17,IF(umumiy_malumot!B77=umumiy_malumot!D77,kredit_ariza!A18:D18))</f>
        <v xml:space="preserve"> - Mikroqarz shartnomasi bo'yicha har oy annuitet to'lovlari amalga oshiriladi</v>
      </c>
      <c r="B19" s="310"/>
      <c r="C19" s="310"/>
      <c r="D19" s="310"/>
    </row>
    <row r="20" spans="1:5" ht="33.75" hidden="1" customHeight="1">
      <c r="A20" s="309" t="str">
        <f>IF(DAY(umumiy_malumot!E67)&lt;15,"   ","  Oxirgi yakuniy to'lov "&amp;umumiy_malumot!B65&amp;" shartnomasi tuzilgan kundan boshlab oxirgi oyning oxirgi kunida amalga oshiriladi")</f>
        <v xml:space="preserve">   </v>
      </c>
      <c r="B20" s="309"/>
      <c r="C20" s="309"/>
      <c r="D20" s="309"/>
    </row>
    <row r="21" spans="1:5">
      <c r="A21" s="309" t="str">
        <f>""&amp;umumiy_malumot!B65&amp;" ta’minoti::"</f>
        <v>Mikroqarz ta’minoti::</v>
      </c>
      <c r="B21" s="309"/>
      <c r="C21" s="309"/>
      <c r="D21" s="309"/>
    </row>
    <row r="22" spans="1:5" ht="67.5" customHeight="1">
      <c r="A22" s="310" t="str">
        <f>IF(umumiy_malumot!B103="Avtotransport",A26,A23)</f>
        <v xml:space="preserve"> Egalik huquqi SIMONYAN VADIM ROMANOVICHga tegishli bo'lgan  umumiy yer maydoni, (m2) - 166, qurilish osti maydoni - 87, umumiy foydali maydoni - 48.67  va yashash maydoni  - 30.84 Yakka tartibdagi uy-joy, TOSHKENT SHAHAR YUNUSOBOD TUMANI OTCHOPAR-1 MFY KARIM ZARIPOV KO'CHASI 8-6 UY </v>
      </c>
      <c r="B22" s="310"/>
      <c r="C22" s="310"/>
      <c r="D22" s="310"/>
    </row>
    <row r="23" spans="1:5" ht="79.5" hidden="1" customHeight="1">
      <c r="A23" s="310" t="str">
        <f>IF(umumiy_malumot!B92=umumiy_malumot!C92,A25,IF(umumiy_malumot!B92=umumiy_malumot!D92,A24,0))</f>
        <v xml:space="preserve"> Egalik huquqi SIMONYAN VADIM ROMANOVICHga tegishli bo'lgan  umumiy yer maydoni, (m2) - 166, qurilish osti maydoni - 87, umumiy foydali maydoni - 48.67  va yashash maydoni  - 30.84 Yakka tartibdagi uy-joy, TOSHKENT SHAHAR YUNUSOBOD TUMANI OTCHOPAR-1 MFY KARIM ZARIPOV KO'CHASI 8-6 UY </v>
      </c>
      <c r="B23" s="310"/>
      <c r="C23" s="310"/>
      <c r="D23" s="310"/>
    </row>
    <row r="24" spans="1:5" ht="96.75" hidden="1" customHeight="1">
      <c r="A24" s="310" t="str">
        <f>" - Navbatdagi garov (ipoteka) Egalik huquqi asosida  "&amp;umumiy_malumot!C117&amp;"ga "&amp;umumiy_malumot!C126&amp;", umumiy maydoni - "&amp;umumiy_malumot!C130&amp;" va qurilish osti maydoni - "&amp;umumiy_malumot!C133&amp;", manzili: "&amp;umumiy_malumot!C123&amp;"."</f>
        <v xml:space="preserve"> - Navbatdagi garov (ipoteka) Egalik huquqi asosida  SIMONYAN VADIM ROMANOVICHga Yakka tartibdagi uy-joy, umumiy maydoni - 48.67 va qurilish osti maydoni - 87, manzili: TOSHKENT SHAHAR YUNUSOBOD TUMANI OTCHOPAR-1 MFY KARIM ZARIPOV KO'CHASI 8-6 UY.</v>
      </c>
      <c r="B24" s="310"/>
      <c r="C24" s="310"/>
      <c r="D24" s="310"/>
      <c r="E24" s="186"/>
    </row>
    <row r="25" spans="1:5" ht="92.25" hidden="1" customHeight="1">
      <c r="A25" s="311" t="str">
        <f>" Egalik huquqi "&amp;umumiy_malumot!C117&amp;"ga tegishli bo'lgan  "&amp;umumiy_malumot!D134&amp;" - "&amp;umumiy_malumot!C134&amp;", "&amp;umumiy_malumot!D133&amp;" - "&amp;umumiy_malumot!C133&amp;", "&amp;umumiy_malumot!D130&amp;" - "&amp;umumiy_malumot!C130&amp;"  va "&amp;umumiy_malumot!D131&amp;"  - "&amp;umumiy_malumot!C131&amp;" "&amp;umumiy_malumot!C126&amp;", "&amp;umumiy_malumot!C123&amp;" "</f>
        <v xml:space="preserve"> Egalik huquqi SIMONYAN VADIM ROMANOVICHga tegishli bo'lgan  umumiy yer maydoni, (m2) - 166, qurilish osti maydoni - 87, umumiy foydali maydoni - 48.67  va yashash maydoni  - 30.84 Yakka tartibdagi uy-joy, TOSHKENT SHAHAR YUNUSOBOD TUMANI OTCHOPAR-1 MFY KARIM ZARIPOV KO'CHASI 8-6 UY </v>
      </c>
      <c r="B25" s="311"/>
      <c r="C25" s="311"/>
      <c r="D25" s="311"/>
    </row>
    <row r="26" spans="1:5" ht="78" hidden="1" customHeight="1">
      <c r="A26" s="310" t="str">
        <f>IF(umumiy_malumot!B92=umumiy_malumot!C92,kredit_ariza!A28:D28,IF(umumiy_malumot!B92=umumiy_malumot!D92,kredit_ariza!A27:D27,0))</f>
        <v xml:space="preserve">  Egalik huquqi SIMONYAN VADIM ROMANOVICHga tegishli bo'lgan garovga olingan avtomobil markasi   , rangi -  , ishlab chiqarilgan yili - , davlat raqam belgisi , kuzov turi - , kuzov raqami , dvigatel raqami , shassi raqami - </v>
      </c>
      <c r="B26" s="310"/>
      <c r="C26" s="310"/>
      <c r="D26" s="310"/>
    </row>
    <row r="27" spans="1:5" ht="93" hidden="1" customHeight="1">
      <c r="A27" s="310" t="str">
        <f>" Egalik huquqi "&amp;umumiy_malumot!B117&amp;"ga tegishli bo'lgan "&amp;umumiy_malumot!B125&amp;", "&amp;umumiy_malumot!B133&amp;", davlat raqam belgisi "&amp;umumiy_malumot!B126&amp;", "&amp;umumiy_malumot!B127&amp;", "&amp;umumiy_malumot!B130&amp;" avtotransport vositasi "</f>
        <v xml:space="preserve"> Egalik huquqi SIMONYAN VADIM ROMANOVICHga tegishli bo'lgan , rangi -  , ishlab chiqarilgan yili - , davlat raqam belgisi , kuzov turi - , kuzov raqami , dvigatel raqami , shassi raqami -  avtotransport vositasi </v>
      </c>
      <c r="B27" s="310"/>
      <c r="C27" s="310"/>
      <c r="D27" s="310"/>
    </row>
    <row r="28" spans="1:5" ht="93.75" hidden="1" customHeight="1">
      <c r="A28" s="310" t="str">
        <f>"  Egalik huquqi "&amp;umumiy_malumot!B117&amp;"ga tegishli bo'lgan garovga olingan avtomobil markasi   "&amp;umumiy_malumot!B125&amp;", "&amp;umumiy_malumot!B133&amp;", davlat raqam belgisi "&amp;umumiy_malumot!B126&amp;", "&amp;umumiy_malumot!B127&amp;", "&amp;umumiy_malumot!B130&amp;""</f>
        <v xml:space="preserve">  Egalik huquqi SIMONYAN VADIM ROMANOVICHga tegishli bo'lgan garovga olingan avtomobil markasi   , rangi -  , ishlab chiqarilgan yili - , davlat raqam belgisi , kuzov turi - , kuzov raqami , dvigatel raqami , shassi raqami - </v>
      </c>
      <c r="B28" s="310"/>
      <c r="C28" s="310"/>
      <c r="D28" s="310"/>
    </row>
    <row r="29" spans="1:5" ht="10.5" customHeight="1">
      <c r="A29" s="309"/>
      <c r="B29" s="309"/>
      <c r="C29" s="309"/>
      <c r="D29" s="309"/>
    </row>
    <row r="30" spans="1:5" ht="53.25" customHeight="1">
      <c r="A30" s="310" t="str">
        <f>"Mazkur ariza bilan "&amp;umumiy_malumot!B147&amp;"ga men va soʻralayotgan "&amp;umumiy_malumot!B65&amp;" boʻyicha barcha zarur maʼlumotlarni quyida ko’rsatilgan tashkilotlarga taqdim etish va olishga roziligimni bildirib, ushbu amaliyotlarni o’tkazish uchun huquq beraman:"</f>
        <v>Mazkur ariza bilan «PULLOL BUSINESS MIKROMOLIYA TASHKILOTI»  MChJga men va soʻralayotgan Mikroqarz boʻyicha barcha zarur maʼlumotlarni quyida ko’rsatilgan tashkilotlarga taqdim etish va olishga roziligimni bildirib, ushbu amaliyotlarni o’tkazish uchun huquq beraman:</v>
      </c>
      <c r="B30" s="310"/>
      <c r="C30" s="310"/>
      <c r="D30" s="310"/>
    </row>
    <row r="31" spans="1:5" ht="15.75" customHeight="1">
      <c r="A31" s="310" t="s">
        <v>242</v>
      </c>
      <c r="B31" s="310"/>
      <c r="C31" s="310"/>
      <c r="D31" s="310"/>
    </row>
    <row r="32" spans="1:5">
      <c r="A32" s="310" t="s">
        <v>243</v>
      </c>
      <c r="B32" s="310"/>
      <c r="C32" s="310"/>
      <c r="D32" s="310"/>
    </row>
    <row r="33" spans="1:4">
      <c r="A33" s="310" t="s">
        <v>244</v>
      </c>
      <c r="B33" s="310"/>
      <c r="C33" s="310"/>
      <c r="D33" s="310"/>
    </row>
    <row r="34" spans="1:4">
      <c r="A34" s="309" t="str">
        <f>"Ariza berilgan sana: "&amp;TEXT(umumiy_malumot!B2,"ДД.ММ.ГГГГ")&amp;"y."</f>
        <v>Ariza berilgan sana: 02.02.2026y.</v>
      </c>
      <c r="B34" s="309"/>
      <c r="C34" s="309"/>
      <c r="D34" s="309"/>
    </row>
    <row r="35" spans="1:4">
      <c r="A35" s="309"/>
      <c r="B35" s="309"/>
      <c r="C35" s="309"/>
      <c r="D35" s="309"/>
    </row>
    <row r="36" spans="1:4">
      <c r="A36" s="309" t="s">
        <v>245</v>
      </c>
      <c r="B36" s="309"/>
      <c r="C36" s="309"/>
      <c r="D36" s="309"/>
    </row>
    <row r="37" spans="1:4">
      <c r="A37" s="309"/>
      <c r="B37" s="309"/>
      <c r="C37" s="309"/>
      <c r="D37" s="309"/>
    </row>
    <row r="38" spans="1:4">
      <c r="A38" s="309"/>
      <c r="B38" s="309"/>
      <c r="C38" s="309"/>
      <c r="D38" s="309"/>
    </row>
    <row r="39" spans="1:4" ht="15.75" customHeight="1">
      <c r="A39" s="312" t="str">
        <f>umumiy_malumot!B5</f>
        <v>SIMONYAN VADIM ROMANOVICH</v>
      </c>
      <c r="B39" s="312"/>
      <c r="C39" s="312"/>
      <c r="D39" s="15" t="s">
        <v>4</v>
      </c>
    </row>
    <row r="40" spans="1:4">
      <c r="A40" s="14"/>
      <c r="B40" s="14"/>
      <c r="D40" s="16" t="s">
        <v>328</v>
      </c>
    </row>
    <row r="41" spans="1:4">
      <c r="A41" s="309"/>
      <c r="B41" s="309"/>
      <c r="C41" s="309"/>
      <c r="D41" s="309"/>
    </row>
    <row r="42" spans="1:4">
      <c r="A42" s="309"/>
      <c r="B42" s="309"/>
      <c r="C42" s="309"/>
      <c r="D42" s="309"/>
    </row>
    <row r="43" spans="1:4">
      <c r="A43" s="309"/>
      <c r="B43" s="309"/>
      <c r="C43" s="309"/>
      <c r="D43" s="309"/>
    </row>
    <row r="44" spans="1:4">
      <c r="A44" s="309"/>
      <c r="B44" s="309"/>
      <c r="C44" s="309"/>
      <c r="D44" s="309"/>
    </row>
    <row r="45" spans="1:4">
      <c r="A45" s="309"/>
      <c r="B45" s="309"/>
      <c r="C45" s="309"/>
      <c r="D45" s="309"/>
    </row>
    <row r="46" spans="1:4">
      <c r="A46" s="309"/>
      <c r="B46" s="309"/>
      <c r="C46" s="309"/>
      <c r="D46" s="309"/>
    </row>
    <row r="47" spans="1:4">
      <c r="A47" s="309"/>
      <c r="B47" s="309"/>
      <c r="C47" s="309"/>
      <c r="D47" s="309"/>
    </row>
    <row r="48" spans="1:4">
      <c r="A48" s="309"/>
      <c r="B48" s="309"/>
      <c r="C48" s="309"/>
      <c r="D48" s="309"/>
    </row>
    <row r="49" spans="1:4">
      <c r="A49" s="309"/>
      <c r="B49" s="309"/>
      <c r="C49" s="309"/>
      <c r="D49" s="309"/>
    </row>
    <row r="50" spans="1:4">
      <c r="A50" s="309"/>
      <c r="B50" s="309"/>
      <c r="C50" s="309"/>
      <c r="D50" s="309"/>
    </row>
    <row r="51" spans="1:4">
      <c r="A51" s="309"/>
      <c r="B51" s="309"/>
      <c r="C51" s="309"/>
      <c r="D51" s="309"/>
    </row>
    <row r="52" spans="1:4">
      <c r="A52" s="309"/>
      <c r="B52" s="309"/>
      <c r="C52" s="309"/>
      <c r="D52" s="309"/>
    </row>
    <row r="53" spans="1:4">
      <c r="A53" s="309"/>
      <c r="B53" s="309"/>
      <c r="C53" s="309"/>
      <c r="D53" s="309"/>
    </row>
    <row r="54" spans="1:4">
      <c r="A54" s="309"/>
      <c r="B54" s="309"/>
      <c r="C54" s="309"/>
      <c r="D54" s="309"/>
    </row>
    <row r="55" spans="1:4">
      <c r="A55" s="309"/>
      <c r="B55" s="309"/>
      <c r="C55" s="309"/>
      <c r="D55" s="309"/>
    </row>
    <row r="56" spans="1:4">
      <c r="A56" s="309"/>
      <c r="B56" s="309"/>
      <c r="C56" s="309"/>
      <c r="D56" s="309"/>
    </row>
    <row r="57" spans="1:4">
      <c r="A57" s="309"/>
      <c r="B57" s="309"/>
      <c r="C57" s="309"/>
      <c r="D57" s="309"/>
    </row>
    <row r="58" spans="1:4">
      <c r="A58" s="309"/>
      <c r="B58" s="309"/>
      <c r="C58" s="309"/>
      <c r="D58" s="309"/>
    </row>
    <row r="59" spans="1:4">
      <c r="A59" s="309"/>
      <c r="B59" s="309"/>
      <c r="C59" s="309"/>
      <c r="D59" s="309"/>
    </row>
    <row r="60" spans="1:4">
      <c r="A60" s="309"/>
      <c r="B60" s="309"/>
      <c r="C60" s="309"/>
      <c r="D60" s="309"/>
    </row>
    <row r="61" spans="1:4">
      <c r="A61" s="309"/>
      <c r="B61" s="309"/>
      <c r="C61" s="309"/>
      <c r="D61" s="309"/>
    </row>
    <row r="62" spans="1:4">
      <c r="A62" s="309"/>
      <c r="B62" s="309"/>
      <c r="C62" s="309"/>
      <c r="D62" s="309"/>
    </row>
    <row r="63" spans="1:4">
      <c r="A63" s="309"/>
      <c r="B63" s="309"/>
      <c r="C63" s="309"/>
      <c r="D63" s="309"/>
    </row>
    <row r="64" spans="1:4">
      <c r="A64" s="309"/>
      <c r="B64" s="309"/>
      <c r="C64" s="309"/>
      <c r="D64" s="309"/>
    </row>
    <row r="65" spans="1:4">
      <c r="A65" s="309"/>
      <c r="B65" s="309"/>
      <c r="C65" s="309"/>
      <c r="D65" s="309"/>
    </row>
    <row r="66" spans="1:4">
      <c r="A66" s="309"/>
      <c r="B66" s="309"/>
      <c r="C66" s="309"/>
      <c r="D66" s="309"/>
    </row>
    <row r="67" spans="1:4">
      <c r="A67" s="309"/>
      <c r="B67" s="309"/>
      <c r="C67" s="309"/>
      <c r="D67" s="309"/>
    </row>
    <row r="68" spans="1:4">
      <c r="A68" s="309"/>
      <c r="B68" s="309"/>
      <c r="C68" s="309"/>
      <c r="D68" s="309"/>
    </row>
    <row r="69" spans="1:4">
      <c r="A69" s="309"/>
      <c r="B69" s="309"/>
      <c r="C69" s="309"/>
      <c r="D69" s="309"/>
    </row>
    <row r="70" spans="1:4">
      <c r="A70" s="309"/>
      <c r="B70" s="309"/>
      <c r="C70" s="309"/>
      <c r="D70" s="309"/>
    </row>
    <row r="71" spans="1:4">
      <c r="A71" s="309"/>
      <c r="B71" s="309"/>
      <c r="C71" s="309"/>
      <c r="D71" s="309"/>
    </row>
    <row r="72" spans="1:4">
      <c r="A72" s="309"/>
      <c r="B72" s="309"/>
      <c r="C72" s="309"/>
      <c r="D72" s="309"/>
    </row>
    <row r="73" spans="1:4">
      <c r="A73" s="309"/>
      <c r="B73" s="309"/>
      <c r="C73" s="309"/>
      <c r="D73" s="309"/>
    </row>
    <row r="74" spans="1:4">
      <c r="A74" s="309"/>
      <c r="B74" s="309"/>
      <c r="C74" s="309"/>
      <c r="D74" s="309"/>
    </row>
    <row r="75" spans="1:4">
      <c r="A75" s="309"/>
      <c r="B75" s="309"/>
      <c r="C75" s="309"/>
      <c r="D75" s="309"/>
    </row>
    <row r="76" spans="1:4">
      <c r="A76" s="309"/>
      <c r="B76" s="309"/>
      <c r="C76" s="309"/>
      <c r="D76" s="309"/>
    </row>
    <row r="77" spans="1:4">
      <c r="A77" s="309"/>
      <c r="B77" s="309"/>
      <c r="C77" s="309"/>
      <c r="D77" s="309"/>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0866141732283472" right="0.31496062992125984" top="0.74803149606299213" bottom="0.74803149606299213" header="0.31496062992125984" footer="0.31496062992125984"/>
  <pageSetup paperSize="9" scale="9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A9" sqref="A9:XFD9"/>
    </sheetView>
  </sheetViews>
  <sheetFormatPr defaultRowHeight="15"/>
  <cols>
    <col min="1" max="1" width="54.42578125" style="19" customWidth="1"/>
    <col min="2" max="2" width="32.28515625" style="19" customWidth="1"/>
  </cols>
  <sheetData>
    <row r="3" spans="1:2" ht="35.25" customHeight="1">
      <c r="A3" s="313" t="s">
        <v>208</v>
      </c>
      <c r="B3" s="313"/>
    </row>
    <row r="4" spans="1:2" ht="92.25" customHeight="1">
      <c r="A4" s="243" t="str">
        <f>"     Men, fuqaro "&amp;umumiy_malumot!B5&amp;" "&amp;umumiy_malumot!B149&amp;" bilan "&amp;umumiy_malumot!B69&amp;" sanasidagi "&amp;umumiy_malumot!B66&amp;"-sonli shartnomaning garov ta'minoti sifatida taqdim etilayotgan "&amp;umumiy_malumot!C125&amp;" ko'chmas mulkni qonunga xilof ravishda o‘zlashtirmaslikka, yashirmaslikka, nobud qilmaslikka yoki unga shikast yetkazmaslik majburiyatini olaman."</f>
        <v xml:space="preserve">     Men, fuqaro SIMONYAN VADIM ROMANOVICH «PULLOL BUSINESS MIKROMOLIYA TASHKILOTI»  MChJ bilan 2 fevral 2026 y. sanasidagi №43-sonli shartnomaning garov ta'minoti sifatida taqdim etilayotgan Yakka tartibdagi uy-joy ko'chmas mulkni qonunga xilof ravishda o‘zlashtirmaslikka, yashirmaslikka, nobud qilmaslikka yoki unga shikast yetkazmaslik majburiyatini olaman.</v>
      </c>
      <c r="B4" s="243"/>
    </row>
    <row r="5" spans="1:2" ht="56.25" customHeight="1">
      <c r="A5" s="314" t="s">
        <v>209</v>
      </c>
      <c r="B5" s="314"/>
    </row>
    <row r="6" spans="1:2" ht="42.75" customHeight="1"/>
    <row r="7" spans="1:2">
      <c r="A7" s="19" t="str">
        <f>umumiy_malumot!B5</f>
        <v>SIMONYAN VADIM ROMANOVICH</v>
      </c>
      <c r="B7" s="161" t="s">
        <v>210</v>
      </c>
    </row>
    <row r="8" spans="1:2" ht="26.25" customHeight="1"/>
    <row r="9" spans="1:2" hidden="1">
      <c r="A9" s="19">
        <f>umumiy_malumot!C105</f>
        <v>0</v>
      </c>
      <c r="B9" s="161" t="s">
        <v>210</v>
      </c>
    </row>
    <row r="10" spans="1:2" ht="26.25" customHeight="1"/>
    <row r="11" spans="1:2">
      <c r="A11" s="19" t="str">
        <f>"sana:   "&amp;TEXT(umumiy_malumot!B2,"ДД.ММ.ГГГГ")&amp;" y."</f>
        <v>sana:   02.02.2026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F77"/>
  <sheetViews>
    <sheetView view="pageBreakPreview" topLeftCell="A59" zoomScaleSheetLayoutView="100" workbookViewId="0">
      <selection activeCell="A78" sqref="A78"/>
    </sheetView>
  </sheetViews>
  <sheetFormatPr defaultColWidth="9.140625" defaultRowHeight="15" outlineLevelRow="1"/>
  <cols>
    <col min="1" max="2" width="23.7109375" style="19" customWidth="1"/>
    <col min="3" max="6" width="17" style="19" customWidth="1"/>
    <col min="7" max="16384" width="9.140625" style="19"/>
  </cols>
  <sheetData>
    <row r="1" spans="1:6" ht="36" customHeight="1">
      <c r="A1" s="277" t="str">
        <f>""&amp;umumiy_malumot!B147&amp;"
mikromoliya tashkilotining Xulosasi"</f>
        <v>«PULLOL BUSINESS MIKROMOLIYA TASHKILOTI»  MChJ
mikromoliya tashkilotining Xulosasi</v>
      </c>
      <c r="B1" s="277"/>
      <c r="C1" s="277"/>
      <c r="D1" s="277"/>
      <c r="E1" s="277"/>
      <c r="F1" s="277"/>
    </row>
    <row r="2" spans="1:6">
      <c r="A2" s="243"/>
      <c r="B2" s="243"/>
      <c r="C2" s="243"/>
      <c r="D2" s="243"/>
      <c r="E2" s="243"/>
      <c r="F2" s="243"/>
    </row>
    <row r="3" spans="1:6">
      <c r="A3" s="277" t="s">
        <v>196</v>
      </c>
      <c r="B3" s="277"/>
      <c r="C3" s="277"/>
      <c r="D3" s="277"/>
      <c r="E3" s="277"/>
      <c r="F3" s="277"/>
    </row>
    <row r="4" spans="1:6">
      <c r="A4" s="243" t="str">
        <f>"Mijozning to'liq ismi sharifi: "&amp;umumiy_malumot!B5&amp;""</f>
        <v>Mijozning to'liq ismi sharifi: SIMONYAN VADIM ROMANOVICH</v>
      </c>
      <c r="B4" s="243"/>
      <c r="C4" s="243"/>
      <c r="D4" s="243"/>
      <c r="E4" s="243"/>
      <c r="F4" s="243"/>
    </row>
    <row r="5" spans="1:6">
      <c r="A5" s="243" t="str">
        <f>"Tug'ilgan sanasi: "&amp;umumiy_malumot!B15&amp;""</f>
        <v>Tug'ilgan sanasi: 14.12.1968 yil</v>
      </c>
      <c r="B5" s="243"/>
      <c r="C5" s="243"/>
      <c r="D5" s="243"/>
      <c r="E5" s="243"/>
      <c r="F5" s="243"/>
    </row>
    <row r="6" spans="1:6" ht="31.5" customHeight="1">
      <c r="A6" s="243" t="str">
        <f>"Pasport seriyasi "&amp;umumiy_malumot!B16&amp;" "&amp;umumiy_malumot!B20&amp;", amal qilish muddati - "&amp;umumiy_malumot!B21&amp;""</f>
        <v>Pasport seriyasi AD 3925702 IIV 26266 tomonidan 12.07.2023 yilda berilgan, amal qilish muddati - 11.07.2033 y.</v>
      </c>
      <c r="B6" s="243"/>
      <c r="C6" s="243"/>
      <c r="D6" s="243"/>
      <c r="E6" s="243"/>
      <c r="F6" s="243"/>
    </row>
    <row r="7" spans="1:6" ht="35.25" customHeight="1">
      <c r="A7" s="243" t="str">
        <f>"Ro‘yxatdan o‘tgan manzili: "&amp;umumiy_malumot!B28&amp;", mo'ljal: "&amp;umumiy_malumot!B26&amp;""</f>
        <v>Ro‘yxatdan o‘tgan manzili: TOSHKENT SHAHAR YUNUSOBOD TUMANI OTCHOPAR-1 MFY KARIM ZARIPOV KO'CHASI 8-6 UY, mo'ljal: CHINOBOD SANATORIY SANTINI</v>
      </c>
      <c r="B7" s="243"/>
      <c r="C7" s="243"/>
      <c r="D7" s="243"/>
      <c r="E7" s="243"/>
      <c r="F7" s="243"/>
    </row>
    <row r="8" spans="1:6" ht="23.25" customHeight="1">
      <c r="A8" s="243" t="str">
        <f>"Ish joyi: "&amp;umumiy_malumot!B52&amp;" lavozimi "&amp;umumiy_malumot!B49&amp;"da "&amp;umumiy_malumot!B44&amp;""</f>
        <v>Ish joyi:  lavozimi Yakka tartibdagi tadbirkorda Yakka tartibdagi tadbirkor</v>
      </c>
      <c r="B8" s="243"/>
      <c r="C8" s="243"/>
      <c r="D8" s="243"/>
      <c r="E8" s="243"/>
      <c r="F8" s="243"/>
    </row>
    <row r="9" spans="1:6">
      <c r="A9" s="243"/>
      <c r="B9" s="243"/>
      <c r="C9" s="243"/>
      <c r="D9" s="243"/>
      <c r="E9" s="243"/>
      <c r="F9" s="243"/>
    </row>
    <row r="10" spans="1:6">
      <c r="A10" s="277" t="str">
        <f>"Mijoz tomonidan so’ralgan "&amp;umumiy_malumot!B65&amp;" shartlari:"</f>
        <v>Mijoz tomonidan so’ralgan Mikroqarz shartlari:</v>
      </c>
      <c r="B10" s="277"/>
      <c r="C10" s="277"/>
      <c r="D10" s="277"/>
      <c r="E10" s="277"/>
      <c r="F10" s="277"/>
    </row>
    <row r="11" spans="1:6">
      <c r="A11" s="243" t="str">
        <f>kredit_ariza!A13</f>
        <v>Mikroqarz summasi: 50 000 000,00 (Ellik million so'm) so'm.</v>
      </c>
      <c r="B11" s="243"/>
      <c r="C11" s="243"/>
      <c r="D11" s="243"/>
      <c r="E11" s="243"/>
      <c r="F11" s="243"/>
    </row>
    <row r="12" spans="1:6">
      <c r="A12" s="243" t="str">
        <f>kredit_ariza!A14:D14</f>
        <v>Mikroqarz muddati: 24 (yigirma to'rt) oy.</v>
      </c>
      <c r="B12" s="243"/>
      <c r="C12" s="243"/>
      <c r="D12" s="243"/>
      <c r="E12" s="243"/>
      <c r="F12" s="243"/>
    </row>
    <row r="13" spans="1:6">
      <c r="A13" s="243" t="str">
        <f>kredit_ariza!A15:D15</f>
        <v>Mikroqarzdan foydalanganlik uchun foiz stavkasi: yillik  50% (Ellik  ) foiz</v>
      </c>
      <c r="B13" s="243"/>
      <c r="C13" s="243"/>
      <c r="D13" s="243"/>
      <c r="E13" s="243"/>
      <c r="F13" s="243"/>
    </row>
    <row r="14" spans="1:6">
      <c r="A14" s="243" t="str">
        <f>kredit_ariza!A16:D16</f>
        <v>46785 bo'yicha asosiy qarz va foizlarni to'lash:</v>
      </c>
      <c r="B14" s="243"/>
      <c r="C14" s="243"/>
      <c r="D14" s="243"/>
      <c r="E14" s="243"/>
      <c r="F14" s="243"/>
    </row>
    <row r="15" spans="1:6" ht="18.75" customHeight="1">
      <c r="A15" s="243" t="str">
        <f>kredit_ariza!A19:D19</f>
        <v xml:space="preserve"> - Mikroqarz shartnomasi bo'yicha har oy annuitet to'lovlari amalga oshiriladi</v>
      </c>
      <c r="B15" s="243"/>
      <c r="C15" s="243"/>
      <c r="D15" s="243"/>
      <c r="E15" s="243"/>
      <c r="F15" s="243"/>
    </row>
    <row r="16" spans="1:6" ht="14.25" customHeight="1">
      <c r="A16" s="253" t="str">
        <f>kredit_ariza!A20:D20</f>
        <v xml:space="preserve">   </v>
      </c>
      <c r="B16" s="253"/>
      <c r="C16" s="253"/>
      <c r="D16" s="253"/>
      <c r="E16" s="253"/>
      <c r="F16" s="253"/>
    </row>
    <row r="17" spans="1:6">
      <c r="A17" s="243" t="str">
        <f>kredit_ariza!A21:D21</f>
        <v>Mikroqarz ta’minoti::</v>
      </c>
      <c r="B17" s="243"/>
      <c r="C17" s="243"/>
      <c r="D17" s="243"/>
      <c r="E17" s="243"/>
      <c r="F17" s="243"/>
    </row>
    <row r="18" spans="1:6" ht="48" customHeight="1">
      <c r="A18" s="243" t="str">
        <f>kredit_ariza!A22:D22</f>
        <v xml:space="preserve"> Egalik huquqi SIMONYAN VADIM ROMANOVICHga tegishli bo'lgan  umumiy yer maydoni, (m2) - 166, qurilish osti maydoni - 87, umumiy foydali maydoni - 48.67  va yashash maydoni  - 30.84 Yakka tartibdagi uy-joy, TOSHKENT SHAHAR YUNUSOBOD TUMANI OTCHOPAR-1 MFY KARIM ZARIPOV KO'CHASI 8-6 UY </v>
      </c>
      <c r="B18" s="243"/>
      <c r="C18" s="243"/>
      <c r="D18" s="243"/>
      <c r="E18" s="243"/>
      <c r="F18" s="243"/>
    </row>
    <row r="19" spans="1:6">
      <c r="A19" s="277" t="s">
        <v>197</v>
      </c>
      <c r="B19" s="277"/>
      <c r="C19" s="277"/>
      <c r="D19" s="277"/>
      <c r="E19" s="277"/>
      <c r="F19" s="277"/>
    </row>
    <row r="20" spans="1:6" ht="35.25" customHeight="1">
      <c r="A20" s="243" t="str">
        <f>"Anketaga muvofiq "&amp;umumiy_malumot!B9&amp;"ning o‘rtacha oylik daromadi  "&amp;FIXED(mijoz_anketasi!B27)&amp;" so‘mni tashkil etdi."</f>
        <v>Anketaga muvofiq SIMONYAN V. R.ning o‘rtacha oylik daromadi  15 000 000,00 so‘mni tashkil etdi.</v>
      </c>
      <c r="B20" s="243"/>
      <c r="C20" s="243"/>
      <c r="D20" s="243"/>
      <c r="E20" s="243"/>
      <c r="F20" s="243"/>
    </row>
    <row r="21" spans="1:6" ht="21" customHeight="1">
      <c r="A21" s="243" t="str">
        <f>"Mijozning o'rtacha oylik xarajatlari "&amp;FIXED(mijoz_anketasi!F27)&amp;" so'mni tashkil etdi"</f>
        <v>Mijozning o'rtacha oylik xarajatlari 1 800 000,00 so'mni tashkil etdi</v>
      </c>
      <c r="B21" s="243"/>
      <c r="C21" s="243"/>
      <c r="D21" s="243"/>
      <c r="E21" s="243"/>
      <c r="F21" s="243"/>
    </row>
    <row r="22" spans="1:6">
      <c r="A22" s="243" t="str">
        <f>IF(umumiy_malumot!B77=umumiy_malumot!C77,xulosa!A23:F23,xulosa!A24:F24)</f>
        <v>Mikrokredit bo‘yicha oylik annuitet to‘lovi miqdori 3 478 000,00 so‘mni tashkil etadi.</v>
      </c>
      <c r="B22" s="243"/>
      <c r="C22" s="243"/>
      <c r="D22" s="243"/>
      <c r="E22" s="243"/>
      <c r="F22" s="243"/>
    </row>
    <row r="23" spans="1:6" ht="21" hidden="1" customHeight="1">
      <c r="A23" s="243" t="str">
        <f>""&amp;umumiy_malumot!C64&amp;" shartnomasi bo'yicha birinchi oy uchun to'lov "&amp;FIXED(umumiy_malumot!B90)&amp;" so'mni tashkil etadi."</f>
        <v>Mikrokredit shartnomasi bo'yicha birinchi oy uchun to'lov 3 478 000,00 so'mni tashkil etadi.</v>
      </c>
      <c r="B23" s="243"/>
      <c r="C23" s="243"/>
      <c r="D23" s="243"/>
      <c r="E23" s="243"/>
      <c r="F23" s="243"/>
    </row>
    <row r="24" spans="1:6" ht="29.25" hidden="1" customHeight="1">
      <c r="A24" s="243" t="str">
        <f>""&amp;umumiy_malumot!C64&amp;" bo‘yicha oylik "&amp;umumiy_malumot!B77&amp;" to‘lovi miqdori "&amp;FIXED(umumiy_malumot!B90)&amp;" so‘mni tashkil etadi."</f>
        <v>Mikrokredit bo‘yicha oylik annuitet to‘lovi miqdori 3 478 000,00 so‘mni tashkil etadi.</v>
      </c>
      <c r="B24" s="243"/>
      <c r="C24" s="243"/>
      <c r="D24" s="243"/>
      <c r="E24" s="243"/>
      <c r="F24" s="243"/>
    </row>
    <row r="25" spans="1:6" ht="90" hidden="1" customHeight="1">
      <c r="A25" s="253" t="s">
        <v>410</v>
      </c>
      <c r="B25" s="253"/>
      <c r="C25" s="253"/>
      <c r="D25" s="253"/>
      <c r="E25" s="253"/>
      <c r="F25" s="253"/>
    </row>
    <row r="26" spans="1:6">
      <c r="A26" s="277" t="str">
        <f>""&amp;umumiy_malumot!B65&amp;" bo’yicha ta’minot:"</f>
        <v>Mikroqarz bo’yicha ta’minot:</v>
      </c>
      <c r="B26" s="277"/>
      <c r="C26" s="277"/>
      <c r="D26" s="277"/>
      <c r="E26" s="277"/>
      <c r="F26" s="277"/>
    </row>
    <row r="27" spans="1:6" ht="15" hidden="1" customHeight="1">
      <c r="A27" s="243" t="str">
        <f>" - "&amp;umumiy_malumot!B117&amp;" ga mulk huquqi asosida tegishli avtotransport vositasi "&amp;umumiy_malumot!B125&amp;" , quyidagi tafsilotlarga muvofiq:"</f>
        <v xml:space="preserve"> - SIMONYAN VADIM ROMANOVICH ga mulk huquqi asosida tegishli avtotransport vositasi  , quyidagi tafsilotlarga muvofiq:</v>
      </c>
      <c r="B27" s="243"/>
      <c r="C27" s="243"/>
      <c r="D27" s="243"/>
      <c r="E27" s="243"/>
      <c r="F27" s="243"/>
    </row>
    <row r="28" spans="1:6" ht="55.5" customHeight="1">
      <c r="A28" s="243" t="str">
        <f>" -   "&amp;umumiy_malumot!C117&amp;" ga mulk huquqi asosida tegishli ko'chmas mulk shaklida "&amp;umumiy_malumot!C126&amp;", manzili: "&amp;umumiy_malumot!C123&amp;", quyidagi tafsilotlarga muvofiq:"</f>
        <v xml:space="preserve"> -   SIMONYAN VADIM ROMANOVICH ga mulk huquqi asosida tegishli ko'chmas mulk shaklida Yakka tartibdagi uy-joy, manzili: TOSHKENT SHAHAR YUNUSOBOD TUMANI OTCHOPAR-1 MFY KARIM ZARIPOV KO'CHASI 8-6 UY, quyidagi tafsilotlarga muvofiq:</v>
      </c>
      <c r="B28" s="243"/>
      <c r="C28" s="243"/>
      <c r="D28" s="243"/>
      <c r="E28" s="243"/>
      <c r="F28" s="243"/>
    </row>
    <row r="29" spans="1:6" ht="50.25" hidden="1" customHeight="1">
      <c r="A29" s="243" t="str">
        <f>IF(umumiy_malumot!B103="Avtotransport",xulosa!A27:F27,xulosa!A28:F28)</f>
        <v xml:space="preserve"> -   SIMONYAN VADIM ROMANOVICH ga mulk huquqi asosida tegishli ko'chmas mulk shaklida Yakka tartibdagi uy-joy, manzili: TOSHKENT SHAHAR YUNUSOBOD TUMANI OTCHOPAR-1 MFY KARIM ZARIPOV KO'CHASI 8-6 UY, quyidagi tafsilotlarga muvofiq:</v>
      </c>
      <c r="B29" s="243"/>
      <c r="C29" s="243"/>
      <c r="D29" s="243"/>
      <c r="E29" s="243"/>
      <c r="F29" s="243"/>
    </row>
    <row r="30" spans="1:6" s="20" customFormat="1" ht="58.9" customHeight="1" outlineLevel="1">
      <c r="A30" s="43" t="s">
        <v>198</v>
      </c>
      <c r="B30" s="43" t="s">
        <v>414</v>
      </c>
      <c r="C30" s="43" t="s">
        <v>408</v>
      </c>
      <c r="D30" s="43" t="s">
        <v>258</v>
      </c>
      <c r="E30" s="43" t="s">
        <v>416</v>
      </c>
      <c r="F30" s="43" t="s">
        <v>199</v>
      </c>
    </row>
    <row r="31" spans="1:6" s="24" customFormat="1" ht="92.25" customHeight="1" outlineLevel="1">
      <c r="A31" s="21" t="str">
        <f>umumiy_malumot!C125</f>
        <v>Yakka tartibdagi uy-joy</v>
      </c>
      <c r="B31" s="21">
        <f>umumiy_malumot!C134</f>
        <v>166</v>
      </c>
      <c r="C31" s="21">
        <f>umumiy_malumot!C133</f>
        <v>87</v>
      </c>
      <c r="D31" s="21" t="str">
        <f>umumiy_malumot!C131</f>
        <v>30.84</v>
      </c>
      <c r="E31" s="21" t="str">
        <f>umumiy_malumot!C130</f>
        <v>48.67</v>
      </c>
      <c r="F31" s="21" t="str">
        <f>""&amp;FIXED(umumiy_malumot!B136)&amp;" ("&amp;umumiy_malumot!B137&amp;")"</f>
        <v>70 000 000,00 (yetmish million so'm)</v>
      </c>
    </row>
    <row r="32" spans="1:6" hidden="1" outlineLevel="1">
      <c r="A32" s="243" t="str">
        <f>"-* avtotransport vositasining mulkdori: "&amp;umumiy_malumot!B117&amp;""</f>
        <v>-* avtotransport vositasining mulkdori: SIMONYAN VADIM ROMANOVICH</v>
      </c>
      <c r="B32" s="243"/>
      <c r="C32" s="243"/>
      <c r="D32" s="243"/>
      <c r="E32" s="243"/>
      <c r="F32" s="243"/>
    </row>
    <row r="33" spans="1:6" hidden="1" outlineLevel="1">
      <c r="A33" s="243" t="str">
        <f>"-* texpasport raqami:: "&amp;umumiy_malumot!B124&amp;""</f>
        <v xml:space="preserve">-* texpasport raqami:: </v>
      </c>
      <c r="B33" s="243"/>
      <c r="C33" s="243"/>
      <c r="D33" s="243"/>
      <c r="E33" s="243"/>
      <c r="F33" s="243"/>
    </row>
    <row r="34" spans="1:6" ht="33" hidden="1" customHeight="1" outlineLevel="1">
      <c r="A34" s="243" t="str">
        <f>"-* roʻyxatdan oʻtgan manzili/garaj manzili: "&amp;umumiy_malumot!B122&amp;""</f>
        <v>-* roʻyxatdan oʻtgan manzili/garaj manzili: TOSHKENT SHAHAR YUNUSOBOD TUMANI OTCHOPAR-1 MFY KARIM ZARIPOV KO'CHASI 8-6 UY</v>
      </c>
      <c r="B34" s="243"/>
      <c r="C34" s="243"/>
      <c r="D34" s="243"/>
      <c r="E34" s="243"/>
      <c r="F34" s="243"/>
    </row>
    <row r="35" spans="1:6" hidden="1" outlineLevel="1">
      <c r="A35" s="243" t="str">
        <f>"-* davlat raqami: "&amp;umumiy_malumot!B126&amp;""</f>
        <v xml:space="preserve">-* davlat raqami: </v>
      </c>
      <c r="B35" s="243"/>
      <c r="C35" s="243"/>
      <c r="D35" s="243"/>
      <c r="E35" s="243"/>
      <c r="F35" s="243"/>
    </row>
    <row r="36" spans="1:6" ht="9.75" hidden="1" customHeight="1">
      <c r="A36" s="23"/>
      <c r="B36" s="23"/>
      <c r="C36" s="23"/>
      <c r="D36" s="23"/>
      <c r="E36" s="23"/>
      <c r="F36" s="23"/>
    </row>
    <row r="37" spans="1:6" ht="57" hidden="1" outlineLevel="1">
      <c r="A37" s="43" t="s">
        <v>198</v>
      </c>
      <c r="B37" s="43"/>
      <c r="C37" s="43" t="s">
        <v>257</v>
      </c>
      <c r="D37" s="43" t="s">
        <v>258</v>
      </c>
      <c r="E37" s="43" t="s">
        <v>259</v>
      </c>
      <c r="F37" s="43" t="s">
        <v>199</v>
      </c>
    </row>
    <row r="38" spans="1:6" ht="21.75" hidden="1" customHeight="1" outlineLevel="1">
      <c r="A38" s="57" t="str">
        <f>dalolatnoma!A51</f>
        <v>Yashash xona</v>
      </c>
      <c r="B38" s="57"/>
      <c r="C38" s="222" t="str">
        <f>dalolatnoma!C51</f>
        <v>3</v>
      </c>
      <c r="D38" s="61" t="s">
        <v>396</v>
      </c>
      <c r="E38" s="61" t="s">
        <v>395</v>
      </c>
      <c r="F38" s="283" t="str">
        <f>""&amp;FIXED(umumiy_malumot!C136,2)&amp;" ("&amp;umumiy_malumot!C137&amp;")"</f>
        <v>70 000 000,00 (yetmish million so'm)</v>
      </c>
    </row>
    <row r="39" spans="1:6" ht="21.75" hidden="1" customHeight="1" outlineLevel="1">
      <c r="A39" s="57">
        <f>dalolatnoma!A52</f>
        <v>0</v>
      </c>
      <c r="B39" s="57"/>
      <c r="C39" s="61">
        <f>dalolatnoma!C52</f>
        <v>0</v>
      </c>
      <c r="D39" s="61">
        <f>dalolatnoma!D52</f>
        <v>0</v>
      </c>
      <c r="E39" s="61">
        <f>dalolatnoma!E52</f>
        <v>0</v>
      </c>
      <c r="F39" s="283"/>
    </row>
    <row r="40" spans="1:6" ht="34.5" hidden="1" customHeight="1" outlineLevel="1">
      <c r="A40" s="57" t="str">
        <f>dalolatnoma!A53</f>
        <v>Umumiy maydon</v>
      </c>
      <c r="B40" s="57"/>
      <c r="C40" s="61" t="s">
        <v>395</v>
      </c>
      <c r="D40" s="61" t="s">
        <v>396</v>
      </c>
      <c r="E40" s="61" t="s">
        <v>395</v>
      </c>
      <c r="F40" s="283"/>
    </row>
    <row r="41" spans="1:6" ht="21.75" hidden="1" customHeight="1" outlineLevel="1">
      <c r="A41" s="57">
        <f>dalolatnoma!A54</f>
        <v>0</v>
      </c>
      <c r="B41" s="57"/>
      <c r="C41" s="61">
        <f>dalolatnoma!C54</f>
        <v>0</v>
      </c>
      <c r="D41" s="61">
        <f>dalolatnoma!D54</f>
        <v>0</v>
      </c>
      <c r="E41" s="61">
        <f>dalolatnoma!E54</f>
        <v>0</v>
      </c>
      <c r="F41" s="283"/>
    </row>
    <row r="42" spans="1:6" ht="21.75" hidden="1" customHeight="1" outlineLevel="1">
      <c r="A42" s="57">
        <f>dalolatnoma!A55</f>
        <v>0</v>
      </c>
      <c r="B42" s="57"/>
      <c r="C42" s="61">
        <f>dalolatnoma!C55</f>
        <v>0</v>
      </c>
      <c r="D42" s="61">
        <f>dalolatnoma!D55</f>
        <v>0</v>
      </c>
      <c r="E42" s="61">
        <f>dalolatnoma!E55</f>
        <v>0</v>
      </c>
      <c r="F42" s="283"/>
    </row>
    <row r="43" spans="1:6" ht="21.75" hidden="1" customHeight="1" outlineLevel="1">
      <c r="A43" s="57">
        <f>dalolatnoma!A56</f>
        <v>0</v>
      </c>
      <c r="B43" s="57"/>
      <c r="C43" s="61">
        <f>dalolatnoma!C56</f>
        <v>0</v>
      </c>
      <c r="D43" s="61">
        <f>dalolatnoma!D56</f>
        <v>0</v>
      </c>
      <c r="E43" s="61">
        <f>dalolatnoma!E56</f>
        <v>0</v>
      </c>
      <c r="F43" s="283"/>
    </row>
    <row r="44" spans="1:6" ht="21.75" hidden="1" customHeight="1" outlineLevel="1">
      <c r="A44" s="57">
        <f>dalolatnoma!A57</f>
        <v>0</v>
      </c>
      <c r="B44" s="57"/>
      <c r="C44" s="61">
        <f>dalolatnoma!C57</f>
        <v>0</v>
      </c>
      <c r="D44" s="61">
        <f>dalolatnoma!D57</f>
        <v>0</v>
      </c>
      <c r="E44" s="61">
        <f>dalolatnoma!E57</f>
        <v>0</v>
      </c>
      <c r="F44" s="283"/>
    </row>
    <row r="45" spans="1:6" ht="21.75" hidden="1" customHeight="1" outlineLevel="1">
      <c r="A45" s="57">
        <f>dalolatnoma!A58</f>
        <v>0</v>
      </c>
      <c r="B45" s="57"/>
      <c r="C45" s="61">
        <f>dalolatnoma!C58</f>
        <v>0</v>
      </c>
      <c r="D45" s="61">
        <f>dalolatnoma!D58</f>
        <v>0</v>
      </c>
      <c r="E45" s="61">
        <f>dalolatnoma!E58</f>
        <v>0</v>
      </c>
      <c r="F45" s="283"/>
    </row>
    <row r="46" spans="1:6" ht="21.75" hidden="1" customHeight="1" outlineLevel="1">
      <c r="A46" s="57">
        <f>dalolatnoma!A59</f>
        <v>0</v>
      </c>
      <c r="B46" s="57"/>
      <c r="C46" s="61">
        <f>dalolatnoma!C59</f>
        <v>0</v>
      </c>
      <c r="D46" s="61">
        <f>dalolatnoma!D59</f>
        <v>0</v>
      </c>
      <c r="E46" s="61">
        <f>dalolatnoma!E59</f>
        <v>0</v>
      </c>
      <c r="F46" s="283"/>
    </row>
    <row r="47" spans="1:6" ht="21.75" hidden="1" customHeight="1" outlineLevel="1">
      <c r="A47" s="57">
        <f>dalolatnoma!A60</f>
        <v>0</v>
      </c>
      <c r="B47" s="57"/>
      <c r="C47" s="61">
        <f>dalolatnoma!C60</f>
        <v>0</v>
      </c>
      <c r="D47" s="61">
        <f>dalolatnoma!D60</f>
        <v>0</v>
      </c>
      <c r="E47" s="61">
        <f>dalolatnoma!E60</f>
        <v>0</v>
      </c>
      <c r="F47" s="283"/>
    </row>
    <row r="48" spans="1:6" hidden="1" outlineLevel="1">
      <c r="A48" s="57">
        <f>dalolatnoma!A61</f>
        <v>0</v>
      </c>
      <c r="B48" s="57"/>
      <c r="C48" s="61">
        <f>dalolatnoma!C61</f>
        <v>0</v>
      </c>
      <c r="D48" s="61">
        <f>dalolatnoma!D61</f>
        <v>0</v>
      </c>
      <c r="E48" s="61">
        <f>dalolatnoma!E61</f>
        <v>0</v>
      </c>
      <c r="F48" s="283"/>
    </row>
    <row r="49" spans="1:6" s="41" customFormat="1" ht="14.25" hidden="1" outlineLevel="1">
      <c r="A49" s="58" t="str">
        <f>dalolatnoma!A62</f>
        <v>JAMI</v>
      </c>
      <c r="B49" s="58"/>
      <c r="C49" s="62" t="str">
        <f>C40</f>
        <v>43.96</v>
      </c>
      <c r="D49" s="62" t="str">
        <f>D38</f>
        <v>18.82</v>
      </c>
      <c r="E49" s="62" t="str">
        <f>E40</f>
        <v>43.96</v>
      </c>
      <c r="F49" s="63" t="str">
        <f>dalolatnoma!F62</f>
        <v>70 000 000,00</v>
      </c>
    </row>
    <row r="50" spans="1:6" s="41" customFormat="1" outlineLevel="1">
      <c r="A50" s="243" t="str">
        <f>"-* ko'chmas mulk egasi: "&amp;umumiy_malumot!C117&amp;""</f>
        <v>-* ko'chmas mulk egasi: SIMONYAN VADIM ROMANOVICH</v>
      </c>
      <c r="B50" s="243"/>
      <c r="C50" s="243"/>
      <c r="D50" s="243"/>
      <c r="E50" s="243"/>
      <c r="F50" s="243"/>
    </row>
    <row r="51" spans="1:6" s="41" customFormat="1" outlineLevel="1">
      <c r="A51" s="243" t="str">
        <f>"-* reestr raqami: "&amp;umumiy_malumot!C124&amp;""</f>
        <v>-* reestr raqami: №1726266/R-A5552339</v>
      </c>
      <c r="B51" s="243"/>
      <c r="C51" s="243"/>
      <c r="D51" s="243"/>
      <c r="E51" s="243"/>
      <c r="F51" s="243"/>
    </row>
    <row r="52" spans="1:6" s="41" customFormat="1" outlineLevel="1">
      <c r="A52" s="243" t="str">
        <f>"-* kadastr raqami: "&amp;umumiy_malumot!C127&amp;""</f>
        <v>-* kadastr raqami: 07.01.2025 y. №10:07:04:02:02:7296/06</v>
      </c>
      <c r="B52" s="243"/>
      <c r="C52" s="243"/>
      <c r="D52" s="243"/>
      <c r="E52" s="243"/>
      <c r="F52" s="243"/>
    </row>
    <row r="53" spans="1:6" s="41" customFormat="1" ht="30.75" customHeight="1" outlineLevel="1">
      <c r="A53" s="243" t="str">
        <f>"-* manzili: "&amp;umumiy_malumot!C123&amp;""</f>
        <v>-* manzili: TOSHKENT SHAHAR YUNUSOBOD TUMANI OTCHOPAR-1 MFY KARIM ZARIPOV KO'CHASI 8-6 UY</v>
      </c>
      <c r="B53" s="243"/>
      <c r="C53" s="243"/>
      <c r="D53" s="243"/>
      <c r="E53" s="243"/>
      <c r="F53" s="243"/>
    </row>
    <row r="54" spans="1:6" ht="3.75" customHeight="1">
      <c r="A54" s="243"/>
      <c r="B54" s="243"/>
      <c r="C54" s="243"/>
      <c r="D54" s="243"/>
      <c r="E54" s="243"/>
      <c r="F54" s="243"/>
    </row>
    <row r="55" spans="1:6" ht="39" customHeight="1">
      <c r="A55" s="277" t="str">
        <f>""&amp;umumiy_malumot!B147&amp;"
mikromoliya tashkilotining Xulosasi"</f>
        <v>«PULLOL BUSINESS MIKROMOLIYA TASHKILOTI»  MChJ
mikromoliya tashkilotining Xulosasi</v>
      </c>
      <c r="B55" s="277"/>
      <c r="C55" s="277"/>
      <c r="D55" s="277"/>
      <c r="E55" s="277"/>
      <c r="F55" s="277"/>
    </row>
    <row r="56" spans="1:6" ht="48" customHeight="1">
      <c r="A56" s="243" t="str">
        <f>""&amp;umumiy_malumot!B147&amp;" kredit qo‘mitasining xulosasiga quyidagi shartlarda "&amp;umumiy_malumot!B10&amp;"ga "&amp;umumiy_malumot!B65&amp;" berish masalasi kiritiladi:"</f>
        <v>«PULLOL BUSINESS MIKROMOLIYA TASHKILOTI»  MChJ kredit qo‘mitasining xulosasiga quyidagi shartlarda SIMONYAN VADIM ROMANOVICHga Mikroqarz berish masalasi kiritiladi:</v>
      </c>
      <c r="B56" s="243"/>
      <c r="C56" s="243"/>
      <c r="D56" s="243"/>
      <c r="E56" s="243"/>
      <c r="F56" s="243"/>
    </row>
    <row r="57" spans="1:6">
      <c r="A57" s="243" t="str">
        <f>A11</f>
        <v>Mikroqarz summasi: 50 000 000,00 (Ellik million so'm) so'm.</v>
      </c>
      <c r="B57" s="243"/>
      <c r="C57" s="243"/>
      <c r="D57" s="243"/>
      <c r="E57" s="243"/>
      <c r="F57" s="243"/>
    </row>
    <row r="58" spans="1:6">
      <c r="A58" s="243" t="str">
        <f t="shared" ref="A58:A64" si="0">A12</f>
        <v>Mikroqarz muddati: 24 (yigirma to'rt) oy.</v>
      </c>
      <c r="B58" s="243"/>
      <c r="C58" s="243"/>
      <c r="D58" s="243"/>
      <c r="E58" s="243"/>
      <c r="F58" s="243"/>
    </row>
    <row r="59" spans="1:6">
      <c r="A59" s="243" t="str">
        <f t="shared" si="0"/>
        <v>Mikroqarzdan foydalanganlik uchun foiz stavkasi: yillik  50% (Ellik  ) foiz</v>
      </c>
      <c r="B59" s="243"/>
      <c r="C59" s="243"/>
      <c r="D59" s="243"/>
      <c r="E59" s="243"/>
      <c r="F59" s="243"/>
    </row>
    <row r="60" spans="1:6">
      <c r="A60" s="243" t="str">
        <f t="shared" si="0"/>
        <v>46785 bo'yicha asosiy qarz va foizlarni to'lash:</v>
      </c>
      <c r="B60" s="243"/>
      <c r="C60" s="243"/>
      <c r="D60" s="243"/>
      <c r="E60" s="243"/>
      <c r="F60" s="243"/>
    </row>
    <row r="61" spans="1:6" ht="20.25" customHeight="1">
      <c r="A61" s="243" t="str">
        <f t="shared" si="0"/>
        <v xml:space="preserve"> - Mikroqarz shartnomasi bo'yicha har oy annuitet to'lovlari amalga oshiriladi</v>
      </c>
      <c r="B61" s="243"/>
      <c r="C61" s="243"/>
      <c r="D61" s="243"/>
      <c r="E61" s="243"/>
      <c r="F61" s="243"/>
    </row>
    <row r="62" spans="1:6" ht="31.5" hidden="1" customHeight="1">
      <c r="A62" s="243" t="str">
        <f t="shared" si="0"/>
        <v xml:space="preserve">   </v>
      </c>
      <c r="B62" s="243"/>
      <c r="C62" s="243"/>
      <c r="D62" s="243"/>
      <c r="E62" s="243"/>
      <c r="F62" s="243"/>
    </row>
    <row r="63" spans="1:6">
      <c r="A63" s="243" t="str">
        <f t="shared" si="0"/>
        <v>Mikroqarz ta’minoti::</v>
      </c>
      <c r="B63" s="243"/>
      <c r="C63" s="243"/>
      <c r="D63" s="243"/>
      <c r="E63" s="243"/>
      <c r="F63" s="243"/>
    </row>
    <row r="64" spans="1:6" ht="56.25" customHeight="1">
      <c r="A64" s="243" t="str">
        <f t="shared" si="0"/>
        <v xml:space="preserve"> Egalik huquqi SIMONYAN VADIM ROMANOVICHga tegishli bo'lgan  umumiy yer maydoni, (m2) - 166, qurilish osti maydoni - 87, umumiy foydali maydoni - 48.67  va yashash maydoni  - 30.84 Yakka tartibdagi uy-joy, TOSHKENT SHAHAR YUNUSOBOD TUMANI OTCHOPAR-1 MFY KARIM ZARIPOV KO'CHASI 8-6 UY </v>
      </c>
      <c r="B64" s="243"/>
      <c r="C64" s="243"/>
      <c r="D64" s="243"/>
      <c r="E64" s="243"/>
      <c r="F64" s="243"/>
    </row>
    <row r="65" spans="1:6">
      <c r="A65" s="243"/>
      <c r="B65" s="243"/>
      <c r="C65" s="243"/>
      <c r="D65" s="243"/>
      <c r="E65" s="243"/>
      <c r="F65" s="243"/>
    </row>
    <row r="66" spans="1:6" ht="36.75" customHeight="1">
      <c r="A66" s="243" t="str">
        <f>""&amp;umumiy_malumot!B147&amp;" mikromoliya tashkilotining xulosasi  "&amp;TEXT(umumiy_malumot!B2,"ДД.ММ.ГГГГ")&amp;" y. tayyorlangan"</f>
        <v>«PULLOL BUSINESS MIKROMOLIYA TASHKILOTI»  MChJ mikromoliya tashkilotining xulosasi  02.02.2026 y. tayyorlangan</v>
      </c>
      <c r="B66" s="243"/>
      <c r="C66" s="243"/>
      <c r="D66" s="243"/>
      <c r="E66" s="243"/>
      <c r="F66" s="243"/>
    </row>
    <row r="67" spans="1:6">
      <c r="A67" s="243"/>
      <c r="B67" s="243"/>
      <c r="C67" s="243"/>
      <c r="D67" s="243"/>
      <c r="E67" s="243"/>
      <c r="F67" s="243"/>
    </row>
    <row r="68" spans="1:6" ht="15.75" customHeight="1">
      <c r="A68" s="253"/>
      <c r="B68" s="253"/>
      <c r="C68" s="253"/>
      <c r="D68" s="253"/>
      <c r="E68" s="26"/>
      <c r="F68" s="27"/>
    </row>
    <row r="69" spans="1:6" ht="35.25" customHeight="1">
      <c r="A69" s="253" t="str">
        <f>umumiy_malumot!A161</f>
        <v>Kredit bo'yicha menejer</v>
      </c>
      <c r="B69" s="253"/>
      <c r="C69" s="253"/>
      <c r="D69" s="253"/>
      <c r="E69" s="27"/>
      <c r="F69" s="27" t="str">
        <f>umumiy_malumot!B161</f>
        <v>Eshbekov S.O.</v>
      </c>
    </row>
    <row r="70" spans="1:6">
      <c r="A70" s="243"/>
      <c r="B70" s="243"/>
      <c r="C70" s="243"/>
      <c r="D70" s="243"/>
      <c r="E70" s="243"/>
      <c r="F70" s="243"/>
    </row>
    <row r="71" spans="1:6" ht="47.25" customHeight="1">
      <c r="A71" s="243" t="str">
        <f>""&amp;umumiy_malumot!B147&amp;" mikromoliya tashkilotining Kredit qo‘mitasi a’zolari "&amp;umumiy_malumot!B147&amp;" mikromoliya tashkilotining xulosasi va Mijoz tomonidan taqdim etilgan ma’lumotlar bilan tanishdilar:"</f>
        <v>«PULLOL BUSINESS MIKROMOLIYA TASHKILOTI»  MChJ mikromoliya tashkilotining Kredit qo‘mitasi a’zolari «PULLOL BUSINESS MIKROMOLIYA TASHKILOTI»  MChJ mikromoliya tashkilotining xulosasi va Mijoz tomonidan taqdim etilgan ma’lumotlar bilan tanishdilar:</v>
      </c>
      <c r="B71" s="243"/>
      <c r="C71" s="243"/>
      <c r="D71" s="243"/>
      <c r="E71" s="243"/>
      <c r="F71" s="243"/>
    </row>
    <row r="72" spans="1:6">
      <c r="A72" s="23"/>
      <c r="B72" s="23"/>
      <c r="C72" s="23"/>
      <c r="D72" s="23"/>
      <c r="E72" s="23"/>
      <c r="F72" s="23"/>
    </row>
    <row r="73" spans="1:6">
      <c r="A73" s="253" t="str">
        <f>umumiy_malumot!B150</f>
        <v>Obidov A. Sh.</v>
      </c>
      <c r="B73" s="253"/>
      <c r="C73" s="253"/>
      <c r="D73" s="23"/>
      <c r="E73" s="23"/>
      <c r="F73" s="23"/>
    </row>
    <row r="74" spans="1:6" hidden="1">
      <c r="A74" s="23"/>
      <c r="B74" s="23"/>
      <c r="C74" s="23"/>
      <c r="D74" s="23"/>
      <c r="E74" s="23"/>
      <c r="F74" s="23"/>
    </row>
    <row r="75" spans="1:6" hidden="1">
      <c r="A75" s="253" t="str">
        <f>umumiy_malumot!B160</f>
        <v>Omanlikov O.O.</v>
      </c>
      <c r="B75" s="253"/>
      <c r="C75" s="253"/>
      <c r="D75" s="26"/>
      <c r="E75" s="26"/>
      <c r="F75" s="26"/>
    </row>
    <row r="76" spans="1:6">
      <c r="A76" s="66"/>
      <c r="B76" s="66"/>
      <c r="C76" s="66"/>
      <c r="D76" s="26"/>
      <c r="E76" s="26"/>
      <c r="F76" s="26"/>
    </row>
    <row r="77" spans="1:6" ht="21" customHeight="1">
      <c r="A77" s="243" t="str">
        <f>umumiy_malumot!B159</f>
        <v>Akramov R.N.</v>
      </c>
      <c r="B77" s="243"/>
      <c r="C77" s="243"/>
      <c r="D77" s="243"/>
      <c r="E77" s="243"/>
      <c r="F77" s="243"/>
    </row>
  </sheetData>
  <mergeCells count="59">
    <mergeCell ref="A71:F71"/>
    <mergeCell ref="A77:F77"/>
    <mergeCell ref="A56:F56"/>
    <mergeCell ref="A57:F57"/>
    <mergeCell ref="A58:F58"/>
    <mergeCell ref="A59:F59"/>
    <mergeCell ref="A60:F60"/>
    <mergeCell ref="A61:F61"/>
    <mergeCell ref="A62:F62"/>
    <mergeCell ref="A63:F63"/>
    <mergeCell ref="A64:F64"/>
    <mergeCell ref="A65:F65"/>
    <mergeCell ref="A73:C73"/>
    <mergeCell ref="A75:C75"/>
    <mergeCell ref="A66:F66"/>
    <mergeCell ref="A67:F67"/>
    <mergeCell ref="A70:F70"/>
    <mergeCell ref="A33:F33"/>
    <mergeCell ref="A34:F34"/>
    <mergeCell ref="A35:F35"/>
    <mergeCell ref="A54:F54"/>
    <mergeCell ref="A55:F55"/>
    <mergeCell ref="F38:F48"/>
    <mergeCell ref="A50:F50"/>
    <mergeCell ref="A51:F51"/>
    <mergeCell ref="A52:F52"/>
    <mergeCell ref="A53:F53"/>
    <mergeCell ref="A68:D68"/>
    <mergeCell ref="A69:D69"/>
    <mergeCell ref="A32:F32"/>
    <mergeCell ref="A14:F14"/>
    <mergeCell ref="A15:F15"/>
    <mergeCell ref="A16:F16"/>
    <mergeCell ref="A17:F17"/>
    <mergeCell ref="A18:F18"/>
    <mergeCell ref="A27:F27"/>
    <mergeCell ref="A19:F19"/>
    <mergeCell ref="A20:F20"/>
    <mergeCell ref="A24:F24"/>
    <mergeCell ref="A25:F25"/>
    <mergeCell ref="A28:F28"/>
    <mergeCell ref="A29:F29"/>
    <mergeCell ref="A7:F7"/>
    <mergeCell ref="A8:F8"/>
    <mergeCell ref="A9:F9"/>
    <mergeCell ref="A26:F26"/>
    <mergeCell ref="A10:F10"/>
    <mergeCell ref="A11:F11"/>
    <mergeCell ref="A12:F12"/>
    <mergeCell ref="A13:F13"/>
    <mergeCell ref="A23:F23"/>
    <mergeCell ref="A22:F22"/>
    <mergeCell ref="A21:F21"/>
    <mergeCell ref="A6:F6"/>
    <mergeCell ref="A1:F1"/>
    <mergeCell ref="A2:F2"/>
    <mergeCell ref="A3:F3"/>
    <mergeCell ref="A4:F4"/>
    <mergeCell ref="A5:F5"/>
  </mergeCells>
  <phoneticPr fontId="59" type="noConversion"/>
  <conditionalFormatting sqref="A38:E49">
    <cfRule type="cellIs" dxfId="2" priority="1" operator="lessThan">
      <formula>0.1</formula>
    </cfRule>
    <cfRule type="cellIs" priority="2" operator="lessThan">
      <formula>0.1</formula>
    </cfRule>
  </conditionalFormatting>
  <pageMargins left="0.70866141732283472" right="0.31496062992125984" top="0.74803149606299213" bottom="0.74803149606299213" header="0.31496062992125984" footer="0.31496062992125984"/>
  <pageSetup paperSize="9" scale="7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1"/>
  <sheetViews>
    <sheetView view="pageBreakPreview" topLeftCell="A6" zoomScaleNormal="55" zoomScaleSheetLayoutView="100" workbookViewId="0">
      <selection activeCell="A16" sqref="A16:B16"/>
    </sheetView>
  </sheetViews>
  <sheetFormatPr defaultColWidth="9.140625" defaultRowHeight="15.75"/>
  <cols>
    <col min="1" max="1" width="50.42578125" style="10" customWidth="1"/>
    <col min="2" max="2" width="57.42578125" style="10" customWidth="1"/>
    <col min="3" max="3" width="93.28515625" style="10" customWidth="1"/>
    <col min="4" max="7" width="9.140625" style="10" customWidth="1"/>
    <col min="8" max="8" width="111.5703125" style="10" customWidth="1"/>
    <col min="9" max="16" width="9.140625" style="10" customWidth="1"/>
    <col min="17" max="16384" width="9.140625" style="10"/>
  </cols>
  <sheetData>
    <row r="1" spans="1:3">
      <c r="A1" s="315" t="str">
        <f>""&amp;umumiy_malumot!B65&amp;" shartnoma "&amp;umumiy_malumot!B66&amp;""</f>
        <v>Mikroqarz shartnoma №43</v>
      </c>
      <c r="B1" s="315"/>
    </row>
    <row r="3" spans="1:3">
      <c r="A3" s="315" t="str">
        <f>"Toshkent shahri                                                                               "&amp;umumiy_malumot!B70&amp;""</f>
        <v>Toshkent shahri                                                                               2 fevral 2026 y.</v>
      </c>
      <c r="B3" s="315"/>
    </row>
    <row r="4" spans="1:3">
      <c r="A4" s="82"/>
    </row>
    <row r="5" spans="1:3" ht="114.75" customHeight="1">
      <c r="A5" s="316" t="str">
        <f>""&amp;umumiy_malumot!B147&amp;", bundan buyon «Mikromoliya tashkiloti» deb nomlanuvchi, Ustav va 14.08.2023 yildagi 27-13/968-sonli Litsenziya asosida faoliyat yurituvchi "&amp;umumiy_malumot!A150&amp;" "&amp;umumiy_malumot!B150&amp;"  bir tomondan va o‘z manfaati yo‘lida hamda o‘z nomidan harakat qiluvchi O‘zbekiston Respublikasi fuqarosi "&amp;umumiy_malumot!B5&amp;"  (pasport raqami "&amp;umumiy_malumot!B16&amp;", "&amp;umumiy_malumot!C20&amp;" ), bundan buyon «Qarz oluvchi» deb nomlanuvchi, boshqa tomondan, birgalikda “Tomonlar” yoki alohida “Tomon” deb nomlanuvchilar, Qarz oluvchi tomonidan "&amp;TEXT(umumiy_malumot!B2,"ДД.ММ.ГГГГ")&amp;" yil,"&amp;umumiy_malumot!B65&amp;" olish uchun ariza berilganligini hisobga olib, ushbu "&amp;umumiy_malumot!B65&amp;" shartnomasini (bundan keyin – «Shartnoma») quyidagilar haqida tuzdilar:"</f>
        <v>«PULLOL BUSINESS MIKROMOLIYA TASHKILOTI»  MChJ, bundan buyon «Mikromoliya tashkiloti» deb nomlanuvchi, Ustav va 14.08.2023 yildagi 27-13/968-sonli Litsenziya asosida faoliyat yurituvchi Direktor Obidov A. Sh.  bir tomondan va o‘z manfaati yo‘lida hamda o‘z nomidan harakat qiluvchi O‘zbekiston Respublikasi fuqarosi SIMONYAN VADIM ROMANOVICH  (pasport raqami AD 3925702, IIV 26266 tomonidan 12.07.2023 yilda berilgan ), bundan buyon «Qarz oluvchi» deb nomlanuvchi, boshqa tomondan, birgalikda “Tomonlar” yoki alohida “Tomon” deb nomlanuvchilar, Qarz oluvchi tomonidan 02.02.2026 yil,Mikroqarz olish uchun ariza berilganligini hisobga olib, ushbu Mikroqarz shartnomasini (bundan keyin – «Shartnoma») quyidagilar haqida tuzdilar:</v>
      </c>
      <c r="B5" s="316"/>
    </row>
    <row r="7" spans="1:3">
      <c r="A7" s="315" t="s">
        <v>256</v>
      </c>
      <c r="B7" s="315"/>
    </row>
    <row r="8" spans="1:3" ht="39.75" customHeight="1">
      <c r="A8" s="316" t="str">
        <f>"1.1. Mikromoliya tashkiloti Qarz oluvchiga umumiy miqdori "&amp;FIXED(umumiy_malumot!B75,2)&amp;" ("&amp;umumiy_malumot!B76&amp;") bo‘lgan "&amp;umumiy_malumot!B65&amp;"ni "&amp;umumiy_malumot!B71&amp;" dan "&amp;umumiy_malumot!B73&amp;" gacha bo'lgan muddatga naqd pul va/yoki o'tkazmasi shaklida ajratadi."</f>
        <v>1.1. Mikromoliya tashkiloti Qarz oluvchiga umumiy miqdori 50 000 000,00 (Ellik million so'm) bo‘lgan Mikroqarzni 2 fevral 2026 y. dan 2 fevral 2028 y. gacha bo'lgan muddatga naqd pul va/yoki o'tkazmasi shaklida ajratadi.</v>
      </c>
      <c r="B8" s="316"/>
    </row>
    <row r="9" spans="1:3" ht="36" customHeight="1">
      <c r="A9" s="316" t="str">
        <f>"1.2. Qarz oluvchi to‘lovlilik, muddatlilik va ta’minlanganlik tamoyillariga amal qilgan holda "&amp;umumiy_malumot!B65&amp;"dan foydalanish majburiyatini o‘z zimmasiga oladi."</f>
        <v>1.2. Qarz oluvchi to‘lovlilik, muddatlilik va ta’minlanganlik tamoyillariga amal qilgan holda Mikroqarzdan foydalanish majburiyatini o‘z zimmasiga oladi.</v>
      </c>
      <c r="B9" s="316"/>
    </row>
    <row r="10" spans="1:3">
      <c r="A10" s="36"/>
    </row>
    <row r="11" spans="1:3">
      <c r="A11" s="320" t="str">
        <f>"2. "&amp;umumiy_malumot!D64&amp;" BERISH VA QAYTARISH TARTIBI"</f>
        <v>2. Mikroqarz BERISH VA QAYTARISH TARTIBI</v>
      </c>
      <c r="B11" s="320"/>
      <c r="C11" s="80"/>
    </row>
    <row r="12" spans="1:3" ht="36" customHeight="1">
      <c r="A12" s="316" t="str">
        <f>"2.1. Ushbu Shartnomaning 1.1.-bandida ko‘rsatilgan summa miqdoridagi "&amp;umumiy_malumot!B65&amp;"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16"/>
    </row>
    <row r="13" spans="1:3" ht="35.25" customHeight="1">
      <c r="A13" s="316" t="str">
        <f>"2.2. "&amp;umumiy_malumot!B65&amp;"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16"/>
    </row>
    <row r="14" spans="1:3" ht="35.25" customHeight="1">
      <c r="A14" s="316" t="str">
        <f>"2.3. "&amp;umumiy_malumot!B65&amp;"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16"/>
    </row>
    <row r="15" spans="1:3" ht="66" customHeight="1">
      <c r="A15" s="316" t="str">
        <f>"2.4. Mikromoliya tashkiloti, "&amp;umumiy_malumot!B65&amp;" berilgan vaqtdan boshlab, "&amp;umumiy_malumot!B65&amp;" miqdorining qoldiq summasiga "&amp;umumiy_malumot!B85&amp;"% ("&amp;umumiy_malumot!C86&amp;") foiz yillik va yiliga 365/366 kunlik hisobidan foizlar hisoblaydi. To'lov jadvaliga muvofiq asosiy qarz bo'yicha navbatdagi to'lov buzilgan hollarda, "&amp;"foiz stavkasi oshiriladi va  Mikromoliya tashkiloti "&amp;umumiy_malumot!B65&amp;"ning muddati o'tgan asosiy qarz summasiga yillik "&amp;umumiy_malumot!B88&amp;"% ("&amp;umumiy_malumot!B89&amp;") foiz miqdorida foizlar hisoblaydi."</f>
        <v>2.4. Mikromoliya tashkiloti, Mikroqarz berilgan vaqtdan boshlab, Mikroqarz miqdorining qoldiq summasiga 50% (Ellik  ) foiz yillik va yiliga 365/366 kunlik hisobidan foizlar hisoblaydi. To'lov jadvaliga muvofiq asosiy qarz bo'yicha navbatdagi to'lov buzilgan hollarda, foiz stavkasi oshiriladi va  Mikromoliya tashkiloti Mikroqarzning muddati o'tgan asosiy qarz summasiga yillik 155% (bir yuz ellik besh) foiz miqdorida foizlar hisoblaydi.</v>
      </c>
      <c r="B15" s="316"/>
    </row>
    <row r="16" spans="1:3" ht="163.5" customHeight="1">
      <c r="A16" s="316" t="s">
        <v>327</v>
      </c>
      <c r="B16" s="316"/>
    </row>
    <row r="17" spans="1:11" ht="161.25" customHeight="1">
      <c r="A17" s="316"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16"/>
      <c r="C17" s="186" t="s">
        <v>330</v>
      </c>
      <c r="H17" s="10" t="str">
        <f>umumiy_malumot!B65</f>
        <v>Mikroqarz</v>
      </c>
      <c r="I17" s="10" t="s">
        <v>331</v>
      </c>
    </row>
    <row r="18" spans="1:11" ht="100.5" customHeight="1">
      <c r="A18" s="319" t="s">
        <v>370</v>
      </c>
      <c r="B18" s="319"/>
    </row>
    <row r="19" spans="1:11" ht="36" customHeight="1">
      <c r="A19" s="316" t="str">
        <f>"2.7. Qarz oluvchi Mikromoliya tashkilotining "&amp;umumiy_malumot!B65&amp;"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16"/>
    </row>
    <row r="20" spans="1:11" ht="39" customHeight="1">
      <c r="A20" s="316" t="str">
        <f>"2.8. Qarz oluvchi "&amp;umumiy_malumot!B65&amp;"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16"/>
    </row>
    <row r="21" spans="1:11" ht="102.75" customHeight="1">
      <c r="A21" s="321"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21"/>
      <c r="C21" s="10" t="str">
        <f>"2.9. Qarz oluvchi jismoniy shaxslarning kreditlar ("&amp;umumiy_malumot!B65&amp;"lar)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10" t="str">
        <f>"olingan Markaziy bank Boshqaruvining 28.09.2019 y. 24/5-son qarori bilan tasdiqlangan), qarz yuki ko‘rsatkichi har bir qarz oluvchiga qarz beruvchi tomonidan "&amp;umumiy_malumot!B65&amp;" ajratishda uning summasi va "</f>
        <v xml:space="preserve">olingan Markaziy bank Boshqaruvining 28.09.2019 y. 24/5-son qarori bilan tasdiqlangan), qarz yuki ko‘rsatkichi har bir qarz oluvchiga qarz beruvchi tomonidan Mikroqarz ajratishda uning summasi va </v>
      </c>
      <c r="I21" s="10" t="str">
        <f>"qarz oluvchining amaldagi kredit ("&amp;umumiy_malumot!B65&amp;")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20" t="str">
        <f>"3. "&amp;umumiy_malumot!D64&amp;" TA'MINOTI BO‘YICHA "</f>
        <v xml:space="preserve">3. Mikroqarz TA'MINOTI BO‘YICHA </v>
      </c>
      <c r="B22" s="320"/>
    </row>
    <row r="23" spans="1:11" ht="19.5" customHeight="1">
      <c r="A23" s="316" t="str">
        <f>"3.1. Ushbu Shartnoma bo‘yicha taqdim etilgan "&amp;umumiy_malumot!B65&amp;" quyidagi garov bilan ta'minlanadi:"</f>
        <v>3.1. Ushbu Shartnoma bo‘yicha taqdim etilgan Mikroqarz quyidagi garov bilan ta'minlanadi:</v>
      </c>
      <c r="B23" s="316"/>
    </row>
    <row r="24" spans="1:11" ht="117" customHeight="1">
      <c r="A24" s="317" t="str">
        <f>IF(umumiy_malumot!B103=umumiy_malumot!C103,shartnoma!A28,IF(umumiy_malumot!B103=umumiy_malumot!D103,shartnoma!A25,0))</f>
        <v>3.1.1. Mikromoliya tashkiloti va Qarz oluvchi tomonidan 2026 yil 2 fevralda imzolangan 1-sonli Garov predmeti qiymatini tasdiqlash dalolatnomasiga muvofiq TOSHKENT SHAHAR YUNUSOBOD TUMANI OTCHOPAR-1 MFY KARIM ZARIPOV KO'CHASI 8-6 UY manzilida joylashgan,  umumiy yer maydoni - 166, qurilish osti maydoni- 87, umumiy foydali maydoni - 48.67 yashash maydoni - 30.84 bo'lgan, Yakka tartibdagi uy-joy -  ko'rinishidagi ko'chmas mulk (bundan keyin “Garov predmeti”), egalik huquqiga ko'ra  SIMONYAN VADIM ROMANOVICHga tegishli va kelishilgan garov qiymati 2026 yil 2 fevralda imzolangan 1-sonli Garov predmeti qiymatini tasdiqlash dalolatnomasiga muvofiq 70 000 000,00 (yetmish million so'm) so'mni tashkil qiladi. Garovning aniq shartlari tegishli tarzda notarial tasdiqlangan garov shartnomasi bilan belgilangan.</v>
      </c>
      <c r="B24" s="317"/>
    </row>
    <row r="25" spans="1:11" ht="129" hidden="1" customHeight="1">
      <c r="A25" s="316" t="str">
        <f>IF(umumiy_malumot!B92=umumiy_malumot!C92,shartnoma!A27,IF(umumiy_malumot!B92=umumiy_malumot!D92,shartnoma!A26,0))</f>
        <v>3.1.1. Mikromoliya tashkiloti va Qarz oluvchi tomonidan 2026 yil 2 fevralda imzolangan 1-sonli Garov predmeti qiymatini tasdiqlash dalolatnomasiga muvofiq TOSHKENT SHAHAR YUNUSOBOD TUMANI OTCHOPAR-1 MFY KARIM ZARIPOV KO'CHASI 8-6 UY manzilida joylashgan,  umumiy yer maydoni - 166, qurilish osti maydoni- 87, umumiy foydali maydoni - 48.67 yashash maydoni - 30.84 bo'lgan, Yakka tartibdagi uy-joy -  ko'rinishidagi ko'chmas mulk (bundan keyin “Garov predmeti”), egalik huquqiga ko'ra  SIMONYAN VADIM ROMANOVICHga tegishli va kelishilgan garov qiymati 2026 yil 2 fevralda imzolangan 1-sonli Garov predmeti qiymatini tasdiqlash dalolatnomasiga muvofiq 70 000 000,00 (yetmish million so'm) so'mni tashkil qiladi. Garovning aniq shartlari tegishli tarzda notarial tasdiqlangan garov shartnomasi bilan belgilangan.</v>
      </c>
      <c r="B25" s="316"/>
    </row>
    <row r="26" spans="1:11" ht="129.75" hidden="1" customHeight="1">
      <c r="A26" s="317" t="str">
        <f>"3.1.1. "&amp;umumiy_malumot!N126&amp;" tomonidan "&amp;umumiy_malumot!B143&amp;" yil "&amp;umumiy_malumot!B145&amp;" "&amp;umumiy_malumot!B144&amp;"da imzolangan 1-sonli navbatdagi garov predmeti qiymatini tasdiqlash dalolatnomasiga muvofiq "&amp;umumiy_malumot!C123&amp;" manzilida joylashgan, "&amp;umumiy_malumot!E126&amp;" bo'lgan, "&amp;umumiy_malumot!E125&amp;" ko'rinishidagi ko'chmas mulk (bundan keyin “navbatdagi garov predmeti”), egalik huquqiga ko'ra  "&amp;umumiy_malumot!C117&amp;"ga tegishli va kelishilgan garov qiymati "&amp;umumiy_malumot!B143&amp;" yil "&amp;umumiy_malumot!B145&amp;" "&amp;umumiy_malumot!B144&amp;"da imzolangan 1-sonli Garov predmeti qiymatini tasdiqlash dalolatnomasiga muvofiq "&amp;FIXED(umumiy_malumot!B136,2)&amp;" ("&amp;umumiy_malumot!B138&amp;") so'mni tashkil qiladi. Garovning aniq shartlari tegishli tarzda notarial tasdiqlangan garov shartnomasi bilan belgilangan."</f>
        <v>3.1.1. Mikromoliya tashkiloti va Qarz oluvchi tomonidan 2026 yil 2 fevralda imzolangan 1-sonli navbatdagi garov predmeti qiymatini tasdiqlash dalolatnomasiga muvofiq TOSHKENT SHAHAR YUNUSOBOD TUMANI OTCHOPAR-1 MFY KARIM ZARIPOV KO'CHASI 8-6 UY manzilida joylashgan,  umumiy yer maydoni - 166, qurilish osti maydoni- 87, umumiy foydali maydoni - 48.67 yashash maydoni - 30.84 bo'lgan, Yakka tartibdagi uy-joy -  ko'rinishidagi ko'chmas mulk (bundan keyin “navbatdagi garov predmeti”), egalik huquqiga ko'ra  SIMONYAN VADIM ROMANOVICHga tegishli va kelishilgan garov qiymati 2026 yil 2 fevralda imzolangan 1-sonli Garov predmeti qiymatini tasdiqlash dalolatnomasiga muvofiq 70 000 000,00 (yetmish million so'm) so'mni tashkil qiladi. Garovning aniq shartlari tegishli tarzda notarial tasdiqlangan garov shartnomasi bilan belgilangan.</v>
      </c>
      <c r="B26" s="317"/>
    </row>
    <row r="27" spans="1:11" ht="131.25" hidden="1" customHeight="1">
      <c r="A27" s="318" t="str">
        <f>"3.1.1. "&amp;umumiy_malumot!N126&amp;" tomonidan "&amp;umumiy_malumot!B143&amp;" yil "&amp;umumiy_malumot!B145&amp;" "&amp;umumiy_malumot!B144&amp;"da imzolangan 1-sonli Garov predmeti qiymatini tasdiqlash dalolatnomasiga muvofiq "&amp;umumiy_malumot!C123&amp;" manzilida joylashgan, "&amp;umumiy_malumot!E126&amp;" bo'lgan, "&amp;umumiy_malumot!E125&amp;" ko'rinishidagi ko'chmas mulk (bundan keyin “Garov predmeti”), egalik huquqiga ko'ra  "&amp;umumiy_malumot!C117&amp;"ga tegishli va kelishilgan garov qiymati "&amp;umumiy_malumot!B143&amp;" yil "&amp;umumiy_malumot!B145&amp;" "&amp;umumiy_malumot!B144&amp;"da imzolangan 1-sonli Garov predmeti qiymatini tasdiqlash dalolatnomasiga muvofiq "&amp;FIXED(umumiy_malumot!B136,2)&amp;" ("&amp;umumiy_malumot!B138&amp;") so'mni tashkil qiladi. Garovning aniq shartlari tegishli tarzda notarial tasdiqlangan garov shartnomasi bilan belgilangan."</f>
        <v>3.1.1. Mikromoliya tashkiloti va Qarz oluvchi tomonidan 2026 yil 2 fevralda imzolangan 1-sonli Garov predmeti qiymatini tasdiqlash dalolatnomasiga muvofiq TOSHKENT SHAHAR YUNUSOBOD TUMANI OTCHOPAR-1 MFY KARIM ZARIPOV KO'CHASI 8-6 UY manzilida joylashgan,  umumiy yer maydoni - 166, qurilish osti maydoni- 87, umumiy foydali maydoni - 48.67 yashash maydoni - 30.84 bo'lgan, Yakka tartibdagi uy-joy -  ko'rinishidagi ko'chmas mulk (bundan keyin “Garov predmeti”), egalik huquqiga ko'ra  SIMONYAN VADIM ROMANOVICHga tegishli va kelishilgan garov qiymati 2026 yil 2 fevralda imzolangan 1-sonli Garov predmeti qiymatini tasdiqlash dalolatnomasiga muvofiq 70 000 000,00 (yetmish million so'm) so'mni tashkil qiladi. Garovning aniq shartlari tegishli tarzda notarial tasdiqlangan garov shartnomasi bilan belgilangan.</v>
      </c>
      <c r="B27" s="318"/>
    </row>
    <row r="28" spans="1:11" ht="114" hidden="1" customHeight="1">
      <c r="A28" s="317" t="str">
        <f>IF(umumiy_malumot!B92=umumiy_malumot!C92,A29,IF(umumiy_malumot!B92=umumiy_malumot!D92,A30,0))</f>
        <v>3.1.1. Mikromoliya tashkiloti va Qarz oluvchi tomonidan 2026 yil 2 fevralda imzolangan 1-sonli garov predmeti qiymatini tasdiqlash dalolatnomasiga muvofiq  rangli, ishlab chiqarilgan yili –  yil,  dvigatel raqami , shassi - ,  kuzov turi - , kuzov raqami №, davlat raqam belgisi  bo'lgan  rusumli avtomashinasi (bundan keyin “Garov predmeti”), egalik huquqiga ega  SIMONYAN VADIM ROMANOVICHga tegishli va kelishilgan garov qiymati 2026 yil 2 fevralda imzolangan 1-sonli Garov predmeti qiymatini tasdiqlash dalolatnomasiga muvifiq 70 000 000,00 (yetmish million so'm) so'mni tashkil qiladi. Garov garovining aniq shartlari tegishli notarial rasmiylashtirilgan garov shartnomasi bilan belgilanadi.</v>
      </c>
      <c r="B28" s="317"/>
      <c r="K28" s="10" t="s">
        <v>324</v>
      </c>
    </row>
    <row r="29" spans="1:11" ht="114.75" hidden="1" customHeight="1">
      <c r="A29" s="317" t="str">
        <f>"3.1.1. "&amp;umumiy_malumot!N126&amp;" tomonidan "&amp;umumiy_malumot!B143&amp;" yil "&amp;umumiy_malumot!B145&amp;" "&amp;umumiy_malumot!B144&amp;"da imzolangan 1-sonli garov predmeti qiymatini tasdiqlash dalolatnomasiga muvofiq "&amp;umumiy_malumot!B134&amp;" rangli, ishlab chiqarilgan yili – "&amp;umumiy_malumot!B135&amp;" yil,  dvigatel raqami "&amp;umumiy_malumot!B131&amp;", shassi - "&amp;umumiy_malumot!B132&amp;",  kuzov turi - "&amp;umumiy_malumot!B128&amp;", kuzov raqami №"&amp;umumiy_malumot!B129&amp;", davlat raqam belgisi "&amp;umumiy_malumot!B126&amp;" bo'lgan "&amp;umumiy_malumot!B125&amp;" rusumli avtomashinasi (bundan keyin “Garov predmeti”), egalik huquqiga ega  "&amp;umumiy_malumot!B117&amp;"ga tegishli va kelishilgan garov qiymati "&amp;umumiy_malumot!B143&amp;" yil "&amp;umumiy_malumot!B145&amp;" "&amp;umumiy_malumot!B144&amp;"da imzolangan 1-sonli Garov predmeti qiymatini tasdiqlash dalolatnomasiga muvifiq "&amp;FIXED(umumiy_malumot!B136,2)&amp;" ("&amp;umumiy_malumot!B138&amp;") so'mni tashkil qiladi. Garov garovining aniq shartlari tegishli notarial rasmiylashtirilgan garov shartnomasi bilan belgilanadi."</f>
        <v>3.1.1. Mikromoliya tashkiloti va Qarz oluvchi tomonidan 2026 yil 2 fevralda imzolangan 1-sonli garov predmeti qiymatini tasdiqlash dalolatnomasiga muvofiq  rangli, ishlab chiqarilgan yili –  yil,  dvigatel raqami , shassi - ,  kuzov turi - , kuzov raqami №, davlat raqam belgisi  bo'lgan  rusumli avtomashinasi (bundan keyin “Garov predmeti”), egalik huquqiga ega  SIMONYAN VADIM ROMANOVICHga tegishli va kelishilgan garov qiymati 2026 yil 2 fevralda imzolangan 1-sonli Garov predmeti qiymatini tasdiqlash dalolatnomasiga muvifiq 70 000 000,00 (yetmish million so'm) so'mni tashkil qiladi. Garov garovining aniq shartlari tegishli notarial rasmiylashtirilgan garov shartnomasi bilan belgilanadi.</v>
      </c>
      <c r="B29" s="317"/>
    </row>
    <row r="30" spans="1:11" ht="1.5" customHeight="1">
      <c r="A30" s="323" t="str">
        <f>"3.1.1. "&amp;umumiy_malumot!N126&amp;" tomonidan "&amp;umumiy_malumot!B143&amp;" yil "&amp;umumiy_malumot!B145&amp;" "&amp;umumiy_malumot!B144&amp;"da imzolangan 1-sonli navbatdagi garov predmeti qiymatini tasdiqlash dalolatnomasiga muvofiq "&amp;umumiy_malumot!B134&amp;" rangli, ishlab chiqarilgan yili – "&amp;umumiy_malumot!B135&amp;" yil,  dvigatel raqami "&amp;umumiy_malumot!B131&amp;", shassi - "&amp;umumiy_malumot!B132&amp;",  kuzov turi - "&amp;umumiy_malumot!B128&amp;", kuzov raqami №"&amp;umumiy_malumot!B129&amp;", davlat raqam belgisi "&amp;umumiy_malumot!B126&amp;" bo'lgan "&amp;umumiy_malumot!B125&amp;" rusumli avtomashinasi (bundan keyin “navbatdagi garov predmeti”), egalik huquqiga ega  "&amp;umumiy_malumot!B117&amp;"ga tegishli va kelishilgan garov qiymati "&amp;umumiy_malumot!B143&amp;" yil "&amp;umumiy_malumot!B145&amp;" "&amp;umumiy_malumot!B144&amp;"da imzolangan 1-sonli Garov predmeti qiymatini tasdiqlash dalolatnomasiga muvifiq "&amp;FIXED(umumiy_malumot!B136,2)&amp;" ("&amp;umumiy_malumot!B138&amp;") so'mni tashkil qiladi. Garov garovining aniq shartlari tegishli notarial rasmiylashtirilgan garov shartnomasi bilan belgilanadi."</f>
        <v>3.1.1. Mikromoliya tashkiloti va Qarz oluvchi tomonidan 2026 yil 2 fevralda imzolangan 1-sonli navbatdagi garov predmeti qiymatini tasdiqlash dalolatnomasiga muvofiq  rangli, ishlab chiqarilgan yili –  yil,  dvigatel raqami , shassi - ,  kuzov turi - , kuzov raqami №, davlat raqam belgisi  bo'lgan  rusumli avtomashinasi (bundan keyin “navbatdagi garov predmeti”), egalik huquqiga ega  SIMONYAN VADIM ROMANOVICHga tegishli va kelishilgan garov qiymati 2026 yil 2 fevralda imzolangan 1-sonli Garov predmeti qiymatini tasdiqlash dalolatnomasiga muvifiq 70 000 000,00 (yetmish million so'm) so'mni tashkil qiladi. Garov garovining aniq shartlari tegishli notarial rasmiylashtirilgan garov shartnomasi bilan belgilanadi.</v>
      </c>
      <c r="B30" s="323"/>
    </row>
    <row r="31" spans="1:11" ht="117" customHeight="1">
      <c r="A31" s="322"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22"/>
    </row>
    <row r="32" spans="1:11" ht="94.5" hidden="1">
      <c r="A32" s="193" t="s">
        <v>352</v>
      </c>
      <c r="B32" s="36"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93" t="str">
        <f>" Mikromoliya tashkilotiga taqdim etilishi lozim. Garov shartnomasi belgilangan muddatda taqdim etilmagan hollarda, Mikromoliya tashkiloti Qarz oluvchining manziliga yozma bildirishnoma yuborish orqali "&amp;umumiy_malumot!B65&amp;""</f>
        <v xml:space="preserve"> Mikromoliya tashkilotiga taqdim etilishi lozim. Garov shartnomasi belgilangan muddatda taqdim etilmagan hollarda, Mikromoliya tashkiloti Qarz oluvchining manziliga yozma bildirishnoma yuborish orqali Mikroqarz</v>
      </c>
      <c r="B33" s="36" t="s">
        <v>333</v>
      </c>
    </row>
    <row r="34" spans="1:8" ht="85.5" customHeight="1">
      <c r="A34" s="322" t="s">
        <v>260</v>
      </c>
      <c r="B34" s="322"/>
    </row>
    <row r="35" spans="1:8" ht="84" customHeight="1">
      <c r="A35" s="322" t="s">
        <v>312</v>
      </c>
      <c r="B35" s="322"/>
    </row>
    <row r="37" spans="1:8">
      <c r="A37" s="325" t="s">
        <v>311</v>
      </c>
      <c r="B37" s="325"/>
      <c r="C37" s="93"/>
    </row>
    <row r="38" spans="1:8">
      <c r="A38" s="324" t="s">
        <v>310</v>
      </c>
      <c r="B38" s="324"/>
    </row>
    <row r="39" spans="1:8" ht="101.25" customHeight="1">
      <c r="A39" s="322"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v>
      </c>
      <c r="B39" s="322"/>
      <c r="C39" s="10" t="str">
        <f>"4.1.1. Ushbu Shartnomada ko‘rsatilgan asoslar bo‘yicha Qarz oluvchiga Shartnomada ko‘zda tutilgan "&amp;umumiy_malumot!B65&amp;""</f>
        <v>4.1.1. Ushbu Shartnomada ko‘rsatilgan asoslar bo‘yicha Qarz oluvchiga Shartnomada ko‘zda tutilgan Mikroqarz</v>
      </c>
      <c r="H39" s="186" t="s">
        <v>334</v>
      </c>
    </row>
    <row r="40" spans="1:8" ht="39" customHeight="1">
      <c r="A40" s="322" t="str">
        <f>"4.1.2.1. "&amp;umumiy_malumot!C64&amp;" bo‘yicha qolgan barcha qarzdorlik, foiz to‘lovlarining muddatidan oldin qaytarilishini talab qilish, shuningdek, quyidagi holatlardan biri yuzaga kelganda undirishni garov ta'minotiga qaratish:"</f>
        <v>4.1.2.1. Mikrokredit bo‘yicha qolgan barcha qarzdorlik, foiz to‘lovlarining muddatidan oldin qaytarilishini talab qilish, shuningdek, quyidagi holatlardan biri yuzaga kelganda undirishni garov ta'minotiga qaratish:</v>
      </c>
      <c r="B40" s="322"/>
    </row>
    <row r="41" spans="1:8">
      <c r="A41" s="322" t="s">
        <v>313</v>
      </c>
      <c r="B41" s="322"/>
    </row>
    <row r="42" spans="1:8" ht="20.25" customHeight="1">
      <c r="A42" s="322" t="str">
        <f>"b) "&amp;umumiy_malumot!B65&amp;" summasiga hisoblanadigan asosiy qarz bo‘yicha muddati o‘tgan qarzdorlik va/yoki foizlarning yuzaga kelishi;"</f>
        <v>b) Mikroqarz summasiga hisoblanadigan asosiy qarz bo‘yicha muddati o‘tgan qarzdorlik va/yoki foizlarning yuzaga kelishi;</v>
      </c>
      <c r="B42" s="322"/>
    </row>
    <row r="43" spans="1:8" ht="37.5" customHeight="1">
      <c r="A43" s="322" t="s">
        <v>314</v>
      </c>
      <c r="B43" s="322"/>
    </row>
    <row r="44" spans="1:8" ht="52.5" customHeight="1">
      <c r="A44" s="322" t="s">
        <v>315</v>
      </c>
      <c r="B44" s="322"/>
    </row>
    <row r="45" spans="1:8" ht="19.5" customHeight="1">
      <c r="A45" s="322" t="s">
        <v>316</v>
      </c>
      <c r="B45" s="322"/>
    </row>
    <row r="46" spans="1:8" ht="51.75" customHeight="1">
      <c r="A46" s="322" t="str">
        <f>"f) Qarz oluvchi "&amp;umumiy_malumot!B65&amp;" summasini olish uchun Mikromoliya tashkilotiga "&amp;umumiy_malumot!B65&amp;"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22"/>
    </row>
    <row r="47" spans="1:8" ht="33.75" customHeight="1">
      <c r="A47" s="322" t="s">
        <v>309</v>
      </c>
      <c r="B47" s="322"/>
    </row>
    <row r="48" spans="1:8" ht="36.75" customHeight="1">
      <c r="A48" s="322" t="s">
        <v>308</v>
      </c>
      <c r="B48" s="322"/>
      <c r="C48" s="193"/>
    </row>
    <row r="49" spans="1:8" ht="100.5" customHeight="1">
      <c r="A49" s="316" t="s">
        <v>307</v>
      </c>
      <c r="B49" s="316"/>
      <c r="C49" s="193"/>
    </row>
    <row r="50" spans="1:8" ht="70.5" customHeight="1">
      <c r="A50" s="316" t="s">
        <v>306</v>
      </c>
      <c r="B50" s="316"/>
      <c r="C50" s="193"/>
    </row>
    <row r="51" spans="1:8" ht="39.75" customHeight="1">
      <c r="A51" s="316" t="str">
        <f>"4.1.7. Qarz oluvchini oldindan ogohlantirmasdan "&amp;umumiy_malumot!B65&amp;"ni qaytarish uchun haqiqatdan ham garov ta'minoti mavjudligini tekshirishni amalga oshirish."</f>
        <v>4.1.7. Qarz oluvchini oldindan ogohlantirmasdan Mikroqarzni qaytarish uchun haqiqatdan ham garov ta'minoti mavjudligini tekshirishni amalga oshirish.</v>
      </c>
      <c r="B51" s="316"/>
      <c r="C51" s="193"/>
    </row>
    <row r="52" spans="1:8" ht="33" customHeight="1">
      <c r="A52" s="316" t="s">
        <v>317</v>
      </c>
      <c r="B52" s="316"/>
      <c r="C52" s="193"/>
    </row>
    <row r="53" spans="1:8" ht="39.75" customHeight="1">
      <c r="A53" s="316" t="s">
        <v>305</v>
      </c>
      <c r="B53" s="316"/>
      <c r="C53" s="193"/>
    </row>
    <row r="54" spans="1:8" ht="50.25" customHeight="1">
      <c r="A54" s="316"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16"/>
      <c r="C54" s="193" t="str">
        <f>"4.1.10. Qarz oluvchi taqdim etilgan "&amp;umumiy_malumot!B65&amp;"dan Shartnoma tuzilgan kundan boshlab 1 (bir) oy davomida foydalanmagan"</f>
        <v>4.1.10. Qarz oluvchi taqdim etilgan Mikroqarzdan Shartnoma tuzilgan kundan boshlab 1 (bir) oy davomida foydalanmagan</v>
      </c>
      <c r="H54" s="10" t="s">
        <v>335</v>
      </c>
    </row>
    <row r="55" spans="1:8" ht="19.5" customHeight="1">
      <c r="A55" s="316" t="str">
        <f>"4.1.11. Oldingi "&amp;umumiy_malumot!B65&amp;" to‘liq to‘lanmagunga qadar yangi "&amp;umumiy_malumot!B65&amp;" berishni rad etish."</f>
        <v>4.1.11. Oldingi Mikroqarz to‘liq to‘lanmagunga qadar yangi Mikroqarz berishni rad etish.</v>
      </c>
      <c r="B55" s="316"/>
      <c r="C55" s="193"/>
    </row>
    <row r="57" spans="1:8">
      <c r="A57" s="320" t="s">
        <v>304</v>
      </c>
      <c r="B57" s="320"/>
      <c r="C57" s="192"/>
    </row>
    <row r="58" spans="1:8">
      <c r="A58" s="326" t="s">
        <v>303</v>
      </c>
      <c r="B58" s="326"/>
      <c r="C58" s="194"/>
    </row>
    <row r="59" spans="1:8" ht="36" customHeight="1">
      <c r="A59" s="316" t="str">
        <f>"5.1.1. Ushbu shartnomada nazarda tutilgan shartlar bo‘yicha "&amp;umumiy_malumot!B65&amp;"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16"/>
      <c r="C59" s="193"/>
    </row>
    <row r="60" spans="1:8" ht="36.75" customHeight="1">
      <c r="A60" s="316" t="str">
        <f>"5.1.2. Shartnoma tuzilgan kundan boshlab 2 (ikki) hafta mobaynida Mikromoliya tashkilotiga bu haqda yozma xabarnoma yo‘llash orqali "&amp;umumiy_malumot!B65&amp;"ning foydalanilmagan summasidan voz kechish."</f>
        <v>5.1.2. Shartnoma tuzilgan kundan boshlab 2 (ikki) hafta mobaynida Mikromoliya tashkilotiga bu haqda yozma xabarnoma yo‘llash orqali Mikroqarzning foydalanilmagan summasidan voz kechish.</v>
      </c>
      <c r="B60" s="316"/>
      <c r="C60" s="193"/>
    </row>
    <row r="61" spans="1:8" ht="17.25" customHeight="1">
      <c r="A61" s="316" t="str">
        <f>"5.1.3. "&amp;umumiy_malumot!C64&amp;" xizmatlari ko‘rsatish qoidalari bilan tanishish."</f>
        <v>5.1.3. Mikrokredit xizmatlari ko‘rsatish qoidalari bilan tanishish.</v>
      </c>
      <c r="B61" s="316"/>
      <c r="C61" s="193"/>
    </row>
    <row r="62" spans="1:8" ht="36" customHeight="1">
      <c r="A62" s="316" t="str">
        <f>"5.1.4. O‘z huquq va majburiyatlari, shu jumladan "&amp;umumiy_malumot!B65&amp;" xizmatlari ko‘rsatish bilan bog‘liq barcha xarajatlar haqida aniq va to‘liq ma'lumot olish."</f>
        <v>5.1.4. O‘z huquq va majburiyatlari, shu jumladan Mikroqarz xizmatlari ko‘rsatish bilan bog‘liq barcha xarajatlar haqida aniq va to‘liq ma'lumot olish.</v>
      </c>
      <c r="B62" s="316"/>
      <c r="C62" s="193"/>
    </row>
    <row r="63" spans="1:8" ht="33.75" customHeight="1">
      <c r="A63" s="316" t="s">
        <v>318</v>
      </c>
      <c r="B63" s="316"/>
      <c r="C63" s="193"/>
    </row>
    <row r="64" spans="1:8">
      <c r="A64" s="326" t="s">
        <v>302</v>
      </c>
      <c r="B64" s="326"/>
      <c r="C64" s="194"/>
    </row>
    <row r="65" spans="1:8" ht="37.5" customHeight="1">
      <c r="A65" s="316" t="str">
        <f>"5.2.1. Mikromoliya tashkilotining birinchi talabi bilan zarur hujjatlar, shuningdek "&amp;umumiy_malumot!B65&amp;"dan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16"/>
      <c r="C65" s="193"/>
    </row>
    <row r="66" spans="1:8" ht="39.75" customHeight="1">
      <c r="A66" s="316" t="s">
        <v>319</v>
      </c>
      <c r="B66" s="316"/>
      <c r="C66" s="193"/>
    </row>
    <row r="67" spans="1:8" ht="27" customHeight="1">
      <c r="A67" s="316" t="str">
        <f>"5.2.3. To‘lov jadvaliga muvofiq "&amp;umumiy_malumot!B65&amp;", shuningdek hisoblangan foizlar to‘lovlarini amalga oshirish."</f>
        <v>5.2.3. To‘lov jadvaliga muvofiq Mikroqarz, shuningdek hisoblangan foizlar to‘lovlarini amalga oshirish.</v>
      </c>
      <c r="B67" s="316"/>
      <c r="C67" s="193"/>
    </row>
    <row r="68" spans="1:8" ht="84" customHeight="1">
      <c r="A68" s="316"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16"/>
      <c r="C68" s="193" t="s">
        <v>336</v>
      </c>
      <c r="H68" s="10" t="str">
        <f>" "&amp;umumiy_malumot!B65&amp;"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16" t="s">
        <v>320</v>
      </c>
      <c r="B69" s="316"/>
      <c r="C69" s="193"/>
    </row>
    <row r="70" spans="1:8" ht="36" customHeight="1">
      <c r="A70" s="316" t="str">
        <f>"5.2.6. Quyidagi holatlarda Mikromoliya tashkilotning birinchi talabi bilan "&amp;umumiy_malumot!B65&amp;" qaytarilishi bo‘yicha qo‘shimcha garov ta'minotini taqdim etish: "</f>
        <v xml:space="preserve">5.2.6. Quyidagi holatlarda Mikromoliya tashkilotning birinchi talabi bilan Mikroqarz qaytarilishi bo‘yicha qo‘shimcha garov ta'minotini taqdim etish: </v>
      </c>
      <c r="B70" s="316"/>
      <c r="C70" s="193"/>
    </row>
    <row r="71" spans="1:8" ht="51.75" customHeight="1">
      <c r="A71" s="319" t="s">
        <v>337</v>
      </c>
      <c r="B71" s="319"/>
      <c r="C71" s="196"/>
    </row>
    <row r="72" spans="1:8" ht="71.25" customHeight="1">
      <c r="A72" s="316" t="str">
        <f>"5.2.7. Sud qarori asosida Qarz oluvchi – jismoniy shaxsning muomalaga layoqatsizligi yoki muomalaga layoqati cheklangan yoxud to‘lash qobiliyatiga ega emasligi (bankrotligi) tan olinganda, uning vasiysi yoki homiysi "&amp;umumiy_malumot!B65&amp;"ning asosiy summa bo‘yicha qarzdorlikni "&amp;umumiy_malumot!B65&amp;"dan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16"/>
      <c r="C72" s="193"/>
    </row>
    <row r="73" spans="1:8" ht="33.75" customHeight="1">
      <c r="A73" s="316" t="str">
        <f>"5.2.8. Mikromoliya tashkilotining "&amp;umumiy_malumot!B65&amp;"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16"/>
      <c r="C73" s="193"/>
      <c r="H73" s="10" t="s">
        <v>332</v>
      </c>
    </row>
    <row r="74" spans="1:8" ht="68.25" customHeight="1">
      <c r="A74" s="316"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16"/>
      <c r="C74" s="193" t="str">
        <f>"5.2.9. Mikromoliya tashkilotining talabi bo‘yicha Mikromoliya tashkiloti ko‘rgan, shu jumladan "&amp;umumiy_malumot!B65&amp;" bo‘yicha (asosiy qarz, foizlar va boshqalar)"</f>
        <v>5.2.9. Mikromoliya tashkilotining talabi bo‘yicha Mikromoliya tashkiloti ko‘rgan, shu jumladan Mikroqarz bo‘yicha (asosiy qarz, foizlar va boshqalar)</v>
      </c>
      <c r="H74" s="10" t="s">
        <v>338</v>
      </c>
    </row>
    <row r="75" spans="1:8">
      <c r="A75" s="89"/>
    </row>
    <row r="76" spans="1:8">
      <c r="A76" s="325" t="s">
        <v>301</v>
      </c>
      <c r="B76" s="325"/>
      <c r="C76" s="195"/>
    </row>
    <row r="77" spans="1:8" ht="98.25" customHeight="1">
      <c r="A77" s="316"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16"/>
      <c r="C77" s="193" t="s">
        <v>339</v>
      </c>
      <c r="H77" s="10" t="str">
        <f>""&amp;umumiy_malumot!B65&amp;"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16" t="s">
        <v>300</v>
      </c>
      <c r="B78" s="316"/>
      <c r="C78" s="193"/>
    </row>
    <row r="79" spans="1:8" ht="35.25" customHeight="1">
      <c r="A79" s="316" t="s">
        <v>299</v>
      </c>
      <c r="B79" s="316"/>
      <c r="C79" s="193"/>
    </row>
    <row r="80" spans="1:8" ht="33" customHeight="1">
      <c r="A80" s="316" t="s">
        <v>298</v>
      </c>
      <c r="B80" s="316"/>
      <c r="C80" s="193"/>
    </row>
    <row r="82" spans="1:3">
      <c r="A82" s="307" t="s">
        <v>297</v>
      </c>
      <c r="B82" s="307"/>
      <c r="C82" s="81"/>
    </row>
    <row r="83" spans="1:3" ht="162.75" customHeight="1">
      <c r="A83" s="316" t="s">
        <v>296</v>
      </c>
      <c r="B83" s="316"/>
      <c r="C83" s="193"/>
    </row>
    <row r="84" spans="1:3" ht="33.75" customHeight="1">
      <c r="A84" s="316" t="s">
        <v>340</v>
      </c>
      <c r="B84" s="316"/>
      <c r="C84" s="193"/>
    </row>
    <row r="85" spans="1:3" ht="51.75" customHeight="1">
      <c r="A85" s="316" t="s">
        <v>295</v>
      </c>
      <c r="B85" s="316"/>
      <c r="C85" s="193"/>
    </row>
    <row r="86" spans="1:3" ht="36" customHeight="1">
      <c r="A86" s="316" t="s">
        <v>294</v>
      </c>
      <c r="B86" s="316"/>
      <c r="C86" s="193"/>
    </row>
    <row r="88" spans="1:3">
      <c r="A88" s="307" t="s">
        <v>293</v>
      </c>
      <c r="B88" s="307"/>
      <c r="C88" s="81"/>
    </row>
    <row r="89" spans="1:3" ht="114.75" customHeight="1">
      <c r="A89" s="316" t="s">
        <v>353</v>
      </c>
      <c r="B89" s="316"/>
      <c r="C89" s="193"/>
    </row>
    <row r="90" spans="1:3" ht="36" customHeight="1">
      <c r="A90" s="316" t="s">
        <v>321</v>
      </c>
      <c r="B90" s="316"/>
      <c r="C90" s="193"/>
    </row>
    <row r="91" spans="1:3" ht="64.5" customHeight="1">
      <c r="A91" s="316" t="str">
        <f>"8.2. Mikromoliya tashkiloti sud organlariga murojaat qilganidan keyin Qarz oluvchi tomonidan "&amp;umumiy_malumot!B65&amp;" bo‘yicha muddati o‘tgan qarzdorlikning to‘lanishi Mikromoliya tashkilotning "&amp;umumiy_malumot!B65&amp;"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16"/>
      <c r="C91" s="193"/>
    </row>
    <row r="93" spans="1:3">
      <c r="A93" s="327" t="s">
        <v>292</v>
      </c>
      <c r="B93" s="327"/>
      <c r="C93" s="91"/>
    </row>
    <row r="94" spans="1:3" ht="20.25" customHeight="1">
      <c r="A94" s="316" t="s">
        <v>291</v>
      </c>
      <c r="B94" s="316"/>
      <c r="C94" s="193"/>
    </row>
    <row r="95" spans="1:3" ht="33.75" customHeight="1">
      <c r="A95" s="316" t="str">
        <f>"9.2. Shartnomaning amal qilish muddati Qarz oluvchi "&amp;umumiy_malumot!B65&amp;"ni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16"/>
      <c r="C95" s="193"/>
    </row>
    <row r="96" spans="1:3" ht="51" customHeight="1">
      <c r="A96" s="316" t="s">
        <v>290</v>
      </c>
      <c r="B96" s="316"/>
      <c r="C96" s="193"/>
    </row>
    <row r="98" spans="1:3">
      <c r="A98" s="320" t="s">
        <v>289</v>
      </c>
      <c r="B98" s="320"/>
      <c r="C98" s="80"/>
    </row>
    <row r="99" spans="1:3" ht="82.5" customHeight="1">
      <c r="A99" s="316" t="s">
        <v>288</v>
      </c>
      <c r="B99" s="316"/>
      <c r="C99" s="193"/>
    </row>
    <row r="100" spans="1:3" ht="66" customHeight="1">
      <c r="A100" s="316" t="s">
        <v>287</v>
      </c>
      <c r="B100" s="316"/>
      <c r="C100" s="193"/>
    </row>
    <row r="101" spans="1:3" ht="48" customHeight="1">
      <c r="A101" s="316" t="s">
        <v>286</v>
      </c>
      <c r="B101" s="316"/>
      <c r="C101" s="193"/>
    </row>
    <row r="103" spans="1:3">
      <c r="A103" s="307" t="s">
        <v>285</v>
      </c>
      <c r="B103" s="307"/>
      <c r="C103" s="170"/>
    </row>
    <row r="104" spans="1:3" ht="37.5" customHeight="1">
      <c r="A104" s="316" t="s">
        <v>284</v>
      </c>
      <c r="B104" s="316"/>
      <c r="C104" s="193"/>
    </row>
    <row r="105" spans="1:3" ht="34.5" customHeight="1">
      <c r="A105" s="316" t="s">
        <v>283</v>
      </c>
      <c r="B105" s="316"/>
      <c r="C105" s="193"/>
    </row>
    <row r="106" spans="1:3" ht="66.75" customHeight="1">
      <c r="A106" s="316" t="s">
        <v>282</v>
      </c>
      <c r="B106" s="316"/>
      <c r="C106" s="193"/>
    </row>
    <row r="107" spans="1:3" ht="51" customHeight="1">
      <c r="A107" s="316" t="s">
        <v>281</v>
      </c>
      <c r="B107" s="316"/>
      <c r="C107" s="193"/>
    </row>
    <row r="108" spans="1:3" ht="37.5" customHeight="1">
      <c r="A108" s="316" t="s">
        <v>280</v>
      </c>
      <c r="B108" s="316"/>
      <c r="C108" s="193"/>
    </row>
    <row r="109" spans="1:3" ht="38.25" customHeight="1">
      <c r="A109" s="316" t="s">
        <v>279</v>
      </c>
      <c r="B109" s="316"/>
      <c r="C109" s="193"/>
    </row>
    <row r="110" spans="1:3" ht="21" customHeight="1">
      <c r="A110" s="316" t="s">
        <v>278</v>
      </c>
      <c r="B110" s="316"/>
      <c r="C110" s="193"/>
    </row>
    <row r="111" spans="1:3" ht="32.25" customHeight="1">
      <c r="A111" s="316"/>
      <c r="B111" s="316"/>
      <c r="C111" s="193"/>
    </row>
    <row r="113" spans="1:3">
      <c r="A113" s="327" t="s">
        <v>322</v>
      </c>
      <c r="B113" s="327"/>
      <c r="C113" s="91"/>
    </row>
    <row r="115" spans="1:3">
      <c r="A115" s="92" t="s">
        <v>277</v>
      </c>
      <c r="B115" s="92" t="s">
        <v>276</v>
      </c>
    </row>
    <row r="117" spans="1:3" ht="31.5">
      <c r="A117" s="91" t="str">
        <f>umumiy_malumot!B148</f>
        <v>«PULLOL BUSINESS MIKROMOLIYA TASHKILOTI»  MChJ</v>
      </c>
      <c r="B117" s="83" t="str">
        <f>umumiy_malumot!B5</f>
        <v>SIMONYAN VADIM ROMANOVICH</v>
      </c>
    </row>
    <row r="119" spans="1:3" ht="50.25" customHeight="1">
      <c r="A119" s="88" t="str">
        <f>"Manzil: "&amp;umumiy_malumot!B153&amp;""</f>
        <v>Manzil: Toshkent shahri, Yakkasaroy tumani, Rakat ko'chasi, 10-uy, 18 xonadon</v>
      </c>
      <c r="B119" s="88" t="str">
        <f>"Manzil: "&amp;umumiy_malumot!B28&amp;""</f>
        <v>Manzil: TOSHKENT SHAHAR YUNUSOBOD TUMANI OTCHOPAR-1 MFY KARIM ZARIPOV KO'CHASI 8-6 UY</v>
      </c>
    </row>
    <row r="120" spans="1:3">
      <c r="A120" s="90" t="str">
        <f>"h/r: "&amp;umumiy_malumot!B154&amp;""</f>
        <v>h/r: № 20208000405643889001</v>
      </c>
    </row>
    <row r="121" spans="1:3" ht="59.25" customHeight="1">
      <c r="A121" s="88" t="str">
        <f>"MFO: "&amp;umumiy_malumot!B155&amp;" в "&amp;umumiy_malumot!B156&amp;""</f>
        <v>MFO: №01088 в ATB “Kapitalbank” Markaziy amaliyotlar bo'limi</v>
      </c>
      <c r="B121" s="88" t="str">
        <f>"pasport seriyasi: "&amp;umumiy_malumot!B16&amp;", "&amp;umumiy_malumot!B20&amp;""</f>
        <v>pasport seriyasi: AD 3925702, IIV 26266 tomonidan 12.07.2023 yilda berilgan</v>
      </c>
    </row>
    <row r="122" spans="1:3">
      <c r="A122" s="88" t="str">
        <f>"STIR: "&amp;umumiy_malumot!B157&amp;""</f>
        <v>STIR: 310430149</v>
      </c>
      <c r="B122" s="82" t="str">
        <f>"Tel: "&amp;umumiy_malumot!B40&amp;""</f>
        <v xml:space="preserve">Tel: 93 554 55 99 MIJOZ </v>
      </c>
    </row>
    <row r="123" spans="1:3">
      <c r="A123" s="218" t="str">
        <f>"Tel: (97) 714 14 14"</f>
        <v>Tel: (97) 714 14 14</v>
      </c>
      <c r="B123" s="82" t="str">
        <f>umumiy_malumot!B41</f>
        <v>99 899 80 88 JIYANI</v>
      </c>
    </row>
    <row r="124" spans="1:3">
      <c r="A124" s="218" t="s">
        <v>383</v>
      </c>
      <c r="B124" s="82" t="str">
        <f>umumiy_malumot!B42</f>
        <v>71 212 15 05 UY</v>
      </c>
    </row>
    <row r="125" spans="1:3">
      <c r="A125" s="10" t="s">
        <v>401</v>
      </c>
    </row>
    <row r="126" spans="1:3">
      <c r="A126" s="191" t="str">
        <f>umumiy_malumot!A150</f>
        <v>Direktor</v>
      </c>
      <c r="B126" s="81" t="str">
        <f>""&amp;umumiy_malumot!B7&amp;"     __________________"</f>
        <v>SIMONYAN V. R.     __________________</v>
      </c>
    </row>
    <row r="128" spans="1:3">
      <c r="B128" s="209"/>
    </row>
    <row r="129" spans="1:2">
      <c r="A129" s="170" t="str">
        <f>""&amp;umumiy_malumot!B150&amp;" ________________ "</f>
        <v xml:space="preserve">Obidov A. Sh. ________________ </v>
      </c>
      <c r="B129" s="10" t="str">
        <f>""&amp;umumiy_malumot!B65&amp;" shartnoma bir nusxasini oldim ________"</f>
        <v>Mikroqarz shartnoma bir nusxasini oldim ________</v>
      </c>
    </row>
    <row r="131" spans="1:2" hidden="1">
      <c r="A131" s="10" t="str">
        <f>"менеджер :   "&amp;umumiy_malumot!B161&amp;"______________"</f>
        <v>менеджер :   Eshbekov S.O.______________</v>
      </c>
    </row>
  </sheetData>
  <mergeCells count="98">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39370078740157483" bottom="0.39370078740157483" header="0.31496062992125984" footer="0.31496062992125984"/>
  <pageSetup paperSize="9" scale="80" orientation="portrait" r:id="rId1"/>
  <rowBreaks count="3" manualBreakCount="3">
    <brk id="20" max="1" man="1"/>
    <brk id="72" max="1" man="1"/>
    <brk id="95"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77"/>
  <sheetViews>
    <sheetView view="pageBreakPreview" zoomScaleNormal="100" zoomScaleSheetLayoutView="100" workbookViewId="0">
      <selection activeCell="D71" sqref="D71:F71"/>
    </sheetView>
  </sheetViews>
  <sheetFormatPr defaultColWidth="9.140625" defaultRowHeight="15" outlineLevelCol="1"/>
  <cols>
    <col min="1" max="1" width="9.140625" style="19"/>
    <col min="2" max="2" width="12.28515625" style="19" customWidth="1"/>
    <col min="3" max="3" width="17.7109375" style="19" customWidth="1"/>
    <col min="4" max="4" width="20.28515625" style="19" customWidth="1"/>
    <col min="5" max="5" width="16.7109375" style="19" customWidth="1"/>
    <col min="6" max="6" width="19" style="19" customWidth="1"/>
    <col min="7" max="7" width="10.140625" style="19" customWidth="1" outlineLevel="1"/>
    <col min="8" max="8" width="19.7109375" style="19" customWidth="1"/>
    <col min="9" max="10" width="9.140625" style="19" customWidth="1"/>
    <col min="11" max="16384" width="9.140625" style="19"/>
  </cols>
  <sheetData>
    <row r="1" spans="1:16" ht="3" customHeight="1"/>
    <row r="2" spans="1:16" ht="18.75" hidden="1" customHeight="1">
      <c r="A2" s="41"/>
      <c r="B2" s="41"/>
      <c r="C2" s="41"/>
      <c r="D2" s="41"/>
      <c r="E2" s="280"/>
      <c r="F2" s="280"/>
      <c r="G2" s="24"/>
    </row>
    <row r="3" spans="1:16" ht="75.75" customHeight="1">
      <c r="A3" s="41"/>
      <c r="B3" s="41"/>
      <c r="C3" s="41"/>
      <c r="D3" s="41"/>
      <c r="E3" s="41"/>
      <c r="F3" s="187" t="str">
        <f>""&amp;umumiy_malumot!B74&amp;" "&amp;umumiy_malumot!B65&amp;" shartnomasiga 
1 sonli ilova"</f>
        <v>2 fevral 2026 y.dan №43 Mikroqarz shartnomasiga 
1 sonli ilova</v>
      </c>
      <c r="G3" s="24"/>
    </row>
    <row r="4" spans="1:16" ht="6.75" customHeight="1">
      <c r="A4" s="41"/>
      <c r="B4" s="41"/>
      <c r="C4" s="41"/>
      <c r="D4" s="41"/>
      <c r="E4" s="41"/>
      <c r="F4" s="41"/>
    </row>
    <row r="5" spans="1:16">
      <c r="A5" s="281" t="s">
        <v>261</v>
      </c>
      <c r="B5" s="281"/>
      <c r="C5" s="281"/>
      <c r="D5" s="281"/>
      <c r="E5" s="281"/>
      <c r="F5" s="281"/>
    </row>
    <row r="6" spans="1:16" ht="7.5" customHeight="1"/>
    <row r="7" spans="1:16" ht="15" customHeight="1">
      <c r="A7" s="282" t="s">
        <v>14</v>
      </c>
      <c r="B7" s="283" t="s">
        <v>262</v>
      </c>
      <c r="C7" s="283" t="s">
        <v>263</v>
      </c>
      <c r="D7" s="284" t="s">
        <v>264</v>
      </c>
      <c r="E7" s="284"/>
      <c r="F7" s="284"/>
    </row>
    <row r="8" spans="1:16" s="20" customFormat="1">
      <c r="A8" s="282"/>
      <c r="B8" s="283"/>
      <c r="C8" s="283"/>
      <c r="D8" s="21" t="s">
        <v>265</v>
      </c>
      <c r="E8" s="21" t="s">
        <v>266</v>
      </c>
      <c r="F8" s="21" t="s">
        <v>267</v>
      </c>
    </row>
    <row r="9" spans="1:16" ht="13.5" customHeight="1">
      <c r="A9" s="22">
        <v>1</v>
      </c>
      <c r="B9" s="37">
        <f>'График дифференц'!B8</f>
        <v>46101</v>
      </c>
      <c r="C9" s="38">
        <f>IF(umumiy_malumot!$B$77=umumiy_malumot!$C$77,'График дифференц'!C8,IF(umumiy_malumot!$B$77=umumiy_malumot!$D$77,'График аннуитет.'!C8))</f>
        <v>50000000</v>
      </c>
      <c r="D9" s="38">
        <f>IF(umumiy_malumot!$B$77=umumiy_malumot!$C$77,'График дифференц'!D8,IF(umumiy_malumot!$B$77=umumiy_malumot!$D$77,'График аннуитет.'!D8))</f>
        <v>12246.379999999888</v>
      </c>
      <c r="E9" s="38">
        <f>IF(umumiy_malumot!$B$77=umumiy_malumot!$C$77,'График дифференц'!E8,IF(umumiy_malumot!$B$77=umumiy_malumot!$D$77,'График аннуитет.'!E8))</f>
        <v>3465753.62</v>
      </c>
      <c r="F9" s="38">
        <f>IF(umumiy_malumot!$B$77=umumiy_malumot!$C$77,'График дифференц'!F8,IF(umumiy_malumot!$B$77=umumiy_malumot!$D$77,'График аннуитет.'!F8))</f>
        <v>3478000</v>
      </c>
    </row>
    <row r="10" spans="1:16" ht="13.5" customHeight="1">
      <c r="A10" s="22">
        <v>2</v>
      </c>
      <c r="B10" s="37">
        <f>'График дифференц'!B9</f>
        <v>46132</v>
      </c>
      <c r="C10" s="38">
        <f>IF(umumiy_malumot!$B$77=umumiy_malumot!$C$77,'График дифференц'!C9,IF(umumiy_malumot!$B$77=umumiy_malumot!$D$77,'График аннуитет.'!C9))</f>
        <v>49987753.619999997</v>
      </c>
      <c r="D10" s="38">
        <f>IF(umumiy_malumot!$B$77=umumiy_malumot!$C$77,'График дифференц'!D9,IF(umumiy_malumot!$B$77=umumiy_malumot!$D$77,'График аннуитет.'!D9))</f>
        <v>1142955.69</v>
      </c>
      <c r="E10" s="38">
        <f>IF(umumiy_malumot!$B$77=umumiy_malumot!$C$77,'График дифференц'!E9,IF(umumiy_malumot!$B$77=umumiy_malumot!$D$77,'График аннуитет.'!E9))</f>
        <v>2335044.31</v>
      </c>
      <c r="F10" s="38">
        <f>IF(umumiy_malumot!$B$77=umumiy_malumot!$C$77,'График дифференц'!F9,IF(umumiy_malumot!$B$77=umumiy_malumot!$D$77,'График аннуитет.'!F9))</f>
        <v>3478000</v>
      </c>
    </row>
    <row r="11" spans="1:16" ht="13.5" customHeight="1">
      <c r="A11" s="22">
        <v>3</v>
      </c>
      <c r="B11" s="37">
        <f>'График дифференц'!B10</f>
        <v>46162</v>
      </c>
      <c r="C11" s="38">
        <f>IF(umumiy_malumot!$B$77=umumiy_malumot!$C$77,'График дифференц'!C10,IF(umumiy_malumot!$B$77=umumiy_malumot!$D$77,'График аннуитет.'!C10))</f>
        <v>48844797.93</v>
      </c>
      <c r="D11" s="38">
        <f>IF(umumiy_malumot!$B$77=umumiy_malumot!$C$77,'График дифференц'!D10,IF(umumiy_malumot!$B$77=umumiy_malumot!$D$77,'График аннуитет.'!D10))</f>
        <v>1269947.5</v>
      </c>
      <c r="E11" s="38">
        <f>IF(umumiy_malumot!$B$77=umumiy_malumot!$C$77,'График дифференц'!E10,IF(umumiy_malumot!$B$77=umumiy_malumot!$D$77,'График аннуитет.'!E10))</f>
        <v>2208052.5</v>
      </c>
      <c r="F11" s="38">
        <f>IF(umumiy_malumot!$B$77=umumiy_malumot!$C$77,'График дифференц'!F10,IF(umumiy_malumot!$B$77=umumiy_malumot!$D$77,'График аннуитет.'!F10))</f>
        <v>3478000</v>
      </c>
    </row>
    <row r="12" spans="1:16" ht="13.5" customHeight="1">
      <c r="A12" s="22">
        <v>4</v>
      </c>
      <c r="B12" s="37">
        <f>'График дифференц'!B11</f>
        <v>46195</v>
      </c>
      <c r="C12" s="38">
        <f>IF(umumiy_malumot!$B$77=umumiy_malumot!$C$77,'График дифференц'!C11,IF(umumiy_malumot!$B$77=umumiy_malumot!$D$77,'График аннуитет.'!C11))</f>
        <v>47574850.43</v>
      </c>
      <c r="D12" s="38">
        <f>IF(umumiy_malumot!$B$77=umumiy_malumot!$C$77,'График дифференц'!D11,IF(umumiy_malumot!$B$77=umumiy_malumot!$D$77,'График аннуитет.'!D11))</f>
        <v>1112291.71</v>
      </c>
      <c r="E12" s="38">
        <f>IF(umumiy_malumot!$B$77=umumiy_malumot!$C$77,'График дифференц'!E11,IF(umumiy_malumot!$B$77=umumiy_malumot!$D$77,'График аннуитет.'!E11))</f>
        <v>2365708.29</v>
      </c>
      <c r="F12" s="38">
        <f>IF(umumiy_malumot!$B$77=umumiy_malumot!$C$77,'График дифференц'!F11,IF(umumiy_malumot!$B$77=umumiy_malumot!$D$77,'График аннуитет.'!F11))</f>
        <v>3478000</v>
      </c>
      <c r="H12" s="328" t="s">
        <v>371</v>
      </c>
      <c r="I12" s="328"/>
      <c r="J12" s="328"/>
      <c r="K12" s="328"/>
      <c r="L12" s="328"/>
      <c r="M12" s="328"/>
      <c r="N12" s="328"/>
      <c r="O12" s="328"/>
      <c r="P12" s="328"/>
    </row>
    <row r="13" spans="1:16" ht="13.5" customHeight="1">
      <c r="A13" s="22">
        <v>5</v>
      </c>
      <c r="B13" s="37">
        <f>'График дифференц'!B12</f>
        <v>46223</v>
      </c>
      <c r="C13" s="38">
        <f>IF(umumiy_malumot!$B$77=umumiy_malumot!$C$77,'График дифференц'!C12,IF(umumiy_malumot!$B$77=umumiy_malumot!$D$77,'График аннуитет.'!C12))</f>
        <v>46462558.719999999</v>
      </c>
      <c r="D13" s="38">
        <f>IF(umumiy_malumot!$B$77=umumiy_malumot!$C$77,'График дифференц'!D12,IF(umumiy_malumot!$B$77=umumiy_malumot!$D$77,'График аннуитет.'!D12))</f>
        <v>1517662.0399999998</v>
      </c>
      <c r="E13" s="38">
        <f>IF(umumiy_malumot!$B$77=umumiy_malumot!$C$77,'График дифференц'!E12,IF(umumiy_malumot!$B$77=umumiy_malumot!$D$77,'График аннуитет.'!E12))</f>
        <v>1960337.9600000002</v>
      </c>
      <c r="F13" s="38">
        <f>IF(umumiy_malumot!$B$77=umumiy_malumot!$C$77,'График дифференц'!F12,IF(umumiy_malumot!$B$77=umumiy_malumot!$D$77,'График аннуитет.'!F12))</f>
        <v>3478000</v>
      </c>
      <c r="H13" s="328"/>
      <c r="I13" s="328"/>
      <c r="J13" s="328"/>
      <c r="K13" s="328"/>
      <c r="L13" s="328"/>
      <c r="M13" s="328"/>
      <c r="N13" s="328"/>
      <c r="O13" s="328"/>
      <c r="P13" s="328"/>
    </row>
    <row r="14" spans="1:16" ht="13.5" customHeight="1">
      <c r="A14" s="22">
        <v>6</v>
      </c>
      <c r="B14" s="37">
        <f>'График дифференц'!B13</f>
        <v>46254</v>
      </c>
      <c r="C14" s="38">
        <f>IF(umumiy_malumot!$B$77=umumiy_malumot!$C$77,'График дифференц'!C13,IF(umumiy_malumot!$B$77=umumiy_malumot!$D$77,'График аннуитет.'!C13))</f>
        <v>44944896.68</v>
      </c>
      <c r="D14" s="38">
        <f>IF(umumiy_malumot!$B$77=umumiy_malumot!$C$77,'График дифференц'!D13,IF(umumiy_malumot!$B$77=umumiy_malumot!$D$77,'График аннуитет.'!D13))</f>
        <v>1378519.1099999999</v>
      </c>
      <c r="E14" s="38">
        <f>IF(umumiy_malumot!$B$77=umumiy_malumot!$C$77,'График дифференц'!E13,IF(umumiy_malumot!$B$77=umumiy_malumot!$D$77,'График аннуитет.'!E13))</f>
        <v>2099480.89</v>
      </c>
      <c r="F14" s="38">
        <f>IF(umumiy_malumot!$B$77=umumiy_malumot!$C$77,'График дифференц'!F13,IF(umumiy_malumot!$B$77=umumiy_malumot!$D$77,'График аннуитет.'!F13))</f>
        <v>3478000</v>
      </c>
      <c r="H14" s="328"/>
      <c r="I14" s="328"/>
      <c r="J14" s="328"/>
      <c r="K14" s="328"/>
      <c r="L14" s="328"/>
      <c r="M14" s="328"/>
      <c r="N14" s="328"/>
      <c r="O14" s="328"/>
      <c r="P14" s="328"/>
    </row>
    <row r="15" spans="1:16" ht="13.5" customHeight="1">
      <c r="A15" s="22">
        <v>7</v>
      </c>
      <c r="B15" s="37">
        <f>'График дифференц'!B14</f>
        <v>46286</v>
      </c>
      <c r="C15" s="38">
        <f>IF(umumiy_malumot!$B$77=umumiy_malumot!$C$77,'График дифференц'!C14,IF(umumiy_malumot!$B$77=umumiy_malumot!$D$77,'График аннуитет.'!C14))</f>
        <v>43566377.57</v>
      </c>
      <c r="D15" s="38">
        <f>IF(umumiy_malumot!$B$77=umumiy_malumot!$C$77,'График дифференц'!D14,IF(umumiy_malumot!$B$77=umumiy_malumot!$D$77,'График аннуитет.'!D14))</f>
        <v>1377264.96</v>
      </c>
      <c r="E15" s="38">
        <f>IF(umumiy_malumot!$B$77=umumiy_malumot!$C$77,'График дифференц'!E14,IF(umumiy_malumot!$B$77=umumiy_malumot!$D$77,'График аннуитет.'!E14))</f>
        <v>2100735.04</v>
      </c>
      <c r="F15" s="38">
        <f>IF(umumiy_malumot!$B$77=umumiy_malumot!$C$77,'График дифференц'!F14,IF(umumiy_malumot!$B$77=umumiy_malumot!$D$77,'График аннуитет.'!F14))</f>
        <v>3478000</v>
      </c>
      <c r="H15" s="328"/>
      <c r="I15" s="328"/>
      <c r="J15" s="328"/>
      <c r="K15" s="328"/>
      <c r="L15" s="328"/>
      <c r="M15" s="328"/>
      <c r="N15" s="328"/>
      <c r="O15" s="328"/>
      <c r="P15" s="328"/>
    </row>
    <row r="16" spans="1:16" ht="13.5" customHeight="1">
      <c r="A16" s="22">
        <v>8</v>
      </c>
      <c r="B16" s="37">
        <f>'График дифференц'!B15</f>
        <v>46315</v>
      </c>
      <c r="C16" s="38">
        <f>IF(umumiy_malumot!$B$77=umumiy_malumot!$C$77,'График дифференц'!C15,IF(umumiy_malumot!$B$77=umumiy_malumot!$D$77,'График аннуитет.'!C15))</f>
        <v>42189112.609999999</v>
      </c>
      <c r="D16" s="38">
        <f>IF(umumiy_malumot!$B$77=umumiy_malumot!$C$77,'График дифференц'!D15,IF(umumiy_malumot!$B$77=umumiy_malumot!$D$77,'График аннуитет.'!D15))</f>
        <v>1634393.44</v>
      </c>
      <c r="E16" s="38">
        <f>IF(umumiy_malumot!$B$77=umumiy_malumot!$C$77,'График дифференц'!E15,IF(umumiy_malumot!$B$77=umumiy_malumot!$D$77,'График аннуитет.'!E15))</f>
        <v>1843606.56</v>
      </c>
      <c r="F16" s="38">
        <f>IF(umumiy_malumot!$B$77=umumiy_malumot!$C$77,'График дифференц'!F15,IF(umumiy_malumot!$B$77=umumiy_malumot!$D$77,'График аннуитет.'!F15))</f>
        <v>3478000</v>
      </c>
      <c r="H16" s="328"/>
      <c r="I16" s="328"/>
      <c r="J16" s="328"/>
      <c r="K16" s="328"/>
      <c r="L16" s="328"/>
      <c r="M16" s="328"/>
      <c r="N16" s="328"/>
      <c r="O16" s="328"/>
      <c r="P16" s="328"/>
    </row>
    <row r="17" spans="1:16" ht="13.5" customHeight="1">
      <c r="A17" s="22">
        <v>9</v>
      </c>
      <c r="B17" s="37">
        <f>'График дифференц'!B16</f>
        <v>46346</v>
      </c>
      <c r="C17" s="38">
        <f>IF(umumiy_malumot!$B$77=umumiy_malumot!$C$77,'График дифференц'!C16,IF(umumiy_malumot!$B$77=umumiy_malumot!$D$77,'График аннуитет.'!C16))</f>
        <v>40554719.170000002</v>
      </c>
      <c r="D17" s="38">
        <f>IF(umumiy_malumot!$B$77=umumiy_malumot!$C$77,'График дифференц'!D16,IF(umumiy_malumot!$B$77=umumiy_malumot!$D$77,'График аннуитет.'!D16))</f>
        <v>1583594.6500000001</v>
      </c>
      <c r="E17" s="38">
        <f>IF(umumiy_malumot!$B$77=umumiy_malumot!$C$77,'График дифференц'!E16,IF(umumiy_malumot!$B$77=umumiy_malumot!$D$77,'График аннуитет.'!E16))</f>
        <v>1894405.3499999999</v>
      </c>
      <c r="F17" s="38">
        <f>IF(umumiy_malumot!$B$77=umumiy_malumot!$C$77,'График дифференц'!F16,IF(umumiy_malumot!$B$77=umumiy_malumot!$D$77,'График аннуитет.'!F16))</f>
        <v>3478000</v>
      </c>
      <c r="H17" s="328"/>
      <c r="I17" s="328"/>
      <c r="J17" s="328"/>
      <c r="K17" s="328"/>
      <c r="L17" s="328"/>
      <c r="M17" s="328"/>
      <c r="N17" s="328"/>
      <c r="O17" s="328"/>
      <c r="P17" s="328"/>
    </row>
    <row r="18" spans="1:16" ht="13.5" customHeight="1">
      <c r="A18" s="22">
        <v>10</v>
      </c>
      <c r="B18" s="37">
        <f>'График дифференц'!B17</f>
        <v>46377</v>
      </c>
      <c r="C18" s="38">
        <f>IF(umumiy_malumot!$B$77=umumiy_malumot!$C$77,'График дифференц'!C17,IF(umumiy_malumot!$B$77=umumiy_malumot!$D$77,'График аннуитет.'!C17))</f>
        <v>38971124.520000003</v>
      </c>
      <c r="D18" s="38">
        <f>IF(umumiy_malumot!$B$77=umumiy_malumot!$C$77,'График дифференц'!D17,IF(umumiy_malumot!$B$77=umumiy_malumot!$D$77,'График аннуитет.'!D17))</f>
        <v>1657568.09</v>
      </c>
      <c r="E18" s="38">
        <f>IF(umumiy_malumot!$B$77=umumiy_malumot!$C$77,'График дифференц'!E17,IF(umumiy_malumot!$B$77=umumiy_malumot!$D$77,'График аннуитет.'!E17))</f>
        <v>1820431.91</v>
      </c>
      <c r="F18" s="38">
        <f>IF(umumiy_malumot!$B$77=umumiy_malumot!$C$77,'График дифференц'!F17,IF(umumiy_malumot!$B$77=umumiy_malumot!$D$77,'График аннуитет.'!F17))</f>
        <v>3478000</v>
      </c>
      <c r="H18" s="328"/>
      <c r="I18" s="328"/>
      <c r="J18" s="328"/>
      <c r="K18" s="328"/>
      <c r="L18" s="328"/>
      <c r="M18" s="328"/>
      <c r="N18" s="328"/>
      <c r="O18" s="328"/>
      <c r="P18" s="328"/>
    </row>
    <row r="19" spans="1:16" ht="13.5" customHeight="1">
      <c r="A19" s="22">
        <v>11</v>
      </c>
      <c r="B19" s="37">
        <f>'График дифференц'!B18</f>
        <v>46407</v>
      </c>
      <c r="C19" s="38">
        <f>IF(umumiy_malumot!$B$77=umumiy_malumot!$C$77,'График дифференц'!C18,IF(umumiy_malumot!$B$77=umumiy_malumot!$D$77,'График аннуитет.'!C18))</f>
        <v>37313556.43</v>
      </c>
      <c r="D19" s="38">
        <f>IF(umumiy_malumot!$B$77=umumiy_malumot!$C$77,'График дифференц'!D18,IF(umumiy_malumot!$B$77=umumiy_malumot!$D$77,'График аннуитет.'!D18))</f>
        <v>1791222.7</v>
      </c>
      <c r="E19" s="38">
        <f>IF(umumiy_malumot!$B$77=umumiy_malumot!$C$77,'График дифференц'!E18,IF(umumiy_malumot!$B$77=umumiy_malumot!$D$77,'График аннуитет.'!E18))</f>
        <v>1686777.3</v>
      </c>
      <c r="F19" s="38">
        <f>IF(umumiy_malumot!$B$77=umumiy_malumot!$C$77,'График дифференц'!F18,IF(umumiy_malumot!$B$77=umumiy_malumot!$D$77,'График аннуитет.'!F18))</f>
        <v>3478000</v>
      </c>
      <c r="H19" s="328"/>
      <c r="I19" s="328"/>
      <c r="J19" s="328"/>
      <c r="K19" s="328"/>
      <c r="L19" s="328"/>
      <c r="M19" s="328"/>
      <c r="N19" s="328"/>
      <c r="O19" s="328"/>
      <c r="P19" s="328"/>
    </row>
    <row r="20" spans="1:16">
      <c r="A20" s="22">
        <v>12</v>
      </c>
      <c r="B20" s="37">
        <f>'График дифференц'!B19</f>
        <v>46440</v>
      </c>
      <c r="C20" s="38">
        <f>IF(umumiy_malumot!$B$77=umumiy_malumot!$C$77,'График дифференц'!C19,IF(umumiy_malumot!$B$77=umumiy_malumot!$D$77,'График аннуитет.'!C19))</f>
        <v>35522333.729999997</v>
      </c>
      <c r="D20" s="38">
        <f>IF(umumiy_malumot!$B$77=umumiy_malumot!$C$77,'График дифференц'!D19,IF(umumiy_malumot!$B$77=umumiy_malumot!$D$77,'График аннуитет.'!D19))</f>
        <v>1711615.5999999999</v>
      </c>
      <c r="E20" s="38">
        <f>IF(umumiy_malumot!$B$77=umumiy_malumot!$C$77,'График дифференц'!E19,IF(umumiy_malumot!$B$77=umumiy_malumot!$D$77,'График аннуитет.'!E19))</f>
        <v>1766384.4000000001</v>
      </c>
      <c r="F20" s="38">
        <f>IF(umumiy_malumot!$B$77=umumiy_malumot!$C$77,'График дифференц'!F19,IF(umumiy_malumot!$B$77=umumiy_malumot!$D$77,'График аннуитет.'!F19))</f>
        <v>3478000</v>
      </c>
      <c r="H20" s="328"/>
      <c r="I20" s="328"/>
      <c r="J20" s="328"/>
      <c r="K20" s="328"/>
      <c r="L20" s="328"/>
      <c r="M20" s="328"/>
      <c r="N20" s="328"/>
      <c r="O20" s="328"/>
      <c r="P20" s="328"/>
    </row>
    <row r="21" spans="1:16">
      <c r="A21" s="22">
        <v>13</v>
      </c>
      <c r="B21" s="37">
        <f>'График дифференц'!B20</f>
        <v>46468</v>
      </c>
      <c r="C21" s="38">
        <f>IF(umumiy_malumot!$B$77=umumiy_malumot!$C$77,'График дифференц'!C20,IF(umumiy_malumot!$B$77=umumiy_malumot!$D$77,'График аннуитет.'!C20))</f>
        <v>33810718.129999995</v>
      </c>
      <c r="D21" s="38">
        <f>IF(umumiy_malumot!$B$77=umumiy_malumot!$C$77,'График дифференц'!D20,IF(umumiy_malumot!$B$77=umumiy_malumot!$D$77,'График аннуитет.'!D20))</f>
        <v>2051465.52</v>
      </c>
      <c r="E21" s="38">
        <f>IF(umumiy_malumot!$B$77=umumiy_malumot!$C$77,'График дифференц'!E20,IF(umumiy_malumot!$B$77=umumiy_malumot!$D$77,'График аннуитет.'!E20))</f>
        <v>1426534.48</v>
      </c>
      <c r="F21" s="38">
        <f>IF(umumiy_malumot!$B$77=umumiy_malumot!$C$77,'График дифференц'!F20,IF(umumiy_malumot!$B$77=umumiy_malumot!$D$77,'График аннуитет.'!F20))</f>
        <v>3478000</v>
      </c>
      <c r="H21" s="328"/>
      <c r="I21" s="328"/>
      <c r="J21" s="328"/>
      <c r="K21" s="328"/>
      <c r="L21" s="328"/>
      <c r="M21" s="328"/>
      <c r="N21" s="328"/>
      <c r="O21" s="328"/>
      <c r="P21" s="328"/>
    </row>
    <row r="22" spans="1:16">
      <c r="A22" s="22">
        <v>14</v>
      </c>
      <c r="B22" s="37">
        <f>'График дифференц'!B21</f>
        <v>46497</v>
      </c>
      <c r="C22" s="38">
        <f>IF(umumiy_malumot!$B$77=umumiy_malumot!$C$77,'График дифференц'!C21,IF(umumiy_malumot!$B$77=umumiy_malumot!$D$77,'График аннуитет.'!C21))</f>
        <v>31759252.609999996</v>
      </c>
      <c r="D22" s="38">
        <f>IF(umumiy_malumot!$B$77=umumiy_malumot!$C$77,'График дифференц'!D21,IF(umumiy_malumot!$B$77=umumiy_malumot!$D$77,'График аннуитет.'!D21))</f>
        <v>2090164.1099999999</v>
      </c>
      <c r="E22" s="38">
        <f>IF(umumiy_malumot!$B$77=umumiy_malumot!$C$77,'График дифференц'!E21,IF(umumiy_malumot!$B$77=umumiy_malumot!$D$77,'График аннуитет.'!E21))</f>
        <v>1387835.8900000001</v>
      </c>
      <c r="F22" s="38">
        <f>IF(umumiy_malumot!$B$77=umumiy_malumot!$C$77,'График дифференц'!F21,IF(umumiy_malumot!$B$77=umumiy_malumot!$D$77,'График аннуитет.'!F21))</f>
        <v>3478000</v>
      </c>
      <c r="H22" s="328"/>
      <c r="I22" s="328"/>
      <c r="J22" s="328"/>
      <c r="K22" s="328"/>
      <c r="L22" s="328"/>
      <c r="M22" s="328"/>
      <c r="N22" s="328"/>
      <c r="O22" s="328"/>
      <c r="P22" s="328"/>
    </row>
    <row r="23" spans="1:16">
      <c r="A23" s="22">
        <v>15</v>
      </c>
      <c r="B23" s="37">
        <f>'График дифференц'!B22</f>
        <v>46527</v>
      </c>
      <c r="C23" s="38">
        <f>IF(umumiy_malumot!$B$77=umumiy_malumot!$C$77,'График дифференц'!C22,IF(umumiy_malumot!$B$77=umumiy_malumot!$D$77,'График аннуитет.'!C22))</f>
        <v>29669088.499999996</v>
      </c>
      <c r="D23" s="38">
        <f>IF(umumiy_malumot!$B$77=umumiy_malumot!$C$77,'График дифференц'!D22,IF(umumiy_malumot!$B$77=umumiy_malumot!$D$77,'График аннуитет.'!D22))</f>
        <v>2136794.5</v>
      </c>
      <c r="E23" s="38">
        <f>IF(umumiy_malumot!$B$77=umumiy_malumot!$C$77,'График дифференц'!E22,IF(umumiy_malumot!$B$77=umumiy_malumot!$D$77,'График аннуитет.'!E22))</f>
        <v>1341205.5</v>
      </c>
      <c r="F23" s="38">
        <f>IF(umumiy_malumot!$B$77=umumiy_malumot!$C$77,'График дифференц'!F22,IF(umumiy_malumot!$B$77=umumiy_malumot!$D$77,'График аннуитет.'!F22))</f>
        <v>3478000</v>
      </c>
      <c r="H23" s="328"/>
      <c r="I23" s="328"/>
      <c r="J23" s="328"/>
      <c r="K23" s="328"/>
      <c r="L23" s="328"/>
      <c r="M23" s="328"/>
      <c r="N23" s="328"/>
      <c r="O23" s="328"/>
      <c r="P23" s="328"/>
    </row>
    <row r="24" spans="1:16">
      <c r="A24" s="22">
        <v>16</v>
      </c>
      <c r="B24" s="37">
        <f>'График дифференц'!B23</f>
        <v>46559</v>
      </c>
      <c r="C24" s="38">
        <f>IF(umumiy_malumot!$B$77=umumiy_malumot!$C$77,'График дифференц'!C23,IF(umumiy_malumot!$B$77=umumiy_malumot!$D$77,'График аннуитет.'!C23))</f>
        <v>27532293.999999996</v>
      </c>
      <c r="D24" s="38">
        <f>IF(umumiy_malumot!$B$77=umumiy_malumot!$C$77,'График дифференц'!D23,IF(umumiy_malumot!$B$77=umumiy_malumot!$D$77,'График аннуитет.'!D23))</f>
        <v>2150415.3600000003</v>
      </c>
      <c r="E24" s="38">
        <f>IF(umumiy_malumot!$B$77=umumiy_malumot!$C$77,'График дифференц'!E23,IF(umumiy_malumot!$B$77=umumiy_malumot!$D$77,'График аннуитет.'!E23))</f>
        <v>1327584.6399999999</v>
      </c>
      <c r="F24" s="38">
        <f>IF(umumiy_malumot!$B$77=umumiy_malumot!$C$77,'График дифференц'!F23,IF(umumiy_malumot!$B$77=umumiy_malumot!$D$77,'График аннуитет.'!F23))</f>
        <v>3478000</v>
      </c>
      <c r="H24" s="328"/>
      <c r="I24" s="328"/>
      <c r="J24" s="328"/>
      <c r="K24" s="328"/>
      <c r="L24" s="328"/>
      <c r="M24" s="328"/>
      <c r="N24" s="328"/>
      <c r="O24" s="328"/>
      <c r="P24" s="328"/>
    </row>
    <row r="25" spans="1:16">
      <c r="A25" s="22">
        <v>17</v>
      </c>
      <c r="B25" s="37">
        <f>'График дифференц'!B24</f>
        <v>46588</v>
      </c>
      <c r="C25" s="38">
        <f>IF(umumiy_malumot!$B$77=umumiy_malumot!$C$77,'График дифференц'!C24,IF(umumiy_malumot!$B$77=umumiy_malumot!$D$77,'График аннуитет.'!C24))</f>
        <v>25381878.639999997</v>
      </c>
      <c r="D25" s="38">
        <f>IF(umumiy_malumot!$B$77=umumiy_malumot!$C$77,'График дифференц'!D24,IF(umumiy_malumot!$B$77=umumiy_malumot!$D$77,'График аннуитет.'!D24))</f>
        <v>2368846.5700000003</v>
      </c>
      <c r="E25" s="38">
        <f>IF(umumiy_malumot!$B$77=umumiy_malumot!$C$77,'График дифференц'!E24,IF(umumiy_malumot!$B$77=umumiy_malumot!$D$77,'График аннуитет.'!E24))</f>
        <v>1109153.43</v>
      </c>
      <c r="F25" s="38">
        <f>IF(umumiy_malumot!$B$77=umumiy_malumot!$C$77,'График дифференц'!F24,IF(umumiy_malumot!$B$77=umumiy_malumot!$D$77,'График аннуитет.'!F24))</f>
        <v>3478000</v>
      </c>
    </row>
    <row r="26" spans="1:16">
      <c r="A26" s="22">
        <v>18</v>
      </c>
      <c r="B26" s="37">
        <f>'График дифференц'!B25</f>
        <v>46619</v>
      </c>
      <c r="C26" s="38">
        <f>IF(umumiy_malumot!$B$77=umumiy_malumot!$C$77,'График дифференц'!C25,IF(umumiy_malumot!$B$77=umumiy_malumot!$D$77,'График аннуитет.'!C25))</f>
        <v>23013032.069999997</v>
      </c>
      <c r="D26" s="38">
        <f>IF(umumiy_malumot!$B$77=umumiy_malumot!$C$77,'График дифференц'!D25,IF(umumiy_malumot!$B$77=umumiy_malumot!$D$77,'График аннуитет.'!D25))</f>
        <v>2403007.73</v>
      </c>
      <c r="E26" s="38">
        <f>IF(umumiy_malumot!$B$77=umumiy_malumot!$C$77,'График дифференц'!E25,IF(umumiy_malumot!$B$77=umumiy_malumot!$D$77,'График аннуитет.'!E25))</f>
        <v>1074992.27</v>
      </c>
      <c r="F26" s="38">
        <f>IF(umumiy_malumot!$B$77=umumiy_malumot!$C$77,'График дифференц'!F25,IF(umumiy_malumot!$B$77=umumiy_malumot!$D$77,'График аннуитет.'!F25))</f>
        <v>3478000</v>
      </c>
    </row>
    <row r="27" spans="1:16">
      <c r="A27" s="22">
        <v>19</v>
      </c>
      <c r="B27" s="37">
        <f>'График дифференц'!B26</f>
        <v>46650</v>
      </c>
      <c r="C27" s="38">
        <f>IF(umumiy_malumot!$B$77=umumiy_malumot!$C$77,'График дифференц'!C26,IF(umumiy_malumot!$B$77=umumiy_malumot!$D$77,'График аннуитет.'!C26))</f>
        <v>20610024.339999996</v>
      </c>
      <c r="D27" s="38">
        <f>IF(umumiy_malumot!$B$77=umumiy_malumot!$C$77,'График дифференц'!D26,IF(umumiy_malumot!$B$77=umumiy_malumot!$D$77,'График аннуитет.'!D26))</f>
        <v>2515257.7999999998</v>
      </c>
      <c r="E27" s="38">
        <f>IF(umumiy_malumot!$B$77=umumiy_malumot!$C$77,'График дифференц'!E26,IF(umumiy_malumot!$B$77=umumiy_malumot!$D$77,'График аннуитет.'!E26))</f>
        <v>962742.20000000007</v>
      </c>
      <c r="F27" s="38">
        <f>IF(umumiy_malumot!$B$77=umumiy_malumot!$C$77,'График дифференц'!F26,IF(umumiy_malumot!$B$77=umumiy_malumot!$D$77,'График аннуитет.'!F26))</f>
        <v>3478000</v>
      </c>
    </row>
    <row r="28" spans="1:16">
      <c r="A28" s="22">
        <v>20</v>
      </c>
      <c r="B28" s="37">
        <f>'График дифференц'!B27</f>
        <v>46680</v>
      </c>
      <c r="C28" s="38">
        <f>IF(umumiy_malumot!$B$77=umumiy_malumot!$C$77,'График дифференц'!C27,IF(umumiy_malumot!$B$77=umumiy_malumot!$D$77,'График аннуитет.'!C27))</f>
        <v>18094766.539999995</v>
      </c>
      <c r="D28" s="38">
        <f>IF(umumiy_malumot!$B$77=umumiy_malumot!$C$77,'График дифференц'!D27,IF(umumiy_malumot!$B$77=umumiy_malumot!$D$77,'График аннуитет.'!D27))</f>
        <v>2660017.2999999998</v>
      </c>
      <c r="E28" s="38">
        <f>IF(umumiy_malumot!$B$77=umumiy_malumot!$C$77,'График дифференц'!E27,IF(umumiy_malumot!$B$77=umumiy_malumot!$D$77,'График аннуитет.'!E27))</f>
        <v>817982.7</v>
      </c>
      <c r="F28" s="38">
        <f>IF(umumiy_malumot!$B$77=umumiy_malumot!$C$77,'График дифференц'!F27,IF(umumiy_malumot!$B$77=umumiy_malumot!$D$77,'График аннуитет.'!F27))</f>
        <v>3478000</v>
      </c>
    </row>
    <row r="29" spans="1:16">
      <c r="A29" s="22">
        <v>21</v>
      </c>
      <c r="B29" s="37">
        <f>'График дифференц'!B28</f>
        <v>46713</v>
      </c>
      <c r="C29" s="38">
        <f>IF(umumiy_malumot!$B$77=umumiy_malumot!$C$77,'График дифференц'!C28,IF(umumiy_malumot!$B$77=umumiy_malumot!$D$77,'График аннуитет.'!C28))</f>
        <v>15434749.239999995</v>
      </c>
      <c r="D29" s="38">
        <f>IF(umumiy_malumot!$B$77=umumiy_malumot!$C$77,'График дифференц'!D28,IF(umumiy_malumot!$B$77=umumiy_malumot!$D$77,'График аннуитет.'!D28))</f>
        <v>2710491.2800000003</v>
      </c>
      <c r="E29" s="38">
        <f>IF(umumiy_malumot!$B$77=umumiy_malumot!$C$77,'График дифференц'!E28,IF(umumiy_malumot!$B$77=umumiy_malumot!$D$77,'График аннуитет.'!E28))</f>
        <v>767508.72</v>
      </c>
      <c r="F29" s="38">
        <f>IF(umumiy_malumot!$B$77=umumiy_malumot!$C$77,'График дифференц'!F28,IF(umumiy_malumot!$B$77=umumiy_malumot!$D$77,'График аннуитет.'!F28))</f>
        <v>3478000</v>
      </c>
    </row>
    <row r="30" spans="1:16">
      <c r="A30" s="22">
        <v>22</v>
      </c>
      <c r="B30" s="37">
        <f>'График дифференц'!B29</f>
        <v>46741</v>
      </c>
      <c r="C30" s="38">
        <f>IF(umumiy_malumot!$B$77=umumiy_malumot!$C$77,'График дифференц'!C29,IF(umumiy_malumot!$B$77=umumiy_malumot!$D$77,'График аннуитет.'!C29))</f>
        <v>12724257.959999993</v>
      </c>
      <c r="D30" s="38">
        <f>IF(umumiy_malumot!$B$77=umumiy_malumot!$C$77,'График дифференц'!D29,IF(umumiy_malumot!$B$77=umumiy_malumot!$D$77,'График аннуитет.'!D29))</f>
        <v>2941140.88</v>
      </c>
      <c r="E30" s="38">
        <f>IF(umumiy_malumot!$B$77=umumiy_malumot!$C$77,'График дифференц'!E29,IF(umumiy_malumot!$B$77=umumiy_malumot!$D$77,'График аннуитет.'!E29))</f>
        <v>536859.12</v>
      </c>
      <c r="F30" s="38">
        <f>IF(umumiy_malumot!$B$77=umumiy_malumot!$C$77,'График дифференц'!F29,IF(umumiy_malumot!$B$77=umumiy_malumot!$D$77,'График аннуитет.'!F29))</f>
        <v>3478000</v>
      </c>
    </row>
    <row r="31" spans="1:16">
      <c r="A31" s="22">
        <v>23</v>
      </c>
      <c r="B31" s="37">
        <f>'График дифференц'!B30</f>
        <v>46772</v>
      </c>
      <c r="C31" s="38">
        <f>IF(umumiy_malumot!$B$77=umumiy_malumot!$C$77,'График дифференц'!C30,IF(umumiy_malumot!$B$77=umumiy_malumot!$D$77,'График аннуитет.'!C30))</f>
        <v>9783117.0799999945</v>
      </c>
      <c r="D31" s="38">
        <f>IF(umumiy_malumot!$B$77=umumiy_malumot!$C$77,'График дифференц'!D30,IF(umumiy_malumot!$B$77=umumiy_malumot!$D$77,'График аннуитет.'!D30))</f>
        <v>3022256.29</v>
      </c>
      <c r="E31" s="38">
        <f>IF(umumiy_malumot!$B$77=umumiy_malumot!$C$77,'График дифференц'!E30,IF(umumiy_malumot!$B$77=umumiy_malumot!$D$77,'График аннуитет.'!E30))</f>
        <v>455743.71</v>
      </c>
      <c r="F31" s="38">
        <f>IF(umumiy_malumot!$B$77=umumiy_malumot!$C$77,'График дифференц'!F30,IF(umumiy_malumot!$B$77=umumiy_malumot!$D$77,'График аннуитет.'!F30))</f>
        <v>3478000</v>
      </c>
    </row>
    <row r="32" spans="1:16">
      <c r="A32" s="22">
        <v>24</v>
      </c>
      <c r="B32" s="37">
        <f>'График дифференц'!B31</f>
        <v>46785</v>
      </c>
      <c r="C32" s="38">
        <f>IF(umumiy_malumot!$B$77=umumiy_malumot!$C$77,'График дифференц'!C31,IF(umumiy_malumot!$B$77=umumiy_malumot!$D$77,'График аннуитет.'!C31))</f>
        <v>6760860.7899999944</v>
      </c>
      <c r="D32" s="38">
        <f>IF(umumiy_malumot!$B$77=umumiy_malumot!$C$77,'График дифференц'!D31,IF(umumiy_malumot!$B$77=umumiy_malumot!$D$77,'График аннуитет.'!D31))</f>
        <v>6760860.7899999944</v>
      </c>
      <c r="E32" s="38">
        <f>IF(umumiy_malumot!$B$77=umumiy_malumot!$C$77,'График дифференц'!E31,IF(umumiy_malumot!$B$77=umumiy_malumot!$D$77,'График аннуитет.'!E31))</f>
        <v>132076.88</v>
      </c>
      <c r="F32" s="38">
        <f>IF(umumiy_malumot!$B$77=umumiy_malumot!$C$77,'График дифференц'!F31,IF(umumiy_malumot!$B$77=umumiy_malumot!$D$77,'График аннуитет.'!F31))</f>
        <v>6892937.6699999943</v>
      </c>
    </row>
    <row r="33" spans="1:6">
      <c r="A33" s="22">
        <f>1+A32</f>
        <v>25</v>
      </c>
      <c r="B33" s="37" t="b">
        <f>'График дифференц'!B32</f>
        <v>0</v>
      </c>
      <c r="C33" s="38">
        <f>IF(umumiy_malumot!$B$77=umumiy_malumot!$C$77,'График дифференц'!C32,IF(umumiy_malumot!$B$77=umumiy_malumot!$D$77,'График аннуитет.'!C32))</f>
        <v>0</v>
      </c>
      <c r="D33" s="38">
        <f>IF(umumiy_malumot!$B$77=umumiy_malumot!$C$77,'График дифференц'!D32,IF(umumiy_malumot!$B$77=umumiy_malumot!$D$77,'График аннуитет.'!D32))</f>
        <v>0</v>
      </c>
      <c r="E33" s="38">
        <f>IF(umumiy_malumot!$B$77=umumiy_malumot!$C$77,'График дифференц'!E32,IF(umumiy_malumot!$B$77=umumiy_malumot!$D$77,'График аннуитет.'!E32))</f>
        <v>0</v>
      </c>
      <c r="F33" s="38">
        <f>IF(umumiy_malumot!$B$77=umumiy_malumot!$C$77,'График дифференц'!F32,IF(umumiy_malumot!$B$77=umumiy_malumot!$D$77,'График аннуитет.'!F32))</f>
        <v>0</v>
      </c>
    </row>
    <row r="34" spans="1:6">
      <c r="A34" s="22">
        <f t="shared" ref="A34:A56" si="0">1+A33</f>
        <v>26</v>
      </c>
      <c r="B34" s="37" t="b">
        <f>'График дифференц'!B33</f>
        <v>0</v>
      </c>
      <c r="C34" s="38">
        <f>IF(umumiy_malumot!$B$77=umumiy_malumot!$C$77,'График дифференц'!C33,IF(umumiy_malumot!$B$77=umumiy_malumot!$D$77,'График аннуитет.'!C33))</f>
        <v>0</v>
      </c>
      <c r="D34" s="38">
        <f>IF(umumiy_malumot!$B$77=umumiy_malumot!$C$77,'График дифференц'!D33,IF(umumiy_malumot!$B$77=umumiy_malumot!$D$77,'График аннуитет.'!D33))</f>
        <v>0</v>
      </c>
      <c r="E34" s="38">
        <f>IF(umumiy_malumot!$B$77=umumiy_malumot!$C$77,'График дифференц'!E33,IF(umumiy_malumot!$B$77=umumiy_malumot!$D$77,'График аннуитет.'!E33))</f>
        <v>0</v>
      </c>
      <c r="F34" s="38">
        <f>IF(umumiy_malumot!$B$77=umumiy_malumot!$C$77,'График дифференц'!F33,IF(umumiy_malumot!$B$77=umumiy_malumot!$D$77,'График аннуитет.'!F33))</f>
        <v>0</v>
      </c>
    </row>
    <row r="35" spans="1:6">
      <c r="A35" s="22">
        <f t="shared" si="0"/>
        <v>27</v>
      </c>
      <c r="B35" s="37" t="b">
        <f>'График дифференц'!B34</f>
        <v>0</v>
      </c>
      <c r="C35" s="38">
        <f>IF(umumiy_malumot!$B$77=umumiy_malumot!$C$77,'График дифференц'!C34,IF(umumiy_malumot!$B$77=umumiy_malumot!$D$77,'График аннуитет.'!C34))</f>
        <v>0</v>
      </c>
      <c r="D35" s="38">
        <f>IF(umumiy_malumot!$B$77=umumiy_malumot!$C$77,'График дифференц'!D34,IF(umumiy_malumot!$B$77=umumiy_malumot!$D$77,'График аннуитет.'!D34))</f>
        <v>0</v>
      </c>
      <c r="E35" s="38">
        <f>IF(umumiy_malumot!$B$77=umumiy_malumot!$C$77,'График дифференц'!E34,IF(umumiy_malumot!$B$77=umumiy_malumot!$D$77,'График аннуитет.'!E34))</f>
        <v>0</v>
      </c>
      <c r="F35" s="38">
        <f>IF(umumiy_malumot!$B$77=umumiy_malumot!$C$77,'График дифференц'!F34,IF(umumiy_malumot!$B$77=umumiy_malumot!$D$77,'График аннуитет.'!F34))</f>
        <v>0</v>
      </c>
    </row>
    <row r="36" spans="1:6">
      <c r="A36" s="22">
        <f t="shared" si="0"/>
        <v>28</v>
      </c>
      <c r="B36" s="37" t="b">
        <f>'График дифференц'!B35</f>
        <v>0</v>
      </c>
      <c r="C36" s="38">
        <f>IF(umumiy_malumot!$B$77=umumiy_malumot!$C$77,'График дифференц'!C35,IF(umumiy_malumot!$B$77=umumiy_malumot!$D$77,'График аннуитет.'!C35))</f>
        <v>0</v>
      </c>
      <c r="D36" s="38">
        <f>IF(umumiy_malumot!$B$77=umumiy_malumot!$C$77,'График дифференц'!D35,IF(umumiy_malumot!$B$77=umumiy_malumot!$D$77,'График аннуитет.'!D35))</f>
        <v>0</v>
      </c>
      <c r="E36" s="38">
        <f>IF(umumiy_malumot!$B$77=umumiy_malumot!$C$77,'График дифференц'!E35,IF(umumiy_malumot!$B$77=umumiy_malumot!$D$77,'График аннуитет.'!E35))</f>
        <v>0</v>
      </c>
      <c r="F36" s="38">
        <f>IF(umumiy_malumot!$B$77=umumiy_malumot!$C$77,'График дифференц'!F35,IF(umumiy_malumot!$B$77=umumiy_malumot!$D$77,'График аннуитет.'!F35))</f>
        <v>0</v>
      </c>
    </row>
    <row r="37" spans="1:6">
      <c r="A37" s="22">
        <f t="shared" si="0"/>
        <v>29</v>
      </c>
      <c r="B37" s="37" t="b">
        <f>'График дифференц'!B36</f>
        <v>0</v>
      </c>
      <c r="C37" s="38">
        <f>IF(umumiy_malumot!$B$77=umumiy_malumot!$C$77,'График дифференц'!C36,IF(umumiy_malumot!$B$77=umumiy_malumot!$D$77,'График аннуитет.'!C36))</f>
        <v>0</v>
      </c>
      <c r="D37" s="38">
        <f>IF(umumiy_malumot!$B$77=umumiy_malumot!$C$77,'График дифференц'!D36,IF(umumiy_malumot!$B$77=umumiy_malumot!$D$77,'График аннуитет.'!D36))</f>
        <v>0</v>
      </c>
      <c r="E37" s="38">
        <f>IF(umumiy_malumot!$B$77=umumiy_malumot!$C$77,'График дифференц'!E36,IF(umumiy_malumot!$B$77=umumiy_malumot!$D$77,'График аннуитет.'!E36))</f>
        <v>0</v>
      </c>
      <c r="F37" s="38">
        <f>IF(umumiy_malumot!$B$77=umumiy_malumot!$C$77,'График дифференц'!F36,IF(umumiy_malumot!$B$77=umumiy_malumot!$D$77,'График аннуитет.'!F36))</f>
        <v>0</v>
      </c>
    </row>
    <row r="38" spans="1:6">
      <c r="A38" s="22">
        <f t="shared" si="0"/>
        <v>30</v>
      </c>
      <c r="B38" s="37" t="b">
        <f>'График дифференц'!B37</f>
        <v>0</v>
      </c>
      <c r="C38" s="38">
        <f>IF(umumiy_malumot!$B$77=umumiy_malumot!$C$77,'График дифференц'!C37,IF(umumiy_malumot!$B$77=umumiy_malumot!$D$77,'График аннуитет.'!C37))</f>
        <v>0</v>
      </c>
      <c r="D38" s="38">
        <f>IF(umumiy_malumot!$B$77=umumiy_malumot!$C$77,'График дифференц'!D37,IF(umumiy_malumot!$B$77=umumiy_malumot!$D$77,'График аннуитет.'!D37))</f>
        <v>0</v>
      </c>
      <c r="E38" s="38">
        <f>IF(umumiy_malumot!$B$77=umumiy_malumot!$C$77,'График дифференц'!E37,IF(umumiy_malumot!$B$77=umumiy_malumot!$D$77,'График аннуитет.'!E37))</f>
        <v>0</v>
      </c>
      <c r="F38" s="38">
        <f>IF(umumiy_malumot!$B$77=umumiy_malumot!$C$77,'График дифференц'!F37,IF(umumiy_malumot!$B$77=umumiy_malumot!$D$77,'График аннуитет.'!F37))</f>
        <v>0</v>
      </c>
    </row>
    <row r="39" spans="1:6">
      <c r="A39" s="22">
        <f t="shared" si="0"/>
        <v>31</v>
      </c>
      <c r="B39" s="37" t="b">
        <f>'График дифференц'!B38</f>
        <v>0</v>
      </c>
      <c r="C39" s="38">
        <f>IF(umumiy_malumot!$B$77=umumiy_malumot!$C$77,'График дифференц'!C38,IF(umumiy_malumot!$B$77=umumiy_malumot!$D$77,'График аннуитет.'!C38))</f>
        <v>0</v>
      </c>
      <c r="D39" s="38">
        <f>IF(umumiy_malumot!$B$77=umumiy_malumot!$C$77,'График дифференц'!D38,IF(umumiy_malumot!$B$77=umumiy_malumot!$D$77,'График аннуитет.'!D38))</f>
        <v>0</v>
      </c>
      <c r="E39" s="38">
        <f>IF(umumiy_malumot!$B$77=umumiy_malumot!$C$77,'График дифференц'!E38,IF(umumiy_malumot!$B$77=umumiy_malumot!$D$77,'График аннуитет.'!E38))</f>
        <v>0</v>
      </c>
      <c r="F39" s="38">
        <f>IF(umumiy_malumot!$B$77=umumiy_malumot!$C$77,'График дифференц'!F38,IF(umumiy_malumot!$B$77=umumiy_malumot!$D$77,'График аннуитет.'!F38))</f>
        <v>0</v>
      </c>
    </row>
    <row r="40" spans="1:6">
      <c r="A40" s="22">
        <f t="shared" si="0"/>
        <v>32</v>
      </c>
      <c r="B40" s="37" t="b">
        <f>'График дифференц'!B39</f>
        <v>0</v>
      </c>
      <c r="C40" s="38">
        <f>IF(umumiy_malumot!$B$77=umumiy_malumot!$C$77,'График дифференц'!C39,IF(umumiy_malumot!$B$77=umumiy_malumot!$D$77,'График аннуитет.'!C39))</f>
        <v>0</v>
      </c>
      <c r="D40" s="38">
        <f>IF(umumiy_malumot!$B$77=umumiy_malumot!$C$77,'График дифференц'!D39,IF(umumiy_malumot!$B$77=umumiy_malumot!$D$77,'График аннуитет.'!D39))</f>
        <v>0</v>
      </c>
      <c r="E40" s="38">
        <f>IF(umumiy_malumot!$B$77=umumiy_malumot!$C$77,'График дифференц'!E39,IF(umumiy_malumot!$B$77=umumiy_malumot!$D$77,'График аннуитет.'!E39))</f>
        <v>0</v>
      </c>
      <c r="F40" s="38">
        <f>IF(umumiy_malumot!$B$77=umumiy_malumot!$C$77,'График дифференц'!F39,IF(umumiy_malumot!$B$77=umumiy_malumot!$D$77,'График аннуитет.'!F39))</f>
        <v>0</v>
      </c>
    </row>
    <row r="41" spans="1:6">
      <c r="A41" s="22">
        <f t="shared" si="0"/>
        <v>33</v>
      </c>
      <c r="B41" s="37" t="b">
        <f>'График дифференц'!B40</f>
        <v>0</v>
      </c>
      <c r="C41" s="38">
        <f>IF(umumiy_malumot!$B$77=umumiy_malumot!$C$77,'График дифференц'!C40,IF(umumiy_malumot!$B$77=umumiy_malumot!$D$77,'График аннуитет.'!C40))</f>
        <v>0</v>
      </c>
      <c r="D41" s="38">
        <f>IF(umumiy_malumot!$B$77=umumiy_malumot!$C$77,'График дифференц'!D40,IF(umumiy_malumot!$B$77=umumiy_malumot!$D$77,'График аннуитет.'!D40))</f>
        <v>0</v>
      </c>
      <c r="E41" s="38">
        <f>IF(umumiy_malumot!$B$77=umumiy_malumot!$C$77,'График дифференц'!E40,IF(umumiy_malumot!$B$77=umumiy_malumot!$D$77,'График аннуитет.'!E40))</f>
        <v>0</v>
      </c>
      <c r="F41" s="38">
        <f>IF(umumiy_malumot!$B$77=umumiy_malumot!$C$77,'График дифференц'!F40,IF(umumiy_malumot!$B$77=umumiy_malumot!$D$77,'График аннуитет.'!F40))</f>
        <v>0</v>
      </c>
    </row>
    <row r="42" spans="1:6">
      <c r="A42" s="22">
        <f t="shared" si="0"/>
        <v>34</v>
      </c>
      <c r="B42" s="37" t="b">
        <f>'График дифференц'!B41</f>
        <v>0</v>
      </c>
      <c r="C42" s="38">
        <f>IF(umumiy_malumot!$B$77=umumiy_malumot!$C$77,'График дифференц'!C41,IF(umumiy_malumot!$B$77=umumiy_malumot!$D$77,'График аннуитет.'!C41))</f>
        <v>0</v>
      </c>
      <c r="D42" s="38">
        <f>IF(umumiy_malumot!$B$77=umumiy_malumot!$C$77,'График дифференц'!D41,IF(umumiy_malumot!$B$77=umumiy_malumot!$D$77,'График аннуитет.'!D41))</f>
        <v>0</v>
      </c>
      <c r="E42" s="38">
        <f>IF(umumiy_malumot!$B$77=umumiy_malumot!$C$77,'График дифференц'!E41,IF(umumiy_malumot!$B$77=umumiy_malumot!$D$77,'График аннуитет.'!E41))</f>
        <v>0</v>
      </c>
      <c r="F42" s="38">
        <f>IF(umumiy_malumot!$B$77=umumiy_malumot!$C$77,'График дифференц'!F41,IF(umumiy_malumot!$B$77=umumiy_malumot!$D$77,'График аннуитет.'!F41))</f>
        <v>0</v>
      </c>
    </row>
    <row r="43" spans="1:6">
      <c r="A43" s="22">
        <f t="shared" si="0"/>
        <v>35</v>
      </c>
      <c r="B43" s="37" t="b">
        <f>'График дифференц'!B42</f>
        <v>0</v>
      </c>
      <c r="C43" s="38">
        <f>IF(umumiy_malumot!$B$77=umumiy_malumot!$C$77,'График дифференц'!C42,IF(umumiy_malumot!$B$77=umumiy_malumot!$D$77,'График аннуитет.'!C42))</f>
        <v>0</v>
      </c>
      <c r="D43" s="38">
        <f>IF(umumiy_malumot!$B$77=umumiy_malumot!$C$77,'График дифференц'!D42,IF(umumiy_malumot!$B$77=umumiy_malumot!$D$77,'График аннуитет.'!D42))</f>
        <v>0</v>
      </c>
      <c r="E43" s="38">
        <f>IF(umumiy_malumot!$B$77=umumiy_malumot!$C$77,'График дифференц'!E42,IF(umumiy_malumot!$B$77=umumiy_malumot!$D$77,'График аннуитет.'!E42))</f>
        <v>0</v>
      </c>
      <c r="F43" s="38">
        <f>IF(umumiy_malumot!$B$77=umumiy_malumot!$C$77,'График дифференц'!F42,IF(umumiy_malumot!$B$77=umumiy_malumot!$D$77,'График аннуитет.'!F42))</f>
        <v>0</v>
      </c>
    </row>
    <row r="44" spans="1:6">
      <c r="A44" s="22">
        <f t="shared" si="0"/>
        <v>36</v>
      </c>
      <c r="B44" s="37" t="b">
        <f>'График дифференц'!B43</f>
        <v>0</v>
      </c>
      <c r="C44" s="38">
        <f>IF(umumiy_malumot!$B$77=umumiy_malumot!$C$77,'График дифференц'!C43,IF(umumiy_malumot!$B$77=umumiy_malumot!$D$77,'График аннуитет.'!C43))</f>
        <v>0</v>
      </c>
      <c r="D44" s="38">
        <f>IF(umumiy_malumot!$B$77=umumiy_malumot!$C$77,'График дифференц'!D43,IF(umumiy_malumot!$B$77=umumiy_malumot!$D$77,'График аннуитет.'!D43))</f>
        <v>0</v>
      </c>
      <c r="E44" s="38">
        <f>IF(umumiy_malumot!$B$77=umumiy_malumot!$C$77,'График дифференц'!E43,IF(umumiy_malumot!$B$77=umumiy_malumot!$D$77,'График аннуитет.'!E43))</f>
        <v>0</v>
      </c>
      <c r="F44" s="38">
        <f>IF(umumiy_malumot!$B$77=umumiy_malumot!$C$77,'График дифференц'!F43,IF(umumiy_malumot!$B$77=umumiy_malumot!$D$77,'График аннуитет.'!F43))</f>
        <v>0</v>
      </c>
    </row>
    <row r="45" spans="1:6" hidden="1">
      <c r="A45" s="22">
        <f t="shared" si="0"/>
        <v>37</v>
      </c>
      <c r="B45" s="37" t="b">
        <f>'График дифференц'!B44</f>
        <v>0</v>
      </c>
      <c r="C45" s="38">
        <f>IF(umumiy_malumot!$B$77=umumiy_malumot!$C$77,'График дифференц'!C44,IF(umumiy_malumot!$B$77=umumiy_malumot!$D$77,'График аннуитет.'!C44))</f>
        <v>0</v>
      </c>
      <c r="D45" s="38">
        <f>IF(umumiy_malumot!$B$77=umumiy_malumot!$C$77,'График дифференц'!D44,IF(umumiy_malumot!$B$77=umumiy_malumot!$D$77,'График аннуитет.'!D44))</f>
        <v>0</v>
      </c>
      <c r="E45" s="38">
        <f>IF(umumiy_malumot!$B$77=umumiy_malumot!$C$77,'График дифференц'!E44,IF(umumiy_malumot!$B$77=umumiy_malumot!$D$77,'График аннуитет.'!E44))</f>
        <v>0</v>
      </c>
      <c r="F45" s="38">
        <f>IF(umumiy_malumot!$B$77=umumiy_malumot!$C$77,'График дифференц'!F44,IF(umumiy_malumot!$B$77=umumiy_malumot!$D$77,'График аннуитет.'!F44))</f>
        <v>0</v>
      </c>
    </row>
    <row r="46" spans="1:6" hidden="1">
      <c r="A46" s="22">
        <f t="shared" si="0"/>
        <v>38</v>
      </c>
      <c r="B46" s="37" t="b">
        <f>'График дифференц'!B45</f>
        <v>0</v>
      </c>
      <c r="C46" s="38">
        <f>IF(umumiy_malumot!$B$77=umumiy_malumot!$C$77,'График дифференц'!C45,IF(umumiy_malumot!$B$77=umumiy_malumot!$D$77,'График аннуитет.'!C57))</f>
        <v>0</v>
      </c>
      <c r="D46" s="38">
        <f>IF(umumiy_malumot!$B$77=umumiy_malumot!$C$77,'График дифференц'!D45,IF(umumiy_malumot!$B$77=umumiy_malumot!$D$77,'График аннуитет.'!D45))</f>
        <v>0</v>
      </c>
      <c r="E46" s="38">
        <f>IF(umumiy_malumot!$B$77=umumiy_malumot!$C$77,'График дифференц'!E45,IF(umumiy_malumot!$B$77=umumiy_malumot!$D$77,'График аннуитет.'!E45))</f>
        <v>0</v>
      </c>
      <c r="F46" s="38">
        <f>IF(umumiy_malumot!$B$77=umumiy_malumot!$C$77,'График дифференц'!F45,IF(umumiy_malumot!$B$77=umumiy_malumot!$D$77,'График аннуитет.'!F57))</f>
        <v>0</v>
      </c>
    </row>
    <row r="47" spans="1:6" hidden="1">
      <c r="A47" s="22">
        <f t="shared" si="0"/>
        <v>39</v>
      </c>
      <c r="B47" s="37" t="b">
        <f>'График дифференц'!B46</f>
        <v>0</v>
      </c>
      <c r="C47" s="38">
        <f>IF(umumiy_malumot!$B$77=umumiy_malumot!$C$77,'График дифференц'!C46,IF(umumiy_malumot!$B$77=umumiy_malumot!$D$77,'График аннуитет.'!C58))</f>
        <v>0</v>
      </c>
      <c r="D47" s="38">
        <f>IF(umumiy_malumot!$B$77=umumiy_malumot!$C$77,'График дифференц'!D46,IF(umumiy_malumot!$B$77=umumiy_malumot!$D$77,'График аннуитет.'!D46))</f>
        <v>0</v>
      </c>
      <c r="E47" s="38">
        <f>IF(umumiy_malumot!$B$77=umumiy_malumot!$C$77,'График дифференц'!E46,IF(umumiy_malumot!$B$77=umumiy_malumot!$D$77,'График аннуитет.'!E46))</f>
        <v>0</v>
      </c>
      <c r="F47" s="38">
        <f>IF(umumiy_malumot!$B$77=umumiy_malumot!$C$77,'График дифференц'!F46,IF(umumiy_malumot!$B$77=umumiy_malumot!$D$77,'График аннуитет.'!F58))</f>
        <v>0</v>
      </c>
    </row>
    <row r="48" spans="1:6" hidden="1">
      <c r="A48" s="22">
        <f t="shared" si="0"/>
        <v>40</v>
      </c>
      <c r="B48" s="37" t="b">
        <f>'График дифференц'!B47</f>
        <v>0</v>
      </c>
      <c r="C48" s="38">
        <f>IF(umumiy_malumot!$B$77=umumiy_malumot!$C$77,'График дифференц'!C47,IF(umumiy_malumot!$B$77=umumiy_malumot!$D$77,'График аннуитет.'!C59))</f>
        <v>0</v>
      </c>
      <c r="D48" s="38">
        <f>IF(umumiy_malumot!$B$77=umumiy_malumot!$C$77,'График дифференц'!D47,IF(umumiy_malumot!$B$77=umumiy_malumot!$D$77,'График аннуитет.'!D47))</f>
        <v>0</v>
      </c>
      <c r="E48" s="38">
        <f>IF(umumiy_malumot!$B$77=umumiy_malumot!$C$77,'График дифференц'!E47,IF(umumiy_malumot!$B$77=umumiy_malumot!$D$77,'График аннуитет.'!E47))</f>
        <v>0</v>
      </c>
      <c r="F48" s="38">
        <f>IF(umumiy_malumot!$B$77=umumiy_malumot!$C$77,'График дифференц'!F47,IF(umumiy_malumot!$B$77=umumiy_malumot!$D$77,'График аннуитет.'!F59))</f>
        <v>0</v>
      </c>
    </row>
    <row r="49" spans="1:6" hidden="1">
      <c r="A49" s="22">
        <f t="shared" si="0"/>
        <v>41</v>
      </c>
      <c r="B49" s="37" t="b">
        <f>'График дифференц'!B48</f>
        <v>0</v>
      </c>
      <c r="C49" s="38">
        <f>IF(umumiy_malumot!$B$77=umumiy_malumot!$C$77,'График дифференц'!C48,IF(umumiy_malumot!$B$77=umumiy_malumot!$D$77,'График аннуитет.'!C60))</f>
        <v>0</v>
      </c>
      <c r="D49" s="38">
        <f>IF(umumiy_malumot!$B$77=umumiy_malumot!$C$77,'График дифференц'!D48,IF(umumiy_malumot!$B$77=umumiy_malumot!$D$77,'График аннуитет.'!D48))</f>
        <v>0</v>
      </c>
      <c r="E49" s="38">
        <f>IF(umumiy_malumot!$B$77=umumiy_malumot!$C$77,'График дифференц'!E48,IF(umumiy_malumot!$B$77=umumiy_malumot!$D$77,'График аннуитет.'!E48))</f>
        <v>0</v>
      </c>
      <c r="F49" s="38">
        <f>IF(umumiy_malumot!$B$77=umumiy_malumot!$C$77,'График дифференц'!F48,IF(umumiy_malumot!$B$77=umumiy_malumot!$D$77,'График аннуитет.'!F60))</f>
        <v>0</v>
      </c>
    </row>
    <row r="50" spans="1:6" hidden="1">
      <c r="A50" s="22">
        <f t="shared" si="0"/>
        <v>42</v>
      </c>
      <c r="B50" s="37" t="b">
        <f>'График дифференц'!B49</f>
        <v>0</v>
      </c>
      <c r="C50" s="38">
        <f>IF(umumiy_malumot!$B$77=umumiy_malumot!$C$77,'График дифференц'!C49,IF(umumiy_malumot!$B$77=umumiy_malumot!$D$77,'График аннуитет.'!C61))</f>
        <v>0</v>
      </c>
      <c r="D50" s="38">
        <f>IF(umumiy_malumot!$B$77=umumiy_malumot!$C$77,'График дифференц'!D49,IF(umumiy_malumot!$B$77=umumiy_malumot!$D$77,'График аннуитет.'!D49))</f>
        <v>0</v>
      </c>
      <c r="E50" s="38">
        <f>IF(umumiy_malumot!$B$77=umumiy_malumot!$C$77,'График дифференц'!E49,IF(umumiy_malumot!$B$77=umumiy_malumot!$D$77,'График аннуитет.'!E49))</f>
        <v>0</v>
      </c>
      <c r="F50" s="38">
        <f>IF(umumiy_malumot!$B$77=umumiy_malumot!$C$77,'График дифференц'!F49,IF(umumiy_malumot!$B$77=umumiy_malumot!$D$77,'График аннуитет.'!F61))</f>
        <v>0</v>
      </c>
    </row>
    <row r="51" spans="1:6" hidden="1">
      <c r="A51" s="22">
        <f t="shared" si="0"/>
        <v>43</v>
      </c>
      <c r="B51" s="37" t="b">
        <f>'График дифференц'!B50</f>
        <v>0</v>
      </c>
      <c r="C51" s="38">
        <f>IF(umumiy_malumot!$B$77=umumiy_malumot!$C$77,'График дифференц'!C50,IF(umumiy_malumot!$B$77=umumiy_malumot!$D$77,'График аннуитет.'!C62))</f>
        <v>0</v>
      </c>
      <c r="D51" s="38">
        <f>IF(umumiy_malumot!$B$77=umumiy_malumot!$C$77,'График дифференц'!D50,IF(umumiy_malumot!$B$77=umumiy_malumot!$D$77,'График аннуитет.'!D50))</f>
        <v>0</v>
      </c>
      <c r="E51" s="38">
        <f>IF(umumiy_malumot!$B$77=umumiy_malumot!$C$77,'График дифференц'!E50,IF(umumiy_malumot!$B$77=umumiy_malumot!$D$77,'График аннуитет.'!E50))</f>
        <v>0</v>
      </c>
      <c r="F51" s="38">
        <f>IF(umumiy_malumot!$B$77=umumiy_malumot!$C$77,'График дифференц'!F50,IF(umumiy_malumot!$B$77=umumiy_malumot!$D$77,'График аннуитет.'!F62))</f>
        <v>0</v>
      </c>
    </row>
    <row r="52" spans="1:6" hidden="1">
      <c r="A52" s="22">
        <f t="shared" si="0"/>
        <v>44</v>
      </c>
      <c r="B52" s="37" t="b">
        <f>'График дифференц'!B51</f>
        <v>0</v>
      </c>
      <c r="C52" s="38">
        <f>IF(umumiy_malumot!$B$77=umumiy_malumot!$C$77,'График дифференц'!C51,IF(umumiy_malumot!$B$77=umumiy_malumot!$D$77,'График аннуитет.'!C63))</f>
        <v>0</v>
      </c>
      <c r="D52" s="38">
        <f>IF(umumiy_malumot!$B$77=umumiy_malumot!$C$77,'График дифференц'!D51,IF(umumiy_malumot!$B$77=umumiy_malumot!$D$77,'График аннуитет.'!D51))</f>
        <v>0</v>
      </c>
      <c r="E52" s="38">
        <f>IF(umumiy_malumot!$B$77=umumiy_malumot!$C$77,'График дифференц'!E51,IF(umumiy_malumot!$B$77=umumiy_malumot!$D$77,'График аннуитет.'!E51))</f>
        <v>0</v>
      </c>
      <c r="F52" s="38">
        <f>IF(umumiy_malumot!$B$77=umumiy_malumot!$C$77,'График дифференц'!F51,IF(umumiy_malumot!$B$77=umumiy_malumot!$D$77,'График аннуитет.'!F63))</f>
        <v>0</v>
      </c>
    </row>
    <row r="53" spans="1:6" hidden="1">
      <c r="A53" s="22">
        <f t="shared" si="0"/>
        <v>45</v>
      </c>
      <c r="B53" s="37" t="b">
        <f>'График дифференц'!B52</f>
        <v>0</v>
      </c>
      <c r="C53" s="38">
        <f>IF(umumiy_malumot!$B$77=umumiy_malumot!$C$77,'График дифференц'!C52,IF(umumiy_malumot!$B$77=umumiy_malumot!$D$77,'График аннуитет.'!C64))</f>
        <v>0</v>
      </c>
      <c r="D53" s="38">
        <f>IF(umumiy_malumot!$B$77=umumiy_malumot!$C$77,'График дифференц'!D52,IF(umumiy_malumot!$B$77=umumiy_malumot!$D$77,'График аннуитет.'!D52))</f>
        <v>0</v>
      </c>
      <c r="E53" s="38">
        <f>IF(umumiy_malumot!$B$77=umumiy_malumot!$C$77,'График дифференц'!E52,IF(umumiy_malumot!$B$77=umumiy_malumot!$D$77,'График аннуитет.'!E52))</f>
        <v>0</v>
      </c>
      <c r="F53" s="38">
        <f>IF(umumiy_malumot!$B$77=umumiy_malumot!$C$77,'График дифференц'!F52,IF(umumiy_malumot!$B$77=umumiy_malumot!$D$77,'График аннуитет.'!F64))</f>
        <v>0</v>
      </c>
    </row>
    <row r="54" spans="1:6" hidden="1">
      <c r="A54" s="22">
        <f t="shared" si="0"/>
        <v>46</v>
      </c>
      <c r="B54" s="37" t="b">
        <f>'График дифференц'!B53</f>
        <v>0</v>
      </c>
      <c r="C54" s="38">
        <f>IF(umumiy_malumot!$B$77=umumiy_malumot!$C$77,'График дифференц'!C53,IF(umumiy_malumot!$B$77=umumiy_malumot!$D$77,'График аннуитет.'!C65))</f>
        <v>0</v>
      </c>
      <c r="D54" s="38">
        <f>IF(umumiy_malumot!$B$77=umumiy_malumot!$C$77,'График дифференц'!D53,IF(umumiy_malumot!$B$77=umumiy_malumot!$D$77,'График аннуитет.'!D53))</f>
        <v>0</v>
      </c>
      <c r="E54" s="38">
        <f>IF(umumiy_malumot!$B$77=umumiy_malumot!$C$77,'График дифференц'!E53,IF(umumiy_malumot!$B$77=umumiy_malumot!$D$77,'График аннуитет.'!E53))</f>
        <v>0</v>
      </c>
      <c r="F54" s="38">
        <f>IF(umumiy_malumot!$B$77=umumiy_malumot!$C$77,'График дифференц'!F53,IF(umumiy_malumot!$B$77=umumiy_malumot!$D$77,'График аннуитет.'!F65))</f>
        <v>0</v>
      </c>
    </row>
    <row r="55" spans="1:6" hidden="1">
      <c r="A55" s="22">
        <f t="shared" si="0"/>
        <v>47</v>
      </c>
      <c r="B55" s="37" t="b">
        <f>'График дифференц'!B54</f>
        <v>0</v>
      </c>
      <c r="C55" s="38">
        <f>IF(umumiy_malumot!$B$77=umumiy_malumot!$C$77,'График дифференц'!C54,IF(umumiy_malumot!$B$77=umumiy_malumot!$D$77,'График аннуитет.'!C66))</f>
        <v>0</v>
      </c>
      <c r="D55" s="38">
        <f>IF(umumiy_malumot!$B$77=umumiy_malumot!$C$77,'График дифференц'!D54,IF(umumiy_malumot!$B$77=umumiy_malumot!$D$77,'График аннуитет.'!D54))</f>
        <v>0</v>
      </c>
      <c r="E55" s="38">
        <f>IF(umumiy_malumot!$B$77=umumiy_malumot!$C$77,'График дифференц'!E54,IF(umumiy_malumot!$B$77=umumiy_malumot!$D$77,'График аннуитет.'!E54))</f>
        <v>0</v>
      </c>
      <c r="F55" s="38">
        <f>IF(umumiy_malumot!$B$77=umumiy_malumot!$C$77,'График дифференц'!F54,IF(umumiy_malumot!$B$77=umumiy_malumot!$D$77,'График аннуитет.'!F66))</f>
        <v>0</v>
      </c>
    </row>
    <row r="56" spans="1:6" hidden="1">
      <c r="A56" s="22">
        <f t="shared" si="0"/>
        <v>48</v>
      </c>
      <c r="B56" s="37" t="b">
        <f>'График дифференц'!B55</f>
        <v>0</v>
      </c>
      <c r="C56" s="38">
        <f>IF(umumiy_malumot!$B$77=umumiy_malumot!$C$77,'График дифференц'!C55,IF(umumiy_malumot!$B$77=umumiy_malumot!$D$77,'График аннуитет.'!C67))</f>
        <v>0</v>
      </c>
      <c r="D56" s="38">
        <f>IF(umumiy_malumot!$B$77=umumiy_malumot!$C$77,'График дифференц'!D55,IF(umumiy_malumot!$B$77=umumiy_malumot!$D$77,'График аннуитет.'!D55))</f>
        <v>0</v>
      </c>
      <c r="E56" s="38">
        <f>IF(umumiy_malumot!$B$77=umumiy_malumot!$C$77,'График дифференц'!E55,IF(umumiy_malumot!$B$77=umumiy_malumot!$D$77,'График аннуитет.'!E55))</f>
        <v>0</v>
      </c>
      <c r="F56" s="38">
        <f>IF(umumiy_malumot!$B$77=umumiy_malumot!$C$77,'График дифференц'!F55,IF(umumiy_malumot!$B$77=umumiy_malumot!$D$77,'График аннуитет.'!F67))</f>
        <v>0</v>
      </c>
    </row>
    <row r="57" spans="1:6" ht="15" customHeight="1">
      <c r="A57" s="50"/>
      <c r="B57" s="51" t="s">
        <v>203</v>
      </c>
      <c r="C57" s="52"/>
      <c r="D57" s="38">
        <f>IF(umumiy_malumot!$B$77=umumiy_malumot!$C$77,'График дифференц'!D56,IF(umumiy_malumot!$B$77=umumiy_malumot!$D$77,'График аннуитет.'!D56))</f>
        <v>49999999.999999993</v>
      </c>
      <c r="E57" s="38">
        <f>IF(umumiy_malumot!$B$77=umumiy_malumot!$C$77,'График дифференц'!E56,IF(umumiy_malumot!$B$77=umumiy_malumot!$D$77,'График аннуитет.'!E56))</f>
        <v>36886937.670000002</v>
      </c>
      <c r="F57" s="52">
        <f>SUM(F9:F56)</f>
        <v>86886937.669999987</v>
      </c>
    </row>
    <row r="58" spans="1:6" ht="21" customHeight="1">
      <c r="B58" s="39"/>
      <c r="C58" s="40"/>
      <c r="D58" s="40"/>
      <c r="E58" s="40"/>
      <c r="F58" s="40"/>
    </row>
    <row r="59" spans="1:6" ht="47.25" customHeight="1">
      <c r="A59" s="243" t="str">
        <f>"*"&amp;umumiy_malumot!C64&amp;" bo‘yicha to‘lovlar to‘lov jadvalida ko‘rsatilmagan sanalarda to‘langan taqdirda, to‘lov summasi mikroqarz shartnomasining 2.4.-bandiga muvofiq "&amp;umumiy_malumot!B65&amp;" qoldig‘iga hisoblangan foizlar summasiga o‘zgartiriladi."</f>
        <v>*Mikrokredit bo‘yicha to‘lovlar to‘lov jadvalida ko‘rsatilmagan sanalarda to‘langan taqdirda, to‘lov summasi mikroqarz shartnomasining 2.4.-bandiga muvofiq Mikroqarz qoldig‘iga hisoblangan foizlar summasiga o‘zgartiriladi.</v>
      </c>
      <c r="B59" s="243"/>
      <c r="C59" s="243"/>
      <c r="D59" s="243"/>
      <c r="E59" s="243"/>
      <c r="F59" s="243"/>
    </row>
    <row r="60" spans="1:6" ht="7.5" customHeight="1"/>
    <row r="61" spans="1:6" ht="15" customHeight="1">
      <c r="A61" s="278" t="s">
        <v>268</v>
      </c>
      <c r="B61" s="278"/>
      <c r="C61" s="278"/>
      <c r="D61" s="278" t="s">
        <v>276</v>
      </c>
      <c r="E61" s="278"/>
      <c r="F61" s="278"/>
    </row>
    <row r="62" spans="1:6" ht="11.25" customHeight="1">
      <c r="A62" s="279"/>
      <c r="B62" s="279"/>
      <c r="C62" s="279"/>
      <c r="D62" s="279"/>
      <c r="E62" s="279"/>
      <c r="F62" s="279"/>
    </row>
    <row r="63" spans="1:6" ht="30" customHeight="1">
      <c r="A63" s="277" t="str">
        <f>shartnoma!A117</f>
        <v>«PULLOL BUSINESS MIKROMOLIYA TASHKILOTI»  MChJ</v>
      </c>
      <c r="B63" s="277"/>
      <c r="C63" s="277"/>
      <c r="D63" s="277" t="str">
        <f>shartnoma!B117</f>
        <v>SIMONYAN VADIM ROMANOVICH</v>
      </c>
      <c r="E63" s="277"/>
      <c r="F63" s="277"/>
    </row>
    <row r="64" spans="1:6" ht="53.25" customHeight="1">
      <c r="A64" s="273" t="str">
        <f>shartnoma!A119</f>
        <v>Manzil: Toshkent shahri, Yakkasaroy tumani, Rakat ko'chasi, 10-uy, 18 xonadon</v>
      </c>
      <c r="B64" s="273"/>
      <c r="C64" s="273"/>
      <c r="D64" s="273" t="str">
        <f>shartnoma!B119</f>
        <v>Manzil: TOSHKENT SHAHAR YUNUSOBOD TUMANI OTCHOPAR-1 MFY KARIM ZARIPOV KO'CHASI 8-6 UY</v>
      </c>
      <c r="E64" s="273"/>
      <c r="F64" s="273"/>
    </row>
    <row r="65" spans="1:6" ht="15" customHeight="1">
      <c r="A65" s="273" t="str">
        <f>shartnoma!A120</f>
        <v>h/r: № 20208000405643889001</v>
      </c>
      <c r="B65" s="273"/>
      <c r="C65" s="273"/>
      <c r="D65" s="273" t="str">
        <f>shartnoma!B121</f>
        <v>pasport seriyasi: AD 3925702, IIV 26266 tomonidan 12.07.2023 yilda berilgan</v>
      </c>
      <c r="E65" s="273"/>
      <c r="F65" s="273"/>
    </row>
    <row r="66" spans="1:6" ht="32.25" customHeight="1">
      <c r="A66" s="273" t="str">
        <f>shartnoma!A121</f>
        <v>MFO: №01088 в ATB “Kapitalbank” Markaziy amaliyotlar bo'limi</v>
      </c>
      <c r="B66" s="273"/>
      <c r="C66" s="273"/>
      <c r="D66" s="273"/>
      <c r="E66" s="273"/>
      <c r="F66" s="273"/>
    </row>
    <row r="67" spans="1:6" ht="15" customHeight="1">
      <c r="A67" s="273" t="str">
        <f>shartnoma!A122</f>
        <v>STIR: 310430149</v>
      </c>
      <c r="B67" s="273"/>
      <c r="C67" s="273"/>
      <c r="D67" s="273" t="str">
        <f>shartnoma!B122</f>
        <v xml:space="preserve">Tel: 93 554 55 99 MIJOZ </v>
      </c>
      <c r="E67" s="273"/>
      <c r="F67" s="273"/>
    </row>
    <row r="68" spans="1:6" ht="15" customHeight="1">
      <c r="A68" s="273" t="str">
        <f>shartnoma!A123</f>
        <v>Tel: (97) 714 14 14</v>
      </c>
      <c r="B68" s="273"/>
      <c r="C68" s="273"/>
      <c r="D68" s="273" t="str">
        <f>shartnoma!B123</f>
        <v>99 899 80 88 JIYANI</v>
      </c>
      <c r="E68" s="273"/>
      <c r="F68" s="273"/>
    </row>
    <row r="69" spans="1:6" ht="15" customHeight="1">
      <c r="A69" s="273" t="str">
        <f>shartnoma!A124</f>
        <v>(71) 555 10 02 17</v>
      </c>
      <c r="B69" s="273"/>
      <c r="C69" s="273"/>
      <c r="D69" s="273" t="str">
        <f>shartnoma!B124</f>
        <v>71 212 15 05 UY</v>
      </c>
      <c r="E69" s="273"/>
      <c r="F69" s="273"/>
    </row>
    <row r="70" spans="1:6" ht="23.25" customHeight="1">
      <c r="A70" s="273"/>
      <c r="B70" s="273"/>
      <c r="C70" s="273"/>
      <c r="D70" s="273" t="str">
        <f>IF(shartnoma!B125=0,"",shartnoma!B125)</f>
        <v/>
      </c>
      <c r="E70" s="273"/>
      <c r="F70" s="273"/>
    </row>
    <row r="71" spans="1:6" ht="29.25" customHeight="1">
      <c r="A71" s="329" t="str">
        <f>shartnoma!A126</f>
        <v>Direktor</v>
      </c>
      <c r="B71" s="329"/>
      <c r="C71" s="329"/>
      <c r="D71" s="277" t="str">
        <f>shartnoma!B126</f>
        <v>SIMONYAN V. R.     __________________</v>
      </c>
      <c r="E71" s="277"/>
      <c r="F71" s="277"/>
    </row>
    <row r="72" spans="1:6" ht="15" customHeight="1">
      <c r="A72" s="273"/>
      <c r="B72" s="273"/>
      <c r="C72" s="273"/>
      <c r="D72" s="277"/>
      <c r="E72" s="277"/>
      <c r="F72" s="277"/>
    </row>
    <row r="73" spans="1:6">
      <c r="A73" s="329" t="str">
        <f>shartnoma!A129</f>
        <v xml:space="preserve">Obidov A. Sh. ________________ </v>
      </c>
      <c r="B73" s="329"/>
      <c r="C73" s="329"/>
      <c r="D73" s="277"/>
      <c r="E73" s="277"/>
      <c r="F73" s="277"/>
    </row>
    <row r="74" spans="1:6" ht="8.25" customHeight="1">
      <c r="A74" s="273"/>
      <c r="B74" s="273"/>
      <c r="C74" s="273"/>
      <c r="D74" s="273"/>
      <c r="E74" s="273"/>
      <c r="F74" s="273"/>
    </row>
    <row r="75" spans="1:6" ht="30" customHeight="1">
      <c r="A75" s="274"/>
      <c r="B75" s="274"/>
      <c r="C75" s="274"/>
      <c r="D75" s="275"/>
      <c r="E75" s="275"/>
      <c r="F75" s="275"/>
    </row>
    <row r="76" spans="1:6">
      <c r="A76" s="276"/>
      <c r="B76" s="276"/>
      <c r="C76" s="276"/>
      <c r="D76" s="276"/>
      <c r="E76" s="276"/>
      <c r="F76" s="276"/>
    </row>
    <row r="77" spans="1:6">
      <c r="A77" s="272"/>
      <c r="B77" s="272"/>
      <c r="C77" s="272"/>
      <c r="D77" s="272"/>
      <c r="E77" s="272"/>
      <c r="F77" s="272"/>
    </row>
  </sheetData>
  <mergeCells count="41">
    <mergeCell ref="E2:F2"/>
    <mergeCell ref="A5:F5"/>
    <mergeCell ref="A7:A8"/>
    <mergeCell ref="B7:B8"/>
    <mergeCell ref="C7:C8"/>
    <mergeCell ref="D7:F7"/>
    <mergeCell ref="A67:C67"/>
    <mergeCell ref="D67:F67"/>
    <mergeCell ref="A59:F59"/>
    <mergeCell ref="A61:C61"/>
    <mergeCell ref="D61:F61"/>
    <mergeCell ref="A62:C62"/>
    <mergeCell ref="D62:F62"/>
    <mergeCell ref="A63:C63"/>
    <mergeCell ref="D63:F63"/>
    <mergeCell ref="A64:C64"/>
    <mergeCell ref="D64:F64"/>
    <mergeCell ref="A65:C65"/>
    <mergeCell ref="D65:F66"/>
    <mergeCell ref="A66:C66"/>
    <mergeCell ref="D68:F68"/>
    <mergeCell ref="A69:C69"/>
    <mergeCell ref="D69:F69"/>
    <mergeCell ref="A70:C70"/>
    <mergeCell ref="D70:F70"/>
    <mergeCell ref="H12:P24"/>
    <mergeCell ref="A77:C77"/>
    <mergeCell ref="D77:F77"/>
    <mergeCell ref="A74:C74"/>
    <mergeCell ref="D74:F74"/>
    <mergeCell ref="A75:C75"/>
    <mergeCell ref="D75:F75"/>
    <mergeCell ref="A76:C76"/>
    <mergeCell ref="D76:F76"/>
    <mergeCell ref="A71:C71"/>
    <mergeCell ref="D71:F71"/>
    <mergeCell ref="A72:C72"/>
    <mergeCell ref="D72:F72"/>
    <mergeCell ref="A73:C73"/>
    <mergeCell ref="D73:F73"/>
    <mergeCell ref="A68:C68"/>
  </mergeCells>
  <conditionalFormatting sqref="B9:B56">
    <cfRule type="cellIs" dxfId="1" priority="6" operator="lessThan">
      <formula>22105</formula>
    </cfRule>
  </conditionalFormatting>
  <conditionalFormatting sqref="C9:F44 C45:C56 F45:F56 D45:E57">
    <cfRule type="cellIs" dxfId="0" priority="1" operator="lessThan">
      <formula>0.1</formula>
    </cfRule>
  </conditionalFormatting>
  <pageMargins left="1.1023622047244095" right="0.70866141732283472" top="0.19685039370078741" bottom="0.15748031496062992" header="0.31496062992125984" footer="0.31496062992125984"/>
  <pageSetup paperSize="9" scale="8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9"/>
  <sheetViews>
    <sheetView view="pageBreakPreview" topLeftCell="A5" zoomScale="115" zoomScaleNormal="100" zoomScaleSheetLayoutView="115" workbookViewId="0">
      <selection activeCell="B17" sqref="B17"/>
    </sheetView>
  </sheetViews>
  <sheetFormatPr defaultColWidth="0" defaultRowHeight="15.75" zeroHeight="1"/>
  <cols>
    <col min="1" max="1" width="33" style="10" customWidth="1"/>
    <col min="2" max="2" width="53.42578125" style="10" customWidth="1"/>
    <col min="3" max="16384" width="9.140625" style="10" hidden="1"/>
  </cols>
  <sheetData>
    <row r="5" spans="1:2"/>
    <row r="6" spans="1:2">
      <c r="B6" s="18" t="str">
        <f>umumiy_malumot!B148</f>
        <v>«PULLOL BUSINESS MIKROMOLIYA TASHKILOTI»  MChJ</v>
      </c>
    </row>
    <row r="7" spans="1:2">
      <c r="A7" s="214"/>
      <c r="B7" s="205" t="str">
        <f>""&amp;umumiy_malumot!A150&amp;"i "&amp;umumiy_malumot!B150&amp;"ga"</f>
        <v>Direktori Obidov A. Sh.ga</v>
      </c>
    </row>
    <row r="8" spans="1:2">
      <c r="A8" s="188"/>
      <c r="B8" s="205" t="str">
        <f>""&amp;umumiy_malumot!C105&amp;"dan"</f>
        <v>dan</v>
      </c>
    </row>
    <row r="9" spans="1:2" ht="15.75" hidden="1" customHeight="1">
      <c r="B9" s="11" t="str">
        <f>umumiy_malumot!B111</f>
        <v>SIMONYAN VADIM ROMANOVICH</v>
      </c>
    </row>
    <row r="10" spans="1:2" ht="15.75" hidden="1" customHeight="1">
      <c r="B10" s="11" t="str">
        <f>umumiy_malumot!C111</f>
        <v>SIMONYAN VADIM ROMANOVICH</v>
      </c>
    </row>
    <row r="11" spans="1:2" ht="15.75" hidden="1" customHeight="1">
      <c r="B11" s="188" t="s">
        <v>270</v>
      </c>
    </row>
    <row r="12" spans="1:2"/>
    <row r="13" spans="1:2" ht="115.5" customHeight="1">
      <c r="A13" s="310" t="str">
        <f>IF(umumiy_malumot!B103="Avtotransport",A14,A15)</f>
        <v>SIMONYAN VADIM ROMANOVICH tomonidan so’ralayotgan 24 (yigirma to'rt) oy muddatga, 50 000 000 (Ellik million so'm) miqdoridagi Mikroqarzning ta’minoti sifatida menga mulk huquqi asosida tegishli bo’lgan  Yakka tartibdagi uy-joy, umumiy maydoni 48.67 va yashash maydoni 87  TOSHKENT SHAHAR YUNUSOBOD TUMANI OTCHOPAR-1 MFY KARIM ZARIPOV KO'CHASI 8-6 UY manzilda joylashgan ko'chmas mulkni qabul qilishingizni so’rayman:</v>
      </c>
      <c r="B13" s="310"/>
    </row>
    <row r="14" spans="1:2" ht="124.5" hidden="1" customHeight="1">
      <c r="A14" s="310" t="str">
        <f>""&amp;umumiy_malumot!B12&amp;" tomonidan so’ralayotgan "&amp;umumiy_malumot!B81&amp;" ("&amp;umumiy_malumot!B82&amp;") oy muddatga, "&amp;FIXED(umumiy_malumot!B75,0)&amp;" ("&amp;umumiy_malumot!B76&amp;") miqdoridagi "&amp;umumiy_malumot!B65&amp;"ning ta’minoti sifatida menga mulk huquqi asosida tegishli bo’lgan  "&amp;umumiy_malumot!B125&amp;", "&amp;umumiy_malumot!B127&amp;", "&amp;umumiy_malumot!B130&amp;", "&amp;umumiy_malumot!B133&amp;", avtotransport vositasini qabul qilishingizni so’rayman:"</f>
        <v>SIMONYAN VADIM ROMANOVICH tomonidan so’ralayotgan 24 (yigirma to'rt) oy muddatga, 50 000 000 (Ellik million so'm) miqdoridagi Mikroqarzning ta’minoti sifatida menga mulk huquqi asosida tegishli bo’lgan  , kuzov turi - , kuzov raqami , dvigatel raqami , shassi raqami - , rangi -  , ishlab chiqarilgan yili - , avtotransport vositasini qabul qilishingizni so’rayman:</v>
      </c>
      <c r="B14" s="310"/>
    </row>
    <row r="15" spans="1:2" ht="116.25" hidden="1" customHeight="1">
      <c r="A15" s="310" t="str">
        <f>""&amp;umumiy_malumot!B12&amp;" tomonidan so’ralayotgan "&amp;umumiy_malumot!B81&amp;" ("&amp;umumiy_malumot!B82&amp;") oy muddatga, "&amp;FIXED(umumiy_malumot!B75,0)&amp;" ("&amp;umumiy_malumot!B76&amp;") miqdoridagi "&amp;umumiy_malumot!B65&amp;"ning ta’minoti sifatida menga mulk huquqi asosida tegishli bo’lgan  "&amp;umumiy_malumot!C126&amp;", umumiy maydoni "&amp;umumiy_malumot!C130&amp;" va yashash maydoni "&amp;umumiy_malumot!C133&amp;"  "&amp;umumiy_malumot!C123&amp;" manzilda joylashgan ko'chmas mulkni qabul qilishingizni so’rayman:"</f>
        <v>SIMONYAN VADIM ROMANOVICH tomonidan so’ralayotgan 24 (yigirma to'rt) oy muddatga, 50 000 000 (Ellik million so'm) miqdoridagi Mikroqarzning ta’minoti sifatida menga mulk huquqi asosida tegishli bo’lgan  Yakka tartibdagi uy-joy, umumiy maydoni 48.67 va yashash maydoni 87  TOSHKENT SHAHAR YUNUSOBOD TUMANI OTCHOPAR-1 MFY KARIM ZARIPOV KO'CHASI 8-6 UY manzilda joylashgan ko'chmas mulkni qabul qilishingizni so’rayman:</v>
      </c>
      <c r="B15" s="310"/>
    </row>
    <row r="16" spans="1:2"/>
    <row r="17" spans="1:2"/>
    <row r="18" spans="1:2">
      <c r="B18" s="11" t="s">
        <v>269</v>
      </c>
    </row>
    <row r="19" spans="1:2" ht="18.75" customHeight="1">
      <c r="A19" s="10">
        <f>umumiy_malumot!C106</f>
        <v>0</v>
      </c>
      <c r="B19" s="69" t="str">
        <f>umumiy_malumot!B2</f>
        <v>02.02.2026</v>
      </c>
    </row>
    <row r="20" spans="1:2" ht="57" hidden="1" customHeight="1">
      <c r="A20" s="330" t="str">
        <f>IF(umumiy_malumot!B93="yo’q",CONCATENATE(A24," ",A28,A22),"")</f>
        <v/>
      </c>
      <c r="B20" s="330"/>
    </row>
    <row r="21" spans="1:2" hidden="1">
      <c r="A21" s="10" t="s">
        <v>24</v>
      </c>
    </row>
    <row r="22" spans="1:2" hidden="1">
      <c r="A22" s="10" t="str">
        <f>" xususiy faoliyat ko'rsatuvchi notarius tomonidan "&amp;umumiy_malumot!B98&amp;" "&amp;umumiy_malumot!B99&amp;" berilgan ishonchnomaga asosan "</f>
        <v xml:space="preserve"> xususiy faoliyat ko'rsatuvchi notarius tomonidan   berilgan ishonchnomaga asosan </v>
      </c>
    </row>
    <row r="24" spans="1:2" hidden="1">
      <c r="A24" s="10" t="str">
        <f>"№"&amp;umumiy_malumot!B100&amp; ""</f>
        <v>№</v>
      </c>
    </row>
    <row r="25" spans="1:2" hidden="1">
      <c r="A25" s="10" t="str">
        <f>umumiy_malumot!B102</f>
        <v>00.01.1900</v>
      </c>
    </row>
    <row r="26" spans="1:2" hidden="1">
      <c r="A26" s="10" t="str">
        <f>TEXT(A25,"ДД.ММ.ГГГГ")</f>
        <v>00.01.1900</v>
      </c>
    </row>
    <row r="27" spans="1:2" hidden="1">
      <c r="A27" s="10" t="s">
        <v>343</v>
      </c>
    </row>
    <row r="28" spans="1:2" hidden="1">
      <c r="A28" s="10" t="str">
        <f>CONCATENATE(A26,A27)</f>
        <v>00.01.1900. sanasidan</v>
      </c>
    </row>
    <row r="29" spans="1:2"/>
  </sheetData>
  <mergeCells count="4">
    <mergeCell ref="A13:B13"/>
    <mergeCell ref="A14:B14"/>
    <mergeCell ref="A15:B15"/>
    <mergeCell ref="A20:B20"/>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82"/>
  <sheetViews>
    <sheetView view="pageBreakPreview" topLeftCell="A6" zoomScaleNormal="100" zoomScaleSheetLayoutView="100" workbookViewId="0">
      <selection activeCell="A21" sqref="A21"/>
    </sheetView>
  </sheetViews>
  <sheetFormatPr defaultColWidth="9.140625" defaultRowHeight="15" outlineLevelRow="1"/>
  <cols>
    <col min="1" max="1" width="28.42578125" style="19" customWidth="1"/>
    <col min="2" max="2" width="19.5703125" style="19" customWidth="1"/>
    <col min="3" max="3" width="19.42578125" style="19" customWidth="1"/>
    <col min="4" max="4" width="17.28515625" style="19" customWidth="1"/>
    <col min="5" max="5" width="17.140625" style="19" customWidth="1"/>
    <col min="6" max="6" width="16.85546875" style="19" customWidth="1"/>
    <col min="7" max="16384" width="9.140625" style="19"/>
  </cols>
  <sheetData>
    <row r="1" spans="1:6" ht="106.5" customHeight="1"/>
    <row r="2" spans="1:6">
      <c r="A2" s="281" t="str">
        <f>"GAROV PREDMETI QIYMATINI KELISHISH 
№"&amp;umumiy_malumot!B141&amp;" SONLI DALOLATNOMASI
 "</f>
        <v xml:space="preserve">GAROV PREDMETI QIYMATINI KELISHISH 
№1 SONLI DALOLATNOMASI
 </v>
      </c>
      <c r="B2" s="281"/>
      <c r="C2" s="281"/>
      <c r="D2" s="281"/>
      <c r="E2" s="281"/>
      <c r="F2" s="281"/>
    </row>
    <row r="3" spans="1:6">
      <c r="A3" s="44"/>
      <c r="B3" s="44"/>
      <c r="C3" s="44"/>
      <c r="D3" s="44"/>
      <c r="E3" s="44"/>
      <c r="F3" s="44"/>
    </row>
    <row r="4" spans="1:6">
      <c r="A4" s="41" t="s">
        <v>200</v>
      </c>
      <c r="B4" s="41"/>
      <c r="C4" s="41"/>
      <c r="D4" s="41"/>
      <c r="E4" s="41"/>
      <c r="F4" s="41" t="str">
        <f>umumiy_malumot!B142</f>
        <v>2 fevral 2026 y.</v>
      </c>
    </row>
    <row r="5" spans="1:6" ht="9" customHeight="1">
      <c r="A5" s="243"/>
      <c r="B5" s="243"/>
      <c r="C5" s="243"/>
      <c r="D5" s="243"/>
      <c r="E5" s="243"/>
      <c r="F5" s="243"/>
    </row>
    <row r="6" spans="1:6" ht="63" customHeight="1">
      <c r="A6" s="243" t="str">
        <f>IF(umumiy_malumot!B103="ko'chmas mulk",dalolatnoma!A10:F10,dalolatnoma!A10:F10)</f>
        <v>«PULLOL BUSINESS MIKROMOLIYA TASHKILOTI»  MChJning (1-tomon) vakili bo‘lgan  Direktor Obidov A. Sh., O‘zbekiston Respublikasi fuqarosi va garovga beruvchi SIMONYAN VADIM ROMANOVICH (2-tomon) o’rtalarida, 2 fevral 2026 y.dan №43-sonli Mikrokredit shartnomasiga muvofiq 1-tomon 2-tomonga berilgan Mikroqarz bo‘yicha ta’minot sifatida taqdim etilgan, 2-tomonga mulk huquqi asosida tegishli bo‘lgan mulkning garov qiymatini kelishish muzokaralari o’tkazildi.</v>
      </c>
      <c r="B6" s="243"/>
      <c r="C6" s="243"/>
      <c r="D6" s="243"/>
      <c r="E6" s="243"/>
      <c r="F6" s="243"/>
    </row>
    <row r="7" spans="1:6" ht="88.5" hidden="1" customHeight="1">
      <c r="A7" s="243" t="str">
        <f>IF(umumiy_malumot!B93="ha",dalolatnoma!A9:F9,dalolatnoma!A8:F8)</f>
        <v xml:space="preserve">«PULLOL BUSINESS MIKROMOLIYA TASHKILOTI»  MChJning (1-tomon) vakili bo‘lgan  Direktor Obidov A. Sh., va O‘zbekiston Respublikasi fuqarosi  SIMONYAN VADIM ROMANOVICH (2-tomon) va garov egasi SIMONYAN VADIM ROMANOVICH (3-tomon) 2 fevral 2026 y.dan №43 Mikrokredit shartnomasiga muvofiq 1-tomon 2-tomonga berilgan Mikroqarz bo‘yicha ta’minot sifatida taqdim etilgan, 2-tomonga mulk huquqi asosida tegishli bo‘lgan mulkning garov qiymatini kelishish muzokaralari o’tkazildi. </v>
      </c>
      <c r="B7" s="243"/>
      <c r="C7" s="243"/>
      <c r="D7" s="243"/>
      <c r="E7" s="243"/>
      <c r="F7" s="243"/>
    </row>
    <row r="8" spans="1:6" ht="88.5" hidden="1" customHeight="1">
      <c r="A8" s="243" t="str">
        <f>""&amp;umumiy_malumot!B147&amp;"ning (1-tomon) vakili bo‘lgan  "&amp;umumiy_malumot!A150&amp;" "&amp;umumiy_malumot!B150&amp;", va O‘zbekiston Respublikasi fuqarosi  "&amp;umumiy_malumot!B5&amp;" (2-tomon) va garov egasi "&amp;umumiy_malumot!C117&amp;" (3-tomon) "&amp;umumiy_malumot!B74&amp;" "&amp;umumiy_malumot!C64&amp;" shartnomasiga muvofiq 1-tomon 2-tomonga berilgan "&amp;umumiy_malumot!B65&amp;" bo‘yicha ta’minot sifatida taqdim etilgan, 2-tomonga mulk huquqi asosida tegishli bo‘lgan mulkning garov qiymatini kelishish muzokaralari o’tkazildi. "</f>
        <v xml:space="preserve">«PULLOL BUSINESS MIKROMOLIYA TASHKILOTI»  MChJning (1-tomon) vakili bo‘lgan  Direktor Obidov A. Sh., va O‘zbekiston Respublikasi fuqarosi  SIMONYAN VADIM ROMANOVICH (2-tomon) va garov egasi SIMONYAN VADIM ROMANOVICH (3-tomon) 2 fevral 2026 y.dan №43 Mikrokredit shartnomasiga muvofiq 1-tomon 2-tomonga berilgan Mikroqarz bo‘yicha ta’minot sifatida taqdim etilgan, 2-tomonga mulk huquqi asosida tegishli bo‘lgan mulkning garov qiymatini kelishish muzokaralari o’tkazildi. </v>
      </c>
      <c r="B8" s="243"/>
      <c r="C8" s="243"/>
      <c r="D8" s="243"/>
      <c r="E8" s="243"/>
      <c r="F8" s="243"/>
    </row>
    <row r="9" spans="1:6" ht="88.5" hidden="1" customHeight="1">
      <c r="A9" s="243" t="str">
        <f>""&amp;umumiy_malumot!B147&amp;"ning (1-tomon) vakili bo‘lgan  "&amp;umumiy_malumot!A150&amp;" "&amp;umumiy_malumot!B150&amp;", va O‘zbekiston Respublikasi fuqarosi  "&amp;umumiy_malumot!B5&amp;" (2-tomon) va garov egasi "&amp;umumiy_malumot!C117&amp;" (3-tomon) "&amp;umumiy_malumot!B74&amp;" "&amp;umumiy_malumot!C64&amp;" shartnomasiga muvofiq 1-tomon 2-tomonga berilgan "&amp;umumiy_malumot!B65&amp;" bo‘yicha ta’minot sifatida taqdim etilgan, 2-tomonga mulk huquqi asosida tegishli bo‘lgan mulkning garov qiymatini kelishish muzokaralari o’tkazildi. "</f>
        <v xml:space="preserve">«PULLOL BUSINESS MIKROMOLIYA TASHKILOTI»  MChJning (1-tomon) vakili bo‘lgan  Direktor Obidov A. Sh., va O‘zbekiston Respublikasi fuqarosi  SIMONYAN VADIM ROMANOVICH (2-tomon) va garov egasi SIMONYAN VADIM ROMANOVICH (3-tomon) 2 fevral 2026 y.dan №43 Mikrokredit shartnomasiga muvofiq 1-tomon 2-tomonga berilgan Mikroqarz bo‘yicha ta’minot sifatida taqdim etilgan, 2-tomonga mulk huquqi asosida tegishli bo‘lgan mulkning garov qiymatini kelishish muzokaralari o’tkazildi. </v>
      </c>
      <c r="B9" s="243"/>
      <c r="C9" s="243"/>
      <c r="D9" s="243"/>
      <c r="E9" s="243"/>
      <c r="F9" s="243"/>
    </row>
    <row r="10" spans="1:6" ht="88.5" hidden="1" customHeight="1">
      <c r="A10" s="243" t="str">
        <f>IF(umumiy_malumot!B93="ha",dalolatnoma!A12:F12,dalolatnoma!A11:F11)</f>
        <v>«PULLOL BUSINESS MIKROMOLIYA TASHKILOTI»  MChJning (1-tomon) vakili bo‘lgan  Direktor Obidov A. Sh., O‘zbekiston Respublikasi fuqarosi va garovga beruvchi SIMONYAN VADIM ROMANOVICH (2-tomon) o’rtalarida, 2 fevral 2026 y.dan №43-sonli Mikrokredit shartnomasiga muvofiq 1-tomon 2-tomonga berilgan Mikroqarz bo‘yicha ta’minot sifatida taqdim etilgan, 2-tomonga mulk huquqi asosida tegishli bo‘lgan mulkning garov qiymatini kelishish muzokaralari o’tkazildi.</v>
      </c>
      <c r="B10" s="243"/>
      <c r="C10" s="243"/>
      <c r="D10" s="243"/>
      <c r="E10" s="243"/>
      <c r="F10" s="243"/>
    </row>
    <row r="11" spans="1:6" ht="88.5" hidden="1" customHeight="1">
      <c r="A11" s="243" t="str">
        <f>""&amp;umumiy_malumot!B147&amp;"ning (1-tomon) vakili bo‘lgan  "&amp;umumiy_malumot!A150&amp;" "&amp;umumiy_malumot!B150&amp;", O‘zbekiston Respublikasi fuqarosi "&amp;umumiy_malumot!B5&amp;" (2-tomon) va garovga beruvchi O‘zbekiston Respublikasi fuqarosi "&amp;umumiy_malumot!B117&amp;" (3-tomon) o’rtalarida, "&amp;umumiy_malumot!B74&amp;"-sonli "&amp;umumiy_malumot!C64&amp;" shartnomasiga muvofiq 1-tomon 2-tomonga berilgan "&amp;umumiy_malumot!B65&amp;" bo‘yicha ta’minot sifatida taqdim etilgan, 3-tomonga mulk huquqi asosida tegishli bo‘lgan mulkning garov qiymatini kelishish muzokaralari o’tkazildi."</f>
        <v>«PULLOL BUSINESS MIKROMOLIYA TASHKILOTI»  MChJning (1-tomon) vakili bo‘lgan  Direktor Obidov A. Sh., O‘zbekiston Respublikasi fuqarosi SIMONYAN VADIM ROMANOVICH (2-tomon) va garovga beruvchi O‘zbekiston Respublikasi fuqarosi SIMONYAN VADIM ROMANOVICH (3-tomon) o’rtalarida, 2 fevral 2026 y.dan №43-sonli Mikrokredit shartnomasiga muvofiq 1-tomon 2-tomonga berilgan Mikroqarz bo‘yicha ta’minot sifatida taqdim etilgan, 3-tomonga mulk huquqi asosida tegishli bo‘lgan mulkning garov qiymatini kelishish muzokaralari o’tkazildi.</v>
      </c>
      <c r="B11" s="243"/>
      <c r="C11" s="243"/>
      <c r="D11" s="243"/>
      <c r="E11" s="243"/>
      <c r="F11" s="243"/>
    </row>
    <row r="12" spans="1:6" ht="88.5" hidden="1" customHeight="1">
      <c r="A12" s="243" t="str">
        <f>""&amp;umumiy_malumot!B147&amp;"ning (1-tomon) vakili bo‘lgan  "&amp;umumiy_malumot!A150&amp;" "&amp;umumiy_malumot!B150&amp;", O‘zbekiston Respublikasi fuqarosi va garovga beruvchi "&amp;umumiy_malumot!B5&amp;" (2-tomon) o’rtalarida, "&amp;umumiy_malumot!B74&amp;"-sonli "&amp;umumiy_malumot!C64&amp;" shartnomasiga muvofiq 1-tomon 2-tomonga berilgan "&amp;umumiy_malumot!B65&amp;" bo‘yicha ta’minot sifatida taqdim etilgan, 2-tomonga mulk huquqi asosida tegishli bo‘lgan mulkning garov qiymatini kelishish muzokaralari o’tkazildi."</f>
        <v>«PULLOL BUSINESS MIKROMOLIYA TASHKILOTI»  MChJning (1-tomon) vakili bo‘lgan  Direktor Obidov A. Sh., O‘zbekiston Respublikasi fuqarosi va garovga beruvchi SIMONYAN VADIM ROMANOVICH (2-tomon) o’rtalarida, 2 fevral 2026 y.dan №43-sonli Mikrokredit shartnomasiga muvofiq 1-tomon 2-tomonga berilgan Mikroqarz bo‘yicha ta’minot sifatida taqdim etilgan, 2-tomonga mulk huquqi asosida tegishli bo‘lgan mulkning garov qiymatini kelishish muzokaralari o’tkazildi.</v>
      </c>
      <c r="B12" s="243"/>
      <c r="C12" s="243"/>
      <c r="D12" s="243"/>
      <c r="E12" s="243"/>
      <c r="F12" s="243"/>
    </row>
    <row r="13" spans="1:6" ht="88.5" hidden="1" customHeight="1">
      <c r="A13" s="243" t="str">
        <f>"Garov predmeti sifatida "&amp;umumiy_malumot!B125&amp;", 3-tomonga egalik huquqi tegishli bo'lgan, quyidagi tafsilotlarga ega avtotransport vositasi taqdim etiladi:"</f>
        <v>Garov predmeti sifatida , 3-tomonga egalik huquqi tegishli bo'lgan, quyidagi tafsilotlarga ega avtotransport vositasi taqdim etiladi:</v>
      </c>
      <c r="B13" s="243"/>
      <c r="C13" s="243"/>
      <c r="D13" s="243"/>
      <c r="E13" s="243"/>
      <c r="F13" s="243"/>
    </row>
    <row r="14" spans="1:6" ht="88.5" hidden="1" customHeight="1">
      <c r="A14" s="243" t="str">
        <f>"Garov predmeti sifatida "&amp;umumiy_malumot!B125&amp;", 2-tomonga egalik huquqi tegishli bo'lgan, quyidagi tafsilotlarga ega avtotransport vositasi taqdim etiladi:"</f>
        <v>Garov predmeti sifatida , 2-tomonga egalik huquqi tegishli bo'lgan, quyidagi tafsilotlarga ega avtotransport vositasi taqdim etiladi:</v>
      </c>
      <c r="B14" s="243"/>
      <c r="C14" s="243"/>
      <c r="D14" s="243"/>
      <c r="E14" s="243"/>
      <c r="F14" s="243"/>
    </row>
    <row r="15" spans="1:6" ht="88.5" hidden="1" customHeight="1">
      <c r="A15" s="243" t="str">
        <f>IF(umumiy_malumot!B93="ha",dalolatnoma!A14:F14,dalolatnoma!A13:F13)</f>
        <v>Garov predmeti sifatida , 2-tomonga egalik huquqi tegishli bo'lgan, quyidagi tafsilotlarga ega avtotransport vositasi taqdim etiladi:</v>
      </c>
      <c r="B15" s="243"/>
      <c r="C15" s="243"/>
      <c r="D15" s="243"/>
      <c r="E15" s="243"/>
      <c r="F15" s="243"/>
    </row>
    <row r="16" spans="1:6" ht="88.5" hidden="1" customHeight="1">
      <c r="A16" s="243" t="str">
        <f>"Garov predmeti sifatida "&amp;umumiy_malumot!C126&amp;", 2-tomonga egalik huquqi tegishli bo'lgan, quyidagi tafsilotlarga ega ko'chmas mulk taqdim etiladi:"</f>
        <v>Garov predmeti sifatida Yakka tartibdagi uy-joy, 2-tomonga egalik huquqi tegishli bo'lgan, quyidagi tafsilotlarga ega ko'chmas mulk taqdim etiladi:</v>
      </c>
      <c r="B16" s="243"/>
      <c r="C16" s="243"/>
      <c r="D16" s="243"/>
      <c r="E16" s="243"/>
      <c r="F16" s="243"/>
    </row>
    <row r="17" spans="1:6" ht="13.5" hidden="1" customHeight="1">
      <c r="A17" s="243" t="str">
        <f>"Garov predmeti sifatida "&amp;umumiy_malumot!C126&amp;", 3-tomonga egalik huquqi tegishli bo'lgan, quyidagi tafsilotlarga ega ko'chmas mulk taqdim etiladi:"</f>
        <v>Garov predmeti sifatida Yakka tartibdagi uy-joy, 3-tomonga egalik huquqi tegishli bo'lgan, quyidagi tafsilotlarga ega ko'chmas mulk taqdim etiladi:</v>
      </c>
      <c r="B17" s="243"/>
      <c r="C17" s="243"/>
      <c r="D17" s="243"/>
      <c r="E17" s="243"/>
      <c r="F17" s="243"/>
    </row>
    <row r="18" spans="1:6" ht="11.25" hidden="1" customHeight="1">
      <c r="A18" s="243" t="str">
        <f>IF(umumiy_malumot!B93="ha",dalolatnoma!A16:F16,dalolatnoma!A17:F17)</f>
        <v>Garov predmeti sifatida Yakka tartibdagi uy-joy, 2-tomonga egalik huquqi tegishli bo'lgan, quyidagi tafsilotlarga ega ko'chmas mulk taqdim etiladi:</v>
      </c>
      <c r="B18" s="243"/>
      <c r="C18" s="243"/>
      <c r="D18" s="243"/>
      <c r="E18" s="243"/>
      <c r="F18" s="243"/>
    </row>
    <row r="19" spans="1:6" ht="39.75" customHeight="1">
      <c r="A19" s="243" t="str">
        <f>IF(umumiy_malumot!B103="Avtotransport",dalolatnoma!A15:F15,dalolatnoma!A18:F18)</f>
        <v>Garov predmeti sifatida Yakka tartibdagi uy-joy, 2-tomonga egalik huquqi tegishli bo'lgan, quyidagi tafsilotlarga ega ko'chmas mulk taqdim etiladi:</v>
      </c>
      <c r="B19" s="243"/>
      <c r="C19" s="243"/>
      <c r="D19" s="243"/>
      <c r="E19" s="243"/>
      <c r="F19" s="243"/>
    </row>
    <row r="20" spans="1:6" ht="48" customHeight="1" outlineLevel="1">
      <c r="A20" s="43" t="s">
        <v>198</v>
      </c>
      <c r="B20" s="331" t="s">
        <v>413</v>
      </c>
      <c r="C20" s="332"/>
      <c r="D20" s="238" t="s">
        <v>417</v>
      </c>
      <c r="E20" s="43" t="s">
        <v>418</v>
      </c>
      <c r="F20" s="43" t="s">
        <v>419</v>
      </c>
    </row>
    <row r="21" spans="1:6" ht="65.25" customHeight="1" outlineLevel="1">
      <c r="A21" s="21" t="str">
        <f>umumiy_malumot!C125</f>
        <v>Yakka tartibdagi uy-joy</v>
      </c>
      <c r="B21" s="333">
        <f>umumiy_malumot!C134</f>
        <v>166</v>
      </c>
      <c r="C21" s="334"/>
      <c r="D21" s="21">
        <f>umumiy_malumot!C133</f>
        <v>87</v>
      </c>
      <c r="E21" s="21" t="str">
        <f>umumiy_malumot!C130</f>
        <v>48.67</v>
      </c>
      <c r="F21" s="21" t="str">
        <f>umumiy_malumot!C131</f>
        <v>30.84</v>
      </c>
    </row>
    <row r="22" spans="1:6" ht="17.25" hidden="1" customHeight="1" outlineLevel="1">
      <c r="A22" s="243" t="str">
        <f>"-* avtotransport egasi: "&amp;umumiy_malumot!B117&amp;""</f>
        <v>-* avtotransport egasi: SIMONYAN VADIM ROMANOVICH</v>
      </c>
      <c r="B22" s="243"/>
      <c r="C22" s="243"/>
      <c r="D22" s="243"/>
      <c r="E22" s="243"/>
      <c r="F22" s="243"/>
    </row>
    <row r="23" spans="1:6" hidden="1" outlineLevel="1">
      <c r="A23" s="243" t="str">
        <f>"-* texnik pasport: "&amp;umumiy_malumot!B124&amp;""</f>
        <v xml:space="preserve">-* texnik pasport: </v>
      </c>
      <c r="B23" s="243"/>
      <c r="C23" s="243"/>
      <c r="D23" s="243"/>
      <c r="E23" s="243"/>
      <c r="F23" s="243"/>
    </row>
    <row r="24" spans="1:6" ht="17.25" hidden="1" customHeight="1" outlineLevel="1">
      <c r="A24" s="243" t="str">
        <f>"-* roʻyxatdan oʻtgan manzili/garaj manzili: "&amp;umumiy_malumot!B122&amp;""</f>
        <v>-* roʻyxatdan oʻtgan manzili/garaj manzili: TOSHKENT SHAHAR YUNUSOBOD TUMANI OTCHOPAR-1 MFY KARIM ZARIPOV KO'CHASI 8-6 UY</v>
      </c>
      <c r="B24" s="243"/>
      <c r="C24" s="243"/>
      <c r="D24" s="243"/>
      <c r="E24" s="243"/>
      <c r="F24" s="243"/>
    </row>
    <row r="25" spans="1:6" ht="19.5" hidden="1" customHeight="1" outlineLevel="1">
      <c r="A25" s="243" t="str">
        <f>"-* davlat raqami: "&amp;umumiy_malumot!B126&amp;""</f>
        <v xml:space="preserve">-* davlat raqami: </v>
      </c>
      <c r="B25" s="243"/>
      <c r="C25" s="243"/>
      <c r="D25" s="243"/>
      <c r="E25" s="243"/>
      <c r="F25" s="243"/>
    </row>
    <row r="26" spans="1:6" ht="5.25" hidden="1" customHeight="1">
      <c r="A26" s="23"/>
      <c r="B26" s="23"/>
      <c r="C26" s="23"/>
      <c r="D26" s="23"/>
      <c r="E26" s="23"/>
      <c r="F26" s="23"/>
    </row>
    <row r="27" spans="1:6" s="41" customFormat="1" ht="37.5" hidden="1" customHeight="1" outlineLevel="1">
      <c r="A27" s="331" t="s">
        <v>198</v>
      </c>
      <c r="B27" s="343"/>
      <c r="C27" s="332"/>
      <c r="D27" s="43" t="s">
        <v>391</v>
      </c>
      <c r="E27" s="43" t="s">
        <v>255</v>
      </c>
      <c r="F27" s="43" t="s">
        <v>201</v>
      </c>
    </row>
    <row r="28" spans="1:6" ht="17.25" hidden="1" customHeight="1" outlineLevel="1">
      <c r="A28" s="340" t="s">
        <v>202</v>
      </c>
      <c r="B28" s="341"/>
      <c r="C28" s="342"/>
      <c r="D28" s="221" t="s">
        <v>400</v>
      </c>
      <c r="E28" s="134" t="s">
        <v>396</v>
      </c>
      <c r="F28" s="61"/>
    </row>
    <row r="29" spans="1:6" ht="19.5" hidden="1" customHeight="1" outlineLevel="1">
      <c r="A29" s="336" t="s">
        <v>390</v>
      </c>
      <c r="B29" s="337"/>
      <c r="C29" s="338"/>
      <c r="D29" s="134" t="s">
        <v>395</v>
      </c>
      <c r="E29" s="134" t="s">
        <v>396</v>
      </c>
      <c r="F29" s="61" t="s">
        <v>395</v>
      </c>
    </row>
    <row r="30" spans="1:6" ht="15" hidden="1" customHeight="1" outlineLevel="1">
      <c r="A30" s="336"/>
      <c r="B30" s="337"/>
      <c r="C30" s="338"/>
      <c r="D30" s="134"/>
      <c r="E30" s="134">
        <v>0</v>
      </c>
      <c r="F30" s="61">
        <f t="shared" ref="F30:F37" si="0">D30+E30</f>
        <v>0</v>
      </c>
    </row>
    <row r="31" spans="1:6" ht="15" hidden="1" customHeight="1" outlineLevel="1">
      <c r="A31" s="336"/>
      <c r="B31" s="337"/>
      <c r="C31" s="338"/>
      <c r="D31" s="134"/>
      <c r="E31" s="134">
        <v>0</v>
      </c>
      <c r="F31" s="61">
        <f t="shared" si="0"/>
        <v>0</v>
      </c>
    </row>
    <row r="32" spans="1:6" ht="15" hidden="1" customHeight="1" outlineLevel="1">
      <c r="A32" s="336"/>
      <c r="B32" s="337"/>
      <c r="C32" s="338"/>
      <c r="D32" s="134"/>
      <c r="E32" s="134">
        <v>0</v>
      </c>
      <c r="F32" s="61">
        <f t="shared" si="0"/>
        <v>0</v>
      </c>
    </row>
    <row r="33" spans="1:6" hidden="1" outlineLevel="1">
      <c r="A33" s="336"/>
      <c r="B33" s="337"/>
      <c r="C33" s="338"/>
      <c r="D33" s="134"/>
      <c r="E33" s="134">
        <v>0</v>
      </c>
      <c r="F33" s="61">
        <f t="shared" si="0"/>
        <v>0</v>
      </c>
    </row>
    <row r="34" spans="1:6" hidden="1" outlineLevel="1">
      <c r="A34" s="336"/>
      <c r="B34" s="337"/>
      <c r="C34" s="338"/>
      <c r="D34" s="134"/>
      <c r="E34" s="134"/>
      <c r="F34" s="61">
        <f t="shared" si="0"/>
        <v>0</v>
      </c>
    </row>
    <row r="35" spans="1:6" hidden="1" outlineLevel="1">
      <c r="A35" s="336"/>
      <c r="B35" s="337"/>
      <c r="C35" s="338"/>
      <c r="D35" s="134"/>
      <c r="E35" s="134">
        <v>0</v>
      </c>
      <c r="F35" s="61">
        <f t="shared" si="0"/>
        <v>0</v>
      </c>
    </row>
    <row r="36" spans="1:6" hidden="1" outlineLevel="1">
      <c r="A36" s="336"/>
      <c r="B36" s="337"/>
      <c r="C36" s="338"/>
      <c r="D36" s="134"/>
      <c r="E36" s="134"/>
      <c r="F36" s="61">
        <f t="shared" si="0"/>
        <v>0</v>
      </c>
    </row>
    <row r="37" spans="1:6" hidden="1" outlineLevel="1">
      <c r="A37" s="336"/>
      <c r="B37" s="337"/>
      <c r="C37" s="338"/>
      <c r="D37" s="61"/>
      <c r="E37" s="61"/>
      <c r="F37" s="61">
        <f t="shared" si="0"/>
        <v>0</v>
      </c>
    </row>
    <row r="38" spans="1:6" s="41" customFormat="1" ht="14.25" hidden="1" outlineLevel="1">
      <c r="A38" s="344" t="s">
        <v>203</v>
      </c>
      <c r="B38" s="345"/>
      <c r="C38" s="346"/>
      <c r="D38" s="220" t="str">
        <f>D29</f>
        <v>43.96</v>
      </c>
      <c r="E38" s="220" t="str">
        <f>E28</f>
        <v>18.82</v>
      </c>
      <c r="F38" s="132" t="str">
        <f>F29</f>
        <v>43.96</v>
      </c>
    </row>
    <row r="39" spans="1:6" s="41" customFormat="1" ht="15" customHeight="1" outlineLevel="1">
      <c r="A39" s="339" t="str">
        <f>"-* ko'chmas mulk egasi: "&amp;umumiy_malumot!C117&amp;""</f>
        <v>-* ko'chmas mulk egasi: SIMONYAN VADIM ROMANOVICH</v>
      </c>
      <c r="B39" s="339"/>
      <c r="C39" s="339"/>
      <c r="D39" s="339"/>
      <c r="E39" s="339"/>
      <c r="F39" s="339"/>
    </row>
    <row r="40" spans="1:6" s="41" customFormat="1" ht="15" customHeight="1" outlineLevel="1">
      <c r="A40" s="243" t="str">
        <f>"-* reestr raqami: "&amp;umumiy_malumot!C124&amp;""</f>
        <v>-* reestr raqami: №1726266/R-A5552339</v>
      </c>
      <c r="B40" s="243"/>
      <c r="C40" s="243"/>
      <c r="D40" s="243"/>
      <c r="E40" s="243"/>
      <c r="F40" s="243"/>
    </row>
    <row r="41" spans="1:6" s="41" customFormat="1" ht="15" customHeight="1" outlineLevel="1">
      <c r="A41" s="243" t="str">
        <f>"-* kadastr raqami: "&amp;umumiy_malumot!C127&amp;""</f>
        <v>-* kadastr raqami: 07.01.2025 y. №10:07:04:02:02:7296/06</v>
      </c>
      <c r="B41" s="243"/>
      <c r="C41" s="243"/>
      <c r="D41" s="243"/>
      <c r="E41" s="243"/>
      <c r="F41" s="243"/>
    </row>
    <row r="42" spans="1:6" s="41" customFormat="1" ht="15" customHeight="1" outlineLevel="1">
      <c r="A42" s="243" t="str">
        <f>"-* manzil: "&amp;umumiy_malumot!C123&amp;""</f>
        <v>-* manzil: TOSHKENT SHAHAR YUNUSOBOD TUMANI OTCHOPAR-1 MFY KARIM ZARIPOV KO'CHASI 8-6 UY</v>
      </c>
      <c r="B42" s="243"/>
      <c r="C42" s="243"/>
      <c r="D42" s="243"/>
      <c r="E42" s="243"/>
      <c r="F42" s="243"/>
    </row>
    <row r="43" spans="1:6" s="41" customFormat="1" ht="9" customHeight="1">
      <c r="A43" s="243"/>
      <c r="B43" s="243"/>
      <c r="C43" s="243"/>
      <c r="D43" s="243"/>
      <c r="E43" s="243"/>
      <c r="F43" s="243"/>
    </row>
    <row r="44" spans="1:6" ht="65.25" customHeight="1">
      <c r="A44" s="243" t="str">
        <f>IF(umumiy_malumot!B93="ha",dalolatnoma!A46:F46,dalolatnoma!A45:F45)</f>
        <v>Tomonlar o’rtasida o’tkazilgan muzokaralar natijalariga ko‘ra, 2-tomon ta’minot sifatida quyidagi tafsilotlarga ega bo’lgan garov predmetini taqdim etadi, 1-tomon esa ushbu garov predmetini  2 fevral 2026 y.dan №43 Mikrokredit shartnomasi bo‘yicha berilgan Mikroqarz bo‘yicha  70 000 000,00 (yetmish million so'm) so’m bo‘lgan kelishilgan garov qiymatida qabul qiladi::</v>
      </c>
      <c r="B44" s="243"/>
      <c r="C44" s="243"/>
      <c r="D44" s="243"/>
      <c r="E44" s="243"/>
      <c r="F44" s="243"/>
    </row>
    <row r="45" spans="1:6" ht="66" hidden="1" customHeight="1">
      <c r="A45" s="243" t="str">
        <f>"Tomonlar o’rtasida o’tkazilgan muzokaralar natijalariga ko‘ra, 2-tomon ta’minot sifatida quyidagi tafsilotlarga ega bo’lgan garov predmetini taqdim etadi, 1-tomon esa ushbu garov predmetini  "&amp;umumiy_malumot!B74&amp;" "&amp;umumiy_malumot!B65&amp;" shartnomasi bo‘yicha berilgan "&amp;umumiy_malumot!B65&amp;" bo‘yicha  "&amp;FIXED(umumiy_malumot!B136,2)&amp;" ("&amp;umumiy_malumot!B137&amp;") so’m bo‘lgan kelishilgan garov qiymatida qabul qiladi::"</f>
        <v>Tomonlar o’rtasida o’tkazilgan muzokaralar natijalariga ko‘ra, 2-tomon ta’minot sifatida quyidagi tafsilotlarga ega bo’lgan garov predmetini taqdim etadi, 1-tomon esa ushbu garov predmetini  2 fevral 2026 y.dan №43 Mikroqarz shartnomasi bo‘yicha berilgan Mikroqarz bo‘yicha  70 000 000,00 (yetmish million so'm) so’m bo‘lgan kelishilgan garov qiymatida qabul qiladi::</v>
      </c>
      <c r="B45" s="243"/>
      <c r="C45" s="243"/>
      <c r="D45" s="243"/>
      <c r="E45" s="243"/>
      <c r="F45" s="243"/>
    </row>
    <row r="46" spans="1:6" ht="58.5" hidden="1" customHeight="1">
      <c r="A46" s="243" t="str">
        <f>"Tomonlar o’rtasida o’tkazilgan muzokaralar natijalariga ko‘ra, 2-tomon ta’minot sifatida quyidagi tafsilotlarga ega bo’lgan garov predmetini taqdim etadi, 1-tomon esa ushbu garov predmetini  "&amp;umumiy_malumot!B74&amp;" "&amp;umumiy_malumot!C64&amp;" shartnomasi bo‘yicha berilgan "&amp;umumiy_malumot!B65&amp;" bo‘yicha  "&amp;FIXED(umumiy_malumot!B136,2)&amp;" ("&amp;umumiy_malumot!B137&amp;") so’m bo‘lgan kelishilgan garov qiymatida qabul qiladi::"</f>
        <v>Tomonlar o’rtasida o’tkazilgan muzokaralar natijalariga ko‘ra, 2-tomon ta’minot sifatida quyidagi tafsilotlarga ega bo’lgan garov predmetini taqdim etadi, 1-tomon esa ushbu garov predmetini  2 fevral 2026 y.dan №43 Mikrokredit shartnomasi bo‘yicha berilgan Mikroqarz bo‘yicha  70 000 000,00 (yetmish million so'm) so’m bo‘lgan kelishilgan garov qiymatida qabul qiladi::</v>
      </c>
      <c r="B46" s="243"/>
      <c r="C46" s="243"/>
      <c r="D46" s="243"/>
      <c r="E46" s="243"/>
      <c r="F46" s="243"/>
    </row>
    <row r="47" spans="1:6" ht="51.75" customHeight="1" outlineLevel="1">
      <c r="A47" s="43" t="s">
        <v>198</v>
      </c>
      <c r="B47" s="43" t="str">
        <f>B20</f>
        <v>Umumiy yer maydoni, (m2)</v>
      </c>
      <c r="C47" s="43" t="str">
        <f t="shared" ref="C47:E48" si="1">D20</f>
        <v>Qurilish osti maydoni, (m2)</v>
      </c>
      <c r="D47" s="43" t="str">
        <f t="shared" si="1"/>
        <v>Umumiy foydali maydoni, (m2)</v>
      </c>
      <c r="E47" s="43" t="str">
        <f t="shared" si="1"/>
        <v>Yashash maydoni, (m2)</v>
      </c>
      <c r="F47" s="43" t="s">
        <v>199</v>
      </c>
    </row>
    <row r="48" spans="1:6" ht="76.5" customHeight="1" outlineLevel="1">
      <c r="A48" s="21" t="str">
        <f>A21</f>
        <v>Yakka tartibdagi uy-joy</v>
      </c>
      <c r="B48" s="21">
        <f>B21</f>
        <v>166</v>
      </c>
      <c r="C48" s="21">
        <f t="shared" si="1"/>
        <v>87</v>
      </c>
      <c r="D48" s="21" t="str">
        <f t="shared" si="1"/>
        <v>48.67</v>
      </c>
      <c r="E48" s="21" t="str">
        <f t="shared" si="1"/>
        <v>30.84</v>
      </c>
      <c r="F48" s="21" t="str">
        <f>""&amp;FIXED(umumiy_malumot!B136,2)&amp;" 
("&amp;umumiy_malumot!B137&amp;")"</f>
        <v>70 000 000,00 
(yetmish million so'm)</v>
      </c>
    </row>
    <row r="49" spans="1:6" ht="16.5" customHeight="1">
      <c r="A49" s="20"/>
      <c r="B49" s="20"/>
      <c r="C49" s="20"/>
      <c r="D49" s="20"/>
      <c r="E49" s="20"/>
      <c r="F49" s="20"/>
    </row>
    <row r="50" spans="1:6" ht="56.25" hidden="1" customHeight="1" outlineLevel="1">
      <c r="A50" s="43" t="s">
        <v>5</v>
      </c>
      <c r="B50" s="43"/>
      <c r="C50" s="43" t="s">
        <v>18</v>
      </c>
      <c r="D50" s="43" t="s">
        <v>19</v>
      </c>
      <c r="E50" s="43" t="s">
        <v>20</v>
      </c>
      <c r="F50" s="43" t="s">
        <v>6</v>
      </c>
    </row>
    <row r="51" spans="1:6" ht="15.75" hidden="1" customHeight="1" outlineLevel="1">
      <c r="A51" s="21" t="str">
        <f>A28</f>
        <v>Yashash xona</v>
      </c>
      <c r="B51" s="21"/>
      <c r="C51" s="133" t="str">
        <f>D28</f>
        <v>3</v>
      </c>
      <c r="D51" s="133" t="str">
        <f>E28</f>
        <v>18.82</v>
      </c>
      <c r="E51" s="133">
        <f>F28</f>
        <v>0</v>
      </c>
      <c r="F51" s="347" t="str">
        <f>""&amp;FIXED(umumiy_malumot!C136,2)&amp;" ("&amp;umumiy_malumot!B137&amp;")"</f>
        <v>70 000 000,00 (yetmish million so'm)</v>
      </c>
    </row>
    <row r="52" spans="1:6" ht="15.75" hidden="1" customHeight="1" outlineLevel="1">
      <c r="A52" s="21"/>
      <c r="B52" s="21"/>
      <c r="C52" s="133"/>
      <c r="D52" s="133"/>
      <c r="E52" s="133"/>
      <c r="F52" s="348"/>
    </row>
    <row r="53" spans="1:6" ht="15.75" hidden="1" customHeight="1" outlineLevel="1">
      <c r="A53" s="21" t="str">
        <f t="shared" ref="A53:A62" si="2">A29</f>
        <v>Umumiy maydon</v>
      </c>
      <c r="B53" s="21"/>
      <c r="C53" s="133" t="str">
        <f t="shared" ref="C53:E62" si="3">D29</f>
        <v>43.96</v>
      </c>
      <c r="D53" s="133" t="str">
        <f t="shared" si="3"/>
        <v>18.82</v>
      </c>
      <c r="E53" s="133" t="str">
        <f t="shared" si="3"/>
        <v>43.96</v>
      </c>
      <c r="F53" s="348"/>
    </row>
    <row r="54" spans="1:6" ht="15.75" hidden="1" customHeight="1" outlineLevel="1">
      <c r="A54" s="21">
        <f t="shared" si="2"/>
        <v>0</v>
      </c>
      <c r="B54" s="21"/>
      <c r="C54" s="133">
        <f t="shared" si="3"/>
        <v>0</v>
      </c>
      <c r="D54" s="133">
        <f t="shared" si="3"/>
        <v>0</v>
      </c>
      <c r="E54" s="133">
        <f t="shared" si="3"/>
        <v>0</v>
      </c>
      <c r="F54" s="348"/>
    </row>
    <row r="55" spans="1:6" ht="15.75" hidden="1" customHeight="1" outlineLevel="1">
      <c r="A55" s="21">
        <f t="shared" si="2"/>
        <v>0</v>
      </c>
      <c r="B55" s="21"/>
      <c r="C55" s="133">
        <f t="shared" si="3"/>
        <v>0</v>
      </c>
      <c r="D55" s="133">
        <f t="shared" si="3"/>
        <v>0</v>
      </c>
      <c r="E55" s="133">
        <f t="shared" si="3"/>
        <v>0</v>
      </c>
      <c r="F55" s="348"/>
    </row>
    <row r="56" spans="1:6" ht="15.75" hidden="1" customHeight="1" outlineLevel="1">
      <c r="A56" s="21">
        <f t="shared" si="2"/>
        <v>0</v>
      </c>
      <c r="B56" s="21"/>
      <c r="C56" s="133">
        <f t="shared" si="3"/>
        <v>0</v>
      </c>
      <c r="D56" s="133">
        <f t="shared" si="3"/>
        <v>0</v>
      </c>
      <c r="E56" s="133">
        <f t="shared" si="3"/>
        <v>0</v>
      </c>
      <c r="F56" s="348"/>
    </row>
    <row r="57" spans="1:6" ht="15.75" hidden="1" customHeight="1" outlineLevel="1">
      <c r="A57" s="21">
        <f t="shared" si="2"/>
        <v>0</v>
      </c>
      <c r="B57" s="21"/>
      <c r="C57" s="133">
        <f t="shared" si="3"/>
        <v>0</v>
      </c>
      <c r="D57" s="133">
        <f t="shared" si="3"/>
        <v>0</v>
      </c>
      <c r="E57" s="133">
        <f t="shared" si="3"/>
        <v>0</v>
      </c>
      <c r="F57" s="348"/>
    </row>
    <row r="58" spans="1:6" ht="15.75" hidden="1" customHeight="1" outlineLevel="1">
      <c r="A58" s="21">
        <f t="shared" si="2"/>
        <v>0</v>
      </c>
      <c r="B58" s="21"/>
      <c r="C58" s="133">
        <f t="shared" si="3"/>
        <v>0</v>
      </c>
      <c r="D58" s="133">
        <f t="shared" si="3"/>
        <v>0</v>
      </c>
      <c r="E58" s="133">
        <f t="shared" si="3"/>
        <v>0</v>
      </c>
      <c r="F58" s="348"/>
    </row>
    <row r="59" spans="1:6" ht="15.75" hidden="1" customHeight="1" outlineLevel="1">
      <c r="A59" s="21">
        <f t="shared" si="2"/>
        <v>0</v>
      </c>
      <c r="B59" s="21"/>
      <c r="C59" s="133">
        <f t="shared" si="3"/>
        <v>0</v>
      </c>
      <c r="D59" s="133">
        <f t="shared" si="3"/>
        <v>0</v>
      </c>
      <c r="E59" s="133">
        <f t="shared" si="3"/>
        <v>0</v>
      </c>
      <c r="F59" s="348"/>
    </row>
    <row r="60" spans="1:6" ht="15.75" hidden="1" customHeight="1" outlineLevel="1">
      <c r="A60" s="21">
        <f t="shared" si="2"/>
        <v>0</v>
      </c>
      <c r="B60" s="21"/>
      <c r="C60" s="133">
        <f t="shared" si="3"/>
        <v>0</v>
      </c>
      <c r="D60" s="133">
        <f t="shared" si="3"/>
        <v>0</v>
      </c>
      <c r="E60" s="133">
        <f t="shared" si="3"/>
        <v>0</v>
      </c>
      <c r="F60" s="348"/>
    </row>
    <row r="61" spans="1:6" ht="15.75" hidden="1" customHeight="1" outlineLevel="1">
      <c r="A61" s="21">
        <f t="shared" si="2"/>
        <v>0</v>
      </c>
      <c r="B61" s="21"/>
      <c r="C61" s="21">
        <f t="shared" si="3"/>
        <v>0</v>
      </c>
      <c r="D61" s="21">
        <f t="shared" si="3"/>
        <v>0</v>
      </c>
      <c r="E61" s="21">
        <f t="shared" si="3"/>
        <v>0</v>
      </c>
      <c r="F61" s="349"/>
    </row>
    <row r="62" spans="1:6" s="41" customFormat="1" ht="15.75" hidden="1" customHeight="1" outlineLevel="1">
      <c r="A62" s="43" t="str">
        <f t="shared" si="2"/>
        <v>JAMI</v>
      </c>
      <c r="B62" s="43"/>
      <c r="C62" s="43" t="str">
        <f t="shared" si="3"/>
        <v>43.96</v>
      </c>
      <c r="D62" s="43" t="str">
        <f t="shared" si="3"/>
        <v>18.82</v>
      </c>
      <c r="E62" s="43" t="str">
        <f t="shared" si="3"/>
        <v>43.96</v>
      </c>
      <c r="F62" s="43" t="str">
        <f>FIXED(umumiy_malumot!C136,2)</f>
        <v>70 000 000,00</v>
      </c>
    </row>
    <row r="63" spans="1:6" ht="12.75" customHeight="1" collapsed="1">
      <c r="A63" s="20"/>
      <c r="B63" s="20"/>
      <c r="C63" s="20"/>
      <c r="D63" s="20"/>
      <c r="E63" s="20"/>
      <c r="F63" s="20"/>
    </row>
    <row r="64" spans="1:6" ht="93.75" hidden="1" customHeight="1">
      <c r="A64" s="243"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64" s="243"/>
      <c r="C64" s="243"/>
      <c r="D64" s="243"/>
      <c r="E64" s="243"/>
      <c r="F64" s="243"/>
    </row>
    <row r="65" spans="1:6" ht="42" customHeight="1">
      <c r="A65" s="243" t="s">
        <v>204</v>
      </c>
      <c r="B65" s="243"/>
      <c r="C65" s="243"/>
      <c r="D65" s="243"/>
      <c r="E65" s="243"/>
      <c r="F65" s="243"/>
    </row>
    <row r="66" spans="1:6" ht="35.25" customHeight="1">
      <c r="A66" s="243" t="str">
        <f>"Shunday qilib, garov predmetining kelishilgan garov qiymati  "&amp;FIXED(umumiy_malumot!B136)&amp;" ("&amp;umumiy_malumot!B137&amp;") so‘mni tashkil etadi."</f>
        <v>Shunday qilib, garov predmetining kelishilgan garov qiymati  70 000 000,00 (yetmish million so'm) so‘mni tashkil etadi.</v>
      </c>
      <c r="B66" s="243"/>
      <c r="C66" s="243"/>
      <c r="D66" s="243"/>
      <c r="E66" s="243"/>
      <c r="F66" s="243"/>
    </row>
    <row r="67" spans="1:6" ht="35.25" hidden="1" customHeight="1">
      <c r="A67" s="23"/>
      <c r="B67" s="23"/>
      <c r="C67" s="23"/>
      <c r="D67" s="23"/>
      <c r="E67" s="23">
        <f>IF(umumiy_malumot!B92=umumiy_malumot!C92,umumiy_malumot!C136,IF(umumiy_malumot!B92=umumiy_malumot!D92,'Данные для послед. Залога'!M22,0))</f>
        <v>70000000</v>
      </c>
      <c r="F67" s="23" t="str">
        <f>IF(umumiy_malumot!B92=umumiy_malumot!C92,umumiy_malumot!B137,IF(umumiy_malumot!B92=umumiy_malumot!D92,'Данные для послед. Залога'!Q22,0))</f>
        <v>yetmish million so'm</v>
      </c>
    </row>
    <row r="68" spans="1:6">
      <c r="A68" s="329" t="s">
        <v>205</v>
      </c>
      <c r="B68" s="329"/>
      <c r="C68" s="329"/>
      <c r="D68" s="329"/>
      <c r="E68" s="26"/>
      <c r="F68" s="26"/>
    </row>
    <row r="69" spans="1:6">
      <c r="A69" s="253" t="str">
        <f>umumiy_malumot!B148</f>
        <v>«PULLOL BUSINESS MIKROMOLIYA TASHKILOTI»  MChJ</v>
      </c>
      <c r="B69" s="253"/>
      <c r="C69" s="253"/>
      <c r="D69" s="253"/>
      <c r="E69" s="204"/>
      <c r="F69" s="204"/>
    </row>
    <row r="70" spans="1:6" ht="15" customHeight="1">
      <c r="A70" s="253" t="str">
        <f>""&amp;umumiy_malumot!A150&amp;"i"</f>
        <v>Direktori</v>
      </c>
      <c r="B70" s="253"/>
      <c r="C70" s="253"/>
      <c r="D70" s="253"/>
      <c r="E70" s="329" t="str">
        <f>"_______________   "&amp;umumiy_malumot!B150&amp;""</f>
        <v>_______________   Obidov A. Sh.</v>
      </c>
      <c r="F70" s="329"/>
    </row>
    <row r="71" spans="1:6">
      <c r="A71" s="66"/>
      <c r="B71" s="66"/>
      <c r="C71" s="66"/>
      <c r="D71" s="66"/>
      <c r="E71" s="66"/>
      <c r="F71" s="66"/>
    </row>
    <row r="72" spans="1:6">
      <c r="A72" s="329"/>
      <c r="B72" s="329"/>
      <c r="C72" s="329"/>
      <c r="D72" s="329"/>
      <c r="E72" s="66"/>
      <c r="F72" s="66"/>
    </row>
    <row r="73" spans="1:6" hidden="1">
      <c r="A73" s="253" t="s">
        <v>44</v>
      </c>
      <c r="B73" s="253"/>
      <c r="C73" s="253"/>
      <c r="D73" s="253"/>
      <c r="E73" s="66"/>
      <c r="F73" s="66"/>
    </row>
    <row r="74" spans="1:6" hidden="1">
      <c r="A74" s="253" t="str">
        <f>umumiy_malumot!B148</f>
        <v>«PULLOL BUSINESS MIKROMOLIYA TASHKILOTI»  MChJ</v>
      </c>
      <c r="B74" s="253"/>
      <c r="C74" s="253"/>
      <c r="D74" s="253"/>
      <c r="E74" s="253" t="str">
        <f>"_______________   "&amp;umumiy_malumot!B159&amp;""</f>
        <v>_______________   Akramov R.N.</v>
      </c>
      <c r="F74" s="253"/>
    </row>
    <row r="75" spans="1:6" ht="12.75" customHeight="1">
      <c r="A75" s="253"/>
      <c r="B75" s="253"/>
      <c r="C75" s="253"/>
      <c r="D75" s="253"/>
      <c r="E75" s="253"/>
      <c r="F75" s="253"/>
    </row>
    <row r="76" spans="1:6">
      <c r="A76" s="329" t="s">
        <v>206</v>
      </c>
      <c r="B76" s="329"/>
      <c r="C76" s="329"/>
      <c r="D76" s="329"/>
      <c r="E76" s="253"/>
      <c r="F76" s="253"/>
    </row>
    <row r="77" spans="1:6" ht="31.5" customHeight="1">
      <c r="A77" s="253" t="s">
        <v>207</v>
      </c>
      <c r="B77" s="253"/>
      <c r="C77" s="253"/>
      <c r="D77" s="253"/>
      <c r="E77" s="329" t="str">
        <f>"___________  "&amp;umumiy_malumot!B7&amp;""</f>
        <v>___________  SIMONYAN V. R.</v>
      </c>
      <c r="F77" s="329"/>
    </row>
    <row r="78" spans="1:6" ht="12.75" customHeight="1">
      <c r="A78" s="253"/>
      <c r="B78" s="253"/>
      <c r="C78" s="253"/>
      <c r="D78" s="253"/>
      <c r="E78" s="335" t="str">
        <f>IF(umumiy_malumot!B93="да","",umumiy_malumot!B118)</f>
        <v>SIMONYAN V. R.</v>
      </c>
      <c r="F78" s="335"/>
    </row>
    <row r="79" spans="1:6" ht="17.25" customHeight="1">
      <c r="A79" s="329" t="str">
        <f>+IF(umumiy_malumot!B93="ha"," ","3-tomondan:")</f>
        <v xml:space="preserve"> </v>
      </c>
      <c r="B79" s="329"/>
      <c r="C79" s="329"/>
      <c r="D79" s="329"/>
      <c r="E79" s="335" t="str">
        <f>IF(umumiy_malumot!B93="ha","",umumiy_malumot!C118)</f>
        <v/>
      </c>
      <c r="F79" s="335"/>
    </row>
    <row r="80" spans="1:6" ht="29.25" customHeight="1">
      <c r="A80" s="253" t="str">
        <f>+IF(umumiy_malumot!B93="ha"," ","O'zbekiston Respublikasi fuqarosi")</f>
        <v xml:space="preserve"> </v>
      </c>
      <c r="B80" s="253"/>
      <c r="C80" s="253"/>
      <c r="D80" s="253"/>
      <c r="E80" s="329" t="str">
        <f>IF(umumiy_malumot!B93="yo’q","_______________  "&amp;umumiy_malumot!C106&amp;"","")</f>
        <v/>
      </c>
      <c r="F80" s="329"/>
    </row>
    <row r="81" spans="1:6" ht="70.5" hidden="1" customHeight="1">
      <c r="A81" s="66"/>
      <c r="B81" s="66"/>
      <c r="C81" s="66"/>
      <c r="D81" s="253" t="str">
        <f>+IF(umumiy_malumot!B93="ha"," ",garov_ariza!A20)</f>
        <v xml:space="preserve"> </v>
      </c>
      <c r="E81" s="253"/>
      <c r="F81" s="253"/>
    </row>
    <row r="82" spans="1:6" ht="6.75" customHeight="1">
      <c r="E82" s="274"/>
      <c r="F82" s="274"/>
    </row>
  </sheetData>
  <mergeCells count="68">
    <mergeCell ref="A72:D72"/>
    <mergeCell ref="A73:D73"/>
    <mergeCell ref="A74:D74"/>
    <mergeCell ref="E74:F74"/>
    <mergeCell ref="A29:C29"/>
    <mergeCell ref="A45:F45"/>
    <mergeCell ref="A68:D68"/>
    <mergeCell ref="A69:D69"/>
    <mergeCell ref="A70:D70"/>
    <mergeCell ref="E70:F70"/>
    <mergeCell ref="A64:F64"/>
    <mergeCell ref="A65:F65"/>
    <mergeCell ref="F51:F61"/>
    <mergeCell ref="A46:F46"/>
    <mergeCell ref="A66:F66"/>
    <mergeCell ref="A28:C28"/>
    <mergeCell ref="A27:C27"/>
    <mergeCell ref="A44:F44"/>
    <mergeCell ref="A40:F40"/>
    <mergeCell ref="A41:F41"/>
    <mergeCell ref="A42:F42"/>
    <mergeCell ref="A43:F43"/>
    <mergeCell ref="A33:C33"/>
    <mergeCell ref="A37:C37"/>
    <mergeCell ref="A38:C38"/>
    <mergeCell ref="A34:C34"/>
    <mergeCell ref="A35:C35"/>
    <mergeCell ref="A36:C36"/>
    <mergeCell ref="E82:F82"/>
    <mergeCell ref="A2:F2"/>
    <mergeCell ref="A11:F11"/>
    <mergeCell ref="A12:F12"/>
    <mergeCell ref="A13:F13"/>
    <mergeCell ref="A10:F10"/>
    <mergeCell ref="A5:F5"/>
    <mergeCell ref="A6:F6"/>
    <mergeCell ref="A7:F7"/>
    <mergeCell ref="A8:F8"/>
    <mergeCell ref="A9:F9"/>
    <mergeCell ref="A30:C30"/>
    <mergeCell ref="A31:C31"/>
    <mergeCell ref="A32:C32"/>
    <mergeCell ref="D81:F81"/>
    <mergeCell ref="A39:F39"/>
    <mergeCell ref="A75:D75"/>
    <mergeCell ref="E75:F75"/>
    <mergeCell ref="A76:D76"/>
    <mergeCell ref="E76:F76"/>
    <mergeCell ref="A77:D77"/>
    <mergeCell ref="E77:F77"/>
    <mergeCell ref="A78:D78"/>
    <mergeCell ref="E78:F78"/>
    <mergeCell ref="A79:D79"/>
    <mergeCell ref="E79:F79"/>
    <mergeCell ref="A80:D80"/>
    <mergeCell ref="E80:F80"/>
    <mergeCell ref="A14:F14"/>
    <mergeCell ref="A15:F15"/>
    <mergeCell ref="A16:F16"/>
    <mergeCell ref="A17:F17"/>
    <mergeCell ref="A18:F18"/>
    <mergeCell ref="A19:F19"/>
    <mergeCell ref="A24:F24"/>
    <mergeCell ref="A25:F25"/>
    <mergeCell ref="B20:C20"/>
    <mergeCell ref="B21:C21"/>
    <mergeCell ref="A22:F22"/>
    <mergeCell ref="A23:F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F54"/>
  <sheetViews>
    <sheetView view="pageBreakPreview" topLeftCell="A10" zoomScaleSheetLayoutView="100" workbookViewId="0">
      <selection activeCell="A23" sqref="A23:F23"/>
    </sheetView>
  </sheetViews>
  <sheetFormatPr defaultColWidth="9.140625" defaultRowHeight="15" outlineLevelRow="1"/>
  <cols>
    <col min="1" max="2" width="23.85546875" style="19" customWidth="1"/>
    <col min="3" max="3" width="23.28515625" style="19" customWidth="1"/>
    <col min="4" max="4" width="17" style="19" customWidth="1"/>
    <col min="5" max="5" width="17.5703125" style="19" customWidth="1"/>
    <col min="6" max="6" width="19.7109375" style="19" customWidth="1"/>
    <col min="7" max="16384" width="9.140625" style="19"/>
  </cols>
  <sheetData>
    <row r="3" spans="1:6" ht="16.5" customHeight="1"/>
    <row r="4" spans="1:6" ht="17.25" customHeight="1">
      <c r="A4" s="277" t="str">
        <f>""&amp;umumiy_malumot!B147&amp;" Direktorining
"&amp;umumiy_malumot!B165&amp;"dagi "&amp;umumiy_malumot!B164&amp;"-sonli buyrug‘i"</f>
        <v>«PULLOL BUSINESS MIKROMOLIYA TASHKILOTI»  MChJ Direktorining
2 fevral 2026 y.dagi №43-sonli buyrug‘i</v>
      </c>
      <c r="B4" s="277"/>
      <c r="C4" s="277"/>
      <c r="D4" s="277"/>
      <c r="E4" s="277"/>
      <c r="F4" s="277"/>
    </row>
    <row r="5" spans="1:6">
      <c r="A5" s="277"/>
      <c r="B5" s="277"/>
      <c r="C5" s="277"/>
      <c r="D5" s="277"/>
      <c r="E5" s="277"/>
      <c r="F5" s="277"/>
    </row>
    <row r="6" spans="1:6">
      <c r="A6" s="277"/>
      <c r="B6" s="277"/>
      <c r="C6" s="277"/>
      <c r="D6" s="277"/>
      <c r="E6" s="277"/>
      <c r="F6" s="277"/>
    </row>
    <row r="7" spans="1:6">
      <c r="A7" s="243"/>
      <c r="B7" s="243"/>
      <c r="C7" s="243"/>
      <c r="D7" s="243"/>
      <c r="E7" s="243"/>
      <c r="F7" s="243"/>
    </row>
    <row r="8" spans="1:6" ht="53.25" customHeight="1">
      <c r="A8" s="243" t="str">
        <f>"Men, "&amp;umumiy_malumot!B151&amp;", "&amp;umumiy_malumot!B147&amp;" direktori, jismoniy shaxs "&amp;umumiy_malumot!B10&amp;"ga quyidagi shartlarda "&amp;umumiy_malumot!B65&amp;" berishni buyuraman:"</f>
        <v>Men, Obidov Abdullo Shokir o'g'li, «PULLOL BUSINESS MIKROMOLIYA TASHKILOTI»  MChJ direktori, jismoniy shaxs SIMONYAN VADIM ROMANOVICHga quyidagi shartlarda Mikroqarz berishni buyuraman:</v>
      </c>
      <c r="B8" s="243"/>
      <c r="C8" s="243"/>
      <c r="D8" s="243"/>
      <c r="E8" s="243"/>
      <c r="F8" s="243"/>
    </row>
    <row r="9" spans="1:6" ht="26.25" customHeight="1">
      <c r="A9" s="243" t="str">
        <f>kredit_ariza!A13:D13</f>
        <v>Mikroqarz summasi: 50 000 000,00 (Ellik million so'm) so'm.</v>
      </c>
      <c r="B9" s="243"/>
      <c r="C9" s="243"/>
      <c r="D9" s="243"/>
      <c r="E9" s="243"/>
      <c r="F9" s="243"/>
    </row>
    <row r="10" spans="1:6" ht="21" customHeight="1">
      <c r="A10" s="243" t="str">
        <f>kredit_ariza!A14:D14</f>
        <v>Mikroqarz muddati: 24 (yigirma to'rt) oy.</v>
      </c>
      <c r="B10" s="243"/>
      <c r="C10" s="243"/>
      <c r="D10" s="243"/>
      <c r="E10" s="243"/>
      <c r="F10" s="243"/>
    </row>
    <row r="11" spans="1:6" ht="27" customHeight="1">
      <c r="A11" s="243" t="str">
        <f>kredit_ariza!A15:D15</f>
        <v>Mikroqarzdan foydalanganlik uchun foiz stavkasi: yillik  50% (Ellik  ) foiz</v>
      </c>
      <c r="B11" s="243"/>
      <c r="C11" s="243"/>
      <c r="D11" s="243"/>
      <c r="E11" s="243"/>
      <c r="F11" s="243"/>
    </row>
    <row r="12" spans="1:6" ht="26.25" customHeight="1">
      <c r="A12" s="243" t="str">
        <f>kredit_ariza!A16:D16</f>
        <v>46785 bo'yicha asosiy qarz va foizlarni to'lash:</v>
      </c>
      <c r="B12" s="243"/>
      <c r="C12" s="243"/>
      <c r="D12" s="243"/>
      <c r="E12" s="243"/>
      <c r="F12" s="243"/>
    </row>
    <row r="13" spans="1:6" ht="21.75" customHeight="1">
      <c r="A13" s="243" t="str">
        <f>kredit_ariza!A17:D17</f>
        <v xml:space="preserve"> - Mikroqarz shartnomasi bo'yicha har oy differensial to'lovlari amalga oshiriladi</v>
      </c>
      <c r="B13" s="243"/>
      <c r="C13" s="243"/>
      <c r="D13" s="243"/>
      <c r="E13" s="243"/>
      <c r="F13" s="243"/>
    </row>
    <row r="14" spans="1:6" hidden="1">
      <c r="A14" s="243" t="str">
        <f>kredit_ariza!A20:D20</f>
        <v xml:space="preserve">   </v>
      </c>
      <c r="B14" s="243"/>
      <c r="C14" s="243"/>
      <c r="D14" s="243"/>
      <c r="E14" s="243"/>
      <c r="F14" s="243"/>
    </row>
    <row r="15" spans="1:6" ht="45.75" hidden="1" customHeight="1">
      <c r="A15" s="243" t="str">
        <f>IF(umumiy_malumot!B103="Avtotransport",buyruq!A14:F14,buyruq!A13:F13)</f>
        <v xml:space="preserve"> - Mikroqarz shartnomasi bo'yicha har oy differensial to'lovlari amalga oshiriladi</v>
      </c>
      <c r="B15" s="243"/>
      <c r="C15" s="243"/>
      <c r="D15" s="243"/>
      <c r="E15" s="243"/>
      <c r="F15" s="243"/>
    </row>
    <row r="16" spans="1:6" ht="50.25" hidden="1" customHeight="1">
      <c r="A16" s="243" t="str">
        <f>""&amp;umumiy_malumot!C117&amp;"ga tegishli "&amp;umumiy_malumot!C126&amp;" ko'rinishidagi ko'chmas mulkni quyidagi ma'lumotlarga muvofiq  garovga qabul qilinsin:"</f>
        <v>SIMONYAN VADIM ROMANOVICHga tegishli Yakka tartibdagi uy-joy ko'rinishidagi ko'chmas mulkni quyidagi ma'lumotlarga muvofiq  garovga qabul qilinsin:</v>
      </c>
      <c r="B16" s="243"/>
      <c r="C16" s="243"/>
      <c r="D16" s="243"/>
      <c r="E16" s="243"/>
      <c r="F16" s="243"/>
    </row>
    <row r="17" spans="1:6" ht="47.25" customHeight="1">
      <c r="A17" s="243" t="str">
        <f>""&amp;umumiy_malumot!B117&amp;"ga tegishli "&amp;umumiy_malumot!B125&amp;"  ko'chmas mulk  quyidagi ma'lumotlarga muvofiq garovga qabul qilinsin:"</f>
        <v>SIMONYAN VADIM ROMANOVICHga tegishli   ko'chmas mulk  quyidagi ma'lumotlarga muvofiq garovga qabul qilinsin:</v>
      </c>
      <c r="B17" s="243"/>
      <c r="C17" s="243"/>
      <c r="D17" s="243"/>
      <c r="E17" s="243"/>
      <c r="F17" s="243"/>
    </row>
    <row r="18" spans="1:6" s="41" customFormat="1" ht="60" customHeight="1" outlineLevel="1">
      <c r="A18" s="43" t="str">
        <f>dalolatnoma!A47</f>
        <v>Nomi</v>
      </c>
      <c r="B18" s="43" t="str">
        <f>dalolatnoma!B47</f>
        <v>Umumiy yer maydoni, (m2)</v>
      </c>
      <c r="C18" s="43" t="str">
        <f>dalolatnoma!C47</f>
        <v>Qurilish osti maydoni, (m2)</v>
      </c>
      <c r="D18" s="43" t="str">
        <f>dalolatnoma!D47</f>
        <v>Umumiy foydali maydoni, (m2)</v>
      </c>
      <c r="E18" s="43" t="str">
        <f>dalolatnoma!E47</f>
        <v>Yashash maydoni, (m2)</v>
      </c>
      <c r="F18" s="43" t="str">
        <f>dalolatnoma!F47</f>
        <v>Kelishilgan garov qiymati, so'm</v>
      </c>
    </row>
    <row r="19" spans="1:6" ht="84.75" customHeight="1" outlineLevel="1">
      <c r="A19" s="21" t="str">
        <f>dalolatnoma!A48</f>
        <v>Yakka tartibdagi uy-joy</v>
      </c>
      <c r="B19" s="21">
        <f>dalolatnoma!B48</f>
        <v>166</v>
      </c>
      <c r="C19" s="21">
        <f>dalolatnoma!C48</f>
        <v>87</v>
      </c>
      <c r="D19" s="21" t="str">
        <f>dalolatnoma!D48</f>
        <v>48.67</v>
      </c>
      <c r="E19" s="21" t="str">
        <f>dalolatnoma!E48</f>
        <v>30.84</v>
      </c>
      <c r="F19" s="21" t="str">
        <f>dalolatnoma!F48</f>
        <v>70 000 000,00 
(yetmish million so'm)</v>
      </c>
    </row>
    <row r="20" spans="1:6" ht="20.25" customHeight="1" outlineLevel="1">
      <c r="A20" s="243" t="str">
        <f>"-* ko'chmas mulk egasi: "&amp;umumiy_malumot!C117&amp;""</f>
        <v>-* ko'chmas mulk egasi: SIMONYAN VADIM ROMANOVICH</v>
      </c>
      <c r="B20" s="243"/>
      <c r="C20" s="243"/>
      <c r="D20" s="243"/>
      <c r="E20" s="243"/>
      <c r="F20" s="243"/>
    </row>
    <row r="21" spans="1:6" ht="20.25" customHeight="1" outlineLevel="1">
      <c r="A21" s="243" t="str">
        <f>"-* reestr raqami: "&amp;umumiy_malumot!C124&amp;""</f>
        <v>-* reestr raqami: №1726266/R-A5552339</v>
      </c>
      <c r="B21" s="243"/>
      <c r="C21" s="243"/>
      <c r="D21" s="243"/>
      <c r="E21" s="243"/>
      <c r="F21" s="243"/>
    </row>
    <row r="22" spans="1:6" ht="36" customHeight="1" outlineLevel="1">
      <c r="A22" s="243" t="str">
        <f>"-* kadastr raqami: "&amp;umumiy_malumot!C127&amp;""</f>
        <v>-* kadastr raqami: 07.01.2025 y. №10:07:04:02:02:7296/06</v>
      </c>
      <c r="B22" s="243"/>
      <c r="C22" s="243"/>
      <c r="D22" s="243"/>
      <c r="E22" s="243"/>
      <c r="F22" s="243"/>
    </row>
    <row r="23" spans="1:6" ht="30.75" customHeight="1" outlineLevel="1">
      <c r="A23" s="243" t="str">
        <f>"-* manzil: "&amp;umumiy_malumot!C123&amp;""</f>
        <v>-* manzil: TOSHKENT SHAHAR YUNUSOBOD TUMANI OTCHOPAR-1 MFY KARIM ZARIPOV KO'CHASI 8-6 UY</v>
      </c>
      <c r="B23" s="243"/>
      <c r="C23" s="243"/>
      <c r="D23" s="243"/>
      <c r="E23" s="243"/>
      <c r="F23" s="243"/>
    </row>
    <row r="24" spans="1:6">
      <c r="A24" s="243"/>
      <c r="B24" s="243"/>
      <c r="C24" s="243"/>
      <c r="D24" s="243"/>
      <c r="E24" s="243"/>
      <c r="F24" s="243"/>
    </row>
    <row r="25" spans="1:6" s="41" customFormat="1" ht="41.25" hidden="1" customHeight="1" outlineLevel="1">
      <c r="A25" s="43" t="s">
        <v>198</v>
      </c>
      <c r="B25" s="43"/>
      <c r="C25" s="43" t="s">
        <v>255</v>
      </c>
      <c r="D25" s="43" t="s">
        <v>275</v>
      </c>
      <c r="E25" s="43" t="s">
        <v>201</v>
      </c>
      <c r="F25" s="43" t="str">
        <f>dalolatnoma!F47</f>
        <v>Kelishilgan garov qiymati, so'm</v>
      </c>
    </row>
    <row r="26" spans="1:6" hidden="1" outlineLevel="1">
      <c r="A26" s="21" t="str">
        <f>dalolatnoma!A51</f>
        <v>Yashash xona</v>
      </c>
      <c r="B26" s="21"/>
      <c r="C26" s="133" t="str">
        <f>dalolatnoma!C51</f>
        <v>3</v>
      </c>
      <c r="D26" s="133" t="str">
        <f>dalolatnoma!D51</f>
        <v>18.82</v>
      </c>
      <c r="E26" s="133">
        <f>dalolatnoma!E51</f>
        <v>0</v>
      </c>
      <c r="F26" s="283" t="str">
        <f>dalolatnoma!F51</f>
        <v>70 000 000,00 (yetmish million so'm)</v>
      </c>
    </row>
    <row r="27" spans="1:6" hidden="1" outlineLevel="1">
      <c r="A27" s="21">
        <f>dalolatnoma!A52</f>
        <v>0</v>
      </c>
      <c r="B27" s="21"/>
      <c r="C27" s="133">
        <f>dalolatnoma!C52</f>
        <v>0</v>
      </c>
      <c r="D27" s="133">
        <f>dalolatnoma!D52</f>
        <v>0</v>
      </c>
      <c r="E27" s="133">
        <f>dalolatnoma!E52</f>
        <v>0</v>
      </c>
      <c r="F27" s="283"/>
    </row>
    <row r="28" spans="1:6" hidden="1" outlineLevel="1">
      <c r="A28" s="21" t="str">
        <f>dalolatnoma!A53</f>
        <v>Umumiy maydon</v>
      </c>
      <c r="B28" s="21"/>
      <c r="C28" s="133" t="str">
        <f>dalolatnoma!C53</f>
        <v>43.96</v>
      </c>
      <c r="D28" s="133" t="str">
        <f>dalolatnoma!D53</f>
        <v>18.82</v>
      </c>
      <c r="E28" s="133" t="str">
        <f>dalolatnoma!E53</f>
        <v>43.96</v>
      </c>
      <c r="F28" s="283"/>
    </row>
    <row r="29" spans="1:6" hidden="1" outlineLevel="1">
      <c r="A29" s="21">
        <f>dalolatnoma!A54</f>
        <v>0</v>
      </c>
      <c r="B29" s="21"/>
      <c r="C29" s="133">
        <f>dalolatnoma!C54</f>
        <v>0</v>
      </c>
      <c r="D29" s="133">
        <f>dalolatnoma!D54</f>
        <v>0</v>
      </c>
      <c r="E29" s="133">
        <f>dalolatnoma!E54</f>
        <v>0</v>
      </c>
      <c r="F29" s="283"/>
    </row>
    <row r="30" spans="1:6" hidden="1" outlineLevel="1">
      <c r="A30" s="21">
        <f>dalolatnoma!A55</f>
        <v>0</v>
      </c>
      <c r="B30" s="21"/>
      <c r="C30" s="133">
        <f>dalolatnoma!C55</f>
        <v>0</v>
      </c>
      <c r="D30" s="133">
        <f>dalolatnoma!D55</f>
        <v>0</v>
      </c>
      <c r="E30" s="133">
        <f>dalolatnoma!E55</f>
        <v>0</v>
      </c>
      <c r="F30" s="283"/>
    </row>
    <row r="31" spans="1:6" hidden="1" outlineLevel="1">
      <c r="A31" s="21">
        <f>dalolatnoma!A56</f>
        <v>0</v>
      </c>
      <c r="B31" s="21"/>
      <c r="C31" s="133">
        <f>dalolatnoma!C56</f>
        <v>0</v>
      </c>
      <c r="D31" s="133">
        <f>dalolatnoma!D56</f>
        <v>0</v>
      </c>
      <c r="E31" s="133">
        <f>dalolatnoma!E56</f>
        <v>0</v>
      </c>
      <c r="F31" s="283"/>
    </row>
    <row r="32" spans="1:6" hidden="1" outlineLevel="1">
      <c r="A32" s="21">
        <f>dalolatnoma!A57</f>
        <v>0</v>
      </c>
      <c r="B32" s="21"/>
      <c r="C32" s="133">
        <f>dalolatnoma!C57</f>
        <v>0</v>
      </c>
      <c r="D32" s="133">
        <f>dalolatnoma!D57</f>
        <v>0</v>
      </c>
      <c r="E32" s="133">
        <f>dalolatnoma!E57</f>
        <v>0</v>
      </c>
      <c r="F32" s="283"/>
    </row>
    <row r="33" spans="1:6" hidden="1" outlineLevel="1">
      <c r="A33" s="21">
        <f>dalolatnoma!A58</f>
        <v>0</v>
      </c>
      <c r="B33" s="21"/>
      <c r="C33" s="133">
        <f>dalolatnoma!C58</f>
        <v>0</v>
      </c>
      <c r="D33" s="133">
        <f>dalolatnoma!D58</f>
        <v>0</v>
      </c>
      <c r="E33" s="133">
        <f>dalolatnoma!E58</f>
        <v>0</v>
      </c>
      <c r="F33" s="283"/>
    </row>
    <row r="34" spans="1:6" hidden="1" outlineLevel="1">
      <c r="A34" s="21">
        <f>dalolatnoma!A59</f>
        <v>0</v>
      </c>
      <c r="B34" s="21"/>
      <c r="C34" s="133">
        <f>dalolatnoma!C59</f>
        <v>0</v>
      </c>
      <c r="D34" s="133">
        <f>dalolatnoma!D59</f>
        <v>0</v>
      </c>
      <c r="E34" s="133">
        <f>dalolatnoma!E59</f>
        <v>0</v>
      </c>
      <c r="F34" s="283"/>
    </row>
    <row r="35" spans="1:6" hidden="1" outlineLevel="1">
      <c r="A35" s="21">
        <f>dalolatnoma!A60</f>
        <v>0</v>
      </c>
      <c r="B35" s="21"/>
      <c r="C35" s="133">
        <f>dalolatnoma!C60</f>
        <v>0</v>
      </c>
      <c r="D35" s="133">
        <f>dalolatnoma!D60</f>
        <v>0</v>
      </c>
      <c r="E35" s="133">
        <f>dalolatnoma!E60</f>
        <v>0</v>
      </c>
      <c r="F35" s="283"/>
    </row>
    <row r="36" spans="1:6" hidden="1" outlineLevel="1">
      <c r="A36" s="21">
        <f>dalolatnoma!A61</f>
        <v>0</v>
      </c>
      <c r="B36" s="21"/>
      <c r="C36" s="21">
        <f>dalolatnoma!C61</f>
        <v>0</v>
      </c>
      <c r="D36" s="21">
        <f>dalolatnoma!D61</f>
        <v>0</v>
      </c>
      <c r="E36" s="21">
        <f>dalolatnoma!E61</f>
        <v>0</v>
      </c>
      <c r="F36" s="283"/>
    </row>
    <row r="37" spans="1:6" s="41" customFormat="1" ht="14.25" hidden="1" outlineLevel="1">
      <c r="A37" s="43" t="str">
        <f>dalolatnoma!A62</f>
        <v>JAMI</v>
      </c>
      <c r="B37" s="43"/>
      <c r="C37" s="43" t="str">
        <f>dalolatnoma!C62</f>
        <v>43.96</v>
      </c>
      <c r="D37" s="43" t="str">
        <f>dalolatnoma!D62</f>
        <v>18.82</v>
      </c>
      <c r="E37" s="43" t="str">
        <f>dalolatnoma!E62</f>
        <v>43.96</v>
      </c>
      <c r="F37" s="43" t="str">
        <f>dalolatnoma!F62</f>
        <v>70 000 000,00</v>
      </c>
    </row>
    <row r="38" spans="1:6" s="41" customFormat="1" ht="15" hidden="1" customHeight="1" outlineLevel="1">
      <c r="A38" s="243" t="str">
        <f>dalolatnoma!A39:F39</f>
        <v>-* ko'chmas mulk egasi: SIMONYAN VADIM ROMANOVICH</v>
      </c>
      <c r="B38" s="243"/>
      <c r="C38" s="243"/>
      <c r="D38" s="243"/>
      <c r="E38" s="243"/>
      <c r="F38" s="243"/>
    </row>
    <row r="39" spans="1:6" s="41" customFormat="1" hidden="1" outlineLevel="1">
      <c r="A39" s="243" t="str">
        <f>dalolatnoma!A40:F40</f>
        <v>-* reestr raqami: №1726266/R-A5552339</v>
      </c>
      <c r="B39" s="243"/>
      <c r="C39" s="243"/>
      <c r="D39" s="243"/>
      <c r="E39" s="243"/>
      <c r="F39" s="243"/>
    </row>
    <row r="40" spans="1:6" s="41" customFormat="1" hidden="1" outlineLevel="1">
      <c r="A40" s="243" t="str">
        <f>dalolatnoma!A41:F41</f>
        <v>-* kadastr raqami: 07.01.2025 y. №10:07:04:02:02:7296/06</v>
      </c>
      <c r="B40" s="243"/>
      <c r="C40" s="243"/>
      <c r="D40" s="243"/>
      <c r="E40" s="243"/>
      <c r="F40" s="243"/>
    </row>
    <row r="41" spans="1:6" s="41" customFormat="1" hidden="1" outlineLevel="1">
      <c r="A41" s="243" t="str">
        <f>dalolatnoma!A42:F42</f>
        <v>-* manzil: TOSHKENT SHAHAR YUNUSOBOD TUMANI OTCHOPAR-1 MFY KARIM ZARIPOV KO'CHASI 8-6 UY</v>
      </c>
      <c r="B41" s="243"/>
      <c r="C41" s="243"/>
      <c r="D41" s="243"/>
      <c r="E41" s="243"/>
      <c r="F41" s="243"/>
    </row>
    <row r="42" spans="1:6" s="41" customFormat="1" collapsed="1">
      <c r="A42" s="243"/>
      <c r="B42" s="243"/>
      <c r="C42" s="243"/>
      <c r="D42" s="243"/>
      <c r="E42" s="243"/>
      <c r="F42" s="243"/>
    </row>
    <row r="43" spans="1:6" s="41" customFormat="1">
      <c r="A43" s="243"/>
      <c r="B43" s="243"/>
      <c r="C43" s="243"/>
      <c r="D43" s="243"/>
      <c r="E43" s="243"/>
      <c r="F43" s="243"/>
    </row>
    <row r="44" spans="1:6" s="41" customFormat="1" hidden="1">
      <c r="A44" s="243"/>
      <c r="B44" s="243"/>
      <c r="C44" s="243"/>
      <c r="D44" s="243"/>
      <c r="E44" s="243"/>
      <c r="F44" s="243"/>
    </row>
    <row r="45" spans="1:6" s="41" customFormat="1" ht="14.25" hidden="1">
      <c r="A45" s="60"/>
      <c r="B45" s="60"/>
      <c r="C45" s="60"/>
      <c r="D45" s="60"/>
      <c r="E45" s="60"/>
      <c r="F45" s="60"/>
    </row>
    <row r="46" spans="1:6" hidden="1">
      <c r="A46" s="243"/>
      <c r="B46" s="243"/>
      <c r="C46" s="243"/>
      <c r="D46" s="243"/>
      <c r="E46" s="243"/>
      <c r="F46" s="243"/>
    </row>
    <row r="47" spans="1:6" ht="15" customHeight="1">
      <c r="A47" s="329" t="str">
        <f>umumiy_malumot!B148</f>
        <v>«PULLOL BUSINESS MIKROMOLIYA TASHKILOTI»  MChJ</v>
      </c>
      <c r="B47" s="329"/>
      <c r="C47" s="329"/>
      <c r="D47" s="329"/>
      <c r="E47" s="350"/>
      <c r="F47" s="350"/>
    </row>
    <row r="48" spans="1:6" ht="15" customHeight="1">
      <c r="A48" s="329" t="s">
        <v>399</v>
      </c>
      <c r="B48" s="329"/>
      <c r="C48" s="329"/>
      <c r="D48" s="329"/>
      <c r="E48" s="350" t="str">
        <f>umumiy_malumot!B150</f>
        <v>Obidov A. Sh.</v>
      </c>
      <c r="F48" s="350"/>
    </row>
    <row r="49" spans="1:6">
      <c r="A49" s="243"/>
      <c r="B49" s="243"/>
      <c r="C49" s="243"/>
      <c r="D49" s="243"/>
      <c r="E49" s="243"/>
      <c r="F49" s="243"/>
    </row>
    <row r="50" spans="1:6">
      <c r="A50" s="243"/>
      <c r="B50" s="243"/>
      <c r="C50" s="243"/>
      <c r="D50" s="243"/>
      <c r="E50" s="243"/>
      <c r="F50" s="243"/>
    </row>
    <row r="51" spans="1:6">
      <c r="A51" s="243"/>
      <c r="B51" s="243"/>
      <c r="C51" s="243"/>
      <c r="D51" s="243"/>
      <c r="E51" s="243"/>
      <c r="F51" s="243"/>
    </row>
    <row r="52" spans="1:6">
      <c r="A52" s="243"/>
      <c r="B52" s="243"/>
      <c r="C52" s="243"/>
      <c r="D52" s="243"/>
      <c r="E52" s="243"/>
      <c r="F52" s="243"/>
    </row>
    <row r="53" spans="1:6">
      <c r="A53" s="243"/>
      <c r="B53" s="243"/>
      <c r="C53" s="243"/>
      <c r="D53" s="243"/>
      <c r="E53" s="243"/>
      <c r="F53" s="243"/>
    </row>
    <row r="54" spans="1:6">
      <c r="A54" s="243"/>
      <c r="B54" s="243"/>
      <c r="C54" s="243"/>
      <c r="D54" s="243"/>
      <c r="E54" s="243"/>
      <c r="F54" s="243"/>
    </row>
  </sheetData>
  <mergeCells count="36">
    <mergeCell ref="A54:F54"/>
    <mergeCell ref="A22:F22"/>
    <mergeCell ref="A23:F23"/>
    <mergeCell ref="A24:F24"/>
    <mergeCell ref="A46:F46"/>
    <mergeCell ref="A47:D47"/>
    <mergeCell ref="E47:F47"/>
    <mergeCell ref="A48:D48"/>
    <mergeCell ref="E48:F48"/>
    <mergeCell ref="A49:F49"/>
    <mergeCell ref="A50:F50"/>
    <mergeCell ref="A51:F51"/>
    <mergeCell ref="A53:F53"/>
    <mergeCell ref="F26:F36"/>
    <mergeCell ref="A43:F43"/>
    <mergeCell ref="A4:F6"/>
    <mergeCell ref="A44:F44"/>
    <mergeCell ref="A38:F38"/>
    <mergeCell ref="A39:F39"/>
    <mergeCell ref="A40:F40"/>
    <mergeCell ref="A41:F41"/>
    <mergeCell ref="A42:F42"/>
    <mergeCell ref="A21:F21"/>
    <mergeCell ref="A14:F14"/>
    <mergeCell ref="A17:F17"/>
    <mergeCell ref="A7:F7"/>
    <mergeCell ref="A8:F8"/>
    <mergeCell ref="A13:F13"/>
    <mergeCell ref="A9:F9"/>
    <mergeCell ref="A10:F10"/>
    <mergeCell ref="A11:F11"/>
    <mergeCell ref="A12:F12"/>
    <mergeCell ref="A52:F52"/>
    <mergeCell ref="A20:F20"/>
    <mergeCell ref="A15:F15"/>
    <mergeCell ref="A16:F16"/>
  </mergeCells>
  <pageMargins left="0.70866141732283472" right="0.70866141732283472" top="0.74803149606299213" bottom="0.74803149606299213" header="0.31496062992125984" footer="0.31496062992125984"/>
  <pageSetup paperSize="9" scale="6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4" zoomScaleSheetLayoutView="100" workbookViewId="0">
      <selection activeCell="B12" sqref="B12:F12"/>
    </sheetView>
  </sheetViews>
  <sheetFormatPr defaultColWidth="9.140625" defaultRowHeight="15"/>
  <cols>
    <col min="1" max="1" width="3.42578125" style="19" customWidth="1"/>
    <col min="2" max="3" width="17.85546875" style="24" customWidth="1"/>
    <col min="4" max="4" width="15" style="24" customWidth="1"/>
    <col min="5" max="5" width="17.85546875" style="24" customWidth="1"/>
    <col min="6" max="6" width="9" style="24" customWidth="1"/>
    <col min="7" max="7" width="4.7109375" style="24" customWidth="1"/>
    <col min="8" max="16384" width="9.140625" style="19"/>
  </cols>
  <sheetData>
    <row r="1" spans="2:7" ht="15.75" thickBot="1"/>
    <row r="2" spans="2:7" ht="62.25" customHeight="1">
      <c r="B2" s="361" t="str">
        <f>umumiy_malumot!B148</f>
        <v>«PULLOL BUSINESS MIKROMOLIYA TASHKILOTI»  MChJ</v>
      </c>
      <c r="C2" s="362"/>
      <c r="D2" s="362"/>
      <c r="E2" s="362"/>
      <c r="F2" s="363"/>
      <c r="G2" s="45"/>
    </row>
    <row r="3" spans="2:7">
      <c r="B3" s="354"/>
      <c r="C3" s="276"/>
      <c r="D3" s="276"/>
      <c r="E3" s="276"/>
      <c r="F3" s="355"/>
      <c r="G3" s="46"/>
    </row>
    <row r="4" spans="2:7" ht="8.25" customHeight="1">
      <c r="B4" s="67"/>
      <c r="F4" s="68"/>
      <c r="G4" s="46"/>
    </row>
    <row r="5" spans="2:7" ht="12" customHeight="1">
      <c r="B5" s="48"/>
      <c r="C5" s="46"/>
      <c r="D5" s="46"/>
      <c r="E5" s="46"/>
      <c r="F5" s="49"/>
      <c r="G5" s="46"/>
    </row>
    <row r="6" spans="2:7" ht="6.75" customHeight="1">
      <c r="B6" s="48"/>
      <c r="C6" s="46"/>
      <c r="D6" s="46"/>
      <c r="E6" s="46"/>
      <c r="F6" s="49"/>
      <c r="G6" s="46"/>
    </row>
    <row r="7" spans="2:7" ht="6.75" customHeight="1">
      <c r="B7" s="48"/>
      <c r="C7" s="46"/>
      <c r="D7" s="46"/>
      <c r="E7" s="46"/>
      <c r="F7" s="49"/>
      <c r="G7" s="46"/>
    </row>
    <row r="8" spans="2:7">
      <c r="B8" s="48"/>
      <c r="C8" s="46"/>
      <c r="D8" s="46"/>
      <c r="E8" s="46"/>
      <c r="F8" s="49"/>
      <c r="G8" s="46"/>
    </row>
    <row r="9" spans="2:7">
      <c r="B9" s="48"/>
      <c r="C9" s="46"/>
      <c r="D9" s="46"/>
      <c r="E9" s="46"/>
      <c r="F9" s="49"/>
      <c r="G9" s="46"/>
    </row>
    <row r="10" spans="2:7">
      <c r="B10" s="354" t="s">
        <v>24</v>
      </c>
      <c r="C10" s="276"/>
      <c r="D10" s="276"/>
      <c r="E10" s="276"/>
      <c r="F10" s="355"/>
      <c r="G10" s="46"/>
    </row>
    <row r="11" spans="2:7">
      <c r="B11" s="354" t="s">
        <v>24</v>
      </c>
      <c r="C11" s="276"/>
      <c r="D11" s="276"/>
      <c r="E11" s="276"/>
      <c r="F11" s="355"/>
      <c r="G11" s="46"/>
    </row>
    <row r="12" spans="2:7" ht="135" customHeight="1">
      <c r="B12" s="364" t="str">
        <f>umumiy_malumot!B5</f>
        <v>SIMONYAN VADIM ROMANOVICH</v>
      </c>
      <c r="C12" s="365"/>
      <c r="D12" s="365"/>
      <c r="E12" s="365"/>
      <c r="F12" s="366"/>
      <c r="G12" s="47"/>
    </row>
    <row r="13" spans="2:7">
      <c r="B13" s="354"/>
      <c r="C13" s="276"/>
      <c r="D13" s="276"/>
      <c r="E13" s="276"/>
      <c r="F13" s="355"/>
      <c r="G13" s="46"/>
    </row>
    <row r="14" spans="2:7">
      <c r="B14" s="48"/>
      <c r="C14" s="46"/>
      <c r="D14" s="46"/>
      <c r="E14" s="46"/>
      <c r="F14" s="49"/>
      <c r="G14" s="46"/>
    </row>
    <row r="15" spans="2:7">
      <c r="B15" s="48"/>
      <c r="C15" s="46"/>
      <c r="D15" s="46"/>
      <c r="E15" s="46"/>
      <c r="F15" s="49"/>
      <c r="G15" s="46"/>
    </row>
    <row r="16" spans="2:7">
      <c r="B16" s="48"/>
      <c r="C16" s="46"/>
      <c r="D16" s="46"/>
      <c r="E16" s="46"/>
      <c r="F16" s="49"/>
      <c r="G16" s="46"/>
    </row>
    <row r="17" spans="2:7">
      <c r="B17" s="48"/>
      <c r="C17" s="46"/>
      <c r="D17" s="46"/>
      <c r="E17" s="46"/>
      <c r="F17" s="49"/>
      <c r="G17" s="46"/>
    </row>
    <row r="18" spans="2:7">
      <c r="B18" s="354"/>
      <c r="C18" s="276"/>
      <c r="D18" s="276"/>
      <c r="E18" s="276"/>
      <c r="F18" s="355"/>
      <c r="G18" s="46"/>
    </row>
    <row r="19" spans="2:7" ht="20.25">
      <c r="B19" s="358" t="str">
        <f>""&amp;umumiy_malumot!B65&amp;" shartnoma "&amp;umumiy_malumot!B74&amp;""</f>
        <v>Mikroqarz shartnoma 2 fevral 2026 y.dan №43</v>
      </c>
      <c r="C19" s="359"/>
      <c r="D19" s="359"/>
      <c r="E19" s="359"/>
      <c r="F19" s="360"/>
      <c r="G19" s="46"/>
    </row>
    <row r="20" spans="2:7">
      <c r="B20" s="354"/>
      <c r="C20" s="276"/>
      <c r="D20" s="276"/>
      <c r="E20" s="276"/>
      <c r="F20" s="355"/>
      <c r="G20" s="46"/>
    </row>
    <row r="21" spans="2:7">
      <c r="B21" s="354"/>
      <c r="C21" s="276"/>
      <c r="D21" s="276"/>
      <c r="E21" s="276"/>
      <c r="F21" s="355"/>
      <c r="G21" s="46"/>
    </row>
    <row r="22" spans="2:7">
      <c r="B22" s="354"/>
      <c r="C22" s="276"/>
      <c r="D22" s="276"/>
      <c r="E22" s="276"/>
      <c r="F22" s="355"/>
      <c r="G22" s="46"/>
    </row>
    <row r="23" spans="2:7">
      <c r="B23" s="354"/>
      <c r="C23" s="276"/>
      <c r="D23" s="276"/>
      <c r="E23" s="276"/>
      <c r="F23" s="355"/>
      <c r="G23" s="46"/>
    </row>
    <row r="24" spans="2:7">
      <c r="B24" s="356" t="str">
        <f>" Foiz stavkasi: "&amp;umumiy_malumot!B85&amp;"%"</f>
        <v xml:space="preserve"> Foiz stavkasi: 50%</v>
      </c>
      <c r="C24" s="246"/>
      <c r="D24" s="246"/>
      <c r="E24" s="246"/>
      <c r="F24" s="357"/>
      <c r="G24" s="46"/>
    </row>
    <row r="25" spans="2:7" ht="15" customHeight="1">
      <c r="B25" s="356" t="str">
        <f>" "&amp;umumiy_malumot!B65&amp;" muddati: "&amp;umumiy_malumot!B81&amp;" oy"</f>
        <v xml:space="preserve"> Mikroqarz muddati: 24 oy</v>
      </c>
      <c r="C25" s="246"/>
      <c r="D25" s="246"/>
      <c r="E25" s="246"/>
      <c r="F25" s="357"/>
      <c r="G25" s="46"/>
    </row>
    <row r="26" spans="2:7">
      <c r="B26" s="356" t="str">
        <f>" "&amp;umumiy_malumot!B65&amp;" miqdori: "&amp;FIXED(umumiy_malumot!B75,2)&amp;" so'm"</f>
        <v xml:space="preserve"> Mikroqarz miqdori: 50 000 000,00 so'm</v>
      </c>
      <c r="C26" s="246"/>
      <c r="D26" s="246"/>
      <c r="E26" s="246"/>
      <c r="F26" s="357"/>
      <c r="G26" s="46"/>
    </row>
    <row r="27" spans="2:7">
      <c r="B27" s="354"/>
      <c r="C27" s="276"/>
      <c r="D27" s="276"/>
      <c r="E27" s="276"/>
      <c r="F27" s="355"/>
      <c r="G27" s="46"/>
    </row>
    <row r="28" spans="2:7" hidden="1">
      <c r="G28" s="46"/>
    </row>
    <row r="29" spans="2:7">
      <c r="B29" s="354"/>
      <c r="C29" s="276"/>
      <c r="D29" s="276"/>
      <c r="E29" s="276"/>
      <c r="F29" s="355"/>
      <c r="G29" s="46"/>
    </row>
    <row r="30" spans="2:7" ht="12.75" customHeight="1">
      <c r="B30" s="48"/>
      <c r="C30" s="46"/>
      <c r="D30" s="46"/>
      <c r="E30" s="46"/>
      <c r="F30" s="49"/>
      <c r="G30" s="46"/>
    </row>
    <row r="31" spans="2:7">
      <c r="B31" s="48"/>
      <c r="C31" s="46"/>
      <c r="D31" s="46"/>
      <c r="E31" s="46"/>
      <c r="F31" s="49"/>
      <c r="G31" s="46"/>
    </row>
    <row r="32" spans="2:7" ht="2.25" customHeight="1">
      <c r="B32" s="48"/>
      <c r="C32" s="46"/>
      <c r="D32" s="46"/>
      <c r="E32" s="46"/>
      <c r="F32" s="49"/>
      <c r="G32" s="46"/>
    </row>
    <row r="33" spans="2:7">
      <c r="B33" s="48"/>
      <c r="C33" s="46"/>
      <c r="D33" s="46"/>
      <c r="E33" s="46"/>
      <c r="F33" s="49"/>
      <c r="G33" s="46"/>
    </row>
    <row r="34" spans="2:7">
      <c r="B34" s="48"/>
      <c r="C34" s="46"/>
      <c r="D34" s="46"/>
      <c r="E34" s="46"/>
      <c r="F34" s="49"/>
      <c r="G34" s="46"/>
    </row>
    <row r="35" spans="2:7">
      <c r="B35" s="48"/>
      <c r="C35" s="46"/>
      <c r="D35" s="46"/>
      <c r="E35" s="46"/>
      <c r="F35" s="49"/>
      <c r="G35" s="46"/>
    </row>
    <row r="36" spans="2:7">
      <c r="B36" s="48"/>
      <c r="C36" s="46"/>
      <c r="D36" s="46"/>
      <c r="E36" s="46"/>
      <c r="F36" s="49"/>
      <c r="G36" s="46"/>
    </row>
    <row r="37" spans="2:7">
      <c r="B37" s="48"/>
      <c r="C37" s="46"/>
      <c r="D37" s="46"/>
      <c r="E37" s="46"/>
      <c r="F37" s="49"/>
      <c r="G37" s="46"/>
    </row>
    <row r="38" spans="2:7">
      <c r="B38" s="48"/>
      <c r="C38" s="46"/>
      <c r="D38" s="46"/>
      <c r="E38" s="46"/>
      <c r="F38" s="49"/>
      <c r="G38" s="46"/>
    </row>
    <row r="39" spans="2:7">
      <c r="B39" s="48"/>
      <c r="C39" s="46"/>
      <c r="D39" s="46"/>
      <c r="E39" s="46"/>
      <c r="F39" s="49"/>
      <c r="G39" s="46"/>
    </row>
    <row r="40" spans="2:7" ht="15.75" thickBot="1">
      <c r="B40" s="351" t="str">
        <f>"Toshkent sh., "&amp;umumiy_malumot!B70&amp;""</f>
        <v>Toshkent sh., 2 fevral 2026 y.</v>
      </c>
      <c r="C40" s="352"/>
      <c r="D40" s="352"/>
      <c r="E40" s="352"/>
      <c r="F40" s="353"/>
      <c r="G40" s="46"/>
    </row>
    <row r="41" spans="2:7">
      <c r="B41" s="276"/>
      <c r="C41" s="276"/>
      <c r="D41" s="276"/>
      <c r="E41" s="276"/>
      <c r="F41" s="276"/>
      <c r="G41" s="46"/>
    </row>
    <row r="42" spans="2:7">
      <c r="B42" s="276"/>
      <c r="C42" s="276"/>
      <c r="D42" s="276"/>
      <c r="E42" s="276"/>
      <c r="F42" s="276"/>
      <c r="G42" s="46"/>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0866141732283472" right="0.70866141732283472" top="0.74803149606299213" bottom="0.74803149606299213" header="0.31496062992125984" footer="0.31496062992125984"/>
  <pageSetup paperSize="9" scale="10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9" customWidth="1"/>
    <col min="2" max="2" width="21.28515625" style="19" customWidth="1"/>
    <col min="3" max="3" width="19.140625" style="19" customWidth="1"/>
    <col min="4" max="5" width="21.28515625" style="19" customWidth="1"/>
    <col min="6" max="16384" width="9.140625" style="19"/>
  </cols>
  <sheetData>
    <row r="2" spans="1:5">
      <c r="A2" s="129" t="s">
        <v>45</v>
      </c>
    </row>
    <row r="3" spans="1:5">
      <c r="A3" s="129" t="s">
        <v>46</v>
      </c>
    </row>
    <row r="6" spans="1:5" ht="20.25" customHeight="1">
      <c r="E6" s="130" t="s">
        <v>33</v>
      </c>
    </row>
    <row r="7" spans="1:5">
      <c r="E7" s="130" t="s">
        <v>47</v>
      </c>
    </row>
    <row r="9" spans="1:5" ht="107.25" customHeight="1">
      <c r="A9" s="368" t="str">
        <f>"          Между ООО «Clever Mikrokredit Tashkiloti» и "&amp;umumiy_malumot!B5&amp;"  (паспорт: "&amp;umumiy_malumot!B16&amp;" "&amp;umumiy_malumot!B20&amp;") заключен договор микрозайма "&amp;umumiy_malumot!B74&amp;", на сумму "&amp;FIXED(umumiy_malumot!B75)&amp;" ("&amp;umumiy_malumot!B76&amp;") сум, сроком на "&amp;umumiy_malumot!B81&amp;" ("&amp;umumiy_malumot!B82&amp;") месяцев. В качестве своевременного исполнения обязательств по договору Микрозайма "&amp;umumiy_malumot!B74&amp;" планирует предоставить нижеследующее "&amp;IF(umumiy_malumot!B103=umumiy_malumot!C103,"автотранспортного средство марки "&amp;umumiy_malumot!B125&amp;" принадлежащее на правах собственности "&amp;umumiy_malumot!B117&amp;"","недвижимого имущества в виде "&amp;umumiy_malumot!C126&amp;", общей площадью - "&amp;umumiy_malumot!C130&amp;" и жилой площадью - "&amp;umumiy_malumot!C133&amp;", расположенного по адресу: "&amp;umumiy_malumot!C123&amp;", принадлежащее на правах собственности "&amp;umumiy_malumot!C117&amp;".")</f>
        <v xml:space="preserve">          Между ООО «Clever Mikrokredit Tashkiloti» и SIMONYAN VADIM ROMANOVICH  (паспорт: AD 3925702 IIV 26266 tomonidan 12.07.2023 yilda berilgan) заключен договор микрозайма 2 fevral 2026 y.dan №43, на сумму 50 000 000,00 (Ellik million so'm) сум, сроком на 24 (yigirma to'rt) месяцев. В качестве своевременного исполнения обязательств по договору Микрозайма 2 fevral 2026 y.dan №43 планирует предоставить нижеследующее недвижимого имущества в виде Yakka tartibdagi uy-joy, общей площадью - 48.67 и жилой площадью - 87, расположенного по адресу: TOSHKENT SHAHAR YUNUSOBOD TUMANI OTCHOPAR-1 MFY KARIM ZARIPOV KO'CHASI 8-6 UY, принадлежащее на правах собственности SIMONYAN VADIM ROMANOVICH.</v>
      </c>
      <c r="B9" s="368"/>
      <c r="C9" s="368"/>
      <c r="D9" s="368"/>
      <c r="E9" s="368"/>
    </row>
    <row r="11" spans="1:5" ht="28.5">
      <c r="A11" s="43" t="str">
        <f>buyruq!A18</f>
        <v>Nomi</v>
      </c>
      <c r="B11" s="43" t="str">
        <f>buyruq!C18</f>
        <v>Qurilish osti maydoni, (m2)</v>
      </c>
      <c r="C11" s="43" t="str">
        <f>buyruq!D18</f>
        <v>Umumiy foydali maydoni, (m2)</v>
      </c>
      <c r="D11" s="43" t="str">
        <f>buyruq!E18</f>
        <v>Yashash maydoni, (m2)</v>
      </c>
      <c r="E11" s="43" t="str">
        <f>buyruq!F18</f>
        <v>Kelishilgan garov qiymati, so'm</v>
      </c>
    </row>
    <row r="12" spans="1:5" ht="73.5" customHeight="1">
      <c r="A12" s="43" t="str">
        <f>buyruq!A19</f>
        <v>Yakka tartibdagi uy-joy</v>
      </c>
      <c r="B12" s="43">
        <f>buyruq!C19</f>
        <v>87</v>
      </c>
      <c r="C12" s="43" t="str">
        <f>buyruq!D19</f>
        <v>48.67</v>
      </c>
      <c r="D12" s="43" t="str">
        <f>buyruq!E19</f>
        <v>30.84</v>
      </c>
      <c r="E12" s="43" t="str">
        <f>buyruq!F19</f>
        <v>70 000 000,00 
(yetmish million so'm)</v>
      </c>
    </row>
    <row r="13" spans="1:5">
      <c r="A13" s="372" t="str">
        <f>buyruq!A20:F20</f>
        <v>-* ko'chmas mulk egasi: SIMONYAN VADIM ROMANOVICH</v>
      </c>
      <c r="B13" s="372"/>
      <c r="C13" s="372"/>
      <c r="D13" s="372"/>
      <c r="E13" s="372"/>
    </row>
    <row r="14" spans="1:5">
      <c r="A14" s="372" t="str">
        <f>buyruq!A21:F21</f>
        <v>-* reestr raqami: №1726266/R-A5552339</v>
      </c>
      <c r="B14" s="372"/>
      <c r="C14" s="372"/>
      <c r="D14" s="372"/>
      <c r="E14" s="372"/>
    </row>
    <row r="15" spans="1:5">
      <c r="A15" s="372" t="str">
        <f>buyruq!A22:F22</f>
        <v>-* kadastr raqami: 07.01.2025 y. №10:07:04:02:02:7296/06</v>
      </c>
      <c r="B15" s="372"/>
      <c r="C15" s="372"/>
      <c r="D15" s="372"/>
      <c r="E15" s="372"/>
    </row>
    <row r="16" spans="1:5">
      <c r="A16" s="372" t="str">
        <f>buyruq!A23:F23</f>
        <v>-* manzil: TOSHKENT SHAHAR YUNUSOBOD TUMANI OTCHOPAR-1 MFY KARIM ZARIPOV KO'CHASI 8-6 UY</v>
      </c>
      <c r="B16" s="372"/>
      <c r="C16" s="372"/>
      <c r="D16" s="372"/>
      <c r="E16" s="372"/>
    </row>
    <row r="17" spans="1:5" ht="3" customHeight="1"/>
    <row r="19" spans="1:5" ht="59.25" hidden="1" customHeight="1">
      <c r="A19" s="43" t="str">
        <f>dalolatnoma!A50</f>
        <v>Наименование</v>
      </c>
      <c r="B19" s="43" t="str">
        <f>dalolatnoma!C50</f>
        <v>Полезная площадь</v>
      </c>
      <c r="C19" s="43" t="str">
        <f>dalolatnoma!D50</f>
        <v>Жилая площадь</v>
      </c>
      <c r="D19" s="43" t="str">
        <f>dalolatnoma!E50</f>
        <v>Общая площадь</v>
      </c>
      <c r="E19" s="43" t="str">
        <f>dalolatnoma!F50</f>
        <v>Согласованная залоговая стоимость, сум</v>
      </c>
    </row>
    <row r="20" spans="1:5" ht="17.25" hidden="1" customHeight="1">
      <c r="A20" s="21" t="str">
        <f>dalolatnoma!A51</f>
        <v>Yashash xona</v>
      </c>
      <c r="B20" s="21" t="str">
        <f>dalolatnoma!C51</f>
        <v>3</v>
      </c>
      <c r="C20" s="21" t="str">
        <f>dalolatnoma!D51</f>
        <v>18.82</v>
      </c>
      <c r="D20" s="21">
        <f>dalolatnoma!E51</f>
        <v>0</v>
      </c>
      <c r="E20" s="347" t="str">
        <f>""&amp;FIXED(umumiy_malumot!C136,2)&amp;" ("&amp;umumiy_malumot!C137&amp;")"</f>
        <v>70 000 000,00 (yetmish million so'm)</v>
      </c>
    </row>
    <row r="21" spans="1:5" ht="17.25" hidden="1" customHeight="1">
      <c r="A21" s="21">
        <f>dalolatnoma!A52</f>
        <v>0</v>
      </c>
      <c r="B21" s="21">
        <f>dalolatnoma!C52</f>
        <v>0</v>
      </c>
      <c r="C21" s="21">
        <f>dalolatnoma!D52</f>
        <v>0</v>
      </c>
      <c r="D21" s="21">
        <f>dalolatnoma!E52</f>
        <v>0</v>
      </c>
      <c r="E21" s="348"/>
    </row>
    <row r="22" spans="1:5" ht="17.25" hidden="1" customHeight="1">
      <c r="A22" s="21" t="str">
        <f>dalolatnoma!A53</f>
        <v>Umumiy maydon</v>
      </c>
      <c r="B22" s="21" t="str">
        <f>dalolatnoma!C53</f>
        <v>43.96</v>
      </c>
      <c r="C22" s="21" t="str">
        <f>dalolatnoma!D53</f>
        <v>18.82</v>
      </c>
      <c r="D22" s="21" t="str">
        <f>dalolatnoma!E53</f>
        <v>43.96</v>
      </c>
      <c r="E22" s="348"/>
    </row>
    <row r="23" spans="1:5" ht="17.25" hidden="1" customHeight="1">
      <c r="A23" s="21">
        <f>dalolatnoma!A54</f>
        <v>0</v>
      </c>
      <c r="B23" s="21">
        <f>dalolatnoma!C54</f>
        <v>0</v>
      </c>
      <c r="C23" s="21">
        <f>dalolatnoma!D54</f>
        <v>0</v>
      </c>
      <c r="D23" s="21">
        <f>dalolatnoma!E54</f>
        <v>0</v>
      </c>
      <c r="E23" s="348"/>
    </row>
    <row r="24" spans="1:5" ht="17.25" hidden="1" customHeight="1">
      <c r="A24" s="21">
        <f>dalolatnoma!A55</f>
        <v>0</v>
      </c>
      <c r="B24" s="21">
        <f>dalolatnoma!C55</f>
        <v>0</v>
      </c>
      <c r="C24" s="21">
        <f>dalolatnoma!D55</f>
        <v>0</v>
      </c>
      <c r="D24" s="21">
        <f>dalolatnoma!E55</f>
        <v>0</v>
      </c>
      <c r="E24" s="348"/>
    </row>
    <row r="25" spans="1:5" ht="15.75" hidden="1" customHeight="1">
      <c r="A25" s="21">
        <f>dalolatnoma!A56</f>
        <v>0</v>
      </c>
      <c r="B25" s="21">
        <f>dalolatnoma!C56</f>
        <v>0</v>
      </c>
      <c r="C25" s="21">
        <f>dalolatnoma!D56</f>
        <v>0</v>
      </c>
      <c r="D25" s="21">
        <f>dalolatnoma!E56</f>
        <v>0</v>
      </c>
      <c r="E25" s="348"/>
    </row>
    <row r="26" spans="1:5" ht="17.25" hidden="1" customHeight="1">
      <c r="A26" s="21">
        <f>dalolatnoma!A57</f>
        <v>0</v>
      </c>
      <c r="B26" s="21">
        <f>dalolatnoma!C57</f>
        <v>0</v>
      </c>
      <c r="C26" s="21">
        <f>dalolatnoma!D57</f>
        <v>0</v>
      </c>
      <c r="D26" s="21">
        <f>dalolatnoma!E57</f>
        <v>0</v>
      </c>
      <c r="E26" s="348"/>
    </row>
    <row r="27" spans="1:5" ht="17.25" hidden="1" customHeight="1">
      <c r="A27" s="21">
        <f>dalolatnoma!A58</f>
        <v>0</v>
      </c>
      <c r="B27" s="21">
        <f>dalolatnoma!C58</f>
        <v>0</v>
      </c>
      <c r="C27" s="21">
        <f>dalolatnoma!D58</f>
        <v>0</v>
      </c>
      <c r="D27" s="21">
        <f>dalolatnoma!E58</f>
        <v>0</v>
      </c>
      <c r="E27" s="348"/>
    </row>
    <row r="28" spans="1:5" ht="17.25" hidden="1" customHeight="1">
      <c r="A28" s="21">
        <f>dalolatnoma!A59</f>
        <v>0</v>
      </c>
      <c r="B28" s="21">
        <f>dalolatnoma!C59</f>
        <v>0</v>
      </c>
      <c r="C28" s="21">
        <f>dalolatnoma!D59</f>
        <v>0</v>
      </c>
      <c r="D28" s="21">
        <f>dalolatnoma!E59</f>
        <v>0</v>
      </c>
      <c r="E28" s="348"/>
    </row>
    <row r="29" spans="1:5" ht="17.25" hidden="1" customHeight="1">
      <c r="A29" s="21">
        <f>dalolatnoma!A60</f>
        <v>0</v>
      </c>
      <c r="B29" s="21">
        <f>dalolatnoma!C60</f>
        <v>0</v>
      </c>
      <c r="C29" s="21">
        <f>dalolatnoma!D60</f>
        <v>0</v>
      </c>
      <c r="D29" s="21">
        <f>dalolatnoma!E60</f>
        <v>0</v>
      </c>
      <c r="E29" s="348"/>
    </row>
    <row r="30" spans="1:5" ht="17.25" hidden="1" customHeight="1">
      <c r="A30" s="21">
        <f>dalolatnoma!A61</f>
        <v>0</v>
      </c>
      <c r="B30" s="21">
        <f>dalolatnoma!C61</f>
        <v>0</v>
      </c>
      <c r="C30" s="21">
        <f>dalolatnoma!D61</f>
        <v>0</v>
      </c>
      <c r="D30" s="21">
        <f>dalolatnoma!E61</f>
        <v>0</v>
      </c>
      <c r="E30" s="349"/>
    </row>
    <row r="31" spans="1:5" ht="17.25" hidden="1" customHeight="1">
      <c r="A31" s="21" t="str">
        <f>dalolatnoma!A62</f>
        <v>JAMI</v>
      </c>
      <c r="B31" s="21" t="str">
        <f>dalolatnoma!C62</f>
        <v>43.96</v>
      </c>
      <c r="C31" s="21" t="str">
        <f>dalolatnoma!D62</f>
        <v>18.82</v>
      </c>
      <c r="D31" s="21" t="str">
        <f>dalolatnoma!E62</f>
        <v>43.96</v>
      </c>
      <c r="E31" s="21" t="str">
        <f>dalolatnoma!F62</f>
        <v>70 000 000,00</v>
      </c>
    </row>
    <row r="32" spans="1:5" ht="18.75" hidden="1" customHeight="1">
      <c r="A32" s="368" t="str">
        <f>dalolatnoma!A39:F39</f>
        <v>-* ko'chmas mulk egasi: SIMONYAN VADIM ROMANOVICH</v>
      </c>
      <c r="B32" s="368"/>
      <c r="C32" s="368"/>
      <c r="D32" s="368"/>
      <c r="E32" s="368"/>
    </row>
    <row r="33" spans="1:5" ht="24.75" hidden="1" customHeight="1">
      <c r="A33" s="368" t="str">
        <f>dalolatnoma!A40:F40</f>
        <v>-* reestr raqami: №1726266/R-A5552339</v>
      </c>
      <c r="B33" s="368"/>
      <c r="C33" s="368"/>
      <c r="D33" s="368"/>
      <c r="E33" s="368"/>
    </row>
    <row r="34" spans="1:5" ht="30.75" hidden="1" customHeight="1">
      <c r="A34" s="368" t="str">
        <f>dalolatnoma!A41:F41</f>
        <v>-* kadastr raqami: 07.01.2025 y. №10:07:04:02:02:7296/06</v>
      </c>
      <c r="B34" s="368"/>
      <c r="C34" s="368"/>
      <c r="D34" s="368"/>
      <c r="E34" s="368"/>
    </row>
    <row r="35" spans="1:5" ht="15" hidden="1" customHeight="1">
      <c r="A35" s="368" t="str">
        <f>dalolatnoma!A42:F42</f>
        <v>-* manzil: TOSHKENT SHAHAR YUNUSOBOD TUMANI OTCHOPAR-1 MFY KARIM ZARIPOV KO'CHASI 8-6 UY</v>
      </c>
      <c r="B35" s="368"/>
      <c r="C35" s="368"/>
      <c r="D35" s="368"/>
      <c r="E35" s="368"/>
    </row>
    <row r="36" spans="1:5">
      <c r="A36" s="26"/>
      <c r="B36" s="26"/>
      <c r="C36" s="26"/>
      <c r="D36" s="26"/>
      <c r="E36" s="26"/>
    </row>
    <row r="37" spans="1:5" s="153" customFormat="1" ht="51" customHeight="1">
      <c r="A37" s="371" t="str">
        <f>dalolatnoma!A64:F64</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71"/>
      <c r="C37" s="371"/>
      <c r="D37" s="371"/>
      <c r="E37" s="371"/>
    </row>
    <row r="38" spans="1:5" ht="40.5" customHeight="1">
      <c r="A38" s="368" t="str">
        <f>dalolatnoma!A65:F65</f>
        <v>Shu bilan birga, garov predmetining kelishilgan garov qiymati deganda ushbu mulk garov sifatida taqdim etilgan/qabul qilingan qiymati tushuniladi.</v>
      </c>
      <c r="B38" s="368"/>
      <c r="C38" s="368"/>
      <c r="D38" s="368"/>
      <c r="E38" s="368"/>
    </row>
    <row r="39" spans="1:5" ht="39" customHeight="1">
      <c r="A39" s="368"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"&amp;umumiy_malumot!B74&amp;",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 fevral 2026 y.dan №43, при сохранении запрета.</v>
      </c>
      <c r="B39" s="368"/>
      <c r="C39" s="368"/>
      <c r="D39" s="368"/>
      <c r="E39" s="368"/>
    </row>
    <row r="40" spans="1:5">
      <c r="A40" s="369"/>
      <c r="B40" s="369"/>
      <c r="C40" s="369"/>
      <c r="D40" s="369"/>
      <c r="E40" s="369"/>
    </row>
    <row r="41" spans="1:5">
      <c r="A41" s="370" t="s">
        <v>34</v>
      </c>
      <c r="B41" s="370"/>
      <c r="C41" s="370"/>
      <c r="D41" s="370"/>
      <c r="E41" s="370"/>
    </row>
    <row r="42" spans="1:5">
      <c r="A42" s="369"/>
      <c r="B42" s="369"/>
      <c r="C42" s="369"/>
      <c r="D42" s="369"/>
      <c r="E42" s="369"/>
    </row>
    <row r="43" spans="1:5">
      <c r="A43" s="370" t="s">
        <v>35</v>
      </c>
      <c r="B43" s="370"/>
      <c r="C43" s="370"/>
      <c r="D43" s="370"/>
      <c r="E43" s="370"/>
    </row>
    <row r="44" spans="1:5" ht="28.5" customHeight="1">
      <c r="A44" s="367" t="s">
        <v>36</v>
      </c>
      <c r="B44" s="367"/>
      <c r="C44" s="367"/>
      <c r="D44" s="367"/>
      <c r="E44" s="131"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J30"/>
  <sheetViews>
    <sheetView view="pageBreakPreview" zoomScaleNormal="100" zoomScaleSheetLayoutView="100" workbookViewId="0">
      <selection activeCell="G20" sqref="G20"/>
    </sheetView>
  </sheetViews>
  <sheetFormatPr defaultColWidth="9.140625" defaultRowHeight="12.75"/>
  <cols>
    <col min="1" max="2" width="11" style="28" customWidth="1"/>
    <col min="3" max="3" width="18" style="28" customWidth="1"/>
    <col min="4" max="4" width="14.42578125" style="28" customWidth="1"/>
    <col min="5" max="5" width="4" style="28" customWidth="1"/>
    <col min="6" max="7" width="13.5703125" style="28" customWidth="1"/>
    <col min="8" max="8" width="9.140625" style="28"/>
    <col min="9" max="9" width="19" style="28" bestFit="1" customWidth="1"/>
    <col min="10" max="10" width="9.140625" style="28" hidden="1" customWidth="1"/>
    <col min="11" max="11" width="9.140625" style="28" customWidth="1"/>
    <col min="12" max="12" width="0.5703125" style="28" customWidth="1"/>
    <col min="13" max="16384" width="9.140625" style="28"/>
  </cols>
  <sheetData>
    <row r="1" spans="1:10">
      <c r="A1" s="35"/>
      <c r="B1" s="35"/>
      <c r="C1" s="35"/>
      <c r="D1" s="35"/>
      <c r="E1" s="35"/>
      <c r="F1" s="35"/>
      <c r="G1" s="35"/>
      <c r="H1" s="35"/>
      <c r="I1" s="35"/>
      <c r="J1" s="35"/>
    </row>
    <row r="2" spans="1:10">
      <c r="A2" s="381" t="str">
        <f>""&amp;" "&amp;umumiy_malumot!B74&amp;"-sonli "&amp;" "&amp;umumiy_malumot!B65&amp;" shartnomasi bo‘yicha
 garovga qo‘yilgan mol-mulkni tekshirish bo’yicha "&amp;umumiy_malumot!B5&amp;" bilan tuzilgan dalolatnomasi"</f>
        <v xml:space="preserve"> 2 fevral 2026 y.dan №43-sonli  Mikroqarz shartnomasi bo‘yicha
 garovga qo‘yilgan mol-mulkni tekshirish bo’yicha SIMONYAN VADIM ROMANOVICH bilan tuzilgan dalolatnomasi</v>
      </c>
      <c r="B2" s="381"/>
      <c r="C2" s="381"/>
      <c r="D2" s="381"/>
      <c r="E2" s="381"/>
      <c r="F2" s="381"/>
      <c r="G2" s="381"/>
      <c r="H2" s="381"/>
      <c r="I2" s="381"/>
      <c r="J2" s="35"/>
    </row>
    <row r="3" spans="1:10">
      <c r="A3" s="381"/>
      <c r="B3" s="381"/>
      <c r="C3" s="381"/>
      <c r="D3" s="381"/>
      <c r="E3" s="381"/>
      <c r="F3" s="381"/>
      <c r="G3" s="381"/>
      <c r="H3" s="381"/>
      <c r="I3" s="381"/>
      <c r="J3" s="35"/>
    </row>
    <row r="5" spans="1:10">
      <c r="A5" s="28" t="s">
        <v>195</v>
      </c>
      <c r="G5" s="190"/>
      <c r="I5" s="167" t="str">
        <f>TEXT(umumiy_malumot!D2,"ДД.ММ.ГГГГ")</f>
        <v>01.08.2026</v>
      </c>
    </row>
    <row r="7" spans="1:10" ht="45" customHeight="1">
      <c r="A7" s="380" t="str">
        <f>"      Men, “PULLOL BUSINESS MIKROMOLIYA TASHKILOTI” "&amp;umumiy_malumot!A150&amp;"i "&amp;umumiy_malumot!B150&amp;", jismoniy shaxs "&amp;" "&amp;umumiy_malumot!B5&amp;" "&amp;" "&amp;umumiy_malumot!B74&amp;"-sonli "&amp;umumiy_malumot!B65&amp;" shartnomasi bo‘yicha garovga qo‘yilgan mol-mulkni ko‘zdan kechirdim"</f>
        <v xml:space="preserve">      Men, “PULLOL BUSINESS MIKROMOLIYA TASHKILOTI” Direktori Obidov A. Sh., jismoniy shaxs  SIMONYAN VADIM ROMANOVICH  2 fevral 2026 y.dan №43-sonli Mikroqarz shartnomasi bo‘yicha garovga qo‘yilgan mol-mulkni ko‘zdan kechirdim</v>
      </c>
      <c r="B7" s="380"/>
      <c r="C7" s="380"/>
      <c r="D7" s="380"/>
      <c r="E7" s="380"/>
      <c r="F7" s="380"/>
      <c r="G7" s="380"/>
      <c r="H7" s="380"/>
      <c r="I7" s="380"/>
    </row>
    <row r="8" spans="1:10" ht="19.5" customHeight="1">
      <c r="A8" s="374" t="s">
        <v>271</v>
      </c>
      <c r="B8" s="374"/>
      <c r="C8" s="374"/>
      <c r="D8" s="374"/>
      <c r="E8" s="374"/>
      <c r="F8" s="374"/>
      <c r="G8" s="374"/>
      <c r="H8" s="374"/>
      <c r="I8" s="374"/>
    </row>
    <row r="9" spans="1:10" s="168" customFormat="1" ht="32.25" customHeight="1">
      <c r="A9" s="375" t="s">
        <v>198</v>
      </c>
      <c r="B9" s="376"/>
      <c r="C9" s="240" t="s">
        <v>436</v>
      </c>
      <c r="D9" s="375" t="s">
        <v>437</v>
      </c>
      <c r="E9" s="376"/>
      <c r="F9" s="377" t="s">
        <v>438</v>
      </c>
      <c r="G9" s="377"/>
      <c r="H9" s="377" t="s">
        <v>439</v>
      </c>
      <c r="I9" s="377"/>
    </row>
    <row r="10" spans="1:10" s="166" customFormat="1" ht="58.5" customHeight="1">
      <c r="A10" s="378" t="str">
        <f>umumiy_malumot!C125</f>
        <v>Yakka tartibdagi uy-joy</v>
      </c>
      <c r="B10" s="378"/>
      <c r="C10" s="239">
        <f>umumiy_malumot!C134</f>
        <v>166</v>
      </c>
      <c r="D10" s="378">
        <f>umumiy_malumot!C133</f>
        <v>87</v>
      </c>
      <c r="E10" s="378"/>
      <c r="F10" s="378" t="str">
        <f>umumiy_malumot!C130</f>
        <v>48.67</v>
      </c>
      <c r="G10" s="378"/>
      <c r="H10" s="378" t="str">
        <f>umumiy_malumot!C131</f>
        <v>30.84</v>
      </c>
      <c r="I10" s="378"/>
    </row>
    <row r="11" spans="1:10" ht="19.5" customHeight="1">
      <c r="A11" s="379" t="str">
        <f>dalolatnoma!A39:F39</f>
        <v>-* ko'chmas mulk egasi: SIMONYAN VADIM ROMANOVICH</v>
      </c>
      <c r="B11" s="379"/>
      <c r="C11" s="379"/>
      <c r="D11" s="379"/>
      <c r="E11" s="379"/>
      <c r="F11" s="379"/>
      <c r="G11" s="379"/>
      <c r="H11" s="379"/>
      <c r="I11" s="379"/>
    </row>
    <row r="12" spans="1:10" ht="19.5" customHeight="1">
      <c r="A12" s="379" t="str">
        <f>dalolatnoma!A40:F40</f>
        <v>-* reestr raqami: №1726266/R-A5552339</v>
      </c>
      <c r="B12" s="379"/>
      <c r="C12" s="379"/>
      <c r="D12" s="379"/>
      <c r="E12" s="379"/>
      <c r="F12" s="379"/>
      <c r="G12" s="379"/>
      <c r="H12" s="379"/>
      <c r="I12" s="379"/>
    </row>
    <row r="13" spans="1:10" ht="19.5" customHeight="1">
      <c r="A13" s="379" t="str">
        <f>dalolatnoma!A41:F41</f>
        <v>-* kadastr raqami: 07.01.2025 y. №10:07:04:02:02:7296/06</v>
      </c>
      <c r="B13" s="379"/>
      <c r="C13" s="379"/>
      <c r="D13" s="379"/>
      <c r="E13" s="379"/>
      <c r="F13" s="379"/>
      <c r="G13" s="379"/>
      <c r="H13" s="379"/>
      <c r="I13" s="379"/>
    </row>
    <row r="14" spans="1:10" ht="19.5" customHeight="1">
      <c r="A14" s="379" t="str">
        <f>dalolatnoma!A42:F42</f>
        <v>-* manzil: TOSHKENT SHAHAR YUNUSOBOD TUMANI OTCHOPAR-1 MFY KARIM ZARIPOV KO'CHASI 8-6 UY</v>
      </c>
      <c r="B14" s="379"/>
      <c r="C14" s="379"/>
      <c r="D14" s="379"/>
      <c r="E14" s="379"/>
      <c r="F14" s="379"/>
      <c r="G14" s="379"/>
      <c r="H14" s="379"/>
      <c r="I14" s="379"/>
    </row>
    <row r="15" spans="1:10" ht="33.75" customHeight="1">
      <c r="A15" s="382" t="str">
        <f>+"Shu bilan birga, yuqoridagi mulkning kelishilgan garov qiymati "&amp;dalolatnoma!F48</f>
        <v>Shu bilan birga, yuqoridagi mulkning kelishilgan garov qiymati 70 000 000,00 
(yetmish million so'm)</v>
      </c>
      <c r="B15" s="382"/>
      <c r="C15" s="382"/>
      <c r="D15" s="382"/>
      <c r="E15" s="382"/>
      <c r="F15" s="382"/>
      <c r="G15" s="382"/>
      <c r="H15" s="382"/>
      <c r="I15" s="382"/>
    </row>
    <row r="17" spans="1:9" ht="27" customHeight="1">
      <c r="A17" s="373" t="s">
        <v>272</v>
      </c>
      <c r="B17" s="373"/>
      <c r="C17" s="373"/>
      <c r="D17" s="373"/>
      <c r="E17" s="373"/>
      <c r="F17" s="373"/>
      <c r="G17" s="373"/>
      <c r="H17" s="373"/>
      <c r="I17" s="373"/>
    </row>
    <row r="21" spans="1:9" s="35" customFormat="1"/>
    <row r="22" spans="1:9" s="35" customFormat="1">
      <c r="A22" s="35" t="str">
        <f>umumiy_malumot!A150</f>
        <v>Direktor</v>
      </c>
      <c r="I22" s="169" t="str">
        <f>umumiy_malumot!B150</f>
        <v>Obidov A. Sh.</v>
      </c>
    </row>
    <row r="23" spans="1:9" s="35" customFormat="1" ht="32.25" customHeight="1">
      <c r="I23" s="169"/>
    </row>
    <row r="24" spans="1:9" s="35" customFormat="1" ht="16.5" hidden="1" customHeight="1">
      <c r="A24" s="35" t="s">
        <v>273</v>
      </c>
      <c r="I24" s="35" t="str">
        <f>umumiy_malumot!B160</f>
        <v>Omanlikov O.O.</v>
      </c>
    </row>
    <row r="25" spans="1:9" s="35" customFormat="1" ht="60" customHeight="1"/>
    <row r="26" spans="1:9" s="35" customFormat="1">
      <c r="A26" s="35" t="s">
        <v>274</v>
      </c>
      <c r="I26" s="169" t="str">
        <f>umumiy_malumot!B7</f>
        <v>SIMONYAN V. R.</v>
      </c>
    </row>
    <row r="27" spans="1:9" s="35" customFormat="1"/>
    <row r="28" spans="1:9" s="35" customFormat="1"/>
    <row r="29" spans="1:9" s="35" customFormat="1"/>
    <row r="30" spans="1:9" s="35" customFormat="1"/>
  </sheetData>
  <mergeCells count="17">
    <mergeCell ref="A7:I7"/>
    <mergeCell ref="A2:I3"/>
    <mergeCell ref="A15:I15"/>
    <mergeCell ref="A17:I17"/>
    <mergeCell ref="A8:I8"/>
    <mergeCell ref="A9:B9"/>
    <mergeCell ref="D9:E9"/>
    <mergeCell ref="F9:G9"/>
    <mergeCell ref="H9:I9"/>
    <mergeCell ref="A10:B10"/>
    <mergeCell ref="D10:E10"/>
    <mergeCell ref="F10:G10"/>
    <mergeCell ref="H10:I10"/>
    <mergeCell ref="A11:I11"/>
    <mergeCell ref="A12:I12"/>
    <mergeCell ref="A13:I13"/>
    <mergeCell ref="A14:I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zoomScale="115" zoomScaleNormal="100" zoomScaleSheetLayoutView="115" workbookViewId="0">
      <selection activeCell="A10" sqref="A10:B10"/>
    </sheetView>
  </sheetViews>
  <sheetFormatPr defaultColWidth="9.140625" defaultRowHeight="12.75"/>
  <cols>
    <col min="1" max="2" width="11" style="28" customWidth="1"/>
    <col min="3" max="4" width="14.42578125" style="28" customWidth="1"/>
    <col min="5" max="5" width="6.140625" style="28" customWidth="1"/>
    <col min="6" max="6" width="13.5703125" style="28" customWidth="1"/>
    <col min="7" max="7" width="6.5703125" style="28" customWidth="1"/>
    <col min="8" max="8" width="18" style="28" customWidth="1"/>
    <col min="9" max="9" width="0.140625" style="28" customWidth="1"/>
    <col min="10" max="16384" width="9.140625" style="28"/>
  </cols>
  <sheetData>
    <row r="1" spans="1:9">
      <c r="A1" s="35"/>
      <c r="B1" s="35"/>
      <c r="C1" s="35"/>
      <c r="D1" s="35"/>
      <c r="E1" s="35"/>
      <c r="F1" s="35"/>
      <c r="G1" s="35"/>
      <c r="H1" s="35"/>
      <c r="I1" s="35"/>
    </row>
    <row r="2" spans="1:9">
      <c r="A2" s="381" t="str">
        <f>""&amp;" "&amp;umumiy_malumot!B74&amp;"-sonli "&amp;" "&amp;umumiy_malumot!B65&amp;" shartnomasi bo‘yicha
 garovga qo‘yilgan mol-mulkni tekshirish bo’yicha "&amp;umumiy_malumot!B5&amp;" bilan tuzilgan dalolatnomasi"</f>
        <v xml:space="preserve"> 2 fevral 2026 y.dan №43-sonli  Mikroqarz shartnomasi bo‘yicha
 garovga qo‘yilgan mol-mulkni tekshirish bo’yicha SIMONYAN VADIM ROMANOVICH bilan tuzilgan dalolatnomasi</v>
      </c>
      <c r="B2" s="381"/>
      <c r="C2" s="381"/>
      <c r="D2" s="381"/>
      <c r="E2" s="381"/>
      <c r="F2" s="381"/>
      <c r="G2" s="381"/>
      <c r="H2" s="381"/>
      <c r="I2" s="35"/>
    </row>
    <row r="3" spans="1:9">
      <c r="A3" s="381"/>
      <c r="B3" s="381"/>
      <c r="C3" s="381"/>
      <c r="D3" s="381"/>
      <c r="E3" s="381"/>
      <c r="F3" s="381"/>
      <c r="G3" s="381"/>
      <c r="H3" s="381"/>
      <c r="I3" s="35"/>
    </row>
    <row r="5" spans="1:9">
      <c r="A5" s="28" t="s">
        <v>195</v>
      </c>
      <c r="H5" s="167" t="str">
        <f>TEXT(+umumiy_malumot!B2+360,"ДД.ММ.ГГГГ")</f>
        <v>28.01.2027</v>
      </c>
    </row>
    <row r="7" spans="1:9" ht="45" customHeight="1">
      <c r="A7" s="380" t="str">
        <f>"      Men, "&amp;umumiy_malumot!B147&amp;" "&amp;umumiy_malumot!A150&amp;"i "&amp;umumiy_malumot!B150&amp;", jismoniy shaxs "&amp;" "&amp;umumiy_malumot!B5&amp;" "&amp;" "&amp;umumiy_malumot!B74&amp;"-sonli "&amp;umumiy_malumot!B65&amp;" shartnomasi bo‘yicha garovga qo‘yilgan mol-mulkni ko‘zdan kechirdim"</f>
        <v xml:space="preserve">      Men, «PULLOL BUSINESS MIKROMOLIYA TASHKILOTI»  MChJ Direktori Obidov A. Sh., jismoniy shaxs  SIMONYAN VADIM ROMANOVICH  2 fevral 2026 y.dan №43-sonli Mikroqarz shartnomasi bo‘yicha garovga qo‘yilgan mol-mulkni ko‘zdan kechirdim</v>
      </c>
      <c r="B7" s="380"/>
      <c r="C7" s="380"/>
      <c r="D7" s="380"/>
      <c r="E7" s="380"/>
      <c r="F7" s="380"/>
      <c r="G7" s="380"/>
      <c r="H7" s="380"/>
    </row>
    <row r="8" spans="1:9" ht="19.5" customHeight="1">
      <c r="A8" s="374" t="s">
        <v>271</v>
      </c>
      <c r="B8" s="374"/>
      <c r="C8" s="374"/>
      <c r="D8" s="374"/>
      <c r="E8" s="374"/>
      <c r="F8" s="374"/>
      <c r="G8" s="374"/>
      <c r="H8" s="374"/>
    </row>
    <row r="9" spans="1:9" s="168" customFormat="1" ht="32.25" customHeight="1">
      <c r="A9" s="375" t="s">
        <v>198</v>
      </c>
      <c r="B9" s="376"/>
      <c r="C9" s="240" t="s">
        <v>436</v>
      </c>
      <c r="D9" s="375" t="s">
        <v>437</v>
      </c>
      <c r="E9" s="376"/>
      <c r="F9" s="377" t="s">
        <v>438</v>
      </c>
      <c r="G9" s="377"/>
      <c r="H9" s="377" t="s">
        <v>439</v>
      </c>
      <c r="I9" s="377"/>
    </row>
    <row r="10" spans="1:9" s="166" customFormat="1" ht="58.5" customHeight="1">
      <c r="A10" s="378" t="str">
        <f>umumiy_malumot!C125</f>
        <v>Yakka tartibdagi uy-joy</v>
      </c>
      <c r="B10" s="378"/>
      <c r="C10" s="239">
        <f>umumiy_malumot!C134</f>
        <v>166</v>
      </c>
      <c r="D10" s="378">
        <f>umumiy_malumot!C133</f>
        <v>87</v>
      </c>
      <c r="E10" s="378"/>
      <c r="F10" s="378" t="str">
        <f>umumiy_malumot!C130</f>
        <v>48.67</v>
      </c>
      <c r="G10" s="378"/>
      <c r="H10" s="378" t="str">
        <f>umumiy_malumot!C131</f>
        <v>30.84</v>
      </c>
      <c r="I10" s="378"/>
    </row>
    <row r="11" spans="1:9" ht="19.5" customHeight="1">
      <c r="A11" s="379" t="str">
        <f>monitoring_1!A11:I11</f>
        <v>-* ko'chmas mulk egasi: SIMONYAN VADIM ROMANOVICH</v>
      </c>
      <c r="B11" s="379"/>
      <c r="C11" s="379"/>
      <c r="D11" s="379"/>
      <c r="E11" s="379"/>
      <c r="F11" s="379"/>
      <c r="G11" s="379"/>
      <c r="H11" s="379"/>
    </row>
    <row r="12" spans="1:9" ht="19.5" customHeight="1">
      <c r="A12" s="379" t="str">
        <f>monitoring_1!A12:I12</f>
        <v>-* reestr raqami: №1726266/R-A5552339</v>
      </c>
      <c r="B12" s="379"/>
      <c r="C12" s="379"/>
      <c r="D12" s="379"/>
      <c r="E12" s="379"/>
      <c r="F12" s="379"/>
      <c r="G12" s="379"/>
      <c r="H12" s="379"/>
    </row>
    <row r="13" spans="1:9" ht="35.25" customHeight="1">
      <c r="A13" s="373" t="str">
        <f>monitoring_1!A13:I13</f>
        <v>-* kadastr raqami: 07.01.2025 y. №10:07:04:02:02:7296/06</v>
      </c>
      <c r="B13" s="373"/>
      <c r="C13" s="373"/>
      <c r="D13" s="373"/>
      <c r="E13" s="373"/>
      <c r="F13" s="373"/>
      <c r="G13" s="373"/>
      <c r="H13" s="373"/>
    </row>
    <row r="14" spans="1:9" ht="19.5" customHeight="1">
      <c r="A14" s="379" t="str">
        <f>monitoring_1!A14:I14</f>
        <v>-* manzil: TOSHKENT SHAHAR YUNUSOBOD TUMANI OTCHOPAR-1 MFY KARIM ZARIPOV KO'CHASI 8-6 UY</v>
      </c>
      <c r="B14" s="379"/>
      <c r="C14" s="379"/>
      <c r="D14" s="379"/>
      <c r="E14" s="379"/>
      <c r="F14" s="379"/>
      <c r="G14" s="379"/>
      <c r="H14" s="379"/>
    </row>
    <row r="15" spans="1:9" ht="33.75" customHeight="1">
      <c r="A15" s="382" t="str">
        <f>+"Shu bilan birga, yuqoridagi mulkning kelishilgan garov qiymati "&amp;dalolatnoma!F48</f>
        <v>Shu bilan birga, yuqoridagi mulkning kelishilgan garov qiymati 70 000 000,00 
(yetmish million so'm)</v>
      </c>
      <c r="B15" s="382"/>
      <c r="C15" s="382"/>
      <c r="D15" s="382"/>
      <c r="E15" s="382"/>
      <c r="F15" s="382"/>
      <c r="G15" s="382"/>
      <c r="H15" s="382"/>
    </row>
    <row r="17" spans="1:8" ht="35.25" customHeight="1">
      <c r="A17" s="373" t="s">
        <v>272</v>
      </c>
      <c r="B17" s="373"/>
      <c r="C17" s="373"/>
      <c r="D17" s="373"/>
      <c r="E17" s="373"/>
      <c r="F17" s="373"/>
      <c r="G17" s="373"/>
      <c r="H17" s="373"/>
    </row>
    <row r="21" spans="1:8" s="35" customFormat="1"/>
    <row r="22" spans="1:8" s="35" customFormat="1">
      <c r="A22" s="35" t="str">
        <f>umumiy_malumot!A150</f>
        <v>Direktor</v>
      </c>
      <c r="H22" s="169" t="str">
        <f>umumiy_malumot!B150</f>
        <v>Obidov A. Sh.</v>
      </c>
    </row>
    <row r="23" spans="1:8" s="35" customFormat="1" ht="32.25" customHeight="1">
      <c r="H23" s="169"/>
    </row>
    <row r="24" spans="1:8" s="35" customFormat="1" ht="16.5" hidden="1" customHeight="1">
      <c r="A24" s="35" t="s">
        <v>273</v>
      </c>
      <c r="H24" s="35" t="s">
        <v>376</v>
      </c>
    </row>
    <row r="25" spans="1:8" s="35" customFormat="1" ht="60" customHeight="1"/>
    <row r="26" spans="1:8" s="35" customFormat="1">
      <c r="A26" s="35" t="s">
        <v>274</v>
      </c>
      <c r="H26" s="169" t="str">
        <f>umumiy_malumot!B7</f>
        <v>SIMONYAN V. R.</v>
      </c>
    </row>
    <row r="27" spans="1:8" s="35" customFormat="1"/>
    <row r="28" spans="1:8" s="35" customFormat="1"/>
    <row r="29" spans="1:8" s="35" customFormat="1"/>
  </sheetData>
  <mergeCells count="17">
    <mergeCell ref="A17:H17"/>
    <mergeCell ref="A10:B10"/>
    <mergeCell ref="A11:H11"/>
    <mergeCell ref="A12:H12"/>
    <mergeCell ref="D10:E10"/>
    <mergeCell ref="F10:G10"/>
    <mergeCell ref="H10:I10"/>
    <mergeCell ref="A2:H3"/>
    <mergeCell ref="A13:H13"/>
    <mergeCell ref="A14:H14"/>
    <mergeCell ref="A15:H15"/>
    <mergeCell ref="A7:H7"/>
    <mergeCell ref="A8:H8"/>
    <mergeCell ref="A9:B9"/>
    <mergeCell ref="D9:E9"/>
    <mergeCell ref="F9:G9"/>
    <mergeCell ref="H9:I9"/>
  </mergeCells>
  <printOptions horizontalCentered="1"/>
  <pageMargins left="0.70866141732283472" right="0.70866141732283472" top="0.74803149606299213" bottom="0.74803149606299213" header="0.31496062992125984" footer="0.31496062992125984"/>
  <pageSetup paperSize="9" scale="8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zoomScaleNormal="100" zoomScaleSheetLayoutView="100" workbookViewId="0">
      <selection activeCell="J2" sqref="J2"/>
    </sheetView>
  </sheetViews>
  <sheetFormatPr defaultColWidth="9.140625" defaultRowHeight="12.75"/>
  <cols>
    <col min="1" max="2" width="11" style="28" customWidth="1"/>
    <col min="3" max="4" width="14.42578125" style="28" customWidth="1"/>
    <col min="5" max="5" width="6.28515625" style="28" customWidth="1"/>
    <col min="6" max="6" width="13.5703125" style="28" customWidth="1"/>
    <col min="7" max="7" width="9.140625" style="28"/>
    <col min="8" max="8" width="17.7109375" style="28" customWidth="1"/>
    <col min="9" max="9" width="0.42578125" style="28" hidden="1" customWidth="1"/>
    <col min="10" max="16384" width="9.140625" style="28"/>
  </cols>
  <sheetData>
    <row r="1" spans="1:9">
      <c r="A1" s="35"/>
      <c r="B1" s="35"/>
      <c r="C1" s="35"/>
      <c r="D1" s="35"/>
      <c r="E1" s="35"/>
      <c r="F1" s="35"/>
      <c r="G1" s="35"/>
      <c r="H1" s="35"/>
      <c r="I1" s="35"/>
    </row>
    <row r="2" spans="1:9">
      <c r="A2" s="381" t="str">
        <f>""&amp;" "&amp;umumiy_malumot!B74&amp;"-sonli "&amp;" "&amp;umumiy_malumot!B65&amp;" shartnomasi bo‘yicha
 garovga qo‘yilgan mol-mulkni tekshirish bo’yicha "&amp;umumiy_malumot!B5&amp;" bilan tuzilgan dalolatnomasi"</f>
        <v xml:space="preserve"> 2 fevral 2026 y.dan №43-sonli  Mikroqarz shartnomasi bo‘yicha
 garovga qo‘yilgan mol-mulkni tekshirish bo’yicha SIMONYAN VADIM ROMANOVICH bilan tuzilgan dalolatnomasi</v>
      </c>
      <c r="B2" s="381"/>
      <c r="C2" s="381"/>
      <c r="D2" s="381"/>
      <c r="E2" s="381"/>
      <c r="F2" s="381"/>
      <c r="G2" s="381"/>
      <c r="H2" s="381"/>
      <c r="I2" s="35"/>
    </row>
    <row r="3" spans="1:9">
      <c r="A3" s="381"/>
      <c r="B3" s="381"/>
      <c r="C3" s="381"/>
      <c r="D3" s="381"/>
      <c r="E3" s="381"/>
      <c r="F3" s="381"/>
      <c r="G3" s="381"/>
      <c r="H3" s="381"/>
      <c r="I3" s="35"/>
    </row>
    <row r="5" spans="1:9">
      <c r="A5" s="28" t="s">
        <v>195</v>
      </c>
      <c r="H5" s="167" t="str">
        <f>TEXT(+umumiy_malumot!B2+540,"ДД.ММ.ГГГГ")</f>
        <v>27.07.2027</v>
      </c>
    </row>
    <row r="7" spans="1:9" ht="45" customHeight="1">
      <c r="A7" s="380" t="str">
        <f>"      Men, "&amp;umumiy_malumot!B147&amp;" "&amp;umumiy_malumot!A150&amp;"i "&amp;umumiy_malumot!B150&amp;", jismoniy shaxs "&amp;" "&amp;umumiy_malumot!B5&amp;" "&amp;" "&amp;umumiy_malumot!B74&amp;"-sonli "&amp;umumiy_malumot!B65&amp;" shartnomasi bo‘yicha garovga qo‘yilgan mol-mulkni ko‘zdan kechirdim"</f>
        <v xml:space="preserve">      Men, «PULLOL BUSINESS MIKROMOLIYA TASHKILOTI»  MChJ Direktori Obidov A. Sh., jismoniy shaxs  SIMONYAN VADIM ROMANOVICH  2 fevral 2026 y.dan №43-sonli Mikroqarz shartnomasi bo‘yicha garovga qo‘yilgan mol-mulkni ko‘zdan kechirdim</v>
      </c>
      <c r="B7" s="380"/>
      <c r="C7" s="380"/>
      <c r="D7" s="380"/>
      <c r="E7" s="380"/>
      <c r="F7" s="380"/>
      <c r="G7" s="380"/>
      <c r="H7" s="380"/>
    </row>
    <row r="8" spans="1:9" ht="19.5" customHeight="1">
      <c r="A8" s="374" t="s">
        <v>271</v>
      </c>
      <c r="B8" s="374"/>
      <c r="C8" s="374"/>
      <c r="D8" s="374"/>
      <c r="E8" s="374"/>
      <c r="F8" s="374"/>
      <c r="G8" s="374"/>
      <c r="H8" s="374"/>
    </row>
    <row r="9" spans="1:9" s="168" customFormat="1" ht="32.25" customHeight="1">
      <c r="A9" s="375" t="s">
        <v>198</v>
      </c>
      <c r="B9" s="376"/>
      <c r="C9" s="240" t="s">
        <v>436</v>
      </c>
      <c r="D9" s="375" t="s">
        <v>437</v>
      </c>
      <c r="E9" s="376"/>
      <c r="F9" s="377" t="s">
        <v>438</v>
      </c>
      <c r="G9" s="377"/>
      <c r="H9" s="377" t="s">
        <v>439</v>
      </c>
      <c r="I9" s="377"/>
    </row>
    <row r="10" spans="1:9" s="166" customFormat="1" ht="58.5" customHeight="1">
      <c r="A10" s="378" t="str">
        <f>umumiy_malumot!C125</f>
        <v>Yakka tartibdagi uy-joy</v>
      </c>
      <c r="B10" s="378"/>
      <c r="C10" s="239">
        <f>umumiy_malumot!C134</f>
        <v>166</v>
      </c>
      <c r="D10" s="378">
        <f>umumiy_malumot!C133</f>
        <v>87</v>
      </c>
      <c r="E10" s="378"/>
      <c r="F10" s="378" t="str">
        <f>umumiy_malumot!C130</f>
        <v>48.67</v>
      </c>
      <c r="G10" s="378"/>
      <c r="H10" s="378" t="str">
        <f>umumiy_malumot!C131</f>
        <v>30.84</v>
      </c>
      <c r="I10" s="378"/>
    </row>
    <row r="11" spans="1:9" ht="19.5" customHeight="1">
      <c r="A11" s="379" t="str">
        <f>monitoring_2!A11:H11</f>
        <v>-* ko'chmas mulk egasi: SIMONYAN VADIM ROMANOVICH</v>
      </c>
      <c r="B11" s="379"/>
      <c r="C11" s="379"/>
      <c r="D11" s="379"/>
      <c r="E11" s="379"/>
      <c r="F11" s="379"/>
      <c r="G11" s="379"/>
      <c r="H11" s="379"/>
    </row>
    <row r="12" spans="1:9" ht="19.5" customHeight="1">
      <c r="A12" s="379" t="str">
        <f>monitoring_2!A12:H12</f>
        <v>-* reestr raqami: №1726266/R-A5552339</v>
      </c>
      <c r="B12" s="379"/>
      <c r="C12" s="379"/>
      <c r="D12" s="379"/>
      <c r="E12" s="379"/>
      <c r="F12" s="379"/>
      <c r="G12" s="379"/>
      <c r="H12" s="379"/>
    </row>
    <row r="13" spans="1:9" ht="30.75" customHeight="1">
      <c r="A13" s="373" t="str">
        <f>monitoring_2!A13:H13</f>
        <v>-* kadastr raqami: 07.01.2025 y. №10:07:04:02:02:7296/06</v>
      </c>
      <c r="B13" s="373"/>
      <c r="C13" s="373"/>
      <c r="D13" s="373"/>
      <c r="E13" s="373"/>
      <c r="F13" s="373"/>
      <c r="G13" s="373"/>
      <c r="H13" s="373"/>
    </row>
    <row r="14" spans="1:9" ht="19.5" customHeight="1">
      <c r="A14" s="379" t="str">
        <f>monitoring_2!A14:H14</f>
        <v>-* manzil: TOSHKENT SHAHAR YUNUSOBOD TUMANI OTCHOPAR-1 MFY KARIM ZARIPOV KO'CHASI 8-6 UY</v>
      </c>
      <c r="B14" s="379"/>
      <c r="C14" s="379"/>
      <c r="D14" s="379"/>
      <c r="E14" s="379"/>
      <c r="F14" s="379"/>
      <c r="G14" s="379"/>
      <c r="H14" s="379"/>
    </row>
    <row r="15" spans="1:9" ht="33.75" customHeight="1">
      <c r="A15" s="382" t="str">
        <f>+"Shu bilan birga, yuqoridagi mulkning kelishilgan garov qiymati "&amp;dalolatnoma!F48</f>
        <v>Shu bilan birga, yuqoridagi mulkning kelishilgan garov qiymati 70 000 000,00 
(yetmish million so'm)</v>
      </c>
      <c r="B15" s="382"/>
      <c r="C15" s="382"/>
      <c r="D15" s="382"/>
      <c r="E15" s="382"/>
      <c r="F15" s="382"/>
      <c r="G15" s="382"/>
      <c r="H15" s="382"/>
    </row>
    <row r="17" spans="1:8" s="166" customFormat="1" ht="32.25" customHeight="1">
      <c r="A17" s="373" t="s">
        <v>272</v>
      </c>
      <c r="B17" s="373"/>
      <c r="C17" s="373"/>
      <c r="D17" s="373"/>
      <c r="E17" s="373"/>
      <c r="F17" s="373"/>
      <c r="G17" s="373"/>
      <c r="H17" s="373"/>
    </row>
    <row r="21" spans="1:8" s="35" customFormat="1"/>
    <row r="22" spans="1:8" s="35" customFormat="1">
      <c r="A22" s="35" t="str">
        <f>umumiy_malumot!A150</f>
        <v>Direktor</v>
      </c>
      <c r="H22" s="169" t="str">
        <f>umumiy_malumot!B150</f>
        <v>Obidov A. Sh.</v>
      </c>
    </row>
    <row r="23" spans="1:8" s="35" customFormat="1" ht="32.25" customHeight="1">
      <c r="H23" s="169"/>
    </row>
    <row r="24" spans="1:8" s="35" customFormat="1" ht="16.5" hidden="1" customHeight="1">
      <c r="A24" s="35" t="s">
        <v>273</v>
      </c>
      <c r="H24" s="35" t="s">
        <v>376</v>
      </c>
    </row>
    <row r="25" spans="1:8" s="35" customFormat="1" ht="60" customHeight="1"/>
    <row r="26" spans="1:8" s="35" customFormat="1">
      <c r="A26" s="35" t="s">
        <v>274</v>
      </c>
      <c r="H26" s="169" t="str">
        <f>umumiy_malumot!B7</f>
        <v>SIMONYAN V. R.</v>
      </c>
    </row>
    <row r="27" spans="1:8" s="35" customFormat="1"/>
    <row r="28" spans="1:8" s="35" customFormat="1"/>
    <row r="29" spans="1:8" s="35" customFormat="1"/>
  </sheetData>
  <mergeCells count="17">
    <mergeCell ref="A17:H17"/>
    <mergeCell ref="A10:B10"/>
    <mergeCell ref="A11:H11"/>
    <mergeCell ref="A12:H12"/>
    <mergeCell ref="D10:E10"/>
    <mergeCell ref="F10:G10"/>
    <mergeCell ref="H10:I10"/>
    <mergeCell ref="A2:H3"/>
    <mergeCell ref="A13:H13"/>
    <mergeCell ref="A14:H14"/>
    <mergeCell ref="A15:H15"/>
    <mergeCell ref="A7:H7"/>
    <mergeCell ref="A8:H8"/>
    <mergeCell ref="A9:B9"/>
    <mergeCell ref="D9:E9"/>
    <mergeCell ref="F9:G9"/>
    <mergeCell ref="H9:I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tabSelected="1" view="pageBreakPreview" zoomScaleNormal="100" zoomScaleSheetLayoutView="100" workbookViewId="0">
      <selection activeCell="A8" sqref="A8:H8"/>
    </sheetView>
  </sheetViews>
  <sheetFormatPr defaultColWidth="9.140625" defaultRowHeight="12.75"/>
  <cols>
    <col min="1" max="2" width="11" style="28" customWidth="1"/>
    <col min="3" max="4" width="14.42578125" style="28" customWidth="1"/>
    <col min="5" max="6" width="13.5703125" style="28" customWidth="1"/>
    <col min="7" max="7" width="9.140625" style="28"/>
    <col min="8" max="8" width="19" style="28" bestFit="1" customWidth="1"/>
    <col min="9" max="16384" width="9.140625" style="28"/>
  </cols>
  <sheetData>
    <row r="1" spans="1:9">
      <c r="A1" s="35"/>
      <c r="B1" s="35"/>
      <c r="C1" s="35"/>
      <c r="D1" s="35"/>
      <c r="E1" s="35"/>
      <c r="F1" s="35"/>
      <c r="G1" s="35"/>
      <c r="H1" s="35"/>
      <c r="I1" s="35"/>
    </row>
    <row r="2" spans="1:9">
      <c r="A2" s="381" t="str">
        <f>""&amp;" "&amp;umumiy_malumot!B74&amp;"-sonli "&amp;" "&amp;umumiy_malumot!B65&amp;" shartnomasi bo‘yicha
 garovga qo‘yilgan mol-mulkni tekshirish bo’yicha "&amp;umumiy_malumot!B5&amp;" bilan tuzilgan dalolatnomasi"</f>
        <v xml:space="preserve"> 2 fevral 2026 y.dan №43-sonli  Mikroqarz shartnomasi bo‘yicha
 garovga qo‘yilgan mol-mulkni tekshirish bo’yicha SIMONYAN VADIM ROMANOVICH bilan tuzilgan dalolatnomasi</v>
      </c>
      <c r="B2" s="381"/>
      <c r="C2" s="381"/>
      <c r="D2" s="381"/>
      <c r="E2" s="381"/>
      <c r="F2" s="381"/>
      <c r="G2" s="381"/>
      <c r="H2" s="381"/>
      <c r="I2" s="35"/>
    </row>
    <row r="3" spans="1:9">
      <c r="A3" s="381"/>
      <c r="B3" s="381"/>
      <c r="C3" s="381"/>
      <c r="D3" s="381"/>
      <c r="E3" s="381"/>
      <c r="F3" s="381"/>
      <c r="G3" s="381"/>
      <c r="H3" s="381"/>
      <c r="I3" s="35"/>
    </row>
    <row r="5" spans="1:9">
      <c r="A5" s="28" t="s">
        <v>195</v>
      </c>
      <c r="H5" s="167" t="str">
        <f>TEXT(+umumiy_malumot!B2+720,"ДД.ММ.ГГГГ")</f>
        <v>23.01.2028</v>
      </c>
    </row>
    <row r="7" spans="1:9" ht="45" customHeight="1">
      <c r="A7" s="380" t="str">
        <f>"      Men, "&amp;umumiy_malumot!B147&amp;" "&amp;umumiy_malumot!A150&amp;"i "&amp;umumiy_malumot!B150&amp;", jismoniy shaxs "&amp;" "&amp;umumiy_malumot!B5&amp;" "&amp;" "&amp;umumiy_malumot!B74&amp;"-sonli "&amp;umumiy_malumot!B65&amp;" shartnomasi bo‘yicha garovga qo‘yilgan mol-mulkni ko‘zdan kechirdim"</f>
        <v xml:space="preserve">      Men, «PULLOL BUSINESS MIKROMOLIYA TASHKILOTI»  MChJ Direktori Obidov A. Sh., jismoniy shaxs  SIMONYAN VADIM ROMANOVICH  2 fevral 2026 y.dan №43-sonli Mikroqarz shartnomasi bo‘yicha garovga qo‘yilgan mol-mulkni ko‘zdan kechirdim</v>
      </c>
      <c r="B7" s="380"/>
      <c r="C7" s="380"/>
      <c r="D7" s="380"/>
      <c r="E7" s="380"/>
      <c r="F7" s="380"/>
      <c r="G7" s="380"/>
      <c r="H7" s="380"/>
    </row>
    <row r="8" spans="1:9" ht="19.5" customHeight="1">
      <c r="A8" s="374" t="s">
        <v>271</v>
      </c>
      <c r="B8" s="374"/>
      <c r="C8" s="374"/>
      <c r="D8" s="374"/>
      <c r="E8" s="374"/>
      <c r="F8" s="374"/>
      <c r="G8" s="374"/>
      <c r="H8" s="374"/>
    </row>
    <row r="9" spans="1:9" s="168" customFormat="1" ht="32.25" customHeight="1">
      <c r="A9" s="375" t="s">
        <v>198</v>
      </c>
      <c r="B9" s="376"/>
      <c r="C9" s="375" t="s">
        <v>407</v>
      </c>
      <c r="D9" s="376"/>
      <c r="E9" s="377" t="s">
        <v>392</v>
      </c>
      <c r="F9" s="377"/>
      <c r="G9" s="377" t="s">
        <v>393</v>
      </c>
      <c r="H9" s="377"/>
    </row>
    <row r="10" spans="1:9" s="166" customFormat="1" ht="58.5" customHeight="1">
      <c r="A10" s="378" t="str">
        <f>monitoring_3!A10:B10</f>
        <v>Yakka tartibdagi uy-joy</v>
      </c>
      <c r="B10" s="378"/>
      <c r="C10" s="378">
        <f>monitoring_3!C10:D10</f>
        <v>166</v>
      </c>
      <c r="D10" s="378"/>
      <c r="E10" s="378">
        <f>monitoring_3!E10:F10</f>
        <v>0</v>
      </c>
      <c r="F10" s="378"/>
      <c r="G10" s="378">
        <f>monitoring_3!G10:H10</f>
        <v>0</v>
      </c>
      <c r="H10" s="378"/>
    </row>
    <row r="11" spans="1:9" ht="19.5" customHeight="1">
      <c r="A11" s="379" t="str">
        <f>monitoring_3!A11:H11</f>
        <v>-* ko'chmas mulk egasi: SIMONYAN VADIM ROMANOVICH</v>
      </c>
      <c r="B11" s="379"/>
      <c r="C11" s="379"/>
      <c r="D11" s="379"/>
      <c r="E11" s="379"/>
      <c r="F11" s="379"/>
      <c r="G11" s="379"/>
      <c r="H11" s="379"/>
    </row>
    <row r="12" spans="1:9" ht="19.5" customHeight="1">
      <c r="A12" s="379" t="str">
        <f>monitoring_3!A12:H12</f>
        <v>-* reestr raqami: №1726266/R-A5552339</v>
      </c>
      <c r="B12" s="379"/>
      <c r="C12" s="379"/>
      <c r="D12" s="379"/>
      <c r="E12" s="379"/>
      <c r="F12" s="379"/>
      <c r="G12" s="379"/>
      <c r="H12" s="379"/>
    </row>
    <row r="13" spans="1:9" ht="25.5" customHeight="1">
      <c r="A13" s="379" t="str">
        <f>monitoring_3!A13:H13</f>
        <v>-* kadastr raqami: 07.01.2025 y. №10:07:04:02:02:7296/06</v>
      </c>
      <c r="B13" s="379"/>
      <c r="C13" s="379"/>
      <c r="D13" s="379"/>
      <c r="E13" s="379"/>
      <c r="F13" s="379"/>
      <c r="G13" s="379"/>
      <c r="H13" s="379"/>
    </row>
    <row r="14" spans="1:9" ht="19.5" customHeight="1">
      <c r="A14" s="379" t="str">
        <f>monitoring_3!A14:H14</f>
        <v>-* manzil: TOSHKENT SHAHAR YUNUSOBOD TUMANI OTCHOPAR-1 MFY KARIM ZARIPOV KO'CHASI 8-6 UY</v>
      </c>
      <c r="B14" s="379"/>
      <c r="C14" s="379"/>
      <c r="D14" s="379"/>
      <c r="E14" s="379"/>
      <c r="F14" s="379"/>
      <c r="G14" s="379"/>
      <c r="H14" s="379"/>
    </row>
    <row r="15" spans="1:9" ht="33.75" customHeight="1">
      <c r="A15" s="382" t="str">
        <f>+"Shu bilan birga, yuqoridagi mulkning kelishilgan garov qiymati "&amp;dalolatnoma!F48</f>
        <v>Shu bilan birga, yuqoridagi mulkning kelishilgan garov qiymati 70 000 000,00 
(yetmish million so'm)</v>
      </c>
      <c r="B15" s="382"/>
      <c r="C15" s="382"/>
      <c r="D15" s="382"/>
      <c r="E15" s="382"/>
      <c r="F15" s="382"/>
      <c r="G15" s="382"/>
      <c r="H15" s="382"/>
    </row>
    <row r="17" spans="1:8" ht="28.5" customHeight="1">
      <c r="A17" s="373" t="s">
        <v>272</v>
      </c>
      <c r="B17" s="373"/>
      <c r="C17" s="373"/>
      <c r="D17" s="373"/>
      <c r="E17" s="373"/>
      <c r="F17" s="373"/>
      <c r="G17" s="373"/>
      <c r="H17" s="373"/>
    </row>
    <row r="21" spans="1:8" s="35" customFormat="1"/>
    <row r="22" spans="1:8" s="35" customFormat="1">
      <c r="A22" s="35" t="str">
        <f>umumiy_malumot!A150</f>
        <v>Direktor</v>
      </c>
      <c r="H22" s="169" t="str">
        <f>umumiy_malumot!B150</f>
        <v>Obidov A. Sh.</v>
      </c>
    </row>
    <row r="23" spans="1:8" s="35" customFormat="1" ht="32.25" customHeight="1">
      <c r="H23" s="169"/>
    </row>
    <row r="24" spans="1:8" s="35" customFormat="1" ht="16.5" hidden="1" customHeight="1">
      <c r="A24" s="35" t="s">
        <v>273</v>
      </c>
      <c r="H24" s="35" t="s">
        <v>376</v>
      </c>
    </row>
    <row r="25" spans="1:8" s="35" customFormat="1" ht="60" customHeight="1"/>
    <row r="26" spans="1:8" s="35" customFormat="1">
      <c r="A26" s="35" t="s">
        <v>274</v>
      </c>
      <c r="H26" s="169" t="str">
        <f>umumiy_malumot!B7</f>
        <v>SIMONYAN V. R.</v>
      </c>
    </row>
    <row r="27" spans="1:8" s="35" customFormat="1"/>
    <row r="28" spans="1:8" s="35" customFormat="1"/>
    <row r="29" spans="1:8" s="35"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13</vt:i4>
      </vt:variant>
    </vt:vector>
  </HeadingPairs>
  <TitlesOfParts>
    <vt:vector size="34" baseType="lpstr">
      <vt:lpstr>protokol</vt:lpstr>
      <vt:lpstr>График дифференц</vt:lpstr>
      <vt:lpstr>Данные для послед. Залога</vt:lpstr>
      <vt:lpstr>umumiy_malumot</vt:lpstr>
      <vt:lpstr>График аннуитет.</vt:lpstr>
      <vt:lpstr>mijoz_anketasi</vt:lpstr>
      <vt:lpstr>anketa</vt:lpstr>
      <vt:lpstr>kredit_ariza</vt:lpstr>
      <vt:lpstr>majburiyatnoma</vt:lpstr>
      <vt:lpstr>xulosa</vt:lpstr>
      <vt:lpstr>shartnoma</vt:lpstr>
      <vt:lpstr>grafik</vt:lpstr>
      <vt:lpstr>garov_ariza</vt:lpstr>
      <vt:lpstr>dalolatnoma</vt:lpstr>
      <vt:lpstr>buyruq</vt:lpstr>
      <vt:lpstr>muqova</vt:lpstr>
      <vt:lpstr>Письмо</vt:lpstr>
      <vt:lpstr>monitoring_1</vt:lpstr>
      <vt:lpstr>monitoring_2</vt:lpstr>
      <vt:lpstr>monitoring_3</vt:lpstr>
      <vt:lpstr>monitoring_4</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monitoring_2!Область_печати</vt:lpstr>
      <vt:lpstr>monitoring_3!Область_печати</vt:lpstr>
      <vt:lpstr>monitoring_4!Область_печати</vt:lpstr>
      <vt:lpstr>muqova!Область_печати</vt:lpstr>
      <vt:lpstr>protokol!Область_печати</vt:lpstr>
      <vt:lpstr>shartnoma!Область_печати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Taylakov Ulug'bek Norbekovich</cp:lastModifiedBy>
  <cp:lastPrinted>2026-01-27T08:47:30Z</cp:lastPrinted>
  <dcterms:created xsi:type="dcterms:W3CDTF">2015-06-05T18:19:34Z</dcterms:created>
  <dcterms:modified xsi:type="dcterms:W3CDTF">2026-02-17T13:08:50Z</dcterms:modified>
</cp:coreProperties>
</file>